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activeTab="7"/>
  </bookViews>
  <sheets>
    <sheet name="商品定位" sheetId="4" r:id="rId1"/>
    <sheet name="商品" sheetId="1" r:id="rId2"/>
    <sheet name="生活水平" sheetId="8" r:id="rId3"/>
    <sheet name="职业" sheetId="2" r:id="rId4"/>
    <sheet name="建筑" sheetId="3" r:id="rId5"/>
    <sheet name="生产方式组" sheetId="10" r:id="rId6"/>
    <sheet name="生产方式定位" sheetId="5" r:id="rId7"/>
    <sheet name="生产方式A" sheetId="7" r:id="rId8"/>
    <sheet name="生产方式B" sheetId="9" r:id="rId9"/>
    <sheet name="临时演算表" sheetId="11" r:id="rId10"/>
  </sheets>
  <calcPr calcId="144525"/>
</workbook>
</file>

<file path=xl/sharedStrings.xml><?xml version="1.0" encoding="utf-8"?>
<sst xmlns="http://schemas.openxmlformats.org/spreadsheetml/2006/main" count="10656" uniqueCount="623">
  <si>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</si>
  <si>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</si>
  <si>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</si>
  <si>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</si>
  <si>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说明</t>
  </si>
  <si>
    <t>一般定价</t>
  </si>
  <si>
    <t>生产效率定位</t>
  </si>
  <si>
    <t>建筑类型</t>
  </si>
  <si>
    <t>初级农产品</t>
  </si>
  <si>
    <t>这是案例</t>
  </si>
  <si>
    <t>低</t>
  </si>
  <si>
    <t>先低后高</t>
  </si>
  <si>
    <t>农场、种植园</t>
  </si>
  <si>
    <t>我是分割线</t>
  </si>
  <si>
    <t>比如上案例，初级农产品其实就是谷物这些东西，它们的一般定价是低，生产效率定位为“先低后高”</t>
  </si>
  <si>
    <t>那么我们可以想一下如何做这个过渡，合理的做法是引入“肥料”这一商品，通过它去变革生产方式，拉高生产效率</t>
  </si>
  <si>
    <t>那么在这里我们就有必要去做抉择，“肥料”的生产效率此时是如何的？如果肥料供给也很充足，价格也很低，那么可能导致如下结果：</t>
  </si>
  <si>
    <t>可能出现国生产该商品的建筑盈利→建筑劳动力的生活水平上升&amp;商品价格下降&amp;国家收入增长</t>
  </si>
  <si>
    <t>1、建筑劳动力的生活水平上升意味着他们政治力量的加强，可能因此具备推动某些变革的能力</t>
  </si>
  <si>
    <t>2、商品价格下降会导致需求该商品的开支减少，也即提高一些pop的生活水平</t>
  </si>
  <si>
    <t>3、国家收入增长会加快玩家的发展速度</t>
  </si>
  <si>
    <t>最后的结果就是玩家发现有利可图，于是大量建造肥料和生产该初级农产品的建筑</t>
  </si>
  <si>
    <t>如果商品价格到50%还是有很多收益的话，那么玩家可能就会出现邪道打法，他可能就只出这个建筑和军营，然后横推全球</t>
  </si>
  <si>
    <t>这样子我们可以说，这个游戏是失去经营产业链的乐趣的，是不符合V3想要的核心体验的</t>
  </si>
  <si>
    <t>但是如果肥料此时的生产效率是很低的，而肥料对初级农产品的定位又是很大的，刚好玩家又对该农产品很需求</t>
  </si>
  <si>
    <t>那么玩家就会为了填平初级农产品的需求去大量生产肥料，接着他一看，肥料需要大量的硫磺，硫磺又需要炸药去提高生产效率，然后这些可能都还离不开科技的进步</t>
  </si>
  <si>
    <t>那么他就得在肥料、硫磺、炸药、大学间做出权衡，并安排发展顺序，游戏会有意思很多</t>
  </si>
  <si>
    <t>而且可能游戏的发展是出乎他意料的，比如他没发现农产品大量的供给导致生活水平提升，他对衣服、家具的需求变大了，他不得不处理新的问题</t>
  </si>
  <si>
    <t>这样，整个游戏的经济是可以循环的，可以让玩家一定程度上重复游玩，而不是像横推全球那样无聊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</si>
  <si>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</si>
  <si>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</si>
  <si>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</si>
  <si>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</si>
  <si>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</si>
  <si>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</si>
  <si>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</si>
  <si>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</si>
  <si>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需求消费</t>
  </si>
  <si>
    <t>人口群的需求</t>
  </si>
  <si>
    <t>替代品</t>
  </si>
  <si>
    <t>花费</t>
  </si>
  <si>
    <t>中级农产品</t>
  </si>
  <si>
    <t>simple_clothing</t>
  </si>
  <si>
    <t>fabric</t>
  </si>
  <si>
    <t>高级农产品</t>
  </si>
  <si>
    <t>clothes</t>
  </si>
  <si>
    <t>crude_items</t>
  </si>
  <si>
    <t>wood</t>
  </si>
  <si>
    <t>初级原材料</t>
  </si>
  <si>
    <t>furniture</t>
  </si>
  <si>
    <t>中级原材料</t>
  </si>
  <si>
    <t>basic_food</t>
  </si>
  <si>
    <t>grain</t>
  </si>
  <si>
    <t>高级原材料</t>
  </si>
  <si>
    <t>fish</t>
  </si>
  <si>
    <t>meat</t>
  </si>
  <si>
    <t>初级工业品</t>
  </si>
  <si>
    <t>fruit</t>
  </si>
  <si>
    <t>中级工业品</t>
  </si>
  <si>
    <t>groceries</t>
  </si>
  <si>
    <t>高级工业品</t>
  </si>
  <si>
    <t>heating</t>
  </si>
  <si>
    <t>初级消费品</t>
  </si>
  <si>
    <t>coal</t>
  </si>
  <si>
    <t>中级消费品</t>
  </si>
  <si>
    <t>oil</t>
  </si>
  <si>
    <t>高级消费品</t>
  </si>
  <si>
    <t>electricity</t>
  </si>
  <si>
    <t>household_items</t>
  </si>
  <si>
    <t>初级工具</t>
  </si>
  <si>
    <t>glass</t>
  </si>
  <si>
    <t>中级工具</t>
  </si>
  <si>
    <t>standard_clothing</t>
  </si>
  <si>
    <t>高级工具</t>
  </si>
  <si>
    <t>services</t>
  </si>
  <si>
    <t>intoxicants</t>
  </si>
  <si>
    <t>liquor</t>
  </si>
  <si>
    <t>初级军用品</t>
  </si>
  <si>
    <t>tobacco</t>
  </si>
  <si>
    <t>中级军用品</t>
  </si>
  <si>
    <t>opium</t>
  </si>
  <si>
    <t>高级军用品</t>
  </si>
  <si>
    <t>luxury_drinks</t>
  </si>
  <si>
    <t>tea</t>
  </si>
  <si>
    <t>coffee</t>
  </si>
  <si>
    <t>能源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</si>
  <si>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</si>
  <si>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</si>
  <si>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</si>
  <si>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</si>
  <si>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</si>
  <si>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</si>
  <si>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</si>
  <si>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</si>
  <si>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</si>
  <si>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</si>
  <si>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</si>
  <si>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</si>
  <si>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</si>
  <si>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</si>
  <si>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</si>
  <si>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商品名称</t>
  </si>
  <si>
    <t>备注</t>
  </si>
  <si>
    <t>定位</t>
  </si>
  <si>
    <t>用途概述
（为了减少工作量，有特殊需求的才写）</t>
  </si>
  <si>
    <t>简要说明
（为了减少工作量，有特殊需求的才写）</t>
  </si>
  <si>
    <t>谷物</t>
  </si>
  <si>
    <t>鱼</t>
  </si>
  <si>
    <t>木头</t>
  </si>
  <si>
    <t>布料</t>
  </si>
  <si>
    <t>硬木</t>
  </si>
  <si>
    <t>染料</t>
  </si>
  <si>
    <t>树胶</t>
  </si>
  <si>
    <t>糖</t>
  </si>
  <si>
    <t>肉类</t>
  </si>
  <si>
    <t>水果</t>
  </si>
  <si>
    <t>药草</t>
  </si>
  <si>
    <t>烟草</t>
  </si>
  <si>
    <t>赛里斯草</t>
  </si>
  <si>
    <t>茶</t>
  </si>
  <si>
    <t>丝绸</t>
  </si>
  <si>
    <t>高级农产品&amp;中级工业品</t>
  </si>
  <si>
    <t>煤</t>
  </si>
  <si>
    <t>铁</t>
  </si>
  <si>
    <t>铅</t>
  </si>
  <si>
    <t>硫</t>
  </si>
  <si>
    <t>食品</t>
  </si>
  <si>
    <t>纸张</t>
  </si>
  <si>
    <t>肥料</t>
  </si>
  <si>
    <t>钢铁</t>
  </si>
  <si>
    <t>服务</t>
  </si>
  <si>
    <t>玻璃</t>
  </si>
  <si>
    <t>初级消费品&amp;初级工业品</t>
  </si>
  <si>
    <t>瓷器</t>
  </si>
  <si>
    <t>高级玻璃</t>
  </si>
  <si>
    <t>衣物</t>
  </si>
  <si>
    <t>奢侈服装</t>
  </si>
  <si>
    <t>家具</t>
  </si>
  <si>
    <t>奢侈家具</t>
  </si>
  <si>
    <t>饮品</t>
  </si>
  <si>
    <t>烈酒</t>
  </si>
  <si>
    <t>奢侈饮品</t>
  </si>
  <si>
    <t>魔悬浮车</t>
  </si>
  <si>
    <t>黄金</t>
  </si>
  <si>
    <t>艺术品</t>
  </si>
  <si>
    <t>工具</t>
  </si>
  <si>
    <t>魔偶</t>
  </si>
  <si>
    <t>运力</t>
  </si>
  <si>
    <t>炸药</t>
  </si>
  <si>
    <t>科学引擎</t>
  </si>
  <si>
    <t>魔导引擎</t>
  </si>
  <si>
    <t>灵能水晶</t>
  </si>
  <si>
    <t>泽洛</t>
  </si>
  <si>
    <t>能源＆高级工具＆高级原材料</t>
  </si>
  <si>
    <t>秘银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</si>
  <si>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</si>
  <si>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</si>
  <si>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</si>
  <si>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</si>
  <si>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</si>
  <si>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</si>
  <si>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</si>
  <si>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</si>
  <si>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</si>
  <si>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</si>
  <si>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快速帆船</t>
  </si>
  <si>
    <t>建造</t>
  </si>
  <si>
    <t>特殊数值</t>
  </si>
  <si>
    <t>wealth</t>
  </si>
  <si>
    <t>political
strength</t>
  </si>
  <si>
    <t>total_cost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</si>
  <si>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</si>
  <si>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</si>
  <si>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</si>
  <si>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</si>
  <si>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</si>
  <si>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</si>
  <si>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</si>
  <si>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</si>
  <si>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</si>
  <si>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自由出行</t>
  </si>
  <si>
    <t>交流</t>
  </si>
  <si>
    <t>奢侈食物</t>
  </si>
  <si>
    <t>奢侈物品</t>
  </si>
  <si>
    <t>艺术</t>
  </si>
  <si>
    <t>职业名称</t>
  </si>
  <si>
    <t>阶级</t>
  </si>
  <si>
    <t>最低生活水平</t>
  </si>
  <si>
    <t>最低生活花费
放缩</t>
  </si>
  <si>
    <t>最低生活花费</t>
  </si>
  <si>
    <t>工资权重</t>
  </si>
  <si>
    <t>工资等级</t>
  </si>
  <si>
    <t>定位说明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</si>
  <si>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</si>
  <si>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</si>
  <si>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</si>
  <si>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</si>
  <si>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</si>
  <si>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</si>
  <si>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</si>
  <si>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</si>
  <si>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</si>
  <si>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</si>
  <si>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</si>
  <si>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</si>
  <si>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</si>
  <si>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</si>
  <si>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</si>
  <si>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</si>
  <si>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矮人？</t>
  </si>
  <si>
    <t>需要说明</t>
  </si>
  <si>
    <r>
      <rPr>
        <b/>
        <sz val="12"/>
        <color theme="0"/>
        <rFont val="宋体"/>
        <charset val="134"/>
        <scheme val="minor"/>
      </rPr>
      <t>需要新增的写在下面，</t>
    </r>
    <r>
      <rPr>
        <b/>
        <sz val="12"/>
        <color rgb="FFFF0000"/>
        <rFont val="宋体"/>
        <charset val="134"/>
        <scheme val="minor"/>
      </rPr>
      <t>因为上面的有写公式，不懂公式的情况下不要动</t>
    </r>
  </si>
  <si>
    <t>转表遍历行数：
（可配置）</t>
  </si>
  <si>
    <t>生产方式类别</t>
  </si>
  <si>
    <t>建筑名称</t>
  </si>
  <si>
    <t>生产方式组类别</t>
  </si>
  <si>
    <t>等级</t>
  </si>
  <si>
    <t>产出1</t>
  </si>
  <si>
    <t>产出2</t>
  </si>
  <si>
    <t>简要说明</t>
  </si>
  <si>
    <t>劳动密集</t>
  </si>
  <si>
    <t>食品厂</t>
  </si>
  <si>
    <t>基础生产</t>
  </si>
  <si>
    <t>高级生产</t>
  </si>
  <si>
    <t>自动化</t>
  </si>
  <si>
    <t>所有制</t>
  </si>
  <si>
    <t>酿酒厂</t>
  </si>
  <si>
    <t>造纸厂</t>
  </si>
  <si>
    <t>纺织厂</t>
  </si>
  <si>
    <t>奢侈衣物</t>
  </si>
  <si>
    <t>家具厂</t>
  </si>
  <si>
    <t>玻璃厂</t>
  </si>
  <si>
    <t>陶瓷</t>
  </si>
  <si>
    <t>化工厂</t>
  </si>
  <si>
    <t>工具作坊</t>
  </si>
  <si>
    <t>魔偶工厂</t>
  </si>
  <si>
    <t>科学武器厂</t>
  </si>
  <si>
    <t>魔导武器厂</t>
  </si>
  <si>
    <t>技术密集</t>
  </si>
  <si>
    <t>合成材料工厂</t>
  </si>
  <si>
    <t>钢铁厂</t>
  </si>
  <si>
    <t>炼金厂</t>
  </si>
  <si>
    <t>晶体萃取厂</t>
  </si>
  <si>
    <t>科学动力厂</t>
  </si>
  <si>
    <t>魔导动力厂</t>
  </si>
  <si>
    <t>魔能军械厂</t>
  </si>
  <si>
    <t>科学军械厂</t>
  </si>
  <si>
    <t>资本密集</t>
  </si>
  <si>
    <t>道路</t>
  </si>
  <si>
    <t>军事化</t>
  </si>
  <si>
    <t>铁路</t>
  </si>
  <si>
    <t>传送阵</t>
  </si>
  <si>
    <t>贸易中心</t>
  </si>
  <si>
    <t>艺术学院</t>
  </si>
  <si>
    <t>城镇中心</t>
  </si>
  <si>
    <t>运输方式</t>
  </si>
  <si>
    <t>建造部门</t>
  </si>
  <si>
    <t>港口</t>
  </si>
  <si>
    <t>行政机构</t>
  </si>
  <si>
    <t>大学</t>
  </si>
  <si>
    <t>资源密集</t>
  </si>
  <si>
    <t>煤矿</t>
  </si>
  <si>
    <t>铁矿</t>
  </si>
  <si>
    <t>铅矿</t>
  </si>
  <si>
    <t>硫矿</t>
  </si>
  <si>
    <t>金矿</t>
  </si>
  <si>
    <t>油井</t>
  </si>
  <si>
    <t>棉花</t>
  </si>
  <si>
    <t>鸦片</t>
  </si>
  <si>
    <t>茶叶</t>
  </si>
  <si>
    <t>香蕉</t>
  </si>
  <si>
    <t>糖类</t>
  </si>
  <si>
    <t>伐木场</t>
  </si>
  <si>
    <t>黑麦</t>
  </si>
  <si>
    <t>小麦</t>
  </si>
  <si>
    <t>大米</t>
  </si>
  <si>
    <t>玉米</t>
  </si>
  <si>
    <t>小米</t>
  </si>
  <si>
    <t>牧场</t>
  </si>
  <si>
    <t>渔船码头</t>
  </si>
  <si>
    <t>捕鲸站</t>
  </si>
  <si>
    <t>常备军营</t>
  </si>
  <si>
    <t>动员军营</t>
  </si>
  <si>
    <t>军港</t>
  </si>
  <si>
    <t>自给农场</t>
  </si>
  <si>
    <t>生产方式组</t>
  </si>
  <si>
    <t>生产方式等级</t>
  </si>
  <si>
    <t>building_食品厂</t>
  </si>
  <si>
    <t>pmg_食品厂_基础生产</t>
  </si>
  <si>
    <t>pmg_食品厂_高级生产</t>
  </si>
  <si>
    <t>pmg_食品厂_自动化</t>
  </si>
  <si>
    <t>无</t>
  </si>
  <si>
    <t>pmg_食品厂_所有制</t>
  </si>
  <si>
    <t>building_酿酒厂</t>
  </si>
  <si>
    <t>pmg_酿酒厂_基础生产</t>
  </si>
  <si>
    <t>pmg_酿酒厂_高级生产</t>
  </si>
  <si>
    <t>pmg_酿酒厂_自动化</t>
  </si>
  <si>
    <t>pmg_酿酒厂_所有制</t>
  </si>
  <si>
    <t>building_造纸厂</t>
  </si>
  <si>
    <t>pmg_造纸厂_基础生产</t>
  </si>
  <si>
    <t>pmg_造纸厂_自动化</t>
  </si>
  <si>
    <t>pmg_造纸厂_所有制</t>
  </si>
  <si>
    <t>building_纺织厂</t>
  </si>
  <si>
    <t>pmg_纺织厂_基础生产</t>
  </si>
  <si>
    <t>pmg_纺织厂_高级生产</t>
  </si>
  <si>
    <t>pmg_纺织厂_自动化</t>
  </si>
  <si>
    <t>pmg_纺织厂_所有制</t>
  </si>
  <si>
    <t>building_家具厂</t>
  </si>
  <si>
    <t>pmg_家具厂_基础生产</t>
  </si>
  <si>
    <t>pmg_家具厂_高级生产</t>
  </si>
  <si>
    <t>pmg_家具厂_自动化</t>
  </si>
  <si>
    <t>pmg_家具厂_所有制</t>
  </si>
  <si>
    <t>building_玻璃厂</t>
  </si>
  <si>
    <t>pmg_玻璃厂_基础生产</t>
  </si>
  <si>
    <t>pmg_玻璃厂_高级生产</t>
  </si>
  <si>
    <t>pmg_玻璃厂_自动化</t>
  </si>
  <si>
    <t>pmg_玻璃厂_所有制</t>
  </si>
  <si>
    <t>building_化工厂</t>
  </si>
  <si>
    <t>pmg_化工厂_基础生产</t>
  </si>
  <si>
    <t>pmg_化工厂_高级生产</t>
  </si>
  <si>
    <t>pmg_化工厂_自动化</t>
  </si>
  <si>
    <t>pmg_化工厂_所有制</t>
  </si>
  <si>
    <t>building_工具作坊</t>
  </si>
  <si>
    <t>pmg_工具作坊_基础生产</t>
  </si>
  <si>
    <t>pmg_工具作坊_自动化</t>
  </si>
  <si>
    <t>pmg_工具作坊_所有制</t>
  </si>
  <si>
    <t>building_魔偶工厂</t>
  </si>
  <si>
    <t>pmg_魔偶工厂_基础生产</t>
  </si>
  <si>
    <t>pmg_魔偶工厂_自动化</t>
  </si>
  <si>
    <t>pmg_魔偶工厂_所有制</t>
  </si>
  <si>
    <t>building_科学武器厂</t>
  </si>
  <si>
    <t>pmg_科学武器厂_基础生产</t>
  </si>
  <si>
    <t>pmg_科学武器厂_高级生产</t>
  </si>
  <si>
    <t>pmg_科学武器厂_自动化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</si>
  <si>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</si>
  <si>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</si>
  <si>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</si>
  <si>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</si>
  <si>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pmg_魔导武器厂_自动化</t>
  </si>
  <si>
    <t>pmg_魔导武器厂_所有制</t>
  </si>
  <si>
    <t>building_合成材料工厂</t>
  </si>
  <si>
    <t>pmg_合成材料工厂_基础生产</t>
  </si>
  <si>
    <t>pmg_合成材料工厂_自动化</t>
  </si>
  <si>
    <t>pmg_合成材料工厂_所有制</t>
  </si>
  <si>
    <t>building_钢铁厂</t>
  </si>
  <si>
    <t>pmg_钢铁厂_基础生产</t>
  </si>
  <si>
    <t>pmg_钢铁厂_自动化</t>
  </si>
  <si>
    <t>pmg_钢铁厂_所有制</t>
  </si>
  <si>
    <t>building_炼金厂</t>
  </si>
  <si>
    <t>pmg_炼金厂_基础生产</t>
  </si>
  <si>
    <t>pmg_炼金厂_自动化</t>
  </si>
  <si>
    <t>pmg_炼金厂_所有制</t>
  </si>
  <si>
    <t>building_晶体萃取厂</t>
  </si>
  <si>
    <t>pmg_晶体萃取厂_基础生产</t>
  </si>
  <si>
    <t>pmg_晶体萃取厂_自动化</t>
  </si>
  <si>
    <t>pmg_晶体萃取厂_所有制</t>
  </si>
  <si>
    <t>building_科学动力厂</t>
  </si>
  <si>
    <t>pmg_科学动力厂_基础生产</t>
  </si>
  <si>
    <t>pmg_科学动力厂_自动化</t>
  </si>
  <si>
    <t>pmg_科学动力厂_所有制</t>
  </si>
  <si>
    <t>building_魔导动力厂</t>
  </si>
  <si>
    <t>pmg_魔导动力厂_基础生产</t>
  </si>
  <si>
    <t>pmg_魔导动力厂_自动化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</si>
  <si>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</si>
  <si>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</si>
  <si>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</si>
  <si>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</si>
  <si>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</si>
  <si>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</si>
  <si>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</si>
  <si>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</si>
  <si>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</si>
  <si>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pmg_科学军械厂_自动化</t>
  </si>
  <si>
    <t>pmg_科学军械厂_所有制</t>
  </si>
  <si>
    <t>building_道路</t>
  </si>
  <si>
    <t>pmg_道路_基础生产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</si>
  <si>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</si>
  <si>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</si>
  <si>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</si>
  <si>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</si>
  <si>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</si>
  <si>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</si>
  <si>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</si>
  <si>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</si>
  <si>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</si>
  <si>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</si>
  <si>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</si>
  <si>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</si>
  <si>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</si>
  <si>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</si>
  <si>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</si>
  <si>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</si>
  <si>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</si>
  <si>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</si>
  <si>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</si>
  <si>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</si>
  <si>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</si>
  <si>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</si>
  <si>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</si>
  <si>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</si>
  <si>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</si>
  <si>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</si>
  <si>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</si>
  <si>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pmg_煤矿_高级生产</t>
  </si>
  <si>
    <t>pmg_煤矿_自动化</t>
  </si>
  <si>
    <t>pmg_煤矿_所有制</t>
  </si>
  <si>
    <t>building_铁矿</t>
  </si>
  <si>
    <t>pmg_铁矿_基础生产</t>
  </si>
  <si>
    <t>pmg_铁矿_高级生产</t>
  </si>
  <si>
    <t>pmg_铁矿_自动化</t>
  </si>
  <si>
    <t>pmg_铁矿_所有制</t>
  </si>
  <si>
    <t>building_铅矿</t>
  </si>
  <si>
    <t>pmg_铅矿_基础生产</t>
  </si>
  <si>
    <t>pmg_铅矿_高级生产</t>
  </si>
  <si>
    <t>pmg_铅矿_自动化</t>
  </si>
  <si>
    <t>pmg_铅矿_所有制</t>
  </si>
  <si>
    <t>building_硫矿</t>
  </si>
  <si>
    <t>pmg_硫矿_基础生产</t>
  </si>
  <si>
    <t>pmg_硫矿_高级生产</t>
  </si>
  <si>
    <t>pmg_硫矿_自动化</t>
  </si>
  <si>
    <t>pmg_硫矿_所有制</t>
  </si>
  <si>
    <t>building_金矿</t>
  </si>
  <si>
    <t>pmg_金矿_基础生产</t>
  </si>
  <si>
    <t>pmg_金矿_高级生产</t>
  </si>
  <si>
    <t>pmg_金矿_自动化</t>
  </si>
  <si>
    <t>pmg_金矿_所有制</t>
  </si>
  <si>
    <t>building_油井</t>
  </si>
  <si>
    <t>pmg_油井_基础生产</t>
  </si>
  <si>
    <t>pmg_油井_高级生产</t>
  </si>
  <si>
    <t>pmg_油井_自动化</t>
  </si>
  <si>
    <t>pmg_油井_所有制</t>
  </si>
  <si>
    <t>building_棉花</t>
  </si>
  <si>
    <t>pmg_棉花_基础生产</t>
  </si>
  <si>
    <t>pmg_棉花_自动化</t>
  </si>
  <si>
    <t>pmg_棉花_所有制</t>
  </si>
  <si>
    <t>building_染料</t>
  </si>
  <si>
    <t>pmg_染料_基础生产</t>
  </si>
  <si>
    <t>pmg_染料_自动化</t>
  </si>
  <si>
    <t>pmg_染料_所有制</t>
  </si>
  <si>
    <t>building_鸦片</t>
  </si>
  <si>
    <t>pmg_鸦片_基础生产</t>
  </si>
  <si>
    <t>pmg_鸦片_自动化</t>
  </si>
  <si>
    <t>pmg_鸦片_所有制</t>
  </si>
  <si>
    <t>building_茶叶</t>
  </si>
  <si>
    <t>pmg_茶叶_基础生产</t>
  </si>
  <si>
    <t>pmg_茶叶_自动化</t>
  </si>
  <si>
    <t>pmg_茶叶_所有制</t>
  </si>
  <si>
    <t>building_烟草</t>
  </si>
  <si>
    <t>pmg_烟草_基础生产</t>
  </si>
  <si>
    <t>pmg_烟草_自动化</t>
  </si>
  <si>
    <t>pmg_烟草_所有制</t>
  </si>
  <si>
    <t>building_香蕉</t>
  </si>
  <si>
    <t>pmg_香蕉_基础生产</t>
  </si>
  <si>
    <t>pmg_香蕉_自动化</t>
  </si>
  <si>
    <t>pmg_香蕉_所有制</t>
  </si>
  <si>
    <t>building_糖类</t>
  </si>
  <si>
    <t>pmg_糖类_基础生产</t>
  </si>
  <si>
    <t>pmg_糖类_自动化</t>
  </si>
  <si>
    <t>pmg_糖类_所有制</t>
  </si>
  <si>
    <t>building_丝绸</t>
  </si>
  <si>
    <t>pmg_丝绸_基础生产</t>
  </si>
  <si>
    <t>pmg_丝绸_自动化</t>
  </si>
  <si>
    <t>pmg_丝绸_所有制</t>
  </si>
  <si>
    <t>building_伐木场</t>
  </si>
  <si>
    <t>pmg_伐木场_基础生产</t>
  </si>
  <si>
    <t>pmg_伐木场_自动化</t>
  </si>
  <si>
    <t>pmg_伐木场_所有制</t>
  </si>
  <si>
    <t>building_树胶</t>
  </si>
  <si>
    <t>pmg_树胶_基础生产</t>
  </si>
  <si>
    <t>pmg_树胶_自动化</t>
  </si>
  <si>
    <t>pmg_树胶_所有制</t>
  </si>
  <si>
    <t>building_黑麦</t>
  </si>
  <si>
    <t>pmg_黑麦_基础生产</t>
  </si>
  <si>
    <t>pmg_黑麦_自动化</t>
  </si>
  <si>
    <t>pmg_黑麦_所有制</t>
  </si>
  <si>
    <t>building_小麦</t>
  </si>
  <si>
    <t>pmg_小麦_基础生产</t>
  </si>
  <si>
    <t>pmg_小麦_自动化</t>
  </si>
  <si>
    <t>pmg_小麦_所有制</t>
  </si>
  <si>
    <t>building_大米</t>
  </si>
  <si>
    <t>pmg_大米_基础生产</t>
  </si>
  <si>
    <t>pmg_大米_自动化</t>
  </si>
  <si>
    <t>pmg_大米_所有制</t>
  </si>
  <si>
    <t>building_玉米</t>
  </si>
  <si>
    <t>pmg_玉米_基础生产</t>
  </si>
  <si>
    <t>pmg_玉米_自动化</t>
  </si>
  <si>
    <t>pmg_玉米_所有制</t>
  </si>
  <si>
    <t>building_小米</t>
  </si>
  <si>
    <t>pmg_小米_基础生产</t>
  </si>
  <si>
    <t>pmg_小米_自动化</t>
  </si>
  <si>
    <t>pmg_小米_所有制</t>
  </si>
  <si>
    <t>building_牧场</t>
  </si>
  <si>
    <t>pmg_牧场_基础生产</t>
  </si>
  <si>
    <t>pmg_牧场_自动化</t>
  </si>
  <si>
    <t>pmg_牧场_所有制</t>
  </si>
  <si>
    <t>building_渔船码头</t>
  </si>
  <si>
    <t>pmg_渔船码头_基础生产</t>
  </si>
  <si>
    <t>pmg_渔船码头_自动化</t>
  </si>
  <si>
    <t>pmg_渔船码头_所有制</t>
  </si>
  <si>
    <t>building_捕鲸站</t>
  </si>
  <si>
    <t>pmg_捕鲸站_基础生产</t>
  </si>
  <si>
    <t>pmg_捕鲸站_自动化</t>
  </si>
  <si>
    <t>pmg_捕鲸站_所有制</t>
  </si>
  <si>
    <t>消耗等级</t>
  </si>
  <si>
    <t>产出倍率
(辅助配置）</t>
  </si>
  <si>
    <t>产出等级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</si>
  <si>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</si>
  <si>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</si>
  <si>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</si>
  <si>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</si>
  <si>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</si>
  <si>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</si>
  <si>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</si>
  <si>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</si>
  <si>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</si>
  <si>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</si>
  <si>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</si>
  <si>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</si>
  <si>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</si>
  <si>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</si>
  <si>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</si>
  <si>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</si>
  <si>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</si>
  <si>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</si>
  <si>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</si>
  <si>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</si>
  <si>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</si>
  <si>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</si>
  <si>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</si>
  <si>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</si>
  <si>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</si>
  <si>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</si>
  <si>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</si>
  <si>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</si>
  <si>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</si>
  <si>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</si>
  <si>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</si>
  <si>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自动化1</t>
  </si>
  <si>
    <t>（交通运输和所有制比较特殊，另外设计）</t>
  </si>
  <si>
    <t>技术密集2</t>
  </si>
  <si>
    <t>自动化2</t>
  </si>
  <si>
    <t>技术密集3</t>
  </si>
  <si>
    <t>自动化3</t>
  </si>
  <si>
    <t>技术密集4</t>
  </si>
  <si>
    <t>自动化4</t>
  </si>
  <si>
    <t>技术密集5</t>
  </si>
  <si>
    <t>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</si>
  <si>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</si>
  <si>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</si>
  <si>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</si>
  <si>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</si>
  <si>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</si>
  <si>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</si>
  <si>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</si>
  <si>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</si>
  <si>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</si>
  <si>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</si>
  <si>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</si>
  <si>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</si>
  <si>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</si>
  <si>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</si>
  <si>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</si>
  <si>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</si>
  <si>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</si>
  <si>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</si>
  <si>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</si>
  <si>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无2</t>
  </si>
  <si>
    <t>无3</t>
  </si>
  <si>
    <t>无4</t>
  </si>
  <si>
    <t>无5</t>
  </si>
  <si>
    <t>无6</t>
  </si>
  <si>
    <t>无7</t>
  </si>
  <si>
    <t>无8</t>
  </si>
  <si>
    <t>演算</t>
  </si>
  <si>
    <t>生产方式</t>
  </si>
  <si>
    <t>生产方式
类别</t>
  </si>
  <si>
    <t>生产方式组
类别</t>
  </si>
  <si>
    <t>消耗1</t>
  </si>
  <si>
    <t>权重</t>
  </si>
  <si>
    <t>消耗2</t>
  </si>
  <si>
    <t>消耗3</t>
  </si>
  <si>
    <t>消耗
估算</t>
  </si>
  <si>
    <t>雇佣1</t>
  </si>
  <si>
    <t>雇佣2</t>
  </si>
  <si>
    <t>雇佣3</t>
  </si>
  <si>
    <t>雇佣
估算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</si>
  <si>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</si>
  <si>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</si>
  <si>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</si>
  <si>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</si>
  <si>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</si>
  <si>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</si>
  <si>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</si>
  <si>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</si>
  <si>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</si>
  <si>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消耗
总权重</t>
  </si>
  <si>
    <t>雇佣
总权重</t>
  </si>
  <si>
    <t>产出
总权重</t>
  </si>
  <si>
    <t>数量</t>
  </si>
  <si>
    <t>消耗总等级</t>
  </si>
  <si>
    <t>雇佣总等级</t>
  </si>
  <si>
    <t>产出总等级</t>
  </si>
  <si>
    <t>利润等级</t>
  </si>
  <si>
    <t>消耗</t>
  </si>
  <si>
    <t>雇佣</t>
  </si>
  <si>
    <t>产出</t>
  </si>
  <si>
    <t>利润</t>
  </si>
  <si>
    <t>基础生产方式</t>
  </si>
  <si>
    <t>简单农业</t>
  </si>
  <si>
    <t>土壤改良农业</t>
  </si>
  <si>
    <t>化肥</t>
  </si>
  <si>
    <t>次级生产方式</t>
  </si>
  <si>
    <t>保持单一作物</t>
  </si>
  <si>
    <t>柑橘果园</t>
  </si>
  <si>
    <t>葡萄园</t>
  </si>
  <si>
    <t>收获方式</t>
  </si>
  <si>
    <t>牛拉犁</t>
  </si>
  <si>
    <t>收割工具</t>
  </si>
  <si>
    <t>蒸汽动力脱粒机</t>
  </si>
  <si>
    <t>拖拉机</t>
  </si>
  <si>
    <t>技工</t>
  </si>
  <si>
    <t>压燃拖拉机</t>
  </si>
  <si>
    <t>石油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</si>
</sst>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9">
    <font>
      <sz val="11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2"/>
      <color theme="1"/>
      <name val="宋体"/>
      <charset val="134"/>
      <scheme val="major"/>
    </font>
    <font>
      <sz val="12"/>
      <color theme="0"/>
      <name val="宋体"/>
      <charset val="134"/>
      <scheme val="major"/>
    </font>
    <font>
      <sz val="14"/>
      <color rgb="FFFF0000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9C000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2"/>
      <color rgb="FFFF0000"/>
      <name val="宋体"/>
      <charset val="134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4" tint="-0.2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5" tint="-0.2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5"/>
        <bgColor indexed="64"/>
      </patternFill>
    </fill>
    <fill>
      <patternFill patternType="solid">
        <fgColor theme="3" tint="0.4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3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2" fillId="29" borderId="2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36" borderId="29" applyNumberFormat="0" applyFont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32" applyNumberFormat="0" applyFill="0" applyAlignment="0" applyProtection="0">
      <alignment vertical="center"/>
    </xf>
    <xf numFmtId="0" fontId="23" fillId="0" borderId="32" applyNumberFormat="0" applyFill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9" fillId="0" borderId="27" applyNumberFormat="0" applyFill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8" fillId="40" borderId="31" applyNumberFormat="0" applyAlignment="0" applyProtection="0">
      <alignment vertical="center"/>
    </xf>
    <xf numFmtId="0" fontId="24" fillId="40" borderId="28" applyNumberFormat="0" applyAlignment="0" applyProtection="0">
      <alignment vertical="center"/>
    </xf>
    <xf numFmtId="0" fontId="25" fillId="44" borderId="33" applyNumberFormat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27" fillId="0" borderId="34" applyNumberFormat="0" applyFill="0" applyAlignment="0" applyProtection="0">
      <alignment vertical="center"/>
    </xf>
    <xf numFmtId="0" fontId="17" fillId="0" borderId="30" applyNumberFormat="0" applyFill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0" fillId="4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47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1" fillId="4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50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0" fillId="51" borderId="0" applyNumberFormat="0" applyBorder="0" applyAlignment="0" applyProtection="0">
      <alignment vertical="center"/>
    </xf>
    <xf numFmtId="0" fontId="11" fillId="52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0" fillId="48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</cellStyleXfs>
  <cellXfs count="10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10" borderId="0" xfId="0" applyFill="1" applyAlignment="1">
      <alignment horizontal="center" vertical="center"/>
    </xf>
    <xf numFmtId="0" fontId="1" fillId="8" borderId="5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9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 wrapText="1"/>
    </xf>
    <xf numFmtId="0" fontId="1" fillId="11" borderId="2" xfId="0" applyFont="1" applyFill="1" applyBorder="1" applyAlignment="1">
      <alignment horizontal="right" vertical="center" wrapText="1"/>
    </xf>
    <xf numFmtId="0" fontId="1" fillId="11" borderId="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 vertical="center" wrapText="1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9" borderId="1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2" fillId="1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1181100</xdr:colOff>
          <xdr:row>0</xdr:row>
          <xdr:rowOff>485775</xdr:rowOff>
        </xdr:to>
        <xdr:sp>
          <xdr:nvSpPr>
            <xdr:cNvPr id="1025" name="BuildingTransform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575" y="28575"/>
              <a:ext cx="2266950" cy="4572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390525</xdr:colOff>
          <xdr:row>2</xdr:row>
          <xdr:rowOff>196850</xdr:rowOff>
        </xdr:to>
        <xdr:sp>
          <xdr:nvSpPr>
            <xdr:cNvPr id="2050" name="pmTransformer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38100" y="38100"/>
              <a:ext cx="3427095" cy="6667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96"/>
  <sheetViews>
    <sheetView showGridLines="0" zoomScale="90" zoomScaleNormal="90" topLeftCell="A16" workbookViewId="0">
      <selection activeCell="L44" sqref="L44"/>
    </sheetView>
  </sheetViews>
  <sheetFormatPr defaultColWidth="9" defaultRowHeight="20" customHeight="1"/>
  <cols>
    <col min="1" max="1" width="18" style="56" customWidth="1"/>
    <col min="2" max="2" width="21.6666666666667" style="56" customWidth="1"/>
    <col min="3" max="3" width="15.55" style="55" customWidth="1"/>
    <col min="4" max="4" width="21.6666666666667" style="55" customWidth="1"/>
    <col min="5" max="5" width="19.4333333333333" style="55" customWidth="1"/>
    <col min="6" max="6" width="18.6083333333333" style="55" customWidth="1"/>
    <col min="7" max="7" width="9" style="55"/>
    <col min="8" max="8" width="19.375" style="55" customWidth="1"/>
    <col min="9" max="9" width="18.25" style="55" customWidth="1"/>
    <col min="10" max="10" width="7.375" style="55" customWidth="1"/>
    <col min="11" max="12" width="11.5" style="55" customWidth="1"/>
    <col min="13" max="13" width="10.375" style="55" customWidth="1"/>
    <col min="14" max="14" width="14.875" style="55" customWidth="1"/>
    <col min="15" max="15" width="5.375" style="55" customWidth="1"/>
    <col min="16" max="16" width="8.875" style="55" customWidth="1"/>
    <col min="17" max="16384" width="9" style="55"/>
  </cols>
  <sheetData>
    <row r="1" customHeight="1" spans="1:1">
      <c r="A1" s="66" t="s">
        <v>0</v>
      </c>
    </row>
    <row r="2" customHeight="1" spans="1:1">
      <c r="A2" s="66" t="s">
        <v>1</v>
      </c>
    </row>
    <row r="3" customHeight="1" spans="1:1">
      <c r="A3" s="66" t="s">
        <v>2</v>
      </c>
    </row>
    <row r="4" customHeight="1" spans="1:5">
      <c r="A4" s="58" t="s">
        <v>3</v>
      </c>
      <c r="B4" s="58" t="s">
        <v>4</v>
      </c>
      <c r="C4" s="58" t="s">
        <v>5</v>
      </c>
      <c r="D4" s="58" t="s">
        <v>6</v>
      </c>
      <c r="E4" s="58" t="s">
        <v>7</v>
      </c>
    </row>
    <row r="5" customHeight="1" spans="1:5">
      <c r="A5" s="56" t="s">
        <v>8</v>
      </c>
      <c r="B5" s="96" t="s">
        <v>9</v>
      </c>
      <c r="C5" s="56" t="s">
        <v>10</v>
      </c>
      <c r="D5" s="56" t="s">
        <v>11</v>
      </c>
      <c r="E5" s="56" t="s">
        <v>12</v>
      </c>
    </row>
    <row r="6" customHeight="1" spans="1:5">
      <c r="A6" s="97" t="s">
        <v>13</v>
      </c>
      <c r="B6" s="98"/>
      <c r="C6" s="98"/>
      <c r="D6" s="98"/>
      <c r="E6" s="98"/>
    </row>
    <row r="7" customHeight="1" spans="1:1">
      <c r="A7" s="66" t="s">
        <v>14</v>
      </c>
    </row>
    <row r="8" customHeight="1" spans="1:1">
      <c r="A8" s="66" t="s">
        <v>15</v>
      </c>
    </row>
    <row r="9" customHeight="1" spans="1:1">
      <c r="A9" s="66" t="s">
        <v>16</v>
      </c>
    </row>
    <row r="10" customHeight="1" spans="1:1">
      <c r="A10" s="66" t="s">
        <v>17</v>
      </c>
    </row>
    <row r="11" customHeight="1" spans="1:1">
      <c r="A11" s="66" t="s">
        <v>18</v>
      </c>
    </row>
    <row r="12" customHeight="1" spans="1:1">
      <c r="A12" s="66" t="s">
        <v>19</v>
      </c>
    </row>
    <row r="13" customHeight="1" spans="1:1">
      <c r="A13" s="66" t="s">
        <v>20</v>
      </c>
    </row>
    <row r="14" customHeight="1" spans="1:1">
      <c r="A14" s="66" t="s">
        <v>21</v>
      </c>
    </row>
    <row r="15" customHeight="1" spans="1:1">
      <c r="A15" s="66" t="s">
        <v>22</v>
      </c>
    </row>
    <row r="16" customHeight="1" spans="1:1">
      <c r="A16" s="66" t="s">
        <v>23</v>
      </c>
    </row>
    <row r="18" customHeight="1" spans="1:1">
      <c r="A18" s="66" t="s">
        <v>24</v>
      </c>
    </row>
    <row r="19" customHeight="1" spans="1:1">
      <c r="A19" s="66" t="s">
        <v>25</v>
      </c>
    </row>
    <row r="20" customHeight="1" spans="1:1">
      <c r="A20" s="66" t="s">
        <v>26</v>
      </c>
    </row>
    <row r="21" customHeight="1" spans="1:1">
      <c r="A21" s="66" t="s">
        <v>27</v>
      </c>
    </row>
    <row r="22" customHeight="1" spans="1:1">
      <c r="A22" s="66" t="s">
        <v>28</v>
      </c>
    </row>
    <row r="23" customHeight="1" spans="1:1">
      <c r="A23" s="66"/>
    </row>
    <row r="24" customHeight="1" spans="1:1">
      <c r="A24" s="66"/>
    </row>
    <row r="25" customHeight="1" spans="1:1">
      <c r="A25" s="66"/>
    </row>
    <row r="26" customHeight="1" spans="1:16">
      <c r="A26" s="58" t="s">
        <v>3</v>
      </c>
      <c r="B26" s="58" t="s">
        <v>4</v>
      </c>
      <c r="C26" s="58" t="s">
        <v>5</v>
      </c>
      <c r="D26" s="58" t="s">
        <v>6</v>
      </c>
      <c r="E26" s="58" t="s">
        <v>7</v>
      </c>
      <c r="H26" s="99" t="s">
        <v>29</v>
      </c>
      <c r="I26" s="99" t="s">
        <v>30</v>
      </c>
      <c r="J26" s="99" t="s">
        <v>31</v>
      </c>
      <c r="K26" s="99" t="s">
        <v>32</v>
      </c>
      <c r="L26" s="99" t="s">
        <v>33</v>
      </c>
      <c r="M26" s="99" t="s">
        <v>34</v>
      </c>
      <c r="N26" s="99" t="s">
        <v>35</v>
      </c>
      <c r="O26" s="99" t="s">
        <v>36</v>
      </c>
      <c r="P26" s="99" t="s">
        <v>37</v>
      </c>
    </row>
    <row r="27" customHeight="1" spans="1:16">
      <c r="A27" s="56" t="s">
        <v>8</v>
      </c>
      <c r="C27" s="55">
        <v>20</v>
      </c>
      <c r="E27" s="56" t="s">
        <v>12</v>
      </c>
      <c r="H27" s="99" t="s">
        <v>38</v>
      </c>
      <c r="I27" s="99"/>
      <c r="J27" s="99"/>
      <c r="K27" s="99"/>
      <c r="L27" s="99"/>
      <c r="M27" s="99"/>
      <c r="N27" s="99" t="s">
        <v>39</v>
      </c>
      <c r="O27" s="99" t="s">
        <v>40</v>
      </c>
      <c r="P27" s="99"/>
    </row>
    <row r="28" customHeight="1" spans="1:16">
      <c r="A28" s="56" t="s">
        <v>41</v>
      </c>
      <c r="C28" s="55">
        <v>40</v>
      </c>
      <c r="E28" s="56" t="s">
        <v>12</v>
      </c>
      <c r="H28" s="100" t="s">
        <v>42</v>
      </c>
      <c r="I28" s="84" t="s">
        <v>43</v>
      </c>
      <c r="J28">
        <v>1</v>
      </c>
      <c r="K28">
        <v>4</v>
      </c>
      <c r="L28">
        <v>0</v>
      </c>
      <c r="M28">
        <v>80</v>
      </c>
      <c r="N28">
        <v>1</v>
      </c>
      <c r="O28">
        <v>20</v>
      </c>
      <c r="P28" s="100">
        <v>20</v>
      </c>
    </row>
    <row r="29" customHeight="1" spans="1:16">
      <c r="A29" s="56" t="s">
        <v>44</v>
      </c>
      <c r="C29" s="55">
        <v>60</v>
      </c>
      <c r="E29" s="56" t="s">
        <v>12</v>
      </c>
      <c r="H29" s="101"/>
      <c r="I29" s="82" t="s">
        <v>45</v>
      </c>
      <c r="J29">
        <v>1</v>
      </c>
      <c r="K29">
        <v>4</v>
      </c>
      <c r="L29">
        <v>0</v>
      </c>
      <c r="M29">
        <v>80</v>
      </c>
      <c r="N29">
        <v>1.5</v>
      </c>
      <c r="O29">
        <v>20</v>
      </c>
      <c r="P29" s="101"/>
    </row>
    <row r="30" customHeight="1" spans="5:16">
      <c r="E30" s="56"/>
      <c r="H30" s="100" t="s">
        <v>46</v>
      </c>
      <c r="I30" s="84" t="s">
        <v>47</v>
      </c>
      <c r="J30">
        <v>1</v>
      </c>
      <c r="K30">
        <v>4</v>
      </c>
      <c r="L30">
        <v>0</v>
      </c>
      <c r="M30">
        <v>80</v>
      </c>
      <c r="N30">
        <v>1</v>
      </c>
      <c r="O30">
        <v>20</v>
      </c>
      <c r="P30" s="100">
        <v>20</v>
      </c>
    </row>
    <row r="31" customHeight="1" spans="1:16">
      <c r="A31" s="56" t="s">
        <v>48</v>
      </c>
      <c r="C31" s="55">
        <v>20</v>
      </c>
      <c r="E31" s="56" t="s">
        <v>12</v>
      </c>
      <c r="H31" s="101"/>
      <c r="I31" s="82" t="s">
        <v>49</v>
      </c>
      <c r="J31">
        <v>1</v>
      </c>
      <c r="K31">
        <v>4</v>
      </c>
      <c r="L31">
        <v>0</v>
      </c>
      <c r="M31">
        <v>80</v>
      </c>
      <c r="N31">
        <v>1.5</v>
      </c>
      <c r="O31">
        <v>20</v>
      </c>
      <c r="P31" s="101"/>
    </row>
    <row r="32" customHeight="1" spans="1:16">
      <c r="A32" s="56" t="s">
        <v>50</v>
      </c>
      <c r="C32" s="55">
        <v>40</v>
      </c>
      <c r="H32" s="100" t="s">
        <v>51</v>
      </c>
      <c r="I32" s="84" t="s">
        <v>52</v>
      </c>
      <c r="J32">
        <v>1</v>
      </c>
      <c r="K32">
        <v>4</v>
      </c>
      <c r="L32">
        <v>0</v>
      </c>
      <c r="M32">
        <v>80</v>
      </c>
      <c r="N32">
        <v>1</v>
      </c>
      <c r="O32">
        <v>20</v>
      </c>
      <c r="P32" s="100">
        <v>20</v>
      </c>
    </row>
    <row r="33" customHeight="1" spans="1:16">
      <c r="A33" s="56" t="s">
        <v>53</v>
      </c>
      <c r="C33" s="55">
        <v>60</v>
      </c>
      <c r="H33" s="102"/>
      <c r="I33" s="82" t="s">
        <v>54</v>
      </c>
      <c r="J33">
        <v>1</v>
      </c>
      <c r="K33">
        <v>4</v>
      </c>
      <c r="L33">
        <v>0</v>
      </c>
      <c r="M33">
        <v>80</v>
      </c>
      <c r="N33">
        <v>1</v>
      </c>
      <c r="O33">
        <v>20</v>
      </c>
      <c r="P33" s="102"/>
    </row>
    <row r="34" customHeight="1" spans="8:16">
      <c r="H34" s="102"/>
      <c r="I34" s="84" t="s">
        <v>55</v>
      </c>
      <c r="J34">
        <v>0.5</v>
      </c>
      <c r="K34">
        <v>2</v>
      </c>
      <c r="L34">
        <v>0</v>
      </c>
      <c r="M34">
        <v>80</v>
      </c>
      <c r="N34">
        <v>1.5</v>
      </c>
      <c r="O34">
        <v>20</v>
      </c>
      <c r="P34" s="102"/>
    </row>
    <row r="35" customHeight="1" spans="1:16">
      <c r="A35" s="56" t="s">
        <v>56</v>
      </c>
      <c r="C35" s="55">
        <v>40</v>
      </c>
      <c r="H35" s="102"/>
      <c r="I35" s="82" t="s">
        <v>57</v>
      </c>
      <c r="J35">
        <v>0.5</v>
      </c>
      <c r="K35">
        <v>2</v>
      </c>
      <c r="L35">
        <v>0</v>
      </c>
      <c r="M35">
        <v>80</v>
      </c>
      <c r="N35">
        <v>1.5</v>
      </c>
      <c r="O35">
        <v>20</v>
      </c>
      <c r="P35" s="102"/>
    </row>
    <row r="36" customHeight="1" spans="1:16">
      <c r="A36" s="56" t="s">
        <v>58</v>
      </c>
      <c r="C36" s="55">
        <v>60</v>
      </c>
      <c r="H36" s="101"/>
      <c r="I36" s="84" t="s">
        <v>59</v>
      </c>
      <c r="J36">
        <v>0.5</v>
      </c>
      <c r="K36">
        <v>2</v>
      </c>
      <c r="L36">
        <v>0</v>
      </c>
      <c r="M36">
        <v>80</v>
      </c>
      <c r="N36">
        <v>1.5</v>
      </c>
      <c r="O36">
        <v>20</v>
      </c>
      <c r="P36" s="101"/>
    </row>
    <row r="37" customHeight="1" spans="1:16">
      <c r="A37" s="56" t="s">
        <v>60</v>
      </c>
      <c r="C37" s="55">
        <v>80</v>
      </c>
      <c r="H37" s="100" t="s">
        <v>61</v>
      </c>
      <c r="I37" s="82" t="s">
        <v>47</v>
      </c>
      <c r="J37">
        <v>1</v>
      </c>
      <c r="K37">
        <v>3</v>
      </c>
      <c r="L37">
        <v>0</v>
      </c>
      <c r="M37">
        <v>60</v>
      </c>
      <c r="N37">
        <v>1</v>
      </c>
      <c r="O37">
        <v>20</v>
      </c>
      <c r="P37" s="100">
        <v>20</v>
      </c>
    </row>
    <row r="38" customHeight="1" spans="8:16">
      <c r="H38" s="102"/>
      <c r="I38" s="84" t="s">
        <v>43</v>
      </c>
      <c r="J38">
        <v>1</v>
      </c>
      <c r="K38">
        <v>3</v>
      </c>
      <c r="L38">
        <v>0</v>
      </c>
      <c r="M38">
        <v>60</v>
      </c>
      <c r="N38">
        <v>1</v>
      </c>
      <c r="O38">
        <v>20</v>
      </c>
      <c r="P38" s="102"/>
    </row>
    <row r="39" customHeight="1" spans="1:16">
      <c r="A39" s="56" t="s">
        <v>62</v>
      </c>
      <c r="C39" s="55">
        <v>30</v>
      </c>
      <c r="H39" s="102"/>
      <c r="I39" s="82" t="s">
        <v>63</v>
      </c>
      <c r="J39">
        <v>1</v>
      </c>
      <c r="K39">
        <v>3</v>
      </c>
      <c r="L39">
        <v>0</v>
      </c>
      <c r="M39">
        <v>60</v>
      </c>
      <c r="N39">
        <v>1.5</v>
      </c>
      <c r="O39">
        <v>20</v>
      </c>
      <c r="P39" s="102"/>
    </row>
    <row r="40" customHeight="1" spans="1:16">
      <c r="A40" s="56" t="s">
        <v>64</v>
      </c>
      <c r="C40" s="55">
        <v>50</v>
      </c>
      <c r="H40" s="102"/>
      <c r="I40" s="84" t="s">
        <v>65</v>
      </c>
      <c r="J40">
        <v>1</v>
      </c>
      <c r="K40">
        <v>3</v>
      </c>
      <c r="L40">
        <v>0</v>
      </c>
      <c r="M40">
        <v>60</v>
      </c>
      <c r="N40">
        <v>2</v>
      </c>
      <c r="O40">
        <v>20</v>
      </c>
      <c r="P40" s="102"/>
    </row>
    <row r="41" customHeight="1" spans="1:16">
      <c r="A41" s="56" t="s">
        <v>66</v>
      </c>
      <c r="C41" s="55">
        <v>70</v>
      </c>
      <c r="H41" s="101"/>
      <c r="I41" s="82" t="s">
        <v>67</v>
      </c>
      <c r="J41">
        <v>2</v>
      </c>
      <c r="K41">
        <v>10</v>
      </c>
      <c r="L41">
        <v>0</v>
      </c>
      <c r="M41">
        <v>100</v>
      </c>
      <c r="N41">
        <v>1.5</v>
      </c>
      <c r="O41">
        <v>20</v>
      </c>
      <c r="P41" s="101"/>
    </row>
    <row r="42" customHeight="1" spans="8:16">
      <c r="H42" s="100" t="s">
        <v>68</v>
      </c>
      <c r="I42" s="84" t="s">
        <v>49</v>
      </c>
      <c r="J42">
        <v>1</v>
      </c>
      <c r="K42">
        <v>4</v>
      </c>
      <c r="L42">
        <v>0.25</v>
      </c>
      <c r="M42">
        <v>80</v>
      </c>
      <c r="N42">
        <v>1</v>
      </c>
      <c r="O42">
        <v>30</v>
      </c>
      <c r="P42" s="100">
        <v>30</v>
      </c>
    </row>
    <row r="43" customHeight="1" spans="1:16">
      <c r="A43" s="56" t="s">
        <v>69</v>
      </c>
      <c r="C43" s="55">
        <v>40</v>
      </c>
      <c r="H43" s="101"/>
      <c r="I43" s="82" t="s">
        <v>70</v>
      </c>
      <c r="J43">
        <v>1</v>
      </c>
      <c r="K43">
        <v>2</v>
      </c>
      <c r="L43">
        <v>0</v>
      </c>
      <c r="M43">
        <v>40</v>
      </c>
      <c r="N43">
        <v>1.33</v>
      </c>
      <c r="O43">
        <v>30</v>
      </c>
      <c r="P43" s="101"/>
    </row>
    <row r="44" customHeight="1" spans="1:16">
      <c r="A44" s="56" t="s">
        <v>71</v>
      </c>
      <c r="C44" s="55">
        <v>60</v>
      </c>
      <c r="H44" s="78" t="s">
        <v>72</v>
      </c>
      <c r="I44" s="84" t="s">
        <v>45</v>
      </c>
      <c r="J44">
        <v>1</v>
      </c>
      <c r="K44"/>
      <c r="L44"/>
      <c r="M44"/>
      <c r="N44">
        <v>1</v>
      </c>
      <c r="O44">
        <v>30</v>
      </c>
      <c r="P44" s="78">
        <v>30</v>
      </c>
    </row>
    <row r="45" customHeight="1" spans="1:16">
      <c r="A45" s="56" t="s">
        <v>73</v>
      </c>
      <c r="C45" s="55">
        <v>80</v>
      </c>
      <c r="H45" s="78" t="s">
        <v>74</v>
      </c>
      <c r="I45" s="82" t="s">
        <v>74</v>
      </c>
      <c r="J45">
        <v>1</v>
      </c>
      <c r="K45"/>
      <c r="L45"/>
      <c r="M45"/>
      <c r="N45">
        <v>1</v>
      </c>
      <c r="O45">
        <v>30</v>
      </c>
      <c r="P45" s="78">
        <v>30</v>
      </c>
    </row>
    <row r="46" customHeight="1" spans="8:16">
      <c r="H46" s="100" t="s">
        <v>75</v>
      </c>
      <c r="I46" s="84" t="s">
        <v>76</v>
      </c>
      <c r="J46">
        <v>1</v>
      </c>
      <c r="K46">
        <v>3</v>
      </c>
      <c r="L46">
        <v>0</v>
      </c>
      <c r="M46">
        <v>60</v>
      </c>
      <c r="N46">
        <v>1</v>
      </c>
      <c r="O46">
        <v>30</v>
      </c>
      <c r="P46" s="100">
        <v>30</v>
      </c>
    </row>
    <row r="47" customHeight="1" spans="1:16">
      <c r="A47" s="56" t="s">
        <v>77</v>
      </c>
      <c r="C47" s="55">
        <v>60</v>
      </c>
      <c r="H47" s="102"/>
      <c r="I47" s="82" t="s">
        <v>78</v>
      </c>
      <c r="J47">
        <v>1</v>
      </c>
      <c r="K47">
        <v>3</v>
      </c>
      <c r="L47">
        <v>0</v>
      </c>
      <c r="M47">
        <v>60</v>
      </c>
      <c r="N47">
        <v>1.33</v>
      </c>
      <c r="O47">
        <v>30</v>
      </c>
      <c r="P47" s="102"/>
    </row>
    <row r="48" customHeight="1" spans="1:16">
      <c r="A48" s="56" t="s">
        <v>79</v>
      </c>
      <c r="C48" s="55">
        <v>80</v>
      </c>
      <c r="H48" s="101"/>
      <c r="I48" s="84" t="s">
        <v>80</v>
      </c>
      <c r="J48">
        <v>1</v>
      </c>
      <c r="K48">
        <v>3</v>
      </c>
      <c r="L48">
        <v>0</v>
      </c>
      <c r="M48">
        <v>60</v>
      </c>
      <c r="N48">
        <v>1.66</v>
      </c>
      <c r="O48">
        <v>30</v>
      </c>
      <c r="P48" s="101"/>
    </row>
    <row r="49" customHeight="1" spans="1:16">
      <c r="A49" s="56" t="s">
        <v>81</v>
      </c>
      <c r="C49" s="55">
        <v>100</v>
      </c>
      <c r="H49" s="100" t="s">
        <v>82</v>
      </c>
      <c r="I49" s="82" t="s">
        <v>83</v>
      </c>
      <c r="J49">
        <v>1</v>
      </c>
      <c r="K49">
        <v>3</v>
      </c>
      <c r="L49">
        <v>0</v>
      </c>
      <c r="M49">
        <v>60</v>
      </c>
      <c r="N49">
        <v>1</v>
      </c>
      <c r="O49">
        <v>50</v>
      </c>
      <c r="P49" s="100">
        <v>50</v>
      </c>
    </row>
    <row r="50" customHeight="1" spans="1:16">
      <c r="A50" s="55"/>
      <c r="B50" s="55"/>
      <c r="H50" s="102"/>
      <c r="I50" s="84" t="s">
        <v>84</v>
      </c>
      <c r="J50">
        <v>1</v>
      </c>
      <c r="K50">
        <v>3</v>
      </c>
      <c r="L50">
        <v>0</v>
      </c>
      <c r="M50">
        <v>60</v>
      </c>
      <c r="N50">
        <v>1</v>
      </c>
      <c r="O50">
        <v>50</v>
      </c>
      <c r="P50" s="102"/>
    </row>
    <row r="51" customHeight="1" spans="1:16">
      <c r="A51" s="56" t="s">
        <v>85</v>
      </c>
      <c r="C51" s="55">
        <v>30</v>
      </c>
      <c r="H51" s="101"/>
      <c r="I51" s="82" t="s">
        <v>86</v>
      </c>
      <c r="J51">
        <v>1</v>
      </c>
      <c r="K51">
        <v>3</v>
      </c>
      <c r="L51">
        <v>0</v>
      </c>
      <c r="M51">
        <v>60</v>
      </c>
      <c r="N51">
        <v>1</v>
      </c>
      <c r="O51">
        <v>50</v>
      </c>
      <c r="P51" s="101"/>
    </row>
    <row r="52" customHeight="1" spans="1:16">
      <c r="A52" s="55"/>
      <c r="B52" s="55"/>
      <c r="H52" s="100" t="s">
        <v>87</v>
      </c>
      <c r="I52" s="84" t="s">
        <v>74</v>
      </c>
      <c r="J52">
        <v>0.5</v>
      </c>
      <c r="K52">
        <v>2</v>
      </c>
      <c r="L52">
        <v>0</v>
      </c>
      <c r="M52">
        <v>80</v>
      </c>
      <c r="N52">
        <v>1</v>
      </c>
      <c r="O52">
        <v>30</v>
      </c>
      <c r="P52" s="100">
        <v>30</v>
      </c>
    </row>
    <row r="53" customHeight="1" spans="1:16">
      <c r="A53" s="55"/>
      <c r="B53" s="55"/>
      <c r="H53" s="102"/>
      <c r="I53" s="82" t="s">
        <v>88</v>
      </c>
      <c r="J53">
        <v>1</v>
      </c>
      <c r="K53">
        <v>3</v>
      </c>
      <c r="L53">
        <v>0</v>
      </c>
      <c r="M53">
        <v>60</v>
      </c>
      <c r="N53">
        <v>1</v>
      </c>
      <c r="O53">
        <v>30</v>
      </c>
      <c r="P53" s="102"/>
    </row>
    <row r="54" customHeight="1" spans="1:16">
      <c r="A54" s="55"/>
      <c r="B54" s="55"/>
      <c r="H54" s="101"/>
      <c r="I54" s="84" t="s">
        <v>89</v>
      </c>
      <c r="J54">
        <v>1</v>
      </c>
      <c r="K54">
        <v>3</v>
      </c>
      <c r="L54">
        <v>0</v>
      </c>
      <c r="M54">
        <v>60</v>
      </c>
      <c r="N54">
        <v>2.33</v>
      </c>
      <c r="O54">
        <v>30</v>
      </c>
      <c r="P54" s="101"/>
    </row>
    <row r="55" customHeight="1" spans="1:16">
      <c r="A55" s="55"/>
      <c r="B55" s="55"/>
      <c r="H55" s="100" t="s">
        <v>90</v>
      </c>
      <c r="I55" s="82" t="s">
        <v>74</v>
      </c>
      <c r="J55">
        <v>0.5</v>
      </c>
      <c r="K55">
        <v>2</v>
      </c>
      <c r="L55">
        <v>0</v>
      </c>
      <c r="M55">
        <v>80</v>
      </c>
      <c r="N55">
        <v>1</v>
      </c>
      <c r="O55">
        <v>30</v>
      </c>
      <c r="P55" s="100">
        <v>30</v>
      </c>
    </row>
    <row r="56" customHeight="1" spans="1:16">
      <c r="A56" s="55"/>
      <c r="B56" s="55"/>
      <c r="H56" s="102"/>
      <c r="I56" s="84" t="s">
        <v>88</v>
      </c>
      <c r="J56">
        <v>1</v>
      </c>
      <c r="K56">
        <v>3</v>
      </c>
      <c r="L56">
        <v>0</v>
      </c>
      <c r="M56">
        <v>60</v>
      </c>
      <c r="N56">
        <v>1</v>
      </c>
      <c r="O56">
        <v>30</v>
      </c>
      <c r="P56" s="102"/>
    </row>
    <row r="57" customHeight="1" spans="1:16">
      <c r="A57" s="55"/>
      <c r="B57" s="55"/>
      <c r="H57" s="101"/>
      <c r="I57" s="82" t="s">
        <v>91</v>
      </c>
      <c r="J57">
        <v>1</v>
      </c>
      <c r="K57">
        <v>3</v>
      </c>
      <c r="L57">
        <v>0</v>
      </c>
      <c r="M57">
        <v>60</v>
      </c>
      <c r="N57">
        <v>2.33</v>
      </c>
      <c r="O57">
        <v>30</v>
      </c>
      <c r="P57" s="101"/>
    </row>
    <row r="58" customHeight="1" spans="1:16">
      <c r="A58" s="55"/>
      <c r="B58" s="55"/>
      <c r="H58" s="100" t="s">
        <v>92</v>
      </c>
      <c r="I58" s="84" t="s">
        <v>55</v>
      </c>
      <c r="J58">
        <v>1</v>
      </c>
      <c r="K58">
        <v>2</v>
      </c>
      <c r="L58">
        <v>0</v>
      </c>
      <c r="M58">
        <v>40</v>
      </c>
      <c r="N58">
        <v>1</v>
      </c>
      <c r="O58">
        <v>30</v>
      </c>
      <c r="P58" s="100">
        <v>30</v>
      </c>
    </row>
    <row r="59" customHeight="1" spans="1:16">
      <c r="A59" s="55"/>
      <c r="B59" s="55"/>
      <c r="H59" s="102"/>
      <c r="I59" s="82" t="s">
        <v>57</v>
      </c>
      <c r="J59">
        <v>1</v>
      </c>
      <c r="K59">
        <v>2</v>
      </c>
      <c r="L59">
        <v>0</v>
      </c>
      <c r="M59">
        <v>40</v>
      </c>
      <c r="N59">
        <v>1</v>
      </c>
      <c r="O59">
        <v>30</v>
      </c>
      <c r="P59" s="102"/>
    </row>
    <row r="60" customHeight="1" spans="1:16">
      <c r="A60" s="55"/>
      <c r="B60" s="55"/>
      <c r="H60" s="102"/>
      <c r="I60" s="84" t="s">
        <v>59</v>
      </c>
      <c r="J60">
        <v>1</v>
      </c>
      <c r="K60">
        <v>2</v>
      </c>
      <c r="L60">
        <v>0</v>
      </c>
      <c r="M60">
        <v>40</v>
      </c>
      <c r="N60">
        <v>1</v>
      </c>
      <c r="O60">
        <v>30</v>
      </c>
      <c r="P60" s="102"/>
    </row>
    <row r="61" customHeight="1" spans="1:16">
      <c r="A61" s="55"/>
      <c r="B61" s="55"/>
      <c r="H61" s="101"/>
      <c r="I61" s="82" t="s">
        <v>93</v>
      </c>
      <c r="J61">
        <v>0.5</v>
      </c>
      <c r="K61">
        <v>1</v>
      </c>
      <c r="L61">
        <v>0</v>
      </c>
      <c r="M61">
        <v>40</v>
      </c>
      <c r="N61">
        <v>1</v>
      </c>
      <c r="O61">
        <v>30</v>
      </c>
      <c r="P61" s="101"/>
    </row>
    <row r="62" customHeight="1" spans="1:16">
      <c r="A62" s="55"/>
      <c r="B62" s="55"/>
      <c r="H62" s="100" t="s">
        <v>94</v>
      </c>
      <c r="I62" s="84" t="s">
        <v>95</v>
      </c>
      <c r="J62">
        <v>1</v>
      </c>
      <c r="K62">
        <v>1</v>
      </c>
      <c r="L62">
        <v>0.25</v>
      </c>
      <c r="M62">
        <v>40</v>
      </c>
      <c r="N62">
        <v>1</v>
      </c>
      <c r="O62">
        <v>60</v>
      </c>
      <c r="P62" s="100">
        <v>60</v>
      </c>
    </row>
    <row r="63" customHeight="1" spans="1:16">
      <c r="A63" s="55"/>
      <c r="B63" s="55"/>
      <c r="H63" s="102"/>
      <c r="I63" s="82" t="s">
        <v>96</v>
      </c>
      <c r="J63">
        <v>1</v>
      </c>
      <c r="K63">
        <v>2</v>
      </c>
      <c r="L63">
        <v>0.25</v>
      </c>
      <c r="M63">
        <v>40</v>
      </c>
      <c r="N63">
        <v>1</v>
      </c>
      <c r="O63">
        <v>60</v>
      </c>
      <c r="P63" s="102"/>
    </row>
    <row r="64" customHeight="1" spans="1:16">
      <c r="A64" s="55"/>
      <c r="B64" s="55"/>
      <c r="H64" s="102"/>
      <c r="I64" s="84" t="s">
        <v>97</v>
      </c>
      <c r="J64">
        <v>1</v>
      </c>
      <c r="K64">
        <v>2</v>
      </c>
      <c r="L64">
        <v>0.25</v>
      </c>
      <c r="M64">
        <v>40</v>
      </c>
      <c r="N64">
        <v>1.16</v>
      </c>
      <c r="O64">
        <v>60</v>
      </c>
      <c r="P64" s="102"/>
    </row>
    <row r="65" customHeight="1" spans="1:16">
      <c r="A65" s="55"/>
      <c r="B65" s="55"/>
      <c r="H65" s="101"/>
      <c r="I65" s="82" t="s">
        <v>98</v>
      </c>
      <c r="J65">
        <v>1</v>
      </c>
      <c r="K65">
        <v>2</v>
      </c>
      <c r="L65">
        <v>0</v>
      </c>
      <c r="M65">
        <v>40</v>
      </c>
      <c r="N65">
        <v>1.33</v>
      </c>
      <c r="O65">
        <v>60</v>
      </c>
      <c r="P65" s="101"/>
    </row>
    <row r="66" customHeight="1" spans="1:16">
      <c r="A66" s="55"/>
      <c r="B66" s="55"/>
      <c r="H66" s="100" t="s">
        <v>99</v>
      </c>
      <c r="I66" s="84" t="s">
        <v>74</v>
      </c>
      <c r="J66">
        <v>0.5</v>
      </c>
      <c r="K66">
        <v>2</v>
      </c>
      <c r="L66">
        <v>0</v>
      </c>
      <c r="M66">
        <v>80</v>
      </c>
      <c r="N66">
        <v>1</v>
      </c>
      <c r="O66">
        <v>30</v>
      </c>
      <c r="P66" s="100">
        <v>30</v>
      </c>
    </row>
    <row r="67" customHeight="1" spans="1:16">
      <c r="A67" s="55"/>
      <c r="B67" s="55"/>
      <c r="H67" s="101"/>
      <c r="I67" s="82" t="s">
        <v>100</v>
      </c>
      <c r="J67">
        <v>1</v>
      </c>
      <c r="K67">
        <v>3</v>
      </c>
      <c r="L67">
        <v>0</v>
      </c>
      <c r="M67">
        <v>60</v>
      </c>
      <c r="N67">
        <v>6.66</v>
      </c>
      <c r="O67">
        <v>30</v>
      </c>
      <c r="P67" s="101"/>
    </row>
    <row r="68" customHeight="1" spans="1:2">
      <c r="A68" s="55"/>
      <c r="B68" s="55"/>
    </row>
    <row r="69" customHeight="1" spans="1:2">
      <c r="A69" s="55"/>
      <c r="B69" s="55"/>
    </row>
    <row r="70" customHeight="1" spans="1:2">
      <c r="A70" s="55"/>
      <c r="B70" s="55"/>
    </row>
    <row r="71" customHeight="1" spans="1:2">
      <c r="A71" s="55"/>
      <c r="B71" s="55"/>
    </row>
    <row r="72" customHeight="1" spans="1:2">
      <c r="A72" s="55"/>
      <c r="B72" s="55"/>
    </row>
    <row r="73" customHeight="1" spans="1:2">
      <c r="A73" s="55"/>
      <c r="B73" s="55"/>
    </row>
    <row r="74" customHeight="1" spans="1:2">
      <c r="A74" s="55"/>
      <c r="B74" s="55"/>
    </row>
    <row r="75" customHeight="1" spans="1:2">
      <c r="A75" s="55"/>
      <c r="B75" s="55"/>
    </row>
    <row r="76" customHeight="1" spans="1:2">
      <c r="A76" s="55"/>
      <c r="B76" s="55"/>
    </row>
    <row r="77" customHeight="1" spans="1:2">
      <c r="A77" s="55"/>
      <c r="B77" s="55"/>
    </row>
    <row r="78" customHeight="1" spans="1:2">
      <c r="A78" s="55"/>
      <c r="B78" s="55"/>
    </row>
    <row r="79" customHeight="1" spans="1:2">
      <c r="A79" s="55"/>
      <c r="B79" s="55"/>
    </row>
    <row r="80" customHeight="1" spans="1:2">
      <c r="A80" s="55"/>
      <c r="B80" s="55"/>
    </row>
    <row r="81" customHeight="1" spans="1:2">
      <c r="A81" s="55"/>
      <c r="B81" s="55"/>
    </row>
    <row r="82" customHeight="1" spans="1:2">
      <c r="A82" s="55"/>
      <c r="B82" s="55"/>
    </row>
    <row r="83" customHeight="1" spans="1:2">
      <c r="A83" s="55"/>
      <c r="B83" s="55"/>
    </row>
    <row r="84" customHeight="1" spans="1:2">
      <c r="A84" s="55"/>
      <c r="B84" s="55"/>
    </row>
    <row r="85" customHeight="1" spans="1:2">
      <c r="A85" s="55"/>
      <c r="B85" s="55"/>
    </row>
    <row r="86" customHeight="1" spans="1:2">
      <c r="A86" s="55"/>
      <c r="B86" s="55"/>
    </row>
    <row r="87" customHeight="1" spans="1:2">
      <c r="A87" s="55"/>
      <c r="B87" s="55"/>
    </row>
    <row r="88" customHeight="1" spans="1:2">
      <c r="A88" s="55"/>
      <c r="B88" s="55"/>
    </row>
    <row r="89" customHeight="1" spans="1:2">
      <c r="A89" s="55"/>
      <c r="B89" s="55"/>
    </row>
    <row r="90" customHeight="1" spans="1:2">
      <c r="A90" s="55"/>
      <c r="B90" s="55"/>
    </row>
    <row r="91" customHeight="1" spans="1:2">
      <c r="A91" s="55"/>
      <c r="B91" s="55"/>
    </row>
    <row r="92" customHeight="1" spans="1:2">
      <c r="A92" s="55"/>
      <c r="B92" s="55"/>
    </row>
    <row r="93" customHeight="1" spans="1:2">
      <c r="A93" s="55"/>
      <c r="B93" s="55"/>
    </row>
    <row r="94" customHeight="1" spans="1:2">
      <c r="A94" s="55"/>
      <c r="B94" s="55"/>
    </row>
    <row r="95" customHeight="1" spans="1:2">
      <c r="A95" s="55"/>
      <c r="B95" s="55"/>
    </row>
    <row r="96" customHeight="1" spans="1:2">
      <c r="A96" s="55"/>
      <c r="B96" s="55"/>
    </row>
  </sheetData>
  <mergeCells count="25">
    <mergeCell ref="A6:E6"/>
    <mergeCell ref="H28:H29"/>
    <mergeCell ref="H30:H31"/>
    <mergeCell ref="H32:H36"/>
    <mergeCell ref="H37:H41"/>
    <mergeCell ref="H42:H43"/>
    <mergeCell ref="H46:H48"/>
    <mergeCell ref="H49:H51"/>
    <mergeCell ref="H52:H54"/>
    <mergeCell ref="H55:H57"/>
    <mergeCell ref="H58:H61"/>
    <mergeCell ref="H62:H65"/>
    <mergeCell ref="H66:H67"/>
    <mergeCell ref="P28:P29"/>
    <mergeCell ref="P30:P31"/>
    <mergeCell ref="P32:P36"/>
    <mergeCell ref="P37:P41"/>
    <mergeCell ref="P42:P43"/>
    <mergeCell ref="P46:P48"/>
    <mergeCell ref="P49:P51"/>
    <mergeCell ref="P52:P54"/>
    <mergeCell ref="P55:P57"/>
    <mergeCell ref="P58:P61"/>
    <mergeCell ref="P62:P65"/>
    <mergeCell ref="P66:P67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G67"/>
  <sheetViews>
    <sheetView showGridLines="0" zoomScale="90" zoomScaleNormal="90" workbookViewId="0">
      <pane ySplit="3" topLeftCell="A4" activePane="bottomLeft" state="frozen"/>
      <selection/>
      <selection pane="bottomLeft" activeCell="E10" sqref="E10"/>
    </sheetView>
  </sheetViews>
  <sheetFormatPr defaultColWidth="9" defaultRowHeight="20" customHeight="1" outlineLevelCol="6"/>
  <cols>
    <col min="1" max="1" width="17.35" style="56" customWidth="1"/>
    <col min="2" max="2" width="13.3333333333333" style="56" customWidth="1"/>
    <col min="3" max="3" width="31.8" style="56" customWidth="1"/>
    <col min="4" max="4" width="16.25" style="56" customWidth="1"/>
    <col min="5" max="5" width="58.6083333333333" style="56" customWidth="1"/>
    <col min="6" max="6" width="61.2416666666667" style="55" customWidth="1"/>
    <col min="7" max="7" width="13.875" style="55" customWidth="1"/>
    <col min="8" max="8" width="14.025" style="55" customWidth="1"/>
    <col min="9" max="9" width="14.5833333333333" style="55" customWidth="1"/>
    <col min="10" max="10" width="14.7166666666667" style="55" customWidth="1"/>
    <col min="11" max="16384" width="9" style="55"/>
  </cols>
  <sheetData>
    <row r="3" ht="58" customHeight="1" spans="1:6">
      <c r="A3" s="58" t="s">
        <v>101</v>
      </c>
      <c r="B3" s="61" t="s">
        <v>102</v>
      </c>
      <c r="C3" s="61" t="s">
        <v>103</v>
      </c>
      <c r="D3" s="61" t="s">
        <v>5</v>
      </c>
      <c r="E3" s="94" t="s">
        <v>104</v>
      </c>
      <c r="F3" s="94" t="s">
        <v>105</v>
      </c>
    </row>
    <row r="4" customHeight="1" spans="1:4">
      <c r="A4" s="56" t="s">
        <v>106</v>
      </c>
      <c r="C4" s="56" t="s">
        <v>8</v>
      </c>
      <c r="D4" s="56">
        <f>VLOOKUP(C4,商品定位!$A$27:$C$51,3,FALSE)</f>
        <v>20</v>
      </c>
    </row>
    <row r="5" customHeight="1" spans="1:4">
      <c r="A5" s="56" t="s">
        <v>107</v>
      </c>
      <c r="C5" s="56" t="s">
        <v>8</v>
      </c>
      <c r="D5" s="56">
        <f>VLOOKUP(C5,商品定位!$A$27:$C$51,3,FALSE)</f>
        <v>20</v>
      </c>
    </row>
    <row r="6" customHeight="1" spans="1:4">
      <c r="A6" s="56" t="s">
        <v>108</v>
      </c>
      <c r="C6" s="56" t="s">
        <v>48</v>
      </c>
      <c r="D6" s="56">
        <f>VLOOKUP(C6,商品定位!$A$27:$C$51,3,FALSE)</f>
        <v>20</v>
      </c>
    </row>
    <row r="7" customHeight="1" spans="1:4">
      <c r="A7" s="56" t="s">
        <v>109</v>
      </c>
      <c r="C7" s="56" t="s">
        <v>48</v>
      </c>
      <c r="D7" s="56">
        <f>VLOOKUP(C7,商品定位!$A$27:$C$51,3,FALSE)</f>
        <v>20</v>
      </c>
    </row>
    <row r="8" customHeight="1" spans="1:4">
      <c r="A8" s="56" t="s">
        <v>110</v>
      </c>
      <c r="C8" s="56" t="s">
        <v>50</v>
      </c>
      <c r="D8" s="56">
        <f>VLOOKUP(C8,商品定位!$A$27:$C$51,3,FALSE)</f>
        <v>40</v>
      </c>
    </row>
    <row r="9" customHeight="1" spans="1:4">
      <c r="A9" s="56" t="s">
        <v>111</v>
      </c>
      <c r="C9" s="56" t="s">
        <v>48</v>
      </c>
      <c r="D9" s="56">
        <f>VLOOKUP(C9,商品定位!$A$27:$C$51,3,FALSE)</f>
        <v>20</v>
      </c>
    </row>
    <row r="10" customHeight="1" spans="1:4">
      <c r="A10" s="56" t="s">
        <v>112</v>
      </c>
      <c r="C10" s="56" t="s">
        <v>50</v>
      </c>
      <c r="D10" s="56">
        <f>VLOOKUP(C10,商品定位!$A$27:$C$51,3,FALSE)</f>
        <v>40</v>
      </c>
    </row>
    <row r="12" customHeight="1" spans="1:7">
      <c r="A12" s="56" t="s">
        <v>113</v>
      </c>
      <c r="C12" s="56" t="s">
        <v>41</v>
      </c>
      <c r="D12" s="56">
        <f>VLOOKUP(C12,商品定位!$A$27:$C$51,3,FALSE)</f>
        <v>40</v>
      </c>
      <c r="G12" s="56"/>
    </row>
    <row r="13" customHeight="1" spans="1:7">
      <c r="A13" s="56" t="s">
        <v>114</v>
      </c>
      <c r="C13" s="56" t="s">
        <v>41</v>
      </c>
      <c r="D13" s="56">
        <f>VLOOKUP(C13,商品定位!$A$27:$C$51,3,FALSE)</f>
        <v>40</v>
      </c>
      <c r="G13" s="56"/>
    </row>
    <row r="14" customHeight="1" spans="1:4">
      <c r="A14" s="56" t="s">
        <v>115</v>
      </c>
      <c r="C14" s="56" t="s">
        <v>41</v>
      </c>
      <c r="D14" s="56">
        <f>VLOOKUP(C14,商品定位!$A$27:$C$51,3,FALSE)</f>
        <v>40</v>
      </c>
    </row>
    <row r="16" customHeight="1" spans="1:4">
      <c r="A16" s="56" t="s">
        <v>116</v>
      </c>
      <c r="C16" s="56" t="s">
        <v>44</v>
      </c>
      <c r="D16" s="56">
        <f>VLOOKUP(C16,商品定位!$A$27:$C$51,3,FALSE)</f>
        <v>60</v>
      </c>
    </row>
    <row r="17" customHeight="1" spans="1:4">
      <c r="A17" s="56" t="s">
        <v>117</v>
      </c>
      <c r="C17" s="56" t="s">
        <v>44</v>
      </c>
      <c r="D17" s="56">
        <f>VLOOKUP(C17,商品定位!$A$27:$C$51,3,FALSE)</f>
        <v>60</v>
      </c>
    </row>
    <row r="18" customHeight="1" spans="1:4">
      <c r="A18" s="56" t="s">
        <v>118</v>
      </c>
      <c r="B18" s="56" t="s">
        <v>119</v>
      </c>
      <c r="C18" s="56" t="s">
        <v>44</v>
      </c>
      <c r="D18" s="56">
        <f>VLOOKUP(C18,商品定位!$A$27:$C$51,3,FALSE)</f>
        <v>60</v>
      </c>
    </row>
    <row r="19" customHeight="1" spans="1:4">
      <c r="A19" s="56" t="s">
        <v>120</v>
      </c>
      <c r="C19" s="56" t="s">
        <v>121</v>
      </c>
      <c r="D19" s="95">
        <v>60</v>
      </c>
    </row>
    <row r="21" customHeight="1" spans="1:4">
      <c r="A21" s="56" t="s">
        <v>122</v>
      </c>
      <c r="C21" s="56" t="s">
        <v>85</v>
      </c>
      <c r="D21" s="56">
        <f>VLOOKUP(C21,商品定位!$A$27:$C$51,3,FALSE)</f>
        <v>30</v>
      </c>
    </row>
    <row r="22" customHeight="1" spans="1:4">
      <c r="A22" s="56" t="s">
        <v>123</v>
      </c>
      <c r="C22" s="56" t="s">
        <v>50</v>
      </c>
      <c r="D22" s="56">
        <f>VLOOKUP(C22,商品定位!$A$27:$C$51,3,FALSE)</f>
        <v>40</v>
      </c>
    </row>
    <row r="23" customHeight="1" spans="1:4">
      <c r="A23" s="56" t="s">
        <v>124</v>
      </c>
      <c r="C23" s="56" t="s">
        <v>53</v>
      </c>
      <c r="D23" s="56">
        <f>VLOOKUP(C23,商品定位!$A$27:$C$51,3,FALSE)</f>
        <v>60</v>
      </c>
    </row>
    <row r="24" customHeight="1" spans="1:4">
      <c r="A24" s="56" t="s">
        <v>125</v>
      </c>
      <c r="C24" s="56" t="s">
        <v>53</v>
      </c>
      <c r="D24" s="56">
        <f>VLOOKUP(C24,商品定位!$A$27:$C$51,3,FALSE)</f>
        <v>60</v>
      </c>
    </row>
    <row r="26" customHeight="1" spans="1:4">
      <c r="A26" s="56" t="s">
        <v>126</v>
      </c>
      <c r="C26" s="56" t="s">
        <v>62</v>
      </c>
      <c r="D26" s="56">
        <f>VLOOKUP(C26,商品定位!$A$27:$C$51,3,FALSE)</f>
        <v>30</v>
      </c>
    </row>
    <row r="27" customHeight="1" spans="1:4">
      <c r="A27" s="56" t="s">
        <v>127</v>
      </c>
      <c r="C27" s="56" t="s">
        <v>56</v>
      </c>
      <c r="D27" s="56">
        <f>VLOOKUP(C27,商品定位!$A$27:$C$51,3,FALSE)</f>
        <v>40</v>
      </c>
    </row>
    <row r="28" customHeight="1" spans="1:4">
      <c r="A28" s="56" t="s">
        <v>128</v>
      </c>
      <c r="C28" s="56" t="s">
        <v>58</v>
      </c>
      <c r="D28" s="56">
        <f>VLOOKUP(C28,商品定位!$A$27:$C$51,3,FALSE)</f>
        <v>60</v>
      </c>
    </row>
    <row r="29" customHeight="1" spans="1:4">
      <c r="A29" s="56" t="s">
        <v>129</v>
      </c>
      <c r="C29" s="56" t="s">
        <v>58</v>
      </c>
      <c r="D29" s="56">
        <f>VLOOKUP(C29,商品定位!$A$27:$C$51,3,FALSE)</f>
        <v>60</v>
      </c>
    </row>
    <row r="31" customHeight="1" spans="1:4">
      <c r="A31" s="56" t="s">
        <v>130</v>
      </c>
      <c r="C31" s="56" t="s">
        <v>62</v>
      </c>
      <c r="D31" s="56">
        <f>VLOOKUP(C31,商品定位!$A$27:$C$51,3,FALSE)</f>
        <v>30</v>
      </c>
    </row>
    <row r="32" customHeight="1" spans="1:4">
      <c r="A32" s="56" t="s">
        <v>131</v>
      </c>
      <c r="C32" s="56" t="s">
        <v>132</v>
      </c>
      <c r="D32" s="95">
        <v>40</v>
      </c>
    </row>
    <row r="33" customHeight="1" spans="1:4">
      <c r="A33" s="56" t="s">
        <v>133</v>
      </c>
      <c r="B33" s="56" t="s">
        <v>134</v>
      </c>
      <c r="C33" s="56" t="s">
        <v>64</v>
      </c>
      <c r="D33" s="56">
        <f>VLOOKUP(C33,商品定位!$A$27:$C$51,3,FALSE)</f>
        <v>50</v>
      </c>
    </row>
    <row r="34" customHeight="1" spans="1:4">
      <c r="A34" s="56" t="s">
        <v>135</v>
      </c>
      <c r="C34" s="56" t="s">
        <v>62</v>
      </c>
      <c r="D34" s="56">
        <f>VLOOKUP(C34,商品定位!$A$27:$C$51,3,FALSE)</f>
        <v>30</v>
      </c>
    </row>
    <row r="35" customHeight="1" spans="1:4">
      <c r="A35" s="56" t="s">
        <v>136</v>
      </c>
      <c r="C35" s="56" t="s">
        <v>64</v>
      </c>
      <c r="D35" s="56">
        <f>VLOOKUP(C35,商品定位!$A$27:$C$51,3,FALSE)</f>
        <v>50</v>
      </c>
    </row>
    <row r="36" customHeight="1" spans="1:4">
      <c r="A36" s="56" t="s">
        <v>137</v>
      </c>
      <c r="C36" s="56" t="s">
        <v>62</v>
      </c>
      <c r="D36" s="56">
        <f>VLOOKUP(C36,商品定位!$A$27:$C$51,3,FALSE)</f>
        <v>30</v>
      </c>
    </row>
    <row r="37" customHeight="1" spans="1:4">
      <c r="A37" s="56" t="s">
        <v>138</v>
      </c>
      <c r="C37" s="56" t="s">
        <v>64</v>
      </c>
      <c r="D37" s="56">
        <f>VLOOKUP(C37,商品定位!$A$27:$C$51,3,FALSE)</f>
        <v>50</v>
      </c>
    </row>
    <row r="38" customHeight="1" spans="1:4">
      <c r="A38" s="56" t="s">
        <v>139</v>
      </c>
      <c r="B38" s="56" t="s">
        <v>140</v>
      </c>
      <c r="C38" s="56" t="s">
        <v>62</v>
      </c>
      <c r="D38" s="56">
        <f>VLOOKUP(C38,商品定位!$A$27:$C$51,3,FALSE)</f>
        <v>30</v>
      </c>
    </row>
    <row r="39" customHeight="1" spans="1:4">
      <c r="A39" s="56" t="s">
        <v>141</v>
      </c>
      <c r="C39" s="56" t="s">
        <v>64</v>
      </c>
      <c r="D39" s="56">
        <f>VLOOKUP(C39,商品定位!$A$27:$C$51,3,FALSE)</f>
        <v>50</v>
      </c>
    </row>
    <row r="40" customHeight="1" spans="1:4">
      <c r="A40" s="56" t="s">
        <v>142</v>
      </c>
      <c r="C40" s="56" t="s">
        <v>66</v>
      </c>
      <c r="D40" s="56">
        <f>VLOOKUP(C40,商品定位!$A$27:$C$51,3,FALSE)</f>
        <v>70</v>
      </c>
    </row>
    <row r="41" customHeight="1" spans="1:4">
      <c r="A41" s="56" t="s">
        <v>143</v>
      </c>
      <c r="C41" s="56" t="s">
        <v>66</v>
      </c>
      <c r="D41" s="56">
        <f>VLOOKUP(C41,商品定位!$A$27:$C$51,3,FALSE)</f>
        <v>70</v>
      </c>
    </row>
    <row r="42" customHeight="1" spans="1:4">
      <c r="A42" s="56" t="s">
        <v>144</v>
      </c>
      <c r="C42" s="56" t="s">
        <v>66</v>
      </c>
      <c r="D42" s="56">
        <f>VLOOKUP(C42,商品定位!$A$27:$C$51,3,FALSE)</f>
        <v>70</v>
      </c>
    </row>
    <row r="44" customHeight="1" spans="1:4">
      <c r="A44" s="56" t="s">
        <v>145</v>
      </c>
      <c r="C44" s="56" t="s">
        <v>69</v>
      </c>
      <c r="D44" s="56">
        <f>VLOOKUP(C44,商品定位!$A$27:$C$51,3,FALSE)</f>
        <v>40</v>
      </c>
    </row>
    <row r="45" customHeight="1" spans="1:4">
      <c r="A45" s="56" t="s">
        <v>146</v>
      </c>
      <c r="C45" s="56" t="s">
        <v>69</v>
      </c>
      <c r="D45" s="56">
        <f>VLOOKUP(C45,商品定位!$A$27:$C$51,3,FALSE)</f>
        <v>40</v>
      </c>
    </row>
    <row r="46" customHeight="1" spans="1:4">
      <c r="A46" s="56" t="s">
        <v>147</v>
      </c>
      <c r="C46" s="56" t="s">
        <v>71</v>
      </c>
      <c r="D46" s="56">
        <f>VLOOKUP(C46,商品定位!$A$27:$C$51,3,FALSE)</f>
        <v>60</v>
      </c>
    </row>
    <row r="47" customHeight="1" spans="1:4">
      <c r="A47" s="56" t="s">
        <v>148</v>
      </c>
      <c r="C47" s="56" t="s">
        <v>71</v>
      </c>
      <c r="D47" s="56">
        <f>VLOOKUP(C47,商品定位!$A$27:$C$51,3,FALSE)</f>
        <v>60</v>
      </c>
    </row>
    <row r="48" customHeight="1" spans="1:4">
      <c r="A48" s="56" t="s">
        <v>149</v>
      </c>
      <c r="C48" s="56" t="s">
        <v>73</v>
      </c>
      <c r="D48" s="56">
        <f>VLOOKUP(C48,商品定位!$A$27:$C$51,3,FALSE)</f>
        <v>80</v>
      </c>
    </row>
    <row r="49" customHeight="1" spans="1:4">
      <c r="A49" s="56" t="s">
        <v>150</v>
      </c>
      <c r="C49" s="56" t="s">
        <v>73</v>
      </c>
      <c r="D49" s="56">
        <f>VLOOKUP(C49,商品定位!$A$27:$C$51,3,FALSE)</f>
        <v>80</v>
      </c>
    </row>
    <row r="51" customHeight="1" spans="1:4">
      <c r="A51" s="56" t="s">
        <v>151</v>
      </c>
      <c r="C51" s="56" t="s">
        <v>85</v>
      </c>
      <c r="D51" s="95">
        <v>60</v>
      </c>
    </row>
    <row r="52" customHeight="1" spans="1:4">
      <c r="A52" s="56" t="s">
        <v>152</v>
      </c>
      <c r="C52" s="56" t="s">
        <v>153</v>
      </c>
      <c r="D52" s="95">
        <v>100</v>
      </c>
    </row>
    <row r="53" customHeight="1" spans="1:4">
      <c r="A53" s="56" t="s">
        <v>154</v>
      </c>
      <c r="C53" s="56" t="s">
        <v>60</v>
      </c>
      <c r="D53" s="56">
        <f>VLOOKUP(C53,商品定位!$A$27:$C$51,3,FALSE)</f>
        <v>80</v>
      </c>
    </row>
    <row r="55" customHeight="1" spans="1:4">
      <c r="A55" s="56" t="s">
        <v>155</v>
      </c>
      <c r="C55" s="56" t="s">
        <v>77</v>
      </c>
      <c r="D55" s="56">
        <f>VLOOKUP(C55,商品定位!$A$27:$C$51,3,FALSE)</f>
        <v>60</v>
      </c>
    </row>
    <row r="56" customHeight="1" spans="1:4">
      <c r="A56" s="56" t="s">
        <v>156</v>
      </c>
      <c r="C56" s="56" t="s">
        <v>77</v>
      </c>
      <c r="D56" s="56">
        <f>VLOOKUP(C56,商品定位!$A$27:$C$51,3,FALSE)</f>
        <v>60</v>
      </c>
    </row>
    <row r="57" customHeight="1" spans="1:4">
      <c r="A57" s="56" t="s">
        <v>157</v>
      </c>
      <c r="C57" s="56" t="s">
        <v>77</v>
      </c>
      <c r="D57" s="56">
        <f>VLOOKUP(C57,商品定位!$A$27:$C$51,3,FALSE)</f>
        <v>60</v>
      </c>
    </row>
    <row r="58" customHeight="1" spans="1:4">
      <c r="A58" s="56" t="s">
        <v>158</v>
      </c>
      <c r="C58" s="56" t="s">
        <v>79</v>
      </c>
      <c r="D58" s="56">
        <f>VLOOKUP(C58,商品定位!$A$27:$C$51,3,FALSE)</f>
        <v>80</v>
      </c>
    </row>
    <row r="59" customHeight="1" spans="1:4">
      <c r="A59" s="56" t="s">
        <v>159</v>
      </c>
      <c r="C59" s="56" t="s">
        <v>79</v>
      </c>
      <c r="D59" s="56">
        <f>VLOOKUP(C59,商品定位!$A$27:$C$51,3,FALSE)</f>
        <v>80</v>
      </c>
    </row>
    <row r="60" customHeight="1" spans="1:4">
      <c r="A60" s="56" t="s">
        <v>160</v>
      </c>
      <c r="C60" s="56" t="s">
        <v>79</v>
      </c>
      <c r="D60" s="56">
        <f>VLOOKUP(C60,商品定位!$A$27:$C$51,3,FALSE)</f>
        <v>80</v>
      </c>
    </row>
    <row r="61" customHeight="1" spans="1:4">
      <c r="A61" s="56" t="s">
        <v>161</v>
      </c>
      <c r="C61" s="56" t="s">
        <v>79</v>
      </c>
      <c r="D61" s="56">
        <f>VLOOKUP(C61,商品定位!$A$27:$C$51,3,FALSE)</f>
        <v>80</v>
      </c>
    </row>
    <row r="62" customHeight="1" spans="1:4">
      <c r="A62" s="56" t="s">
        <v>162</v>
      </c>
      <c r="C62" s="56" t="s">
        <v>81</v>
      </c>
      <c r="D62" s="56">
        <f>VLOOKUP(C62,商品定位!$A$27:$C$51,3,FALSE)</f>
        <v>100</v>
      </c>
    </row>
    <row r="63" customHeight="1" spans="1:4">
      <c r="A63" s="56" t="s">
        <v>163</v>
      </c>
      <c r="C63" s="56" t="s">
        <v>81</v>
      </c>
      <c r="D63" s="56">
        <f>VLOOKUP(C63,商品定位!$A$27:$C$51,3,FALSE)</f>
        <v>100</v>
      </c>
    </row>
    <row r="64" customHeight="1" spans="1:4">
      <c r="A64" s="56" t="s">
        <v>164</v>
      </c>
      <c r="C64" s="56" t="s">
        <v>81</v>
      </c>
      <c r="D64" s="56">
        <f>VLOOKUP(C64,商品定位!$A$27:$C$51,3,FALSE)</f>
        <v>100</v>
      </c>
    </row>
    <row r="65" customHeight="1" spans="1:4">
      <c r="A65" s="56" t="s">
        <v>165</v>
      </c>
      <c r="C65" s="56" t="s">
        <v>56</v>
      </c>
      <c r="D65" s="56">
        <f>VLOOKUP(C65,商品定位!$A$27:$C$51,3,FALSE)</f>
        <v>40</v>
      </c>
    </row>
    <row r="67" customHeight="1" spans="1:3">
      <c r="A67" s="56" t="s">
        <v>166</v>
      </c>
      <c r="C67" s="56" t="s">
        <v>167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138"/>
  <sheetViews>
    <sheetView workbookViewId="0">
      <selection activeCell="J14" sqref="J14"/>
    </sheetView>
  </sheetViews>
  <sheetFormatPr defaultColWidth="9" defaultRowHeight="20" customHeight="1"/>
  <cols>
    <col min="2" max="2" width="9.625" style="1" customWidth="1"/>
    <col min="3" max="3" width="11.25" style="1" customWidth="1"/>
    <col min="4" max="4" width="17.125" customWidth="1"/>
    <col min="5" max="5" width="12.625" customWidth="1"/>
    <col min="6" max="6" width="11.5" customWidth="1"/>
    <col min="7" max="7" width="19.375" customWidth="1"/>
    <col min="8" max="8" width="17.125" customWidth="1"/>
    <col min="9" max="9" width="8.375" customWidth="1"/>
    <col min="10" max="10" width="12.625" customWidth="1"/>
    <col min="11" max="11" width="9.375" customWidth="1"/>
    <col min="12" max="14" width="14.875" customWidth="1"/>
    <col min="15" max="15" width="12.625" customWidth="1"/>
    <col min="16" max="16" width="13.75" customWidth="1"/>
    <col min="17" max="17" width="7.375" customWidth="1"/>
  </cols>
  <sheetData>
    <row r="1" customFormat="1" customHeight="1" spans="2:3">
      <c r="B1" s="1"/>
      <c r="C1" s="1"/>
    </row>
    <row r="2" s="75" customFormat="1" ht="34" customHeight="1" spans="1:17">
      <c r="A2" s="76" t="s">
        <v>168</v>
      </c>
      <c r="B2" s="77" t="s">
        <v>169</v>
      </c>
      <c r="C2" s="77" t="s">
        <v>170</v>
      </c>
      <c r="D2" s="76" t="s">
        <v>42</v>
      </c>
      <c r="E2" s="76" t="s">
        <v>46</v>
      </c>
      <c r="F2" s="76" t="s">
        <v>51</v>
      </c>
      <c r="G2" s="76" t="s">
        <v>72</v>
      </c>
      <c r="H2" s="76" t="s">
        <v>68</v>
      </c>
      <c r="I2" s="76" t="s">
        <v>61</v>
      </c>
      <c r="J2" s="76" t="s">
        <v>75</v>
      </c>
      <c r="K2" s="76" t="s">
        <v>74</v>
      </c>
      <c r="L2" s="76" t="s">
        <v>82</v>
      </c>
      <c r="M2" s="76" t="s">
        <v>87</v>
      </c>
      <c r="N2" s="76" t="s">
        <v>90</v>
      </c>
      <c r="O2" s="76" t="s">
        <v>92</v>
      </c>
      <c r="P2" s="76" t="s">
        <v>94</v>
      </c>
      <c r="Q2" s="93" t="s">
        <v>99</v>
      </c>
    </row>
    <row r="3" s="75" customFormat="1" customHeight="1" spans="1:17">
      <c r="A3" s="76" t="s">
        <v>171</v>
      </c>
      <c r="B3" s="76" t="s">
        <v>172</v>
      </c>
      <c r="C3" s="76" t="s">
        <v>173</v>
      </c>
      <c r="D3" s="76" t="s">
        <v>174</v>
      </c>
      <c r="E3" s="76" t="s">
        <v>175</v>
      </c>
      <c r="F3" s="76" t="s">
        <v>176</v>
      </c>
      <c r="G3" s="76" t="s">
        <v>177</v>
      </c>
      <c r="H3" s="76" t="s">
        <v>178</v>
      </c>
      <c r="I3" s="76" t="s">
        <v>179</v>
      </c>
      <c r="J3" s="76" t="s">
        <v>139</v>
      </c>
      <c r="K3" s="76" t="s">
        <v>130</v>
      </c>
      <c r="L3" s="76" t="s">
        <v>141</v>
      </c>
      <c r="M3" s="76" t="s">
        <v>180</v>
      </c>
      <c r="N3" s="76" t="s">
        <v>181</v>
      </c>
      <c r="O3" s="76" t="s">
        <v>182</v>
      </c>
      <c r="P3" s="76" t="s">
        <v>183</v>
      </c>
      <c r="Q3" s="93" t="s">
        <v>184</v>
      </c>
    </row>
    <row r="4" customHeight="1" spans="1:17">
      <c r="A4" s="78">
        <v>1</v>
      </c>
      <c r="B4" s="78">
        <v>0.03</v>
      </c>
      <c r="C4" s="78">
        <f>SUM(D4:Q4)</f>
        <v>151</v>
      </c>
      <c r="D4" s="15">
        <v>23</v>
      </c>
      <c r="E4" s="15"/>
      <c r="F4" s="15">
        <v>90</v>
      </c>
      <c r="G4" s="15"/>
      <c r="H4" s="15"/>
      <c r="I4" s="15">
        <v>15</v>
      </c>
      <c r="J4" s="15">
        <v>23</v>
      </c>
      <c r="K4" s="15"/>
      <c r="L4" s="15"/>
      <c r="M4" s="15"/>
      <c r="N4" s="15"/>
      <c r="O4" s="15"/>
      <c r="P4" s="15"/>
      <c r="Q4" s="15"/>
    </row>
    <row r="5" customHeight="1" spans="1:17">
      <c r="A5" s="78">
        <v>2</v>
      </c>
      <c r="B5" s="78">
        <v>0.04</v>
      </c>
      <c r="C5" s="78">
        <f>SUM(D5:Q5)</f>
        <v>165</v>
      </c>
      <c r="D5" s="15">
        <v>26</v>
      </c>
      <c r="E5" s="15"/>
      <c r="F5" s="15">
        <v>99</v>
      </c>
      <c r="G5" s="15"/>
      <c r="H5" s="15"/>
      <c r="I5" s="15">
        <v>17</v>
      </c>
      <c r="J5" s="15">
        <v>23</v>
      </c>
      <c r="K5" s="15"/>
      <c r="L5" s="15"/>
      <c r="M5" s="15"/>
      <c r="N5" s="15"/>
      <c r="O5" s="15"/>
      <c r="P5" s="15"/>
      <c r="Q5" s="15"/>
    </row>
    <row r="6" customHeight="1" spans="1:17">
      <c r="A6" s="78">
        <v>3</v>
      </c>
      <c r="B6" s="78">
        <v>0.05</v>
      </c>
      <c r="C6" s="78">
        <f t="shared" ref="C5:C36" si="0">SUM(D6:Q6)</f>
        <v>182</v>
      </c>
      <c r="D6" s="15">
        <v>33</v>
      </c>
      <c r="E6" s="15"/>
      <c r="F6" s="15">
        <v>108</v>
      </c>
      <c r="G6" s="15"/>
      <c r="H6" s="15"/>
      <c r="I6" s="15">
        <v>18</v>
      </c>
      <c r="J6" s="15">
        <v>23</v>
      </c>
      <c r="K6" s="15"/>
      <c r="L6" s="15"/>
      <c r="M6" s="15"/>
      <c r="N6" s="15"/>
      <c r="O6" s="15"/>
      <c r="P6" s="15"/>
      <c r="Q6" s="15"/>
    </row>
    <row r="7" customHeight="1" spans="1:17">
      <c r="A7" s="78">
        <v>4</v>
      </c>
      <c r="B7" s="78">
        <v>0.1</v>
      </c>
      <c r="C7" s="78">
        <f t="shared" si="0"/>
        <v>200</v>
      </c>
      <c r="D7" s="15">
        <v>36</v>
      </c>
      <c r="E7" s="15"/>
      <c r="F7" s="15">
        <v>121</v>
      </c>
      <c r="G7" s="15"/>
      <c r="H7" s="15"/>
      <c r="I7" s="15">
        <v>20</v>
      </c>
      <c r="J7" s="15">
        <v>23</v>
      </c>
      <c r="K7" s="15"/>
      <c r="L7" s="15"/>
      <c r="M7" s="15"/>
      <c r="N7" s="15"/>
      <c r="O7" s="15"/>
      <c r="P7" s="15"/>
      <c r="Q7" s="15"/>
    </row>
    <row r="8" customHeight="1" spans="1:17">
      <c r="A8" s="79">
        <v>5</v>
      </c>
      <c r="B8" s="79">
        <v>0.15</v>
      </c>
      <c r="C8" s="79">
        <f t="shared" si="0"/>
        <v>221</v>
      </c>
      <c r="D8" s="68">
        <v>38</v>
      </c>
      <c r="E8" s="68">
        <v>13</v>
      </c>
      <c r="F8" s="68">
        <v>126</v>
      </c>
      <c r="G8" s="68"/>
      <c r="H8" s="68"/>
      <c r="I8" s="68">
        <v>21</v>
      </c>
      <c r="J8" s="68">
        <v>23</v>
      </c>
      <c r="K8" s="68"/>
      <c r="L8" s="68"/>
      <c r="M8" s="68"/>
      <c r="N8" s="68"/>
      <c r="O8" s="68"/>
      <c r="P8" s="68"/>
      <c r="Q8" s="68"/>
    </row>
    <row r="9" customHeight="1" spans="1:17">
      <c r="A9" s="79">
        <v>6</v>
      </c>
      <c r="B9" s="79">
        <v>0.25</v>
      </c>
      <c r="C9" s="79">
        <f t="shared" si="0"/>
        <v>241</v>
      </c>
      <c r="D9" s="68">
        <v>43</v>
      </c>
      <c r="E9" s="68">
        <v>19</v>
      </c>
      <c r="F9" s="68">
        <v>132</v>
      </c>
      <c r="G9" s="68"/>
      <c r="H9" s="68"/>
      <c r="I9" s="68">
        <v>24</v>
      </c>
      <c r="J9" s="68">
        <v>23</v>
      </c>
      <c r="K9" s="68"/>
      <c r="L9" s="68"/>
      <c r="M9" s="68"/>
      <c r="N9" s="68"/>
      <c r="O9" s="68"/>
      <c r="P9" s="68"/>
      <c r="Q9" s="68"/>
    </row>
    <row r="10" customHeight="1" spans="1:17">
      <c r="A10" s="79">
        <v>7</v>
      </c>
      <c r="B10" s="79">
        <v>0.35</v>
      </c>
      <c r="C10" s="79">
        <f t="shared" si="0"/>
        <v>263</v>
      </c>
      <c r="D10" s="68">
        <v>43</v>
      </c>
      <c r="E10" s="68">
        <v>27</v>
      </c>
      <c r="F10" s="68">
        <v>143</v>
      </c>
      <c r="G10" s="68"/>
      <c r="H10" s="68"/>
      <c r="I10" s="68">
        <v>27</v>
      </c>
      <c r="J10" s="68">
        <v>23</v>
      </c>
      <c r="K10" s="68"/>
      <c r="L10" s="68"/>
      <c r="M10" s="68"/>
      <c r="N10" s="68"/>
      <c r="O10" s="68"/>
      <c r="P10" s="68"/>
      <c r="Q10" s="68"/>
    </row>
    <row r="11" customHeight="1" spans="1:17">
      <c r="A11" s="79">
        <v>8</v>
      </c>
      <c r="B11" s="79">
        <v>0.45</v>
      </c>
      <c r="C11" s="79">
        <f t="shared" si="0"/>
        <v>288</v>
      </c>
      <c r="D11" s="68">
        <v>43</v>
      </c>
      <c r="E11" s="68">
        <v>41</v>
      </c>
      <c r="F11" s="68">
        <v>150</v>
      </c>
      <c r="G11" s="68"/>
      <c r="H11" s="68"/>
      <c r="I11" s="68">
        <v>31</v>
      </c>
      <c r="J11" s="68">
        <v>23</v>
      </c>
      <c r="K11" s="68"/>
      <c r="L11" s="68"/>
      <c r="M11" s="68"/>
      <c r="N11" s="68"/>
      <c r="O11" s="68"/>
      <c r="P11" s="68"/>
      <c r="Q11" s="68"/>
    </row>
    <row r="12" customHeight="1" spans="1:17">
      <c r="A12" s="79">
        <v>9</v>
      </c>
      <c r="B12" s="79">
        <v>0.6</v>
      </c>
      <c r="C12" s="79">
        <f t="shared" si="0"/>
        <v>305</v>
      </c>
      <c r="D12" s="68">
        <v>43</v>
      </c>
      <c r="E12" s="68">
        <v>53</v>
      </c>
      <c r="F12" s="68">
        <v>150</v>
      </c>
      <c r="G12" s="68"/>
      <c r="H12" s="68"/>
      <c r="I12" s="68">
        <v>36</v>
      </c>
      <c r="J12" s="68">
        <v>23</v>
      </c>
      <c r="K12" s="68"/>
      <c r="L12" s="68"/>
      <c r="M12" s="68"/>
      <c r="N12" s="68"/>
      <c r="O12" s="68"/>
      <c r="P12" s="68"/>
      <c r="Q12" s="68"/>
    </row>
    <row r="13" customHeight="1" spans="1:17">
      <c r="A13" s="80">
        <v>10</v>
      </c>
      <c r="B13" s="80">
        <v>0.75</v>
      </c>
      <c r="C13" s="80">
        <f t="shared" si="0"/>
        <v>354</v>
      </c>
      <c r="D13" s="7">
        <v>51</v>
      </c>
      <c r="E13" s="7">
        <v>45</v>
      </c>
      <c r="F13" s="7">
        <v>154</v>
      </c>
      <c r="G13" s="7">
        <v>10</v>
      </c>
      <c r="H13" s="7">
        <v>7</v>
      </c>
      <c r="I13" s="7">
        <v>29</v>
      </c>
      <c r="J13" s="7">
        <v>34</v>
      </c>
      <c r="K13" s="7">
        <v>24</v>
      </c>
      <c r="L13" s="7"/>
      <c r="M13" s="7"/>
      <c r="N13" s="7"/>
      <c r="O13" s="7"/>
      <c r="P13" s="7"/>
      <c r="Q13" s="7"/>
    </row>
    <row r="14" customHeight="1" spans="1:17">
      <c r="A14" s="80">
        <v>11</v>
      </c>
      <c r="B14" s="80">
        <v>0.9</v>
      </c>
      <c r="C14" s="80">
        <f t="shared" si="0"/>
        <v>389</v>
      </c>
      <c r="D14" s="7">
        <v>47</v>
      </c>
      <c r="E14" s="7">
        <v>43</v>
      </c>
      <c r="F14" s="7">
        <v>157</v>
      </c>
      <c r="G14" s="7">
        <v>23</v>
      </c>
      <c r="H14" s="7">
        <v>20</v>
      </c>
      <c r="I14" s="7">
        <v>29</v>
      </c>
      <c r="J14" s="7">
        <v>39</v>
      </c>
      <c r="K14" s="7">
        <v>31</v>
      </c>
      <c r="L14" s="7"/>
      <c r="M14" s="7"/>
      <c r="N14" s="7"/>
      <c r="O14" s="7"/>
      <c r="P14" s="7"/>
      <c r="Q14" s="7"/>
    </row>
    <row r="15" customHeight="1" spans="1:17">
      <c r="A15" s="80">
        <v>12</v>
      </c>
      <c r="B15" s="80">
        <v>1.4</v>
      </c>
      <c r="C15" s="80">
        <f t="shared" si="0"/>
        <v>428</v>
      </c>
      <c r="D15" s="7">
        <v>37</v>
      </c>
      <c r="E15" s="7">
        <v>37</v>
      </c>
      <c r="F15" s="7">
        <v>164</v>
      </c>
      <c r="G15" s="7">
        <v>37</v>
      </c>
      <c r="H15" s="7">
        <v>37</v>
      </c>
      <c r="I15" s="7">
        <v>29</v>
      </c>
      <c r="J15" s="7">
        <v>46</v>
      </c>
      <c r="K15" s="7">
        <v>41</v>
      </c>
      <c r="L15" s="7"/>
      <c r="M15" s="7"/>
      <c r="N15" s="7"/>
      <c r="O15" s="7"/>
      <c r="P15" s="7"/>
      <c r="Q15" s="7"/>
    </row>
    <row r="16" customHeight="1" spans="1:17">
      <c r="A16" s="80">
        <v>13</v>
      </c>
      <c r="B16" s="80">
        <v>1.9</v>
      </c>
      <c r="C16" s="80">
        <f t="shared" si="0"/>
        <v>468</v>
      </c>
      <c r="D16" s="7">
        <v>20</v>
      </c>
      <c r="E16" s="7">
        <v>20</v>
      </c>
      <c r="F16" s="7">
        <v>173</v>
      </c>
      <c r="G16" s="7">
        <v>69</v>
      </c>
      <c r="H16" s="7">
        <v>59</v>
      </c>
      <c r="I16" s="7">
        <v>29</v>
      </c>
      <c r="J16" s="7">
        <v>49</v>
      </c>
      <c r="K16" s="7">
        <v>49</v>
      </c>
      <c r="L16" s="7"/>
      <c r="M16" s="7"/>
      <c r="N16" s="7"/>
      <c r="O16" s="7"/>
      <c r="P16" s="7"/>
      <c r="Q16" s="7"/>
    </row>
    <row r="17" customHeight="1" spans="1:17">
      <c r="A17" s="80">
        <v>14</v>
      </c>
      <c r="B17" s="80">
        <v>2.4</v>
      </c>
      <c r="C17" s="80">
        <f t="shared" si="0"/>
        <v>516</v>
      </c>
      <c r="D17" s="7">
        <v>11</v>
      </c>
      <c r="E17" s="7">
        <v>11</v>
      </c>
      <c r="F17" s="7">
        <v>183</v>
      </c>
      <c r="G17" s="7">
        <v>89</v>
      </c>
      <c r="H17" s="7">
        <v>77</v>
      </c>
      <c r="I17" s="7">
        <v>29</v>
      </c>
      <c r="J17" s="7">
        <v>55</v>
      </c>
      <c r="K17" s="7">
        <v>61</v>
      </c>
      <c r="L17" s="7"/>
      <c r="M17" s="7"/>
      <c r="N17" s="7"/>
      <c r="O17" s="7"/>
      <c r="P17" s="7"/>
      <c r="Q17" s="7"/>
    </row>
    <row r="18" customHeight="1" spans="1:17">
      <c r="A18" s="81">
        <v>15</v>
      </c>
      <c r="B18" s="81">
        <v>4.6</v>
      </c>
      <c r="C18" s="81">
        <f t="shared" si="0"/>
        <v>571</v>
      </c>
      <c r="D18" s="82"/>
      <c r="E18" s="82"/>
      <c r="F18" s="82">
        <v>179</v>
      </c>
      <c r="G18" s="82">
        <v>106</v>
      </c>
      <c r="H18" s="82">
        <v>89</v>
      </c>
      <c r="I18" s="82">
        <v>29</v>
      </c>
      <c r="J18" s="82">
        <v>56</v>
      </c>
      <c r="K18" s="82">
        <v>67</v>
      </c>
      <c r="L18" s="82">
        <v>17</v>
      </c>
      <c r="M18" s="82">
        <v>17</v>
      </c>
      <c r="N18" s="82"/>
      <c r="O18" s="82"/>
      <c r="P18" s="82">
        <v>11</v>
      </c>
      <c r="Q18" s="82"/>
    </row>
    <row r="19" customHeight="1" spans="1:17">
      <c r="A19" s="81">
        <v>16</v>
      </c>
      <c r="B19" s="81">
        <v>6.8</v>
      </c>
      <c r="C19" s="81">
        <f t="shared" si="0"/>
        <v>629</v>
      </c>
      <c r="D19" s="82"/>
      <c r="E19" s="82"/>
      <c r="F19" s="82">
        <v>182</v>
      </c>
      <c r="G19" s="82">
        <v>110</v>
      </c>
      <c r="H19" s="82">
        <v>98</v>
      </c>
      <c r="I19" s="82">
        <v>29</v>
      </c>
      <c r="J19" s="82">
        <v>61</v>
      </c>
      <c r="K19" s="82">
        <v>77</v>
      </c>
      <c r="L19" s="82">
        <v>24</v>
      </c>
      <c r="M19" s="82">
        <v>24</v>
      </c>
      <c r="N19" s="82"/>
      <c r="O19" s="82"/>
      <c r="P19" s="82">
        <v>24</v>
      </c>
      <c r="Q19" s="82"/>
    </row>
    <row r="20" customHeight="1" spans="1:17">
      <c r="A20" s="81">
        <v>17</v>
      </c>
      <c r="B20" s="81">
        <v>9</v>
      </c>
      <c r="C20" s="81">
        <f t="shared" si="0"/>
        <v>694</v>
      </c>
      <c r="D20" s="82"/>
      <c r="E20" s="82"/>
      <c r="F20" s="82">
        <v>182</v>
      </c>
      <c r="G20" s="82">
        <v>114</v>
      </c>
      <c r="H20" s="82">
        <v>107</v>
      </c>
      <c r="I20" s="82">
        <v>29</v>
      </c>
      <c r="J20" s="82">
        <v>67</v>
      </c>
      <c r="K20" s="82">
        <v>88</v>
      </c>
      <c r="L20" s="82">
        <v>40</v>
      </c>
      <c r="M20" s="82">
        <v>27</v>
      </c>
      <c r="N20" s="82"/>
      <c r="O20" s="82"/>
      <c r="P20" s="82">
        <v>40</v>
      </c>
      <c r="Q20" s="82"/>
    </row>
    <row r="21" customHeight="1" spans="1:17">
      <c r="A21" s="81">
        <v>18</v>
      </c>
      <c r="B21" s="81">
        <v>12</v>
      </c>
      <c r="C21" s="81">
        <f t="shared" si="0"/>
        <v>764</v>
      </c>
      <c r="D21" s="82"/>
      <c r="E21" s="82"/>
      <c r="F21" s="82">
        <v>182</v>
      </c>
      <c r="G21" s="82">
        <v>117</v>
      </c>
      <c r="H21" s="82">
        <v>117</v>
      </c>
      <c r="I21" s="82">
        <v>29</v>
      </c>
      <c r="J21" s="82">
        <v>73</v>
      </c>
      <c r="K21" s="82">
        <v>99</v>
      </c>
      <c r="L21" s="82">
        <v>59</v>
      </c>
      <c r="M21" s="82">
        <v>29</v>
      </c>
      <c r="N21" s="82"/>
      <c r="O21" s="82"/>
      <c r="P21" s="82">
        <v>59</v>
      </c>
      <c r="Q21" s="82"/>
    </row>
    <row r="22" customHeight="1" spans="1:17">
      <c r="A22" s="81">
        <v>19</v>
      </c>
      <c r="B22" s="81">
        <v>15</v>
      </c>
      <c r="C22" s="81">
        <f t="shared" si="0"/>
        <v>845</v>
      </c>
      <c r="D22" s="82"/>
      <c r="E22" s="82"/>
      <c r="F22" s="82">
        <v>182</v>
      </c>
      <c r="G22" s="82">
        <v>119</v>
      </c>
      <c r="H22" s="82">
        <v>127</v>
      </c>
      <c r="I22" s="82">
        <v>29</v>
      </c>
      <c r="J22" s="82">
        <v>79</v>
      </c>
      <c r="K22" s="82">
        <v>111</v>
      </c>
      <c r="L22" s="82">
        <v>79</v>
      </c>
      <c r="M22" s="82">
        <v>40</v>
      </c>
      <c r="N22" s="82"/>
      <c r="O22" s="82"/>
      <c r="P22" s="82">
        <v>79</v>
      </c>
      <c r="Q22" s="82"/>
    </row>
    <row r="23" customHeight="1" spans="1:17">
      <c r="A23" s="83">
        <v>20</v>
      </c>
      <c r="B23" s="83">
        <v>18</v>
      </c>
      <c r="C23" s="83">
        <f t="shared" si="0"/>
        <v>934</v>
      </c>
      <c r="D23" s="84"/>
      <c r="E23" s="84"/>
      <c r="F23" s="84">
        <v>182</v>
      </c>
      <c r="G23" s="84">
        <v>127</v>
      </c>
      <c r="H23" s="84">
        <v>135</v>
      </c>
      <c r="I23" s="84">
        <v>29</v>
      </c>
      <c r="J23" s="84">
        <v>85</v>
      </c>
      <c r="K23" s="84">
        <v>122</v>
      </c>
      <c r="L23" s="84">
        <v>85</v>
      </c>
      <c r="M23" s="84">
        <v>42</v>
      </c>
      <c r="N23" s="84">
        <v>17</v>
      </c>
      <c r="O23" s="84">
        <v>8</v>
      </c>
      <c r="P23" s="84">
        <v>102</v>
      </c>
      <c r="Q23" s="84"/>
    </row>
    <row r="24" customHeight="1" spans="1:17">
      <c r="A24" s="83">
        <v>21</v>
      </c>
      <c r="B24" s="83">
        <v>23</v>
      </c>
      <c r="C24" s="83">
        <f t="shared" si="0"/>
        <v>1025</v>
      </c>
      <c r="D24" s="84"/>
      <c r="E24" s="84"/>
      <c r="F24" s="84">
        <v>182</v>
      </c>
      <c r="G24" s="84">
        <v>140</v>
      </c>
      <c r="H24" s="84">
        <v>131</v>
      </c>
      <c r="I24" s="84">
        <v>29</v>
      </c>
      <c r="J24" s="84">
        <v>94</v>
      </c>
      <c r="K24" s="84">
        <v>139</v>
      </c>
      <c r="L24" s="84">
        <v>94</v>
      </c>
      <c r="M24" s="84">
        <v>47</v>
      </c>
      <c r="N24" s="84">
        <v>19</v>
      </c>
      <c r="O24" s="84">
        <v>19</v>
      </c>
      <c r="P24" s="84">
        <v>131</v>
      </c>
      <c r="Q24" s="84"/>
    </row>
    <row r="25" customHeight="1" spans="1:17">
      <c r="A25" s="83">
        <v>22</v>
      </c>
      <c r="B25" s="83">
        <v>28</v>
      </c>
      <c r="C25" s="83">
        <f t="shared" si="0"/>
        <v>1123</v>
      </c>
      <c r="D25" s="84"/>
      <c r="E25" s="84"/>
      <c r="F25" s="84">
        <v>182</v>
      </c>
      <c r="G25" s="84">
        <v>145</v>
      </c>
      <c r="H25" s="84">
        <v>134</v>
      </c>
      <c r="I25" s="84">
        <v>29</v>
      </c>
      <c r="J25" s="84">
        <v>103</v>
      </c>
      <c r="K25" s="84">
        <v>158</v>
      </c>
      <c r="L25" s="84">
        <v>103</v>
      </c>
      <c r="M25" s="84">
        <v>52</v>
      </c>
      <c r="N25" s="84">
        <v>21</v>
      </c>
      <c r="O25" s="84">
        <v>31</v>
      </c>
      <c r="P25" s="84">
        <v>165</v>
      </c>
      <c r="Q25" s="84"/>
    </row>
    <row r="26" customHeight="1" spans="1:17">
      <c r="A26" s="83">
        <v>23</v>
      </c>
      <c r="B26" s="83">
        <v>33</v>
      </c>
      <c r="C26" s="83">
        <f t="shared" si="0"/>
        <v>1236</v>
      </c>
      <c r="D26" s="84"/>
      <c r="E26" s="84"/>
      <c r="F26" s="84">
        <v>182</v>
      </c>
      <c r="G26" s="84">
        <v>147</v>
      </c>
      <c r="H26" s="84">
        <v>136</v>
      </c>
      <c r="I26" s="84">
        <v>29</v>
      </c>
      <c r="J26" s="84">
        <v>113</v>
      </c>
      <c r="K26" s="84">
        <v>178</v>
      </c>
      <c r="L26" s="84">
        <v>124</v>
      </c>
      <c r="M26" s="84">
        <v>56</v>
      </c>
      <c r="N26" s="84">
        <v>23</v>
      </c>
      <c r="O26" s="84">
        <v>45</v>
      </c>
      <c r="P26" s="84">
        <v>203</v>
      </c>
      <c r="Q26" s="84"/>
    </row>
    <row r="27" customHeight="1" spans="1:17">
      <c r="A27" s="83">
        <v>24</v>
      </c>
      <c r="B27" s="83">
        <v>40</v>
      </c>
      <c r="C27" s="83">
        <f t="shared" si="0"/>
        <v>1360</v>
      </c>
      <c r="D27" s="84"/>
      <c r="E27" s="84"/>
      <c r="F27" s="84">
        <v>182</v>
      </c>
      <c r="G27" s="84">
        <v>146</v>
      </c>
      <c r="H27" s="84">
        <v>146</v>
      </c>
      <c r="I27" s="84">
        <v>29</v>
      </c>
      <c r="J27" s="84">
        <v>122</v>
      </c>
      <c r="K27" s="84">
        <v>199</v>
      </c>
      <c r="L27" s="84">
        <v>134</v>
      </c>
      <c r="M27" s="84">
        <v>73</v>
      </c>
      <c r="N27" s="84">
        <v>24</v>
      </c>
      <c r="O27" s="84">
        <v>61</v>
      </c>
      <c r="P27" s="84">
        <v>244</v>
      </c>
      <c r="Q27" s="84"/>
    </row>
    <row r="28" customHeight="1" spans="1:17">
      <c r="A28" s="83">
        <v>25</v>
      </c>
      <c r="B28" s="83">
        <v>47</v>
      </c>
      <c r="C28" s="83">
        <f t="shared" si="0"/>
        <v>1502</v>
      </c>
      <c r="D28" s="84"/>
      <c r="E28" s="84"/>
      <c r="F28" s="84">
        <v>181</v>
      </c>
      <c r="G28" s="84">
        <v>161</v>
      </c>
      <c r="H28" s="84">
        <v>155</v>
      </c>
      <c r="I28" s="84">
        <v>29</v>
      </c>
      <c r="J28" s="84">
        <v>129</v>
      </c>
      <c r="K28" s="84">
        <v>215</v>
      </c>
      <c r="L28" s="84">
        <v>155</v>
      </c>
      <c r="M28" s="84">
        <v>90</v>
      </c>
      <c r="N28" s="84">
        <v>26</v>
      </c>
      <c r="O28" s="84">
        <v>77</v>
      </c>
      <c r="P28" s="84">
        <v>284</v>
      </c>
      <c r="Q28" s="84"/>
    </row>
    <row r="29" customHeight="1" spans="1:17">
      <c r="A29" s="83">
        <v>26</v>
      </c>
      <c r="B29" s="83">
        <v>52</v>
      </c>
      <c r="C29" s="83">
        <f t="shared" si="0"/>
        <v>1649</v>
      </c>
      <c r="D29" s="84"/>
      <c r="E29" s="84"/>
      <c r="F29" s="84">
        <v>170</v>
      </c>
      <c r="G29" s="84">
        <v>161</v>
      </c>
      <c r="H29" s="84">
        <v>170</v>
      </c>
      <c r="I29" s="84">
        <v>29</v>
      </c>
      <c r="J29" s="84">
        <v>141</v>
      </c>
      <c r="K29" s="84">
        <v>243</v>
      </c>
      <c r="L29" s="84">
        <v>170</v>
      </c>
      <c r="M29" s="84">
        <v>113</v>
      </c>
      <c r="N29" s="84">
        <v>28</v>
      </c>
      <c r="O29" s="84">
        <v>85</v>
      </c>
      <c r="P29" s="84">
        <v>339</v>
      </c>
      <c r="Q29" s="84"/>
    </row>
    <row r="30" customHeight="1" spans="1:17">
      <c r="A30" s="83">
        <v>27</v>
      </c>
      <c r="B30" s="83">
        <v>60</v>
      </c>
      <c r="C30" s="83">
        <f t="shared" si="0"/>
        <v>1816</v>
      </c>
      <c r="D30" s="84"/>
      <c r="E30" s="84"/>
      <c r="F30" s="84">
        <v>154</v>
      </c>
      <c r="G30" s="84">
        <v>161</v>
      </c>
      <c r="H30" s="84">
        <v>185</v>
      </c>
      <c r="I30" s="84">
        <v>29</v>
      </c>
      <c r="J30" s="84">
        <v>154</v>
      </c>
      <c r="K30" s="84">
        <v>271</v>
      </c>
      <c r="L30" s="84">
        <v>185</v>
      </c>
      <c r="M30" s="84">
        <v>138</v>
      </c>
      <c r="N30" s="84">
        <v>31</v>
      </c>
      <c r="O30" s="84">
        <v>108</v>
      </c>
      <c r="P30" s="84">
        <v>400</v>
      </c>
      <c r="Q30" s="84"/>
    </row>
    <row r="31" customHeight="1" spans="1:17">
      <c r="A31" s="83">
        <v>28</v>
      </c>
      <c r="B31" s="83">
        <v>68</v>
      </c>
      <c r="C31" s="83">
        <f t="shared" si="0"/>
        <v>1998</v>
      </c>
      <c r="D31" s="84"/>
      <c r="E31" s="84"/>
      <c r="F31" s="84">
        <v>132</v>
      </c>
      <c r="G31" s="84">
        <v>161</v>
      </c>
      <c r="H31" s="84">
        <v>199</v>
      </c>
      <c r="I31" s="84">
        <v>29</v>
      </c>
      <c r="J31" s="84">
        <v>166</v>
      </c>
      <c r="K31" s="84">
        <v>300</v>
      </c>
      <c r="L31" s="84">
        <v>199</v>
      </c>
      <c r="M31" s="84">
        <v>166</v>
      </c>
      <c r="N31" s="84">
        <v>33</v>
      </c>
      <c r="O31" s="84">
        <v>149</v>
      </c>
      <c r="P31" s="84">
        <v>464</v>
      </c>
      <c r="Q31" s="84"/>
    </row>
    <row r="32" customHeight="1" spans="1:17">
      <c r="A32" s="83">
        <v>29</v>
      </c>
      <c r="B32" s="83">
        <v>76</v>
      </c>
      <c r="C32" s="83">
        <f t="shared" si="0"/>
        <v>2197</v>
      </c>
      <c r="D32" s="84"/>
      <c r="E32" s="84"/>
      <c r="F32" s="84">
        <v>107</v>
      </c>
      <c r="G32" s="84">
        <v>161</v>
      </c>
      <c r="H32" s="84">
        <v>215</v>
      </c>
      <c r="I32" s="84">
        <v>29</v>
      </c>
      <c r="J32" s="84">
        <v>179</v>
      </c>
      <c r="K32" s="84">
        <v>324</v>
      </c>
      <c r="L32" s="84">
        <v>233</v>
      </c>
      <c r="M32" s="84">
        <v>179</v>
      </c>
      <c r="N32" s="84">
        <v>36</v>
      </c>
      <c r="O32" s="84">
        <v>197</v>
      </c>
      <c r="P32" s="84">
        <v>537</v>
      </c>
      <c r="Q32" s="84"/>
    </row>
    <row r="33" customHeight="1" spans="1:17">
      <c r="A33" s="85">
        <v>30</v>
      </c>
      <c r="B33" s="85">
        <v>88</v>
      </c>
      <c r="C33" s="85">
        <f t="shared" si="0"/>
        <v>2434</v>
      </c>
      <c r="D33" s="86"/>
      <c r="E33" s="86"/>
      <c r="F33" s="86"/>
      <c r="G33" s="86">
        <v>161</v>
      </c>
      <c r="H33" s="86">
        <v>207</v>
      </c>
      <c r="I33" s="86">
        <v>29</v>
      </c>
      <c r="J33" s="86">
        <v>216</v>
      </c>
      <c r="K33" s="86">
        <v>374</v>
      </c>
      <c r="L33" s="86">
        <v>269</v>
      </c>
      <c r="M33" s="86">
        <v>207</v>
      </c>
      <c r="N33" s="86">
        <v>62</v>
      </c>
      <c r="O33" s="86">
        <v>269</v>
      </c>
      <c r="P33" s="86">
        <v>640</v>
      </c>
      <c r="Q33" s="86"/>
    </row>
    <row r="34" customHeight="1" spans="1:17">
      <c r="A34" s="85">
        <v>31</v>
      </c>
      <c r="B34" s="85">
        <v>110</v>
      </c>
      <c r="C34" s="85">
        <f t="shared" si="0"/>
        <v>2710</v>
      </c>
      <c r="D34" s="86"/>
      <c r="E34" s="86"/>
      <c r="F34" s="86"/>
      <c r="G34" s="86">
        <v>161</v>
      </c>
      <c r="H34" s="86">
        <v>238</v>
      </c>
      <c r="I34" s="86">
        <v>29</v>
      </c>
      <c r="J34" s="86">
        <v>216</v>
      </c>
      <c r="K34" s="86">
        <v>406</v>
      </c>
      <c r="L34" s="86">
        <v>314</v>
      </c>
      <c r="M34" s="86">
        <v>224</v>
      </c>
      <c r="N34" s="86">
        <v>90</v>
      </c>
      <c r="O34" s="86">
        <v>314</v>
      </c>
      <c r="P34" s="86">
        <v>718</v>
      </c>
      <c r="Q34" s="86"/>
    </row>
    <row r="35" customHeight="1" spans="1:17">
      <c r="A35" s="85">
        <v>32</v>
      </c>
      <c r="B35" s="85">
        <v>120</v>
      </c>
      <c r="C35" s="85">
        <f t="shared" si="0"/>
        <v>2970</v>
      </c>
      <c r="D35" s="86"/>
      <c r="E35" s="86"/>
      <c r="F35" s="86"/>
      <c r="G35" s="86">
        <v>161</v>
      </c>
      <c r="H35" s="86">
        <v>238</v>
      </c>
      <c r="I35" s="86">
        <v>29</v>
      </c>
      <c r="J35" s="86">
        <v>216</v>
      </c>
      <c r="K35" s="86">
        <v>447</v>
      </c>
      <c r="L35" s="86">
        <v>346</v>
      </c>
      <c r="M35" s="86">
        <v>247</v>
      </c>
      <c r="N35" s="86">
        <v>124</v>
      </c>
      <c r="O35" s="86">
        <v>346</v>
      </c>
      <c r="P35" s="86">
        <v>816</v>
      </c>
      <c r="Q35" s="86"/>
    </row>
    <row r="36" customHeight="1" spans="1:17">
      <c r="A36" s="85">
        <v>33</v>
      </c>
      <c r="B36" s="85">
        <v>130</v>
      </c>
      <c r="C36" s="85">
        <f t="shared" si="0"/>
        <v>3253</v>
      </c>
      <c r="D36" s="86"/>
      <c r="E36" s="86"/>
      <c r="F36" s="86"/>
      <c r="G36" s="86">
        <v>161</v>
      </c>
      <c r="H36" s="86">
        <v>238</v>
      </c>
      <c r="I36" s="86">
        <v>29</v>
      </c>
      <c r="J36" s="86">
        <v>216</v>
      </c>
      <c r="K36" s="86">
        <v>497</v>
      </c>
      <c r="L36" s="86">
        <v>384</v>
      </c>
      <c r="M36" s="86">
        <v>274</v>
      </c>
      <c r="N36" s="86">
        <v>137</v>
      </c>
      <c r="O36" s="86">
        <v>384</v>
      </c>
      <c r="P36" s="86">
        <v>933</v>
      </c>
      <c r="Q36" s="86"/>
    </row>
    <row r="37" customHeight="1" spans="1:17">
      <c r="A37" s="85">
        <v>34</v>
      </c>
      <c r="B37" s="85">
        <v>145</v>
      </c>
      <c r="C37" s="85">
        <f t="shared" ref="C37:C68" si="1">SUM(D37:Q37)</f>
        <v>3566</v>
      </c>
      <c r="D37" s="86"/>
      <c r="E37" s="86"/>
      <c r="F37" s="86"/>
      <c r="G37" s="86">
        <v>161</v>
      </c>
      <c r="H37" s="86">
        <v>238</v>
      </c>
      <c r="I37" s="86">
        <v>29</v>
      </c>
      <c r="J37" s="86">
        <v>216</v>
      </c>
      <c r="K37" s="86">
        <v>550</v>
      </c>
      <c r="L37" s="86">
        <v>426</v>
      </c>
      <c r="M37" s="86">
        <v>304</v>
      </c>
      <c r="N37" s="86">
        <v>152</v>
      </c>
      <c r="O37" s="86">
        <v>426</v>
      </c>
      <c r="P37" s="86">
        <v>1064</v>
      </c>
      <c r="Q37" s="86"/>
    </row>
    <row r="38" customHeight="1" spans="1:17">
      <c r="A38" s="85">
        <v>35</v>
      </c>
      <c r="B38" s="85">
        <v>160</v>
      </c>
      <c r="C38" s="85">
        <f t="shared" si="1"/>
        <v>3905</v>
      </c>
      <c r="D38" s="86"/>
      <c r="E38" s="86"/>
      <c r="F38" s="86"/>
      <c r="G38" s="86">
        <v>161</v>
      </c>
      <c r="H38" s="86">
        <v>238</v>
      </c>
      <c r="I38" s="86">
        <v>29</v>
      </c>
      <c r="J38" s="86">
        <v>216</v>
      </c>
      <c r="K38" s="86">
        <v>614</v>
      </c>
      <c r="L38" s="86">
        <v>441</v>
      </c>
      <c r="M38" s="86">
        <v>339</v>
      </c>
      <c r="N38" s="86">
        <v>204</v>
      </c>
      <c r="O38" s="86">
        <v>475</v>
      </c>
      <c r="P38" s="86">
        <v>1188</v>
      </c>
      <c r="Q38" s="86"/>
    </row>
    <row r="39" customHeight="1" spans="1:17">
      <c r="A39" s="85">
        <v>36</v>
      </c>
      <c r="B39" s="85">
        <v>175</v>
      </c>
      <c r="C39" s="85">
        <f t="shared" si="1"/>
        <v>4287</v>
      </c>
      <c r="D39" s="86"/>
      <c r="E39" s="86"/>
      <c r="F39" s="86"/>
      <c r="G39" s="86">
        <v>161</v>
      </c>
      <c r="H39" s="86">
        <v>238</v>
      </c>
      <c r="I39" s="86">
        <v>29</v>
      </c>
      <c r="J39" s="86">
        <v>216</v>
      </c>
      <c r="K39" s="86">
        <v>679</v>
      </c>
      <c r="L39" s="86">
        <v>488</v>
      </c>
      <c r="M39" s="86">
        <v>375</v>
      </c>
      <c r="N39" s="86">
        <v>225</v>
      </c>
      <c r="O39" s="86">
        <v>563</v>
      </c>
      <c r="P39" s="86">
        <v>1313</v>
      </c>
      <c r="Q39" s="86"/>
    </row>
    <row r="40" customHeight="1" spans="1:17">
      <c r="A40" s="85">
        <v>37</v>
      </c>
      <c r="B40" s="85">
        <v>190</v>
      </c>
      <c r="C40" s="85">
        <f t="shared" si="1"/>
        <v>4701</v>
      </c>
      <c r="D40" s="86"/>
      <c r="E40" s="86"/>
      <c r="F40" s="86"/>
      <c r="G40" s="86">
        <v>161</v>
      </c>
      <c r="H40" s="86">
        <v>238</v>
      </c>
      <c r="I40" s="86">
        <v>29</v>
      </c>
      <c r="J40" s="86">
        <v>216</v>
      </c>
      <c r="K40" s="86">
        <v>756</v>
      </c>
      <c r="L40" s="86">
        <v>543</v>
      </c>
      <c r="M40" s="86">
        <v>418</v>
      </c>
      <c r="N40" s="86">
        <v>251</v>
      </c>
      <c r="O40" s="86">
        <v>627</v>
      </c>
      <c r="P40" s="86">
        <v>1462</v>
      </c>
      <c r="Q40" s="86"/>
    </row>
    <row r="41" customHeight="1" spans="1:17">
      <c r="A41" s="85">
        <v>38</v>
      </c>
      <c r="B41" s="85">
        <v>205</v>
      </c>
      <c r="C41" s="85">
        <f t="shared" si="1"/>
        <v>5157</v>
      </c>
      <c r="D41" s="86"/>
      <c r="E41" s="86"/>
      <c r="F41" s="86"/>
      <c r="G41" s="86">
        <v>161</v>
      </c>
      <c r="H41" s="86">
        <v>238</v>
      </c>
      <c r="I41" s="86">
        <v>29</v>
      </c>
      <c r="J41" s="86">
        <v>216</v>
      </c>
      <c r="K41" s="86">
        <v>841</v>
      </c>
      <c r="L41" s="86">
        <v>604</v>
      </c>
      <c r="M41" s="86">
        <v>465</v>
      </c>
      <c r="N41" s="86">
        <v>279</v>
      </c>
      <c r="O41" s="86">
        <v>697</v>
      </c>
      <c r="P41" s="86">
        <v>1627</v>
      </c>
      <c r="Q41" s="86"/>
    </row>
    <row r="42" customHeight="1" spans="1:17">
      <c r="A42" s="85">
        <v>39</v>
      </c>
      <c r="B42" s="85">
        <v>225</v>
      </c>
      <c r="C42" s="85">
        <f t="shared" si="1"/>
        <v>5667</v>
      </c>
      <c r="D42" s="86"/>
      <c r="E42" s="86"/>
      <c r="F42" s="86"/>
      <c r="G42" s="86">
        <v>161</v>
      </c>
      <c r="H42" s="86">
        <v>238</v>
      </c>
      <c r="I42" s="86">
        <v>29</v>
      </c>
      <c r="J42" s="86">
        <v>216</v>
      </c>
      <c r="K42" s="86">
        <v>927</v>
      </c>
      <c r="L42" s="86">
        <v>666</v>
      </c>
      <c r="M42" s="86">
        <v>512</v>
      </c>
      <c r="N42" s="86">
        <v>358</v>
      </c>
      <c r="O42" s="86">
        <v>768</v>
      </c>
      <c r="P42" s="86">
        <v>1792</v>
      </c>
      <c r="Q42" s="86"/>
    </row>
    <row r="43" customHeight="1" spans="1:17">
      <c r="A43" s="87">
        <v>40</v>
      </c>
      <c r="B43" s="87">
        <v>245</v>
      </c>
      <c r="C43" s="87">
        <f t="shared" si="1"/>
        <v>6211</v>
      </c>
      <c r="D43" s="88"/>
      <c r="E43" s="88"/>
      <c r="F43" s="88"/>
      <c r="G43" s="88"/>
      <c r="H43" s="88">
        <v>238</v>
      </c>
      <c r="I43" s="88">
        <v>29</v>
      </c>
      <c r="J43" s="88">
        <v>216</v>
      </c>
      <c r="K43" s="88">
        <v>964</v>
      </c>
      <c r="L43" s="88">
        <v>681</v>
      </c>
      <c r="M43" s="88">
        <v>567</v>
      </c>
      <c r="N43" s="88">
        <v>454</v>
      </c>
      <c r="O43" s="88">
        <v>851</v>
      </c>
      <c r="P43" s="88">
        <v>2098</v>
      </c>
      <c r="Q43" s="88">
        <v>113</v>
      </c>
    </row>
    <row r="44" customHeight="1" spans="1:17">
      <c r="A44" s="87">
        <v>41</v>
      </c>
      <c r="B44" s="87">
        <v>265</v>
      </c>
      <c r="C44" s="87">
        <f t="shared" si="1"/>
        <v>6829</v>
      </c>
      <c r="D44" s="88"/>
      <c r="E44" s="88"/>
      <c r="F44" s="88"/>
      <c r="G44" s="88"/>
      <c r="H44" s="88">
        <v>238</v>
      </c>
      <c r="I44" s="88">
        <v>29</v>
      </c>
      <c r="J44" s="88">
        <v>216</v>
      </c>
      <c r="K44" s="88">
        <v>995</v>
      </c>
      <c r="L44" s="88">
        <v>747</v>
      </c>
      <c r="M44" s="88">
        <v>622</v>
      </c>
      <c r="N44" s="88">
        <v>560</v>
      </c>
      <c r="O44" s="88">
        <v>871</v>
      </c>
      <c r="P44" s="88">
        <v>2364</v>
      </c>
      <c r="Q44" s="88">
        <v>187</v>
      </c>
    </row>
    <row r="45" customHeight="1" spans="1:17">
      <c r="A45" s="87">
        <v>42</v>
      </c>
      <c r="B45" s="87">
        <v>285</v>
      </c>
      <c r="C45" s="87">
        <f t="shared" si="1"/>
        <v>7509</v>
      </c>
      <c r="D45" s="88"/>
      <c r="E45" s="88"/>
      <c r="F45" s="88"/>
      <c r="G45" s="88"/>
      <c r="H45" s="88">
        <v>238</v>
      </c>
      <c r="I45" s="88">
        <v>29</v>
      </c>
      <c r="J45" s="88">
        <v>216</v>
      </c>
      <c r="K45" s="88">
        <v>1023</v>
      </c>
      <c r="L45" s="88">
        <v>819</v>
      </c>
      <c r="M45" s="88">
        <v>682</v>
      </c>
      <c r="N45" s="88">
        <v>682</v>
      </c>
      <c r="O45" s="88">
        <v>887</v>
      </c>
      <c r="P45" s="88">
        <v>2660</v>
      </c>
      <c r="Q45" s="88">
        <v>273</v>
      </c>
    </row>
    <row r="46" customHeight="1" spans="1:17">
      <c r="A46" s="87">
        <v>43</v>
      </c>
      <c r="B46" s="87">
        <v>305</v>
      </c>
      <c r="C46" s="87">
        <f t="shared" si="1"/>
        <v>8261</v>
      </c>
      <c r="D46" s="88"/>
      <c r="E46" s="88"/>
      <c r="F46" s="88"/>
      <c r="G46" s="88"/>
      <c r="H46" s="88">
        <v>238</v>
      </c>
      <c r="I46" s="88">
        <v>29</v>
      </c>
      <c r="J46" s="88">
        <v>216</v>
      </c>
      <c r="K46" s="88">
        <v>1111</v>
      </c>
      <c r="L46" s="88">
        <v>889</v>
      </c>
      <c r="M46" s="88">
        <v>741</v>
      </c>
      <c r="N46" s="88">
        <v>741</v>
      </c>
      <c r="O46" s="88">
        <v>963</v>
      </c>
      <c r="P46" s="88">
        <v>2963</v>
      </c>
      <c r="Q46" s="88">
        <v>370</v>
      </c>
    </row>
    <row r="47" customHeight="1" spans="1:17">
      <c r="A47" s="87">
        <v>44</v>
      </c>
      <c r="B47" s="87">
        <v>325</v>
      </c>
      <c r="C47" s="87">
        <f t="shared" si="1"/>
        <v>9081</v>
      </c>
      <c r="D47" s="88"/>
      <c r="E47" s="88"/>
      <c r="F47" s="88"/>
      <c r="G47" s="88"/>
      <c r="H47" s="88">
        <v>238</v>
      </c>
      <c r="I47" s="88">
        <v>29</v>
      </c>
      <c r="J47" s="88">
        <v>216</v>
      </c>
      <c r="K47" s="88">
        <v>1228</v>
      </c>
      <c r="L47" s="88">
        <v>983</v>
      </c>
      <c r="M47" s="88">
        <v>819</v>
      </c>
      <c r="N47" s="88">
        <v>819</v>
      </c>
      <c r="O47" s="88">
        <v>1065</v>
      </c>
      <c r="P47" s="88">
        <v>3275</v>
      </c>
      <c r="Q47" s="88">
        <v>409</v>
      </c>
    </row>
    <row r="48" customHeight="1" spans="1:17">
      <c r="A48" s="89">
        <v>45</v>
      </c>
      <c r="B48" s="89">
        <v>350</v>
      </c>
      <c r="C48" s="89">
        <f t="shared" si="1"/>
        <v>9955</v>
      </c>
      <c r="D48" s="90"/>
      <c r="E48" s="90"/>
      <c r="F48" s="90"/>
      <c r="G48" s="90"/>
      <c r="H48" s="90"/>
      <c r="I48" s="90">
        <v>29</v>
      </c>
      <c r="J48" s="90">
        <v>216</v>
      </c>
      <c r="K48" s="90">
        <v>1400</v>
      </c>
      <c r="L48" s="90">
        <v>1027</v>
      </c>
      <c r="M48" s="90">
        <v>934</v>
      </c>
      <c r="N48" s="90">
        <v>934</v>
      </c>
      <c r="O48" s="90">
        <v>1214</v>
      </c>
      <c r="P48" s="90">
        <v>3734</v>
      </c>
      <c r="Q48" s="90">
        <v>467</v>
      </c>
    </row>
    <row r="49" customHeight="1" spans="1:17">
      <c r="A49" s="89">
        <v>46</v>
      </c>
      <c r="B49" s="89">
        <v>375</v>
      </c>
      <c r="C49" s="89">
        <f t="shared" si="1"/>
        <v>10948</v>
      </c>
      <c r="D49" s="90"/>
      <c r="E49" s="90"/>
      <c r="F49" s="90"/>
      <c r="G49" s="90"/>
      <c r="H49" s="90"/>
      <c r="I49" s="90">
        <v>29</v>
      </c>
      <c r="J49" s="90">
        <v>216</v>
      </c>
      <c r="K49" s="90">
        <v>1544</v>
      </c>
      <c r="L49" s="90">
        <v>1132</v>
      </c>
      <c r="M49" s="90">
        <v>1029</v>
      </c>
      <c r="N49" s="90">
        <v>1029</v>
      </c>
      <c r="O49" s="90">
        <v>1338</v>
      </c>
      <c r="P49" s="90">
        <v>4116</v>
      </c>
      <c r="Q49" s="90">
        <v>515</v>
      </c>
    </row>
    <row r="50" customHeight="1" spans="1:17">
      <c r="A50" s="89">
        <v>47</v>
      </c>
      <c r="B50" s="89">
        <v>400</v>
      </c>
      <c r="C50" s="89">
        <f t="shared" si="1"/>
        <v>12040</v>
      </c>
      <c r="D50" s="90"/>
      <c r="E50" s="90"/>
      <c r="F50" s="90"/>
      <c r="G50" s="90"/>
      <c r="H50" s="90"/>
      <c r="I50" s="90">
        <v>29</v>
      </c>
      <c r="J50" s="90">
        <v>216</v>
      </c>
      <c r="K50" s="90">
        <v>1701</v>
      </c>
      <c r="L50" s="90">
        <v>1248</v>
      </c>
      <c r="M50" s="90">
        <v>1134</v>
      </c>
      <c r="N50" s="90">
        <v>1134</v>
      </c>
      <c r="O50" s="90">
        <v>1474</v>
      </c>
      <c r="P50" s="90">
        <v>4537</v>
      </c>
      <c r="Q50" s="90">
        <v>567</v>
      </c>
    </row>
    <row r="51" customHeight="1" spans="1:17">
      <c r="A51" s="89">
        <v>48</v>
      </c>
      <c r="B51" s="89">
        <v>425</v>
      </c>
      <c r="C51" s="89">
        <f t="shared" si="1"/>
        <v>13244</v>
      </c>
      <c r="D51" s="90"/>
      <c r="E51" s="90"/>
      <c r="F51" s="90"/>
      <c r="G51" s="90"/>
      <c r="H51" s="90"/>
      <c r="I51" s="90">
        <v>29</v>
      </c>
      <c r="J51" s="90">
        <v>216</v>
      </c>
      <c r="K51" s="90">
        <v>1875</v>
      </c>
      <c r="L51" s="90">
        <v>1375</v>
      </c>
      <c r="M51" s="90">
        <v>1250</v>
      </c>
      <c r="N51" s="90">
        <v>1250</v>
      </c>
      <c r="O51" s="90">
        <v>1625</v>
      </c>
      <c r="P51" s="90">
        <v>4999</v>
      </c>
      <c r="Q51" s="90">
        <v>625</v>
      </c>
    </row>
    <row r="52" customHeight="1" spans="1:17">
      <c r="A52" s="89">
        <v>49</v>
      </c>
      <c r="B52" s="89">
        <v>450</v>
      </c>
      <c r="C52" s="89">
        <f t="shared" si="1"/>
        <v>14566</v>
      </c>
      <c r="D52" s="90"/>
      <c r="E52" s="90"/>
      <c r="F52" s="90"/>
      <c r="G52" s="90"/>
      <c r="H52" s="90"/>
      <c r="I52" s="90">
        <v>29</v>
      </c>
      <c r="J52" s="90">
        <v>216</v>
      </c>
      <c r="K52" s="90">
        <v>2046</v>
      </c>
      <c r="L52" s="90">
        <v>1500</v>
      </c>
      <c r="M52" s="90">
        <v>1364</v>
      </c>
      <c r="N52" s="90">
        <v>1364</v>
      </c>
      <c r="O52" s="90">
        <v>1773</v>
      </c>
      <c r="P52" s="90">
        <v>5456</v>
      </c>
      <c r="Q52" s="90">
        <v>818</v>
      </c>
    </row>
    <row r="53" customHeight="1" spans="1:17">
      <c r="A53" s="89">
        <v>50</v>
      </c>
      <c r="B53" s="89">
        <v>475</v>
      </c>
      <c r="C53" s="89">
        <f t="shared" si="1"/>
        <v>16024</v>
      </c>
      <c r="D53" s="90"/>
      <c r="E53" s="90"/>
      <c r="F53" s="90"/>
      <c r="G53" s="90"/>
      <c r="H53" s="90"/>
      <c r="I53" s="90">
        <v>29</v>
      </c>
      <c r="J53" s="90">
        <v>216</v>
      </c>
      <c r="K53" s="90">
        <v>2254</v>
      </c>
      <c r="L53" s="90">
        <v>1503</v>
      </c>
      <c r="M53" s="90">
        <v>1503</v>
      </c>
      <c r="N53" s="90">
        <v>1503</v>
      </c>
      <c r="O53" s="90">
        <v>1953</v>
      </c>
      <c r="P53" s="90">
        <v>6011</v>
      </c>
      <c r="Q53" s="90">
        <v>1052</v>
      </c>
    </row>
    <row r="54" customHeight="1" spans="1:17">
      <c r="A54" s="89">
        <v>51</v>
      </c>
      <c r="B54" s="89">
        <v>500</v>
      </c>
      <c r="C54" s="89">
        <f t="shared" si="1"/>
        <v>17627</v>
      </c>
      <c r="D54" s="90"/>
      <c r="E54" s="90"/>
      <c r="F54" s="90"/>
      <c r="G54" s="90"/>
      <c r="H54" s="90"/>
      <c r="I54" s="90">
        <v>29</v>
      </c>
      <c r="J54" s="90">
        <v>216</v>
      </c>
      <c r="K54" s="90">
        <v>2459</v>
      </c>
      <c r="L54" s="90">
        <v>1640</v>
      </c>
      <c r="M54" s="90">
        <v>1640</v>
      </c>
      <c r="N54" s="90">
        <v>1640</v>
      </c>
      <c r="O54" s="90">
        <v>1968</v>
      </c>
      <c r="P54" s="90">
        <v>6559</v>
      </c>
      <c r="Q54" s="90">
        <v>1476</v>
      </c>
    </row>
    <row r="55" customHeight="1" spans="1:17">
      <c r="A55" s="89">
        <v>52</v>
      </c>
      <c r="B55" s="89">
        <v>525</v>
      </c>
      <c r="C55" s="89">
        <f t="shared" si="1"/>
        <v>19391</v>
      </c>
      <c r="D55" s="90"/>
      <c r="E55" s="90"/>
      <c r="F55" s="90"/>
      <c r="G55" s="90"/>
      <c r="H55" s="90"/>
      <c r="I55" s="90">
        <v>29</v>
      </c>
      <c r="J55" s="90">
        <v>216</v>
      </c>
      <c r="K55" s="90">
        <v>2659</v>
      </c>
      <c r="L55" s="90">
        <v>1773</v>
      </c>
      <c r="M55" s="90">
        <v>1773</v>
      </c>
      <c r="N55" s="90">
        <v>1773</v>
      </c>
      <c r="O55" s="90">
        <v>2127</v>
      </c>
      <c r="P55" s="90">
        <v>7091</v>
      </c>
      <c r="Q55" s="90">
        <v>1950</v>
      </c>
    </row>
    <row r="56" customHeight="1" spans="1:17">
      <c r="A56" s="89">
        <v>53</v>
      </c>
      <c r="B56" s="89">
        <v>550</v>
      </c>
      <c r="C56" s="89">
        <f t="shared" si="1"/>
        <v>21331</v>
      </c>
      <c r="D56" s="90"/>
      <c r="E56" s="90"/>
      <c r="F56" s="90"/>
      <c r="G56" s="90"/>
      <c r="H56" s="90"/>
      <c r="I56" s="90">
        <v>29</v>
      </c>
      <c r="J56" s="90">
        <v>216</v>
      </c>
      <c r="K56" s="90">
        <v>2875</v>
      </c>
      <c r="L56" s="90">
        <v>1917</v>
      </c>
      <c r="M56" s="90">
        <v>1917</v>
      </c>
      <c r="N56" s="90">
        <v>1917</v>
      </c>
      <c r="O56" s="90">
        <v>2300</v>
      </c>
      <c r="P56" s="90">
        <v>7668</v>
      </c>
      <c r="Q56" s="90">
        <v>2492</v>
      </c>
    </row>
    <row r="57" customHeight="1" spans="1:17">
      <c r="A57" s="89">
        <v>54</v>
      </c>
      <c r="B57" s="89">
        <v>575</v>
      </c>
      <c r="C57" s="89">
        <f t="shared" si="1"/>
        <v>23465</v>
      </c>
      <c r="D57" s="90"/>
      <c r="E57" s="90"/>
      <c r="F57" s="90"/>
      <c r="G57" s="90"/>
      <c r="H57" s="90"/>
      <c r="I57" s="90">
        <v>29</v>
      </c>
      <c r="J57" s="90">
        <v>216</v>
      </c>
      <c r="K57" s="90">
        <v>3110</v>
      </c>
      <c r="L57" s="90">
        <v>2073</v>
      </c>
      <c r="M57" s="90">
        <v>2073</v>
      </c>
      <c r="N57" s="90">
        <v>2073</v>
      </c>
      <c r="O57" s="90">
        <v>2488</v>
      </c>
      <c r="P57" s="90">
        <v>8293</v>
      </c>
      <c r="Q57" s="90">
        <v>3110</v>
      </c>
    </row>
    <row r="58" customHeight="1" spans="1:17">
      <c r="A58" s="91">
        <v>55</v>
      </c>
      <c r="B58" s="91">
        <v>600</v>
      </c>
      <c r="C58" s="91">
        <f t="shared" si="1"/>
        <v>25810</v>
      </c>
      <c r="D58" s="92"/>
      <c r="E58" s="92"/>
      <c r="F58" s="92"/>
      <c r="G58" s="92"/>
      <c r="H58" s="92"/>
      <c r="I58" s="92">
        <v>29</v>
      </c>
      <c r="J58" s="92">
        <v>216</v>
      </c>
      <c r="K58" s="92">
        <v>3394</v>
      </c>
      <c r="L58" s="92">
        <v>2262</v>
      </c>
      <c r="M58" s="92">
        <v>2262</v>
      </c>
      <c r="N58" s="92">
        <v>2262</v>
      </c>
      <c r="O58" s="92">
        <v>2489</v>
      </c>
      <c r="P58" s="92">
        <v>9050</v>
      </c>
      <c r="Q58" s="92">
        <v>3846</v>
      </c>
    </row>
    <row r="59" customHeight="1" spans="1:17">
      <c r="A59" s="91">
        <v>56</v>
      </c>
      <c r="B59" s="91">
        <v>620</v>
      </c>
      <c r="C59" s="91">
        <f t="shared" si="1"/>
        <v>28392</v>
      </c>
      <c r="D59" s="92"/>
      <c r="E59" s="92"/>
      <c r="F59" s="92"/>
      <c r="G59" s="92"/>
      <c r="H59" s="92"/>
      <c r="I59" s="92">
        <v>29</v>
      </c>
      <c r="J59" s="92">
        <v>216</v>
      </c>
      <c r="K59" s="92">
        <v>3671</v>
      </c>
      <c r="L59" s="92">
        <v>2448</v>
      </c>
      <c r="M59" s="92">
        <v>2448</v>
      </c>
      <c r="N59" s="92">
        <v>2448</v>
      </c>
      <c r="O59" s="92">
        <v>2692</v>
      </c>
      <c r="P59" s="92">
        <v>9790</v>
      </c>
      <c r="Q59" s="92">
        <v>4650</v>
      </c>
    </row>
    <row r="60" customHeight="1" spans="1:17">
      <c r="A60" s="91">
        <v>57</v>
      </c>
      <c r="B60" s="91">
        <v>640</v>
      </c>
      <c r="C60" s="91">
        <f t="shared" si="1"/>
        <v>31231</v>
      </c>
      <c r="D60" s="92"/>
      <c r="E60" s="92"/>
      <c r="F60" s="92"/>
      <c r="G60" s="92"/>
      <c r="H60" s="92"/>
      <c r="I60" s="92">
        <v>29</v>
      </c>
      <c r="J60" s="92">
        <v>216</v>
      </c>
      <c r="K60" s="92">
        <v>3973</v>
      </c>
      <c r="L60" s="92">
        <v>2648</v>
      </c>
      <c r="M60" s="92">
        <v>2648</v>
      </c>
      <c r="N60" s="92">
        <v>2648</v>
      </c>
      <c r="O60" s="92">
        <v>2913</v>
      </c>
      <c r="P60" s="92">
        <v>10594</v>
      </c>
      <c r="Q60" s="92">
        <v>5562</v>
      </c>
    </row>
    <row r="61" customHeight="1" spans="1:17">
      <c r="A61" s="91">
        <v>58</v>
      </c>
      <c r="B61" s="91">
        <v>660</v>
      </c>
      <c r="C61" s="91">
        <f t="shared" si="1"/>
        <v>34354</v>
      </c>
      <c r="D61" s="92"/>
      <c r="E61" s="92"/>
      <c r="F61" s="92"/>
      <c r="G61" s="92"/>
      <c r="H61" s="92"/>
      <c r="I61" s="92">
        <v>29</v>
      </c>
      <c r="J61" s="92">
        <v>216</v>
      </c>
      <c r="K61" s="92">
        <v>4300</v>
      </c>
      <c r="L61" s="92">
        <v>2866</v>
      </c>
      <c r="M61" s="92">
        <v>2866</v>
      </c>
      <c r="N61" s="92">
        <v>2866</v>
      </c>
      <c r="O61" s="92">
        <v>3153</v>
      </c>
      <c r="P61" s="92">
        <v>11465</v>
      </c>
      <c r="Q61" s="92">
        <v>6593</v>
      </c>
    </row>
    <row r="62" customHeight="1" spans="1:17">
      <c r="A62" s="91">
        <v>59</v>
      </c>
      <c r="B62" s="91">
        <v>680</v>
      </c>
      <c r="C62" s="91">
        <f t="shared" si="1"/>
        <v>37789</v>
      </c>
      <c r="D62" s="92"/>
      <c r="E62" s="92"/>
      <c r="F62" s="92"/>
      <c r="G62" s="92"/>
      <c r="H62" s="92"/>
      <c r="I62" s="92">
        <v>29</v>
      </c>
      <c r="J62" s="92">
        <v>216</v>
      </c>
      <c r="K62" s="92">
        <v>4654</v>
      </c>
      <c r="L62" s="92">
        <v>3103</v>
      </c>
      <c r="M62" s="92">
        <v>3103</v>
      </c>
      <c r="N62" s="92">
        <v>3103</v>
      </c>
      <c r="O62" s="92">
        <v>3413</v>
      </c>
      <c r="P62" s="92">
        <v>12411</v>
      </c>
      <c r="Q62" s="92">
        <v>7757</v>
      </c>
    </row>
    <row r="63" customHeight="1" spans="1:17">
      <c r="A63" s="91">
        <v>60</v>
      </c>
      <c r="B63" s="91">
        <v>700</v>
      </c>
      <c r="C63" s="91">
        <f t="shared" si="1"/>
        <v>41566</v>
      </c>
      <c r="D63" s="92"/>
      <c r="E63" s="92"/>
      <c r="F63" s="92"/>
      <c r="G63" s="92"/>
      <c r="H63" s="92"/>
      <c r="I63" s="92">
        <v>29</v>
      </c>
      <c r="J63" s="92">
        <v>216</v>
      </c>
      <c r="K63" s="92">
        <v>5080</v>
      </c>
      <c r="L63" s="92">
        <v>3387</v>
      </c>
      <c r="M63" s="92">
        <v>3387</v>
      </c>
      <c r="N63" s="92">
        <v>3387</v>
      </c>
      <c r="O63" s="92">
        <v>3387</v>
      </c>
      <c r="P63" s="92">
        <v>13548</v>
      </c>
      <c r="Q63" s="92">
        <v>9145</v>
      </c>
    </row>
    <row r="64" customHeight="1" spans="1:17">
      <c r="A64" s="91">
        <v>61</v>
      </c>
      <c r="B64" s="91">
        <v>720</v>
      </c>
      <c r="C64" s="91">
        <f t="shared" si="1"/>
        <v>45721</v>
      </c>
      <c r="D64" s="92"/>
      <c r="E64" s="92"/>
      <c r="F64" s="92"/>
      <c r="G64" s="92"/>
      <c r="H64" s="92"/>
      <c r="I64" s="92">
        <v>29</v>
      </c>
      <c r="J64" s="92">
        <v>216</v>
      </c>
      <c r="K64" s="92">
        <v>5457</v>
      </c>
      <c r="L64" s="92">
        <v>3638</v>
      </c>
      <c r="M64" s="92">
        <v>3638</v>
      </c>
      <c r="N64" s="92">
        <v>3638</v>
      </c>
      <c r="O64" s="92">
        <v>3638</v>
      </c>
      <c r="P64" s="92">
        <v>14553</v>
      </c>
      <c r="Q64" s="92">
        <v>10914</v>
      </c>
    </row>
    <row r="65" customHeight="1" spans="1:17">
      <c r="A65" s="91">
        <v>62</v>
      </c>
      <c r="B65" s="91">
        <v>740</v>
      </c>
      <c r="C65" s="91">
        <f t="shared" si="1"/>
        <v>50291</v>
      </c>
      <c r="D65" s="92"/>
      <c r="E65" s="92"/>
      <c r="F65" s="92"/>
      <c r="G65" s="92"/>
      <c r="H65" s="92"/>
      <c r="I65" s="92">
        <v>29</v>
      </c>
      <c r="J65" s="92">
        <v>216</v>
      </c>
      <c r="K65" s="92">
        <v>5958</v>
      </c>
      <c r="L65" s="92">
        <v>3972</v>
      </c>
      <c r="M65" s="92">
        <v>3972</v>
      </c>
      <c r="N65" s="92">
        <v>3972</v>
      </c>
      <c r="O65" s="92">
        <v>3972</v>
      </c>
      <c r="P65" s="92">
        <v>15887</v>
      </c>
      <c r="Q65" s="92">
        <v>12313</v>
      </c>
    </row>
    <row r="66" customHeight="1" spans="1:17">
      <c r="A66" s="91">
        <v>63</v>
      </c>
      <c r="B66" s="91">
        <v>760</v>
      </c>
      <c r="C66" s="91">
        <f t="shared" si="1"/>
        <v>55314</v>
      </c>
      <c r="D66" s="92"/>
      <c r="E66" s="92"/>
      <c r="F66" s="92"/>
      <c r="G66" s="92"/>
      <c r="H66" s="92"/>
      <c r="I66" s="92">
        <v>29</v>
      </c>
      <c r="J66" s="92">
        <v>216</v>
      </c>
      <c r="K66" s="92">
        <v>6504</v>
      </c>
      <c r="L66" s="92">
        <v>4336</v>
      </c>
      <c r="M66" s="92">
        <v>4336</v>
      </c>
      <c r="N66" s="92">
        <v>4336</v>
      </c>
      <c r="O66" s="92">
        <v>4336</v>
      </c>
      <c r="P66" s="92">
        <v>17345</v>
      </c>
      <c r="Q66" s="92">
        <v>13876</v>
      </c>
    </row>
    <row r="67" customHeight="1" spans="1:17">
      <c r="A67" s="91">
        <v>64</v>
      </c>
      <c r="B67" s="91">
        <v>780</v>
      </c>
      <c r="C67" s="91">
        <f t="shared" si="1"/>
        <v>60842</v>
      </c>
      <c r="D67" s="92"/>
      <c r="E67" s="92"/>
      <c r="F67" s="92"/>
      <c r="G67" s="92"/>
      <c r="H67" s="92"/>
      <c r="I67" s="92">
        <v>29</v>
      </c>
      <c r="J67" s="92">
        <v>216</v>
      </c>
      <c r="K67" s="92">
        <v>7101</v>
      </c>
      <c r="L67" s="92">
        <v>4734</v>
      </c>
      <c r="M67" s="92">
        <v>4734</v>
      </c>
      <c r="N67" s="92">
        <v>4734</v>
      </c>
      <c r="O67" s="92">
        <v>4734</v>
      </c>
      <c r="P67" s="92">
        <v>18937</v>
      </c>
      <c r="Q67" s="92">
        <v>15623</v>
      </c>
    </row>
    <row r="68" customHeight="1" spans="1:17">
      <c r="A68" s="91">
        <v>65</v>
      </c>
      <c r="B68" s="91">
        <v>800</v>
      </c>
      <c r="C68" s="91">
        <f t="shared" si="1"/>
        <v>66924</v>
      </c>
      <c r="D68" s="92"/>
      <c r="E68" s="92"/>
      <c r="F68" s="92"/>
      <c r="G68" s="92"/>
      <c r="H68" s="92"/>
      <c r="I68" s="92">
        <v>29</v>
      </c>
      <c r="J68" s="92">
        <v>216</v>
      </c>
      <c r="K68" s="92">
        <v>7753</v>
      </c>
      <c r="L68" s="92">
        <v>5169</v>
      </c>
      <c r="M68" s="92">
        <v>5169</v>
      </c>
      <c r="N68" s="92">
        <v>5169</v>
      </c>
      <c r="O68" s="92">
        <v>5169</v>
      </c>
      <c r="P68" s="92">
        <v>20676</v>
      </c>
      <c r="Q68" s="92">
        <v>17574</v>
      </c>
    </row>
    <row r="69" customHeight="1" spans="1:17">
      <c r="A69" s="91">
        <v>66</v>
      </c>
      <c r="B69" s="91">
        <v>820</v>
      </c>
      <c r="C69" s="91">
        <f t="shared" ref="C69:C102" si="2">SUM(D69:Q69)</f>
        <v>73614</v>
      </c>
      <c r="D69" s="92"/>
      <c r="E69" s="92"/>
      <c r="F69" s="92"/>
      <c r="G69" s="92"/>
      <c r="H69" s="92"/>
      <c r="I69" s="92">
        <v>29</v>
      </c>
      <c r="J69" s="92">
        <v>216</v>
      </c>
      <c r="K69" s="92">
        <v>8465</v>
      </c>
      <c r="L69" s="92">
        <v>5644</v>
      </c>
      <c r="M69" s="92">
        <v>5644</v>
      </c>
      <c r="N69" s="92">
        <v>5644</v>
      </c>
      <c r="O69" s="92">
        <v>5644</v>
      </c>
      <c r="P69" s="92">
        <v>22575</v>
      </c>
      <c r="Q69" s="92">
        <v>19753</v>
      </c>
    </row>
    <row r="70" customHeight="1" spans="1:17">
      <c r="A70" s="91">
        <v>67</v>
      </c>
      <c r="B70" s="91">
        <v>840</v>
      </c>
      <c r="C70" s="91">
        <f t="shared" si="2"/>
        <v>80969</v>
      </c>
      <c r="D70" s="92"/>
      <c r="E70" s="92"/>
      <c r="F70" s="92"/>
      <c r="G70" s="92"/>
      <c r="H70" s="92"/>
      <c r="I70" s="92">
        <v>29</v>
      </c>
      <c r="J70" s="92">
        <v>216</v>
      </c>
      <c r="K70" s="92">
        <v>9243</v>
      </c>
      <c r="L70" s="92">
        <v>6162</v>
      </c>
      <c r="M70" s="92">
        <v>6162</v>
      </c>
      <c r="N70" s="92">
        <v>6162</v>
      </c>
      <c r="O70" s="92">
        <v>6162</v>
      </c>
      <c r="P70" s="92">
        <v>24649</v>
      </c>
      <c r="Q70" s="92">
        <v>22184</v>
      </c>
    </row>
    <row r="71" customHeight="1" spans="1:17">
      <c r="A71" s="91">
        <v>68</v>
      </c>
      <c r="B71" s="91">
        <v>860</v>
      </c>
      <c r="C71" s="91">
        <f t="shared" si="2"/>
        <v>89064</v>
      </c>
      <c r="D71" s="92"/>
      <c r="E71" s="92"/>
      <c r="F71" s="92"/>
      <c r="G71" s="92"/>
      <c r="H71" s="92"/>
      <c r="I71" s="92">
        <v>29</v>
      </c>
      <c r="J71" s="92">
        <v>216</v>
      </c>
      <c r="K71" s="92">
        <v>10093</v>
      </c>
      <c r="L71" s="92">
        <v>6729</v>
      </c>
      <c r="M71" s="92">
        <v>6729</v>
      </c>
      <c r="N71" s="92">
        <v>6729</v>
      </c>
      <c r="O71" s="92">
        <v>6729</v>
      </c>
      <c r="P71" s="92">
        <v>26914</v>
      </c>
      <c r="Q71" s="92">
        <v>24896</v>
      </c>
    </row>
    <row r="72" customHeight="1" spans="1:17">
      <c r="A72" s="91">
        <v>69</v>
      </c>
      <c r="B72" s="91">
        <v>880</v>
      </c>
      <c r="C72" s="91">
        <f t="shared" si="2"/>
        <v>97963</v>
      </c>
      <c r="D72" s="92"/>
      <c r="E72" s="92"/>
      <c r="F72" s="92"/>
      <c r="G72" s="92"/>
      <c r="H72" s="92"/>
      <c r="I72" s="92">
        <v>29</v>
      </c>
      <c r="J72" s="92">
        <v>216</v>
      </c>
      <c r="K72" s="92">
        <v>11021</v>
      </c>
      <c r="L72" s="92">
        <v>7347</v>
      </c>
      <c r="M72" s="92">
        <v>7347</v>
      </c>
      <c r="N72" s="92">
        <v>7347</v>
      </c>
      <c r="O72" s="92">
        <v>7347</v>
      </c>
      <c r="P72" s="92">
        <v>29389</v>
      </c>
      <c r="Q72" s="92">
        <v>27920</v>
      </c>
    </row>
    <row r="73" customHeight="1" spans="1:17">
      <c r="A73" s="91">
        <v>70</v>
      </c>
      <c r="B73" s="91">
        <v>900</v>
      </c>
      <c r="C73" s="91">
        <f t="shared" si="2"/>
        <v>107757</v>
      </c>
      <c r="D73" s="92"/>
      <c r="E73" s="92"/>
      <c r="F73" s="92"/>
      <c r="G73" s="92"/>
      <c r="H73" s="92"/>
      <c r="I73" s="92">
        <v>29</v>
      </c>
      <c r="J73" s="92">
        <v>216</v>
      </c>
      <c r="K73" s="92">
        <v>11946</v>
      </c>
      <c r="L73" s="92">
        <v>7964</v>
      </c>
      <c r="M73" s="92">
        <v>7964</v>
      </c>
      <c r="N73" s="92">
        <v>7964</v>
      </c>
      <c r="O73" s="92">
        <v>7964</v>
      </c>
      <c r="P73" s="92">
        <v>31855</v>
      </c>
      <c r="Q73" s="92">
        <v>31855</v>
      </c>
    </row>
    <row r="74" customHeight="1" spans="1:17">
      <c r="A74" s="91">
        <v>71</v>
      </c>
      <c r="B74" s="91">
        <v>920</v>
      </c>
      <c r="C74" s="91">
        <f t="shared" si="2"/>
        <v>118527</v>
      </c>
      <c r="D74" s="92"/>
      <c r="E74" s="92"/>
      <c r="F74" s="92"/>
      <c r="G74" s="92"/>
      <c r="H74" s="92"/>
      <c r="I74" s="92">
        <v>29</v>
      </c>
      <c r="J74" s="92">
        <v>216</v>
      </c>
      <c r="K74" s="92">
        <v>13142</v>
      </c>
      <c r="L74" s="92">
        <v>8762</v>
      </c>
      <c r="M74" s="92">
        <v>8762</v>
      </c>
      <c r="N74" s="92">
        <v>8762</v>
      </c>
      <c r="O74" s="92">
        <v>8762</v>
      </c>
      <c r="P74" s="92">
        <v>35046</v>
      </c>
      <c r="Q74" s="92">
        <v>35046</v>
      </c>
    </row>
    <row r="75" customHeight="1" spans="1:17">
      <c r="A75" s="91">
        <v>72</v>
      </c>
      <c r="B75" s="91">
        <v>940</v>
      </c>
      <c r="C75" s="91">
        <f t="shared" si="2"/>
        <v>130372</v>
      </c>
      <c r="D75" s="92"/>
      <c r="E75" s="92"/>
      <c r="F75" s="92"/>
      <c r="G75" s="92"/>
      <c r="H75" s="92"/>
      <c r="I75" s="92">
        <v>29</v>
      </c>
      <c r="J75" s="92">
        <v>216</v>
      </c>
      <c r="K75" s="92">
        <v>14459</v>
      </c>
      <c r="L75" s="92">
        <v>9639</v>
      </c>
      <c r="M75" s="92">
        <v>9639</v>
      </c>
      <c r="N75" s="92">
        <v>9639</v>
      </c>
      <c r="O75" s="92">
        <v>9639</v>
      </c>
      <c r="P75" s="92">
        <v>38556</v>
      </c>
      <c r="Q75" s="92">
        <v>38556</v>
      </c>
    </row>
    <row r="76" customHeight="1" spans="1:17">
      <c r="A76" s="91">
        <v>73</v>
      </c>
      <c r="B76" s="91">
        <v>960</v>
      </c>
      <c r="C76" s="91">
        <f t="shared" si="2"/>
        <v>143401</v>
      </c>
      <c r="D76" s="92"/>
      <c r="E76" s="92"/>
      <c r="F76" s="92"/>
      <c r="G76" s="92"/>
      <c r="H76" s="92"/>
      <c r="I76" s="92">
        <v>29</v>
      </c>
      <c r="J76" s="92">
        <v>216</v>
      </c>
      <c r="K76" s="92">
        <v>15906</v>
      </c>
      <c r="L76" s="92">
        <v>10604</v>
      </c>
      <c r="M76" s="92">
        <v>10604</v>
      </c>
      <c r="N76" s="92">
        <v>10604</v>
      </c>
      <c r="O76" s="92">
        <v>10604</v>
      </c>
      <c r="P76" s="92">
        <v>42417</v>
      </c>
      <c r="Q76" s="92">
        <v>42417</v>
      </c>
    </row>
    <row r="77" customHeight="1" spans="1:17">
      <c r="A77" s="91">
        <v>74</v>
      </c>
      <c r="B77" s="91">
        <v>980</v>
      </c>
      <c r="C77" s="91">
        <f t="shared" si="2"/>
        <v>157736</v>
      </c>
      <c r="D77" s="92"/>
      <c r="E77" s="92"/>
      <c r="F77" s="92"/>
      <c r="G77" s="92"/>
      <c r="H77" s="92"/>
      <c r="I77" s="92">
        <v>29</v>
      </c>
      <c r="J77" s="92">
        <v>216</v>
      </c>
      <c r="K77" s="92">
        <v>17499</v>
      </c>
      <c r="L77" s="92">
        <v>11666</v>
      </c>
      <c r="M77" s="92">
        <v>11666</v>
      </c>
      <c r="N77" s="92">
        <v>11666</v>
      </c>
      <c r="O77" s="92">
        <v>11666</v>
      </c>
      <c r="P77" s="92">
        <v>46664</v>
      </c>
      <c r="Q77" s="92">
        <v>46664</v>
      </c>
    </row>
    <row r="78" customHeight="1" spans="1:17">
      <c r="A78" s="91">
        <v>75</v>
      </c>
      <c r="B78" s="91">
        <v>1000</v>
      </c>
      <c r="C78" s="91">
        <f t="shared" si="2"/>
        <v>173504</v>
      </c>
      <c r="D78" s="92"/>
      <c r="E78" s="92"/>
      <c r="F78" s="92"/>
      <c r="G78" s="92"/>
      <c r="H78" s="92"/>
      <c r="I78" s="92">
        <v>29</v>
      </c>
      <c r="J78" s="92">
        <v>216</v>
      </c>
      <c r="K78" s="92">
        <v>19251</v>
      </c>
      <c r="L78" s="92">
        <v>12834</v>
      </c>
      <c r="M78" s="92">
        <v>12834</v>
      </c>
      <c r="N78" s="92">
        <v>12834</v>
      </c>
      <c r="O78" s="92">
        <v>12834</v>
      </c>
      <c r="P78" s="92">
        <v>51336</v>
      </c>
      <c r="Q78" s="92">
        <v>51336</v>
      </c>
    </row>
    <row r="79" customHeight="1" spans="1:17">
      <c r="A79" s="91">
        <v>76</v>
      </c>
      <c r="B79" s="91">
        <v>1020</v>
      </c>
      <c r="C79" s="91">
        <f t="shared" si="2"/>
        <v>190849</v>
      </c>
      <c r="D79" s="92"/>
      <c r="E79" s="92"/>
      <c r="F79" s="92"/>
      <c r="G79" s="92"/>
      <c r="H79" s="92"/>
      <c r="I79" s="92">
        <v>29</v>
      </c>
      <c r="J79" s="92">
        <v>216</v>
      </c>
      <c r="K79" s="92">
        <v>21178</v>
      </c>
      <c r="L79" s="92">
        <v>14119</v>
      </c>
      <c r="M79" s="92">
        <v>14119</v>
      </c>
      <c r="N79" s="92">
        <v>14119</v>
      </c>
      <c r="O79" s="92">
        <v>14119</v>
      </c>
      <c r="P79" s="92">
        <v>56475</v>
      </c>
      <c r="Q79" s="92">
        <v>56475</v>
      </c>
    </row>
    <row r="80" customHeight="1" spans="1:17">
      <c r="A80" s="91">
        <v>77</v>
      </c>
      <c r="B80" s="91">
        <v>1040</v>
      </c>
      <c r="C80" s="91">
        <f t="shared" si="2"/>
        <v>209927</v>
      </c>
      <c r="D80" s="92"/>
      <c r="E80" s="92"/>
      <c r="F80" s="92"/>
      <c r="G80" s="92"/>
      <c r="H80" s="92"/>
      <c r="I80" s="92">
        <v>29</v>
      </c>
      <c r="J80" s="92">
        <v>216</v>
      </c>
      <c r="K80" s="92">
        <v>23298</v>
      </c>
      <c r="L80" s="92">
        <v>15532</v>
      </c>
      <c r="M80" s="92">
        <v>15532</v>
      </c>
      <c r="N80" s="92">
        <v>15532</v>
      </c>
      <c r="O80" s="92">
        <v>15532</v>
      </c>
      <c r="P80" s="92">
        <v>62128</v>
      </c>
      <c r="Q80" s="92">
        <v>62128</v>
      </c>
    </row>
    <row r="81" customHeight="1" spans="1:17">
      <c r="A81" s="91">
        <v>78</v>
      </c>
      <c r="B81" s="91">
        <v>1060</v>
      </c>
      <c r="C81" s="91">
        <f t="shared" si="2"/>
        <v>230911</v>
      </c>
      <c r="D81" s="92"/>
      <c r="E81" s="92"/>
      <c r="F81" s="92"/>
      <c r="G81" s="92"/>
      <c r="H81" s="92"/>
      <c r="I81" s="92">
        <v>29</v>
      </c>
      <c r="J81" s="92">
        <v>216</v>
      </c>
      <c r="K81" s="92">
        <v>25630</v>
      </c>
      <c r="L81" s="92">
        <v>17086</v>
      </c>
      <c r="M81" s="92">
        <v>17086</v>
      </c>
      <c r="N81" s="92">
        <v>17086</v>
      </c>
      <c r="O81" s="92">
        <v>17086</v>
      </c>
      <c r="P81" s="92">
        <v>68346</v>
      </c>
      <c r="Q81" s="92">
        <v>68346</v>
      </c>
    </row>
    <row r="82" customHeight="1" spans="1:17">
      <c r="A82" s="91">
        <v>79</v>
      </c>
      <c r="B82" s="91">
        <v>1080</v>
      </c>
      <c r="C82" s="91">
        <f t="shared" si="2"/>
        <v>253996</v>
      </c>
      <c r="D82" s="92"/>
      <c r="E82" s="92"/>
      <c r="F82" s="92"/>
      <c r="G82" s="92"/>
      <c r="H82" s="92"/>
      <c r="I82" s="92">
        <v>29</v>
      </c>
      <c r="J82" s="92">
        <v>216</v>
      </c>
      <c r="K82" s="92">
        <v>28195</v>
      </c>
      <c r="L82" s="92">
        <v>18796</v>
      </c>
      <c r="M82" s="92">
        <v>18796</v>
      </c>
      <c r="N82" s="92">
        <v>18796</v>
      </c>
      <c r="O82" s="92">
        <v>18796</v>
      </c>
      <c r="P82" s="92">
        <v>75186</v>
      </c>
      <c r="Q82" s="92">
        <v>75186</v>
      </c>
    </row>
    <row r="83" customHeight="1" spans="1:17">
      <c r="A83" s="91">
        <v>80</v>
      </c>
      <c r="B83" s="91">
        <v>1100</v>
      </c>
      <c r="C83" s="91">
        <f t="shared" si="2"/>
        <v>279389</v>
      </c>
      <c r="D83" s="92"/>
      <c r="E83" s="92"/>
      <c r="F83" s="92"/>
      <c r="G83" s="92"/>
      <c r="H83" s="92"/>
      <c r="I83" s="92">
        <v>29</v>
      </c>
      <c r="J83" s="92">
        <v>216</v>
      </c>
      <c r="K83" s="92">
        <v>31016</v>
      </c>
      <c r="L83" s="92">
        <v>20677</v>
      </c>
      <c r="M83" s="92">
        <v>20677</v>
      </c>
      <c r="N83" s="92">
        <v>20677</v>
      </c>
      <c r="O83" s="92">
        <v>20677</v>
      </c>
      <c r="P83" s="92">
        <v>82710</v>
      </c>
      <c r="Q83" s="92">
        <v>82710</v>
      </c>
    </row>
    <row r="84" customHeight="1" spans="1:17">
      <c r="A84" s="91">
        <v>81</v>
      </c>
      <c r="B84" s="91">
        <v>1120</v>
      </c>
      <c r="C84" s="91">
        <f t="shared" si="2"/>
        <v>307325</v>
      </c>
      <c r="D84" s="92"/>
      <c r="E84" s="92"/>
      <c r="F84" s="92"/>
      <c r="G84" s="92"/>
      <c r="H84" s="92"/>
      <c r="I84" s="92">
        <v>29</v>
      </c>
      <c r="J84" s="92">
        <v>216</v>
      </c>
      <c r="K84" s="92">
        <v>34120</v>
      </c>
      <c r="L84" s="92">
        <v>22747</v>
      </c>
      <c r="M84" s="92">
        <v>22747</v>
      </c>
      <c r="N84" s="92">
        <v>22747</v>
      </c>
      <c r="O84" s="92">
        <v>22747</v>
      </c>
      <c r="P84" s="92">
        <v>90986</v>
      </c>
      <c r="Q84" s="92">
        <v>90986</v>
      </c>
    </row>
    <row r="85" customHeight="1" spans="1:17">
      <c r="A85" s="91">
        <v>82</v>
      </c>
      <c r="B85" s="91">
        <v>1140</v>
      </c>
      <c r="C85" s="91">
        <f t="shared" si="2"/>
        <v>338051</v>
      </c>
      <c r="D85" s="92"/>
      <c r="E85" s="92"/>
      <c r="F85" s="92"/>
      <c r="G85" s="92"/>
      <c r="H85" s="92"/>
      <c r="I85" s="92">
        <v>29</v>
      </c>
      <c r="J85" s="92">
        <v>216</v>
      </c>
      <c r="K85" s="92">
        <v>37534</v>
      </c>
      <c r="L85" s="92">
        <v>25023</v>
      </c>
      <c r="M85" s="92">
        <v>25023</v>
      </c>
      <c r="N85" s="92">
        <v>25023</v>
      </c>
      <c r="O85" s="92">
        <v>25023</v>
      </c>
      <c r="P85" s="92">
        <v>100090</v>
      </c>
      <c r="Q85" s="92">
        <v>100090</v>
      </c>
    </row>
    <row r="86" customHeight="1" spans="1:17">
      <c r="A86" s="91">
        <v>83</v>
      </c>
      <c r="B86" s="91">
        <v>1160</v>
      </c>
      <c r="C86" s="91">
        <f t="shared" si="2"/>
        <v>371848</v>
      </c>
      <c r="D86" s="92"/>
      <c r="E86" s="92"/>
      <c r="F86" s="92"/>
      <c r="G86" s="92"/>
      <c r="H86" s="92"/>
      <c r="I86" s="92">
        <v>29</v>
      </c>
      <c r="J86" s="92">
        <v>216</v>
      </c>
      <c r="K86" s="92">
        <v>41289</v>
      </c>
      <c r="L86" s="92">
        <v>27526</v>
      </c>
      <c r="M86" s="92">
        <v>27526</v>
      </c>
      <c r="N86" s="92">
        <v>27526</v>
      </c>
      <c r="O86" s="92">
        <v>27526</v>
      </c>
      <c r="P86" s="92">
        <v>110105</v>
      </c>
      <c r="Q86" s="92">
        <v>110105</v>
      </c>
    </row>
    <row r="87" customHeight="1" spans="1:17">
      <c r="A87" s="91">
        <v>84</v>
      </c>
      <c r="B87" s="91">
        <v>1180</v>
      </c>
      <c r="C87" s="91">
        <f t="shared" si="2"/>
        <v>409025</v>
      </c>
      <c r="D87" s="92"/>
      <c r="E87" s="92"/>
      <c r="F87" s="92"/>
      <c r="G87" s="92"/>
      <c r="H87" s="92"/>
      <c r="I87" s="92">
        <v>29</v>
      </c>
      <c r="J87" s="92">
        <v>216</v>
      </c>
      <c r="K87" s="92">
        <v>45420</v>
      </c>
      <c r="L87" s="92">
        <v>30280</v>
      </c>
      <c r="M87" s="92">
        <v>30280</v>
      </c>
      <c r="N87" s="92">
        <v>30280</v>
      </c>
      <c r="O87" s="92">
        <v>30280</v>
      </c>
      <c r="P87" s="92">
        <v>121120</v>
      </c>
      <c r="Q87" s="92">
        <v>121120</v>
      </c>
    </row>
    <row r="88" customHeight="1" spans="1:17">
      <c r="A88" s="91">
        <v>85</v>
      </c>
      <c r="B88" s="91">
        <v>1200</v>
      </c>
      <c r="C88" s="91">
        <f t="shared" si="2"/>
        <v>449921</v>
      </c>
      <c r="D88" s="92"/>
      <c r="E88" s="92"/>
      <c r="F88" s="92"/>
      <c r="G88" s="92"/>
      <c r="H88" s="92"/>
      <c r="I88" s="92">
        <v>29</v>
      </c>
      <c r="J88" s="92">
        <v>216</v>
      </c>
      <c r="K88" s="92">
        <v>49964</v>
      </c>
      <c r="L88" s="92">
        <v>33309</v>
      </c>
      <c r="M88" s="92">
        <v>33309</v>
      </c>
      <c r="N88" s="92">
        <v>33309</v>
      </c>
      <c r="O88" s="92">
        <v>33309</v>
      </c>
      <c r="P88" s="92">
        <v>133238</v>
      </c>
      <c r="Q88" s="92">
        <v>133238</v>
      </c>
    </row>
    <row r="89" customHeight="1" spans="1:17">
      <c r="A89" s="91">
        <v>86</v>
      </c>
      <c r="B89" s="91">
        <v>1220</v>
      </c>
      <c r="C89" s="91">
        <f t="shared" si="2"/>
        <v>494910</v>
      </c>
      <c r="D89" s="92"/>
      <c r="E89" s="92"/>
      <c r="F89" s="92"/>
      <c r="G89" s="92"/>
      <c r="H89" s="92"/>
      <c r="I89" s="92">
        <v>29</v>
      </c>
      <c r="J89" s="92">
        <v>216</v>
      </c>
      <c r="K89" s="92">
        <v>54963</v>
      </c>
      <c r="L89" s="92">
        <v>36642</v>
      </c>
      <c r="M89" s="92">
        <v>36642</v>
      </c>
      <c r="N89" s="92">
        <v>36642</v>
      </c>
      <c r="O89" s="92">
        <v>36642</v>
      </c>
      <c r="P89" s="92">
        <v>146567</v>
      </c>
      <c r="Q89" s="92">
        <v>146567</v>
      </c>
    </row>
    <row r="90" customHeight="1" spans="1:17">
      <c r="A90" s="91">
        <v>87</v>
      </c>
      <c r="B90" s="91">
        <v>1240</v>
      </c>
      <c r="C90" s="91">
        <f t="shared" si="2"/>
        <v>544392</v>
      </c>
      <c r="D90" s="92"/>
      <c r="E90" s="92"/>
      <c r="F90" s="92"/>
      <c r="G90" s="92"/>
      <c r="H90" s="92"/>
      <c r="I90" s="92">
        <v>29</v>
      </c>
      <c r="J90" s="92">
        <v>216</v>
      </c>
      <c r="K90" s="92">
        <v>60461</v>
      </c>
      <c r="L90" s="92">
        <v>40307</v>
      </c>
      <c r="M90" s="92">
        <v>40307</v>
      </c>
      <c r="N90" s="92">
        <v>40307</v>
      </c>
      <c r="O90" s="92">
        <v>40307</v>
      </c>
      <c r="P90" s="92">
        <v>161229</v>
      </c>
      <c r="Q90" s="92">
        <v>161229</v>
      </c>
    </row>
    <row r="91" customHeight="1" spans="1:17">
      <c r="A91" s="91">
        <v>88</v>
      </c>
      <c r="B91" s="91">
        <v>1260</v>
      </c>
      <c r="C91" s="91">
        <f t="shared" si="2"/>
        <v>598824</v>
      </c>
      <c r="D91" s="92"/>
      <c r="E91" s="92"/>
      <c r="F91" s="92"/>
      <c r="G91" s="92"/>
      <c r="H91" s="92"/>
      <c r="I91" s="92">
        <v>29</v>
      </c>
      <c r="J91" s="92">
        <v>216</v>
      </c>
      <c r="K91" s="92">
        <v>66509</v>
      </c>
      <c r="L91" s="92">
        <v>44339</v>
      </c>
      <c r="M91" s="92">
        <v>44339</v>
      </c>
      <c r="N91" s="92">
        <v>44339</v>
      </c>
      <c r="O91" s="92">
        <v>44339</v>
      </c>
      <c r="P91" s="92">
        <v>177357</v>
      </c>
      <c r="Q91" s="92">
        <v>177357</v>
      </c>
    </row>
    <row r="92" customHeight="1" spans="1:17">
      <c r="A92" s="91">
        <v>89</v>
      </c>
      <c r="B92" s="91">
        <v>1280</v>
      </c>
      <c r="C92" s="91">
        <f t="shared" si="2"/>
        <v>658705</v>
      </c>
      <c r="D92" s="92"/>
      <c r="E92" s="92"/>
      <c r="F92" s="92"/>
      <c r="G92" s="92"/>
      <c r="H92" s="92"/>
      <c r="I92" s="92">
        <v>29</v>
      </c>
      <c r="J92" s="92">
        <v>216</v>
      </c>
      <c r="K92" s="92">
        <v>73162</v>
      </c>
      <c r="L92" s="92">
        <v>48775</v>
      </c>
      <c r="M92" s="92">
        <v>48775</v>
      </c>
      <c r="N92" s="92">
        <v>48775</v>
      </c>
      <c r="O92" s="92">
        <v>48775</v>
      </c>
      <c r="P92" s="92">
        <v>195099</v>
      </c>
      <c r="Q92" s="92">
        <v>195099</v>
      </c>
    </row>
    <row r="93" customHeight="1" spans="1:17">
      <c r="A93" s="91">
        <v>90</v>
      </c>
      <c r="B93" s="91">
        <v>1300</v>
      </c>
      <c r="C93" s="91">
        <f t="shared" si="2"/>
        <v>724565</v>
      </c>
      <c r="D93" s="92"/>
      <c r="E93" s="92"/>
      <c r="F93" s="92"/>
      <c r="G93" s="92"/>
      <c r="H93" s="92"/>
      <c r="I93" s="92">
        <v>29</v>
      </c>
      <c r="J93" s="92">
        <v>216</v>
      </c>
      <c r="K93" s="92">
        <v>80480</v>
      </c>
      <c r="L93" s="92">
        <v>53653</v>
      </c>
      <c r="M93" s="92">
        <v>53653</v>
      </c>
      <c r="N93" s="92">
        <v>53653</v>
      </c>
      <c r="O93" s="92">
        <v>53653</v>
      </c>
      <c r="P93" s="92">
        <v>214614</v>
      </c>
      <c r="Q93" s="92">
        <v>214614</v>
      </c>
    </row>
    <row r="94" customHeight="1" spans="1:17">
      <c r="A94" s="91">
        <v>91</v>
      </c>
      <c r="B94" s="91">
        <v>1320</v>
      </c>
      <c r="C94" s="91">
        <f t="shared" si="2"/>
        <v>797017</v>
      </c>
      <c r="D94" s="92"/>
      <c r="E94" s="92"/>
      <c r="F94" s="92"/>
      <c r="G94" s="92"/>
      <c r="H94" s="92"/>
      <c r="I94" s="92">
        <v>29</v>
      </c>
      <c r="J94" s="92">
        <v>216</v>
      </c>
      <c r="K94" s="92">
        <v>88530</v>
      </c>
      <c r="L94" s="92">
        <v>59020</v>
      </c>
      <c r="M94" s="92">
        <v>59020</v>
      </c>
      <c r="N94" s="92">
        <v>59020</v>
      </c>
      <c r="O94" s="92">
        <v>59020</v>
      </c>
      <c r="P94" s="92">
        <v>236081</v>
      </c>
      <c r="Q94" s="92">
        <v>236081</v>
      </c>
    </row>
    <row r="95" customHeight="1" spans="1:17">
      <c r="A95" s="91">
        <v>92</v>
      </c>
      <c r="B95" s="91">
        <v>1340</v>
      </c>
      <c r="C95" s="91">
        <f t="shared" si="2"/>
        <v>876710</v>
      </c>
      <c r="D95" s="92"/>
      <c r="E95" s="92"/>
      <c r="F95" s="92"/>
      <c r="G95" s="92"/>
      <c r="H95" s="92"/>
      <c r="I95" s="92">
        <v>29</v>
      </c>
      <c r="J95" s="92">
        <v>216</v>
      </c>
      <c r="K95" s="92">
        <v>97385</v>
      </c>
      <c r="L95" s="92">
        <v>64923</v>
      </c>
      <c r="M95" s="92">
        <v>64923</v>
      </c>
      <c r="N95" s="92">
        <v>64923</v>
      </c>
      <c r="O95" s="92">
        <v>64923</v>
      </c>
      <c r="P95" s="92">
        <v>259694</v>
      </c>
      <c r="Q95" s="92">
        <v>259694</v>
      </c>
    </row>
    <row r="96" customHeight="1" spans="1:17">
      <c r="A96" s="91">
        <v>93</v>
      </c>
      <c r="B96" s="91">
        <v>1360</v>
      </c>
      <c r="C96" s="91">
        <f t="shared" si="2"/>
        <v>964377</v>
      </c>
      <c r="D96" s="92"/>
      <c r="E96" s="92"/>
      <c r="F96" s="92"/>
      <c r="G96" s="92"/>
      <c r="H96" s="92"/>
      <c r="I96" s="92">
        <v>29</v>
      </c>
      <c r="J96" s="92">
        <v>216</v>
      </c>
      <c r="K96" s="92">
        <v>107126</v>
      </c>
      <c r="L96" s="92">
        <v>71417</v>
      </c>
      <c r="M96" s="92">
        <v>71417</v>
      </c>
      <c r="N96" s="92">
        <v>71417</v>
      </c>
      <c r="O96" s="92">
        <v>71417</v>
      </c>
      <c r="P96" s="92">
        <v>285669</v>
      </c>
      <c r="Q96" s="92">
        <v>285669</v>
      </c>
    </row>
    <row r="97" customHeight="1" spans="1:17">
      <c r="A97" s="91">
        <v>94</v>
      </c>
      <c r="B97" s="91">
        <v>1380</v>
      </c>
      <c r="C97" s="91">
        <f t="shared" si="2"/>
        <v>1060807</v>
      </c>
      <c r="D97" s="92"/>
      <c r="E97" s="92"/>
      <c r="F97" s="92"/>
      <c r="G97" s="92"/>
      <c r="H97" s="92"/>
      <c r="I97" s="92">
        <v>29</v>
      </c>
      <c r="J97" s="92">
        <v>216</v>
      </c>
      <c r="K97" s="92">
        <v>117840</v>
      </c>
      <c r="L97" s="92">
        <v>78560</v>
      </c>
      <c r="M97" s="92">
        <v>78560</v>
      </c>
      <c r="N97" s="92">
        <v>78560</v>
      </c>
      <c r="O97" s="92">
        <v>78560</v>
      </c>
      <c r="P97" s="92">
        <v>314241</v>
      </c>
      <c r="Q97" s="92">
        <v>314241</v>
      </c>
    </row>
    <row r="98" customHeight="1" spans="1:17">
      <c r="A98" s="91">
        <v>95</v>
      </c>
      <c r="B98" s="91">
        <v>1400</v>
      </c>
      <c r="C98" s="91">
        <f t="shared" si="2"/>
        <v>1166883</v>
      </c>
      <c r="D98" s="92"/>
      <c r="E98" s="92"/>
      <c r="F98" s="92"/>
      <c r="G98" s="92"/>
      <c r="H98" s="92"/>
      <c r="I98" s="92">
        <v>29</v>
      </c>
      <c r="J98" s="92">
        <v>216</v>
      </c>
      <c r="K98" s="92">
        <v>129626</v>
      </c>
      <c r="L98" s="92">
        <v>86418</v>
      </c>
      <c r="M98" s="92">
        <v>86418</v>
      </c>
      <c r="N98" s="92">
        <v>86418</v>
      </c>
      <c r="O98" s="92">
        <v>86418</v>
      </c>
      <c r="P98" s="92">
        <v>345670</v>
      </c>
      <c r="Q98" s="92">
        <v>345670</v>
      </c>
    </row>
    <row r="99" customHeight="1" spans="1:17">
      <c r="A99" s="91">
        <v>96</v>
      </c>
      <c r="B99" s="91">
        <v>1420</v>
      </c>
      <c r="C99" s="91">
        <f t="shared" si="2"/>
        <v>1283566</v>
      </c>
      <c r="D99" s="92"/>
      <c r="E99" s="92"/>
      <c r="F99" s="92"/>
      <c r="G99" s="92"/>
      <c r="H99" s="92"/>
      <c r="I99" s="92">
        <v>29</v>
      </c>
      <c r="J99" s="92">
        <v>216</v>
      </c>
      <c r="K99" s="92">
        <v>142591</v>
      </c>
      <c r="L99" s="92">
        <v>95061</v>
      </c>
      <c r="M99" s="92">
        <v>95061</v>
      </c>
      <c r="N99" s="92">
        <v>95061</v>
      </c>
      <c r="O99" s="92">
        <v>95061</v>
      </c>
      <c r="P99" s="92">
        <v>380243</v>
      </c>
      <c r="Q99" s="92">
        <v>380243</v>
      </c>
    </row>
    <row r="100" customHeight="1" spans="1:17">
      <c r="A100" s="91">
        <v>97</v>
      </c>
      <c r="B100" s="91">
        <v>1440</v>
      </c>
      <c r="C100" s="91">
        <f t="shared" si="2"/>
        <v>1411915</v>
      </c>
      <c r="D100" s="92"/>
      <c r="E100" s="92"/>
      <c r="F100" s="92"/>
      <c r="G100" s="92"/>
      <c r="H100" s="92"/>
      <c r="I100" s="92">
        <v>29</v>
      </c>
      <c r="J100" s="92">
        <v>216</v>
      </c>
      <c r="K100" s="92">
        <v>156852</v>
      </c>
      <c r="L100" s="92">
        <v>104568</v>
      </c>
      <c r="M100" s="92">
        <v>104568</v>
      </c>
      <c r="N100" s="92">
        <v>104568</v>
      </c>
      <c r="O100" s="92">
        <v>104568</v>
      </c>
      <c r="P100" s="92">
        <v>418273</v>
      </c>
      <c r="Q100" s="92">
        <v>418273</v>
      </c>
    </row>
    <row r="101" customHeight="1" spans="1:17">
      <c r="A101" s="91">
        <v>98</v>
      </c>
      <c r="B101" s="91">
        <v>1460</v>
      </c>
      <c r="C101" s="91">
        <f t="shared" si="2"/>
        <v>1553098</v>
      </c>
      <c r="D101" s="92"/>
      <c r="E101" s="92"/>
      <c r="F101" s="92"/>
      <c r="G101" s="92"/>
      <c r="H101" s="92"/>
      <c r="I101" s="92">
        <v>29</v>
      </c>
      <c r="J101" s="92">
        <v>216</v>
      </c>
      <c r="K101" s="92">
        <v>172539</v>
      </c>
      <c r="L101" s="92">
        <v>115026</v>
      </c>
      <c r="M101" s="92">
        <v>115026</v>
      </c>
      <c r="N101" s="92">
        <v>115026</v>
      </c>
      <c r="O101" s="92">
        <v>115026</v>
      </c>
      <c r="P101" s="92">
        <v>460105</v>
      </c>
      <c r="Q101" s="92">
        <v>460105</v>
      </c>
    </row>
    <row r="102" customHeight="1" spans="1:17">
      <c r="A102" s="91">
        <v>99</v>
      </c>
      <c r="B102" s="91">
        <v>1480</v>
      </c>
      <c r="C102" s="91">
        <f t="shared" si="2"/>
        <v>1708402</v>
      </c>
      <c r="D102" s="92"/>
      <c r="E102" s="92"/>
      <c r="F102" s="92"/>
      <c r="G102" s="92"/>
      <c r="H102" s="92"/>
      <c r="I102" s="92">
        <v>29</v>
      </c>
      <c r="J102" s="92">
        <v>216</v>
      </c>
      <c r="K102" s="92">
        <v>189795</v>
      </c>
      <c r="L102" s="92">
        <v>126530</v>
      </c>
      <c r="M102" s="92">
        <v>126530</v>
      </c>
      <c r="N102" s="92">
        <v>126530</v>
      </c>
      <c r="O102" s="92">
        <v>126530</v>
      </c>
      <c r="P102" s="92">
        <v>506121</v>
      </c>
      <c r="Q102" s="92">
        <v>506121</v>
      </c>
    </row>
    <row r="103" customFormat="1" customHeight="1" spans="2:3">
      <c r="B103" s="1"/>
      <c r="C103" s="1"/>
    </row>
    <row r="104" customFormat="1" customHeight="1" spans="2:3">
      <c r="B104" s="1"/>
      <c r="C104" s="1"/>
    </row>
    <row r="105" customFormat="1" customHeight="1" spans="2:3">
      <c r="B105" s="1"/>
      <c r="C105" s="1"/>
    </row>
    <row r="106" customFormat="1" customHeight="1" spans="2:3">
      <c r="B106" s="1"/>
      <c r="C106" s="1"/>
    </row>
    <row r="107" customFormat="1" customHeight="1" spans="2:3">
      <c r="B107" s="1"/>
      <c r="C107" s="1"/>
    </row>
    <row r="108" customFormat="1" customHeight="1" spans="2:3">
      <c r="B108" s="1"/>
      <c r="C108" s="1"/>
    </row>
    <row r="109" customFormat="1" customHeight="1" spans="2:3">
      <c r="B109" s="1"/>
      <c r="C109" s="1"/>
    </row>
    <row r="110" customFormat="1" customHeight="1" spans="2:3">
      <c r="B110" s="1"/>
      <c r="C110" s="1"/>
    </row>
    <row r="111" customFormat="1" customHeight="1" spans="2:3">
      <c r="B111" s="1"/>
      <c r="C111" s="1"/>
    </row>
    <row r="112" customFormat="1" customHeight="1" spans="2:3">
      <c r="B112" s="1"/>
      <c r="C112" s="1"/>
    </row>
    <row r="113" customFormat="1" customHeight="1" spans="2:3">
      <c r="B113" s="1"/>
      <c r="C113" s="1"/>
    </row>
    <row r="114" customFormat="1" customHeight="1" spans="2:3">
      <c r="B114" s="1"/>
      <c r="C114" s="1"/>
    </row>
    <row r="115" customFormat="1" customHeight="1" spans="2:3">
      <c r="B115" s="1"/>
      <c r="C115" s="1"/>
    </row>
    <row r="116" customFormat="1" customHeight="1" spans="2:3">
      <c r="B116" s="1"/>
      <c r="C116" s="1"/>
    </row>
    <row r="117" customFormat="1" customHeight="1" spans="2:3">
      <c r="B117" s="1"/>
      <c r="C117" s="1"/>
    </row>
    <row r="118" customFormat="1" customHeight="1" spans="2:3">
      <c r="B118" s="1"/>
      <c r="C118" s="1"/>
    </row>
    <row r="119" customFormat="1" customHeight="1" spans="2:3">
      <c r="B119" s="1"/>
      <c r="C119" s="1"/>
    </row>
    <row r="120" customFormat="1" customHeight="1" spans="2:3">
      <c r="B120" s="1"/>
      <c r="C120" s="1"/>
    </row>
    <row r="121" customFormat="1" customHeight="1" spans="2:3">
      <c r="B121" s="1"/>
      <c r="C121" s="1"/>
    </row>
    <row r="122" customFormat="1" customHeight="1" spans="2:3">
      <c r="B122" s="1"/>
      <c r="C122" s="1"/>
    </row>
    <row r="123" customFormat="1" customHeight="1" spans="2:3">
      <c r="B123" s="1"/>
      <c r="C123" s="1"/>
    </row>
    <row r="124" customFormat="1" customHeight="1" spans="2:3">
      <c r="B124" s="1"/>
      <c r="C124" s="1"/>
    </row>
    <row r="125" customFormat="1" customHeight="1" spans="2:3">
      <c r="B125" s="1"/>
      <c r="C125" s="1"/>
    </row>
    <row r="126" customFormat="1" customHeight="1" spans="2:3">
      <c r="B126" s="1"/>
      <c r="C126" s="1"/>
    </row>
    <row r="127" customFormat="1" customHeight="1" spans="2:3">
      <c r="B127" s="1"/>
      <c r="C127" s="1"/>
    </row>
    <row r="128" customFormat="1" customHeight="1" spans="2:3">
      <c r="B128" s="1"/>
      <c r="C128" s="1"/>
    </row>
    <row r="129" customFormat="1" customHeight="1" spans="2:3">
      <c r="B129" s="1"/>
      <c r="C129" s="1"/>
    </row>
    <row r="130" customFormat="1" customHeight="1" spans="2:3">
      <c r="B130" s="1"/>
      <c r="C130" s="1"/>
    </row>
    <row r="131" customFormat="1" customHeight="1" spans="2:3">
      <c r="B131" s="1"/>
      <c r="C131" s="1"/>
    </row>
    <row r="132" customFormat="1" customHeight="1" spans="2:3">
      <c r="B132" s="1"/>
      <c r="C132" s="1"/>
    </row>
    <row r="133" customFormat="1" customHeight="1" spans="2:3">
      <c r="B133" s="1"/>
      <c r="C133" s="1"/>
    </row>
    <row r="134" customFormat="1" customHeight="1" spans="2:3">
      <c r="B134" s="1"/>
      <c r="C134" s="1"/>
    </row>
    <row r="135" customFormat="1" customHeight="1" spans="2:3">
      <c r="B135" s="1"/>
      <c r="C135" s="1"/>
    </row>
    <row r="136" customFormat="1" customHeight="1" spans="2:3">
      <c r="B136" s="1"/>
      <c r="C136" s="1"/>
    </row>
    <row r="137" customFormat="1" customHeight="1" spans="2:3">
      <c r="B137" s="1"/>
      <c r="C137" s="1"/>
    </row>
    <row r="138" customFormat="1" customHeight="1" spans="2:3">
      <c r="B138" s="1"/>
      <c r="C138" s="1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H22"/>
  <sheetViews>
    <sheetView showGridLines="0" workbookViewId="0">
      <selection activeCell="F8" sqref="F8"/>
    </sheetView>
  </sheetViews>
  <sheetFormatPr defaultColWidth="9" defaultRowHeight="20" customHeight="1" outlineLevelCol="7"/>
  <cols>
    <col min="1" max="1" width="14.75" customWidth="1"/>
    <col min="2" max="2" width="9.625" customWidth="1"/>
    <col min="3" max="5" width="14.625" customWidth="1"/>
    <col min="6" max="7" width="9.875" customWidth="1"/>
    <col min="8" max="8" width="38.25" customWidth="1"/>
    <col min="9" max="9" width="11.75" customWidth="1"/>
  </cols>
  <sheetData>
    <row r="2" ht="36" customHeight="1" spans="1:8">
      <c r="A2" s="2" t="s">
        <v>185</v>
      </c>
      <c r="B2" s="2" t="s">
        <v>186</v>
      </c>
      <c r="C2" s="2" t="s">
        <v>187</v>
      </c>
      <c r="D2" s="9" t="s">
        <v>188</v>
      </c>
      <c r="E2" s="2" t="s">
        <v>189</v>
      </c>
      <c r="F2" s="2" t="s">
        <v>190</v>
      </c>
      <c r="G2" s="2" t="s">
        <v>191</v>
      </c>
      <c r="H2" s="2" t="s">
        <v>192</v>
      </c>
    </row>
    <row r="3" customHeight="1" spans="1:6">
      <c r="A3" t="s">
        <v>193</v>
      </c>
      <c r="B3" t="s">
        <v>194</v>
      </c>
      <c r="C3">
        <v>20</v>
      </c>
      <c r="D3">
        <f t="shared" ref="D3:D16" si="0">E3/10000</f>
        <v>0.0934</v>
      </c>
      <c r="E3">
        <f>VLOOKUP(C3,生活水平!$A$4:$C$102,3,FALSE)</f>
        <v>934</v>
      </c>
      <c r="F3">
        <v>20</v>
      </c>
    </row>
    <row r="4" customHeight="1" spans="1:6">
      <c r="A4" t="s">
        <v>195</v>
      </c>
      <c r="B4" t="s">
        <v>194</v>
      </c>
      <c r="C4">
        <v>20</v>
      </c>
      <c r="D4">
        <f t="shared" si="0"/>
        <v>0.0934</v>
      </c>
      <c r="E4">
        <f>VLOOKUP(C4,生活水平!$A$4:$C$102,3,FALSE)</f>
        <v>934</v>
      </c>
      <c r="F4">
        <v>6</v>
      </c>
    </row>
    <row r="5" customHeight="1" spans="1:6">
      <c r="A5" t="s">
        <v>196</v>
      </c>
      <c r="B5" t="s">
        <v>194</v>
      </c>
      <c r="C5">
        <v>20</v>
      </c>
      <c r="D5">
        <f t="shared" si="0"/>
        <v>0.0934</v>
      </c>
      <c r="E5">
        <f>VLOOKUP(C5,生活水平!$A$4:$C$102,3,FALSE)</f>
        <v>934</v>
      </c>
      <c r="F5">
        <v>18</v>
      </c>
    </row>
    <row r="6" customHeight="1" spans="1:6">
      <c r="A6" t="s">
        <v>197</v>
      </c>
      <c r="B6" t="s">
        <v>198</v>
      </c>
      <c r="C6">
        <v>10</v>
      </c>
      <c r="D6">
        <f t="shared" si="0"/>
        <v>0.0354</v>
      </c>
      <c r="E6">
        <f>VLOOKUP(C6,生活水平!$A$4:$C$102,3,FALSE)</f>
        <v>354</v>
      </c>
      <c r="F6">
        <v>3</v>
      </c>
    </row>
    <row r="7" customHeight="1" spans="1:6">
      <c r="A7" t="s">
        <v>199</v>
      </c>
      <c r="B7" t="s">
        <v>198</v>
      </c>
      <c r="C7">
        <v>10</v>
      </c>
      <c r="D7">
        <f t="shared" si="0"/>
        <v>0.0354</v>
      </c>
      <c r="E7">
        <f>VLOOKUP(C7,生活水平!$A$4:$C$102,3,FALSE)</f>
        <v>354</v>
      </c>
      <c r="F7">
        <v>3</v>
      </c>
    </row>
    <row r="8" customHeight="1" spans="1:6">
      <c r="A8" t="s">
        <v>200</v>
      </c>
      <c r="B8" t="s">
        <v>198</v>
      </c>
      <c r="C8">
        <v>10</v>
      </c>
      <c r="D8">
        <f t="shared" si="0"/>
        <v>0.0354</v>
      </c>
      <c r="E8">
        <f>VLOOKUP(C8,生活水平!$A$4:$C$102,3,FALSE)</f>
        <v>354</v>
      </c>
      <c r="F8">
        <v>3</v>
      </c>
    </row>
    <row r="9" customHeight="1" spans="1:6">
      <c r="A9" t="s">
        <v>201</v>
      </c>
      <c r="B9" t="s">
        <v>198</v>
      </c>
      <c r="C9">
        <v>10</v>
      </c>
      <c r="D9">
        <f t="shared" si="0"/>
        <v>0.0354</v>
      </c>
      <c r="E9">
        <f>VLOOKUP(C9,生活水平!$A$4:$C$102,3,FALSE)</f>
        <v>354</v>
      </c>
      <c r="F9">
        <v>4</v>
      </c>
    </row>
    <row r="10" customHeight="1" spans="1:6">
      <c r="A10" t="s">
        <v>202</v>
      </c>
      <c r="B10" t="s">
        <v>198</v>
      </c>
      <c r="C10">
        <v>10</v>
      </c>
      <c r="D10">
        <f t="shared" si="0"/>
        <v>0.0354</v>
      </c>
      <c r="E10">
        <f>VLOOKUP(C10,生活水平!$A$4:$C$102,3,FALSE)</f>
        <v>354</v>
      </c>
      <c r="F10">
        <v>5</v>
      </c>
    </row>
    <row r="11" customHeight="1" spans="1:6">
      <c r="A11" t="s">
        <v>203</v>
      </c>
      <c r="B11" t="s">
        <v>198</v>
      </c>
      <c r="C11">
        <v>10</v>
      </c>
      <c r="D11">
        <f t="shared" si="0"/>
        <v>0.0354</v>
      </c>
      <c r="E11">
        <f>VLOOKUP(C11,生活水平!$A$4:$C$102,3,FALSE)</f>
        <v>354</v>
      </c>
      <c r="F11">
        <v>3</v>
      </c>
    </row>
    <row r="12" customHeight="1" spans="1:6">
      <c r="A12" t="s">
        <v>204</v>
      </c>
      <c r="B12" t="s">
        <v>205</v>
      </c>
      <c r="C12">
        <v>7</v>
      </c>
      <c r="D12">
        <f t="shared" si="0"/>
        <v>0.0263</v>
      </c>
      <c r="E12">
        <f>VLOOKUP(C12,生活水平!$A$4:$C$102,3,FALSE)</f>
        <v>263</v>
      </c>
      <c r="F12">
        <v>2</v>
      </c>
    </row>
    <row r="13" customHeight="1" spans="1:6">
      <c r="A13" t="s">
        <v>206</v>
      </c>
      <c r="B13" t="s">
        <v>205</v>
      </c>
      <c r="C13">
        <v>5</v>
      </c>
      <c r="D13">
        <f t="shared" si="0"/>
        <v>0.0221</v>
      </c>
      <c r="E13">
        <f>VLOOKUP(C13,生活水平!$A$4:$C$102,3,FALSE)</f>
        <v>221</v>
      </c>
      <c r="F13">
        <v>0.2</v>
      </c>
    </row>
    <row r="14" customHeight="1" spans="1:6">
      <c r="A14" t="s">
        <v>207</v>
      </c>
      <c r="B14" t="s">
        <v>205</v>
      </c>
      <c r="C14">
        <v>5</v>
      </c>
      <c r="D14">
        <f t="shared" si="0"/>
        <v>0.0221</v>
      </c>
      <c r="E14">
        <f>VLOOKUP(C14,生活水平!$A$4:$C$102,3,FALSE)</f>
        <v>221</v>
      </c>
      <c r="F14">
        <v>1</v>
      </c>
    </row>
    <row r="15" customHeight="1" spans="1:6">
      <c r="A15" t="s">
        <v>208</v>
      </c>
      <c r="B15" t="s">
        <v>205</v>
      </c>
      <c r="C15">
        <v>1</v>
      </c>
      <c r="D15">
        <f t="shared" si="0"/>
        <v>0.0151</v>
      </c>
      <c r="E15">
        <f>VLOOKUP(C15,生活水平!$A$4:$C$102,3,FALSE)</f>
        <v>151</v>
      </c>
      <c r="F15">
        <v>0</v>
      </c>
    </row>
    <row r="19" customHeight="1" spans="1:8">
      <c r="A19" t="s">
        <v>209</v>
      </c>
      <c r="B19" t="s">
        <v>198</v>
      </c>
      <c r="H19" t="s">
        <v>210</v>
      </c>
    </row>
    <row r="21" customHeight="1" spans="1:8">
      <c r="A21" s="74" t="s">
        <v>211</v>
      </c>
      <c r="B21" s="34"/>
      <c r="C21" s="34"/>
      <c r="D21" s="34"/>
      <c r="E21" s="34"/>
      <c r="F21" s="34"/>
      <c r="G21" s="34"/>
      <c r="H21" s="34"/>
    </row>
    <row r="22" ht="40" customHeight="1" spans="1:8">
      <c r="A22" s="2" t="s">
        <v>185</v>
      </c>
      <c r="B22" s="2" t="s">
        <v>186</v>
      </c>
      <c r="C22" s="2" t="s">
        <v>187</v>
      </c>
      <c r="D22" s="9" t="s">
        <v>188</v>
      </c>
      <c r="E22" s="2" t="s">
        <v>189</v>
      </c>
      <c r="F22" s="2" t="s">
        <v>190</v>
      </c>
      <c r="G22" s="2" t="s">
        <v>191</v>
      </c>
      <c r="H22" s="2" t="s">
        <v>192</v>
      </c>
    </row>
  </sheetData>
  <mergeCells count="1">
    <mergeCell ref="A21:H2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P68"/>
  <sheetViews>
    <sheetView showGridLines="0" workbookViewId="0">
      <selection activeCell="E16" sqref="E16"/>
    </sheetView>
  </sheetViews>
  <sheetFormatPr defaultColWidth="9" defaultRowHeight="20" customHeight="1"/>
  <cols>
    <col min="1" max="1" width="14.625" customWidth="1"/>
    <col min="2" max="2" width="15.6916666666667" customWidth="1"/>
    <col min="3" max="3" width="17" customWidth="1"/>
    <col min="4" max="4" width="5.625" customWidth="1"/>
    <col min="5" max="5" width="17" customWidth="1"/>
    <col min="6" max="6" width="5.625" customWidth="1"/>
    <col min="7" max="7" width="17" customWidth="1"/>
    <col min="8" max="8" width="5.625" customWidth="1"/>
    <col min="9" max="9" width="17" customWidth="1"/>
    <col min="10" max="10" width="5.625" customWidth="1"/>
    <col min="11" max="11" width="17" customWidth="1"/>
    <col min="12" max="12" width="5.625" customWidth="1"/>
    <col min="13" max="13" width="8.875" style="1" customWidth="1"/>
    <col min="15" max="15" width="13.625" customWidth="1"/>
    <col min="16" max="16" width="16.875" customWidth="1"/>
  </cols>
  <sheetData>
    <row r="1" ht="40" customHeight="1" spans="1:4">
      <c r="A1" s="71"/>
      <c r="B1" s="3"/>
      <c r="C1" s="9" t="s">
        <v>212</v>
      </c>
      <c r="D1" s="2">
        <v>68</v>
      </c>
    </row>
    <row r="2" customHeight="1" spans="1:15">
      <c r="A2" s="2" t="s">
        <v>213</v>
      </c>
      <c r="B2" s="2" t="s">
        <v>214</v>
      </c>
      <c r="C2" s="2" t="s">
        <v>215</v>
      </c>
      <c r="D2" s="2" t="s">
        <v>216</v>
      </c>
      <c r="E2" s="2" t="s">
        <v>215</v>
      </c>
      <c r="F2" s="2" t="s">
        <v>216</v>
      </c>
      <c r="G2" s="2" t="s">
        <v>215</v>
      </c>
      <c r="H2" s="2" t="s">
        <v>216</v>
      </c>
      <c r="I2" s="2" t="s">
        <v>215</v>
      </c>
      <c r="J2" s="2" t="s">
        <v>216</v>
      </c>
      <c r="K2" s="2" t="s">
        <v>215</v>
      </c>
      <c r="L2" s="2" t="s">
        <v>216</v>
      </c>
      <c r="M2" s="2" t="s">
        <v>217</v>
      </c>
      <c r="N2" s="2" t="s">
        <v>218</v>
      </c>
      <c r="O2" s="2" t="s">
        <v>219</v>
      </c>
    </row>
    <row r="3" customHeight="1" spans="1:16">
      <c r="A3" t="s">
        <v>220</v>
      </c>
      <c r="B3" s="67" t="s">
        <v>221</v>
      </c>
      <c r="C3" s="72" t="s">
        <v>222</v>
      </c>
      <c r="D3" s="73">
        <v>5</v>
      </c>
      <c r="E3" s="72" t="s">
        <v>223</v>
      </c>
      <c r="F3" s="73">
        <v>5</v>
      </c>
      <c r="G3" s="72" t="s">
        <v>224</v>
      </c>
      <c r="H3" s="73">
        <v>5</v>
      </c>
      <c r="I3" s="72" t="s">
        <v>224</v>
      </c>
      <c r="J3" s="73">
        <v>5</v>
      </c>
      <c r="K3" s="72" t="s">
        <v>225</v>
      </c>
      <c r="L3" s="73">
        <v>8</v>
      </c>
      <c r="M3" s="1" t="s">
        <v>126</v>
      </c>
      <c r="N3" s="1"/>
      <c r="P3" t="str">
        <f t="shared" ref="P3:P11" si="0">"building_"&amp;B3</f>
        <v>building_食品厂</v>
      </c>
    </row>
    <row r="4" customHeight="1" spans="1:16">
      <c r="A4" t="s">
        <v>220</v>
      </c>
      <c r="B4" s="67" t="s">
        <v>226</v>
      </c>
      <c r="C4" s="72" t="s">
        <v>222</v>
      </c>
      <c r="D4" s="73">
        <v>5</v>
      </c>
      <c r="E4" s="72" t="s">
        <v>223</v>
      </c>
      <c r="F4" s="73">
        <v>5</v>
      </c>
      <c r="G4" s="72" t="s">
        <v>224</v>
      </c>
      <c r="H4" s="73">
        <v>5</v>
      </c>
      <c r="I4" s="72" t="s">
        <v>224</v>
      </c>
      <c r="J4" s="73">
        <v>5</v>
      </c>
      <c r="K4" s="72" t="s">
        <v>225</v>
      </c>
      <c r="L4" s="73">
        <v>8</v>
      </c>
      <c r="M4" s="1" t="s">
        <v>140</v>
      </c>
      <c r="N4" s="1"/>
      <c r="P4" t="str">
        <f t="shared" si="0"/>
        <v>building_酿酒厂</v>
      </c>
    </row>
    <row r="5" customHeight="1" spans="1:16">
      <c r="A5" t="s">
        <v>220</v>
      </c>
      <c r="B5" s="67" t="s">
        <v>227</v>
      </c>
      <c r="C5" s="72" t="s">
        <v>222</v>
      </c>
      <c r="D5" s="73">
        <v>5</v>
      </c>
      <c r="E5" s="72" t="s">
        <v>224</v>
      </c>
      <c r="F5" s="73">
        <v>5</v>
      </c>
      <c r="G5" s="72" t="s">
        <v>224</v>
      </c>
      <c r="H5" s="73">
        <v>5</v>
      </c>
      <c r="I5" s="72" t="s">
        <v>225</v>
      </c>
      <c r="J5" s="73">
        <v>8</v>
      </c>
      <c r="K5" s="72"/>
      <c r="L5" s="73"/>
      <c r="M5" s="1" t="s">
        <v>127</v>
      </c>
      <c r="N5" s="1"/>
      <c r="P5" t="str">
        <f t="shared" si="0"/>
        <v>building_造纸厂</v>
      </c>
    </row>
    <row r="6" customHeight="1" spans="1:16">
      <c r="A6" t="s">
        <v>220</v>
      </c>
      <c r="B6" s="67" t="s">
        <v>228</v>
      </c>
      <c r="C6" s="72" t="s">
        <v>222</v>
      </c>
      <c r="D6" s="73">
        <v>5</v>
      </c>
      <c r="E6" s="72" t="s">
        <v>223</v>
      </c>
      <c r="F6" s="73">
        <v>5</v>
      </c>
      <c r="G6" s="72" t="s">
        <v>224</v>
      </c>
      <c r="H6" s="73">
        <v>5</v>
      </c>
      <c r="I6" s="72" t="s">
        <v>224</v>
      </c>
      <c r="J6" s="73">
        <v>5</v>
      </c>
      <c r="K6" s="72" t="s">
        <v>225</v>
      </c>
      <c r="L6" s="73">
        <v>8</v>
      </c>
      <c r="M6" s="1" t="s">
        <v>135</v>
      </c>
      <c r="N6" s="1" t="s">
        <v>229</v>
      </c>
      <c r="P6" t="str">
        <f t="shared" si="0"/>
        <v>building_纺织厂</v>
      </c>
    </row>
    <row r="7" customHeight="1" spans="1:16">
      <c r="A7" t="s">
        <v>220</v>
      </c>
      <c r="B7" s="67" t="s">
        <v>230</v>
      </c>
      <c r="C7" s="72" t="s">
        <v>222</v>
      </c>
      <c r="D7" s="73">
        <v>5</v>
      </c>
      <c r="E7" s="72" t="s">
        <v>223</v>
      </c>
      <c r="F7" s="73">
        <v>5</v>
      </c>
      <c r="G7" s="72" t="s">
        <v>224</v>
      </c>
      <c r="H7" s="73">
        <v>5</v>
      </c>
      <c r="I7" s="72" t="s">
        <v>224</v>
      </c>
      <c r="J7" s="73">
        <v>5</v>
      </c>
      <c r="K7" s="72" t="s">
        <v>225</v>
      </c>
      <c r="L7" s="73">
        <v>8</v>
      </c>
      <c r="M7" s="1" t="s">
        <v>137</v>
      </c>
      <c r="N7" s="1" t="s">
        <v>138</v>
      </c>
      <c r="P7" t="str">
        <f t="shared" si="0"/>
        <v>building_家具厂</v>
      </c>
    </row>
    <row r="8" customHeight="1" spans="1:16">
      <c r="A8" t="s">
        <v>220</v>
      </c>
      <c r="B8" s="67" t="s">
        <v>231</v>
      </c>
      <c r="C8" s="72" t="s">
        <v>222</v>
      </c>
      <c r="D8" s="73">
        <v>5</v>
      </c>
      <c r="E8" s="72" t="s">
        <v>223</v>
      </c>
      <c r="F8" s="73">
        <v>5</v>
      </c>
      <c r="G8" s="72" t="s">
        <v>224</v>
      </c>
      <c r="H8" s="73">
        <v>5</v>
      </c>
      <c r="I8" s="72" t="s">
        <v>224</v>
      </c>
      <c r="J8" s="73">
        <v>5</v>
      </c>
      <c r="K8" s="72" t="s">
        <v>225</v>
      </c>
      <c r="L8" s="73">
        <v>8</v>
      </c>
      <c r="M8" s="1" t="s">
        <v>131</v>
      </c>
      <c r="N8" s="1" t="s">
        <v>232</v>
      </c>
      <c r="P8" t="str">
        <f t="shared" si="0"/>
        <v>building_玻璃厂</v>
      </c>
    </row>
    <row r="9" customHeight="1" spans="1:16">
      <c r="A9" t="s">
        <v>220</v>
      </c>
      <c r="B9" s="67" t="s">
        <v>233</v>
      </c>
      <c r="C9" s="72" t="s">
        <v>222</v>
      </c>
      <c r="D9" s="73">
        <v>5</v>
      </c>
      <c r="E9" s="72" t="s">
        <v>223</v>
      </c>
      <c r="F9" s="73">
        <v>5</v>
      </c>
      <c r="G9" s="72" t="s">
        <v>224</v>
      </c>
      <c r="H9" s="73">
        <v>5</v>
      </c>
      <c r="I9" s="72" t="s">
        <v>224</v>
      </c>
      <c r="J9" s="73">
        <v>5</v>
      </c>
      <c r="K9" s="72" t="s">
        <v>225</v>
      </c>
      <c r="L9" s="73">
        <v>8</v>
      </c>
      <c r="M9" s="1" t="s">
        <v>128</v>
      </c>
      <c r="N9" s="1" t="s">
        <v>148</v>
      </c>
      <c r="P9" t="str">
        <f t="shared" si="0"/>
        <v>building_化工厂</v>
      </c>
    </row>
    <row r="10" customHeight="1" spans="1:16">
      <c r="A10" t="s">
        <v>220</v>
      </c>
      <c r="B10" s="67" t="s">
        <v>234</v>
      </c>
      <c r="C10" s="72" t="s">
        <v>222</v>
      </c>
      <c r="D10" s="73">
        <v>5</v>
      </c>
      <c r="E10" s="72" t="s">
        <v>224</v>
      </c>
      <c r="F10" s="73">
        <v>5</v>
      </c>
      <c r="G10" s="72" t="s">
        <v>224</v>
      </c>
      <c r="H10" s="73">
        <v>5</v>
      </c>
      <c r="I10" s="72" t="s">
        <v>225</v>
      </c>
      <c r="J10" s="73">
        <v>8</v>
      </c>
      <c r="K10" s="72"/>
      <c r="L10" s="73"/>
      <c r="M10" s="1" t="s">
        <v>145</v>
      </c>
      <c r="N10" s="1"/>
      <c r="P10" t="str">
        <f t="shared" si="0"/>
        <v>building_工具作坊</v>
      </c>
    </row>
    <row r="11" customHeight="1" spans="1:16">
      <c r="A11" t="s">
        <v>220</v>
      </c>
      <c r="B11" s="67" t="s">
        <v>235</v>
      </c>
      <c r="C11" s="72" t="s">
        <v>222</v>
      </c>
      <c r="D11" s="73">
        <v>5</v>
      </c>
      <c r="E11" s="72" t="s">
        <v>224</v>
      </c>
      <c r="F11" s="73">
        <v>5</v>
      </c>
      <c r="G11" s="72" t="s">
        <v>224</v>
      </c>
      <c r="H11" s="73">
        <v>5</v>
      </c>
      <c r="I11" s="72" t="s">
        <v>225</v>
      </c>
      <c r="J11" s="73">
        <v>8</v>
      </c>
      <c r="K11" s="72"/>
      <c r="L11" s="73"/>
      <c r="M11" s="1" t="s">
        <v>146</v>
      </c>
      <c r="N11" s="1"/>
      <c r="P11" t="str">
        <f t="shared" si="0"/>
        <v>building_魔偶工厂</v>
      </c>
    </row>
    <row r="12" customHeight="1" spans="1:16">
      <c r="A12" t="s">
        <v>220</v>
      </c>
      <c r="B12" s="67" t="s">
        <v>236</v>
      </c>
      <c r="C12" s="72" t="s">
        <v>222</v>
      </c>
      <c r="D12" s="73">
        <v>5</v>
      </c>
      <c r="E12" s="72" t="s">
        <v>223</v>
      </c>
      <c r="F12" s="73">
        <v>5</v>
      </c>
      <c r="G12" s="72" t="s">
        <v>224</v>
      </c>
      <c r="H12" s="73">
        <v>5</v>
      </c>
      <c r="I12" s="72" t="s">
        <v>224</v>
      </c>
      <c r="J12" s="73">
        <v>5</v>
      </c>
      <c r="K12" s="72" t="s">
        <v>225</v>
      </c>
      <c r="L12" s="73">
        <v>8</v>
      </c>
      <c r="P12" t="str">
        <f t="shared" ref="P12:P34" si="1">"building_"&amp;B12</f>
        <v>building_科学武器厂</v>
      </c>
    </row>
    <row r="13" customHeight="1" spans="1:16">
      <c r="A13" t="s">
        <v>220</v>
      </c>
      <c r="B13" s="67" t="s">
        <v>237</v>
      </c>
      <c r="C13" s="72" t="s">
        <v>222</v>
      </c>
      <c r="D13" s="73">
        <v>5</v>
      </c>
      <c r="E13" s="72" t="s">
        <v>223</v>
      </c>
      <c r="F13" s="73">
        <v>5</v>
      </c>
      <c r="G13" s="72" t="s">
        <v>224</v>
      </c>
      <c r="H13" s="73">
        <v>5</v>
      </c>
      <c r="I13" s="72" t="s">
        <v>224</v>
      </c>
      <c r="J13" s="73">
        <v>5</v>
      </c>
      <c r="K13" s="72" t="s">
        <v>225</v>
      </c>
      <c r="L13" s="73">
        <v>8</v>
      </c>
      <c r="P13" t="str">
        <f t="shared" si="1"/>
        <v>building_魔导武器厂</v>
      </c>
    </row>
    <row r="14" customHeight="1" spans="13:13">
      <c r="M14"/>
    </row>
    <row r="15" customHeight="1" spans="1:16">
      <c r="A15" t="s">
        <v>238</v>
      </c>
      <c r="B15" s="67" t="s">
        <v>239</v>
      </c>
      <c r="C15" s="72" t="s">
        <v>222</v>
      </c>
      <c r="D15" s="73">
        <v>5</v>
      </c>
      <c r="E15" s="72" t="s">
        <v>224</v>
      </c>
      <c r="F15" s="73">
        <v>5</v>
      </c>
      <c r="G15" s="72" t="s">
        <v>224</v>
      </c>
      <c r="H15" s="73">
        <v>5</v>
      </c>
      <c r="I15" s="72" t="s">
        <v>225</v>
      </c>
      <c r="J15" s="73">
        <v>8</v>
      </c>
      <c r="K15" s="72"/>
      <c r="L15" s="73"/>
      <c r="P15" t="str">
        <f t="shared" si="1"/>
        <v>building_合成材料工厂</v>
      </c>
    </row>
    <row r="16" customHeight="1" spans="1:16">
      <c r="A16" t="s">
        <v>238</v>
      </c>
      <c r="B16" s="67" t="s">
        <v>240</v>
      </c>
      <c r="C16" s="72" t="s">
        <v>222</v>
      </c>
      <c r="D16" s="73">
        <v>5</v>
      </c>
      <c r="E16" s="72" t="s">
        <v>224</v>
      </c>
      <c r="F16" s="73">
        <v>5</v>
      </c>
      <c r="G16" s="72" t="s">
        <v>224</v>
      </c>
      <c r="H16" s="73">
        <v>5</v>
      </c>
      <c r="I16" s="72" t="s">
        <v>225</v>
      </c>
      <c r="J16" s="73">
        <v>8</v>
      </c>
      <c r="K16" s="72"/>
      <c r="L16" s="73"/>
      <c r="M16" s="1" t="s">
        <v>129</v>
      </c>
      <c r="N16" s="1"/>
      <c r="P16" t="str">
        <f t="shared" si="1"/>
        <v>building_钢铁厂</v>
      </c>
    </row>
    <row r="17" customHeight="1" spans="1:16">
      <c r="A17" t="s">
        <v>238</v>
      </c>
      <c r="B17" s="67" t="s">
        <v>241</v>
      </c>
      <c r="C17" s="72" t="s">
        <v>222</v>
      </c>
      <c r="D17" s="73">
        <v>5</v>
      </c>
      <c r="E17" s="72" t="s">
        <v>224</v>
      </c>
      <c r="F17" s="73">
        <v>5</v>
      </c>
      <c r="G17" s="72" t="s">
        <v>224</v>
      </c>
      <c r="H17" s="73">
        <v>5</v>
      </c>
      <c r="I17" s="72" t="s">
        <v>225</v>
      </c>
      <c r="J17" s="73">
        <v>8</v>
      </c>
      <c r="K17" s="72"/>
      <c r="L17" s="73"/>
      <c r="M17" s="1" t="s">
        <v>154</v>
      </c>
      <c r="N17" s="1"/>
      <c r="P17" t="str">
        <f t="shared" si="1"/>
        <v>building_炼金厂</v>
      </c>
    </row>
    <row r="18" customHeight="1" spans="1:16">
      <c r="A18" t="s">
        <v>238</v>
      </c>
      <c r="B18" s="67" t="s">
        <v>242</v>
      </c>
      <c r="C18" s="72" t="s">
        <v>222</v>
      </c>
      <c r="D18" s="73">
        <v>5</v>
      </c>
      <c r="E18" s="72" t="s">
        <v>224</v>
      </c>
      <c r="F18" s="73">
        <v>5</v>
      </c>
      <c r="G18" s="72" t="s">
        <v>224</v>
      </c>
      <c r="H18" s="73">
        <v>5</v>
      </c>
      <c r="I18" s="72" t="s">
        <v>225</v>
      </c>
      <c r="J18" s="73">
        <v>8</v>
      </c>
      <c r="K18" s="72"/>
      <c r="L18" s="73"/>
      <c r="M18" s="1" t="s">
        <v>151</v>
      </c>
      <c r="N18" s="1"/>
      <c r="P18" t="str">
        <f t="shared" si="1"/>
        <v>building_晶体萃取厂</v>
      </c>
    </row>
    <row r="19" customHeight="1" spans="1:16">
      <c r="A19" t="s">
        <v>238</v>
      </c>
      <c r="B19" s="67" t="s">
        <v>243</v>
      </c>
      <c r="C19" s="72" t="s">
        <v>222</v>
      </c>
      <c r="D19" s="73">
        <v>5</v>
      </c>
      <c r="E19" s="72" t="s">
        <v>224</v>
      </c>
      <c r="F19" s="73">
        <v>5</v>
      </c>
      <c r="G19" s="72" t="s">
        <v>224</v>
      </c>
      <c r="H19" s="73">
        <v>5</v>
      </c>
      <c r="I19" s="72" t="s">
        <v>225</v>
      </c>
      <c r="J19" s="73">
        <v>8</v>
      </c>
      <c r="K19" s="72"/>
      <c r="L19" s="73"/>
      <c r="M19" s="1" t="s">
        <v>149</v>
      </c>
      <c r="N19" s="1"/>
      <c r="P19" t="str">
        <f t="shared" si="1"/>
        <v>building_科学动力厂</v>
      </c>
    </row>
    <row r="20" customHeight="1" spans="1:16">
      <c r="A20" t="s">
        <v>238</v>
      </c>
      <c r="B20" s="67" t="s">
        <v>244</v>
      </c>
      <c r="C20" s="72" t="s">
        <v>222</v>
      </c>
      <c r="D20" s="73">
        <v>5</v>
      </c>
      <c r="E20" s="72" t="s">
        <v>224</v>
      </c>
      <c r="F20" s="73">
        <v>5</v>
      </c>
      <c r="G20" s="72" t="s">
        <v>224</v>
      </c>
      <c r="H20" s="73">
        <v>5</v>
      </c>
      <c r="I20" s="72" t="s">
        <v>225</v>
      </c>
      <c r="J20" s="73">
        <v>8</v>
      </c>
      <c r="K20" s="72"/>
      <c r="L20" s="73"/>
      <c r="M20" s="1" t="s">
        <v>150</v>
      </c>
      <c r="N20" s="1"/>
      <c r="P20" t="str">
        <f t="shared" si="1"/>
        <v>building_魔导动力厂</v>
      </c>
    </row>
    <row r="21" customHeight="1" spans="1:16">
      <c r="A21" t="s">
        <v>238</v>
      </c>
      <c r="B21" s="67" t="s">
        <v>245</v>
      </c>
      <c r="C21" s="72" t="s">
        <v>222</v>
      </c>
      <c r="D21" s="73">
        <v>5</v>
      </c>
      <c r="E21" s="72" t="s">
        <v>223</v>
      </c>
      <c r="F21" s="73">
        <v>5</v>
      </c>
      <c r="G21" s="72" t="s">
        <v>224</v>
      </c>
      <c r="H21" s="73">
        <v>5</v>
      </c>
      <c r="I21" s="72" t="s">
        <v>224</v>
      </c>
      <c r="J21" s="73">
        <v>5</v>
      </c>
      <c r="K21" s="72" t="s">
        <v>225</v>
      </c>
      <c r="L21" s="73">
        <v>8</v>
      </c>
      <c r="P21" t="str">
        <f t="shared" si="1"/>
        <v>building_魔能军械厂</v>
      </c>
    </row>
    <row r="22" customHeight="1" spans="1:16">
      <c r="A22" t="s">
        <v>238</v>
      </c>
      <c r="B22" s="67" t="s">
        <v>246</v>
      </c>
      <c r="C22" s="72" t="s">
        <v>222</v>
      </c>
      <c r="D22" s="73">
        <v>5</v>
      </c>
      <c r="E22" s="72" t="s">
        <v>223</v>
      </c>
      <c r="F22" s="73">
        <v>5</v>
      </c>
      <c r="G22" s="72" t="s">
        <v>224</v>
      </c>
      <c r="H22" s="73">
        <v>5</v>
      </c>
      <c r="I22" s="72" t="s">
        <v>224</v>
      </c>
      <c r="J22" s="73">
        <v>5</v>
      </c>
      <c r="K22" s="72" t="s">
        <v>225</v>
      </c>
      <c r="L22" s="73">
        <v>8</v>
      </c>
      <c r="P22" t="str">
        <f t="shared" si="1"/>
        <v>building_科学军械厂</v>
      </c>
    </row>
    <row r="23" customFormat="1" customHeight="1"/>
    <row r="24" customHeight="1" spans="1:16">
      <c r="A24" t="s">
        <v>247</v>
      </c>
      <c r="B24" s="67" t="s">
        <v>248</v>
      </c>
      <c r="C24" s="72" t="s">
        <v>222</v>
      </c>
      <c r="D24" s="73">
        <v>5</v>
      </c>
      <c r="E24" s="72" t="s">
        <v>225</v>
      </c>
      <c r="F24" s="73">
        <v>5</v>
      </c>
      <c r="G24" s="72" t="s">
        <v>249</v>
      </c>
      <c r="H24" s="73"/>
      <c r="I24" s="72"/>
      <c r="J24" s="73"/>
      <c r="K24" s="72"/>
      <c r="L24" s="73"/>
      <c r="M24" s="1" t="s">
        <v>147</v>
      </c>
      <c r="P24" t="str">
        <f t="shared" si="1"/>
        <v>building_道路</v>
      </c>
    </row>
    <row r="25" customHeight="1" spans="1:16">
      <c r="A25" t="s">
        <v>247</v>
      </c>
      <c r="B25" s="67" t="s">
        <v>250</v>
      </c>
      <c r="C25" s="72" t="s">
        <v>222</v>
      </c>
      <c r="D25" s="73">
        <v>5</v>
      </c>
      <c r="E25" s="72" t="s">
        <v>225</v>
      </c>
      <c r="F25" s="73">
        <v>5</v>
      </c>
      <c r="G25" s="72" t="s">
        <v>249</v>
      </c>
      <c r="H25" s="73"/>
      <c r="I25" s="72"/>
      <c r="J25" s="73"/>
      <c r="K25" s="72"/>
      <c r="L25" s="73"/>
      <c r="M25" s="1" t="s">
        <v>147</v>
      </c>
      <c r="P25" t="str">
        <f t="shared" si="1"/>
        <v>building_铁路</v>
      </c>
    </row>
    <row r="26" customHeight="1" spans="1:16">
      <c r="A26" t="s">
        <v>247</v>
      </c>
      <c r="B26" s="67" t="s">
        <v>251</v>
      </c>
      <c r="C26" s="72" t="s">
        <v>222</v>
      </c>
      <c r="D26" s="73">
        <v>5</v>
      </c>
      <c r="E26" s="72" t="s">
        <v>225</v>
      </c>
      <c r="F26" s="73">
        <v>5</v>
      </c>
      <c r="G26" s="72" t="s">
        <v>249</v>
      </c>
      <c r="H26" s="73"/>
      <c r="I26" s="72"/>
      <c r="J26" s="73"/>
      <c r="K26" s="72"/>
      <c r="L26" s="73"/>
      <c r="M26" s="1" t="s">
        <v>147</v>
      </c>
      <c r="P26" t="str">
        <f t="shared" si="1"/>
        <v>building_传送阵</v>
      </c>
    </row>
    <row r="27" customHeight="1" spans="1:16">
      <c r="A27" t="s">
        <v>247</v>
      </c>
      <c r="B27" s="67" t="s">
        <v>252</v>
      </c>
      <c r="C27" s="72"/>
      <c r="D27" s="73"/>
      <c r="E27" s="72"/>
      <c r="F27" s="73"/>
      <c r="G27" s="72"/>
      <c r="H27" s="73"/>
      <c r="I27" s="72"/>
      <c r="J27" s="73"/>
      <c r="K27" s="72"/>
      <c r="L27" s="73"/>
      <c r="P27" t="str">
        <f t="shared" si="1"/>
        <v>building_贸易中心</v>
      </c>
    </row>
    <row r="28" customFormat="1" customHeight="1"/>
    <row r="29" customHeight="1" spans="1:16">
      <c r="A29" t="s">
        <v>247</v>
      </c>
      <c r="B29" s="67" t="s">
        <v>253</v>
      </c>
      <c r="C29" s="72" t="s">
        <v>222</v>
      </c>
      <c r="D29" s="73">
        <v>5</v>
      </c>
      <c r="E29" s="72" t="s">
        <v>225</v>
      </c>
      <c r="F29" s="73">
        <v>8</v>
      </c>
      <c r="G29" s="72" t="s">
        <v>225</v>
      </c>
      <c r="H29" s="73">
        <v>8</v>
      </c>
      <c r="I29" s="72"/>
      <c r="J29" s="73"/>
      <c r="K29" s="72"/>
      <c r="L29" s="73"/>
      <c r="M29" s="1" t="s">
        <v>130</v>
      </c>
      <c r="P29" t="str">
        <f t="shared" si="1"/>
        <v>building_艺术学院</v>
      </c>
    </row>
    <row r="30" customHeight="1" spans="1:16">
      <c r="A30" t="s">
        <v>247</v>
      </c>
      <c r="B30" s="67" t="s">
        <v>254</v>
      </c>
      <c r="C30" s="72" t="s">
        <v>222</v>
      </c>
      <c r="D30" s="73">
        <v>5</v>
      </c>
      <c r="E30" s="72" t="s">
        <v>222</v>
      </c>
      <c r="F30" s="73">
        <v>5</v>
      </c>
      <c r="G30" s="72" t="s">
        <v>255</v>
      </c>
      <c r="H30" s="73">
        <v>5</v>
      </c>
      <c r="I30" s="72" t="s">
        <v>225</v>
      </c>
      <c r="J30" s="73">
        <v>8</v>
      </c>
      <c r="K30" s="72"/>
      <c r="L30" s="73"/>
      <c r="M30" s="1" t="s">
        <v>130</v>
      </c>
      <c r="P30" t="str">
        <f t="shared" si="1"/>
        <v>building_城镇中心</v>
      </c>
    </row>
    <row r="31" customFormat="1" customHeight="1"/>
    <row r="32" customHeight="1" spans="1:16">
      <c r="A32" t="s">
        <v>247</v>
      </c>
      <c r="B32" s="67" t="s">
        <v>256</v>
      </c>
      <c r="C32" s="72" t="s">
        <v>222</v>
      </c>
      <c r="D32" s="73">
        <v>5</v>
      </c>
      <c r="E32" s="72"/>
      <c r="F32" s="73"/>
      <c r="G32" s="72"/>
      <c r="H32" s="73"/>
      <c r="I32" s="72"/>
      <c r="J32" s="73"/>
      <c r="K32" s="72"/>
      <c r="L32" s="73"/>
      <c r="M32" s="1" t="s">
        <v>166</v>
      </c>
      <c r="P32" t="str">
        <f t="shared" si="1"/>
        <v>building_建造部门</v>
      </c>
    </row>
    <row r="33" customFormat="1" customHeight="1"/>
    <row r="34" customHeight="1" spans="1:16">
      <c r="A34" t="s">
        <v>238</v>
      </c>
      <c r="B34" s="67" t="s">
        <v>257</v>
      </c>
      <c r="C34" s="72" t="s">
        <v>222</v>
      </c>
      <c r="D34" s="73">
        <v>5</v>
      </c>
      <c r="E34" s="72" t="s">
        <v>225</v>
      </c>
      <c r="F34" s="73">
        <v>8</v>
      </c>
      <c r="G34" s="72"/>
      <c r="H34" s="73"/>
      <c r="I34" s="72"/>
      <c r="J34" s="73"/>
      <c r="K34" s="72"/>
      <c r="L34" s="73"/>
      <c r="P34" t="str">
        <f t="shared" si="1"/>
        <v>building_港口</v>
      </c>
    </row>
    <row r="35" customHeight="1" spans="1:16">
      <c r="A35" t="s">
        <v>238</v>
      </c>
      <c r="B35" s="67" t="s">
        <v>258</v>
      </c>
      <c r="C35" s="72" t="s">
        <v>222</v>
      </c>
      <c r="D35" s="73">
        <v>5</v>
      </c>
      <c r="E35" s="72" t="s">
        <v>225</v>
      </c>
      <c r="F35" s="73">
        <v>8</v>
      </c>
      <c r="G35" s="72" t="s">
        <v>225</v>
      </c>
      <c r="H35" s="73">
        <v>8</v>
      </c>
      <c r="I35" s="72"/>
      <c r="J35" s="73"/>
      <c r="K35" s="72"/>
      <c r="L35" s="73"/>
      <c r="P35" t="str">
        <f t="shared" ref="P35:P67" si="2">"building_"&amp;B35</f>
        <v>building_行政机构</v>
      </c>
    </row>
    <row r="36" customHeight="1" spans="1:16">
      <c r="A36" t="s">
        <v>238</v>
      </c>
      <c r="B36" s="67" t="s">
        <v>259</v>
      </c>
      <c r="C36" s="72" t="s">
        <v>222</v>
      </c>
      <c r="D36" s="73">
        <v>5</v>
      </c>
      <c r="E36" s="72" t="s">
        <v>225</v>
      </c>
      <c r="F36" s="73">
        <v>8</v>
      </c>
      <c r="G36" s="72" t="s">
        <v>225</v>
      </c>
      <c r="H36" s="73">
        <v>8</v>
      </c>
      <c r="I36" s="72"/>
      <c r="J36" s="73"/>
      <c r="K36" s="72"/>
      <c r="L36" s="73"/>
      <c r="P36" t="str">
        <f t="shared" si="2"/>
        <v>building_大学</v>
      </c>
    </row>
    <row r="37" customFormat="1" customHeight="1"/>
    <row r="38" customHeight="1" spans="1:16">
      <c r="A38" t="s">
        <v>260</v>
      </c>
      <c r="B38" s="67" t="s">
        <v>261</v>
      </c>
      <c r="C38" s="72" t="s">
        <v>222</v>
      </c>
      <c r="D38" s="73">
        <v>5</v>
      </c>
      <c r="E38" s="72" t="s">
        <v>223</v>
      </c>
      <c r="F38" s="73">
        <v>5</v>
      </c>
      <c r="G38" s="72" t="s">
        <v>224</v>
      </c>
      <c r="H38" s="73">
        <v>5</v>
      </c>
      <c r="I38" s="72" t="s">
        <v>224</v>
      </c>
      <c r="J38" s="73">
        <v>5</v>
      </c>
      <c r="K38" s="72" t="s">
        <v>225</v>
      </c>
      <c r="L38" s="73">
        <v>8</v>
      </c>
      <c r="P38" t="str">
        <f t="shared" si="2"/>
        <v>building_煤矿</v>
      </c>
    </row>
    <row r="39" customHeight="1" spans="1:16">
      <c r="A39" t="s">
        <v>260</v>
      </c>
      <c r="B39" s="67" t="s">
        <v>262</v>
      </c>
      <c r="C39" s="72" t="s">
        <v>222</v>
      </c>
      <c r="D39" s="73">
        <v>5</v>
      </c>
      <c r="E39" s="72" t="s">
        <v>223</v>
      </c>
      <c r="F39" s="73">
        <v>5</v>
      </c>
      <c r="G39" s="72" t="s">
        <v>224</v>
      </c>
      <c r="H39" s="73">
        <v>5</v>
      </c>
      <c r="I39" s="72" t="s">
        <v>224</v>
      </c>
      <c r="J39" s="73">
        <v>5</v>
      </c>
      <c r="K39" s="72" t="s">
        <v>225</v>
      </c>
      <c r="L39" s="73">
        <v>8</v>
      </c>
      <c r="P39" t="str">
        <f t="shared" si="2"/>
        <v>building_铁矿</v>
      </c>
    </row>
    <row r="40" customHeight="1" spans="1:16">
      <c r="A40" t="s">
        <v>260</v>
      </c>
      <c r="B40" s="67" t="s">
        <v>263</v>
      </c>
      <c r="C40" s="72" t="s">
        <v>222</v>
      </c>
      <c r="D40" s="73">
        <v>5</v>
      </c>
      <c r="E40" s="72" t="s">
        <v>223</v>
      </c>
      <c r="F40" s="73">
        <v>5</v>
      </c>
      <c r="G40" s="72" t="s">
        <v>224</v>
      </c>
      <c r="H40" s="73">
        <v>5</v>
      </c>
      <c r="I40" s="72" t="s">
        <v>224</v>
      </c>
      <c r="J40" s="73">
        <v>5</v>
      </c>
      <c r="K40" s="72" t="s">
        <v>225</v>
      </c>
      <c r="L40" s="73">
        <v>8</v>
      </c>
      <c r="P40" t="str">
        <f t="shared" si="2"/>
        <v>building_铅矿</v>
      </c>
    </row>
    <row r="41" customHeight="1" spans="1:16">
      <c r="A41" t="s">
        <v>260</v>
      </c>
      <c r="B41" s="67" t="s">
        <v>264</v>
      </c>
      <c r="C41" s="72" t="s">
        <v>222</v>
      </c>
      <c r="D41" s="73">
        <v>5</v>
      </c>
      <c r="E41" s="72" t="s">
        <v>223</v>
      </c>
      <c r="F41" s="73">
        <v>5</v>
      </c>
      <c r="G41" s="72" t="s">
        <v>224</v>
      </c>
      <c r="H41" s="73">
        <v>5</v>
      </c>
      <c r="I41" s="72" t="s">
        <v>224</v>
      </c>
      <c r="J41" s="73">
        <v>5</v>
      </c>
      <c r="K41" s="72" t="s">
        <v>225</v>
      </c>
      <c r="L41" s="73">
        <v>8</v>
      </c>
      <c r="P41" t="str">
        <f t="shared" si="2"/>
        <v>building_硫矿</v>
      </c>
    </row>
    <row r="42" customHeight="1" spans="1:16">
      <c r="A42" t="s">
        <v>260</v>
      </c>
      <c r="B42" s="67" t="s">
        <v>265</v>
      </c>
      <c r="C42" s="72" t="s">
        <v>222</v>
      </c>
      <c r="D42" s="73">
        <v>5</v>
      </c>
      <c r="E42" s="72" t="s">
        <v>223</v>
      </c>
      <c r="F42" s="73">
        <v>5</v>
      </c>
      <c r="G42" s="72" t="s">
        <v>224</v>
      </c>
      <c r="H42" s="73">
        <v>5</v>
      </c>
      <c r="I42" s="72" t="s">
        <v>224</v>
      </c>
      <c r="J42" s="73">
        <v>5</v>
      </c>
      <c r="K42" s="72" t="s">
        <v>225</v>
      </c>
      <c r="L42" s="73">
        <v>8</v>
      </c>
      <c r="P42" t="str">
        <f t="shared" si="2"/>
        <v>building_金矿</v>
      </c>
    </row>
    <row r="43" customHeight="1" spans="1:16">
      <c r="A43" t="s">
        <v>260</v>
      </c>
      <c r="B43" s="67" t="s">
        <v>266</v>
      </c>
      <c r="C43" s="72" t="s">
        <v>222</v>
      </c>
      <c r="D43" s="73">
        <v>5</v>
      </c>
      <c r="E43" s="72" t="s">
        <v>223</v>
      </c>
      <c r="F43" s="73">
        <v>5</v>
      </c>
      <c r="G43" s="72" t="s">
        <v>224</v>
      </c>
      <c r="H43" s="73">
        <v>5</v>
      </c>
      <c r="I43" s="72" t="s">
        <v>224</v>
      </c>
      <c r="J43" s="73">
        <v>5</v>
      </c>
      <c r="K43" s="72" t="s">
        <v>225</v>
      </c>
      <c r="L43" s="73">
        <v>8</v>
      </c>
      <c r="P43" t="str">
        <f t="shared" si="2"/>
        <v>building_油井</v>
      </c>
    </row>
    <row r="44" customFormat="1" customHeight="1"/>
    <row r="45" customHeight="1" spans="1:16">
      <c r="A45" t="s">
        <v>220</v>
      </c>
      <c r="B45" s="67" t="s">
        <v>267</v>
      </c>
      <c r="C45" s="72" t="s">
        <v>222</v>
      </c>
      <c r="D45" s="73">
        <v>5</v>
      </c>
      <c r="E45" s="72" t="s">
        <v>224</v>
      </c>
      <c r="F45" s="73">
        <v>5</v>
      </c>
      <c r="G45" s="72" t="s">
        <v>224</v>
      </c>
      <c r="H45" s="73">
        <v>5</v>
      </c>
      <c r="I45" s="72" t="s">
        <v>225</v>
      </c>
      <c r="J45" s="73">
        <v>8</v>
      </c>
      <c r="K45" s="72"/>
      <c r="L45" s="73"/>
      <c r="P45" t="str">
        <f t="shared" si="2"/>
        <v>building_棉花</v>
      </c>
    </row>
    <row r="46" customHeight="1" spans="1:16">
      <c r="A46" t="s">
        <v>220</v>
      </c>
      <c r="B46" s="67" t="s">
        <v>111</v>
      </c>
      <c r="C46" s="72" t="s">
        <v>222</v>
      </c>
      <c r="D46" s="73">
        <v>5</v>
      </c>
      <c r="E46" s="72" t="s">
        <v>224</v>
      </c>
      <c r="F46" s="73">
        <v>5</v>
      </c>
      <c r="G46" s="72" t="s">
        <v>224</v>
      </c>
      <c r="H46" s="73">
        <v>5</v>
      </c>
      <c r="I46" s="72" t="s">
        <v>225</v>
      </c>
      <c r="J46" s="73">
        <v>8</v>
      </c>
      <c r="K46" s="72"/>
      <c r="L46" s="73"/>
      <c r="P46" t="str">
        <f t="shared" si="2"/>
        <v>building_染料</v>
      </c>
    </row>
    <row r="47" customHeight="1" spans="1:16">
      <c r="A47" t="s">
        <v>220</v>
      </c>
      <c r="B47" s="67" t="s">
        <v>268</v>
      </c>
      <c r="C47" s="72" t="s">
        <v>222</v>
      </c>
      <c r="D47" s="73">
        <v>5</v>
      </c>
      <c r="E47" s="72" t="s">
        <v>224</v>
      </c>
      <c r="F47" s="73">
        <v>5</v>
      </c>
      <c r="G47" s="72" t="s">
        <v>224</v>
      </c>
      <c r="H47" s="73">
        <v>5</v>
      </c>
      <c r="I47" s="72" t="s">
        <v>225</v>
      </c>
      <c r="J47" s="73">
        <v>8</v>
      </c>
      <c r="K47" s="72"/>
      <c r="L47" s="73"/>
      <c r="P47" t="str">
        <f t="shared" si="2"/>
        <v>building_鸦片</v>
      </c>
    </row>
    <row r="48" customHeight="1" spans="1:16">
      <c r="A48" t="s">
        <v>220</v>
      </c>
      <c r="B48" s="67" t="s">
        <v>269</v>
      </c>
      <c r="C48" s="72" t="s">
        <v>222</v>
      </c>
      <c r="D48" s="73">
        <v>5</v>
      </c>
      <c r="E48" s="72" t="s">
        <v>224</v>
      </c>
      <c r="F48" s="73">
        <v>5</v>
      </c>
      <c r="G48" s="72" t="s">
        <v>224</v>
      </c>
      <c r="H48" s="73">
        <v>5</v>
      </c>
      <c r="I48" s="72" t="s">
        <v>225</v>
      </c>
      <c r="J48" s="73">
        <v>8</v>
      </c>
      <c r="K48" s="72"/>
      <c r="L48" s="73"/>
      <c r="P48" t="str">
        <f t="shared" si="2"/>
        <v>building_茶叶</v>
      </c>
    </row>
    <row r="49" customHeight="1" spans="1:16">
      <c r="A49" t="s">
        <v>220</v>
      </c>
      <c r="B49" s="67" t="s">
        <v>117</v>
      </c>
      <c r="C49" s="72" t="s">
        <v>222</v>
      </c>
      <c r="D49" s="73">
        <v>5</v>
      </c>
      <c r="E49" s="72" t="s">
        <v>224</v>
      </c>
      <c r="F49" s="73">
        <v>5</v>
      </c>
      <c r="G49" s="72" t="s">
        <v>224</v>
      </c>
      <c r="H49" s="73">
        <v>5</v>
      </c>
      <c r="I49" s="72" t="s">
        <v>225</v>
      </c>
      <c r="J49" s="73">
        <v>8</v>
      </c>
      <c r="K49" s="72"/>
      <c r="L49" s="73"/>
      <c r="P49" t="str">
        <f t="shared" si="2"/>
        <v>building_烟草</v>
      </c>
    </row>
    <row r="50" customHeight="1" spans="1:16">
      <c r="A50" t="s">
        <v>220</v>
      </c>
      <c r="B50" s="67" t="s">
        <v>270</v>
      </c>
      <c r="C50" s="72" t="s">
        <v>222</v>
      </c>
      <c r="D50" s="73">
        <v>5</v>
      </c>
      <c r="E50" s="72" t="s">
        <v>224</v>
      </c>
      <c r="F50" s="73">
        <v>5</v>
      </c>
      <c r="G50" s="72" t="s">
        <v>224</v>
      </c>
      <c r="H50" s="73">
        <v>5</v>
      </c>
      <c r="I50" s="72" t="s">
        <v>225</v>
      </c>
      <c r="J50" s="73">
        <v>8</v>
      </c>
      <c r="K50" s="72"/>
      <c r="L50" s="73"/>
      <c r="P50" t="str">
        <f t="shared" si="2"/>
        <v>building_香蕉</v>
      </c>
    </row>
    <row r="51" customHeight="1" spans="1:16">
      <c r="A51" t="s">
        <v>220</v>
      </c>
      <c r="B51" s="67" t="s">
        <v>271</v>
      </c>
      <c r="C51" s="72" t="s">
        <v>222</v>
      </c>
      <c r="D51" s="73">
        <v>5</v>
      </c>
      <c r="E51" s="72" t="s">
        <v>224</v>
      </c>
      <c r="F51" s="73">
        <v>5</v>
      </c>
      <c r="G51" s="72" t="s">
        <v>224</v>
      </c>
      <c r="H51" s="73">
        <v>5</v>
      </c>
      <c r="I51" s="72" t="s">
        <v>225</v>
      </c>
      <c r="J51" s="73">
        <v>8</v>
      </c>
      <c r="K51" s="72"/>
      <c r="L51" s="73"/>
      <c r="P51" t="str">
        <f t="shared" si="2"/>
        <v>building_糖类</v>
      </c>
    </row>
    <row r="52" customHeight="1" spans="1:16">
      <c r="A52" t="s">
        <v>220</v>
      </c>
      <c r="B52" s="67" t="s">
        <v>120</v>
      </c>
      <c r="C52" s="72" t="s">
        <v>222</v>
      </c>
      <c r="D52" s="73">
        <v>5</v>
      </c>
      <c r="E52" s="72" t="s">
        <v>224</v>
      </c>
      <c r="F52" s="73">
        <v>5</v>
      </c>
      <c r="G52" s="72" t="s">
        <v>224</v>
      </c>
      <c r="H52" s="73">
        <v>5</v>
      </c>
      <c r="I52" s="72" t="s">
        <v>225</v>
      </c>
      <c r="J52" s="73">
        <v>8</v>
      </c>
      <c r="K52" s="72"/>
      <c r="L52" s="73"/>
      <c r="P52" t="str">
        <f t="shared" si="2"/>
        <v>building_丝绸</v>
      </c>
    </row>
    <row r="53" customHeight="1" spans="1:16">
      <c r="A53" t="s">
        <v>220</v>
      </c>
      <c r="B53" s="67" t="s">
        <v>272</v>
      </c>
      <c r="C53" s="72" t="s">
        <v>222</v>
      </c>
      <c r="D53" s="73">
        <v>5</v>
      </c>
      <c r="E53" s="72" t="s">
        <v>224</v>
      </c>
      <c r="F53" s="73">
        <v>5</v>
      </c>
      <c r="G53" s="72" t="s">
        <v>224</v>
      </c>
      <c r="H53" s="73">
        <v>5</v>
      </c>
      <c r="I53" s="72" t="s">
        <v>225</v>
      </c>
      <c r="J53" s="73">
        <v>8</v>
      </c>
      <c r="K53" s="72"/>
      <c r="L53" s="73"/>
      <c r="P53" t="str">
        <f t="shared" si="2"/>
        <v>building_伐木场</v>
      </c>
    </row>
    <row r="54" customHeight="1" spans="1:16">
      <c r="A54" t="s">
        <v>220</v>
      </c>
      <c r="B54" s="67" t="s">
        <v>112</v>
      </c>
      <c r="C54" s="72" t="s">
        <v>222</v>
      </c>
      <c r="D54" s="73">
        <v>5</v>
      </c>
      <c r="E54" s="72" t="s">
        <v>224</v>
      </c>
      <c r="F54" s="73">
        <v>5</v>
      </c>
      <c r="G54" s="72" t="s">
        <v>224</v>
      </c>
      <c r="H54" s="73">
        <v>5</v>
      </c>
      <c r="I54" s="72" t="s">
        <v>225</v>
      </c>
      <c r="J54" s="73">
        <v>8</v>
      </c>
      <c r="K54" s="72"/>
      <c r="L54" s="73"/>
      <c r="P54" t="str">
        <f t="shared" si="2"/>
        <v>building_树胶</v>
      </c>
    </row>
    <row r="55" customHeight="1" spans="1:16">
      <c r="A55" t="s">
        <v>220</v>
      </c>
      <c r="B55" s="67" t="s">
        <v>273</v>
      </c>
      <c r="C55" s="72" t="s">
        <v>222</v>
      </c>
      <c r="D55" s="73">
        <v>5</v>
      </c>
      <c r="E55" s="72" t="s">
        <v>224</v>
      </c>
      <c r="F55" s="73">
        <v>5</v>
      </c>
      <c r="G55" s="72" t="s">
        <v>224</v>
      </c>
      <c r="H55" s="73">
        <v>5</v>
      </c>
      <c r="I55" s="72" t="s">
        <v>225</v>
      </c>
      <c r="J55" s="73">
        <v>8</v>
      </c>
      <c r="K55" s="72"/>
      <c r="L55" s="73"/>
      <c r="P55" t="str">
        <f t="shared" si="2"/>
        <v>building_黑麦</v>
      </c>
    </row>
    <row r="56" customHeight="1" spans="1:16">
      <c r="A56" t="s">
        <v>220</v>
      </c>
      <c r="B56" s="67" t="s">
        <v>274</v>
      </c>
      <c r="C56" s="72" t="s">
        <v>222</v>
      </c>
      <c r="D56" s="73">
        <v>5</v>
      </c>
      <c r="E56" s="72" t="s">
        <v>224</v>
      </c>
      <c r="F56" s="73">
        <v>5</v>
      </c>
      <c r="G56" s="72" t="s">
        <v>224</v>
      </c>
      <c r="H56" s="73">
        <v>5</v>
      </c>
      <c r="I56" s="72" t="s">
        <v>225</v>
      </c>
      <c r="J56" s="73">
        <v>8</v>
      </c>
      <c r="K56" s="72"/>
      <c r="L56" s="73"/>
      <c r="P56" t="str">
        <f t="shared" si="2"/>
        <v>building_小麦</v>
      </c>
    </row>
    <row r="57" customHeight="1" spans="1:16">
      <c r="A57" t="s">
        <v>220</v>
      </c>
      <c r="B57" s="67" t="s">
        <v>275</v>
      </c>
      <c r="C57" s="72" t="s">
        <v>222</v>
      </c>
      <c r="D57" s="73">
        <v>5</v>
      </c>
      <c r="E57" s="72" t="s">
        <v>224</v>
      </c>
      <c r="F57" s="73">
        <v>5</v>
      </c>
      <c r="G57" s="72" t="s">
        <v>224</v>
      </c>
      <c r="H57" s="73">
        <v>5</v>
      </c>
      <c r="I57" s="72" t="s">
        <v>225</v>
      </c>
      <c r="J57" s="73">
        <v>8</v>
      </c>
      <c r="K57" s="72"/>
      <c r="L57" s="73"/>
      <c r="P57" t="str">
        <f t="shared" si="2"/>
        <v>building_大米</v>
      </c>
    </row>
    <row r="58" customHeight="1" spans="1:16">
      <c r="A58" t="s">
        <v>220</v>
      </c>
      <c r="B58" s="67" t="s">
        <v>276</v>
      </c>
      <c r="C58" s="72" t="s">
        <v>222</v>
      </c>
      <c r="D58" s="73">
        <v>5</v>
      </c>
      <c r="E58" s="72" t="s">
        <v>224</v>
      </c>
      <c r="F58" s="73">
        <v>5</v>
      </c>
      <c r="G58" s="72" t="s">
        <v>224</v>
      </c>
      <c r="H58" s="73">
        <v>5</v>
      </c>
      <c r="I58" s="72" t="s">
        <v>225</v>
      </c>
      <c r="J58" s="73">
        <v>8</v>
      </c>
      <c r="K58" s="72"/>
      <c r="L58" s="73"/>
      <c r="P58" t="str">
        <f t="shared" si="2"/>
        <v>building_玉米</v>
      </c>
    </row>
    <row r="59" customHeight="1" spans="1:16">
      <c r="A59" t="s">
        <v>220</v>
      </c>
      <c r="B59" s="67" t="s">
        <v>277</v>
      </c>
      <c r="C59" s="72" t="s">
        <v>222</v>
      </c>
      <c r="D59" s="73">
        <v>5</v>
      </c>
      <c r="E59" s="72" t="s">
        <v>224</v>
      </c>
      <c r="F59" s="73">
        <v>5</v>
      </c>
      <c r="G59" s="72" t="s">
        <v>224</v>
      </c>
      <c r="H59" s="73">
        <v>5</v>
      </c>
      <c r="I59" s="72" t="s">
        <v>225</v>
      </c>
      <c r="J59" s="73">
        <v>8</v>
      </c>
      <c r="K59" s="72"/>
      <c r="L59" s="73"/>
      <c r="P59" t="str">
        <f t="shared" si="2"/>
        <v>building_小米</v>
      </c>
    </row>
    <row r="60" customHeight="1" spans="1:16">
      <c r="A60" t="s">
        <v>220</v>
      </c>
      <c r="B60" s="67" t="s">
        <v>278</v>
      </c>
      <c r="C60" s="72" t="s">
        <v>222</v>
      </c>
      <c r="D60" s="73">
        <v>5</v>
      </c>
      <c r="E60" s="72" t="s">
        <v>224</v>
      </c>
      <c r="F60" s="73">
        <v>5</v>
      </c>
      <c r="G60" s="72" t="s">
        <v>224</v>
      </c>
      <c r="H60" s="73">
        <v>5</v>
      </c>
      <c r="I60" s="72" t="s">
        <v>225</v>
      </c>
      <c r="J60" s="73">
        <v>8</v>
      </c>
      <c r="K60" s="72"/>
      <c r="L60" s="73"/>
      <c r="P60" t="str">
        <f t="shared" si="2"/>
        <v>building_牧场</v>
      </c>
    </row>
    <row r="61" customHeight="1" spans="1:16">
      <c r="A61" t="s">
        <v>220</v>
      </c>
      <c r="B61" s="67" t="s">
        <v>279</v>
      </c>
      <c r="C61" s="72" t="s">
        <v>222</v>
      </c>
      <c r="D61" s="73">
        <v>5</v>
      </c>
      <c r="E61" s="72" t="s">
        <v>224</v>
      </c>
      <c r="F61" s="73">
        <v>5</v>
      </c>
      <c r="G61" s="72" t="s">
        <v>224</v>
      </c>
      <c r="H61" s="73">
        <v>5</v>
      </c>
      <c r="I61" s="72" t="s">
        <v>225</v>
      </c>
      <c r="J61" s="73">
        <v>8</v>
      </c>
      <c r="K61" s="72"/>
      <c r="L61" s="73"/>
      <c r="P61" t="str">
        <f t="shared" si="2"/>
        <v>building_渔船码头</v>
      </c>
    </row>
    <row r="62" customHeight="1" spans="1:16">
      <c r="A62" t="s">
        <v>220</v>
      </c>
      <c r="B62" s="67" t="s">
        <v>280</v>
      </c>
      <c r="C62" s="72" t="s">
        <v>222</v>
      </c>
      <c r="D62" s="73">
        <v>5</v>
      </c>
      <c r="E62" s="72" t="s">
        <v>224</v>
      </c>
      <c r="F62" s="73">
        <v>5</v>
      </c>
      <c r="G62" s="72" t="s">
        <v>224</v>
      </c>
      <c r="H62" s="73">
        <v>5</v>
      </c>
      <c r="I62" s="72" t="s">
        <v>225</v>
      </c>
      <c r="J62" s="73">
        <v>8</v>
      </c>
      <c r="K62" s="72"/>
      <c r="L62" s="73"/>
      <c r="P62" t="str">
        <f t="shared" si="2"/>
        <v>building_捕鲸站</v>
      </c>
    </row>
    <row r="63" customFormat="1" customHeight="1"/>
    <row r="64" customHeight="1" spans="1:16">
      <c r="A64" t="s">
        <v>238</v>
      </c>
      <c r="B64" s="67" t="s">
        <v>281</v>
      </c>
      <c r="C64" s="72"/>
      <c r="D64" s="73"/>
      <c r="E64" s="72"/>
      <c r="F64" s="73"/>
      <c r="G64" s="72"/>
      <c r="H64" s="73"/>
      <c r="I64" s="72"/>
      <c r="J64" s="73"/>
      <c r="K64" s="72"/>
      <c r="L64" s="73"/>
      <c r="P64" t="str">
        <f>"building_"&amp;B64</f>
        <v>building_常备军营</v>
      </c>
    </row>
    <row r="65" customHeight="1" spans="1:16">
      <c r="A65" t="s">
        <v>238</v>
      </c>
      <c r="B65" s="67" t="s">
        <v>282</v>
      </c>
      <c r="C65" s="72"/>
      <c r="D65" s="73"/>
      <c r="E65" s="72"/>
      <c r="F65" s="73"/>
      <c r="G65" s="72"/>
      <c r="H65" s="73"/>
      <c r="I65" s="72"/>
      <c r="J65" s="73"/>
      <c r="K65" s="72"/>
      <c r="L65" s="73"/>
      <c r="P65" t="str">
        <f>"building_"&amp;B65</f>
        <v>building_动员军营</v>
      </c>
    </row>
    <row r="66" customHeight="1" spans="1:16">
      <c r="A66" t="s">
        <v>238</v>
      </c>
      <c r="B66" s="67" t="s">
        <v>283</v>
      </c>
      <c r="C66" s="72"/>
      <c r="D66" s="73"/>
      <c r="E66" s="72"/>
      <c r="F66" s="73"/>
      <c r="G66" s="72"/>
      <c r="H66" s="73"/>
      <c r="I66" s="72"/>
      <c r="J66" s="73"/>
      <c r="K66" s="72"/>
      <c r="L66" s="73"/>
      <c r="P66" t="str">
        <f>"building_"&amp;B66</f>
        <v>building_军港</v>
      </c>
    </row>
    <row r="67" customFormat="1" customHeight="1"/>
    <row r="68" customHeight="1" spans="1:16">
      <c r="A68" t="s">
        <v>220</v>
      </c>
      <c r="B68" s="67" t="s">
        <v>284</v>
      </c>
      <c r="C68" s="72"/>
      <c r="D68" s="73"/>
      <c r="E68" s="72"/>
      <c r="F68" s="73"/>
      <c r="G68" s="72"/>
      <c r="H68" s="73"/>
      <c r="I68" s="72"/>
      <c r="J68" s="73"/>
      <c r="K68" s="72"/>
      <c r="L68" s="73"/>
      <c r="P68" t="str">
        <f>"building_"&amp;B68</f>
        <v>building_自给农场</v>
      </c>
    </row>
  </sheetData>
  <mergeCells count="1">
    <mergeCell ref="A1:B1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BuildingTransformer">
          <controlPr defaultSize="0" r:id="rId4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1</xdr:col>
                <xdr:colOff>1181100</xdr:colOff>
                <xdr:row>0</xdr:row>
                <xdr:rowOff>485775</xdr:rowOff>
              </to>
            </anchor>
          </controlPr>
        </control>
      </mc:Choice>
      <mc:Fallback>
        <control shapeId="1025" r:id="rId3" name="BuildingTransform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2:E1205"/>
  <sheetViews>
    <sheetView showGridLines="0" zoomScale="90" zoomScaleNormal="90" workbookViewId="0">
      <selection activeCell="F14" sqref="F14"/>
    </sheetView>
  </sheetViews>
  <sheetFormatPr defaultColWidth="9" defaultRowHeight="21" customHeight="1" outlineLevelCol="4"/>
  <cols>
    <col min="1" max="1" width="14.625" style="1" customWidth="1"/>
    <col min="2" max="2" width="22.875" style="67" customWidth="1"/>
    <col min="3" max="3" width="26.875" style="68" customWidth="1"/>
    <col min="4" max="4" width="23.75" style="1" customWidth="1"/>
    <col min="5" max="5" width="14.625" style="68" customWidth="1"/>
  </cols>
  <sheetData>
    <row r="2" customHeight="1" spans="1:5">
      <c r="A2" s="2" t="s">
        <v>213</v>
      </c>
      <c r="B2" s="2" t="s">
        <v>214</v>
      </c>
      <c r="C2" s="2" t="s">
        <v>285</v>
      </c>
      <c r="D2" s="2" t="s">
        <v>215</v>
      </c>
      <c r="E2" s="2" t="s">
        <v>286</v>
      </c>
    </row>
    <row r="3" customHeight="1" spans="1:5">
      <c r="A3" s="1" t="s">
        <v>220</v>
      </c>
      <c r="B3" s="69" t="s">
        <v>287</v>
      </c>
      <c r="C3" s="5" t="s">
        <v>288</v>
      </c>
      <c r="D3" s="1" t="s">
        <v>222</v>
      </c>
      <c r="E3" s="5">
        <v>1</v>
      </c>
    </row>
    <row r="4" customHeight="1" spans="1:5">
      <c r="A4" s="1" t="s">
        <v>220</v>
      </c>
      <c r="B4" s="69" t="s">
        <v>287</v>
      </c>
      <c r="C4" s="5" t="s">
        <v>288</v>
      </c>
      <c r="D4" s="1" t="s">
        <v>222</v>
      </c>
      <c r="E4" s="5">
        <v>2</v>
      </c>
    </row>
    <row r="5" customHeight="1" spans="1:5">
      <c r="A5" s="1" t="s">
        <v>220</v>
      </c>
      <c r="B5" s="69" t="s">
        <v>287</v>
      </c>
      <c r="C5" s="5" t="s">
        <v>288</v>
      </c>
      <c r="D5" s="1" t="s">
        <v>222</v>
      </c>
      <c r="E5" s="5">
        <v>3</v>
      </c>
    </row>
    <row r="6" customHeight="1" spans="1:5">
      <c r="A6" s="1" t="s">
        <v>220</v>
      </c>
      <c r="B6" s="69" t="s">
        <v>287</v>
      </c>
      <c r="C6" s="5" t="s">
        <v>288</v>
      </c>
      <c r="D6" s="1" t="s">
        <v>222</v>
      </c>
      <c r="E6" s="5">
        <v>4</v>
      </c>
    </row>
    <row r="7" customHeight="1" spans="1:5">
      <c r="A7" s="1" t="s">
        <v>220</v>
      </c>
      <c r="B7" s="69" t="s">
        <v>287</v>
      </c>
      <c r="C7" s="5" t="s">
        <v>288</v>
      </c>
      <c r="D7" s="1" t="s">
        <v>222</v>
      </c>
      <c r="E7" s="5">
        <v>5</v>
      </c>
    </row>
    <row r="8" customHeight="1" spans="1:5">
      <c r="A8" s="1" t="s">
        <v>220</v>
      </c>
      <c r="B8" s="69" t="s">
        <v>287</v>
      </c>
      <c r="C8" s="18" t="s">
        <v>289</v>
      </c>
      <c r="D8" s="1" t="s">
        <v>223</v>
      </c>
      <c r="E8" s="18">
        <v>1</v>
      </c>
    </row>
    <row r="9" customHeight="1" spans="1:5">
      <c r="A9" s="1" t="s">
        <v>220</v>
      </c>
      <c r="B9" s="69" t="s">
        <v>287</v>
      </c>
      <c r="C9" s="18" t="s">
        <v>289</v>
      </c>
      <c r="D9" s="1" t="s">
        <v>223</v>
      </c>
      <c r="E9" s="18">
        <v>2</v>
      </c>
    </row>
    <row r="10" customHeight="1" spans="1:5">
      <c r="A10" s="1" t="s">
        <v>220</v>
      </c>
      <c r="B10" s="69" t="s">
        <v>287</v>
      </c>
      <c r="C10" s="18" t="s">
        <v>289</v>
      </c>
      <c r="D10" s="1" t="s">
        <v>223</v>
      </c>
      <c r="E10" s="18">
        <v>3</v>
      </c>
    </row>
    <row r="11" customHeight="1" spans="1:5">
      <c r="A11" s="1" t="s">
        <v>220</v>
      </c>
      <c r="B11" s="69" t="s">
        <v>287</v>
      </c>
      <c r="C11" s="18" t="s">
        <v>289</v>
      </c>
      <c r="D11" s="1" t="s">
        <v>223</v>
      </c>
      <c r="E11" s="18">
        <v>4</v>
      </c>
    </row>
    <row r="12" customHeight="1" spans="1:5">
      <c r="A12" s="1" t="s">
        <v>220</v>
      </c>
      <c r="B12" s="69" t="s">
        <v>287</v>
      </c>
      <c r="C12" s="18" t="s">
        <v>289</v>
      </c>
      <c r="D12" s="1" t="s">
        <v>223</v>
      </c>
      <c r="E12" s="18">
        <v>5</v>
      </c>
    </row>
    <row r="13" customHeight="1" spans="1:5">
      <c r="A13" s="1" t="s">
        <v>220</v>
      </c>
      <c r="B13" s="69" t="s">
        <v>287</v>
      </c>
      <c r="C13" s="5" t="s">
        <v>290</v>
      </c>
      <c r="D13" s="1" t="s">
        <v>224</v>
      </c>
      <c r="E13" s="5">
        <v>1</v>
      </c>
    </row>
    <row r="14" customHeight="1" spans="1:5">
      <c r="A14" s="1" t="s">
        <v>220</v>
      </c>
      <c r="B14" s="69" t="s">
        <v>287</v>
      </c>
      <c r="C14" s="5" t="s">
        <v>290</v>
      </c>
      <c r="D14" s="1" t="s">
        <v>224</v>
      </c>
      <c r="E14" s="5">
        <v>2</v>
      </c>
    </row>
    <row r="15" customHeight="1" spans="1:5">
      <c r="A15" s="1" t="s">
        <v>220</v>
      </c>
      <c r="B15" s="69" t="s">
        <v>287</v>
      </c>
      <c r="C15" s="5" t="s">
        <v>290</v>
      </c>
      <c r="D15" s="1" t="s">
        <v>224</v>
      </c>
      <c r="E15" s="5">
        <v>3</v>
      </c>
    </row>
    <row r="16" customHeight="1" spans="1:5">
      <c r="A16" s="1" t="s">
        <v>220</v>
      </c>
      <c r="B16" s="69" t="s">
        <v>287</v>
      </c>
      <c r="C16" s="5" t="s">
        <v>290</v>
      </c>
      <c r="D16" s="1" t="s">
        <v>224</v>
      </c>
      <c r="E16" s="5">
        <v>4</v>
      </c>
    </row>
    <row r="17" customHeight="1" spans="1:5">
      <c r="A17" s="1" t="s">
        <v>220</v>
      </c>
      <c r="B17" s="69" t="s">
        <v>287</v>
      </c>
      <c r="C17" s="5" t="s">
        <v>290</v>
      </c>
      <c r="D17" s="1" t="s">
        <v>224</v>
      </c>
      <c r="E17" s="5">
        <v>5</v>
      </c>
    </row>
    <row r="18" customHeight="1" spans="1:5">
      <c r="A18" s="1" t="s">
        <v>220</v>
      </c>
      <c r="B18" s="69" t="s">
        <v>287</v>
      </c>
      <c r="C18" s="18" t="s">
        <v>290</v>
      </c>
      <c r="D18" s="1" t="s">
        <v>224</v>
      </c>
      <c r="E18" s="18">
        <v>1</v>
      </c>
    </row>
    <row r="19" customHeight="1" spans="1:5">
      <c r="A19" s="1" t="s">
        <v>220</v>
      </c>
      <c r="B19" s="69" t="s">
        <v>287</v>
      </c>
      <c r="C19" s="18" t="s">
        <v>290</v>
      </c>
      <c r="D19" s="1" t="s">
        <v>224</v>
      </c>
      <c r="E19" s="18">
        <v>2</v>
      </c>
    </row>
    <row r="20" customHeight="1" spans="1:5">
      <c r="A20" s="1" t="s">
        <v>220</v>
      </c>
      <c r="B20" s="69" t="s">
        <v>287</v>
      </c>
      <c r="C20" s="18" t="s">
        <v>290</v>
      </c>
      <c r="D20" s="1" t="s">
        <v>224</v>
      </c>
      <c r="E20" s="18">
        <v>3</v>
      </c>
    </row>
    <row r="21" customHeight="1" spans="1:5">
      <c r="A21" s="1" t="s">
        <v>220</v>
      </c>
      <c r="B21" s="69" t="s">
        <v>287</v>
      </c>
      <c r="C21" s="18" t="s">
        <v>290</v>
      </c>
      <c r="D21" s="1" t="s">
        <v>224</v>
      </c>
      <c r="E21" s="18">
        <v>4</v>
      </c>
    </row>
    <row r="22" customHeight="1" spans="1:5">
      <c r="A22" s="1" t="s">
        <v>220</v>
      </c>
      <c r="B22" s="69" t="s">
        <v>287</v>
      </c>
      <c r="C22" s="18" t="s">
        <v>290</v>
      </c>
      <c r="D22" s="1" t="s">
        <v>224</v>
      </c>
      <c r="E22" s="18">
        <v>5</v>
      </c>
    </row>
    <row r="23" customHeight="1" spans="1:5">
      <c r="A23" s="1" t="s">
        <v>291</v>
      </c>
      <c r="B23" s="69" t="s">
        <v>287</v>
      </c>
      <c r="C23" s="5" t="s">
        <v>292</v>
      </c>
      <c r="D23" s="1" t="s">
        <v>225</v>
      </c>
      <c r="E23" s="5">
        <v>1</v>
      </c>
    </row>
    <row r="24" customHeight="1" spans="1:5">
      <c r="A24" s="1" t="s">
        <v>291</v>
      </c>
      <c r="B24" s="69" t="s">
        <v>287</v>
      </c>
      <c r="C24" s="5" t="s">
        <v>292</v>
      </c>
      <c r="D24" s="1" t="s">
        <v>225</v>
      </c>
      <c r="E24" s="5">
        <v>2</v>
      </c>
    </row>
    <row r="25" customHeight="1" spans="1:5">
      <c r="A25" s="1" t="s">
        <v>291</v>
      </c>
      <c r="B25" s="69" t="s">
        <v>287</v>
      </c>
      <c r="C25" s="5" t="s">
        <v>292</v>
      </c>
      <c r="D25" s="1" t="s">
        <v>225</v>
      </c>
      <c r="E25" s="5">
        <v>3</v>
      </c>
    </row>
    <row r="26" customHeight="1" spans="1:5">
      <c r="A26" s="1" t="s">
        <v>291</v>
      </c>
      <c r="B26" s="69" t="s">
        <v>287</v>
      </c>
      <c r="C26" s="5" t="s">
        <v>292</v>
      </c>
      <c r="D26" s="1" t="s">
        <v>225</v>
      </c>
      <c r="E26" s="5">
        <v>4</v>
      </c>
    </row>
    <row r="27" customHeight="1" spans="1:5">
      <c r="A27" s="1" t="s">
        <v>291</v>
      </c>
      <c r="B27" s="69" t="s">
        <v>287</v>
      </c>
      <c r="C27" s="5" t="s">
        <v>292</v>
      </c>
      <c r="D27" s="1" t="s">
        <v>225</v>
      </c>
      <c r="E27" s="5">
        <v>5</v>
      </c>
    </row>
    <row r="28" customHeight="1" spans="1:5">
      <c r="A28" s="1" t="s">
        <v>291</v>
      </c>
      <c r="B28" s="69" t="s">
        <v>287</v>
      </c>
      <c r="C28" s="5" t="s">
        <v>292</v>
      </c>
      <c r="D28" s="1" t="s">
        <v>225</v>
      </c>
      <c r="E28" s="5">
        <v>6</v>
      </c>
    </row>
    <row r="29" customHeight="1" spans="1:5">
      <c r="A29" s="1" t="s">
        <v>291</v>
      </c>
      <c r="B29" s="69" t="s">
        <v>287</v>
      </c>
      <c r="C29" s="5" t="s">
        <v>292</v>
      </c>
      <c r="D29" s="1" t="s">
        <v>225</v>
      </c>
      <c r="E29" s="5">
        <v>7</v>
      </c>
    </row>
    <row r="30" customHeight="1" spans="1:5">
      <c r="A30" s="1" t="s">
        <v>291</v>
      </c>
      <c r="B30" s="69" t="s">
        <v>287</v>
      </c>
      <c r="C30" s="5" t="s">
        <v>292</v>
      </c>
      <c r="D30" s="1" t="s">
        <v>225</v>
      </c>
      <c r="E30" s="5">
        <v>8</v>
      </c>
    </row>
    <row r="31" customHeight="1" spans="1:5">
      <c r="A31" s="1" t="s">
        <v>220</v>
      </c>
      <c r="B31" s="70" t="s">
        <v>293</v>
      </c>
      <c r="C31" s="18" t="s">
        <v>294</v>
      </c>
      <c r="D31" s="1" t="s">
        <v>222</v>
      </c>
      <c r="E31" s="18">
        <v>1</v>
      </c>
    </row>
    <row r="32" customHeight="1" spans="1:5">
      <c r="A32" s="1" t="s">
        <v>220</v>
      </c>
      <c r="B32" s="70" t="s">
        <v>293</v>
      </c>
      <c r="C32" s="18" t="s">
        <v>294</v>
      </c>
      <c r="D32" s="1" t="s">
        <v>222</v>
      </c>
      <c r="E32" s="18">
        <v>2</v>
      </c>
    </row>
    <row r="33" customHeight="1" spans="1:5">
      <c r="A33" s="1" t="s">
        <v>220</v>
      </c>
      <c r="B33" s="70" t="s">
        <v>293</v>
      </c>
      <c r="C33" s="18" t="s">
        <v>294</v>
      </c>
      <c r="D33" s="1" t="s">
        <v>222</v>
      </c>
      <c r="E33" s="18">
        <v>3</v>
      </c>
    </row>
    <row r="34" customHeight="1" spans="1:5">
      <c r="A34" s="1" t="s">
        <v>220</v>
      </c>
      <c r="B34" s="70" t="s">
        <v>293</v>
      </c>
      <c r="C34" s="18" t="s">
        <v>294</v>
      </c>
      <c r="D34" s="1" t="s">
        <v>222</v>
      </c>
      <c r="E34" s="18">
        <v>4</v>
      </c>
    </row>
    <row r="35" customHeight="1" spans="1:5">
      <c r="A35" s="1" t="s">
        <v>220</v>
      </c>
      <c r="B35" s="70" t="s">
        <v>293</v>
      </c>
      <c r="C35" s="18" t="s">
        <v>294</v>
      </c>
      <c r="D35" s="1" t="s">
        <v>222</v>
      </c>
      <c r="E35" s="18">
        <v>5</v>
      </c>
    </row>
    <row r="36" customHeight="1" spans="1:5">
      <c r="A36" s="1" t="s">
        <v>220</v>
      </c>
      <c r="B36" s="70" t="s">
        <v>293</v>
      </c>
      <c r="C36" s="5" t="s">
        <v>295</v>
      </c>
      <c r="D36" s="1" t="s">
        <v>223</v>
      </c>
      <c r="E36" s="5">
        <v>1</v>
      </c>
    </row>
    <row r="37" customHeight="1" spans="1:5">
      <c r="A37" s="1" t="s">
        <v>220</v>
      </c>
      <c r="B37" s="70" t="s">
        <v>293</v>
      </c>
      <c r="C37" s="5" t="s">
        <v>295</v>
      </c>
      <c r="D37" s="1" t="s">
        <v>223</v>
      </c>
      <c r="E37" s="5">
        <v>2</v>
      </c>
    </row>
    <row r="38" customHeight="1" spans="1:5">
      <c r="A38" s="1" t="s">
        <v>220</v>
      </c>
      <c r="B38" s="70" t="s">
        <v>293</v>
      </c>
      <c r="C38" s="5" t="s">
        <v>295</v>
      </c>
      <c r="D38" s="1" t="s">
        <v>223</v>
      </c>
      <c r="E38" s="5">
        <v>3</v>
      </c>
    </row>
    <row r="39" customHeight="1" spans="1:5">
      <c r="A39" s="1" t="s">
        <v>220</v>
      </c>
      <c r="B39" s="70" t="s">
        <v>293</v>
      </c>
      <c r="C39" s="5" t="s">
        <v>295</v>
      </c>
      <c r="D39" s="1" t="s">
        <v>223</v>
      </c>
      <c r="E39" s="5">
        <v>4</v>
      </c>
    </row>
    <row r="40" customHeight="1" spans="1:5">
      <c r="A40" s="1" t="s">
        <v>220</v>
      </c>
      <c r="B40" s="70" t="s">
        <v>293</v>
      </c>
      <c r="C40" s="5" t="s">
        <v>295</v>
      </c>
      <c r="D40" s="1" t="s">
        <v>223</v>
      </c>
      <c r="E40" s="5">
        <v>5</v>
      </c>
    </row>
    <row r="41" customHeight="1" spans="1:5">
      <c r="A41" s="1" t="s">
        <v>220</v>
      </c>
      <c r="B41" s="70" t="s">
        <v>293</v>
      </c>
      <c r="C41" s="18" t="s">
        <v>296</v>
      </c>
      <c r="D41" s="1" t="s">
        <v>224</v>
      </c>
      <c r="E41" s="18">
        <v>1</v>
      </c>
    </row>
    <row r="42" customHeight="1" spans="1:5">
      <c r="A42" s="1" t="s">
        <v>220</v>
      </c>
      <c r="B42" s="70" t="s">
        <v>293</v>
      </c>
      <c r="C42" s="18" t="s">
        <v>296</v>
      </c>
      <c r="D42" s="1" t="s">
        <v>224</v>
      </c>
      <c r="E42" s="18">
        <v>2</v>
      </c>
    </row>
    <row r="43" customHeight="1" spans="1:5">
      <c r="A43" s="1" t="s">
        <v>220</v>
      </c>
      <c r="B43" s="70" t="s">
        <v>293</v>
      </c>
      <c r="C43" s="18" t="s">
        <v>296</v>
      </c>
      <c r="D43" s="1" t="s">
        <v>224</v>
      </c>
      <c r="E43" s="18">
        <v>3</v>
      </c>
    </row>
    <row r="44" customHeight="1" spans="1:5">
      <c r="A44" s="1" t="s">
        <v>220</v>
      </c>
      <c r="B44" s="70" t="s">
        <v>293</v>
      </c>
      <c r="C44" s="18" t="s">
        <v>296</v>
      </c>
      <c r="D44" s="1" t="s">
        <v>224</v>
      </c>
      <c r="E44" s="18">
        <v>4</v>
      </c>
    </row>
    <row r="45" customHeight="1" spans="1:5">
      <c r="A45" s="1" t="s">
        <v>220</v>
      </c>
      <c r="B45" s="70" t="s">
        <v>293</v>
      </c>
      <c r="C45" s="18" t="s">
        <v>296</v>
      </c>
      <c r="D45" s="1" t="s">
        <v>224</v>
      </c>
      <c r="E45" s="18">
        <v>5</v>
      </c>
    </row>
    <row r="46" customHeight="1" spans="1:5">
      <c r="A46" s="1" t="s">
        <v>220</v>
      </c>
      <c r="B46" s="70" t="s">
        <v>293</v>
      </c>
      <c r="C46" s="5" t="s">
        <v>296</v>
      </c>
      <c r="D46" s="1" t="s">
        <v>224</v>
      </c>
      <c r="E46" s="5">
        <v>1</v>
      </c>
    </row>
    <row r="47" customHeight="1" spans="1:5">
      <c r="A47" s="1" t="s">
        <v>220</v>
      </c>
      <c r="B47" s="70" t="s">
        <v>293</v>
      </c>
      <c r="C47" s="5" t="s">
        <v>296</v>
      </c>
      <c r="D47" s="1" t="s">
        <v>224</v>
      </c>
      <c r="E47" s="5">
        <v>2</v>
      </c>
    </row>
    <row r="48" customHeight="1" spans="1:5">
      <c r="A48" s="1" t="s">
        <v>220</v>
      </c>
      <c r="B48" s="70" t="s">
        <v>293</v>
      </c>
      <c r="C48" s="5" t="s">
        <v>296</v>
      </c>
      <c r="D48" s="1" t="s">
        <v>224</v>
      </c>
      <c r="E48" s="5">
        <v>3</v>
      </c>
    </row>
    <row r="49" customHeight="1" spans="1:5">
      <c r="A49" s="1" t="s">
        <v>220</v>
      </c>
      <c r="B49" s="70" t="s">
        <v>293</v>
      </c>
      <c r="C49" s="5" t="s">
        <v>296</v>
      </c>
      <c r="D49" s="1" t="s">
        <v>224</v>
      </c>
      <c r="E49" s="5">
        <v>4</v>
      </c>
    </row>
    <row r="50" customHeight="1" spans="1:5">
      <c r="A50" s="1" t="s">
        <v>220</v>
      </c>
      <c r="B50" s="70" t="s">
        <v>293</v>
      </c>
      <c r="C50" s="5" t="s">
        <v>296</v>
      </c>
      <c r="D50" s="1" t="s">
        <v>224</v>
      </c>
      <c r="E50" s="5">
        <v>5</v>
      </c>
    </row>
    <row r="51" customHeight="1" spans="1:5">
      <c r="A51" s="1" t="s">
        <v>291</v>
      </c>
      <c r="B51" s="70" t="s">
        <v>293</v>
      </c>
      <c r="C51" s="18" t="s">
        <v>297</v>
      </c>
      <c r="D51" s="1" t="s">
        <v>225</v>
      </c>
      <c r="E51" s="18">
        <v>1</v>
      </c>
    </row>
    <row r="52" customHeight="1" spans="1:5">
      <c r="A52" s="1" t="s">
        <v>291</v>
      </c>
      <c r="B52" s="70" t="s">
        <v>293</v>
      </c>
      <c r="C52" s="18" t="s">
        <v>297</v>
      </c>
      <c r="D52" s="1" t="s">
        <v>225</v>
      </c>
      <c r="E52" s="18">
        <v>2</v>
      </c>
    </row>
    <row r="53" customHeight="1" spans="1:5">
      <c r="A53" s="1" t="s">
        <v>291</v>
      </c>
      <c r="B53" s="70" t="s">
        <v>293</v>
      </c>
      <c r="C53" s="18" t="s">
        <v>297</v>
      </c>
      <c r="D53" s="1" t="s">
        <v>225</v>
      </c>
      <c r="E53" s="18">
        <v>3</v>
      </c>
    </row>
    <row r="54" customHeight="1" spans="1:5">
      <c r="A54" s="1" t="s">
        <v>291</v>
      </c>
      <c r="B54" s="70" t="s">
        <v>293</v>
      </c>
      <c r="C54" s="18" t="s">
        <v>297</v>
      </c>
      <c r="D54" s="1" t="s">
        <v>225</v>
      </c>
      <c r="E54" s="18">
        <v>4</v>
      </c>
    </row>
    <row r="55" customHeight="1" spans="1:5">
      <c r="A55" s="1" t="s">
        <v>291</v>
      </c>
      <c r="B55" s="70" t="s">
        <v>293</v>
      </c>
      <c r="C55" s="18" t="s">
        <v>297</v>
      </c>
      <c r="D55" s="1" t="s">
        <v>225</v>
      </c>
      <c r="E55" s="18">
        <v>5</v>
      </c>
    </row>
    <row r="56" customHeight="1" spans="1:5">
      <c r="A56" s="1" t="s">
        <v>291</v>
      </c>
      <c r="B56" s="70" t="s">
        <v>293</v>
      </c>
      <c r="C56" s="18" t="s">
        <v>297</v>
      </c>
      <c r="D56" s="1" t="s">
        <v>225</v>
      </c>
      <c r="E56" s="18">
        <v>6</v>
      </c>
    </row>
    <row r="57" customHeight="1" spans="1:5">
      <c r="A57" s="1" t="s">
        <v>291</v>
      </c>
      <c r="B57" s="70" t="s">
        <v>293</v>
      </c>
      <c r="C57" s="18" t="s">
        <v>297</v>
      </c>
      <c r="D57" s="1" t="s">
        <v>225</v>
      </c>
      <c r="E57" s="18">
        <v>7</v>
      </c>
    </row>
    <row r="58" customHeight="1" spans="1:5">
      <c r="A58" s="1" t="s">
        <v>291</v>
      </c>
      <c r="B58" s="70" t="s">
        <v>293</v>
      </c>
      <c r="C58" s="18" t="s">
        <v>297</v>
      </c>
      <c r="D58" s="1" t="s">
        <v>225</v>
      </c>
      <c r="E58" s="18">
        <v>8</v>
      </c>
    </row>
    <row r="59" customHeight="1" spans="1:5">
      <c r="A59" s="1" t="s">
        <v>220</v>
      </c>
      <c r="B59" s="69" t="s">
        <v>298</v>
      </c>
      <c r="C59" s="5" t="s">
        <v>299</v>
      </c>
      <c r="D59" s="1" t="s">
        <v>222</v>
      </c>
      <c r="E59" s="5">
        <v>1</v>
      </c>
    </row>
    <row r="60" customHeight="1" spans="1:5">
      <c r="A60" s="1" t="s">
        <v>220</v>
      </c>
      <c r="B60" s="69" t="s">
        <v>298</v>
      </c>
      <c r="C60" s="5" t="s">
        <v>299</v>
      </c>
      <c r="D60" s="1" t="s">
        <v>222</v>
      </c>
      <c r="E60" s="5">
        <v>2</v>
      </c>
    </row>
    <row r="61" customHeight="1" spans="1:5">
      <c r="A61" s="1" t="s">
        <v>220</v>
      </c>
      <c r="B61" s="69" t="s">
        <v>298</v>
      </c>
      <c r="C61" s="5" t="s">
        <v>299</v>
      </c>
      <c r="D61" s="1" t="s">
        <v>222</v>
      </c>
      <c r="E61" s="5">
        <v>3</v>
      </c>
    </row>
    <row r="62" customHeight="1" spans="1:5">
      <c r="A62" s="1" t="s">
        <v>220</v>
      </c>
      <c r="B62" s="69" t="s">
        <v>298</v>
      </c>
      <c r="C62" s="5" t="s">
        <v>299</v>
      </c>
      <c r="D62" s="1" t="s">
        <v>222</v>
      </c>
      <c r="E62" s="5">
        <v>4</v>
      </c>
    </row>
    <row r="63" customHeight="1" spans="1:5">
      <c r="A63" s="1" t="s">
        <v>220</v>
      </c>
      <c r="B63" s="69" t="s">
        <v>298</v>
      </c>
      <c r="C63" s="5" t="s">
        <v>299</v>
      </c>
      <c r="D63" s="1" t="s">
        <v>222</v>
      </c>
      <c r="E63" s="5">
        <v>5</v>
      </c>
    </row>
    <row r="64" customHeight="1" spans="1:5">
      <c r="A64" s="1" t="s">
        <v>220</v>
      </c>
      <c r="B64" s="69" t="s">
        <v>298</v>
      </c>
      <c r="C64" s="18" t="s">
        <v>300</v>
      </c>
      <c r="D64" s="1" t="s">
        <v>224</v>
      </c>
      <c r="E64" s="18">
        <v>1</v>
      </c>
    </row>
    <row r="65" customHeight="1" spans="1:5">
      <c r="A65" s="1" t="s">
        <v>220</v>
      </c>
      <c r="B65" s="69" t="s">
        <v>298</v>
      </c>
      <c r="C65" s="18" t="s">
        <v>300</v>
      </c>
      <c r="D65" s="1" t="s">
        <v>224</v>
      </c>
      <c r="E65" s="18">
        <v>2</v>
      </c>
    </row>
    <row r="66" customHeight="1" spans="1:5">
      <c r="A66" s="1" t="s">
        <v>220</v>
      </c>
      <c r="B66" s="69" t="s">
        <v>298</v>
      </c>
      <c r="C66" s="18" t="s">
        <v>300</v>
      </c>
      <c r="D66" s="1" t="s">
        <v>224</v>
      </c>
      <c r="E66" s="18">
        <v>3</v>
      </c>
    </row>
    <row r="67" customHeight="1" spans="1:5">
      <c r="A67" s="1" t="s">
        <v>220</v>
      </c>
      <c r="B67" s="69" t="s">
        <v>298</v>
      </c>
      <c r="C67" s="18" t="s">
        <v>300</v>
      </c>
      <c r="D67" s="1" t="s">
        <v>224</v>
      </c>
      <c r="E67" s="18">
        <v>4</v>
      </c>
    </row>
    <row r="68" customHeight="1" spans="1:5">
      <c r="A68" s="1" t="s">
        <v>220</v>
      </c>
      <c r="B68" s="69" t="s">
        <v>298</v>
      </c>
      <c r="C68" s="18" t="s">
        <v>300</v>
      </c>
      <c r="D68" s="1" t="s">
        <v>224</v>
      </c>
      <c r="E68" s="18">
        <v>5</v>
      </c>
    </row>
    <row r="69" customHeight="1" spans="1:5">
      <c r="A69" s="1" t="s">
        <v>220</v>
      </c>
      <c r="B69" s="69" t="s">
        <v>298</v>
      </c>
      <c r="C69" s="5" t="s">
        <v>300</v>
      </c>
      <c r="D69" s="1" t="s">
        <v>224</v>
      </c>
      <c r="E69" s="5">
        <v>1</v>
      </c>
    </row>
    <row r="70" customHeight="1" spans="1:5">
      <c r="A70" s="1" t="s">
        <v>220</v>
      </c>
      <c r="B70" s="69" t="s">
        <v>298</v>
      </c>
      <c r="C70" s="5" t="s">
        <v>300</v>
      </c>
      <c r="D70" s="1" t="s">
        <v>224</v>
      </c>
      <c r="E70" s="5">
        <v>2</v>
      </c>
    </row>
    <row r="71" customHeight="1" spans="1:5">
      <c r="A71" s="1" t="s">
        <v>220</v>
      </c>
      <c r="B71" s="69" t="s">
        <v>298</v>
      </c>
      <c r="C71" s="5" t="s">
        <v>300</v>
      </c>
      <c r="D71" s="1" t="s">
        <v>224</v>
      </c>
      <c r="E71" s="5">
        <v>3</v>
      </c>
    </row>
    <row r="72" customHeight="1" spans="1:5">
      <c r="A72" s="1" t="s">
        <v>220</v>
      </c>
      <c r="B72" s="69" t="s">
        <v>298</v>
      </c>
      <c r="C72" s="5" t="s">
        <v>300</v>
      </c>
      <c r="D72" s="1" t="s">
        <v>224</v>
      </c>
      <c r="E72" s="5">
        <v>4</v>
      </c>
    </row>
    <row r="73" customHeight="1" spans="1:5">
      <c r="A73" s="1" t="s">
        <v>220</v>
      </c>
      <c r="B73" s="69" t="s">
        <v>298</v>
      </c>
      <c r="C73" s="5" t="s">
        <v>300</v>
      </c>
      <c r="D73" s="1" t="s">
        <v>224</v>
      </c>
      <c r="E73" s="5">
        <v>5</v>
      </c>
    </row>
    <row r="74" customHeight="1" spans="1:5">
      <c r="A74" s="1" t="s">
        <v>291</v>
      </c>
      <c r="B74" s="69" t="s">
        <v>298</v>
      </c>
      <c r="C74" s="18" t="s">
        <v>301</v>
      </c>
      <c r="D74" s="1" t="s">
        <v>225</v>
      </c>
      <c r="E74" s="18">
        <v>1</v>
      </c>
    </row>
    <row r="75" customHeight="1" spans="1:5">
      <c r="A75" s="1" t="s">
        <v>291</v>
      </c>
      <c r="B75" s="69" t="s">
        <v>298</v>
      </c>
      <c r="C75" s="18" t="s">
        <v>301</v>
      </c>
      <c r="D75" s="1" t="s">
        <v>225</v>
      </c>
      <c r="E75" s="18">
        <v>2</v>
      </c>
    </row>
    <row r="76" customHeight="1" spans="1:5">
      <c r="A76" s="1" t="s">
        <v>291</v>
      </c>
      <c r="B76" s="69" t="s">
        <v>298</v>
      </c>
      <c r="C76" s="18" t="s">
        <v>301</v>
      </c>
      <c r="D76" s="1" t="s">
        <v>225</v>
      </c>
      <c r="E76" s="18">
        <v>3</v>
      </c>
    </row>
    <row r="77" customHeight="1" spans="1:5">
      <c r="A77" s="1" t="s">
        <v>291</v>
      </c>
      <c r="B77" s="69" t="s">
        <v>298</v>
      </c>
      <c r="C77" s="18" t="s">
        <v>301</v>
      </c>
      <c r="D77" s="1" t="s">
        <v>225</v>
      </c>
      <c r="E77" s="18">
        <v>4</v>
      </c>
    </row>
    <row r="78" customHeight="1" spans="1:5">
      <c r="A78" s="1" t="s">
        <v>291</v>
      </c>
      <c r="B78" s="69" t="s">
        <v>298</v>
      </c>
      <c r="C78" s="18" t="s">
        <v>301</v>
      </c>
      <c r="D78" s="1" t="s">
        <v>225</v>
      </c>
      <c r="E78" s="18">
        <v>5</v>
      </c>
    </row>
    <row r="79" customHeight="1" spans="1:5">
      <c r="A79" s="1" t="s">
        <v>291</v>
      </c>
      <c r="B79" s="69" t="s">
        <v>298</v>
      </c>
      <c r="C79" s="18" t="s">
        <v>301</v>
      </c>
      <c r="D79" s="1" t="s">
        <v>225</v>
      </c>
      <c r="E79" s="18">
        <v>6</v>
      </c>
    </row>
    <row r="80" customHeight="1" spans="1:5">
      <c r="A80" s="1" t="s">
        <v>291</v>
      </c>
      <c r="B80" s="69" t="s">
        <v>298</v>
      </c>
      <c r="C80" s="18" t="s">
        <v>301</v>
      </c>
      <c r="D80" s="1" t="s">
        <v>225</v>
      </c>
      <c r="E80" s="18">
        <v>7</v>
      </c>
    </row>
    <row r="81" customHeight="1" spans="1:5">
      <c r="A81" s="1" t="s">
        <v>291</v>
      </c>
      <c r="B81" s="69" t="s">
        <v>298</v>
      </c>
      <c r="C81" s="18" t="s">
        <v>301</v>
      </c>
      <c r="D81" s="1" t="s">
        <v>225</v>
      </c>
      <c r="E81" s="18">
        <v>8</v>
      </c>
    </row>
    <row r="82" customHeight="1" spans="1:5">
      <c r="A82" s="1" t="s">
        <v>220</v>
      </c>
      <c r="B82" s="70" t="s">
        <v>302</v>
      </c>
      <c r="C82" s="5" t="s">
        <v>303</v>
      </c>
      <c r="D82" s="1" t="s">
        <v>222</v>
      </c>
      <c r="E82" s="5">
        <v>1</v>
      </c>
    </row>
    <row r="83" customHeight="1" spans="1:5">
      <c r="A83" s="1" t="s">
        <v>220</v>
      </c>
      <c r="B83" s="70" t="s">
        <v>302</v>
      </c>
      <c r="C83" s="5" t="s">
        <v>303</v>
      </c>
      <c r="D83" s="1" t="s">
        <v>222</v>
      </c>
      <c r="E83" s="5">
        <v>2</v>
      </c>
    </row>
    <row r="84" customHeight="1" spans="1:5">
      <c r="A84" s="1" t="s">
        <v>220</v>
      </c>
      <c r="B84" s="70" t="s">
        <v>302</v>
      </c>
      <c r="C84" s="5" t="s">
        <v>303</v>
      </c>
      <c r="D84" s="1" t="s">
        <v>222</v>
      </c>
      <c r="E84" s="5">
        <v>3</v>
      </c>
    </row>
    <row r="85" customHeight="1" spans="1:5">
      <c r="A85" s="1" t="s">
        <v>220</v>
      </c>
      <c r="B85" s="70" t="s">
        <v>302</v>
      </c>
      <c r="C85" s="5" t="s">
        <v>303</v>
      </c>
      <c r="D85" s="1" t="s">
        <v>222</v>
      </c>
      <c r="E85" s="5">
        <v>4</v>
      </c>
    </row>
    <row r="86" customHeight="1" spans="1:5">
      <c r="A86" s="1" t="s">
        <v>220</v>
      </c>
      <c r="B86" s="70" t="s">
        <v>302</v>
      </c>
      <c r="C86" s="5" t="s">
        <v>303</v>
      </c>
      <c r="D86" s="1" t="s">
        <v>222</v>
      </c>
      <c r="E86" s="5">
        <v>5</v>
      </c>
    </row>
    <row r="87" customHeight="1" spans="1:5">
      <c r="A87" s="1" t="s">
        <v>220</v>
      </c>
      <c r="B87" s="70" t="s">
        <v>302</v>
      </c>
      <c r="C87" s="18" t="s">
        <v>304</v>
      </c>
      <c r="D87" s="1" t="s">
        <v>223</v>
      </c>
      <c r="E87" s="18">
        <v>1</v>
      </c>
    </row>
    <row r="88" customHeight="1" spans="1:5">
      <c r="A88" s="1" t="s">
        <v>220</v>
      </c>
      <c r="B88" s="70" t="s">
        <v>302</v>
      </c>
      <c r="C88" s="18" t="s">
        <v>304</v>
      </c>
      <c r="D88" s="1" t="s">
        <v>223</v>
      </c>
      <c r="E88" s="18">
        <v>2</v>
      </c>
    </row>
    <row r="89" customHeight="1" spans="1:5">
      <c r="A89" s="1" t="s">
        <v>220</v>
      </c>
      <c r="B89" s="70" t="s">
        <v>302</v>
      </c>
      <c r="C89" s="18" t="s">
        <v>304</v>
      </c>
      <c r="D89" s="1" t="s">
        <v>223</v>
      </c>
      <c r="E89" s="18">
        <v>3</v>
      </c>
    </row>
    <row r="90" customHeight="1" spans="1:5">
      <c r="A90" s="1" t="s">
        <v>220</v>
      </c>
      <c r="B90" s="70" t="s">
        <v>302</v>
      </c>
      <c r="C90" s="18" t="s">
        <v>304</v>
      </c>
      <c r="D90" s="1" t="s">
        <v>223</v>
      </c>
      <c r="E90" s="18">
        <v>4</v>
      </c>
    </row>
    <row r="91" customHeight="1" spans="1:5">
      <c r="A91" s="1" t="s">
        <v>220</v>
      </c>
      <c r="B91" s="70" t="s">
        <v>302</v>
      </c>
      <c r="C91" s="18" t="s">
        <v>304</v>
      </c>
      <c r="D91" s="1" t="s">
        <v>223</v>
      </c>
      <c r="E91" s="18">
        <v>5</v>
      </c>
    </row>
    <row r="92" customHeight="1" spans="1:5">
      <c r="A92" s="1" t="s">
        <v>220</v>
      </c>
      <c r="B92" s="70" t="s">
        <v>302</v>
      </c>
      <c r="C92" s="5" t="s">
        <v>305</v>
      </c>
      <c r="D92" s="1" t="s">
        <v>224</v>
      </c>
      <c r="E92" s="5">
        <v>1</v>
      </c>
    </row>
    <row r="93" customHeight="1" spans="1:5">
      <c r="A93" s="1" t="s">
        <v>220</v>
      </c>
      <c r="B93" s="70" t="s">
        <v>302</v>
      </c>
      <c r="C93" s="5" t="s">
        <v>305</v>
      </c>
      <c r="D93" s="1" t="s">
        <v>224</v>
      </c>
      <c r="E93" s="5">
        <v>2</v>
      </c>
    </row>
    <row r="94" customHeight="1" spans="1:5">
      <c r="A94" s="1" t="s">
        <v>220</v>
      </c>
      <c r="B94" s="70" t="s">
        <v>302</v>
      </c>
      <c r="C94" s="5" t="s">
        <v>305</v>
      </c>
      <c r="D94" s="1" t="s">
        <v>224</v>
      </c>
      <c r="E94" s="5">
        <v>3</v>
      </c>
    </row>
    <row r="95" customHeight="1" spans="1:5">
      <c r="A95" s="1" t="s">
        <v>220</v>
      </c>
      <c r="B95" s="70" t="s">
        <v>302</v>
      </c>
      <c r="C95" s="5" t="s">
        <v>305</v>
      </c>
      <c r="D95" s="1" t="s">
        <v>224</v>
      </c>
      <c r="E95" s="5">
        <v>4</v>
      </c>
    </row>
    <row r="96" customHeight="1" spans="1:5">
      <c r="A96" s="1" t="s">
        <v>220</v>
      </c>
      <c r="B96" s="70" t="s">
        <v>302</v>
      </c>
      <c r="C96" s="5" t="s">
        <v>305</v>
      </c>
      <c r="D96" s="1" t="s">
        <v>224</v>
      </c>
      <c r="E96" s="5">
        <v>5</v>
      </c>
    </row>
    <row r="97" customHeight="1" spans="1:5">
      <c r="A97" s="1" t="s">
        <v>220</v>
      </c>
      <c r="B97" s="70" t="s">
        <v>302</v>
      </c>
      <c r="C97" s="18" t="s">
        <v>305</v>
      </c>
      <c r="D97" s="1" t="s">
        <v>224</v>
      </c>
      <c r="E97" s="18">
        <v>1</v>
      </c>
    </row>
    <row r="98" customHeight="1" spans="1:5">
      <c r="A98" s="1" t="s">
        <v>220</v>
      </c>
      <c r="B98" s="70" t="s">
        <v>302</v>
      </c>
      <c r="C98" s="18" t="s">
        <v>305</v>
      </c>
      <c r="D98" s="1" t="s">
        <v>224</v>
      </c>
      <c r="E98" s="18">
        <v>2</v>
      </c>
    </row>
    <row r="99" customHeight="1" spans="1:5">
      <c r="A99" s="1" t="s">
        <v>220</v>
      </c>
      <c r="B99" s="70" t="s">
        <v>302</v>
      </c>
      <c r="C99" s="18" t="s">
        <v>305</v>
      </c>
      <c r="D99" s="1" t="s">
        <v>224</v>
      </c>
      <c r="E99" s="18">
        <v>3</v>
      </c>
    </row>
    <row r="100" customHeight="1" spans="1:5">
      <c r="A100" s="1" t="s">
        <v>220</v>
      </c>
      <c r="B100" s="70" t="s">
        <v>302</v>
      </c>
      <c r="C100" s="18" t="s">
        <v>305</v>
      </c>
      <c r="D100" s="1" t="s">
        <v>224</v>
      </c>
      <c r="E100" s="18">
        <v>4</v>
      </c>
    </row>
    <row r="101" customHeight="1" spans="1:5">
      <c r="A101" s="1" t="s">
        <v>220</v>
      </c>
      <c r="B101" s="70" t="s">
        <v>302</v>
      </c>
      <c r="C101" s="18" t="s">
        <v>305</v>
      </c>
      <c r="D101" s="1" t="s">
        <v>224</v>
      </c>
      <c r="E101" s="18">
        <v>5</v>
      </c>
    </row>
    <row r="102" customHeight="1" spans="1:5">
      <c r="A102" s="1" t="s">
        <v>291</v>
      </c>
      <c r="B102" s="70" t="s">
        <v>302</v>
      </c>
      <c r="C102" s="5" t="s">
        <v>306</v>
      </c>
      <c r="D102" s="1" t="s">
        <v>225</v>
      </c>
      <c r="E102" s="5">
        <v>1</v>
      </c>
    </row>
    <row r="103" customHeight="1" spans="1:5">
      <c r="A103" s="1" t="s">
        <v>291</v>
      </c>
      <c r="B103" s="70" t="s">
        <v>302</v>
      </c>
      <c r="C103" s="5" t="s">
        <v>306</v>
      </c>
      <c r="D103" s="1" t="s">
        <v>225</v>
      </c>
      <c r="E103" s="5">
        <v>2</v>
      </c>
    </row>
    <row r="104" customHeight="1" spans="1:5">
      <c r="A104" s="1" t="s">
        <v>291</v>
      </c>
      <c r="B104" s="70" t="s">
        <v>302</v>
      </c>
      <c r="C104" s="5" t="s">
        <v>306</v>
      </c>
      <c r="D104" s="1" t="s">
        <v>225</v>
      </c>
      <c r="E104" s="5">
        <v>3</v>
      </c>
    </row>
    <row r="105" customHeight="1" spans="1:5">
      <c r="A105" s="1" t="s">
        <v>291</v>
      </c>
      <c r="B105" s="70" t="s">
        <v>302</v>
      </c>
      <c r="C105" s="5" t="s">
        <v>306</v>
      </c>
      <c r="D105" s="1" t="s">
        <v>225</v>
      </c>
      <c r="E105" s="5">
        <v>4</v>
      </c>
    </row>
    <row r="106" customHeight="1" spans="1:5">
      <c r="A106" s="1" t="s">
        <v>291</v>
      </c>
      <c r="B106" s="70" t="s">
        <v>302</v>
      </c>
      <c r="C106" s="5" t="s">
        <v>306</v>
      </c>
      <c r="D106" s="1" t="s">
        <v>225</v>
      </c>
      <c r="E106" s="5">
        <v>5</v>
      </c>
    </row>
    <row r="107" customHeight="1" spans="1:5">
      <c r="A107" s="1" t="s">
        <v>291</v>
      </c>
      <c r="B107" s="70" t="s">
        <v>302</v>
      </c>
      <c r="C107" s="5" t="s">
        <v>306</v>
      </c>
      <c r="D107" s="1" t="s">
        <v>225</v>
      </c>
      <c r="E107" s="5">
        <v>6</v>
      </c>
    </row>
    <row r="108" customHeight="1" spans="1:5">
      <c r="A108" s="1" t="s">
        <v>291</v>
      </c>
      <c r="B108" s="70" t="s">
        <v>302</v>
      </c>
      <c r="C108" s="5" t="s">
        <v>306</v>
      </c>
      <c r="D108" s="1" t="s">
        <v>225</v>
      </c>
      <c r="E108" s="5">
        <v>7</v>
      </c>
    </row>
    <row r="109" customHeight="1" spans="1:5">
      <c r="A109" s="1" t="s">
        <v>291</v>
      </c>
      <c r="B109" s="70" t="s">
        <v>302</v>
      </c>
      <c r="C109" s="5" t="s">
        <v>306</v>
      </c>
      <c r="D109" s="1" t="s">
        <v>225</v>
      </c>
      <c r="E109" s="5">
        <v>8</v>
      </c>
    </row>
    <row r="110" customHeight="1" spans="1:5">
      <c r="A110" s="1" t="s">
        <v>220</v>
      </c>
      <c r="B110" s="69" t="s">
        <v>307</v>
      </c>
      <c r="C110" s="18" t="s">
        <v>308</v>
      </c>
      <c r="D110" s="1" t="s">
        <v>222</v>
      </c>
      <c r="E110" s="18">
        <v>1</v>
      </c>
    </row>
    <row r="111" customHeight="1" spans="1:5">
      <c r="A111" s="1" t="s">
        <v>220</v>
      </c>
      <c r="B111" s="69" t="s">
        <v>307</v>
      </c>
      <c r="C111" s="18" t="s">
        <v>308</v>
      </c>
      <c r="D111" s="1" t="s">
        <v>222</v>
      </c>
      <c r="E111" s="18">
        <v>2</v>
      </c>
    </row>
    <row r="112" customHeight="1" spans="1:5">
      <c r="A112" s="1" t="s">
        <v>220</v>
      </c>
      <c r="B112" s="69" t="s">
        <v>307</v>
      </c>
      <c r="C112" s="18" t="s">
        <v>308</v>
      </c>
      <c r="D112" s="1" t="s">
        <v>222</v>
      </c>
      <c r="E112" s="18">
        <v>3</v>
      </c>
    </row>
    <row r="113" customHeight="1" spans="1:5">
      <c r="A113" s="1" t="s">
        <v>220</v>
      </c>
      <c r="B113" s="69" t="s">
        <v>307</v>
      </c>
      <c r="C113" s="18" t="s">
        <v>308</v>
      </c>
      <c r="D113" s="1" t="s">
        <v>222</v>
      </c>
      <c r="E113" s="18">
        <v>4</v>
      </c>
    </row>
    <row r="114" customHeight="1" spans="1:5">
      <c r="A114" s="1" t="s">
        <v>220</v>
      </c>
      <c r="B114" s="69" t="s">
        <v>307</v>
      </c>
      <c r="C114" s="18" t="s">
        <v>308</v>
      </c>
      <c r="D114" s="1" t="s">
        <v>222</v>
      </c>
      <c r="E114" s="18">
        <v>5</v>
      </c>
    </row>
    <row r="115" customHeight="1" spans="1:5">
      <c r="A115" s="1" t="s">
        <v>220</v>
      </c>
      <c r="B115" s="69" t="s">
        <v>307</v>
      </c>
      <c r="C115" s="5" t="s">
        <v>309</v>
      </c>
      <c r="D115" s="1" t="s">
        <v>223</v>
      </c>
      <c r="E115" s="5">
        <v>1</v>
      </c>
    </row>
    <row r="116" customHeight="1" spans="1:5">
      <c r="A116" s="1" t="s">
        <v>220</v>
      </c>
      <c r="B116" s="69" t="s">
        <v>307</v>
      </c>
      <c r="C116" s="5" t="s">
        <v>309</v>
      </c>
      <c r="D116" s="1" t="s">
        <v>223</v>
      </c>
      <c r="E116" s="5">
        <v>2</v>
      </c>
    </row>
    <row r="117" customHeight="1" spans="1:5">
      <c r="A117" s="1" t="s">
        <v>220</v>
      </c>
      <c r="B117" s="69" t="s">
        <v>307</v>
      </c>
      <c r="C117" s="5" t="s">
        <v>309</v>
      </c>
      <c r="D117" s="1" t="s">
        <v>223</v>
      </c>
      <c r="E117" s="5">
        <v>3</v>
      </c>
    </row>
    <row r="118" customHeight="1" spans="1:5">
      <c r="A118" s="1" t="s">
        <v>220</v>
      </c>
      <c r="B118" s="69" t="s">
        <v>307</v>
      </c>
      <c r="C118" s="5" t="s">
        <v>309</v>
      </c>
      <c r="D118" s="1" t="s">
        <v>223</v>
      </c>
      <c r="E118" s="5">
        <v>4</v>
      </c>
    </row>
    <row r="119" customHeight="1" spans="1:5">
      <c r="A119" s="1" t="s">
        <v>220</v>
      </c>
      <c r="B119" s="69" t="s">
        <v>307</v>
      </c>
      <c r="C119" s="5" t="s">
        <v>309</v>
      </c>
      <c r="D119" s="1" t="s">
        <v>223</v>
      </c>
      <c r="E119" s="5">
        <v>5</v>
      </c>
    </row>
    <row r="120" customHeight="1" spans="1:5">
      <c r="A120" s="1" t="s">
        <v>220</v>
      </c>
      <c r="B120" s="69" t="s">
        <v>307</v>
      </c>
      <c r="C120" s="18" t="s">
        <v>310</v>
      </c>
      <c r="D120" s="1" t="s">
        <v>224</v>
      </c>
      <c r="E120" s="18">
        <v>1</v>
      </c>
    </row>
    <row r="121" customHeight="1" spans="1:5">
      <c r="A121" s="1" t="s">
        <v>220</v>
      </c>
      <c r="B121" s="69" t="s">
        <v>307</v>
      </c>
      <c r="C121" s="18" t="s">
        <v>310</v>
      </c>
      <c r="D121" s="1" t="s">
        <v>224</v>
      </c>
      <c r="E121" s="18">
        <v>2</v>
      </c>
    </row>
    <row r="122" customHeight="1" spans="1:5">
      <c r="A122" s="1" t="s">
        <v>220</v>
      </c>
      <c r="B122" s="69" t="s">
        <v>307</v>
      </c>
      <c r="C122" s="18" t="s">
        <v>310</v>
      </c>
      <c r="D122" s="1" t="s">
        <v>224</v>
      </c>
      <c r="E122" s="18">
        <v>3</v>
      </c>
    </row>
    <row r="123" customHeight="1" spans="1:5">
      <c r="A123" s="1" t="s">
        <v>220</v>
      </c>
      <c r="B123" s="69" t="s">
        <v>307</v>
      </c>
      <c r="C123" s="18" t="s">
        <v>310</v>
      </c>
      <c r="D123" s="1" t="s">
        <v>224</v>
      </c>
      <c r="E123" s="18">
        <v>4</v>
      </c>
    </row>
    <row r="124" customHeight="1" spans="1:5">
      <c r="A124" s="1" t="s">
        <v>220</v>
      </c>
      <c r="B124" s="69" t="s">
        <v>307</v>
      </c>
      <c r="C124" s="18" t="s">
        <v>310</v>
      </c>
      <c r="D124" s="1" t="s">
        <v>224</v>
      </c>
      <c r="E124" s="18">
        <v>5</v>
      </c>
    </row>
    <row r="125" customHeight="1" spans="1:5">
      <c r="A125" s="1" t="s">
        <v>220</v>
      </c>
      <c r="B125" s="69" t="s">
        <v>307</v>
      </c>
      <c r="C125" s="5" t="s">
        <v>310</v>
      </c>
      <c r="D125" s="1" t="s">
        <v>224</v>
      </c>
      <c r="E125" s="5">
        <v>1</v>
      </c>
    </row>
    <row r="126" customHeight="1" spans="1:5">
      <c r="A126" s="1" t="s">
        <v>220</v>
      </c>
      <c r="B126" s="69" t="s">
        <v>307</v>
      </c>
      <c r="C126" s="5" t="s">
        <v>310</v>
      </c>
      <c r="D126" s="1" t="s">
        <v>224</v>
      </c>
      <c r="E126" s="5">
        <v>2</v>
      </c>
    </row>
    <row r="127" customHeight="1" spans="1:5">
      <c r="A127" s="1" t="s">
        <v>220</v>
      </c>
      <c r="B127" s="69" t="s">
        <v>307</v>
      </c>
      <c r="C127" s="5" t="s">
        <v>310</v>
      </c>
      <c r="D127" s="1" t="s">
        <v>224</v>
      </c>
      <c r="E127" s="5">
        <v>3</v>
      </c>
    </row>
    <row r="128" customHeight="1" spans="1:5">
      <c r="A128" s="1" t="s">
        <v>220</v>
      </c>
      <c r="B128" s="69" t="s">
        <v>307</v>
      </c>
      <c r="C128" s="5" t="s">
        <v>310</v>
      </c>
      <c r="D128" s="1" t="s">
        <v>224</v>
      </c>
      <c r="E128" s="5">
        <v>4</v>
      </c>
    </row>
    <row r="129" customHeight="1" spans="1:5">
      <c r="A129" s="1" t="s">
        <v>220</v>
      </c>
      <c r="B129" s="69" t="s">
        <v>307</v>
      </c>
      <c r="C129" s="5" t="s">
        <v>310</v>
      </c>
      <c r="D129" s="1" t="s">
        <v>224</v>
      </c>
      <c r="E129" s="5">
        <v>5</v>
      </c>
    </row>
    <row r="130" customHeight="1" spans="1:5">
      <c r="A130" s="1" t="s">
        <v>291</v>
      </c>
      <c r="B130" s="69" t="s">
        <v>307</v>
      </c>
      <c r="C130" s="18" t="s">
        <v>311</v>
      </c>
      <c r="D130" s="1" t="s">
        <v>225</v>
      </c>
      <c r="E130" s="18">
        <v>1</v>
      </c>
    </row>
    <row r="131" customHeight="1" spans="1:5">
      <c r="A131" s="1" t="s">
        <v>291</v>
      </c>
      <c r="B131" s="69" t="s">
        <v>307</v>
      </c>
      <c r="C131" s="18" t="s">
        <v>311</v>
      </c>
      <c r="D131" s="1" t="s">
        <v>225</v>
      </c>
      <c r="E131" s="18">
        <v>2</v>
      </c>
    </row>
    <row r="132" customHeight="1" spans="1:5">
      <c r="A132" s="1" t="s">
        <v>291</v>
      </c>
      <c r="B132" s="69" t="s">
        <v>307</v>
      </c>
      <c r="C132" s="18" t="s">
        <v>311</v>
      </c>
      <c r="D132" s="1" t="s">
        <v>225</v>
      </c>
      <c r="E132" s="18">
        <v>3</v>
      </c>
    </row>
    <row r="133" customHeight="1" spans="1:5">
      <c r="A133" s="1" t="s">
        <v>291</v>
      </c>
      <c r="B133" s="69" t="s">
        <v>307</v>
      </c>
      <c r="C133" s="18" t="s">
        <v>311</v>
      </c>
      <c r="D133" s="1" t="s">
        <v>225</v>
      </c>
      <c r="E133" s="18">
        <v>4</v>
      </c>
    </row>
    <row r="134" customHeight="1" spans="1:5">
      <c r="A134" s="1" t="s">
        <v>291</v>
      </c>
      <c r="B134" s="69" t="s">
        <v>307</v>
      </c>
      <c r="C134" s="18" t="s">
        <v>311</v>
      </c>
      <c r="D134" s="1" t="s">
        <v>225</v>
      </c>
      <c r="E134" s="18">
        <v>5</v>
      </c>
    </row>
    <row r="135" customHeight="1" spans="1:5">
      <c r="A135" s="1" t="s">
        <v>291</v>
      </c>
      <c r="B135" s="69" t="s">
        <v>307</v>
      </c>
      <c r="C135" s="18" t="s">
        <v>311</v>
      </c>
      <c r="D135" s="1" t="s">
        <v>225</v>
      </c>
      <c r="E135" s="18">
        <v>6</v>
      </c>
    </row>
    <row r="136" customHeight="1" spans="1:5">
      <c r="A136" s="1" t="s">
        <v>291</v>
      </c>
      <c r="B136" s="69" t="s">
        <v>307</v>
      </c>
      <c r="C136" s="18" t="s">
        <v>311</v>
      </c>
      <c r="D136" s="1" t="s">
        <v>225</v>
      </c>
      <c r="E136" s="18">
        <v>7</v>
      </c>
    </row>
    <row r="137" customHeight="1" spans="1:5">
      <c r="A137" s="1" t="s">
        <v>291</v>
      </c>
      <c r="B137" s="69" t="s">
        <v>307</v>
      </c>
      <c r="C137" s="18" t="s">
        <v>311</v>
      </c>
      <c r="D137" s="1" t="s">
        <v>225</v>
      </c>
      <c r="E137" s="18">
        <v>8</v>
      </c>
    </row>
    <row r="138" customHeight="1" spans="1:5">
      <c r="A138" s="1" t="s">
        <v>220</v>
      </c>
      <c r="B138" s="70" t="s">
        <v>312</v>
      </c>
      <c r="C138" s="5" t="s">
        <v>313</v>
      </c>
      <c r="D138" s="1" t="s">
        <v>222</v>
      </c>
      <c r="E138" s="5">
        <v>1</v>
      </c>
    </row>
    <row r="139" customHeight="1" spans="1:5">
      <c r="A139" s="1" t="s">
        <v>220</v>
      </c>
      <c r="B139" s="70" t="s">
        <v>312</v>
      </c>
      <c r="C139" s="5" t="s">
        <v>313</v>
      </c>
      <c r="D139" s="1" t="s">
        <v>222</v>
      </c>
      <c r="E139" s="5">
        <v>2</v>
      </c>
    </row>
    <row r="140" customHeight="1" spans="1:5">
      <c r="A140" s="1" t="s">
        <v>220</v>
      </c>
      <c r="B140" s="70" t="s">
        <v>312</v>
      </c>
      <c r="C140" s="5" t="s">
        <v>313</v>
      </c>
      <c r="D140" s="1" t="s">
        <v>222</v>
      </c>
      <c r="E140" s="5">
        <v>3</v>
      </c>
    </row>
    <row r="141" customHeight="1" spans="1:5">
      <c r="A141" s="1" t="s">
        <v>220</v>
      </c>
      <c r="B141" s="70" t="s">
        <v>312</v>
      </c>
      <c r="C141" s="5" t="s">
        <v>313</v>
      </c>
      <c r="D141" s="1" t="s">
        <v>222</v>
      </c>
      <c r="E141" s="5">
        <v>4</v>
      </c>
    </row>
    <row r="142" customHeight="1" spans="1:5">
      <c r="A142" s="1" t="s">
        <v>220</v>
      </c>
      <c r="B142" s="70" t="s">
        <v>312</v>
      </c>
      <c r="C142" s="5" t="s">
        <v>313</v>
      </c>
      <c r="D142" s="1" t="s">
        <v>222</v>
      </c>
      <c r="E142" s="5">
        <v>5</v>
      </c>
    </row>
    <row r="143" customHeight="1" spans="1:5">
      <c r="A143" s="1" t="s">
        <v>220</v>
      </c>
      <c r="B143" s="70" t="s">
        <v>312</v>
      </c>
      <c r="C143" s="18" t="s">
        <v>314</v>
      </c>
      <c r="D143" s="1" t="s">
        <v>223</v>
      </c>
      <c r="E143" s="18">
        <v>1</v>
      </c>
    </row>
    <row r="144" customHeight="1" spans="1:5">
      <c r="A144" s="1" t="s">
        <v>220</v>
      </c>
      <c r="B144" s="70" t="s">
        <v>312</v>
      </c>
      <c r="C144" s="18" t="s">
        <v>314</v>
      </c>
      <c r="D144" s="1" t="s">
        <v>223</v>
      </c>
      <c r="E144" s="18">
        <v>2</v>
      </c>
    </row>
    <row r="145" customHeight="1" spans="1:5">
      <c r="A145" s="1" t="s">
        <v>220</v>
      </c>
      <c r="B145" s="70" t="s">
        <v>312</v>
      </c>
      <c r="C145" s="18" t="s">
        <v>314</v>
      </c>
      <c r="D145" s="1" t="s">
        <v>223</v>
      </c>
      <c r="E145" s="18">
        <v>3</v>
      </c>
    </row>
    <row r="146" customHeight="1" spans="1:5">
      <c r="A146" s="1" t="s">
        <v>220</v>
      </c>
      <c r="B146" s="70" t="s">
        <v>312</v>
      </c>
      <c r="C146" s="18" t="s">
        <v>314</v>
      </c>
      <c r="D146" s="1" t="s">
        <v>223</v>
      </c>
      <c r="E146" s="18">
        <v>4</v>
      </c>
    </row>
    <row r="147" customHeight="1" spans="1:5">
      <c r="A147" s="1" t="s">
        <v>220</v>
      </c>
      <c r="B147" s="70" t="s">
        <v>312</v>
      </c>
      <c r="C147" s="18" t="s">
        <v>314</v>
      </c>
      <c r="D147" s="1" t="s">
        <v>223</v>
      </c>
      <c r="E147" s="18">
        <v>5</v>
      </c>
    </row>
    <row r="148" customHeight="1" spans="1:5">
      <c r="A148" s="1" t="s">
        <v>220</v>
      </c>
      <c r="B148" s="70" t="s">
        <v>312</v>
      </c>
      <c r="C148" s="5" t="s">
        <v>315</v>
      </c>
      <c r="D148" s="1" t="s">
        <v>224</v>
      </c>
      <c r="E148" s="5">
        <v>1</v>
      </c>
    </row>
    <row r="149" customHeight="1" spans="1:5">
      <c r="A149" s="1" t="s">
        <v>220</v>
      </c>
      <c r="B149" s="70" t="s">
        <v>312</v>
      </c>
      <c r="C149" s="5" t="s">
        <v>315</v>
      </c>
      <c r="D149" s="1" t="s">
        <v>224</v>
      </c>
      <c r="E149" s="5">
        <v>2</v>
      </c>
    </row>
    <row r="150" customHeight="1" spans="1:5">
      <c r="A150" s="1" t="s">
        <v>220</v>
      </c>
      <c r="B150" s="70" t="s">
        <v>312</v>
      </c>
      <c r="C150" s="5" t="s">
        <v>315</v>
      </c>
      <c r="D150" s="1" t="s">
        <v>224</v>
      </c>
      <c r="E150" s="5">
        <v>3</v>
      </c>
    </row>
    <row r="151" customHeight="1" spans="1:5">
      <c r="A151" s="1" t="s">
        <v>220</v>
      </c>
      <c r="B151" s="70" t="s">
        <v>312</v>
      </c>
      <c r="C151" s="5" t="s">
        <v>315</v>
      </c>
      <c r="D151" s="1" t="s">
        <v>224</v>
      </c>
      <c r="E151" s="5">
        <v>4</v>
      </c>
    </row>
    <row r="152" customHeight="1" spans="1:5">
      <c r="A152" s="1" t="s">
        <v>220</v>
      </c>
      <c r="B152" s="70" t="s">
        <v>312</v>
      </c>
      <c r="C152" s="5" t="s">
        <v>315</v>
      </c>
      <c r="D152" s="1" t="s">
        <v>224</v>
      </c>
      <c r="E152" s="5">
        <v>5</v>
      </c>
    </row>
    <row r="153" customHeight="1" spans="1:5">
      <c r="A153" s="1" t="s">
        <v>220</v>
      </c>
      <c r="B153" s="70" t="s">
        <v>312</v>
      </c>
      <c r="C153" s="18" t="s">
        <v>315</v>
      </c>
      <c r="D153" s="1" t="s">
        <v>224</v>
      </c>
      <c r="E153" s="18">
        <v>1</v>
      </c>
    </row>
    <row r="154" customHeight="1" spans="1:5">
      <c r="A154" s="1" t="s">
        <v>220</v>
      </c>
      <c r="B154" s="70" t="s">
        <v>312</v>
      </c>
      <c r="C154" s="18" t="s">
        <v>315</v>
      </c>
      <c r="D154" s="1" t="s">
        <v>224</v>
      </c>
      <c r="E154" s="18">
        <v>2</v>
      </c>
    </row>
    <row r="155" customHeight="1" spans="1:5">
      <c r="A155" s="1" t="s">
        <v>220</v>
      </c>
      <c r="B155" s="70" t="s">
        <v>312</v>
      </c>
      <c r="C155" s="18" t="s">
        <v>315</v>
      </c>
      <c r="D155" s="1" t="s">
        <v>224</v>
      </c>
      <c r="E155" s="18">
        <v>3</v>
      </c>
    </row>
    <row r="156" customHeight="1" spans="1:5">
      <c r="A156" s="1" t="s">
        <v>220</v>
      </c>
      <c r="B156" s="70" t="s">
        <v>312</v>
      </c>
      <c r="C156" s="18" t="s">
        <v>315</v>
      </c>
      <c r="D156" s="1" t="s">
        <v>224</v>
      </c>
      <c r="E156" s="18">
        <v>4</v>
      </c>
    </row>
    <row r="157" customHeight="1" spans="1:5">
      <c r="A157" s="1" t="s">
        <v>220</v>
      </c>
      <c r="B157" s="70" t="s">
        <v>312</v>
      </c>
      <c r="C157" s="18" t="s">
        <v>315</v>
      </c>
      <c r="D157" s="1" t="s">
        <v>224</v>
      </c>
      <c r="E157" s="18">
        <v>5</v>
      </c>
    </row>
    <row r="158" customHeight="1" spans="1:5">
      <c r="A158" s="1" t="s">
        <v>291</v>
      </c>
      <c r="B158" s="70" t="s">
        <v>312</v>
      </c>
      <c r="C158" s="5" t="s">
        <v>316</v>
      </c>
      <c r="D158" s="1" t="s">
        <v>225</v>
      </c>
      <c r="E158" s="5">
        <v>1</v>
      </c>
    </row>
    <row r="159" customHeight="1" spans="1:5">
      <c r="A159" s="1" t="s">
        <v>291</v>
      </c>
      <c r="B159" s="70" t="s">
        <v>312</v>
      </c>
      <c r="C159" s="5" t="s">
        <v>316</v>
      </c>
      <c r="D159" s="1" t="s">
        <v>225</v>
      </c>
      <c r="E159" s="5">
        <v>2</v>
      </c>
    </row>
    <row r="160" customHeight="1" spans="1:5">
      <c r="A160" s="1" t="s">
        <v>291</v>
      </c>
      <c r="B160" s="70" t="s">
        <v>312</v>
      </c>
      <c r="C160" s="5" t="s">
        <v>316</v>
      </c>
      <c r="D160" s="1" t="s">
        <v>225</v>
      </c>
      <c r="E160" s="5">
        <v>3</v>
      </c>
    </row>
    <row r="161" customHeight="1" spans="1:5">
      <c r="A161" s="1" t="s">
        <v>291</v>
      </c>
      <c r="B161" s="70" t="s">
        <v>312</v>
      </c>
      <c r="C161" s="5" t="s">
        <v>316</v>
      </c>
      <c r="D161" s="1" t="s">
        <v>225</v>
      </c>
      <c r="E161" s="5">
        <v>4</v>
      </c>
    </row>
    <row r="162" customHeight="1" spans="1:5">
      <c r="A162" s="1" t="s">
        <v>291</v>
      </c>
      <c r="B162" s="70" t="s">
        <v>312</v>
      </c>
      <c r="C162" s="5" t="s">
        <v>316</v>
      </c>
      <c r="D162" s="1" t="s">
        <v>225</v>
      </c>
      <c r="E162" s="5">
        <v>5</v>
      </c>
    </row>
    <row r="163" customHeight="1" spans="1:5">
      <c r="A163" s="1" t="s">
        <v>291</v>
      </c>
      <c r="B163" s="70" t="s">
        <v>312</v>
      </c>
      <c r="C163" s="5" t="s">
        <v>316</v>
      </c>
      <c r="D163" s="1" t="s">
        <v>225</v>
      </c>
      <c r="E163" s="5">
        <v>6</v>
      </c>
    </row>
    <row r="164" customHeight="1" spans="1:5">
      <c r="A164" s="1" t="s">
        <v>291</v>
      </c>
      <c r="B164" s="70" t="s">
        <v>312</v>
      </c>
      <c r="C164" s="5" t="s">
        <v>316</v>
      </c>
      <c r="D164" s="1" t="s">
        <v>225</v>
      </c>
      <c r="E164" s="5">
        <v>7</v>
      </c>
    </row>
    <row r="165" customHeight="1" spans="1:5">
      <c r="A165" s="1" t="s">
        <v>291</v>
      </c>
      <c r="B165" s="70" t="s">
        <v>312</v>
      </c>
      <c r="C165" s="5" t="s">
        <v>316</v>
      </c>
      <c r="D165" s="1" t="s">
        <v>225</v>
      </c>
      <c r="E165" s="5">
        <v>8</v>
      </c>
    </row>
    <row r="166" customHeight="1" spans="1:5">
      <c r="A166" s="1" t="s">
        <v>220</v>
      </c>
      <c r="B166" s="69" t="s">
        <v>317</v>
      </c>
      <c r="C166" s="18" t="s">
        <v>318</v>
      </c>
      <c r="D166" s="1" t="s">
        <v>222</v>
      </c>
      <c r="E166" s="18">
        <v>1</v>
      </c>
    </row>
    <row r="167" customHeight="1" spans="1:5">
      <c r="A167" s="1" t="s">
        <v>220</v>
      </c>
      <c r="B167" s="69" t="s">
        <v>317</v>
      </c>
      <c r="C167" s="18" t="s">
        <v>318</v>
      </c>
      <c r="D167" s="1" t="s">
        <v>222</v>
      </c>
      <c r="E167" s="18">
        <v>2</v>
      </c>
    </row>
    <row r="168" customHeight="1" spans="1:5">
      <c r="A168" s="1" t="s">
        <v>220</v>
      </c>
      <c r="B168" s="69" t="s">
        <v>317</v>
      </c>
      <c r="C168" s="18" t="s">
        <v>318</v>
      </c>
      <c r="D168" s="1" t="s">
        <v>222</v>
      </c>
      <c r="E168" s="18">
        <v>3</v>
      </c>
    </row>
    <row r="169" customHeight="1" spans="1:5">
      <c r="A169" s="1" t="s">
        <v>220</v>
      </c>
      <c r="B169" s="69" t="s">
        <v>317</v>
      </c>
      <c r="C169" s="18" t="s">
        <v>318</v>
      </c>
      <c r="D169" s="1" t="s">
        <v>222</v>
      </c>
      <c r="E169" s="18">
        <v>4</v>
      </c>
    </row>
    <row r="170" customHeight="1" spans="1:5">
      <c r="A170" s="1" t="s">
        <v>220</v>
      </c>
      <c r="B170" s="69" t="s">
        <v>317</v>
      </c>
      <c r="C170" s="18" t="s">
        <v>318</v>
      </c>
      <c r="D170" s="1" t="s">
        <v>222</v>
      </c>
      <c r="E170" s="18">
        <v>5</v>
      </c>
    </row>
    <row r="171" customHeight="1" spans="1:5">
      <c r="A171" s="1" t="s">
        <v>220</v>
      </c>
      <c r="B171" s="69" t="s">
        <v>317</v>
      </c>
      <c r="C171" s="5" t="s">
        <v>319</v>
      </c>
      <c r="D171" s="1" t="s">
        <v>223</v>
      </c>
      <c r="E171" s="5">
        <v>1</v>
      </c>
    </row>
    <row r="172" customHeight="1" spans="1:5">
      <c r="A172" s="1" t="s">
        <v>220</v>
      </c>
      <c r="B172" s="69" t="s">
        <v>317</v>
      </c>
      <c r="C172" s="5" t="s">
        <v>319</v>
      </c>
      <c r="D172" s="1" t="s">
        <v>223</v>
      </c>
      <c r="E172" s="5">
        <v>2</v>
      </c>
    </row>
    <row r="173" customHeight="1" spans="1:5">
      <c r="A173" s="1" t="s">
        <v>220</v>
      </c>
      <c r="B173" s="69" t="s">
        <v>317</v>
      </c>
      <c r="C173" s="5" t="s">
        <v>319</v>
      </c>
      <c r="D173" s="1" t="s">
        <v>223</v>
      </c>
      <c r="E173" s="5">
        <v>3</v>
      </c>
    </row>
    <row r="174" customHeight="1" spans="1:5">
      <c r="A174" s="1" t="s">
        <v>220</v>
      </c>
      <c r="B174" s="69" t="s">
        <v>317</v>
      </c>
      <c r="C174" s="5" t="s">
        <v>319</v>
      </c>
      <c r="D174" s="1" t="s">
        <v>223</v>
      </c>
      <c r="E174" s="5">
        <v>4</v>
      </c>
    </row>
    <row r="175" customHeight="1" spans="1:5">
      <c r="A175" s="1" t="s">
        <v>220</v>
      </c>
      <c r="B175" s="69" t="s">
        <v>317</v>
      </c>
      <c r="C175" s="5" t="s">
        <v>319</v>
      </c>
      <c r="D175" s="1" t="s">
        <v>223</v>
      </c>
      <c r="E175" s="5">
        <v>5</v>
      </c>
    </row>
    <row r="176" customHeight="1" spans="1:5">
      <c r="A176" s="1" t="s">
        <v>220</v>
      </c>
      <c r="B176" s="69" t="s">
        <v>317</v>
      </c>
      <c r="C176" s="18" t="s">
        <v>320</v>
      </c>
      <c r="D176" s="1" t="s">
        <v>224</v>
      </c>
      <c r="E176" s="18">
        <v>1</v>
      </c>
    </row>
    <row r="177" customHeight="1" spans="1:5">
      <c r="A177" s="1" t="s">
        <v>220</v>
      </c>
      <c r="B177" s="69" t="s">
        <v>317</v>
      </c>
      <c r="C177" s="18" t="s">
        <v>320</v>
      </c>
      <c r="D177" s="1" t="s">
        <v>224</v>
      </c>
      <c r="E177" s="18">
        <v>2</v>
      </c>
    </row>
    <row r="178" customHeight="1" spans="1:5">
      <c r="A178" s="1" t="s">
        <v>220</v>
      </c>
      <c r="B178" s="69" t="s">
        <v>317</v>
      </c>
      <c r="C178" s="18" t="s">
        <v>320</v>
      </c>
      <c r="D178" s="1" t="s">
        <v>224</v>
      </c>
      <c r="E178" s="18">
        <v>3</v>
      </c>
    </row>
    <row r="179" customHeight="1" spans="1:5">
      <c r="A179" s="1" t="s">
        <v>220</v>
      </c>
      <c r="B179" s="69" t="s">
        <v>317</v>
      </c>
      <c r="C179" s="18" t="s">
        <v>320</v>
      </c>
      <c r="D179" s="1" t="s">
        <v>224</v>
      </c>
      <c r="E179" s="18">
        <v>4</v>
      </c>
    </row>
    <row r="180" customHeight="1" spans="1:5">
      <c r="A180" s="1" t="s">
        <v>220</v>
      </c>
      <c r="B180" s="69" t="s">
        <v>317</v>
      </c>
      <c r="C180" s="18" t="s">
        <v>320</v>
      </c>
      <c r="D180" s="1" t="s">
        <v>224</v>
      </c>
      <c r="E180" s="18">
        <v>5</v>
      </c>
    </row>
    <row r="181" customHeight="1" spans="1:5">
      <c r="A181" s="1" t="s">
        <v>220</v>
      </c>
      <c r="B181" s="69" t="s">
        <v>317</v>
      </c>
      <c r="C181" s="5" t="s">
        <v>320</v>
      </c>
      <c r="D181" s="1" t="s">
        <v>224</v>
      </c>
      <c r="E181" s="5">
        <v>1</v>
      </c>
    </row>
    <row r="182" customHeight="1" spans="1:5">
      <c r="A182" s="1" t="s">
        <v>220</v>
      </c>
      <c r="B182" s="69" t="s">
        <v>317</v>
      </c>
      <c r="C182" s="5" t="s">
        <v>320</v>
      </c>
      <c r="D182" s="1" t="s">
        <v>224</v>
      </c>
      <c r="E182" s="5">
        <v>2</v>
      </c>
    </row>
    <row r="183" customHeight="1" spans="1:5">
      <c r="A183" s="1" t="s">
        <v>220</v>
      </c>
      <c r="B183" s="69" t="s">
        <v>317</v>
      </c>
      <c r="C183" s="5" t="s">
        <v>320</v>
      </c>
      <c r="D183" s="1" t="s">
        <v>224</v>
      </c>
      <c r="E183" s="5">
        <v>3</v>
      </c>
    </row>
    <row r="184" customHeight="1" spans="1:5">
      <c r="A184" s="1" t="s">
        <v>220</v>
      </c>
      <c r="B184" s="69" t="s">
        <v>317</v>
      </c>
      <c r="C184" s="5" t="s">
        <v>320</v>
      </c>
      <c r="D184" s="1" t="s">
        <v>224</v>
      </c>
      <c r="E184" s="5">
        <v>4</v>
      </c>
    </row>
    <row r="185" customHeight="1" spans="1:5">
      <c r="A185" s="1" t="s">
        <v>220</v>
      </c>
      <c r="B185" s="69" t="s">
        <v>317</v>
      </c>
      <c r="C185" s="5" t="s">
        <v>320</v>
      </c>
      <c r="D185" s="1" t="s">
        <v>224</v>
      </c>
      <c r="E185" s="5">
        <v>5</v>
      </c>
    </row>
    <row r="186" customHeight="1" spans="1:5">
      <c r="A186" s="1" t="s">
        <v>291</v>
      </c>
      <c r="B186" s="69" t="s">
        <v>317</v>
      </c>
      <c r="C186" s="18" t="s">
        <v>321</v>
      </c>
      <c r="D186" s="1" t="s">
        <v>225</v>
      </c>
      <c r="E186" s="18">
        <v>1</v>
      </c>
    </row>
    <row r="187" customHeight="1" spans="1:5">
      <c r="A187" s="1" t="s">
        <v>291</v>
      </c>
      <c r="B187" s="69" t="s">
        <v>317</v>
      </c>
      <c r="C187" s="18" t="s">
        <v>321</v>
      </c>
      <c r="D187" s="1" t="s">
        <v>225</v>
      </c>
      <c r="E187" s="18">
        <v>2</v>
      </c>
    </row>
    <row r="188" customHeight="1" spans="1:5">
      <c r="A188" s="1" t="s">
        <v>291</v>
      </c>
      <c r="B188" s="69" t="s">
        <v>317</v>
      </c>
      <c r="C188" s="18" t="s">
        <v>321</v>
      </c>
      <c r="D188" s="1" t="s">
        <v>225</v>
      </c>
      <c r="E188" s="18">
        <v>3</v>
      </c>
    </row>
    <row r="189" customHeight="1" spans="1:5">
      <c r="A189" s="1" t="s">
        <v>291</v>
      </c>
      <c r="B189" s="69" t="s">
        <v>317</v>
      </c>
      <c r="C189" s="18" t="s">
        <v>321</v>
      </c>
      <c r="D189" s="1" t="s">
        <v>225</v>
      </c>
      <c r="E189" s="18">
        <v>4</v>
      </c>
    </row>
    <row r="190" customHeight="1" spans="1:5">
      <c r="A190" s="1" t="s">
        <v>291</v>
      </c>
      <c r="B190" s="69" t="s">
        <v>317</v>
      </c>
      <c r="C190" s="18" t="s">
        <v>321</v>
      </c>
      <c r="D190" s="1" t="s">
        <v>225</v>
      </c>
      <c r="E190" s="18">
        <v>5</v>
      </c>
    </row>
    <row r="191" customHeight="1" spans="1:5">
      <c r="A191" s="1" t="s">
        <v>291</v>
      </c>
      <c r="B191" s="69" t="s">
        <v>317</v>
      </c>
      <c r="C191" s="18" t="s">
        <v>321</v>
      </c>
      <c r="D191" s="1" t="s">
        <v>225</v>
      </c>
      <c r="E191" s="18">
        <v>6</v>
      </c>
    </row>
    <row r="192" customHeight="1" spans="1:5">
      <c r="A192" s="1" t="s">
        <v>291</v>
      </c>
      <c r="B192" s="69" t="s">
        <v>317</v>
      </c>
      <c r="C192" s="18" t="s">
        <v>321</v>
      </c>
      <c r="D192" s="1" t="s">
        <v>225</v>
      </c>
      <c r="E192" s="18">
        <v>7</v>
      </c>
    </row>
    <row r="193" customHeight="1" spans="1:5">
      <c r="A193" s="1" t="s">
        <v>291</v>
      </c>
      <c r="B193" s="69" t="s">
        <v>317</v>
      </c>
      <c r="C193" s="18" t="s">
        <v>321</v>
      </c>
      <c r="D193" s="1" t="s">
        <v>225</v>
      </c>
      <c r="E193" s="18">
        <v>8</v>
      </c>
    </row>
    <row r="194" customHeight="1" spans="1:5">
      <c r="A194" s="1" t="s">
        <v>220</v>
      </c>
      <c r="B194" s="70" t="s">
        <v>322</v>
      </c>
      <c r="C194" s="5" t="s">
        <v>323</v>
      </c>
      <c r="D194" s="1" t="s">
        <v>222</v>
      </c>
      <c r="E194" s="5">
        <v>1</v>
      </c>
    </row>
    <row r="195" customHeight="1" spans="1:5">
      <c r="A195" s="1" t="s">
        <v>220</v>
      </c>
      <c r="B195" s="70" t="s">
        <v>322</v>
      </c>
      <c r="C195" s="5" t="s">
        <v>323</v>
      </c>
      <c r="D195" s="1" t="s">
        <v>222</v>
      </c>
      <c r="E195" s="5">
        <v>2</v>
      </c>
    </row>
    <row r="196" customHeight="1" spans="1:5">
      <c r="A196" s="1" t="s">
        <v>220</v>
      </c>
      <c r="B196" s="70" t="s">
        <v>322</v>
      </c>
      <c r="C196" s="5" t="s">
        <v>323</v>
      </c>
      <c r="D196" s="1" t="s">
        <v>222</v>
      </c>
      <c r="E196" s="5">
        <v>3</v>
      </c>
    </row>
    <row r="197" customHeight="1" spans="1:5">
      <c r="A197" s="1" t="s">
        <v>220</v>
      </c>
      <c r="B197" s="70" t="s">
        <v>322</v>
      </c>
      <c r="C197" s="5" t="s">
        <v>323</v>
      </c>
      <c r="D197" s="1" t="s">
        <v>222</v>
      </c>
      <c r="E197" s="5">
        <v>4</v>
      </c>
    </row>
    <row r="198" customHeight="1" spans="1:5">
      <c r="A198" s="1" t="s">
        <v>220</v>
      </c>
      <c r="B198" s="70" t="s">
        <v>322</v>
      </c>
      <c r="C198" s="5" t="s">
        <v>323</v>
      </c>
      <c r="D198" s="1" t="s">
        <v>222</v>
      </c>
      <c r="E198" s="5">
        <v>5</v>
      </c>
    </row>
    <row r="199" customHeight="1" spans="1:5">
      <c r="A199" s="1" t="s">
        <v>220</v>
      </c>
      <c r="B199" s="70" t="s">
        <v>322</v>
      </c>
      <c r="C199" s="18" t="s">
        <v>324</v>
      </c>
      <c r="D199" s="1" t="s">
        <v>224</v>
      </c>
      <c r="E199" s="18">
        <v>1</v>
      </c>
    </row>
    <row r="200" customHeight="1" spans="1:5">
      <c r="A200" s="1" t="s">
        <v>220</v>
      </c>
      <c r="B200" s="70" t="s">
        <v>322</v>
      </c>
      <c r="C200" s="18" t="s">
        <v>324</v>
      </c>
      <c r="D200" s="1" t="s">
        <v>224</v>
      </c>
      <c r="E200" s="18">
        <v>2</v>
      </c>
    </row>
    <row r="201" customHeight="1" spans="1:5">
      <c r="A201" s="1" t="s">
        <v>220</v>
      </c>
      <c r="B201" s="70" t="s">
        <v>322</v>
      </c>
      <c r="C201" s="18" t="s">
        <v>324</v>
      </c>
      <c r="D201" s="1" t="s">
        <v>224</v>
      </c>
      <c r="E201" s="18">
        <v>3</v>
      </c>
    </row>
    <row r="202" customHeight="1" spans="1:5">
      <c r="A202" s="1" t="s">
        <v>220</v>
      </c>
      <c r="B202" s="70" t="s">
        <v>322</v>
      </c>
      <c r="C202" s="18" t="s">
        <v>324</v>
      </c>
      <c r="D202" s="1" t="s">
        <v>224</v>
      </c>
      <c r="E202" s="18">
        <v>4</v>
      </c>
    </row>
    <row r="203" customHeight="1" spans="1:5">
      <c r="A203" s="1" t="s">
        <v>220</v>
      </c>
      <c r="B203" s="70" t="s">
        <v>322</v>
      </c>
      <c r="C203" s="18" t="s">
        <v>324</v>
      </c>
      <c r="D203" s="1" t="s">
        <v>224</v>
      </c>
      <c r="E203" s="18">
        <v>5</v>
      </c>
    </row>
    <row r="204" customHeight="1" spans="1:5">
      <c r="A204" s="1" t="s">
        <v>220</v>
      </c>
      <c r="B204" s="70" t="s">
        <v>322</v>
      </c>
      <c r="C204" s="5" t="s">
        <v>324</v>
      </c>
      <c r="D204" s="1" t="s">
        <v>224</v>
      </c>
      <c r="E204" s="5">
        <v>1</v>
      </c>
    </row>
    <row r="205" customHeight="1" spans="1:5">
      <c r="A205" s="1" t="s">
        <v>220</v>
      </c>
      <c r="B205" s="70" t="s">
        <v>322</v>
      </c>
      <c r="C205" s="5" t="s">
        <v>324</v>
      </c>
      <c r="D205" s="1" t="s">
        <v>224</v>
      </c>
      <c r="E205" s="5">
        <v>2</v>
      </c>
    </row>
    <row r="206" customHeight="1" spans="1:5">
      <c r="A206" s="1" t="s">
        <v>220</v>
      </c>
      <c r="B206" s="70" t="s">
        <v>322</v>
      </c>
      <c r="C206" s="5" t="s">
        <v>324</v>
      </c>
      <c r="D206" s="1" t="s">
        <v>224</v>
      </c>
      <c r="E206" s="5">
        <v>3</v>
      </c>
    </row>
    <row r="207" customHeight="1" spans="1:5">
      <c r="A207" s="1" t="s">
        <v>220</v>
      </c>
      <c r="B207" s="70" t="s">
        <v>322</v>
      </c>
      <c r="C207" s="5" t="s">
        <v>324</v>
      </c>
      <c r="D207" s="1" t="s">
        <v>224</v>
      </c>
      <c r="E207" s="5">
        <v>4</v>
      </c>
    </row>
    <row r="208" customHeight="1" spans="1:5">
      <c r="A208" s="1" t="s">
        <v>220</v>
      </c>
      <c r="B208" s="70" t="s">
        <v>322</v>
      </c>
      <c r="C208" s="5" t="s">
        <v>324</v>
      </c>
      <c r="D208" s="1" t="s">
        <v>224</v>
      </c>
      <c r="E208" s="5">
        <v>5</v>
      </c>
    </row>
    <row r="209" customHeight="1" spans="1:5">
      <c r="A209" s="1" t="s">
        <v>291</v>
      </c>
      <c r="B209" s="70" t="s">
        <v>322</v>
      </c>
      <c r="C209" s="18" t="s">
        <v>325</v>
      </c>
      <c r="D209" s="1" t="s">
        <v>225</v>
      </c>
      <c r="E209" s="18">
        <v>1</v>
      </c>
    </row>
    <row r="210" customHeight="1" spans="1:5">
      <c r="A210" s="1" t="s">
        <v>291</v>
      </c>
      <c r="B210" s="70" t="s">
        <v>322</v>
      </c>
      <c r="C210" s="18" t="s">
        <v>325</v>
      </c>
      <c r="D210" s="1" t="s">
        <v>225</v>
      </c>
      <c r="E210" s="18">
        <v>2</v>
      </c>
    </row>
    <row r="211" customHeight="1" spans="1:5">
      <c r="A211" s="1" t="s">
        <v>291</v>
      </c>
      <c r="B211" s="70" t="s">
        <v>322</v>
      </c>
      <c r="C211" s="18" t="s">
        <v>325</v>
      </c>
      <c r="D211" s="1" t="s">
        <v>225</v>
      </c>
      <c r="E211" s="18">
        <v>3</v>
      </c>
    </row>
    <row r="212" customHeight="1" spans="1:5">
      <c r="A212" s="1" t="s">
        <v>291</v>
      </c>
      <c r="B212" s="70" t="s">
        <v>322</v>
      </c>
      <c r="C212" s="18" t="s">
        <v>325</v>
      </c>
      <c r="D212" s="1" t="s">
        <v>225</v>
      </c>
      <c r="E212" s="18">
        <v>4</v>
      </c>
    </row>
    <row r="213" customHeight="1" spans="1:5">
      <c r="A213" s="1" t="s">
        <v>291</v>
      </c>
      <c r="B213" s="70" t="s">
        <v>322</v>
      </c>
      <c r="C213" s="18" t="s">
        <v>325</v>
      </c>
      <c r="D213" s="1" t="s">
        <v>225</v>
      </c>
      <c r="E213" s="18">
        <v>5</v>
      </c>
    </row>
    <row r="214" customHeight="1" spans="1:5">
      <c r="A214" s="1" t="s">
        <v>291</v>
      </c>
      <c r="B214" s="70" t="s">
        <v>322</v>
      </c>
      <c r="C214" s="18" t="s">
        <v>325</v>
      </c>
      <c r="D214" s="1" t="s">
        <v>225</v>
      </c>
      <c r="E214" s="18">
        <v>6</v>
      </c>
    </row>
    <row r="215" customHeight="1" spans="1:5">
      <c r="A215" s="1" t="s">
        <v>291</v>
      </c>
      <c r="B215" s="70" t="s">
        <v>322</v>
      </c>
      <c r="C215" s="18" t="s">
        <v>325</v>
      </c>
      <c r="D215" s="1" t="s">
        <v>225</v>
      </c>
      <c r="E215" s="18">
        <v>7</v>
      </c>
    </row>
    <row r="216" customHeight="1" spans="1:5">
      <c r="A216" s="1" t="s">
        <v>291</v>
      </c>
      <c r="B216" s="70" t="s">
        <v>322</v>
      </c>
      <c r="C216" s="18" t="s">
        <v>325</v>
      </c>
      <c r="D216" s="1" t="s">
        <v>225</v>
      </c>
      <c r="E216" s="18">
        <v>8</v>
      </c>
    </row>
    <row r="217" customHeight="1" spans="1:5">
      <c r="A217" s="1" t="s">
        <v>220</v>
      </c>
      <c r="B217" s="69" t="s">
        <v>326</v>
      </c>
      <c r="C217" s="5" t="s">
        <v>327</v>
      </c>
      <c r="D217" s="1" t="s">
        <v>222</v>
      </c>
      <c r="E217" s="5">
        <v>1</v>
      </c>
    </row>
    <row r="218" customHeight="1" spans="1:5">
      <c r="A218" s="1" t="s">
        <v>220</v>
      </c>
      <c r="B218" s="69" t="s">
        <v>326</v>
      </c>
      <c r="C218" s="5" t="s">
        <v>327</v>
      </c>
      <c r="D218" s="1" t="s">
        <v>222</v>
      </c>
      <c r="E218" s="5">
        <v>2</v>
      </c>
    </row>
    <row r="219" customHeight="1" spans="1:5">
      <c r="A219" s="1" t="s">
        <v>220</v>
      </c>
      <c r="B219" s="69" t="s">
        <v>326</v>
      </c>
      <c r="C219" s="5" t="s">
        <v>327</v>
      </c>
      <c r="D219" s="1" t="s">
        <v>222</v>
      </c>
      <c r="E219" s="5">
        <v>3</v>
      </c>
    </row>
    <row r="220" customHeight="1" spans="1:5">
      <c r="A220" s="1" t="s">
        <v>220</v>
      </c>
      <c r="B220" s="69" t="s">
        <v>326</v>
      </c>
      <c r="C220" s="5" t="s">
        <v>327</v>
      </c>
      <c r="D220" s="1" t="s">
        <v>222</v>
      </c>
      <c r="E220" s="5">
        <v>4</v>
      </c>
    </row>
    <row r="221" customHeight="1" spans="1:5">
      <c r="A221" s="1" t="s">
        <v>220</v>
      </c>
      <c r="B221" s="69" t="s">
        <v>326</v>
      </c>
      <c r="C221" s="5" t="s">
        <v>327</v>
      </c>
      <c r="D221" s="1" t="s">
        <v>222</v>
      </c>
      <c r="E221" s="5">
        <v>5</v>
      </c>
    </row>
    <row r="222" customHeight="1" spans="1:5">
      <c r="A222" s="1" t="s">
        <v>220</v>
      </c>
      <c r="B222" s="69" t="s">
        <v>326</v>
      </c>
      <c r="C222" s="18" t="s">
        <v>328</v>
      </c>
      <c r="D222" s="1" t="s">
        <v>224</v>
      </c>
      <c r="E222" s="18">
        <v>1</v>
      </c>
    </row>
    <row r="223" customHeight="1" spans="1:5">
      <c r="A223" s="1" t="s">
        <v>220</v>
      </c>
      <c r="B223" s="69" t="s">
        <v>326</v>
      </c>
      <c r="C223" s="18" t="s">
        <v>328</v>
      </c>
      <c r="D223" s="1" t="s">
        <v>224</v>
      </c>
      <c r="E223" s="18">
        <v>2</v>
      </c>
    </row>
    <row r="224" customHeight="1" spans="1:5">
      <c r="A224" s="1" t="s">
        <v>220</v>
      </c>
      <c r="B224" s="69" t="s">
        <v>326</v>
      </c>
      <c r="C224" s="18" t="s">
        <v>328</v>
      </c>
      <c r="D224" s="1" t="s">
        <v>224</v>
      </c>
      <c r="E224" s="18">
        <v>3</v>
      </c>
    </row>
    <row r="225" customHeight="1" spans="1:5">
      <c r="A225" s="1" t="s">
        <v>220</v>
      </c>
      <c r="B225" s="69" t="s">
        <v>326</v>
      </c>
      <c r="C225" s="18" t="s">
        <v>328</v>
      </c>
      <c r="D225" s="1" t="s">
        <v>224</v>
      </c>
      <c r="E225" s="18">
        <v>4</v>
      </c>
    </row>
    <row r="226" customHeight="1" spans="1:5">
      <c r="A226" s="1" t="s">
        <v>220</v>
      </c>
      <c r="B226" s="69" t="s">
        <v>326</v>
      </c>
      <c r="C226" s="18" t="s">
        <v>328</v>
      </c>
      <c r="D226" s="1" t="s">
        <v>224</v>
      </c>
      <c r="E226" s="18">
        <v>5</v>
      </c>
    </row>
    <row r="227" customHeight="1" spans="1:5">
      <c r="A227" s="1" t="s">
        <v>220</v>
      </c>
      <c r="B227" s="69" t="s">
        <v>326</v>
      </c>
      <c r="C227" s="5" t="s">
        <v>328</v>
      </c>
      <c r="D227" s="1" t="s">
        <v>224</v>
      </c>
      <c r="E227" s="5">
        <v>1</v>
      </c>
    </row>
    <row r="228" customHeight="1" spans="1:5">
      <c r="A228" s="1" t="s">
        <v>220</v>
      </c>
      <c r="B228" s="69" t="s">
        <v>326</v>
      </c>
      <c r="C228" s="5" t="s">
        <v>328</v>
      </c>
      <c r="D228" s="1" t="s">
        <v>224</v>
      </c>
      <c r="E228" s="5">
        <v>2</v>
      </c>
    </row>
    <row r="229" customHeight="1" spans="1:5">
      <c r="A229" s="1" t="s">
        <v>220</v>
      </c>
      <c r="B229" s="69" t="s">
        <v>326</v>
      </c>
      <c r="C229" s="5" t="s">
        <v>328</v>
      </c>
      <c r="D229" s="1" t="s">
        <v>224</v>
      </c>
      <c r="E229" s="5">
        <v>3</v>
      </c>
    </row>
    <row r="230" customHeight="1" spans="1:5">
      <c r="A230" s="1" t="s">
        <v>220</v>
      </c>
      <c r="B230" s="69" t="s">
        <v>326</v>
      </c>
      <c r="C230" s="5" t="s">
        <v>328</v>
      </c>
      <c r="D230" s="1" t="s">
        <v>224</v>
      </c>
      <c r="E230" s="5">
        <v>4</v>
      </c>
    </row>
    <row r="231" customHeight="1" spans="1:5">
      <c r="A231" s="1" t="s">
        <v>220</v>
      </c>
      <c r="B231" s="69" t="s">
        <v>326</v>
      </c>
      <c r="C231" s="5" t="s">
        <v>328</v>
      </c>
      <c r="D231" s="1" t="s">
        <v>224</v>
      </c>
      <c r="E231" s="5">
        <v>5</v>
      </c>
    </row>
    <row r="232" customHeight="1" spans="1:5">
      <c r="A232" s="1" t="s">
        <v>291</v>
      </c>
      <c r="B232" s="69" t="s">
        <v>326</v>
      </c>
      <c r="C232" s="18" t="s">
        <v>329</v>
      </c>
      <c r="D232" s="1" t="s">
        <v>225</v>
      </c>
      <c r="E232" s="18">
        <v>1</v>
      </c>
    </row>
    <row r="233" customHeight="1" spans="1:5">
      <c r="A233" s="1" t="s">
        <v>291</v>
      </c>
      <c r="B233" s="69" t="s">
        <v>326</v>
      </c>
      <c r="C233" s="18" t="s">
        <v>329</v>
      </c>
      <c r="D233" s="1" t="s">
        <v>225</v>
      </c>
      <c r="E233" s="18">
        <v>2</v>
      </c>
    </row>
    <row r="234" customHeight="1" spans="1:5">
      <c r="A234" s="1" t="s">
        <v>291</v>
      </c>
      <c r="B234" s="69" t="s">
        <v>326</v>
      </c>
      <c r="C234" s="18" t="s">
        <v>329</v>
      </c>
      <c r="D234" s="1" t="s">
        <v>225</v>
      </c>
      <c r="E234" s="18">
        <v>3</v>
      </c>
    </row>
    <row r="235" customHeight="1" spans="1:5">
      <c r="A235" s="1" t="s">
        <v>291</v>
      </c>
      <c r="B235" s="69" t="s">
        <v>326</v>
      </c>
      <c r="C235" s="18" t="s">
        <v>329</v>
      </c>
      <c r="D235" s="1" t="s">
        <v>225</v>
      </c>
      <c r="E235" s="18">
        <v>4</v>
      </c>
    </row>
    <row r="236" customHeight="1" spans="1:5">
      <c r="A236" s="1" t="s">
        <v>291</v>
      </c>
      <c r="B236" s="69" t="s">
        <v>326</v>
      </c>
      <c r="C236" s="18" t="s">
        <v>329</v>
      </c>
      <c r="D236" s="1" t="s">
        <v>225</v>
      </c>
      <c r="E236" s="18">
        <v>5</v>
      </c>
    </row>
    <row r="237" customHeight="1" spans="1:5">
      <c r="A237" s="1" t="s">
        <v>291</v>
      </c>
      <c r="B237" s="69" t="s">
        <v>326</v>
      </c>
      <c r="C237" s="18" t="s">
        <v>329</v>
      </c>
      <c r="D237" s="1" t="s">
        <v>225</v>
      </c>
      <c r="E237" s="18">
        <v>6</v>
      </c>
    </row>
    <row r="238" customHeight="1" spans="1:5">
      <c r="A238" s="1" t="s">
        <v>291</v>
      </c>
      <c r="B238" s="69" t="s">
        <v>326</v>
      </c>
      <c r="C238" s="18" t="s">
        <v>329</v>
      </c>
      <c r="D238" s="1" t="s">
        <v>225</v>
      </c>
      <c r="E238" s="18">
        <v>7</v>
      </c>
    </row>
    <row r="239" customHeight="1" spans="1:5">
      <c r="A239" s="1" t="s">
        <v>291</v>
      </c>
      <c r="B239" s="69" t="s">
        <v>326</v>
      </c>
      <c r="C239" s="18" t="s">
        <v>329</v>
      </c>
      <c r="D239" s="1" t="s">
        <v>225</v>
      </c>
      <c r="E239" s="18">
        <v>8</v>
      </c>
    </row>
    <row r="240" customHeight="1" spans="1:5">
      <c r="A240" s="1" t="s">
        <v>220</v>
      </c>
      <c r="B240" s="70" t="s">
        <v>330</v>
      </c>
      <c r="C240" s="5" t="s">
        <v>331</v>
      </c>
      <c r="D240" s="1" t="s">
        <v>222</v>
      </c>
      <c r="E240" s="5">
        <v>1</v>
      </c>
    </row>
    <row r="241" customHeight="1" spans="1:5">
      <c r="A241" s="1" t="s">
        <v>220</v>
      </c>
      <c r="B241" s="70" t="s">
        <v>330</v>
      </c>
      <c r="C241" s="5" t="s">
        <v>331</v>
      </c>
      <c r="D241" s="1" t="s">
        <v>222</v>
      </c>
      <c r="E241" s="5">
        <v>2</v>
      </c>
    </row>
    <row r="242" customHeight="1" spans="1:5">
      <c r="A242" s="1" t="s">
        <v>220</v>
      </c>
      <c r="B242" s="70" t="s">
        <v>330</v>
      </c>
      <c r="C242" s="5" t="s">
        <v>331</v>
      </c>
      <c r="D242" s="1" t="s">
        <v>222</v>
      </c>
      <c r="E242" s="5">
        <v>3</v>
      </c>
    </row>
    <row r="243" customHeight="1" spans="1:5">
      <c r="A243" s="1" t="s">
        <v>220</v>
      </c>
      <c r="B243" s="70" t="s">
        <v>330</v>
      </c>
      <c r="C243" s="5" t="s">
        <v>331</v>
      </c>
      <c r="D243" s="1" t="s">
        <v>222</v>
      </c>
      <c r="E243" s="5">
        <v>4</v>
      </c>
    </row>
    <row r="244" customHeight="1" spans="1:5">
      <c r="A244" s="1" t="s">
        <v>220</v>
      </c>
      <c r="B244" s="70" t="s">
        <v>330</v>
      </c>
      <c r="C244" s="5" t="s">
        <v>331</v>
      </c>
      <c r="D244" s="1" t="s">
        <v>222</v>
      </c>
      <c r="E244" s="5">
        <v>5</v>
      </c>
    </row>
    <row r="245" customHeight="1" spans="1:5">
      <c r="A245" s="1" t="s">
        <v>220</v>
      </c>
      <c r="B245" s="70" t="s">
        <v>330</v>
      </c>
      <c r="C245" s="18" t="s">
        <v>332</v>
      </c>
      <c r="D245" s="1" t="s">
        <v>223</v>
      </c>
      <c r="E245" s="18">
        <v>1</v>
      </c>
    </row>
    <row r="246" customHeight="1" spans="1:5">
      <c r="A246" s="1" t="s">
        <v>220</v>
      </c>
      <c r="B246" s="70" t="s">
        <v>330</v>
      </c>
      <c r="C246" s="18" t="s">
        <v>332</v>
      </c>
      <c r="D246" s="1" t="s">
        <v>223</v>
      </c>
      <c r="E246" s="18">
        <v>2</v>
      </c>
    </row>
    <row r="247" customHeight="1" spans="1:5">
      <c r="A247" s="1" t="s">
        <v>220</v>
      </c>
      <c r="B247" s="70" t="s">
        <v>330</v>
      </c>
      <c r="C247" s="18" t="s">
        <v>332</v>
      </c>
      <c r="D247" s="1" t="s">
        <v>223</v>
      </c>
      <c r="E247" s="18">
        <v>3</v>
      </c>
    </row>
    <row r="248" customHeight="1" spans="1:5">
      <c r="A248" s="1" t="s">
        <v>220</v>
      </c>
      <c r="B248" s="70" t="s">
        <v>330</v>
      </c>
      <c r="C248" s="18" t="s">
        <v>332</v>
      </c>
      <c r="D248" s="1" t="s">
        <v>223</v>
      </c>
      <c r="E248" s="18">
        <v>4</v>
      </c>
    </row>
    <row r="249" customHeight="1" spans="1:5">
      <c r="A249" s="1" t="s">
        <v>220</v>
      </c>
      <c r="B249" s="70" t="s">
        <v>330</v>
      </c>
      <c r="C249" s="18" t="s">
        <v>332</v>
      </c>
      <c r="D249" s="1" t="s">
        <v>223</v>
      </c>
      <c r="E249" s="18">
        <v>5</v>
      </c>
    </row>
    <row r="250" customHeight="1" spans="1:5">
      <c r="A250" s="1" t="s">
        <v>220</v>
      </c>
      <c r="B250" s="70" t="s">
        <v>330</v>
      </c>
      <c r="C250" s="5" t="s">
        <v>333</v>
      </c>
      <c r="D250" s="1" t="s">
        <v>224</v>
      </c>
      <c r="E250" s="5">
        <v>1</v>
      </c>
    </row>
    <row r="251" customHeight="1" spans="1:5">
      <c r="A251" s="1" t="s">
        <v>220</v>
      </c>
      <c r="B251" s="70" t="s">
        <v>330</v>
      </c>
      <c r="C251" s="5" t="s">
        <v>333</v>
      </c>
      <c r="D251" s="1" t="s">
        <v>224</v>
      </c>
      <c r="E251" s="5">
        <v>2</v>
      </c>
    </row>
    <row r="252" customHeight="1" spans="1:5">
      <c r="A252" s="1" t="s">
        <v>220</v>
      </c>
      <c r="B252" s="70" t="s">
        <v>330</v>
      </c>
      <c r="C252" s="5" t="s">
        <v>333</v>
      </c>
      <c r="D252" s="1" t="s">
        <v>224</v>
      </c>
      <c r="E252" s="5">
        <v>3</v>
      </c>
    </row>
    <row r="253" customHeight="1" spans="1:5">
      <c r="A253" s="1" t="s">
        <v>220</v>
      </c>
      <c r="B253" s="70" t="s">
        <v>330</v>
      </c>
      <c r="C253" s="5" t="s">
        <v>333</v>
      </c>
      <c r="D253" s="1" t="s">
        <v>224</v>
      </c>
      <c r="E253" s="5">
        <v>4</v>
      </c>
    </row>
    <row r="254" customHeight="1" spans="1:5">
      <c r="A254" s="1" t="s">
        <v>220</v>
      </c>
      <c r="B254" s="70" t="s">
        <v>330</v>
      </c>
      <c r="C254" s="5" t="s">
        <v>333</v>
      </c>
      <c r="D254" s="1" t="s">
        <v>224</v>
      </c>
      <c r="E254" s="5">
        <v>5</v>
      </c>
    </row>
    <row r="255" customHeight="1" spans="1:5">
      <c r="A255" s="1" t="s">
        <v>220</v>
      </c>
      <c r="B255" s="70" t="s">
        <v>330</v>
      </c>
      <c r="C255" s="18" t="s">
        <v>333</v>
      </c>
      <c r="D255" s="1" t="s">
        <v>224</v>
      </c>
      <c r="E255" s="18">
        <v>1</v>
      </c>
    </row>
    <row r="256" customHeight="1" spans="1:5">
      <c r="A256" s="1" t="s">
        <v>220</v>
      </c>
      <c r="B256" s="70" t="s">
        <v>330</v>
      </c>
      <c r="C256" s="18" t="s">
        <v>333</v>
      </c>
      <c r="D256" s="1" t="s">
        <v>224</v>
      </c>
      <c r="E256" s="18">
        <v>2</v>
      </c>
    </row>
    <row r="257" customHeight="1" spans="1:5">
      <c r="A257" s="1" t="s">
        <v>220</v>
      </c>
      <c r="B257" s="70" t="s">
        <v>330</v>
      </c>
      <c r="C257" s="18" t="s">
        <v>333</v>
      </c>
      <c r="D257" s="1" t="s">
        <v>224</v>
      </c>
      <c r="E257" s="18">
        <v>3</v>
      </c>
    </row>
    <row r="258" customHeight="1" spans="1:5">
      <c r="A258" s="1" t="s">
        <v>220</v>
      </c>
      <c r="B258" s="70" t="s">
        <v>330</v>
      </c>
      <c r="C258" s="18" t="s">
        <v>333</v>
      </c>
      <c r="D258" s="1" t="s">
        <v>224</v>
      </c>
      <c r="E258" s="18">
        <v>4</v>
      </c>
    </row>
    <row r="259" customHeight="1" spans="1:5">
      <c r="A259" s="1" t="s">
        <v>220</v>
      </c>
      <c r="B259" s="70" t="s">
        <v>330</v>
      </c>
      <c r="C259" s="18" t="s">
        <v>333</v>
      </c>
      <c r="D259" s="1" t="s">
        <v>224</v>
      </c>
      <c r="E259" s="18">
        <v>5</v>
      </c>
    </row>
    <row r="260" customHeight="1" spans="1:5">
      <c r="A260" s="1" t="s">
        <v>291</v>
      </c>
      <c r="B260" s="70" t="s">
        <v>330</v>
      </c>
      <c r="C260" s="5" t="s">
        <v>334</v>
      </c>
      <c r="D260" s="1" t="s">
        <v>225</v>
      </c>
      <c r="E260" s="5">
        <v>1</v>
      </c>
    </row>
    <row r="261" customHeight="1" spans="1:5">
      <c r="A261" s="1" t="s">
        <v>291</v>
      </c>
      <c r="B261" s="70" t="s">
        <v>330</v>
      </c>
      <c r="C261" s="5" t="s">
        <v>334</v>
      </c>
      <c r="D261" s="1" t="s">
        <v>225</v>
      </c>
      <c r="E261" s="5">
        <v>2</v>
      </c>
    </row>
    <row r="262" customHeight="1" spans="1:5">
      <c r="A262" s="1" t="s">
        <v>291</v>
      </c>
      <c r="B262" s="70" t="s">
        <v>330</v>
      </c>
      <c r="C262" s="5" t="s">
        <v>334</v>
      </c>
      <c r="D262" s="1" t="s">
        <v>225</v>
      </c>
      <c r="E262" s="5">
        <v>3</v>
      </c>
    </row>
    <row r="263" customHeight="1" spans="1:5">
      <c r="A263" s="1" t="s">
        <v>291</v>
      </c>
      <c r="B263" s="70" t="s">
        <v>330</v>
      </c>
      <c r="C263" s="5" t="s">
        <v>334</v>
      </c>
      <c r="D263" s="1" t="s">
        <v>225</v>
      </c>
      <c r="E263" s="5">
        <v>4</v>
      </c>
    </row>
    <row r="264" customHeight="1" spans="1:5">
      <c r="A264" s="1" t="s">
        <v>291</v>
      </c>
      <c r="B264" s="70" t="s">
        <v>330</v>
      </c>
      <c r="C264" s="5" t="s">
        <v>334</v>
      </c>
      <c r="D264" s="1" t="s">
        <v>225</v>
      </c>
      <c r="E264" s="5">
        <v>5</v>
      </c>
    </row>
    <row r="265" customHeight="1" spans="1:5">
      <c r="A265" s="1" t="s">
        <v>291</v>
      </c>
      <c r="B265" s="70" t="s">
        <v>330</v>
      </c>
      <c r="C265" s="5" t="s">
        <v>334</v>
      </c>
      <c r="D265" s="1" t="s">
        <v>225</v>
      </c>
      <c r="E265" s="5">
        <v>6</v>
      </c>
    </row>
    <row r="266" customHeight="1" spans="1:5">
      <c r="A266" s="1" t="s">
        <v>291</v>
      </c>
      <c r="B266" s="70" t="s">
        <v>330</v>
      </c>
      <c r="C266" s="5" t="s">
        <v>334</v>
      </c>
      <c r="D266" s="1" t="s">
        <v>225</v>
      </c>
      <c r="E266" s="5">
        <v>7</v>
      </c>
    </row>
    <row r="267" customHeight="1" spans="1:5">
      <c r="A267" s="1" t="s">
        <v>291</v>
      </c>
      <c r="B267" s="70" t="s">
        <v>330</v>
      </c>
      <c r="C267" s="5" t="s">
        <v>334</v>
      </c>
      <c r="D267" s="1" t="s">
        <v>225</v>
      </c>
      <c r="E267" s="5">
        <v>8</v>
      </c>
    </row>
    <row r="268" customHeight="1" spans="1:5">
      <c r="A268" s="1" t="s">
        <v>220</v>
      </c>
      <c r="B268" s="69" t="s">
        <v>335</v>
      </c>
      <c r="C268" s="18" t="s">
        <v>336</v>
      </c>
      <c r="D268" s="1" t="s">
        <v>222</v>
      </c>
      <c r="E268" s="18">
        <v>1</v>
      </c>
    </row>
    <row r="269" customHeight="1" spans="1:5">
      <c r="A269" s="1" t="s">
        <v>220</v>
      </c>
      <c r="B269" s="69" t="s">
        <v>335</v>
      </c>
      <c r="C269" s="18" t="s">
        <v>336</v>
      </c>
      <c r="D269" s="1" t="s">
        <v>222</v>
      </c>
      <c r="E269" s="18">
        <v>2</v>
      </c>
    </row>
    <row r="270" customHeight="1" spans="1:5">
      <c r="A270" s="1" t="s">
        <v>220</v>
      </c>
      <c r="B270" s="69" t="s">
        <v>335</v>
      </c>
      <c r="C270" s="18" t="s">
        <v>336</v>
      </c>
      <c r="D270" s="1" t="s">
        <v>222</v>
      </c>
      <c r="E270" s="18">
        <v>3</v>
      </c>
    </row>
    <row r="271" customHeight="1" spans="1:5">
      <c r="A271" s="1" t="s">
        <v>220</v>
      </c>
      <c r="B271" s="69" t="s">
        <v>335</v>
      </c>
      <c r="C271" s="18" t="s">
        <v>336</v>
      </c>
      <c r="D271" s="1" t="s">
        <v>222</v>
      </c>
      <c r="E271" s="18">
        <v>4</v>
      </c>
    </row>
    <row r="272" customHeight="1" spans="1:5">
      <c r="A272" s="1" t="s">
        <v>220</v>
      </c>
      <c r="B272" s="69" t="s">
        <v>335</v>
      </c>
      <c r="C272" s="18" t="s">
        <v>336</v>
      </c>
      <c r="D272" s="1" t="s">
        <v>222</v>
      </c>
      <c r="E272" s="18">
        <v>5</v>
      </c>
    </row>
    <row r="273" customHeight="1" spans="1:5">
      <c r="A273" s="1" t="s">
        <v>220</v>
      </c>
      <c r="B273" s="69" t="s">
        <v>335</v>
      </c>
      <c r="C273" s="5" t="s">
        <v>337</v>
      </c>
      <c r="D273" s="1" t="s">
        <v>223</v>
      </c>
      <c r="E273" s="5">
        <v>1</v>
      </c>
    </row>
    <row r="274" customHeight="1" spans="1:5">
      <c r="A274" s="1" t="s">
        <v>220</v>
      </c>
      <c r="B274" s="69" t="s">
        <v>335</v>
      </c>
      <c r="C274" s="5" t="s">
        <v>337</v>
      </c>
      <c r="D274" s="1" t="s">
        <v>223</v>
      </c>
      <c r="E274" s="5">
        <v>2</v>
      </c>
    </row>
    <row r="275" customHeight="1" spans="1:5">
      <c r="A275" s="1" t="s">
        <v>220</v>
      </c>
      <c r="B275" s="69" t="s">
        <v>335</v>
      </c>
      <c r="C275" s="5" t="s">
        <v>337</v>
      </c>
      <c r="D275" s="1" t="s">
        <v>223</v>
      </c>
      <c r="E275" s="5">
        <v>3</v>
      </c>
    </row>
    <row r="276" customHeight="1" spans="1:5">
      <c r="A276" s="1" t="s">
        <v>220</v>
      </c>
      <c r="B276" s="69" t="s">
        <v>335</v>
      </c>
      <c r="C276" s="5" t="s">
        <v>337</v>
      </c>
      <c r="D276" s="1" t="s">
        <v>223</v>
      </c>
      <c r="E276" s="5">
        <v>4</v>
      </c>
    </row>
    <row r="277" customHeight="1" spans="1:5">
      <c r="A277" s="1" t="s">
        <v>220</v>
      </c>
      <c r="B277" s="69" t="s">
        <v>335</v>
      </c>
      <c r="C277" s="5" t="s">
        <v>337</v>
      </c>
      <c r="D277" s="1" t="s">
        <v>223</v>
      </c>
      <c r="E277" s="5">
        <v>5</v>
      </c>
    </row>
    <row r="278" customHeight="1" spans="1:5">
      <c r="A278" s="1" t="s">
        <v>220</v>
      </c>
      <c r="B278" s="69" t="s">
        <v>335</v>
      </c>
      <c r="C278" s="18" t="s">
        <v>338</v>
      </c>
      <c r="D278" s="1" t="s">
        <v>224</v>
      </c>
      <c r="E278" s="18">
        <v>1</v>
      </c>
    </row>
    <row r="279" customHeight="1" spans="1:5">
      <c r="A279" s="1" t="s">
        <v>220</v>
      </c>
      <c r="B279" s="69" t="s">
        <v>335</v>
      </c>
      <c r="C279" s="18" t="s">
        <v>338</v>
      </c>
      <c r="D279" s="1" t="s">
        <v>224</v>
      </c>
      <c r="E279" s="18">
        <v>2</v>
      </c>
    </row>
    <row r="280" customHeight="1" spans="1:5">
      <c r="A280" s="1" t="s">
        <v>220</v>
      </c>
      <c r="B280" s="69" t="s">
        <v>335</v>
      </c>
      <c r="C280" s="18" t="s">
        <v>338</v>
      </c>
      <c r="D280" s="1" t="s">
        <v>224</v>
      </c>
      <c r="E280" s="18">
        <v>3</v>
      </c>
    </row>
    <row r="281" customHeight="1" spans="1:5">
      <c r="A281" s="1" t="s">
        <v>220</v>
      </c>
      <c r="B281" s="69" t="s">
        <v>335</v>
      </c>
      <c r="C281" s="18" t="s">
        <v>338</v>
      </c>
      <c r="D281" s="1" t="s">
        <v>224</v>
      </c>
      <c r="E281" s="18">
        <v>4</v>
      </c>
    </row>
    <row r="282" customHeight="1" spans="1:5">
      <c r="A282" s="1" t="s">
        <v>220</v>
      </c>
      <c r="B282" s="69" t="s">
        <v>335</v>
      </c>
      <c r="C282" s="18" t="s">
        <v>338</v>
      </c>
      <c r="D282" s="1" t="s">
        <v>224</v>
      </c>
      <c r="E282" s="18">
        <v>5</v>
      </c>
    </row>
    <row r="283" customHeight="1" spans="1:5">
      <c r="A283" s="1" t="s">
        <v>220</v>
      </c>
      <c r="B283" s="69" t="s">
        <v>335</v>
      </c>
      <c r="C283" s="5" t="s">
        <v>338</v>
      </c>
      <c r="D283" s="1" t="s">
        <v>224</v>
      </c>
      <c r="E283" s="5">
        <v>1</v>
      </c>
    </row>
    <row r="284" customHeight="1" spans="1:5">
      <c r="A284" s="1" t="s">
        <v>220</v>
      </c>
      <c r="B284" s="69" t="s">
        <v>335</v>
      </c>
      <c r="C284" s="5" t="s">
        <v>338</v>
      </c>
      <c r="D284" s="1" t="s">
        <v>224</v>
      </c>
      <c r="E284" s="5">
        <v>2</v>
      </c>
    </row>
    <row r="285" customHeight="1" spans="1:5">
      <c r="A285" s="1" t="s">
        <v>220</v>
      </c>
      <c r="B285" s="69" t="s">
        <v>335</v>
      </c>
      <c r="C285" s="5" t="s">
        <v>338</v>
      </c>
      <c r="D285" s="1" t="s">
        <v>224</v>
      </c>
      <c r="E285" s="5">
        <v>3</v>
      </c>
    </row>
    <row r="286" customHeight="1" spans="1:5">
      <c r="A286" s="1" t="s">
        <v>220</v>
      </c>
      <c r="B286" s="69" t="s">
        <v>335</v>
      </c>
      <c r="C286" s="5" t="s">
        <v>338</v>
      </c>
      <c r="D286" s="1" t="s">
        <v>224</v>
      </c>
      <c r="E286" s="5">
        <v>4</v>
      </c>
    </row>
    <row r="287" customHeight="1" spans="1:5">
      <c r="A287" s="1" t="s">
        <v>220</v>
      </c>
      <c r="B287" s="69" t="s">
        <v>335</v>
      </c>
      <c r="C287" s="5" t="s">
        <v>338</v>
      </c>
      <c r="D287" s="1" t="s">
        <v>224</v>
      </c>
      <c r="E287" s="5">
        <v>5</v>
      </c>
    </row>
    <row r="288" customHeight="1" spans="1:5">
      <c r="A288" s="1" t="s">
        <v>291</v>
      </c>
      <c r="B288" s="69" t="s">
        <v>335</v>
      </c>
      <c r="C288" s="18" t="s">
        <v>339</v>
      </c>
      <c r="D288" s="1" t="s">
        <v>225</v>
      </c>
      <c r="E288" s="18">
        <v>1</v>
      </c>
    </row>
    <row r="289" customHeight="1" spans="1:5">
      <c r="A289" s="1" t="s">
        <v>291</v>
      </c>
      <c r="B289" s="69" t="s">
        <v>335</v>
      </c>
      <c r="C289" s="18" t="s">
        <v>339</v>
      </c>
      <c r="D289" s="1" t="s">
        <v>225</v>
      </c>
      <c r="E289" s="18">
        <v>2</v>
      </c>
    </row>
    <row r="290" customHeight="1" spans="1:5">
      <c r="A290" s="1" t="s">
        <v>291</v>
      </c>
      <c r="B290" s="69" t="s">
        <v>335</v>
      </c>
      <c r="C290" s="18" t="s">
        <v>339</v>
      </c>
      <c r="D290" s="1" t="s">
        <v>225</v>
      </c>
      <c r="E290" s="18">
        <v>3</v>
      </c>
    </row>
    <row r="291" customHeight="1" spans="1:5">
      <c r="A291" s="1" t="s">
        <v>291</v>
      </c>
      <c r="B291" s="69" t="s">
        <v>335</v>
      </c>
      <c r="C291" s="18" t="s">
        <v>339</v>
      </c>
      <c r="D291" s="1" t="s">
        <v>225</v>
      </c>
      <c r="E291" s="18">
        <v>4</v>
      </c>
    </row>
    <row r="292" customHeight="1" spans="1:5">
      <c r="A292" s="1" t="s">
        <v>291</v>
      </c>
      <c r="B292" s="69" t="s">
        <v>335</v>
      </c>
      <c r="C292" s="18" t="s">
        <v>339</v>
      </c>
      <c r="D292" s="1" t="s">
        <v>225</v>
      </c>
      <c r="E292" s="18">
        <v>5</v>
      </c>
    </row>
    <row r="293" customHeight="1" spans="1:5">
      <c r="A293" s="1" t="s">
        <v>291</v>
      </c>
      <c r="B293" s="69" t="s">
        <v>335</v>
      </c>
      <c r="C293" s="18" t="s">
        <v>339</v>
      </c>
      <c r="D293" s="1" t="s">
        <v>225</v>
      </c>
      <c r="E293" s="18">
        <v>6</v>
      </c>
    </row>
    <row r="294" customHeight="1" spans="1:5">
      <c r="A294" s="1" t="s">
        <v>291</v>
      </c>
      <c r="B294" s="69" t="s">
        <v>335</v>
      </c>
      <c r="C294" s="18" t="s">
        <v>339</v>
      </c>
      <c r="D294" s="1" t="s">
        <v>225</v>
      </c>
      <c r="E294" s="18">
        <v>7</v>
      </c>
    </row>
    <row r="295" customHeight="1" spans="1:5">
      <c r="A295" s="1" t="s">
        <v>291</v>
      </c>
      <c r="B295" s="69" t="s">
        <v>335</v>
      </c>
      <c r="C295" s="18" t="s">
        <v>339</v>
      </c>
      <c r="D295" s="1" t="s">
        <v>225</v>
      </c>
      <c r="E295" s="18">
        <v>8</v>
      </c>
    </row>
    <row r="296" customHeight="1" spans="1:5">
      <c r="A296" s="1" t="s">
        <v>238</v>
      </c>
      <c r="B296" s="69" t="s">
        <v>340</v>
      </c>
      <c r="C296" s="5" t="s">
        <v>341</v>
      </c>
      <c r="D296" s="1" t="s">
        <v>222</v>
      </c>
      <c r="E296" s="5">
        <v>1</v>
      </c>
    </row>
    <row r="297" customHeight="1" spans="1:5">
      <c r="A297" s="1" t="s">
        <v>238</v>
      </c>
      <c r="B297" s="69" t="s">
        <v>340</v>
      </c>
      <c r="C297" s="5" t="s">
        <v>341</v>
      </c>
      <c r="D297" s="1" t="s">
        <v>222</v>
      </c>
      <c r="E297" s="5">
        <v>2</v>
      </c>
    </row>
    <row r="298" customHeight="1" spans="1:5">
      <c r="A298" s="1" t="s">
        <v>238</v>
      </c>
      <c r="B298" s="69" t="s">
        <v>340</v>
      </c>
      <c r="C298" s="5" t="s">
        <v>341</v>
      </c>
      <c r="D298" s="1" t="s">
        <v>222</v>
      </c>
      <c r="E298" s="5">
        <v>3</v>
      </c>
    </row>
    <row r="299" customHeight="1" spans="1:5">
      <c r="A299" s="1" t="s">
        <v>238</v>
      </c>
      <c r="B299" s="69" t="s">
        <v>340</v>
      </c>
      <c r="C299" s="5" t="s">
        <v>341</v>
      </c>
      <c r="D299" s="1" t="s">
        <v>222</v>
      </c>
      <c r="E299" s="5">
        <v>4</v>
      </c>
    </row>
    <row r="300" customHeight="1" spans="1:5">
      <c r="A300" s="1" t="s">
        <v>238</v>
      </c>
      <c r="B300" s="69" t="s">
        <v>340</v>
      </c>
      <c r="C300" s="5" t="s">
        <v>341</v>
      </c>
      <c r="D300" s="1" t="s">
        <v>222</v>
      </c>
      <c r="E300" s="5">
        <v>5</v>
      </c>
    </row>
    <row r="301" customHeight="1" spans="1:5">
      <c r="A301" s="1" t="s">
        <v>238</v>
      </c>
      <c r="B301" s="69" t="s">
        <v>340</v>
      </c>
      <c r="C301" s="18" t="s">
        <v>342</v>
      </c>
      <c r="D301" s="1" t="s">
        <v>224</v>
      </c>
      <c r="E301" s="18">
        <v>1</v>
      </c>
    </row>
    <row r="302" customHeight="1" spans="1:5">
      <c r="A302" s="1" t="s">
        <v>238</v>
      </c>
      <c r="B302" s="69" t="s">
        <v>340</v>
      </c>
      <c r="C302" s="18" t="s">
        <v>342</v>
      </c>
      <c r="D302" s="1" t="s">
        <v>224</v>
      </c>
      <c r="E302" s="18">
        <v>2</v>
      </c>
    </row>
    <row r="303" customHeight="1" spans="1:5">
      <c r="A303" s="1" t="s">
        <v>238</v>
      </c>
      <c r="B303" s="69" t="s">
        <v>340</v>
      </c>
      <c r="C303" s="18" t="s">
        <v>342</v>
      </c>
      <c r="D303" s="1" t="s">
        <v>224</v>
      </c>
      <c r="E303" s="18">
        <v>3</v>
      </c>
    </row>
    <row r="304" customHeight="1" spans="1:5">
      <c r="A304" s="1" t="s">
        <v>238</v>
      </c>
      <c r="B304" s="69" t="s">
        <v>340</v>
      </c>
      <c r="C304" s="18" t="s">
        <v>342</v>
      </c>
      <c r="D304" s="1" t="s">
        <v>224</v>
      </c>
      <c r="E304" s="18">
        <v>4</v>
      </c>
    </row>
    <row r="305" customHeight="1" spans="1:5">
      <c r="A305" s="1" t="s">
        <v>238</v>
      </c>
      <c r="B305" s="69" t="s">
        <v>340</v>
      </c>
      <c r="C305" s="18" t="s">
        <v>342</v>
      </c>
      <c r="D305" s="1" t="s">
        <v>224</v>
      </c>
      <c r="E305" s="18">
        <v>5</v>
      </c>
    </row>
    <row r="306" customHeight="1" spans="1:5">
      <c r="A306" s="1" t="s">
        <v>238</v>
      </c>
      <c r="B306" s="69" t="s">
        <v>340</v>
      </c>
      <c r="C306" s="5" t="s">
        <v>342</v>
      </c>
      <c r="D306" s="1" t="s">
        <v>224</v>
      </c>
      <c r="E306" s="5">
        <v>1</v>
      </c>
    </row>
    <row r="307" customHeight="1" spans="1:5">
      <c r="A307" s="1" t="s">
        <v>238</v>
      </c>
      <c r="B307" s="69" t="s">
        <v>340</v>
      </c>
      <c r="C307" s="5" t="s">
        <v>342</v>
      </c>
      <c r="D307" s="1" t="s">
        <v>224</v>
      </c>
      <c r="E307" s="5">
        <v>2</v>
      </c>
    </row>
    <row r="308" customHeight="1" spans="1:5">
      <c r="A308" s="1" t="s">
        <v>238</v>
      </c>
      <c r="B308" s="69" t="s">
        <v>340</v>
      </c>
      <c r="C308" s="5" t="s">
        <v>342</v>
      </c>
      <c r="D308" s="1" t="s">
        <v>224</v>
      </c>
      <c r="E308" s="5">
        <v>3</v>
      </c>
    </row>
    <row r="309" customHeight="1" spans="1:5">
      <c r="A309" s="1" t="s">
        <v>238</v>
      </c>
      <c r="B309" s="69" t="s">
        <v>340</v>
      </c>
      <c r="C309" s="5" t="s">
        <v>342</v>
      </c>
      <c r="D309" s="1" t="s">
        <v>224</v>
      </c>
      <c r="E309" s="5">
        <v>4</v>
      </c>
    </row>
    <row r="310" customHeight="1" spans="1:5">
      <c r="A310" s="1" t="s">
        <v>238</v>
      </c>
      <c r="B310" s="69" t="s">
        <v>340</v>
      </c>
      <c r="C310" s="5" t="s">
        <v>342</v>
      </c>
      <c r="D310" s="1" t="s">
        <v>224</v>
      </c>
      <c r="E310" s="5">
        <v>5</v>
      </c>
    </row>
    <row r="311" customHeight="1" spans="1:5">
      <c r="A311" s="1" t="s">
        <v>291</v>
      </c>
      <c r="B311" s="69" t="s">
        <v>340</v>
      </c>
      <c r="C311" s="18" t="s">
        <v>343</v>
      </c>
      <c r="D311" s="1" t="s">
        <v>225</v>
      </c>
      <c r="E311" s="18">
        <v>1</v>
      </c>
    </row>
    <row r="312" customHeight="1" spans="1:5">
      <c r="A312" s="1" t="s">
        <v>291</v>
      </c>
      <c r="B312" s="69" t="s">
        <v>340</v>
      </c>
      <c r="C312" s="18" t="s">
        <v>343</v>
      </c>
      <c r="D312" s="1" t="s">
        <v>225</v>
      </c>
      <c r="E312" s="18">
        <v>2</v>
      </c>
    </row>
    <row r="313" customHeight="1" spans="1:5">
      <c r="A313" s="1" t="s">
        <v>291</v>
      </c>
      <c r="B313" s="69" t="s">
        <v>340</v>
      </c>
      <c r="C313" s="18" t="s">
        <v>343</v>
      </c>
      <c r="D313" s="1" t="s">
        <v>225</v>
      </c>
      <c r="E313" s="18">
        <v>3</v>
      </c>
    </row>
    <row r="314" customHeight="1" spans="1:5">
      <c r="A314" s="1" t="s">
        <v>291</v>
      </c>
      <c r="B314" s="69" t="s">
        <v>340</v>
      </c>
      <c r="C314" s="18" t="s">
        <v>343</v>
      </c>
      <c r="D314" s="1" t="s">
        <v>225</v>
      </c>
      <c r="E314" s="18">
        <v>4</v>
      </c>
    </row>
    <row r="315" customHeight="1" spans="1:5">
      <c r="A315" s="1" t="s">
        <v>291</v>
      </c>
      <c r="B315" s="69" t="s">
        <v>340</v>
      </c>
      <c r="C315" s="18" t="s">
        <v>343</v>
      </c>
      <c r="D315" s="1" t="s">
        <v>225</v>
      </c>
      <c r="E315" s="18">
        <v>5</v>
      </c>
    </row>
    <row r="316" customHeight="1" spans="1:5">
      <c r="A316" s="1" t="s">
        <v>291</v>
      </c>
      <c r="B316" s="69" t="s">
        <v>340</v>
      </c>
      <c r="C316" s="18" t="s">
        <v>343</v>
      </c>
      <c r="D316" s="1" t="s">
        <v>225</v>
      </c>
      <c r="E316" s="18">
        <v>6</v>
      </c>
    </row>
    <row r="317" customHeight="1" spans="1:5">
      <c r="A317" s="1" t="s">
        <v>291</v>
      </c>
      <c r="B317" s="69" t="s">
        <v>340</v>
      </c>
      <c r="C317" s="18" t="s">
        <v>343</v>
      </c>
      <c r="D317" s="1" t="s">
        <v>225</v>
      </c>
      <c r="E317" s="18">
        <v>7</v>
      </c>
    </row>
    <row r="318" customHeight="1" spans="1:5">
      <c r="A318" s="1" t="s">
        <v>291</v>
      </c>
      <c r="B318" s="69" t="s">
        <v>340</v>
      </c>
      <c r="C318" s="18" t="s">
        <v>343</v>
      </c>
      <c r="D318" s="1" t="s">
        <v>225</v>
      </c>
      <c r="E318" s="18">
        <v>8</v>
      </c>
    </row>
    <row r="319" customHeight="1" spans="1:5">
      <c r="A319" s="1" t="s">
        <v>238</v>
      </c>
      <c r="B319" s="70" t="s">
        <v>344</v>
      </c>
      <c r="C319" s="5" t="s">
        <v>345</v>
      </c>
      <c r="D319" s="1" t="s">
        <v>222</v>
      </c>
      <c r="E319" s="5">
        <v>1</v>
      </c>
    </row>
    <row r="320" customHeight="1" spans="1:5">
      <c r="A320" s="1" t="s">
        <v>238</v>
      </c>
      <c r="B320" s="70" t="s">
        <v>344</v>
      </c>
      <c r="C320" s="5" t="s">
        <v>345</v>
      </c>
      <c r="D320" s="1" t="s">
        <v>222</v>
      </c>
      <c r="E320" s="5">
        <v>2</v>
      </c>
    </row>
    <row r="321" customHeight="1" spans="1:5">
      <c r="A321" s="1" t="s">
        <v>238</v>
      </c>
      <c r="B321" s="70" t="s">
        <v>344</v>
      </c>
      <c r="C321" s="5" t="s">
        <v>345</v>
      </c>
      <c r="D321" s="1" t="s">
        <v>222</v>
      </c>
      <c r="E321" s="5">
        <v>3</v>
      </c>
    </row>
    <row r="322" customHeight="1" spans="1:5">
      <c r="A322" s="1" t="s">
        <v>238</v>
      </c>
      <c r="B322" s="70" t="s">
        <v>344</v>
      </c>
      <c r="C322" s="5" t="s">
        <v>345</v>
      </c>
      <c r="D322" s="1" t="s">
        <v>222</v>
      </c>
      <c r="E322" s="5">
        <v>4</v>
      </c>
    </row>
    <row r="323" customHeight="1" spans="1:5">
      <c r="A323" s="1" t="s">
        <v>238</v>
      </c>
      <c r="B323" s="70" t="s">
        <v>344</v>
      </c>
      <c r="C323" s="5" t="s">
        <v>345</v>
      </c>
      <c r="D323" s="1" t="s">
        <v>222</v>
      </c>
      <c r="E323" s="5">
        <v>5</v>
      </c>
    </row>
    <row r="324" customHeight="1" spans="1:5">
      <c r="A324" s="1" t="s">
        <v>238</v>
      </c>
      <c r="B324" s="70" t="s">
        <v>344</v>
      </c>
      <c r="C324" s="18" t="s">
        <v>346</v>
      </c>
      <c r="D324" s="1" t="s">
        <v>224</v>
      </c>
      <c r="E324" s="18">
        <v>1</v>
      </c>
    </row>
    <row r="325" customHeight="1" spans="1:5">
      <c r="A325" s="1" t="s">
        <v>238</v>
      </c>
      <c r="B325" s="70" t="s">
        <v>344</v>
      </c>
      <c r="C325" s="18" t="s">
        <v>346</v>
      </c>
      <c r="D325" s="1" t="s">
        <v>224</v>
      </c>
      <c r="E325" s="18">
        <v>2</v>
      </c>
    </row>
    <row r="326" customHeight="1" spans="1:5">
      <c r="A326" s="1" t="s">
        <v>238</v>
      </c>
      <c r="B326" s="70" t="s">
        <v>344</v>
      </c>
      <c r="C326" s="18" t="s">
        <v>346</v>
      </c>
      <c r="D326" s="1" t="s">
        <v>224</v>
      </c>
      <c r="E326" s="18">
        <v>3</v>
      </c>
    </row>
    <row r="327" customHeight="1" spans="1:5">
      <c r="A327" s="1" t="s">
        <v>238</v>
      </c>
      <c r="B327" s="70" t="s">
        <v>344</v>
      </c>
      <c r="C327" s="18" t="s">
        <v>346</v>
      </c>
      <c r="D327" s="1" t="s">
        <v>224</v>
      </c>
      <c r="E327" s="18">
        <v>4</v>
      </c>
    </row>
    <row r="328" customHeight="1" spans="1:5">
      <c r="A328" s="1" t="s">
        <v>238</v>
      </c>
      <c r="B328" s="70" t="s">
        <v>344</v>
      </c>
      <c r="C328" s="18" t="s">
        <v>346</v>
      </c>
      <c r="D328" s="1" t="s">
        <v>224</v>
      </c>
      <c r="E328" s="18">
        <v>5</v>
      </c>
    </row>
    <row r="329" customHeight="1" spans="1:5">
      <c r="A329" s="1" t="s">
        <v>238</v>
      </c>
      <c r="B329" s="70" t="s">
        <v>344</v>
      </c>
      <c r="C329" s="5" t="s">
        <v>346</v>
      </c>
      <c r="D329" s="1" t="s">
        <v>224</v>
      </c>
      <c r="E329" s="5">
        <v>1</v>
      </c>
    </row>
    <row r="330" customHeight="1" spans="1:5">
      <c r="A330" s="1" t="s">
        <v>238</v>
      </c>
      <c r="B330" s="70" t="s">
        <v>344</v>
      </c>
      <c r="C330" s="5" t="s">
        <v>346</v>
      </c>
      <c r="D330" s="1" t="s">
        <v>224</v>
      </c>
      <c r="E330" s="5">
        <v>2</v>
      </c>
    </row>
    <row r="331" customHeight="1" spans="1:5">
      <c r="A331" s="1" t="s">
        <v>238</v>
      </c>
      <c r="B331" s="70" t="s">
        <v>344</v>
      </c>
      <c r="C331" s="5" t="s">
        <v>346</v>
      </c>
      <c r="D331" s="1" t="s">
        <v>224</v>
      </c>
      <c r="E331" s="5">
        <v>3</v>
      </c>
    </row>
    <row r="332" customHeight="1" spans="1:5">
      <c r="A332" s="1" t="s">
        <v>238</v>
      </c>
      <c r="B332" s="70" t="s">
        <v>344</v>
      </c>
      <c r="C332" s="5" t="s">
        <v>346</v>
      </c>
      <c r="D332" s="1" t="s">
        <v>224</v>
      </c>
      <c r="E332" s="5">
        <v>4</v>
      </c>
    </row>
    <row r="333" customHeight="1" spans="1:5">
      <c r="A333" s="1" t="s">
        <v>238</v>
      </c>
      <c r="B333" s="70" t="s">
        <v>344</v>
      </c>
      <c r="C333" s="5" t="s">
        <v>346</v>
      </c>
      <c r="D333" s="1" t="s">
        <v>224</v>
      </c>
      <c r="E333" s="5">
        <v>5</v>
      </c>
    </row>
    <row r="334" customHeight="1" spans="1:5">
      <c r="A334" s="1" t="s">
        <v>291</v>
      </c>
      <c r="B334" s="70" t="s">
        <v>344</v>
      </c>
      <c r="C334" s="18" t="s">
        <v>347</v>
      </c>
      <c r="D334" s="1" t="s">
        <v>225</v>
      </c>
      <c r="E334" s="18">
        <v>1</v>
      </c>
    </row>
    <row r="335" customHeight="1" spans="1:5">
      <c r="A335" s="1" t="s">
        <v>291</v>
      </c>
      <c r="B335" s="70" t="s">
        <v>344</v>
      </c>
      <c r="C335" s="18" t="s">
        <v>347</v>
      </c>
      <c r="D335" s="1" t="s">
        <v>225</v>
      </c>
      <c r="E335" s="18">
        <v>2</v>
      </c>
    </row>
    <row r="336" customHeight="1" spans="1:5">
      <c r="A336" s="1" t="s">
        <v>291</v>
      </c>
      <c r="B336" s="70" t="s">
        <v>344</v>
      </c>
      <c r="C336" s="18" t="s">
        <v>347</v>
      </c>
      <c r="D336" s="1" t="s">
        <v>225</v>
      </c>
      <c r="E336" s="18">
        <v>3</v>
      </c>
    </row>
    <row r="337" customHeight="1" spans="1:5">
      <c r="A337" s="1" t="s">
        <v>291</v>
      </c>
      <c r="B337" s="70" t="s">
        <v>344</v>
      </c>
      <c r="C337" s="18" t="s">
        <v>347</v>
      </c>
      <c r="D337" s="1" t="s">
        <v>225</v>
      </c>
      <c r="E337" s="18">
        <v>4</v>
      </c>
    </row>
    <row r="338" customHeight="1" spans="1:5">
      <c r="A338" s="1" t="s">
        <v>291</v>
      </c>
      <c r="B338" s="70" t="s">
        <v>344</v>
      </c>
      <c r="C338" s="18" t="s">
        <v>347</v>
      </c>
      <c r="D338" s="1" t="s">
        <v>225</v>
      </c>
      <c r="E338" s="18">
        <v>5</v>
      </c>
    </row>
    <row r="339" customHeight="1" spans="1:5">
      <c r="A339" s="1" t="s">
        <v>291</v>
      </c>
      <c r="B339" s="70" t="s">
        <v>344</v>
      </c>
      <c r="C339" s="18" t="s">
        <v>347</v>
      </c>
      <c r="D339" s="1" t="s">
        <v>225</v>
      </c>
      <c r="E339" s="18">
        <v>6</v>
      </c>
    </row>
    <row r="340" customHeight="1" spans="1:5">
      <c r="A340" s="1" t="s">
        <v>291</v>
      </c>
      <c r="B340" s="70" t="s">
        <v>344</v>
      </c>
      <c r="C340" s="18" t="s">
        <v>347</v>
      </c>
      <c r="D340" s="1" t="s">
        <v>225</v>
      </c>
      <c r="E340" s="18">
        <v>7</v>
      </c>
    </row>
    <row r="341" customHeight="1" spans="1:5">
      <c r="A341" s="1" t="s">
        <v>291</v>
      </c>
      <c r="B341" s="70" t="s">
        <v>344</v>
      </c>
      <c r="C341" s="18" t="s">
        <v>347</v>
      </c>
      <c r="D341" s="1" t="s">
        <v>225</v>
      </c>
      <c r="E341" s="18">
        <v>8</v>
      </c>
    </row>
    <row r="342" customHeight="1" spans="1:5">
      <c r="A342" s="1" t="s">
        <v>238</v>
      </c>
      <c r="B342" s="69" t="s">
        <v>348</v>
      </c>
      <c r="C342" s="5" t="s">
        <v>349</v>
      </c>
      <c r="D342" s="1" t="s">
        <v>222</v>
      </c>
      <c r="E342" s="5">
        <v>1</v>
      </c>
    </row>
    <row r="343" customHeight="1" spans="1:5">
      <c r="A343" s="1" t="s">
        <v>238</v>
      </c>
      <c r="B343" s="69" t="s">
        <v>348</v>
      </c>
      <c r="C343" s="5" t="s">
        <v>349</v>
      </c>
      <c r="D343" s="1" t="s">
        <v>222</v>
      </c>
      <c r="E343" s="5">
        <v>2</v>
      </c>
    </row>
    <row r="344" customHeight="1" spans="1:5">
      <c r="A344" s="1" t="s">
        <v>238</v>
      </c>
      <c r="B344" s="69" t="s">
        <v>348</v>
      </c>
      <c r="C344" s="5" t="s">
        <v>349</v>
      </c>
      <c r="D344" s="1" t="s">
        <v>222</v>
      </c>
      <c r="E344" s="5">
        <v>3</v>
      </c>
    </row>
    <row r="345" customHeight="1" spans="1:5">
      <c r="A345" s="1" t="s">
        <v>238</v>
      </c>
      <c r="B345" s="69" t="s">
        <v>348</v>
      </c>
      <c r="C345" s="5" t="s">
        <v>349</v>
      </c>
      <c r="D345" s="1" t="s">
        <v>222</v>
      </c>
      <c r="E345" s="5">
        <v>4</v>
      </c>
    </row>
    <row r="346" customHeight="1" spans="1:5">
      <c r="A346" s="1" t="s">
        <v>238</v>
      </c>
      <c r="B346" s="69" t="s">
        <v>348</v>
      </c>
      <c r="C346" s="5" t="s">
        <v>349</v>
      </c>
      <c r="D346" s="1" t="s">
        <v>222</v>
      </c>
      <c r="E346" s="5">
        <v>5</v>
      </c>
    </row>
    <row r="347" customHeight="1" spans="1:5">
      <c r="A347" s="1" t="s">
        <v>238</v>
      </c>
      <c r="B347" s="69" t="s">
        <v>348</v>
      </c>
      <c r="C347" s="18" t="s">
        <v>350</v>
      </c>
      <c r="D347" s="1" t="s">
        <v>224</v>
      </c>
      <c r="E347" s="18">
        <v>1</v>
      </c>
    </row>
    <row r="348" customHeight="1" spans="1:5">
      <c r="A348" s="1" t="s">
        <v>238</v>
      </c>
      <c r="B348" s="69" t="s">
        <v>348</v>
      </c>
      <c r="C348" s="18" t="s">
        <v>350</v>
      </c>
      <c r="D348" s="1" t="s">
        <v>224</v>
      </c>
      <c r="E348" s="18">
        <v>2</v>
      </c>
    </row>
    <row r="349" customHeight="1" spans="1:5">
      <c r="A349" s="1" t="s">
        <v>238</v>
      </c>
      <c r="B349" s="69" t="s">
        <v>348</v>
      </c>
      <c r="C349" s="18" t="s">
        <v>350</v>
      </c>
      <c r="D349" s="1" t="s">
        <v>224</v>
      </c>
      <c r="E349" s="18">
        <v>3</v>
      </c>
    </row>
    <row r="350" customHeight="1" spans="1:5">
      <c r="A350" s="1" t="s">
        <v>238</v>
      </c>
      <c r="B350" s="69" t="s">
        <v>348</v>
      </c>
      <c r="C350" s="18" t="s">
        <v>350</v>
      </c>
      <c r="D350" s="1" t="s">
        <v>224</v>
      </c>
      <c r="E350" s="18">
        <v>4</v>
      </c>
    </row>
    <row r="351" customHeight="1" spans="1:5">
      <c r="A351" s="1" t="s">
        <v>238</v>
      </c>
      <c r="B351" s="69" t="s">
        <v>348</v>
      </c>
      <c r="C351" s="18" t="s">
        <v>350</v>
      </c>
      <c r="D351" s="1" t="s">
        <v>224</v>
      </c>
      <c r="E351" s="18">
        <v>5</v>
      </c>
    </row>
    <row r="352" customHeight="1" spans="1:5">
      <c r="A352" s="1" t="s">
        <v>238</v>
      </c>
      <c r="B352" s="69" t="s">
        <v>348</v>
      </c>
      <c r="C352" s="5" t="s">
        <v>350</v>
      </c>
      <c r="D352" s="1" t="s">
        <v>224</v>
      </c>
      <c r="E352" s="5">
        <v>1</v>
      </c>
    </row>
    <row r="353" customHeight="1" spans="1:5">
      <c r="A353" s="1" t="s">
        <v>238</v>
      </c>
      <c r="B353" s="69" t="s">
        <v>348</v>
      </c>
      <c r="C353" s="5" t="s">
        <v>350</v>
      </c>
      <c r="D353" s="1" t="s">
        <v>224</v>
      </c>
      <c r="E353" s="5">
        <v>2</v>
      </c>
    </row>
    <row r="354" customHeight="1" spans="1:5">
      <c r="A354" s="1" t="s">
        <v>238</v>
      </c>
      <c r="B354" s="69" t="s">
        <v>348</v>
      </c>
      <c r="C354" s="5" t="s">
        <v>350</v>
      </c>
      <c r="D354" s="1" t="s">
        <v>224</v>
      </c>
      <c r="E354" s="5">
        <v>3</v>
      </c>
    </row>
    <row r="355" customHeight="1" spans="1:5">
      <c r="A355" s="1" t="s">
        <v>238</v>
      </c>
      <c r="B355" s="69" t="s">
        <v>348</v>
      </c>
      <c r="C355" s="5" t="s">
        <v>350</v>
      </c>
      <c r="D355" s="1" t="s">
        <v>224</v>
      </c>
      <c r="E355" s="5">
        <v>4</v>
      </c>
    </row>
    <row r="356" customHeight="1" spans="1:5">
      <c r="A356" s="1" t="s">
        <v>238</v>
      </c>
      <c r="B356" s="69" t="s">
        <v>348</v>
      </c>
      <c r="C356" s="5" t="s">
        <v>350</v>
      </c>
      <c r="D356" s="1" t="s">
        <v>224</v>
      </c>
      <c r="E356" s="5">
        <v>5</v>
      </c>
    </row>
    <row r="357" customHeight="1" spans="1:5">
      <c r="A357" s="1" t="s">
        <v>291</v>
      </c>
      <c r="B357" s="69" t="s">
        <v>348</v>
      </c>
      <c r="C357" s="18" t="s">
        <v>351</v>
      </c>
      <c r="D357" s="1" t="s">
        <v>225</v>
      </c>
      <c r="E357" s="18">
        <v>1</v>
      </c>
    </row>
    <row r="358" customHeight="1" spans="1:5">
      <c r="A358" s="1" t="s">
        <v>291</v>
      </c>
      <c r="B358" s="69" t="s">
        <v>348</v>
      </c>
      <c r="C358" s="18" t="s">
        <v>351</v>
      </c>
      <c r="D358" s="1" t="s">
        <v>225</v>
      </c>
      <c r="E358" s="18">
        <v>2</v>
      </c>
    </row>
    <row r="359" customHeight="1" spans="1:5">
      <c r="A359" s="1" t="s">
        <v>291</v>
      </c>
      <c r="B359" s="69" t="s">
        <v>348</v>
      </c>
      <c r="C359" s="18" t="s">
        <v>351</v>
      </c>
      <c r="D359" s="1" t="s">
        <v>225</v>
      </c>
      <c r="E359" s="18">
        <v>3</v>
      </c>
    </row>
    <row r="360" customHeight="1" spans="1:5">
      <c r="A360" s="1" t="s">
        <v>291</v>
      </c>
      <c r="B360" s="69" t="s">
        <v>348</v>
      </c>
      <c r="C360" s="18" t="s">
        <v>351</v>
      </c>
      <c r="D360" s="1" t="s">
        <v>225</v>
      </c>
      <c r="E360" s="18">
        <v>4</v>
      </c>
    </row>
    <row r="361" customHeight="1" spans="1:5">
      <c r="A361" s="1" t="s">
        <v>291</v>
      </c>
      <c r="B361" s="69" t="s">
        <v>348</v>
      </c>
      <c r="C361" s="18" t="s">
        <v>351</v>
      </c>
      <c r="D361" s="1" t="s">
        <v>225</v>
      </c>
      <c r="E361" s="18">
        <v>5</v>
      </c>
    </row>
    <row r="362" customHeight="1" spans="1:5">
      <c r="A362" s="1" t="s">
        <v>291</v>
      </c>
      <c r="B362" s="69" t="s">
        <v>348</v>
      </c>
      <c r="C362" s="18" t="s">
        <v>351</v>
      </c>
      <c r="D362" s="1" t="s">
        <v>225</v>
      </c>
      <c r="E362" s="18">
        <v>6</v>
      </c>
    </row>
    <row r="363" customHeight="1" spans="1:5">
      <c r="A363" s="1" t="s">
        <v>291</v>
      </c>
      <c r="B363" s="69" t="s">
        <v>348</v>
      </c>
      <c r="C363" s="18" t="s">
        <v>351</v>
      </c>
      <c r="D363" s="1" t="s">
        <v>225</v>
      </c>
      <c r="E363" s="18">
        <v>7</v>
      </c>
    </row>
    <row r="364" customHeight="1" spans="1:5">
      <c r="A364" s="1" t="s">
        <v>291</v>
      </c>
      <c r="B364" s="69" t="s">
        <v>348</v>
      </c>
      <c r="C364" s="18" t="s">
        <v>351</v>
      </c>
      <c r="D364" s="1" t="s">
        <v>225</v>
      </c>
      <c r="E364" s="18">
        <v>8</v>
      </c>
    </row>
    <row r="365" customHeight="1" spans="1:5">
      <c r="A365" s="1" t="s">
        <v>238</v>
      </c>
      <c r="B365" s="70" t="s">
        <v>352</v>
      </c>
      <c r="C365" s="5" t="s">
        <v>353</v>
      </c>
      <c r="D365" s="1" t="s">
        <v>222</v>
      </c>
      <c r="E365" s="5">
        <v>1</v>
      </c>
    </row>
    <row r="366" customHeight="1" spans="1:5">
      <c r="A366" s="1" t="s">
        <v>238</v>
      </c>
      <c r="B366" s="70" t="s">
        <v>352</v>
      </c>
      <c r="C366" s="5" t="s">
        <v>353</v>
      </c>
      <c r="D366" s="1" t="s">
        <v>222</v>
      </c>
      <c r="E366" s="5">
        <v>2</v>
      </c>
    </row>
    <row r="367" customHeight="1" spans="1:5">
      <c r="A367" s="1" t="s">
        <v>238</v>
      </c>
      <c r="B367" s="70" t="s">
        <v>352</v>
      </c>
      <c r="C367" s="5" t="s">
        <v>353</v>
      </c>
      <c r="D367" s="1" t="s">
        <v>222</v>
      </c>
      <c r="E367" s="5">
        <v>3</v>
      </c>
    </row>
    <row r="368" customHeight="1" spans="1:5">
      <c r="A368" s="1" t="s">
        <v>238</v>
      </c>
      <c r="B368" s="70" t="s">
        <v>352</v>
      </c>
      <c r="C368" s="5" t="s">
        <v>353</v>
      </c>
      <c r="D368" s="1" t="s">
        <v>222</v>
      </c>
      <c r="E368" s="5">
        <v>4</v>
      </c>
    </row>
    <row r="369" customHeight="1" spans="1:5">
      <c r="A369" s="1" t="s">
        <v>238</v>
      </c>
      <c r="B369" s="70" t="s">
        <v>352</v>
      </c>
      <c r="C369" s="5" t="s">
        <v>353</v>
      </c>
      <c r="D369" s="1" t="s">
        <v>222</v>
      </c>
      <c r="E369" s="5">
        <v>5</v>
      </c>
    </row>
    <row r="370" customHeight="1" spans="1:5">
      <c r="A370" s="1" t="s">
        <v>238</v>
      </c>
      <c r="B370" s="70" t="s">
        <v>352</v>
      </c>
      <c r="C370" s="18" t="s">
        <v>354</v>
      </c>
      <c r="D370" s="1" t="s">
        <v>224</v>
      </c>
      <c r="E370" s="18">
        <v>1</v>
      </c>
    </row>
    <row r="371" customHeight="1" spans="1:5">
      <c r="A371" s="1" t="s">
        <v>238</v>
      </c>
      <c r="B371" s="70" t="s">
        <v>352</v>
      </c>
      <c r="C371" s="18" t="s">
        <v>354</v>
      </c>
      <c r="D371" s="1" t="s">
        <v>224</v>
      </c>
      <c r="E371" s="18">
        <v>2</v>
      </c>
    </row>
    <row r="372" customHeight="1" spans="1:5">
      <c r="A372" s="1" t="s">
        <v>238</v>
      </c>
      <c r="B372" s="70" t="s">
        <v>352</v>
      </c>
      <c r="C372" s="18" t="s">
        <v>354</v>
      </c>
      <c r="D372" s="1" t="s">
        <v>224</v>
      </c>
      <c r="E372" s="18">
        <v>3</v>
      </c>
    </row>
    <row r="373" customHeight="1" spans="1:5">
      <c r="A373" s="1" t="s">
        <v>238</v>
      </c>
      <c r="B373" s="70" t="s">
        <v>352</v>
      </c>
      <c r="C373" s="18" t="s">
        <v>354</v>
      </c>
      <c r="D373" s="1" t="s">
        <v>224</v>
      </c>
      <c r="E373" s="18">
        <v>4</v>
      </c>
    </row>
    <row r="374" customHeight="1" spans="1:5">
      <c r="A374" s="1" t="s">
        <v>238</v>
      </c>
      <c r="B374" s="70" t="s">
        <v>352</v>
      </c>
      <c r="C374" s="18" t="s">
        <v>354</v>
      </c>
      <c r="D374" s="1" t="s">
        <v>224</v>
      </c>
      <c r="E374" s="18">
        <v>5</v>
      </c>
    </row>
    <row r="375" customHeight="1" spans="1:5">
      <c r="A375" s="1" t="s">
        <v>238</v>
      </c>
      <c r="B375" s="70" t="s">
        <v>352</v>
      </c>
      <c r="C375" s="5" t="s">
        <v>354</v>
      </c>
      <c r="D375" s="1" t="s">
        <v>224</v>
      </c>
      <c r="E375" s="5">
        <v>1</v>
      </c>
    </row>
    <row r="376" customHeight="1" spans="1:5">
      <c r="A376" s="1" t="s">
        <v>238</v>
      </c>
      <c r="B376" s="70" t="s">
        <v>352</v>
      </c>
      <c r="C376" s="5" t="s">
        <v>354</v>
      </c>
      <c r="D376" s="1" t="s">
        <v>224</v>
      </c>
      <c r="E376" s="5">
        <v>2</v>
      </c>
    </row>
    <row r="377" customHeight="1" spans="1:5">
      <c r="A377" s="1" t="s">
        <v>238</v>
      </c>
      <c r="B377" s="70" t="s">
        <v>352</v>
      </c>
      <c r="C377" s="5" t="s">
        <v>354</v>
      </c>
      <c r="D377" s="1" t="s">
        <v>224</v>
      </c>
      <c r="E377" s="5">
        <v>3</v>
      </c>
    </row>
    <row r="378" customHeight="1" spans="1:5">
      <c r="A378" s="1" t="s">
        <v>238</v>
      </c>
      <c r="B378" s="70" t="s">
        <v>352</v>
      </c>
      <c r="C378" s="5" t="s">
        <v>354</v>
      </c>
      <c r="D378" s="1" t="s">
        <v>224</v>
      </c>
      <c r="E378" s="5">
        <v>4</v>
      </c>
    </row>
    <row r="379" customHeight="1" spans="1:5">
      <c r="A379" s="1" t="s">
        <v>238</v>
      </c>
      <c r="B379" s="70" t="s">
        <v>352</v>
      </c>
      <c r="C379" s="5" t="s">
        <v>354</v>
      </c>
      <c r="D379" s="1" t="s">
        <v>224</v>
      </c>
      <c r="E379" s="5">
        <v>5</v>
      </c>
    </row>
    <row r="380" customHeight="1" spans="1:5">
      <c r="A380" s="1" t="s">
        <v>291</v>
      </c>
      <c r="B380" s="70" t="s">
        <v>352</v>
      </c>
      <c r="C380" s="18" t="s">
        <v>355</v>
      </c>
      <c r="D380" s="1" t="s">
        <v>225</v>
      </c>
      <c r="E380" s="18">
        <v>1</v>
      </c>
    </row>
    <row r="381" customHeight="1" spans="1:5">
      <c r="A381" s="1" t="s">
        <v>291</v>
      </c>
      <c r="B381" s="70" t="s">
        <v>352</v>
      </c>
      <c r="C381" s="18" t="s">
        <v>355</v>
      </c>
      <c r="D381" s="1" t="s">
        <v>225</v>
      </c>
      <c r="E381" s="18">
        <v>2</v>
      </c>
    </row>
    <row r="382" customHeight="1" spans="1:5">
      <c r="A382" s="1" t="s">
        <v>291</v>
      </c>
      <c r="B382" s="70" t="s">
        <v>352</v>
      </c>
      <c r="C382" s="18" t="s">
        <v>355</v>
      </c>
      <c r="D382" s="1" t="s">
        <v>225</v>
      </c>
      <c r="E382" s="18">
        <v>3</v>
      </c>
    </row>
    <row r="383" customHeight="1" spans="1:5">
      <c r="A383" s="1" t="s">
        <v>291</v>
      </c>
      <c r="B383" s="70" t="s">
        <v>352</v>
      </c>
      <c r="C383" s="18" t="s">
        <v>355</v>
      </c>
      <c r="D383" s="1" t="s">
        <v>225</v>
      </c>
      <c r="E383" s="18">
        <v>4</v>
      </c>
    </row>
    <row r="384" customHeight="1" spans="1:5">
      <c r="A384" s="1" t="s">
        <v>291</v>
      </c>
      <c r="B384" s="70" t="s">
        <v>352</v>
      </c>
      <c r="C384" s="18" t="s">
        <v>355</v>
      </c>
      <c r="D384" s="1" t="s">
        <v>225</v>
      </c>
      <c r="E384" s="18">
        <v>5</v>
      </c>
    </row>
    <row r="385" customHeight="1" spans="1:5">
      <c r="A385" s="1" t="s">
        <v>291</v>
      </c>
      <c r="B385" s="70" t="s">
        <v>352</v>
      </c>
      <c r="C385" s="18" t="s">
        <v>355</v>
      </c>
      <c r="D385" s="1" t="s">
        <v>225</v>
      </c>
      <c r="E385" s="18">
        <v>6</v>
      </c>
    </row>
    <row r="386" customHeight="1" spans="1:5">
      <c r="A386" s="1" t="s">
        <v>291</v>
      </c>
      <c r="B386" s="70" t="s">
        <v>352</v>
      </c>
      <c r="C386" s="18" t="s">
        <v>355</v>
      </c>
      <c r="D386" s="1" t="s">
        <v>225</v>
      </c>
      <c r="E386" s="18">
        <v>7</v>
      </c>
    </row>
    <row r="387" customHeight="1" spans="1:5">
      <c r="A387" s="1" t="s">
        <v>291</v>
      </c>
      <c r="B387" s="70" t="s">
        <v>352</v>
      </c>
      <c r="C387" s="18" t="s">
        <v>355</v>
      </c>
      <c r="D387" s="1" t="s">
        <v>225</v>
      </c>
      <c r="E387" s="18">
        <v>8</v>
      </c>
    </row>
    <row r="388" customHeight="1" spans="1:5">
      <c r="A388" s="1" t="s">
        <v>238</v>
      </c>
      <c r="B388" s="69" t="s">
        <v>356</v>
      </c>
      <c r="C388" s="5" t="s">
        <v>357</v>
      </c>
      <c r="D388" s="1" t="s">
        <v>222</v>
      </c>
      <c r="E388" s="5">
        <v>1</v>
      </c>
    </row>
    <row r="389" customHeight="1" spans="1:5">
      <c r="A389" s="1" t="s">
        <v>238</v>
      </c>
      <c r="B389" s="69" t="s">
        <v>356</v>
      </c>
      <c r="C389" s="5" t="s">
        <v>357</v>
      </c>
      <c r="D389" s="1" t="s">
        <v>222</v>
      </c>
      <c r="E389" s="5">
        <v>2</v>
      </c>
    </row>
    <row r="390" customHeight="1" spans="1:5">
      <c r="A390" s="1" t="s">
        <v>238</v>
      </c>
      <c r="B390" s="69" t="s">
        <v>356</v>
      </c>
      <c r="C390" s="5" t="s">
        <v>357</v>
      </c>
      <c r="D390" s="1" t="s">
        <v>222</v>
      </c>
      <c r="E390" s="5">
        <v>3</v>
      </c>
    </row>
    <row r="391" customHeight="1" spans="1:5">
      <c r="A391" s="1" t="s">
        <v>238</v>
      </c>
      <c r="B391" s="69" t="s">
        <v>356</v>
      </c>
      <c r="C391" s="5" t="s">
        <v>357</v>
      </c>
      <c r="D391" s="1" t="s">
        <v>222</v>
      </c>
      <c r="E391" s="5">
        <v>4</v>
      </c>
    </row>
    <row r="392" customHeight="1" spans="1:5">
      <c r="A392" s="1" t="s">
        <v>238</v>
      </c>
      <c r="B392" s="69" t="s">
        <v>356</v>
      </c>
      <c r="C392" s="5" t="s">
        <v>357</v>
      </c>
      <c r="D392" s="1" t="s">
        <v>222</v>
      </c>
      <c r="E392" s="5">
        <v>5</v>
      </c>
    </row>
    <row r="393" customHeight="1" spans="1:5">
      <c r="A393" s="1" t="s">
        <v>238</v>
      </c>
      <c r="B393" s="69" t="s">
        <v>356</v>
      </c>
      <c r="C393" s="18" t="s">
        <v>358</v>
      </c>
      <c r="D393" s="1" t="s">
        <v>224</v>
      </c>
      <c r="E393" s="18">
        <v>1</v>
      </c>
    </row>
    <row r="394" customHeight="1" spans="1:5">
      <c r="A394" s="1" t="s">
        <v>238</v>
      </c>
      <c r="B394" s="69" t="s">
        <v>356</v>
      </c>
      <c r="C394" s="18" t="s">
        <v>358</v>
      </c>
      <c r="D394" s="1" t="s">
        <v>224</v>
      </c>
      <c r="E394" s="18">
        <v>2</v>
      </c>
    </row>
    <row r="395" customHeight="1" spans="1:5">
      <c r="A395" s="1" t="s">
        <v>238</v>
      </c>
      <c r="B395" s="69" t="s">
        <v>356</v>
      </c>
      <c r="C395" s="18" t="s">
        <v>358</v>
      </c>
      <c r="D395" s="1" t="s">
        <v>224</v>
      </c>
      <c r="E395" s="18">
        <v>3</v>
      </c>
    </row>
    <row r="396" customHeight="1" spans="1:5">
      <c r="A396" s="1" t="s">
        <v>238</v>
      </c>
      <c r="B396" s="69" t="s">
        <v>356</v>
      </c>
      <c r="C396" s="18" t="s">
        <v>358</v>
      </c>
      <c r="D396" s="1" t="s">
        <v>224</v>
      </c>
      <c r="E396" s="18">
        <v>4</v>
      </c>
    </row>
    <row r="397" customHeight="1" spans="1:5">
      <c r="A397" s="1" t="s">
        <v>238</v>
      </c>
      <c r="B397" s="69" t="s">
        <v>356</v>
      </c>
      <c r="C397" s="18" t="s">
        <v>358</v>
      </c>
      <c r="D397" s="1" t="s">
        <v>224</v>
      </c>
      <c r="E397" s="18">
        <v>5</v>
      </c>
    </row>
    <row r="398" customHeight="1" spans="1:5">
      <c r="A398" s="1" t="s">
        <v>238</v>
      </c>
      <c r="B398" s="69" t="s">
        <v>356</v>
      </c>
      <c r="C398" s="5" t="s">
        <v>358</v>
      </c>
      <c r="D398" s="1" t="s">
        <v>224</v>
      </c>
      <c r="E398" s="5">
        <v>1</v>
      </c>
    </row>
    <row r="399" customHeight="1" spans="1:5">
      <c r="A399" s="1" t="s">
        <v>238</v>
      </c>
      <c r="B399" s="69" t="s">
        <v>356</v>
      </c>
      <c r="C399" s="5" t="s">
        <v>358</v>
      </c>
      <c r="D399" s="1" t="s">
        <v>224</v>
      </c>
      <c r="E399" s="5">
        <v>2</v>
      </c>
    </row>
    <row r="400" customHeight="1" spans="1:5">
      <c r="A400" s="1" t="s">
        <v>238</v>
      </c>
      <c r="B400" s="69" t="s">
        <v>356</v>
      </c>
      <c r="C400" s="5" t="s">
        <v>358</v>
      </c>
      <c r="D400" s="1" t="s">
        <v>224</v>
      </c>
      <c r="E400" s="5">
        <v>3</v>
      </c>
    </row>
    <row r="401" customHeight="1" spans="1:5">
      <c r="A401" s="1" t="s">
        <v>238</v>
      </c>
      <c r="B401" s="69" t="s">
        <v>356</v>
      </c>
      <c r="C401" s="5" t="s">
        <v>358</v>
      </c>
      <c r="D401" s="1" t="s">
        <v>224</v>
      </c>
      <c r="E401" s="5">
        <v>4</v>
      </c>
    </row>
    <row r="402" customHeight="1" spans="1:5">
      <c r="A402" s="1" t="s">
        <v>238</v>
      </c>
      <c r="B402" s="69" t="s">
        <v>356</v>
      </c>
      <c r="C402" s="5" t="s">
        <v>358</v>
      </c>
      <c r="D402" s="1" t="s">
        <v>224</v>
      </c>
      <c r="E402" s="5">
        <v>5</v>
      </c>
    </row>
    <row r="403" customHeight="1" spans="1:5">
      <c r="A403" s="1" t="s">
        <v>291</v>
      </c>
      <c r="B403" s="69" t="s">
        <v>356</v>
      </c>
      <c r="C403" s="18" t="s">
        <v>359</v>
      </c>
      <c r="D403" s="1" t="s">
        <v>225</v>
      </c>
      <c r="E403" s="18">
        <v>1</v>
      </c>
    </row>
    <row r="404" customHeight="1" spans="1:5">
      <c r="A404" s="1" t="s">
        <v>291</v>
      </c>
      <c r="B404" s="69" t="s">
        <v>356</v>
      </c>
      <c r="C404" s="18" t="s">
        <v>359</v>
      </c>
      <c r="D404" s="1" t="s">
        <v>225</v>
      </c>
      <c r="E404" s="18">
        <v>2</v>
      </c>
    </row>
    <row r="405" customHeight="1" spans="1:5">
      <c r="A405" s="1" t="s">
        <v>291</v>
      </c>
      <c r="B405" s="69" t="s">
        <v>356</v>
      </c>
      <c r="C405" s="18" t="s">
        <v>359</v>
      </c>
      <c r="D405" s="1" t="s">
        <v>225</v>
      </c>
      <c r="E405" s="18">
        <v>3</v>
      </c>
    </row>
    <row r="406" customHeight="1" spans="1:5">
      <c r="A406" s="1" t="s">
        <v>291</v>
      </c>
      <c r="B406" s="69" t="s">
        <v>356</v>
      </c>
      <c r="C406" s="18" t="s">
        <v>359</v>
      </c>
      <c r="D406" s="1" t="s">
        <v>225</v>
      </c>
      <c r="E406" s="18">
        <v>4</v>
      </c>
    </row>
    <row r="407" customHeight="1" spans="1:5">
      <c r="A407" s="1" t="s">
        <v>291</v>
      </c>
      <c r="B407" s="69" t="s">
        <v>356</v>
      </c>
      <c r="C407" s="18" t="s">
        <v>359</v>
      </c>
      <c r="D407" s="1" t="s">
        <v>225</v>
      </c>
      <c r="E407" s="18">
        <v>5</v>
      </c>
    </row>
    <row r="408" customHeight="1" spans="1:5">
      <c r="A408" s="1" t="s">
        <v>291</v>
      </c>
      <c r="B408" s="69" t="s">
        <v>356</v>
      </c>
      <c r="C408" s="18" t="s">
        <v>359</v>
      </c>
      <c r="D408" s="1" t="s">
        <v>225</v>
      </c>
      <c r="E408" s="18">
        <v>6</v>
      </c>
    </row>
    <row r="409" customHeight="1" spans="1:5">
      <c r="A409" s="1" t="s">
        <v>291</v>
      </c>
      <c r="B409" s="69" t="s">
        <v>356</v>
      </c>
      <c r="C409" s="18" t="s">
        <v>359</v>
      </c>
      <c r="D409" s="1" t="s">
        <v>225</v>
      </c>
      <c r="E409" s="18">
        <v>7</v>
      </c>
    </row>
    <row r="410" customHeight="1" spans="1:5">
      <c r="A410" s="1" t="s">
        <v>291</v>
      </c>
      <c r="B410" s="69" t="s">
        <v>356</v>
      </c>
      <c r="C410" s="18" t="s">
        <v>359</v>
      </c>
      <c r="D410" s="1" t="s">
        <v>225</v>
      </c>
      <c r="E410" s="18">
        <v>8</v>
      </c>
    </row>
    <row r="411" customHeight="1" spans="1:5">
      <c r="A411" s="1" t="s">
        <v>238</v>
      </c>
      <c r="B411" s="70" t="s">
        <v>360</v>
      </c>
      <c r="C411" s="5" t="s">
        <v>361</v>
      </c>
      <c r="D411" s="1" t="s">
        <v>222</v>
      </c>
      <c r="E411" s="5">
        <v>1</v>
      </c>
    </row>
    <row r="412" customHeight="1" spans="1:5">
      <c r="A412" s="1" t="s">
        <v>238</v>
      </c>
      <c r="B412" s="70" t="s">
        <v>360</v>
      </c>
      <c r="C412" s="5" t="s">
        <v>361</v>
      </c>
      <c r="D412" s="1" t="s">
        <v>222</v>
      </c>
      <c r="E412" s="5">
        <v>2</v>
      </c>
    </row>
    <row r="413" customHeight="1" spans="1:5">
      <c r="A413" s="1" t="s">
        <v>238</v>
      </c>
      <c r="B413" s="70" t="s">
        <v>360</v>
      </c>
      <c r="C413" s="5" t="s">
        <v>361</v>
      </c>
      <c r="D413" s="1" t="s">
        <v>222</v>
      </c>
      <c r="E413" s="5">
        <v>3</v>
      </c>
    </row>
    <row r="414" customHeight="1" spans="1:5">
      <c r="A414" s="1" t="s">
        <v>238</v>
      </c>
      <c r="B414" s="70" t="s">
        <v>360</v>
      </c>
      <c r="C414" s="5" t="s">
        <v>361</v>
      </c>
      <c r="D414" s="1" t="s">
        <v>222</v>
      </c>
      <c r="E414" s="5">
        <v>4</v>
      </c>
    </row>
    <row r="415" customHeight="1" spans="1:5">
      <c r="A415" s="1" t="s">
        <v>238</v>
      </c>
      <c r="B415" s="70" t="s">
        <v>360</v>
      </c>
      <c r="C415" s="5" t="s">
        <v>361</v>
      </c>
      <c r="D415" s="1" t="s">
        <v>222</v>
      </c>
      <c r="E415" s="5">
        <v>5</v>
      </c>
    </row>
    <row r="416" customHeight="1" spans="1:5">
      <c r="A416" s="1" t="s">
        <v>238</v>
      </c>
      <c r="B416" s="70" t="s">
        <v>360</v>
      </c>
      <c r="C416" s="18" t="s">
        <v>362</v>
      </c>
      <c r="D416" s="1" t="s">
        <v>224</v>
      </c>
      <c r="E416" s="18">
        <v>1</v>
      </c>
    </row>
    <row r="417" customHeight="1" spans="1:5">
      <c r="A417" s="1" t="s">
        <v>238</v>
      </c>
      <c r="B417" s="70" t="s">
        <v>360</v>
      </c>
      <c r="C417" s="18" t="s">
        <v>362</v>
      </c>
      <c r="D417" s="1" t="s">
        <v>224</v>
      </c>
      <c r="E417" s="18">
        <v>2</v>
      </c>
    </row>
    <row r="418" customHeight="1" spans="1:5">
      <c r="A418" s="1" t="s">
        <v>238</v>
      </c>
      <c r="B418" s="70" t="s">
        <v>360</v>
      </c>
      <c r="C418" s="18" t="s">
        <v>362</v>
      </c>
      <c r="D418" s="1" t="s">
        <v>224</v>
      </c>
      <c r="E418" s="18">
        <v>3</v>
      </c>
    </row>
    <row r="419" customHeight="1" spans="1:5">
      <c r="A419" s="1" t="s">
        <v>238</v>
      </c>
      <c r="B419" s="70" t="s">
        <v>360</v>
      </c>
      <c r="C419" s="18" t="s">
        <v>362</v>
      </c>
      <c r="D419" s="1" t="s">
        <v>224</v>
      </c>
      <c r="E419" s="18">
        <v>4</v>
      </c>
    </row>
    <row r="420" customHeight="1" spans="1:5">
      <c r="A420" s="1" t="s">
        <v>238</v>
      </c>
      <c r="B420" s="70" t="s">
        <v>360</v>
      </c>
      <c r="C420" s="18" t="s">
        <v>362</v>
      </c>
      <c r="D420" s="1" t="s">
        <v>224</v>
      </c>
      <c r="E420" s="18">
        <v>5</v>
      </c>
    </row>
    <row r="421" customHeight="1" spans="1:5">
      <c r="A421" s="1" t="s">
        <v>238</v>
      </c>
      <c r="B421" s="70" t="s">
        <v>360</v>
      </c>
      <c r="C421" s="5" t="s">
        <v>362</v>
      </c>
      <c r="D421" s="1" t="s">
        <v>224</v>
      </c>
      <c r="E421" s="5">
        <v>1</v>
      </c>
    </row>
    <row r="422" customHeight="1" spans="1:5">
      <c r="A422" s="1" t="s">
        <v>238</v>
      </c>
      <c r="B422" s="70" t="s">
        <v>360</v>
      </c>
      <c r="C422" s="5" t="s">
        <v>362</v>
      </c>
      <c r="D422" s="1" t="s">
        <v>224</v>
      </c>
      <c r="E422" s="5">
        <v>2</v>
      </c>
    </row>
    <row r="423" customHeight="1" spans="1:5">
      <c r="A423" s="1" t="s">
        <v>238</v>
      </c>
      <c r="B423" s="70" t="s">
        <v>360</v>
      </c>
      <c r="C423" s="5" t="s">
        <v>362</v>
      </c>
      <c r="D423" s="1" t="s">
        <v>224</v>
      </c>
      <c r="E423" s="5">
        <v>3</v>
      </c>
    </row>
    <row r="424" customHeight="1" spans="1:5">
      <c r="A424" s="1" t="s">
        <v>238</v>
      </c>
      <c r="B424" s="70" t="s">
        <v>360</v>
      </c>
      <c r="C424" s="5" t="s">
        <v>362</v>
      </c>
      <c r="D424" s="1" t="s">
        <v>224</v>
      </c>
      <c r="E424" s="5">
        <v>4</v>
      </c>
    </row>
    <row r="425" customHeight="1" spans="1:5">
      <c r="A425" s="1" t="s">
        <v>238</v>
      </c>
      <c r="B425" s="70" t="s">
        <v>360</v>
      </c>
      <c r="C425" s="5" t="s">
        <v>362</v>
      </c>
      <c r="D425" s="1" t="s">
        <v>224</v>
      </c>
      <c r="E425" s="5">
        <v>5</v>
      </c>
    </row>
    <row r="426" customHeight="1" spans="1:5">
      <c r="A426" s="1" t="s">
        <v>291</v>
      </c>
      <c r="B426" s="70" t="s">
        <v>360</v>
      </c>
      <c r="C426" s="18" t="s">
        <v>363</v>
      </c>
      <c r="D426" s="1" t="s">
        <v>225</v>
      </c>
      <c r="E426" s="18">
        <v>1</v>
      </c>
    </row>
    <row r="427" customHeight="1" spans="1:5">
      <c r="A427" s="1" t="s">
        <v>291</v>
      </c>
      <c r="B427" s="70" t="s">
        <v>360</v>
      </c>
      <c r="C427" s="18" t="s">
        <v>363</v>
      </c>
      <c r="D427" s="1" t="s">
        <v>225</v>
      </c>
      <c r="E427" s="18">
        <v>2</v>
      </c>
    </row>
    <row r="428" customHeight="1" spans="1:5">
      <c r="A428" s="1" t="s">
        <v>291</v>
      </c>
      <c r="B428" s="70" t="s">
        <v>360</v>
      </c>
      <c r="C428" s="18" t="s">
        <v>363</v>
      </c>
      <c r="D428" s="1" t="s">
        <v>225</v>
      </c>
      <c r="E428" s="18">
        <v>3</v>
      </c>
    </row>
    <row r="429" customHeight="1" spans="1:5">
      <c r="A429" s="1" t="s">
        <v>291</v>
      </c>
      <c r="B429" s="70" t="s">
        <v>360</v>
      </c>
      <c r="C429" s="18" t="s">
        <v>363</v>
      </c>
      <c r="D429" s="1" t="s">
        <v>225</v>
      </c>
      <c r="E429" s="18">
        <v>4</v>
      </c>
    </row>
    <row r="430" customHeight="1" spans="1:5">
      <c r="A430" s="1" t="s">
        <v>291</v>
      </c>
      <c r="B430" s="70" t="s">
        <v>360</v>
      </c>
      <c r="C430" s="18" t="s">
        <v>363</v>
      </c>
      <c r="D430" s="1" t="s">
        <v>225</v>
      </c>
      <c r="E430" s="18">
        <v>5</v>
      </c>
    </row>
    <row r="431" customHeight="1" spans="1:5">
      <c r="A431" s="1" t="s">
        <v>291</v>
      </c>
      <c r="B431" s="70" t="s">
        <v>360</v>
      </c>
      <c r="C431" s="18" t="s">
        <v>363</v>
      </c>
      <c r="D431" s="1" t="s">
        <v>225</v>
      </c>
      <c r="E431" s="18">
        <v>6</v>
      </c>
    </row>
    <row r="432" customHeight="1" spans="1:5">
      <c r="A432" s="1" t="s">
        <v>291</v>
      </c>
      <c r="B432" s="70" t="s">
        <v>360</v>
      </c>
      <c r="C432" s="18" t="s">
        <v>363</v>
      </c>
      <c r="D432" s="1" t="s">
        <v>225</v>
      </c>
      <c r="E432" s="18">
        <v>7</v>
      </c>
    </row>
    <row r="433" customHeight="1" spans="1:5">
      <c r="A433" s="1" t="s">
        <v>291</v>
      </c>
      <c r="B433" s="70" t="s">
        <v>360</v>
      </c>
      <c r="C433" s="18" t="s">
        <v>363</v>
      </c>
      <c r="D433" s="1" t="s">
        <v>225</v>
      </c>
      <c r="E433" s="18">
        <v>8</v>
      </c>
    </row>
    <row r="434" customHeight="1" spans="1:5">
      <c r="A434" s="1" t="s">
        <v>238</v>
      </c>
      <c r="B434" s="69" t="s">
        <v>364</v>
      </c>
      <c r="C434" s="5" t="s">
        <v>365</v>
      </c>
      <c r="D434" s="1" t="s">
        <v>222</v>
      </c>
      <c r="E434" s="5">
        <v>1</v>
      </c>
    </row>
    <row r="435" customHeight="1" spans="1:5">
      <c r="A435" s="1" t="s">
        <v>238</v>
      </c>
      <c r="B435" s="69" t="s">
        <v>364</v>
      </c>
      <c r="C435" s="5" t="s">
        <v>365</v>
      </c>
      <c r="D435" s="1" t="s">
        <v>222</v>
      </c>
      <c r="E435" s="5">
        <v>2</v>
      </c>
    </row>
    <row r="436" customHeight="1" spans="1:5">
      <c r="A436" s="1" t="s">
        <v>238</v>
      </c>
      <c r="B436" s="69" t="s">
        <v>364</v>
      </c>
      <c r="C436" s="5" t="s">
        <v>365</v>
      </c>
      <c r="D436" s="1" t="s">
        <v>222</v>
      </c>
      <c r="E436" s="5">
        <v>3</v>
      </c>
    </row>
    <row r="437" customHeight="1" spans="1:5">
      <c r="A437" s="1" t="s">
        <v>238</v>
      </c>
      <c r="B437" s="69" t="s">
        <v>364</v>
      </c>
      <c r="C437" s="5" t="s">
        <v>365</v>
      </c>
      <c r="D437" s="1" t="s">
        <v>222</v>
      </c>
      <c r="E437" s="5">
        <v>4</v>
      </c>
    </row>
    <row r="438" customHeight="1" spans="1:5">
      <c r="A438" s="1" t="s">
        <v>238</v>
      </c>
      <c r="B438" s="69" t="s">
        <v>364</v>
      </c>
      <c r="C438" s="5" t="s">
        <v>365</v>
      </c>
      <c r="D438" s="1" t="s">
        <v>222</v>
      </c>
      <c r="E438" s="5">
        <v>5</v>
      </c>
    </row>
    <row r="439" customHeight="1" spans="1:5">
      <c r="A439" s="1" t="s">
        <v>238</v>
      </c>
      <c r="B439" s="69" t="s">
        <v>364</v>
      </c>
      <c r="C439" s="18" t="s">
        <v>366</v>
      </c>
      <c r="D439" s="1" t="s">
        <v>223</v>
      </c>
      <c r="E439" s="18">
        <v>1</v>
      </c>
    </row>
    <row r="440" customHeight="1" spans="1:5">
      <c r="A440" s="1" t="s">
        <v>238</v>
      </c>
      <c r="B440" s="69" t="s">
        <v>364</v>
      </c>
      <c r="C440" s="18" t="s">
        <v>366</v>
      </c>
      <c r="D440" s="1" t="s">
        <v>223</v>
      </c>
      <c r="E440" s="18">
        <v>2</v>
      </c>
    </row>
    <row r="441" customHeight="1" spans="1:5">
      <c r="A441" s="1" t="s">
        <v>238</v>
      </c>
      <c r="B441" s="69" t="s">
        <v>364</v>
      </c>
      <c r="C441" s="18" t="s">
        <v>366</v>
      </c>
      <c r="D441" s="1" t="s">
        <v>223</v>
      </c>
      <c r="E441" s="18">
        <v>3</v>
      </c>
    </row>
    <row r="442" customHeight="1" spans="1:5">
      <c r="A442" s="1" t="s">
        <v>238</v>
      </c>
      <c r="B442" s="69" t="s">
        <v>364</v>
      </c>
      <c r="C442" s="18" t="s">
        <v>366</v>
      </c>
      <c r="D442" s="1" t="s">
        <v>223</v>
      </c>
      <c r="E442" s="18">
        <v>4</v>
      </c>
    </row>
    <row r="443" customHeight="1" spans="1:5">
      <c r="A443" s="1" t="s">
        <v>238</v>
      </c>
      <c r="B443" s="69" t="s">
        <v>364</v>
      </c>
      <c r="C443" s="18" t="s">
        <v>366</v>
      </c>
      <c r="D443" s="1" t="s">
        <v>223</v>
      </c>
      <c r="E443" s="18">
        <v>5</v>
      </c>
    </row>
    <row r="444" customHeight="1" spans="1:5">
      <c r="A444" s="1" t="s">
        <v>238</v>
      </c>
      <c r="B444" s="69" t="s">
        <v>364</v>
      </c>
      <c r="C444" s="5" t="s">
        <v>367</v>
      </c>
      <c r="D444" s="1" t="s">
        <v>224</v>
      </c>
      <c r="E444" s="5">
        <v>1</v>
      </c>
    </row>
    <row r="445" customHeight="1" spans="1:5">
      <c r="A445" s="1" t="s">
        <v>238</v>
      </c>
      <c r="B445" s="69" t="s">
        <v>364</v>
      </c>
      <c r="C445" s="5" t="s">
        <v>367</v>
      </c>
      <c r="D445" s="1" t="s">
        <v>224</v>
      </c>
      <c r="E445" s="5">
        <v>2</v>
      </c>
    </row>
    <row r="446" customHeight="1" spans="1:5">
      <c r="A446" s="1" t="s">
        <v>238</v>
      </c>
      <c r="B446" s="69" t="s">
        <v>364</v>
      </c>
      <c r="C446" s="5" t="s">
        <v>367</v>
      </c>
      <c r="D446" s="1" t="s">
        <v>224</v>
      </c>
      <c r="E446" s="5">
        <v>3</v>
      </c>
    </row>
    <row r="447" customHeight="1" spans="1:5">
      <c r="A447" s="1" t="s">
        <v>238</v>
      </c>
      <c r="B447" s="69" t="s">
        <v>364</v>
      </c>
      <c r="C447" s="5" t="s">
        <v>367</v>
      </c>
      <c r="D447" s="1" t="s">
        <v>224</v>
      </c>
      <c r="E447" s="5">
        <v>4</v>
      </c>
    </row>
    <row r="448" customHeight="1" spans="1:5">
      <c r="A448" s="1" t="s">
        <v>238</v>
      </c>
      <c r="B448" s="69" t="s">
        <v>364</v>
      </c>
      <c r="C448" s="5" t="s">
        <v>367</v>
      </c>
      <c r="D448" s="1" t="s">
        <v>224</v>
      </c>
      <c r="E448" s="5">
        <v>5</v>
      </c>
    </row>
    <row r="449" customHeight="1" spans="1:5">
      <c r="A449" s="1" t="s">
        <v>238</v>
      </c>
      <c r="B449" s="69" t="s">
        <v>364</v>
      </c>
      <c r="C449" s="18" t="s">
        <v>367</v>
      </c>
      <c r="D449" s="1" t="s">
        <v>224</v>
      </c>
      <c r="E449" s="18">
        <v>1</v>
      </c>
    </row>
    <row r="450" customHeight="1" spans="1:5">
      <c r="A450" s="1" t="s">
        <v>238</v>
      </c>
      <c r="B450" s="69" t="s">
        <v>364</v>
      </c>
      <c r="C450" s="18" t="s">
        <v>367</v>
      </c>
      <c r="D450" s="1" t="s">
        <v>224</v>
      </c>
      <c r="E450" s="18">
        <v>2</v>
      </c>
    </row>
    <row r="451" customHeight="1" spans="1:5">
      <c r="A451" s="1" t="s">
        <v>238</v>
      </c>
      <c r="B451" s="69" t="s">
        <v>364</v>
      </c>
      <c r="C451" s="18" t="s">
        <v>367</v>
      </c>
      <c r="D451" s="1" t="s">
        <v>224</v>
      </c>
      <c r="E451" s="18">
        <v>3</v>
      </c>
    </row>
    <row r="452" customHeight="1" spans="1:5">
      <c r="A452" s="1" t="s">
        <v>238</v>
      </c>
      <c r="B452" s="69" t="s">
        <v>364</v>
      </c>
      <c r="C452" s="18" t="s">
        <v>367</v>
      </c>
      <c r="D452" s="1" t="s">
        <v>224</v>
      </c>
      <c r="E452" s="18">
        <v>4</v>
      </c>
    </row>
    <row r="453" customHeight="1" spans="1:5">
      <c r="A453" s="1" t="s">
        <v>238</v>
      </c>
      <c r="B453" s="69" t="s">
        <v>364</v>
      </c>
      <c r="C453" s="18" t="s">
        <v>367</v>
      </c>
      <c r="D453" s="1" t="s">
        <v>224</v>
      </c>
      <c r="E453" s="18">
        <v>5</v>
      </c>
    </row>
    <row r="454" customHeight="1" spans="1:5">
      <c r="A454" s="1" t="s">
        <v>291</v>
      </c>
      <c r="B454" s="69" t="s">
        <v>364</v>
      </c>
      <c r="C454" s="5" t="s">
        <v>368</v>
      </c>
      <c r="D454" s="1" t="s">
        <v>225</v>
      </c>
      <c r="E454" s="5">
        <v>1</v>
      </c>
    </row>
    <row r="455" customHeight="1" spans="1:5">
      <c r="A455" s="1" t="s">
        <v>291</v>
      </c>
      <c r="B455" s="69" t="s">
        <v>364</v>
      </c>
      <c r="C455" s="5" t="s">
        <v>368</v>
      </c>
      <c r="D455" s="1" t="s">
        <v>225</v>
      </c>
      <c r="E455" s="5">
        <v>2</v>
      </c>
    </row>
    <row r="456" customHeight="1" spans="1:5">
      <c r="A456" s="1" t="s">
        <v>291</v>
      </c>
      <c r="B456" s="69" t="s">
        <v>364</v>
      </c>
      <c r="C456" s="5" t="s">
        <v>368</v>
      </c>
      <c r="D456" s="1" t="s">
        <v>225</v>
      </c>
      <c r="E456" s="5">
        <v>3</v>
      </c>
    </row>
    <row r="457" customHeight="1" spans="1:5">
      <c r="A457" s="1" t="s">
        <v>291</v>
      </c>
      <c r="B457" s="69" t="s">
        <v>364</v>
      </c>
      <c r="C457" s="5" t="s">
        <v>368</v>
      </c>
      <c r="D457" s="1" t="s">
        <v>225</v>
      </c>
      <c r="E457" s="5">
        <v>4</v>
      </c>
    </row>
    <row r="458" customHeight="1" spans="1:5">
      <c r="A458" s="1" t="s">
        <v>291</v>
      </c>
      <c r="B458" s="69" t="s">
        <v>364</v>
      </c>
      <c r="C458" s="5" t="s">
        <v>368</v>
      </c>
      <c r="D458" s="1" t="s">
        <v>225</v>
      </c>
      <c r="E458" s="5">
        <v>5</v>
      </c>
    </row>
    <row r="459" customHeight="1" spans="1:5">
      <c r="A459" s="1" t="s">
        <v>291</v>
      </c>
      <c r="B459" s="69" t="s">
        <v>364</v>
      </c>
      <c r="C459" s="5" t="s">
        <v>368</v>
      </c>
      <c r="D459" s="1" t="s">
        <v>225</v>
      </c>
      <c r="E459" s="5">
        <v>6</v>
      </c>
    </row>
    <row r="460" customHeight="1" spans="1:5">
      <c r="A460" s="1" t="s">
        <v>291</v>
      </c>
      <c r="B460" s="69" t="s">
        <v>364</v>
      </c>
      <c r="C460" s="5" t="s">
        <v>368</v>
      </c>
      <c r="D460" s="1" t="s">
        <v>225</v>
      </c>
      <c r="E460" s="5">
        <v>7</v>
      </c>
    </row>
    <row r="461" customHeight="1" spans="1:5">
      <c r="A461" s="1" t="s">
        <v>291</v>
      </c>
      <c r="B461" s="69" t="s">
        <v>364</v>
      </c>
      <c r="C461" s="5" t="s">
        <v>368</v>
      </c>
      <c r="D461" s="1" t="s">
        <v>225</v>
      </c>
      <c r="E461" s="5">
        <v>8</v>
      </c>
    </row>
    <row r="462" customHeight="1" spans="1:5">
      <c r="A462" s="1" t="s">
        <v>238</v>
      </c>
      <c r="B462" s="70" t="s">
        <v>369</v>
      </c>
      <c r="C462" s="18" t="s">
        <v>370</v>
      </c>
      <c r="D462" s="1" t="s">
        <v>222</v>
      </c>
      <c r="E462" s="18">
        <v>1</v>
      </c>
    </row>
    <row r="463" customHeight="1" spans="1:5">
      <c r="A463" s="1" t="s">
        <v>238</v>
      </c>
      <c r="B463" s="70" t="s">
        <v>369</v>
      </c>
      <c r="C463" s="18" t="s">
        <v>370</v>
      </c>
      <c r="D463" s="1" t="s">
        <v>222</v>
      </c>
      <c r="E463" s="18">
        <v>2</v>
      </c>
    </row>
    <row r="464" customHeight="1" spans="1:5">
      <c r="A464" s="1" t="s">
        <v>238</v>
      </c>
      <c r="B464" s="70" t="s">
        <v>369</v>
      </c>
      <c r="C464" s="18" t="s">
        <v>370</v>
      </c>
      <c r="D464" s="1" t="s">
        <v>222</v>
      </c>
      <c r="E464" s="18">
        <v>3</v>
      </c>
    </row>
    <row r="465" customHeight="1" spans="1:5">
      <c r="A465" s="1" t="s">
        <v>238</v>
      </c>
      <c r="B465" s="70" t="s">
        <v>369</v>
      </c>
      <c r="C465" s="18" t="s">
        <v>370</v>
      </c>
      <c r="D465" s="1" t="s">
        <v>222</v>
      </c>
      <c r="E465" s="18">
        <v>4</v>
      </c>
    </row>
    <row r="466" customHeight="1" spans="1:5">
      <c r="A466" s="1" t="s">
        <v>238</v>
      </c>
      <c r="B466" s="70" t="s">
        <v>369</v>
      </c>
      <c r="C466" s="18" t="s">
        <v>370</v>
      </c>
      <c r="D466" s="1" t="s">
        <v>222</v>
      </c>
      <c r="E466" s="18">
        <v>5</v>
      </c>
    </row>
    <row r="467" customHeight="1" spans="1:5">
      <c r="A467" s="1" t="s">
        <v>238</v>
      </c>
      <c r="B467" s="70" t="s">
        <v>369</v>
      </c>
      <c r="C467" s="5" t="s">
        <v>371</v>
      </c>
      <c r="D467" s="1" t="s">
        <v>223</v>
      </c>
      <c r="E467" s="5">
        <v>1</v>
      </c>
    </row>
    <row r="468" customHeight="1" spans="1:5">
      <c r="A468" s="1" t="s">
        <v>238</v>
      </c>
      <c r="B468" s="70" t="s">
        <v>369</v>
      </c>
      <c r="C468" s="5" t="s">
        <v>371</v>
      </c>
      <c r="D468" s="1" t="s">
        <v>223</v>
      </c>
      <c r="E468" s="5">
        <v>2</v>
      </c>
    </row>
    <row r="469" customHeight="1" spans="1:5">
      <c r="A469" s="1" t="s">
        <v>238</v>
      </c>
      <c r="B469" s="70" t="s">
        <v>369</v>
      </c>
      <c r="C469" s="5" t="s">
        <v>371</v>
      </c>
      <c r="D469" s="1" t="s">
        <v>223</v>
      </c>
      <c r="E469" s="5">
        <v>3</v>
      </c>
    </row>
    <row r="470" customHeight="1" spans="1:5">
      <c r="A470" s="1" t="s">
        <v>238</v>
      </c>
      <c r="B470" s="70" t="s">
        <v>369</v>
      </c>
      <c r="C470" s="5" t="s">
        <v>371</v>
      </c>
      <c r="D470" s="1" t="s">
        <v>223</v>
      </c>
      <c r="E470" s="5">
        <v>4</v>
      </c>
    </row>
    <row r="471" customHeight="1" spans="1:5">
      <c r="A471" s="1" t="s">
        <v>238</v>
      </c>
      <c r="B471" s="70" t="s">
        <v>369</v>
      </c>
      <c r="C471" s="5" t="s">
        <v>371</v>
      </c>
      <c r="D471" s="1" t="s">
        <v>223</v>
      </c>
      <c r="E471" s="5">
        <v>5</v>
      </c>
    </row>
    <row r="472" customHeight="1" spans="1:5">
      <c r="A472" s="1" t="s">
        <v>238</v>
      </c>
      <c r="B472" s="70" t="s">
        <v>369</v>
      </c>
      <c r="C472" s="18" t="s">
        <v>372</v>
      </c>
      <c r="D472" s="1" t="s">
        <v>224</v>
      </c>
      <c r="E472" s="18">
        <v>1</v>
      </c>
    </row>
    <row r="473" customHeight="1" spans="1:5">
      <c r="A473" s="1" t="s">
        <v>238</v>
      </c>
      <c r="B473" s="70" t="s">
        <v>369</v>
      </c>
      <c r="C473" s="18" t="s">
        <v>372</v>
      </c>
      <c r="D473" s="1" t="s">
        <v>224</v>
      </c>
      <c r="E473" s="18">
        <v>2</v>
      </c>
    </row>
    <row r="474" customHeight="1" spans="1:5">
      <c r="A474" s="1" t="s">
        <v>238</v>
      </c>
      <c r="B474" s="70" t="s">
        <v>369</v>
      </c>
      <c r="C474" s="18" t="s">
        <v>372</v>
      </c>
      <c r="D474" s="1" t="s">
        <v>224</v>
      </c>
      <c r="E474" s="18">
        <v>3</v>
      </c>
    </row>
    <row r="475" customHeight="1" spans="1:5">
      <c r="A475" s="1" t="s">
        <v>238</v>
      </c>
      <c r="B475" s="70" t="s">
        <v>369</v>
      </c>
      <c r="C475" s="18" t="s">
        <v>372</v>
      </c>
      <c r="D475" s="1" t="s">
        <v>224</v>
      </c>
      <c r="E475" s="18">
        <v>4</v>
      </c>
    </row>
    <row r="476" customHeight="1" spans="1:5">
      <c r="A476" s="1" t="s">
        <v>238</v>
      </c>
      <c r="B476" s="70" t="s">
        <v>369</v>
      </c>
      <c r="C476" s="18" t="s">
        <v>372</v>
      </c>
      <c r="D476" s="1" t="s">
        <v>224</v>
      </c>
      <c r="E476" s="18">
        <v>5</v>
      </c>
    </row>
    <row r="477" customHeight="1" spans="1:5">
      <c r="A477" s="1" t="s">
        <v>238</v>
      </c>
      <c r="B477" s="70" t="s">
        <v>369</v>
      </c>
      <c r="C477" s="5" t="s">
        <v>372</v>
      </c>
      <c r="D477" s="1" t="s">
        <v>224</v>
      </c>
      <c r="E477" s="5">
        <v>1</v>
      </c>
    </row>
    <row r="478" customHeight="1" spans="1:5">
      <c r="A478" s="1" t="s">
        <v>238</v>
      </c>
      <c r="B478" s="70" t="s">
        <v>369</v>
      </c>
      <c r="C478" s="5" t="s">
        <v>372</v>
      </c>
      <c r="D478" s="1" t="s">
        <v>224</v>
      </c>
      <c r="E478" s="5">
        <v>2</v>
      </c>
    </row>
    <row r="479" customHeight="1" spans="1:5">
      <c r="A479" s="1" t="s">
        <v>238</v>
      </c>
      <c r="B479" s="70" t="s">
        <v>369</v>
      </c>
      <c r="C479" s="5" t="s">
        <v>372</v>
      </c>
      <c r="D479" s="1" t="s">
        <v>224</v>
      </c>
      <c r="E479" s="5">
        <v>3</v>
      </c>
    </row>
    <row r="480" customHeight="1" spans="1:5">
      <c r="A480" s="1" t="s">
        <v>238</v>
      </c>
      <c r="B480" s="70" t="s">
        <v>369</v>
      </c>
      <c r="C480" s="5" t="s">
        <v>372</v>
      </c>
      <c r="D480" s="1" t="s">
        <v>224</v>
      </c>
      <c r="E480" s="5">
        <v>4</v>
      </c>
    </row>
    <row r="481" customHeight="1" spans="1:5">
      <c r="A481" s="1" t="s">
        <v>238</v>
      </c>
      <c r="B481" s="70" t="s">
        <v>369</v>
      </c>
      <c r="C481" s="5" t="s">
        <v>372</v>
      </c>
      <c r="D481" s="1" t="s">
        <v>224</v>
      </c>
      <c r="E481" s="5">
        <v>5</v>
      </c>
    </row>
    <row r="482" customHeight="1" spans="1:5">
      <c r="A482" s="1" t="s">
        <v>291</v>
      </c>
      <c r="B482" s="70" t="s">
        <v>369</v>
      </c>
      <c r="C482" s="18" t="s">
        <v>373</v>
      </c>
      <c r="D482" s="1" t="s">
        <v>225</v>
      </c>
      <c r="E482" s="18">
        <v>1</v>
      </c>
    </row>
    <row r="483" customHeight="1" spans="1:5">
      <c r="A483" s="1" t="s">
        <v>291</v>
      </c>
      <c r="B483" s="70" t="s">
        <v>369</v>
      </c>
      <c r="C483" s="18" t="s">
        <v>373</v>
      </c>
      <c r="D483" s="1" t="s">
        <v>225</v>
      </c>
      <c r="E483" s="18">
        <v>2</v>
      </c>
    </row>
    <row r="484" customHeight="1" spans="1:5">
      <c r="A484" s="1" t="s">
        <v>291</v>
      </c>
      <c r="B484" s="70" t="s">
        <v>369</v>
      </c>
      <c r="C484" s="18" t="s">
        <v>373</v>
      </c>
      <c r="D484" s="1" t="s">
        <v>225</v>
      </c>
      <c r="E484" s="18">
        <v>3</v>
      </c>
    </row>
    <row r="485" customHeight="1" spans="1:5">
      <c r="A485" s="1" t="s">
        <v>291</v>
      </c>
      <c r="B485" s="70" t="s">
        <v>369</v>
      </c>
      <c r="C485" s="18" t="s">
        <v>373</v>
      </c>
      <c r="D485" s="1" t="s">
        <v>225</v>
      </c>
      <c r="E485" s="18">
        <v>4</v>
      </c>
    </row>
    <row r="486" customHeight="1" spans="1:5">
      <c r="A486" s="1" t="s">
        <v>291</v>
      </c>
      <c r="B486" s="70" t="s">
        <v>369</v>
      </c>
      <c r="C486" s="18" t="s">
        <v>373</v>
      </c>
      <c r="D486" s="1" t="s">
        <v>225</v>
      </c>
      <c r="E486" s="18">
        <v>5</v>
      </c>
    </row>
    <row r="487" customHeight="1" spans="1:5">
      <c r="A487" s="1" t="s">
        <v>291</v>
      </c>
      <c r="B487" s="70" t="s">
        <v>369</v>
      </c>
      <c r="C487" s="18" t="s">
        <v>373</v>
      </c>
      <c r="D487" s="1" t="s">
        <v>225</v>
      </c>
      <c r="E487" s="18">
        <v>6</v>
      </c>
    </row>
    <row r="488" customHeight="1" spans="1:5">
      <c r="A488" s="1" t="s">
        <v>291</v>
      </c>
      <c r="B488" s="70" t="s">
        <v>369</v>
      </c>
      <c r="C488" s="18" t="s">
        <v>373</v>
      </c>
      <c r="D488" s="1" t="s">
        <v>225</v>
      </c>
      <c r="E488" s="18">
        <v>7</v>
      </c>
    </row>
    <row r="489" customHeight="1" spans="1:5">
      <c r="A489" s="1" t="s">
        <v>291</v>
      </c>
      <c r="B489" s="70" t="s">
        <v>369</v>
      </c>
      <c r="C489" s="18" t="s">
        <v>373</v>
      </c>
      <c r="D489" s="1" t="s">
        <v>225</v>
      </c>
      <c r="E489" s="18">
        <v>8</v>
      </c>
    </row>
    <row r="490" customHeight="1" spans="1:5">
      <c r="A490" s="1" t="s">
        <v>247</v>
      </c>
      <c r="B490" s="70" t="s">
        <v>374</v>
      </c>
      <c r="C490" s="5" t="s">
        <v>375</v>
      </c>
      <c r="D490" s="1" t="s">
        <v>222</v>
      </c>
      <c r="E490" s="5">
        <v>1</v>
      </c>
    </row>
    <row r="491" customHeight="1" spans="1:5">
      <c r="A491" s="1" t="s">
        <v>247</v>
      </c>
      <c r="B491" s="70" t="s">
        <v>374</v>
      </c>
      <c r="C491" s="5" t="s">
        <v>375</v>
      </c>
      <c r="D491" s="1" t="s">
        <v>222</v>
      </c>
      <c r="E491" s="5">
        <v>2</v>
      </c>
    </row>
    <row r="492" customHeight="1" spans="1:5">
      <c r="A492" s="1" t="s">
        <v>247</v>
      </c>
      <c r="B492" s="70" t="s">
        <v>374</v>
      </c>
      <c r="C492" s="5" t="s">
        <v>375</v>
      </c>
      <c r="D492" s="1" t="s">
        <v>222</v>
      </c>
      <c r="E492" s="5">
        <v>3</v>
      </c>
    </row>
    <row r="493" customHeight="1" spans="1:5">
      <c r="A493" s="1" t="s">
        <v>247</v>
      </c>
      <c r="B493" s="70" t="s">
        <v>374</v>
      </c>
      <c r="C493" s="5" t="s">
        <v>375</v>
      </c>
      <c r="D493" s="1" t="s">
        <v>222</v>
      </c>
      <c r="E493" s="5">
        <v>4</v>
      </c>
    </row>
    <row r="494" customHeight="1" spans="1:5">
      <c r="A494" s="1" t="s">
        <v>247</v>
      </c>
      <c r="B494" s="70" t="s">
        <v>374</v>
      </c>
      <c r="C494" s="5" t="s">
        <v>375</v>
      </c>
      <c r="D494" s="1" t="s">
        <v>222</v>
      </c>
      <c r="E494" s="5">
        <v>5</v>
      </c>
    </row>
    <row r="495" customHeight="1" spans="1:5">
      <c r="A495" s="1" t="s">
        <v>291</v>
      </c>
      <c r="B495" s="70" t="s">
        <v>374</v>
      </c>
      <c r="C495" s="18" t="s">
        <v>376</v>
      </c>
      <c r="D495" s="1" t="s">
        <v>225</v>
      </c>
      <c r="E495" s="18">
        <v>1</v>
      </c>
    </row>
    <row r="496" customHeight="1" spans="1:5">
      <c r="A496" s="1" t="s">
        <v>291</v>
      </c>
      <c r="B496" s="70" t="s">
        <v>374</v>
      </c>
      <c r="C496" s="18" t="s">
        <v>376</v>
      </c>
      <c r="D496" s="1" t="s">
        <v>225</v>
      </c>
      <c r="E496" s="18">
        <v>2</v>
      </c>
    </row>
    <row r="497" customHeight="1" spans="1:5">
      <c r="A497" s="1" t="s">
        <v>291</v>
      </c>
      <c r="B497" s="70" t="s">
        <v>374</v>
      </c>
      <c r="C497" s="18" t="s">
        <v>376</v>
      </c>
      <c r="D497" s="1" t="s">
        <v>225</v>
      </c>
      <c r="E497" s="18">
        <v>3</v>
      </c>
    </row>
    <row r="498" customHeight="1" spans="1:5">
      <c r="A498" s="1" t="s">
        <v>291</v>
      </c>
      <c r="B498" s="70" t="s">
        <v>374</v>
      </c>
      <c r="C498" s="18" t="s">
        <v>376</v>
      </c>
      <c r="D498" s="1" t="s">
        <v>225</v>
      </c>
      <c r="E498" s="18">
        <v>4</v>
      </c>
    </row>
    <row r="499" customHeight="1" spans="1:5">
      <c r="A499" s="1" t="s">
        <v>291</v>
      </c>
      <c r="B499" s="70" t="s">
        <v>374</v>
      </c>
      <c r="C499" s="18" t="s">
        <v>376</v>
      </c>
      <c r="D499" s="1" t="s">
        <v>225</v>
      </c>
      <c r="E499" s="18">
        <v>5</v>
      </c>
    </row>
    <row r="500" customHeight="1" spans="1:5">
      <c r="A500" s="1" t="s">
        <v>247</v>
      </c>
      <c r="B500" s="69" t="s">
        <v>377</v>
      </c>
      <c r="C500" s="5" t="s">
        <v>378</v>
      </c>
      <c r="D500" s="1" t="s">
        <v>222</v>
      </c>
      <c r="E500" s="5">
        <v>1</v>
      </c>
    </row>
    <row r="501" customHeight="1" spans="1:5">
      <c r="A501" s="1" t="s">
        <v>247</v>
      </c>
      <c r="B501" s="69" t="s">
        <v>377</v>
      </c>
      <c r="C501" s="5" t="s">
        <v>378</v>
      </c>
      <c r="D501" s="1" t="s">
        <v>222</v>
      </c>
      <c r="E501" s="5">
        <v>2</v>
      </c>
    </row>
    <row r="502" customHeight="1" spans="1:5">
      <c r="A502" s="1" t="s">
        <v>247</v>
      </c>
      <c r="B502" s="69" t="s">
        <v>377</v>
      </c>
      <c r="C502" s="5" t="s">
        <v>378</v>
      </c>
      <c r="D502" s="1" t="s">
        <v>222</v>
      </c>
      <c r="E502" s="5">
        <v>3</v>
      </c>
    </row>
    <row r="503" customHeight="1" spans="1:5">
      <c r="A503" s="1" t="s">
        <v>247</v>
      </c>
      <c r="B503" s="69" t="s">
        <v>377</v>
      </c>
      <c r="C503" s="5" t="s">
        <v>378</v>
      </c>
      <c r="D503" s="1" t="s">
        <v>222</v>
      </c>
      <c r="E503" s="5">
        <v>4</v>
      </c>
    </row>
    <row r="504" customHeight="1" spans="1:5">
      <c r="A504" s="1" t="s">
        <v>247</v>
      </c>
      <c r="B504" s="69" t="s">
        <v>377</v>
      </c>
      <c r="C504" s="5" t="s">
        <v>378</v>
      </c>
      <c r="D504" s="1" t="s">
        <v>222</v>
      </c>
      <c r="E504" s="5">
        <v>5</v>
      </c>
    </row>
    <row r="505" customHeight="1" spans="1:5">
      <c r="A505" s="1" t="s">
        <v>291</v>
      </c>
      <c r="B505" s="69" t="s">
        <v>377</v>
      </c>
      <c r="C505" s="18" t="s">
        <v>379</v>
      </c>
      <c r="D505" s="1" t="s">
        <v>225</v>
      </c>
      <c r="E505" s="18">
        <v>1</v>
      </c>
    </row>
    <row r="506" customHeight="1" spans="1:5">
      <c r="A506" s="1" t="s">
        <v>291</v>
      </c>
      <c r="B506" s="69" t="s">
        <v>377</v>
      </c>
      <c r="C506" s="18" t="s">
        <v>379</v>
      </c>
      <c r="D506" s="1" t="s">
        <v>225</v>
      </c>
      <c r="E506" s="18">
        <v>2</v>
      </c>
    </row>
    <row r="507" customHeight="1" spans="1:5">
      <c r="A507" s="1" t="s">
        <v>291</v>
      </c>
      <c r="B507" s="69" t="s">
        <v>377</v>
      </c>
      <c r="C507" s="18" t="s">
        <v>379</v>
      </c>
      <c r="D507" s="1" t="s">
        <v>225</v>
      </c>
      <c r="E507" s="18">
        <v>3</v>
      </c>
    </row>
    <row r="508" customHeight="1" spans="1:5">
      <c r="A508" s="1" t="s">
        <v>291</v>
      </c>
      <c r="B508" s="69" t="s">
        <v>377</v>
      </c>
      <c r="C508" s="18" t="s">
        <v>379</v>
      </c>
      <c r="D508" s="1" t="s">
        <v>225</v>
      </c>
      <c r="E508" s="18">
        <v>4</v>
      </c>
    </row>
    <row r="509" customHeight="1" spans="1:5">
      <c r="A509" s="1" t="s">
        <v>291</v>
      </c>
      <c r="B509" s="69" t="s">
        <v>377</v>
      </c>
      <c r="C509" s="18" t="s">
        <v>379</v>
      </c>
      <c r="D509" s="1" t="s">
        <v>225</v>
      </c>
      <c r="E509" s="18">
        <v>5</v>
      </c>
    </row>
    <row r="510" customHeight="1" spans="1:5">
      <c r="A510" s="1" t="s">
        <v>247</v>
      </c>
      <c r="B510" s="70" t="s">
        <v>380</v>
      </c>
      <c r="C510" s="5" t="s">
        <v>381</v>
      </c>
      <c r="D510" s="1" t="s">
        <v>222</v>
      </c>
      <c r="E510" s="5">
        <v>1</v>
      </c>
    </row>
    <row r="511" customHeight="1" spans="1:5">
      <c r="A511" s="1" t="s">
        <v>247</v>
      </c>
      <c r="B511" s="70" t="s">
        <v>380</v>
      </c>
      <c r="C511" s="5" t="s">
        <v>381</v>
      </c>
      <c r="D511" s="1" t="s">
        <v>222</v>
      </c>
      <c r="E511" s="5">
        <v>2</v>
      </c>
    </row>
    <row r="512" customHeight="1" spans="1:5">
      <c r="A512" s="1" t="s">
        <v>247</v>
      </c>
      <c r="B512" s="70" t="s">
        <v>380</v>
      </c>
      <c r="C512" s="5" t="s">
        <v>381</v>
      </c>
      <c r="D512" s="1" t="s">
        <v>222</v>
      </c>
      <c r="E512" s="5">
        <v>3</v>
      </c>
    </row>
    <row r="513" customHeight="1" spans="1:5">
      <c r="A513" s="1" t="s">
        <v>247</v>
      </c>
      <c r="B513" s="70" t="s">
        <v>380</v>
      </c>
      <c r="C513" s="5" t="s">
        <v>381</v>
      </c>
      <c r="D513" s="1" t="s">
        <v>222</v>
      </c>
      <c r="E513" s="5">
        <v>4</v>
      </c>
    </row>
    <row r="514" customHeight="1" spans="1:5">
      <c r="A514" s="1" t="s">
        <v>247</v>
      </c>
      <c r="B514" s="70" t="s">
        <v>380</v>
      </c>
      <c r="C514" s="5" t="s">
        <v>381</v>
      </c>
      <c r="D514" s="1" t="s">
        <v>222</v>
      </c>
      <c r="E514" s="5">
        <v>5</v>
      </c>
    </row>
    <row r="515" customHeight="1" spans="1:5">
      <c r="A515" s="1" t="s">
        <v>291</v>
      </c>
      <c r="B515" s="70" t="s">
        <v>380</v>
      </c>
      <c r="C515" s="18" t="s">
        <v>382</v>
      </c>
      <c r="D515" s="1" t="s">
        <v>225</v>
      </c>
      <c r="E515" s="18">
        <v>1</v>
      </c>
    </row>
    <row r="516" customHeight="1" spans="1:5">
      <c r="A516" s="1" t="s">
        <v>291</v>
      </c>
      <c r="B516" s="70" t="s">
        <v>380</v>
      </c>
      <c r="C516" s="18" t="s">
        <v>382</v>
      </c>
      <c r="D516" s="1" t="s">
        <v>225</v>
      </c>
      <c r="E516" s="18">
        <v>2</v>
      </c>
    </row>
    <row r="517" customHeight="1" spans="1:5">
      <c r="A517" s="1" t="s">
        <v>291</v>
      </c>
      <c r="B517" s="70" t="s">
        <v>380</v>
      </c>
      <c r="C517" s="18" t="s">
        <v>382</v>
      </c>
      <c r="D517" s="1" t="s">
        <v>225</v>
      </c>
      <c r="E517" s="18">
        <v>3</v>
      </c>
    </row>
    <row r="518" customHeight="1" spans="1:5">
      <c r="A518" s="1" t="s">
        <v>291</v>
      </c>
      <c r="B518" s="70" t="s">
        <v>380</v>
      </c>
      <c r="C518" s="18" t="s">
        <v>382</v>
      </c>
      <c r="D518" s="1" t="s">
        <v>225</v>
      </c>
      <c r="E518" s="18">
        <v>4</v>
      </c>
    </row>
    <row r="519" customHeight="1" spans="1:5">
      <c r="A519" s="1" t="s">
        <v>291</v>
      </c>
      <c r="B519" s="70" t="s">
        <v>380</v>
      </c>
      <c r="C519" s="18" t="s">
        <v>382</v>
      </c>
      <c r="D519" s="1" t="s">
        <v>225</v>
      </c>
      <c r="E519" s="18">
        <v>5</v>
      </c>
    </row>
    <row r="520" customHeight="1" spans="1:5">
      <c r="A520" s="1" t="s">
        <v>247</v>
      </c>
      <c r="B520" s="69" t="s">
        <v>383</v>
      </c>
      <c r="C520" s="5" t="s">
        <v>384</v>
      </c>
      <c r="D520" s="1" t="s">
        <v>222</v>
      </c>
      <c r="E520" s="5">
        <v>1</v>
      </c>
    </row>
    <row r="521" customHeight="1" spans="1:5">
      <c r="A521" s="1" t="s">
        <v>247</v>
      </c>
      <c r="B521" s="69" t="s">
        <v>383</v>
      </c>
      <c r="C521" s="5" t="s">
        <v>384</v>
      </c>
      <c r="D521" s="1" t="s">
        <v>222</v>
      </c>
      <c r="E521" s="5">
        <v>2</v>
      </c>
    </row>
    <row r="522" customHeight="1" spans="1:5">
      <c r="A522" s="1" t="s">
        <v>247</v>
      </c>
      <c r="B522" s="69" t="s">
        <v>383</v>
      </c>
      <c r="C522" s="5" t="s">
        <v>384</v>
      </c>
      <c r="D522" s="1" t="s">
        <v>222</v>
      </c>
      <c r="E522" s="5">
        <v>3</v>
      </c>
    </row>
    <row r="523" customHeight="1" spans="1:5">
      <c r="A523" s="1" t="s">
        <v>247</v>
      </c>
      <c r="B523" s="69" t="s">
        <v>383</v>
      </c>
      <c r="C523" s="5" t="s">
        <v>384</v>
      </c>
      <c r="D523" s="1" t="s">
        <v>222</v>
      </c>
      <c r="E523" s="5">
        <v>4</v>
      </c>
    </row>
    <row r="524" customHeight="1" spans="1:5">
      <c r="A524" s="1" t="s">
        <v>247</v>
      </c>
      <c r="B524" s="69" t="s">
        <v>383</v>
      </c>
      <c r="C524" s="5" t="s">
        <v>384</v>
      </c>
      <c r="D524" s="1" t="s">
        <v>222</v>
      </c>
      <c r="E524" s="5">
        <v>5</v>
      </c>
    </row>
    <row r="525" customHeight="1" spans="1:5">
      <c r="A525" s="1" t="s">
        <v>291</v>
      </c>
      <c r="B525" s="69" t="s">
        <v>383</v>
      </c>
      <c r="C525" s="18" t="s">
        <v>385</v>
      </c>
      <c r="D525" s="1" t="s">
        <v>225</v>
      </c>
      <c r="E525" s="18">
        <v>1</v>
      </c>
    </row>
    <row r="526" customHeight="1" spans="1:5">
      <c r="A526" s="1" t="s">
        <v>291</v>
      </c>
      <c r="B526" s="69" t="s">
        <v>383</v>
      </c>
      <c r="C526" s="18" t="s">
        <v>385</v>
      </c>
      <c r="D526" s="1" t="s">
        <v>225</v>
      </c>
      <c r="E526" s="18">
        <v>2</v>
      </c>
    </row>
    <row r="527" customHeight="1" spans="1:5">
      <c r="A527" s="1" t="s">
        <v>291</v>
      </c>
      <c r="B527" s="69" t="s">
        <v>383</v>
      </c>
      <c r="C527" s="18" t="s">
        <v>385</v>
      </c>
      <c r="D527" s="1" t="s">
        <v>225</v>
      </c>
      <c r="E527" s="18">
        <v>3</v>
      </c>
    </row>
    <row r="528" customHeight="1" spans="1:5">
      <c r="A528" s="1" t="s">
        <v>291</v>
      </c>
      <c r="B528" s="69" t="s">
        <v>383</v>
      </c>
      <c r="C528" s="18" t="s">
        <v>385</v>
      </c>
      <c r="D528" s="1" t="s">
        <v>225</v>
      </c>
      <c r="E528" s="18">
        <v>4</v>
      </c>
    </row>
    <row r="529" customHeight="1" spans="1:5">
      <c r="A529" s="1" t="s">
        <v>291</v>
      </c>
      <c r="B529" s="69" t="s">
        <v>383</v>
      </c>
      <c r="C529" s="18" t="s">
        <v>385</v>
      </c>
      <c r="D529" s="1" t="s">
        <v>225</v>
      </c>
      <c r="E529" s="18">
        <v>5</v>
      </c>
    </row>
    <row r="530" customHeight="1" spans="1:5">
      <c r="A530" s="1" t="s">
        <v>291</v>
      </c>
      <c r="B530" s="69" t="s">
        <v>383</v>
      </c>
      <c r="C530" s="18" t="s">
        <v>385</v>
      </c>
      <c r="D530" s="1" t="s">
        <v>225</v>
      </c>
      <c r="E530" s="18">
        <v>6</v>
      </c>
    </row>
    <row r="531" customHeight="1" spans="1:5">
      <c r="A531" s="1" t="s">
        <v>291</v>
      </c>
      <c r="B531" s="69" t="s">
        <v>383</v>
      </c>
      <c r="C531" s="18" t="s">
        <v>385</v>
      </c>
      <c r="D531" s="1" t="s">
        <v>225</v>
      </c>
      <c r="E531" s="18">
        <v>7</v>
      </c>
    </row>
    <row r="532" customHeight="1" spans="1:5">
      <c r="A532" s="1" t="s">
        <v>291</v>
      </c>
      <c r="B532" s="69" t="s">
        <v>383</v>
      </c>
      <c r="C532" s="18" t="s">
        <v>385</v>
      </c>
      <c r="D532" s="1" t="s">
        <v>225</v>
      </c>
      <c r="E532" s="18">
        <v>8</v>
      </c>
    </row>
    <row r="533" customHeight="1" spans="1:5">
      <c r="A533" s="1" t="s">
        <v>291</v>
      </c>
      <c r="B533" s="69" t="s">
        <v>383</v>
      </c>
      <c r="C533" s="5" t="s">
        <v>385</v>
      </c>
      <c r="D533" s="1" t="s">
        <v>225</v>
      </c>
      <c r="E533" s="5">
        <v>1</v>
      </c>
    </row>
    <row r="534" customHeight="1" spans="1:5">
      <c r="A534" s="1" t="s">
        <v>291</v>
      </c>
      <c r="B534" s="69" t="s">
        <v>383</v>
      </c>
      <c r="C534" s="5" t="s">
        <v>385</v>
      </c>
      <c r="D534" s="1" t="s">
        <v>225</v>
      </c>
      <c r="E534" s="5">
        <v>2</v>
      </c>
    </row>
    <row r="535" customHeight="1" spans="1:5">
      <c r="A535" s="1" t="s">
        <v>291</v>
      </c>
      <c r="B535" s="69" t="s">
        <v>383</v>
      </c>
      <c r="C535" s="5" t="s">
        <v>385</v>
      </c>
      <c r="D535" s="1" t="s">
        <v>225</v>
      </c>
      <c r="E535" s="5">
        <v>3</v>
      </c>
    </row>
    <row r="536" customHeight="1" spans="1:5">
      <c r="A536" s="1" t="s">
        <v>291</v>
      </c>
      <c r="B536" s="69" t="s">
        <v>383</v>
      </c>
      <c r="C536" s="5" t="s">
        <v>385</v>
      </c>
      <c r="D536" s="1" t="s">
        <v>225</v>
      </c>
      <c r="E536" s="5">
        <v>4</v>
      </c>
    </row>
    <row r="537" customHeight="1" spans="1:5">
      <c r="A537" s="1" t="s">
        <v>291</v>
      </c>
      <c r="B537" s="69" t="s">
        <v>383</v>
      </c>
      <c r="C537" s="5" t="s">
        <v>385</v>
      </c>
      <c r="D537" s="1" t="s">
        <v>225</v>
      </c>
      <c r="E537" s="5">
        <v>5</v>
      </c>
    </row>
    <row r="538" customHeight="1" spans="1:5">
      <c r="A538" s="1" t="s">
        <v>291</v>
      </c>
      <c r="B538" s="69" t="s">
        <v>383</v>
      </c>
      <c r="C538" s="5" t="s">
        <v>385</v>
      </c>
      <c r="D538" s="1" t="s">
        <v>225</v>
      </c>
      <c r="E538" s="5">
        <v>6</v>
      </c>
    </row>
    <row r="539" customHeight="1" spans="1:5">
      <c r="A539" s="1" t="s">
        <v>291</v>
      </c>
      <c r="B539" s="69" t="s">
        <v>383</v>
      </c>
      <c r="C539" s="5" t="s">
        <v>385</v>
      </c>
      <c r="D539" s="1" t="s">
        <v>225</v>
      </c>
      <c r="E539" s="5">
        <v>7</v>
      </c>
    </row>
    <row r="540" customHeight="1" spans="1:5">
      <c r="A540" s="1" t="s">
        <v>291</v>
      </c>
      <c r="B540" s="69" t="s">
        <v>383</v>
      </c>
      <c r="C540" s="5" t="s">
        <v>385</v>
      </c>
      <c r="D540" s="1" t="s">
        <v>225</v>
      </c>
      <c r="E540" s="5">
        <v>8</v>
      </c>
    </row>
    <row r="541" customHeight="1" spans="1:5">
      <c r="A541" s="1" t="s">
        <v>247</v>
      </c>
      <c r="B541" s="70" t="s">
        <v>386</v>
      </c>
      <c r="C541" s="18" t="s">
        <v>387</v>
      </c>
      <c r="D541" s="1" t="s">
        <v>222</v>
      </c>
      <c r="E541" s="18">
        <v>1</v>
      </c>
    </row>
    <row r="542" customHeight="1" spans="1:5">
      <c r="A542" s="1" t="s">
        <v>247</v>
      </c>
      <c r="B542" s="70" t="s">
        <v>386</v>
      </c>
      <c r="C542" s="18" t="s">
        <v>387</v>
      </c>
      <c r="D542" s="1" t="s">
        <v>222</v>
      </c>
      <c r="E542" s="18">
        <v>2</v>
      </c>
    </row>
    <row r="543" customHeight="1" spans="1:5">
      <c r="A543" s="1" t="s">
        <v>247</v>
      </c>
      <c r="B543" s="70" t="s">
        <v>386</v>
      </c>
      <c r="C543" s="18" t="s">
        <v>387</v>
      </c>
      <c r="D543" s="1" t="s">
        <v>222</v>
      </c>
      <c r="E543" s="18">
        <v>3</v>
      </c>
    </row>
    <row r="544" customHeight="1" spans="1:5">
      <c r="A544" s="1" t="s">
        <v>247</v>
      </c>
      <c r="B544" s="70" t="s">
        <v>386</v>
      </c>
      <c r="C544" s="18" t="s">
        <v>387</v>
      </c>
      <c r="D544" s="1" t="s">
        <v>222</v>
      </c>
      <c r="E544" s="18">
        <v>4</v>
      </c>
    </row>
    <row r="545" customHeight="1" spans="1:5">
      <c r="A545" s="1" t="s">
        <v>247</v>
      </c>
      <c r="B545" s="70" t="s">
        <v>386</v>
      </c>
      <c r="C545" s="18" t="s">
        <v>387</v>
      </c>
      <c r="D545" s="1" t="s">
        <v>222</v>
      </c>
      <c r="E545" s="18">
        <v>5</v>
      </c>
    </row>
    <row r="546" customHeight="1" spans="1:5">
      <c r="A546" s="1" t="s">
        <v>247</v>
      </c>
      <c r="B546" s="70" t="s">
        <v>386</v>
      </c>
      <c r="C546" s="5" t="s">
        <v>387</v>
      </c>
      <c r="D546" s="1" t="s">
        <v>222</v>
      </c>
      <c r="E546" s="5">
        <v>1</v>
      </c>
    </row>
    <row r="547" customHeight="1" spans="1:5">
      <c r="A547" s="1" t="s">
        <v>247</v>
      </c>
      <c r="B547" s="70" t="s">
        <v>386</v>
      </c>
      <c r="C547" s="5" t="s">
        <v>387</v>
      </c>
      <c r="D547" s="1" t="s">
        <v>222</v>
      </c>
      <c r="E547" s="5">
        <v>2</v>
      </c>
    </row>
    <row r="548" customHeight="1" spans="1:5">
      <c r="A548" s="1" t="s">
        <v>247</v>
      </c>
      <c r="B548" s="70" t="s">
        <v>386</v>
      </c>
      <c r="C548" s="5" t="s">
        <v>387</v>
      </c>
      <c r="D548" s="1" t="s">
        <v>222</v>
      </c>
      <c r="E548" s="5">
        <v>3</v>
      </c>
    </row>
    <row r="549" customHeight="1" spans="1:5">
      <c r="A549" s="1" t="s">
        <v>247</v>
      </c>
      <c r="B549" s="70" t="s">
        <v>386</v>
      </c>
      <c r="C549" s="5" t="s">
        <v>387</v>
      </c>
      <c r="D549" s="1" t="s">
        <v>222</v>
      </c>
      <c r="E549" s="5">
        <v>4</v>
      </c>
    </row>
    <row r="550" customHeight="1" spans="1:5">
      <c r="A550" s="1" t="s">
        <v>247</v>
      </c>
      <c r="B550" s="70" t="s">
        <v>386</v>
      </c>
      <c r="C550" s="5" t="s">
        <v>387</v>
      </c>
      <c r="D550" s="1" t="s">
        <v>222</v>
      </c>
      <c r="E550" s="5">
        <v>5</v>
      </c>
    </row>
    <row r="551" customHeight="1" spans="1:5">
      <c r="A551" s="1" t="s">
        <v>247</v>
      </c>
      <c r="B551" s="70" t="s">
        <v>386</v>
      </c>
      <c r="C551" s="18" t="s">
        <v>388</v>
      </c>
      <c r="D551" s="1" t="s">
        <v>255</v>
      </c>
      <c r="E551" s="18">
        <v>1</v>
      </c>
    </row>
    <row r="552" customHeight="1" spans="1:5">
      <c r="A552" s="1" t="s">
        <v>247</v>
      </c>
      <c r="B552" s="70" t="s">
        <v>386</v>
      </c>
      <c r="C552" s="18" t="s">
        <v>388</v>
      </c>
      <c r="D552" s="1" t="s">
        <v>255</v>
      </c>
      <c r="E552" s="18">
        <v>2</v>
      </c>
    </row>
    <row r="553" customHeight="1" spans="1:5">
      <c r="A553" s="1" t="s">
        <v>247</v>
      </c>
      <c r="B553" s="70" t="s">
        <v>386</v>
      </c>
      <c r="C553" s="18" t="s">
        <v>388</v>
      </c>
      <c r="D553" s="1" t="s">
        <v>255</v>
      </c>
      <c r="E553" s="18">
        <v>3</v>
      </c>
    </row>
    <row r="554" customHeight="1" spans="1:5">
      <c r="A554" s="1" t="s">
        <v>247</v>
      </c>
      <c r="B554" s="70" t="s">
        <v>386</v>
      </c>
      <c r="C554" s="18" t="s">
        <v>388</v>
      </c>
      <c r="D554" s="1" t="s">
        <v>255</v>
      </c>
      <c r="E554" s="18">
        <v>4</v>
      </c>
    </row>
    <row r="555" customHeight="1" spans="1:5">
      <c r="A555" s="1" t="s">
        <v>247</v>
      </c>
      <c r="B555" s="70" t="s">
        <v>386</v>
      </c>
      <c r="C555" s="18" t="s">
        <v>388</v>
      </c>
      <c r="D555" s="1" t="s">
        <v>255</v>
      </c>
      <c r="E555" s="18">
        <v>5</v>
      </c>
    </row>
    <row r="556" customHeight="1" spans="1:5">
      <c r="A556" s="1" t="s">
        <v>291</v>
      </c>
      <c r="B556" s="70" t="s">
        <v>386</v>
      </c>
      <c r="C556" s="5" t="s">
        <v>389</v>
      </c>
      <c r="D556" s="1" t="s">
        <v>225</v>
      </c>
      <c r="E556" s="5">
        <v>1</v>
      </c>
    </row>
    <row r="557" customHeight="1" spans="1:5">
      <c r="A557" s="1" t="s">
        <v>291</v>
      </c>
      <c r="B557" s="70" t="s">
        <v>386</v>
      </c>
      <c r="C557" s="5" t="s">
        <v>389</v>
      </c>
      <c r="D557" s="1" t="s">
        <v>225</v>
      </c>
      <c r="E557" s="5">
        <v>2</v>
      </c>
    </row>
    <row r="558" customHeight="1" spans="1:5">
      <c r="A558" s="1" t="s">
        <v>291</v>
      </c>
      <c r="B558" s="70" t="s">
        <v>386</v>
      </c>
      <c r="C558" s="5" t="s">
        <v>389</v>
      </c>
      <c r="D558" s="1" t="s">
        <v>225</v>
      </c>
      <c r="E558" s="5">
        <v>3</v>
      </c>
    </row>
    <row r="559" customHeight="1" spans="1:5">
      <c r="A559" s="1" t="s">
        <v>291</v>
      </c>
      <c r="B559" s="70" t="s">
        <v>386</v>
      </c>
      <c r="C559" s="5" t="s">
        <v>389</v>
      </c>
      <c r="D559" s="1" t="s">
        <v>225</v>
      </c>
      <c r="E559" s="5">
        <v>4</v>
      </c>
    </row>
    <row r="560" customHeight="1" spans="1:5">
      <c r="A560" s="1" t="s">
        <v>291</v>
      </c>
      <c r="B560" s="70" t="s">
        <v>386</v>
      </c>
      <c r="C560" s="5" t="s">
        <v>389</v>
      </c>
      <c r="D560" s="1" t="s">
        <v>225</v>
      </c>
      <c r="E560" s="5">
        <v>5</v>
      </c>
    </row>
    <row r="561" customHeight="1" spans="1:5">
      <c r="A561" s="1" t="s">
        <v>291</v>
      </c>
      <c r="B561" s="70" t="s">
        <v>386</v>
      </c>
      <c r="C561" s="5" t="s">
        <v>389</v>
      </c>
      <c r="D561" s="1" t="s">
        <v>225</v>
      </c>
      <c r="E561" s="5">
        <v>6</v>
      </c>
    </row>
    <row r="562" customHeight="1" spans="1:5">
      <c r="A562" s="1" t="s">
        <v>291</v>
      </c>
      <c r="B562" s="70" t="s">
        <v>386</v>
      </c>
      <c r="C562" s="5" t="s">
        <v>389</v>
      </c>
      <c r="D562" s="1" t="s">
        <v>225</v>
      </c>
      <c r="E562" s="5">
        <v>7</v>
      </c>
    </row>
    <row r="563" customHeight="1" spans="1:5">
      <c r="A563" s="1" t="s">
        <v>291</v>
      </c>
      <c r="B563" s="70" t="s">
        <v>386</v>
      </c>
      <c r="C563" s="5" t="s">
        <v>389</v>
      </c>
      <c r="D563" s="1" t="s">
        <v>225</v>
      </c>
      <c r="E563" s="5">
        <v>8</v>
      </c>
    </row>
    <row r="564" customHeight="1" spans="1:5">
      <c r="A564" s="1" t="s">
        <v>247</v>
      </c>
      <c r="B564" s="70" t="s">
        <v>390</v>
      </c>
      <c r="C564" s="18" t="s">
        <v>391</v>
      </c>
      <c r="D564" s="1" t="s">
        <v>222</v>
      </c>
      <c r="E564" s="18">
        <v>1</v>
      </c>
    </row>
    <row r="565" customHeight="1" spans="1:5">
      <c r="A565" s="1" t="s">
        <v>247</v>
      </c>
      <c r="B565" s="70" t="s">
        <v>390</v>
      </c>
      <c r="C565" s="18" t="s">
        <v>391</v>
      </c>
      <c r="D565" s="1" t="s">
        <v>222</v>
      </c>
      <c r="E565" s="18">
        <v>2</v>
      </c>
    </row>
    <row r="566" customHeight="1" spans="1:5">
      <c r="A566" s="1" t="s">
        <v>247</v>
      </c>
      <c r="B566" s="70" t="s">
        <v>390</v>
      </c>
      <c r="C566" s="18" t="s">
        <v>391</v>
      </c>
      <c r="D566" s="1" t="s">
        <v>222</v>
      </c>
      <c r="E566" s="18">
        <v>3</v>
      </c>
    </row>
    <row r="567" customHeight="1" spans="1:5">
      <c r="A567" s="1" t="s">
        <v>247</v>
      </c>
      <c r="B567" s="70" t="s">
        <v>390</v>
      </c>
      <c r="C567" s="18" t="s">
        <v>391</v>
      </c>
      <c r="D567" s="1" t="s">
        <v>222</v>
      </c>
      <c r="E567" s="18">
        <v>4</v>
      </c>
    </row>
    <row r="568" customHeight="1" spans="1:5">
      <c r="A568" s="1" t="s">
        <v>247</v>
      </c>
      <c r="B568" s="70" t="s">
        <v>390</v>
      </c>
      <c r="C568" s="18" t="s">
        <v>391</v>
      </c>
      <c r="D568" s="1" t="s">
        <v>222</v>
      </c>
      <c r="E568" s="18">
        <v>5</v>
      </c>
    </row>
    <row r="569" customHeight="1" spans="1:5">
      <c r="A569" s="1" t="s">
        <v>238</v>
      </c>
      <c r="B569" s="70" t="s">
        <v>392</v>
      </c>
      <c r="C569" s="5" t="s">
        <v>393</v>
      </c>
      <c r="D569" s="1" t="s">
        <v>222</v>
      </c>
      <c r="E569" s="5">
        <v>1</v>
      </c>
    </row>
    <row r="570" customHeight="1" spans="1:5">
      <c r="A570" s="1" t="s">
        <v>238</v>
      </c>
      <c r="B570" s="70" t="s">
        <v>392</v>
      </c>
      <c r="C570" s="5" t="s">
        <v>393</v>
      </c>
      <c r="D570" s="1" t="s">
        <v>222</v>
      </c>
      <c r="E570" s="5">
        <v>2</v>
      </c>
    </row>
    <row r="571" customHeight="1" spans="1:5">
      <c r="A571" s="1" t="s">
        <v>238</v>
      </c>
      <c r="B571" s="70" t="s">
        <v>392</v>
      </c>
      <c r="C571" s="5" t="s">
        <v>393</v>
      </c>
      <c r="D571" s="1" t="s">
        <v>222</v>
      </c>
      <c r="E571" s="5">
        <v>3</v>
      </c>
    </row>
    <row r="572" customHeight="1" spans="1:5">
      <c r="A572" s="1" t="s">
        <v>238</v>
      </c>
      <c r="B572" s="70" t="s">
        <v>392</v>
      </c>
      <c r="C572" s="5" t="s">
        <v>393</v>
      </c>
      <c r="D572" s="1" t="s">
        <v>222</v>
      </c>
      <c r="E572" s="5">
        <v>4</v>
      </c>
    </row>
    <row r="573" customHeight="1" spans="1:5">
      <c r="A573" s="1" t="s">
        <v>238</v>
      </c>
      <c r="B573" s="70" t="s">
        <v>392</v>
      </c>
      <c r="C573" s="5" t="s">
        <v>393</v>
      </c>
      <c r="D573" s="1" t="s">
        <v>222</v>
      </c>
      <c r="E573" s="5">
        <v>5</v>
      </c>
    </row>
    <row r="574" customHeight="1" spans="1:5">
      <c r="A574" s="1" t="s">
        <v>291</v>
      </c>
      <c r="B574" s="70" t="s">
        <v>392</v>
      </c>
      <c r="C574" s="18" t="s">
        <v>394</v>
      </c>
      <c r="D574" s="1" t="s">
        <v>225</v>
      </c>
      <c r="E574" s="18">
        <v>1</v>
      </c>
    </row>
    <row r="575" customHeight="1" spans="1:5">
      <c r="A575" s="1" t="s">
        <v>291</v>
      </c>
      <c r="B575" s="70" t="s">
        <v>392</v>
      </c>
      <c r="C575" s="18" t="s">
        <v>394</v>
      </c>
      <c r="D575" s="1" t="s">
        <v>225</v>
      </c>
      <c r="E575" s="18">
        <v>2</v>
      </c>
    </row>
    <row r="576" customHeight="1" spans="1:5">
      <c r="A576" s="1" t="s">
        <v>291</v>
      </c>
      <c r="B576" s="70" t="s">
        <v>392</v>
      </c>
      <c r="C576" s="18" t="s">
        <v>394</v>
      </c>
      <c r="D576" s="1" t="s">
        <v>225</v>
      </c>
      <c r="E576" s="18">
        <v>3</v>
      </c>
    </row>
    <row r="577" customHeight="1" spans="1:5">
      <c r="A577" s="1" t="s">
        <v>291</v>
      </c>
      <c r="B577" s="70" t="s">
        <v>392</v>
      </c>
      <c r="C577" s="18" t="s">
        <v>394</v>
      </c>
      <c r="D577" s="1" t="s">
        <v>225</v>
      </c>
      <c r="E577" s="18">
        <v>4</v>
      </c>
    </row>
    <row r="578" customHeight="1" spans="1:5">
      <c r="A578" s="1" t="s">
        <v>291</v>
      </c>
      <c r="B578" s="70" t="s">
        <v>392</v>
      </c>
      <c r="C578" s="18" t="s">
        <v>394</v>
      </c>
      <c r="D578" s="1" t="s">
        <v>225</v>
      </c>
      <c r="E578" s="18">
        <v>5</v>
      </c>
    </row>
    <row r="579" customHeight="1" spans="1:5">
      <c r="A579" s="1" t="s">
        <v>291</v>
      </c>
      <c r="B579" s="70" t="s">
        <v>392</v>
      </c>
      <c r="C579" s="18" t="s">
        <v>394</v>
      </c>
      <c r="D579" s="1" t="s">
        <v>225</v>
      </c>
      <c r="E579" s="18">
        <v>6</v>
      </c>
    </row>
    <row r="580" customHeight="1" spans="1:5">
      <c r="A580" s="1" t="s">
        <v>291</v>
      </c>
      <c r="B580" s="70" t="s">
        <v>392</v>
      </c>
      <c r="C580" s="18" t="s">
        <v>394</v>
      </c>
      <c r="D580" s="1" t="s">
        <v>225</v>
      </c>
      <c r="E580" s="18">
        <v>7</v>
      </c>
    </row>
    <row r="581" customHeight="1" spans="1:5">
      <c r="A581" s="1" t="s">
        <v>291</v>
      </c>
      <c r="B581" s="70" t="s">
        <v>392</v>
      </c>
      <c r="C581" s="18" t="s">
        <v>394</v>
      </c>
      <c r="D581" s="1" t="s">
        <v>225</v>
      </c>
      <c r="E581" s="18">
        <v>8</v>
      </c>
    </row>
    <row r="582" customHeight="1" spans="1:5">
      <c r="A582" s="1" t="s">
        <v>238</v>
      </c>
      <c r="B582" s="69" t="s">
        <v>395</v>
      </c>
      <c r="C582" s="5" t="s">
        <v>396</v>
      </c>
      <c r="D582" s="1" t="s">
        <v>222</v>
      </c>
      <c r="E582" s="5">
        <v>1</v>
      </c>
    </row>
    <row r="583" customHeight="1" spans="1:5">
      <c r="A583" s="1" t="s">
        <v>238</v>
      </c>
      <c r="B583" s="69" t="s">
        <v>395</v>
      </c>
      <c r="C583" s="5" t="s">
        <v>396</v>
      </c>
      <c r="D583" s="1" t="s">
        <v>222</v>
      </c>
      <c r="E583" s="5">
        <v>2</v>
      </c>
    </row>
    <row r="584" customHeight="1" spans="1:5">
      <c r="A584" s="1" t="s">
        <v>238</v>
      </c>
      <c r="B584" s="69" t="s">
        <v>395</v>
      </c>
      <c r="C584" s="5" t="s">
        <v>396</v>
      </c>
      <c r="D584" s="1" t="s">
        <v>222</v>
      </c>
      <c r="E584" s="5">
        <v>3</v>
      </c>
    </row>
    <row r="585" customHeight="1" spans="1:5">
      <c r="A585" s="1" t="s">
        <v>238</v>
      </c>
      <c r="B585" s="69" t="s">
        <v>395</v>
      </c>
      <c r="C585" s="5" t="s">
        <v>396</v>
      </c>
      <c r="D585" s="1" t="s">
        <v>222</v>
      </c>
      <c r="E585" s="5">
        <v>4</v>
      </c>
    </row>
    <row r="586" customHeight="1" spans="1:5">
      <c r="A586" s="1" t="s">
        <v>238</v>
      </c>
      <c r="B586" s="69" t="s">
        <v>395</v>
      </c>
      <c r="C586" s="5" t="s">
        <v>396</v>
      </c>
      <c r="D586" s="1" t="s">
        <v>222</v>
      </c>
      <c r="E586" s="5">
        <v>5</v>
      </c>
    </row>
    <row r="587" customHeight="1" spans="1:5">
      <c r="A587" s="1" t="s">
        <v>291</v>
      </c>
      <c r="B587" s="69" t="s">
        <v>395</v>
      </c>
      <c r="C587" s="18" t="s">
        <v>397</v>
      </c>
      <c r="D587" s="1" t="s">
        <v>225</v>
      </c>
      <c r="E587" s="18">
        <v>1</v>
      </c>
    </row>
    <row r="588" customHeight="1" spans="1:5">
      <c r="A588" s="1" t="s">
        <v>291</v>
      </c>
      <c r="B588" s="69" t="s">
        <v>395</v>
      </c>
      <c r="C588" s="18" t="s">
        <v>397</v>
      </c>
      <c r="D588" s="1" t="s">
        <v>225</v>
      </c>
      <c r="E588" s="18">
        <v>2</v>
      </c>
    </row>
    <row r="589" customHeight="1" spans="1:5">
      <c r="A589" s="1" t="s">
        <v>291</v>
      </c>
      <c r="B589" s="69" t="s">
        <v>395</v>
      </c>
      <c r="C589" s="18" t="s">
        <v>397</v>
      </c>
      <c r="D589" s="1" t="s">
        <v>225</v>
      </c>
      <c r="E589" s="18">
        <v>3</v>
      </c>
    </row>
    <row r="590" customHeight="1" spans="1:5">
      <c r="A590" s="1" t="s">
        <v>291</v>
      </c>
      <c r="B590" s="69" t="s">
        <v>395</v>
      </c>
      <c r="C590" s="18" t="s">
        <v>397</v>
      </c>
      <c r="D590" s="1" t="s">
        <v>225</v>
      </c>
      <c r="E590" s="18">
        <v>4</v>
      </c>
    </row>
    <row r="591" customHeight="1" spans="1:5">
      <c r="A591" s="1" t="s">
        <v>291</v>
      </c>
      <c r="B591" s="69" t="s">
        <v>395</v>
      </c>
      <c r="C591" s="18" t="s">
        <v>397</v>
      </c>
      <c r="D591" s="1" t="s">
        <v>225</v>
      </c>
      <c r="E591" s="18">
        <v>5</v>
      </c>
    </row>
    <row r="592" customHeight="1" spans="1:5">
      <c r="A592" s="1" t="s">
        <v>291</v>
      </c>
      <c r="B592" s="69" t="s">
        <v>395</v>
      </c>
      <c r="C592" s="18" t="s">
        <v>397</v>
      </c>
      <c r="D592" s="1" t="s">
        <v>225</v>
      </c>
      <c r="E592" s="18">
        <v>6</v>
      </c>
    </row>
    <row r="593" customHeight="1" spans="1:5">
      <c r="A593" s="1" t="s">
        <v>291</v>
      </c>
      <c r="B593" s="69" t="s">
        <v>395</v>
      </c>
      <c r="C593" s="18" t="s">
        <v>397</v>
      </c>
      <c r="D593" s="1" t="s">
        <v>225</v>
      </c>
      <c r="E593" s="18">
        <v>7</v>
      </c>
    </row>
    <row r="594" customHeight="1" spans="1:5">
      <c r="A594" s="1" t="s">
        <v>291</v>
      </c>
      <c r="B594" s="69" t="s">
        <v>395</v>
      </c>
      <c r="C594" s="18" t="s">
        <v>397</v>
      </c>
      <c r="D594" s="1" t="s">
        <v>225</v>
      </c>
      <c r="E594" s="18">
        <v>8</v>
      </c>
    </row>
    <row r="595" customHeight="1" spans="1:5">
      <c r="A595" s="1" t="s">
        <v>291</v>
      </c>
      <c r="B595" s="69" t="s">
        <v>395</v>
      </c>
      <c r="C595" s="5" t="s">
        <v>397</v>
      </c>
      <c r="D595" s="1" t="s">
        <v>225</v>
      </c>
      <c r="E595" s="5">
        <v>1</v>
      </c>
    </row>
    <row r="596" customHeight="1" spans="1:5">
      <c r="A596" s="1" t="s">
        <v>291</v>
      </c>
      <c r="B596" s="69" t="s">
        <v>395</v>
      </c>
      <c r="C596" s="5" t="s">
        <v>397</v>
      </c>
      <c r="D596" s="1" t="s">
        <v>225</v>
      </c>
      <c r="E596" s="5">
        <v>2</v>
      </c>
    </row>
    <row r="597" customHeight="1" spans="1:5">
      <c r="A597" s="1" t="s">
        <v>291</v>
      </c>
      <c r="B597" s="69" t="s">
        <v>395</v>
      </c>
      <c r="C597" s="5" t="s">
        <v>397</v>
      </c>
      <c r="D597" s="1" t="s">
        <v>225</v>
      </c>
      <c r="E597" s="5">
        <v>3</v>
      </c>
    </row>
    <row r="598" customHeight="1" spans="1:5">
      <c r="A598" s="1" t="s">
        <v>291</v>
      </c>
      <c r="B598" s="69" t="s">
        <v>395</v>
      </c>
      <c r="C598" s="5" t="s">
        <v>397</v>
      </c>
      <c r="D598" s="1" t="s">
        <v>225</v>
      </c>
      <c r="E598" s="5">
        <v>4</v>
      </c>
    </row>
    <row r="599" customHeight="1" spans="1:5">
      <c r="A599" s="1" t="s">
        <v>291</v>
      </c>
      <c r="B599" s="69" t="s">
        <v>395</v>
      </c>
      <c r="C599" s="5" t="s">
        <v>397</v>
      </c>
      <c r="D599" s="1" t="s">
        <v>225</v>
      </c>
      <c r="E599" s="5">
        <v>5</v>
      </c>
    </row>
    <row r="600" customHeight="1" spans="1:5">
      <c r="A600" s="1" t="s">
        <v>291</v>
      </c>
      <c r="B600" s="69" t="s">
        <v>395</v>
      </c>
      <c r="C600" s="5" t="s">
        <v>397</v>
      </c>
      <c r="D600" s="1" t="s">
        <v>225</v>
      </c>
      <c r="E600" s="5">
        <v>6</v>
      </c>
    </row>
    <row r="601" customHeight="1" spans="1:5">
      <c r="A601" s="1" t="s">
        <v>291</v>
      </c>
      <c r="B601" s="69" t="s">
        <v>395</v>
      </c>
      <c r="C601" s="5" t="s">
        <v>397</v>
      </c>
      <c r="D601" s="1" t="s">
        <v>225</v>
      </c>
      <c r="E601" s="5">
        <v>7</v>
      </c>
    </row>
    <row r="602" customHeight="1" spans="1:5">
      <c r="A602" s="1" t="s">
        <v>291</v>
      </c>
      <c r="B602" s="69" t="s">
        <v>395</v>
      </c>
      <c r="C602" s="5" t="s">
        <v>397</v>
      </c>
      <c r="D602" s="1" t="s">
        <v>225</v>
      </c>
      <c r="E602" s="5">
        <v>8</v>
      </c>
    </row>
    <row r="603" customHeight="1" spans="1:5">
      <c r="A603" s="1" t="s">
        <v>238</v>
      </c>
      <c r="B603" s="70" t="s">
        <v>398</v>
      </c>
      <c r="C603" s="18" t="s">
        <v>399</v>
      </c>
      <c r="D603" s="1" t="s">
        <v>222</v>
      </c>
      <c r="E603" s="18">
        <v>1</v>
      </c>
    </row>
    <row r="604" customHeight="1" spans="1:5">
      <c r="A604" s="1" t="s">
        <v>238</v>
      </c>
      <c r="B604" s="70" t="s">
        <v>398</v>
      </c>
      <c r="C604" s="18" t="s">
        <v>399</v>
      </c>
      <c r="D604" s="1" t="s">
        <v>222</v>
      </c>
      <c r="E604" s="18">
        <v>2</v>
      </c>
    </row>
    <row r="605" customHeight="1" spans="1:5">
      <c r="A605" s="1" t="s">
        <v>238</v>
      </c>
      <c r="B605" s="70" t="s">
        <v>398</v>
      </c>
      <c r="C605" s="18" t="s">
        <v>399</v>
      </c>
      <c r="D605" s="1" t="s">
        <v>222</v>
      </c>
      <c r="E605" s="18">
        <v>3</v>
      </c>
    </row>
    <row r="606" customHeight="1" spans="1:5">
      <c r="A606" s="1" t="s">
        <v>238</v>
      </c>
      <c r="B606" s="70" t="s">
        <v>398</v>
      </c>
      <c r="C606" s="18" t="s">
        <v>399</v>
      </c>
      <c r="D606" s="1" t="s">
        <v>222</v>
      </c>
      <c r="E606" s="18">
        <v>4</v>
      </c>
    </row>
    <row r="607" customHeight="1" spans="1:5">
      <c r="A607" s="1" t="s">
        <v>238</v>
      </c>
      <c r="B607" s="70" t="s">
        <v>398</v>
      </c>
      <c r="C607" s="18" t="s">
        <v>399</v>
      </c>
      <c r="D607" s="1" t="s">
        <v>222</v>
      </c>
      <c r="E607" s="18">
        <v>5</v>
      </c>
    </row>
    <row r="608" customHeight="1" spans="1:5">
      <c r="A608" s="1" t="s">
        <v>291</v>
      </c>
      <c r="B608" s="70" t="s">
        <v>398</v>
      </c>
      <c r="C608" s="5" t="s">
        <v>400</v>
      </c>
      <c r="D608" s="1" t="s">
        <v>225</v>
      </c>
      <c r="E608" s="5">
        <v>1</v>
      </c>
    </row>
    <row r="609" customHeight="1" spans="1:5">
      <c r="A609" s="1" t="s">
        <v>291</v>
      </c>
      <c r="B609" s="70" t="s">
        <v>398</v>
      </c>
      <c r="C609" s="5" t="s">
        <v>400</v>
      </c>
      <c r="D609" s="1" t="s">
        <v>225</v>
      </c>
      <c r="E609" s="5">
        <v>2</v>
      </c>
    </row>
    <row r="610" customHeight="1" spans="1:5">
      <c r="A610" s="1" t="s">
        <v>291</v>
      </c>
      <c r="B610" s="70" t="s">
        <v>398</v>
      </c>
      <c r="C610" s="5" t="s">
        <v>400</v>
      </c>
      <c r="D610" s="1" t="s">
        <v>225</v>
      </c>
      <c r="E610" s="5">
        <v>3</v>
      </c>
    </row>
    <row r="611" customHeight="1" spans="1:5">
      <c r="A611" s="1" t="s">
        <v>291</v>
      </c>
      <c r="B611" s="70" t="s">
        <v>398</v>
      </c>
      <c r="C611" s="5" t="s">
        <v>400</v>
      </c>
      <c r="D611" s="1" t="s">
        <v>225</v>
      </c>
      <c r="E611" s="5">
        <v>4</v>
      </c>
    </row>
    <row r="612" customHeight="1" spans="1:5">
      <c r="A612" s="1" t="s">
        <v>291</v>
      </c>
      <c r="B612" s="70" t="s">
        <v>398</v>
      </c>
      <c r="C612" s="5" t="s">
        <v>400</v>
      </c>
      <c r="D612" s="1" t="s">
        <v>225</v>
      </c>
      <c r="E612" s="5">
        <v>5</v>
      </c>
    </row>
    <row r="613" customHeight="1" spans="1:5">
      <c r="A613" s="1" t="s">
        <v>291</v>
      </c>
      <c r="B613" s="70" t="s">
        <v>398</v>
      </c>
      <c r="C613" s="5" t="s">
        <v>400</v>
      </c>
      <c r="D613" s="1" t="s">
        <v>225</v>
      </c>
      <c r="E613" s="5">
        <v>6</v>
      </c>
    </row>
    <row r="614" customHeight="1" spans="1:5">
      <c r="A614" s="1" t="s">
        <v>291</v>
      </c>
      <c r="B614" s="70" t="s">
        <v>398</v>
      </c>
      <c r="C614" s="5" t="s">
        <v>400</v>
      </c>
      <c r="D614" s="1" t="s">
        <v>225</v>
      </c>
      <c r="E614" s="5">
        <v>7</v>
      </c>
    </row>
    <row r="615" customHeight="1" spans="1:5">
      <c r="A615" s="1" t="s">
        <v>291</v>
      </c>
      <c r="B615" s="70" t="s">
        <v>398</v>
      </c>
      <c r="C615" s="5" t="s">
        <v>400</v>
      </c>
      <c r="D615" s="1" t="s">
        <v>225</v>
      </c>
      <c r="E615" s="5">
        <v>8</v>
      </c>
    </row>
    <row r="616" customHeight="1" spans="1:5">
      <c r="A616" s="1" t="s">
        <v>291</v>
      </c>
      <c r="B616" s="70" t="s">
        <v>398</v>
      </c>
      <c r="C616" s="18" t="s">
        <v>400</v>
      </c>
      <c r="D616" s="1" t="s">
        <v>225</v>
      </c>
      <c r="E616" s="18">
        <v>1</v>
      </c>
    </row>
    <row r="617" customHeight="1" spans="1:5">
      <c r="A617" s="1" t="s">
        <v>291</v>
      </c>
      <c r="B617" s="70" t="s">
        <v>398</v>
      </c>
      <c r="C617" s="18" t="s">
        <v>400</v>
      </c>
      <c r="D617" s="1" t="s">
        <v>225</v>
      </c>
      <c r="E617" s="18">
        <v>2</v>
      </c>
    </row>
    <row r="618" customHeight="1" spans="1:5">
      <c r="A618" s="1" t="s">
        <v>291</v>
      </c>
      <c r="B618" s="70" t="s">
        <v>398</v>
      </c>
      <c r="C618" s="18" t="s">
        <v>400</v>
      </c>
      <c r="D618" s="1" t="s">
        <v>225</v>
      </c>
      <c r="E618" s="18">
        <v>3</v>
      </c>
    </row>
    <row r="619" customHeight="1" spans="1:5">
      <c r="A619" s="1" t="s">
        <v>291</v>
      </c>
      <c r="B619" s="70" t="s">
        <v>398</v>
      </c>
      <c r="C619" s="18" t="s">
        <v>400</v>
      </c>
      <c r="D619" s="1" t="s">
        <v>225</v>
      </c>
      <c r="E619" s="18">
        <v>4</v>
      </c>
    </row>
    <row r="620" customHeight="1" spans="1:5">
      <c r="A620" s="1" t="s">
        <v>291</v>
      </c>
      <c r="B620" s="70" t="s">
        <v>398</v>
      </c>
      <c r="C620" s="18" t="s">
        <v>400</v>
      </c>
      <c r="D620" s="1" t="s">
        <v>225</v>
      </c>
      <c r="E620" s="18">
        <v>5</v>
      </c>
    </row>
    <row r="621" customHeight="1" spans="1:5">
      <c r="A621" s="1" t="s">
        <v>291</v>
      </c>
      <c r="B621" s="70" t="s">
        <v>398</v>
      </c>
      <c r="C621" s="18" t="s">
        <v>400</v>
      </c>
      <c r="D621" s="1" t="s">
        <v>225</v>
      </c>
      <c r="E621" s="18">
        <v>6</v>
      </c>
    </row>
    <row r="622" customHeight="1" spans="1:5">
      <c r="A622" s="1" t="s">
        <v>291</v>
      </c>
      <c r="B622" s="70" t="s">
        <v>398</v>
      </c>
      <c r="C622" s="18" t="s">
        <v>400</v>
      </c>
      <c r="D622" s="1" t="s">
        <v>225</v>
      </c>
      <c r="E622" s="18">
        <v>7</v>
      </c>
    </row>
    <row r="623" customHeight="1" spans="1:5">
      <c r="A623" s="1" t="s">
        <v>291</v>
      </c>
      <c r="B623" s="70" t="s">
        <v>398</v>
      </c>
      <c r="C623" s="18" t="s">
        <v>400</v>
      </c>
      <c r="D623" s="1" t="s">
        <v>225</v>
      </c>
      <c r="E623" s="18">
        <v>8</v>
      </c>
    </row>
    <row r="624" customHeight="1" spans="1:5">
      <c r="A624" s="1" t="s">
        <v>260</v>
      </c>
      <c r="B624" s="70" t="s">
        <v>401</v>
      </c>
      <c r="C624" s="5" t="s">
        <v>402</v>
      </c>
      <c r="D624" s="1" t="s">
        <v>222</v>
      </c>
      <c r="E624" s="5">
        <v>1</v>
      </c>
    </row>
    <row r="625" customHeight="1" spans="1:5">
      <c r="A625" s="1" t="s">
        <v>260</v>
      </c>
      <c r="B625" s="70" t="s">
        <v>401</v>
      </c>
      <c r="C625" s="5" t="s">
        <v>402</v>
      </c>
      <c r="D625" s="1" t="s">
        <v>222</v>
      </c>
      <c r="E625" s="5">
        <v>2</v>
      </c>
    </row>
    <row r="626" customHeight="1" spans="1:5">
      <c r="A626" s="1" t="s">
        <v>260</v>
      </c>
      <c r="B626" s="70" t="s">
        <v>401</v>
      </c>
      <c r="C626" s="5" t="s">
        <v>402</v>
      </c>
      <c r="D626" s="1" t="s">
        <v>222</v>
      </c>
      <c r="E626" s="5">
        <v>3</v>
      </c>
    </row>
    <row r="627" customHeight="1" spans="1:5">
      <c r="A627" s="1" t="s">
        <v>260</v>
      </c>
      <c r="B627" s="70" t="s">
        <v>401</v>
      </c>
      <c r="C627" s="5" t="s">
        <v>402</v>
      </c>
      <c r="D627" s="1" t="s">
        <v>222</v>
      </c>
      <c r="E627" s="5">
        <v>4</v>
      </c>
    </row>
    <row r="628" customHeight="1" spans="1:5">
      <c r="A628" s="1" t="s">
        <v>260</v>
      </c>
      <c r="B628" s="70" t="s">
        <v>401</v>
      </c>
      <c r="C628" s="5" t="s">
        <v>402</v>
      </c>
      <c r="D628" s="1" t="s">
        <v>222</v>
      </c>
      <c r="E628" s="5">
        <v>5</v>
      </c>
    </row>
    <row r="629" customHeight="1" spans="1:5">
      <c r="A629" s="1" t="s">
        <v>260</v>
      </c>
      <c r="B629" s="70" t="s">
        <v>401</v>
      </c>
      <c r="C629" s="18" t="s">
        <v>403</v>
      </c>
      <c r="D629" s="1" t="s">
        <v>223</v>
      </c>
      <c r="E629" s="18">
        <v>1</v>
      </c>
    </row>
    <row r="630" customHeight="1" spans="1:5">
      <c r="A630" s="1" t="s">
        <v>260</v>
      </c>
      <c r="B630" s="70" t="s">
        <v>401</v>
      </c>
      <c r="C630" s="18" t="s">
        <v>403</v>
      </c>
      <c r="D630" s="1" t="s">
        <v>223</v>
      </c>
      <c r="E630" s="18">
        <v>2</v>
      </c>
    </row>
    <row r="631" customHeight="1" spans="1:5">
      <c r="A631" s="1" t="s">
        <v>260</v>
      </c>
      <c r="B631" s="70" t="s">
        <v>401</v>
      </c>
      <c r="C631" s="18" t="s">
        <v>403</v>
      </c>
      <c r="D631" s="1" t="s">
        <v>223</v>
      </c>
      <c r="E631" s="18">
        <v>3</v>
      </c>
    </row>
    <row r="632" customHeight="1" spans="1:5">
      <c r="A632" s="1" t="s">
        <v>260</v>
      </c>
      <c r="B632" s="70" t="s">
        <v>401</v>
      </c>
      <c r="C632" s="18" t="s">
        <v>403</v>
      </c>
      <c r="D632" s="1" t="s">
        <v>223</v>
      </c>
      <c r="E632" s="18">
        <v>4</v>
      </c>
    </row>
    <row r="633" customHeight="1" spans="1:5">
      <c r="A633" s="1" t="s">
        <v>260</v>
      </c>
      <c r="B633" s="70" t="s">
        <v>401</v>
      </c>
      <c r="C633" s="18" t="s">
        <v>403</v>
      </c>
      <c r="D633" s="1" t="s">
        <v>223</v>
      </c>
      <c r="E633" s="18">
        <v>5</v>
      </c>
    </row>
    <row r="634" customHeight="1" spans="1:5">
      <c r="A634" s="1" t="s">
        <v>260</v>
      </c>
      <c r="B634" s="70" t="s">
        <v>401</v>
      </c>
      <c r="C634" s="5" t="s">
        <v>404</v>
      </c>
      <c r="D634" s="1" t="s">
        <v>224</v>
      </c>
      <c r="E634" s="5">
        <v>1</v>
      </c>
    </row>
    <row r="635" customHeight="1" spans="1:5">
      <c r="A635" s="1" t="s">
        <v>260</v>
      </c>
      <c r="B635" s="70" t="s">
        <v>401</v>
      </c>
      <c r="C635" s="5" t="s">
        <v>404</v>
      </c>
      <c r="D635" s="1" t="s">
        <v>224</v>
      </c>
      <c r="E635" s="5">
        <v>2</v>
      </c>
    </row>
    <row r="636" customHeight="1" spans="1:5">
      <c r="A636" s="1" t="s">
        <v>260</v>
      </c>
      <c r="B636" s="70" t="s">
        <v>401</v>
      </c>
      <c r="C636" s="5" t="s">
        <v>404</v>
      </c>
      <c r="D636" s="1" t="s">
        <v>224</v>
      </c>
      <c r="E636" s="5">
        <v>3</v>
      </c>
    </row>
    <row r="637" customHeight="1" spans="1:5">
      <c r="A637" s="1" t="s">
        <v>260</v>
      </c>
      <c r="B637" s="70" t="s">
        <v>401</v>
      </c>
      <c r="C637" s="5" t="s">
        <v>404</v>
      </c>
      <c r="D637" s="1" t="s">
        <v>224</v>
      </c>
      <c r="E637" s="5">
        <v>4</v>
      </c>
    </row>
    <row r="638" customHeight="1" spans="1:5">
      <c r="A638" s="1" t="s">
        <v>260</v>
      </c>
      <c r="B638" s="70" t="s">
        <v>401</v>
      </c>
      <c r="C638" s="5" t="s">
        <v>404</v>
      </c>
      <c r="D638" s="1" t="s">
        <v>224</v>
      </c>
      <c r="E638" s="5">
        <v>5</v>
      </c>
    </row>
    <row r="639" customHeight="1" spans="1:5">
      <c r="A639" s="1" t="s">
        <v>260</v>
      </c>
      <c r="B639" s="70" t="s">
        <v>401</v>
      </c>
      <c r="C639" s="18" t="s">
        <v>404</v>
      </c>
      <c r="D639" s="1" t="s">
        <v>224</v>
      </c>
      <c r="E639" s="18">
        <v>1</v>
      </c>
    </row>
    <row r="640" customHeight="1" spans="1:5">
      <c r="A640" s="1" t="s">
        <v>260</v>
      </c>
      <c r="B640" s="70" t="s">
        <v>401</v>
      </c>
      <c r="C640" s="18" t="s">
        <v>404</v>
      </c>
      <c r="D640" s="1" t="s">
        <v>224</v>
      </c>
      <c r="E640" s="18">
        <v>2</v>
      </c>
    </row>
    <row r="641" customHeight="1" spans="1:5">
      <c r="A641" s="1" t="s">
        <v>260</v>
      </c>
      <c r="B641" s="70" t="s">
        <v>401</v>
      </c>
      <c r="C641" s="18" t="s">
        <v>404</v>
      </c>
      <c r="D641" s="1" t="s">
        <v>224</v>
      </c>
      <c r="E641" s="18">
        <v>3</v>
      </c>
    </row>
    <row r="642" customHeight="1" spans="1:5">
      <c r="A642" s="1" t="s">
        <v>260</v>
      </c>
      <c r="B642" s="70" t="s">
        <v>401</v>
      </c>
      <c r="C642" s="18" t="s">
        <v>404</v>
      </c>
      <c r="D642" s="1" t="s">
        <v>224</v>
      </c>
      <c r="E642" s="18">
        <v>4</v>
      </c>
    </row>
    <row r="643" customHeight="1" spans="1:5">
      <c r="A643" s="1" t="s">
        <v>260</v>
      </c>
      <c r="B643" s="70" t="s">
        <v>401</v>
      </c>
      <c r="C643" s="18" t="s">
        <v>404</v>
      </c>
      <c r="D643" s="1" t="s">
        <v>224</v>
      </c>
      <c r="E643" s="18">
        <v>5</v>
      </c>
    </row>
    <row r="644" customHeight="1" spans="1:5">
      <c r="A644" s="1" t="s">
        <v>291</v>
      </c>
      <c r="B644" s="70" t="s">
        <v>401</v>
      </c>
      <c r="C644" s="5" t="s">
        <v>405</v>
      </c>
      <c r="D644" s="1" t="s">
        <v>225</v>
      </c>
      <c r="E644" s="5">
        <v>1</v>
      </c>
    </row>
    <row r="645" customHeight="1" spans="1:5">
      <c r="A645" s="1" t="s">
        <v>291</v>
      </c>
      <c r="B645" s="70" t="s">
        <v>401</v>
      </c>
      <c r="C645" s="5" t="s">
        <v>405</v>
      </c>
      <c r="D645" s="1" t="s">
        <v>225</v>
      </c>
      <c r="E645" s="5">
        <v>2</v>
      </c>
    </row>
    <row r="646" customHeight="1" spans="1:5">
      <c r="A646" s="1" t="s">
        <v>291</v>
      </c>
      <c r="B646" s="70" t="s">
        <v>401</v>
      </c>
      <c r="C646" s="5" t="s">
        <v>405</v>
      </c>
      <c r="D646" s="1" t="s">
        <v>225</v>
      </c>
      <c r="E646" s="5">
        <v>3</v>
      </c>
    </row>
    <row r="647" customHeight="1" spans="1:5">
      <c r="A647" s="1" t="s">
        <v>291</v>
      </c>
      <c r="B647" s="70" t="s">
        <v>401</v>
      </c>
      <c r="C647" s="5" t="s">
        <v>405</v>
      </c>
      <c r="D647" s="1" t="s">
        <v>225</v>
      </c>
      <c r="E647" s="5">
        <v>4</v>
      </c>
    </row>
    <row r="648" customHeight="1" spans="1:5">
      <c r="A648" s="1" t="s">
        <v>291</v>
      </c>
      <c r="B648" s="70" t="s">
        <v>401</v>
      </c>
      <c r="C648" s="5" t="s">
        <v>405</v>
      </c>
      <c r="D648" s="1" t="s">
        <v>225</v>
      </c>
      <c r="E648" s="5">
        <v>5</v>
      </c>
    </row>
    <row r="649" customHeight="1" spans="1:5">
      <c r="A649" s="1" t="s">
        <v>291</v>
      </c>
      <c r="B649" s="70" t="s">
        <v>401</v>
      </c>
      <c r="C649" s="5" t="s">
        <v>405</v>
      </c>
      <c r="D649" s="1" t="s">
        <v>225</v>
      </c>
      <c r="E649" s="5">
        <v>6</v>
      </c>
    </row>
    <row r="650" customHeight="1" spans="1:5">
      <c r="A650" s="1" t="s">
        <v>291</v>
      </c>
      <c r="B650" s="70" t="s">
        <v>401</v>
      </c>
      <c r="C650" s="5" t="s">
        <v>405</v>
      </c>
      <c r="D650" s="1" t="s">
        <v>225</v>
      </c>
      <c r="E650" s="5">
        <v>7</v>
      </c>
    </row>
    <row r="651" customHeight="1" spans="1:5">
      <c r="A651" s="1" t="s">
        <v>291</v>
      </c>
      <c r="B651" s="70" t="s">
        <v>401</v>
      </c>
      <c r="C651" s="5" t="s">
        <v>405</v>
      </c>
      <c r="D651" s="1" t="s">
        <v>225</v>
      </c>
      <c r="E651" s="5">
        <v>8</v>
      </c>
    </row>
    <row r="652" customHeight="1" spans="1:5">
      <c r="A652" s="1" t="s">
        <v>260</v>
      </c>
      <c r="B652" s="69" t="s">
        <v>406</v>
      </c>
      <c r="C652" s="18" t="s">
        <v>407</v>
      </c>
      <c r="D652" s="1" t="s">
        <v>222</v>
      </c>
      <c r="E652" s="18">
        <v>1</v>
      </c>
    </row>
    <row r="653" customHeight="1" spans="1:5">
      <c r="A653" s="1" t="s">
        <v>260</v>
      </c>
      <c r="B653" s="69" t="s">
        <v>406</v>
      </c>
      <c r="C653" s="18" t="s">
        <v>407</v>
      </c>
      <c r="D653" s="1" t="s">
        <v>222</v>
      </c>
      <c r="E653" s="18">
        <v>2</v>
      </c>
    </row>
    <row r="654" customHeight="1" spans="1:5">
      <c r="A654" s="1" t="s">
        <v>260</v>
      </c>
      <c r="B654" s="69" t="s">
        <v>406</v>
      </c>
      <c r="C654" s="18" t="s">
        <v>407</v>
      </c>
      <c r="D654" s="1" t="s">
        <v>222</v>
      </c>
      <c r="E654" s="18">
        <v>3</v>
      </c>
    </row>
    <row r="655" customHeight="1" spans="1:5">
      <c r="A655" s="1" t="s">
        <v>260</v>
      </c>
      <c r="B655" s="69" t="s">
        <v>406</v>
      </c>
      <c r="C655" s="18" t="s">
        <v>407</v>
      </c>
      <c r="D655" s="1" t="s">
        <v>222</v>
      </c>
      <c r="E655" s="18">
        <v>4</v>
      </c>
    </row>
    <row r="656" customHeight="1" spans="1:5">
      <c r="A656" s="1" t="s">
        <v>260</v>
      </c>
      <c r="B656" s="69" t="s">
        <v>406</v>
      </c>
      <c r="C656" s="18" t="s">
        <v>407</v>
      </c>
      <c r="D656" s="1" t="s">
        <v>222</v>
      </c>
      <c r="E656" s="18">
        <v>5</v>
      </c>
    </row>
    <row r="657" customHeight="1" spans="1:5">
      <c r="A657" s="1" t="s">
        <v>260</v>
      </c>
      <c r="B657" s="69" t="s">
        <v>406</v>
      </c>
      <c r="C657" s="5" t="s">
        <v>408</v>
      </c>
      <c r="D657" s="1" t="s">
        <v>223</v>
      </c>
      <c r="E657" s="5">
        <v>1</v>
      </c>
    </row>
    <row r="658" customHeight="1" spans="1:5">
      <c r="A658" s="1" t="s">
        <v>260</v>
      </c>
      <c r="B658" s="69" t="s">
        <v>406</v>
      </c>
      <c r="C658" s="5" t="s">
        <v>408</v>
      </c>
      <c r="D658" s="1" t="s">
        <v>223</v>
      </c>
      <c r="E658" s="5">
        <v>2</v>
      </c>
    </row>
    <row r="659" customHeight="1" spans="1:5">
      <c r="A659" s="1" t="s">
        <v>260</v>
      </c>
      <c r="B659" s="69" t="s">
        <v>406</v>
      </c>
      <c r="C659" s="5" t="s">
        <v>408</v>
      </c>
      <c r="D659" s="1" t="s">
        <v>223</v>
      </c>
      <c r="E659" s="5">
        <v>3</v>
      </c>
    </row>
    <row r="660" customHeight="1" spans="1:5">
      <c r="A660" s="1" t="s">
        <v>260</v>
      </c>
      <c r="B660" s="69" t="s">
        <v>406</v>
      </c>
      <c r="C660" s="5" t="s">
        <v>408</v>
      </c>
      <c r="D660" s="1" t="s">
        <v>223</v>
      </c>
      <c r="E660" s="5">
        <v>4</v>
      </c>
    </row>
    <row r="661" customHeight="1" spans="1:5">
      <c r="A661" s="1" t="s">
        <v>260</v>
      </c>
      <c r="B661" s="69" t="s">
        <v>406</v>
      </c>
      <c r="C661" s="5" t="s">
        <v>408</v>
      </c>
      <c r="D661" s="1" t="s">
        <v>223</v>
      </c>
      <c r="E661" s="5">
        <v>5</v>
      </c>
    </row>
    <row r="662" customHeight="1" spans="1:5">
      <c r="A662" s="1" t="s">
        <v>260</v>
      </c>
      <c r="B662" s="69" t="s">
        <v>406</v>
      </c>
      <c r="C662" s="18" t="s">
        <v>409</v>
      </c>
      <c r="D662" s="1" t="s">
        <v>224</v>
      </c>
      <c r="E662" s="18">
        <v>1</v>
      </c>
    </row>
    <row r="663" customHeight="1" spans="1:5">
      <c r="A663" s="1" t="s">
        <v>260</v>
      </c>
      <c r="B663" s="69" t="s">
        <v>406</v>
      </c>
      <c r="C663" s="18" t="s">
        <v>409</v>
      </c>
      <c r="D663" s="1" t="s">
        <v>224</v>
      </c>
      <c r="E663" s="18">
        <v>2</v>
      </c>
    </row>
    <row r="664" customHeight="1" spans="1:5">
      <c r="A664" s="1" t="s">
        <v>260</v>
      </c>
      <c r="B664" s="69" t="s">
        <v>406</v>
      </c>
      <c r="C664" s="18" t="s">
        <v>409</v>
      </c>
      <c r="D664" s="1" t="s">
        <v>224</v>
      </c>
      <c r="E664" s="18">
        <v>3</v>
      </c>
    </row>
    <row r="665" customHeight="1" spans="1:5">
      <c r="A665" s="1" t="s">
        <v>260</v>
      </c>
      <c r="B665" s="69" t="s">
        <v>406</v>
      </c>
      <c r="C665" s="18" t="s">
        <v>409</v>
      </c>
      <c r="D665" s="1" t="s">
        <v>224</v>
      </c>
      <c r="E665" s="18">
        <v>4</v>
      </c>
    </row>
    <row r="666" customHeight="1" spans="1:5">
      <c r="A666" s="1" t="s">
        <v>260</v>
      </c>
      <c r="B666" s="69" t="s">
        <v>406</v>
      </c>
      <c r="C666" s="18" t="s">
        <v>409</v>
      </c>
      <c r="D666" s="1" t="s">
        <v>224</v>
      </c>
      <c r="E666" s="18">
        <v>5</v>
      </c>
    </row>
    <row r="667" customHeight="1" spans="1:5">
      <c r="A667" s="1" t="s">
        <v>260</v>
      </c>
      <c r="B667" s="69" t="s">
        <v>406</v>
      </c>
      <c r="C667" s="5" t="s">
        <v>409</v>
      </c>
      <c r="D667" s="1" t="s">
        <v>224</v>
      </c>
      <c r="E667" s="5">
        <v>1</v>
      </c>
    </row>
    <row r="668" customHeight="1" spans="1:5">
      <c r="A668" s="1" t="s">
        <v>260</v>
      </c>
      <c r="B668" s="69" t="s">
        <v>406</v>
      </c>
      <c r="C668" s="5" t="s">
        <v>409</v>
      </c>
      <c r="D668" s="1" t="s">
        <v>224</v>
      </c>
      <c r="E668" s="5">
        <v>2</v>
      </c>
    </row>
    <row r="669" customHeight="1" spans="1:5">
      <c r="A669" s="1" t="s">
        <v>260</v>
      </c>
      <c r="B669" s="69" t="s">
        <v>406</v>
      </c>
      <c r="C669" s="5" t="s">
        <v>409</v>
      </c>
      <c r="D669" s="1" t="s">
        <v>224</v>
      </c>
      <c r="E669" s="5">
        <v>3</v>
      </c>
    </row>
    <row r="670" customHeight="1" spans="1:5">
      <c r="A670" s="1" t="s">
        <v>260</v>
      </c>
      <c r="B670" s="69" t="s">
        <v>406</v>
      </c>
      <c r="C670" s="5" t="s">
        <v>409</v>
      </c>
      <c r="D670" s="1" t="s">
        <v>224</v>
      </c>
      <c r="E670" s="5">
        <v>4</v>
      </c>
    </row>
    <row r="671" customHeight="1" spans="1:5">
      <c r="A671" s="1" t="s">
        <v>260</v>
      </c>
      <c r="B671" s="69" t="s">
        <v>406</v>
      </c>
      <c r="C671" s="5" t="s">
        <v>409</v>
      </c>
      <c r="D671" s="1" t="s">
        <v>224</v>
      </c>
      <c r="E671" s="5">
        <v>5</v>
      </c>
    </row>
    <row r="672" customHeight="1" spans="1:5">
      <c r="A672" s="1" t="s">
        <v>291</v>
      </c>
      <c r="B672" s="69" t="s">
        <v>406</v>
      </c>
      <c r="C672" s="18" t="s">
        <v>410</v>
      </c>
      <c r="D672" s="1" t="s">
        <v>225</v>
      </c>
      <c r="E672" s="18">
        <v>1</v>
      </c>
    </row>
    <row r="673" customHeight="1" spans="1:5">
      <c r="A673" s="1" t="s">
        <v>291</v>
      </c>
      <c r="B673" s="69" t="s">
        <v>406</v>
      </c>
      <c r="C673" s="18" t="s">
        <v>410</v>
      </c>
      <c r="D673" s="1" t="s">
        <v>225</v>
      </c>
      <c r="E673" s="18">
        <v>2</v>
      </c>
    </row>
    <row r="674" customHeight="1" spans="1:5">
      <c r="A674" s="1" t="s">
        <v>291</v>
      </c>
      <c r="B674" s="69" t="s">
        <v>406</v>
      </c>
      <c r="C674" s="18" t="s">
        <v>410</v>
      </c>
      <c r="D674" s="1" t="s">
        <v>225</v>
      </c>
      <c r="E674" s="18">
        <v>3</v>
      </c>
    </row>
    <row r="675" customHeight="1" spans="1:5">
      <c r="A675" s="1" t="s">
        <v>291</v>
      </c>
      <c r="B675" s="69" t="s">
        <v>406</v>
      </c>
      <c r="C675" s="18" t="s">
        <v>410</v>
      </c>
      <c r="D675" s="1" t="s">
        <v>225</v>
      </c>
      <c r="E675" s="18">
        <v>4</v>
      </c>
    </row>
    <row r="676" customHeight="1" spans="1:5">
      <c r="A676" s="1" t="s">
        <v>291</v>
      </c>
      <c r="B676" s="69" t="s">
        <v>406</v>
      </c>
      <c r="C676" s="18" t="s">
        <v>410</v>
      </c>
      <c r="D676" s="1" t="s">
        <v>225</v>
      </c>
      <c r="E676" s="18">
        <v>5</v>
      </c>
    </row>
    <row r="677" customHeight="1" spans="1:5">
      <c r="A677" s="1" t="s">
        <v>291</v>
      </c>
      <c r="B677" s="69" t="s">
        <v>406</v>
      </c>
      <c r="C677" s="18" t="s">
        <v>410</v>
      </c>
      <c r="D677" s="1" t="s">
        <v>225</v>
      </c>
      <c r="E677" s="18">
        <v>6</v>
      </c>
    </row>
    <row r="678" customHeight="1" spans="1:5">
      <c r="A678" s="1" t="s">
        <v>291</v>
      </c>
      <c r="B678" s="69" t="s">
        <v>406</v>
      </c>
      <c r="C678" s="18" t="s">
        <v>410</v>
      </c>
      <c r="D678" s="1" t="s">
        <v>225</v>
      </c>
      <c r="E678" s="18">
        <v>7</v>
      </c>
    </row>
    <row r="679" customHeight="1" spans="1:5">
      <c r="A679" s="1" t="s">
        <v>291</v>
      </c>
      <c r="B679" s="69" t="s">
        <v>406</v>
      </c>
      <c r="C679" s="18" t="s">
        <v>410</v>
      </c>
      <c r="D679" s="1" t="s">
        <v>225</v>
      </c>
      <c r="E679" s="18">
        <v>8</v>
      </c>
    </row>
    <row r="680" customHeight="1" spans="1:5">
      <c r="A680" s="1" t="s">
        <v>260</v>
      </c>
      <c r="B680" s="70" t="s">
        <v>411</v>
      </c>
      <c r="C680" s="5" t="s">
        <v>412</v>
      </c>
      <c r="D680" s="1" t="s">
        <v>222</v>
      </c>
      <c r="E680" s="5">
        <v>1</v>
      </c>
    </row>
    <row r="681" customHeight="1" spans="1:5">
      <c r="A681" s="1" t="s">
        <v>260</v>
      </c>
      <c r="B681" s="70" t="s">
        <v>411</v>
      </c>
      <c r="C681" s="5" t="s">
        <v>412</v>
      </c>
      <c r="D681" s="1" t="s">
        <v>222</v>
      </c>
      <c r="E681" s="5">
        <v>2</v>
      </c>
    </row>
    <row r="682" customHeight="1" spans="1:5">
      <c r="A682" s="1" t="s">
        <v>260</v>
      </c>
      <c r="B682" s="70" t="s">
        <v>411</v>
      </c>
      <c r="C682" s="5" t="s">
        <v>412</v>
      </c>
      <c r="D682" s="1" t="s">
        <v>222</v>
      </c>
      <c r="E682" s="5">
        <v>3</v>
      </c>
    </row>
    <row r="683" customHeight="1" spans="1:5">
      <c r="A683" s="1" t="s">
        <v>260</v>
      </c>
      <c r="B683" s="70" t="s">
        <v>411</v>
      </c>
      <c r="C683" s="5" t="s">
        <v>412</v>
      </c>
      <c r="D683" s="1" t="s">
        <v>222</v>
      </c>
      <c r="E683" s="5">
        <v>4</v>
      </c>
    </row>
    <row r="684" customHeight="1" spans="1:5">
      <c r="A684" s="1" t="s">
        <v>260</v>
      </c>
      <c r="B684" s="70" t="s">
        <v>411</v>
      </c>
      <c r="C684" s="5" t="s">
        <v>412</v>
      </c>
      <c r="D684" s="1" t="s">
        <v>222</v>
      </c>
      <c r="E684" s="5">
        <v>5</v>
      </c>
    </row>
    <row r="685" customHeight="1" spans="1:5">
      <c r="A685" s="1" t="s">
        <v>260</v>
      </c>
      <c r="B685" s="70" t="s">
        <v>411</v>
      </c>
      <c r="C685" s="18" t="s">
        <v>413</v>
      </c>
      <c r="D685" s="1" t="s">
        <v>223</v>
      </c>
      <c r="E685" s="18">
        <v>1</v>
      </c>
    </row>
    <row r="686" customHeight="1" spans="1:5">
      <c r="A686" s="1" t="s">
        <v>260</v>
      </c>
      <c r="B686" s="70" t="s">
        <v>411</v>
      </c>
      <c r="C686" s="18" t="s">
        <v>413</v>
      </c>
      <c r="D686" s="1" t="s">
        <v>223</v>
      </c>
      <c r="E686" s="18">
        <v>2</v>
      </c>
    </row>
    <row r="687" customHeight="1" spans="1:5">
      <c r="A687" s="1" t="s">
        <v>260</v>
      </c>
      <c r="B687" s="70" t="s">
        <v>411</v>
      </c>
      <c r="C687" s="18" t="s">
        <v>413</v>
      </c>
      <c r="D687" s="1" t="s">
        <v>223</v>
      </c>
      <c r="E687" s="18">
        <v>3</v>
      </c>
    </row>
    <row r="688" customHeight="1" spans="1:5">
      <c r="A688" s="1" t="s">
        <v>260</v>
      </c>
      <c r="B688" s="70" t="s">
        <v>411</v>
      </c>
      <c r="C688" s="18" t="s">
        <v>413</v>
      </c>
      <c r="D688" s="1" t="s">
        <v>223</v>
      </c>
      <c r="E688" s="18">
        <v>4</v>
      </c>
    </row>
    <row r="689" customHeight="1" spans="1:5">
      <c r="A689" s="1" t="s">
        <v>260</v>
      </c>
      <c r="B689" s="70" t="s">
        <v>411</v>
      </c>
      <c r="C689" s="18" t="s">
        <v>413</v>
      </c>
      <c r="D689" s="1" t="s">
        <v>223</v>
      </c>
      <c r="E689" s="18">
        <v>5</v>
      </c>
    </row>
    <row r="690" customHeight="1" spans="1:5">
      <c r="A690" s="1" t="s">
        <v>260</v>
      </c>
      <c r="B690" s="70" t="s">
        <v>411</v>
      </c>
      <c r="C690" s="5" t="s">
        <v>414</v>
      </c>
      <c r="D690" s="1" t="s">
        <v>224</v>
      </c>
      <c r="E690" s="5">
        <v>1</v>
      </c>
    </row>
    <row r="691" customHeight="1" spans="1:5">
      <c r="A691" s="1" t="s">
        <v>260</v>
      </c>
      <c r="B691" s="70" t="s">
        <v>411</v>
      </c>
      <c r="C691" s="5" t="s">
        <v>414</v>
      </c>
      <c r="D691" s="1" t="s">
        <v>224</v>
      </c>
      <c r="E691" s="5">
        <v>2</v>
      </c>
    </row>
    <row r="692" customHeight="1" spans="1:5">
      <c r="A692" s="1" t="s">
        <v>260</v>
      </c>
      <c r="B692" s="70" t="s">
        <v>411</v>
      </c>
      <c r="C692" s="5" t="s">
        <v>414</v>
      </c>
      <c r="D692" s="1" t="s">
        <v>224</v>
      </c>
      <c r="E692" s="5">
        <v>3</v>
      </c>
    </row>
    <row r="693" customHeight="1" spans="1:5">
      <c r="A693" s="1" t="s">
        <v>260</v>
      </c>
      <c r="B693" s="70" t="s">
        <v>411</v>
      </c>
      <c r="C693" s="5" t="s">
        <v>414</v>
      </c>
      <c r="D693" s="1" t="s">
        <v>224</v>
      </c>
      <c r="E693" s="5">
        <v>4</v>
      </c>
    </row>
    <row r="694" customHeight="1" spans="1:5">
      <c r="A694" s="1" t="s">
        <v>260</v>
      </c>
      <c r="B694" s="70" t="s">
        <v>411</v>
      </c>
      <c r="C694" s="5" t="s">
        <v>414</v>
      </c>
      <c r="D694" s="1" t="s">
        <v>224</v>
      </c>
      <c r="E694" s="5">
        <v>5</v>
      </c>
    </row>
    <row r="695" customHeight="1" spans="1:5">
      <c r="A695" s="1" t="s">
        <v>260</v>
      </c>
      <c r="B695" s="70" t="s">
        <v>411</v>
      </c>
      <c r="C695" s="18" t="s">
        <v>414</v>
      </c>
      <c r="D695" s="1" t="s">
        <v>224</v>
      </c>
      <c r="E695" s="18">
        <v>1</v>
      </c>
    </row>
    <row r="696" customHeight="1" spans="1:5">
      <c r="A696" s="1" t="s">
        <v>260</v>
      </c>
      <c r="B696" s="70" t="s">
        <v>411</v>
      </c>
      <c r="C696" s="18" t="s">
        <v>414</v>
      </c>
      <c r="D696" s="1" t="s">
        <v>224</v>
      </c>
      <c r="E696" s="18">
        <v>2</v>
      </c>
    </row>
    <row r="697" customHeight="1" spans="1:5">
      <c r="A697" s="1" t="s">
        <v>260</v>
      </c>
      <c r="B697" s="70" t="s">
        <v>411</v>
      </c>
      <c r="C697" s="18" t="s">
        <v>414</v>
      </c>
      <c r="D697" s="1" t="s">
        <v>224</v>
      </c>
      <c r="E697" s="18">
        <v>3</v>
      </c>
    </row>
    <row r="698" customHeight="1" spans="1:5">
      <c r="A698" s="1" t="s">
        <v>260</v>
      </c>
      <c r="B698" s="70" t="s">
        <v>411</v>
      </c>
      <c r="C698" s="18" t="s">
        <v>414</v>
      </c>
      <c r="D698" s="1" t="s">
        <v>224</v>
      </c>
      <c r="E698" s="18">
        <v>4</v>
      </c>
    </row>
    <row r="699" customHeight="1" spans="1:5">
      <c r="A699" s="1" t="s">
        <v>260</v>
      </c>
      <c r="B699" s="70" t="s">
        <v>411</v>
      </c>
      <c r="C699" s="18" t="s">
        <v>414</v>
      </c>
      <c r="D699" s="1" t="s">
        <v>224</v>
      </c>
      <c r="E699" s="18">
        <v>5</v>
      </c>
    </row>
    <row r="700" customHeight="1" spans="1:5">
      <c r="A700" s="1" t="s">
        <v>291</v>
      </c>
      <c r="B700" s="70" t="s">
        <v>411</v>
      </c>
      <c r="C700" s="5" t="s">
        <v>415</v>
      </c>
      <c r="D700" s="1" t="s">
        <v>225</v>
      </c>
      <c r="E700" s="5">
        <v>1</v>
      </c>
    </row>
    <row r="701" customHeight="1" spans="1:5">
      <c r="A701" s="1" t="s">
        <v>291</v>
      </c>
      <c r="B701" s="70" t="s">
        <v>411</v>
      </c>
      <c r="C701" s="5" t="s">
        <v>415</v>
      </c>
      <c r="D701" s="1" t="s">
        <v>225</v>
      </c>
      <c r="E701" s="5">
        <v>2</v>
      </c>
    </row>
    <row r="702" customHeight="1" spans="1:5">
      <c r="A702" s="1" t="s">
        <v>291</v>
      </c>
      <c r="B702" s="70" t="s">
        <v>411</v>
      </c>
      <c r="C702" s="5" t="s">
        <v>415</v>
      </c>
      <c r="D702" s="1" t="s">
        <v>225</v>
      </c>
      <c r="E702" s="5">
        <v>3</v>
      </c>
    </row>
    <row r="703" customHeight="1" spans="1:5">
      <c r="A703" s="1" t="s">
        <v>291</v>
      </c>
      <c r="B703" s="70" t="s">
        <v>411</v>
      </c>
      <c r="C703" s="5" t="s">
        <v>415</v>
      </c>
      <c r="D703" s="1" t="s">
        <v>225</v>
      </c>
      <c r="E703" s="5">
        <v>4</v>
      </c>
    </row>
    <row r="704" customHeight="1" spans="1:5">
      <c r="A704" s="1" t="s">
        <v>291</v>
      </c>
      <c r="B704" s="70" t="s">
        <v>411</v>
      </c>
      <c r="C704" s="5" t="s">
        <v>415</v>
      </c>
      <c r="D704" s="1" t="s">
        <v>225</v>
      </c>
      <c r="E704" s="5">
        <v>5</v>
      </c>
    </row>
    <row r="705" customHeight="1" spans="1:5">
      <c r="A705" s="1" t="s">
        <v>291</v>
      </c>
      <c r="B705" s="70" t="s">
        <v>411</v>
      </c>
      <c r="C705" s="5" t="s">
        <v>415</v>
      </c>
      <c r="D705" s="1" t="s">
        <v>225</v>
      </c>
      <c r="E705" s="5">
        <v>6</v>
      </c>
    </row>
    <row r="706" customHeight="1" spans="1:5">
      <c r="A706" s="1" t="s">
        <v>291</v>
      </c>
      <c r="B706" s="70" t="s">
        <v>411</v>
      </c>
      <c r="C706" s="5" t="s">
        <v>415</v>
      </c>
      <c r="D706" s="1" t="s">
        <v>225</v>
      </c>
      <c r="E706" s="5">
        <v>7</v>
      </c>
    </row>
    <row r="707" customHeight="1" spans="1:5">
      <c r="A707" s="1" t="s">
        <v>291</v>
      </c>
      <c r="B707" s="70" t="s">
        <v>411</v>
      </c>
      <c r="C707" s="5" t="s">
        <v>415</v>
      </c>
      <c r="D707" s="1" t="s">
        <v>225</v>
      </c>
      <c r="E707" s="5">
        <v>8</v>
      </c>
    </row>
    <row r="708" customHeight="1" spans="1:5">
      <c r="A708" s="1" t="s">
        <v>260</v>
      </c>
      <c r="B708" s="69" t="s">
        <v>416</v>
      </c>
      <c r="C708" s="18" t="s">
        <v>417</v>
      </c>
      <c r="D708" s="1" t="s">
        <v>222</v>
      </c>
      <c r="E708" s="18">
        <v>1</v>
      </c>
    </row>
    <row r="709" customHeight="1" spans="1:5">
      <c r="A709" s="1" t="s">
        <v>260</v>
      </c>
      <c r="B709" s="69" t="s">
        <v>416</v>
      </c>
      <c r="C709" s="18" t="s">
        <v>417</v>
      </c>
      <c r="D709" s="1" t="s">
        <v>222</v>
      </c>
      <c r="E709" s="18">
        <v>2</v>
      </c>
    </row>
    <row r="710" customHeight="1" spans="1:5">
      <c r="A710" s="1" t="s">
        <v>260</v>
      </c>
      <c r="B710" s="69" t="s">
        <v>416</v>
      </c>
      <c r="C710" s="18" t="s">
        <v>417</v>
      </c>
      <c r="D710" s="1" t="s">
        <v>222</v>
      </c>
      <c r="E710" s="18">
        <v>3</v>
      </c>
    </row>
    <row r="711" customHeight="1" spans="1:5">
      <c r="A711" s="1" t="s">
        <v>260</v>
      </c>
      <c r="B711" s="69" t="s">
        <v>416</v>
      </c>
      <c r="C711" s="18" t="s">
        <v>417</v>
      </c>
      <c r="D711" s="1" t="s">
        <v>222</v>
      </c>
      <c r="E711" s="18">
        <v>4</v>
      </c>
    </row>
    <row r="712" customHeight="1" spans="1:5">
      <c r="A712" s="1" t="s">
        <v>260</v>
      </c>
      <c r="B712" s="69" t="s">
        <v>416</v>
      </c>
      <c r="C712" s="18" t="s">
        <v>417</v>
      </c>
      <c r="D712" s="1" t="s">
        <v>222</v>
      </c>
      <c r="E712" s="18">
        <v>5</v>
      </c>
    </row>
    <row r="713" customHeight="1" spans="1:5">
      <c r="A713" s="1" t="s">
        <v>260</v>
      </c>
      <c r="B713" s="69" t="s">
        <v>416</v>
      </c>
      <c r="C713" s="5" t="s">
        <v>418</v>
      </c>
      <c r="D713" s="1" t="s">
        <v>223</v>
      </c>
      <c r="E713" s="5">
        <v>1</v>
      </c>
    </row>
    <row r="714" customHeight="1" spans="1:5">
      <c r="A714" s="1" t="s">
        <v>260</v>
      </c>
      <c r="B714" s="69" t="s">
        <v>416</v>
      </c>
      <c r="C714" s="5" t="s">
        <v>418</v>
      </c>
      <c r="D714" s="1" t="s">
        <v>223</v>
      </c>
      <c r="E714" s="5">
        <v>2</v>
      </c>
    </row>
    <row r="715" customHeight="1" spans="1:5">
      <c r="A715" s="1" t="s">
        <v>260</v>
      </c>
      <c r="B715" s="69" t="s">
        <v>416</v>
      </c>
      <c r="C715" s="5" t="s">
        <v>418</v>
      </c>
      <c r="D715" s="1" t="s">
        <v>223</v>
      </c>
      <c r="E715" s="5">
        <v>3</v>
      </c>
    </row>
    <row r="716" customHeight="1" spans="1:5">
      <c r="A716" s="1" t="s">
        <v>260</v>
      </c>
      <c r="B716" s="69" t="s">
        <v>416</v>
      </c>
      <c r="C716" s="5" t="s">
        <v>418</v>
      </c>
      <c r="D716" s="1" t="s">
        <v>223</v>
      </c>
      <c r="E716" s="5">
        <v>4</v>
      </c>
    </row>
    <row r="717" customHeight="1" spans="1:5">
      <c r="A717" s="1" t="s">
        <v>260</v>
      </c>
      <c r="B717" s="69" t="s">
        <v>416</v>
      </c>
      <c r="C717" s="5" t="s">
        <v>418</v>
      </c>
      <c r="D717" s="1" t="s">
        <v>223</v>
      </c>
      <c r="E717" s="5">
        <v>5</v>
      </c>
    </row>
    <row r="718" customHeight="1" spans="1:5">
      <c r="A718" s="1" t="s">
        <v>260</v>
      </c>
      <c r="B718" s="69" t="s">
        <v>416</v>
      </c>
      <c r="C718" s="18" t="s">
        <v>419</v>
      </c>
      <c r="D718" s="1" t="s">
        <v>224</v>
      </c>
      <c r="E718" s="18">
        <v>1</v>
      </c>
    </row>
    <row r="719" customHeight="1" spans="1:5">
      <c r="A719" s="1" t="s">
        <v>260</v>
      </c>
      <c r="B719" s="69" t="s">
        <v>416</v>
      </c>
      <c r="C719" s="18" t="s">
        <v>419</v>
      </c>
      <c r="D719" s="1" t="s">
        <v>224</v>
      </c>
      <c r="E719" s="18">
        <v>2</v>
      </c>
    </row>
    <row r="720" customHeight="1" spans="1:5">
      <c r="A720" s="1" t="s">
        <v>260</v>
      </c>
      <c r="B720" s="69" t="s">
        <v>416</v>
      </c>
      <c r="C720" s="18" t="s">
        <v>419</v>
      </c>
      <c r="D720" s="1" t="s">
        <v>224</v>
      </c>
      <c r="E720" s="18">
        <v>3</v>
      </c>
    </row>
    <row r="721" customHeight="1" spans="1:5">
      <c r="A721" s="1" t="s">
        <v>260</v>
      </c>
      <c r="B721" s="69" t="s">
        <v>416</v>
      </c>
      <c r="C721" s="18" t="s">
        <v>419</v>
      </c>
      <c r="D721" s="1" t="s">
        <v>224</v>
      </c>
      <c r="E721" s="18">
        <v>4</v>
      </c>
    </row>
    <row r="722" customHeight="1" spans="1:5">
      <c r="A722" s="1" t="s">
        <v>260</v>
      </c>
      <c r="B722" s="69" t="s">
        <v>416</v>
      </c>
      <c r="C722" s="18" t="s">
        <v>419</v>
      </c>
      <c r="D722" s="1" t="s">
        <v>224</v>
      </c>
      <c r="E722" s="18">
        <v>5</v>
      </c>
    </row>
    <row r="723" customHeight="1" spans="1:5">
      <c r="A723" s="1" t="s">
        <v>260</v>
      </c>
      <c r="B723" s="69" t="s">
        <v>416</v>
      </c>
      <c r="C723" s="5" t="s">
        <v>419</v>
      </c>
      <c r="D723" s="1" t="s">
        <v>224</v>
      </c>
      <c r="E723" s="5">
        <v>1</v>
      </c>
    </row>
    <row r="724" customHeight="1" spans="1:5">
      <c r="A724" s="1" t="s">
        <v>260</v>
      </c>
      <c r="B724" s="69" t="s">
        <v>416</v>
      </c>
      <c r="C724" s="5" t="s">
        <v>419</v>
      </c>
      <c r="D724" s="1" t="s">
        <v>224</v>
      </c>
      <c r="E724" s="5">
        <v>2</v>
      </c>
    </row>
    <row r="725" customHeight="1" spans="1:5">
      <c r="A725" s="1" t="s">
        <v>260</v>
      </c>
      <c r="B725" s="69" t="s">
        <v>416</v>
      </c>
      <c r="C725" s="5" t="s">
        <v>419</v>
      </c>
      <c r="D725" s="1" t="s">
        <v>224</v>
      </c>
      <c r="E725" s="5">
        <v>3</v>
      </c>
    </row>
    <row r="726" customHeight="1" spans="1:5">
      <c r="A726" s="1" t="s">
        <v>260</v>
      </c>
      <c r="B726" s="69" t="s">
        <v>416</v>
      </c>
      <c r="C726" s="5" t="s">
        <v>419</v>
      </c>
      <c r="D726" s="1" t="s">
        <v>224</v>
      </c>
      <c r="E726" s="5">
        <v>4</v>
      </c>
    </row>
    <row r="727" customHeight="1" spans="1:5">
      <c r="A727" s="1" t="s">
        <v>260</v>
      </c>
      <c r="B727" s="69" t="s">
        <v>416</v>
      </c>
      <c r="C727" s="5" t="s">
        <v>419</v>
      </c>
      <c r="D727" s="1" t="s">
        <v>224</v>
      </c>
      <c r="E727" s="5">
        <v>5</v>
      </c>
    </row>
    <row r="728" customHeight="1" spans="1:5">
      <c r="A728" s="1" t="s">
        <v>291</v>
      </c>
      <c r="B728" s="69" t="s">
        <v>416</v>
      </c>
      <c r="C728" s="18" t="s">
        <v>420</v>
      </c>
      <c r="D728" s="1" t="s">
        <v>225</v>
      </c>
      <c r="E728" s="18">
        <v>1</v>
      </c>
    </row>
    <row r="729" customHeight="1" spans="1:5">
      <c r="A729" s="1" t="s">
        <v>291</v>
      </c>
      <c r="B729" s="69" t="s">
        <v>416</v>
      </c>
      <c r="C729" s="18" t="s">
        <v>420</v>
      </c>
      <c r="D729" s="1" t="s">
        <v>225</v>
      </c>
      <c r="E729" s="18">
        <v>2</v>
      </c>
    </row>
    <row r="730" customHeight="1" spans="1:5">
      <c r="A730" s="1" t="s">
        <v>291</v>
      </c>
      <c r="B730" s="69" t="s">
        <v>416</v>
      </c>
      <c r="C730" s="18" t="s">
        <v>420</v>
      </c>
      <c r="D730" s="1" t="s">
        <v>225</v>
      </c>
      <c r="E730" s="18">
        <v>3</v>
      </c>
    </row>
    <row r="731" customHeight="1" spans="1:5">
      <c r="A731" s="1" t="s">
        <v>291</v>
      </c>
      <c r="B731" s="69" t="s">
        <v>416</v>
      </c>
      <c r="C731" s="18" t="s">
        <v>420</v>
      </c>
      <c r="D731" s="1" t="s">
        <v>225</v>
      </c>
      <c r="E731" s="18">
        <v>4</v>
      </c>
    </row>
    <row r="732" customHeight="1" spans="1:5">
      <c r="A732" s="1" t="s">
        <v>291</v>
      </c>
      <c r="B732" s="69" t="s">
        <v>416</v>
      </c>
      <c r="C732" s="18" t="s">
        <v>420</v>
      </c>
      <c r="D732" s="1" t="s">
        <v>225</v>
      </c>
      <c r="E732" s="18">
        <v>5</v>
      </c>
    </row>
    <row r="733" customHeight="1" spans="1:5">
      <c r="A733" s="1" t="s">
        <v>291</v>
      </c>
      <c r="B733" s="69" t="s">
        <v>416</v>
      </c>
      <c r="C733" s="18" t="s">
        <v>420</v>
      </c>
      <c r="D733" s="1" t="s">
        <v>225</v>
      </c>
      <c r="E733" s="18">
        <v>6</v>
      </c>
    </row>
    <row r="734" customHeight="1" spans="1:5">
      <c r="A734" s="1" t="s">
        <v>291</v>
      </c>
      <c r="B734" s="69" t="s">
        <v>416</v>
      </c>
      <c r="C734" s="18" t="s">
        <v>420</v>
      </c>
      <c r="D734" s="1" t="s">
        <v>225</v>
      </c>
      <c r="E734" s="18">
        <v>7</v>
      </c>
    </row>
    <row r="735" customHeight="1" spans="1:5">
      <c r="A735" s="1" t="s">
        <v>291</v>
      </c>
      <c r="B735" s="69" t="s">
        <v>416</v>
      </c>
      <c r="C735" s="18" t="s">
        <v>420</v>
      </c>
      <c r="D735" s="1" t="s">
        <v>225</v>
      </c>
      <c r="E735" s="18">
        <v>8</v>
      </c>
    </row>
    <row r="736" customHeight="1" spans="1:5">
      <c r="A736" s="1" t="s">
        <v>260</v>
      </c>
      <c r="B736" s="70" t="s">
        <v>421</v>
      </c>
      <c r="C736" s="5" t="s">
        <v>422</v>
      </c>
      <c r="D736" s="1" t="s">
        <v>222</v>
      </c>
      <c r="E736" s="5">
        <v>1</v>
      </c>
    </row>
    <row r="737" customHeight="1" spans="1:5">
      <c r="A737" s="1" t="s">
        <v>260</v>
      </c>
      <c r="B737" s="70" t="s">
        <v>421</v>
      </c>
      <c r="C737" s="5" t="s">
        <v>422</v>
      </c>
      <c r="D737" s="1" t="s">
        <v>222</v>
      </c>
      <c r="E737" s="5">
        <v>2</v>
      </c>
    </row>
    <row r="738" customHeight="1" spans="1:5">
      <c r="A738" s="1" t="s">
        <v>260</v>
      </c>
      <c r="B738" s="70" t="s">
        <v>421</v>
      </c>
      <c r="C738" s="5" t="s">
        <v>422</v>
      </c>
      <c r="D738" s="1" t="s">
        <v>222</v>
      </c>
      <c r="E738" s="5">
        <v>3</v>
      </c>
    </row>
    <row r="739" customHeight="1" spans="1:5">
      <c r="A739" s="1" t="s">
        <v>260</v>
      </c>
      <c r="B739" s="70" t="s">
        <v>421</v>
      </c>
      <c r="C739" s="5" t="s">
        <v>422</v>
      </c>
      <c r="D739" s="1" t="s">
        <v>222</v>
      </c>
      <c r="E739" s="5">
        <v>4</v>
      </c>
    </row>
    <row r="740" customHeight="1" spans="1:5">
      <c r="A740" s="1" t="s">
        <v>260</v>
      </c>
      <c r="B740" s="70" t="s">
        <v>421</v>
      </c>
      <c r="C740" s="5" t="s">
        <v>422</v>
      </c>
      <c r="D740" s="1" t="s">
        <v>222</v>
      </c>
      <c r="E740" s="5">
        <v>5</v>
      </c>
    </row>
    <row r="741" customHeight="1" spans="1:5">
      <c r="A741" s="1" t="s">
        <v>260</v>
      </c>
      <c r="B741" s="70" t="s">
        <v>421</v>
      </c>
      <c r="C741" s="18" t="s">
        <v>423</v>
      </c>
      <c r="D741" s="1" t="s">
        <v>223</v>
      </c>
      <c r="E741" s="18">
        <v>1</v>
      </c>
    </row>
    <row r="742" customHeight="1" spans="1:5">
      <c r="A742" s="1" t="s">
        <v>260</v>
      </c>
      <c r="B742" s="70" t="s">
        <v>421</v>
      </c>
      <c r="C742" s="18" t="s">
        <v>423</v>
      </c>
      <c r="D742" s="1" t="s">
        <v>223</v>
      </c>
      <c r="E742" s="18">
        <v>2</v>
      </c>
    </row>
    <row r="743" customHeight="1" spans="1:5">
      <c r="A743" s="1" t="s">
        <v>260</v>
      </c>
      <c r="B743" s="70" t="s">
        <v>421</v>
      </c>
      <c r="C743" s="18" t="s">
        <v>423</v>
      </c>
      <c r="D743" s="1" t="s">
        <v>223</v>
      </c>
      <c r="E743" s="18">
        <v>3</v>
      </c>
    </row>
    <row r="744" customHeight="1" spans="1:5">
      <c r="A744" s="1" t="s">
        <v>260</v>
      </c>
      <c r="B744" s="70" t="s">
        <v>421</v>
      </c>
      <c r="C744" s="18" t="s">
        <v>423</v>
      </c>
      <c r="D744" s="1" t="s">
        <v>223</v>
      </c>
      <c r="E744" s="18">
        <v>4</v>
      </c>
    </row>
    <row r="745" customHeight="1" spans="1:5">
      <c r="A745" s="1" t="s">
        <v>260</v>
      </c>
      <c r="B745" s="70" t="s">
        <v>421</v>
      </c>
      <c r="C745" s="18" t="s">
        <v>423</v>
      </c>
      <c r="D745" s="1" t="s">
        <v>223</v>
      </c>
      <c r="E745" s="18">
        <v>5</v>
      </c>
    </row>
    <row r="746" customHeight="1" spans="1:5">
      <c r="A746" s="1" t="s">
        <v>260</v>
      </c>
      <c r="B746" s="70" t="s">
        <v>421</v>
      </c>
      <c r="C746" s="5" t="s">
        <v>424</v>
      </c>
      <c r="D746" s="1" t="s">
        <v>224</v>
      </c>
      <c r="E746" s="5">
        <v>1</v>
      </c>
    </row>
    <row r="747" customHeight="1" spans="1:5">
      <c r="A747" s="1" t="s">
        <v>260</v>
      </c>
      <c r="B747" s="70" t="s">
        <v>421</v>
      </c>
      <c r="C747" s="5" t="s">
        <v>424</v>
      </c>
      <c r="D747" s="1" t="s">
        <v>224</v>
      </c>
      <c r="E747" s="5">
        <v>2</v>
      </c>
    </row>
    <row r="748" customHeight="1" spans="1:5">
      <c r="A748" s="1" t="s">
        <v>260</v>
      </c>
      <c r="B748" s="70" t="s">
        <v>421</v>
      </c>
      <c r="C748" s="5" t="s">
        <v>424</v>
      </c>
      <c r="D748" s="1" t="s">
        <v>224</v>
      </c>
      <c r="E748" s="5">
        <v>3</v>
      </c>
    </row>
    <row r="749" customHeight="1" spans="1:5">
      <c r="A749" s="1" t="s">
        <v>260</v>
      </c>
      <c r="B749" s="70" t="s">
        <v>421</v>
      </c>
      <c r="C749" s="5" t="s">
        <v>424</v>
      </c>
      <c r="D749" s="1" t="s">
        <v>224</v>
      </c>
      <c r="E749" s="5">
        <v>4</v>
      </c>
    </row>
    <row r="750" customHeight="1" spans="1:5">
      <c r="A750" s="1" t="s">
        <v>260</v>
      </c>
      <c r="B750" s="70" t="s">
        <v>421</v>
      </c>
      <c r="C750" s="5" t="s">
        <v>424</v>
      </c>
      <c r="D750" s="1" t="s">
        <v>224</v>
      </c>
      <c r="E750" s="5">
        <v>5</v>
      </c>
    </row>
    <row r="751" customHeight="1" spans="1:5">
      <c r="A751" s="1" t="s">
        <v>260</v>
      </c>
      <c r="B751" s="70" t="s">
        <v>421</v>
      </c>
      <c r="C751" s="18" t="s">
        <v>424</v>
      </c>
      <c r="D751" s="1" t="s">
        <v>224</v>
      </c>
      <c r="E751" s="18">
        <v>1</v>
      </c>
    </row>
    <row r="752" customHeight="1" spans="1:5">
      <c r="A752" s="1" t="s">
        <v>260</v>
      </c>
      <c r="B752" s="70" t="s">
        <v>421</v>
      </c>
      <c r="C752" s="18" t="s">
        <v>424</v>
      </c>
      <c r="D752" s="1" t="s">
        <v>224</v>
      </c>
      <c r="E752" s="18">
        <v>2</v>
      </c>
    </row>
    <row r="753" customHeight="1" spans="1:5">
      <c r="A753" s="1" t="s">
        <v>260</v>
      </c>
      <c r="B753" s="70" t="s">
        <v>421</v>
      </c>
      <c r="C753" s="18" t="s">
        <v>424</v>
      </c>
      <c r="D753" s="1" t="s">
        <v>224</v>
      </c>
      <c r="E753" s="18">
        <v>3</v>
      </c>
    </row>
    <row r="754" customHeight="1" spans="1:5">
      <c r="A754" s="1" t="s">
        <v>260</v>
      </c>
      <c r="B754" s="70" t="s">
        <v>421</v>
      </c>
      <c r="C754" s="18" t="s">
        <v>424</v>
      </c>
      <c r="D754" s="1" t="s">
        <v>224</v>
      </c>
      <c r="E754" s="18">
        <v>4</v>
      </c>
    </row>
    <row r="755" customHeight="1" spans="1:5">
      <c r="A755" s="1" t="s">
        <v>260</v>
      </c>
      <c r="B755" s="70" t="s">
        <v>421</v>
      </c>
      <c r="C755" s="18" t="s">
        <v>424</v>
      </c>
      <c r="D755" s="1" t="s">
        <v>224</v>
      </c>
      <c r="E755" s="18">
        <v>5</v>
      </c>
    </row>
    <row r="756" customHeight="1" spans="1:5">
      <c r="A756" s="1" t="s">
        <v>291</v>
      </c>
      <c r="B756" s="70" t="s">
        <v>421</v>
      </c>
      <c r="C756" s="5" t="s">
        <v>425</v>
      </c>
      <c r="D756" s="1" t="s">
        <v>225</v>
      </c>
      <c r="E756" s="5">
        <v>1</v>
      </c>
    </row>
    <row r="757" customHeight="1" spans="1:5">
      <c r="A757" s="1" t="s">
        <v>291</v>
      </c>
      <c r="B757" s="70" t="s">
        <v>421</v>
      </c>
      <c r="C757" s="5" t="s">
        <v>425</v>
      </c>
      <c r="D757" s="1" t="s">
        <v>225</v>
      </c>
      <c r="E757" s="5">
        <v>2</v>
      </c>
    </row>
    <row r="758" customHeight="1" spans="1:5">
      <c r="A758" s="1" t="s">
        <v>291</v>
      </c>
      <c r="B758" s="70" t="s">
        <v>421</v>
      </c>
      <c r="C758" s="5" t="s">
        <v>425</v>
      </c>
      <c r="D758" s="1" t="s">
        <v>225</v>
      </c>
      <c r="E758" s="5">
        <v>3</v>
      </c>
    </row>
    <row r="759" customHeight="1" spans="1:5">
      <c r="A759" s="1" t="s">
        <v>291</v>
      </c>
      <c r="B759" s="70" t="s">
        <v>421</v>
      </c>
      <c r="C759" s="5" t="s">
        <v>425</v>
      </c>
      <c r="D759" s="1" t="s">
        <v>225</v>
      </c>
      <c r="E759" s="5">
        <v>4</v>
      </c>
    </row>
    <row r="760" customHeight="1" spans="1:5">
      <c r="A760" s="1" t="s">
        <v>291</v>
      </c>
      <c r="B760" s="70" t="s">
        <v>421</v>
      </c>
      <c r="C760" s="5" t="s">
        <v>425</v>
      </c>
      <c r="D760" s="1" t="s">
        <v>225</v>
      </c>
      <c r="E760" s="5">
        <v>5</v>
      </c>
    </row>
    <row r="761" customHeight="1" spans="1:5">
      <c r="A761" s="1" t="s">
        <v>291</v>
      </c>
      <c r="B761" s="70" t="s">
        <v>421</v>
      </c>
      <c r="C761" s="5" t="s">
        <v>425</v>
      </c>
      <c r="D761" s="1" t="s">
        <v>225</v>
      </c>
      <c r="E761" s="5">
        <v>6</v>
      </c>
    </row>
    <row r="762" customHeight="1" spans="1:5">
      <c r="A762" s="1" t="s">
        <v>291</v>
      </c>
      <c r="B762" s="70" t="s">
        <v>421</v>
      </c>
      <c r="C762" s="5" t="s">
        <v>425</v>
      </c>
      <c r="D762" s="1" t="s">
        <v>225</v>
      </c>
      <c r="E762" s="5">
        <v>7</v>
      </c>
    </row>
    <row r="763" customHeight="1" spans="1:5">
      <c r="A763" s="1" t="s">
        <v>291</v>
      </c>
      <c r="B763" s="70" t="s">
        <v>421</v>
      </c>
      <c r="C763" s="5" t="s">
        <v>425</v>
      </c>
      <c r="D763" s="1" t="s">
        <v>225</v>
      </c>
      <c r="E763" s="5">
        <v>8</v>
      </c>
    </row>
    <row r="764" customHeight="1" spans="1:5">
      <c r="A764" s="1" t="s">
        <v>260</v>
      </c>
      <c r="B764" s="69" t="s">
        <v>426</v>
      </c>
      <c r="C764" s="18" t="s">
        <v>427</v>
      </c>
      <c r="D764" s="1" t="s">
        <v>222</v>
      </c>
      <c r="E764" s="18">
        <v>1</v>
      </c>
    </row>
    <row r="765" customHeight="1" spans="1:5">
      <c r="A765" s="1" t="s">
        <v>260</v>
      </c>
      <c r="B765" s="69" t="s">
        <v>426</v>
      </c>
      <c r="C765" s="18" t="s">
        <v>427</v>
      </c>
      <c r="D765" s="1" t="s">
        <v>222</v>
      </c>
      <c r="E765" s="18">
        <v>2</v>
      </c>
    </row>
    <row r="766" customHeight="1" spans="1:5">
      <c r="A766" s="1" t="s">
        <v>260</v>
      </c>
      <c r="B766" s="69" t="s">
        <v>426</v>
      </c>
      <c r="C766" s="18" t="s">
        <v>427</v>
      </c>
      <c r="D766" s="1" t="s">
        <v>222</v>
      </c>
      <c r="E766" s="18">
        <v>3</v>
      </c>
    </row>
    <row r="767" customHeight="1" spans="1:5">
      <c r="A767" s="1" t="s">
        <v>260</v>
      </c>
      <c r="B767" s="69" t="s">
        <v>426</v>
      </c>
      <c r="C767" s="18" t="s">
        <v>427</v>
      </c>
      <c r="D767" s="1" t="s">
        <v>222</v>
      </c>
      <c r="E767" s="18">
        <v>4</v>
      </c>
    </row>
    <row r="768" customHeight="1" spans="1:5">
      <c r="A768" s="1" t="s">
        <v>260</v>
      </c>
      <c r="B768" s="69" t="s">
        <v>426</v>
      </c>
      <c r="C768" s="18" t="s">
        <v>427</v>
      </c>
      <c r="D768" s="1" t="s">
        <v>222</v>
      </c>
      <c r="E768" s="18">
        <v>5</v>
      </c>
    </row>
    <row r="769" customHeight="1" spans="1:5">
      <c r="A769" s="1" t="s">
        <v>260</v>
      </c>
      <c r="B769" s="69" t="s">
        <v>426</v>
      </c>
      <c r="C769" s="5" t="s">
        <v>428</v>
      </c>
      <c r="D769" s="1" t="s">
        <v>223</v>
      </c>
      <c r="E769" s="5">
        <v>1</v>
      </c>
    </row>
    <row r="770" customHeight="1" spans="1:5">
      <c r="A770" s="1" t="s">
        <v>260</v>
      </c>
      <c r="B770" s="69" t="s">
        <v>426</v>
      </c>
      <c r="C770" s="5" t="s">
        <v>428</v>
      </c>
      <c r="D770" s="1" t="s">
        <v>223</v>
      </c>
      <c r="E770" s="5">
        <v>2</v>
      </c>
    </row>
    <row r="771" customHeight="1" spans="1:5">
      <c r="A771" s="1" t="s">
        <v>260</v>
      </c>
      <c r="B771" s="69" t="s">
        <v>426</v>
      </c>
      <c r="C771" s="5" t="s">
        <v>428</v>
      </c>
      <c r="D771" s="1" t="s">
        <v>223</v>
      </c>
      <c r="E771" s="5">
        <v>3</v>
      </c>
    </row>
    <row r="772" customHeight="1" spans="1:5">
      <c r="A772" s="1" t="s">
        <v>260</v>
      </c>
      <c r="B772" s="69" t="s">
        <v>426</v>
      </c>
      <c r="C772" s="5" t="s">
        <v>428</v>
      </c>
      <c r="D772" s="1" t="s">
        <v>223</v>
      </c>
      <c r="E772" s="5">
        <v>4</v>
      </c>
    </row>
    <row r="773" customHeight="1" spans="1:5">
      <c r="A773" s="1" t="s">
        <v>260</v>
      </c>
      <c r="B773" s="69" t="s">
        <v>426</v>
      </c>
      <c r="C773" s="5" t="s">
        <v>428</v>
      </c>
      <c r="D773" s="1" t="s">
        <v>223</v>
      </c>
      <c r="E773" s="5">
        <v>5</v>
      </c>
    </row>
    <row r="774" customHeight="1" spans="1:5">
      <c r="A774" s="1" t="s">
        <v>260</v>
      </c>
      <c r="B774" s="69" t="s">
        <v>426</v>
      </c>
      <c r="C774" s="18" t="s">
        <v>429</v>
      </c>
      <c r="D774" s="1" t="s">
        <v>224</v>
      </c>
      <c r="E774" s="18">
        <v>1</v>
      </c>
    </row>
    <row r="775" customHeight="1" spans="1:5">
      <c r="A775" s="1" t="s">
        <v>260</v>
      </c>
      <c r="B775" s="69" t="s">
        <v>426</v>
      </c>
      <c r="C775" s="18" t="s">
        <v>429</v>
      </c>
      <c r="D775" s="1" t="s">
        <v>224</v>
      </c>
      <c r="E775" s="18">
        <v>2</v>
      </c>
    </row>
    <row r="776" customHeight="1" spans="1:5">
      <c r="A776" s="1" t="s">
        <v>260</v>
      </c>
      <c r="B776" s="69" t="s">
        <v>426</v>
      </c>
      <c r="C776" s="18" t="s">
        <v>429</v>
      </c>
      <c r="D776" s="1" t="s">
        <v>224</v>
      </c>
      <c r="E776" s="18">
        <v>3</v>
      </c>
    </row>
    <row r="777" customHeight="1" spans="1:5">
      <c r="A777" s="1" t="s">
        <v>260</v>
      </c>
      <c r="B777" s="69" t="s">
        <v>426</v>
      </c>
      <c r="C777" s="18" t="s">
        <v>429</v>
      </c>
      <c r="D777" s="1" t="s">
        <v>224</v>
      </c>
      <c r="E777" s="18">
        <v>4</v>
      </c>
    </row>
    <row r="778" customHeight="1" spans="1:5">
      <c r="A778" s="1" t="s">
        <v>260</v>
      </c>
      <c r="B778" s="69" t="s">
        <v>426</v>
      </c>
      <c r="C778" s="18" t="s">
        <v>429</v>
      </c>
      <c r="D778" s="1" t="s">
        <v>224</v>
      </c>
      <c r="E778" s="18">
        <v>5</v>
      </c>
    </row>
    <row r="779" customHeight="1" spans="1:5">
      <c r="A779" s="1" t="s">
        <v>260</v>
      </c>
      <c r="B779" s="69" t="s">
        <v>426</v>
      </c>
      <c r="C779" s="5" t="s">
        <v>429</v>
      </c>
      <c r="D779" s="1" t="s">
        <v>224</v>
      </c>
      <c r="E779" s="5">
        <v>1</v>
      </c>
    </row>
    <row r="780" customHeight="1" spans="1:5">
      <c r="A780" s="1" t="s">
        <v>260</v>
      </c>
      <c r="B780" s="69" t="s">
        <v>426</v>
      </c>
      <c r="C780" s="5" t="s">
        <v>429</v>
      </c>
      <c r="D780" s="1" t="s">
        <v>224</v>
      </c>
      <c r="E780" s="5">
        <v>2</v>
      </c>
    </row>
    <row r="781" customHeight="1" spans="1:5">
      <c r="A781" s="1" t="s">
        <v>260</v>
      </c>
      <c r="B781" s="69" t="s">
        <v>426</v>
      </c>
      <c r="C781" s="5" t="s">
        <v>429</v>
      </c>
      <c r="D781" s="1" t="s">
        <v>224</v>
      </c>
      <c r="E781" s="5">
        <v>3</v>
      </c>
    </row>
    <row r="782" customHeight="1" spans="1:5">
      <c r="A782" s="1" t="s">
        <v>260</v>
      </c>
      <c r="B782" s="69" t="s">
        <v>426</v>
      </c>
      <c r="C782" s="5" t="s">
        <v>429</v>
      </c>
      <c r="D782" s="1" t="s">
        <v>224</v>
      </c>
      <c r="E782" s="5">
        <v>4</v>
      </c>
    </row>
    <row r="783" customHeight="1" spans="1:5">
      <c r="A783" s="1" t="s">
        <v>260</v>
      </c>
      <c r="B783" s="69" t="s">
        <v>426</v>
      </c>
      <c r="C783" s="5" t="s">
        <v>429</v>
      </c>
      <c r="D783" s="1" t="s">
        <v>224</v>
      </c>
      <c r="E783" s="5">
        <v>5</v>
      </c>
    </row>
    <row r="784" customHeight="1" spans="1:5">
      <c r="A784" s="1" t="s">
        <v>291</v>
      </c>
      <c r="B784" s="69" t="s">
        <v>426</v>
      </c>
      <c r="C784" s="18" t="s">
        <v>430</v>
      </c>
      <c r="D784" s="1" t="s">
        <v>225</v>
      </c>
      <c r="E784" s="18">
        <v>1</v>
      </c>
    </row>
    <row r="785" customHeight="1" spans="1:5">
      <c r="A785" s="1" t="s">
        <v>291</v>
      </c>
      <c r="B785" s="69" t="s">
        <v>426</v>
      </c>
      <c r="C785" s="18" t="s">
        <v>430</v>
      </c>
      <c r="D785" s="1" t="s">
        <v>225</v>
      </c>
      <c r="E785" s="18">
        <v>2</v>
      </c>
    </row>
    <row r="786" customHeight="1" spans="1:5">
      <c r="A786" s="1" t="s">
        <v>291</v>
      </c>
      <c r="B786" s="69" t="s">
        <v>426</v>
      </c>
      <c r="C786" s="18" t="s">
        <v>430</v>
      </c>
      <c r="D786" s="1" t="s">
        <v>225</v>
      </c>
      <c r="E786" s="18">
        <v>3</v>
      </c>
    </row>
    <row r="787" customHeight="1" spans="1:5">
      <c r="A787" s="1" t="s">
        <v>291</v>
      </c>
      <c r="B787" s="69" t="s">
        <v>426</v>
      </c>
      <c r="C787" s="18" t="s">
        <v>430</v>
      </c>
      <c r="D787" s="1" t="s">
        <v>225</v>
      </c>
      <c r="E787" s="18">
        <v>4</v>
      </c>
    </row>
    <row r="788" customHeight="1" spans="1:5">
      <c r="A788" s="1" t="s">
        <v>291</v>
      </c>
      <c r="B788" s="69" t="s">
        <v>426</v>
      </c>
      <c r="C788" s="18" t="s">
        <v>430</v>
      </c>
      <c r="D788" s="1" t="s">
        <v>225</v>
      </c>
      <c r="E788" s="18">
        <v>5</v>
      </c>
    </row>
    <row r="789" customHeight="1" spans="1:5">
      <c r="A789" s="1" t="s">
        <v>291</v>
      </c>
      <c r="B789" s="69" t="s">
        <v>426</v>
      </c>
      <c r="C789" s="18" t="s">
        <v>430</v>
      </c>
      <c r="D789" s="1" t="s">
        <v>225</v>
      </c>
      <c r="E789" s="18">
        <v>6</v>
      </c>
    </row>
    <row r="790" customHeight="1" spans="1:5">
      <c r="A790" s="1" t="s">
        <v>291</v>
      </c>
      <c r="B790" s="69" t="s">
        <v>426</v>
      </c>
      <c r="C790" s="18" t="s">
        <v>430</v>
      </c>
      <c r="D790" s="1" t="s">
        <v>225</v>
      </c>
      <c r="E790" s="18">
        <v>7</v>
      </c>
    </row>
    <row r="791" customHeight="1" spans="1:5">
      <c r="A791" s="1" t="s">
        <v>291</v>
      </c>
      <c r="B791" s="69" t="s">
        <v>426</v>
      </c>
      <c r="C791" s="18" t="s">
        <v>430</v>
      </c>
      <c r="D791" s="1" t="s">
        <v>225</v>
      </c>
      <c r="E791" s="18">
        <v>8</v>
      </c>
    </row>
    <row r="792" customHeight="1" spans="1:5">
      <c r="A792" s="1" t="s">
        <v>220</v>
      </c>
      <c r="B792" s="69" t="s">
        <v>431</v>
      </c>
      <c r="C792" s="5" t="s">
        <v>432</v>
      </c>
      <c r="D792" s="1" t="s">
        <v>222</v>
      </c>
      <c r="E792" s="5">
        <v>1</v>
      </c>
    </row>
    <row r="793" customHeight="1" spans="1:5">
      <c r="A793" s="1" t="s">
        <v>220</v>
      </c>
      <c r="B793" s="69" t="s">
        <v>431</v>
      </c>
      <c r="C793" s="5" t="s">
        <v>432</v>
      </c>
      <c r="D793" s="1" t="s">
        <v>222</v>
      </c>
      <c r="E793" s="5">
        <v>2</v>
      </c>
    </row>
    <row r="794" customHeight="1" spans="1:5">
      <c r="A794" s="1" t="s">
        <v>220</v>
      </c>
      <c r="B794" s="69" t="s">
        <v>431</v>
      </c>
      <c r="C794" s="5" t="s">
        <v>432</v>
      </c>
      <c r="D794" s="1" t="s">
        <v>222</v>
      </c>
      <c r="E794" s="5">
        <v>3</v>
      </c>
    </row>
    <row r="795" customHeight="1" spans="1:5">
      <c r="A795" s="1" t="s">
        <v>220</v>
      </c>
      <c r="B795" s="69" t="s">
        <v>431</v>
      </c>
      <c r="C795" s="5" t="s">
        <v>432</v>
      </c>
      <c r="D795" s="1" t="s">
        <v>222</v>
      </c>
      <c r="E795" s="5">
        <v>4</v>
      </c>
    </row>
    <row r="796" customHeight="1" spans="1:5">
      <c r="A796" s="1" t="s">
        <v>220</v>
      </c>
      <c r="B796" s="69" t="s">
        <v>431</v>
      </c>
      <c r="C796" s="5" t="s">
        <v>432</v>
      </c>
      <c r="D796" s="1" t="s">
        <v>222</v>
      </c>
      <c r="E796" s="5">
        <v>5</v>
      </c>
    </row>
    <row r="797" customHeight="1" spans="1:5">
      <c r="A797" s="1" t="s">
        <v>220</v>
      </c>
      <c r="B797" s="69" t="s">
        <v>431</v>
      </c>
      <c r="C797" s="18" t="s">
        <v>433</v>
      </c>
      <c r="D797" s="1" t="s">
        <v>224</v>
      </c>
      <c r="E797" s="18">
        <v>1</v>
      </c>
    </row>
    <row r="798" customHeight="1" spans="1:5">
      <c r="A798" s="1" t="s">
        <v>220</v>
      </c>
      <c r="B798" s="69" t="s">
        <v>431</v>
      </c>
      <c r="C798" s="18" t="s">
        <v>433</v>
      </c>
      <c r="D798" s="1" t="s">
        <v>224</v>
      </c>
      <c r="E798" s="18">
        <v>2</v>
      </c>
    </row>
    <row r="799" customHeight="1" spans="1:5">
      <c r="A799" s="1" t="s">
        <v>220</v>
      </c>
      <c r="B799" s="69" t="s">
        <v>431</v>
      </c>
      <c r="C799" s="18" t="s">
        <v>433</v>
      </c>
      <c r="D799" s="1" t="s">
        <v>224</v>
      </c>
      <c r="E799" s="18">
        <v>3</v>
      </c>
    </row>
    <row r="800" customHeight="1" spans="1:5">
      <c r="A800" s="1" t="s">
        <v>220</v>
      </c>
      <c r="B800" s="69" t="s">
        <v>431</v>
      </c>
      <c r="C800" s="18" t="s">
        <v>433</v>
      </c>
      <c r="D800" s="1" t="s">
        <v>224</v>
      </c>
      <c r="E800" s="18">
        <v>4</v>
      </c>
    </row>
    <row r="801" customHeight="1" spans="1:5">
      <c r="A801" s="1" t="s">
        <v>220</v>
      </c>
      <c r="B801" s="69" t="s">
        <v>431</v>
      </c>
      <c r="C801" s="18" t="s">
        <v>433</v>
      </c>
      <c r="D801" s="1" t="s">
        <v>224</v>
      </c>
      <c r="E801" s="18">
        <v>5</v>
      </c>
    </row>
    <row r="802" customHeight="1" spans="1:5">
      <c r="A802" s="1" t="s">
        <v>220</v>
      </c>
      <c r="B802" s="69" t="s">
        <v>431</v>
      </c>
      <c r="C802" s="5" t="s">
        <v>433</v>
      </c>
      <c r="D802" s="1" t="s">
        <v>224</v>
      </c>
      <c r="E802" s="5">
        <v>1</v>
      </c>
    </row>
    <row r="803" customHeight="1" spans="1:5">
      <c r="A803" s="1" t="s">
        <v>220</v>
      </c>
      <c r="B803" s="69" t="s">
        <v>431</v>
      </c>
      <c r="C803" s="5" t="s">
        <v>433</v>
      </c>
      <c r="D803" s="1" t="s">
        <v>224</v>
      </c>
      <c r="E803" s="5">
        <v>2</v>
      </c>
    </row>
    <row r="804" customHeight="1" spans="1:5">
      <c r="A804" s="1" t="s">
        <v>220</v>
      </c>
      <c r="B804" s="69" t="s">
        <v>431</v>
      </c>
      <c r="C804" s="5" t="s">
        <v>433</v>
      </c>
      <c r="D804" s="1" t="s">
        <v>224</v>
      </c>
      <c r="E804" s="5">
        <v>3</v>
      </c>
    </row>
    <row r="805" customHeight="1" spans="1:5">
      <c r="A805" s="1" t="s">
        <v>220</v>
      </c>
      <c r="B805" s="69" t="s">
        <v>431</v>
      </c>
      <c r="C805" s="5" t="s">
        <v>433</v>
      </c>
      <c r="D805" s="1" t="s">
        <v>224</v>
      </c>
      <c r="E805" s="5">
        <v>4</v>
      </c>
    </row>
    <row r="806" customHeight="1" spans="1:5">
      <c r="A806" s="1" t="s">
        <v>220</v>
      </c>
      <c r="B806" s="69" t="s">
        <v>431</v>
      </c>
      <c r="C806" s="5" t="s">
        <v>433</v>
      </c>
      <c r="D806" s="1" t="s">
        <v>224</v>
      </c>
      <c r="E806" s="5">
        <v>5</v>
      </c>
    </row>
    <row r="807" customHeight="1" spans="1:5">
      <c r="A807" s="1" t="s">
        <v>291</v>
      </c>
      <c r="B807" s="69" t="s">
        <v>431</v>
      </c>
      <c r="C807" s="18" t="s">
        <v>434</v>
      </c>
      <c r="D807" s="1" t="s">
        <v>225</v>
      </c>
      <c r="E807" s="18">
        <v>1</v>
      </c>
    </row>
    <row r="808" customHeight="1" spans="1:5">
      <c r="A808" s="1" t="s">
        <v>291</v>
      </c>
      <c r="B808" s="69" t="s">
        <v>431</v>
      </c>
      <c r="C808" s="18" t="s">
        <v>434</v>
      </c>
      <c r="D808" s="1" t="s">
        <v>225</v>
      </c>
      <c r="E808" s="18">
        <v>2</v>
      </c>
    </row>
    <row r="809" customHeight="1" spans="1:5">
      <c r="A809" s="1" t="s">
        <v>291</v>
      </c>
      <c r="B809" s="69" t="s">
        <v>431</v>
      </c>
      <c r="C809" s="18" t="s">
        <v>434</v>
      </c>
      <c r="D809" s="1" t="s">
        <v>225</v>
      </c>
      <c r="E809" s="18">
        <v>3</v>
      </c>
    </row>
    <row r="810" customHeight="1" spans="1:5">
      <c r="A810" s="1" t="s">
        <v>291</v>
      </c>
      <c r="B810" s="69" t="s">
        <v>431</v>
      </c>
      <c r="C810" s="18" t="s">
        <v>434</v>
      </c>
      <c r="D810" s="1" t="s">
        <v>225</v>
      </c>
      <c r="E810" s="18">
        <v>4</v>
      </c>
    </row>
    <row r="811" customHeight="1" spans="1:5">
      <c r="A811" s="1" t="s">
        <v>291</v>
      </c>
      <c r="B811" s="69" t="s">
        <v>431</v>
      </c>
      <c r="C811" s="18" t="s">
        <v>434</v>
      </c>
      <c r="D811" s="1" t="s">
        <v>225</v>
      </c>
      <c r="E811" s="18">
        <v>5</v>
      </c>
    </row>
    <row r="812" customHeight="1" spans="1:5">
      <c r="A812" s="1" t="s">
        <v>291</v>
      </c>
      <c r="B812" s="69" t="s">
        <v>431</v>
      </c>
      <c r="C812" s="18" t="s">
        <v>434</v>
      </c>
      <c r="D812" s="1" t="s">
        <v>225</v>
      </c>
      <c r="E812" s="18">
        <v>6</v>
      </c>
    </row>
    <row r="813" customHeight="1" spans="1:5">
      <c r="A813" s="1" t="s">
        <v>291</v>
      </c>
      <c r="B813" s="69" t="s">
        <v>431</v>
      </c>
      <c r="C813" s="18" t="s">
        <v>434</v>
      </c>
      <c r="D813" s="1" t="s">
        <v>225</v>
      </c>
      <c r="E813" s="18">
        <v>7</v>
      </c>
    </row>
    <row r="814" customHeight="1" spans="1:5">
      <c r="A814" s="1" t="s">
        <v>291</v>
      </c>
      <c r="B814" s="69" t="s">
        <v>431</v>
      </c>
      <c r="C814" s="18" t="s">
        <v>434</v>
      </c>
      <c r="D814" s="1" t="s">
        <v>225</v>
      </c>
      <c r="E814" s="18">
        <v>8</v>
      </c>
    </row>
    <row r="815" customHeight="1" spans="1:5">
      <c r="A815" s="1" t="s">
        <v>220</v>
      </c>
      <c r="B815" s="70" t="s">
        <v>435</v>
      </c>
      <c r="C815" s="5" t="s">
        <v>436</v>
      </c>
      <c r="D815" s="1" t="s">
        <v>222</v>
      </c>
      <c r="E815" s="5">
        <v>1</v>
      </c>
    </row>
    <row r="816" customHeight="1" spans="1:5">
      <c r="A816" s="1" t="s">
        <v>220</v>
      </c>
      <c r="B816" s="70" t="s">
        <v>435</v>
      </c>
      <c r="C816" s="5" t="s">
        <v>436</v>
      </c>
      <c r="D816" s="1" t="s">
        <v>222</v>
      </c>
      <c r="E816" s="5">
        <v>2</v>
      </c>
    </row>
    <row r="817" customHeight="1" spans="1:5">
      <c r="A817" s="1" t="s">
        <v>220</v>
      </c>
      <c r="B817" s="70" t="s">
        <v>435</v>
      </c>
      <c r="C817" s="5" t="s">
        <v>436</v>
      </c>
      <c r="D817" s="1" t="s">
        <v>222</v>
      </c>
      <c r="E817" s="5">
        <v>3</v>
      </c>
    </row>
    <row r="818" customHeight="1" spans="1:5">
      <c r="A818" s="1" t="s">
        <v>220</v>
      </c>
      <c r="B818" s="70" t="s">
        <v>435</v>
      </c>
      <c r="C818" s="5" t="s">
        <v>436</v>
      </c>
      <c r="D818" s="1" t="s">
        <v>222</v>
      </c>
      <c r="E818" s="5">
        <v>4</v>
      </c>
    </row>
    <row r="819" customHeight="1" spans="1:5">
      <c r="A819" s="1" t="s">
        <v>220</v>
      </c>
      <c r="B819" s="70" t="s">
        <v>435</v>
      </c>
      <c r="C819" s="5" t="s">
        <v>436</v>
      </c>
      <c r="D819" s="1" t="s">
        <v>222</v>
      </c>
      <c r="E819" s="5">
        <v>5</v>
      </c>
    </row>
    <row r="820" customHeight="1" spans="1:5">
      <c r="A820" s="1" t="s">
        <v>220</v>
      </c>
      <c r="B820" s="70" t="s">
        <v>435</v>
      </c>
      <c r="C820" s="18" t="s">
        <v>437</v>
      </c>
      <c r="D820" s="1" t="s">
        <v>224</v>
      </c>
      <c r="E820" s="18">
        <v>1</v>
      </c>
    </row>
    <row r="821" customHeight="1" spans="1:5">
      <c r="A821" s="1" t="s">
        <v>220</v>
      </c>
      <c r="B821" s="70" t="s">
        <v>435</v>
      </c>
      <c r="C821" s="18" t="s">
        <v>437</v>
      </c>
      <c r="D821" s="1" t="s">
        <v>224</v>
      </c>
      <c r="E821" s="18">
        <v>2</v>
      </c>
    </row>
    <row r="822" customHeight="1" spans="1:5">
      <c r="A822" s="1" t="s">
        <v>220</v>
      </c>
      <c r="B822" s="70" t="s">
        <v>435</v>
      </c>
      <c r="C822" s="18" t="s">
        <v>437</v>
      </c>
      <c r="D822" s="1" t="s">
        <v>224</v>
      </c>
      <c r="E822" s="18">
        <v>3</v>
      </c>
    </row>
    <row r="823" customHeight="1" spans="1:5">
      <c r="A823" s="1" t="s">
        <v>220</v>
      </c>
      <c r="B823" s="70" t="s">
        <v>435</v>
      </c>
      <c r="C823" s="18" t="s">
        <v>437</v>
      </c>
      <c r="D823" s="1" t="s">
        <v>224</v>
      </c>
      <c r="E823" s="18">
        <v>4</v>
      </c>
    </row>
    <row r="824" customHeight="1" spans="1:5">
      <c r="A824" s="1" t="s">
        <v>220</v>
      </c>
      <c r="B824" s="70" t="s">
        <v>435</v>
      </c>
      <c r="C824" s="18" t="s">
        <v>437</v>
      </c>
      <c r="D824" s="1" t="s">
        <v>224</v>
      </c>
      <c r="E824" s="18">
        <v>5</v>
      </c>
    </row>
    <row r="825" customHeight="1" spans="1:5">
      <c r="A825" s="1" t="s">
        <v>220</v>
      </c>
      <c r="B825" s="70" t="s">
        <v>435</v>
      </c>
      <c r="C825" s="5" t="s">
        <v>437</v>
      </c>
      <c r="D825" s="1" t="s">
        <v>224</v>
      </c>
      <c r="E825" s="5">
        <v>1</v>
      </c>
    </row>
    <row r="826" customHeight="1" spans="1:5">
      <c r="A826" s="1" t="s">
        <v>220</v>
      </c>
      <c r="B826" s="70" t="s">
        <v>435</v>
      </c>
      <c r="C826" s="5" t="s">
        <v>437</v>
      </c>
      <c r="D826" s="1" t="s">
        <v>224</v>
      </c>
      <c r="E826" s="5">
        <v>2</v>
      </c>
    </row>
    <row r="827" customHeight="1" spans="1:5">
      <c r="A827" s="1" t="s">
        <v>220</v>
      </c>
      <c r="B827" s="70" t="s">
        <v>435</v>
      </c>
      <c r="C827" s="5" t="s">
        <v>437</v>
      </c>
      <c r="D827" s="1" t="s">
        <v>224</v>
      </c>
      <c r="E827" s="5">
        <v>3</v>
      </c>
    </row>
    <row r="828" customHeight="1" spans="1:5">
      <c r="A828" s="1" t="s">
        <v>220</v>
      </c>
      <c r="B828" s="70" t="s">
        <v>435</v>
      </c>
      <c r="C828" s="5" t="s">
        <v>437</v>
      </c>
      <c r="D828" s="1" t="s">
        <v>224</v>
      </c>
      <c r="E828" s="5">
        <v>4</v>
      </c>
    </row>
    <row r="829" customHeight="1" spans="1:5">
      <c r="A829" s="1" t="s">
        <v>220</v>
      </c>
      <c r="B829" s="70" t="s">
        <v>435</v>
      </c>
      <c r="C829" s="5" t="s">
        <v>437</v>
      </c>
      <c r="D829" s="1" t="s">
        <v>224</v>
      </c>
      <c r="E829" s="5">
        <v>5</v>
      </c>
    </row>
    <row r="830" customHeight="1" spans="1:5">
      <c r="A830" s="1" t="s">
        <v>291</v>
      </c>
      <c r="B830" s="70" t="s">
        <v>435</v>
      </c>
      <c r="C830" s="18" t="s">
        <v>438</v>
      </c>
      <c r="D830" s="1" t="s">
        <v>225</v>
      </c>
      <c r="E830" s="18">
        <v>1</v>
      </c>
    </row>
    <row r="831" customHeight="1" spans="1:5">
      <c r="A831" s="1" t="s">
        <v>291</v>
      </c>
      <c r="B831" s="70" t="s">
        <v>435</v>
      </c>
      <c r="C831" s="18" t="s">
        <v>438</v>
      </c>
      <c r="D831" s="1" t="s">
        <v>225</v>
      </c>
      <c r="E831" s="18">
        <v>2</v>
      </c>
    </row>
    <row r="832" customHeight="1" spans="1:5">
      <c r="A832" s="1" t="s">
        <v>291</v>
      </c>
      <c r="B832" s="70" t="s">
        <v>435</v>
      </c>
      <c r="C832" s="18" t="s">
        <v>438</v>
      </c>
      <c r="D832" s="1" t="s">
        <v>225</v>
      </c>
      <c r="E832" s="18">
        <v>3</v>
      </c>
    </row>
    <row r="833" customHeight="1" spans="1:5">
      <c r="A833" s="1" t="s">
        <v>291</v>
      </c>
      <c r="B833" s="70" t="s">
        <v>435</v>
      </c>
      <c r="C833" s="18" t="s">
        <v>438</v>
      </c>
      <c r="D833" s="1" t="s">
        <v>225</v>
      </c>
      <c r="E833" s="18">
        <v>4</v>
      </c>
    </row>
    <row r="834" customHeight="1" spans="1:5">
      <c r="A834" s="1" t="s">
        <v>291</v>
      </c>
      <c r="B834" s="70" t="s">
        <v>435</v>
      </c>
      <c r="C834" s="18" t="s">
        <v>438</v>
      </c>
      <c r="D834" s="1" t="s">
        <v>225</v>
      </c>
      <c r="E834" s="18">
        <v>5</v>
      </c>
    </row>
    <row r="835" customHeight="1" spans="1:5">
      <c r="A835" s="1" t="s">
        <v>291</v>
      </c>
      <c r="B835" s="70" t="s">
        <v>435</v>
      </c>
      <c r="C835" s="18" t="s">
        <v>438</v>
      </c>
      <c r="D835" s="1" t="s">
        <v>225</v>
      </c>
      <c r="E835" s="18">
        <v>6</v>
      </c>
    </row>
    <row r="836" customHeight="1" spans="1:5">
      <c r="A836" s="1" t="s">
        <v>291</v>
      </c>
      <c r="B836" s="70" t="s">
        <v>435</v>
      </c>
      <c r="C836" s="18" t="s">
        <v>438</v>
      </c>
      <c r="D836" s="1" t="s">
        <v>225</v>
      </c>
      <c r="E836" s="18">
        <v>7</v>
      </c>
    </row>
    <row r="837" customHeight="1" spans="1:5">
      <c r="A837" s="1" t="s">
        <v>291</v>
      </c>
      <c r="B837" s="70" t="s">
        <v>435</v>
      </c>
      <c r="C837" s="18" t="s">
        <v>438</v>
      </c>
      <c r="D837" s="1" t="s">
        <v>225</v>
      </c>
      <c r="E837" s="18">
        <v>8</v>
      </c>
    </row>
    <row r="838" customHeight="1" spans="1:5">
      <c r="A838" s="1" t="s">
        <v>220</v>
      </c>
      <c r="B838" s="69" t="s">
        <v>439</v>
      </c>
      <c r="C838" s="5" t="s">
        <v>440</v>
      </c>
      <c r="D838" s="1" t="s">
        <v>222</v>
      </c>
      <c r="E838" s="5">
        <v>1</v>
      </c>
    </row>
    <row r="839" customHeight="1" spans="1:5">
      <c r="A839" s="1" t="s">
        <v>220</v>
      </c>
      <c r="B839" s="69" t="s">
        <v>439</v>
      </c>
      <c r="C839" s="5" t="s">
        <v>440</v>
      </c>
      <c r="D839" s="1" t="s">
        <v>222</v>
      </c>
      <c r="E839" s="5">
        <v>2</v>
      </c>
    </row>
    <row r="840" customHeight="1" spans="1:5">
      <c r="A840" s="1" t="s">
        <v>220</v>
      </c>
      <c r="B840" s="69" t="s">
        <v>439</v>
      </c>
      <c r="C840" s="5" t="s">
        <v>440</v>
      </c>
      <c r="D840" s="1" t="s">
        <v>222</v>
      </c>
      <c r="E840" s="5">
        <v>3</v>
      </c>
    </row>
    <row r="841" customHeight="1" spans="1:5">
      <c r="A841" s="1" t="s">
        <v>220</v>
      </c>
      <c r="B841" s="69" t="s">
        <v>439</v>
      </c>
      <c r="C841" s="5" t="s">
        <v>440</v>
      </c>
      <c r="D841" s="1" t="s">
        <v>222</v>
      </c>
      <c r="E841" s="5">
        <v>4</v>
      </c>
    </row>
    <row r="842" customHeight="1" spans="1:5">
      <c r="A842" s="1" t="s">
        <v>220</v>
      </c>
      <c r="B842" s="69" t="s">
        <v>439</v>
      </c>
      <c r="C842" s="5" t="s">
        <v>440</v>
      </c>
      <c r="D842" s="1" t="s">
        <v>222</v>
      </c>
      <c r="E842" s="5">
        <v>5</v>
      </c>
    </row>
    <row r="843" customHeight="1" spans="1:5">
      <c r="A843" s="1" t="s">
        <v>220</v>
      </c>
      <c r="B843" s="69" t="s">
        <v>439</v>
      </c>
      <c r="C843" s="18" t="s">
        <v>441</v>
      </c>
      <c r="D843" s="1" t="s">
        <v>224</v>
      </c>
      <c r="E843" s="18">
        <v>1</v>
      </c>
    </row>
    <row r="844" customHeight="1" spans="1:5">
      <c r="A844" s="1" t="s">
        <v>220</v>
      </c>
      <c r="B844" s="69" t="s">
        <v>439</v>
      </c>
      <c r="C844" s="18" t="s">
        <v>441</v>
      </c>
      <c r="D844" s="1" t="s">
        <v>224</v>
      </c>
      <c r="E844" s="18">
        <v>2</v>
      </c>
    </row>
    <row r="845" customHeight="1" spans="1:5">
      <c r="A845" s="1" t="s">
        <v>220</v>
      </c>
      <c r="B845" s="69" t="s">
        <v>439</v>
      </c>
      <c r="C845" s="18" t="s">
        <v>441</v>
      </c>
      <c r="D845" s="1" t="s">
        <v>224</v>
      </c>
      <c r="E845" s="18">
        <v>3</v>
      </c>
    </row>
    <row r="846" customHeight="1" spans="1:5">
      <c r="A846" s="1" t="s">
        <v>220</v>
      </c>
      <c r="B846" s="69" t="s">
        <v>439</v>
      </c>
      <c r="C846" s="18" t="s">
        <v>441</v>
      </c>
      <c r="D846" s="1" t="s">
        <v>224</v>
      </c>
      <c r="E846" s="18">
        <v>4</v>
      </c>
    </row>
    <row r="847" customHeight="1" spans="1:5">
      <c r="A847" s="1" t="s">
        <v>220</v>
      </c>
      <c r="B847" s="69" t="s">
        <v>439</v>
      </c>
      <c r="C847" s="18" t="s">
        <v>441</v>
      </c>
      <c r="D847" s="1" t="s">
        <v>224</v>
      </c>
      <c r="E847" s="18">
        <v>5</v>
      </c>
    </row>
    <row r="848" customHeight="1" spans="1:5">
      <c r="A848" s="1" t="s">
        <v>220</v>
      </c>
      <c r="B848" s="69" t="s">
        <v>439</v>
      </c>
      <c r="C848" s="5" t="s">
        <v>441</v>
      </c>
      <c r="D848" s="1" t="s">
        <v>224</v>
      </c>
      <c r="E848" s="5">
        <v>1</v>
      </c>
    </row>
    <row r="849" customHeight="1" spans="1:5">
      <c r="A849" s="1" t="s">
        <v>220</v>
      </c>
      <c r="B849" s="69" t="s">
        <v>439</v>
      </c>
      <c r="C849" s="5" t="s">
        <v>441</v>
      </c>
      <c r="D849" s="1" t="s">
        <v>224</v>
      </c>
      <c r="E849" s="5">
        <v>2</v>
      </c>
    </row>
    <row r="850" customHeight="1" spans="1:5">
      <c r="A850" s="1" t="s">
        <v>220</v>
      </c>
      <c r="B850" s="69" t="s">
        <v>439</v>
      </c>
      <c r="C850" s="5" t="s">
        <v>441</v>
      </c>
      <c r="D850" s="1" t="s">
        <v>224</v>
      </c>
      <c r="E850" s="5">
        <v>3</v>
      </c>
    </row>
    <row r="851" customHeight="1" spans="1:5">
      <c r="A851" s="1" t="s">
        <v>220</v>
      </c>
      <c r="B851" s="69" t="s">
        <v>439</v>
      </c>
      <c r="C851" s="5" t="s">
        <v>441</v>
      </c>
      <c r="D851" s="1" t="s">
        <v>224</v>
      </c>
      <c r="E851" s="5">
        <v>4</v>
      </c>
    </row>
    <row r="852" customHeight="1" spans="1:5">
      <c r="A852" s="1" t="s">
        <v>220</v>
      </c>
      <c r="B852" s="69" t="s">
        <v>439</v>
      </c>
      <c r="C852" s="5" t="s">
        <v>441</v>
      </c>
      <c r="D852" s="1" t="s">
        <v>224</v>
      </c>
      <c r="E852" s="5">
        <v>5</v>
      </c>
    </row>
    <row r="853" customHeight="1" spans="1:5">
      <c r="A853" s="1" t="s">
        <v>291</v>
      </c>
      <c r="B853" s="69" t="s">
        <v>439</v>
      </c>
      <c r="C853" s="18" t="s">
        <v>442</v>
      </c>
      <c r="D853" s="1" t="s">
        <v>225</v>
      </c>
      <c r="E853" s="18">
        <v>1</v>
      </c>
    </row>
    <row r="854" customHeight="1" spans="1:5">
      <c r="A854" s="1" t="s">
        <v>291</v>
      </c>
      <c r="B854" s="69" t="s">
        <v>439</v>
      </c>
      <c r="C854" s="18" t="s">
        <v>442</v>
      </c>
      <c r="D854" s="1" t="s">
        <v>225</v>
      </c>
      <c r="E854" s="18">
        <v>2</v>
      </c>
    </row>
    <row r="855" customHeight="1" spans="1:5">
      <c r="A855" s="1" t="s">
        <v>291</v>
      </c>
      <c r="B855" s="69" t="s">
        <v>439</v>
      </c>
      <c r="C855" s="18" t="s">
        <v>442</v>
      </c>
      <c r="D855" s="1" t="s">
        <v>225</v>
      </c>
      <c r="E855" s="18">
        <v>3</v>
      </c>
    </row>
    <row r="856" customHeight="1" spans="1:5">
      <c r="A856" s="1" t="s">
        <v>291</v>
      </c>
      <c r="B856" s="69" t="s">
        <v>439</v>
      </c>
      <c r="C856" s="18" t="s">
        <v>442</v>
      </c>
      <c r="D856" s="1" t="s">
        <v>225</v>
      </c>
      <c r="E856" s="18">
        <v>4</v>
      </c>
    </row>
    <row r="857" customHeight="1" spans="1:5">
      <c r="A857" s="1" t="s">
        <v>291</v>
      </c>
      <c r="B857" s="69" t="s">
        <v>439</v>
      </c>
      <c r="C857" s="18" t="s">
        <v>442</v>
      </c>
      <c r="D857" s="1" t="s">
        <v>225</v>
      </c>
      <c r="E857" s="18">
        <v>5</v>
      </c>
    </row>
    <row r="858" customHeight="1" spans="1:5">
      <c r="A858" s="1" t="s">
        <v>291</v>
      </c>
      <c r="B858" s="69" t="s">
        <v>439</v>
      </c>
      <c r="C858" s="18" t="s">
        <v>442</v>
      </c>
      <c r="D858" s="1" t="s">
        <v>225</v>
      </c>
      <c r="E858" s="18">
        <v>6</v>
      </c>
    </row>
    <row r="859" customHeight="1" spans="1:5">
      <c r="A859" s="1" t="s">
        <v>291</v>
      </c>
      <c r="B859" s="69" t="s">
        <v>439</v>
      </c>
      <c r="C859" s="18" t="s">
        <v>442</v>
      </c>
      <c r="D859" s="1" t="s">
        <v>225</v>
      </c>
      <c r="E859" s="18">
        <v>7</v>
      </c>
    </row>
    <row r="860" customHeight="1" spans="1:5">
      <c r="A860" s="1" t="s">
        <v>291</v>
      </c>
      <c r="B860" s="69" t="s">
        <v>439</v>
      </c>
      <c r="C860" s="18" t="s">
        <v>442</v>
      </c>
      <c r="D860" s="1" t="s">
        <v>225</v>
      </c>
      <c r="E860" s="18">
        <v>8</v>
      </c>
    </row>
    <row r="861" customHeight="1" spans="1:5">
      <c r="A861" s="1" t="s">
        <v>220</v>
      </c>
      <c r="B861" s="70" t="s">
        <v>443</v>
      </c>
      <c r="C861" s="5" t="s">
        <v>444</v>
      </c>
      <c r="D861" s="1" t="s">
        <v>222</v>
      </c>
      <c r="E861" s="5">
        <v>1</v>
      </c>
    </row>
    <row r="862" customHeight="1" spans="1:5">
      <c r="A862" s="1" t="s">
        <v>220</v>
      </c>
      <c r="B862" s="70" t="s">
        <v>443</v>
      </c>
      <c r="C862" s="5" t="s">
        <v>444</v>
      </c>
      <c r="D862" s="1" t="s">
        <v>222</v>
      </c>
      <c r="E862" s="5">
        <v>2</v>
      </c>
    </row>
    <row r="863" customHeight="1" spans="1:5">
      <c r="A863" s="1" t="s">
        <v>220</v>
      </c>
      <c r="B863" s="70" t="s">
        <v>443</v>
      </c>
      <c r="C863" s="5" t="s">
        <v>444</v>
      </c>
      <c r="D863" s="1" t="s">
        <v>222</v>
      </c>
      <c r="E863" s="5">
        <v>3</v>
      </c>
    </row>
    <row r="864" customHeight="1" spans="1:5">
      <c r="A864" s="1" t="s">
        <v>220</v>
      </c>
      <c r="B864" s="70" t="s">
        <v>443</v>
      </c>
      <c r="C864" s="5" t="s">
        <v>444</v>
      </c>
      <c r="D864" s="1" t="s">
        <v>222</v>
      </c>
      <c r="E864" s="5">
        <v>4</v>
      </c>
    </row>
    <row r="865" customHeight="1" spans="1:5">
      <c r="A865" s="1" t="s">
        <v>220</v>
      </c>
      <c r="B865" s="70" t="s">
        <v>443</v>
      </c>
      <c r="C865" s="5" t="s">
        <v>444</v>
      </c>
      <c r="D865" s="1" t="s">
        <v>222</v>
      </c>
      <c r="E865" s="5">
        <v>5</v>
      </c>
    </row>
    <row r="866" customHeight="1" spans="1:5">
      <c r="A866" s="1" t="s">
        <v>220</v>
      </c>
      <c r="B866" s="70" t="s">
        <v>443</v>
      </c>
      <c r="C866" s="18" t="s">
        <v>445</v>
      </c>
      <c r="D866" s="1" t="s">
        <v>224</v>
      </c>
      <c r="E866" s="18">
        <v>1</v>
      </c>
    </row>
    <row r="867" customHeight="1" spans="1:5">
      <c r="A867" s="1" t="s">
        <v>220</v>
      </c>
      <c r="B867" s="70" t="s">
        <v>443</v>
      </c>
      <c r="C867" s="18" t="s">
        <v>445</v>
      </c>
      <c r="D867" s="1" t="s">
        <v>224</v>
      </c>
      <c r="E867" s="18">
        <v>2</v>
      </c>
    </row>
    <row r="868" customHeight="1" spans="1:5">
      <c r="A868" s="1" t="s">
        <v>220</v>
      </c>
      <c r="B868" s="70" t="s">
        <v>443</v>
      </c>
      <c r="C868" s="18" t="s">
        <v>445</v>
      </c>
      <c r="D868" s="1" t="s">
        <v>224</v>
      </c>
      <c r="E868" s="18">
        <v>3</v>
      </c>
    </row>
    <row r="869" customHeight="1" spans="1:5">
      <c r="A869" s="1" t="s">
        <v>220</v>
      </c>
      <c r="B869" s="70" t="s">
        <v>443</v>
      </c>
      <c r="C869" s="18" t="s">
        <v>445</v>
      </c>
      <c r="D869" s="1" t="s">
        <v>224</v>
      </c>
      <c r="E869" s="18">
        <v>4</v>
      </c>
    </row>
    <row r="870" customHeight="1" spans="1:5">
      <c r="A870" s="1" t="s">
        <v>220</v>
      </c>
      <c r="B870" s="70" t="s">
        <v>443</v>
      </c>
      <c r="C870" s="18" t="s">
        <v>445</v>
      </c>
      <c r="D870" s="1" t="s">
        <v>224</v>
      </c>
      <c r="E870" s="18">
        <v>5</v>
      </c>
    </row>
    <row r="871" customHeight="1" spans="1:5">
      <c r="A871" s="1" t="s">
        <v>220</v>
      </c>
      <c r="B871" s="70" t="s">
        <v>443</v>
      </c>
      <c r="C871" s="5" t="s">
        <v>445</v>
      </c>
      <c r="D871" s="1" t="s">
        <v>224</v>
      </c>
      <c r="E871" s="5">
        <v>1</v>
      </c>
    </row>
    <row r="872" customHeight="1" spans="1:5">
      <c r="A872" s="1" t="s">
        <v>220</v>
      </c>
      <c r="B872" s="70" t="s">
        <v>443</v>
      </c>
      <c r="C872" s="5" t="s">
        <v>445</v>
      </c>
      <c r="D872" s="1" t="s">
        <v>224</v>
      </c>
      <c r="E872" s="5">
        <v>2</v>
      </c>
    </row>
    <row r="873" customHeight="1" spans="1:5">
      <c r="A873" s="1" t="s">
        <v>220</v>
      </c>
      <c r="B873" s="70" t="s">
        <v>443</v>
      </c>
      <c r="C873" s="5" t="s">
        <v>445</v>
      </c>
      <c r="D873" s="1" t="s">
        <v>224</v>
      </c>
      <c r="E873" s="5">
        <v>3</v>
      </c>
    </row>
    <row r="874" customHeight="1" spans="1:5">
      <c r="A874" s="1" t="s">
        <v>220</v>
      </c>
      <c r="B874" s="70" t="s">
        <v>443</v>
      </c>
      <c r="C874" s="5" t="s">
        <v>445</v>
      </c>
      <c r="D874" s="1" t="s">
        <v>224</v>
      </c>
      <c r="E874" s="5">
        <v>4</v>
      </c>
    </row>
    <row r="875" customHeight="1" spans="1:5">
      <c r="A875" s="1" t="s">
        <v>220</v>
      </c>
      <c r="B875" s="70" t="s">
        <v>443</v>
      </c>
      <c r="C875" s="5" t="s">
        <v>445</v>
      </c>
      <c r="D875" s="1" t="s">
        <v>224</v>
      </c>
      <c r="E875" s="5">
        <v>5</v>
      </c>
    </row>
    <row r="876" customHeight="1" spans="1:5">
      <c r="A876" s="1" t="s">
        <v>291</v>
      </c>
      <c r="B876" s="70" t="s">
        <v>443</v>
      </c>
      <c r="C876" s="18" t="s">
        <v>446</v>
      </c>
      <c r="D876" s="1" t="s">
        <v>225</v>
      </c>
      <c r="E876" s="18">
        <v>1</v>
      </c>
    </row>
    <row r="877" customHeight="1" spans="1:5">
      <c r="A877" s="1" t="s">
        <v>291</v>
      </c>
      <c r="B877" s="70" t="s">
        <v>443</v>
      </c>
      <c r="C877" s="18" t="s">
        <v>446</v>
      </c>
      <c r="D877" s="1" t="s">
        <v>225</v>
      </c>
      <c r="E877" s="18">
        <v>2</v>
      </c>
    </row>
    <row r="878" customHeight="1" spans="1:5">
      <c r="A878" s="1" t="s">
        <v>291</v>
      </c>
      <c r="B878" s="70" t="s">
        <v>443</v>
      </c>
      <c r="C878" s="18" t="s">
        <v>446</v>
      </c>
      <c r="D878" s="1" t="s">
        <v>225</v>
      </c>
      <c r="E878" s="18">
        <v>3</v>
      </c>
    </row>
    <row r="879" customHeight="1" spans="1:5">
      <c r="A879" s="1" t="s">
        <v>291</v>
      </c>
      <c r="B879" s="70" t="s">
        <v>443</v>
      </c>
      <c r="C879" s="18" t="s">
        <v>446</v>
      </c>
      <c r="D879" s="1" t="s">
        <v>225</v>
      </c>
      <c r="E879" s="18">
        <v>4</v>
      </c>
    </row>
    <row r="880" customHeight="1" spans="1:5">
      <c r="A880" s="1" t="s">
        <v>291</v>
      </c>
      <c r="B880" s="70" t="s">
        <v>443</v>
      </c>
      <c r="C880" s="18" t="s">
        <v>446</v>
      </c>
      <c r="D880" s="1" t="s">
        <v>225</v>
      </c>
      <c r="E880" s="18">
        <v>5</v>
      </c>
    </row>
    <row r="881" customHeight="1" spans="1:5">
      <c r="A881" s="1" t="s">
        <v>291</v>
      </c>
      <c r="B881" s="70" t="s">
        <v>443</v>
      </c>
      <c r="C881" s="18" t="s">
        <v>446</v>
      </c>
      <c r="D881" s="1" t="s">
        <v>225</v>
      </c>
      <c r="E881" s="18">
        <v>6</v>
      </c>
    </row>
    <row r="882" customHeight="1" spans="1:5">
      <c r="A882" s="1" t="s">
        <v>291</v>
      </c>
      <c r="B882" s="70" t="s">
        <v>443</v>
      </c>
      <c r="C882" s="18" t="s">
        <v>446</v>
      </c>
      <c r="D882" s="1" t="s">
        <v>225</v>
      </c>
      <c r="E882" s="18">
        <v>7</v>
      </c>
    </row>
    <row r="883" customHeight="1" spans="1:5">
      <c r="A883" s="1" t="s">
        <v>291</v>
      </c>
      <c r="B883" s="70" t="s">
        <v>443</v>
      </c>
      <c r="C883" s="18" t="s">
        <v>446</v>
      </c>
      <c r="D883" s="1" t="s">
        <v>225</v>
      </c>
      <c r="E883" s="18">
        <v>8</v>
      </c>
    </row>
    <row r="884" customHeight="1" spans="1:5">
      <c r="A884" s="1" t="s">
        <v>220</v>
      </c>
      <c r="B884" s="69" t="s">
        <v>447</v>
      </c>
      <c r="C884" s="5" t="s">
        <v>448</v>
      </c>
      <c r="D884" s="1" t="s">
        <v>222</v>
      </c>
      <c r="E884" s="5">
        <v>1</v>
      </c>
    </row>
    <row r="885" customHeight="1" spans="1:5">
      <c r="A885" s="1" t="s">
        <v>220</v>
      </c>
      <c r="B885" s="69" t="s">
        <v>447</v>
      </c>
      <c r="C885" s="5" t="s">
        <v>448</v>
      </c>
      <c r="D885" s="1" t="s">
        <v>222</v>
      </c>
      <c r="E885" s="5">
        <v>2</v>
      </c>
    </row>
    <row r="886" customHeight="1" spans="1:5">
      <c r="A886" s="1" t="s">
        <v>220</v>
      </c>
      <c r="B886" s="69" t="s">
        <v>447</v>
      </c>
      <c r="C886" s="5" t="s">
        <v>448</v>
      </c>
      <c r="D886" s="1" t="s">
        <v>222</v>
      </c>
      <c r="E886" s="5">
        <v>3</v>
      </c>
    </row>
    <row r="887" customHeight="1" spans="1:5">
      <c r="A887" s="1" t="s">
        <v>220</v>
      </c>
      <c r="B887" s="69" t="s">
        <v>447</v>
      </c>
      <c r="C887" s="5" t="s">
        <v>448</v>
      </c>
      <c r="D887" s="1" t="s">
        <v>222</v>
      </c>
      <c r="E887" s="5">
        <v>4</v>
      </c>
    </row>
    <row r="888" customHeight="1" spans="1:5">
      <c r="A888" s="1" t="s">
        <v>220</v>
      </c>
      <c r="B888" s="69" t="s">
        <v>447</v>
      </c>
      <c r="C888" s="5" t="s">
        <v>448</v>
      </c>
      <c r="D888" s="1" t="s">
        <v>222</v>
      </c>
      <c r="E888" s="5">
        <v>5</v>
      </c>
    </row>
    <row r="889" customHeight="1" spans="1:5">
      <c r="A889" s="1" t="s">
        <v>220</v>
      </c>
      <c r="B889" s="69" t="s">
        <v>447</v>
      </c>
      <c r="C889" s="18" t="s">
        <v>449</v>
      </c>
      <c r="D889" s="1" t="s">
        <v>224</v>
      </c>
      <c r="E889" s="18">
        <v>1</v>
      </c>
    </row>
    <row r="890" customHeight="1" spans="1:5">
      <c r="A890" s="1" t="s">
        <v>220</v>
      </c>
      <c r="B890" s="69" t="s">
        <v>447</v>
      </c>
      <c r="C890" s="18" t="s">
        <v>449</v>
      </c>
      <c r="D890" s="1" t="s">
        <v>224</v>
      </c>
      <c r="E890" s="18">
        <v>2</v>
      </c>
    </row>
    <row r="891" customHeight="1" spans="1:5">
      <c r="A891" s="1" t="s">
        <v>220</v>
      </c>
      <c r="B891" s="69" t="s">
        <v>447</v>
      </c>
      <c r="C891" s="18" t="s">
        <v>449</v>
      </c>
      <c r="D891" s="1" t="s">
        <v>224</v>
      </c>
      <c r="E891" s="18">
        <v>3</v>
      </c>
    </row>
    <row r="892" customHeight="1" spans="1:5">
      <c r="A892" s="1" t="s">
        <v>220</v>
      </c>
      <c r="B892" s="69" t="s">
        <v>447</v>
      </c>
      <c r="C892" s="18" t="s">
        <v>449</v>
      </c>
      <c r="D892" s="1" t="s">
        <v>224</v>
      </c>
      <c r="E892" s="18">
        <v>4</v>
      </c>
    </row>
    <row r="893" customHeight="1" spans="1:5">
      <c r="A893" s="1" t="s">
        <v>220</v>
      </c>
      <c r="B893" s="69" t="s">
        <v>447</v>
      </c>
      <c r="C893" s="18" t="s">
        <v>449</v>
      </c>
      <c r="D893" s="1" t="s">
        <v>224</v>
      </c>
      <c r="E893" s="18">
        <v>5</v>
      </c>
    </row>
    <row r="894" customHeight="1" spans="1:5">
      <c r="A894" s="1" t="s">
        <v>220</v>
      </c>
      <c r="B894" s="69" t="s">
        <v>447</v>
      </c>
      <c r="C894" s="5" t="s">
        <v>449</v>
      </c>
      <c r="D894" s="1" t="s">
        <v>224</v>
      </c>
      <c r="E894" s="5">
        <v>1</v>
      </c>
    </row>
    <row r="895" customHeight="1" spans="1:5">
      <c r="A895" s="1" t="s">
        <v>220</v>
      </c>
      <c r="B895" s="69" t="s">
        <v>447</v>
      </c>
      <c r="C895" s="5" t="s">
        <v>449</v>
      </c>
      <c r="D895" s="1" t="s">
        <v>224</v>
      </c>
      <c r="E895" s="5">
        <v>2</v>
      </c>
    </row>
    <row r="896" customHeight="1" spans="1:5">
      <c r="A896" s="1" t="s">
        <v>220</v>
      </c>
      <c r="B896" s="69" t="s">
        <v>447</v>
      </c>
      <c r="C896" s="5" t="s">
        <v>449</v>
      </c>
      <c r="D896" s="1" t="s">
        <v>224</v>
      </c>
      <c r="E896" s="5">
        <v>3</v>
      </c>
    </row>
    <row r="897" customHeight="1" spans="1:5">
      <c r="A897" s="1" t="s">
        <v>220</v>
      </c>
      <c r="B897" s="69" t="s">
        <v>447</v>
      </c>
      <c r="C897" s="5" t="s">
        <v>449</v>
      </c>
      <c r="D897" s="1" t="s">
        <v>224</v>
      </c>
      <c r="E897" s="5">
        <v>4</v>
      </c>
    </row>
    <row r="898" customHeight="1" spans="1:5">
      <c r="A898" s="1" t="s">
        <v>220</v>
      </c>
      <c r="B898" s="69" t="s">
        <v>447</v>
      </c>
      <c r="C898" s="5" t="s">
        <v>449</v>
      </c>
      <c r="D898" s="1" t="s">
        <v>224</v>
      </c>
      <c r="E898" s="5">
        <v>5</v>
      </c>
    </row>
    <row r="899" customHeight="1" spans="1:5">
      <c r="A899" s="1" t="s">
        <v>291</v>
      </c>
      <c r="B899" s="69" t="s">
        <v>447</v>
      </c>
      <c r="C899" s="18" t="s">
        <v>450</v>
      </c>
      <c r="D899" s="1" t="s">
        <v>225</v>
      </c>
      <c r="E899" s="18">
        <v>1</v>
      </c>
    </row>
    <row r="900" customHeight="1" spans="1:5">
      <c r="A900" s="1" t="s">
        <v>291</v>
      </c>
      <c r="B900" s="69" t="s">
        <v>447</v>
      </c>
      <c r="C900" s="18" t="s">
        <v>450</v>
      </c>
      <c r="D900" s="1" t="s">
        <v>225</v>
      </c>
      <c r="E900" s="18">
        <v>2</v>
      </c>
    </row>
    <row r="901" customHeight="1" spans="1:5">
      <c r="A901" s="1" t="s">
        <v>291</v>
      </c>
      <c r="B901" s="69" t="s">
        <v>447</v>
      </c>
      <c r="C901" s="18" t="s">
        <v>450</v>
      </c>
      <c r="D901" s="1" t="s">
        <v>225</v>
      </c>
      <c r="E901" s="18">
        <v>3</v>
      </c>
    </row>
    <row r="902" customHeight="1" spans="1:5">
      <c r="A902" s="1" t="s">
        <v>291</v>
      </c>
      <c r="B902" s="69" t="s">
        <v>447</v>
      </c>
      <c r="C902" s="18" t="s">
        <v>450</v>
      </c>
      <c r="D902" s="1" t="s">
        <v>225</v>
      </c>
      <c r="E902" s="18">
        <v>4</v>
      </c>
    </row>
    <row r="903" customHeight="1" spans="1:5">
      <c r="A903" s="1" t="s">
        <v>291</v>
      </c>
      <c r="B903" s="69" t="s">
        <v>447</v>
      </c>
      <c r="C903" s="18" t="s">
        <v>450</v>
      </c>
      <c r="D903" s="1" t="s">
        <v>225</v>
      </c>
      <c r="E903" s="18">
        <v>5</v>
      </c>
    </row>
    <row r="904" customHeight="1" spans="1:5">
      <c r="A904" s="1" t="s">
        <v>291</v>
      </c>
      <c r="B904" s="69" t="s">
        <v>447</v>
      </c>
      <c r="C904" s="18" t="s">
        <v>450</v>
      </c>
      <c r="D904" s="1" t="s">
        <v>225</v>
      </c>
      <c r="E904" s="18">
        <v>6</v>
      </c>
    </row>
    <row r="905" customHeight="1" spans="1:5">
      <c r="A905" s="1" t="s">
        <v>291</v>
      </c>
      <c r="B905" s="69" t="s">
        <v>447</v>
      </c>
      <c r="C905" s="18" t="s">
        <v>450</v>
      </c>
      <c r="D905" s="1" t="s">
        <v>225</v>
      </c>
      <c r="E905" s="18">
        <v>7</v>
      </c>
    </row>
    <row r="906" customHeight="1" spans="1:5">
      <c r="A906" s="1" t="s">
        <v>291</v>
      </c>
      <c r="B906" s="69" t="s">
        <v>447</v>
      </c>
      <c r="C906" s="18" t="s">
        <v>450</v>
      </c>
      <c r="D906" s="1" t="s">
        <v>225</v>
      </c>
      <c r="E906" s="18">
        <v>8</v>
      </c>
    </row>
    <row r="907" customHeight="1" spans="1:5">
      <c r="A907" s="1" t="s">
        <v>220</v>
      </c>
      <c r="B907" s="70" t="s">
        <v>451</v>
      </c>
      <c r="C907" s="5" t="s">
        <v>452</v>
      </c>
      <c r="D907" s="1" t="s">
        <v>222</v>
      </c>
      <c r="E907" s="5">
        <v>1</v>
      </c>
    </row>
    <row r="908" customHeight="1" spans="1:5">
      <c r="A908" s="1" t="s">
        <v>220</v>
      </c>
      <c r="B908" s="70" t="s">
        <v>451</v>
      </c>
      <c r="C908" s="5" t="s">
        <v>452</v>
      </c>
      <c r="D908" s="1" t="s">
        <v>222</v>
      </c>
      <c r="E908" s="5">
        <v>2</v>
      </c>
    </row>
    <row r="909" customHeight="1" spans="1:5">
      <c r="A909" s="1" t="s">
        <v>220</v>
      </c>
      <c r="B909" s="70" t="s">
        <v>451</v>
      </c>
      <c r="C909" s="5" t="s">
        <v>452</v>
      </c>
      <c r="D909" s="1" t="s">
        <v>222</v>
      </c>
      <c r="E909" s="5">
        <v>3</v>
      </c>
    </row>
    <row r="910" customHeight="1" spans="1:5">
      <c r="A910" s="1" t="s">
        <v>220</v>
      </c>
      <c r="B910" s="70" t="s">
        <v>451</v>
      </c>
      <c r="C910" s="5" t="s">
        <v>452</v>
      </c>
      <c r="D910" s="1" t="s">
        <v>222</v>
      </c>
      <c r="E910" s="5">
        <v>4</v>
      </c>
    </row>
    <row r="911" customHeight="1" spans="1:5">
      <c r="A911" s="1" t="s">
        <v>220</v>
      </c>
      <c r="B911" s="70" t="s">
        <v>451</v>
      </c>
      <c r="C911" s="5" t="s">
        <v>452</v>
      </c>
      <c r="D911" s="1" t="s">
        <v>222</v>
      </c>
      <c r="E911" s="5">
        <v>5</v>
      </c>
    </row>
    <row r="912" customHeight="1" spans="1:5">
      <c r="A912" s="1" t="s">
        <v>220</v>
      </c>
      <c r="B912" s="70" t="s">
        <v>451</v>
      </c>
      <c r="C912" s="18" t="s">
        <v>453</v>
      </c>
      <c r="D912" s="1" t="s">
        <v>224</v>
      </c>
      <c r="E912" s="18">
        <v>1</v>
      </c>
    </row>
    <row r="913" customHeight="1" spans="1:5">
      <c r="A913" s="1" t="s">
        <v>220</v>
      </c>
      <c r="B913" s="70" t="s">
        <v>451</v>
      </c>
      <c r="C913" s="18" t="s">
        <v>453</v>
      </c>
      <c r="D913" s="1" t="s">
        <v>224</v>
      </c>
      <c r="E913" s="18">
        <v>2</v>
      </c>
    </row>
    <row r="914" customHeight="1" spans="1:5">
      <c r="A914" s="1" t="s">
        <v>220</v>
      </c>
      <c r="B914" s="70" t="s">
        <v>451</v>
      </c>
      <c r="C914" s="18" t="s">
        <v>453</v>
      </c>
      <c r="D914" s="1" t="s">
        <v>224</v>
      </c>
      <c r="E914" s="18">
        <v>3</v>
      </c>
    </row>
    <row r="915" customHeight="1" spans="1:5">
      <c r="A915" s="1" t="s">
        <v>220</v>
      </c>
      <c r="B915" s="70" t="s">
        <v>451</v>
      </c>
      <c r="C915" s="18" t="s">
        <v>453</v>
      </c>
      <c r="D915" s="1" t="s">
        <v>224</v>
      </c>
      <c r="E915" s="18">
        <v>4</v>
      </c>
    </row>
    <row r="916" customHeight="1" spans="1:5">
      <c r="A916" s="1" t="s">
        <v>220</v>
      </c>
      <c r="B916" s="70" t="s">
        <v>451</v>
      </c>
      <c r="C916" s="18" t="s">
        <v>453</v>
      </c>
      <c r="D916" s="1" t="s">
        <v>224</v>
      </c>
      <c r="E916" s="18">
        <v>5</v>
      </c>
    </row>
    <row r="917" customHeight="1" spans="1:5">
      <c r="A917" s="1" t="s">
        <v>220</v>
      </c>
      <c r="B917" s="70" t="s">
        <v>451</v>
      </c>
      <c r="C917" s="5" t="s">
        <v>453</v>
      </c>
      <c r="D917" s="1" t="s">
        <v>224</v>
      </c>
      <c r="E917" s="5">
        <v>1</v>
      </c>
    </row>
    <row r="918" customHeight="1" spans="1:5">
      <c r="A918" s="1" t="s">
        <v>220</v>
      </c>
      <c r="B918" s="70" t="s">
        <v>451</v>
      </c>
      <c r="C918" s="5" t="s">
        <v>453</v>
      </c>
      <c r="D918" s="1" t="s">
        <v>224</v>
      </c>
      <c r="E918" s="5">
        <v>2</v>
      </c>
    </row>
    <row r="919" customHeight="1" spans="1:5">
      <c r="A919" s="1" t="s">
        <v>220</v>
      </c>
      <c r="B919" s="70" t="s">
        <v>451</v>
      </c>
      <c r="C919" s="5" t="s">
        <v>453</v>
      </c>
      <c r="D919" s="1" t="s">
        <v>224</v>
      </c>
      <c r="E919" s="5">
        <v>3</v>
      </c>
    </row>
    <row r="920" customHeight="1" spans="1:5">
      <c r="A920" s="1" t="s">
        <v>220</v>
      </c>
      <c r="B920" s="70" t="s">
        <v>451</v>
      </c>
      <c r="C920" s="5" t="s">
        <v>453</v>
      </c>
      <c r="D920" s="1" t="s">
        <v>224</v>
      </c>
      <c r="E920" s="5">
        <v>4</v>
      </c>
    </row>
    <row r="921" customHeight="1" spans="1:5">
      <c r="A921" s="1" t="s">
        <v>220</v>
      </c>
      <c r="B921" s="70" t="s">
        <v>451</v>
      </c>
      <c r="C921" s="5" t="s">
        <v>453</v>
      </c>
      <c r="D921" s="1" t="s">
        <v>224</v>
      </c>
      <c r="E921" s="5">
        <v>5</v>
      </c>
    </row>
    <row r="922" customHeight="1" spans="1:5">
      <c r="A922" s="1" t="s">
        <v>291</v>
      </c>
      <c r="B922" s="70" t="s">
        <v>451</v>
      </c>
      <c r="C922" s="18" t="s">
        <v>454</v>
      </c>
      <c r="D922" s="1" t="s">
        <v>225</v>
      </c>
      <c r="E922" s="18">
        <v>1</v>
      </c>
    </row>
    <row r="923" customHeight="1" spans="1:5">
      <c r="A923" s="1" t="s">
        <v>291</v>
      </c>
      <c r="B923" s="70" t="s">
        <v>451</v>
      </c>
      <c r="C923" s="18" t="s">
        <v>454</v>
      </c>
      <c r="D923" s="1" t="s">
        <v>225</v>
      </c>
      <c r="E923" s="18">
        <v>2</v>
      </c>
    </row>
    <row r="924" customHeight="1" spans="1:5">
      <c r="A924" s="1" t="s">
        <v>291</v>
      </c>
      <c r="B924" s="70" t="s">
        <v>451</v>
      </c>
      <c r="C924" s="18" t="s">
        <v>454</v>
      </c>
      <c r="D924" s="1" t="s">
        <v>225</v>
      </c>
      <c r="E924" s="18">
        <v>3</v>
      </c>
    </row>
    <row r="925" customHeight="1" spans="1:5">
      <c r="A925" s="1" t="s">
        <v>291</v>
      </c>
      <c r="B925" s="70" t="s">
        <v>451</v>
      </c>
      <c r="C925" s="18" t="s">
        <v>454</v>
      </c>
      <c r="D925" s="1" t="s">
        <v>225</v>
      </c>
      <c r="E925" s="18">
        <v>4</v>
      </c>
    </row>
    <row r="926" customHeight="1" spans="1:5">
      <c r="A926" s="1" t="s">
        <v>291</v>
      </c>
      <c r="B926" s="70" t="s">
        <v>451</v>
      </c>
      <c r="C926" s="18" t="s">
        <v>454</v>
      </c>
      <c r="D926" s="1" t="s">
        <v>225</v>
      </c>
      <c r="E926" s="18">
        <v>5</v>
      </c>
    </row>
    <row r="927" customHeight="1" spans="1:5">
      <c r="A927" s="1" t="s">
        <v>291</v>
      </c>
      <c r="B927" s="70" t="s">
        <v>451</v>
      </c>
      <c r="C927" s="18" t="s">
        <v>454</v>
      </c>
      <c r="D927" s="1" t="s">
        <v>225</v>
      </c>
      <c r="E927" s="18">
        <v>6</v>
      </c>
    </row>
    <row r="928" customHeight="1" spans="1:5">
      <c r="A928" s="1" t="s">
        <v>291</v>
      </c>
      <c r="B928" s="70" t="s">
        <v>451</v>
      </c>
      <c r="C928" s="18" t="s">
        <v>454</v>
      </c>
      <c r="D928" s="1" t="s">
        <v>225</v>
      </c>
      <c r="E928" s="18">
        <v>7</v>
      </c>
    </row>
    <row r="929" customHeight="1" spans="1:5">
      <c r="A929" s="1" t="s">
        <v>291</v>
      </c>
      <c r="B929" s="70" t="s">
        <v>451</v>
      </c>
      <c r="C929" s="18" t="s">
        <v>454</v>
      </c>
      <c r="D929" s="1" t="s">
        <v>225</v>
      </c>
      <c r="E929" s="18">
        <v>8</v>
      </c>
    </row>
    <row r="930" customHeight="1" spans="1:5">
      <c r="A930" s="1" t="s">
        <v>220</v>
      </c>
      <c r="B930" s="69" t="s">
        <v>455</v>
      </c>
      <c r="C930" s="5" t="s">
        <v>456</v>
      </c>
      <c r="D930" s="1" t="s">
        <v>222</v>
      </c>
      <c r="E930" s="5">
        <v>1</v>
      </c>
    </row>
    <row r="931" customHeight="1" spans="1:5">
      <c r="A931" s="1" t="s">
        <v>220</v>
      </c>
      <c r="B931" s="69" t="s">
        <v>455</v>
      </c>
      <c r="C931" s="5" t="s">
        <v>456</v>
      </c>
      <c r="D931" s="1" t="s">
        <v>222</v>
      </c>
      <c r="E931" s="5">
        <v>2</v>
      </c>
    </row>
    <row r="932" customHeight="1" spans="1:5">
      <c r="A932" s="1" t="s">
        <v>220</v>
      </c>
      <c r="B932" s="69" t="s">
        <v>455</v>
      </c>
      <c r="C932" s="5" t="s">
        <v>456</v>
      </c>
      <c r="D932" s="1" t="s">
        <v>222</v>
      </c>
      <c r="E932" s="5">
        <v>3</v>
      </c>
    </row>
    <row r="933" customHeight="1" spans="1:5">
      <c r="A933" s="1" t="s">
        <v>220</v>
      </c>
      <c r="B933" s="69" t="s">
        <v>455</v>
      </c>
      <c r="C933" s="5" t="s">
        <v>456</v>
      </c>
      <c r="D933" s="1" t="s">
        <v>222</v>
      </c>
      <c r="E933" s="5">
        <v>4</v>
      </c>
    </row>
    <row r="934" customHeight="1" spans="1:5">
      <c r="A934" s="1" t="s">
        <v>220</v>
      </c>
      <c r="B934" s="69" t="s">
        <v>455</v>
      </c>
      <c r="C934" s="5" t="s">
        <v>456</v>
      </c>
      <c r="D934" s="1" t="s">
        <v>222</v>
      </c>
      <c r="E934" s="5">
        <v>5</v>
      </c>
    </row>
    <row r="935" customHeight="1" spans="1:5">
      <c r="A935" s="1" t="s">
        <v>220</v>
      </c>
      <c r="B935" s="69" t="s">
        <v>455</v>
      </c>
      <c r="C935" s="18" t="s">
        <v>457</v>
      </c>
      <c r="D935" s="1" t="s">
        <v>224</v>
      </c>
      <c r="E935" s="18">
        <v>1</v>
      </c>
    </row>
    <row r="936" customHeight="1" spans="1:5">
      <c r="A936" s="1" t="s">
        <v>220</v>
      </c>
      <c r="B936" s="69" t="s">
        <v>455</v>
      </c>
      <c r="C936" s="18" t="s">
        <v>457</v>
      </c>
      <c r="D936" s="1" t="s">
        <v>224</v>
      </c>
      <c r="E936" s="18">
        <v>2</v>
      </c>
    </row>
    <row r="937" customHeight="1" spans="1:5">
      <c r="A937" s="1" t="s">
        <v>220</v>
      </c>
      <c r="B937" s="69" t="s">
        <v>455</v>
      </c>
      <c r="C937" s="18" t="s">
        <v>457</v>
      </c>
      <c r="D937" s="1" t="s">
        <v>224</v>
      </c>
      <c r="E937" s="18">
        <v>3</v>
      </c>
    </row>
    <row r="938" customHeight="1" spans="1:5">
      <c r="A938" s="1" t="s">
        <v>220</v>
      </c>
      <c r="B938" s="69" t="s">
        <v>455</v>
      </c>
      <c r="C938" s="18" t="s">
        <v>457</v>
      </c>
      <c r="D938" s="1" t="s">
        <v>224</v>
      </c>
      <c r="E938" s="18">
        <v>4</v>
      </c>
    </row>
    <row r="939" customHeight="1" spans="1:5">
      <c r="A939" s="1" t="s">
        <v>220</v>
      </c>
      <c r="B939" s="69" t="s">
        <v>455</v>
      </c>
      <c r="C939" s="18" t="s">
        <v>457</v>
      </c>
      <c r="D939" s="1" t="s">
        <v>224</v>
      </c>
      <c r="E939" s="18">
        <v>5</v>
      </c>
    </row>
    <row r="940" customHeight="1" spans="1:5">
      <c r="A940" s="1" t="s">
        <v>220</v>
      </c>
      <c r="B940" s="69" t="s">
        <v>455</v>
      </c>
      <c r="C940" s="5" t="s">
        <v>457</v>
      </c>
      <c r="D940" s="1" t="s">
        <v>224</v>
      </c>
      <c r="E940" s="5">
        <v>1</v>
      </c>
    </row>
    <row r="941" customHeight="1" spans="1:5">
      <c r="A941" s="1" t="s">
        <v>220</v>
      </c>
      <c r="B941" s="69" t="s">
        <v>455</v>
      </c>
      <c r="C941" s="5" t="s">
        <v>457</v>
      </c>
      <c r="D941" s="1" t="s">
        <v>224</v>
      </c>
      <c r="E941" s="5">
        <v>2</v>
      </c>
    </row>
    <row r="942" customHeight="1" spans="1:5">
      <c r="A942" s="1" t="s">
        <v>220</v>
      </c>
      <c r="B942" s="69" t="s">
        <v>455</v>
      </c>
      <c r="C942" s="5" t="s">
        <v>457</v>
      </c>
      <c r="D942" s="1" t="s">
        <v>224</v>
      </c>
      <c r="E942" s="5">
        <v>3</v>
      </c>
    </row>
    <row r="943" customHeight="1" spans="1:5">
      <c r="A943" s="1" t="s">
        <v>220</v>
      </c>
      <c r="B943" s="69" t="s">
        <v>455</v>
      </c>
      <c r="C943" s="5" t="s">
        <v>457</v>
      </c>
      <c r="D943" s="1" t="s">
        <v>224</v>
      </c>
      <c r="E943" s="5">
        <v>4</v>
      </c>
    </row>
    <row r="944" customHeight="1" spans="1:5">
      <c r="A944" s="1" t="s">
        <v>220</v>
      </c>
      <c r="B944" s="69" t="s">
        <v>455</v>
      </c>
      <c r="C944" s="5" t="s">
        <v>457</v>
      </c>
      <c r="D944" s="1" t="s">
        <v>224</v>
      </c>
      <c r="E944" s="5">
        <v>5</v>
      </c>
    </row>
    <row r="945" customHeight="1" spans="1:5">
      <c r="A945" s="1" t="s">
        <v>291</v>
      </c>
      <c r="B945" s="69" t="s">
        <v>455</v>
      </c>
      <c r="C945" s="18" t="s">
        <v>458</v>
      </c>
      <c r="D945" s="1" t="s">
        <v>225</v>
      </c>
      <c r="E945" s="18">
        <v>1</v>
      </c>
    </row>
    <row r="946" customHeight="1" spans="1:5">
      <c r="A946" s="1" t="s">
        <v>291</v>
      </c>
      <c r="B946" s="69" t="s">
        <v>455</v>
      </c>
      <c r="C946" s="18" t="s">
        <v>458</v>
      </c>
      <c r="D946" s="1" t="s">
        <v>225</v>
      </c>
      <c r="E946" s="18">
        <v>2</v>
      </c>
    </row>
    <row r="947" customHeight="1" spans="1:5">
      <c r="A947" s="1" t="s">
        <v>291</v>
      </c>
      <c r="B947" s="69" t="s">
        <v>455</v>
      </c>
      <c r="C947" s="18" t="s">
        <v>458</v>
      </c>
      <c r="D947" s="1" t="s">
        <v>225</v>
      </c>
      <c r="E947" s="18">
        <v>3</v>
      </c>
    </row>
    <row r="948" customHeight="1" spans="1:5">
      <c r="A948" s="1" t="s">
        <v>291</v>
      </c>
      <c r="B948" s="69" t="s">
        <v>455</v>
      </c>
      <c r="C948" s="18" t="s">
        <v>458</v>
      </c>
      <c r="D948" s="1" t="s">
        <v>225</v>
      </c>
      <c r="E948" s="18">
        <v>4</v>
      </c>
    </row>
    <row r="949" customHeight="1" spans="1:5">
      <c r="A949" s="1" t="s">
        <v>291</v>
      </c>
      <c r="B949" s="69" t="s">
        <v>455</v>
      </c>
      <c r="C949" s="18" t="s">
        <v>458</v>
      </c>
      <c r="D949" s="1" t="s">
        <v>225</v>
      </c>
      <c r="E949" s="18">
        <v>5</v>
      </c>
    </row>
    <row r="950" customHeight="1" spans="1:5">
      <c r="A950" s="1" t="s">
        <v>291</v>
      </c>
      <c r="B950" s="69" t="s">
        <v>455</v>
      </c>
      <c r="C950" s="18" t="s">
        <v>458</v>
      </c>
      <c r="D950" s="1" t="s">
        <v>225</v>
      </c>
      <c r="E950" s="18">
        <v>6</v>
      </c>
    </row>
    <row r="951" customHeight="1" spans="1:5">
      <c r="A951" s="1" t="s">
        <v>291</v>
      </c>
      <c r="B951" s="69" t="s">
        <v>455</v>
      </c>
      <c r="C951" s="18" t="s">
        <v>458</v>
      </c>
      <c r="D951" s="1" t="s">
        <v>225</v>
      </c>
      <c r="E951" s="18">
        <v>7</v>
      </c>
    </row>
    <row r="952" customHeight="1" spans="1:5">
      <c r="A952" s="1" t="s">
        <v>291</v>
      </c>
      <c r="B952" s="69" t="s">
        <v>455</v>
      </c>
      <c r="C952" s="18" t="s">
        <v>458</v>
      </c>
      <c r="D952" s="1" t="s">
        <v>225</v>
      </c>
      <c r="E952" s="18">
        <v>8</v>
      </c>
    </row>
    <row r="953" customHeight="1" spans="1:5">
      <c r="A953" s="1" t="s">
        <v>220</v>
      </c>
      <c r="B953" s="70" t="s">
        <v>459</v>
      </c>
      <c r="C953" s="5" t="s">
        <v>460</v>
      </c>
      <c r="D953" s="1" t="s">
        <v>222</v>
      </c>
      <c r="E953" s="5">
        <v>1</v>
      </c>
    </row>
    <row r="954" customHeight="1" spans="1:5">
      <c r="A954" s="1" t="s">
        <v>220</v>
      </c>
      <c r="B954" s="70" t="s">
        <v>459</v>
      </c>
      <c r="C954" s="5" t="s">
        <v>460</v>
      </c>
      <c r="D954" s="1" t="s">
        <v>222</v>
      </c>
      <c r="E954" s="5">
        <v>2</v>
      </c>
    </row>
    <row r="955" customHeight="1" spans="1:5">
      <c r="A955" s="1" t="s">
        <v>220</v>
      </c>
      <c r="B955" s="70" t="s">
        <v>459</v>
      </c>
      <c r="C955" s="5" t="s">
        <v>460</v>
      </c>
      <c r="D955" s="1" t="s">
        <v>222</v>
      </c>
      <c r="E955" s="5">
        <v>3</v>
      </c>
    </row>
    <row r="956" customHeight="1" spans="1:5">
      <c r="A956" s="1" t="s">
        <v>220</v>
      </c>
      <c r="B956" s="70" t="s">
        <v>459</v>
      </c>
      <c r="C956" s="5" t="s">
        <v>460</v>
      </c>
      <c r="D956" s="1" t="s">
        <v>222</v>
      </c>
      <c r="E956" s="5">
        <v>4</v>
      </c>
    </row>
    <row r="957" customHeight="1" spans="1:5">
      <c r="A957" s="1" t="s">
        <v>220</v>
      </c>
      <c r="B957" s="70" t="s">
        <v>459</v>
      </c>
      <c r="C957" s="5" t="s">
        <v>460</v>
      </c>
      <c r="D957" s="1" t="s">
        <v>222</v>
      </c>
      <c r="E957" s="5">
        <v>5</v>
      </c>
    </row>
    <row r="958" customHeight="1" spans="1:5">
      <c r="A958" s="1" t="s">
        <v>220</v>
      </c>
      <c r="B958" s="70" t="s">
        <v>459</v>
      </c>
      <c r="C958" s="18" t="s">
        <v>461</v>
      </c>
      <c r="D958" s="1" t="s">
        <v>224</v>
      </c>
      <c r="E958" s="18">
        <v>1</v>
      </c>
    </row>
    <row r="959" customHeight="1" spans="1:5">
      <c r="A959" s="1" t="s">
        <v>220</v>
      </c>
      <c r="B959" s="70" t="s">
        <v>459</v>
      </c>
      <c r="C959" s="18" t="s">
        <v>461</v>
      </c>
      <c r="D959" s="1" t="s">
        <v>224</v>
      </c>
      <c r="E959" s="18">
        <v>2</v>
      </c>
    </row>
    <row r="960" customHeight="1" spans="1:5">
      <c r="A960" s="1" t="s">
        <v>220</v>
      </c>
      <c r="B960" s="70" t="s">
        <v>459</v>
      </c>
      <c r="C960" s="18" t="s">
        <v>461</v>
      </c>
      <c r="D960" s="1" t="s">
        <v>224</v>
      </c>
      <c r="E960" s="18">
        <v>3</v>
      </c>
    </row>
    <row r="961" customHeight="1" spans="1:5">
      <c r="A961" s="1" t="s">
        <v>220</v>
      </c>
      <c r="B961" s="70" t="s">
        <v>459</v>
      </c>
      <c r="C961" s="18" t="s">
        <v>461</v>
      </c>
      <c r="D961" s="1" t="s">
        <v>224</v>
      </c>
      <c r="E961" s="18">
        <v>4</v>
      </c>
    </row>
    <row r="962" customHeight="1" spans="1:5">
      <c r="A962" s="1" t="s">
        <v>220</v>
      </c>
      <c r="B962" s="70" t="s">
        <v>459</v>
      </c>
      <c r="C962" s="18" t="s">
        <v>461</v>
      </c>
      <c r="D962" s="1" t="s">
        <v>224</v>
      </c>
      <c r="E962" s="18">
        <v>5</v>
      </c>
    </row>
    <row r="963" customHeight="1" spans="1:5">
      <c r="A963" s="1" t="s">
        <v>220</v>
      </c>
      <c r="B963" s="70" t="s">
        <v>459</v>
      </c>
      <c r="C963" s="5" t="s">
        <v>461</v>
      </c>
      <c r="D963" s="1" t="s">
        <v>224</v>
      </c>
      <c r="E963" s="5">
        <v>1</v>
      </c>
    </row>
    <row r="964" customHeight="1" spans="1:5">
      <c r="A964" s="1" t="s">
        <v>220</v>
      </c>
      <c r="B964" s="70" t="s">
        <v>459</v>
      </c>
      <c r="C964" s="5" t="s">
        <v>461</v>
      </c>
      <c r="D964" s="1" t="s">
        <v>224</v>
      </c>
      <c r="E964" s="5">
        <v>2</v>
      </c>
    </row>
    <row r="965" customHeight="1" spans="1:5">
      <c r="A965" s="1" t="s">
        <v>220</v>
      </c>
      <c r="B965" s="70" t="s">
        <v>459</v>
      </c>
      <c r="C965" s="5" t="s">
        <v>461</v>
      </c>
      <c r="D965" s="1" t="s">
        <v>224</v>
      </c>
      <c r="E965" s="5">
        <v>3</v>
      </c>
    </row>
    <row r="966" customHeight="1" spans="1:5">
      <c r="A966" s="1" t="s">
        <v>220</v>
      </c>
      <c r="B966" s="70" t="s">
        <v>459</v>
      </c>
      <c r="C966" s="5" t="s">
        <v>461</v>
      </c>
      <c r="D966" s="1" t="s">
        <v>224</v>
      </c>
      <c r="E966" s="5">
        <v>4</v>
      </c>
    </row>
    <row r="967" customHeight="1" spans="1:5">
      <c r="A967" s="1" t="s">
        <v>220</v>
      </c>
      <c r="B967" s="70" t="s">
        <v>459</v>
      </c>
      <c r="C967" s="5" t="s">
        <v>461</v>
      </c>
      <c r="D967" s="1" t="s">
        <v>224</v>
      </c>
      <c r="E967" s="5">
        <v>5</v>
      </c>
    </row>
    <row r="968" customHeight="1" spans="1:5">
      <c r="A968" s="1" t="s">
        <v>291</v>
      </c>
      <c r="B968" s="70" t="s">
        <v>459</v>
      </c>
      <c r="C968" s="18" t="s">
        <v>462</v>
      </c>
      <c r="D968" s="1" t="s">
        <v>225</v>
      </c>
      <c r="E968" s="18">
        <v>1</v>
      </c>
    </row>
    <row r="969" customHeight="1" spans="1:5">
      <c r="A969" s="1" t="s">
        <v>291</v>
      </c>
      <c r="B969" s="70" t="s">
        <v>459</v>
      </c>
      <c r="C969" s="18" t="s">
        <v>462</v>
      </c>
      <c r="D969" s="1" t="s">
        <v>225</v>
      </c>
      <c r="E969" s="18">
        <v>2</v>
      </c>
    </row>
    <row r="970" customHeight="1" spans="1:5">
      <c r="A970" s="1" t="s">
        <v>291</v>
      </c>
      <c r="B970" s="70" t="s">
        <v>459</v>
      </c>
      <c r="C970" s="18" t="s">
        <v>462</v>
      </c>
      <c r="D970" s="1" t="s">
        <v>225</v>
      </c>
      <c r="E970" s="18">
        <v>3</v>
      </c>
    </row>
    <row r="971" customHeight="1" spans="1:5">
      <c r="A971" s="1" t="s">
        <v>291</v>
      </c>
      <c r="B971" s="70" t="s">
        <v>459</v>
      </c>
      <c r="C971" s="18" t="s">
        <v>462</v>
      </c>
      <c r="D971" s="1" t="s">
        <v>225</v>
      </c>
      <c r="E971" s="18">
        <v>4</v>
      </c>
    </row>
    <row r="972" customHeight="1" spans="1:5">
      <c r="A972" s="1" t="s">
        <v>291</v>
      </c>
      <c r="B972" s="70" t="s">
        <v>459</v>
      </c>
      <c r="C972" s="18" t="s">
        <v>462</v>
      </c>
      <c r="D972" s="1" t="s">
        <v>225</v>
      </c>
      <c r="E972" s="18">
        <v>5</v>
      </c>
    </row>
    <row r="973" customHeight="1" spans="1:5">
      <c r="A973" s="1" t="s">
        <v>291</v>
      </c>
      <c r="B973" s="70" t="s">
        <v>459</v>
      </c>
      <c r="C973" s="18" t="s">
        <v>462</v>
      </c>
      <c r="D973" s="1" t="s">
        <v>225</v>
      </c>
      <c r="E973" s="18">
        <v>6</v>
      </c>
    </row>
    <row r="974" customHeight="1" spans="1:5">
      <c r="A974" s="1" t="s">
        <v>291</v>
      </c>
      <c r="B974" s="70" t="s">
        <v>459</v>
      </c>
      <c r="C974" s="18" t="s">
        <v>462</v>
      </c>
      <c r="D974" s="1" t="s">
        <v>225</v>
      </c>
      <c r="E974" s="18">
        <v>7</v>
      </c>
    </row>
    <row r="975" customHeight="1" spans="1:5">
      <c r="A975" s="1" t="s">
        <v>291</v>
      </c>
      <c r="B975" s="70" t="s">
        <v>459</v>
      </c>
      <c r="C975" s="18" t="s">
        <v>462</v>
      </c>
      <c r="D975" s="1" t="s">
        <v>225</v>
      </c>
      <c r="E975" s="18">
        <v>8</v>
      </c>
    </row>
    <row r="976" customHeight="1" spans="1:5">
      <c r="A976" s="1" t="s">
        <v>220</v>
      </c>
      <c r="B976" s="69" t="s">
        <v>463</v>
      </c>
      <c r="C976" s="5" t="s">
        <v>464</v>
      </c>
      <c r="D976" s="1" t="s">
        <v>222</v>
      </c>
      <c r="E976" s="5">
        <v>1</v>
      </c>
    </row>
    <row r="977" customHeight="1" spans="1:5">
      <c r="A977" s="1" t="s">
        <v>220</v>
      </c>
      <c r="B977" s="69" t="s">
        <v>463</v>
      </c>
      <c r="C977" s="5" t="s">
        <v>464</v>
      </c>
      <c r="D977" s="1" t="s">
        <v>222</v>
      </c>
      <c r="E977" s="5">
        <v>2</v>
      </c>
    </row>
    <row r="978" customHeight="1" spans="1:5">
      <c r="A978" s="1" t="s">
        <v>220</v>
      </c>
      <c r="B978" s="69" t="s">
        <v>463</v>
      </c>
      <c r="C978" s="5" t="s">
        <v>464</v>
      </c>
      <c r="D978" s="1" t="s">
        <v>222</v>
      </c>
      <c r="E978" s="5">
        <v>3</v>
      </c>
    </row>
    <row r="979" customHeight="1" spans="1:5">
      <c r="A979" s="1" t="s">
        <v>220</v>
      </c>
      <c r="B979" s="69" t="s">
        <v>463</v>
      </c>
      <c r="C979" s="5" t="s">
        <v>464</v>
      </c>
      <c r="D979" s="1" t="s">
        <v>222</v>
      </c>
      <c r="E979" s="5">
        <v>4</v>
      </c>
    </row>
    <row r="980" customHeight="1" spans="1:5">
      <c r="A980" s="1" t="s">
        <v>220</v>
      </c>
      <c r="B980" s="69" t="s">
        <v>463</v>
      </c>
      <c r="C980" s="5" t="s">
        <v>464</v>
      </c>
      <c r="D980" s="1" t="s">
        <v>222</v>
      </c>
      <c r="E980" s="5">
        <v>5</v>
      </c>
    </row>
    <row r="981" customHeight="1" spans="1:5">
      <c r="A981" s="1" t="s">
        <v>220</v>
      </c>
      <c r="B981" s="69" t="s">
        <v>463</v>
      </c>
      <c r="C981" s="18" t="s">
        <v>465</v>
      </c>
      <c r="D981" s="1" t="s">
        <v>224</v>
      </c>
      <c r="E981" s="18">
        <v>1</v>
      </c>
    </row>
    <row r="982" customHeight="1" spans="1:5">
      <c r="A982" s="1" t="s">
        <v>220</v>
      </c>
      <c r="B982" s="69" t="s">
        <v>463</v>
      </c>
      <c r="C982" s="18" t="s">
        <v>465</v>
      </c>
      <c r="D982" s="1" t="s">
        <v>224</v>
      </c>
      <c r="E982" s="18">
        <v>2</v>
      </c>
    </row>
    <row r="983" customHeight="1" spans="1:5">
      <c r="A983" s="1" t="s">
        <v>220</v>
      </c>
      <c r="B983" s="69" t="s">
        <v>463</v>
      </c>
      <c r="C983" s="18" t="s">
        <v>465</v>
      </c>
      <c r="D983" s="1" t="s">
        <v>224</v>
      </c>
      <c r="E983" s="18">
        <v>3</v>
      </c>
    </row>
    <row r="984" customHeight="1" spans="1:5">
      <c r="A984" s="1" t="s">
        <v>220</v>
      </c>
      <c r="B984" s="69" t="s">
        <v>463</v>
      </c>
      <c r="C984" s="18" t="s">
        <v>465</v>
      </c>
      <c r="D984" s="1" t="s">
        <v>224</v>
      </c>
      <c r="E984" s="18">
        <v>4</v>
      </c>
    </row>
    <row r="985" customHeight="1" spans="1:5">
      <c r="A985" s="1" t="s">
        <v>220</v>
      </c>
      <c r="B985" s="69" t="s">
        <v>463</v>
      </c>
      <c r="C985" s="18" t="s">
        <v>465</v>
      </c>
      <c r="D985" s="1" t="s">
        <v>224</v>
      </c>
      <c r="E985" s="18">
        <v>5</v>
      </c>
    </row>
    <row r="986" customHeight="1" spans="1:5">
      <c r="A986" s="1" t="s">
        <v>220</v>
      </c>
      <c r="B986" s="69" t="s">
        <v>463</v>
      </c>
      <c r="C986" s="5" t="s">
        <v>465</v>
      </c>
      <c r="D986" s="1" t="s">
        <v>224</v>
      </c>
      <c r="E986" s="5">
        <v>1</v>
      </c>
    </row>
    <row r="987" customHeight="1" spans="1:5">
      <c r="A987" s="1" t="s">
        <v>220</v>
      </c>
      <c r="B987" s="69" t="s">
        <v>463</v>
      </c>
      <c r="C987" s="5" t="s">
        <v>465</v>
      </c>
      <c r="D987" s="1" t="s">
        <v>224</v>
      </c>
      <c r="E987" s="5">
        <v>2</v>
      </c>
    </row>
    <row r="988" customHeight="1" spans="1:5">
      <c r="A988" s="1" t="s">
        <v>220</v>
      </c>
      <c r="B988" s="69" t="s">
        <v>463</v>
      </c>
      <c r="C988" s="5" t="s">
        <v>465</v>
      </c>
      <c r="D988" s="1" t="s">
        <v>224</v>
      </c>
      <c r="E988" s="5">
        <v>3</v>
      </c>
    </row>
    <row r="989" customHeight="1" spans="1:5">
      <c r="A989" s="1" t="s">
        <v>220</v>
      </c>
      <c r="B989" s="69" t="s">
        <v>463</v>
      </c>
      <c r="C989" s="5" t="s">
        <v>465</v>
      </c>
      <c r="D989" s="1" t="s">
        <v>224</v>
      </c>
      <c r="E989" s="5">
        <v>4</v>
      </c>
    </row>
    <row r="990" customHeight="1" spans="1:5">
      <c r="A990" s="1" t="s">
        <v>220</v>
      </c>
      <c r="B990" s="69" t="s">
        <v>463</v>
      </c>
      <c r="C990" s="5" t="s">
        <v>465</v>
      </c>
      <c r="D990" s="1" t="s">
        <v>224</v>
      </c>
      <c r="E990" s="5">
        <v>5</v>
      </c>
    </row>
    <row r="991" customHeight="1" spans="1:5">
      <c r="A991" s="1" t="s">
        <v>291</v>
      </c>
      <c r="B991" s="69" t="s">
        <v>463</v>
      </c>
      <c r="C991" s="18" t="s">
        <v>466</v>
      </c>
      <c r="D991" s="1" t="s">
        <v>225</v>
      </c>
      <c r="E991" s="18">
        <v>1</v>
      </c>
    </row>
    <row r="992" customHeight="1" spans="1:5">
      <c r="A992" s="1" t="s">
        <v>291</v>
      </c>
      <c r="B992" s="69" t="s">
        <v>463</v>
      </c>
      <c r="C992" s="18" t="s">
        <v>466</v>
      </c>
      <c r="D992" s="1" t="s">
        <v>225</v>
      </c>
      <c r="E992" s="18">
        <v>2</v>
      </c>
    </row>
    <row r="993" customHeight="1" spans="1:5">
      <c r="A993" s="1" t="s">
        <v>291</v>
      </c>
      <c r="B993" s="69" t="s">
        <v>463</v>
      </c>
      <c r="C993" s="18" t="s">
        <v>466</v>
      </c>
      <c r="D993" s="1" t="s">
        <v>225</v>
      </c>
      <c r="E993" s="18">
        <v>3</v>
      </c>
    </row>
    <row r="994" customHeight="1" spans="1:5">
      <c r="A994" s="1" t="s">
        <v>291</v>
      </c>
      <c r="B994" s="69" t="s">
        <v>463</v>
      </c>
      <c r="C994" s="18" t="s">
        <v>466</v>
      </c>
      <c r="D994" s="1" t="s">
        <v>225</v>
      </c>
      <c r="E994" s="18">
        <v>4</v>
      </c>
    </row>
    <row r="995" customHeight="1" spans="1:5">
      <c r="A995" s="1" t="s">
        <v>291</v>
      </c>
      <c r="B995" s="69" t="s">
        <v>463</v>
      </c>
      <c r="C995" s="18" t="s">
        <v>466</v>
      </c>
      <c r="D995" s="1" t="s">
        <v>225</v>
      </c>
      <c r="E995" s="18">
        <v>5</v>
      </c>
    </row>
    <row r="996" customHeight="1" spans="1:5">
      <c r="A996" s="1" t="s">
        <v>291</v>
      </c>
      <c r="B996" s="69" t="s">
        <v>463</v>
      </c>
      <c r="C996" s="18" t="s">
        <v>466</v>
      </c>
      <c r="D996" s="1" t="s">
        <v>225</v>
      </c>
      <c r="E996" s="18">
        <v>6</v>
      </c>
    </row>
    <row r="997" customHeight="1" spans="1:5">
      <c r="A997" s="1" t="s">
        <v>291</v>
      </c>
      <c r="B997" s="69" t="s">
        <v>463</v>
      </c>
      <c r="C997" s="18" t="s">
        <v>466</v>
      </c>
      <c r="D997" s="1" t="s">
        <v>225</v>
      </c>
      <c r="E997" s="18">
        <v>7</v>
      </c>
    </row>
    <row r="998" customHeight="1" spans="1:5">
      <c r="A998" s="1" t="s">
        <v>291</v>
      </c>
      <c r="B998" s="69" t="s">
        <v>463</v>
      </c>
      <c r="C998" s="18" t="s">
        <v>466</v>
      </c>
      <c r="D998" s="1" t="s">
        <v>225</v>
      </c>
      <c r="E998" s="18">
        <v>8</v>
      </c>
    </row>
    <row r="999" customHeight="1" spans="1:5">
      <c r="A999" s="1" t="s">
        <v>220</v>
      </c>
      <c r="B999" s="70" t="s">
        <v>467</v>
      </c>
      <c r="C999" s="5" t="s">
        <v>468</v>
      </c>
      <c r="D999" s="1" t="s">
        <v>222</v>
      </c>
      <c r="E999" s="5">
        <v>1</v>
      </c>
    </row>
    <row r="1000" customHeight="1" spans="1:5">
      <c r="A1000" s="1" t="s">
        <v>220</v>
      </c>
      <c r="B1000" s="70" t="s">
        <v>467</v>
      </c>
      <c r="C1000" s="5" t="s">
        <v>468</v>
      </c>
      <c r="D1000" s="1" t="s">
        <v>222</v>
      </c>
      <c r="E1000" s="5">
        <v>2</v>
      </c>
    </row>
    <row r="1001" customHeight="1" spans="1:5">
      <c r="A1001" s="1" t="s">
        <v>220</v>
      </c>
      <c r="B1001" s="70" t="s">
        <v>467</v>
      </c>
      <c r="C1001" s="5" t="s">
        <v>468</v>
      </c>
      <c r="D1001" s="1" t="s">
        <v>222</v>
      </c>
      <c r="E1001" s="5">
        <v>3</v>
      </c>
    </row>
    <row r="1002" customHeight="1" spans="1:5">
      <c r="A1002" s="1" t="s">
        <v>220</v>
      </c>
      <c r="B1002" s="70" t="s">
        <v>467</v>
      </c>
      <c r="C1002" s="5" t="s">
        <v>468</v>
      </c>
      <c r="D1002" s="1" t="s">
        <v>222</v>
      </c>
      <c r="E1002" s="5">
        <v>4</v>
      </c>
    </row>
    <row r="1003" customHeight="1" spans="1:5">
      <c r="A1003" s="1" t="s">
        <v>220</v>
      </c>
      <c r="B1003" s="70" t="s">
        <v>467</v>
      </c>
      <c r="C1003" s="5" t="s">
        <v>468</v>
      </c>
      <c r="D1003" s="1" t="s">
        <v>222</v>
      </c>
      <c r="E1003" s="5">
        <v>5</v>
      </c>
    </row>
    <row r="1004" customHeight="1" spans="1:5">
      <c r="A1004" s="1" t="s">
        <v>220</v>
      </c>
      <c r="B1004" s="70" t="s">
        <v>467</v>
      </c>
      <c r="C1004" s="18" t="s">
        <v>469</v>
      </c>
      <c r="D1004" s="1" t="s">
        <v>224</v>
      </c>
      <c r="E1004" s="18">
        <v>1</v>
      </c>
    </row>
    <row r="1005" customHeight="1" spans="1:5">
      <c r="A1005" s="1" t="s">
        <v>220</v>
      </c>
      <c r="B1005" s="70" t="s">
        <v>467</v>
      </c>
      <c r="C1005" s="18" t="s">
        <v>469</v>
      </c>
      <c r="D1005" s="1" t="s">
        <v>224</v>
      </c>
      <c r="E1005" s="18">
        <v>2</v>
      </c>
    </row>
    <row r="1006" customHeight="1" spans="1:5">
      <c r="A1006" s="1" t="s">
        <v>220</v>
      </c>
      <c r="B1006" s="70" t="s">
        <v>467</v>
      </c>
      <c r="C1006" s="18" t="s">
        <v>469</v>
      </c>
      <c r="D1006" s="1" t="s">
        <v>224</v>
      </c>
      <c r="E1006" s="18">
        <v>3</v>
      </c>
    </row>
    <row r="1007" customHeight="1" spans="1:5">
      <c r="A1007" s="1" t="s">
        <v>220</v>
      </c>
      <c r="B1007" s="70" t="s">
        <v>467</v>
      </c>
      <c r="C1007" s="18" t="s">
        <v>469</v>
      </c>
      <c r="D1007" s="1" t="s">
        <v>224</v>
      </c>
      <c r="E1007" s="18">
        <v>4</v>
      </c>
    </row>
    <row r="1008" customHeight="1" spans="1:5">
      <c r="A1008" s="1" t="s">
        <v>220</v>
      </c>
      <c r="B1008" s="70" t="s">
        <v>467</v>
      </c>
      <c r="C1008" s="18" t="s">
        <v>469</v>
      </c>
      <c r="D1008" s="1" t="s">
        <v>224</v>
      </c>
      <c r="E1008" s="18">
        <v>5</v>
      </c>
    </row>
    <row r="1009" customHeight="1" spans="1:5">
      <c r="A1009" s="1" t="s">
        <v>220</v>
      </c>
      <c r="B1009" s="70" t="s">
        <v>467</v>
      </c>
      <c r="C1009" s="5" t="s">
        <v>469</v>
      </c>
      <c r="D1009" s="1" t="s">
        <v>224</v>
      </c>
      <c r="E1009" s="5">
        <v>1</v>
      </c>
    </row>
    <row r="1010" customHeight="1" spans="1:5">
      <c r="A1010" s="1" t="s">
        <v>220</v>
      </c>
      <c r="B1010" s="70" t="s">
        <v>467</v>
      </c>
      <c r="C1010" s="5" t="s">
        <v>469</v>
      </c>
      <c r="D1010" s="1" t="s">
        <v>224</v>
      </c>
      <c r="E1010" s="5">
        <v>2</v>
      </c>
    </row>
    <row r="1011" customHeight="1" spans="1:5">
      <c r="A1011" s="1" t="s">
        <v>220</v>
      </c>
      <c r="B1011" s="70" t="s">
        <v>467</v>
      </c>
      <c r="C1011" s="5" t="s">
        <v>469</v>
      </c>
      <c r="D1011" s="1" t="s">
        <v>224</v>
      </c>
      <c r="E1011" s="5">
        <v>3</v>
      </c>
    </row>
    <row r="1012" customHeight="1" spans="1:5">
      <c r="A1012" s="1" t="s">
        <v>220</v>
      </c>
      <c r="B1012" s="70" t="s">
        <v>467</v>
      </c>
      <c r="C1012" s="5" t="s">
        <v>469</v>
      </c>
      <c r="D1012" s="1" t="s">
        <v>224</v>
      </c>
      <c r="E1012" s="5">
        <v>4</v>
      </c>
    </row>
    <row r="1013" customHeight="1" spans="1:5">
      <c r="A1013" s="1" t="s">
        <v>220</v>
      </c>
      <c r="B1013" s="70" t="s">
        <v>467</v>
      </c>
      <c r="C1013" s="5" t="s">
        <v>469</v>
      </c>
      <c r="D1013" s="1" t="s">
        <v>224</v>
      </c>
      <c r="E1013" s="5">
        <v>5</v>
      </c>
    </row>
    <row r="1014" customHeight="1" spans="1:5">
      <c r="A1014" s="1" t="s">
        <v>291</v>
      </c>
      <c r="B1014" s="70" t="s">
        <v>467</v>
      </c>
      <c r="C1014" s="18" t="s">
        <v>470</v>
      </c>
      <c r="D1014" s="1" t="s">
        <v>225</v>
      </c>
      <c r="E1014" s="18">
        <v>1</v>
      </c>
    </row>
    <row r="1015" customHeight="1" spans="1:5">
      <c r="A1015" s="1" t="s">
        <v>291</v>
      </c>
      <c r="B1015" s="70" t="s">
        <v>467</v>
      </c>
      <c r="C1015" s="18" t="s">
        <v>470</v>
      </c>
      <c r="D1015" s="1" t="s">
        <v>225</v>
      </c>
      <c r="E1015" s="18">
        <v>2</v>
      </c>
    </row>
    <row r="1016" customHeight="1" spans="1:5">
      <c r="A1016" s="1" t="s">
        <v>291</v>
      </c>
      <c r="B1016" s="70" t="s">
        <v>467</v>
      </c>
      <c r="C1016" s="18" t="s">
        <v>470</v>
      </c>
      <c r="D1016" s="1" t="s">
        <v>225</v>
      </c>
      <c r="E1016" s="18">
        <v>3</v>
      </c>
    </row>
    <row r="1017" customHeight="1" spans="1:5">
      <c r="A1017" s="1" t="s">
        <v>291</v>
      </c>
      <c r="B1017" s="70" t="s">
        <v>467</v>
      </c>
      <c r="C1017" s="18" t="s">
        <v>470</v>
      </c>
      <c r="D1017" s="1" t="s">
        <v>225</v>
      </c>
      <c r="E1017" s="18">
        <v>4</v>
      </c>
    </row>
    <row r="1018" customHeight="1" spans="1:5">
      <c r="A1018" s="1" t="s">
        <v>291</v>
      </c>
      <c r="B1018" s="70" t="s">
        <v>467</v>
      </c>
      <c r="C1018" s="18" t="s">
        <v>470</v>
      </c>
      <c r="D1018" s="1" t="s">
        <v>225</v>
      </c>
      <c r="E1018" s="18">
        <v>5</v>
      </c>
    </row>
    <row r="1019" customHeight="1" spans="1:5">
      <c r="A1019" s="1" t="s">
        <v>291</v>
      </c>
      <c r="B1019" s="70" t="s">
        <v>467</v>
      </c>
      <c r="C1019" s="18" t="s">
        <v>470</v>
      </c>
      <c r="D1019" s="1" t="s">
        <v>225</v>
      </c>
      <c r="E1019" s="18">
        <v>6</v>
      </c>
    </row>
    <row r="1020" customHeight="1" spans="1:5">
      <c r="A1020" s="1" t="s">
        <v>291</v>
      </c>
      <c r="B1020" s="70" t="s">
        <v>467</v>
      </c>
      <c r="C1020" s="18" t="s">
        <v>470</v>
      </c>
      <c r="D1020" s="1" t="s">
        <v>225</v>
      </c>
      <c r="E1020" s="18">
        <v>7</v>
      </c>
    </row>
    <row r="1021" customHeight="1" spans="1:5">
      <c r="A1021" s="1" t="s">
        <v>291</v>
      </c>
      <c r="B1021" s="70" t="s">
        <v>467</v>
      </c>
      <c r="C1021" s="18" t="s">
        <v>470</v>
      </c>
      <c r="D1021" s="1" t="s">
        <v>225</v>
      </c>
      <c r="E1021" s="18">
        <v>8</v>
      </c>
    </row>
    <row r="1022" customHeight="1" spans="1:5">
      <c r="A1022" s="1" t="s">
        <v>220</v>
      </c>
      <c r="B1022" s="69" t="s">
        <v>471</v>
      </c>
      <c r="C1022" s="5" t="s">
        <v>472</v>
      </c>
      <c r="D1022" s="1" t="s">
        <v>222</v>
      </c>
      <c r="E1022" s="5">
        <v>1</v>
      </c>
    </row>
    <row r="1023" customHeight="1" spans="1:5">
      <c r="A1023" s="1" t="s">
        <v>220</v>
      </c>
      <c r="B1023" s="69" t="s">
        <v>471</v>
      </c>
      <c r="C1023" s="5" t="s">
        <v>472</v>
      </c>
      <c r="D1023" s="1" t="s">
        <v>222</v>
      </c>
      <c r="E1023" s="5">
        <v>2</v>
      </c>
    </row>
    <row r="1024" customHeight="1" spans="1:5">
      <c r="A1024" s="1" t="s">
        <v>220</v>
      </c>
      <c r="B1024" s="69" t="s">
        <v>471</v>
      </c>
      <c r="C1024" s="5" t="s">
        <v>472</v>
      </c>
      <c r="D1024" s="1" t="s">
        <v>222</v>
      </c>
      <c r="E1024" s="5">
        <v>3</v>
      </c>
    </row>
    <row r="1025" customHeight="1" spans="1:5">
      <c r="A1025" s="1" t="s">
        <v>220</v>
      </c>
      <c r="B1025" s="69" t="s">
        <v>471</v>
      </c>
      <c r="C1025" s="5" t="s">
        <v>472</v>
      </c>
      <c r="D1025" s="1" t="s">
        <v>222</v>
      </c>
      <c r="E1025" s="5">
        <v>4</v>
      </c>
    </row>
    <row r="1026" customHeight="1" spans="1:5">
      <c r="A1026" s="1" t="s">
        <v>220</v>
      </c>
      <c r="B1026" s="69" t="s">
        <v>471</v>
      </c>
      <c r="C1026" s="5" t="s">
        <v>472</v>
      </c>
      <c r="D1026" s="1" t="s">
        <v>222</v>
      </c>
      <c r="E1026" s="5">
        <v>5</v>
      </c>
    </row>
    <row r="1027" customHeight="1" spans="1:5">
      <c r="A1027" s="1" t="s">
        <v>220</v>
      </c>
      <c r="B1027" s="69" t="s">
        <v>471</v>
      </c>
      <c r="C1027" s="18" t="s">
        <v>473</v>
      </c>
      <c r="D1027" s="1" t="s">
        <v>224</v>
      </c>
      <c r="E1027" s="18">
        <v>1</v>
      </c>
    </row>
    <row r="1028" customHeight="1" spans="1:5">
      <c r="A1028" s="1" t="s">
        <v>220</v>
      </c>
      <c r="B1028" s="69" t="s">
        <v>471</v>
      </c>
      <c r="C1028" s="18" t="s">
        <v>473</v>
      </c>
      <c r="D1028" s="1" t="s">
        <v>224</v>
      </c>
      <c r="E1028" s="18">
        <v>2</v>
      </c>
    </row>
    <row r="1029" customHeight="1" spans="1:5">
      <c r="A1029" s="1" t="s">
        <v>220</v>
      </c>
      <c r="B1029" s="69" t="s">
        <v>471</v>
      </c>
      <c r="C1029" s="18" t="s">
        <v>473</v>
      </c>
      <c r="D1029" s="1" t="s">
        <v>224</v>
      </c>
      <c r="E1029" s="18">
        <v>3</v>
      </c>
    </row>
    <row r="1030" customHeight="1" spans="1:5">
      <c r="A1030" s="1" t="s">
        <v>220</v>
      </c>
      <c r="B1030" s="69" t="s">
        <v>471</v>
      </c>
      <c r="C1030" s="18" t="s">
        <v>473</v>
      </c>
      <c r="D1030" s="1" t="s">
        <v>224</v>
      </c>
      <c r="E1030" s="18">
        <v>4</v>
      </c>
    </row>
    <row r="1031" customHeight="1" spans="1:5">
      <c r="A1031" s="1" t="s">
        <v>220</v>
      </c>
      <c r="B1031" s="69" t="s">
        <v>471</v>
      </c>
      <c r="C1031" s="18" t="s">
        <v>473</v>
      </c>
      <c r="D1031" s="1" t="s">
        <v>224</v>
      </c>
      <c r="E1031" s="18">
        <v>5</v>
      </c>
    </row>
    <row r="1032" customHeight="1" spans="1:5">
      <c r="A1032" s="1" t="s">
        <v>220</v>
      </c>
      <c r="B1032" s="69" t="s">
        <v>471</v>
      </c>
      <c r="C1032" s="5" t="s">
        <v>473</v>
      </c>
      <c r="D1032" s="1" t="s">
        <v>224</v>
      </c>
      <c r="E1032" s="5">
        <v>1</v>
      </c>
    </row>
    <row r="1033" customHeight="1" spans="1:5">
      <c r="A1033" s="1" t="s">
        <v>220</v>
      </c>
      <c r="B1033" s="69" t="s">
        <v>471</v>
      </c>
      <c r="C1033" s="5" t="s">
        <v>473</v>
      </c>
      <c r="D1033" s="1" t="s">
        <v>224</v>
      </c>
      <c r="E1033" s="5">
        <v>2</v>
      </c>
    </row>
    <row r="1034" customHeight="1" spans="1:5">
      <c r="A1034" s="1" t="s">
        <v>220</v>
      </c>
      <c r="B1034" s="69" t="s">
        <v>471</v>
      </c>
      <c r="C1034" s="5" t="s">
        <v>473</v>
      </c>
      <c r="D1034" s="1" t="s">
        <v>224</v>
      </c>
      <c r="E1034" s="5">
        <v>3</v>
      </c>
    </row>
    <row r="1035" customHeight="1" spans="1:5">
      <c r="A1035" s="1" t="s">
        <v>220</v>
      </c>
      <c r="B1035" s="69" t="s">
        <v>471</v>
      </c>
      <c r="C1035" s="5" t="s">
        <v>473</v>
      </c>
      <c r="D1035" s="1" t="s">
        <v>224</v>
      </c>
      <c r="E1035" s="5">
        <v>4</v>
      </c>
    </row>
    <row r="1036" customHeight="1" spans="1:5">
      <c r="A1036" s="1" t="s">
        <v>220</v>
      </c>
      <c r="B1036" s="69" t="s">
        <v>471</v>
      </c>
      <c r="C1036" s="5" t="s">
        <v>473</v>
      </c>
      <c r="D1036" s="1" t="s">
        <v>224</v>
      </c>
      <c r="E1036" s="5">
        <v>5</v>
      </c>
    </row>
    <row r="1037" customHeight="1" spans="1:5">
      <c r="A1037" s="1" t="s">
        <v>291</v>
      </c>
      <c r="B1037" s="69" t="s">
        <v>471</v>
      </c>
      <c r="C1037" s="18" t="s">
        <v>474</v>
      </c>
      <c r="D1037" s="1" t="s">
        <v>225</v>
      </c>
      <c r="E1037" s="18">
        <v>1</v>
      </c>
    </row>
    <row r="1038" customHeight="1" spans="1:5">
      <c r="A1038" s="1" t="s">
        <v>291</v>
      </c>
      <c r="B1038" s="69" t="s">
        <v>471</v>
      </c>
      <c r="C1038" s="18" t="s">
        <v>474</v>
      </c>
      <c r="D1038" s="1" t="s">
        <v>225</v>
      </c>
      <c r="E1038" s="18">
        <v>2</v>
      </c>
    </row>
    <row r="1039" customHeight="1" spans="1:5">
      <c r="A1039" s="1" t="s">
        <v>291</v>
      </c>
      <c r="B1039" s="69" t="s">
        <v>471</v>
      </c>
      <c r="C1039" s="18" t="s">
        <v>474</v>
      </c>
      <c r="D1039" s="1" t="s">
        <v>225</v>
      </c>
      <c r="E1039" s="18">
        <v>3</v>
      </c>
    </row>
    <row r="1040" customHeight="1" spans="1:5">
      <c r="A1040" s="1" t="s">
        <v>291</v>
      </c>
      <c r="B1040" s="69" t="s">
        <v>471</v>
      </c>
      <c r="C1040" s="18" t="s">
        <v>474</v>
      </c>
      <c r="D1040" s="1" t="s">
        <v>225</v>
      </c>
      <c r="E1040" s="18">
        <v>4</v>
      </c>
    </row>
    <row r="1041" customHeight="1" spans="1:5">
      <c r="A1041" s="1" t="s">
        <v>291</v>
      </c>
      <c r="B1041" s="69" t="s">
        <v>471</v>
      </c>
      <c r="C1041" s="18" t="s">
        <v>474</v>
      </c>
      <c r="D1041" s="1" t="s">
        <v>225</v>
      </c>
      <c r="E1041" s="18">
        <v>5</v>
      </c>
    </row>
    <row r="1042" customHeight="1" spans="1:5">
      <c r="A1042" s="1" t="s">
        <v>291</v>
      </c>
      <c r="B1042" s="69" t="s">
        <v>471</v>
      </c>
      <c r="C1042" s="18" t="s">
        <v>474</v>
      </c>
      <c r="D1042" s="1" t="s">
        <v>225</v>
      </c>
      <c r="E1042" s="18">
        <v>6</v>
      </c>
    </row>
    <row r="1043" customHeight="1" spans="1:5">
      <c r="A1043" s="1" t="s">
        <v>291</v>
      </c>
      <c r="B1043" s="69" t="s">
        <v>471</v>
      </c>
      <c r="C1043" s="18" t="s">
        <v>474</v>
      </c>
      <c r="D1043" s="1" t="s">
        <v>225</v>
      </c>
      <c r="E1043" s="18">
        <v>7</v>
      </c>
    </row>
    <row r="1044" customHeight="1" spans="1:5">
      <c r="A1044" s="1" t="s">
        <v>291</v>
      </c>
      <c r="B1044" s="69" t="s">
        <v>471</v>
      </c>
      <c r="C1044" s="18" t="s">
        <v>474</v>
      </c>
      <c r="D1044" s="1" t="s">
        <v>225</v>
      </c>
      <c r="E1044" s="18">
        <v>8</v>
      </c>
    </row>
    <row r="1045" customHeight="1" spans="1:5">
      <c r="A1045" s="1" t="s">
        <v>220</v>
      </c>
      <c r="B1045" s="70" t="s">
        <v>475</v>
      </c>
      <c r="C1045" s="5" t="s">
        <v>476</v>
      </c>
      <c r="D1045" s="1" t="s">
        <v>222</v>
      </c>
      <c r="E1045" s="5">
        <v>1</v>
      </c>
    </row>
    <row r="1046" customHeight="1" spans="1:5">
      <c r="A1046" s="1" t="s">
        <v>220</v>
      </c>
      <c r="B1046" s="70" t="s">
        <v>475</v>
      </c>
      <c r="C1046" s="5" t="s">
        <v>476</v>
      </c>
      <c r="D1046" s="1" t="s">
        <v>222</v>
      </c>
      <c r="E1046" s="5">
        <v>2</v>
      </c>
    </row>
    <row r="1047" customHeight="1" spans="1:5">
      <c r="A1047" s="1" t="s">
        <v>220</v>
      </c>
      <c r="B1047" s="70" t="s">
        <v>475</v>
      </c>
      <c r="C1047" s="5" t="s">
        <v>476</v>
      </c>
      <c r="D1047" s="1" t="s">
        <v>222</v>
      </c>
      <c r="E1047" s="5">
        <v>3</v>
      </c>
    </row>
    <row r="1048" customHeight="1" spans="1:5">
      <c r="A1048" s="1" t="s">
        <v>220</v>
      </c>
      <c r="B1048" s="70" t="s">
        <v>475</v>
      </c>
      <c r="C1048" s="5" t="s">
        <v>476</v>
      </c>
      <c r="D1048" s="1" t="s">
        <v>222</v>
      </c>
      <c r="E1048" s="5">
        <v>4</v>
      </c>
    </row>
    <row r="1049" customHeight="1" spans="1:5">
      <c r="A1049" s="1" t="s">
        <v>220</v>
      </c>
      <c r="B1049" s="70" t="s">
        <v>475</v>
      </c>
      <c r="C1049" s="5" t="s">
        <v>476</v>
      </c>
      <c r="D1049" s="1" t="s">
        <v>222</v>
      </c>
      <c r="E1049" s="5">
        <v>5</v>
      </c>
    </row>
    <row r="1050" customHeight="1" spans="1:5">
      <c r="A1050" s="1" t="s">
        <v>220</v>
      </c>
      <c r="B1050" s="70" t="s">
        <v>475</v>
      </c>
      <c r="C1050" s="18" t="s">
        <v>477</v>
      </c>
      <c r="D1050" s="1" t="s">
        <v>224</v>
      </c>
      <c r="E1050" s="18">
        <v>1</v>
      </c>
    </row>
    <row r="1051" customHeight="1" spans="1:5">
      <c r="A1051" s="1" t="s">
        <v>220</v>
      </c>
      <c r="B1051" s="70" t="s">
        <v>475</v>
      </c>
      <c r="C1051" s="18" t="s">
        <v>477</v>
      </c>
      <c r="D1051" s="1" t="s">
        <v>224</v>
      </c>
      <c r="E1051" s="18">
        <v>2</v>
      </c>
    </row>
    <row r="1052" customHeight="1" spans="1:5">
      <c r="A1052" s="1" t="s">
        <v>220</v>
      </c>
      <c r="B1052" s="70" t="s">
        <v>475</v>
      </c>
      <c r="C1052" s="18" t="s">
        <v>477</v>
      </c>
      <c r="D1052" s="1" t="s">
        <v>224</v>
      </c>
      <c r="E1052" s="18">
        <v>3</v>
      </c>
    </row>
    <row r="1053" customHeight="1" spans="1:5">
      <c r="A1053" s="1" t="s">
        <v>220</v>
      </c>
      <c r="B1053" s="70" t="s">
        <v>475</v>
      </c>
      <c r="C1053" s="18" t="s">
        <v>477</v>
      </c>
      <c r="D1053" s="1" t="s">
        <v>224</v>
      </c>
      <c r="E1053" s="18">
        <v>4</v>
      </c>
    </row>
    <row r="1054" customHeight="1" spans="1:5">
      <c r="A1054" s="1" t="s">
        <v>220</v>
      </c>
      <c r="B1054" s="70" t="s">
        <v>475</v>
      </c>
      <c r="C1054" s="18" t="s">
        <v>477</v>
      </c>
      <c r="D1054" s="1" t="s">
        <v>224</v>
      </c>
      <c r="E1054" s="18">
        <v>5</v>
      </c>
    </row>
    <row r="1055" customHeight="1" spans="1:5">
      <c r="A1055" s="1" t="s">
        <v>220</v>
      </c>
      <c r="B1055" s="70" t="s">
        <v>475</v>
      </c>
      <c r="C1055" s="5" t="s">
        <v>477</v>
      </c>
      <c r="D1055" s="1" t="s">
        <v>224</v>
      </c>
      <c r="E1055" s="5">
        <v>1</v>
      </c>
    </row>
    <row r="1056" customHeight="1" spans="1:5">
      <c r="A1056" s="1" t="s">
        <v>220</v>
      </c>
      <c r="B1056" s="70" t="s">
        <v>475</v>
      </c>
      <c r="C1056" s="5" t="s">
        <v>477</v>
      </c>
      <c r="D1056" s="1" t="s">
        <v>224</v>
      </c>
      <c r="E1056" s="5">
        <v>2</v>
      </c>
    </row>
    <row r="1057" customHeight="1" spans="1:5">
      <c r="A1057" s="1" t="s">
        <v>220</v>
      </c>
      <c r="B1057" s="70" t="s">
        <v>475</v>
      </c>
      <c r="C1057" s="5" t="s">
        <v>477</v>
      </c>
      <c r="D1057" s="1" t="s">
        <v>224</v>
      </c>
      <c r="E1057" s="5">
        <v>3</v>
      </c>
    </row>
    <row r="1058" customHeight="1" spans="1:5">
      <c r="A1058" s="1" t="s">
        <v>220</v>
      </c>
      <c r="B1058" s="70" t="s">
        <v>475</v>
      </c>
      <c r="C1058" s="5" t="s">
        <v>477</v>
      </c>
      <c r="D1058" s="1" t="s">
        <v>224</v>
      </c>
      <c r="E1058" s="5">
        <v>4</v>
      </c>
    </row>
    <row r="1059" customHeight="1" spans="1:5">
      <c r="A1059" s="1" t="s">
        <v>220</v>
      </c>
      <c r="B1059" s="70" t="s">
        <v>475</v>
      </c>
      <c r="C1059" s="5" t="s">
        <v>477</v>
      </c>
      <c r="D1059" s="1" t="s">
        <v>224</v>
      </c>
      <c r="E1059" s="5">
        <v>5</v>
      </c>
    </row>
    <row r="1060" customHeight="1" spans="1:5">
      <c r="A1060" s="1" t="s">
        <v>291</v>
      </c>
      <c r="B1060" s="70" t="s">
        <v>475</v>
      </c>
      <c r="C1060" s="18" t="s">
        <v>478</v>
      </c>
      <c r="D1060" s="1" t="s">
        <v>225</v>
      </c>
      <c r="E1060" s="18">
        <v>1</v>
      </c>
    </row>
    <row r="1061" customHeight="1" spans="1:5">
      <c r="A1061" s="1" t="s">
        <v>291</v>
      </c>
      <c r="B1061" s="70" t="s">
        <v>475</v>
      </c>
      <c r="C1061" s="18" t="s">
        <v>478</v>
      </c>
      <c r="D1061" s="1" t="s">
        <v>225</v>
      </c>
      <c r="E1061" s="18">
        <v>2</v>
      </c>
    </row>
    <row r="1062" customHeight="1" spans="1:5">
      <c r="A1062" s="1" t="s">
        <v>291</v>
      </c>
      <c r="B1062" s="70" t="s">
        <v>475</v>
      </c>
      <c r="C1062" s="18" t="s">
        <v>478</v>
      </c>
      <c r="D1062" s="1" t="s">
        <v>225</v>
      </c>
      <c r="E1062" s="18">
        <v>3</v>
      </c>
    </row>
    <row r="1063" customHeight="1" spans="1:5">
      <c r="A1063" s="1" t="s">
        <v>291</v>
      </c>
      <c r="B1063" s="70" t="s">
        <v>475</v>
      </c>
      <c r="C1063" s="18" t="s">
        <v>478</v>
      </c>
      <c r="D1063" s="1" t="s">
        <v>225</v>
      </c>
      <c r="E1063" s="18">
        <v>4</v>
      </c>
    </row>
    <row r="1064" customHeight="1" spans="1:5">
      <c r="A1064" s="1" t="s">
        <v>291</v>
      </c>
      <c r="B1064" s="70" t="s">
        <v>475</v>
      </c>
      <c r="C1064" s="18" t="s">
        <v>478</v>
      </c>
      <c r="D1064" s="1" t="s">
        <v>225</v>
      </c>
      <c r="E1064" s="18">
        <v>5</v>
      </c>
    </row>
    <row r="1065" customHeight="1" spans="1:5">
      <c r="A1065" s="1" t="s">
        <v>291</v>
      </c>
      <c r="B1065" s="70" t="s">
        <v>475</v>
      </c>
      <c r="C1065" s="18" t="s">
        <v>478</v>
      </c>
      <c r="D1065" s="1" t="s">
        <v>225</v>
      </c>
      <c r="E1065" s="18">
        <v>6</v>
      </c>
    </row>
    <row r="1066" customHeight="1" spans="1:5">
      <c r="A1066" s="1" t="s">
        <v>291</v>
      </c>
      <c r="B1066" s="70" t="s">
        <v>475</v>
      </c>
      <c r="C1066" s="18" t="s">
        <v>478</v>
      </c>
      <c r="D1066" s="1" t="s">
        <v>225</v>
      </c>
      <c r="E1066" s="18">
        <v>7</v>
      </c>
    </row>
    <row r="1067" customHeight="1" spans="1:5">
      <c r="A1067" s="1" t="s">
        <v>291</v>
      </c>
      <c r="B1067" s="70" t="s">
        <v>475</v>
      </c>
      <c r="C1067" s="18" t="s">
        <v>478</v>
      </c>
      <c r="D1067" s="1" t="s">
        <v>225</v>
      </c>
      <c r="E1067" s="18">
        <v>8</v>
      </c>
    </row>
    <row r="1068" customHeight="1" spans="1:5">
      <c r="A1068" s="1" t="s">
        <v>220</v>
      </c>
      <c r="B1068" s="69" t="s">
        <v>479</v>
      </c>
      <c r="C1068" s="5" t="s">
        <v>480</v>
      </c>
      <c r="D1068" s="1" t="s">
        <v>222</v>
      </c>
      <c r="E1068" s="5">
        <v>1</v>
      </c>
    </row>
    <row r="1069" customHeight="1" spans="1:5">
      <c r="A1069" s="1" t="s">
        <v>220</v>
      </c>
      <c r="B1069" s="69" t="s">
        <v>479</v>
      </c>
      <c r="C1069" s="5" t="s">
        <v>480</v>
      </c>
      <c r="D1069" s="1" t="s">
        <v>222</v>
      </c>
      <c r="E1069" s="5">
        <v>2</v>
      </c>
    </row>
    <row r="1070" customHeight="1" spans="1:5">
      <c r="A1070" s="1" t="s">
        <v>220</v>
      </c>
      <c r="B1070" s="69" t="s">
        <v>479</v>
      </c>
      <c r="C1070" s="5" t="s">
        <v>480</v>
      </c>
      <c r="D1070" s="1" t="s">
        <v>222</v>
      </c>
      <c r="E1070" s="5">
        <v>3</v>
      </c>
    </row>
    <row r="1071" customHeight="1" spans="1:5">
      <c r="A1071" s="1" t="s">
        <v>220</v>
      </c>
      <c r="B1071" s="69" t="s">
        <v>479</v>
      </c>
      <c r="C1071" s="5" t="s">
        <v>480</v>
      </c>
      <c r="D1071" s="1" t="s">
        <v>222</v>
      </c>
      <c r="E1071" s="5">
        <v>4</v>
      </c>
    </row>
    <row r="1072" customHeight="1" spans="1:5">
      <c r="A1072" s="1" t="s">
        <v>220</v>
      </c>
      <c r="B1072" s="69" t="s">
        <v>479</v>
      </c>
      <c r="C1072" s="5" t="s">
        <v>480</v>
      </c>
      <c r="D1072" s="1" t="s">
        <v>222</v>
      </c>
      <c r="E1072" s="5">
        <v>5</v>
      </c>
    </row>
    <row r="1073" customHeight="1" spans="1:5">
      <c r="A1073" s="1" t="s">
        <v>220</v>
      </c>
      <c r="B1073" s="69" t="s">
        <v>479</v>
      </c>
      <c r="C1073" s="18" t="s">
        <v>481</v>
      </c>
      <c r="D1073" s="1" t="s">
        <v>224</v>
      </c>
      <c r="E1073" s="18">
        <v>1</v>
      </c>
    </row>
    <row r="1074" customHeight="1" spans="1:5">
      <c r="A1074" s="1" t="s">
        <v>220</v>
      </c>
      <c r="B1074" s="69" t="s">
        <v>479</v>
      </c>
      <c r="C1074" s="18" t="s">
        <v>481</v>
      </c>
      <c r="D1074" s="1" t="s">
        <v>224</v>
      </c>
      <c r="E1074" s="18">
        <v>2</v>
      </c>
    </row>
    <row r="1075" customHeight="1" spans="1:5">
      <c r="A1075" s="1" t="s">
        <v>220</v>
      </c>
      <c r="B1075" s="69" t="s">
        <v>479</v>
      </c>
      <c r="C1075" s="18" t="s">
        <v>481</v>
      </c>
      <c r="D1075" s="1" t="s">
        <v>224</v>
      </c>
      <c r="E1075" s="18">
        <v>3</v>
      </c>
    </row>
    <row r="1076" customHeight="1" spans="1:5">
      <c r="A1076" s="1" t="s">
        <v>220</v>
      </c>
      <c r="B1076" s="69" t="s">
        <v>479</v>
      </c>
      <c r="C1076" s="18" t="s">
        <v>481</v>
      </c>
      <c r="D1076" s="1" t="s">
        <v>224</v>
      </c>
      <c r="E1076" s="18">
        <v>4</v>
      </c>
    </row>
    <row r="1077" customHeight="1" spans="1:5">
      <c r="A1077" s="1" t="s">
        <v>220</v>
      </c>
      <c r="B1077" s="69" t="s">
        <v>479</v>
      </c>
      <c r="C1077" s="18" t="s">
        <v>481</v>
      </c>
      <c r="D1077" s="1" t="s">
        <v>224</v>
      </c>
      <c r="E1077" s="18">
        <v>5</v>
      </c>
    </row>
    <row r="1078" customHeight="1" spans="1:5">
      <c r="A1078" s="1" t="s">
        <v>220</v>
      </c>
      <c r="B1078" s="69" t="s">
        <v>479</v>
      </c>
      <c r="C1078" s="5" t="s">
        <v>481</v>
      </c>
      <c r="D1078" s="1" t="s">
        <v>224</v>
      </c>
      <c r="E1078" s="5">
        <v>1</v>
      </c>
    </row>
    <row r="1079" customHeight="1" spans="1:5">
      <c r="A1079" s="1" t="s">
        <v>220</v>
      </c>
      <c r="B1079" s="69" t="s">
        <v>479</v>
      </c>
      <c r="C1079" s="5" t="s">
        <v>481</v>
      </c>
      <c r="D1079" s="1" t="s">
        <v>224</v>
      </c>
      <c r="E1079" s="5">
        <v>2</v>
      </c>
    </row>
    <row r="1080" customHeight="1" spans="1:5">
      <c r="A1080" s="1" t="s">
        <v>220</v>
      </c>
      <c r="B1080" s="69" t="s">
        <v>479</v>
      </c>
      <c r="C1080" s="5" t="s">
        <v>481</v>
      </c>
      <c r="D1080" s="1" t="s">
        <v>224</v>
      </c>
      <c r="E1080" s="5">
        <v>3</v>
      </c>
    </row>
    <row r="1081" customHeight="1" spans="1:5">
      <c r="A1081" s="1" t="s">
        <v>220</v>
      </c>
      <c r="B1081" s="69" t="s">
        <v>479</v>
      </c>
      <c r="C1081" s="5" t="s">
        <v>481</v>
      </c>
      <c r="D1081" s="1" t="s">
        <v>224</v>
      </c>
      <c r="E1081" s="5">
        <v>4</v>
      </c>
    </row>
    <row r="1082" customHeight="1" spans="1:5">
      <c r="A1082" s="1" t="s">
        <v>220</v>
      </c>
      <c r="B1082" s="69" t="s">
        <v>479</v>
      </c>
      <c r="C1082" s="5" t="s">
        <v>481</v>
      </c>
      <c r="D1082" s="1" t="s">
        <v>224</v>
      </c>
      <c r="E1082" s="5">
        <v>5</v>
      </c>
    </row>
    <row r="1083" customHeight="1" spans="1:5">
      <c r="A1083" s="1" t="s">
        <v>291</v>
      </c>
      <c r="B1083" s="69" t="s">
        <v>479</v>
      </c>
      <c r="C1083" s="18" t="s">
        <v>482</v>
      </c>
      <c r="D1083" s="1" t="s">
        <v>225</v>
      </c>
      <c r="E1083" s="18">
        <v>1</v>
      </c>
    </row>
    <row r="1084" customHeight="1" spans="1:5">
      <c r="A1084" s="1" t="s">
        <v>291</v>
      </c>
      <c r="B1084" s="69" t="s">
        <v>479</v>
      </c>
      <c r="C1084" s="18" t="s">
        <v>482</v>
      </c>
      <c r="D1084" s="1" t="s">
        <v>225</v>
      </c>
      <c r="E1084" s="18">
        <v>2</v>
      </c>
    </row>
    <row r="1085" customHeight="1" spans="1:5">
      <c r="A1085" s="1" t="s">
        <v>291</v>
      </c>
      <c r="B1085" s="69" t="s">
        <v>479</v>
      </c>
      <c r="C1085" s="18" t="s">
        <v>482</v>
      </c>
      <c r="D1085" s="1" t="s">
        <v>225</v>
      </c>
      <c r="E1085" s="18">
        <v>3</v>
      </c>
    </row>
    <row r="1086" customHeight="1" spans="1:5">
      <c r="A1086" s="1" t="s">
        <v>291</v>
      </c>
      <c r="B1086" s="69" t="s">
        <v>479</v>
      </c>
      <c r="C1086" s="18" t="s">
        <v>482</v>
      </c>
      <c r="D1086" s="1" t="s">
        <v>225</v>
      </c>
      <c r="E1086" s="18">
        <v>4</v>
      </c>
    </row>
    <row r="1087" customHeight="1" spans="1:5">
      <c r="A1087" s="1" t="s">
        <v>291</v>
      </c>
      <c r="B1087" s="69" t="s">
        <v>479</v>
      </c>
      <c r="C1087" s="18" t="s">
        <v>482</v>
      </c>
      <c r="D1087" s="1" t="s">
        <v>225</v>
      </c>
      <c r="E1087" s="18">
        <v>5</v>
      </c>
    </row>
    <row r="1088" customHeight="1" spans="1:5">
      <c r="A1088" s="1" t="s">
        <v>291</v>
      </c>
      <c r="B1088" s="69" t="s">
        <v>479</v>
      </c>
      <c r="C1088" s="18" t="s">
        <v>482</v>
      </c>
      <c r="D1088" s="1" t="s">
        <v>225</v>
      </c>
      <c r="E1088" s="18">
        <v>6</v>
      </c>
    </row>
    <row r="1089" customHeight="1" spans="1:5">
      <c r="A1089" s="1" t="s">
        <v>291</v>
      </c>
      <c r="B1089" s="69" t="s">
        <v>479</v>
      </c>
      <c r="C1089" s="18" t="s">
        <v>482</v>
      </c>
      <c r="D1089" s="1" t="s">
        <v>225</v>
      </c>
      <c r="E1089" s="18">
        <v>7</v>
      </c>
    </row>
    <row r="1090" customHeight="1" spans="1:5">
      <c r="A1090" s="1" t="s">
        <v>291</v>
      </c>
      <c r="B1090" s="69" t="s">
        <v>479</v>
      </c>
      <c r="C1090" s="18" t="s">
        <v>482</v>
      </c>
      <c r="D1090" s="1" t="s">
        <v>225</v>
      </c>
      <c r="E1090" s="18">
        <v>8</v>
      </c>
    </row>
    <row r="1091" customHeight="1" spans="1:5">
      <c r="A1091" s="1" t="s">
        <v>220</v>
      </c>
      <c r="B1091" s="70" t="s">
        <v>483</v>
      </c>
      <c r="C1091" s="5" t="s">
        <v>484</v>
      </c>
      <c r="D1091" s="1" t="s">
        <v>222</v>
      </c>
      <c r="E1091" s="5">
        <v>1</v>
      </c>
    </row>
    <row r="1092" customHeight="1" spans="1:5">
      <c r="A1092" s="1" t="s">
        <v>220</v>
      </c>
      <c r="B1092" s="70" t="s">
        <v>483</v>
      </c>
      <c r="C1092" s="5" t="s">
        <v>484</v>
      </c>
      <c r="D1092" s="1" t="s">
        <v>222</v>
      </c>
      <c r="E1092" s="5">
        <v>2</v>
      </c>
    </row>
    <row r="1093" customHeight="1" spans="1:5">
      <c r="A1093" s="1" t="s">
        <v>220</v>
      </c>
      <c r="B1093" s="70" t="s">
        <v>483</v>
      </c>
      <c r="C1093" s="5" t="s">
        <v>484</v>
      </c>
      <c r="D1093" s="1" t="s">
        <v>222</v>
      </c>
      <c r="E1093" s="5">
        <v>3</v>
      </c>
    </row>
    <row r="1094" customHeight="1" spans="1:5">
      <c r="A1094" s="1" t="s">
        <v>220</v>
      </c>
      <c r="B1094" s="70" t="s">
        <v>483</v>
      </c>
      <c r="C1094" s="5" t="s">
        <v>484</v>
      </c>
      <c r="D1094" s="1" t="s">
        <v>222</v>
      </c>
      <c r="E1094" s="5">
        <v>4</v>
      </c>
    </row>
    <row r="1095" customHeight="1" spans="1:5">
      <c r="A1095" s="1" t="s">
        <v>220</v>
      </c>
      <c r="B1095" s="70" t="s">
        <v>483</v>
      </c>
      <c r="C1095" s="5" t="s">
        <v>484</v>
      </c>
      <c r="D1095" s="1" t="s">
        <v>222</v>
      </c>
      <c r="E1095" s="5">
        <v>5</v>
      </c>
    </row>
    <row r="1096" customHeight="1" spans="1:5">
      <c r="A1096" s="1" t="s">
        <v>220</v>
      </c>
      <c r="B1096" s="70" t="s">
        <v>483</v>
      </c>
      <c r="C1096" s="18" t="s">
        <v>485</v>
      </c>
      <c r="D1096" s="1" t="s">
        <v>224</v>
      </c>
      <c r="E1096" s="18">
        <v>1</v>
      </c>
    </row>
    <row r="1097" customHeight="1" spans="1:5">
      <c r="A1097" s="1" t="s">
        <v>220</v>
      </c>
      <c r="B1097" s="70" t="s">
        <v>483</v>
      </c>
      <c r="C1097" s="18" t="s">
        <v>485</v>
      </c>
      <c r="D1097" s="1" t="s">
        <v>224</v>
      </c>
      <c r="E1097" s="18">
        <v>2</v>
      </c>
    </row>
    <row r="1098" customHeight="1" spans="1:5">
      <c r="A1098" s="1" t="s">
        <v>220</v>
      </c>
      <c r="B1098" s="70" t="s">
        <v>483</v>
      </c>
      <c r="C1098" s="18" t="s">
        <v>485</v>
      </c>
      <c r="D1098" s="1" t="s">
        <v>224</v>
      </c>
      <c r="E1098" s="18">
        <v>3</v>
      </c>
    </row>
    <row r="1099" customHeight="1" spans="1:5">
      <c r="A1099" s="1" t="s">
        <v>220</v>
      </c>
      <c r="B1099" s="70" t="s">
        <v>483</v>
      </c>
      <c r="C1099" s="18" t="s">
        <v>485</v>
      </c>
      <c r="D1099" s="1" t="s">
        <v>224</v>
      </c>
      <c r="E1099" s="18">
        <v>4</v>
      </c>
    </row>
    <row r="1100" customHeight="1" spans="1:5">
      <c r="A1100" s="1" t="s">
        <v>220</v>
      </c>
      <c r="B1100" s="70" t="s">
        <v>483</v>
      </c>
      <c r="C1100" s="18" t="s">
        <v>485</v>
      </c>
      <c r="D1100" s="1" t="s">
        <v>224</v>
      </c>
      <c r="E1100" s="18">
        <v>5</v>
      </c>
    </row>
    <row r="1101" customHeight="1" spans="1:5">
      <c r="A1101" s="1" t="s">
        <v>220</v>
      </c>
      <c r="B1101" s="70" t="s">
        <v>483</v>
      </c>
      <c r="C1101" s="5" t="s">
        <v>485</v>
      </c>
      <c r="D1101" s="1" t="s">
        <v>224</v>
      </c>
      <c r="E1101" s="5">
        <v>1</v>
      </c>
    </row>
    <row r="1102" customHeight="1" spans="1:5">
      <c r="A1102" s="1" t="s">
        <v>220</v>
      </c>
      <c r="B1102" s="70" t="s">
        <v>483</v>
      </c>
      <c r="C1102" s="5" t="s">
        <v>485</v>
      </c>
      <c r="D1102" s="1" t="s">
        <v>224</v>
      </c>
      <c r="E1102" s="5">
        <v>2</v>
      </c>
    </row>
    <row r="1103" customHeight="1" spans="1:5">
      <c r="A1103" s="1" t="s">
        <v>220</v>
      </c>
      <c r="B1103" s="70" t="s">
        <v>483</v>
      </c>
      <c r="C1103" s="5" t="s">
        <v>485</v>
      </c>
      <c r="D1103" s="1" t="s">
        <v>224</v>
      </c>
      <c r="E1103" s="5">
        <v>3</v>
      </c>
    </row>
    <row r="1104" customHeight="1" spans="1:5">
      <c r="A1104" s="1" t="s">
        <v>220</v>
      </c>
      <c r="B1104" s="70" t="s">
        <v>483</v>
      </c>
      <c r="C1104" s="5" t="s">
        <v>485</v>
      </c>
      <c r="D1104" s="1" t="s">
        <v>224</v>
      </c>
      <c r="E1104" s="5">
        <v>4</v>
      </c>
    </row>
    <row r="1105" customHeight="1" spans="1:5">
      <c r="A1105" s="1" t="s">
        <v>220</v>
      </c>
      <c r="B1105" s="70" t="s">
        <v>483</v>
      </c>
      <c r="C1105" s="5" t="s">
        <v>485</v>
      </c>
      <c r="D1105" s="1" t="s">
        <v>224</v>
      </c>
      <c r="E1105" s="5">
        <v>5</v>
      </c>
    </row>
    <row r="1106" customHeight="1" spans="1:5">
      <c r="A1106" s="1" t="s">
        <v>291</v>
      </c>
      <c r="B1106" s="70" t="s">
        <v>483</v>
      </c>
      <c r="C1106" s="18" t="s">
        <v>486</v>
      </c>
      <c r="D1106" s="1" t="s">
        <v>225</v>
      </c>
      <c r="E1106" s="18">
        <v>1</v>
      </c>
    </row>
    <row r="1107" customHeight="1" spans="1:5">
      <c r="A1107" s="1" t="s">
        <v>291</v>
      </c>
      <c r="B1107" s="70" t="s">
        <v>483</v>
      </c>
      <c r="C1107" s="18" t="s">
        <v>486</v>
      </c>
      <c r="D1107" s="1" t="s">
        <v>225</v>
      </c>
      <c r="E1107" s="18">
        <v>2</v>
      </c>
    </row>
    <row r="1108" customHeight="1" spans="1:5">
      <c r="A1108" s="1" t="s">
        <v>291</v>
      </c>
      <c r="B1108" s="70" t="s">
        <v>483</v>
      </c>
      <c r="C1108" s="18" t="s">
        <v>486</v>
      </c>
      <c r="D1108" s="1" t="s">
        <v>225</v>
      </c>
      <c r="E1108" s="18">
        <v>3</v>
      </c>
    </row>
    <row r="1109" customHeight="1" spans="1:5">
      <c r="A1109" s="1" t="s">
        <v>291</v>
      </c>
      <c r="B1109" s="70" t="s">
        <v>483</v>
      </c>
      <c r="C1109" s="18" t="s">
        <v>486</v>
      </c>
      <c r="D1109" s="1" t="s">
        <v>225</v>
      </c>
      <c r="E1109" s="18">
        <v>4</v>
      </c>
    </row>
    <row r="1110" customHeight="1" spans="1:5">
      <c r="A1110" s="1" t="s">
        <v>291</v>
      </c>
      <c r="B1110" s="70" t="s">
        <v>483</v>
      </c>
      <c r="C1110" s="18" t="s">
        <v>486</v>
      </c>
      <c r="D1110" s="1" t="s">
        <v>225</v>
      </c>
      <c r="E1110" s="18">
        <v>5</v>
      </c>
    </row>
    <row r="1111" customHeight="1" spans="1:5">
      <c r="A1111" s="1" t="s">
        <v>291</v>
      </c>
      <c r="B1111" s="70" t="s">
        <v>483</v>
      </c>
      <c r="C1111" s="18" t="s">
        <v>486</v>
      </c>
      <c r="D1111" s="1" t="s">
        <v>225</v>
      </c>
      <c r="E1111" s="18">
        <v>6</v>
      </c>
    </row>
    <row r="1112" customHeight="1" spans="1:5">
      <c r="A1112" s="1" t="s">
        <v>291</v>
      </c>
      <c r="B1112" s="70" t="s">
        <v>483</v>
      </c>
      <c r="C1112" s="18" t="s">
        <v>486</v>
      </c>
      <c r="D1112" s="1" t="s">
        <v>225</v>
      </c>
      <c r="E1112" s="18">
        <v>7</v>
      </c>
    </row>
    <row r="1113" customHeight="1" spans="1:5">
      <c r="A1113" s="1" t="s">
        <v>291</v>
      </c>
      <c r="B1113" s="70" t="s">
        <v>483</v>
      </c>
      <c r="C1113" s="18" t="s">
        <v>486</v>
      </c>
      <c r="D1113" s="1" t="s">
        <v>225</v>
      </c>
      <c r="E1113" s="18">
        <v>8</v>
      </c>
    </row>
    <row r="1114" customHeight="1" spans="1:5">
      <c r="A1114" s="1" t="s">
        <v>220</v>
      </c>
      <c r="B1114" s="69" t="s">
        <v>487</v>
      </c>
      <c r="C1114" s="5" t="s">
        <v>488</v>
      </c>
      <c r="D1114" s="1" t="s">
        <v>222</v>
      </c>
      <c r="E1114" s="5">
        <v>1</v>
      </c>
    </row>
    <row r="1115" customHeight="1" spans="1:5">
      <c r="A1115" s="1" t="s">
        <v>220</v>
      </c>
      <c r="B1115" s="69" t="s">
        <v>487</v>
      </c>
      <c r="C1115" s="5" t="s">
        <v>488</v>
      </c>
      <c r="D1115" s="1" t="s">
        <v>222</v>
      </c>
      <c r="E1115" s="5">
        <v>2</v>
      </c>
    </row>
    <row r="1116" customHeight="1" spans="1:5">
      <c r="A1116" s="1" t="s">
        <v>220</v>
      </c>
      <c r="B1116" s="69" t="s">
        <v>487</v>
      </c>
      <c r="C1116" s="5" t="s">
        <v>488</v>
      </c>
      <c r="D1116" s="1" t="s">
        <v>222</v>
      </c>
      <c r="E1116" s="5">
        <v>3</v>
      </c>
    </row>
    <row r="1117" customHeight="1" spans="1:5">
      <c r="A1117" s="1" t="s">
        <v>220</v>
      </c>
      <c r="B1117" s="69" t="s">
        <v>487</v>
      </c>
      <c r="C1117" s="5" t="s">
        <v>488</v>
      </c>
      <c r="D1117" s="1" t="s">
        <v>222</v>
      </c>
      <c r="E1117" s="5">
        <v>4</v>
      </c>
    </row>
    <row r="1118" customHeight="1" spans="1:5">
      <c r="A1118" s="1" t="s">
        <v>220</v>
      </c>
      <c r="B1118" s="69" t="s">
        <v>487</v>
      </c>
      <c r="C1118" s="5" t="s">
        <v>488</v>
      </c>
      <c r="D1118" s="1" t="s">
        <v>222</v>
      </c>
      <c r="E1118" s="5">
        <v>5</v>
      </c>
    </row>
    <row r="1119" customHeight="1" spans="1:5">
      <c r="A1119" s="1" t="s">
        <v>220</v>
      </c>
      <c r="B1119" s="69" t="s">
        <v>487</v>
      </c>
      <c r="C1119" s="18" t="s">
        <v>489</v>
      </c>
      <c r="D1119" s="1" t="s">
        <v>224</v>
      </c>
      <c r="E1119" s="18">
        <v>1</v>
      </c>
    </row>
    <row r="1120" customHeight="1" spans="1:5">
      <c r="A1120" s="1" t="s">
        <v>220</v>
      </c>
      <c r="B1120" s="69" t="s">
        <v>487</v>
      </c>
      <c r="C1120" s="18" t="s">
        <v>489</v>
      </c>
      <c r="D1120" s="1" t="s">
        <v>224</v>
      </c>
      <c r="E1120" s="18">
        <v>2</v>
      </c>
    </row>
    <row r="1121" customHeight="1" spans="1:5">
      <c r="A1121" s="1" t="s">
        <v>220</v>
      </c>
      <c r="B1121" s="69" t="s">
        <v>487</v>
      </c>
      <c r="C1121" s="18" t="s">
        <v>489</v>
      </c>
      <c r="D1121" s="1" t="s">
        <v>224</v>
      </c>
      <c r="E1121" s="18">
        <v>3</v>
      </c>
    </row>
    <row r="1122" customHeight="1" spans="1:5">
      <c r="A1122" s="1" t="s">
        <v>220</v>
      </c>
      <c r="B1122" s="69" t="s">
        <v>487</v>
      </c>
      <c r="C1122" s="18" t="s">
        <v>489</v>
      </c>
      <c r="D1122" s="1" t="s">
        <v>224</v>
      </c>
      <c r="E1122" s="18">
        <v>4</v>
      </c>
    </row>
    <row r="1123" customHeight="1" spans="1:5">
      <c r="A1123" s="1" t="s">
        <v>220</v>
      </c>
      <c r="B1123" s="69" t="s">
        <v>487</v>
      </c>
      <c r="C1123" s="18" t="s">
        <v>489</v>
      </c>
      <c r="D1123" s="1" t="s">
        <v>224</v>
      </c>
      <c r="E1123" s="18">
        <v>5</v>
      </c>
    </row>
    <row r="1124" customHeight="1" spans="1:5">
      <c r="A1124" s="1" t="s">
        <v>220</v>
      </c>
      <c r="B1124" s="69" t="s">
        <v>487</v>
      </c>
      <c r="C1124" s="5" t="s">
        <v>489</v>
      </c>
      <c r="D1124" s="1" t="s">
        <v>224</v>
      </c>
      <c r="E1124" s="5">
        <v>1</v>
      </c>
    </row>
    <row r="1125" customHeight="1" spans="1:5">
      <c r="A1125" s="1" t="s">
        <v>220</v>
      </c>
      <c r="B1125" s="69" t="s">
        <v>487</v>
      </c>
      <c r="C1125" s="5" t="s">
        <v>489</v>
      </c>
      <c r="D1125" s="1" t="s">
        <v>224</v>
      </c>
      <c r="E1125" s="5">
        <v>2</v>
      </c>
    </row>
    <row r="1126" customHeight="1" spans="1:5">
      <c r="A1126" s="1" t="s">
        <v>220</v>
      </c>
      <c r="B1126" s="69" t="s">
        <v>487</v>
      </c>
      <c r="C1126" s="5" t="s">
        <v>489</v>
      </c>
      <c r="D1126" s="1" t="s">
        <v>224</v>
      </c>
      <c r="E1126" s="5">
        <v>3</v>
      </c>
    </row>
    <row r="1127" customHeight="1" spans="1:5">
      <c r="A1127" s="1" t="s">
        <v>220</v>
      </c>
      <c r="B1127" s="69" t="s">
        <v>487</v>
      </c>
      <c r="C1127" s="5" t="s">
        <v>489</v>
      </c>
      <c r="D1127" s="1" t="s">
        <v>224</v>
      </c>
      <c r="E1127" s="5">
        <v>4</v>
      </c>
    </row>
    <row r="1128" customHeight="1" spans="1:5">
      <c r="A1128" s="1" t="s">
        <v>220</v>
      </c>
      <c r="B1128" s="69" t="s">
        <v>487</v>
      </c>
      <c r="C1128" s="5" t="s">
        <v>489</v>
      </c>
      <c r="D1128" s="1" t="s">
        <v>224</v>
      </c>
      <c r="E1128" s="5">
        <v>5</v>
      </c>
    </row>
    <row r="1129" customHeight="1" spans="1:5">
      <c r="A1129" s="1" t="s">
        <v>291</v>
      </c>
      <c r="B1129" s="69" t="s">
        <v>487</v>
      </c>
      <c r="C1129" s="18" t="s">
        <v>490</v>
      </c>
      <c r="D1129" s="1" t="s">
        <v>225</v>
      </c>
      <c r="E1129" s="18">
        <v>1</v>
      </c>
    </row>
    <row r="1130" customHeight="1" spans="1:5">
      <c r="A1130" s="1" t="s">
        <v>291</v>
      </c>
      <c r="B1130" s="69" t="s">
        <v>487</v>
      </c>
      <c r="C1130" s="18" t="s">
        <v>490</v>
      </c>
      <c r="D1130" s="1" t="s">
        <v>225</v>
      </c>
      <c r="E1130" s="18">
        <v>2</v>
      </c>
    </row>
    <row r="1131" customHeight="1" spans="1:5">
      <c r="A1131" s="1" t="s">
        <v>291</v>
      </c>
      <c r="B1131" s="69" t="s">
        <v>487</v>
      </c>
      <c r="C1131" s="18" t="s">
        <v>490</v>
      </c>
      <c r="D1131" s="1" t="s">
        <v>225</v>
      </c>
      <c r="E1131" s="18">
        <v>3</v>
      </c>
    </row>
    <row r="1132" customHeight="1" spans="1:5">
      <c r="A1132" s="1" t="s">
        <v>291</v>
      </c>
      <c r="B1132" s="69" t="s">
        <v>487</v>
      </c>
      <c r="C1132" s="18" t="s">
        <v>490</v>
      </c>
      <c r="D1132" s="1" t="s">
        <v>225</v>
      </c>
      <c r="E1132" s="18">
        <v>4</v>
      </c>
    </row>
    <row r="1133" customHeight="1" spans="1:5">
      <c r="A1133" s="1" t="s">
        <v>291</v>
      </c>
      <c r="B1133" s="69" t="s">
        <v>487</v>
      </c>
      <c r="C1133" s="18" t="s">
        <v>490</v>
      </c>
      <c r="D1133" s="1" t="s">
        <v>225</v>
      </c>
      <c r="E1133" s="18">
        <v>5</v>
      </c>
    </row>
    <row r="1134" customHeight="1" spans="1:5">
      <c r="A1134" s="1" t="s">
        <v>291</v>
      </c>
      <c r="B1134" s="69" t="s">
        <v>487</v>
      </c>
      <c r="C1134" s="18" t="s">
        <v>490</v>
      </c>
      <c r="D1134" s="1" t="s">
        <v>225</v>
      </c>
      <c r="E1134" s="18">
        <v>6</v>
      </c>
    </row>
    <row r="1135" customHeight="1" spans="1:5">
      <c r="A1135" s="1" t="s">
        <v>291</v>
      </c>
      <c r="B1135" s="69" t="s">
        <v>487</v>
      </c>
      <c r="C1135" s="18" t="s">
        <v>490</v>
      </c>
      <c r="D1135" s="1" t="s">
        <v>225</v>
      </c>
      <c r="E1135" s="18">
        <v>7</v>
      </c>
    </row>
    <row r="1136" customHeight="1" spans="1:5">
      <c r="A1136" s="1" t="s">
        <v>291</v>
      </c>
      <c r="B1136" s="69" t="s">
        <v>487</v>
      </c>
      <c r="C1136" s="18" t="s">
        <v>490</v>
      </c>
      <c r="D1136" s="1" t="s">
        <v>225</v>
      </c>
      <c r="E1136" s="18">
        <v>8</v>
      </c>
    </row>
    <row r="1137" customHeight="1" spans="1:5">
      <c r="A1137" s="1" t="s">
        <v>220</v>
      </c>
      <c r="B1137" s="70" t="s">
        <v>491</v>
      </c>
      <c r="C1137" s="5" t="s">
        <v>492</v>
      </c>
      <c r="D1137" s="1" t="s">
        <v>222</v>
      </c>
      <c r="E1137" s="5">
        <v>1</v>
      </c>
    </row>
    <row r="1138" customHeight="1" spans="1:5">
      <c r="A1138" s="1" t="s">
        <v>220</v>
      </c>
      <c r="B1138" s="70" t="s">
        <v>491</v>
      </c>
      <c r="C1138" s="5" t="s">
        <v>492</v>
      </c>
      <c r="D1138" s="1" t="s">
        <v>222</v>
      </c>
      <c r="E1138" s="5">
        <v>2</v>
      </c>
    </row>
    <row r="1139" customHeight="1" spans="1:5">
      <c r="A1139" s="1" t="s">
        <v>220</v>
      </c>
      <c r="B1139" s="70" t="s">
        <v>491</v>
      </c>
      <c r="C1139" s="5" t="s">
        <v>492</v>
      </c>
      <c r="D1139" s="1" t="s">
        <v>222</v>
      </c>
      <c r="E1139" s="5">
        <v>3</v>
      </c>
    </row>
    <row r="1140" customHeight="1" spans="1:5">
      <c r="A1140" s="1" t="s">
        <v>220</v>
      </c>
      <c r="B1140" s="70" t="s">
        <v>491</v>
      </c>
      <c r="C1140" s="5" t="s">
        <v>492</v>
      </c>
      <c r="D1140" s="1" t="s">
        <v>222</v>
      </c>
      <c r="E1140" s="5">
        <v>4</v>
      </c>
    </row>
    <row r="1141" customHeight="1" spans="1:5">
      <c r="A1141" s="1" t="s">
        <v>220</v>
      </c>
      <c r="B1141" s="70" t="s">
        <v>491</v>
      </c>
      <c r="C1141" s="5" t="s">
        <v>492</v>
      </c>
      <c r="D1141" s="1" t="s">
        <v>222</v>
      </c>
      <c r="E1141" s="5">
        <v>5</v>
      </c>
    </row>
    <row r="1142" customHeight="1" spans="1:5">
      <c r="A1142" s="1" t="s">
        <v>220</v>
      </c>
      <c r="B1142" s="70" t="s">
        <v>491</v>
      </c>
      <c r="C1142" s="18" t="s">
        <v>493</v>
      </c>
      <c r="D1142" s="1" t="s">
        <v>224</v>
      </c>
      <c r="E1142" s="18">
        <v>1</v>
      </c>
    </row>
    <row r="1143" customHeight="1" spans="1:5">
      <c r="A1143" s="1" t="s">
        <v>220</v>
      </c>
      <c r="B1143" s="70" t="s">
        <v>491</v>
      </c>
      <c r="C1143" s="18" t="s">
        <v>493</v>
      </c>
      <c r="D1143" s="1" t="s">
        <v>224</v>
      </c>
      <c r="E1143" s="18">
        <v>2</v>
      </c>
    </row>
    <row r="1144" customHeight="1" spans="1:5">
      <c r="A1144" s="1" t="s">
        <v>220</v>
      </c>
      <c r="B1144" s="70" t="s">
        <v>491</v>
      </c>
      <c r="C1144" s="18" t="s">
        <v>493</v>
      </c>
      <c r="D1144" s="1" t="s">
        <v>224</v>
      </c>
      <c r="E1144" s="18">
        <v>3</v>
      </c>
    </row>
    <row r="1145" customHeight="1" spans="1:5">
      <c r="A1145" s="1" t="s">
        <v>220</v>
      </c>
      <c r="B1145" s="70" t="s">
        <v>491</v>
      </c>
      <c r="C1145" s="18" t="s">
        <v>493</v>
      </c>
      <c r="D1145" s="1" t="s">
        <v>224</v>
      </c>
      <c r="E1145" s="18">
        <v>4</v>
      </c>
    </row>
    <row r="1146" customHeight="1" spans="1:5">
      <c r="A1146" s="1" t="s">
        <v>220</v>
      </c>
      <c r="B1146" s="70" t="s">
        <v>491</v>
      </c>
      <c r="C1146" s="18" t="s">
        <v>493</v>
      </c>
      <c r="D1146" s="1" t="s">
        <v>224</v>
      </c>
      <c r="E1146" s="18">
        <v>5</v>
      </c>
    </row>
    <row r="1147" customHeight="1" spans="1:5">
      <c r="A1147" s="1" t="s">
        <v>220</v>
      </c>
      <c r="B1147" s="70" t="s">
        <v>491</v>
      </c>
      <c r="C1147" s="5" t="s">
        <v>493</v>
      </c>
      <c r="D1147" s="1" t="s">
        <v>224</v>
      </c>
      <c r="E1147" s="5">
        <v>1</v>
      </c>
    </row>
    <row r="1148" customHeight="1" spans="1:5">
      <c r="A1148" s="1" t="s">
        <v>220</v>
      </c>
      <c r="B1148" s="70" t="s">
        <v>491</v>
      </c>
      <c r="C1148" s="5" t="s">
        <v>493</v>
      </c>
      <c r="D1148" s="1" t="s">
        <v>224</v>
      </c>
      <c r="E1148" s="5">
        <v>2</v>
      </c>
    </row>
    <row r="1149" customHeight="1" spans="1:5">
      <c r="A1149" s="1" t="s">
        <v>220</v>
      </c>
      <c r="B1149" s="70" t="s">
        <v>491</v>
      </c>
      <c r="C1149" s="5" t="s">
        <v>493</v>
      </c>
      <c r="D1149" s="1" t="s">
        <v>224</v>
      </c>
      <c r="E1149" s="5">
        <v>3</v>
      </c>
    </row>
    <row r="1150" customHeight="1" spans="1:5">
      <c r="A1150" s="1" t="s">
        <v>220</v>
      </c>
      <c r="B1150" s="70" t="s">
        <v>491</v>
      </c>
      <c r="C1150" s="5" t="s">
        <v>493</v>
      </c>
      <c r="D1150" s="1" t="s">
        <v>224</v>
      </c>
      <c r="E1150" s="5">
        <v>4</v>
      </c>
    </row>
    <row r="1151" customHeight="1" spans="1:5">
      <c r="A1151" s="1" t="s">
        <v>220</v>
      </c>
      <c r="B1151" s="70" t="s">
        <v>491</v>
      </c>
      <c r="C1151" s="5" t="s">
        <v>493</v>
      </c>
      <c r="D1151" s="1" t="s">
        <v>224</v>
      </c>
      <c r="E1151" s="5">
        <v>5</v>
      </c>
    </row>
    <row r="1152" customHeight="1" spans="1:5">
      <c r="A1152" s="1" t="s">
        <v>291</v>
      </c>
      <c r="B1152" s="70" t="s">
        <v>491</v>
      </c>
      <c r="C1152" s="18" t="s">
        <v>494</v>
      </c>
      <c r="D1152" s="1" t="s">
        <v>225</v>
      </c>
      <c r="E1152" s="18">
        <v>1</v>
      </c>
    </row>
    <row r="1153" customHeight="1" spans="1:5">
      <c r="A1153" s="1" t="s">
        <v>291</v>
      </c>
      <c r="B1153" s="70" t="s">
        <v>491</v>
      </c>
      <c r="C1153" s="18" t="s">
        <v>494</v>
      </c>
      <c r="D1153" s="1" t="s">
        <v>225</v>
      </c>
      <c r="E1153" s="18">
        <v>2</v>
      </c>
    </row>
    <row r="1154" customHeight="1" spans="1:5">
      <c r="A1154" s="1" t="s">
        <v>291</v>
      </c>
      <c r="B1154" s="70" t="s">
        <v>491</v>
      </c>
      <c r="C1154" s="18" t="s">
        <v>494</v>
      </c>
      <c r="D1154" s="1" t="s">
        <v>225</v>
      </c>
      <c r="E1154" s="18">
        <v>3</v>
      </c>
    </row>
    <row r="1155" customHeight="1" spans="1:5">
      <c r="A1155" s="1" t="s">
        <v>291</v>
      </c>
      <c r="B1155" s="70" t="s">
        <v>491</v>
      </c>
      <c r="C1155" s="18" t="s">
        <v>494</v>
      </c>
      <c r="D1155" s="1" t="s">
        <v>225</v>
      </c>
      <c r="E1155" s="18">
        <v>4</v>
      </c>
    </row>
    <row r="1156" customHeight="1" spans="1:5">
      <c r="A1156" s="1" t="s">
        <v>291</v>
      </c>
      <c r="B1156" s="70" t="s">
        <v>491</v>
      </c>
      <c r="C1156" s="18" t="s">
        <v>494</v>
      </c>
      <c r="D1156" s="1" t="s">
        <v>225</v>
      </c>
      <c r="E1156" s="18">
        <v>5</v>
      </c>
    </row>
    <row r="1157" customHeight="1" spans="1:5">
      <c r="A1157" s="1" t="s">
        <v>291</v>
      </c>
      <c r="B1157" s="70" t="s">
        <v>491</v>
      </c>
      <c r="C1157" s="18" t="s">
        <v>494</v>
      </c>
      <c r="D1157" s="1" t="s">
        <v>225</v>
      </c>
      <c r="E1157" s="18">
        <v>6</v>
      </c>
    </row>
    <row r="1158" customHeight="1" spans="1:5">
      <c r="A1158" s="1" t="s">
        <v>291</v>
      </c>
      <c r="B1158" s="70" t="s">
        <v>491</v>
      </c>
      <c r="C1158" s="18" t="s">
        <v>494</v>
      </c>
      <c r="D1158" s="1" t="s">
        <v>225</v>
      </c>
      <c r="E1158" s="18">
        <v>7</v>
      </c>
    </row>
    <row r="1159" customHeight="1" spans="1:5">
      <c r="A1159" s="1" t="s">
        <v>291</v>
      </c>
      <c r="B1159" s="70" t="s">
        <v>491</v>
      </c>
      <c r="C1159" s="18" t="s">
        <v>494</v>
      </c>
      <c r="D1159" s="1" t="s">
        <v>225</v>
      </c>
      <c r="E1159" s="18">
        <v>8</v>
      </c>
    </row>
    <row r="1160" customHeight="1" spans="1:5">
      <c r="A1160" s="1" t="s">
        <v>220</v>
      </c>
      <c r="B1160" s="69" t="s">
        <v>495</v>
      </c>
      <c r="C1160" s="5" t="s">
        <v>496</v>
      </c>
      <c r="D1160" s="1" t="s">
        <v>222</v>
      </c>
      <c r="E1160" s="5">
        <v>1</v>
      </c>
    </row>
    <row r="1161" customHeight="1" spans="1:5">
      <c r="A1161" s="1" t="s">
        <v>220</v>
      </c>
      <c r="B1161" s="69" t="s">
        <v>495</v>
      </c>
      <c r="C1161" s="5" t="s">
        <v>496</v>
      </c>
      <c r="D1161" s="1" t="s">
        <v>222</v>
      </c>
      <c r="E1161" s="5">
        <v>2</v>
      </c>
    </row>
    <row r="1162" customHeight="1" spans="1:5">
      <c r="A1162" s="1" t="s">
        <v>220</v>
      </c>
      <c r="B1162" s="69" t="s">
        <v>495</v>
      </c>
      <c r="C1162" s="5" t="s">
        <v>496</v>
      </c>
      <c r="D1162" s="1" t="s">
        <v>222</v>
      </c>
      <c r="E1162" s="5">
        <v>3</v>
      </c>
    </row>
    <row r="1163" customHeight="1" spans="1:5">
      <c r="A1163" s="1" t="s">
        <v>220</v>
      </c>
      <c r="B1163" s="69" t="s">
        <v>495</v>
      </c>
      <c r="C1163" s="5" t="s">
        <v>496</v>
      </c>
      <c r="D1163" s="1" t="s">
        <v>222</v>
      </c>
      <c r="E1163" s="5">
        <v>4</v>
      </c>
    </row>
    <row r="1164" customHeight="1" spans="1:5">
      <c r="A1164" s="1" t="s">
        <v>220</v>
      </c>
      <c r="B1164" s="69" t="s">
        <v>495</v>
      </c>
      <c r="C1164" s="5" t="s">
        <v>496</v>
      </c>
      <c r="D1164" s="1" t="s">
        <v>222</v>
      </c>
      <c r="E1164" s="5">
        <v>5</v>
      </c>
    </row>
    <row r="1165" customHeight="1" spans="1:5">
      <c r="A1165" s="1" t="s">
        <v>220</v>
      </c>
      <c r="B1165" s="69" t="s">
        <v>495</v>
      </c>
      <c r="C1165" s="18" t="s">
        <v>497</v>
      </c>
      <c r="D1165" s="1" t="s">
        <v>224</v>
      </c>
      <c r="E1165" s="18">
        <v>1</v>
      </c>
    </row>
    <row r="1166" customHeight="1" spans="1:5">
      <c r="A1166" s="1" t="s">
        <v>220</v>
      </c>
      <c r="B1166" s="69" t="s">
        <v>495</v>
      </c>
      <c r="C1166" s="18" t="s">
        <v>497</v>
      </c>
      <c r="D1166" s="1" t="s">
        <v>224</v>
      </c>
      <c r="E1166" s="18">
        <v>2</v>
      </c>
    </row>
    <row r="1167" customHeight="1" spans="1:5">
      <c r="A1167" s="1" t="s">
        <v>220</v>
      </c>
      <c r="B1167" s="69" t="s">
        <v>495</v>
      </c>
      <c r="C1167" s="18" t="s">
        <v>497</v>
      </c>
      <c r="D1167" s="1" t="s">
        <v>224</v>
      </c>
      <c r="E1167" s="18">
        <v>3</v>
      </c>
    </row>
    <row r="1168" customHeight="1" spans="1:5">
      <c r="A1168" s="1" t="s">
        <v>220</v>
      </c>
      <c r="B1168" s="69" t="s">
        <v>495</v>
      </c>
      <c r="C1168" s="18" t="s">
        <v>497</v>
      </c>
      <c r="D1168" s="1" t="s">
        <v>224</v>
      </c>
      <c r="E1168" s="18">
        <v>4</v>
      </c>
    </row>
    <row r="1169" customHeight="1" spans="1:5">
      <c r="A1169" s="1" t="s">
        <v>220</v>
      </c>
      <c r="B1169" s="69" t="s">
        <v>495</v>
      </c>
      <c r="C1169" s="18" t="s">
        <v>497</v>
      </c>
      <c r="D1169" s="1" t="s">
        <v>224</v>
      </c>
      <c r="E1169" s="18">
        <v>5</v>
      </c>
    </row>
    <row r="1170" customHeight="1" spans="1:5">
      <c r="A1170" s="1" t="s">
        <v>220</v>
      </c>
      <c r="B1170" s="69" t="s">
        <v>495</v>
      </c>
      <c r="C1170" s="5" t="s">
        <v>497</v>
      </c>
      <c r="D1170" s="1" t="s">
        <v>224</v>
      </c>
      <c r="E1170" s="5">
        <v>1</v>
      </c>
    </row>
    <row r="1171" customHeight="1" spans="1:5">
      <c r="A1171" s="1" t="s">
        <v>220</v>
      </c>
      <c r="B1171" s="69" t="s">
        <v>495</v>
      </c>
      <c r="C1171" s="5" t="s">
        <v>497</v>
      </c>
      <c r="D1171" s="1" t="s">
        <v>224</v>
      </c>
      <c r="E1171" s="5">
        <v>2</v>
      </c>
    </row>
    <row r="1172" customHeight="1" spans="1:5">
      <c r="A1172" s="1" t="s">
        <v>220</v>
      </c>
      <c r="B1172" s="69" t="s">
        <v>495</v>
      </c>
      <c r="C1172" s="5" t="s">
        <v>497</v>
      </c>
      <c r="D1172" s="1" t="s">
        <v>224</v>
      </c>
      <c r="E1172" s="5">
        <v>3</v>
      </c>
    </row>
    <row r="1173" customHeight="1" spans="1:5">
      <c r="A1173" s="1" t="s">
        <v>220</v>
      </c>
      <c r="B1173" s="69" t="s">
        <v>495</v>
      </c>
      <c r="C1173" s="5" t="s">
        <v>497</v>
      </c>
      <c r="D1173" s="1" t="s">
        <v>224</v>
      </c>
      <c r="E1173" s="5">
        <v>4</v>
      </c>
    </row>
    <row r="1174" customHeight="1" spans="1:5">
      <c r="A1174" s="1" t="s">
        <v>220</v>
      </c>
      <c r="B1174" s="69" t="s">
        <v>495</v>
      </c>
      <c r="C1174" s="5" t="s">
        <v>497</v>
      </c>
      <c r="D1174" s="1" t="s">
        <v>224</v>
      </c>
      <c r="E1174" s="5">
        <v>5</v>
      </c>
    </row>
    <row r="1175" customHeight="1" spans="1:5">
      <c r="A1175" s="1" t="s">
        <v>291</v>
      </c>
      <c r="B1175" s="69" t="s">
        <v>495</v>
      </c>
      <c r="C1175" s="18" t="s">
        <v>498</v>
      </c>
      <c r="D1175" s="1" t="s">
        <v>225</v>
      </c>
      <c r="E1175" s="18">
        <v>1</v>
      </c>
    </row>
    <row r="1176" customHeight="1" spans="1:5">
      <c r="A1176" s="1" t="s">
        <v>291</v>
      </c>
      <c r="B1176" s="69" t="s">
        <v>495</v>
      </c>
      <c r="C1176" s="18" t="s">
        <v>498</v>
      </c>
      <c r="D1176" s="1" t="s">
        <v>225</v>
      </c>
      <c r="E1176" s="18">
        <v>2</v>
      </c>
    </row>
    <row r="1177" customHeight="1" spans="1:5">
      <c r="A1177" s="1" t="s">
        <v>291</v>
      </c>
      <c r="B1177" s="69" t="s">
        <v>495</v>
      </c>
      <c r="C1177" s="18" t="s">
        <v>498</v>
      </c>
      <c r="D1177" s="1" t="s">
        <v>225</v>
      </c>
      <c r="E1177" s="18">
        <v>3</v>
      </c>
    </row>
    <row r="1178" customHeight="1" spans="1:5">
      <c r="A1178" s="1" t="s">
        <v>291</v>
      </c>
      <c r="B1178" s="69" t="s">
        <v>495</v>
      </c>
      <c r="C1178" s="18" t="s">
        <v>498</v>
      </c>
      <c r="D1178" s="1" t="s">
        <v>225</v>
      </c>
      <c r="E1178" s="18">
        <v>4</v>
      </c>
    </row>
    <row r="1179" customHeight="1" spans="1:5">
      <c r="A1179" s="1" t="s">
        <v>291</v>
      </c>
      <c r="B1179" s="69" t="s">
        <v>495</v>
      </c>
      <c r="C1179" s="18" t="s">
        <v>498</v>
      </c>
      <c r="D1179" s="1" t="s">
        <v>225</v>
      </c>
      <c r="E1179" s="18">
        <v>5</v>
      </c>
    </row>
    <row r="1180" customHeight="1" spans="1:5">
      <c r="A1180" s="1" t="s">
        <v>291</v>
      </c>
      <c r="B1180" s="69" t="s">
        <v>495</v>
      </c>
      <c r="C1180" s="18" t="s">
        <v>498</v>
      </c>
      <c r="D1180" s="1" t="s">
        <v>225</v>
      </c>
      <c r="E1180" s="18">
        <v>6</v>
      </c>
    </row>
    <row r="1181" customHeight="1" spans="1:5">
      <c r="A1181" s="1" t="s">
        <v>291</v>
      </c>
      <c r="B1181" s="69" t="s">
        <v>495</v>
      </c>
      <c r="C1181" s="18" t="s">
        <v>498</v>
      </c>
      <c r="D1181" s="1" t="s">
        <v>225</v>
      </c>
      <c r="E1181" s="18">
        <v>7</v>
      </c>
    </row>
    <row r="1182" customHeight="1" spans="1:5">
      <c r="A1182" s="1" t="s">
        <v>291</v>
      </c>
      <c r="B1182" s="69" t="s">
        <v>495</v>
      </c>
      <c r="C1182" s="18" t="s">
        <v>498</v>
      </c>
      <c r="D1182" s="1" t="s">
        <v>225</v>
      </c>
      <c r="E1182" s="18">
        <v>8</v>
      </c>
    </row>
    <row r="1183" customHeight="1" spans="1:5">
      <c r="A1183" s="1" t="s">
        <v>220</v>
      </c>
      <c r="B1183" s="70" t="s">
        <v>499</v>
      </c>
      <c r="C1183" s="5" t="s">
        <v>500</v>
      </c>
      <c r="D1183" s="1" t="s">
        <v>222</v>
      </c>
      <c r="E1183" s="5">
        <v>1</v>
      </c>
    </row>
    <row r="1184" customHeight="1" spans="1:5">
      <c r="A1184" s="1" t="s">
        <v>220</v>
      </c>
      <c r="B1184" s="70" t="s">
        <v>499</v>
      </c>
      <c r="C1184" s="5" t="s">
        <v>500</v>
      </c>
      <c r="D1184" s="1" t="s">
        <v>222</v>
      </c>
      <c r="E1184" s="5">
        <v>2</v>
      </c>
    </row>
    <row r="1185" customHeight="1" spans="1:5">
      <c r="A1185" s="1" t="s">
        <v>220</v>
      </c>
      <c r="B1185" s="70" t="s">
        <v>499</v>
      </c>
      <c r="C1185" s="5" t="s">
        <v>500</v>
      </c>
      <c r="D1185" s="1" t="s">
        <v>222</v>
      </c>
      <c r="E1185" s="5">
        <v>3</v>
      </c>
    </row>
    <row r="1186" customHeight="1" spans="1:5">
      <c r="A1186" s="1" t="s">
        <v>220</v>
      </c>
      <c r="B1186" s="70" t="s">
        <v>499</v>
      </c>
      <c r="C1186" s="5" t="s">
        <v>500</v>
      </c>
      <c r="D1186" s="1" t="s">
        <v>222</v>
      </c>
      <c r="E1186" s="5">
        <v>4</v>
      </c>
    </row>
    <row r="1187" customHeight="1" spans="1:5">
      <c r="A1187" s="1" t="s">
        <v>220</v>
      </c>
      <c r="B1187" s="70" t="s">
        <v>499</v>
      </c>
      <c r="C1187" s="5" t="s">
        <v>500</v>
      </c>
      <c r="D1187" s="1" t="s">
        <v>222</v>
      </c>
      <c r="E1187" s="5">
        <v>5</v>
      </c>
    </row>
    <row r="1188" customHeight="1" spans="1:5">
      <c r="A1188" s="1" t="s">
        <v>220</v>
      </c>
      <c r="B1188" s="70" t="s">
        <v>499</v>
      </c>
      <c r="C1188" s="18" t="s">
        <v>501</v>
      </c>
      <c r="D1188" s="1" t="s">
        <v>224</v>
      </c>
      <c r="E1188" s="18">
        <v>1</v>
      </c>
    </row>
    <row r="1189" customHeight="1" spans="1:5">
      <c r="A1189" s="1" t="s">
        <v>220</v>
      </c>
      <c r="B1189" s="70" t="s">
        <v>499</v>
      </c>
      <c r="C1189" s="18" t="s">
        <v>501</v>
      </c>
      <c r="D1189" s="1" t="s">
        <v>224</v>
      </c>
      <c r="E1189" s="18">
        <v>2</v>
      </c>
    </row>
    <row r="1190" customHeight="1" spans="1:5">
      <c r="A1190" s="1" t="s">
        <v>220</v>
      </c>
      <c r="B1190" s="70" t="s">
        <v>499</v>
      </c>
      <c r="C1190" s="18" t="s">
        <v>501</v>
      </c>
      <c r="D1190" s="1" t="s">
        <v>224</v>
      </c>
      <c r="E1190" s="18">
        <v>3</v>
      </c>
    </row>
    <row r="1191" customHeight="1" spans="1:5">
      <c r="A1191" s="1" t="s">
        <v>220</v>
      </c>
      <c r="B1191" s="70" t="s">
        <v>499</v>
      </c>
      <c r="C1191" s="18" t="s">
        <v>501</v>
      </c>
      <c r="D1191" s="1" t="s">
        <v>224</v>
      </c>
      <c r="E1191" s="18">
        <v>4</v>
      </c>
    </row>
    <row r="1192" customHeight="1" spans="1:5">
      <c r="A1192" s="1" t="s">
        <v>220</v>
      </c>
      <c r="B1192" s="70" t="s">
        <v>499</v>
      </c>
      <c r="C1192" s="18" t="s">
        <v>501</v>
      </c>
      <c r="D1192" s="1" t="s">
        <v>224</v>
      </c>
      <c r="E1192" s="18">
        <v>5</v>
      </c>
    </row>
    <row r="1193" customHeight="1" spans="1:5">
      <c r="A1193" s="1" t="s">
        <v>220</v>
      </c>
      <c r="B1193" s="70" t="s">
        <v>499</v>
      </c>
      <c r="C1193" s="5" t="s">
        <v>501</v>
      </c>
      <c r="D1193" s="1" t="s">
        <v>224</v>
      </c>
      <c r="E1193" s="5">
        <v>1</v>
      </c>
    </row>
    <row r="1194" customHeight="1" spans="1:5">
      <c r="A1194" s="1" t="s">
        <v>220</v>
      </c>
      <c r="B1194" s="70" t="s">
        <v>499</v>
      </c>
      <c r="C1194" s="5" t="s">
        <v>501</v>
      </c>
      <c r="D1194" s="1" t="s">
        <v>224</v>
      </c>
      <c r="E1194" s="5">
        <v>2</v>
      </c>
    </row>
    <row r="1195" customHeight="1" spans="1:5">
      <c r="A1195" s="1" t="s">
        <v>220</v>
      </c>
      <c r="B1195" s="70" t="s">
        <v>499</v>
      </c>
      <c r="C1195" s="5" t="s">
        <v>501</v>
      </c>
      <c r="D1195" s="1" t="s">
        <v>224</v>
      </c>
      <c r="E1195" s="5">
        <v>3</v>
      </c>
    </row>
    <row r="1196" customHeight="1" spans="1:5">
      <c r="A1196" s="1" t="s">
        <v>220</v>
      </c>
      <c r="B1196" s="70" t="s">
        <v>499</v>
      </c>
      <c r="C1196" s="5" t="s">
        <v>501</v>
      </c>
      <c r="D1196" s="1" t="s">
        <v>224</v>
      </c>
      <c r="E1196" s="5">
        <v>4</v>
      </c>
    </row>
    <row r="1197" customHeight="1" spans="1:5">
      <c r="A1197" s="1" t="s">
        <v>220</v>
      </c>
      <c r="B1197" s="70" t="s">
        <v>499</v>
      </c>
      <c r="C1197" s="5" t="s">
        <v>501</v>
      </c>
      <c r="D1197" s="1" t="s">
        <v>224</v>
      </c>
      <c r="E1197" s="5">
        <v>5</v>
      </c>
    </row>
    <row r="1198" customHeight="1" spans="1:5">
      <c r="A1198" s="1" t="s">
        <v>291</v>
      </c>
      <c r="B1198" s="70" t="s">
        <v>499</v>
      </c>
      <c r="C1198" s="18" t="s">
        <v>502</v>
      </c>
      <c r="D1198" s="1" t="s">
        <v>225</v>
      </c>
      <c r="E1198" s="18">
        <v>1</v>
      </c>
    </row>
    <row r="1199" customHeight="1" spans="1:5">
      <c r="A1199" s="1" t="s">
        <v>291</v>
      </c>
      <c r="B1199" s="70" t="s">
        <v>499</v>
      </c>
      <c r="C1199" s="18" t="s">
        <v>502</v>
      </c>
      <c r="D1199" s="1" t="s">
        <v>225</v>
      </c>
      <c r="E1199" s="18">
        <v>2</v>
      </c>
    </row>
    <row r="1200" customHeight="1" spans="1:5">
      <c r="A1200" s="1" t="s">
        <v>291</v>
      </c>
      <c r="B1200" s="70" t="s">
        <v>499</v>
      </c>
      <c r="C1200" s="18" t="s">
        <v>502</v>
      </c>
      <c r="D1200" s="1" t="s">
        <v>225</v>
      </c>
      <c r="E1200" s="18">
        <v>3</v>
      </c>
    </row>
    <row r="1201" customHeight="1" spans="1:5">
      <c r="A1201" s="1" t="s">
        <v>291</v>
      </c>
      <c r="B1201" s="70" t="s">
        <v>499</v>
      </c>
      <c r="C1201" s="18" t="s">
        <v>502</v>
      </c>
      <c r="D1201" s="1" t="s">
        <v>225</v>
      </c>
      <c r="E1201" s="18">
        <v>4</v>
      </c>
    </row>
    <row r="1202" customHeight="1" spans="1:5">
      <c r="A1202" s="1" t="s">
        <v>291</v>
      </c>
      <c r="B1202" s="70" t="s">
        <v>499</v>
      </c>
      <c r="C1202" s="18" t="s">
        <v>502</v>
      </c>
      <c r="D1202" s="1" t="s">
        <v>225</v>
      </c>
      <c r="E1202" s="18">
        <v>5</v>
      </c>
    </row>
    <row r="1203" customHeight="1" spans="1:5">
      <c r="A1203" s="1" t="s">
        <v>291</v>
      </c>
      <c r="B1203" s="70" t="s">
        <v>499</v>
      </c>
      <c r="C1203" s="18" t="s">
        <v>502</v>
      </c>
      <c r="D1203" s="1" t="s">
        <v>225</v>
      </c>
      <c r="E1203" s="18">
        <v>6</v>
      </c>
    </row>
    <row r="1204" customHeight="1" spans="1:5">
      <c r="A1204" s="1" t="s">
        <v>291</v>
      </c>
      <c r="B1204" s="70" t="s">
        <v>499</v>
      </c>
      <c r="C1204" s="18" t="s">
        <v>502</v>
      </c>
      <c r="D1204" s="1" t="s">
        <v>225</v>
      </c>
      <c r="E1204" s="18">
        <v>7</v>
      </c>
    </row>
    <row r="1205" customHeight="1" spans="1:5">
      <c r="A1205" s="1" t="s">
        <v>291</v>
      </c>
      <c r="B1205" s="70" t="s">
        <v>499</v>
      </c>
      <c r="C1205" s="18" t="s">
        <v>502</v>
      </c>
      <c r="D1205" s="1" t="s">
        <v>225</v>
      </c>
      <c r="E1205" s="18">
        <v>8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L70"/>
  <sheetViews>
    <sheetView showGridLines="0" zoomScale="90" zoomScaleNormal="90" workbookViewId="0">
      <selection activeCell="C13" sqref="C13"/>
    </sheetView>
  </sheetViews>
  <sheetFormatPr defaultColWidth="9" defaultRowHeight="20" customHeight="1"/>
  <cols>
    <col min="1" max="1" width="17.375" style="56" customWidth="1"/>
    <col min="2" max="2" width="11.875" style="56" customWidth="1"/>
    <col min="3" max="3" width="10.875" style="56" customWidth="1"/>
    <col min="4" max="4" width="14.75" style="56" customWidth="1"/>
    <col min="5" max="5" width="11.875" style="56" customWidth="1"/>
    <col min="6" max="6" width="20.125" style="56" customWidth="1"/>
    <col min="7" max="7" width="11.875" style="55" customWidth="1"/>
    <col min="8" max="8" width="10.875" style="55" customWidth="1"/>
    <col min="9" max="9" width="15.25" style="55" customWidth="1"/>
    <col min="10" max="10" width="11.875" style="55" customWidth="1"/>
    <col min="11" max="16384" width="9" style="55"/>
  </cols>
  <sheetData>
    <row r="1" s="55" customFormat="1" customHeight="1" spans="1:6">
      <c r="A1" s="57"/>
      <c r="B1" s="57"/>
      <c r="C1" s="57"/>
      <c r="D1" s="57"/>
      <c r="E1" s="57"/>
      <c r="F1" s="56"/>
    </row>
    <row r="2" s="55" customFormat="1" ht="58" customHeight="1" spans="1:10">
      <c r="A2" s="58" t="s">
        <v>213</v>
      </c>
      <c r="B2" s="58" t="s">
        <v>503</v>
      </c>
      <c r="C2" s="59" t="s">
        <v>191</v>
      </c>
      <c r="D2" s="60" t="s">
        <v>504</v>
      </c>
      <c r="E2" s="58" t="s">
        <v>505</v>
      </c>
      <c r="F2" s="61" t="s">
        <v>215</v>
      </c>
      <c r="G2" s="58" t="s">
        <v>503</v>
      </c>
      <c r="H2" s="59" t="s">
        <v>191</v>
      </c>
      <c r="I2" s="60" t="s">
        <v>504</v>
      </c>
      <c r="J2" s="58" t="s">
        <v>505</v>
      </c>
    </row>
    <row r="3" s="55" customFormat="1" customHeight="1" spans="1:12">
      <c r="A3" s="62" t="s">
        <v>506</v>
      </c>
      <c r="B3" s="62">
        <v>0</v>
      </c>
      <c r="C3" s="62">
        <v>70</v>
      </c>
      <c r="D3" s="62">
        <v>4</v>
      </c>
      <c r="E3" s="63">
        <f>ROUND((B3+C3)*(1+D3),0)</f>
        <v>350</v>
      </c>
      <c r="F3" s="62" t="s">
        <v>507</v>
      </c>
      <c r="G3" s="62">
        <v>0</v>
      </c>
      <c r="H3" s="62">
        <v>0</v>
      </c>
      <c r="I3" s="62">
        <v>4</v>
      </c>
      <c r="J3" s="63">
        <f>ROUND((G3+H3)*(1+I3),0)</f>
        <v>0</v>
      </c>
      <c r="L3" s="65" t="s">
        <v>508</v>
      </c>
    </row>
    <row r="4" s="55" customFormat="1" customHeight="1" spans="1:12">
      <c r="A4" s="62" t="s">
        <v>509</v>
      </c>
      <c r="B4" s="62">
        <v>500</v>
      </c>
      <c r="C4" s="62">
        <v>90</v>
      </c>
      <c r="D4" s="62">
        <v>0</v>
      </c>
      <c r="E4" s="63">
        <f t="shared" ref="E4:E22" si="0">ROUND((B4+C4)*(1+D4),0)</f>
        <v>590</v>
      </c>
      <c r="F4" s="62" t="s">
        <v>510</v>
      </c>
      <c r="G4" s="62">
        <v>500</v>
      </c>
      <c r="H4" s="62">
        <v>0</v>
      </c>
      <c r="I4" s="62">
        <v>0.1</v>
      </c>
      <c r="J4" s="63">
        <f t="shared" ref="J4:J22" si="1">ROUND((G4+H4)*(1+I4),0)</f>
        <v>550</v>
      </c>
      <c r="L4" s="65" t="s">
        <v>511</v>
      </c>
    </row>
    <row r="5" s="55" customFormat="1" customHeight="1" spans="1:12">
      <c r="A5" s="62" t="s">
        <v>512</v>
      </c>
      <c r="B5" s="62">
        <v>1000</v>
      </c>
      <c r="C5" s="62">
        <v>80</v>
      </c>
      <c r="D5" s="62">
        <v>0</v>
      </c>
      <c r="E5" s="63">
        <f t="shared" si="0"/>
        <v>1080</v>
      </c>
      <c r="F5" s="62" t="s">
        <v>513</v>
      </c>
      <c r="G5" s="62">
        <v>625</v>
      </c>
      <c r="H5" s="62">
        <v>0</v>
      </c>
      <c r="I5" s="62">
        <v>0.1</v>
      </c>
      <c r="J5" s="63">
        <f t="shared" si="1"/>
        <v>688</v>
      </c>
      <c r="L5" s="65" t="s">
        <v>514</v>
      </c>
    </row>
    <row r="6" s="55" customFormat="1" customHeight="1" spans="1:12">
      <c r="A6" s="62" t="s">
        <v>515</v>
      </c>
      <c r="B6" s="62">
        <v>1500</v>
      </c>
      <c r="C6" s="62">
        <v>70</v>
      </c>
      <c r="D6" s="62">
        <v>0</v>
      </c>
      <c r="E6" s="63">
        <f t="shared" si="0"/>
        <v>1570</v>
      </c>
      <c r="F6" s="62" t="s">
        <v>516</v>
      </c>
      <c r="G6" s="62">
        <v>750</v>
      </c>
      <c r="H6" s="62">
        <v>0</v>
      </c>
      <c r="I6" s="62">
        <v>0.1</v>
      </c>
      <c r="J6" s="63">
        <f t="shared" si="1"/>
        <v>825</v>
      </c>
      <c r="L6" s="66" t="s">
        <v>517</v>
      </c>
    </row>
    <row r="7" s="55" customFormat="1" customHeight="1" spans="1:12">
      <c r="A7" s="62" t="s">
        <v>518</v>
      </c>
      <c r="B7" s="62">
        <v>2000</v>
      </c>
      <c r="C7" s="62">
        <v>60</v>
      </c>
      <c r="D7" s="62">
        <v>0</v>
      </c>
      <c r="E7" s="63">
        <f t="shared" si="0"/>
        <v>2060</v>
      </c>
      <c r="F7" s="62" t="s">
        <v>519</v>
      </c>
      <c r="G7" s="62">
        <v>875</v>
      </c>
      <c r="H7" s="62">
        <v>0</v>
      </c>
      <c r="I7" s="62">
        <v>0.1</v>
      </c>
      <c r="J7" s="63">
        <f t="shared" si="1"/>
        <v>963</v>
      </c>
      <c r="L7" s="66" t="s">
        <v>520</v>
      </c>
    </row>
    <row r="8" s="55" customFormat="1" customHeight="1" spans="1:12">
      <c r="A8" s="64" t="s">
        <v>521</v>
      </c>
      <c r="B8" s="64">
        <v>500</v>
      </c>
      <c r="C8" s="64">
        <v>150</v>
      </c>
      <c r="D8" s="64">
        <v>0.1</v>
      </c>
      <c r="E8" s="63">
        <f t="shared" si="0"/>
        <v>715</v>
      </c>
      <c r="F8" s="64" t="s">
        <v>522</v>
      </c>
      <c r="G8" s="64">
        <v>0</v>
      </c>
      <c r="H8" s="64">
        <v>0</v>
      </c>
      <c r="I8" s="64">
        <v>4</v>
      </c>
      <c r="J8" s="63">
        <f t="shared" si="1"/>
        <v>0</v>
      </c>
      <c r="L8" s="66" t="s">
        <v>523</v>
      </c>
    </row>
    <row r="9" s="55" customFormat="1" customHeight="1" spans="1:12">
      <c r="A9" s="64" t="s">
        <v>524</v>
      </c>
      <c r="B9" s="64">
        <v>700</v>
      </c>
      <c r="C9" s="64">
        <v>140</v>
      </c>
      <c r="D9" s="64">
        <v>0</v>
      </c>
      <c r="E9" s="63">
        <f t="shared" si="0"/>
        <v>840</v>
      </c>
      <c r="F9" s="64" t="s">
        <v>525</v>
      </c>
      <c r="G9" s="64">
        <v>400</v>
      </c>
      <c r="H9" s="64">
        <v>10</v>
      </c>
      <c r="I9" s="64">
        <v>0.1</v>
      </c>
      <c r="J9" s="63">
        <f t="shared" si="1"/>
        <v>451</v>
      </c>
      <c r="L9" s="66" t="s">
        <v>526</v>
      </c>
    </row>
    <row r="10" s="55" customFormat="1" customHeight="1" spans="1:12">
      <c r="A10" s="64" t="s">
        <v>527</v>
      </c>
      <c r="B10" s="64">
        <v>900</v>
      </c>
      <c r="C10" s="64">
        <v>130</v>
      </c>
      <c r="D10" s="64">
        <v>0</v>
      </c>
      <c r="E10" s="63">
        <f t="shared" si="0"/>
        <v>1030</v>
      </c>
      <c r="F10" s="64" t="s">
        <v>528</v>
      </c>
      <c r="G10" s="64">
        <v>500</v>
      </c>
      <c r="H10" s="64">
        <v>15</v>
      </c>
      <c r="I10" s="64">
        <v>0.1</v>
      </c>
      <c r="J10" s="63">
        <f t="shared" si="1"/>
        <v>567</v>
      </c>
      <c r="L10" s="66" t="s">
        <v>529</v>
      </c>
    </row>
    <row r="11" s="55" customFormat="1" customHeight="1" spans="1:12">
      <c r="A11" s="64" t="s">
        <v>530</v>
      </c>
      <c r="B11" s="64">
        <v>1100</v>
      </c>
      <c r="C11" s="64">
        <v>120</v>
      </c>
      <c r="D11" s="64">
        <v>0</v>
      </c>
      <c r="E11" s="63">
        <f t="shared" si="0"/>
        <v>1220</v>
      </c>
      <c r="F11" s="64" t="s">
        <v>531</v>
      </c>
      <c r="G11" s="64">
        <v>600</v>
      </c>
      <c r="H11" s="64">
        <v>20</v>
      </c>
      <c r="I11" s="64">
        <v>0.1</v>
      </c>
      <c r="J11" s="63">
        <f t="shared" si="1"/>
        <v>682</v>
      </c>
      <c r="L11" s="66" t="s">
        <v>532</v>
      </c>
    </row>
    <row r="12" s="55" customFormat="1" customHeight="1" spans="1:12">
      <c r="A12" s="64" t="s">
        <v>533</v>
      </c>
      <c r="B12" s="64">
        <v>1300</v>
      </c>
      <c r="C12" s="64">
        <v>110</v>
      </c>
      <c r="D12" s="64">
        <v>0</v>
      </c>
      <c r="E12" s="63">
        <f t="shared" si="0"/>
        <v>1410</v>
      </c>
      <c r="F12" s="64" t="s">
        <v>534</v>
      </c>
      <c r="G12" s="64">
        <v>700</v>
      </c>
      <c r="H12" s="64">
        <v>25</v>
      </c>
      <c r="I12" s="64">
        <v>0.1</v>
      </c>
      <c r="J12" s="63">
        <f t="shared" si="1"/>
        <v>798</v>
      </c>
      <c r="L12" s="65" t="s">
        <v>535</v>
      </c>
    </row>
    <row r="13" s="55" customFormat="1" customHeight="1" spans="1:12">
      <c r="A13" s="62" t="s">
        <v>536</v>
      </c>
      <c r="B13" s="62">
        <v>1000</v>
      </c>
      <c r="C13" s="62">
        <v>80</v>
      </c>
      <c r="D13" s="62">
        <v>-0.1</v>
      </c>
      <c r="E13" s="63">
        <f t="shared" si="0"/>
        <v>972</v>
      </c>
      <c r="F13" s="62" t="s">
        <v>537</v>
      </c>
      <c r="G13" s="62">
        <v>0</v>
      </c>
      <c r="H13" s="62">
        <v>0</v>
      </c>
      <c r="I13" s="62">
        <v>4</v>
      </c>
      <c r="J13" s="63">
        <f t="shared" si="1"/>
        <v>0</v>
      </c>
      <c r="L13" s="65" t="s">
        <v>538</v>
      </c>
    </row>
    <row r="14" s="55" customFormat="1" customHeight="1" spans="1:10">
      <c r="A14" s="62" t="s">
        <v>539</v>
      </c>
      <c r="B14" s="62">
        <v>900</v>
      </c>
      <c r="C14" s="62">
        <v>85</v>
      </c>
      <c r="D14" s="62">
        <v>0.2</v>
      </c>
      <c r="E14" s="63">
        <f t="shared" si="0"/>
        <v>1182</v>
      </c>
      <c r="F14" s="62" t="s">
        <v>540</v>
      </c>
      <c r="G14" s="62">
        <v>500</v>
      </c>
      <c r="H14" s="62">
        <v>-40</v>
      </c>
      <c r="I14" s="62">
        <v>0.1</v>
      </c>
      <c r="J14" s="63">
        <f t="shared" si="1"/>
        <v>506</v>
      </c>
    </row>
    <row r="15" s="55" customFormat="1" customHeight="1" spans="1:10">
      <c r="A15" s="62" t="s">
        <v>541</v>
      </c>
      <c r="B15" s="62">
        <v>800</v>
      </c>
      <c r="C15" s="62">
        <v>90</v>
      </c>
      <c r="D15" s="62">
        <v>0.6</v>
      </c>
      <c r="E15" s="63">
        <f t="shared" si="0"/>
        <v>1424</v>
      </c>
      <c r="F15" s="62" t="s">
        <v>542</v>
      </c>
      <c r="G15" s="62">
        <v>1000</v>
      </c>
      <c r="H15" s="62">
        <v>-60</v>
      </c>
      <c r="I15" s="62">
        <v>0.1</v>
      </c>
      <c r="J15" s="63">
        <f t="shared" si="1"/>
        <v>1034</v>
      </c>
    </row>
    <row r="16" s="55" customFormat="1" customHeight="1" spans="1:10">
      <c r="A16" s="62" t="s">
        <v>543</v>
      </c>
      <c r="B16" s="62">
        <v>700</v>
      </c>
      <c r="C16" s="62">
        <v>95</v>
      </c>
      <c r="D16" s="62">
        <v>1.4</v>
      </c>
      <c r="E16" s="63">
        <f t="shared" si="0"/>
        <v>1908</v>
      </c>
      <c r="F16" s="62" t="s">
        <v>544</v>
      </c>
      <c r="G16" s="62">
        <v>1500</v>
      </c>
      <c r="H16" s="62">
        <v>-80</v>
      </c>
      <c r="I16" s="62">
        <v>0.1</v>
      </c>
      <c r="J16" s="63">
        <f t="shared" si="1"/>
        <v>1562</v>
      </c>
    </row>
    <row r="17" s="55" customFormat="1" customHeight="1" spans="1:10">
      <c r="A17" s="62" t="s">
        <v>545</v>
      </c>
      <c r="B17" s="62">
        <v>600</v>
      </c>
      <c r="C17" s="62">
        <v>100</v>
      </c>
      <c r="D17" s="62">
        <v>3</v>
      </c>
      <c r="E17" s="63">
        <f t="shared" si="0"/>
        <v>2800</v>
      </c>
      <c r="F17" s="62" t="s">
        <v>546</v>
      </c>
      <c r="G17" s="62">
        <v>2000</v>
      </c>
      <c r="H17" s="62">
        <v>-100</v>
      </c>
      <c r="I17" s="62">
        <v>0.1</v>
      </c>
      <c r="J17" s="63">
        <f t="shared" si="1"/>
        <v>2090</v>
      </c>
    </row>
    <row r="18" s="55" customFormat="1" customHeight="1" spans="1:10">
      <c r="A18" s="64" t="s">
        <v>547</v>
      </c>
      <c r="B18" s="64">
        <v>3000</v>
      </c>
      <c r="C18" s="64">
        <v>100</v>
      </c>
      <c r="D18" s="64">
        <v>0.1</v>
      </c>
      <c r="E18" s="63">
        <f t="shared" si="0"/>
        <v>3410</v>
      </c>
      <c r="F18" s="64" t="s">
        <v>548</v>
      </c>
      <c r="G18" s="64">
        <v>0</v>
      </c>
      <c r="H18" s="64">
        <v>0</v>
      </c>
      <c r="I18" s="64">
        <v>4</v>
      </c>
      <c r="J18" s="63">
        <f t="shared" si="1"/>
        <v>0</v>
      </c>
    </row>
    <row r="19" s="55" customFormat="1" customHeight="1" spans="1:10">
      <c r="A19" s="64" t="s">
        <v>549</v>
      </c>
      <c r="B19" s="64">
        <v>4000</v>
      </c>
      <c r="C19" s="64">
        <v>90</v>
      </c>
      <c r="D19" s="64">
        <v>0.1</v>
      </c>
      <c r="E19" s="63">
        <f t="shared" si="0"/>
        <v>4499</v>
      </c>
      <c r="F19" s="64" t="s">
        <v>550</v>
      </c>
      <c r="G19" s="64">
        <v>500</v>
      </c>
      <c r="H19" s="64">
        <v>0</v>
      </c>
      <c r="I19" s="64">
        <v>0.1</v>
      </c>
      <c r="J19" s="63">
        <f t="shared" si="1"/>
        <v>550</v>
      </c>
    </row>
    <row r="20" s="55" customFormat="1" customHeight="1" spans="1:10">
      <c r="A20" s="64" t="s">
        <v>551</v>
      </c>
      <c r="B20" s="64">
        <v>5000</v>
      </c>
      <c r="C20" s="64">
        <v>80</v>
      </c>
      <c r="D20" s="64">
        <v>0.1</v>
      </c>
      <c r="E20" s="63">
        <f t="shared" si="0"/>
        <v>5588</v>
      </c>
      <c r="F20" s="64" t="s">
        <v>552</v>
      </c>
      <c r="G20" s="64">
        <v>1000</v>
      </c>
      <c r="H20" s="64">
        <v>0</v>
      </c>
      <c r="I20" s="64">
        <v>0.1</v>
      </c>
      <c r="J20" s="63">
        <f t="shared" si="1"/>
        <v>1100</v>
      </c>
    </row>
    <row r="21" s="55" customFormat="1" customHeight="1" spans="1:10">
      <c r="A21" s="64" t="s">
        <v>553</v>
      </c>
      <c r="B21" s="64">
        <v>6000</v>
      </c>
      <c r="C21" s="64">
        <v>70</v>
      </c>
      <c r="D21" s="64">
        <v>0.1</v>
      </c>
      <c r="E21" s="63">
        <f t="shared" si="0"/>
        <v>6677</v>
      </c>
      <c r="F21" s="64" t="s">
        <v>554</v>
      </c>
      <c r="G21" s="64">
        <v>1500</v>
      </c>
      <c r="H21" s="64">
        <v>0</v>
      </c>
      <c r="I21" s="64">
        <v>0.1</v>
      </c>
      <c r="J21" s="63">
        <f t="shared" si="1"/>
        <v>1650</v>
      </c>
    </row>
    <row r="22" s="55" customFormat="1" customHeight="1" spans="1:10">
      <c r="A22" s="64" t="s">
        <v>555</v>
      </c>
      <c r="B22" s="64">
        <v>7000</v>
      </c>
      <c r="C22" s="64">
        <v>60</v>
      </c>
      <c r="D22" s="64">
        <v>0.1</v>
      </c>
      <c r="E22" s="63">
        <f t="shared" si="0"/>
        <v>7766</v>
      </c>
      <c r="F22" s="64" t="s">
        <v>556</v>
      </c>
      <c r="G22" s="64">
        <v>2000</v>
      </c>
      <c r="H22" s="64">
        <v>0</v>
      </c>
      <c r="I22" s="64">
        <v>0.1</v>
      </c>
      <c r="J22" s="63">
        <f t="shared" si="1"/>
        <v>2200</v>
      </c>
    </row>
    <row r="23" s="55" customFormat="1" customHeight="1" spans="1:12">
      <c r="A23" s="62" t="s">
        <v>557</v>
      </c>
      <c r="B23" s="62">
        <v>0</v>
      </c>
      <c r="C23" s="62">
        <v>100</v>
      </c>
      <c r="D23" s="62">
        <v>0</v>
      </c>
      <c r="E23" s="63">
        <f t="shared" ref="E23:E38" si="2">ROUND((B23+C23)*(1+D23),0)</f>
        <v>100</v>
      </c>
      <c r="F23" s="62" t="s">
        <v>557</v>
      </c>
      <c r="G23" s="62">
        <v>0</v>
      </c>
      <c r="H23" s="62">
        <v>100</v>
      </c>
      <c r="I23" s="62">
        <v>0</v>
      </c>
      <c r="J23" s="63">
        <f t="shared" ref="J23:J38" si="3">ROUND((G23+H23)*(1+I23),0)</f>
        <v>100</v>
      </c>
      <c r="L23" s="65"/>
    </row>
    <row r="24" s="55" customFormat="1" customHeight="1" spans="1:12">
      <c r="A24" s="62" t="s">
        <v>558</v>
      </c>
      <c r="B24" s="62">
        <v>0</v>
      </c>
      <c r="C24" s="62">
        <v>100</v>
      </c>
      <c r="D24" s="62">
        <v>0</v>
      </c>
      <c r="E24" s="63">
        <f t="shared" si="2"/>
        <v>100</v>
      </c>
      <c r="F24" s="62" t="s">
        <v>558</v>
      </c>
      <c r="G24" s="62">
        <v>0</v>
      </c>
      <c r="H24" s="62">
        <v>100</v>
      </c>
      <c r="I24" s="62">
        <v>0</v>
      </c>
      <c r="J24" s="63">
        <f t="shared" si="3"/>
        <v>100</v>
      </c>
      <c r="L24" s="65"/>
    </row>
    <row r="25" s="55" customFormat="1" customHeight="1" spans="1:12">
      <c r="A25" s="62" t="s">
        <v>559</v>
      </c>
      <c r="B25" s="62">
        <v>0</v>
      </c>
      <c r="C25" s="62">
        <v>100</v>
      </c>
      <c r="D25" s="62">
        <v>0</v>
      </c>
      <c r="E25" s="63">
        <f t="shared" si="2"/>
        <v>100</v>
      </c>
      <c r="F25" s="62" t="s">
        <v>559</v>
      </c>
      <c r="G25" s="62">
        <v>0</v>
      </c>
      <c r="H25" s="62">
        <v>100</v>
      </c>
      <c r="I25" s="62">
        <v>0</v>
      </c>
      <c r="J25" s="63">
        <f t="shared" si="3"/>
        <v>100</v>
      </c>
      <c r="L25" s="65"/>
    </row>
    <row r="26" s="55" customFormat="1" customHeight="1" spans="1:12">
      <c r="A26" s="62" t="s">
        <v>560</v>
      </c>
      <c r="B26" s="62">
        <v>0</v>
      </c>
      <c r="C26" s="62">
        <v>100</v>
      </c>
      <c r="D26" s="62">
        <v>0</v>
      </c>
      <c r="E26" s="63">
        <f t="shared" si="2"/>
        <v>100</v>
      </c>
      <c r="F26" s="62" t="s">
        <v>560</v>
      </c>
      <c r="G26" s="62">
        <v>0</v>
      </c>
      <c r="H26" s="62">
        <v>100</v>
      </c>
      <c r="I26" s="62">
        <v>0</v>
      </c>
      <c r="J26" s="63">
        <f t="shared" si="3"/>
        <v>100</v>
      </c>
      <c r="L26" s="65"/>
    </row>
    <row r="27" s="55" customFormat="1" customHeight="1" spans="1:12">
      <c r="A27" s="62" t="s">
        <v>561</v>
      </c>
      <c r="B27" s="62">
        <v>0</v>
      </c>
      <c r="C27" s="62">
        <v>100</v>
      </c>
      <c r="D27" s="62">
        <v>0</v>
      </c>
      <c r="E27" s="63">
        <f t="shared" si="2"/>
        <v>100</v>
      </c>
      <c r="F27" s="62" t="s">
        <v>561</v>
      </c>
      <c r="G27" s="62">
        <v>0</v>
      </c>
      <c r="H27" s="62">
        <v>100</v>
      </c>
      <c r="I27" s="62">
        <v>0</v>
      </c>
      <c r="J27" s="63">
        <f t="shared" si="3"/>
        <v>100</v>
      </c>
      <c r="L27" s="65"/>
    </row>
    <row r="28" s="55" customFormat="1" customHeight="1" spans="1:12">
      <c r="A28" s="62" t="s">
        <v>562</v>
      </c>
      <c r="B28" s="62">
        <v>0</v>
      </c>
      <c r="C28" s="62">
        <v>100</v>
      </c>
      <c r="D28" s="62">
        <v>0</v>
      </c>
      <c r="E28" s="63">
        <f t="shared" si="2"/>
        <v>100</v>
      </c>
      <c r="F28" s="62" t="s">
        <v>562</v>
      </c>
      <c r="G28" s="62">
        <v>0</v>
      </c>
      <c r="H28" s="62">
        <v>100</v>
      </c>
      <c r="I28" s="62">
        <v>0</v>
      </c>
      <c r="J28" s="63">
        <f t="shared" si="3"/>
        <v>100</v>
      </c>
      <c r="L28" s="65"/>
    </row>
    <row r="29" s="55" customFormat="1" customHeight="1" spans="1:12">
      <c r="A29" s="62" t="s">
        <v>563</v>
      </c>
      <c r="B29" s="62">
        <v>0</v>
      </c>
      <c r="C29" s="62">
        <v>100</v>
      </c>
      <c r="D29" s="62">
        <v>0</v>
      </c>
      <c r="E29" s="63">
        <f t="shared" si="2"/>
        <v>100</v>
      </c>
      <c r="F29" s="62" t="s">
        <v>563</v>
      </c>
      <c r="G29" s="62">
        <v>0</v>
      </c>
      <c r="H29" s="62">
        <v>100</v>
      </c>
      <c r="I29" s="62">
        <v>0</v>
      </c>
      <c r="J29" s="63">
        <f t="shared" si="3"/>
        <v>100</v>
      </c>
      <c r="L29" s="65"/>
    </row>
    <row r="30" s="55" customFormat="1" customHeight="1" spans="1:12">
      <c r="A30" s="62" t="s">
        <v>564</v>
      </c>
      <c r="B30" s="62">
        <v>0</v>
      </c>
      <c r="C30" s="62">
        <v>100</v>
      </c>
      <c r="D30" s="62">
        <v>0</v>
      </c>
      <c r="E30" s="63">
        <f t="shared" si="2"/>
        <v>100</v>
      </c>
      <c r="F30" s="62" t="s">
        <v>564</v>
      </c>
      <c r="G30" s="62">
        <v>0</v>
      </c>
      <c r="H30" s="62">
        <v>100</v>
      </c>
      <c r="I30" s="62">
        <v>0</v>
      </c>
      <c r="J30" s="63">
        <f t="shared" si="3"/>
        <v>100</v>
      </c>
      <c r="L30" s="65"/>
    </row>
    <row r="31" s="55" customFormat="1" customHeight="1" spans="1:10">
      <c r="A31" s="64" t="s">
        <v>565</v>
      </c>
      <c r="B31" s="64">
        <v>0</v>
      </c>
      <c r="C31" s="64">
        <v>0</v>
      </c>
      <c r="D31" s="64">
        <v>0</v>
      </c>
      <c r="E31" s="63">
        <f t="shared" si="2"/>
        <v>0</v>
      </c>
      <c r="F31" s="64" t="s">
        <v>565</v>
      </c>
      <c r="G31" s="64">
        <v>0</v>
      </c>
      <c r="H31" s="64">
        <v>0</v>
      </c>
      <c r="I31" s="64">
        <v>0</v>
      </c>
      <c r="J31" s="63">
        <f t="shared" si="3"/>
        <v>0</v>
      </c>
    </row>
    <row r="32" s="55" customFormat="1" customHeight="1" spans="1:10">
      <c r="A32" s="64" t="s">
        <v>566</v>
      </c>
      <c r="B32" s="64">
        <v>0</v>
      </c>
      <c r="C32" s="64">
        <v>0</v>
      </c>
      <c r="D32" s="64">
        <v>0</v>
      </c>
      <c r="E32" s="63">
        <f t="shared" si="2"/>
        <v>0</v>
      </c>
      <c r="F32" s="64" t="s">
        <v>566</v>
      </c>
      <c r="G32" s="64">
        <v>0</v>
      </c>
      <c r="H32" s="64">
        <v>0</v>
      </c>
      <c r="I32" s="64">
        <v>0</v>
      </c>
      <c r="J32" s="63">
        <f t="shared" si="3"/>
        <v>0</v>
      </c>
    </row>
    <row r="33" s="55" customFormat="1" customHeight="1" spans="1:10">
      <c r="A33" s="64" t="s">
        <v>567</v>
      </c>
      <c r="B33" s="64">
        <v>0</v>
      </c>
      <c r="C33" s="64">
        <v>0</v>
      </c>
      <c r="D33" s="64">
        <v>0</v>
      </c>
      <c r="E33" s="63">
        <f t="shared" si="2"/>
        <v>0</v>
      </c>
      <c r="F33" s="64" t="s">
        <v>567</v>
      </c>
      <c r="G33" s="64">
        <v>0</v>
      </c>
      <c r="H33" s="64">
        <v>0</v>
      </c>
      <c r="I33" s="64">
        <v>0</v>
      </c>
      <c r="J33" s="63">
        <f t="shared" si="3"/>
        <v>0</v>
      </c>
    </row>
    <row r="34" s="55" customFormat="1" customHeight="1" spans="1:10">
      <c r="A34" s="64" t="s">
        <v>568</v>
      </c>
      <c r="B34" s="64">
        <v>0</v>
      </c>
      <c r="C34" s="64">
        <v>0</v>
      </c>
      <c r="D34" s="64">
        <v>0</v>
      </c>
      <c r="E34" s="63">
        <f t="shared" si="2"/>
        <v>0</v>
      </c>
      <c r="F34" s="64" t="s">
        <v>568</v>
      </c>
      <c r="G34" s="64">
        <v>0</v>
      </c>
      <c r="H34" s="64">
        <v>0</v>
      </c>
      <c r="I34" s="64">
        <v>0</v>
      </c>
      <c r="J34" s="63">
        <f t="shared" si="3"/>
        <v>0</v>
      </c>
    </row>
    <row r="35" s="55" customFormat="1" customHeight="1" spans="1:10">
      <c r="A35" s="64" t="s">
        <v>569</v>
      </c>
      <c r="B35" s="64">
        <v>0</v>
      </c>
      <c r="C35" s="64">
        <v>0</v>
      </c>
      <c r="D35" s="64">
        <v>0</v>
      </c>
      <c r="E35" s="63">
        <f t="shared" si="2"/>
        <v>0</v>
      </c>
      <c r="F35" s="64" t="s">
        <v>569</v>
      </c>
      <c r="G35" s="64">
        <v>0</v>
      </c>
      <c r="H35" s="64">
        <v>0</v>
      </c>
      <c r="I35" s="64">
        <v>0</v>
      </c>
      <c r="J35" s="63">
        <f t="shared" si="3"/>
        <v>0</v>
      </c>
    </row>
    <row r="36" s="55" customFormat="1" customHeight="1" spans="1:10">
      <c r="A36" s="64" t="s">
        <v>570</v>
      </c>
      <c r="B36" s="64">
        <v>0</v>
      </c>
      <c r="C36" s="64">
        <v>0</v>
      </c>
      <c r="D36" s="64">
        <v>0</v>
      </c>
      <c r="E36" s="63">
        <f t="shared" si="2"/>
        <v>0</v>
      </c>
      <c r="F36" s="64" t="s">
        <v>570</v>
      </c>
      <c r="G36" s="64">
        <v>0</v>
      </c>
      <c r="H36" s="64">
        <v>0</v>
      </c>
      <c r="I36" s="64">
        <v>0</v>
      </c>
      <c r="J36" s="63">
        <f t="shared" si="3"/>
        <v>0</v>
      </c>
    </row>
    <row r="37" s="55" customFormat="1" customHeight="1" spans="1:10">
      <c r="A37" s="64" t="s">
        <v>571</v>
      </c>
      <c r="B37" s="64">
        <v>0</v>
      </c>
      <c r="C37" s="64">
        <v>0</v>
      </c>
      <c r="D37" s="64">
        <v>0</v>
      </c>
      <c r="E37" s="63">
        <f t="shared" si="2"/>
        <v>0</v>
      </c>
      <c r="F37" s="64" t="s">
        <v>571</v>
      </c>
      <c r="G37" s="64">
        <v>0</v>
      </c>
      <c r="H37" s="64">
        <v>0</v>
      </c>
      <c r="I37" s="64">
        <v>0</v>
      </c>
      <c r="J37" s="63">
        <f t="shared" si="3"/>
        <v>0</v>
      </c>
    </row>
    <row r="38" s="55" customFormat="1" customHeight="1" spans="1:10">
      <c r="A38" s="64" t="s">
        <v>572</v>
      </c>
      <c r="B38" s="64">
        <v>0</v>
      </c>
      <c r="C38" s="64">
        <v>0</v>
      </c>
      <c r="D38" s="64">
        <v>0</v>
      </c>
      <c r="E38" s="63">
        <f t="shared" si="2"/>
        <v>0</v>
      </c>
      <c r="F38" s="64" t="s">
        <v>572</v>
      </c>
      <c r="G38" s="64">
        <v>0</v>
      </c>
      <c r="H38" s="64">
        <v>0</v>
      </c>
      <c r="I38" s="64">
        <v>0</v>
      </c>
      <c r="J38" s="63">
        <f t="shared" si="3"/>
        <v>0</v>
      </c>
    </row>
    <row r="39" s="55" customFormat="1" customHeight="1" spans="2:8">
      <c r="B39" s="57"/>
      <c r="C39" s="57"/>
      <c r="D39" s="56"/>
      <c r="F39" s="56"/>
      <c r="G39" s="57"/>
      <c r="H39" s="57"/>
    </row>
    <row r="40" s="55" customFormat="1" customHeight="1" spans="2:8">
      <c r="B40" s="57"/>
      <c r="C40" s="57"/>
      <c r="D40" s="56"/>
      <c r="F40" s="56"/>
      <c r="G40" s="57"/>
      <c r="H40" s="57"/>
    </row>
    <row r="41" s="55" customFormat="1" customHeight="1" spans="2:8">
      <c r="B41" s="57"/>
      <c r="C41" s="57"/>
      <c r="D41" s="56"/>
      <c r="F41" s="56"/>
      <c r="G41" s="57"/>
      <c r="H41" s="57"/>
    </row>
    <row r="42" s="55" customFormat="1" customHeight="1" spans="2:8">
      <c r="B42" s="57"/>
      <c r="C42" s="57"/>
      <c r="D42" s="56"/>
      <c r="F42" s="56"/>
      <c r="G42" s="57"/>
      <c r="H42" s="57"/>
    </row>
    <row r="43" s="55" customFormat="1" customHeight="1" spans="2:8">
      <c r="B43" s="57"/>
      <c r="C43" s="57"/>
      <c r="D43" s="56"/>
      <c r="F43" s="56"/>
      <c r="G43" s="57"/>
      <c r="H43" s="57"/>
    </row>
    <row r="44" s="55" customFormat="1" customHeight="1" spans="2:8">
      <c r="B44" s="57"/>
      <c r="C44" s="57"/>
      <c r="D44" s="56"/>
      <c r="F44" s="56"/>
      <c r="G44" s="57"/>
      <c r="H44" s="57"/>
    </row>
    <row r="45" s="55" customFormat="1" customHeight="1" spans="2:8">
      <c r="B45" s="57"/>
      <c r="C45" s="57"/>
      <c r="D45" s="56"/>
      <c r="F45" s="56"/>
      <c r="G45" s="57"/>
      <c r="H45" s="57"/>
    </row>
    <row r="46" s="55" customFormat="1" customHeight="1" spans="2:8">
      <c r="B46" s="57"/>
      <c r="C46" s="57"/>
      <c r="D46" s="56"/>
      <c r="E46" s="56"/>
      <c r="F46" s="56"/>
      <c r="G46" s="57"/>
      <c r="H46" s="57"/>
    </row>
    <row r="47" s="55" customFormat="1" customHeight="1" spans="2:6">
      <c r="B47" s="57"/>
      <c r="C47" s="56"/>
      <c r="D47" s="56"/>
      <c r="E47" s="56"/>
      <c r="F47" s="56"/>
    </row>
    <row r="48" s="55" customFormat="1" customHeight="1" spans="2:6">
      <c r="B48" s="56"/>
      <c r="C48" s="56"/>
      <c r="D48" s="56"/>
      <c r="E48" s="56"/>
      <c r="F48" s="56"/>
    </row>
    <row r="49" s="55" customFormat="1" customHeight="1" spans="2:6">
      <c r="B49" s="56"/>
      <c r="C49" s="56"/>
      <c r="D49" s="56"/>
      <c r="E49" s="56"/>
      <c r="F49" s="56"/>
    </row>
    <row r="50" s="55" customFormat="1" customHeight="1" spans="2:6">
      <c r="B50" s="56"/>
      <c r="C50" s="56"/>
      <c r="D50" s="56"/>
      <c r="E50" s="56"/>
      <c r="F50" s="56"/>
    </row>
    <row r="51" s="55" customFormat="1" customHeight="1" spans="1:6">
      <c r="A51" s="56"/>
      <c r="B51" s="56"/>
      <c r="C51" s="56"/>
      <c r="D51" s="56"/>
      <c r="E51" s="56"/>
      <c r="F51" s="56"/>
    </row>
    <row r="52" s="55" customFormat="1" customHeight="1" spans="1:6">
      <c r="A52" s="56"/>
      <c r="B52" s="56"/>
      <c r="C52" s="56"/>
      <c r="D52" s="56"/>
      <c r="E52" s="56"/>
      <c r="F52" s="56"/>
    </row>
    <row r="53" s="55" customFormat="1" customHeight="1" spans="1:6">
      <c r="A53" s="56"/>
      <c r="B53" s="56"/>
      <c r="C53" s="56"/>
      <c r="D53" s="56"/>
      <c r="E53" s="56"/>
      <c r="F53" s="56"/>
    </row>
    <row r="54" s="55" customFormat="1" customHeight="1" spans="1:6">
      <c r="A54" s="56"/>
      <c r="B54" s="56"/>
      <c r="C54" s="56"/>
      <c r="D54" s="56"/>
      <c r="E54" s="56"/>
      <c r="F54" s="56"/>
    </row>
    <row r="55" s="55" customFormat="1" customHeight="1" spans="1:6">
      <c r="A55" s="56"/>
      <c r="B55" s="56"/>
      <c r="C55" s="56"/>
      <c r="D55" s="56"/>
      <c r="E55" s="56"/>
      <c r="F55" s="56"/>
    </row>
    <row r="56" s="55" customFormat="1" customHeight="1" spans="1:6">
      <c r="A56" s="56"/>
      <c r="B56" s="56"/>
      <c r="C56" s="56"/>
      <c r="D56" s="56"/>
      <c r="E56" s="56"/>
      <c r="F56" s="56"/>
    </row>
    <row r="57" s="55" customFormat="1" customHeight="1" spans="1:6">
      <c r="A57" s="56"/>
      <c r="B57" s="56"/>
      <c r="C57" s="56"/>
      <c r="D57" s="56"/>
      <c r="E57" s="56"/>
      <c r="F57" s="56"/>
    </row>
    <row r="58" s="55" customFormat="1" customHeight="1" spans="1:6">
      <c r="A58" s="56"/>
      <c r="B58" s="56"/>
      <c r="C58" s="56"/>
      <c r="D58" s="56"/>
      <c r="E58" s="56"/>
      <c r="F58" s="56"/>
    </row>
    <row r="59" s="55" customFormat="1" customHeight="1" spans="1:6">
      <c r="A59" s="56"/>
      <c r="B59" s="56"/>
      <c r="C59" s="56"/>
      <c r="D59" s="56"/>
      <c r="E59" s="56"/>
      <c r="F59" s="56"/>
    </row>
    <row r="60" s="55" customFormat="1" customHeight="1" spans="1:6">
      <c r="A60" s="56"/>
      <c r="B60" s="56"/>
      <c r="C60" s="56"/>
      <c r="D60" s="56"/>
      <c r="E60" s="56"/>
      <c r="F60" s="56"/>
    </row>
    <row r="61" s="55" customFormat="1" customHeight="1" spans="1:6">
      <c r="A61" s="56"/>
      <c r="B61" s="56"/>
      <c r="C61" s="56"/>
      <c r="D61" s="56"/>
      <c r="E61" s="56"/>
      <c r="F61" s="56"/>
    </row>
    <row r="62" s="55" customFormat="1" customHeight="1" spans="1:6">
      <c r="A62" s="56"/>
      <c r="B62" s="56"/>
      <c r="C62" s="56"/>
      <c r="D62" s="56"/>
      <c r="E62" s="56"/>
      <c r="F62" s="56"/>
    </row>
    <row r="63" s="55" customFormat="1" customHeight="1" spans="1:6">
      <c r="A63" s="56"/>
      <c r="B63" s="56"/>
      <c r="C63" s="56"/>
      <c r="D63" s="56"/>
      <c r="E63" s="56"/>
      <c r="F63" s="56"/>
    </row>
    <row r="64" s="55" customFormat="1" customHeight="1" spans="1:6">
      <c r="A64" s="56"/>
      <c r="B64" s="56"/>
      <c r="C64" s="56"/>
      <c r="D64" s="56"/>
      <c r="E64" s="56"/>
      <c r="F64" s="56"/>
    </row>
    <row r="65" s="55" customFormat="1" customHeight="1" spans="1:6">
      <c r="A65" s="56"/>
      <c r="B65" s="56"/>
      <c r="C65" s="56"/>
      <c r="D65" s="56"/>
      <c r="E65" s="56"/>
      <c r="F65" s="56"/>
    </row>
    <row r="66" s="55" customFormat="1" customHeight="1" spans="1:6">
      <c r="A66" s="56"/>
      <c r="B66" s="56"/>
      <c r="C66" s="56"/>
      <c r="D66" s="56"/>
      <c r="E66" s="56"/>
      <c r="F66" s="56"/>
    </row>
    <row r="67" s="55" customFormat="1" customHeight="1" spans="1:6">
      <c r="A67" s="56"/>
      <c r="B67" s="56"/>
      <c r="C67" s="56"/>
      <c r="D67" s="56"/>
      <c r="E67" s="56"/>
      <c r="F67" s="56"/>
    </row>
    <row r="68" s="55" customFormat="1" customHeight="1" spans="1:6">
      <c r="A68" s="56"/>
      <c r="B68" s="56"/>
      <c r="C68" s="56"/>
      <c r="D68" s="56"/>
      <c r="E68" s="56"/>
      <c r="F68" s="56"/>
    </row>
    <row r="69" s="55" customFormat="1" customHeight="1" spans="1:6">
      <c r="A69" s="56"/>
      <c r="B69" s="56"/>
      <c r="C69" s="56"/>
      <c r="D69" s="56"/>
      <c r="E69" s="56"/>
      <c r="F69" s="56"/>
    </row>
    <row r="70" s="55" customFormat="1" customHeight="1" spans="1:6">
      <c r="A70" s="56"/>
      <c r="B70" s="56"/>
      <c r="C70" s="56"/>
      <c r="D70" s="56"/>
      <c r="E70" s="56"/>
      <c r="F70" s="56"/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Z1207"/>
  <sheetViews>
    <sheetView showGridLines="0" tabSelected="1" zoomScale="90" zoomScaleNormal="90" workbookViewId="0">
      <pane xSplit="3" ySplit="4" topLeftCell="F5" activePane="bottomRight" state="frozen"/>
      <selection/>
      <selection pane="topRight"/>
      <selection pane="bottomLeft"/>
      <selection pane="bottomRight" activeCell="N14" sqref="N14"/>
    </sheetView>
  </sheetViews>
  <sheetFormatPr defaultColWidth="9" defaultRowHeight="20" customHeight="1"/>
  <cols>
    <col min="1" max="1" width="26.875" style="1" customWidth="1"/>
    <col min="2" max="2" width="13.475" style="1" customWidth="1"/>
    <col min="3" max="3" width="5.625" style="1" customWidth="1"/>
    <col min="4" max="4" width="9.125" style="1" customWidth="1"/>
    <col min="5" max="5" width="11.25" style="1" customWidth="1"/>
    <col min="6" max="6" width="8.875" style="1" customWidth="1"/>
    <col min="7" max="7" width="4.875" style="1" customWidth="1"/>
    <col min="8" max="8" width="8.875" style="1" customWidth="1"/>
    <col min="9" max="9" width="4.875" style="1" customWidth="1"/>
    <col min="10" max="10" width="6.75" style="1" customWidth="1"/>
    <col min="11" max="11" width="4.875" style="1" customWidth="1"/>
    <col min="12" max="12" width="6.375" style="1" customWidth="1"/>
    <col min="13" max="13" width="6.75" style="1" customWidth="1"/>
    <col min="14" max="14" width="4.875" style="1" customWidth="1"/>
    <col min="15" max="15" width="7" style="1" customWidth="1"/>
    <col min="16" max="16" width="4.875" style="1" customWidth="1"/>
    <col min="17" max="17" width="6.75" style="1" customWidth="1"/>
    <col min="18" max="18" width="4.875" style="1" customWidth="1"/>
    <col min="19" max="19" width="5.625" style="1" customWidth="1"/>
    <col min="20" max="20" width="6.75" style="1" customWidth="1"/>
    <col min="21" max="21" width="4.875" style="1" customWidth="1"/>
    <col min="22" max="22" width="6.75" style="1" customWidth="1"/>
    <col min="23" max="23" width="4.875" style="1" customWidth="1"/>
    <col min="24" max="24" width="6.375" style="1" customWidth="1"/>
    <col min="25" max="25" width="24.875" style="27" customWidth="1"/>
    <col min="26" max="26" width="31.625" style="1" customWidth="1"/>
    <col min="27" max="27" width="19.875" style="1" customWidth="1"/>
    <col min="28" max="28" width="7" style="28" customWidth="1"/>
    <col min="29" max="29" width="8.375" style="1" customWidth="1"/>
    <col min="30" max="30" width="5.625" style="29" customWidth="1"/>
    <col min="31" max="32" width="12.125" customWidth="1"/>
    <col min="33" max="33" width="6.75" customWidth="1"/>
    <col min="34" max="35" width="12.25" customWidth="1"/>
    <col min="36" max="36" width="6.75" customWidth="1"/>
    <col min="37" max="38" width="9.125" customWidth="1"/>
    <col min="39" max="39" width="4.875" customWidth="1"/>
    <col min="40" max="47" width="6.75" customWidth="1"/>
    <col min="48" max="48" width="4.875" customWidth="1"/>
    <col min="52" max="52" width="4.875" customWidth="1"/>
  </cols>
  <sheetData>
    <row r="1" customHeight="1" spans="1:52">
      <c r="A1" s="30"/>
      <c r="B1" s="31"/>
      <c r="C1" s="32"/>
      <c r="AD1" s="43" t="s">
        <v>573</v>
      </c>
      <c r="AM1" s="53" t="s">
        <v>573</v>
      </c>
      <c r="AV1" s="53" t="s">
        <v>573</v>
      </c>
      <c r="AZ1" s="53" t="s">
        <v>573</v>
      </c>
    </row>
    <row r="2" customFormat="1" customHeight="1" spans="1:52">
      <c r="A2" s="33"/>
      <c r="B2" s="34"/>
      <c r="C2" s="35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27"/>
      <c r="Z2" s="1"/>
      <c r="AA2" s="1"/>
      <c r="AB2" s="28"/>
      <c r="AC2" s="1"/>
      <c r="AD2" s="44"/>
      <c r="AM2" s="54"/>
      <c r="AN2"/>
      <c r="AO2"/>
      <c r="AP2"/>
      <c r="AQ2"/>
      <c r="AR2"/>
      <c r="AS2"/>
      <c r="AT2"/>
      <c r="AU2"/>
      <c r="AV2" s="54"/>
      <c r="AZ2" s="54"/>
    </row>
    <row r="3" customFormat="1" customHeight="1" spans="1:52">
      <c r="A3" s="36"/>
      <c r="B3" s="37"/>
      <c r="C3" s="38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27"/>
      <c r="Z3" s="1"/>
      <c r="AA3" s="1"/>
      <c r="AB3" s="28"/>
      <c r="AC3" s="1"/>
      <c r="AD3" s="44"/>
      <c r="AM3" s="54"/>
      <c r="AN3"/>
      <c r="AO3"/>
      <c r="AP3"/>
      <c r="AQ3"/>
      <c r="AR3"/>
      <c r="AS3"/>
      <c r="AT3"/>
      <c r="AU3"/>
      <c r="AV3" s="54"/>
      <c r="AZ3" s="54"/>
    </row>
    <row r="4" ht="60" customHeight="1" spans="1:52">
      <c r="A4" s="2" t="s">
        <v>285</v>
      </c>
      <c r="B4" s="2" t="s">
        <v>574</v>
      </c>
      <c r="C4" s="3" t="s">
        <v>216</v>
      </c>
      <c r="D4" s="39" t="s">
        <v>575</v>
      </c>
      <c r="E4" s="39" t="s">
        <v>576</v>
      </c>
      <c r="F4" s="4" t="s">
        <v>577</v>
      </c>
      <c r="G4" s="40" t="s">
        <v>578</v>
      </c>
      <c r="H4" s="4" t="s">
        <v>579</v>
      </c>
      <c r="I4" s="40" t="s">
        <v>578</v>
      </c>
      <c r="J4" s="4" t="s">
        <v>580</v>
      </c>
      <c r="K4" s="40" t="s">
        <v>578</v>
      </c>
      <c r="L4" s="40" t="s">
        <v>581</v>
      </c>
      <c r="M4" s="2" t="s">
        <v>582</v>
      </c>
      <c r="N4" s="9" t="s">
        <v>578</v>
      </c>
      <c r="O4" s="2" t="s">
        <v>583</v>
      </c>
      <c r="P4" s="9" t="s">
        <v>578</v>
      </c>
      <c r="Q4" s="2" t="s">
        <v>584</v>
      </c>
      <c r="R4" s="9" t="s">
        <v>578</v>
      </c>
      <c r="S4" s="41" t="s">
        <v>585</v>
      </c>
      <c r="T4" s="8" t="s">
        <v>217</v>
      </c>
      <c r="U4" s="42" t="s">
        <v>578</v>
      </c>
      <c r="V4" s="8" t="s">
        <v>218</v>
      </c>
      <c r="W4" s="42" t="s">
        <v>578</v>
      </c>
      <c r="X4" s="42" t="s">
        <v>586</v>
      </c>
      <c r="Y4" s="45" t="s">
        <v>587</v>
      </c>
      <c r="Z4" s="9" t="s">
        <v>588</v>
      </c>
      <c r="AA4" s="8" t="s">
        <v>589</v>
      </c>
      <c r="AB4" s="46" t="s">
        <v>590</v>
      </c>
      <c r="AC4" s="47" t="s">
        <v>591</v>
      </c>
      <c r="AD4" s="48"/>
      <c r="AE4" s="49" t="s">
        <v>577</v>
      </c>
      <c r="AF4" s="4" t="s">
        <v>579</v>
      </c>
      <c r="AG4" s="4" t="s">
        <v>580</v>
      </c>
      <c r="AH4" s="2" t="s">
        <v>582</v>
      </c>
      <c r="AI4" s="2" t="s">
        <v>583</v>
      </c>
      <c r="AJ4" s="2" t="s">
        <v>584</v>
      </c>
      <c r="AK4" s="8" t="s">
        <v>217</v>
      </c>
      <c r="AL4" s="8" t="s">
        <v>218</v>
      </c>
      <c r="AM4" s="54"/>
      <c r="AN4" s="4" t="s">
        <v>592</v>
      </c>
      <c r="AO4" s="4" t="s">
        <v>593</v>
      </c>
      <c r="AP4" s="4" t="s">
        <v>594</v>
      </c>
      <c r="AQ4" s="2" t="s">
        <v>592</v>
      </c>
      <c r="AR4" s="2" t="s">
        <v>593</v>
      </c>
      <c r="AS4" s="2" t="s">
        <v>594</v>
      </c>
      <c r="AT4" s="8" t="s">
        <v>592</v>
      </c>
      <c r="AU4" s="8" t="s">
        <v>593</v>
      </c>
      <c r="AV4" s="54"/>
      <c r="AW4" s="40" t="s">
        <v>595</v>
      </c>
      <c r="AX4" s="9" t="s">
        <v>596</v>
      </c>
      <c r="AY4" s="42" t="s">
        <v>597</v>
      </c>
      <c r="AZ4" s="54"/>
    </row>
    <row r="5" customHeight="1" spans="1:51">
      <c r="A5" s="5" t="s">
        <v>288</v>
      </c>
      <c r="B5" s="6"/>
      <c r="C5" s="5">
        <v>1</v>
      </c>
      <c r="D5" s="1" t="s">
        <v>220</v>
      </c>
      <c r="E5" s="1" t="s">
        <v>222</v>
      </c>
      <c r="F5" s="1" t="s">
        <v>106</v>
      </c>
      <c r="G5" s="1">
        <v>10</v>
      </c>
      <c r="L5" s="5">
        <f>IFERROR(VLOOKUP($D5&amp;$C5,生产方式定位!$A$2:$E$38,2,FALSE)+VLOOKUP($E5&amp;$C5,生产方式定位!$F$3:$J$38,2,FALSE),0)</f>
        <v>500</v>
      </c>
      <c r="M5" s="1" t="s">
        <v>207</v>
      </c>
      <c r="N5" s="1">
        <v>100</v>
      </c>
      <c r="O5" s="1"/>
      <c r="P5" s="1"/>
      <c r="S5" s="5">
        <f>IFERROR(VLOOKUP($D5&amp;$C5,生产方式定位!$A$2:$E$38,3,FALSE)+VLOOKUP($E5&amp;$C5,生产方式定位!$F$3:$J$38,3,FALSE),0)</f>
        <v>150</v>
      </c>
      <c r="T5" s="1" t="s">
        <v>126</v>
      </c>
      <c r="U5" s="1">
        <v>10</v>
      </c>
      <c r="X5" s="5">
        <f>IFERROR(VLOOKUP($D5&amp;$C5,生产方式定位!$A$2:$E$38,5,FALSE)+VLOOKUP($E5&amp;$C5,生产方式定位!$F$3:$J$38,5,FALSE),"错误")</f>
        <v>715</v>
      </c>
      <c r="Y5" s="27" t="str">
        <f t="shared" ref="Y5:Y68" si="0">IF(AE5="","",AE5)&amp;IF(AF5="","",","&amp;AF5)&amp;IF(AG5="","",","&amp;AG5)</f>
        <v>谷物*25</v>
      </c>
      <c r="Z5" s="50" t="str">
        <f>IF(AH5="","",AH5)&amp;IF(AI5="","",","&amp;AI5)&amp;IF(AJ5="","",","&amp;AJ5)</f>
        <v>劳工*6787</v>
      </c>
      <c r="AA5" s="50" t="str">
        <f t="shared" ref="AA5:AA68" si="1">IF(AK5="","",AK5)&amp;IF(AL5="","",","&amp;AL5)</f>
        <v>食品*24</v>
      </c>
      <c r="AB5" s="28" t="str">
        <f>IFERROR(ROUND(((X5/L5)-1)*100,0)&amp;"%","")</f>
        <v>43%</v>
      </c>
      <c r="AC5" s="1">
        <f>IF(X5-S5-L5=0,"",X5-S5-L5)</f>
        <v>65</v>
      </c>
      <c r="AD5" s="51">
        <f t="shared" ref="AD5:AD68" si="2">C5</f>
        <v>1</v>
      </c>
      <c r="AE5" t="str">
        <f>IF(AN5="","",F5&amp;"*"&amp;AN5)</f>
        <v>谷物*25</v>
      </c>
      <c r="AF5" t="str">
        <f>IF(AO5="","",H5&amp;"*"&amp;AO5)</f>
        <v/>
      </c>
      <c r="AG5" t="str">
        <f>IF(AP5="","",J5&amp;"*"&amp;AP5)</f>
        <v/>
      </c>
      <c r="AH5" t="str">
        <f>IF(AQ5="","",M5&amp;"*"&amp;AQ5)</f>
        <v>劳工*6787</v>
      </c>
      <c r="AI5" t="str">
        <f>IF(AR5="","",O5&amp;"*"&amp;AR5)</f>
        <v/>
      </c>
      <c r="AJ5" t="str">
        <f>IF(AS5="","",Q5&amp;"*"&amp;AS5)</f>
        <v/>
      </c>
      <c r="AK5" t="str">
        <f>IF(AT5="","",T5&amp;"*"&amp;AT5)</f>
        <v>食品*24</v>
      </c>
      <c r="AL5" t="str">
        <f>IF(AU5="","",V5&amp;"*"&amp;AU5)</f>
        <v/>
      </c>
      <c r="AN5">
        <f>IFERROR(ROUND(L5*(G5/$AW5)/VLOOKUP(F5,商品!$A$4:$D$67,4,FALSE),0),"")</f>
        <v>25</v>
      </c>
      <c r="AO5" t="str">
        <f>IFERROR(ROUND(L5*(I5/$AW5)/VLOOKUP(H5,商品!$A$4:$D$67,4,FALSE),0),"")</f>
        <v/>
      </c>
      <c r="AP5" t="str">
        <f>IFERROR(ROUND(L5*(K5/$AW5)/VLOOKUP(J5,商品!$A$4:$D$67,4,FALSE),0),"")</f>
        <v/>
      </c>
      <c r="AQ5">
        <f>IFERROR(ROUND(S5*(N5/$AX5)/VLOOKUP(M5,职业!$A$3:$E$16,4,FALSE),0),"")</f>
        <v>6787</v>
      </c>
      <c r="AR5" t="str">
        <f>IFERROR(ROUND(S5*(P5/$AX5)/VLOOKUP(O5,职业!$A$3:$E$16,4,FALSE),0),"")</f>
        <v/>
      </c>
      <c r="AS5" t="str">
        <f>IFERROR(ROUND(S5*(R5/$AX5)/VLOOKUP(Q5,职业!$A$3:$E$16,4,FALSE),0),"")</f>
        <v/>
      </c>
      <c r="AT5">
        <f>IFERROR(ROUND(X5*(U5/$AY5)/VLOOKUP(T5,商品!$A$4:$D$67,4,FALSE),0),"")</f>
        <v>24</v>
      </c>
      <c r="AU5" t="str">
        <f>IFERROR(ROUND(X5*(W5/$AY5)/VLOOKUP(V5,商品!$A$4:$D$67,4,FALSE),0),"")</f>
        <v/>
      </c>
      <c r="AW5">
        <f>G5+I5+K5</f>
        <v>10</v>
      </c>
      <c r="AX5">
        <f>ABS(N5)+ABS(P5)+ABS(R5)</f>
        <v>100</v>
      </c>
      <c r="AY5">
        <f>U5+W5</f>
        <v>10</v>
      </c>
    </row>
    <row r="6" customHeight="1" spans="1:51">
      <c r="A6" s="5" t="s">
        <v>288</v>
      </c>
      <c r="B6" s="6"/>
      <c r="C6" s="5">
        <v>2</v>
      </c>
      <c r="D6" s="1" t="s">
        <v>220</v>
      </c>
      <c r="E6" s="1" t="s">
        <v>222</v>
      </c>
      <c r="F6" s="1" t="s">
        <v>106</v>
      </c>
      <c r="G6" s="1">
        <v>10</v>
      </c>
      <c r="L6" s="5">
        <f>IFERROR(VLOOKUP($D6&amp;$C6,生产方式定位!$A$2:$E$38,2,FALSE)+VLOOKUP($E6&amp;$C6,生产方式定位!$F$3:$J$38,2,FALSE),0)</f>
        <v>1200</v>
      </c>
      <c r="M6" s="1" t="s">
        <v>207</v>
      </c>
      <c r="N6" s="1">
        <v>95</v>
      </c>
      <c r="O6" s="1" t="s">
        <v>200</v>
      </c>
      <c r="P6" s="1">
        <v>1</v>
      </c>
      <c r="S6" s="5">
        <f>IFERROR(VLOOKUP($D6&amp;$C6,生产方式定位!$A$2:$E$38,3,FALSE)+VLOOKUP($E6&amp;$C6,生产方式定位!$F$3:$J$38,3,FALSE),0)</f>
        <v>140</v>
      </c>
      <c r="T6" s="1" t="s">
        <v>126</v>
      </c>
      <c r="U6" s="1">
        <v>10</v>
      </c>
      <c r="X6" s="5">
        <f>IFERROR(VLOOKUP($D6&amp;$C6,生产方式定位!$A$2:$E$38,5,FALSE)+VLOOKUP($E6&amp;$C6,生产方式定位!$F$3:$J$38,5,FALSE),"错误")</f>
        <v>1390</v>
      </c>
      <c r="Y6" s="27" t="str">
        <f t="shared" si="0"/>
        <v>谷物*60</v>
      </c>
      <c r="Z6" s="50" t="str">
        <f t="shared" ref="Z6:Z69" si="3">IF(AH6="","",AH6)&amp;IF(AI6="","",","&amp;AI6)&amp;IF(AJ6="","",","&amp;AJ6)</f>
        <v>劳工*6269,工程师*41</v>
      </c>
      <c r="AA6" s="50" t="str">
        <f t="shared" si="1"/>
        <v>食品*46</v>
      </c>
      <c r="AB6" s="28" t="str">
        <f t="shared" ref="AB6:AB69" si="4">IFERROR(ROUND(((X6/L6)-1)*100,0)&amp;"%","")</f>
        <v>16%</v>
      </c>
      <c r="AC6" s="1">
        <f>IF(X6-S6-L6=0,"",X6-S6-L6)</f>
        <v>50</v>
      </c>
      <c r="AD6" s="51">
        <f t="shared" si="2"/>
        <v>2</v>
      </c>
      <c r="AE6" t="str">
        <f t="shared" ref="AE6:AE69" si="5">IF(AN6="","",F6&amp;"*"&amp;AN6)</f>
        <v>谷物*60</v>
      </c>
      <c r="AF6" t="str">
        <f t="shared" ref="AF6:AF69" si="6">IF(AO6="","",H6&amp;"*"&amp;AO6)</f>
        <v/>
      </c>
      <c r="AG6" t="str">
        <f t="shared" ref="AG6:AG69" si="7">IF(AP6="","",J6&amp;"*"&amp;AP6)</f>
        <v/>
      </c>
      <c r="AH6" t="str">
        <f t="shared" ref="AH6:AH69" si="8">IF(AQ6="","",M6&amp;"*"&amp;AQ6)</f>
        <v>劳工*6269</v>
      </c>
      <c r="AI6" t="str">
        <f t="shared" ref="AI6:AI69" si="9">IF(AR6="","",O6&amp;"*"&amp;AR6)</f>
        <v>工程师*41</v>
      </c>
      <c r="AJ6" t="str">
        <f t="shared" ref="AJ6:AJ69" si="10">IF(AS6="","",Q6&amp;"*"&amp;AS6)</f>
        <v/>
      </c>
      <c r="AK6" t="str">
        <f t="shared" ref="AK6:AK69" si="11">IF(AT6="","",T6&amp;"*"&amp;AT6)</f>
        <v>食品*46</v>
      </c>
      <c r="AL6" t="str">
        <f t="shared" ref="AL6:AL69" si="12">IF(AU6="","",V6&amp;"*"&amp;AU6)</f>
        <v/>
      </c>
      <c r="AN6">
        <f>IFERROR(ROUND(L6*(G6/$AW6)/VLOOKUP(F6,商品!$A$4:$D$67,4,FALSE),0),"")</f>
        <v>60</v>
      </c>
      <c r="AO6" t="str">
        <f>IFERROR(ROUND(L6*(I6/$AW6)/VLOOKUP(H6,商品!$A$4:$D$67,4,FALSE),0),"")</f>
        <v/>
      </c>
      <c r="AP6" t="str">
        <f>IFERROR(ROUND(L6*(K6/$AW6)/VLOOKUP(J6,商品!$A$4:$D$67,4,FALSE),0),"")</f>
        <v/>
      </c>
      <c r="AQ6">
        <f>IFERROR(ROUND(S6*(N6/$AX6)/VLOOKUP(M6,职业!$A$3:$E$16,4,FALSE),0),"")</f>
        <v>6269</v>
      </c>
      <c r="AR6">
        <f>IFERROR(ROUND(S6*(P6/$AX6)/VLOOKUP(O6,职业!$A$3:$E$16,4,FALSE),0),"")</f>
        <v>41</v>
      </c>
      <c r="AS6" t="str">
        <f>IFERROR(ROUND(S6*(R6/$AX6)/VLOOKUP(Q6,职业!$A$3:$E$16,4,FALSE),0),"")</f>
        <v/>
      </c>
      <c r="AT6">
        <f>IFERROR(ROUND(X6*(U6/$AY6)/VLOOKUP(T6,商品!$A$4:$D$67,4,FALSE),0),"")</f>
        <v>46</v>
      </c>
      <c r="AU6" t="str">
        <f>IFERROR(ROUND(X6*(W6/$AY6)/VLOOKUP(V6,商品!$A$4:$D$67,4,FALSE),0),"")</f>
        <v/>
      </c>
      <c r="AW6">
        <f t="shared" ref="AW6:AW69" si="13">G6+I6+K6</f>
        <v>10</v>
      </c>
      <c r="AX6">
        <f t="shared" ref="AX6:AX69" si="14">ABS(N6)+ABS(P6)+ABS(R6)</f>
        <v>96</v>
      </c>
      <c r="AY6">
        <f t="shared" ref="AY6:AY69" si="15">U6+W6</f>
        <v>10</v>
      </c>
    </row>
    <row r="7" customHeight="1" spans="1:51">
      <c r="A7" s="5" t="s">
        <v>288</v>
      </c>
      <c r="C7" s="5">
        <v>3</v>
      </c>
      <c r="D7" s="1" t="s">
        <v>220</v>
      </c>
      <c r="E7" s="1" t="s">
        <v>222</v>
      </c>
      <c r="F7" s="1" t="s">
        <v>106</v>
      </c>
      <c r="G7" s="1">
        <v>10</v>
      </c>
      <c r="L7" s="5">
        <f>IFERROR(VLOOKUP($D7&amp;$C7,生产方式定位!$A$2:$E$38,2,FALSE)+VLOOKUP($E7&amp;$C7,生产方式定位!$F$3:$J$38,2,FALSE),0)</f>
        <v>1525</v>
      </c>
      <c r="M7" s="1" t="s">
        <v>207</v>
      </c>
      <c r="N7" s="1">
        <v>90</v>
      </c>
      <c r="O7" s="1" t="s">
        <v>200</v>
      </c>
      <c r="P7" s="1">
        <v>2</v>
      </c>
      <c r="S7" s="5">
        <f>IFERROR(VLOOKUP($D7&amp;$C7,生产方式定位!$A$2:$E$38,3,FALSE)+VLOOKUP($E7&amp;$C7,生产方式定位!$F$3:$J$38,3,FALSE),0)</f>
        <v>130</v>
      </c>
      <c r="T7" s="1" t="s">
        <v>126</v>
      </c>
      <c r="U7" s="1">
        <v>10</v>
      </c>
      <c r="X7" s="5">
        <f>IFERROR(VLOOKUP($D7&amp;$C7,生产方式定位!$A$2:$E$38,5,FALSE)+VLOOKUP($E7&amp;$C7,生产方式定位!$F$3:$J$38,5,FALSE),"错误")</f>
        <v>1718</v>
      </c>
      <c r="Y7" s="27" t="str">
        <f t="shared" si="0"/>
        <v>谷物*76</v>
      </c>
      <c r="Z7" s="50" t="str">
        <f t="shared" si="3"/>
        <v>劳工*5754,工程师*80</v>
      </c>
      <c r="AA7" s="50" t="str">
        <f t="shared" si="1"/>
        <v>食品*57</v>
      </c>
      <c r="AB7" s="28" t="str">
        <f t="shared" si="4"/>
        <v>13%</v>
      </c>
      <c r="AC7" s="1">
        <f t="shared" ref="AC6:AC69" si="16">IF(X7-S7-L7=0,"",X7-S7-L7)</f>
        <v>63</v>
      </c>
      <c r="AD7" s="51">
        <f t="shared" si="2"/>
        <v>3</v>
      </c>
      <c r="AE7" t="str">
        <f t="shared" si="5"/>
        <v>谷物*76</v>
      </c>
      <c r="AF7" t="str">
        <f t="shared" si="6"/>
        <v/>
      </c>
      <c r="AG7" t="str">
        <f t="shared" si="7"/>
        <v/>
      </c>
      <c r="AH7" t="str">
        <f t="shared" si="8"/>
        <v>劳工*5754</v>
      </c>
      <c r="AI7" t="str">
        <f t="shared" si="9"/>
        <v>工程师*80</v>
      </c>
      <c r="AJ7" t="str">
        <f t="shared" si="10"/>
        <v/>
      </c>
      <c r="AK7" t="str">
        <f t="shared" si="11"/>
        <v>食品*57</v>
      </c>
      <c r="AL7" t="str">
        <f t="shared" si="12"/>
        <v/>
      </c>
      <c r="AN7">
        <f>IFERROR(ROUND(L7*(G7/$AW7)/VLOOKUP(F7,商品!$A$4:$D$67,4,FALSE),0),"")</f>
        <v>76</v>
      </c>
      <c r="AO7" t="str">
        <f>IFERROR(ROUND(L7*(I7/$AW7)/VLOOKUP(H7,商品!$A$4:$D$67,4,FALSE),0),"")</f>
        <v/>
      </c>
      <c r="AP7" t="str">
        <f>IFERROR(ROUND(L7*(K7/$AW7)/VLOOKUP(J7,商品!$A$4:$D$67,4,FALSE),0),"")</f>
        <v/>
      </c>
      <c r="AQ7">
        <f>IFERROR(ROUND(S7*(N7/$AX7)/VLOOKUP(M7,职业!$A$3:$E$16,4,FALSE),0),"")</f>
        <v>5754</v>
      </c>
      <c r="AR7">
        <f>IFERROR(ROUND(S7*(P7/$AX7)/VLOOKUP(O7,职业!$A$3:$E$16,4,FALSE),0),"")</f>
        <v>80</v>
      </c>
      <c r="AS7" t="str">
        <f>IFERROR(ROUND(S7*(R7/$AX7)/VLOOKUP(Q7,职业!$A$3:$E$16,4,FALSE),0),"")</f>
        <v/>
      </c>
      <c r="AT7">
        <f>IFERROR(ROUND(X7*(U7/$AY7)/VLOOKUP(T7,商品!$A$4:$D$67,4,FALSE),0),"")</f>
        <v>57</v>
      </c>
      <c r="AU7" t="str">
        <f>IFERROR(ROUND(X7*(W7/$AY7)/VLOOKUP(V7,商品!$A$4:$D$67,4,FALSE),0),"")</f>
        <v/>
      </c>
      <c r="AW7">
        <f t="shared" si="13"/>
        <v>10</v>
      </c>
      <c r="AX7">
        <f t="shared" si="14"/>
        <v>92</v>
      </c>
      <c r="AY7">
        <f t="shared" si="15"/>
        <v>10</v>
      </c>
    </row>
    <row r="8" customHeight="1" spans="1:51">
      <c r="A8" s="5" t="s">
        <v>288</v>
      </c>
      <c r="C8" s="5">
        <v>4</v>
      </c>
      <c r="D8" s="1" t="s">
        <v>220</v>
      </c>
      <c r="E8" s="1" t="s">
        <v>222</v>
      </c>
      <c r="F8" s="1" t="s">
        <v>106</v>
      </c>
      <c r="G8" s="1">
        <v>10</v>
      </c>
      <c r="L8" s="5">
        <f>IFERROR(VLOOKUP($D8&amp;$C8,生产方式定位!$A$2:$E$38,2,FALSE)+VLOOKUP($E8&amp;$C8,生产方式定位!$F$3:$J$38,2,FALSE),0)</f>
        <v>1850</v>
      </c>
      <c r="M8" s="1" t="s">
        <v>207</v>
      </c>
      <c r="N8" s="1">
        <v>85</v>
      </c>
      <c r="O8" s="1" t="s">
        <v>200</v>
      </c>
      <c r="P8" s="1">
        <v>3</v>
      </c>
      <c r="S8" s="5">
        <f>IFERROR(VLOOKUP($D8&amp;$C8,生产方式定位!$A$2:$E$38,3,FALSE)+VLOOKUP($E8&amp;$C8,生产方式定位!$F$3:$J$38,3,FALSE),0)</f>
        <v>120</v>
      </c>
      <c r="T8" s="1" t="s">
        <v>126</v>
      </c>
      <c r="U8" s="1">
        <v>10</v>
      </c>
      <c r="X8" s="5">
        <f>IFERROR(VLOOKUP($D8&amp;$C8,生产方式定位!$A$2:$E$38,5,FALSE)+VLOOKUP($E8&amp;$C8,生产方式定位!$F$3:$J$38,5,FALSE),"错误")</f>
        <v>2045</v>
      </c>
      <c r="Y8" s="27" t="str">
        <f t="shared" si="0"/>
        <v>谷物*93</v>
      </c>
      <c r="Z8" s="50" t="str">
        <f t="shared" si="3"/>
        <v>劳工*5245,工程师*116</v>
      </c>
      <c r="AA8" s="50" t="str">
        <f t="shared" si="1"/>
        <v>食品*68</v>
      </c>
      <c r="AB8" s="28" t="str">
        <f t="shared" si="4"/>
        <v>11%</v>
      </c>
      <c r="AC8" s="1">
        <f t="shared" si="16"/>
        <v>75</v>
      </c>
      <c r="AD8" s="51">
        <f t="shared" si="2"/>
        <v>4</v>
      </c>
      <c r="AE8" t="str">
        <f t="shared" si="5"/>
        <v>谷物*93</v>
      </c>
      <c r="AF8" t="str">
        <f t="shared" si="6"/>
        <v/>
      </c>
      <c r="AG8" t="str">
        <f t="shared" si="7"/>
        <v/>
      </c>
      <c r="AH8" t="str">
        <f t="shared" si="8"/>
        <v>劳工*5245</v>
      </c>
      <c r="AI8" t="str">
        <f t="shared" si="9"/>
        <v>工程师*116</v>
      </c>
      <c r="AJ8" t="str">
        <f t="shared" si="10"/>
        <v/>
      </c>
      <c r="AK8" t="str">
        <f t="shared" si="11"/>
        <v>食品*68</v>
      </c>
      <c r="AL8" t="str">
        <f t="shared" si="12"/>
        <v/>
      </c>
      <c r="AN8">
        <f>IFERROR(ROUND(L8*(G8/$AW8)/VLOOKUP(F8,商品!$A$4:$D$67,4,FALSE),0),"")</f>
        <v>93</v>
      </c>
      <c r="AO8" t="str">
        <f>IFERROR(ROUND(L8*(I8/$AW8)/VLOOKUP(H8,商品!$A$4:$D$67,4,FALSE),0),"")</f>
        <v/>
      </c>
      <c r="AP8" t="str">
        <f>IFERROR(ROUND(L8*(K8/$AW8)/VLOOKUP(J8,商品!$A$4:$D$67,4,FALSE),0),"")</f>
        <v/>
      </c>
      <c r="AQ8">
        <f>IFERROR(ROUND(S8*(N8/$AX8)/VLOOKUP(M8,职业!$A$3:$E$16,4,FALSE),0),"")</f>
        <v>5245</v>
      </c>
      <c r="AR8">
        <f>IFERROR(ROUND(S8*(P8/$AX8)/VLOOKUP(O8,职业!$A$3:$E$16,4,FALSE),0),"")</f>
        <v>116</v>
      </c>
      <c r="AS8" t="str">
        <f>IFERROR(ROUND(S8*(R8/$AX8)/VLOOKUP(Q8,职业!$A$3:$E$16,4,FALSE),0),"")</f>
        <v/>
      </c>
      <c r="AT8">
        <f>IFERROR(ROUND(X8*(U8/$AY8)/VLOOKUP(T8,商品!$A$4:$D$67,4,FALSE),0),"")</f>
        <v>68</v>
      </c>
      <c r="AU8" t="str">
        <f>IFERROR(ROUND(X8*(W8/$AY8)/VLOOKUP(V8,商品!$A$4:$D$67,4,FALSE),0),"")</f>
        <v/>
      </c>
      <c r="AW8">
        <f t="shared" si="13"/>
        <v>10</v>
      </c>
      <c r="AX8">
        <f t="shared" si="14"/>
        <v>88</v>
      </c>
      <c r="AY8">
        <f t="shared" si="15"/>
        <v>10</v>
      </c>
    </row>
    <row r="9" customHeight="1" spans="1:51">
      <c r="A9" s="5" t="s">
        <v>288</v>
      </c>
      <c r="C9" s="5">
        <v>5</v>
      </c>
      <c r="D9" s="1" t="s">
        <v>220</v>
      </c>
      <c r="E9" s="1" t="s">
        <v>222</v>
      </c>
      <c r="F9" s="1" t="s">
        <v>106</v>
      </c>
      <c r="G9" s="1">
        <v>10</v>
      </c>
      <c r="L9" s="5">
        <f>IFERROR(VLOOKUP($D9&amp;$C9,生产方式定位!$A$2:$E$38,2,FALSE)+VLOOKUP($E9&amp;$C9,生产方式定位!$F$3:$J$38,2,FALSE),0)</f>
        <v>2175</v>
      </c>
      <c r="M9" s="1" t="s">
        <v>207</v>
      </c>
      <c r="N9" s="1">
        <v>80</v>
      </c>
      <c r="O9" s="1" t="s">
        <v>200</v>
      </c>
      <c r="P9" s="1">
        <v>4</v>
      </c>
      <c r="S9" s="5">
        <f>IFERROR(VLOOKUP($D9&amp;$C9,生产方式定位!$A$2:$E$38,3,FALSE)+VLOOKUP($E9&amp;$C9,生产方式定位!$F$3:$J$38,3,FALSE),0)</f>
        <v>110</v>
      </c>
      <c r="T9" s="1" t="s">
        <v>126</v>
      </c>
      <c r="U9" s="1">
        <v>10</v>
      </c>
      <c r="X9" s="5">
        <f>IFERROR(VLOOKUP($D9&amp;$C9,生产方式定位!$A$2:$E$38,5,FALSE)+VLOOKUP($E9&amp;$C9,生产方式定位!$F$3:$J$38,5,FALSE),"错误")</f>
        <v>2373</v>
      </c>
      <c r="Y9" s="27" t="str">
        <f t="shared" si="0"/>
        <v>谷物*109</v>
      </c>
      <c r="Z9" s="50" t="str">
        <f t="shared" si="3"/>
        <v>劳工*4740,工程师*148</v>
      </c>
      <c r="AA9" s="50" t="str">
        <f t="shared" si="1"/>
        <v>食品*79</v>
      </c>
      <c r="AB9" s="28" t="str">
        <f t="shared" si="4"/>
        <v>9%</v>
      </c>
      <c r="AC9" s="1">
        <f t="shared" si="16"/>
        <v>88</v>
      </c>
      <c r="AD9" s="51">
        <f t="shared" si="2"/>
        <v>5</v>
      </c>
      <c r="AE9" t="str">
        <f t="shared" si="5"/>
        <v>谷物*109</v>
      </c>
      <c r="AF9" t="str">
        <f t="shared" si="6"/>
        <v/>
      </c>
      <c r="AG9" t="str">
        <f t="shared" si="7"/>
        <v/>
      </c>
      <c r="AH9" t="str">
        <f t="shared" si="8"/>
        <v>劳工*4740</v>
      </c>
      <c r="AI9" t="str">
        <f t="shared" si="9"/>
        <v>工程师*148</v>
      </c>
      <c r="AJ9" t="str">
        <f t="shared" si="10"/>
        <v/>
      </c>
      <c r="AK9" t="str">
        <f t="shared" si="11"/>
        <v>食品*79</v>
      </c>
      <c r="AL9" t="str">
        <f t="shared" si="12"/>
        <v/>
      </c>
      <c r="AN9">
        <f>IFERROR(ROUND(L9*(G9/$AW9)/VLOOKUP(F9,商品!$A$4:$D$67,4,FALSE),0),"")</f>
        <v>109</v>
      </c>
      <c r="AO9" t="str">
        <f>IFERROR(ROUND(L9*(I9/$AW9)/VLOOKUP(H9,商品!$A$4:$D$67,4,FALSE),0),"")</f>
        <v/>
      </c>
      <c r="AP9" t="str">
        <f>IFERROR(ROUND(L9*(K9/$AW9)/VLOOKUP(J9,商品!$A$4:$D$67,4,FALSE),0),"")</f>
        <v/>
      </c>
      <c r="AQ9">
        <f>IFERROR(ROUND(S9*(N9/$AX9)/VLOOKUP(M9,职业!$A$3:$E$16,4,FALSE),0),"")</f>
        <v>4740</v>
      </c>
      <c r="AR9">
        <f>IFERROR(ROUND(S9*(P9/$AX9)/VLOOKUP(O9,职业!$A$3:$E$16,4,FALSE),0),"")</f>
        <v>148</v>
      </c>
      <c r="AS9" t="str">
        <f>IFERROR(ROUND(S9*(R9/$AX9)/VLOOKUP(Q9,职业!$A$3:$E$16,4,FALSE),0),"")</f>
        <v/>
      </c>
      <c r="AT9">
        <f>IFERROR(ROUND(X9*(U9/$AY9)/VLOOKUP(T9,商品!$A$4:$D$67,4,FALSE),0),"")</f>
        <v>79</v>
      </c>
      <c r="AU9" t="str">
        <f>IFERROR(ROUND(X9*(W9/$AY9)/VLOOKUP(V9,商品!$A$4:$D$67,4,FALSE),0),"")</f>
        <v/>
      </c>
      <c r="AW9">
        <f t="shared" si="13"/>
        <v>10</v>
      </c>
      <c r="AX9">
        <f t="shared" si="14"/>
        <v>84</v>
      </c>
      <c r="AY9">
        <f t="shared" si="15"/>
        <v>10</v>
      </c>
    </row>
    <row r="10" customHeight="1" spans="1:51">
      <c r="A10" s="18" t="s">
        <v>289</v>
      </c>
      <c r="C10" s="18">
        <v>1</v>
      </c>
      <c r="D10" s="1" t="s">
        <v>238</v>
      </c>
      <c r="E10" s="1" t="s">
        <v>223</v>
      </c>
      <c r="F10" s="1" t="s">
        <v>107</v>
      </c>
      <c r="G10" s="1">
        <v>50</v>
      </c>
      <c r="L10" s="18">
        <f>IFERROR(VLOOKUP($D10&amp;$C10,生产方式定位!$A$2:$E$38,2,FALSE)+VLOOKUP($E10&amp;$C10,生产方式定位!$F$3:$J$38,2,FALSE),0)</f>
        <v>1000</v>
      </c>
      <c r="S10" s="18">
        <f>IFERROR(VLOOKUP($D10&amp;$C10,生产方式定位!$A$2:$E$38,3,FALSE)+VLOOKUP($E10&amp;$C10,生产方式定位!$F$3:$J$38,3,FALSE),0)</f>
        <v>80</v>
      </c>
      <c r="T10" s="1" t="s">
        <v>126</v>
      </c>
      <c r="U10" s="1">
        <v>-50</v>
      </c>
      <c r="V10" s="1" t="s">
        <v>139</v>
      </c>
      <c r="W10" s="1">
        <v>100</v>
      </c>
      <c r="X10" s="18">
        <f>IFERROR(VLOOKUP($D10&amp;$C10,生产方式定位!$A$2:$E$38,5,FALSE)+VLOOKUP($E10&amp;$C10,生产方式定位!$F$3:$J$38,5,FALSE),"错误")</f>
        <v>972</v>
      </c>
      <c r="Y10" s="27" t="str">
        <f t="shared" si="0"/>
        <v>鱼*50</v>
      </c>
      <c r="Z10" s="50" t="str">
        <f t="shared" si="3"/>
        <v/>
      </c>
      <c r="AA10" s="50" t="str">
        <f t="shared" si="1"/>
        <v>食品*-32,饮品*65</v>
      </c>
      <c r="AB10" s="28" t="str">
        <f t="shared" si="4"/>
        <v>-3%</v>
      </c>
      <c r="AC10" s="1">
        <f>IF(X10-S10-L10=0,"",X10-S10-L10)</f>
        <v>-108</v>
      </c>
      <c r="AD10" s="52">
        <f t="shared" si="2"/>
        <v>1</v>
      </c>
      <c r="AE10" t="str">
        <f t="shared" si="5"/>
        <v>鱼*50</v>
      </c>
      <c r="AF10" t="str">
        <f t="shared" si="6"/>
        <v/>
      </c>
      <c r="AG10" t="str">
        <f t="shared" si="7"/>
        <v/>
      </c>
      <c r="AH10" t="str">
        <f t="shared" si="8"/>
        <v/>
      </c>
      <c r="AI10" t="str">
        <f t="shared" si="9"/>
        <v/>
      </c>
      <c r="AJ10" t="str">
        <f t="shared" si="10"/>
        <v/>
      </c>
      <c r="AK10" t="str">
        <f t="shared" si="11"/>
        <v>食品*-32</v>
      </c>
      <c r="AL10" t="str">
        <f t="shared" si="12"/>
        <v>饮品*65</v>
      </c>
      <c r="AN10">
        <f>IFERROR(ROUND(L10*(G10/$AW10)/VLOOKUP(F10,商品!$A$4:$D$67,4,FALSE),0),"")</f>
        <v>50</v>
      </c>
      <c r="AO10" t="str">
        <f>IFERROR(ROUND(L10*(I10/$AW10)/VLOOKUP(H10,商品!$A$4:$D$67,4,FALSE),0),"")</f>
        <v/>
      </c>
      <c r="AP10" t="str">
        <f>IFERROR(ROUND(L10*(K10/$AW10)/VLOOKUP(J10,商品!$A$4:$D$67,4,FALSE),0),"")</f>
        <v/>
      </c>
      <c r="AQ10" t="str">
        <f>IFERROR(ROUND(S10*(N10/$AX10)/VLOOKUP(M10,职业!$A$3:$E$16,4,FALSE),0),"")</f>
        <v/>
      </c>
      <c r="AR10" t="str">
        <f>IFERROR(ROUND(S10*(P10/$AX10)/VLOOKUP(O10,职业!$A$3:$E$16,4,FALSE),0),"")</f>
        <v/>
      </c>
      <c r="AS10" t="str">
        <f>IFERROR(ROUND(S10*(R10/$AX10)/VLOOKUP(Q10,职业!$A$3:$E$16,4,FALSE),0),"")</f>
        <v/>
      </c>
      <c r="AT10">
        <f>IFERROR(ROUND(X10*(U10/$AY10)/VLOOKUP(T10,商品!$A$4:$D$67,4,FALSE),0),"")</f>
        <v>-32</v>
      </c>
      <c r="AU10">
        <f>IFERROR(ROUND(X10*(W10/$AY10)/VLOOKUP(V10,商品!$A$4:$D$67,4,FALSE),0),"")</f>
        <v>65</v>
      </c>
      <c r="AW10">
        <f t="shared" si="13"/>
        <v>50</v>
      </c>
      <c r="AX10">
        <f t="shared" si="14"/>
        <v>0</v>
      </c>
      <c r="AY10">
        <f t="shared" si="15"/>
        <v>50</v>
      </c>
    </row>
    <row r="11" customHeight="1" spans="1:51">
      <c r="A11" s="18" t="s">
        <v>289</v>
      </c>
      <c r="C11" s="18">
        <v>2</v>
      </c>
      <c r="D11" s="1" t="s">
        <v>238</v>
      </c>
      <c r="E11" s="1" t="s">
        <v>223</v>
      </c>
      <c r="F11" s="1" t="s">
        <v>107</v>
      </c>
      <c r="G11" s="1">
        <v>50</v>
      </c>
      <c r="L11" s="18">
        <f>IFERROR(VLOOKUP($D11&amp;$C11,生产方式定位!$A$2:$E$38,2,FALSE)+VLOOKUP($E11&amp;$C11,生产方式定位!$F$3:$J$38,2,FALSE),0)</f>
        <v>1300</v>
      </c>
      <c r="M11" s="1" t="s">
        <v>200</v>
      </c>
      <c r="N11" s="1">
        <v>1</v>
      </c>
      <c r="O11" s="1"/>
      <c r="P11" s="1"/>
      <c r="S11" s="18">
        <f>IFERROR(VLOOKUP($D11&amp;$C11,生产方式定位!$A$2:$E$38,3,FALSE)+VLOOKUP($E11&amp;$C11,生产方式定位!$F$3:$J$38,3,FALSE),0)</f>
        <v>95</v>
      </c>
      <c r="T11" s="1" t="s">
        <v>126</v>
      </c>
      <c r="U11" s="1">
        <v>-50</v>
      </c>
      <c r="V11" s="1" t="s">
        <v>139</v>
      </c>
      <c r="W11" s="1">
        <v>100</v>
      </c>
      <c r="X11" s="18">
        <f>IFERROR(VLOOKUP($D11&amp;$C11,生产方式定位!$A$2:$E$38,5,FALSE)+VLOOKUP($E11&amp;$C11,生产方式定位!$F$3:$J$38,5,FALSE),"错误")</f>
        <v>1633</v>
      </c>
      <c r="Y11" s="27" t="str">
        <f t="shared" si="0"/>
        <v>鱼*65</v>
      </c>
      <c r="Z11" s="50" t="str">
        <f t="shared" si="3"/>
        <v>工程师*2684</v>
      </c>
      <c r="AA11" s="50" t="str">
        <f t="shared" si="1"/>
        <v>食品*-54,饮品*109</v>
      </c>
      <c r="AB11" s="28" t="str">
        <f t="shared" si="4"/>
        <v>26%</v>
      </c>
      <c r="AC11" s="1">
        <f t="shared" si="16"/>
        <v>238</v>
      </c>
      <c r="AD11" s="52">
        <f t="shared" si="2"/>
        <v>2</v>
      </c>
      <c r="AE11" t="str">
        <f t="shared" si="5"/>
        <v>鱼*65</v>
      </c>
      <c r="AF11" t="str">
        <f t="shared" si="6"/>
        <v/>
      </c>
      <c r="AG11" t="str">
        <f t="shared" si="7"/>
        <v/>
      </c>
      <c r="AH11" t="str">
        <f t="shared" si="8"/>
        <v>工程师*2684</v>
      </c>
      <c r="AI11" t="str">
        <f t="shared" si="9"/>
        <v/>
      </c>
      <c r="AJ11" t="str">
        <f t="shared" si="10"/>
        <v/>
      </c>
      <c r="AK11" t="str">
        <f t="shared" si="11"/>
        <v>食品*-54</v>
      </c>
      <c r="AL11" t="str">
        <f t="shared" si="12"/>
        <v>饮品*109</v>
      </c>
      <c r="AN11">
        <f>IFERROR(ROUND(L11*(G11/$AW11)/VLOOKUP(F11,商品!$A$4:$D$67,4,FALSE),0),"")</f>
        <v>65</v>
      </c>
      <c r="AO11" t="str">
        <f>IFERROR(ROUND(L11*(I11/$AW11)/VLOOKUP(H11,商品!$A$4:$D$67,4,FALSE),0),"")</f>
        <v/>
      </c>
      <c r="AP11" t="str">
        <f>IFERROR(ROUND(L11*(K11/$AW11)/VLOOKUP(J11,商品!$A$4:$D$67,4,FALSE),0),"")</f>
        <v/>
      </c>
      <c r="AQ11">
        <f>IFERROR(ROUND(S11*(N11/$AX11)/VLOOKUP(M11,职业!$A$3:$E$16,4,FALSE),0),"")</f>
        <v>2684</v>
      </c>
      <c r="AR11" t="str">
        <f>IFERROR(ROUND(S11*(P11/$AX11)/VLOOKUP(O11,职业!$A$3:$E$16,4,FALSE),0),"")</f>
        <v/>
      </c>
      <c r="AS11" t="str">
        <f>IFERROR(ROUND(S11*(R11/$AX11)/VLOOKUP(Q11,职业!$A$3:$E$16,4,FALSE),0),"")</f>
        <v/>
      </c>
      <c r="AT11">
        <f>IFERROR(ROUND(X11*(U11/$AY11)/VLOOKUP(T11,商品!$A$4:$D$67,4,FALSE),0),"")</f>
        <v>-54</v>
      </c>
      <c r="AU11">
        <f>IFERROR(ROUND(X11*(W11/$AY11)/VLOOKUP(V11,商品!$A$4:$D$67,4,FALSE),0),"")</f>
        <v>109</v>
      </c>
      <c r="AW11">
        <f t="shared" si="13"/>
        <v>50</v>
      </c>
      <c r="AX11">
        <f t="shared" si="14"/>
        <v>1</v>
      </c>
      <c r="AY11">
        <f t="shared" si="15"/>
        <v>50</v>
      </c>
    </row>
    <row r="12" customHeight="1" spans="1:51">
      <c r="A12" s="18" t="s">
        <v>289</v>
      </c>
      <c r="C12" s="18">
        <v>3</v>
      </c>
      <c r="D12" s="1" t="s">
        <v>238</v>
      </c>
      <c r="E12" s="1" t="s">
        <v>223</v>
      </c>
      <c r="F12" s="1" t="s">
        <v>107</v>
      </c>
      <c r="G12" s="1">
        <v>50</v>
      </c>
      <c r="L12" s="18">
        <f>IFERROR(VLOOKUP($D12&amp;$C12,生产方式定位!$A$2:$E$38,2,FALSE)+VLOOKUP($E12&amp;$C12,生产方式定位!$F$3:$J$38,2,FALSE),0)</f>
        <v>1300</v>
      </c>
      <c r="M12" s="1" t="s">
        <v>200</v>
      </c>
      <c r="N12" s="1">
        <v>2</v>
      </c>
      <c r="O12" s="1"/>
      <c r="P12" s="1"/>
      <c r="S12" s="18">
        <f>IFERROR(VLOOKUP($D12&amp;$C12,生产方式定位!$A$2:$E$38,3,FALSE)+VLOOKUP($E12&amp;$C12,生产方式定位!$F$3:$J$38,3,FALSE),0)</f>
        <v>105</v>
      </c>
      <c r="T12" s="1" t="s">
        <v>126</v>
      </c>
      <c r="U12" s="1">
        <v>-50</v>
      </c>
      <c r="V12" s="1" t="s">
        <v>139</v>
      </c>
      <c r="W12" s="1">
        <v>100</v>
      </c>
      <c r="X12" s="18">
        <f>IFERROR(VLOOKUP($D12&amp;$C12,生产方式定位!$A$2:$E$38,5,FALSE)+VLOOKUP($E12&amp;$C12,生产方式定位!$F$3:$J$38,5,FALSE),"错误")</f>
        <v>1991</v>
      </c>
      <c r="Y12" s="27" t="str">
        <f t="shared" si="0"/>
        <v>鱼*65</v>
      </c>
      <c r="Z12" s="50" t="str">
        <f t="shared" si="3"/>
        <v>工程师*2966</v>
      </c>
      <c r="AA12" s="50" t="str">
        <f t="shared" si="1"/>
        <v>食品*-66,饮品*133</v>
      </c>
      <c r="AB12" s="28" t="str">
        <f t="shared" si="4"/>
        <v>53%</v>
      </c>
      <c r="AC12" s="1">
        <f t="shared" si="16"/>
        <v>586</v>
      </c>
      <c r="AD12" s="52">
        <f t="shared" si="2"/>
        <v>3</v>
      </c>
      <c r="AE12" t="str">
        <f t="shared" si="5"/>
        <v>鱼*65</v>
      </c>
      <c r="AF12" t="str">
        <f t="shared" si="6"/>
        <v/>
      </c>
      <c r="AG12" t="str">
        <f t="shared" si="7"/>
        <v/>
      </c>
      <c r="AH12" t="str">
        <f t="shared" si="8"/>
        <v>工程师*2966</v>
      </c>
      <c r="AI12" t="str">
        <f t="shared" si="9"/>
        <v/>
      </c>
      <c r="AJ12" t="str">
        <f t="shared" si="10"/>
        <v/>
      </c>
      <c r="AK12" t="str">
        <f t="shared" si="11"/>
        <v>食品*-66</v>
      </c>
      <c r="AL12" t="str">
        <f t="shared" si="12"/>
        <v>饮品*133</v>
      </c>
      <c r="AN12">
        <f>IFERROR(ROUND(L12*(G12/$AW12)/VLOOKUP(F12,商品!$A$4:$D$67,4,FALSE),0),"")</f>
        <v>65</v>
      </c>
      <c r="AO12" t="str">
        <f>IFERROR(ROUND(L12*(I12/$AW12)/VLOOKUP(H12,商品!$A$4:$D$67,4,FALSE),0),"")</f>
        <v/>
      </c>
      <c r="AP12" t="str">
        <f>IFERROR(ROUND(L12*(K12/$AW12)/VLOOKUP(J12,商品!$A$4:$D$67,4,FALSE),0),"")</f>
        <v/>
      </c>
      <c r="AQ12">
        <f>IFERROR(ROUND(S12*(N12/$AX12)/VLOOKUP(M12,职业!$A$3:$E$16,4,FALSE),0),"")</f>
        <v>2966</v>
      </c>
      <c r="AR12" t="str">
        <f>IFERROR(ROUND(S12*(P12/$AX12)/VLOOKUP(O12,职业!$A$3:$E$16,4,FALSE),0),"")</f>
        <v/>
      </c>
      <c r="AS12" t="str">
        <f>IFERROR(ROUND(S12*(R12/$AX12)/VLOOKUP(Q12,职业!$A$3:$E$16,4,FALSE),0),"")</f>
        <v/>
      </c>
      <c r="AT12">
        <f>IFERROR(ROUND(X12*(U12/$AY12)/VLOOKUP(T12,商品!$A$4:$D$67,4,FALSE),0),"")</f>
        <v>-66</v>
      </c>
      <c r="AU12">
        <f>IFERROR(ROUND(X12*(W12/$AY12)/VLOOKUP(V12,商品!$A$4:$D$67,4,FALSE),0),"")</f>
        <v>133</v>
      </c>
      <c r="AW12">
        <f t="shared" si="13"/>
        <v>50</v>
      </c>
      <c r="AX12">
        <f t="shared" si="14"/>
        <v>2</v>
      </c>
      <c r="AY12">
        <f t="shared" si="15"/>
        <v>50</v>
      </c>
    </row>
    <row r="13" customHeight="1" spans="1:51">
      <c r="A13" s="18" t="s">
        <v>289</v>
      </c>
      <c r="C13" s="18">
        <v>4</v>
      </c>
      <c r="D13" s="1" t="s">
        <v>238</v>
      </c>
      <c r="E13" s="1" t="s">
        <v>223</v>
      </c>
      <c r="F13" s="1" t="s">
        <v>107</v>
      </c>
      <c r="G13" s="1">
        <v>50</v>
      </c>
      <c r="L13" s="18">
        <f>IFERROR(VLOOKUP($D13&amp;$C13,生产方式定位!$A$2:$E$38,2,FALSE)+VLOOKUP($E13&amp;$C13,生产方式定位!$F$3:$J$38,2,FALSE),0)</f>
        <v>1300</v>
      </c>
      <c r="M13" s="1" t="s">
        <v>200</v>
      </c>
      <c r="N13" s="1">
        <v>3</v>
      </c>
      <c r="O13" s="1"/>
      <c r="P13" s="1"/>
      <c r="S13" s="18">
        <f>IFERROR(VLOOKUP($D13&amp;$C13,生产方式定位!$A$2:$E$38,3,FALSE)+VLOOKUP($E13&amp;$C13,生产方式定位!$F$3:$J$38,3,FALSE),0)</f>
        <v>115</v>
      </c>
      <c r="T13" s="1" t="s">
        <v>126</v>
      </c>
      <c r="U13" s="1">
        <v>-50</v>
      </c>
      <c r="V13" s="1" t="s">
        <v>139</v>
      </c>
      <c r="W13" s="1">
        <v>100</v>
      </c>
      <c r="X13" s="18">
        <f>IFERROR(VLOOKUP($D13&amp;$C13,生产方式定位!$A$2:$E$38,5,FALSE)+VLOOKUP($E13&amp;$C13,生产方式定位!$F$3:$J$38,5,FALSE),"错误")</f>
        <v>2590</v>
      </c>
      <c r="Y13" s="27" t="str">
        <f t="shared" si="0"/>
        <v>鱼*65</v>
      </c>
      <c r="Z13" s="50" t="str">
        <f t="shared" si="3"/>
        <v>工程师*3249</v>
      </c>
      <c r="AA13" s="50" t="str">
        <f t="shared" si="1"/>
        <v>食品*-86,饮品*173</v>
      </c>
      <c r="AB13" s="28" t="str">
        <f t="shared" si="4"/>
        <v>99%</v>
      </c>
      <c r="AC13" s="1">
        <f t="shared" si="16"/>
        <v>1175</v>
      </c>
      <c r="AD13" s="52">
        <f t="shared" si="2"/>
        <v>4</v>
      </c>
      <c r="AE13" t="str">
        <f t="shared" si="5"/>
        <v>鱼*65</v>
      </c>
      <c r="AF13" t="str">
        <f t="shared" si="6"/>
        <v/>
      </c>
      <c r="AG13" t="str">
        <f t="shared" si="7"/>
        <v/>
      </c>
      <c r="AH13" t="str">
        <f t="shared" si="8"/>
        <v>工程师*3249</v>
      </c>
      <c r="AI13" t="str">
        <f t="shared" si="9"/>
        <v/>
      </c>
      <c r="AJ13" t="str">
        <f t="shared" si="10"/>
        <v/>
      </c>
      <c r="AK13" t="str">
        <f t="shared" si="11"/>
        <v>食品*-86</v>
      </c>
      <c r="AL13" t="str">
        <f t="shared" si="12"/>
        <v>饮品*173</v>
      </c>
      <c r="AN13">
        <f>IFERROR(ROUND(L13*(G13/$AW13)/VLOOKUP(F13,商品!$A$4:$D$67,4,FALSE),0),"")</f>
        <v>65</v>
      </c>
      <c r="AO13" t="str">
        <f>IFERROR(ROUND(L13*(I13/$AW13)/VLOOKUP(H13,商品!$A$4:$D$67,4,FALSE),0),"")</f>
        <v/>
      </c>
      <c r="AP13" t="str">
        <f>IFERROR(ROUND(L13*(K13/$AW13)/VLOOKUP(J13,商品!$A$4:$D$67,4,FALSE),0),"")</f>
        <v/>
      </c>
      <c r="AQ13">
        <f>IFERROR(ROUND(S13*(N13/$AX13)/VLOOKUP(M13,职业!$A$3:$E$16,4,FALSE),0),"")</f>
        <v>3249</v>
      </c>
      <c r="AR13" t="str">
        <f>IFERROR(ROUND(S13*(P13/$AX13)/VLOOKUP(O13,职业!$A$3:$E$16,4,FALSE),0),"")</f>
        <v/>
      </c>
      <c r="AS13" t="str">
        <f>IFERROR(ROUND(S13*(R13/$AX13)/VLOOKUP(Q13,职业!$A$3:$E$16,4,FALSE),0),"")</f>
        <v/>
      </c>
      <c r="AT13">
        <f>IFERROR(ROUND(X13*(U13/$AY13)/VLOOKUP(T13,商品!$A$4:$D$67,4,FALSE),0),"")</f>
        <v>-86</v>
      </c>
      <c r="AU13">
        <f>IFERROR(ROUND(X13*(W13/$AY13)/VLOOKUP(V13,商品!$A$4:$D$67,4,FALSE),0),"")</f>
        <v>173</v>
      </c>
      <c r="AW13">
        <f t="shared" si="13"/>
        <v>50</v>
      </c>
      <c r="AX13">
        <f t="shared" si="14"/>
        <v>3</v>
      </c>
      <c r="AY13">
        <f t="shared" si="15"/>
        <v>50</v>
      </c>
    </row>
    <row r="14" customHeight="1" spans="1:51">
      <c r="A14" s="18" t="s">
        <v>289</v>
      </c>
      <c r="C14" s="18">
        <v>5</v>
      </c>
      <c r="D14" s="1" t="s">
        <v>238</v>
      </c>
      <c r="E14" s="1" t="s">
        <v>223</v>
      </c>
      <c r="F14" s="1" t="s">
        <v>107</v>
      </c>
      <c r="G14" s="1">
        <v>50</v>
      </c>
      <c r="L14" s="18">
        <f>IFERROR(VLOOKUP($D14&amp;$C14,生产方式定位!$A$2:$E$38,2,FALSE)+VLOOKUP($E14&amp;$C14,生产方式定位!$F$3:$J$38,2,FALSE),0)</f>
        <v>1300</v>
      </c>
      <c r="M14" s="1" t="s">
        <v>200</v>
      </c>
      <c r="N14" s="1">
        <v>4</v>
      </c>
      <c r="O14" s="1"/>
      <c r="P14" s="1"/>
      <c r="S14" s="18">
        <f>IFERROR(VLOOKUP($D14&amp;$C14,生产方式定位!$A$2:$E$38,3,FALSE)+VLOOKUP($E14&amp;$C14,生产方式定位!$F$3:$J$38,3,FALSE),0)</f>
        <v>125</v>
      </c>
      <c r="T14" s="1" t="s">
        <v>126</v>
      </c>
      <c r="U14" s="1">
        <v>-50</v>
      </c>
      <c r="V14" s="1" t="s">
        <v>139</v>
      </c>
      <c r="W14" s="1">
        <v>100</v>
      </c>
      <c r="X14" s="18">
        <f>IFERROR(VLOOKUP($D14&amp;$C14,生产方式定位!$A$2:$E$38,5,FALSE)+VLOOKUP($E14&amp;$C14,生产方式定位!$F$3:$J$38,5,FALSE),"错误")</f>
        <v>3598</v>
      </c>
      <c r="Y14" s="27" t="str">
        <f t="shared" si="0"/>
        <v>鱼*65</v>
      </c>
      <c r="Z14" s="50" t="str">
        <f t="shared" si="3"/>
        <v>工程师*3531</v>
      </c>
      <c r="AA14" s="50" t="str">
        <f t="shared" si="1"/>
        <v>食品*-120,饮品*240</v>
      </c>
      <c r="AB14" s="28" t="str">
        <f t="shared" si="4"/>
        <v>177%</v>
      </c>
      <c r="AC14" s="1">
        <f t="shared" si="16"/>
        <v>2173</v>
      </c>
      <c r="AD14" s="52">
        <f t="shared" si="2"/>
        <v>5</v>
      </c>
      <c r="AE14" t="str">
        <f t="shared" si="5"/>
        <v>鱼*65</v>
      </c>
      <c r="AF14" t="str">
        <f t="shared" si="6"/>
        <v/>
      </c>
      <c r="AG14" t="str">
        <f t="shared" si="7"/>
        <v/>
      </c>
      <c r="AH14" t="str">
        <f t="shared" si="8"/>
        <v>工程师*3531</v>
      </c>
      <c r="AI14" t="str">
        <f t="shared" si="9"/>
        <v/>
      </c>
      <c r="AJ14" t="str">
        <f t="shared" si="10"/>
        <v/>
      </c>
      <c r="AK14" t="str">
        <f t="shared" si="11"/>
        <v>食品*-120</v>
      </c>
      <c r="AL14" t="str">
        <f t="shared" si="12"/>
        <v>饮品*240</v>
      </c>
      <c r="AN14">
        <f>IFERROR(ROUND(L14*(G14/$AW14)/VLOOKUP(F14,商品!$A$4:$D$67,4,FALSE),0),"")</f>
        <v>65</v>
      </c>
      <c r="AO14" t="str">
        <f>IFERROR(ROUND(L14*(I14/$AW14)/VLOOKUP(H14,商品!$A$4:$D$67,4,FALSE),0),"")</f>
        <v/>
      </c>
      <c r="AP14" t="str">
        <f>IFERROR(ROUND(L14*(K14/$AW14)/VLOOKUP(J14,商品!$A$4:$D$67,4,FALSE),0),"")</f>
        <v/>
      </c>
      <c r="AQ14">
        <f>IFERROR(ROUND(S14*(N14/$AX14)/VLOOKUP(M14,职业!$A$3:$E$16,4,FALSE),0),"")</f>
        <v>3531</v>
      </c>
      <c r="AR14" t="str">
        <f>IFERROR(ROUND(S14*(P14/$AX14)/VLOOKUP(O14,职业!$A$3:$E$16,4,FALSE),0),"")</f>
        <v/>
      </c>
      <c r="AS14" t="str">
        <f>IFERROR(ROUND(S14*(R14/$AX14)/VLOOKUP(Q14,职业!$A$3:$E$16,4,FALSE),0),"")</f>
        <v/>
      </c>
      <c r="AT14">
        <f>IFERROR(ROUND(X14*(U14/$AY14)/VLOOKUP(T14,商品!$A$4:$D$67,4,FALSE),0),"")</f>
        <v>-120</v>
      </c>
      <c r="AU14">
        <f>IFERROR(ROUND(X14*(W14/$AY14)/VLOOKUP(V14,商品!$A$4:$D$67,4,FALSE),0),"")</f>
        <v>240</v>
      </c>
      <c r="AW14">
        <f t="shared" si="13"/>
        <v>50</v>
      </c>
      <c r="AX14">
        <f t="shared" si="14"/>
        <v>4</v>
      </c>
      <c r="AY14">
        <f t="shared" si="15"/>
        <v>50</v>
      </c>
    </row>
    <row r="15" customHeight="1" spans="1:51">
      <c r="A15" s="5" t="s">
        <v>290</v>
      </c>
      <c r="C15" s="5">
        <v>1</v>
      </c>
      <c r="D15" s="1" t="s">
        <v>291</v>
      </c>
      <c r="E15" s="1" t="s">
        <v>224</v>
      </c>
      <c r="L15" s="5">
        <f>IFERROR(VLOOKUP($D15&amp;$C15,生产方式定位!$A$2:$E$38,2,FALSE)+VLOOKUP($E15&amp;$C15,生产方式定位!$F$3:$J$38,2,FALSE),0)</f>
        <v>0</v>
      </c>
      <c r="S15" s="5">
        <f>IFERROR(VLOOKUP($D15&amp;$C15,生产方式定位!$A$2:$E$38,3,FALSE)+VLOOKUP($E15&amp;$C15,生产方式定位!$F$3:$J$38,3,FALSE),0)</f>
        <v>0</v>
      </c>
      <c r="X15" s="5">
        <f>IFERROR(VLOOKUP($D15&amp;$C15,生产方式定位!$A$2:$E$38,5,FALSE)+VLOOKUP($E15&amp;$C15,生产方式定位!$F$3:$J$38,5,FALSE),"错误")</f>
        <v>0</v>
      </c>
      <c r="Y15" s="27" t="str">
        <f t="shared" si="0"/>
        <v/>
      </c>
      <c r="Z15" s="50" t="str">
        <f t="shared" si="3"/>
        <v/>
      </c>
      <c r="AA15" s="50" t="str">
        <f t="shared" si="1"/>
        <v/>
      </c>
      <c r="AB15" s="28" t="str">
        <f t="shared" si="4"/>
        <v/>
      </c>
      <c r="AC15" s="1" t="str">
        <f t="shared" si="16"/>
        <v/>
      </c>
      <c r="AD15" s="51">
        <f t="shared" si="2"/>
        <v>1</v>
      </c>
      <c r="AE15" t="str">
        <f t="shared" si="5"/>
        <v/>
      </c>
      <c r="AF15" t="str">
        <f t="shared" si="6"/>
        <v/>
      </c>
      <c r="AG15" t="str">
        <f t="shared" si="7"/>
        <v/>
      </c>
      <c r="AH15" t="str">
        <f t="shared" si="8"/>
        <v/>
      </c>
      <c r="AI15" t="str">
        <f t="shared" si="9"/>
        <v/>
      </c>
      <c r="AJ15" t="str">
        <f t="shared" si="10"/>
        <v/>
      </c>
      <c r="AK15" t="str">
        <f t="shared" si="11"/>
        <v/>
      </c>
      <c r="AL15" t="str">
        <f t="shared" si="12"/>
        <v/>
      </c>
      <c r="AN15" t="str">
        <f>IFERROR(ROUND(L15*(G15/$AW15)/VLOOKUP(F15,商品!$A$4:$D$67,4,FALSE),0),"")</f>
        <v/>
      </c>
      <c r="AO15" t="str">
        <f>IFERROR(ROUND(L15*(I15/$AW15)/VLOOKUP(H15,商品!$A$4:$D$67,4,FALSE),0),"")</f>
        <v/>
      </c>
      <c r="AP15" t="str">
        <f>IFERROR(ROUND(L15*(K15/$AW15)/VLOOKUP(J15,商品!$A$4:$D$67,4,FALSE),0),"")</f>
        <v/>
      </c>
      <c r="AQ15" t="str">
        <f>IFERROR(ROUND(S15*(N15/$AX15)/VLOOKUP(M15,职业!$A$3:$E$16,4,FALSE),0),"")</f>
        <v/>
      </c>
      <c r="AR15" t="str">
        <f>IFERROR(ROUND(S15*(P15/$AX15)/VLOOKUP(O15,职业!$A$3:$E$16,4,FALSE),0),"")</f>
        <v/>
      </c>
      <c r="AS15" t="str">
        <f>IFERROR(ROUND(S15*(R15/$AX15)/VLOOKUP(Q15,职业!$A$3:$E$16,4,FALSE),0),"")</f>
        <v/>
      </c>
      <c r="AT15" t="str">
        <f>IFERROR(ROUND(X15*(U15/$AY15)/VLOOKUP(T15,商品!$A$4:$D$67,4,FALSE),0),"")</f>
        <v/>
      </c>
      <c r="AU15" t="str">
        <f>IFERROR(ROUND(X15*(W15/$AY15)/VLOOKUP(V15,商品!$A$4:$D$67,4,FALSE),0),"")</f>
        <v/>
      </c>
      <c r="AW15">
        <f t="shared" si="13"/>
        <v>0</v>
      </c>
      <c r="AX15">
        <f t="shared" si="14"/>
        <v>0</v>
      </c>
      <c r="AY15">
        <f t="shared" si="15"/>
        <v>0</v>
      </c>
    </row>
    <row r="16" customHeight="1" spans="1:51">
      <c r="A16" s="5" t="s">
        <v>290</v>
      </c>
      <c r="C16" s="5">
        <v>2</v>
      </c>
      <c r="D16" s="1" t="s">
        <v>291</v>
      </c>
      <c r="E16" s="1" t="s">
        <v>224</v>
      </c>
      <c r="F16" s="1" t="s">
        <v>145</v>
      </c>
      <c r="G16" s="1">
        <v>10</v>
      </c>
      <c r="L16" s="5">
        <f>IFERROR(VLOOKUP($D16&amp;$C16,生产方式定位!$A$2:$E$38,2,FALSE)+VLOOKUP($E16&amp;$C16,生产方式定位!$F$3:$J$38,2,FALSE),0)</f>
        <v>500</v>
      </c>
      <c r="M16" s="1" t="s">
        <v>207</v>
      </c>
      <c r="N16" s="1">
        <v>5</v>
      </c>
      <c r="S16" s="5">
        <f>IFERROR(VLOOKUP($D16&amp;$C16,生产方式定位!$A$2:$E$38,3,FALSE)+VLOOKUP($E16&amp;$C16,生产方式定位!$F$3:$J$38,3,FALSE),0)</f>
        <v>-40</v>
      </c>
      <c r="X16" s="5">
        <f>IFERROR(VLOOKUP($D16&amp;$C16,生产方式定位!$A$2:$E$38,5,FALSE)+VLOOKUP($E16&amp;$C16,生产方式定位!$F$3:$J$38,5,FALSE),"错误")</f>
        <v>506</v>
      </c>
      <c r="Y16" s="27" t="str">
        <f t="shared" si="0"/>
        <v>工具*13</v>
      </c>
      <c r="Z16" s="50" t="str">
        <f t="shared" si="3"/>
        <v>劳工*-1810</v>
      </c>
      <c r="AA16" s="50" t="str">
        <f t="shared" si="1"/>
        <v/>
      </c>
      <c r="AB16" s="28" t="str">
        <f t="shared" si="4"/>
        <v>1%</v>
      </c>
      <c r="AC16" s="1">
        <f t="shared" si="16"/>
        <v>46</v>
      </c>
      <c r="AD16" s="51">
        <f t="shared" si="2"/>
        <v>2</v>
      </c>
      <c r="AE16" t="str">
        <f t="shared" si="5"/>
        <v>工具*13</v>
      </c>
      <c r="AF16" t="str">
        <f t="shared" si="6"/>
        <v/>
      </c>
      <c r="AG16" t="str">
        <f t="shared" si="7"/>
        <v/>
      </c>
      <c r="AH16" t="str">
        <f t="shared" si="8"/>
        <v>劳工*-1810</v>
      </c>
      <c r="AI16" t="str">
        <f t="shared" si="9"/>
        <v/>
      </c>
      <c r="AJ16" t="str">
        <f t="shared" si="10"/>
        <v/>
      </c>
      <c r="AK16" t="str">
        <f t="shared" si="11"/>
        <v/>
      </c>
      <c r="AL16" t="str">
        <f t="shared" si="12"/>
        <v/>
      </c>
      <c r="AN16">
        <f>IFERROR(ROUND(L16*(G16/$AW16)/VLOOKUP(F16,商品!$A$4:$D$67,4,FALSE),0),"")</f>
        <v>13</v>
      </c>
      <c r="AO16" t="str">
        <f>IFERROR(ROUND(L16*(I16/$AW16)/VLOOKUP(H16,商品!$A$4:$D$67,4,FALSE),0),"")</f>
        <v/>
      </c>
      <c r="AP16" t="str">
        <f>IFERROR(ROUND(L16*(K16/$AW16)/VLOOKUP(J16,商品!$A$4:$D$67,4,FALSE),0),"")</f>
        <v/>
      </c>
      <c r="AQ16">
        <f>IFERROR(ROUND(S16*(N16/$AX16)/VLOOKUP(M16,职业!$A$3:$E$16,4,FALSE),0),"")</f>
        <v>-1810</v>
      </c>
      <c r="AR16" t="str">
        <f>IFERROR(ROUND(S16*(P16/$AX16)/VLOOKUP(O16,职业!$A$3:$E$16,4,FALSE),0),"")</f>
        <v/>
      </c>
      <c r="AS16" t="str">
        <f>IFERROR(ROUND(S16*(R16/$AX16)/VLOOKUP(Q16,职业!$A$3:$E$16,4,FALSE),0),"")</f>
        <v/>
      </c>
      <c r="AT16" t="str">
        <f>IFERROR(ROUND(X16*(U16/$AY16)/VLOOKUP(T16,商品!$A$4:$D$67,4,FALSE),0),"")</f>
        <v/>
      </c>
      <c r="AU16" t="str">
        <f>IFERROR(ROUND(X16*(W16/$AY16)/VLOOKUP(V16,商品!$A$4:$D$67,4,FALSE),0),"")</f>
        <v/>
      </c>
      <c r="AW16">
        <f t="shared" si="13"/>
        <v>10</v>
      </c>
      <c r="AX16">
        <f t="shared" si="14"/>
        <v>5</v>
      </c>
      <c r="AY16">
        <f t="shared" si="15"/>
        <v>0</v>
      </c>
    </row>
    <row r="17" customHeight="1" spans="1:51">
      <c r="A17" s="5" t="s">
        <v>290</v>
      </c>
      <c r="C17" s="5">
        <v>3</v>
      </c>
      <c r="D17" s="1" t="s">
        <v>291</v>
      </c>
      <c r="E17" s="1" t="s">
        <v>224</v>
      </c>
      <c r="F17" s="1" t="s">
        <v>122</v>
      </c>
      <c r="G17" s="1">
        <v>10</v>
      </c>
      <c r="L17" s="5">
        <f>IFERROR(VLOOKUP($D17&amp;$C17,生产方式定位!$A$2:$E$38,2,FALSE)+VLOOKUP($E17&amp;$C17,生产方式定位!$F$3:$J$38,2,FALSE),0)</f>
        <v>1000</v>
      </c>
      <c r="M17" s="1" t="s">
        <v>207</v>
      </c>
      <c r="N17" s="1">
        <v>5</v>
      </c>
      <c r="S17" s="5">
        <f>IFERROR(VLOOKUP($D17&amp;$C17,生产方式定位!$A$2:$E$38,3,FALSE)+VLOOKUP($E17&amp;$C17,生产方式定位!$F$3:$J$38,3,FALSE),0)</f>
        <v>-60</v>
      </c>
      <c r="X17" s="5">
        <f>IFERROR(VLOOKUP($D17&amp;$C17,生产方式定位!$A$2:$E$38,5,FALSE)+VLOOKUP($E17&amp;$C17,生产方式定位!$F$3:$J$38,5,FALSE),"错误")</f>
        <v>1034</v>
      </c>
      <c r="Y17" s="27" t="str">
        <f t="shared" si="0"/>
        <v>煤*33</v>
      </c>
      <c r="Z17" s="50" t="str">
        <f t="shared" si="3"/>
        <v>劳工*-2715</v>
      </c>
      <c r="AA17" s="50" t="str">
        <f t="shared" si="1"/>
        <v/>
      </c>
      <c r="AB17" s="28" t="str">
        <f t="shared" si="4"/>
        <v>3%</v>
      </c>
      <c r="AC17" s="1">
        <f t="shared" si="16"/>
        <v>94</v>
      </c>
      <c r="AD17" s="51">
        <f t="shared" si="2"/>
        <v>3</v>
      </c>
      <c r="AE17" t="str">
        <f t="shared" si="5"/>
        <v>煤*33</v>
      </c>
      <c r="AF17" t="str">
        <f t="shared" si="6"/>
        <v/>
      </c>
      <c r="AG17" t="str">
        <f t="shared" si="7"/>
        <v/>
      </c>
      <c r="AH17" t="str">
        <f t="shared" si="8"/>
        <v>劳工*-2715</v>
      </c>
      <c r="AI17" t="str">
        <f t="shared" si="9"/>
        <v/>
      </c>
      <c r="AJ17" t="str">
        <f t="shared" si="10"/>
        <v/>
      </c>
      <c r="AK17" t="str">
        <f t="shared" si="11"/>
        <v/>
      </c>
      <c r="AL17" t="str">
        <f t="shared" si="12"/>
        <v/>
      </c>
      <c r="AN17">
        <f>IFERROR(ROUND(L17*(G17/$AW17)/VLOOKUP(F17,商品!$A$4:$D$67,4,FALSE),0),"")</f>
        <v>33</v>
      </c>
      <c r="AO17" t="str">
        <f>IFERROR(ROUND(L17*(I17/$AW17)/VLOOKUP(H17,商品!$A$4:$D$67,4,FALSE),0),"")</f>
        <v/>
      </c>
      <c r="AP17" t="str">
        <f>IFERROR(ROUND(L17*(K17/$AW17)/VLOOKUP(J17,商品!$A$4:$D$67,4,FALSE),0),"")</f>
        <v/>
      </c>
      <c r="AQ17">
        <f>IFERROR(ROUND(S17*(N17/$AX17)/VLOOKUP(M17,职业!$A$3:$E$16,4,FALSE),0),"")</f>
        <v>-2715</v>
      </c>
      <c r="AR17" t="str">
        <f>IFERROR(ROUND(S17*(P17/$AX17)/VLOOKUP(O17,职业!$A$3:$E$16,4,FALSE),0),"")</f>
        <v/>
      </c>
      <c r="AS17" t="str">
        <f>IFERROR(ROUND(S17*(R17/$AX17)/VLOOKUP(Q17,职业!$A$3:$E$16,4,FALSE),0),"")</f>
        <v/>
      </c>
      <c r="AT17" t="str">
        <f>IFERROR(ROUND(X17*(U17/$AY17)/VLOOKUP(T17,商品!$A$4:$D$67,4,FALSE),0),"")</f>
        <v/>
      </c>
      <c r="AU17" t="str">
        <f>IFERROR(ROUND(X17*(W17/$AY17)/VLOOKUP(V17,商品!$A$4:$D$67,4,FALSE),0),"")</f>
        <v/>
      </c>
      <c r="AW17">
        <f t="shared" si="13"/>
        <v>10</v>
      </c>
      <c r="AX17">
        <f t="shared" si="14"/>
        <v>5</v>
      </c>
      <c r="AY17">
        <f t="shared" si="15"/>
        <v>0</v>
      </c>
    </row>
    <row r="18" customHeight="1" spans="1:51">
      <c r="A18" s="5" t="s">
        <v>290</v>
      </c>
      <c r="C18" s="5">
        <v>4</v>
      </c>
      <c r="D18" s="1" t="s">
        <v>291</v>
      </c>
      <c r="E18" s="1" t="s">
        <v>224</v>
      </c>
      <c r="F18" s="1" t="s">
        <v>149</v>
      </c>
      <c r="G18" s="1">
        <v>10</v>
      </c>
      <c r="L18" s="5">
        <f>IFERROR(VLOOKUP($D18&amp;$C18,生产方式定位!$A$2:$E$38,2,FALSE)+VLOOKUP($E18&amp;$C18,生产方式定位!$F$3:$J$38,2,FALSE),0)</f>
        <v>1500</v>
      </c>
      <c r="M18" s="1" t="s">
        <v>207</v>
      </c>
      <c r="N18" s="1">
        <v>5</v>
      </c>
      <c r="S18" s="5">
        <f>IFERROR(VLOOKUP($D18&amp;$C18,生产方式定位!$A$2:$E$38,3,FALSE)+VLOOKUP($E18&amp;$C18,生产方式定位!$F$3:$J$38,3,FALSE),0)</f>
        <v>-80</v>
      </c>
      <c r="X18" s="5">
        <f>IFERROR(VLOOKUP($D18&amp;$C18,生产方式定位!$A$2:$E$38,5,FALSE)+VLOOKUP($E18&amp;$C18,生产方式定位!$F$3:$J$38,5,FALSE),"错误")</f>
        <v>1562</v>
      </c>
      <c r="Y18" s="27" t="str">
        <f t="shared" si="0"/>
        <v>科学引擎*19</v>
      </c>
      <c r="Z18" s="50" t="str">
        <f t="shared" si="3"/>
        <v>劳工*-3620</v>
      </c>
      <c r="AA18" s="50" t="str">
        <f t="shared" si="1"/>
        <v/>
      </c>
      <c r="AB18" s="28" t="str">
        <f t="shared" si="4"/>
        <v>4%</v>
      </c>
      <c r="AC18" s="1">
        <f t="shared" si="16"/>
        <v>142</v>
      </c>
      <c r="AD18" s="51">
        <f t="shared" si="2"/>
        <v>4</v>
      </c>
      <c r="AE18" t="str">
        <f t="shared" si="5"/>
        <v>科学引擎*19</v>
      </c>
      <c r="AF18" t="str">
        <f t="shared" si="6"/>
        <v/>
      </c>
      <c r="AG18" t="str">
        <f t="shared" si="7"/>
        <v/>
      </c>
      <c r="AH18" t="str">
        <f t="shared" si="8"/>
        <v>劳工*-3620</v>
      </c>
      <c r="AI18" t="str">
        <f t="shared" si="9"/>
        <v/>
      </c>
      <c r="AJ18" t="str">
        <f t="shared" si="10"/>
        <v/>
      </c>
      <c r="AK18" t="str">
        <f t="shared" si="11"/>
        <v/>
      </c>
      <c r="AL18" t="str">
        <f t="shared" si="12"/>
        <v/>
      </c>
      <c r="AN18">
        <f>IFERROR(ROUND(L18*(G18/$AW18)/VLOOKUP(F18,商品!$A$4:$D$67,4,FALSE),0),"")</f>
        <v>19</v>
      </c>
      <c r="AO18" t="str">
        <f>IFERROR(ROUND(L18*(I18/$AW18)/VLOOKUP(H18,商品!$A$4:$D$67,4,FALSE),0),"")</f>
        <v/>
      </c>
      <c r="AP18" t="str">
        <f>IFERROR(ROUND(L18*(K18/$AW18)/VLOOKUP(J18,商品!$A$4:$D$67,4,FALSE),0),"")</f>
        <v/>
      </c>
      <c r="AQ18">
        <f>IFERROR(ROUND(S18*(N18/$AX18)/VLOOKUP(M18,职业!$A$3:$E$16,4,FALSE),0),"")</f>
        <v>-3620</v>
      </c>
      <c r="AR18" t="str">
        <f>IFERROR(ROUND(S18*(P18/$AX18)/VLOOKUP(O18,职业!$A$3:$E$16,4,FALSE),0),"")</f>
        <v/>
      </c>
      <c r="AS18" t="str">
        <f>IFERROR(ROUND(S18*(R18/$AX18)/VLOOKUP(Q18,职业!$A$3:$E$16,4,FALSE),0),"")</f>
        <v/>
      </c>
      <c r="AT18" t="str">
        <f>IFERROR(ROUND(X18*(U18/$AY18)/VLOOKUP(T18,商品!$A$4:$D$67,4,FALSE),0),"")</f>
        <v/>
      </c>
      <c r="AU18" t="str">
        <f>IFERROR(ROUND(X18*(W18/$AY18)/VLOOKUP(V18,商品!$A$4:$D$67,4,FALSE),0),"")</f>
        <v/>
      </c>
      <c r="AW18">
        <f t="shared" si="13"/>
        <v>10</v>
      </c>
      <c r="AX18">
        <f t="shared" si="14"/>
        <v>5</v>
      </c>
      <c r="AY18">
        <f t="shared" si="15"/>
        <v>0</v>
      </c>
    </row>
    <row r="19" customHeight="1" spans="1:51">
      <c r="A19" s="5" t="s">
        <v>290</v>
      </c>
      <c r="C19" s="5">
        <v>5</v>
      </c>
      <c r="D19" s="1" t="s">
        <v>291</v>
      </c>
      <c r="E19" s="1" t="s">
        <v>224</v>
      </c>
      <c r="F19" s="1" t="s">
        <v>149</v>
      </c>
      <c r="G19" s="1">
        <v>10</v>
      </c>
      <c r="H19" s="1" t="s">
        <v>150</v>
      </c>
      <c r="I19" s="1">
        <v>10</v>
      </c>
      <c r="L19" s="5">
        <f>IFERROR(VLOOKUP($D19&amp;$C19,生产方式定位!$A$2:$E$38,2,FALSE)+VLOOKUP($E19&amp;$C19,生产方式定位!$F$3:$J$38,2,FALSE),0)</f>
        <v>2000</v>
      </c>
      <c r="M19" s="1" t="s">
        <v>207</v>
      </c>
      <c r="N19" s="1">
        <v>20</v>
      </c>
      <c r="O19" s="1" t="s">
        <v>200</v>
      </c>
      <c r="P19" s="1">
        <v>2</v>
      </c>
      <c r="S19" s="5">
        <f>IFERROR(VLOOKUP($D19&amp;$C19,生产方式定位!$A$2:$E$38,3,FALSE)+VLOOKUP($E19&amp;$C19,生产方式定位!$F$3:$J$38,3,FALSE),0)</f>
        <v>-100</v>
      </c>
      <c r="X19" s="5">
        <f>IFERROR(VLOOKUP($D19&amp;$C19,生产方式定位!$A$2:$E$38,5,FALSE)+VLOOKUP($E19&amp;$C19,生产方式定位!$F$3:$J$38,5,FALSE),"错误")</f>
        <v>2090</v>
      </c>
      <c r="Y19" s="27" t="str">
        <f t="shared" si="0"/>
        <v>科学引擎*13,魔导引擎*13</v>
      </c>
      <c r="Z19" s="50" t="str">
        <f t="shared" si="3"/>
        <v>劳工*-4114,工程师*-257</v>
      </c>
      <c r="AA19" s="50" t="str">
        <f t="shared" si="1"/>
        <v/>
      </c>
      <c r="AB19" s="28" t="str">
        <f t="shared" si="4"/>
        <v>4%</v>
      </c>
      <c r="AC19" s="1">
        <f t="shared" si="16"/>
        <v>190</v>
      </c>
      <c r="AD19" s="51">
        <f t="shared" si="2"/>
        <v>5</v>
      </c>
      <c r="AE19" t="str">
        <f t="shared" si="5"/>
        <v>科学引擎*13</v>
      </c>
      <c r="AF19" t="str">
        <f t="shared" si="6"/>
        <v>魔导引擎*13</v>
      </c>
      <c r="AG19" t="str">
        <f t="shared" si="7"/>
        <v/>
      </c>
      <c r="AH19" t="str">
        <f t="shared" si="8"/>
        <v>劳工*-4114</v>
      </c>
      <c r="AI19" t="str">
        <f t="shared" si="9"/>
        <v>工程师*-257</v>
      </c>
      <c r="AJ19" t="str">
        <f t="shared" si="10"/>
        <v/>
      </c>
      <c r="AK19" t="str">
        <f t="shared" si="11"/>
        <v/>
      </c>
      <c r="AL19" t="str">
        <f t="shared" si="12"/>
        <v/>
      </c>
      <c r="AN19">
        <f>IFERROR(ROUND(L19*(G19/$AW19)/VLOOKUP(F19,商品!$A$4:$D$67,4,FALSE),0),"")</f>
        <v>13</v>
      </c>
      <c r="AO19">
        <f>IFERROR(ROUND(L19*(I19/$AW19)/VLOOKUP(H19,商品!$A$4:$D$67,4,FALSE),0),"")</f>
        <v>13</v>
      </c>
      <c r="AP19" t="str">
        <f>IFERROR(ROUND(L19*(K19/$AW19)/VLOOKUP(J19,商品!$A$4:$D$67,4,FALSE),0),"")</f>
        <v/>
      </c>
      <c r="AQ19">
        <f>IFERROR(ROUND(S19*(N19/$AX19)/VLOOKUP(M19,职业!$A$3:$E$16,4,FALSE),0),"")</f>
        <v>-4114</v>
      </c>
      <c r="AR19">
        <f>IFERROR(ROUND(S19*(P19/$AX19)/VLOOKUP(O19,职业!$A$3:$E$16,4,FALSE),0),"")</f>
        <v>-257</v>
      </c>
      <c r="AS19" t="str">
        <f>IFERROR(ROUND(S19*(R19/$AX19)/VLOOKUP(Q19,职业!$A$3:$E$16,4,FALSE),0),"")</f>
        <v/>
      </c>
      <c r="AT19" t="str">
        <f>IFERROR(ROUND(X19*(U19/$AY19)/VLOOKUP(T19,商品!$A$4:$D$67,4,FALSE),0),"")</f>
        <v/>
      </c>
      <c r="AU19" t="str">
        <f>IFERROR(ROUND(X19*(W19/$AY19)/VLOOKUP(V19,商品!$A$4:$D$67,4,FALSE),0),"")</f>
        <v/>
      </c>
      <c r="AW19">
        <f t="shared" si="13"/>
        <v>20</v>
      </c>
      <c r="AX19">
        <f t="shared" si="14"/>
        <v>22</v>
      </c>
      <c r="AY19">
        <f t="shared" si="15"/>
        <v>0</v>
      </c>
    </row>
    <row r="20" customHeight="1" spans="1:51">
      <c r="A20" s="18" t="s">
        <v>290</v>
      </c>
      <c r="C20" s="18">
        <v>1</v>
      </c>
      <c r="D20" s="1" t="s">
        <v>291</v>
      </c>
      <c r="E20" s="1" t="s">
        <v>224</v>
      </c>
      <c r="L20" s="18">
        <f>IFERROR(VLOOKUP($D20&amp;$C20,生产方式定位!$A$2:$E$38,2,FALSE)+VLOOKUP($E20&amp;$C20,生产方式定位!$F$3:$J$38,2,FALSE),0)</f>
        <v>0</v>
      </c>
      <c r="S20" s="18">
        <f>IFERROR(VLOOKUP($D20&amp;$C20,生产方式定位!$A$2:$E$38,3,FALSE)+VLOOKUP($E20&amp;$C20,生产方式定位!$F$3:$J$38,3,FALSE),0)</f>
        <v>0</v>
      </c>
      <c r="X20" s="18">
        <f>IFERROR(VLOOKUP($D20&amp;$C20,生产方式定位!$A$2:$E$38,5,FALSE)+VLOOKUP($E20&amp;$C20,生产方式定位!$F$3:$J$38,5,FALSE),"错误")</f>
        <v>0</v>
      </c>
      <c r="Y20" s="27" t="str">
        <f t="shared" si="0"/>
        <v/>
      </c>
      <c r="Z20" s="50" t="str">
        <f t="shared" si="3"/>
        <v/>
      </c>
      <c r="AA20" s="50" t="str">
        <f t="shared" si="1"/>
        <v/>
      </c>
      <c r="AB20" s="28" t="str">
        <f t="shared" si="4"/>
        <v/>
      </c>
      <c r="AC20" s="1" t="str">
        <f t="shared" si="16"/>
        <v/>
      </c>
      <c r="AD20" s="52">
        <f t="shared" si="2"/>
        <v>1</v>
      </c>
      <c r="AE20" t="str">
        <f t="shared" si="5"/>
        <v/>
      </c>
      <c r="AF20" t="str">
        <f t="shared" si="6"/>
        <v/>
      </c>
      <c r="AG20" t="str">
        <f t="shared" si="7"/>
        <v/>
      </c>
      <c r="AH20" t="str">
        <f t="shared" si="8"/>
        <v/>
      </c>
      <c r="AI20" t="str">
        <f t="shared" si="9"/>
        <v/>
      </c>
      <c r="AJ20" t="str">
        <f t="shared" si="10"/>
        <v/>
      </c>
      <c r="AK20" t="str">
        <f t="shared" si="11"/>
        <v/>
      </c>
      <c r="AL20" t="str">
        <f t="shared" si="12"/>
        <v/>
      </c>
      <c r="AN20" t="str">
        <f>IFERROR(ROUND(L20*(G20/$AW20)/VLOOKUP(F20,商品!$A$4:$D$67,4,FALSE),0),"")</f>
        <v/>
      </c>
      <c r="AO20" t="str">
        <f>IFERROR(ROUND(L20*(I20/$AW20)/VLOOKUP(H20,商品!$A$4:$D$67,4,FALSE),0),"")</f>
        <v/>
      </c>
      <c r="AP20" t="str">
        <f>IFERROR(ROUND(L20*(K20/$AW20)/VLOOKUP(J20,商品!$A$4:$D$67,4,FALSE),0),"")</f>
        <v/>
      </c>
      <c r="AQ20" t="str">
        <f>IFERROR(ROUND(S20*(N20/$AX20)/VLOOKUP(M20,职业!$A$3:$E$16,4,FALSE),0),"")</f>
        <v/>
      </c>
      <c r="AR20" t="str">
        <f>IFERROR(ROUND(S20*(P20/$AX20)/VLOOKUP(O20,职业!$A$3:$E$16,4,FALSE),0),"")</f>
        <v/>
      </c>
      <c r="AS20" t="str">
        <f>IFERROR(ROUND(S20*(R20/$AX20)/VLOOKUP(Q20,职业!$A$3:$E$16,4,FALSE),0),"")</f>
        <v/>
      </c>
      <c r="AT20" t="str">
        <f>IFERROR(ROUND(X20*(U20/$AY20)/VLOOKUP(T20,商品!$A$4:$D$67,4,FALSE),0),"")</f>
        <v/>
      </c>
      <c r="AU20" t="str">
        <f>IFERROR(ROUND(X20*(W20/$AY20)/VLOOKUP(V20,商品!$A$4:$D$67,4,FALSE),0),"")</f>
        <v/>
      </c>
      <c r="AW20">
        <f t="shared" si="13"/>
        <v>0</v>
      </c>
      <c r="AX20">
        <f t="shared" si="14"/>
        <v>0</v>
      </c>
      <c r="AY20">
        <f t="shared" si="15"/>
        <v>0</v>
      </c>
    </row>
    <row r="21" customHeight="1" spans="1:51">
      <c r="A21" s="18" t="s">
        <v>290</v>
      </c>
      <c r="C21" s="18">
        <v>2</v>
      </c>
      <c r="D21" s="1" t="s">
        <v>291</v>
      </c>
      <c r="E21" s="1" t="s">
        <v>224</v>
      </c>
      <c r="F21" s="1" t="s">
        <v>146</v>
      </c>
      <c r="G21" s="1">
        <v>10</v>
      </c>
      <c r="L21" s="18">
        <f>IFERROR(VLOOKUP($D21&amp;$C21,生产方式定位!$A$2:$E$38,2,FALSE)+VLOOKUP($E21&amp;$C21,生产方式定位!$F$3:$J$38,2,FALSE),0)</f>
        <v>500</v>
      </c>
      <c r="M21" s="1" t="s">
        <v>207</v>
      </c>
      <c r="N21" s="1">
        <v>5</v>
      </c>
      <c r="O21" s="1"/>
      <c r="P21" s="1"/>
      <c r="S21" s="18">
        <f>IFERROR(VLOOKUP($D21&amp;$C21,生产方式定位!$A$2:$E$38,3,FALSE)+VLOOKUP($E21&amp;$C21,生产方式定位!$F$3:$J$38,3,FALSE),0)</f>
        <v>-40</v>
      </c>
      <c r="X21" s="18">
        <f>IFERROR(VLOOKUP($D21&amp;$C21,生产方式定位!$A$2:$E$38,5,FALSE)+VLOOKUP($E21&amp;$C21,生产方式定位!$F$3:$J$38,5,FALSE),"错误")</f>
        <v>506</v>
      </c>
      <c r="Y21" s="27" t="str">
        <f t="shared" si="0"/>
        <v>魔偶*13</v>
      </c>
      <c r="Z21" s="50" t="str">
        <f>IF(AH21="","",AH21)&amp;IF(AI21="","",","&amp;AI21)&amp;IF(AJ21="","",","&amp;AJ21)</f>
        <v>劳工*-1810</v>
      </c>
      <c r="AA21" s="50" t="str">
        <f t="shared" si="1"/>
        <v/>
      </c>
      <c r="AB21" s="28" t="str">
        <f t="shared" si="4"/>
        <v>1%</v>
      </c>
      <c r="AC21" s="1">
        <f t="shared" si="16"/>
        <v>46</v>
      </c>
      <c r="AD21" s="52">
        <f t="shared" si="2"/>
        <v>2</v>
      </c>
      <c r="AE21" t="str">
        <f t="shared" si="5"/>
        <v>魔偶*13</v>
      </c>
      <c r="AF21" t="str">
        <f t="shared" si="6"/>
        <v/>
      </c>
      <c r="AG21" t="str">
        <f t="shared" si="7"/>
        <v/>
      </c>
      <c r="AH21" t="str">
        <f t="shared" si="8"/>
        <v>劳工*-1810</v>
      </c>
      <c r="AI21" t="str">
        <f t="shared" si="9"/>
        <v/>
      </c>
      <c r="AJ21" t="str">
        <f t="shared" si="10"/>
        <v/>
      </c>
      <c r="AK21" t="str">
        <f t="shared" si="11"/>
        <v/>
      </c>
      <c r="AL21" t="str">
        <f t="shared" si="12"/>
        <v/>
      </c>
      <c r="AN21">
        <f>IFERROR(ROUND(L21*(G21/$AW21)/VLOOKUP(F21,商品!$A$4:$D$67,4,FALSE),0),"")</f>
        <v>13</v>
      </c>
      <c r="AO21" t="str">
        <f>IFERROR(ROUND(L21*(I21/$AW21)/VLOOKUP(H21,商品!$A$4:$D$67,4,FALSE),0),"")</f>
        <v/>
      </c>
      <c r="AP21" t="str">
        <f>IFERROR(ROUND(L21*(K21/$AW21)/VLOOKUP(J21,商品!$A$4:$D$67,4,FALSE),0),"")</f>
        <v/>
      </c>
      <c r="AQ21">
        <f>IFERROR(ROUND(S21*(N21/$AX21)/VLOOKUP(M21,职业!$A$3:$E$16,4,FALSE),0),"")</f>
        <v>-1810</v>
      </c>
      <c r="AR21" t="str">
        <f>IFERROR(ROUND(S21*(P21/$AX21)/VLOOKUP(O21,职业!$A$3:$E$16,4,FALSE),0),"")</f>
        <v/>
      </c>
      <c r="AS21" t="str">
        <f>IFERROR(ROUND(S21*(R21/$AX21)/VLOOKUP(Q21,职业!$A$3:$E$16,4,FALSE),0),"")</f>
        <v/>
      </c>
      <c r="AT21" t="str">
        <f>IFERROR(ROUND(X21*(U21/$AY21)/VLOOKUP(T21,商品!$A$4:$D$67,4,FALSE),0),"")</f>
        <v/>
      </c>
      <c r="AU21" t="str">
        <f>IFERROR(ROUND(X21*(W21/$AY21)/VLOOKUP(V21,商品!$A$4:$D$67,4,FALSE),0),"")</f>
        <v/>
      </c>
      <c r="AW21">
        <f t="shared" si="13"/>
        <v>10</v>
      </c>
      <c r="AX21">
        <f t="shared" si="14"/>
        <v>5</v>
      </c>
      <c r="AY21">
        <f t="shared" si="15"/>
        <v>0</v>
      </c>
    </row>
    <row r="22" customHeight="1" spans="1:51">
      <c r="A22" s="18" t="s">
        <v>290</v>
      </c>
      <c r="C22" s="18">
        <v>3</v>
      </c>
      <c r="D22" s="1" t="s">
        <v>291</v>
      </c>
      <c r="E22" s="1" t="s">
        <v>224</v>
      </c>
      <c r="F22" s="1" t="s">
        <v>122</v>
      </c>
      <c r="G22" s="1">
        <v>10</v>
      </c>
      <c r="L22" s="18">
        <f>IFERROR(VLOOKUP($D22&amp;$C22,生产方式定位!$A$2:$E$38,2,FALSE)+VLOOKUP($E22&amp;$C22,生产方式定位!$F$3:$J$38,2,FALSE),0)</f>
        <v>1000</v>
      </c>
      <c r="M22" s="1" t="s">
        <v>207</v>
      </c>
      <c r="N22" s="1">
        <v>5</v>
      </c>
      <c r="O22" s="1"/>
      <c r="P22" s="1"/>
      <c r="S22" s="18">
        <f>IFERROR(VLOOKUP($D22&amp;$C22,生产方式定位!$A$2:$E$38,3,FALSE)+VLOOKUP($E22&amp;$C22,生产方式定位!$F$3:$J$38,3,FALSE),0)</f>
        <v>-60</v>
      </c>
      <c r="X22" s="18">
        <f>IFERROR(VLOOKUP($D22&amp;$C22,生产方式定位!$A$2:$E$38,5,FALSE)+VLOOKUP($E22&amp;$C22,生产方式定位!$F$3:$J$38,5,FALSE),"错误")</f>
        <v>1034</v>
      </c>
      <c r="Y22" s="27" t="str">
        <f t="shared" si="0"/>
        <v>煤*33</v>
      </c>
      <c r="Z22" s="50" t="str">
        <f t="shared" si="3"/>
        <v>劳工*-2715</v>
      </c>
      <c r="AA22" s="50" t="str">
        <f t="shared" si="1"/>
        <v/>
      </c>
      <c r="AB22" s="28" t="str">
        <f t="shared" si="4"/>
        <v>3%</v>
      </c>
      <c r="AC22" s="1">
        <f t="shared" si="16"/>
        <v>94</v>
      </c>
      <c r="AD22" s="52">
        <f t="shared" si="2"/>
        <v>3</v>
      </c>
      <c r="AE22" t="str">
        <f t="shared" si="5"/>
        <v>煤*33</v>
      </c>
      <c r="AF22" t="str">
        <f t="shared" si="6"/>
        <v/>
      </c>
      <c r="AG22" t="str">
        <f t="shared" si="7"/>
        <v/>
      </c>
      <c r="AH22" t="str">
        <f t="shared" si="8"/>
        <v>劳工*-2715</v>
      </c>
      <c r="AI22" t="str">
        <f t="shared" si="9"/>
        <v/>
      </c>
      <c r="AJ22" t="str">
        <f t="shared" si="10"/>
        <v/>
      </c>
      <c r="AK22" t="str">
        <f t="shared" si="11"/>
        <v/>
      </c>
      <c r="AL22" t="str">
        <f t="shared" si="12"/>
        <v/>
      </c>
      <c r="AN22">
        <f>IFERROR(ROUND(L22*(G22/$AW22)/VLOOKUP(F22,商品!$A$4:$D$67,4,FALSE),0),"")</f>
        <v>33</v>
      </c>
      <c r="AO22" t="str">
        <f>IFERROR(ROUND(L22*(I22/$AW22)/VLOOKUP(H22,商品!$A$4:$D$67,4,FALSE),0),"")</f>
        <v/>
      </c>
      <c r="AP22" t="str">
        <f>IFERROR(ROUND(L22*(K22/$AW22)/VLOOKUP(J22,商品!$A$4:$D$67,4,FALSE),0),"")</f>
        <v/>
      </c>
      <c r="AQ22">
        <f>IFERROR(ROUND(S22*(N22/$AX22)/VLOOKUP(M22,职业!$A$3:$E$16,4,FALSE),0),"")</f>
        <v>-2715</v>
      </c>
      <c r="AR22" t="str">
        <f>IFERROR(ROUND(S22*(P22/$AX22)/VLOOKUP(O22,职业!$A$3:$E$16,4,FALSE),0),"")</f>
        <v/>
      </c>
      <c r="AS22" t="str">
        <f>IFERROR(ROUND(S22*(R22/$AX22)/VLOOKUP(Q22,职业!$A$3:$E$16,4,FALSE),0),"")</f>
        <v/>
      </c>
      <c r="AT22" t="str">
        <f>IFERROR(ROUND(X22*(U22/$AY22)/VLOOKUP(T22,商品!$A$4:$D$67,4,FALSE),0),"")</f>
        <v/>
      </c>
      <c r="AU22" t="str">
        <f>IFERROR(ROUND(X22*(W22/$AY22)/VLOOKUP(V22,商品!$A$4:$D$67,4,FALSE),0),"")</f>
        <v/>
      </c>
      <c r="AW22">
        <f t="shared" si="13"/>
        <v>10</v>
      </c>
      <c r="AX22">
        <f t="shared" si="14"/>
        <v>5</v>
      </c>
      <c r="AY22">
        <f t="shared" si="15"/>
        <v>0</v>
      </c>
    </row>
    <row r="23" customHeight="1" spans="1:51">
      <c r="A23" s="18" t="s">
        <v>290</v>
      </c>
      <c r="C23" s="18">
        <v>4</v>
      </c>
      <c r="D23" s="1" t="s">
        <v>291</v>
      </c>
      <c r="E23" s="1" t="s">
        <v>224</v>
      </c>
      <c r="F23" s="1" t="s">
        <v>150</v>
      </c>
      <c r="G23" s="1">
        <v>10</v>
      </c>
      <c r="L23" s="18">
        <f>IFERROR(VLOOKUP($D23&amp;$C23,生产方式定位!$A$2:$E$38,2,FALSE)+VLOOKUP($E23&amp;$C23,生产方式定位!$F$3:$J$38,2,FALSE),0)</f>
        <v>1500</v>
      </c>
      <c r="M23" s="1" t="s">
        <v>207</v>
      </c>
      <c r="N23" s="1">
        <v>5</v>
      </c>
      <c r="O23" s="1"/>
      <c r="P23" s="1"/>
      <c r="S23" s="18">
        <f>IFERROR(VLOOKUP($D23&amp;$C23,生产方式定位!$A$2:$E$38,3,FALSE)+VLOOKUP($E23&amp;$C23,生产方式定位!$F$3:$J$38,3,FALSE),0)</f>
        <v>-80</v>
      </c>
      <c r="X23" s="18">
        <f>IFERROR(VLOOKUP($D23&amp;$C23,生产方式定位!$A$2:$E$38,5,FALSE)+VLOOKUP($E23&amp;$C23,生产方式定位!$F$3:$J$38,5,FALSE),"错误")</f>
        <v>1562</v>
      </c>
      <c r="Y23" s="27" t="str">
        <f t="shared" si="0"/>
        <v>魔导引擎*19</v>
      </c>
      <c r="Z23" s="50" t="str">
        <f t="shared" si="3"/>
        <v>劳工*-3620</v>
      </c>
      <c r="AA23" s="50" t="str">
        <f t="shared" si="1"/>
        <v/>
      </c>
      <c r="AB23" s="28" t="str">
        <f t="shared" si="4"/>
        <v>4%</v>
      </c>
      <c r="AC23" s="1">
        <f t="shared" si="16"/>
        <v>142</v>
      </c>
      <c r="AD23" s="52">
        <f t="shared" si="2"/>
        <v>4</v>
      </c>
      <c r="AE23" t="str">
        <f t="shared" si="5"/>
        <v>魔导引擎*19</v>
      </c>
      <c r="AF23" t="str">
        <f t="shared" si="6"/>
        <v/>
      </c>
      <c r="AG23" t="str">
        <f t="shared" si="7"/>
        <v/>
      </c>
      <c r="AH23" t="str">
        <f t="shared" si="8"/>
        <v>劳工*-3620</v>
      </c>
      <c r="AI23" t="str">
        <f t="shared" si="9"/>
        <v/>
      </c>
      <c r="AJ23" t="str">
        <f t="shared" si="10"/>
        <v/>
      </c>
      <c r="AK23" t="str">
        <f t="shared" si="11"/>
        <v/>
      </c>
      <c r="AL23" t="str">
        <f t="shared" si="12"/>
        <v/>
      </c>
      <c r="AN23">
        <f>IFERROR(ROUND(L23*(G23/$AW23)/VLOOKUP(F23,商品!$A$4:$D$67,4,FALSE),0),"")</f>
        <v>19</v>
      </c>
      <c r="AO23" t="str">
        <f>IFERROR(ROUND(L23*(I23/$AW23)/VLOOKUP(H23,商品!$A$4:$D$67,4,FALSE),0),"")</f>
        <v/>
      </c>
      <c r="AP23" t="str">
        <f>IFERROR(ROUND(L23*(K23/$AW23)/VLOOKUP(J23,商品!$A$4:$D$67,4,FALSE),0),"")</f>
        <v/>
      </c>
      <c r="AQ23">
        <f>IFERROR(ROUND(S23*(N23/$AX23)/VLOOKUP(M23,职业!$A$3:$E$16,4,FALSE),0),"")</f>
        <v>-3620</v>
      </c>
      <c r="AR23" t="str">
        <f>IFERROR(ROUND(S23*(P23/$AX23)/VLOOKUP(O23,职业!$A$3:$E$16,4,FALSE),0),"")</f>
        <v/>
      </c>
      <c r="AS23" t="str">
        <f>IFERROR(ROUND(S23*(R23/$AX23)/VLOOKUP(Q23,职业!$A$3:$E$16,4,FALSE),0),"")</f>
        <v/>
      </c>
      <c r="AT23" t="str">
        <f>IFERROR(ROUND(X23*(U23/$AY23)/VLOOKUP(T23,商品!$A$4:$D$67,4,FALSE),0),"")</f>
        <v/>
      </c>
      <c r="AU23" t="str">
        <f>IFERROR(ROUND(X23*(W23/$AY23)/VLOOKUP(V23,商品!$A$4:$D$67,4,FALSE),0),"")</f>
        <v/>
      </c>
      <c r="AW23">
        <f t="shared" si="13"/>
        <v>10</v>
      </c>
      <c r="AX23">
        <f t="shared" si="14"/>
        <v>5</v>
      </c>
      <c r="AY23">
        <f t="shared" si="15"/>
        <v>0</v>
      </c>
    </row>
    <row r="24" customHeight="1" spans="1:51">
      <c r="A24" s="18" t="s">
        <v>290</v>
      </c>
      <c r="C24" s="18">
        <v>5</v>
      </c>
      <c r="D24" s="1" t="s">
        <v>291</v>
      </c>
      <c r="E24" s="1" t="s">
        <v>224</v>
      </c>
      <c r="F24" s="1" t="s">
        <v>149</v>
      </c>
      <c r="G24" s="1">
        <v>10</v>
      </c>
      <c r="H24" s="1" t="s">
        <v>150</v>
      </c>
      <c r="I24" s="1">
        <v>10</v>
      </c>
      <c r="L24" s="18">
        <f>IFERROR(VLOOKUP($D24&amp;$C24,生产方式定位!$A$2:$E$38,2,FALSE)+VLOOKUP($E24&amp;$C24,生产方式定位!$F$3:$J$38,2,FALSE),0)</f>
        <v>2000</v>
      </c>
      <c r="M24" s="1" t="s">
        <v>207</v>
      </c>
      <c r="N24" s="1">
        <v>20</v>
      </c>
      <c r="O24" s="1" t="s">
        <v>200</v>
      </c>
      <c r="P24" s="1">
        <v>2</v>
      </c>
      <c r="S24" s="18">
        <f>IFERROR(VLOOKUP($D24&amp;$C24,生产方式定位!$A$2:$E$38,3,FALSE)+VLOOKUP($E24&amp;$C24,生产方式定位!$F$3:$J$38,3,FALSE),0)</f>
        <v>-100</v>
      </c>
      <c r="X24" s="18">
        <f>IFERROR(VLOOKUP($D24&amp;$C24,生产方式定位!$A$2:$E$38,5,FALSE)+VLOOKUP($E24&amp;$C24,生产方式定位!$F$3:$J$38,5,FALSE),"错误")</f>
        <v>2090</v>
      </c>
      <c r="Y24" s="27" t="str">
        <f t="shared" si="0"/>
        <v>科学引擎*13,魔导引擎*13</v>
      </c>
      <c r="Z24" s="50" t="str">
        <f t="shared" si="3"/>
        <v>劳工*-4114,工程师*-257</v>
      </c>
      <c r="AA24" s="50" t="str">
        <f t="shared" si="1"/>
        <v/>
      </c>
      <c r="AB24" s="28" t="str">
        <f t="shared" si="4"/>
        <v>4%</v>
      </c>
      <c r="AC24" s="1">
        <f t="shared" si="16"/>
        <v>190</v>
      </c>
      <c r="AD24" s="52">
        <f t="shared" si="2"/>
        <v>5</v>
      </c>
      <c r="AE24" t="str">
        <f t="shared" si="5"/>
        <v>科学引擎*13</v>
      </c>
      <c r="AF24" t="str">
        <f t="shared" si="6"/>
        <v>魔导引擎*13</v>
      </c>
      <c r="AG24" t="str">
        <f t="shared" si="7"/>
        <v/>
      </c>
      <c r="AH24" t="str">
        <f t="shared" si="8"/>
        <v>劳工*-4114</v>
      </c>
      <c r="AI24" t="str">
        <f t="shared" si="9"/>
        <v>工程师*-257</v>
      </c>
      <c r="AJ24" t="str">
        <f t="shared" si="10"/>
        <v/>
      </c>
      <c r="AK24" t="str">
        <f t="shared" si="11"/>
        <v/>
      </c>
      <c r="AL24" t="str">
        <f t="shared" si="12"/>
        <v/>
      </c>
      <c r="AN24">
        <f>IFERROR(ROUND(L24*(G24/$AW24)/VLOOKUP(F24,商品!$A$4:$D$67,4,FALSE),0),"")</f>
        <v>13</v>
      </c>
      <c r="AO24">
        <f>IFERROR(ROUND(L24*(I24/$AW24)/VLOOKUP(H24,商品!$A$4:$D$67,4,FALSE),0),"")</f>
        <v>13</v>
      </c>
      <c r="AP24" t="str">
        <f>IFERROR(ROUND(L24*(K24/$AW24)/VLOOKUP(J24,商品!$A$4:$D$67,4,FALSE),0),"")</f>
        <v/>
      </c>
      <c r="AQ24">
        <f>IFERROR(ROUND(S24*(N24/$AX24)/VLOOKUP(M24,职业!$A$3:$E$16,4,FALSE),0),"")</f>
        <v>-4114</v>
      </c>
      <c r="AR24">
        <f>IFERROR(ROUND(S24*(P24/$AX24)/VLOOKUP(O24,职业!$A$3:$E$16,4,FALSE),0),"")</f>
        <v>-257</v>
      </c>
      <c r="AS24" t="str">
        <f>IFERROR(ROUND(S24*(R24/$AX24)/VLOOKUP(Q24,职业!$A$3:$E$16,4,FALSE),0),"")</f>
        <v/>
      </c>
      <c r="AT24" t="str">
        <f>IFERROR(ROUND(X24*(U24/$AY24)/VLOOKUP(T24,商品!$A$4:$D$67,4,FALSE),0),"")</f>
        <v/>
      </c>
      <c r="AU24" t="str">
        <f>IFERROR(ROUND(X24*(W24/$AY24)/VLOOKUP(V24,商品!$A$4:$D$67,4,FALSE),0),"")</f>
        <v/>
      </c>
      <c r="AW24">
        <f t="shared" si="13"/>
        <v>20</v>
      </c>
      <c r="AX24">
        <f t="shared" si="14"/>
        <v>22</v>
      </c>
      <c r="AY24">
        <f t="shared" si="15"/>
        <v>0</v>
      </c>
    </row>
    <row r="25" customHeight="1" spans="1:51">
      <c r="A25" s="5" t="s">
        <v>292</v>
      </c>
      <c r="C25" s="5">
        <v>1</v>
      </c>
      <c r="D25" s="1" t="s">
        <v>291</v>
      </c>
      <c r="E25" s="1" t="s">
        <v>225</v>
      </c>
      <c r="L25" s="5">
        <f>IFERROR(VLOOKUP($D25&amp;$C25,生产方式定位!$A$2:$E$38,2,FALSE)+VLOOKUP($E25&amp;$C25,生产方式定位!$F$3:$J$38,2,FALSE),0)</f>
        <v>0</v>
      </c>
      <c r="S25" s="5">
        <f>IFERROR(VLOOKUP($D25&amp;$C25,生产方式定位!$A$2:$E$38,3,FALSE)+VLOOKUP($E25&amp;$C25,生产方式定位!$F$3:$J$38,3,FALSE),0)</f>
        <v>100</v>
      </c>
      <c r="X25" s="5">
        <f>IFERROR(VLOOKUP($D25&amp;$C25,生产方式定位!$A$2:$E$38,5,FALSE)+VLOOKUP($E25&amp;$C25,生产方式定位!$F$3:$J$38,5,FALSE),"错误")</f>
        <v>100</v>
      </c>
      <c r="Y25" s="27" t="str">
        <f t="shared" si="0"/>
        <v/>
      </c>
      <c r="Z25" s="50" t="str">
        <f t="shared" si="3"/>
        <v/>
      </c>
      <c r="AA25" s="50" t="str">
        <f t="shared" si="1"/>
        <v/>
      </c>
      <c r="AB25" s="28" t="str">
        <f t="shared" si="4"/>
        <v/>
      </c>
      <c r="AC25" s="1" t="str">
        <f t="shared" si="16"/>
        <v/>
      </c>
      <c r="AD25" s="51">
        <f t="shared" si="2"/>
        <v>1</v>
      </c>
      <c r="AE25" t="str">
        <f t="shared" si="5"/>
        <v/>
      </c>
      <c r="AF25" t="str">
        <f t="shared" si="6"/>
        <v/>
      </c>
      <c r="AG25" t="str">
        <f t="shared" si="7"/>
        <v/>
      </c>
      <c r="AH25" t="str">
        <f t="shared" si="8"/>
        <v/>
      </c>
      <c r="AI25" t="str">
        <f t="shared" si="9"/>
        <v/>
      </c>
      <c r="AJ25" t="str">
        <f t="shared" si="10"/>
        <v/>
      </c>
      <c r="AK25" t="str">
        <f t="shared" si="11"/>
        <v/>
      </c>
      <c r="AL25" t="str">
        <f t="shared" si="12"/>
        <v/>
      </c>
      <c r="AN25" t="str">
        <f>IFERROR(ROUND(L25*(G25/$AW25)/VLOOKUP(F25,商品!$A$4:$D$67,4,FALSE),0),"")</f>
        <v/>
      </c>
      <c r="AO25" t="str">
        <f>IFERROR(ROUND(L25*(I25/$AW25)/VLOOKUP(H25,商品!$A$4:$D$67,4,FALSE),0),"")</f>
        <v/>
      </c>
      <c r="AP25" t="str">
        <f>IFERROR(ROUND(L25*(K25/$AW25)/VLOOKUP(J25,商品!$A$4:$D$67,4,FALSE),0),"")</f>
        <v/>
      </c>
      <c r="AQ25" t="str">
        <f>IFERROR(ROUND(S25*(N25/$AX25)/VLOOKUP(M25,职业!$A$3:$E$16,4,FALSE),0),"")</f>
        <v/>
      </c>
      <c r="AR25" t="str">
        <f>IFERROR(ROUND(S25*(P25/$AX25)/VLOOKUP(O25,职业!$A$3:$E$16,4,FALSE),0),"")</f>
        <v/>
      </c>
      <c r="AS25" t="str">
        <f>IFERROR(ROUND(S25*(R25/$AX25)/VLOOKUP(Q25,职业!$A$3:$E$16,4,FALSE),0),"")</f>
        <v/>
      </c>
      <c r="AT25" t="str">
        <f>IFERROR(ROUND(X25*(U25/$AY25)/VLOOKUP(T25,商品!$A$4:$D$67,4,FALSE),0),"")</f>
        <v/>
      </c>
      <c r="AU25" t="str">
        <f>IFERROR(ROUND(X25*(W25/$AY25)/VLOOKUP(V25,商品!$A$4:$D$67,4,FALSE),0),"")</f>
        <v/>
      </c>
      <c r="AW25">
        <f t="shared" si="13"/>
        <v>0</v>
      </c>
      <c r="AX25">
        <f t="shared" si="14"/>
        <v>0</v>
      </c>
      <c r="AY25">
        <f t="shared" si="15"/>
        <v>0</v>
      </c>
    </row>
    <row r="26" customHeight="1" spans="1:51">
      <c r="A26" s="5" t="s">
        <v>292</v>
      </c>
      <c r="C26" s="5">
        <v>2</v>
      </c>
      <c r="D26" s="1" t="s">
        <v>291</v>
      </c>
      <c r="E26" s="1" t="s">
        <v>225</v>
      </c>
      <c r="L26" s="5">
        <f>IFERROR(VLOOKUP($D26&amp;$C26,生产方式定位!$A$2:$E$38,2,FALSE)+VLOOKUP($E26&amp;$C26,生产方式定位!$F$3:$J$38,2,FALSE),0)</f>
        <v>0</v>
      </c>
      <c r="S26" s="5">
        <f>IFERROR(VLOOKUP($D26&amp;$C26,生产方式定位!$A$2:$E$38,3,FALSE)+VLOOKUP($E26&amp;$C26,生产方式定位!$F$3:$J$38,3,FALSE),0)</f>
        <v>100</v>
      </c>
      <c r="X26" s="5">
        <f>IFERROR(VLOOKUP($D26&amp;$C26,生产方式定位!$A$2:$E$38,5,FALSE)+VLOOKUP($E26&amp;$C26,生产方式定位!$F$3:$J$38,5,FALSE),"错误")</f>
        <v>100</v>
      </c>
      <c r="Y26" s="27" t="str">
        <f t="shared" si="0"/>
        <v/>
      </c>
      <c r="Z26" s="50" t="str">
        <f t="shared" si="3"/>
        <v/>
      </c>
      <c r="AA26" s="50" t="str">
        <f t="shared" si="1"/>
        <v/>
      </c>
      <c r="AB26" s="28" t="str">
        <f t="shared" si="4"/>
        <v/>
      </c>
      <c r="AC26" s="1" t="str">
        <f t="shared" si="16"/>
        <v/>
      </c>
      <c r="AD26" s="51">
        <f t="shared" si="2"/>
        <v>2</v>
      </c>
      <c r="AE26" t="str">
        <f t="shared" si="5"/>
        <v/>
      </c>
      <c r="AF26" t="str">
        <f t="shared" si="6"/>
        <v/>
      </c>
      <c r="AG26" t="str">
        <f t="shared" si="7"/>
        <v/>
      </c>
      <c r="AH26" t="str">
        <f t="shared" si="8"/>
        <v/>
      </c>
      <c r="AI26" t="str">
        <f t="shared" si="9"/>
        <v/>
      </c>
      <c r="AJ26" t="str">
        <f t="shared" si="10"/>
        <v/>
      </c>
      <c r="AK26" t="str">
        <f t="shared" si="11"/>
        <v/>
      </c>
      <c r="AL26" t="str">
        <f t="shared" si="12"/>
        <v/>
      </c>
      <c r="AN26" t="str">
        <f>IFERROR(ROUND(L26*(G26/$AW26)/VLOOKUP(F26,商品!$A$4:$D$67,4,FALSE),0),"")</f>
        <v/>
      </c>
      <c r="AO26" t="str">
        <f>IFERROR(ROUND(L26*(I26/$AW26)/VLOOKUP(H26,商品!$A$4:$D$67,4,FALSE),0),"")</f>
        <v/>
      </c>
      <c r="AP26" t="str">
        <f>IFERROR(ROUND(L26*(K26/$AW26)/VLOOKUP(J26,商品!$A$4:$D$67,4,FALSE),0),"")</f>
        <v/>
      </c>
      <c r="AQ26" t="str">
        <f>IFERROR(ROUND(S26*(N26/$AX26)/VLOOKUP(M26,职业!$A$3:$E$16,4,FALSE),0),"")</f>
        <v/>
      </c>
      <c r="AR26" t="str">
        <f>IFERROR(ROUND(S26*(P26/$AX26)/VLOOKUP(O26,职业!$A$3:$E$16,4,FALSE),0),"")</f>
        <v/>
      </c>
      <c r="AS26" t="str">
        <f>IFERROR(ROUND(S26*(R26/$AX26)/VLOOKUP(Q26,职业!$A$3:$E$16,4,FALSE),0),"")</f>
        <v/>
      </c>
      <c r="AT26" t="str">
        <f>IFERROR(ROUND(X26*(U26/$AY26)/VLOOKUP(T26,商品!$A$4:$D$67,4,FALSE),0),"")</f>
        <v/>
      </c>
      <c r="AU26" t="str">
        <f>IFERROR(ROUND(X26*(W26/$AY26)/VLOOKUP(V26,商品!$A$4:$D$67,4,FALSE),0),"")</f>
        <v/>
      </c>
      <c r="AW26">
        <f t="shared" si="13"/>
        <v>0</v>
      </c>
      <c r="AX26">
        <f t="shared" si="14"/>
        <v>0</v>
      </c>
      <c r="AY26">
        <f t="shared" si="15"/>
        <v>0</v>
      </c>
    </row>
    <row r="27" customHeight="1" spans="1:51">
      <c r="A27" s="5" t="s">
        <v>292</v>
      </c>
      <c r="C27" s="5">
        <v>3</v>
      </c>
      <c r="D27" s="1" t="s">
        <v>291</v>
      </c>
      <c r="E27" s="1" t="s">
        <v>225</v>
      </c>
      <c r="L27" s="5">
        <f>IFERROR(VLOOKUP($D27&amp;$C27,生产方式定位!$A$2:$E$38,2,FALSE)+VLOOKUP($E27&amp;$C27,生产方式定位!$F$3:$J$38,2,FALSE),0)</f>
        <v>0</v>
      </c>
      <c r="S27" s="5">
        <f>IFERROR(VLOOKUP($D27&amp;$C27,生产方式定位!$A$2:$E$38,3,FALSE)+VLOOKUP($E27&amp;$C27,生产方式定位!$F$3:$J$38,3,FALSE),0)</f>
        <v>100</v>
      </c>
      <c r="X27" s="5">
        <f>IFERROR(VLOOKUP($D27&amp;$C27,生产方式定位!$A$2:$E$38,5,FALSE)+VLOOKUP($E27&amp;$C27,生产方式定位!$F$3:$J$38,5,FALSE),"错误")</f>
        <v>100</v>
      </c>
      <c r="Y27" s="27" t="str">
        <f t="shared" si="0"/>
        <v/>
      </c>
      <c r="Z27" s="50" t="str">
        <f t="shared" si="3"/>
        <v/>
      </c>
      <c r="AA27" s="50" t="str">
        <f t="shared" si="1"/>
        <v/>
      </c>
      <c r="AB27" s="28" t="str">
        <f t="shared" si="4"/>
        <v/>
      </c>
      <c r="AC27" s="1" t="str">
        <f t="shared" si="16"/>
        <v/>
      </c>
      <c r="AD27" s="51">
        <f t="shared" si="2"/>
        <v>3</v>
      </c>
      <c r="AE27" t="str">
        <f t="shared" si="5"/>
        <v/>
      </c>
      <c r="AF27" t="str">
        <f t="shared" si="6"/>
        <v/>
      </c>
      <c r="AG27" t="str">
        <f t="shared" si="7"/>
        <v/>
      </c>
      <c r="AH27" t="str">
        <f t="shared" si="8"/>
        <v/>
      </c>
      <c r="AI27" t="str">
        <f t="shared" si="9"/>
        <v/>
      </c>
      <c r="AJ27" t="str">
        <f t="shared" si="10"/>
        <v/>
      </c>
      <c r="AK27" t="str">
        <f t="shared" si="11"/>
        <v/>
      </c>
      <c r="AL27" t="str">
        <f t="shared" si="12"/>
        <v/>
      </c>
      <c r="AN27" t="str">
        <f>IFERROR(ROUND(L27*(G27/$AW27)/VLOOKUP(F27,商品!$A$4:$D$67,4,FALSE),0),"")</f>
        <v/>
      </c>
      <c r="AO27" t="str">
        <f>IFERROR(ROUND(L27*(I27/$AW27)/VLOOKUP(H27,商品!$A$4:$D$67,4,FALSE),0),"")</f>
        <v/>
      </c>
      <c r="AP27" t="str">
        <f>IFERROR(ROUND(L27*(K27/$AW27)/VLOOKUP(J27,商品!$A$4:$D$67,4,FALSE),0),"")</f>
        <v/>
      </c>
      <c r="AQ27" t="str">
        <f>IFERROR(ROUND(S27*(N27/$AX27)/VLOOKUP(M27,职业!$A$3:$E$16,4,FALSE),0),"")</f>
        <v/>
      </c>
      <c r="AR27" t="str">
        <f>IFERROR(ROUND(S27*(P27/$AX27)/VLOOKUP(O27,职业!$A$3:$E$16,4,FALSE),0),"")</f>
        <v/>
      </c>
      <c r="AS27" t="str">
        <f>IFERROR(ROUND(S27*(R27/$AX27)/VLOOKUP(Q27,职业!$A$3:$E$16,4,FALSE),0),"")</f>
        <v/>
      </c>
      <c r="AT27" t="str">
        <f>IFERROR(ROUND(X27*(U27/$AY27)/VLOOKUP(T27,商品!$A$4:$D$67,4,FALSE),0),"")</f>
        <v/>
      </c>
      <c r="AU27" t="str">
        <f>IFERROR(ROUND(X27*(W27/$AY27)/VLOOKUP(V27,商品!$A$4:$D$67,4,FALSE),0),"")</f>
        <v/>
      </c>
      <c r="AW27">
        <f t="shared" si="13"/>
        <v>0</v>
      </c>
      <c r="AX27">
        <f t="shared" si="14"/>
        <v>0</v>
      </c>
      <c r="AY27">
        <f t="shared" si="15"/>
        <v>0</v>
      </c>
    </row>
    <row r="28" customHeight="1" spans="1:51">
      <c r="A28" s="5" t="s">
        <v>292</v>
      </c>
      <c r="C28" s="5">
        <v>4</v>
      </c>
      <c r="D28" s="1" t="s">
        <v>291</v>
      </c>
      <c r="E28" s="1" t="s">
        <v>225</v>
      </c>
      <c r="L28" s="5">
        <f>IFERROR(VLOOKUP($D28&amp;$C28,生产方式定位!$A$2:$E$38,2,FALSE)+VLOOKUP($E28&amp;$C28,生产方式定位!$F$3:$J$38,2,FALSE),0)</f>
        <v>0</v>
      </c>
      <c r="S28" s="5">
        <f>IFERROR(VLOOKUP($D28&amp;$C28,生产方式定位!$A$2:$E$38,3,FALSE)+VLOOKUP($E28&amp;$C28,生产方式定位!$F$3:$J$38,3,FALSE),0)</f>
        <v>100</v>
      </c>
      <c r="X28" s="5">
        <f>IFERROR(VLOOKUP($D28&amp;$C28,生产方式定位!$A$2:$E$38,5,FALSE)+VLOOKUP($E28&amp;$C28,生产方式定位!$F$3:$J$38,5,FALSE),"错误")</f>
        <v>100</v>
      </c>
      <c r="Y28" s="27" t="str">
        <f t="shared" si="0"/>
        <v/>
      </c>
      <c r="Z28" s="50" t="str">
        <f t="shared" si="3"/>
        <v/>
      </c>
      <c r="AA28" s="50" t="str">
        <f t="shared" si="1"/>
        <v/>
      </c>
      <c r="AB28" s="28" t="str">
        <f t="shared" si="4"/>
        <v/>
      </c>
      <c r="AC28" s="1" t="str">
        <f t="shared" si="16"/>
        <v/>
      </c>
      <c r="AD28" s="51">
        <f t="shared" si="2"/>
        <v>4</v>
      </c>
      <c r="AE28" t="str">
        <f t="shared" si="5"/>
        <v/>
      </c>
      <c r="AF28" t="str">
        <f t="shared" si="6"/>
        <v/>
      </c>
      <c r="AG28" t="str">
        <f t="shared" si="7"/>
        <v/>
      </c>
      <c r="AH28" t="str">
        <f t="shared" si="8"/>
        <v/>
      </c>
      <c r="AI28" t="str">
        <f t="shared" si="9"/>
        <v/>
      </c>
      <c r="AJ28" t="str">
        <f t="shared" si="10"/>
        <v/>
      </c>
      <c r="AK28" t="str">
        <f t="shared" si="11"/>
        <v/>
      </c>
      <c r="AL28" t="str">
        <f t="shared" si="12"/>
        <v/>
      </c>
      <c r="AN28" t="str">
        <f>IFERROR(ROUND(L28*(G28/$AW28)/VLOOKUP(F28,商品!$A$4:$D$67,4,FALSE),0),"")</f>
        <v/>
      </c>
      <c r="AO28" t="str">
        <f>IFERROR(ROUND(L28*(I28/$AW28)/VLOOKUP(H28,商品!$A$4:$D$67,4,FALSE),0),"")</f>
        <v/>
      </c>
      <c r="AP28" t="str">
        <f>IFERROR(ROUND(L28*(K28/$AW28)/VLOOKUP(J28,商品!$A$4:$D$67,4,FALSE),0),"")</f>
        <v/>
      </c>
      <c r="AQ28" t="str">
        <f>IFERROR(ROUND(S28*(N28/$AX28)/VLOOKUP(M28,职业!$A$3:$E$16,4,FALSE),0),"")</f>
        <v/>
      </c>
      <c r="AR28" t="str">
        <f>IFERROR(ROUND(S28*(P28/$AX28)/VLOOKUP(O28,职业!$A$3:$E$16,4,FALSE),0),"")</f>
        <v/>
      </c>
      <c r="AS28" t="str">
        <f>IFERROR(ROUND(S28*(R28/$AX28)/VLOOKUP(Q28,职业!$A$3:$E$16,4,FALSE),0),"")</f>
        <v/>
      </c>
      <c r="AT28" t="str">
        <f>IFERROR(ROUND(X28*(U28/$AY28)/VLOOKUP(T28,商品!$A$4:$D$67,4,FALSE),0),"")</f>
        <v/>
      </c>
      <c r="AU28" t="str">
        <f>IFERROR(ROUND(X28*(W28/$AY28)/VLOOKUP(V28,商品!$A$4:$D$67,4,FALSE),0),"")</f>
        <v/>
      </c>
      <c r="AW28">
        <f t="shared" si="13"/>
        <v>0</v>
      </c>
      <c r="AX28">
        <f t="shared" si="14"/>
        <v>0</v>
      </c>
      <c r="AY28">
        <f t="shared" si="15"/>
        <v>0</v>
      </c>
    </row>
    <row r="29" customHeight="1" spans="1:51">
      <c r="A29" s="5" t="s">
        <v>292</v>
      </c>
      <c r="C29" s="5">
        <v>5</v>
      </c>
      <c r="D29" s="1" t="s">
        <v>291</v>
      </c>
      <c r="E29" s="1" t="s">
        <v>225</v>
      </c>
      <c r="L29" s="5">
        <f>IFERROR(VLOOKUP($D29&amp;$C29,生产方式定位!$A$2:$E$38,2,FALSE)+VLOOKUP($E29&amp;$C29,生产方式定位!$F$3:$J$38,2,FALSE),0)</f>
        <v>0</v>
      </c>
      <c r="S29" s="5">
        <f>IFERROR(VLOOKUP($D29&amp;$C29,生产方式定位!$A$2:$E$38,3,FALSE)+VLOOKUP($E29&amp;$C29,生产方式定位!$F$3:$J$38,3,FALSE),0)</f>
        <v>100</v>
      </c>
      <c r="X29" s="5">
        <f>IFERROR(VLOOKUP($D29&amp;$C29,生产方式定位!$A$2:$E$38,5,FALSE)+VLOOKUP($E29&amp;$C29,生产方式定位!$F$3:$J$38,5,FALSE),"错误")</f>
        <v>100</v>
      </c>
      <c r="Y29" s="27" t="str">
        <f t="shared" si="0"/>
        <v/>
      </c>
      <c r="Z29" s="50" t="str">
        <f t="shared" si="3"/>
        <v/>
      </c>
      <c r="AA29" s="50" t="str">
        <f t="shared" si="1"/>
        <v/>
      </c>
      <c r="AB29" s="28" t="str">
        <f t="shared" si="4"/>
        <v/>
      </c>
      <c r="AC29" s="1" t="str">
        <f t="shared" si="16"/>
        <v/>
      </c>
      <c r="AD29" s="51">
        <f t="shared" si="2"/>
        <v>5</v>
      </c>
      <c r="AE29" t="str">
        <f t="shared" si="5"/>
        <v/>
      </c>
      <c r="AF29" t="str">
        <f t="shared" si="6"/>
        <v/>
      </c>
      <c r="AG29" t="str">
        <f t="shared" si="7"/>
        <v/>
      </c>
      <c r="AH29" t="str">
        <f t="shared" si="8"/>
        <v/>
      </c>
      <c r="AI29" t="str">
        <f t="shared" si="9"/>
        <v/>
      </c>
      <c r="AJ29" t="str">
        <f t="shared" si="10"/>
        <v/>
      </c>
      <c r="AK29" t="str">
        <f t="shared" si="11"/>
        <v/>
      </c>
      <c r="AL29" t="str">
        <f t="shared" si="12"/>
        <v/>
      </c>
      <c r="AN29" t="str">
        <f>IFERROR(ROUND(L29*(G29/$AW29)/VLOOKUP(F29,商品!$A$4:$D$67,4,FALSE),0),"")</f>
        <v/>
      </c>
      <c r="AO29" t="str">
        <f>IFERROR(ROUND(L29*(I29/$AW29)/VLOOKUP(H29,商品!$A$4:$D$67,4,FALSE),0),"")</f>
        <v/>
      </c>
      <c r="AP29" t="str">
        <f>IFERROR(ROUND(L29*(K29/$AW29)/VLOOKUP(J29,商品!$A$4:$D$67,4,FALSE),0),"")</f>
        <v/>
      </c>
      <c r="AQ29" t="str">
        <f>IFERROR(ROUND(S29*(N29/$AX29)/VLOOKUP(M29,职业!$A$3:$E$16,4,FALSE),0),"")</f>
        <v/>
      </c>
      <c r="AR29" t="str">
        <f>IFERROR(ROUND(S29*(P29/$AX29)/VLOOKUP(O29,职业!$A$3:$E$16,4,FALSE),0),"")</f>
        <v/>
      </c>
      <c r="AS29" t="str">
        <f>IFERROR(ROUND(S29*(R29/$AX29)/VLOOKUP(Q29,职业!$A$3:$E$16,4,FALSE),0),"")</f>
        <v/>
      </c>
      <c r="AT29" t="str">
        <f>IFERROR(ROUND(X29*(U29/$AY29)/VLOOKUP(T29,商品!$A$4:$D$67,4,FALSE),0),"")</f>
        <v/>
      </c>
      <c r="AU29" t="str">
        <f>IFERROR(ROUND(X29*(W29/$AY29)/VLOOKUP(V29,商品!$A$4:$D$67,4,FALSE),0),"")</f>
        <v/>
      </c>
      <c r="AW29">
        <f t="shared" si="13"/>
        <v>0</v>
      </c>
      <c r="AX29">
        <f t="shared" si="14"/>
        <v>0</v>
      </c>
      <c r="AY29">
        <f t="shared" si="15"/>
        <v>0</v>
      </c>
    </row>
    <row r="30" customHeight="1" spans="1:51">
      <c r="A30" s="5" t="s">
        <v>292</v>
      </c>
      <c r="C30" s="5">
        <v>6</v>
      </c>
      <c r="D30" s="1" t="s">
        <v>291</v>
      </c>
      <c r="E30" s="1" t="s">
        <v>225</v>
      </c>
      <c r="L30" s="5">
        <f>IFERROR(VLOOKUP($D30&amp;$C30,生产方式定位!$A$2:$E$38,2,FALSE)+VLOOKUP($E30&amp;$C30,生产方式定位!$F$3:$J$38,2,FALSE),0)</f>
        <v>0</v>
      </c>
      <c r="S30" s="5">
        <f>IFERROR(VLOOKUP($D30&amp;$C30,生产方式定位!$A$2:$E$38,3,FALSE)+VLOOKUP($E30&amp;$C30,生产方式定位!$F$3:$J$38,3,FALSE),0)</f>
        <v>100</v>
      </c>
      <c r="X30" s="5">
        <f>IFERROR(VLOOKUP($D30&amp;$C30,生产方式定位!$A$2:$E$38,5,FALSE)+VLOOKUP($E30&amp;$C30,生产方式定位!$F$3:$J$38,5,FALSE),"错误")</f>
        <v>100</v>
      </c>
      <c r="Y30" s="27" t="str">
        <f t="shared" si="0"/>
        <v/>
      </c>
      <c r="Z30" s="50" t="str">
        <f t="shared" si="3"/>
        <v/>
      </c>
      <c r="AA30" s="50" t="str">
        <f t="shared" si="1"/>
        <v/>
      </c>
      <c r="AB30" s="28" t="str">
        <f t="shared" si="4"/>
        <v/>
      </c>
      <c r="AC30" s="1" t="str">
        <f t="shared" si="16"/>
        <v/>
      </c>
      <c r="AD30" s="51">
        <f t="shared" si="2"/>
        <v>6</v>
      </c>
      <c r="AE30" t="str">
        <f t="shared" si="5"/>
        <v/>
      </c>
      <c r="AF30" t="str">
        <f t="shared" si="6"/>
        <v/>
      </c>
      <c r="AG30" t="str">
        <f t="shared" si="7"/>
        <v/>
      </c>
      <c r="AH30" t="str">
        <f t="shared" si="8"/>
        <v/>
      </c>
      <c r="AI30" t="str">
        <f t="shared" si="9"/>
        <v/>
      </c>
      <c r="AJ30" t="str">
        <f t="shared" si="10"/>
        <v/>
      </c>
      <c r="AK30" t="str">
        <f t="shared" si="11"/>
        <v/>
      </c>
      <c r="AL30" t="str">
        <f t="shared" si="12"/>
        <v/>
      </c>
      <c r="AN30" t="str">
        <f>IFERROR(ROUND(L30*(G30/$AW30)/VLOOKUP(F30,商品!$A$4:$D$67,4,FALSE),0),"")</f>
        <v/>
      </c>
      <c r="AO30" t="str">
        <f>IFERROR(ROUND(L30*(I30/$AW30)/VLOOKUP(H30,商品!$A$4:$D$67,4,FALSE),0),"")</f>
        <v/>
      </c>
      <c r="AP30" t="str">
        <f>IFERROR(ROUND(L30*(K30/$AW30)/VLOOKUP(J30,商品!$A$4:$D$67,4,FALSE),0),"")</f>
        <v/>
      </c>
      <c r="AQ30" t="str">
        <f>IFERROR(ROUND(S30*(N30/$AX30)/VLOOKUP(M30,职业!$A$3:$E$16,4,FALSE),0),"")</f>
        <v/>
      </c>
      <c r="AR30" t="str">
        <f>IFERROR(ROUND(S30*(P30/$AX30)/VLOOKUP(O30,职业!$A$3:$E$16,4,FALSE),0),"")</f>
        <v/>
      </c>
      <c r="AS30" t="str">
        <f>IFERROR(ROUND(S30*(R30/$AX30)/VLOOKUP(Q30,职业!$A$3:$E$16,4,FALSE),0),"")</f>
        <v/>
      </c>
      <c r="AT30" t="str">
        <f>IFERROR(ROUND(X30*(U30/$AY30)/VLOOKUP(T30,商品!$A$4:$D$67,4,FALSE),0),"")</f>
        <v/>
      </c>
      <c r="AU30" t="str">
        <f>IFERROR(ROUND(X30*(W30/$AY30)/VLOOKUP(V30,商品!$A$4:$D$67,4,FALSE),0),"")</f>
        <v/>
      </c>
      <c r="AW30">
        <f t="shared" si="13"/>
        <v>0</v>
      </c>
      <c r="AX30">
        <f t="shared" si="14"/>
        <v>0</v>
      </c>
      <c r="AY30">
        <f t="shared" si="15"/>
        <v>0</v>
      </c>
    </row>
    <row r="31" customHeight="1" spans="1:51">
      <c r="A31" s="5" t="s">
        <v>292</v>
      </c>
      <c r="C31" s="5">
        <v>7</v>
      </c>
      <c r="D31" s="1" t="s">
        <v>291</v>
      </c>
      <c r="E31" s="1" t="s">
        <v>225</v>
      </c>
      <c r="L31" s="5">
        <f>IFERROR(VLOOKUP($D31&amp;$C31,生产方式定位!$A$2:$E$38,2,FALSE)+VLOOKUP($E31&amp;$C31,生产方式定位!$F$3:$J$38,2,FALSE),0)</f>
        <v>0</v>
      </c>
      <c r="S31" s="5">
        <f>IFERROR(VLOOKUP($D31&amp;$C31,生产方式定位!$A$2:$E$38,3,FALSE)+VLOOKUP($E31&amp;$C31,生产方式定位!$F$3:$J$38,3,FALSE),0)</f>
        <v>100</v>
      </c>
      <c r="X31" s="5">
        <f>IFERROR(VLOOKUP($D31&amp;$C31,生产方式定位!$A$2:$E$38,5,FALSE)+VLOOKUP($E31&amp;$C31,生产方式定位!$F$3:$J$38,5,FALSE),"错误")</f>
        <v>100</v>
      </c>
      <c r="Y31" s="27" t="str">
        <f t="shared" si="0"/>
        <v/>
      </c>
      <c r="Z31" s="50" t="str">
        <f t="shared" si="3"/>
        <v/>
      </c>
      <c r="AA31" s="50" t="str">
        <f t="shared" si="1"/>
        <v/>
      </c>
      <c r="AB31" s="28" t="str">
        <f t="shared" si="4"/>
        <v/>
      </c>
      <c r="AC31" s="1" t="str">
        <f t="shared" si="16"/>
        <v/>
      </c>
      <c r="AD31" s="51">
        <f t="shared" si="2"/>
        <v>7</v>
      </c>
      <c r="AE31" t="str">
        <f t="shared" si="5"/>
        <v/>
      </c>
      <c r="AF31" t="str">
        <f t="shared" si="6"/>
        <v/>
      </c>
      <c r="AG31" t="str">
        <f t="shared" si="7"/>
        <v/>
      </c>
      <c r="AH31" t="str">
        <f t="shared" si="8"/>
        <v/>
      </c>
      <c r="AI31" t="str">
        <f t="shared" si="9"/>
        <v/>
      </c>
      <c r="AJ31" t="str">
        <f t="shared" si="10"/>
        <v/>
      </c>
      <c r="AK31" t="str">
        <f t="shared" si="11"/>
        <v/>
      </c>
      <c r="AL31" t="str">
        <f t="shared" si="12"/>
        <v/>
      </c>
      <c r="AN31" t="str">
        <f>IFERROR(ROUND(L31*(G31/$AW31)/VLOOKUP(F31,商品!$A$4:$D$67,4,FALSE),0),"")</f>
        <v/>
      </c>
      <c r="AO31" t="str">
        <f>IFERROR(ROUND(L31*(I31/$AW31)/VLOOKUP(H31,商品!$A$4:$D$67,4,FALSE),0),"")</f>
        <v/>
      </c>
      <c r="AP31" t="str">
        <f>IFERROR(ROUND(L31*(K31/$AW31)/VLOOKUP(J31,商品!$A$4:$D$67,4,FALSE),0),"")</f>
        <v/>
      </c>
      <c r="AQ31" t="str">
        <f>IFERROR(ROUND(S31*(N31/$AX31)/VLOOKUP(M31,职业!$A$3:$E$16,4,FALSE),0),"")</f>
        <v/>
      </c>
      <c r="AR31" t="str">
        <f>IFERROR(ROUND(S31*(P31/$AX31)/VLOOKUP(O31,职业!$A$3:$E$16,4,FALSE),0),"")</f>
        <v/>
      </c>
      <c r="AS31" t="str">
        <f>IFERROR(ROUND(S31*(R31/$AX31)/VLOOKUP(Q31,职业!$A$3:$E$16,4,FALSE),0),"")</f>
        <v/>
      </c>
      <c r="AT31" t="str">
        <f>IFERROR(ROUND(X31*(U31/$AY31)/VLOOKUP(T31,商品!$A$4:$D$67,4,FALSE),0),"")</f>
        <v/>
      </c>
      <c r="AU31" t="str">
        <f>IFERROR(ROUND(X31*(W31/$AY31)/VLOOKUP(V31,商品!$A$4:$D$67,4,FALSE),0),"")</f>
        <v/>
      </c>
      <c r="AW31">
        <f t="shared" si="13"/>
        <v>0</v>
      </c>
      <c r="AX31">
        <f t="shared" si="14"/>
        <v>0</v>
      </c>
      <c r="AY31">
        <f t="shared" si="15"/>
        <v>0</v>
      </c>
    </row>
    <row r="32" customHeight="1" spans="1:51">
      <c r="A32" s="5" t="s">
        <v>292</v>
      </c>
      <c r="C32" s="5">
        <v>8</v>
      </c>
      <c r="D32" s="1" t="s">
        <v>291</v>
      </c>
      <c r="E32" s="1" t="s">
        <v>225</v>
      </c>
      <c r="L32" s="5">
        <f>IFERROR(VLOOKUP($D32&amp;$C32,生产方式定位!$A$2:$E$38,2,FALSE)+VLOOKUP($E32&amp;$C32,生产方式定位!$F$3:$J$38,2,FALSE),0)</f>
        <v>0</v>
      </c>
      <c r="S32" s="5">
        <f>IFERROR(VLOOKUP($D32&amp;$C32,生产方式定位!$A$2:$E$38,3,FALSE)+VLOOKUP($E32&amp;$C32,生产方式定位!$F$3:$J$38,3,FALSE),0)</f>
        <v>100</v>
      </c>
      <c r="X32" s="5">
        <f>IFERROR(VLOOKUP($D32&amp;$C32,生产方式定位!$A$2:$E$38,5,FALSE)+VLOOKUP($E32&amp;$C32,生产方式定位!$F$3:$J$38,5,FALSE),"错误")</f>
        <v>100</v>
      </c>
      <c r="Y32" s="27" t="str">
        <f t="shared" si="0"/>
        <v/>
      </c>
      <c r="Z32" s="50" t="str">
        <f t="shared" si="3"/>
        <v/>
      </c>
      <c r="AA32" s="50" t="str">
        <f t="shared" si="1"/>
        <v/>
      </c>
      <c r="AB32" s="28" t="str">
        <f t="shared" si="4"/>
        <v/>
      </c>
      <c r="AC32" s="1" t="str">
        <f t="shared" si="16"/>
        <v/>
      </c>
      <c r="AD32" s="51">
        <f t="shared" si="2"/>
        <v>8</v>
      </c>
      <c r="AE32" t="str">
        <f t="shared" si="5"/>
        <v/>
      </c>
      <c r="AF32" t="str">
        <f t="shared" si="6"/>
        <v/>
      </c>
      <c r="AG32" t="str">
        <f t="shared" si="7"/>
        <v/>
      </c>
      <c r="AH32" t="str">
        <f t="shared" si="8"/>
        <v/>
      </c>
      <c r="AI32" t="str">
        <f t="shared" si="9"/>
        <v/>
      </c>
      <c r="AJ32" t="str">
        <f t="shared" si="10"/>
        <v/>
      </c>
      <c r="AK32" t="str">
        <f t="shared" si="11"/>
        <v/>
      </c>
      <c r="AL32" t="str">
        <f t="shared" si="12"/>
        <v/>
      </c>
      <c r="AN32" t="str">
        <f>IFERROR(ROUND(L32*(G32/$AW32)/VLOOKUP(F32,商品!$A$4:$D$67,4,FALSE),0),"")</f>
        <v/>
      </c>
      <c r="AO32" t="str">
        <f>IFERROR(ROUND(L32*(I32/$AW32)/VLOOKUP(H32,商品!$A$4:$D$67,4,FALSE),0),"")</f>
        <v/>
      </c>
      <c r="AP32" t="str">
        <f>IFERROR(ROUND(L32*(K32/$AW32)/VLOOKUP(J32,商品!$A$4:$D$67,4,FALSE),0),"")</f>
        <v/>
      </c>
      <c r="AQ32" t="str">
        <f>IFERROR(ROUND(S32*(N32/$AX32)/VLOOKUP(M32,职业!$A$3:$E$16,4,FALSE),0),"")</f>
        <v/>
      </c>
      <c r="AR32" t="str">
        <f>IFERROR(ROUND(S32*(P32/$AX32)/VLOOKUP(O32,职业!$A$3:$E$16,4,FALSE),0),"")</f>
        <v/>
      </c>
      <c r="AS32" t="str">
        <f>IFERROR(ROUND(S32*(R32/$AX32)/VLOOKUP(Q32,职业!$A$3:$E$16,4,FALSE),0),"")</f>
        <v/>
      </c>
      <c r="AT32" t="str">
        <f>IFERROR(ROUND(X32*(U32/$AY32)/VLOOKUP(T32,商品!$A$4:$D$67,4,FALSE),0),"")</f>
        <v/>
      </c>
      <c r="AU32" t="str">
        <f>IFERROR(ROUND(X32*(W32/$AY32)/VLOOKUP(V32,商品!$A$4:$D$67,4,FALSE),0),"")</f>
        <v/>
      </c>
      <c r="AW32">
        <f t="shared" si="13"/>
        <v>0</v>
      </c>
      <c r="AX32">
        <f t="shared" si="14"/>
        <v>0</v>
      </c>
      <c r="AY32">
        <f t="shared" si="15"/>
        <v>0</v>
      </c>
    </row>
    <row r="33" customHeight="1" spans="1:51">
      <c r="A33" s="18" t="s">
        <v>294</v>
      </c>
      <c r="C33" s="18">
        <v>1</v>
      </c>
      <c r="D33" s="1" t="s">
        <v>220</v>
      </c>
      <c r="E33" s="1" t="s">
        <v>222</v>
      </c>
      <c r="L33" s="18">
        <f>IFERROR(VLOOKUP($D33&amp;$C33,生产方式定位!$A$2:$E$38,2,FALSE)+VLOOKUP($E33&amp;$C33,生产方式定位!$F$3:$J$38,2,FALSE),0)</f>
        <v>500</v>
      </c>
      <c r="S33" s="18">
        <f>IFERROR(VLOOKUP($D33&amp;$C33,生产方式定位!$A$2:$E$38,3,FALSE)+VLOOKUP($E33&amp;$C33,生产方式定位!$F$3:$J$38,3,FALSE),0)</f>
        <v>150</v>
      </c>
      <c r="X33" s="18">
        <f>IFERROR(VLOOKUP($D33&amp;$C33,生产方式定位!$A$2:$E$38,5,FALSE)+VLOOKUP($E33&amp;$C33,生产方式定位!$F$3:$J$38,5,FALSE),"错误")</f>
        <v>715</v>
      </c>
      <c r="Y33" s="27" t="str">
        <f t="shared" si="0"/>
        <v/>
      </c>
      <c r="Z33" s="50" t="str">
        <f t="shared" si="3"/>
        <v/>
      </c>
      <c r="AA33" s="50" t="str">
        <f t="shared" si="1"/>
        <v/>
      </c>
      <c r="AB33" s="28" t="str">
        <f t="shared" si="4"/>
        <v>43%</v>
      </c>
      <c r="AC33" s="1">
        <f t="shared" si="16"/>
        <v>65</v>
      </c>
      <c r="AD33" s="52">
        <f t="shared" si="2"/>
        <v>1</v>
      </c>
      <c r="AE33" t="str">
        <f t="shared" si="5"/>
        <v/>
      </c>
      <c r="AF33" t="str">
        <f t="shared" si="6"/>
        <v/>
      </c>
      <c r="AG33" t="str">
        <f t="shared" si="7"/>
        <v/>
      </c>
      <c r="AH33" t="str">
        <f t="shared" si="8"/>
        <v/>
      </c>
      <c r="AI33" t="str">
        <f t="shared" si="9"/>
        <v/>
      </c>
      <c r="AJ33" t="str">
        <f t="shared" si="10"/>
        <v/>
      </c>
      <c r="AK33" t="str">
        <f t="shared" si="11"/>
        <v/>
      </c>
      <c r="AL33" t="str">
        <f t="shared" si="12"/>
        <v/>
      </c>
      <c r="AN33" t="str">
        <f>IFERROR(ROUND(L33*(G33/$AW33)/VLOOKUP(F33,商品!$A$4:$D$67,4,FALSE),0),"")</f>
        <v/>
      </c>
      <c r="AO33" t="str">
        <f>IFERROR(ROUND(L33*(I33/$AW33)/VLOOKUP(H33,商品!$A$4:$D$67,4,FALSE),0),"")</f>
        <v/>
      </c>
      <c r="AP33" t="str">
        <f>IFERROR(ROUND(L33*(K33/$AW33)/VLOOKUP(J33,商品!$A$4:$D$67,4,FALSE),0),"")</f>
        <v/>
      </c>
      <c r="AQ33" t="str">
        <f>IFERROR(ROUND(S33*(N33/$AX33)/VLOOKUP(M33,职业!$A$3:$E$16,4,FALSE),0),"")</f>
        <v/>
      </c>
      <c r="AR33" t="str">
        <f>IFERROR(ROUND(S33*(P33/$AX33)/VLOOKUP(O33,职业!$A$3:$E$16,4,FALSE),0),"")</f>
        <v/>
      </c>
      <c r="AS33" t="str">
        <f>IFERROR(ROUND(S33*(R33/$AX33)/VLOOKUP(Q33,职业!$A$3:$E$16,4,FALSE),0),"")</f>
        <v/>
      </c>
      <c r="AT33" t="str">
        <f>IFERROR(ROUND(X33*(U33/$AY33)/VLOOKUP(T33,商品!$A$4:$D$67,4,FALSE),0),"")</f>
        <v/>
      </c>
      <c r="AU33" t="str">
        <f>IFERROR(ROUND(X33*(W33/$AY33)/VLOOKUP(V33,商品!$A$4:$D$67,4,FALSE),0),"")</f>
        <v/>
      </c>
      <c r="AW33">
        <f t="shared" si="13"/>
        <v>0</v>
      </c>
      <c r="AX33">
        <f t="shared" si="14"/>
        <v>0</v>
      </c>
      <c r="AY33">
        <f t="shared" si="15"/>
        <v>0</v>
      </c>
    </row>
    <row r="34" customHeight="1" spans="1:51">
      <c r="A34" s="18" t="s">
        <v>294</v>
      </c>
      <c r="C34" s="18">
        <v>2</v>
      </c>
      <c r="D34" s="1" t="s">
        <v>220</v>
      </c>
      <c r="E34" s="1" t="s">
        <v>222</v>
      </c>
      <c r="L34" s="18">
        <f>IFERROR(VLOOKUP($D34&amp;$C34,生产方式定位!$A$2:$E$38,2,FALSE)+VLOOKUP($E34&amp;$C34,生产方式定位!$F$3:$J$38,2,FALSE),0)</f>
        <v>1200</v>
      </c>
      <c r="S34" s="18">
        <f>IFERROR(VLOOKUP($D34&amp;$C34,生产方式定位!$A$2:$E$38,3,FALSE)+VLOOKUP($E34&amp;$C34,生产方式定位!$F$3:$J$38,3,FALSE),0)</f>
        <v>140</v>
      </c>
      <c r="X34" s="18">
        <f>IFERROR(VLOOKUP($D34&amp;$C34,生产方式定位!$A$2:$E$38,5,FALSE)+VLOOKUP($E34&amp;$C34,生产方式定位!$F$3:$J$38,5,FALSE),"错误")</f>
        <v>1390</v>
      </c>
      <c r="Y34" s="27" t="str">
        <f t="shared" si="0"/>
        <v/>
      </c>
      <c r="Z34" s="50" t="str">
        <f t="shared" si="3"/>
        <v/>
      </c>
      <c r="AA34" s="50" t="str">
        <f t="shared" si="1"/>
        <v/>
      </c>
      <c r="AB34" s="28" t="str">
        <f t="shared" si="4"/>
        <v>16%</v>
      </c>
      <c r="AC34" s="1">
        <f t="shared" si="16"/>
        <v>50</v>
      </c>
      <c r="AD34" s="52">
        <f t="shared" si="2"/>
        <v>2</v>
      </c>
      <c r="AE34" t="str">
        <f t="shared" si="5"/>
        <v/>
      </c>
      <c r="AF34" t="str">
        <f t="shared" si="6"/>
        <v/>
      </c>
      <c r="AG34" t="str">
        <f t="shared" si="7"/>
        <v/>
      </c>
      <c r="AH34" t="str">
        <f t="shared" si="8"/>
        <v/>
      </c>
      <c r="AI34" t="str">
        <f t="shared" si="9"/>
        <v/>
      </c>
      <c r="AJ34" t="str">
        <f t="shared" si="10"/>
        <v/>
      </c>
      <c r="AK34" t="str">
        <f t="shared" si="11"/>
        <v/>
      </c>
      <c r="AL34" t="str">
        <f t="shared" si="12"/>
        <v/>
      </c>
      <c r="AN34" t="str">
        <f>IFERROR(ROUND(L34*(G34/$AW34)/VLOOKUP(F34,商品!$A$4:$D$67,4,FALSE),0),"")</f>
        <v/>
      </c>
      <c r="AO34" t="str">
        <f>IFERROR(ROUND(L34*(I34/$AW34)/VLOOKUP(H34,商品!$A$4:$D$67,4,FALSE),0),"")</f>
        <v/>
      </c>
      <c r="AP34" t="str">
        <f>IFERROR(ROUND(L34*(K34/$AW34)/VLOOKUP(J34,商品!$A$4:$D$67,4,FALSE),0),"")</f>
        <v/>
      </c>
      <c r="AQ34" t="str">
        <f>IFERROR(ROUND(S34*(N34/$AX34)/VLOOKUP(M34,职业!$A$3:$E$16,4,FALSE),0),"")</f>
        <v/>
      </c>
      <c r="AR34" t="str">
        <f>IFERROR(ROUND(S34*(P34/$AX34)/VLOOKUP(O34,职业!$A$3:$E$16,4,FALSE),0),"")</f>
        <v/>
      </c>
      <c r="AS34" t="str">
        <f>IFERROR(ROUND(S34*(R34/$AX34)/VLOOKUP(Q34,职业!$A$3:$E$16,4,FALSE),0),"")</f>
        <v/>
      </c>
      <c r="AT34" t="str">
        <f>IFERROR(ROUND(X34*(U34/$AY34)/VLOOKUP(T34,商品!$A$4:$D$67,4,FALSE),0),"")</f>
        <v/>
      </c>
      <c r="AU34" t="str">
        <f>IFERROR(ROUND(X34*(W34/$AY34)/VLOOKUP(V34,商品!$A$4:$D$67,4,FALSE),0),"")</f>
        <v/>
      </c>
      <c r="AW34">
        <f t="shared" si="13"/>
        <v>0</v>
      </c>
      <c r="AX34">
        <f t="shared" si="14"/>
        <v>0</v>
      </c>
      <c r="AY34">
        <f t="shared" si="15"/>
        <v>0</v>
      </c>
    </row>
    <row r="35" customHeight="1" spans="1:51">
      <c r="A35" s="18" t="s">
        <v>294</v>
      </c>
      <c r="C35" s="18">
        <v>3</v>
      </c>
      <c r="D35" s="1" t="s">
        <v>220</v>
      </c>
      <c r="E35" s="1" t="s">
        <v>222</v>
      </c>
      <c r="L35" s="18">
        <f>IFERROR(VLOOKUP($D35&amp;$C35,生产方式定位!$A$2:$E$38,2,FALSE)+VLOOKUP($E35&amp;$C35,生产方式定位!$F$3:$J$38,2,FALSE),0)</f>
        <v>1525</v>
      </c>
      <c r="S35" s="18">
        <f>IFERROR(VLOOKUP($D35&amp;$C35,生产方式定位!$A$2:$E$38,3,FALSE)+VLOOKUP($E35&amp;$C35,生产方式定位!$F$3:$J$38,3,FALSE),0)</f>
        <v>130</v>
      </c>
      <c r="X35" s="18">
        <f>IFERROR(VLOOKUP($D35&amp;$C35,生产方式定位!$A$2:$E$38,5,FALSE)+VLOOKUP($E35&amp;$C35,生产方式定位!$F$3:$J$38,5,FALSE),"错误")</f>
        <v>1718</v>
      </c>
      <c r="Y35" s="27" t="str">
        <f t="shared" si="0"/>
        <v/>
      </c>
      <c r="Z35" s="50" t="str">
        <f t="shared" si="3"/>
        <v/>
      </c>
      <c r="AA35" s="50" t="str">
        <f t="shared" si="1"/>
        <v/>
      </c>
      <c r="AB35" s="28" t="str">
        <f t="shared" si="4"/>
        <v>13%</v>
      </c>
      <c r="AC35" s="1">
        <f t="shared" si="16"/>
        <v>63</v>
      </c>
      <c r="AD35" s="52">
        <f t="shared" si="2"/>
        <v>3</v>
      </c>
      <c r="AE35" t="str">
        <f t="shared" si="5"/>
        <v/>
      </c>
      <c r="AF35" t="str">
        <f t="shared" si="6"/>
        <v/>
      </c>
      <c r="AG35" t="str">
        <f t="shared" si="7"/>
        <v/>
      </c>
      <c r="AH35" t="str">
        <f t="shared" si="8"/>
        <v/>
      </c>
      <c r="AI35" t="str">
        <f t="shared" si="9"/>
        <v/>
      </c>
      <c r="AJ35" t="str">
        <f t="shared" si="10"/>
        <v/>
      </c>
      <c r="AK35" t="str">
        <f t="shared" si="11"/>
        <v/>
      </c>
      <c r="AL35" t="str">
        <f t="shared" si="12"/>
        <v/>
      </c>
      <c r="AN35" t="str">
        <f>IFERROR(ROUND(L35*(G35/$AW35)/VLOOKUP(F35,商品!$A$4:$D$67,4,FALSE),0),"")</f>
        <v/>
      </c>
      <c r="AO35" t="str">
        <f>IFERROR(ROUND(L35*(I35/$AW35)/VLOOKUP(H35,商品!$A$4:$D$67,4,FALSE),0),"")</f>
        <v/>
      </c>
      <c r="AP35" t="str">
        <f>IFERROR(ROUND(L35*(K35/$AW35)/VLOOKUP(J35,商品!$A$4:$D$67,4,FALSE),0),"")</f>
        <v/>
      </c>
      <c r="AQ35" t="str">
        <f>IFERROR(ROUND(S35*(N35/$AX35)/VLOOKUP(M35,职业!$A$3:$E$16,4,FALSE),0),"")</f>
        <v/>
      </c>
      <c r="AR35" t="str">
        <f>IFERROR(ROUND(S35*(P35/$AX35)/VLOOKUP(O35,职业!$A$3:$E$16,4,FALSE),0),"")</f>
        <v/>
      </c>
      <c r="AS35" t="str">
        <f>IFERROR(ROUND(S35*(R35/$AX35)/VLOOKUP(Q35,职业!$A$3:$E$16,4,FALSE),0),"")</f>
        <v/>
      </c>
      <c r="AT35" t="str">
        <f>IFERROR(ROUND(X35*(U35/$AY35)/VLOOKUP(T35,商品!$A$4:$D$67,4,FALSE),0),"")</f>
        <v/>
      </c>
      <c r="AU35" t="str">
        <f>IFERROR(ROUND(X35*(W35/$AY35)/VLOOKUP(V35,商品!$A$4:$D$67,4,FALSE),0),"")</f>
        <v/>
      </c>
      <c r="AW35">
        <f t="shared" si="13"/>
        <v>0</v>
      </c>
      <c r="AX35">
        <f t="shared" si="14"/>
        <v>0</v>
      </c>
      <c r="AY35">
        <f t="shared" si="15"/>
        <v>0</v>
      </c>
    </row>
    <row r="36" customHeight="1" spans="1:51">
      <c r="A36" s="18" t="s">
        <v>294</v>
      </c>
      <c r="C36" s="18">
        <v>4</v>
      </c>
      <c r="D36" s="1" t="s">
        <v>220</v>
      </c>
      <c r="E36" s="1" t="s">
        <v>222</v>
      </c>
      <c r="L36" s="18">
        <f>IFERROR(VLOOKUP($D36&amp;$C36,生产方式定位!$A$2:$E$38,2,FALSE)+VLOOKUP($E36&amp;$C36,生产方式定位!$F$3:$J$38,2,FALSE),0)</f>
        <v>1850</v>
      </c>
      <c r="S36" s="18">
        <f>IFERROR(VLOOKUP($D36&amp;$C36,生产方式定位!$A$2:$E$38,3,FALSE)+VLOOKUP($E36&amp;$C36,生产方式定位!$F$3:$J$38,3,FALSE),0)</f>
        <v>120</v>
      </c>
      <c r="X36" s="18">
        <f>IFERROR(VLOOKUP($D36&amp;$C36,生产方式定位!$A$2:$E$38,5,FALSE)+VLOOKUP($E36&amp;$C36,生产方式定位!$F$3:$J$38,5,FALSE),"错误")</f>
        <v>2045</v>
      </c>
      <c r="Y36" s="27" t="str">
        <f t="shared" si="0"/>
        <v/>
      </c>
      <c r="Z36" s="50" t="str">
        <f t="shared" si="3"/>
        <v/>
      </c>
      <c r="AA36" s="50" t="str">
        <f t="shared" si="1"/>
        <v/>
      </c>
      <c r="AB36" s="28" t="str">
        <f t="shared" si="4"/>
        <v>11%</v>
      </c>
      <c r="AC36" s="1">
        <f t="shared" si="16"/>
        <v>75</v>
      </c>
      <c r="AD36" s="52">
        <f t="shared" si="2"/>
        <v>4</v>
      </c>
      <c r="AE36" t="str">
        <f t="shared" si="5"/>
        <v/>
      </c>
      <c r="AF36" t="str">
        <f t="shared" si="6"/>
        <v/>
      </c>
      <c r="AG36" t="str">
        <f t="shared" si="7"/>
        <v/>
      </c>
      <c r="AH36" t="str">
        <f t="shared" si="8"/>
        <v/>
      </c>
      <c r="AI36" t="str">
        <f t="shared" si="9"/>
        <v/>
      </c>
      <c r="AJ36" t="str">
        <f t="shared" si="10"/>
        <v/>
      </c>
      <c r="AK36" t="str">
        <f t="shared" si="11"/>
        <v/>
      </c>
      <c r="AL36" t="str">
        <f t="shared" si="12"/>
        <v/>
      </c>
      <c r="AN36" t="str">
        <f>IFERROR(ROUND(L36*(G36/$AW36)/VLOOKUP(F36,商品!$A$4:$D$67,4,FALSE),0),"")</f>
        <v/>
      </c>
      <c r="AO36" t="str">
        <f>IFERROR(ROUND(L36*(I36/$AW36)/VLOOKUP(H36,商品!$A$4:$D$67,4,FALSE),0),"")</f>
        <v/>
      </c>
      <c r="AP36" t="str">
        <f>IFERROR(ROUND(L36*(K36/$AW36)/VLOOKUP(J36,商品!$A$4:$D$67,4,FALSE),0),"")</f>
        <v/>
      </c>
      <c r="AQ36" t="str">
        <f>IFERROR(ROUND(S36*(N36/$AX36)/VLOOKUP(M36,职业!$A$3:$E$16,4,FALSE),0),"")</f>
        <v/>
      </c>
      <c r="AR36" t="str">
        <f>IFERROR(ROUND(S36*(P36/$AX36)/VLOOKUP(O36,职业!$A$3:$E$16,4,FALSE),0),"")</f>
        <v/>
      </c>
      <c r="AS36" t="str">
        <f>IFERROR(ROUND(S36*(R36/$AX36)/VLOOKUP(Q36,职业!$A$3:$E$16,4,FALSE),0),"")</f>
        <v/>
      </c>
      <c r="AT36" t="str">
        <f>IFERROR(ROUND(X36*(U36/$AY36)/VLOOKUP(T36,商品!$A$4:$D$67,4,FALSE),0),"")</f>
        <v/>
      </c>
      <c r="AU36" t="str">
        <f>IFERROR(ROUND(X36*(W36/$AY36)/VLOOKUP(V36,商品!$A$4:$D$67,4,FALSE),0),"")</f>
        <v/>
      </c>
      <c r="AW36">
        <f t="shared" si="13"/>
        <v>0</v>
      </c>
      <c r="AX36">
        <f t="shared" si="14"/>
        <v>0</v>
      </c>
      <c r="AY36">
        <f t="shared" si="15"/>
        <v>0</v>
      </c>
    </row>
    <row r="37" customHeight="1" spans="1:51">
      <c r="A37" s="18" t="s">
        <v>294</v>
      </c>
      <c r="C37" s="18">
        <v>5</v>
      </c>
      <c r="D37" s="1" t="s">
        <v>220</v>
      </c>
      <c r="E37" s="1" t="s">
        <v>222</v>
      </c>
      <c r="L37" s="18">
        <f>IFERROR(VLOOKUP($D37&amp;$C37,生产方式定位!$A$2:$E$38,2,FALSE)+VLOOKUP($E37&amp;$C37,生产方式定位!$F$3:$J$38,2,FALSE),0)</f>
        <v>2175</v>
      </c>
      <c r="S37" s="18">
        <f>IFERROR(VLOOKUP($D37&amp;$C37,生产方式定位!$A$2:$E$38,3,FALSE)+VLOOKUP($E37&amp;$C37,生产方式定位!$F$3:$J$38,3,FALSE),0)</f>
        <v>110</v>
      </c>
      <c r="X37" s="18">
        <f>IFERROR(VLOOKUP($D37&amp;$C37,生产方式定位!$A$2:$E$38,5,FALSE)+VLOOKUP($E37&amp;$C37,生产方式定位!$F$3:$J$38,5,FALSE),"错误")</f>
        <v>2373</v>
      </c>
      <c r="Y37" s="27" t="str">
        <f t="shared" si="0"/>
        <v/>
      </c>
      <c r="Z37" s="50" t="str">
        <f t="shared" si="3"/>
        <v/>
      </c>
      <c r="AA37" s="50" t="str">
        <f t="shared" si="1"/>
        <v/>
      </c>
      <c r="AB37" s="28" t="str">
        <f t="shared" si="4"/>
        <v>9%</v>
      </c>
      <c r="AC37" s="1">
        <f t="shared" si="16"/>
        <v>88</v>
      </c>
      <c r="AD37" s="52">
        <f t="shared" si="2"/>
        <v>5</v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N37" t="str">
        <f>IFERROR(ROUND(L37*(G37/$AW37)/VLOOKUP(F37,商品!$A$4:$D$67,4,FALSE),0),"")</f>
        <v/>
      </c>
      <c r="AO37" t="str">
        <f>IFERROR(ROUND(L37*(I37/$AW37)/VLOOKUP(H37,商品!$A$4:$D$67,4,FALSE),0),"")</f>
        <v/>
      </c>
      <c r="AP37" t="str">
        <f>IFERROR(ROUND(L37*(K37/$AW37)/VLOOKUP(J37,商品!$A$4:$D$67,4,FALSE),0),"")</f>
        <v/>
      </c>
      <c r="AQ37" t="str">
        <f>IFERROR(ROUND(S37*(N37/$AX37)/VLOOKUP(M37,职业!$A$3:$E$16,4,FALSE),0),"")</f>
        <v/>
      </c>
      <c r="AR37" t="str">
        <f>IFERROR(ROUND(S37*(P37/$AX37)/VLOOKUP(O37,职业!$A$3:$E$16,4,FALSE),0),"")</f>
        <v/>
      </c>
      <c r="AS37" t="str">
        <f>IFERROR(ROUND(S37*(R37/$AX37)/VLOOKUP(Q37,职业!$A$3:$E$16,4,FALSE),0),"")</f>
        <v/>
      </c>
      <c r="AT37" t="str">
        <f>IFERROR(ROUND(X37*(U37/$AY37)/VLOOKUP(T37,商品!$A$4:$D$67,4,FALSE),0),"")</f>
        <v/>
      </c>
      <c r="AU37" t="str">
        <f>IFERROR(ROUND(X37*(W37/$AY37)/VLOOKUP(V37,商品!$A$4:$D$67,4,FALSE),0),"")</f>
        <v/>
      </c>
      <c r="AW37">
        <f t="shared" si="13"/>
        <v>0</v>
      </c>
      <c r="AX37">
        <f t="shared" si="14"/>
        <v>0</v>
      </c>
      <c r="AY37">
        <f t="shared" si="15"/>
        <v>0</v>
      </c>
    </row>
    <row r="38" customHeight="1" spans="1:51">
      <c r="A38" s="5" t="s">
        <v>295</v>
      </c>
      <c r="C38" s="5">
        <v>1</v>
      </c>
      <c r="D38" s="1" t="s">
        <v>220</v>
      </c>
      <c r="E38" s="1" t="s">
        <v>223</v>
      </c>
      <c r="L38" s="5">
        <f>IFERROR(VLOOKUP($D38&amp;$C38,生产方式定位!$A$2:$E$38,2,FALSE)+VLOOKUP($E38&amp;$C38,生产方式定位!$F$3:$J$38,2,FALSE),0)</f>
        <v>500</v>
      </c>
      <c r="S38" s="5">
        <f>IFERROR(VLOOKUP($D38&amp;$C38,生产方式定位!$A$2:$E$38,3,FALSE)+VLOOKUP($E38&amp;$C38,生产方式定位!$F$3:$J$38,3,FALSE),0)</f>
        <v>150</v>
      </c>
      <c r="X38" s="5">
        <f>IFERROR(VLOOKUP($D38&amp;$C38,生产方式定位!$A$2:$E$38,5,FALSE)+VLOOKUP($E38&amp;$C38,生产方式定位!$F$3:$J$38,5,FALSE),"错误")</f>
        <v>715</v>
      </c>
      <c r="Y38" s="27" t="str">
        <f t="shared" si="0"/>
        <v/>
      </c>
      <c r="Z38" s="50" t="str">
        <f t="shared" si="3"/>
        <v/>
      </c>
      <c r="AA38" s="50" t="str">
        <f t="shared" si="1"/>
        <v/>
      </c>
      <c r="AB38" s="28" t="str">
        <f t="shared" si="4"/>
        <v>43%</v>
      </c>
      <c r="AC38" s="1">
        <f t="shared" si="16"/>
        <v>65</v>
      </c>
      <c r="AD38" s="51">
        <f t="shared" si="2"/>
        <v>1</v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N38" t="str">
        <f>IFERROR(ROUND(L38*(G38/$AW38)/VLOOKUP(F38,商品!$A$4:$D$67,4,FALSE),0),"")</f>
        <v/>
      </c>
      <c r="AO38" t="str">
        <f>IFERROR(ROUND(L38*(I38/$AW38)/VLOOKUP(H38,商品!$A$4:$D$67,4,FALSE),0),"")</f>
        <v/>
      </c>
      <c r="AP38" t="str">
        <f>IFERROR(ROUND(L38*(K38/$AW38)/VLOOKUP(J38,商品!$A$4:$D$67,4,FALSE),0),"")</f>
        <v/>
      </c>
      <c r="AQ38" t="str">
        <f>IFERROR(ROUND(S38*(N38/$AX38)/VLOOKUP(M38,职业!$A$3:$E$16,4,FALSE),0),"")</f>
        <v/>
      </c>
      <c r="AR38" t="str">
        <f>IFERROR(ROUND(S38*(P38/$AX38)/VLOOKUP(O38,职业!$A$3:$E$16,4,FALSE),0),"")</f>
        <v/>
      </c>
      <c r="AS38" t="str">
        <f>IFERROR(ROUND(S38*(R38/$AX38)/VLOOKUP(Q38,职业!$A$3:$E$16,4,FALSE),0),"")</f>
        <v/>
      </c>
      <c r="AT38" t="str">
        <f>IFERROR(ROUND(X38*(U38/$AY38)/VLOOKUP(T38,商品!$A$4:$D$67,4,FALSE),0),"")</f>
        <v/>
      </c>
      <c r="AU38" t="str">
        <f>IFERROR(ROUND(X38*(W38/$AY38)/VLOOKUP(V38,商品!$A$4:$D$67,4,FALSE),0),"")</f>
        <v/>
      </c>
      <c r="AW38">
        <f t="shared" si="13"/>
        <v>0</v>
      </c>
      <c r="AX38">
        <f t="shared" si="14"/>
        <v>0</v>
      </c>
      <c r="AY38">
        <f t="shared" si="15"/>
        <v>0</v>
      </c>
    </row>
    <row r="39" customHeight="1" spans="1:51">
      <c r="A39" s="5" t="s">
        <v>295</v>
      </c>
      <c r="C39" s="5">
        <v>2</v>
      </c>
      <c r="D39" s="1" t="s">
        <v>220</v>
      </c>
      <c r="E39" s="1" t="s">
        <v>223</v>
      </c>
      <c r="L39" s="5">
        <f>IFERROR(VLOOKUP($D39&amp;$C39,生产方式定位!$A$2:$E$38,2,FALSE)+VLOOKUP($E39&amp;$C39,生产方式定位!$F$3:$J$38,2,FALSE),0)</f>
        <v>1100</v>
      </c>
      <c r="S39" s="5">
        <f>IFERROR(VLOOKUP($D39&amp;$C39,生产方式定位!$A$2:$E$38,3,FALSE)+VLOOKUP($E39&amp;$C39,生产方式定位!$F$3:$J$38,3,FALSE),0)</f>
        <v>150</v>
      </c>
      <c r="X39" s="5">
        <f>IFERROR(VLOOKUP($D39&amp;$C39,生产方式定位!$A$2:$E$38,5,FALSE)+VLOOKUP($E39&amp;$C39,生产方式定位!$F$3:$J$38,5,FALSE),"错误")</f>
        <v>1291</v>
      </c>
      <c r="Y39" s="27" t="str">
        <f t="shared" si="0"/>
        <v/>
      </c>
      <c r="Z39" s="50" t="str">
        <f t="shared" si="3"/>
        <v/>
      </c>
      <c r="AA39" s="50" t="str">
        <f t="shared" si="1"/>
        <v/>
      </c>
      <c r="AB39" s="28" t="str">
        <f t="shared" si="4"/>
        <v>17%</v>
      </c>
      <c r="AC39" s="1">
        <f t="shared" si="16"/>
        <v>41</v>
      </c>
      <c r="AD39" s="51">
        <f t="shared" si="2"/>
        <v>2</v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N39" t="str">
        <f>IFERROR(ROUND(L39*(G39/$AW39)/VLOOKUP(F39,商品!$A$4:$D$67,4,FALSE),0),"")</f>
        <v/>
      </c>
      <c r="AO39" t="str">
        <f>IFERROR(ROUND(L39*(I39/$AW39)/VLOOKUP(H39,商品!$A$4:$D$67,4,FALSE),0),"")</f>
        <v/>
      </c>
      <c r="AP39" t="str">
        <f>IFERROR(ROUND(L39*(K39/$AW39)/VLOOKUP(J39,商品!$A$4:$D$67,4,FALSE),0),"")</f>
        <v/>
      </c>
      <c r="AQ39" t="str">
        <f>IFERROR(ROUND(S39*(N39/$AX39)/VLOOKUP(M39,职业!$A$3:$E$16,4,FALSE),0),"")</f>
        <v/>
      </c>
      <c r="AR39" t="str">
        <f>IFERROR(ROUND(S39*(P39/$AX39)/VLOOKUP(O39,职业!$A$3:$E$16,4,FALSE),0),"")</f>
        <v/>
      </c>
      <c r="AS39" t="str">
        <f>IFERROR(ROUND(S39*(R39/$AX39)/VLOOKUP(Q39,职业!$A$3:$E$16,4,FALSE),0),"")</f>
        <v/>
      </c>
      <c r="AT39" t="str">
        <f>IFERROR(ROUND(X39*(U39/$AY39)/VLOOKUP(T39,商品!$A$4:$D$67,4,FALSE),0),"")</f>
        <v/>
      </c>
      <c r="AU39" t="str">
        <f>IFERROR(ROUND(X39*(W39/$AY39)/VLOOKUP(V39,商品!$A$4:$D$67,4,FALSE),0),"")</f>
        <v/>
      </c>
      <c r="AW39">
        <f t="shared" si="13"/>
        <v>0</v>
      </c>
      <c r="AX39">
        <f t="shared" si="14"/>
        <v>0</v>
      </c>
      <c r="AY39">
        <f t="shared" si="15"/>
        <v>0</v>
      </c>
    </row>
    <row r="40" customHeight="1" spans="1:51">
      <c r="A40" s="5" t="s">
        <v>295</v>
      </c>
      <c r="C40" s="5">
        <v>3</v>
      </c>
      <c r="D40" s="1" t="s">
        <v>220</v>
      </c>
      <c r="E40" s="1" t="s">
        <v>223</v>
      </c>
      <c r="L40" s="5">
        <f>IFERROR(VLOOKUP($D40&amp;$C40,生产方式定位!$A$2:$E$38,2,FALSE)+VLOOKUP($E40&amp;$C40,生产方式定位!$F$3:$J$38,2,FALSE),0)</f>
        <v>1400</v>
      </c>
      <c r="S40" s="5">
        <f>IFERROR(VLOOKUP($D40&amp;$C40,生产方式定位!$A$2:$E$38,3,FALSE)+VLOOKUP($E40&amp;$C40,生产方式定位!$F$3:$J$38,3,FALSE),0)</f>
        <v>145</v>
      </c>
      <c r="X40" s="5">
        <f>IFERROR(VLOOKUP($D40&amp;$C40,生产方式定位!$A$2:$E$38,5,FALSE)+VLOOKUP($E40&amp;$C40,生产方式定位!$F$3:$J$38,5,FALSE),"错误")</f>
        <v>1597</v>
      </c>
      <c r="Y40" s="27" t="str">
        <f t="shared" si="0"/>
        <v/>
      </c>
      <c r="Z40" s="50" t="str">
        <f t="shared" si="3"/>
        <v/>
      </c>
      <c r="AA40" s="50" t="str">
        <f t="shared" si="1"/>
        <v/>
      </c>
      <c r="AB40" s="28" t="str">
        <f t="shared" si="4"/>
        <v>14%</v>
      </c>
      <c r="AC40" s="1">
        <f t="shared" si="16"/>
        <v>52</v>
      </c>
      <c r="AD40" s="51">
        <f t="shared" si="2"/>
        <v>3</v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N40" t="str">
        <f>IFERROR(ROUND(L40*(G40/$AW40)/VLOOKUP(F40,商品!$A$4:$D$67,4,FALSE),0),"")</f>
        <v/>
      </c>
      <c r="AO40" t="str">
        <f>IFERROR(ROUND(L40*(I40/$AW40)/VLOOKUP(H40,商品!$A$4:$D$67,4,FALSE),0),"")</f>
        <v/>
      </c>
      <c r="AP40" t="str">
        <f>IFERROR(ROUND(L40*(K40/$AW40)/VLOOKUP(J40,商品!$A$4:$D$67,4,FALSE),0),"")</f>
        <v/>
      </c>
      <c r="AQ40" t="str">
        <f>IFERROR(ROUND(S40*(N40/$AX40)/VLOOKUP(M40,职业!$A$3:$E$16,4,FALSE),0),"")</f>
        <v/>
      </c>
      <c r="AR40" t="str">
        <f>IFERROR(ROUND(S40*(P40/$AX40)/VLOOKUP(O40,职业!$A$3:$E$16,4,FALSE),0),"")</f>
        <v/>
      </c>
      <c r="AS40" t="str">
        <f>IFERROR(ROUND(S40*(R40/$AX40)/VLOOKUP(Q40,职业!$A$3:$E$16,4,FALSE),0),"")</f>
        <v/>
      </c>
      <c r="AT40" t="str">
        <f>IFERROR(ROUND(X40*(U40/$AY40)/VLOOKUP(T40,商品!$A$4:$D$67,4,FALSE),0),"")</f>
        <v/>
      </c>
      <c r="AU40" t="str">
        <f>IFERROR(ROUND(X40*(W40/$AY40)/VLOOKUP(V40,商品!$A$4:$D$67,4,FALSE),0),"")</f>
        <v/>
      </c>
      <c r="AW40">
        <f t="shared" si="13"/>
        <v>0</v>
      </c>
      <c r="AX40">
        <f t="shared" si="14"/>
        <v>0</v>
      </c>
      <c r="AY40">
        <f t="shared" si="15"/>
        <v>0</v>
      </c>
    </row>
    <row r="41" customHeight="1" spans="1:51">
      <c r="A41" s="5" t="s">
        <v>295</v>
      </c>
      <c r="C41" s="5">
        <v>4</v>
      </c>
      <c r="D41" s="1" t="s">
        <v>220</v>
      </c>
      <c r="E41" s="1" t="s">
        <v>223</v>
      </c>
      <c r="L41" s="5">
        <f>IFERROR(VLOOKUP($D41&amp;$C41,生产方式定位!$A$2:$E$38,2,FALSE)+VLOOKUP($E41&amp;$C41,生产方式定位!$F$3:$J$38,2,FALSE),0)</f>
        <v>1700</v>
      </c>
      <c r="S41" s="5">
        <f>IFERROR(VLOOKUP($D41&amp;$C41,生产方式定位!$A$2:$E$38,3,FALSE)+VLOOKUP($E41&amp;$C41,生产方式定位!$F$3:$J$38,3,FALSE),0)</f>
        <v>140</v>
      </c>
      <c r="X41" s="5">
        <f>IFERROR(VLOOKUP($D41&amp;$C41,生产方式定位!$A$2:$E$38,5,FALSE)+VLOOKUP($E41&amp;$C41,生产方式定位!$F$3:$J$38,5,FALSE),"错误")</f>
        <v>1902</v>
      </c>
      <c r="Y41" s="27" t="str">
        <f t="shared" si="0"/>
        <v/>
      </c>
      <c r="Z41" s="50" t="str">
        <f t="shared" si="3"/>
        <v/>
      </c>
      <c r="AA41" s="50" t="str">
        <f t="shared" si="1"/>
        <v/>
      </c>
      <c r="AB41" s="28" t="str">
        <f t="shared" si="4"/>
        <v>12%</v>
      </c>
      <c r="AC41" s="1">
        <f t="shared" si="16"/>
        <v>62</v>
      </c>
      <c r="AD41" s="51">
        <f t="shared" si="2"/>
        <v>4</v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N41" t="str">
        <f>IFERROR(ROUND(L41*(G41/$AW41)/VLOOKUP(F41,商品!$A$4:$D$67,4,FALSE),0),"")</f>
        <v/>
      </c>
      <c r="AO41" t="str">
        <f>IFERROR(ROUND(L41*(I41/$AW41)/VLOOKUP(H41,商品!$A$4:$D$67,4,FALSE),0),"")</f>
        <v/>
      </c>
      <c r="AP41" t="str">
        <f>IFERROR(ROUND(L41*(K41/$AW41)/VLOOKUP(J41,商品!$A$4:$D$67,4,FALSE),0),"")</f>
        <v/>
      </c>
      <c r="AQ41" t="str">
        <f>IFERROR(ROUND(S41*(N41/$AX41)/VLOOKUP(M41,职业!$A$3:$E$16,4,FALSE),0),"")</f>
        <v/>
      </c>
      <c r="AR41" t="str">
        <f>IFERROR(ROUND(S41*(P41/$AX41)/VLOOKUP(O41,职业!$A$3:$E$16,4,FALSE),0),"")</f>
        <v/>
      </c>
      <c r="AS41" t="str">
        <f>IFERROR(ROUND(S41*(R41/$AX41)/VLOOKUP(Q41,职业!$A$3:$E$16,4,FALSE),0),"")</f>
        <v/>
      </c>
      <c r="AT41" t="str">
        <f>IFERROR(ROUND(X41*(U41/$AY41)/VLOOKUP(T41,商品!$A$4:$D$67,4,FALSE),0),"")</f>
        <v/>
      </c>
      <c r="AU41" t="str">
        <f>IFERROR(ROUND(X41*(W41/$AY41)/VLOOKUP(V41,商品!$A$4:$D$67,4,FALSE),0),"")</f>
        <v/>
      </c>
      <c r="AW41">
        <f t="shared" si="13"/>
        <v>0</v>
      </c>
      <c r="AX41">
        <f t="shared" si="14"/>
        <v>0</v>
      </c>
      <c r="AY41">
        <f t="shared" si="15"/>
        <v>0</v>
      </c>
    </row>
    <row r="42" customHeight="1" spans="1:51">
      <c r="A42" s="5" t="s">
        <v>295</v>
      </c>
      <c r="C42" s="5">
        <v>5</v>
      </c>
      <c r="D42" s="1" t="s">
        <v>220</v>
      </c>
      <c r="E42" s="1" t="s">
        <v>223</v>
      </c>
      <c r="L42" s="5">
        <f>IFERROR(VLOOKUP($D42&amp;$C42,生产方式定位!$A$2:$E$38,2,FALSE)+VLOOKUP($E42&amp;$C42,生产方式定位!$F$3:$J$38,2,FALSE),0)</f>
        <v>2000</v>
      </c>
      <c r="S42" s="5">
        <f>IFERROR(VLOOKUP($D42&amp;$C42,生产方式定位!$A$2:$E$38,3,FALSE)+VLOOKUP($E42&amp;$C42,生产方式定位!$F$3:$J$38,3,FALSE),0)</f>
        <v>135</v>
      </c>
      <c r="X42" s="5">
        <f>IFERROR(VLOOKUP($D42&amp;$C42,生产方式定位!$A$2:$E$38,5,FALSE)+VLOOKUP($E42&amp;$C42,生产方式定位!$F$3:$J$38,5,FALSE),"错误")</f>
        <v>2208</v>
      </c>
      <c r="Y42" s="27" t="str">
        <f t="shared" si="0"/>
        <v/>
      </c>
      <c r="Z42" s="50" t="str">
        <f t="shared" si="3"/>
        <v/>
      </c>
      <c r="AA42" s="50" t="str">
        <f t="shared" si="1"/>
        <v/>
      </c>
      <c r="AB42" s="28" t="str">
        <f t="shared" si="4"/>
        <v>10%</v>
      </c>
      <c r="AC42" s="1">
        <f t="shared" si="16"/>
        <v>73</v>
      </c>
      <c r="AD42" s="51">
        <f t="shared" si="2"/>
        <v>5</v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N42" t="str">
        <f>IFERROR(ROUND(L42*(G42/$AW42)/VLOOKUP(F42,商品!$A$4:$D$67,4,FALSE),0),"")</f>
        <v/>
      </c>
      <c r="AO42" t="str">
        <f>IFERROR(ROUND(L42*(I42/$AW42)/VLOOKUP(H42,商品!$A$4:$D$67,4,FALSE),0),"")</f>
        <v/>
      </c>
      <c r="AP42" t="str">
        <f>IFERROR(ROUND(L42*(K42/$AW42)/VLOOKUP(J42,商品!$A$4:$D$67,4,FALSE),0),"")</f>
        <v/>
      </c>
      <c r="AQ42" t="str">
        <f>IFERROR(ROUND(S42*(N42/$AX42)/VLOOKUP(M42,职业!$A$3:$E$16,4,FALSE),0),"")</f>
        <v/>
      </c>
      <c r="AR42" t="str">
        <f>IFERROR(ROUND(S42*(P42/$AX42)/VLOOKUP(O42,职业!$A$3:$E$16,4,FALSE),0),"")</f>
        <v/>
      </c>
      <c r="AS42" t="str">
        <f>IFERROR(ROUND(S42*(R42/$AX42)/VLOOKUP(Q42,职业!$A$3:$E$16,4,FALSE),0),"")</f>
        <v/>
      </c>
      <c r="AT42" t="str">
        <f>IFERROR(ROUND(X42*(U42/$AY42)/VLOOKUP(T42,商品!$A$4:$D$67,4,FALSE),0),"")</f>
        <v/>
      </c>
      <c r="AU42" t="str">
        <f>IFERROR(ROUND(X42*(W42/$AY42)/VLOOKUP(V42,商品!$A$4:$D$67,4,FALSE),0),"")</f>
        <v/>
      </c>
      <c r="AW42">
        <f t="shared" si="13"/>
        <v>0</v>
      </c>
      <c r="AX42">
        <f t="shared" si="14"/>
        <v>0</v>
      </c>
      <c r="AY42">
        <f t="shared" si="15"/>
        <v>0</v>
      </c>
    </row>
    <row r="43" customHeight="1" spans="1:51">
      <c r="A43" s="18" t="s">
        <v>296</v>
      </c>
      <c r="C43" s="18">
        <v>1</v>
      </c>
      <c r="D43" s="1" t="s">
        <v>220</v>
      </c>
      <c r="E43" s="1" t="s">
        <v>224</v>
      </c>
      <c r="L43" s="18">
        <f>IFERROR(VLOOKUP($D43&amp;$C43,生产方式定位!$A$2:$E$38,2,FALSE)+VLOOKUP($E43&amp;$C43,生产方式定位!$F$3:$J$38,2,FALSE),0)</f>
        <v>500</v>
      </c>
      <c r="S43" s="18">
        <f>IFERROR(VLOOKUP($D43&amp;$C43,生产方式定位!$A$2:$E$38,3,FALSE)+VLOOKUP($E43&amp;$C43,生产方式定位!$F$3:$J$38,3,FALSE),0)</f>
        <v>150</v>
      </c>
      <c r="X43" s="18">
        <f>IFERROR(VLOOKUP($D43&amp;$C43,生产方式定位!$A$2:$E$38,5,FALSE)+VLOOKUP($E43&amp;$C43,生产方式定位!$F$3:$J$38,5,FALSE),"错误")</f>
        <v>715</v>
      </c>
      <c r="Y43" s="27" t="str">
        <f t="shared" si="0"/>
        <v/>
      </c>
      <c r="Z43" s="50" t="str">
        <f t="shared" si="3"/>
        <v/>
      </c>
      <c r="AA43" s="50" t="str">
        <f t="shared" si="1"/>
        <v/>
      </c>
      <c r="AB43" s="28" t="str">
        <f t="shared" si="4"/>
        <v>43%</v>
      </c>
      <c r="AC43" s="1">
        <f t="shared" si="16"/>
        <v>65</v>
      </c>
      <c r="AD43" s="52">
        <f t="shared" si="2"/>
        <v>1</v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N43" t="str">
        <f>IFERROR(ROUND(L43*(G43/$AW43)/VLOOKUP(F43,商品!$A$4:$D$67,4,FALSE),0),"")</f>
        <v/>
      </c>
      <c r="AO43" t="str">
        <f>IFERROR(ROUND(L43*(I43/$AW43)/VLOOKUP(H43,商品!$A$4:$D$67,4,FALSE),0),"")</f>
        <v/>
      </c>
      <c r="AP43" t="str">
        <f>IFERROR(ROUND(L43*(K43/$AW43)/VLOOKUP(J43,商品!$A$4:$D$67,4,FALSE),0),"")</f>
        <v/>
      </c>
      <c r="AQ43" t="str">
        <f>IFERROR(ROUND(S43*(N43/$AX43)/VLOOKUP(M43,职业!$A$3:$E$16,4,FALSE),0),"")</f>
        <v/>
      </c>
      <c r="AR43" t="str">
        <f>IFERROR(ROUND(S43*(P43/$AX43)/VLOOKUP(O43,职业!$A$3:$E$16,4,FALSE),0),"")</f>
        <v/>
      </c>
      <c r="AS43" t="str">
        <f>IFERROR(ROUND(S43*(R43/$AX43)/VLOOKUP(Q43,职业!$A$3:$E$16,4,FALSE),0),"")</f>
        <v/>
      </c>
      <c r="AT43" t="str">
        <f>IFERROR(ROUND(X43*(U43/$AY43)/VLOOKUP(T43,商品!$A$4:$D$67,4,FALSE),0),"")</f>
        <v/>
      </c>
      <c r="AU43" t="str">
        <f>IFERROR(ROUND(X43*(W43/$AY43)/VLOOKUP(V43,商品!$A$4:$D$67,4,FALSE),0),"")</f>
        <v/>
      </c>
      <c r="AW43">
        <f t="shared" si="13"/>
        <v>0</v>
      </c>
      <c r="AX43">
        <f t="shared" si="14"/>
        <v>0</v>
      </c>
      <c r="AY43">
        <f t="shared" si="15"/>
        <v>0</v>
      </c>
    </row>
    <row r="44" customHeight="1" spans="1:51">
      <c r="A44" s="18" t="s">
        <v>296</v>
      </c>
      <c r="C44" s="18">
        <v>2</v>
      </c>
      <c r="D44" s="1" t="s">
        <v>220</v>
      </c>
      <c r="E44" s="1" t="s">
        <v>224</v>
      </c>
      <c r="L44" s="18">
        <f>IFERROR(VLOOKUP($D44&amp;$C44,生产方式定位!$A$2:$E$38,2,FALSE)+VLOOKUP($E44&amp;$C44,生产方式定位!$F$3:$J$38,2,FALSE),0)</f>
        <v>1200</v>
      </c>
      <c r="S44" s="18">
        <f>IFERROR(VLOOKUP($D44&amp;$C44,生产方式定位!$A$2:$E$38,3,FALSE)+VLOOKUP($E44&amp;$C44,生产方式定位!$F$3:$J$38,3,FALSE),0)</f>
        <v>100</v>
      </c>
      <c r="X44" s="18">
        <f>IFERROR(VLOOKUP($D44&amp;$C44,生产方式定位!$A$2:$E$38,5,FALSE)+VLOOKUP($E44&amp;$C44,生产方式定位!$F$3:$J$38,5,FALSE),"错误")</f>
        <v>1346</v>
      </c>
      <c r="Y44" s="27" t="str">
        <f t="shared" si="0"/>
        <v/>
      </c>
      <c r="Z44" s="50" t="str">
        <f t="shared" si="3"/>
        <v/>
      </c>
      <c r="AA44" s="50" t="str">
        <f t="shared" si="1"/>
        <v/>
      </c>
      <c r="AB44" s="28" t="str">
        <f t="shared" si="4"/>
        <v>12%</v>
      </c>
      <c r="AC44" s="1">
        <f t="shared" si="16"/>
        <v>46</v>
      </c>
      <c r="AD44" s="52">
        <f t="shared" si="2"/>
        <v>2</v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N44" t="str">
        <f>IFERROR(ROUND(L44*(G44/$AW44)/VLOOKUP(F44,商品!$A$4:$D$67,4,FALSE),0),"")</f>
        <v/>
      </c>
      <c r="AO44" t="str">
        <f>IFERROR(ROUND(L44*(I44/$AW44)/VLOOKUP(H44,商品!$A$4:$D$67,4,FALSE),0),"")</f>
        <v/>
      </c>
      <c r="AP44" t="str">
        <f>IFERROR(ROUND(L44*(K44/$AW44)/VLOOKUP(J44,商品!$A$4:$D$67,4,FALSE),0),"")</f>
        <v/>
      </c>
      <c r="AQ44" t="str">
        <f>IFERROR(ROUND(S44*(N44/$AX44)/VLOOKUP(M44,职业!$A$3:$E$16,4,FALSE),0),"")</f>
        <v/>
      </c>
      <c r="AR44" t="str">
        <f>IFERROR(ROUND(S44*(P44/$AX44)/VLOOKUP(O44,职业!$A$3:$E$16,4,FALSE),0),"")</f>
        <v/>
      </c>
      <c r="AS44" t="str">
        <f>IFERROR(ROUND(S44*(R44/$AX44)/VLOOKUP(Q44,职业!$A$3:$E$16,4,FALSE),0),"")</f>
        <v/>
      </c>
      <c r="AT44" t="str">
        <f>IFERROR(ROUND(X44*(U44/$AY44)/VLOOKUP(T44,商品!$A$4:$D$67,4,FALSE),0),"")</f>
        <v/>
      </c>
      <c r="AU44" t="str">
        <f>IFERROR(ROUND(X44*(W44/$AY44)/VLOOKUP(V44,商品!$A$4:$D$67,4,FALSE),0),"")</f>
        <v/>
      </c>
      <c r="AW44">
        <f t="shared" si="13"/>
        <v>0</v>
      </c>
      <c r="AX44">
        <f t="shared" si="14"/>
        <v>0</v>
      </c>
      <c r="AY44">
        <f t="shared" si="15"/>
        <v>0</v>
      </c>
    </row>
    <row r="45" customHeight="1" spans="1:51">
      <c r="A45" s="18" t="s">
        <v>296</v>
      </c>
      <c r="C45" s="18">
        <v>3</v>
      </c>
      <c r="D45" s="1" t="s">
        <v>220</v>
      </c>
      <c r="E45" s="1" t="s">
        <v>224</v>
      </c>
      <c r="L45" s="18">
        <f>IFERROR(VLOOKUP($D45&amp;$C45,生产方式定位!$A$2:$E$38,2,FALSE)+VLOOKUP($E45&amp;$C45,生产方式定位!$F$3:$J$38,2,FALSE),0)</f>
        <v>1900</v>
      </c>
      <c r="S45" s="18">
        <f>IFERROR(VLOOKUP($D45&amp;$C45,生产方式定位!$A$2:$E$38,3,FALSE)+VLOOKUP($E45&amp;$C45,生产方式定位!$F$3:$J$38,3,FALSE),0)</f>
        <v>70</v>
      </c>
      <c r="X45" s="18">
        <f>IFERROR(VLOOKUP($D45&amp;$C45,生产方式定位!$A$2:$E$38,5,FALSE)+VLOOKUP($E45&amp;$C45,生产方式定位!$F$3:$J$38,5,FALSE),"错误")</f>
        <v>2064</v>
      </c>
      <c r="Y45" s="27" t="str">
        <f t="shared" si="0"/>
        <v/>
      </c>
      <c r="Z45" s="50" t="str">
        <f t="shared" si="3"/>
        <v/>
      </c>
      <c r="AA45" s="50" t="str">
        <f t="shared" si="1"/>
        <v/>
      </c>
      <c r="AB45" s="28" t="str">
        <f t="shared" si="4"/>
        <v>9%</v>
      </c>
      <c r="AC45" s="1">
        <f t="shared" si="16"/>
        <v>94</v>
      </c>
      <c r="AD45" s="52">
        <f t="shared" si="2"/>
        <v>3</v>
      </c>
      <c r="AE45" t="str">
        <f t="shared" si="5"/>
        <v/>
      </c>
      <c r="AF45" t="str">
        <f t="shared" si="6"/>
        <v/>
      </c>
      <c r="AG45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N45" t="str">
        <f>IFERROR(ROUND(L45*(G45/$AW45)/VLOOKUP(F45,商品!$A$4:$D$67,4,FALSE),0),"")</f>
        <v/>
      </c>
      <c r="AO45" t="str">
        <f>IFERROR(ROUND(L45*(I45/$AW45)/VLOOKUP(H45,商品!$A$4:$D$67,4,FALSE),0),"")</f>
        <v/>
      </c>
      <c r="AP45" t="str">
        <f>IFERROR(ROUND(L45*(K45/$AW45)/VLOOKUP(J45,商品!$A$4:$D$67,4,FALSE),0),"")</f>
        <v/>
      </c>
      <c r="AQ45" t="str">
        <f>IFERROR(ROUND(S45*(N45/$AX45)/VLOOKUP(M45,职业!$A$3:$E$16,4,FALSE),0),"")</f>
        <v/>
      </c>
      <c r="AR45" t="str">
        <f>IFERROR(ROUND(S45*(P45/$AX45)/VLOOKUP(O45,职业!$A$3:$E$16,4,FALSE),0),"")</f>
        <v/>
      </c>
      <c r="AS45" t="str">
        <f>IFERROR(ROUND(S45*(R45/$AX45)/VLOOKUP(Q45,职业!$A$3:$E$16,4,FALSE),0),"")</f>
        <v/>
      </c>
      <c r="AT45" t="str">
        <f>IFERROR(ROUND(X45*(U45/$AY45)/VLOOKUP(T45,商品!$A$4:$D$67,4,FALSE),0),"")</f>
        <v/>
      </c>
      <c r="AU45" t="str">
        <f>IFERROR(ROUND(X45*(W45/$AY45)/VLOOKUP(V45,商品!$A$4:$D$67,4,FALSE),0),"")</f>
        <v/>
      </c>
      <c r="AW45">
        <f t="shared" si="13"/>
        <v>0</v>
      </c>
      <c r="AX45">
        <f t="shared" si="14"/>
        <v>0</v>
      </c>
      <c r="AY45">
        <f t="shared" si="15"/>
        <v>0</v>
      </c>
    </row>
    <row r="46" customHeight="1" spans="1:51">
      <c r="A46" s="18" t="s">
        <v>296</v>
      </c>
      <c r="C46" s="18">
        <v>4</v>
      </c>
      <c r="D46" s="1" t="s">
        <v>220</v>
      </c>
      <c r="E46" s="1" t="s">
        <v>224</v>
      </c>
      <c r="L46" s="18">
        <f>IFERROR(VLOOKUP($D46&amp;$C46,生产方式定位!$A$2:$E$38,2,FALSE)+VLOOKUP($E46&amp;$C46,生产方式定位!$F$3:$J$38,2,FALSE),0)</f>
        <v>2600</v>
      </c>
      <c r="S46" s="18">
        <f>IFERROR(VLOOKUP($D46&amp;$C46,生产方式定位!$A$2:$E$38,3,FALSE)+VLOOKUP($E46&amp;$C46,生产方式定位!$F$3:$J$38,3,FALSE),0)</f>
        <v>40</v>
      </c>
      <c r="X46" s="18">
        <f>IFERROR(VLOOKUP($D46&amp;$C46,生产方式定位!$A$2:$E$38,5,FALSE)+VLOOKUP($E46&amp;$C46,生产方式定位!$F$3:$J$38,5,FALSE),"错误")</f>
        <v>2782</v>
      </c>
      <c r="Y46" s="27" t="str">
        <f t="shared" si="0"/>
        <v/>
      </c>
      <c r="Z46" s="50" t="str">
        <f t="shared" si="3"/>
        <v/>
      </c>
      <c r="AA46" s="50" t="str">
        <f t="shared" si="1"/>
        <v/>
      </c>
      <c r="AB46" s="28" t="str">
        <f t="shared" si="4"/>
        <v>7%</v>
      </c>
      <c r="AC46" s="1">
        <f t="shared" si="16"/>
        <v>142</v>
      </c>
      <c r="AD46" s="52">
        <f t="shared" si="2"/>
        <v>4</v>
      </c>
      <c r="AE46" t="str">
        <f t="shared" si="5"/>
        <v/>
      </c>
      <c r="AF46" t="str">
        <f t="shared" si="6"/>
        <v/>
      </c>
      <c r="AG46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N46" t="str">
        <f>IFERROR(ROUND(L46*(G46/$AW46)/VLOOKUP(F46,商品!$A$4:$D$67,4,FALSE),0),"")</f>
        <v/>
      </c>
      <c r="AO46" t="str">
        <f>IFERROR(ROUND(L46*(I46/$AW46)/VLOOKUP(H46,商品!$A$4:$D$67,4,FALSE),0),"")</f>
        <v/>
      </c>
      <c r="AP46" t="str">
        <f>IFERROR(ROUND(L46*(K46/$AW46)/VLOOKUP(J46,商品!$A$4:$D$67,4,FALSE),0),"")</f>
        <v/>
      </c>
      <c r="AQ46" t="str">
        <f>IFERROR(ROUND(S46*(N46/$AX46)/VLOOKUP(M46,职业!$A$3:$E$16,4,FALSE),0),"")</f>
        <v/>
      </c>
      <c r="AR46" t="str">
        <f>IFERROR(ROUND(S46*(P46/$AX46)/VLOOKUP(O46,职业!$A$3:$E$16,4,FALSE),0),"")</f>
        <v/>
      </c>
      <c r="AS46" t="str">
        <f>IFERROR(ROUND(S46*(R46/$AX46)/VLOOKUP(Q46,职业!$A$3:$E$16,4,FALSE),0),"")</f>
        <v/>
      </c>
      <c r="AT46" t="str">
        <f>IFERROR(ROUND(X46*(U46/$AY46)/VLOOKUP(T46,商品!$A$4:$D$67,4,FALSE),0),"")</f>
        <v/>
      </c>
      <c r="AU46" t="str">
        <f>IFERROR(ROUND(X46*(W46/$AY46)/VLOOKUP(V46,商品!$A$4:$D$67,4,FALSE),0),"")</f>
        <v/>
      </c>
      <c r="AW46">
        <f t="shared" si="13"/>
        <v>0</v>
      </c>
      <c r="AX46">
        <f t="shared" si="14"/>
        <v>0</v>
      </c>
      <c r="AY46">
        <f t="shared" si="15"/>
        <v>0</v>
      </c>
    </row>
    <row r="47" customHeight="1" spans="1:51">
      <c r="A47" s="18" t="s">
        <v>296</v>
      </c>
      <c r="C47" s="18">
        <v>5</v>
      </c>
      <c r="D47" s="1" t="s">
        <v>220</v>
      </c>
      <c r="E47" s="1" t="s">
        <v>224</v>
      </c>
      <c r="L47" s="18">
        <f>IFERROR(VLOOKUP($D47&amp;$C47,生产方式定位!$A$2:$E$38,2,FALSE)+VLOOKUP($E47&amp;$C47,生产方式定位!$F$3:$J$38,2,FALSE),0)</f>
        <v>3300</v>
      </c>
      <c r="S47" s="18">
        <f>IFERROR(VLOOKUP($D47&amp;$C47,生产方式定位!$A$2:$E$38,3,FALSE)+VLOOKUP($E47&amp;$C47,生产方式定位!$F$3:$J$38,3,FALSE),0)</f>
        <v>10</v>
      </c>
      <c r="X47" s="18">
        <f>IFERROR(VLOOKUP($D47&amp;$C47,生产方式定位!$A$2:$E$38,5,FALSE)+VLOOKUP($E47&amp;$C47,生产方式定位!$F$3:$J$38,5,FALSE),"错误")</f>
        <v>3500</v>
      </c>
      <c r="Y47" s="27" t="str">
        <f t="shared" si="0"/>
        <v/>
      </c>
      <c r="Z47" s="50" t="str">
        <f t="shared" si="3"/>
        <v/>
      </c>
      <c r="AA47" s="50" t="str">
        <f t="shared" si="1"/>
        <v/>
      </c>
      <c r="AB47" s="28" t="str">
        <f t="shared" si="4"/>
        <v>6%</v>
      </c>
      <c r="AC47" s="1">
        <f t="shared" si="16"/>
        <v>190</v>
      </c>
      <c r="AD47" s="52">
        <f t="shared" si="2"/>
        <v>5</v>
      </c>
      <c r="AE47" t="str">
        <f t="shared" si="5"/>
        <v/>
      </c>
      <c r="AF47" t="str">
        <f t="shared" si="6"/>
        <v/>
      </c>
      <c r="AG47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N47" t="str">
        <f>IFERROR(ROUND(L47*(G47/$AW47)/VLOOKUP(F47,商品!$A$4:$D$67,4,FALSE),0),"")</f>
        <v/>
      </c>
      <c r="AO47" t="str">
        <f>IFERROR(ROUND(L47*(I47/$AW47)/VLOOKUP(H47,商品!$A$4:$D$67,4,FALSE),0),"")</f>
        <v/>
      </c>
      <c r="AP47" t="str">
        <f>IFERROR(ROUND(L47*(K47/$AW47)/VLOOKUP(J47,商品!$A$4:$D$67,4,FALSE),0),"")</f>
        <v/>
      </c>
      <c r="AQ47" t="str">
        <f>IFERROR(ROUND(S47*(N47/$AX47)/VLOOKUP(M47,职业!$A$3:$E$16,4,FALSE),0),"")</f>
        <v/>
      </c>
      <c r="AR47" t="str">
        <f>IFERROR(ROUND(S47*(P47/$AX47)/VLOOKUP(O47,职业!$A$3:$E$16,4,FALSE),0),"")</f>
        <v/>
      </c>
      <c r="AS47" t="str">
        <f>IFERROR(ROUND(S47*(R47/$AX47)/VLOOKUP(Q47,职业!$A$3:$E$16,4,FALSE),0),"")</f>
        <v/>
      </c>
      <c r="AT47" t="str">
        <f>IFERROR(ROUND(X47*(U47/$AY47)/VLOOKUP(T47,商品!$A$4:$D$67,4,FALSE),0),"")</f>
        <v/>
      </c>
      <c r="AU47" t="str">
        <f>IFERROR(ROUND(X47*(W47/$AY47)/VLOOKUP(V47,商品!$A$4:$D$67,4,FALSE),0),"")</f>
        <v/>
      </c>
      <c r="AW47">
        <f t="shared" si="13"/>
        <v>0</v>
      </c>
      <c r="AX47">
        <f t="shared" si="14"/>
        <v>0</v>
      </c>
      <c r="AY47">
        <f t="shared" si="15"/>
        <v>0</v>
      </c>
    </row>
    <row r="48" customHeight="1" spans="1:51">
      <c r="A48" s="5" t="s">
        <v>296</v>
      </c>
      <c r="C48" s="5">
        <v>1</v>
      </c>
      <c r="D48" s="1" t="s">
        <v>220</v>
      </c>
      <c r="E48" s="1" t="s">
        <v>224</v>
      </c>
      <c r="L48" s="5">
        <f>IFERROR(VLOOKUP($D48&amp;$C48,生产方式定位!$A$2:$E$38,2,FALSE)+VLOOKUP($E48&amp;$C48,生产方式定位!$F$3:$J$38,2,FALSE),0)</f>
        <v>500</v>
      </c>
      <c r="S48" s="5">
        <f>IFERROR(VLOOKUP($D48&amp;$C48,生产方式定位!$A$2:$E$38,3,FALSE)+VLOOKUP($E48&amp;$C48,生产方式定位!$F$3:$J$38,3,FALSE),0)</f>
        <v>150</v>
      </c>
      <c r="X48" s="5">
        <f>IFERROR(VLOOKUP($D48&amp;$C48,生产方式定位!$A$2:$E$38,5,FALSE)+VLOOKUP($E48&amp;$C48,生产方式定位!$F$3:$J$38,5,FALSE),"错误")</f>
        <v>715</v>
      </c>
      <c r="Y48" s="27" t="str">
        <f t="shared" si="0"/>
        <v/>
      </c>
      <c r="Z48" s="50" t="str">
        <f t="shared" si="3"/>
        <v/>
      </c>
      <c r="AA48" s="50" t="str">
        <f t="shared" si="1"/>
        <v/>
      </c>
      <c r="AB48" s="28" t="str">
        <f t="shared" si="4"/>
        <v>43%</v>
      </c>
      <c r="AC48" s="1">
        <f t="shared" si="16"/>
        <v>65</v>
      </c>
      <c r="AD48" s="51">
        <f t="shared" si="2"/>
        <v>1</v>
      </c>
      <c r="AE48" t="str">
        <f t="shared" si="5"/>
        <v/>
      </c>
      <c r="AF48" t="str">
        <f t="shared" si="6"/>
        <v/>
      </c>
      <c r="AG48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N48" t="str">
        <f>IFERROR(ROUND(L48*(G48/$AW48)/VLOOKUP(F48,商品!$A$4:$D$67,4,FALSE),0),"")</f>
        <v/>
      </c>
      <c r="AO48" t="str">
        <f>IFERROR(ROUND(L48*(I48/$AW48)/VLOOKUP(H48,商品!$A$4:$D$67,4,FALSE),0),"")</f>
        <v/>
      </c>
      <c r="AP48" t="str">
        <f>IFERROR(ROUND(L48*(K48/$AW48)/VLOOKUP(J48,商品!$A$4:$D$67,4,FALSE),0),"")</f>
        <v/>
      </c>
      <c r="AQ48" t="str">
        <f>IFERROR(ROUND(S48*(N48/$AX48)/VLOOKUP(M48,职业!$A$3:$E$16,4,FALSE),0),"")</f>
        <v/>
      </c>
      <c r="AR48" t="str">
        <f>IFERROR(ROUND(S48*(P48/$AX48)/VLOOKUP(O48,职业!$A$3:$E$16,4,FALSE),0),"")</f>
        <v/>
      </c>
      <c r="AS48" t="str">
        <f>IFERROR(ROUND(S48*(R48/$AX48)/VLOOKUP(Q48,职业!$A$3:$E$16,4,FALSE),0),"")</f>
        <v/>
      </c>
      <c r="AT48" t="str">
        <f>IFERROR(ROUND(X48*(U48/$AY48)/VLOOKUP(T48,商品!$A$4:$D$67,4,FALSE),0),"")</f>
        <v/>
      </c>
      <c r="AU48" t="str">
        <f>IFERROR(ROUND(X48*(W48/$AY48)/VLOOKUP(V48,商品!$A$4:$D$67,4,FALSE),0),"")</f>
        <v/>
      </c>
      <c r="AW48">
        <f t="shared" si="13"/>
        <v>0</v>
      </c>
      <c r="AX48">
        <f t="shared" si="14"/>
        <v>0</v>
      </c>
      <c r="AY48">
        <f t="shared" si="15"/>
        <v>0</v>
      </c>
    </row>
    <row r="49" customHeight="1" spans="1:51">
      <c r="A49" s="5" t="s">
        <v>296</v>
      </c>
      <c r="C49" s="5">
        <v>2</v>
      </c>
      <c r="D49" s="1" t="s">
        <v>220</v>
      </c>
      <c r="E49" s="1" t="s">
        <v>224</v>
      </c>
      <c r="L49" s="5">
        <f>IFERROR(VLOOKUP($D49&amp;$C49,生产方式定位!$A$2:$E$38,2,FALSE)+VLOOKUP($E49&amp;$C49,生产方式定位!$F$3:$J$38,2,FALSE),0)</f>
        <v>1200</v>
      </c>
      <c r="S49" s="5">
        <f>IFERROR(VLOOKUP($D49&amp;$C49,生产方式定位!$A$2:$E$38,3,FALSE)+VLOOKUP($E49&amp;$C49,生产方式定位!$F$3:$J$38,3,FALSE),0)</f>
        <v>100</v>
      </c>
      <c r="X49" s="5">
        <f>IFERROR(VLOOKUP($D49&amp;$C49,生产方式定位!$A$2:$E$38,5,FALSE)+VLOOKUP($E49&amp;$C49,生产方式定位!$F$3:$J$38,5,FALSE),"错误")</f>
        <v>1346</v>
      </c>
      <c r="Y49" s="27" t="str">
        <f t="shared" si="0"/>
        <v/>
      </c>
      <c r="Z49" s="50" t="str">
        <f t="shared" si="3"/>
        <v/>
      </c>
      <c r="AA49" s="50" t="str">
        <f t="shared" si="1"/>
        <v/>
      </c>
      <c r="AB49" s="28" t="str">
        <f t="shared" si="4"/>
        <v>12%</v>
      </c>
      <c r="AC49" s="1">
        <f t="shared" si="16"/>
        <v>46</v>
      </c>
      <c r="AD49" s="51">
        <f t="shared" si="2"/>
        <v>2</v>
      </c>
      <c r="AE49" t="str">
        <f t="shared" si="5"/>
        <v/>
      </c>
      <c r="AF49" t="str">
        <f t="shared" si="6"/>
        <v/>
      </c>
      <c r="AG4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N49" t="str">
        <f>IFERROR(ROUND(L49*(G49/$AW49)/VLOOKUP(F49,商品!$A$4:$D$67,4,FALSE),0),"")</f>
        <v/>
      </c>
      <c r="AO49" t="str">
        <f>IFERROR(ROUND(L49*(I49/$AW49)/VLOOKUP(H49,商品!$A$4:$D$67,4,FALSE),0),"")</f>
        <v/>
      </c>
      <c r="AP49" t="str">
        <f>IFERROR(ROUND(L49*(K49/$AW49)/VLOOKUP(J49,商品!$A$4:$D$67,4,FALSE),0),"")</f>
        <v/>
      </c>
      <c r="AQ49" t="str">
        <f>IFERROR(ROUND(S49*(N49/$AX49)/VLOOKUP(M49,职业!$A$3:$E$16,4,FALSE),0),"")</f>
        <v/>
      </c>
      <c r="AR49" t="str">
        <f>IFERROR(ROUND(S49*(P49/$AX49)/VLOOKUP(O49,职业!$A$3:$E$16,4,FALSE),0),"")</f>
        <v/>
      </c>
      <c r="AS49" t="str">
        <f>IFERROR(ROUND(S49*(R49/$AX49)/VLOOKUP(Q49,职业!$A$3:$E$16,4,FALSE),0),"")</f>
        <v/>
      </c>
      <c r="AT49" t="str">
        <f>IFERROR(ROUND(X49*(U49/$AY49)/VLOOKUP(T49,商品!$A$4:$D$67,4,FALSE),0),"")</f>
        <v/>
      </c>
      <c r="AU49" t="str">
        <f>IFERROR(ROUND(X49*(W49/$AY49)/VLOOKUP(V49,商品!$A$4:$D$67,4,FALSE),0),"")</f>
        <v/>
      </c>
      <c r="AW49">
        <f t="shared" si="13"/>
        <v>0</v>
      </c>
      <c r="AX49">
        <f t="shared" si="14"/>
        <v>0</v>
      </c>
      <c r="AY49">
        <f t="shared" si="15"/>
        <v>0</v>
      </c>
    </row>
    <row r="50" customHeight="1" spans="1:51">
      <c r="A50" s="5" t="s">
        <v>296</v>
      </c>
      <c r="C50" s="5">
        <v>3</v>
      </c>
      <c r="D50" s="1" t="s">
        <v>220</v>
      </c>
      <c r="E50" s="1" t="s">
        <v>224</v>
      </c>
      <c r="L50" s="5">
        <f>IFERROR(VLOOKUP($D50&amp;$C50,生产方式定位!$A$2:$E$38,2,FALSE)+VLOOKUP($E50&amp;$C50,生产方式定位!$F$3:$J$38,2,FALSE),0)</f>
        <v>1900</v>
      </c>
      <c r="S50" s="5">
        <f>IFERROR(VLOOKUP($D50&amp;$C50,生产方式定位!$A$2:$E$38,3,FALSE)+VLOOKUP($E50&amp;$C50,生产方式定位!$F$3:$J$38,3,FALSE),0)</f>
        <v>70</v>
      </c>
      <c r="X50" s="5">
        <f>IFERROR(VLOOKUP($D50&amp;$C50,生产方式定位!$A$2:$E$38,5,FALSE)+VLOOKUP($E50&amp;$C50,生产方式定位!$F$3:$J$38,5,FALSE),"错误")</f>
        <v>2064</v>
      </c>
      <c r="Y50" s="27" t="str">
        <f t="shared" si="0"/>
        <v/>
      </c>
      <c r="Z50" s="50" t="str">
        <f t="shared" si="3"/>
        <v/>
      </c>
      <c r="AA50" s="50" t="str">
        <f t="shared" si="1"/>
        <v/>
      </c>
      <c r="AB50" s="28" t="str">
        <f t="shared" si="4"/>
        <v>9%</v>
      </c>
      <c r="AC50" s="1">
        <f t="shared" si="16"/>
        <v>94</v>
      </c>
      <c r="AD50" s="51">
        <f t="shared" si="2"/>
        <v>3</v>
      </c>
      <c r="AE50" t="str">
        <f t="shared" si="5"/>
        <v/>
      </c>
      <c r="AF50" t="str">
        <f t="shared" si="6"/>
        <v/>
      </c>
      <c r="AG50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N50" t="str">
        <f>IFERROR(ROUND(L50*(G50/$AW50)/VLOOKUP(F50,商品!$A$4:$D$67,4,FALSE),0),"")</f>
        <v/>
      </c>
      <c r="AO50" t="str">
        <f>IFERROR(ROUND(L50*(I50/$AW50)/VLOOKUP(H50,商品!$A$4:$D$67,4,FALSE),0),"")</f>
        <v/>
      </c>
      <c r="AP50" t="str">
        <f>IFERROR(ROUND(L50*(K50/$AW50)/VLOOKUP(J50,商品!$A$4:$D$67,4,FALSE),0),"")</f>
        <v/>
      </c>
      <c r="AQ50" t="str">
        <f>IFERROR(ROUND(S50*(N50/$AX50)/VLOOKUP(M50,职业!$A$3:$E$16,4,FALSE),0),"")</f>
        <v/>
      </c>
      <c r="AR50" t="str">
        <f>IFERROR(ROUND(S50*(P50/$AX50)/VLOOKUP(O50,职业!$A$3:$E$16,4,FALSE),0),"")</f>
        <v/>
      </c>
      <c r="AS50" t="str">
        <f>IFERROR(ROUND(S50*(R50/$AX50)/VLOOKUP(Q50,职业!$A$3:$E$16,4,FALSE),0),"")</f>
        <v/>
      </c>
      <c r="AT50" t="str">
        <f>IFERROR(ROUND(X50*(U50/$AY50)/VLOOKUP(T50,商品!$A$4:$D$67,4,FALSE),0),"")</f>
        <v/>
      </c>
      <c r="AU50" t="str">
        <f>IFERROR(ROUND(X50*(W50/$AY50)/VLOOKUP(V50,商品!$A$4:$D$67,4,FALSE),0),"")</f>
        <v/>
      </c>
      <c r="AW50">
        <f t="shared" si="13"/>
        <v>0</v>
      </c>
      <c r="AX50">
        <f t="shared" si="14"/>
        <v>0</v>
      </c>
      <c r="AY50">
        <f t="shared" si="15"/>
        <v>0</v>
      </c>
    </row>
    <row r="51" customHeight="1" spans="1:51">
      <c r="A51" s="5" t="s">
        <v>296</v>
      </c>
      <c r="C51" s="5">
        <v>4</v>
      </c>
      <c r="D51" s="1" t="s">
        <v>220</v>
      </c>
      <c r="E51" s="1" t="s">
        <v>224</v>
      </c>
      <c r="L51" s="5">
        <f>IFERROR(VLOOKUP($D51&amp;$C51,生产方式定位!$A$2:$E$38,2,FALSE)+VLOOKUP($E51&amp;$C51,生产方式定位!$F$3:$J$38,2,FALSE),0)</f>
        <v>2600</v>
      </c>
      <c r="S51" s="5">
        <f>IFERROR(VLOOKUP($D51&amp;$C51,生产方式定位!$A$2:$E$38,3,FALSE)+VLOOKUP($E51&amp;$C51,生产方式定位!$F$3:$J$38,3,FALSE),0)</f>
        <v>40</v>
      </c>
      <c r="X51" s="5">
        <f>IFERROR(VLOOKUP($D51&amp;$C51,生产方式定位!$A$2:$E$38,5,FALSE)+VLOOKUP($E51&amp;$C51,生产方式定位!$F$3:$J$38,5,FALSE),"错误")</f>
        <v>2782</v>
      </c>
      <c r="Y51" s="27" t="str">
        <f t="shared" si="0"/>
        <v/>
      </c>
      <c r="Z51" s="50" t="str">
        <f t="shared" si="3"/>
        <v/>
      </c>
      <c r="AA51" s="50" t="str">
        <f t="shared" si="1"/>
        <v/>
      </c>
      <c r="AB51" s="28" t="str">
        <f t="shared" si="4"/>
        <v>7%</v>
      </c>
      <c r="AC51" s="1">
        <f t="shared" si="16"/>
        <v>142</v>
      </c>
      <c r="AD51" s="51">
        <f t="shared" si="2"/>
        <v>4</v>
      </c>
      <c r="AE51" t="str">
        <f t="shared" si="5"/>
        <v/>
      </c>
      <c r="AF51" t="str">
        <f t="shared" si="6"/>
        <v/>
      </c>
      <c r="AG51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N51" t="str">
        <f>IFERROR(ROUND(L51*(G51/$AW51)/VLOOKUP(F51,商品!$A$4:$D$67,4,FALSE),0),"")</f>
        <v/>
      </c>
      <c r="AO51" t="str">
        <f>IFERROR(ROUND(L51*(I51/$AW51)/VLOOKUP(H51,商品!$A$4:$D$67,4,FALSE),0),"")</f>
        <v/>
      </c>
      <c r="AP51" t="str">
        <f>IFERROR(ROUND(L51*(K51/$AW51)/VLOOKUP(J51,商品!$A$4:$D$67,4,FALSE),0),"")</f>
        <v/>
      </c>
      <c r="AQ51" t="str">
        <f>IFERROR(ROUND(S51*(N51/$AX51)/VLOOKUP(M51,职业!$A$3:$E$16,4,FALSE),0),"")</f>
        <v/>
      </c>
      <c r="AR51" t="str">
        <f>IFERROR(ROUND(S51*(P51/$AX51)/VLOOKUP(O51,职业!$A$3:$E$16,4,FALSE),0),"")</f>
        <v/>
      </c>
      <c r="AS51" t="str">
        <f>IFERROR(ROUND(S51*(R51/$AX51)/VLOOKUP(Q51,职业!$A$3:$E$16,4,FALSE),0),"")</f>
        <v/>
      </c>
      <c r="AT51" t="str">
        <f>IFERROR(ROUND(X51*(U51/$AY51)/VLOOKUP(T51,商品!$A$4:$D$67,4,FALSE),0),"")</f>
        <v/>
      </c>
      <c r="AU51" t="str">
        <f>IFERROR(ROUND(X51*(W51/$AY51)/VLOOKUP(V51,商品!$A$4:$D$67,4,FALSE),0),"")</f>
        <v/>
      </c>
      <c r="AW51">
        <f t="shared" si="13"/>
        <v>0</v>
      </c>
      <c r="AX51">
        <f t="shared" si="14"/>
        <v>0</v>
      </c>
      <c r="AY51">
        <f t="shared" si="15"/>
        <v>0</v>
      </c>
    </row>
    <row r="52" customHeight="1" spans="1:51">
      <c r="A52" s="5" t="s">
        <v>296</v>
      </c>
      <c r="C52" s="5">
        <v>5</v>
      </c>
      <c r="D52" s="1" t="s">
        <v>220</v>
      </c>
      <c r="E52" s="1" t="s">
        <v>224</v>
      </c>
      <c r="L52" s="5">
        <f>IFERROR(VLOOKUP($D52&amp;$C52,生产方式定位!$A$2:$E$38,2,FALSE)+VLOOKUP($E52&amp;$C52,生产方式定位!$F$3:$J$38,2,FALSE),0)</f>
        <v>3300</v>
      </c>
      <c r="S52" s="5">
        <f>IFERROR(VLOOKUP($D52&amp;$C52,生产方式定位!$A$2:$E$38,3,FALSE)+VLOOKUP($E52&amp;$C52,生产方式定位!$F$3:$J$38,3,FALSE),0)</f>
        <v>10</v>
      </c>
      <c r="X52" s="5">
        <f>IFERROR(VLOOKUP($D52&amp;$C52,生产方式定位!$A$2:$E$38,5,FALSE)+VLOOKUP($E52&amp;$C52,生产方式定位!$F$3:$J$38,5,FALSE),"错误")</f>
        <v>3500</v>
      </c>
      <c r="Y52" s="27" t="str">
        <f t="shared" si="0"/>
        <v/>
      </c>
      <c r="Z52" s="50" t="str">
        <f t="shared" si="3"/>
        <v/>
      </c>
      <c r="AA52" s="50" t="str">
        <f t="shared" si="1"/>
        <v/>
      </c>
      <c r="AB52" s="28" t="str">
        <f t="shared" si="4"/>
        <v>6%</v>
      </c>
      <c r="AC52" s="1">
        <f t="shared" si="16"/>
        <v>190</v>
      </c>
      <c r="AD52" s="51">
        <f t="shared" si="2"/>
        <v>5</v>
      </c>
      <c r="AE52" t="str">
        <f t="shared" si="5"/>
        <v/>
      </c>
      <c r="AF52" t="str">
        <f t="shared" si="6"/>
        <v/>
      </c>
      <c r="AG52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N52" t="str">
        <f>IFERROR(ROUND(L52*(G52/$AW52)/VLOOKUP(F52,商品!$A$4:$D$67,4,FALSE),0),"")</f>
        <v/>
      </c>
      <c r="AO52" t="str">
        <f>IFERROR(ROUND(L52*(I52/$AW52)/VLOOKUP(H52,商品!$A$4:$D$67,4,FALSE),0),"")</f>
        <v/>
      </c>
      <c r="AP52" t="str">
        <f>IFERROR(ROUND(L52*(K52/$AW52)/VLOOKUP(J52,商品!$A$4:$D$67,4,FALSE),0),"")</f>
        <v/>
      </c>
      <c r="AQ52" t="str">
        <f>IFERROR(ROUND(S52*(N52/$AX52)/VLOOKUP(M52,职业!$A$3:$E$16,4,FALSE),0),"")</f>
        <v/>
      </c>
      <c r="AR52" t="str">
        <f>IFERROR(ROUND(S52*(P52/$AX52)/VLOOKUP(O52,职业!$A$3:$E$16,4,FALSE),0),"")</f>
        <v/>
      </c>
      <c r="AS52" t="str">
        <f>IFERROR(ROUND(S52*(R52/$AX52)/VLOOKUP(Q52,职业!$A$3:$E$16,4,FALSE),0),"")</f>
        <v/>
      </c>
      <c r="AT52" t="str">
        <f>IFERROR(ROUND(X52*(U52/$AY52)/VLOOKUP(T52,商品!$A$4:$D$67,4,FALSE),0),"")</f>
        <v/>
      </c>
      <c r="AU52" t="str">
        <f>IFERROR(ROUND(X52*(W52/$AY52)/VLOOKUP(V52,商品!$A$4:$D$67,4,FALSE),0),"")</f>
        <v/>
      </c>
      <c r="AW52">
        <f t="shared" si="13"/>
        <v>0</v>
      </c>
      <c r="AX52">
        <f t="shared" si="14"/>
        <v>0</v>
      </c>
      <c r="AY52">
        <f t="shared" si="15"/>
        <v>0</v>
      </c>
    </row>
    <row r="53" customHeight="1" spans="1:51">
      <c r="A53" s="18" t="s">
        <v>297</v>
      </c>
      <c r="C53" s="18">
        <v>1</v>
      </c>
      <c r="D53" s="1" t="s">
        <v>291</v>
      </c>
      <c r="E53" s="1" t="s">
        <v>225</v>
      </c>
      <c r="L53" s="18">
        <f>IFERROR(VLOOKUP($D53&amp;$C53,生产方式定位!$A$2:$E$38,2,FALSE)+VLOOKUP($E53&amp;$C53,生产方式定位!$F$3:$J$38,2,FALSE),0)</f>
        <v>0</v>
      </c>
      <c r="S53" s="18">
        <f>IFERROR(VLOOKUP($D53&amp;$C53,生产方式定位!$A$2:$E$38,3,FALSE)+VLOOKUP($E53&amp;$C53,生产方式定位!$F$3:$J$38,3,FALSE),0)</f>
        <v>100</v>
      </c>
      <c r="X53" s="18">
        <f>IFERROR(VLOOKUP($D53&amp;$C53,生产方式定位!$A$2:$E$38,5,FALSE)+VLOOKUP($E53&amp;$C53,生产方式定位!$F$3:$J$38,5,FALSE),"错误")</f>
        <v>100</v>
      </c>
      <c r="Y53" s="27" t="str">
        <f t="shared" si="0"/>
        <v/>
      </c>
      <c r="Z53" s="50" t="str">
        <f t="shared" si="3"/>
        <v/>
      </c>
      <c r="AA53" s="50" t="str">
        <f t="shared" si="1"/>
        <v/>
      </c>
      <c r="AB53" s="28" t="str">
        <f t="shared" si="4"/>
        <v/>
      </c>
      <c r="AC53" s="1" t="str">
        <f t="shared" si="16"/>
        <v/>
      </c>
      <c r="AD53" s="52">
        <f t="shared" si="2"/>
        <v>1</v>
      </c>
      <c r="AE53" t="str">
        <f t="shared" si="5"/>
        <v/>
      </c>
      <c r="AF53" t="str">
        <f t="shared" si="6"/>
        <v/>
      </c>
      <c r="AG53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N53" t="str">
        <f>IFERROR(ROUND(L53*(G53/$AW53)/VLOOKUP(F53,商品!$A$4:$D$67,4,FALSE),0),"")</f>
        <v/>
      </c>
      <c r="AO53" t="str">
        <f>IFERROR(ROUND(L53*(I53/$AW53)/VLOOKUP(H53,商品!$A$4:$D$67,4,FALSE),0),"")</f>
        <v/>
      </c>
      <c r="AP53" t="str">
        <f>IFERROR(ROUND(L53*(K53/$AW53)/VLOOKUP(J53,商品!$A$4:$D$67,4,FALSE),0),"")</f>
        <v/>
      </c>
      <c r="AQ53" t="str">
        <f>IFERROR(ROUND(S53*(N53/$AX53)/VLOOKUP(M53,职业!$A$3:$E$16,4,FALSE),0),"")</f>
        <v/>
      </c>
      <c r="AR53" t="str">
        <f>IFERROR(ROUND(S53*(P53/$AX53)/VLOOKUP(O53,职业!$A$3:$E$16,4,FALSE),0),"")</f>
        <v/>
      </c>
      <c r="AS53" t="str">
        <f>IFERROR(ROUND(S53*(R53/$AX53)/VLOOKUP(Q53,职业!$A$3:$E$16,4,FALSE),0),"")</f>
        <v/>
      </c>
      <c r="AT53" t="str">
        <f>IFERROR(ROUND(X53*(U53/$AY53)/VLOOKUP(T53,商品!$A$4:$D$67,4,FALSE),0),"")</f>
        <v/>
      </c>
      <c r="AU53" t="str">
        <f>IFERROR(ROUND(X53*(W53/$AY53)/VLOOKUP(V53,商品!$A$4:$D$67,4,FALSE),0),"")</f>
        <v/>
      </c>
      <c r="AW53">
        <f t="shared" si="13"/>
        <v>0</v>
      </c>
      <c r="AX53">
        <f t="shared" si="14"/>
        <v>0</v>
      </c>
      <c r="AY53">
        <f t="shared" si="15"/>
        <v>0</v>
      </c>
    </row>
    <row r="54" customHeight="1" spans="1:51">
      <c r="A54" s="18" t="s">
        <v>297</v>
      </c>
      <c r="C54" s="18">
        <v>2</v>
      </c>
      <c r="D54" s="1" t="s">
        <v>291</v>
      </c>
      <c r="E54" s="1" t="s">
        <v>225</v>
      </c>
      <c r="L54" s="18">
        <f>IFERROR(VLOOKUP($D54&amp;$C54,生产方式定位!$A$2:$E$38,2,FALSE)+VLOOKUP($E54&amp;$C54,生产方式定位!$F$3:$J$38,2,FALSE),0)</f>
        <v>0</v>
      </c>
      <c r="S54" s="18">
        <f>IFERROR(VLOOKUP($D54&amp;$C54,生产方式定位!$A$2:$E$38,3,FALSE)+VLOOKUP($E54&amp;$C54,生产方式定位!$F$3:$J$38,3,FALSE),0)</f>
        <v>100</v>
      </c>
      <c r="X54" s="18">
        <f>IFERROR(VLOOKUP($D54&amp;$C54,生产方式定位!$A$2:$E$38,5,FALSE)+VLOOKUP($E54&amp;$C54,生产方式定位!$F$3:$J$38,5,FALSE),"错误")</f>
        <v>100</v>
      </c>
      <c r="Y54" s="27" t="str">
        <f t="shared" si="0"/>
        <v/>
      </c>
      <c r="Z54" s="50" t="str">
        <f t="shared" si="3"/>
        <v/>
      </c>
      <c r="AA54" s="50" t="str">
        <f t="shared" si="1"/>
        <v/>
      </c>
      <c r="AB54" s="28" t="str">
        <f t="shared" si="4"/>
        <v/>
      </c>
      <c r="AC54" s="1" t="str">
        <f t="shared" si="16"/>
        <v/>
      </c>
      <c r="AD54" s="52">
        <f t="shared" si="2"/>
        <v>2</v>
      </c>
      <c r="AE54" t="str">
        <f t="shared" si="5"/>
        <v/>
      </c>
      <c r="AF54" t="str">
        <f t="shared" si="6"/>
        <v/>
      </c>
      <c r="AG54" t="str">
        <f t="shared" si="7"/>
        <v/>
      </c>
      <c r="AH54" t="str">
        <f t="shared" si="8"/>
        <v/>
      </c>
      <c r="AI54" t="str">
        <f t="shared" si="9"/>
        <v/>
      </c>
      <c r="AJ54" t="str">
        <f t="shared" si="10"/>
        <v/>
      </c>
      <c r="AK54" t="str">
        <f t="shared" si="11"/>
        <v/>
      </c>
      <c r="AL54" t="str">
        <f t="shared" si="12"/>
        <v/>
      </c>
      <c r="AN54" t="str">
        <f>IFERROR(ROUND(L54*(G54/$AW54)/VLOOKUP(F54,商品!$A$4:$D$67,4,FALSE),0),"")</f>
        <v/>
      </c>
      <c r="AO54" t="str">
        <f>IFERROR(ROUND(L54*(I54/$AW54)/VLOOKUP(H54,商品!$A$4:$D$67,4,FALSE),0),"")</f>
        <v/>
      </c>
      <c r="AP54" t="str">
        <f>IFERROR(ROUND(L54*(K54/$AW54)/VLOOKUP(J54,商品!$A$4:$D$67,4,FALSE),0),"")</f>
        <v/>
      </c>
      <c r="AQ54" t="str">
        <f>IFERROR(ROUND(S54*(N54/$AX54)/VLOOKUP(M54,职业!$A$3:$E$16,4,FALSE),0),"")</f>
        <v/>
      </c>
      <c r="AR54" t="str">
        <f>IFERROR(ROUND(S54*(P54/$AX54)/VLOOKUP(O54,职业!$A$3:$E$16,4,FALSE),0),"")</f>
        <v/>
      </c>
      <c r="AS54" t="str">
        <f>IFERROR(ROUND(S54*(R54/$AX54)/VLOOKUP(Q54,职业!$A$3:$E$16,4,FALSE),0),"")</f>
        <v/>
      </c>
      <c r="AT54" t="str">
        <f>IFERROR(ROUND(X54*(U54/$AY54)/VLOOKUP(T54,商品!$A$4:$D$67,4,FALSE),0),"")</f>
        <v/>
      </c>
      <c r="AU54" t="str">
        <f>IFERROR(ROUND(X54*(W54/$AY54)/VLOOKUP(V54,商品!$A$4:$D$67,4,FALSE),0),"")</f>
        <v/>
      </c>
      <c r="AW54">
        <f t="shared" si="13"/>
        <v>0</v>
      </c>
      <c r="AX54">
        <f t="shared" si="14"/>
        <v>0</v>
      </c>
      <c r="AY54">
        <f t="shared" si="15"/>
        <v>0</v>
      </c>
    </row>
    <row r="55" customHeight="1" spans="1:51">
      <c r="A55" s="18" t="s">
        <v>297</v>
      </c>
      <c r="C55" s="18">
        <v>3</v>
      </c>
      <c r="D55" s="1" t="s">
        <v>291</v>
      </c>
      <c r="E55" s="1" t="s">
        <v>225</v>
      </c>
      <c r="L55" s="18">
        <f>IFERROR(VLOOKUP($D55&amp;$C55,生产方式定位!$A$2:$E$38,2,FALSE)+VLOOKUP($E55&amp;$C55,生产方式定位!$F$3:$J$38,2,FALSE),0)</f>
        <v>0</v>
      </c>
      <c r="S55" s="18">
        <f>IFERROR(VLOOKUP($D55&amp;$C55,生产方式定位!$A$2:$E$38,3,FALSE)+VLOOKUP($E55&amp;$C55,生产方式定位!$F$3:$J$38,3,FALSE),0)</f>
        <v>100</v>
      </c>
      <c r="X55" s="18">
        <f>IFERROR(VLOOKUP($D55&amp;$C55,生产方式定位!$A$2:$E$38,5,FALSE)+VLOOKUP($E55&amp;$C55,生产方式定位!$F$3:$J$38,5,FALSE),"错误")</f>
        <v>100</v>
      </c>
      <c r="Y55" s="27" t="str">
        <f t="shared" si="0"/>
        <v/>
      </c>
      <c r="Z55" s="50" t="str">
        <f t="shared" si="3"/>
        <v/>
      </c>
      <c r="AA55" s="50" t="str">
        <f t="shared" si="1"/>
        <v/>
      </c>
      <c r="AB55" s="28" t="str">
        <f t="shared" si="4"/>
        <v/>
      </c>
      <c r="AC55" s="1" t="str">
        <f t="shared" si="16"/>
        <v/>
      </c>
      <c r="AD55" s="52">
        <f t="shared" si="2"/>
        <v>3</v>
      </c>
      <c r="AE55" t="str">
        <f t="shared" si="5"/>
        <v/>
      </c>
      <c r="AF55" t="str">
        <f t="shared" si="6"/>
        <v/>
      </c>
      <c r="AG55" t="str">
        <f t="shared" si="7"/>
        <v/>
      </c>
      <c r="AH55" t="str">
        <f t="shared" si="8"/>
        <v/>
      </c>
      <c r="AI55" t="str">
        <f t="shared" si="9"/>
        <v/>
      </c>
      <c r="AJ55" t="str">
        <f t="shared" si="10"/>
        <v/>
      </c>
      <c r="AK55" t="str">
        <f t="shared" si="11"/>
        <v/>
      </c>
      <c r="AL55" t="str">
        <f t="shared" si="12"/>
        <v/>
      </c>
      <c r="AN55" t="str">
        <f>IFERROR(ROUND(L55*(G55/$AW55)/VLOOKUP(F55,商品!$A$4:$D$67,4,FALSE),0),"")</f>
        <v/>
      </c>
      <c r="AO55" t="str">
        <f>IFERROR(ROUND(L55*(I55/$AW55)/VLOOKUP(H55,商品!$A$4:$D$67,4,FALSE),0),"")</f>
        <v/>
      </c>
      <c r="AP55" t="str">
        <f>IFERROR(ROUND(L55*(K55/$AW55)/VLOOKUP(J55,商品!$A$4:$D$67,4,FALSE),0),"")</f>
        <v/>
      </c>
      <c r="AQ55" t="str">
        <f>IFERROR(ROUND(S55*(N55/$AX55)/VLOOKUP(M55,职业!$A$3:$E$16,4,FALSE),0),"")</f>
        <v/>
      </c>
      <c r="AR55" t="str">
        <f>IFERROR(ROUND(S55*(P55/$AX55)/VLOOKUP(O55,职业!$A$3:$E$16,4,FALSE),0),"")</f>
        <v/>
      </c>
      <c r="AS55" t="str">
        <f>IFERROR(ROUND(S55*(R55/$AX55)/VLOOKUP(Q55,职业!$A$3:$E$16,4,FALSE),0),"")</f>
        <v/>
      </c>
      <c r="AT55" t="str">
        <f>IFERROR(ROUND(X55*(U55/$AY55)/VLOOKUP(T55,商品!$A$4:$D$67,4,FALSE),0),"")</f>
        <v/>
      </c>
      <c r="AU55" t="str">
        <f>IFERROR(ROUND(X55*(W55/$AY55)/VLOOKUP(V55,商品!$A$4:$D$67,4,FALSE),0),"")</f>
        <v/>
      </c>
      <c r="AW55">
        <f t="shared" si="13"/>
        <v>0</v>
      </c>
      <c r="AX55">
        <f t="shared" si="14"/>
        <v>0</v>
      </c>
      <c r="AY55">
        <f t="shared" si="15"/>
        <v>0</v>
      </c>
    </row>
    <row r="56" customHeight="1" spans="1:51">
      <c r="A56" s="18" t="s">
        <v>297</v>
      </c>
      <c r="C56" s="18">
        <v>4</v>
      </c>
      <c r="D56" s="1" t="s">
        <v>291</v>
      </c>
      <c r="E56" s="1" t="s">
        <v>225</v>
      </c>
      <c r="L56" s="18">
        <f>IFERROR(VLOOKUP($D56&amp;$C56,生产方式定位!$A$2:$E$38,2,FALSE)+VLOOKUP($E56&amp;$C56,生产方式定位!$F$3:$J$38,2,FALSE),0)</f>
        <v>0</v>
      </c>
      <c r="S56" s="18">
        <f>IFERROR(VLOOKUP($D56&amp;$C56,生产方式定位!$A$2:$E$38,3,FALSE)+VLOOKUP($E56&amp;$C56,生产方式定位!$F$3:$J$38,3,FALSE),0)</f>
        <v>100</v>
      </c>
      <c r="X56" s="18">
        <f>IFERROR(VLOOKUP($D56&amp;$C56,生产方式定位!$A$2:$E$38,5,FALSE)+VLOOKUP($E56&amp;$C56,生产方式定位!$F$3:$J$38,5,FALSE),"错误")</f>
        <v>100</v>
      </c>
      <c r="Y56" s="27" t="str">
        <f t="shared" si="0"/>
        <v/>
      </c>
      <c r="Z56" s="50" t="str">
        <f t="shared" si="3"/>
        <v/>
      </c>
      <c r="AA56" s="50" t="str">
        <f t="shared" si="1"/>
        <v/>
      </c>
      <c r="AB56" s="28" t="str">
        <f t="shared" si="4"/>
        <v/>
      </c>
      <c r="AC56" s="1" t="str">
        <f t="shared" si="16"/>
        <v/>
      </c>
      <c r="AD56" s="52">
        <f t="shared" si="2"/>
        <v>4</v>
      </c>
      <c r="AE56" t="str">
        <f t="shared" si="5"/>
        <v/>
      </c>
      <c r="AF56" t="str">
        <f t="shared" si="6"/>
        <v/>
      </c>
      <c r="AG56" t="str">
        <f t="shared" si="7"/>
        <v/>
      </c>
      <c r="AH56" t="str">
        <f t="shared" si="8"/>
        <v/>
      </c>
      <c r="AI56" t="str">
        <f t="shared" si="9"/>
        <v/>
      </c>
      <c r="AJ56" t="str">
        <f t="shared" si="10"/>
        <v/>
      </c>
      <c r="AK56" t="str">
        <f t="shared" si="11"/>
        <v/>
      </c>
      <c r="AL56" t="str">
        <f t="shared" si="12"/>
        <v/>
      </c>
      <c r="AN56" t="str">
        <f>IFERROR(ROUND(L56*(G56/$AW56)/VLOOKUP(F56,商品!$A$4:$D$67,4,FALSE),0),"")</f>
        <v/>
      </c>
      <c r="AO56" t="str">
        <f>IFERROR(ROUND(L56*(I56/$AW56)/VLOOKUP(H56,商品!$A$4:$D$67,4,FALSE),0),"")</f>
        <v/>
      </c>
      <c r="AP56" t="str">
        <f>IFERROR(ROUND(L56*(K56/$AW56)/VLOOKUP(J56,商品!$A$4:$D$67,4,FALSE),0),"")</f>
        <v/>
      </c>
      <c r="AQ56" t="str">
        <f>IFERROR(ROUND(S56*(N56/$AX56)/VLOOKUP(M56,职业!$A$3:$E$16,4,FALSE),0),"")</f>
        <v/>
      </c>
      <c r="AR56" t="str">
        <f>IFERROR(ROUND(S56*(P56/$AX56)/VLOOKUP(O56,职业!$A$3:$E$16,4,FALSE),0),"")</f>
        <v/>
      </c>
      <c r="AS56" t="str">
        <f>IFERROR(ROUND(S56*(R56/$AX56)/VLOOKUP(Q56,职业!$A$3:$E$16,4,FALSE),0),"")</f>
        <v/>
      </c>
      <c r="AT56" t="str">
        <f>IFERROR(ROUND(X56*(U56/$AY56)/VLOOKUP(T56,商品!$A$4:$D$67,4,FALSE),0),"")</f>
        <v/>
      </c>
      <c r="AU56" t="str">
        <f>IFERROR(ROUND(X56*(W56/$AY56)/VLOOKUP(V56,商品!$A$4:$D$67,4,FALSE),0),"")</f>
        <v/>
      </c>
      <c r="AW56">
        <f t="shared" si="13"/>
        <v>0</v>
      </c>
      <c r="AX56">
        <f t="shared" si="14"/>
        <v>0</v>
      </c>
      <c r="AY56">
        <f t="shared" si="15"/>
        <v>0</v>
      </c>
    </row>
    <row r="57" customHeight="1" spans="1:51">
      <c r="A57" s="18" t="s">
        <v>297</v>
      </c>
      <c r="C57" s="18">
        <v>5</v>
      </c>
      <c r="D57" s="1" t="s">
        <v>291</v>
      </c>
      <c r="E57" s="1" t="s">
        <v>225</v>
      </c>
      <c r="L57" s="18">
        <f>IFERROR(VLOOKUP($D57&amp;$C57,生产方式定位!$A$2:$E$38,2,FALSE)+VLOOKUP($E57&amp;$C57,生产方式定位!$F$3:$J$38,2,FALSE),0)</f>
        <v>0</v>
      </c>
      <c r="S57" s="18">
        <f>IFERROR(VLOOKUP($D57&amp;$C57,生产方式定位!$A$2:$E$38,3,FALSE)+VLOOKUP($E57&amp;$C57,生产方式定位!$F$3:$J$38,3,FALSE),0)</f>
        <v>100</v>
      </c>
      <c r="X57" s="18">
        <f>IFERROR(VLOOKUP($D57&amp;$C57,生产方式定位!$A$2:$E$38,5,FALSE)+VLOOKUP($E57&amp;$C57,生产方式定位!$F$3:$J$38,5,FALSE),"错误")</f>
        <v>100</v>
      </c>
      <c r="Y57" s="27" t="str">
        <f t="shared" si="0"/>
        <v/>
      </c>
      <c r="Z57" s="50" t="str">
        <f t="shared" si="3"/>
        <v/>
      </c>
      <c r="AA57" s="50" t="str">
        <f t="shared" si="1"/>
        <v/>
      </c>
      <c r="AB57" s="28" t="str">
        <f t="shared" si="4"/>
        <v/>
      </c>
      <c r="AC57" s="1" t="str">
        <f t="shared" si="16"/>
        <v/>
      </c>
      <c r="AD57" s="52">
        <f t="shared" si="2"/>
        <v>5</v>
      </c>
      <c r="AE57" t="str">
        <f t="shared" si="5"/>
        <v/>
      </c>
      <c r="AF57" t="str">
        <f t="shared" si="6"/>
        <v/>
      </c>
      <c r="AG57" t="str">
        <f t="shared" si="7"/>
        <v/>
      </c>
      <c r="AH57" t="str">
        <f t="shared" si="8"/>
        <v/>
      </c>
      <c r="AI57" t="str">
        <f t="shared" si="9"/>
        <v/>
      </c>
      <c r="AJ57" t="str">
        <f t="shared" si="10"/>
        <v/>
      </c>
      <c r="AK57" t="str">
        <f t="shared" si="11"/>
        <v/>
      </c>
      <c r="AL57" t="str">
        <f t="shared" si="12"/>
        <v/>
      </c>
      <c r="AN57" t="str">
        <f>IFERROR(ROUND(L57*(G57/$AW57)/VLOOKUP(F57,商品!$A$4:$D$67,4,FALSE),0),"")</f>
        <v/>
      </c>
      <c r="AO57" t="str">
        <f>IFERROR(ROUND(L57*(I57/$AW57)/VLOOKUP(H57,商品!$A$4:$D$67,4,FALSE),0),"")</f>
        <v/>
      </c>
      <c r="AP57" t="str">
        <f>IFERROR(ROUND(L57*(K57/$AW57)/VLOOKUP(J57,商品!$A$4:$D$67,4,FALSE),0),"")</f>
        <v/>
      </c>
      <c r="AQ57" t="str">
        <f>IFERROR(ROUND(S57*(N57/$AX57)/VLOOKUP(M57,职业!$A$3:$E$16,4,FALSE),0),"")</f>
        <v/>
      </c>
      <c r="AR57" t="str">
        <f>IFERROR(ROUND(S57*(P57/$AX57)/VLOOKUP(O57,职业!$A$3:$E$16,4,FALSE),0),"")</f>
        <v/>
      </c>
      <c r="AS57" t="str">
        <f>IFERROR(ROUND(S57*(R57/$AX57)/VLOOKUP(Q57,职业!$A$3:$E$16,4,FALSE),0),"")</f>
        <v/>
      </c>
      <c r="AT57" t="str">
        <f>IFERROR(ROUND(X57*(U57/$AY57)/VLOOKUP(T57,商品!$A$4:$D$67,4,FALSE),0),"")</f>
        <v/>
      </c>
      <c r="AU57" t="str">
        <f>IFERROR(ROUND(X57*(W57/$AY57)/VLOOKUP(V57,商品!$A$4:$D$67,4,FALSE),0),"")</f>
        <v/>
      </c>
      <c r="AW57">
        <f t="shared" si="13"/>
        <v>0</v>
      </c>
      <c r="AX57">
        <f t="shared" si="14"/>
        <v>0</v>
      </c>
      <c r="AY57">
        <f t="shared" si="15"/>
        <v>0</v>
      </c>
    </row>
    <row r="58" customHeight="1" spans="1:51">
      <c r="A58" s="18" t="s">
        <v>297</v>
      </c>
      <c r="C58" s="18">
        <v>6</v>
      </c>
      <c r="D58" s="1" t="s">
        <v>291</v>
      </c>
      <c r="E58" s="1" t="s">
        <v>225</v>
      </c>
      <c r="L58" s="18">
        <f>IFERROR(VLOOKUP($D58&amp;$C58,生产方式定位!$A$2:$E$38,2,FALSE)+VLOOKUP($E58&amp;$C58,生产方式定位!$F$3:$J$38,2,FALSE),0)</f>
        <v>0</v>
      </c>
      <c r="S58" s="18">
        <f>IFERROR(VLOOKUP($D58&amp;$C58,生产方式定位!$A$2:$E$38,3,FALSE)+VLOOKUP($E58&amp;$C58,生产方式定位!$F$3:$J$38,3,FALSE),0)</f>
        <v>100</v>
      </c>
      <c r="X58" s="18">
        <f>IFERROR(VLOOKUP($D58&amp;$C58,生产方式定位!$A$2:$E$38,5,FALSE)+VLOOKUP($E58&amp;$C58,生产方式定位!$F$3:$J$38,5,FALSE),"错误")</f>
        <v>100</v>
      </c>
      <c r="Y58" s="27" t="str">
        <f t="shared" si="0"/>
        <v/>
      </c>
      <c r="Z58" s="50" t="str">
        <f t="shared" si="3"/>
        <v/>
      </c>
      <c r="AA58" s="50" t="str">
        <f t="shared" si="1"/>
        <v/>
      </c>
      <c r="AB58" s="28" t="str">
        <f t="shared" si="4"/>
        <v/>
      </c>
      <c r="AC58" s="1" t="str">
        <f t="shared" si="16"/>
        <v/>
      </c>
      <c r="AD58" s="52">
        <f t="shared" si="2"/>
        <v>6</v>
      </c>
      <c r="AE58" t="str">
        <f t="shared" si="5"/>
        <v/>
      </c>
      <c r="AF58" t="str">
        <f t="shared" si="6"/>
        <v/>
      </c>
      <c r="AG58" t="str">
        <f t="shared" si="7"/>
        <v/>
      </c>
      <c r="AH58" t="str">
        <f t="shared" si="8"/>
        <v/>
      </c>
      <c r="AI58" t="str">
        <f t="shared" si="9"/>
        <v/>
      </c>
      <c r="AJ58" t="str">
        <f t="shared" si="10"/>
        <v/>
      </c>
      <c r="AK58" t="str">
        <f t="shared" si="11"/>
        <v/>
      </c>
      <c r="AL58" t="str">
        <f t="shared" si="12"/>
        <v/>
      </c>
      <c r="AN58" t="str">
        <f>IFERROR(ROUND(L58*(G58/$AW58)/VLOOKUP(F58,商品!$A$4:$D$67,4,FALSE),0),"")</f>
        <v/>
      </c>
      <c r="AO58" t="str">
        <f>IFERROR(ROUND(L58*(I58/$AW58)/VLOOKUP(H58,商品!$A$4:$D$67,4,FALSE),0),"")</f>
        <v/>
      </c>
      <c r="AP58" t="str">
        <f>IFERROR(ROUND(L58*(K58/$AW58)/VLOOKUP(J58,商品!$A$4:$D$67,4,FALSE),0),"")</f>
        <v/>
      </c>
      <c r="AQ58" t="str">
        <f>IFERROR(ROUND(S58*(N58/$AX58)/VLOOKUP(M58,职业!$A$3:$E$16,4,FALSE),0),"")</f>
        <v/>
      </c>
      <c r="AR58" t="str">
        <f>IFERROR(ROUND(S58*(P58/$AX58)/VLOOKUP(O58,职业!$A$3:$E$16,4,FALSE),0),"")</f>
        <v/>
      </c>
      <c r="AS58" t="str">
        <f>IFERROR(ROUND(S58*(R58/$AX58)/VLOOKUP(Q58,职业!$A$3:$E$16,4,FALSE),0),"")</f>
        <v/>
      </c>
      <c r="AT58" t="str">
        <f>IFERROR(ROUND(X58*(U58/$AY58)/VLOOKUP(T58,商品!$A$4:$D$67,4,FALSE),0),"")</f>
        <v/>
      </c>
      <c r="AU58" t="str">
        <f>IFERROR(ROUND(X58*(W58/$AY58)/VLOOKUP(V58,商品!$A$4:$D$67,4,FALSE),0),"")</f>
        <v/>
      </c>
      <c r="AW58">
        <f t="shared" si="13"/>
        <v>0</v>
      </c>
      <c r="AX58">
        <f t="shared" si="14"/>
        <v>0</v>
      </c>
      <c r="AY58">
        <f t="shared" si="15"/>
        <v>0</v>
      </c>
    </row>
    <row r="59" customHeight="1" spans="1:51">
      <c r="A59" s="18" t="s">
        <v>297</v>
      </c>
      <c r="C59" s="18">
        <v>7</v>
      </c>
      <c r="D59" s="1" t="s">
        <v>291</v>
      </c>
      <c r="E59" s="1" t="s">
        <v>225</v>
      </c>
      <c r="L59" s="18">
        <f>IFERROR(VLOOKUP($D59&amp;$C59,生产方式定位!$A$2:$E$38,2,FALSE)+VLOOKUP($E59&amp;$C59,生产方式定位!$F$3:$J$38,2,FALSE),0)</f>
        <v>0</v>
      </c>
      <c r="S59" s="18">
        <f>IFERROR(VLOOKUP($D59&amp;$C59,生产方式定位!$A$2:$E$38,3,FALSE)+VLOOKUP($E59&amp;$C59,生产方式定位!$F$3:$J$38,3,FALSE),0)</f>
        <v>100</v>
      </c>
      <c r="X59" s="18">
        <f>IFERROR(VLOOKUP($D59&amp;$C59,生产方式定位!$A$2:$E$38,5,FALSE)+VLOOKUP($E59&amp;$C59,生产方式定位!$F$3:$J$38,5,FALSE),"错误")</f>
        <v>100</v>
      </c>
      <c r="Y59" s="27" t="str">
        <f t="shared" si="0"/>
        <v/>
      </c>
      <c r="Z59" s="50" t="str">
        <f t="shared" si="3"/>
        <v/>
      </c>
      <c r="AA59" s="50" t="str">
        <f t="shared" si="1"/>
        <v/>
      </c>
      <c r="AB59" s="28" t="str">
        <f t="shared" si="4"/>
        <v/>
      </c>
      <c r="AC59" s="1" t="str">
        <f t="shared" si="16"/>
        <v/>
      </c>
      <c r="AD59" s="52">
        <f t="shared" si="2"/>
        <v>7</v>
      </c>
      <c r="AE59" t="str">
        <f t="shared" si="5"/>
        <v/>
      </c>
      <c r="AF59" t="str">
        <f t="shared" si="6"/>
        <v/>
      </c>
      <c r="AG59" t="str">
        <f t="shared" si="7"/>
        <v/>
      </c>
      <c r="AH59" t="str">
        <f t="shared" si="8"/>
        <v/>
      </c>
      <c r="AI59" t="str">
        <f t="shared" si="9"/>
        <v/>
      </c>
      <c r="AJ59" t="str">
        <f t="shared" si="10"/>
        <v/>
      </c>
      <c r="AK59" t="str">
        <f t="shared" si="11"/>
        <v/>
      </c>
      <c r="AL59" t="str">
        <f t="shared" si="12"/>
        <v/>
      </c>
      <c r="AN59" t="str">
        <f>IFERROR(ROUND(L59*(G59/$AW59)/VLOOKUP(F59,商品!$A$4:$D$67,4,FALSE),0),"")</f>
        <v/>
      </c>
      <c r="AO59" t="str">
        <f>IFERROR(ROUND(L59*(I59/$AW59)/VLOOKUP(H59,商品!$A$4:$D$67,4,FALSE),0),"")</f>
        <v/>
      </c>
      <c r="AP59" t="str">
        <f>IFERROR(ROUND(L59*(K59/$AW59)/VLOOKUP(J59,商品!$A$4:$D$67,4,FALSE),0),"")</f>
        <v/>
      </c>
      <c r="AQ59" t="str">
        <f>IFERROR(ROUND(S59*(N59/$AX59)/VLOOKUP(M59,职业!$A$3:$E$16,4,FALSE),0),"")</f>
        <v/>
      </c>
      <c r="AR59" t="str">
        <f>IFERROR(ROUND(S59*(P59/$AX59)/VLOOKUP(O59,职业!$A$3:$E$16,4,FALSE),0),"")</f>
        <v/>
      </c>
      <c r="AS59" t="str">
        <f>IFERROR(ROUND(S59*(R59/$AX59)/VLOOKUP(Q59,职业!$A$3:$E$16,4,FALSE),0),"")</f>
        <v/>
      </c>
      <c r="AT59" t="str">
        <f>IFERROR(ROUND(X59*(U59/$AY59)/VLOOKUP(T59,商品!$A$4:$D$67,4,FALSE),0),"")</f>
        <v/>
      </c>
      <c r="AU59" t="str">
        <f>IFERROR(ROUND(X59*(W59/$AY59)/VLOOKUP(V59,商品!$A$4:$D$67,4,FALSE),0),"")</f>
        <v/>
      </c>
      <c r="AW59">
        <f t="shared" si="13"/>
        <v>0</v>
      </c>
      <c r="AX59">
        <f t="shared" si="14"/>
        <v>0</v>
      </c>
      <c r="AY59">
        <f t="shared" si="15"/>
        <v>0</v>
      </c>
    </row>
    <row r="60" customHeight="1" spans="1:51">
      <c r="A60" s="18" t="s">
        <v>297</v>
      </c>
      <c r="C60" s="18">
        <v>8</v>
      </c>
      <c r="D60" s="1" t="s">
        <v>291</v>
      </c>
      <c r="E60" s="1" t="s">
        <v>225</v>
      </c>
      <c r="L60" s="18">
        <f>IFERROR(VLOOKUP($D60&amp;$C60,生产方式定位!$A$2:$E$38,2,FALSE)+VLOOKUP($E60&amp;$C60,生产方式定位!$F$3:$J$38,2,FALSE),0)</f>
        <v>0</v>
      </c>
      <c r="S60" s="18">
        <f>IFERROR(VLOOKUP($D60&amp;$C60,生产方式定位!$A$2:$E$38,3,FALSE)+VLOOKUP($E60&amp;$C60,生产方式定位!$F$3:$J$38,3,FALSE),0)</f>
        <v>100</v>
      </c>
      <c r="X60" s="18">
        <f>IFERROR(VLOOKUP($D60&amp;$C60,生产方式定位!$A$2:$E$38,5,FALSE)+VLOOKUP($E60&amp;$C60,生产方式定位!$F$3:$J$38,5,FALSE),"错误")</f>
        <v>100</v>
      </c>
      <c r="Y60" s="27" t="str">
        <f t="shared" si="0"/>
        <v/>
      </c>
      <c r="Z60" s="50" t="str">
        <f t="shared" si="3"/>
        <v/>
      </c>
      <c r="AA60" s="50" t="str">
        <f t="shared" si="1"/>
        <v/>
      </c>
      <c r="AB60" s="28" t="str">
        <f t="shared" si="4"/>
        <v/>
      </c>
      <c r="AC60" s="1" t="str">
        <f t="shared" si="16"/>
        <v/>
      </c>
      <c r="AD60" s="52">
        <f t="shared" si="2"/>
        <v>8</v>
      </c>
      <c r="AE60" t="str">
        <f t="shared" si="5"/>
        <v/>
      </c>
      <c r="AF60" t="str">
        <f t="shared" si="6"/>
        <v/>
      </c>
      <c r="AG60" t="str">
        <f t="shared" si="7"/>
        <v/>
      </c>
      <c r="AH60" t="str">
        <f t="shared" si="8"/>
        <v/>
      </c>
      <c r="AI60" t="str">
        <f t="shared" si="9"/>
        <v/>
      </c>
      <c r="AJ60" t="str">
        <f t="shared" si="10"/>
        <v/>
      </c>
      <c r="AK60" t="str">
        <f t="shared" si="11"/>
        <v/>
      </c>
      <c r="AL60" t="str">
        <f t="shared" si="12"/>
        <v/>
      </c>
      <c r="AN60" t="str">
        <f>IFERROR(ROUND(L60*(G60/$AW60)/VLOOKUP(F60,商品!$A$4:$D$67,4,FALSE),0),"")</f>
        <v/>
      </c>
      <c r="AO60" t="str">
        <f>IFERROR(ROUND(L60*(I60/$AW60)/VLOOKUP(H60,商品!$A$4:$D$67,4,FALSE),0),"")</f>
        <v/>
      </c>
      <c r="AP60" t="str">
        <f>IFERROR(ROUND(L60*(K60/$AW60)/VLOOKUP(J60,商品!$A$4:$D$67,4,FALSE),0),"")</f>
        <v/>
      </c>
      <c r="AQ60" t="str">
        <f>IFERROR(ROUND(S60*(N60/$AX60)/VLOOKUP(M60,职业!$A$3:$E$16,4,FALSE),0),"")</f>
        <v/>
      </c>
      <c r="AR60" t="str">
        <f>IFERROR(ROUND(S60*(P60/$AX60)/VLOOKUP(O60,职业!$A$3:$E$16,4,FALSE),0),"")</f>
        <v/>
      </c>
      <c r="AS60" t="str">
        <f>IFERROR(ROUND(S60*(R60/$AX60)/VLOOKUP(Q60,职业!$A$3:$E$16,4,FALSE),0),"")</f>
        <v/>
      </c>
      <c r="AT60" t="str">
        <f>IFERROR(ROUND(X60*(U60/$AY60)/VLOOKUP(T60,商品!$A$4:$D$67,4,FALSE),0),"")</f>
        <v/>
      </c>
      <c r="AU60" t="str">
        <f>IFERROR(ROUND(X60*(W60/$AY60)/VLOOKUP(V60,商品!$A$4:$D$67,4,FALSE),0),"")</f>
        <v/>
      </c>
      <c r="AW60">
        <f t="shared" si="13"/>
        <v>0</v>
      </c>
      <c r="AX60">
        <f t="shared" si="14"/>
        <v>0</v>
      </c>
      <c r="AY60">
        <f t="shared" si="15"/>
        <v>0</v>
      </c>
    </row>
    <row r="61" customHeight="1" spans="1:51">
      <c r="A61" s="5" t="s">
        <v>299</v>
      </c>
      <c r="C61" s="5">
        <v>1</v>
      </c>
      <c r="D61" s="1" t="s">
        <v>220</v>
      </c>
      <c r="E61" s="1" t="s">
        <v>222</v>
      </c>
      <c r="L61" s="5">
        <f>IFERROR(VLOOKUP($D61&amp;$C61,生产方式定位!$A$2:$E$38,2,FALSE)+VLOOKUP($E61&amp;$C61,生产方式定位!$F$3:$J$38,2,FALSE),0)</f>
        <v>500</v>
      </c>
      <c r="S61" s="5">
        <f>IFERROR(VLOOKUP($D61&amp;$C61,生产方式定位!$A$2:$E$38,3,FALSE)+VLOOKUP($E61&amp;$C61,生产方式定位!$F$3:$J$38,3,FALSE),0)</f>
        <v>150</v>
      </c>
      <c r="X61" s="5">
        <f>IFERROR(VLOOKUP($D61&amp;$C61,生产方式定位!$A$2:$E$38,5,FALSE)+VLOOKUP($E61&amp;$C61,生产方式定位!$F$3:$J$38,5,FALSE),"错误")</f>
        <v>715</v>
      </c>
      <c r="Y61" s="27" t="str">
        <f t="shared" si="0"/>
        <v/>
      </c>
      <c r="Z61" s="50" t="str">
        <f t="shared" si="3"/>
        <v/>
      </c>
      <c r="AA61" s="50" t="str">
        <f t="shared" si="1"/>
        <v/>
      </c>
      <c r="AB61" s="28" t="str">
        <f t="shared" si="4"/>
        <v>43%</v>
      </c>
      <c r="AC61" s="1">
        <f t="shared" si="16"/>
        <v>65</v>
      </c>
      <c r="AD61" s="51">
        <f t="shared" si="2"/>
        <v>1</v>
      </c>
      <c r="AE61" t="str">
        <f t="shared" si="5"/>
        <v/>
      </c>
      <c r="AF61" t="str">
        <f t="shared" si="6"/>
        <v/>
      </c>
      <c r="AG61" t="str">
        <f t="shared" si="7"/>
        <v/>
      </c>
      <c r="AH61" t="str">
        <f t="shared" si="8"/>
        <v/>
      </c>
      <c r="AI61" t="str">
        <f t="shared" si="9"/>
        <v/>
      </c>
      <c r="AJ61" t="str">
        <f t="shared" si="10"/>
        <v/>
      </c>
      <c r="AK61" t="str">
        <f t="shared" si="11"/>
        <v/>
      </c>
      <c r="AL61" t="str">
        <f t="shared" si="12"/>
        <v/>
      </c>
      <c r="AN61" t="str">
        <f>IFERROR(ROUND(L61*(G61/$AW61)/VLOOKUP(F61,商品!$A$4:$D$67,4,FALSE),0),"")</f>
        <v/>
      </c>
      <c r="AO61" t="str">
        <f>IFERROR(ROUND(L61*(I61/$AW61)/VLOOKUP(H61,商品!$A$4:$D$67,4,FALSE),0),"")</f>
        <v/>
      </c>
      <c r="AP61" t="str">
        <f>IFERROR(ROUND(L61*(K61/$AW61)/VLOOKUP(J61,商品!$A$4:$D$67,4,FALSE),0),"")</f>
        <v/>
      </c>
      <c r="AQ61" t="str">
        <f>IFERROR(ROUND(S61*(N61/$AX61)/VLOOKUP(M61,职业!$A$3:$E$16,4,FALSE),0),"")</f>
        <v/>
      </c>
      <c r="AR61" t="str">
        <f>IFERROR(ROUND(S61*(P61/$AX61)/VLOOKUP(O61,职业!$A$3:$E$16,4,FALSE),0),"")</f>
        <v/>
      </c>
      <c r="AS61" t="str">
        <f>IFERROR(ROUND(S61*(R61/$AX61)/VLOOKUP(Q61,职业!$A$3:$E$16,4,FALSE),0),"")</f>
        <v/>
      </c>
      <c r="AT61" t="str">
        <f>IFERROR(ROUND(X61*(U61/$AY61)/VLOOKUP(T61,商品!$A$4:$D$67,4,FALSE),0),"")</f>
        <v/>
      </c>
      <c r="AU61" t="str">
        <f>IFERROR(ROUND(X61*(W61/$AY61)/VLOOKUP(V61,商品!$A$4:$D$67,4,FALSE),0),"")</f>
        <v/>
      </c>
      <c r="AW61">
        <f t="shared" si="13"/>
        <v>0</v>
      </c>
      <c r="AX61">
        <f t="shared" si="14"/>
        <v>0</v>
      </c>
      <c r="AY61">
        <f t="shared" si="15"/>
        <v>0</v>
      </c>
    </row>
    <row r="62" customHeight="1" spans="1:51">
      <c r="A62" s="5" t="s">
        <v>299</v>
      </c>
      <c r="C62" s="5">
        <v>2</v>
      </c>
      <c r="D62" s="1" t="s">
        <v>220</v>
      </c>
      <c r="E62" s="1" t="s">
        <v>222</v>
      </c>
      <c r="L62" s="5">
        <f>IFERROR(VLOOKUP($D62&amp;$C62,生产方式定位!$A$2:$E$38,2,FALSE)+VLOOKUP($E62&amp;$C62,生产方式定位!$F$3:$J$38,2,FALSE),0)</f>
        <v>1200</v>
      </c>
      <c r="S62" s="5">
        <f>IFERROR(VLOOKUP($D62&amp;$C62,生产方式定位!$A$2:$E$38,3,FALSE)+VLOOKUP($E62&amp;$C62,生产方式定位!$F$3:$J$38,3,FALSE),0)</f>
        <v>140</v>
      </c>
      <c r="X62" s="5">
        <f>IFERROR(VLOOKUP($D62&amp;$C62,生产方式定位!$A$2:$E$38,5,FALSE)+VLOOKUP($E62&amp;$C62,生产方式定位!$F$3:$J$38,5,FALSE),"错误")</f>
        <v>1390</v>
      </c>
      <c r="Y62" s="27" t="str">
        <f t="shared" si="0"/>
        <v/>
      </c>
      <c r="Z62" s="50" t="str">
        <f t="shared" si="3"/>
        <v/>
      </c>
      <c r="AA62" s="50" t="str">
        <f t="shared" si="1"/>
        <v/>
      </c>
      <c r="AB62" s="28" t="str">
        <f t="shared" si="4"/>
        <v>16%</v>
      </c>
      <c r="AC62" s="1">
        <f t="shared" si="16"/>
        <v>50</v>
      </c>
      <c r="AD62" s="51">
        <f t="shared" si="2"/>
        <v>2</v>
      </c>
      <c r="AE62" t="str">
        <f t="shared" si="5"/>
        <v/>
      </c>
      <c r="AF62" t="str">
        <f t="shared" si="6"/>
        <v/>
      </c>
      <c r="AG62" t="str">
        <f t="shared" si="7"/>
        <v/>
      </c>
      <c r="AH62" t="str">
        <f t="shared" si="8"/>
        <v/>
      </c>
      <c r="AI62" t="str">
        <f t="shared" si="9"/>
        <v/>
      </c>
      <c r="AJ62" t="str">
        <f t="shared" si="10"/>
        <v/>
      </c>
      <c r="AK62" t="str">
        <f t="shared" si="11"/>
        <v/>
      </c>
      <c r="AL62" t="str">
        <f t="shared" si="12"/>
        <v/>
      </c>
      <c r="AN62" t="str">
        <f>IFERROR(ROUND(L62*(G62/$AW62)/VLOOKUP(F62,商品!$A$4:$D$67,4,FALSE),0),"")</f>
        <v/>
      </c>
      <c r="AO62" t="str">
        <f>IFERROR(ROUND(L62*(I62/$AW62)/VLOOKUP(H62,商品!$A$4:$D$67,4,FALSE),0),"")</f>
        <v/>
      </c>
      <c r="AP62" t="str">
        <f>IFERROR(ROUND(L62*(K62/$AW62)/VLOOKUP(J62,商品!$A$4:$D$67,4,FALSE),0),"")</f>
        <v/>
      </c>
      <c r="AQ62" t="str">
        <f>IFERROR(ROUND(S62*(N62/$AX62)/VLOOKUP(M62,职业!$A$3:$E$16,4,FALSE),0),"")</f>
        <v/>
      </c>
      <c r="AR62" t="str">
        <f>IFERROR(ROUND(S62*(P62/$AX62)/VLOOKUP(O62,职业!$A$3:$E$16,4,FALSE),0),"")</f>
        <v/>
      </c>
      <c r="AS62" t="str">
        <f>IFERROR(ROUND(S62*(R62/$AX62)/VLOOKUP(Q62,职业!$A$3:$E$16,4,FALSE),0),"")</f>
        <v/>
      </c>
      <c r="AT62" t="str">
        <f>IFERROR(ROUND(X62*(U62/$AY62)/VLOOKUP(T62,商品!$A$4:$D$67,4,FALSE),0),"")</f>
        <v/>
      </c>
      <c r="AU62" t="str">
        <f>IFERROR(ROUND(X62*(W62/$AY62)/VLOOKUP(V62,商品!$A$4:$D$67,4,FALSE),0),"")</f>
        <v/>
      </c>
      <c r="AW62">
        <f t="shared" si="13"/>
        <v>0</v>
      </c>
      <c r="AX62">
        <f t="shared" si="14"/>
        <v>0</v>
      </c>
      <c r="AY62">
        <f t="shared" si="15"/>
        <v>0</v>
      </c>
    </row>
    <row r="63" customHeight="1" spans="1:51">
      <c r="A63" s="5" t="s">
        <v>299</v>
      </c>
      <c r="C63" s="5">
        <v>3</v>
      </c>
      <c r="D63" s="1" t="s">
        <v>220</v>
      </c>
      <c r="E63" s="1" t="s">
        <v>222</v>
      </c>
      <c r="L63" s="5">
        <f>IFERROR(VLOOKUP($D63&amp;$C63,生产方式定位!$A$2:$E$38,2,FALSE)+VLOOKUP($E63&amp;$C63,生产方式定位!$F$3:$J$38,2,FALSE),0)</f>
        <v>1525</v>
      </c>
      <c r="S63" s="5">
        <f>IFERROR(VLOOKUP($D63&amp;$C63,生产方式定位!$A$2:$E$38,3,FALSE)+VLOOKUP($E63&amp;$C63,生产方式定位!$F$3:$J$38,3,FALSE),0)</f>
        <v>130</v>
      </c>
      <c r="X63" s="5">
        <f>IFERROR(VLOOKUP($D63&amp;$C63,生产方式定位!$A$2:$E$38,5,FALSE)+VLOOKUP($E63&amp;$C63,生产方式定位!$F$3:$J$38,5,FALSE),"错误")</f>
        <v>1718</v>
      </c>
      <c r="Y63" s="27" t="str">
        <f t="shared" si="0"/>
        <v/>
      </c>
      <c r="Z63" s="50" t="str">
        <f t="shared" si="3"/>
        <v/>
      </c>
      <c r="AA63" s="50" t="str">
        <f t="shared" si="1"/>
        <v/>
      </c>
      <c r="AB63" s="28" t="str">
        <f t="shared" si="4"/>
        <v>13%</v>
      </c>
      <c r="AC63" s="1">
        <f t="shared" si="16"/>
        <v>63</v>
      </c>
      <c r="AD63" s="51">
        <f t="shared" si="2"/>
        <v>3</v>
      </c>
      <c r="AE63" t="str">
        <f t="shared" si="5"/>
        <v/>
      </c>
      <c r="AF63" t="str">
        <f t="shared" si="6"/>
        <v/>
      </c>
      <c r="AG63" t="str">
        <f t="shared" si="7"/>
        <v/>
      </c>
      <c r="AH63" t="str">
        <f t="shared" si="8"/>
        <v/>
      </c>
      <c r="AI63" t="str">
        <f t="shared" si="9"/>
        <v/>
      </c>
      <c r="AJ63" t="str">
        <f t="shared" si="10"/>
        <v/>
      </c>
      <c r="AK63" t="str">
        <f t="shared" si="11"/>
        <v/>
      </c>
      <c r="AL63" t="str">
        <f t="shared" si="12"/>
        <v/>
      </c>
      <c r="AN63" t="str">
        <f>IFERROR(ROUND(L63*(G63/$AW63)/VLOOKUP(F63,商品!$A$4:$D$67,4,FALSE),0),"")</f>
        <v/>
      </c>
      <c r="AO63" t="str">
        <f>IFERROR(ROUND(L63*(I63/$AW63)/VLOOKUP(H63,商品!$A$4:$D$67,4,FALSE),0),"")</f>
        <v/>
      </c>
      <c r="AP63" t="str">
        <f>IFERROR(ROUND(L63*(K63/$AW63)/VLOOKUP(J63,商品!$A$4:$D$67,4,FALSE),0),"")</f>
        <v/>
      </c>
      <c r="AQ63" t="str">
        <f>IFERROR(ROUND(S63*(N63/$AX63)/VLOOKUP(M63,职业!$A$3:$E$16,4,FALSE),0),"")</f>
        <v/>
      </c>
      <c r="AR63" t="str">
        <f>IFERROR(ROUND(S63*(P63/$AX63)/VLOOKUP(O63,职业!$A$3:$E$16,4,FALSE),0),"")</f>
        <v/>
      </c>
      <c r="AS63" t="str">
        <f>IFERROR(ROUND(S63*(R63/$AX63)/VLOOKUP(Q63,职业!$A$3:$E$16,4,FALSE),0),"")</f>
        <v/>
      </c>
      <c r="AT63" t="str">
        <f>IFERROR(ROUND(X63*(U63/$AY63)/VLOOKUP(T63,商品!$A$4:$D$67,4,FALSE),0),"")</f>
        <v/>
      </c>
      <c r="AU63" t="str">
        <f>IFERROR(ROUND(X63*(W63/$AY63)/VLOOKUP(V63,商品!$A$4:$D$67,4,FALSE),0),"")</f>
        <v/>
      </c>
      <c r="AW63">
        <f t="shared" si="13"/>
        <v>0</v>
      </c>
      <c r="AX63">
        <f t="shared" si="14"/>
        <v>0</v>
      </c>
      <c r="AY63">
        <f t="shared" si="15"/>
        <v>0</v>
      </c>
    </row>
    <row r="64" customHeight="1" spans="1:51">
      <c r="A64" s="5" t="s">
        <v>299</v>
      </c>
      <c r="C64" s="5">
        <v>4</v>
      </c>
      <c r="D64" s="1" t="s">
        <v>220</v>
      </c>
      <c r="E64" s="1" t="s">
        <v>222</v>
      </c>
      <c r="L64" s="5">
        <f>IFERROR(VLOOKUP($D64&amp;$C64,生产方式定位!$A$2:$E$38,2,FALSE)+VLOOKUP($E64&amp;$C64,生产方式定位!$F$3:$J$38,2,FALSE),0)</f>
        <v>1850</v>
      </c>
      <c r="S64" s="5">
        <f>IFERROR(VLOOKUP($D64&amp;$C64,生产方式定位!$A$2:$E$38,3,FALSE)+VLOOKUP($E64&amp;$C64,生产方式定位!$F$3:$J$38,3,FALSE),0)</f>
        <v>120</v>
      </c>
      <c r="X64" s="5">
        <f>IFERROR(VLOOKUP($D64&amp;$C64,生产方式定位!$A$2:$E$38,5,FALSE)+VLOOKUP($E64&amp;$C64,生产方式定位!$F$3:$J$38,5,FALSE),"错误")</f>
        <v>2045</v>
      </c>
      <c r="Y64" s="27" t="str">
        <f t="shared" si="0"/>
        <v/>
      </c>
      <c r="Z64" s="50" t="str">
        <f t="shared" si="3"/>
        <v/>
      </c>
      <c r="AA64" s="50" t="str">
        <f t="shared" si="1"/>
        <v/>
      </c>
      <c r="AB64" s="28" t="str">
        <f t="shared" si="4"/>
        <v>11%</v>
      </c>
      <c r="AC64" s="1">
        <f t="shared" si="16"/>
        <v>75</v>
      </c>
      <c r="AD64" s="51">
        <f t="shared" si="2"/>
        <v>4</v>
      </c>
      <c r="AE64" t="str">
        <f t="shared" si="5"/>
        <v/>
      </c>
      <c r="AF64" t="str">
        <f t="shared" si="6"/>
        <v/>
      </c>
      <c r="AG64" t="str">
        <f t="shared" si="7"/>
        <v/>
      </c>
      <c r="AH64" t="str">
        <f t="shared" si="8"/>
        <v/>
      </c>
      <c r="AI64" t="str">
        <f t="shared" si="9"/>
        <v/>
      </c>
      <c r="AJ64" t="str">
        <f t="shared" si="10"/>
        <v/>
      </c>
      <c r="AK64" t="str">
        <f t="shared" si="11"/>
        <v/>
      </c>
      <c r="AL64" t="str">
        <f t="shared" si="12"/>
        <v/>
      </c>
      <c r="AN64" t="str">
        <f>IFERROR(ROUND(L64*(G64/$AW64)/VLOOKUP(F64,商品!$A$4:$D$67,4,FALSE),0),"")</f>
        <v/>
      </c>
      <c r="AO64" t="str">
        <f>IFERROR(ROUND(L64*(I64/$AW64)/VLOOKUP(H64,商品!$A$4:$D$67,4,FALSE),0),"")</f>
        <v/>
      </c>
      <c r="AP64" t="str">
        <f>IFERROR(ROUND(L64*(K64/$AW64)/VLOOKUP(J64,商品!$A$4:$D$67,4,FALSE),0),"")</f>
        <v/>
      </c>
      <c r="AQ64" t="str">
        <f>IFERROR(ROUND(S64*(N64/$AX64)/VLOOKUP(M64,职业!$A$3:$E$16,4,FALSE),0),"")</f>
        <v/>
      </c>
      <c r="AR64" t="str">
        <f>IFERROR(ROUND(S64*(P64/$AX64)/VLOOKUP(O64,职业!$A$3:$E$16,4,FALSE),0),"")</f>
        <v/>
      </c>
      <c r="AS64" t="str">
        <f>IFERROR(ROUND(S64*(R64/$AX64)/VLOOKUP(Q64,职业!$A$3:$E$16,4,FALSE),0),"")</f>
        <v/>
      </c>
      <c r="AT64" t="str">
        <f>IFERROR(ROUND(X64*(U64/$AY64)/VLOOKUP(T64,商品!$A$4:$D$67,4,FALSE),0),"")</f>
        <v/>
      </c>
      <c r="AU64" t="str">
        <f>IFERROR(ROUND(X64*(W64/$AY64)/VLOOKUP(V64,商品!$A$4:$D$67,4,FALSE),0),"")</f>
        <v/>
      </c>
      <c r="AW64">
        <f t="shared" si="13"/>
        <v>0</v>
      </c>
      <c r="AX64">
        <f t="shared" si="14"/>
        <v>0</v>
      </c>
      <c r="AY64">
        <f t="shared" si="15"/>
        <v>0</v>
      </c>
    </row>
    <row r="65" customHeight="1" spans="1:51">
      <c r="A65" s="5" t="s">
        <v>299</v>
      </c>
      <c r="C65" s="5">
        <v>5</v>
      </c>
      <c r="D65" s="1" t="s">
        <v>220</v>
      </c>
      <c r="E65" s="1" t="s">
        <v>222</v>
      </c>
      <c r="L65" s="5">
        <f>IFERROR(VLOOKUP($D65&amp;$C65,生产方式定位!$A$2:$E$38,2,FALSE)+VLOOKUP($E65&amp;$C65,生产方式定位!$F$3:$J$38,2,FALSE),0)</f>
        <v>2175</v>
      </c>
      <c r="S65" s="5">
        <f>IFERROR(VLOOKUP($D65&amp;$C65,生产方式定位!$A$2:$E$38,3,FALSE)+VLOOKUP($E65&amp;$C65,生产方式定位!$F$3:$J$38,3,FALSE),0)</f>
        <v>110</v>
      </c>
      <c r="X65" s="5">
        <f>IFERROR(VLOOKUP($D65&amp;$C65,生产方式定位!$A$2:$E$38,5,FALSE)+VLOOKUP($E65&amp;$C65,生产方式定位!$F$3:$J$38,5,FALSE),"错误")</f>
        <v>2373</v>
      </c>
      <c r="Y65" s="27" t="str">
        <f t="shared" si="0"/>
        <v/>
      </c>
      <c r="Z65" s="50" t="str">
        <f t="shared" si="3"/>
        <v/>
      </c>
      <c r="AA65" s="50" t="str">
        <f t="shared" si="1"/>
        <v/>
      </c>
      <c r="AB65" s="28" t="str">
        <f t="shared" si="4"/>
        <v>9%</v>
      </c>
      <c r="AC65" s="1">
        <f t="shared" si="16"/>
        <v>88</v>
      </c>
      <c r="AD65" s="51">
        <f t="shared" si="2"/>
        <v>5</v>
      </c>
      <c r="AE65" t="str">
        <f t="shared" si="5"/>
        <v/>
      </c>
      <c r="AF65" t="str">
        <f t="shared" si="6"/>
        <v/>
      </c>
      <c r="AG65" t="str">
        <f t="shared" si="7"/>
        <v/>
      </c>
      <c r="AH65" t="str">
        <f t="shared" si="8"/>
        <v/>
      </c>
      <c r="AI65" t="str">
        <f t="shared" si="9"/>
        <v/>
      </c>
      <c r="AJ65" t="str">
        <f t="shared" si="10"/>
        <v/>
      </c>
      <c r="AK65" t="str">
        <f t="shared" si="11"/>
        <v/>
      </c>
      <c r="AL65" t="str">
        <f t="shared" si="12"/>
        <v/>
      </c>
      <c r="AN65" t="str">
        <f>IFERROR(ROUND(L65*(G65/$AW65)/VLOOKUP(F65,商品!$A$4:$D$67,4,FALSE),0),"")</f>
        <v/>
      </c>
      <c r="AO65" t="str">
        <f>IFERROR(ROUND(L65*(I65/$AW65)/VLOOKUP(H65,商品!$A$4:$D$67,4,FALSE),0),"")</f>
        <v/>
      </c>
      <c r="AP65" t="str">
        <f>IFERROR(ROUND(L65*(K65/$AW65)/VLOOKUP(J65,商品!$A$4:$D$67,4,FALSE),0),"")</f>
        <v/>
      </c>
      <c r="AQ65" t="str">
        <f>IFERROR(ROUND(S65*(N65/$AX65)/VLOOKUP(M65,职业!$A$3:$E$16,4,FALSE),0),"")</f>
        <v/>
      </c>
      <c r="AR65" t="str">
        <f>IFERROR(ROUND(S65*(P65/$AX65)/VLOOKUP(O65,职业!$A$3:$E$16,4,FALSE),0),"")</f>
        <v/>
      </c>
      <c r="AS65" t="str">
        <f>IFERROR(ROUND(S65*(R65/$AX65)/VLOOKUP(Q65,职业!$A$3:$E$16,4,FALSE),0),"")</f>
        <v/>
      </c>
      <c r="AT65" t="str">
        <f>IFERROR(ROUND(X65*(U65/$AY65)/VLOOKUP(T65,商品!$A$4:$D$67,4,FALSE),0),"")</f>
        <v/>
      </c>
      <c r="AU65" t="str">
        <f>IFERROR(ROUND(X65*(W65/$AY65)/VLOOKUP(V65,商品!$A$4:$D$67,4,FALSE),0),"")</f>
        <v/>
      </c>
      <c r="AW65">
        <f t="shared" si="13"/>
        <v>0</v>
      </c>
      <c r="AX65">
        <f t="shared" si="14"/>
        <v>0</v>
      </c>
      <c r="AY65">
        <f t="shared" si="15"/>
        <v>0</v>
      </c>
    </row>
    <row r="66" customHeight="1" spans="1:51">
      <c r="A66" s="18" t="s">
        <v>300</v>
      </c>
      <c r="C66" s="18">
        <v>1</v>
      </c>
      <c r="D66" s="1" t="s">
        <v>220</v>
      </c>
      <c r="E66" s="1" t="s">
        <v>224</v>
      </c>
      <c r="L66" s="18">
        <f>IFERROR(VLOOKUP($D66&amp;$C66,生产方式定位!$A$2:$E$38,2,FALSE)+VLOOKUP($E66&amp;$C66,生产方式定位!$F$3:$J$38,2,FALSE),0)</f>
        <v>500</v>
      </c>
      <c r="S66" s="18">
        <f>IFERROR(VLOOKUP($D66&amp;$C66,生产方式定位!$A$2:$E$38,3,FALSE)+VLOOKUP($E66&amp;$C66,生产方式定位!$F$3:$J$38,3,FALSE),0)</f>
        <v>150</v>
      </c>
      <c r="X66" s="18">
        <f>IFERROR(VLOOKUP($D66&amp;$C66,生产方式定位!$A$2:$E$38,5,FALSE)+VLOOKUP($E66&amp;$C66,生产方式定位!$F$3:$J$38,5,FALSE),"错误")</f>
        <v>715</v>
      </c>
      <c r="Y66" s="27" t="str">
        <f t="shared" si="0"/>
        <v/>
      </c>
      <c r="Z66" s="50" t="str">
        <f t="shared" si="3"/>
        <v/>
      </c>
      <c r="AA66" s="50" t="str">
        <f t="shared" si="1"/>
        <v/>
      </c>
      <c r="AB66" s="28" t="str">
        <f t="shared" si="4"/>
        <v>43%</v>
      </c>
      <c r="AC66" s="1">
        <f t="shared" si="16"/>
        <v>65</v>
      </c>
      <c r="AD66" s="52">
        <f t="shared" si="2"/>
        <v>1</v>
      </c>
      <c r="AE66" t="str">
        <f t="shared" si="5"/>
        <v/>
      </c>
      <c r="AF66" t="str">
        <f t="shared" si="6"/>
        <v/>
      </c>
      <c r="AG66" t="str">
        <f t="shared" si="7"/>
        <v/>
      </c>
      <c r="AH66" t="str">
        <f t="shared" si="8"/>
        <v/>
      </c>
      <c r="AI66" t="str">
        <f t="shared" si="9"/>
        <v/>
      </c>
      <c r="AJ66" t="str">
        <f t="shared" si="10"/>
        <v/>
      </c>
      <c r="AK66" t="str">
        <f t="shared" si="11"/>
        <v/>
      </c>
      <c r="AL66" t="str">
        <f t="shared" si="12"/>
        <v/>
      </c>
      <c r="AN66" t="str">
        <f>IFERROR(ROUND(L66*(G66/$AW66)/VLOOKUP(F66,商品!$A$4:$D$67,4,FALSE),0),"")</f>
        <v/>
      </c>
      <c r="AO66" t="str">
        <f>IFERROR(ROUND(L66*(I66/$AW66)/VLOOKUP(H66,商品!$A$4:$D$67,4,FALSE),0),"")</f>
        <v/>
      </c>
      <c r="AP66" t="str">
        <f>IFERROR(ROUND(L66*(K66/$AW66)/VLOOKUP(J66,商品!$A$4:$D$67,4,FALSE),0),"")</f>
        <v/>
      </c>
      <c r="AQ66" t="str">
        <f>IFERROR(ROUND(S66*(N66/$AX66)/VLOOKUP(M66,职业!$A$3:$E$16,4,FALSE),0),"")</f>
        <v/>
      </c>
      <c r="AR66" t="str">
        <f>IFERROR(ROUND(S66*(P66/$AX66)/VLOOKUP(O66,职业!$A$3:$E$16,4,FALSE),0),"")</f>
        <v/>
      </c>
      <c r="AS66" t="str">
        <f>IFERROR(ROUND(S66*(R66/$AX66)/VLOOKUP(Q66,职业!$A$3:$E$16,4,FALSE),0),"")</f>
        <v/>
      </c>
      <c r="AT66" t="str">
        <f>IFERROR(ROUND(X66*(U66/$AY66)/VLOOKUP(T66,商品!$A$4:$D$67,4,FALSE),0),"")</f>
        <v/>
      </c>
      <c r="AU66" t="str">
        <f>IFERROR(ROUND(X66*(W66/$AY66)/VLOOKUP(V66,商品!$A$4:$D$67,4,FALSE),0),"")</f>
        <v/>
      </c>
      <c r="AW66">
        <f t="shared" si="13"/>
        <v>0</v>
      </c>
      <c r="AX66">
        <f t="shared" si="14"/>
        <v>0</v>
      </c>
      <c r="AY66">
        <f t="shared" si="15"/>
        <v>0</v>
      </c>
    </row>
    <row r="67" customHeight="1" spans="1:51">
      <c r="A67" s="18" t="s">
        <v>300</v>
      </c>
      <c r="C67" s="18">
        <v>2</v>
      </c>
      <c r="D67" s="1" t="s">
        <v>220</v>
      </c>
      <c r="E67" s="1" t="s">
        <v>224</v>
      </c>
      <c r="L67" s="18">
        <f>IFERROR(VLOOKUP($D67&amp;$C67,生产方式定位!$A$2:$E$38,2,FALSE)+VLOOKUP($E67&amp;$C67,生产方式定位!$F$3:$J$38,2,FALSE),0)</f>
        <v>1200</v>
      </c>
      <c r="S67" s="18">
        <f>IFERROR(VLOOKUP($D67&amp;$C67,生产方式定位!$A$2:$E$38,3,FALSE)+VLOOKUP($E67&amp;$C67,生产方式定位!$F$3:$J$38,3,FALSE),0)</f>
        <v>100</v>
      </c>
      <c r="X67" s="18">
        <f>IFERROR(VLOOKUP($D67&amp;$C67,生产方式定位!$A$2:$E$38,5,FALSE)+VLOOKUP($E67&amp;$C67,生产方式定位!$F$3:$J$38,5,FALSE),"错误")</f>
        <v>1346</v>
      </c>
      <c r="Y67" s="27" t="str">
        <f t="shared" si="0"/>
        <v/>
      </c>
      <c r="Z67" s="50" t="str">
        <f t="shared" si="3"/>
        <v/>
      </c>
      <c r="AA67" s="50" t="str">
        <f t="shared" si="1"/>
        <v/>
      </c>
      <c r="AB67" s="28" t="str">
        <f t="shared" si="4"/>
        <v>12%</v>
      </c>
      <c r="AC67" s="1">
        <f t="shared" si="16"/>
        <v>46</v>
      </c>
      <c r="AD67" s="52">
        <f t="shared" si="2"/>
        <v>2</v>
      </c>
      <c r="AE67" t="str">
        <f t="shared" si="5"/>
        <v/>
      </c>
      <c r="AF67" t="str">
        <f t="shared" si="6"/>
        <v/>
      </c>
      <c r="AG67" t="str">
        <f t="shared" si="7"/>
        <v/>
      </c>
      <c r="AH67" t="str">
        <f t="shared" si="8"/>
        <v/>
      </c>
      <c r="AI67" t="str">
        <f t="shared" si="9"/>
        <v/>
      </c>
      <c r="AJ67" t="str">
        <f t="shared" si="10"/>
        <v/>
      </c>
      <c r="AK67" t="str">
        <f t="shared" si="11"/>
        <v/>
      </c>
      <c r="AL67" t="str">
        <f t="shared" si="12"/>
        <v/>
      </c>
      <c r="AN67" t="str">
        <f>IFERROR(ROUND(L67*(G67/$AW67)/VLOOKUP(F67,商品!$A$4:$D$67,4,FALSE),0),"")</f>
        <v/>
      </c>
      <c r="AO67" t="str">
        <f>IFERROR(ROUND(L67*(I67/$AW67)/VLOOKUP(H67,商品!$A$4:$D$67,4,FALSE),0),"")</f>
        <v/>
      </c>
      <c r="AP67" t="str">
        <f>IFERROR(ROUND(L67*(K67/$AW67)/VLOOKUP(J67,商品!$A$4:$D$67,4,FALSE),0),"")</f>
        <v/>
      </c>
      <c r="AQ67" t="str">
        <f>IFERROR(ROUND(S67*(N67/$AX67)/VLOOKUP(M67,职业!$A$3:$E$16,4,FALSE),0),"")</f>
        <v/>
      </c>
      <c r="AR67" t="str">
        <f>IFERROR(ROUND(S67*(P67/$AX67)/VLOOKUP(O67,职业!$A$3:$E$16,4,FALSE),0),"")</f>
        <v/>
      </c>
      <c r="AS67" t="str">
        <f>IFERROR(ROUND(S67*(R67/$AX67)/VLOOKUP(Q67,职业!$A$3:$E$16,4,FALSE),0),"")</f>
        <v/>
      </c>
      <c r="AT67" t="str">
        <f>IFERROR(ROUND(X67*(U67/$AY67)/VLOOKUP(T67,商品!$A$4:$D$67,4,FALSE),0),"")</f>
        <v/>
      </c>
      <c r="AU67" t="str">
        <f>IFERROR(ROUND(X67*(W67/$AY67)/VLOOKUP(V67,商品!$A$4:$D$67,4,FALSE),0),"")</f>
        <v/>
      </c>
      <c r="AW67">
        <f t="shared" si="13"/>
        <v>0</v>
      </c>
      <c r="AX67">
        <f t="shared" si="14"/>
        <v>0</v>
      </c>
      <c r="AY67">
        <f t="shared" si="15"/>
        <v>0</v>
      </c>
    </row>
    <row r="68" customHeight="1" spans="1:51">
      <c r="A68" s="18" t="s">
        <v>300</v>
      </c>
      <c r="C68" s="18">
        <v>3</v>
      </c>
      <c r="D68" s="1" t="s">
        <v>220</v>
      </c>
      <c r="E68" s="1" t="s">
        <v>224</v>
      </c>
      <c r="L68" s="18">
        <f>IFERROR(VLOOKUP($D68&amp;$C68,生产方式定位!$A$2:$E$38,2,FALSE)+VLOOKUP($E68&amp;$C68,生产方式定位!$F$3:$J$38,2,FALSE),0)</f>
        <v>1900</v>
      </c>
      <c r="S68" s="18">
        <f>IFERROR(VLOOKUP($D68&amp;$C68,生产方式定位!$A$2:$E$38,3,FALSE)+VLOOKUP($E68&amp;$C68,生产方式定位!$F$3:$J$38,3,FALSE),0)</f>
        <v>70</v>
      </c>
      <c r="X68" s="18">
        <f>IFERROR(VLOOKUP($D68&amp;$C68,生产方式定位!$A$2:$E$38,5,FALSE)+VLOOKUP($E68&amp;$C68,生产方式定位!$F$3:$J$38,5,FALSE),"错误")</f>
        <v>2064</v>
      </c>
      <c r="Y68" s="27" t="str">
        <f t="shared" si="0"/>
        <v/>
      </c>
      <c r="Z68" s="50" t="str">
        <f t="shared" si="3"/>
        <v/>
      </c>
      <c r="AA68" s="50" t="str">
        <f t="shared" si="1"/>
        <v/>
      </c>
      <c r="AB68" s="28" t="str">
        <f t="shared" si="4"/>
        <v>9%</v>
      </c>
      <c r="AC68" s="1">
        <f t="shared" si="16"/>
        <v>94</v>
      </c>
      <c r="AD68" s="52">
        <f t="shared" si="2"/>
        <v>3</v>
      </c>
      <c r="AE68" t="str">
        <f t="shared" si="5"/>
        <v/>
      </c>
      <c r="AF68" t="str">
        <f t="shared" si="6"/>
        <v/>
      </c>
      <c r="AG68" t="str">
        <f t="shared" si="7"/>
        <v/>
      </c>
      <c r="AH68" t="str">
        <f t="shared" si="8"/>
        <v/>
      </c>
      <c r="AI68" t="str">
        <f t="shared" si="9"/>
        <v/>
      </c>
      <c r="AJ68" t="str">
        <f t="shared" si="10"/>
        <v/>
      </c>
      <c r="AK68" t="str">
        <f t="shared" si="11"/>
        <v/>
      </c>
      <c r="AL68" t="str">
        <f t="shared" si="12"/>
        <v/>
      </c>
      <c r="AN68" t="str">
        <f>IFERROR(ROUND(L68*(G68/$AW68)/VLOOKUP(F68,商品!$A$4:$D$67,4,FALSE),0),"")</f>
        <v/>
      </c>
      <c r="AO68" t="str">
        <f>IFERROR(ROUND(L68*(I68/$AW68)/VLOOKUP(H68,商品!$A$4:$D$67,4,FALSE),0),"")</f>
        <v/>
      </c>
      <c r="AP68" t="str">
        <f>IFERROR(ROUND(L68*(K68/$AW68)/VLOOKUP(J68,商品!$A$4:$D$67,4,FALSE),0),"")</f>
        <v/>
      </c>
      <c r="AQ68" t="str">
        <f>IFERROR(ROUND(S68*(N68/$AX68)/VLOOKUP(M68,职业!$A$3:$E$16,4,FALSE),0),"")</f>
        <v/>
      </c>
      <c r="AR68" t="str">
        <f>IFERROR(ROUND(S68*(P68/$AX68)/VLOOKUP(O68,职业!$A$3:$E$16,4,FALSE),0),"")</f>
        <v/>
      </c>
      <c r="AS68" t="str">
        <f>IFERROR(ROUND(S68*(R68/$AX68)/VLOOKUP(Q68,职业!$A$3:$E$16,4,FALSE),0),"")</f>
        <v/>
      </c>
      <c r="AT68" t="str">
        <f>IFERROR(ROUND(X68*(U68/$AY68)/VLOOKUP(T68,商品!$A$4:$D$67,4,FALSE),0),"")</f>
        <v/>
      </c>
      <c r="AU68" t="str">
        <f>IFERROR(ROUND(X68*(W68/$AY68)/VLOOKUP(V68,商品!$A$4:$D$67,4,FALSE),0),"")</f>
        <v/>
      </c>
      <c r="AW68">
        <f t="shared" si="13"/>
        <v>0</v>
      </c>
      <c r="AX68">
        <f t="shared" si="14"/>
        <v>0</v>
      </c>
      <c r="AY68">
        <f t="shared" si="15"/>
        <v>0</v>
      </c>
    </row>
    <row r="69" customHeight="1" spans="1:51">
      <c r="A69" s="18" t="s">
        <v>300</v>
      </c>
      <c r="C69" s="18">
        <v>4</v>
      </c>
      <c r="D69" s="1" t="s">
        <v>220</v>
      </c>
      <c r="E69" s="1" t="s">
        <v>224</v>
      </c>
      <c r="L69" s="18">
        <f>IFERROR(VLOOKUP($D69&amp;$C69,生产方式定位!$A$2:$E$38,2,FALSE)+VLOOKUP($E69&amp;$C69,生产方式定位!$F$3:$J$38,2,FALSE),0)</f>
        <v>2600</v>
      </c>
      <c r="S69" s="18">
        <f>IFERROR(VLOOKUP($D69&amp;$C69,生产方式定位!$A$2:$E$38,3,FALSE)+VLOOKUP($E69&amp;$C69,生产方式定位!$F$3:$J$38,3,FALSE),0)</f>
        <v>40</v>
      </c>
      <c r="X69" s="18">
        <f>IFERROR(VLOOKUP($D69&amp;$C69,生产方式定位!$A$2:$E$38,5,FALSE)+VLOOKUP($E69&amp;$C69,生产方式定位!$F$3:$J$38,5,FALSE),"错误")</f>
        <v>2782</v>
      </c>
      <c r="Y69" s="27" t="str">
        <f t="shared" ref="Y69:Y132" si="17">IF(AE69="","",AE69)&amp;IF(AF69="","",","&amp;AF69)&amp;IF(AG69="","",","&amp;AG69)</f>
        <v/>
      </c>
      <c r="Z69" s="50" t="str">
        <f t="shared" si="3"/>
        <v/>
      </c>
      <c r="AA69" s="50" t="str">
        <f t="shared" ref="AA69:AA132" si="18">IF(AK69="","",AK69)&amp;IF(AL69="","",","&amp;AL69)</f>
        <v/>
      </c>
      <c r="AB69" s="28" t="str">
        <f t="shared" si="4"/>
        <v>7%</v>
      </c>
      <c r="AC69" s="1">
        <f t="shared" si="16"/>
        <v>142</v>
      </c>
      <c r="AD69" s="52">
        <f t="shared" ref="AD69:AD132" si="19">C69</f>
        <v>4</v>
      </c>
      <c r="AE69" t="str">
        <f t="shared" si="5"/>
        <v/>
      </c>
      <c r="AF69" t="str">
        <f t="shared" si="6"/>
        <v/>
      </c>
      <c r="AG69" t="str">
        <f t="shared" si="7"/>
        <v/>
      </c>
      <c r="AH69" t="str">
        <f t="shared" si="8"/>
        <v/>
      </c>
      <c r="AI69" t="str">
        <f t="shared" si="9"/>
        <v/>
      </c>
      <c r="AJ69" t="str">
        <f t="shared" si="10"/>
        <v/>
      </c>
      <c r="AK69" t="str">
        <f t="shared" si="11"/>
        <v/>
      </c>
      <c r="AL69" t="str">
        <f t="shared" si="12"/>
        <v/>
      </c>
      <c r="AN69" t="str">
        <f>IFERROR(ROUND(L69*(G69/$AW69)/VLOOKUP(F69,商品!$A$4:$D$67,4,FALSE),0),"")</f>
        <v/>
      </c>
      <c r="AO69" t="str">
        <f>IFERROR(ROUND(L69*(I69/$AW69)/VLOOKUP(H69,商品!$A$4:$D$67,4,FALSE),0),"")</f>
        <v/>
      </c>
      <c r="AP69" t="str">
        <f>IFERROR(ROUND(L69*(K69/$AW69)/VLOOKUP(J69,商品!$A$4:$D$67,4,FALSE),0),"")</f>
        <v/>
      </c>
      <c r="AQ69" t="str">
        <f>IFERROR(ROUND(S69*(N69/$AX69)/VLOOKUP(M69,职业!$A$3:$E$16,4,FALSE),0),"")</f>
        <v/>
      </c>
      <c r="AR69" t="str">
        <f>IFERROR(ROUND(S69*(P69/$AX69)/VLOOKUP(O69,职业!$A$3:$E$16,4,FALSE),0),"")</f>
        <v/>
      </c>
      <c r="AS69" t="str">
        <f>IFERROR(ROUND(S69*(R69/$AX69)/VLOOKUP(Q69,职业!$A$3:$E$16,4,FALSE),0),"")</f>
        <v/>
      </c>
      <c r="AT69" t="str">
        <f>IFERROR(ROUND(X69*(U69/$AY69)/VLOOKUP(T69,商品!$A$4:$D$67,4,FALSE),0),"")</f>
        <v/>
      </c>
      <c r="AU69" t="str">
        <f>IFERROR(ROUND(X69*(W69/$AY69)/VLOOKUP(V69,商品!$A$4:$D$67,4,FALSE),0),"")</f>
        <v/>
      </c>
      <c r="AW69">
        <f t="shared" si="13"/>
        <v>0</v>
      </c>
      <c r="AX69">
        <f t="shared" si="14"/>
        <v>0</v>
      </c>
      <c r="AY69">
        <f t="shared" si="15"/>
        <v>0</v>
      </c>
    </row>
    <row r="70" customHeight="1" spans="1:51">
      <c r="A70" s="18" t="s">
        <v>300</v>
      </c>
      <c r="C70" s="18">
        <v>5</v>
      </c>
      <c r="D70" s="1" t="s">
        <v>220</v>
      </c>
      <c r="E70" s="1" t="s">
        <v>224</v>
      </c>
      <c r="L70" s="18">
        <f>IFERROR(VLOOKUP($D70&amp;$C70,生产方式定位!$A$2:$E$38,2,FALSE)+VLOOKUP($E70&amp;$C70,生产方式定位!$F$3:$J$38,2,FALSE),0)</f>
        <v>3300</v>
      </c>
      <c r="S70" s="18">
        <f>IFERROR(VLOOKUP($D70&amp;$C70,生产方式定位!$A$2:$E$38,3,FALSE)+VLOOKUP($E70&amp;$C70,生产方式定位!$F$3:$J$38,3,FALSE),0)</f>
        <v>10</v>
      </c>
      <c r="X70" s="18">
        <f>IFERROR(VLOOKUP($D70&amp;$C70,生产方式定位!$A$2:$E$38,5,FALSE)+VLOOKUP($E70&amp;$C70,生产方式定位!$F$3:$J$38,5,FALSE),"错误")</f>
        <v>3500</v>
      </c>
      <c r="Y70" s="27" t="str">
        <f t="shared" si="17"/>
        <v/>
      </c>
      <c r="Z70" s="50" t="str">
        <f t="shared" ref="Z70:Z133" si="20">IF(AH70="","",AH70)&amp;IF(AI70="","",","&amp;AI70)&amp;IF(AJ70="","",","&amp;AJ70)</f>
        <v/>
      </c>
      <c r="AA70" s="50" t="str">
        <f t="shared" si="18"/>
        <v/>
      </c>
      <c r="AB70" s="28" t="str">
        <f t="shared" ref="AB70:AB133" si="21">IFERROR(ROUND(((X70/L70)-1)*100,0)&amp;"%","")</f>
        <v>6%</v>
      </c>
      <c r="AC70" s="1">
        <f t="shared" ref="AC70:AC133" si="22">IF(X70-S70-L70=0,"",X70-S70-L70)</f>
        <v>190</v>
      </c>
      <c r="AD70" s="52">
        <f t="shared" si="19"/>
        <v>5</v>
      </c>
      <c r="AE70" t="str">
        <f t="shared" ref="AE70:AE133" si="23">IF(AN70="","",F70&amp;"*"&amp;AN70)</f>
        <v/>
      </c>
      <c r="AF70" t="str">
        <f t="shared" ref="AF70:AF133" si="24">IF(AO70="","",H70&amp;"*"&amp;AO70)</f>
        <v/>
      </c>
      <c r="AG70" t="str">
        <f t="shared" ref="AG70:AG133" si="25">IF(AP70="","",J70&amp;"*"&amp;AP70)</f>
        <v/>
      </c>
      <c r="AH70" t="str">
        <f t="shared" ref="AH70:AH133" si="26">IF(AQ70="","",M70&amp;"*"&amp;AQ70)</f>
        <v/>
      </c>
      <c r="AI70" t="str">
        <f t="shared" ref="AI70:AI133" si="27">IF(AR70="","",O70&amp;"*"&amp;AR70)</f>
        <v/>
      </c>
      <c r="AJ70" t="str">
        <f t="shared" ref="AJ70:AJ133" si="28">IF(AS70="","",Q70&amp;"*"&amp;AS70)</f>
        <v/>
      </c>
      <c r="AK70" t="str">
        <f t="shared" ref="AK70:AK133" si="29">IF(AT70="","",T70&amp;"*"&amp;AT70)</f>
        <v/>
      </c>
      <c r="AL70" t="str">
        <f t="shared" ref="AL70:AL133" si="30">IF(AU70="","",V70&amp;"*"&amp;AU70)</f>
        <v/>
      </c>
      <c r="AN70" t="str">
        <f>IFERROR(ROUND(L70*(G70/$AW70)/VLOOKUP(F70,商品!$A$4:$D$67,4,FALSE),0),"")</f>
        <v/>
      </c>
      <c r="AO70" t="str">
        <f>IFERROR(ROUND(L70*(I70/$AW70)/VLOOKUP(H70,商品!$A$4:$D$67,4,FALSE),0),"")</f>
        <v/>
      </c>
      <c r="AP70" t="str">
        <f>IFERROR(ROUND(L70*(K70/$AW70)/VLOOKUP(J70,商品!$A$4:$D$67,4,FALSE),0),"")</f>
        <v/>
      </c>
      <c r="AQ70" t="str">
        <f>IFERROR(ROUND(S70*(N70/$AX70)/VLOOKUP(M70,职业!$A$3:$E$16,4,FALSE),0),"")</f>
        <v/>
      </c>
      <c r="AR70" t="str">
        <f>IFERROR(ROUND(S70*(P70/$AX70)/VLOOKUP(O70,职业!$A$3:$E$16,4,FALSE),0),"")</f>
        <v/>
      </c>
      <c r="AS70" t="str">
        <f>IFERROR(ROUND(S70*(R70/$AX70)/VLOOKUP(Q70,职业!$A$3:$E$16,4,FALSE),0),"")</f>
        <v/>
      </c>
      <c r="AT70" t="str">
        <f>IFERROR(ROUND(X70*(U70/$AY70)/VLOOKUP(T70,商品!$A$4:$D$67,4,FALSE),0),"")</f>
        <v/>
      </c>
      <c r="AU70" t="str">
        <f>IFERROR(ROUND(X70*(W70/$AY70)/VLOOKUP(V70,商品!$A$4:$D$67,4,FALSE),0),"")</f>
        <v/>
      </c>
      <c r="AW70">
        <f t="shared" ref="AW70:AW133" si="31">G70+I70+K70</f>
        <v>0</v>
      </c>
      <c r="AX70">
        <f t="shared" ref="AX70:AX133" si="32">ABS(N70)+ABS(P70)+ABS(R70)</f>
        <v>0</v>
      </c>
      <c r="AY70">
        <f t="shared" ref="AY70:AY133" si="33">U70+W70</f>
        <v>0</v>
      </c>
    </row>
    <row r="71" customHeight="1" spans="1:51">
      <c r="A71" s="5" t="s">
        <v>300</v>
      </c>
      <c r="C71" s="5">
        <v>1</v>
      </c>
      <c r="D71" s="1" t="s">
        <v>220</v>
      </c>
      <c r="E71" s="1" t="s">
        <v>224</v>
      </c>
      <c r="L71" s="5">
        <f>IFERROR(VLOOKUP($D71&amp;$C71,生产方式定位!$A$2:$E$38,2,FALSE)+VLOOKUP($E71&amp;$C71,生产方式定位!$F$3:$J$38,2,FALSE),0)</f>
        <v>500</v>
      </c>
      <c r="S71" s="5">
        <f>IFERROR(VLOOKUP($D71&amp;$C71,生产方式定位!$A$2:$E$38,3,FALSE)+VLOOKUP($E71&amp;$C71,生产方式定位!$F$3:$J$38,3,FALSE),0)</f>
        <v>150</v>
      </c>
      <c r="X71" s="5">
        <f>IFERROR(VLOOKUP($D71&amp;$C71,生产方式定位!$A$2:$E$38,5,FALSE)+VLOOKUP($E71&amp;$C71,生产方式定位!$F$3:$J$38,5,FALSE),"错误")</f>
        <v>715</v>
      </c>
      <c r="Y71" s="27" t="str">
        <f t="shared" si="17"/>
        <v/>
      </c>
      <c r="Z71" s="50" t="str">
        <f t="shared" si="20"/>
        <v/>
      </c>
      <c r="AA71" s="50" t="str">
        <f t="shared" si="18"/>
        <v/>
      </c>
      <c r="AB71" s="28" t="str">
        <f t="shared" si="21"/>
        <v>43%</v>
      </c>
      <c r="AC71" s="1">
        <f t="shared" si="22"/>
        <v>65</v>
      </c>
      <c r="AD71" s="51">
        <f t="shared" si="19"/>
        <v>1</v>
      </c>
      <c r="AE71" t="str">
        <f t="shared" si="23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L71" t="str">
        <f t="shared" si="30"/>
        <v/>
      </c>
      <c r="AN71" t="str">
        <f>IFERROR(ROUND(L71*(G71/$AW71)/VLOOKUP(F71,商品!$A$4:$D$67,4,FALSE),0),"")</f>
        <v/>
      </c>
      <c r="AO71" t="str">
        <f>IFERROR(ROUND(L71*(I71/$AW71)/VLOOKUP(H71,商品!$A$4:$D$67,4,FALSE),0),"")</f>
        <v/>
      </c>
      <c r="AP71" t="str">
        <f>IFERROR(ROUND(L71*(K71/$AW71)/VLOOKUP(J71,商品!$A$4:$D$67,4,FALSE),0),"")</f>
        <v/>
      </c>
      <c r="AQ71" t="str">
        <f>IFERROR(ROUND(S71*(N71/$AX71)/VLOOKUP(M71,职业!$A$3:$E$16,4,FALSE),0),"")</f>
        <v/>
      </c>
      <c r="AR71" t="str">
        <f>IFERROR(ROUND(S71*(P71/$AX71)/VLOOKUP(O71,职业!$A$3:$E$16,4,FALSE),0),"")</f>
        <v/>
      </c>
      <c r="AS71" t="str">
        <f>IFERROR(ROUND(S71*(R71/$AX71)/VLOOKUP(Q71,职业!$A$3:$E$16,4,FALSE),0),"")</f>
        <v/>
      </c>
      <c r="AT71" t="str">
        <f>IFERROR(ROUND(X71*(U71/$AY71)/VLOOKUP(T71,商品!$A$4:$D$67,4,FALSE),0),"")</f>
        <v/>
      </c>
      <c r="AU71" t="str">
        <f>IFERROR(ROUND(X71*(W71/$AY71)/VLOOKUP(V71,商品!$A$4:$D$67,4,FALSE),0),"")</f>
        <v/>
      </c>
      <c r="AW71">
        <f t="shared" si="31"/>
        <v>0</v>
      </c>
      <c r="AX71">
        <f t="shared" si="32"/>
        <v>0</v>
      </c>
      <c r="AY71">
        <f t="shared" si="33"/>
        <v>0</v>
      </c>
    </row>
    <row r="72" customHeight="1" spans="1:51">
      <c r="A72" s="5" t="s">
        <v>300</v>
      </c>
      <c r="C72" s="5">
        <v>2</v>
      </c>
      <c r="D72" s="1" t="s">
        <v>220</v>
      </c>
      <c r="E72" s="1" t="s">
        <v>224</v>
      </c>
      <c r="L72" s="5">
        <f>IFERROR(VLOOKUP($D72&amp;$C72,生产方式定位!$A$2:$E$38,2,FALSE)+VLOOKUP($E72&amp;$C72,生产方式定位!$F$3:$J$38,2,FALSE),0)</f>
        <v>1200</v>
      </c>
      <c r="S72" s="5">
        <f>IFERROR(VLOOKUP($D72&amp;$C72,生产方式定位!$A$2:$E$38,3,FALSE)+VLOOKUP($E72&amp;$C72,生产方式定位!$F$3:$J$38,3,FALSE),0)</f>
        <v>100</v>
      </c>
      <c r="X72" s="5">
        <f>IFERROR(VLOOKUP($D72&amp;$C72,生产方式定位!$A$2:$E$38,5,FALSE)+VLOOKUP($E72&amp;$C72,生产方式定位!$F$3:$J$38,5,FALSE),"错误")</f>
        <v>1346</v>
      </c>
      <c r="Y72" s="27" t="str">
        <f t="shared" si="17"/>
        <v/>
      </c>
      <c r="Z72" s="50" t="str">
        <f t="shared" si="20"/>
        <v/>
      </c>
      <c r="AA72" s="50" t="str">
        <f t="shared" si="18"/>
        <v/>
      </c>
      <c r="AB72" s="28" t="str">
        <f t="shared" si="21"/>
        <v>12%</v>
      </c>
      <c r="AC72" s="1">
        <f t="shared" si="22"/>
        <v>46</v>
      </c>
      <c r="AD72" s="51">
        <f t="shared" si="19"/>
        <v>2</v>
      </c>
      <c r="AE72" t="str">
        <f t="shared" si="23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L72" t="str">
        <f t="shared" si="30"/>
        <v/>
      </c>
      <c r="AN72" t="str">
        <f>IFERROR(ROUND(L72*(G72/$AW72)/VLOOKUP(F72,商品!$A$4:$D$67,4,FALSE),0),"")</f>
        <v/>
      </c>
      <c r="AO72" t="str">
        <f>IFERROR(ROUND(L72*(I72/$AW72)/VLOOKUP(H72,商品!$A$4:$D$67,4,FALSE),0),"")</f>
        <v/>
      </c>
      <c r="AP72" t="str">
        <f>IFERROR(ROUND(L72*(K72/$AW72)/VLOOKUP(J72,商品!$A$4:$D$67,4,FALSE),0),"")</f>
        <v/>
      </c>
      <c r="AQ72" t="str">
        <f>IFERROR(ROUND(S72*(N72/$AX72)/VLOOKUP(M72,职业!$A$3:$E$16,4,FALSE),0),"")</f>
        <v/>
      </c>
      <c r="AR72" t="str">
        <f>IFERROR(ROUND(S72*(P72/$AX72)/VLOOKUP(O72,职业!$A$3:$E$16,4,FALSE),0),"")</f>
        <v/>
      </c>
      <c r="AS72" t="str">
        <f>IFERROR(ROUND(S72*(R72/$AX72)/VLOOKUP(Q72,职业!$A$3:$E$16,4,FALSE),0),"")</f>
        <v/>
      </c>
      <c r="AT72" t="str">
        <f>IFERROR(ROUND(X72*(U72/$AY72)/VLOOKUP(T72,商品!$A$4:$D$67,4,FALSE),0),"")</f>
        <v/>
      </c>
      <c r="AU72" t="str">
        <f>IFERROR(ROUND(X72*(W72/$AY72)/VLOOKUP(V72,商品!$A$4:$D$67,4,FALSE),0),"")</f>
        <v/>
      </c>
      <c r="AW72">
        <f t="shared" si="31"/>
        <v>0</v>
      </c>
      <c r="AX72">
        <f t="shared" si="32"/>
        <v>0</v>
      </c>
      <c r="AY72">
        <f t="shared" si="33"/>
        <v>0</v>
      </c>
    </row>
    <row r="73" customHeight="1" spans="1:51">
      <c r="A73" s="5" t="s">
        <v>300</v>
      </c>
      <c r="C73" s="5">
        <v>3</v>
      </c>
      <c r="D73" s="1" t="s">
        <v>220</v>
      </c>
      <c r="E73" s="1" t="s">
        <v>224</v>
      </c>
      <c r="L73" s="5">
        <f>IFERROR(VLOOKUP($D73&amp;$C73,生产方式定位!$A$2:$E$38,2,FALSE)+VLOOKUP($E73&amp;$C73,生产方式定位!$F$3:$J$38,2,FALSE),0)</f>
        <v>1900</v>
      </c>
      <c r="S73" s="5">
        <f>IFERROR(VLOOKUP($D73&amp;$C73,生产方式定位!$A$2:$E$38,3,FALSE)+VLOOKUP($E73&amp;$C73,生产方式定位!$F$3:$J$38,3,FALSE),0)</f>
        <v>70</v>
      </c>
      <c r="X73" s="5">
        <f>IFERROR(VLOOKUP($D73&amp;$C73,生产方式定位!$A$2:$E$38,5,FALSE)+VLOOKUP($E73&amp;$C73,生产方式定位!$F$3:$J$38,5,FALSE),"错误")</f>
        <v>2064</v>
      </c>
      <c r="Y73" s="27" t="str">
        <f t="shared" si="17"/>
        <v/>
      </c>
      <c r="Z73" s="50" t="str">
        <f t="shared" si="20"/>
        <v/>
      </c>
      <c r="AA73" s="50" t="str">
        <f t="shared" si="18"/>
        <v/>
      </c>
      <c r="AB73" s="28" t="str">
        <f t="shared" si="21"/>
        <v>9%</v>
      </c>
      <c r="AC73" s="1">
        <f t="shared" si="22"/>
        <v>94</v>
      </c>
      <c r="AD73" s="51">
        <f t="shared" si="19"/>
        <v>3</v>
      </c>
      <c r="AE73" t="str">
        <f t="shared" si="23"/>
        <v/>
      </c>
      <c r="AF73" t="str">
        <f t="shared" si="24"/>
        <v/>
      </c>
      <c r="AG73" t="str">
        <f t="shared" si="25"/>
        <v/>
      </c>
      <c r="AH73" t="str">
        <f t="shared" si="26"/>
        <v/>
      </c>
      <c r="AI73" t="str">
        <f t="shared" si="27"/>
        <v/>
      </c>
      <c r="AJ73" t="str">
        <f t="shared" si="28"/>
        <v/>
      </c>
      <c r="AK73" t="str">
        <f t="shared" si="29"/>
        <v/>
      </c>
      <c r="AL73" t="str">
        <f t="shared" si="30"/>
        <v/>
      </c>
      <c r="AN73" t="str">
        <f>IFERROR(ROUND(L73*(G73/$AW73)/VLOOKUP(F73,商品!$A$4:$D$67,4,FALSE),0),"")</f>
        <v/>
      </c>
      <c r="AO73" t="str">
        <f>IFERROR(ROUND(L73*(I73/$AW73)/VLOOKUP(H73,商品!$A$4:$D$67,4,FALSE),0),"")</f>
        <v/>
      </c>
      <c r="AP73" t="str">
        <f>IFERROR(ROUND(L73*(K73/$AW73)/VLOOKUP(J73,商品!$A$4:$D$67,4,FALSE),0),"")</f>
        <v/>
      </c>
      <c r="AQ73" t="str">
        <f>IFERROR(ROUND(S73*(N73/$AX73)/VLOOKUP(M73,职业!$A$3:$E$16,4,FALSE),0),"")</f>
        <v/>
      </c>
      <c r="AR73" t="str">
        <f>IFERROR(ROUND(S73*(P73/$AX73)/VLOOKUP(O73,职业!$A$3:$E$16,4,FALSE),0),"")</f>
        <v/>
      </c>
      <c r="AS73" t="str">
        <f>IFERROR(ROUND(S73*(R73/$AX73)/VLOOKUP(Q73,职业!$A$3:$E$16,4,FALSE),0),"")</f>
        <v/>
      </c>
      <c r="AT73" t="str">
        <f>IFERROR(ROUND(X73*(U73/$AY73)/VLOOKUP(T73,商品!$A$4:$D$67,4,FALSE),0),"")</f>
        <v/>
      </c>
      <c r="AU73" t="str">
        <f>IFERROR(ROUND(X73*(W73/$AY73)/VLOOKUP(V73,商品!$A$4:$D$67,4,FALSE),0),"")</f>
        <v/>
      </c>
      <c r="AW73">
        <f t="shared" si="31"/>
        <v>0</v>
      </c>
      <c r="AX73">
        <f t="shared" si="32"/>
        <v>0</v>
      </c>
      <c r="AY73">
        <f t="shared" si="33"/>
        <v>0</v>
      </c>
    </row>
    <row r="74" customHeight="1" spans="1:51">
      <c r="A74" s="5" t="s">
        <v>300</v>
      </c>
      <c r="C74" s="5">
        <v>4</v>
      </c>
      <c r="D74" s="1" t="s">
        <v>220</v>
      </c>
      <c r="E74" s="1" t="s">
        <v>224</v>
      </c>
      <c r="L74" s="5">
        <f>IFERROR(VLOOKUP($D74&amp;$C74,生产方式定位!$A$2:$E$38,2,FALSE)+VLOOKUP($E74&amp;$C74,生产方式定位!$F$3:$J$38,2,FALSE),0)</f>
        <v>2600</v>
      </c>
      <c r="S74" s="5">
        <f>IFERROR(VLOOKUP($D74&amp;$C74,生产方式定位!$A$2:$E$38,3,FALSE)+VLOOKUP($E74&amp;$C74,生产方式定位!$F$3:$J$38,3,FALSE),0)</f>
        <v>40</v>
      </c>
      <c r="X74" s="5">
        <f>IFERROR(VLOOKUP($D74&amp;$C74,生产方式定位!$A$2:$E$38,5,FALSE)+VLOOKUP($E74&amp;$C74,生产方式定位!$F$3:$J$38,5,FALSE),"错误")</f>
        <v>2782</v>
      </c>
      <c r="Y74" s="27" t="str">
        <f t="shared" si="17"/>
        <v/>
      </c>
      <c r="Z74" s="50" t="str">
        <f t="shared" si="20"/>
        <v/>
      </c>
      <c r="AA74" s="50" t="str">
        <f t="shared" si="18"/>
        <v/>
      </c>
      <c r="AB74" s="28" t="str">
        <f t="shared" si="21"/>
        <v>7%</v>
      </c>
      <c r="AC74" s="1">
        <f t="shared" si="22"/>
        <v>142</v>
      </c>
      <c r="AD74" s="51">
        <f t="shared" si="19"/>
        <v>4</v>
      </c>
      <c r="AE74" t="str">
        <f t="shared" si="23"/>
        <v/>
      </c>
      <c r="AF74" t="str">
        <f t="shared" si="24"/>
        <v/>
      </c>
      <c r="AG74" t="str">
        <f t="shared" si="25"/>
        <v/>
      </c>
      <c r="AH74" t="str">
        <f t="shared" si="26"/>
        <v/>
      </c>
      <c r="AI74" t="str">
        <f t="shared" si="27"/>
        <v/>
      </c>
      <c r="AJ74" t="str">
        <f t="shared" si="28"/>
        <v/>
      </c>
      <c r="AK74" t="str">
        <f t="shared" si="29"/>
        <v/>
      </c>
      <c r="AL74" t="str">
        <f t="shared" si="30"/>
        <v/>
      </c>
      <c r="AN74" t="str">
        <f>IFERROR(ROUND(L74*(G74/$AW74)/VLOOKUP(F74,商品!$A$4:$D$67,4,FALSE),0),"")</f>
        <v/>
      </c>
      <c r="AO74" t="str">
        <f>IFERROR(ROUND(L74*(I74/$AW74)/VLOOKUP(H74,商品!$A$4:$D$67,4,FALSE),0),"")</f>
        <v/>
      </c>
      <c r="AP74" t="str">
        <f>IFERROR(ROUND(L74*(K74/$AW74)/VLOOKUP(J74,商品!$A$4:$D$67,4,FALSE),0),"")</f>
        <v/>
      </c>
      <c r="AQ74" t="str">
        <f>IFERROR(ROUND(S74*(N74/$AX74)/VLOOKUP(M74,职业!$A$3:$E$16,4,FALSE),0),"")</f>
        <v/>
      </c>
      <c r="AR74" t="str">
        <f>IFERROR(ROUND(S74*(P74/$AX74)/VLOOKUP(O74,职业!$A$3:$E$16,4,FALSE),0),"")</f>
        <v/>
      </c>
      <c r="AS74" t="str">
        <f>IFERROR(ROUND(S74*(R74/$AX74)/VLOOKUP(Q74,职业!$A$3:$E$16,4,FALSE),0),"")</f>
        <v/>
      </c>
      <c r="AT74" t="str">
        <f>IFERROR(ROUND(X74*(U74/$AY74)/VLOOKUP(T74,商品!$A$4:$D$67,4,FALSE),0),"")</f>
        <v/>
      </c>
      <c r="AU74" t="str">
        <f>IFERROR(ROUND(X74*(W74/$AY74)/VLOOKUP(V74,商品!$A$4:$D$67,4,FALSE),0),"")</f>
        <v/>
      </c>
      <c r="AW74">
        <f t="shared" si="31"/>
        <v>0</v>
      </c>
      <c r="AX74">
        <f t="shared" si="32"/>
        <v>0</v>
      </c>
      <c r="AY74">
        <f t="shared" si="33"/>
        <v>0</v>
      </c>
    </row>
    <row r="75" customHeight="1" spans="1:51">
      <c r="A75" s="5" t="s">
        <v>300</v>
      </c>
      <c r="C75" s="5">
        <v>5</v>
      </c>
      <c r="D75" s="1" t="s">
        <v>220</v>
      </c>
      <c r="E75" s="1" t="s">
        <v>224</v>
      </c>
      <c r="L75" s="5">
        <f>IFERROR(VLOOKUP($D75&amp;$C75,生产方式定位!$A$2:$E$38,2,FALSE)+VLOOKUP($E75&amp;$C75,生产方式定位!$F$3:$J$38,2,FALSE),0)</f>
        <v>3300</v>
      </c>
      <c r="S75" s="5">
        <f>IFERROR(VLOOKUP($D75&amp;$C75,生产方式定位!$A$2:$E$38,3,FALSE)+VLOOKUP($E75&amp;$C75,生产方式定位!$F$3:$J$38,3,FALSE),0)</f>
        <v>10</v>
      </c>
      <c r="X75" s="5">
        <f>IFERROR(VLOOKUP($D75&amp;$C75,生产方式定位!$A$2:$E$38,5,FALSE)+VLOOKUP($E75&amp;$C75,生产方式定位!$F$3:$J$38,5,FALSE),"错误")</f>
        <v>3500</v>
      </c>
      <c r="Y75" s="27" t="str">
        <f t="shared" si="17"/>
        <v/>
      </c>
      <c r="Z75" s="50" t="str">
        <f t="shared" si="20"/>
        <v/>
      </c>
      <c r="AA75" s="50" t="str">
        <f t="shared" si="18"/>
        <v/>
      </c>
      <c r="AB75" s="28" t="str">
        <f t="shared" si="21"/>
        <v>6%</v>
      </c>
      <c r="AC75" s="1">
        <f t="shared" si="22"/>
        <v>190</v>
      </c>
      <c r="AD75" s="51">
        <f t="shared" si="19"/>
        <v>5</v>
      </c>
      <c r="AE75" t="str">
        <f t="shared" si="23"/>
        <v/>
      </c>
      <c r="AF75" t="str">
        <f t="shared" si="24"/>
        <v/>
      </c>
      <c r="AG75" t="str">
        <f t="shared" si="25"/>
        <v/>
      </c>
      <c r="AH75" t="str">
        <f t="shared" si="26"/>
        <v/>
      </c>
      <c r="AI75" t="str">
        <f t="shared" si="27"/>
        <v/>
      </c>
      <c r="AJ75" t="str">
        <f t="shared" si="28"/>
        <v/>
      </c>
      <c r="AK75" t="str">
        <f t="shared" si="29"/>
        <v/>
      </c>
      <c r="AL75" t="str">
        <f t="shared" si="30"/>
        <v/>
      </c>
      <c r="AN75" t="str">
        <f>IFERROR(ROUND(L75*(G75/$AW75)/VLOOKUP(F75,商品!$A$4:$D$67,4,FALSE),0),"")</f>
        <v/>
      </c>
      <c r="AO75" t="str">
        <f>IFERROR(ROUND(L75*(I75/$AW75)/VLOOKUP(H75,商品!$A$4:$D$67,4,FALSE),0),"")</f>
        <v/>
      </c>
      <c r="AP75" t="str">
        <f>IFERROR(ROUND(L75*(K75/$AW75)/VLOOKUP(J75,商品!$A$4:$D$67,4,FALSE),0),"")</f>
        <v/>
      </c>
      <c r="AQ75" t="str">
        <f>IFERROR(ROUND(S75*(N75/$AX75)/VLOOKUP(M75,职业!$A$3:$E$16,4,FALSE),0),"")</f>
        <v/>
      </c>
      <c r="AR75" t="str">
        <f>IFERROR(ROUND(S75*(P75/$AX75)/VLOOKUP(O75,职业!$A$3:$E$16,4,FALSE),0),"")</f>
        <v/>
      </c>
      <c r="AS75" t="str">
        <f>IFERROR(ROUND(S75*(R75/$AX75)/VLOOKUP(Q75,职业!$A$3:$E$16,4,FALSE),0),"")</f>
        <v/>
      </c>
      <c r="AT75" t="str">
        <f>IFERROR(ROUND(X75*(U75/$AY75)/VLOOKUP(T75,商品!$A$4:$D$67,4,FALSE),0),"")</f>
        <v/>
      </c>
      <c r="AU75" t="str">
        <f>IFERROR(ROUND(X75*(W75/$AY75)/VLOOKUP(V75,商品!$A$4:$D$67,4,FALSE),0),"")</f>
        <v/>
      </c>
      <c r="AW75">
        <f t="shared" si="31"/>
        <v>0</v>
      </c>
      <c r="AX75">
        <f t="shared" si="32"/>
        <v>0</v>
      </c>
      <c r="AY75">
        <f t="shared" si="33"/>
        <v>0</v>
      </c>
    </row>
    <row r="76" customHeight="1" spans="1:51">
      <c r="A76" s="18" t="s">
        <v>301</v>
      </c>
      <c r="C76" s="18">
        <v>1</v>
      </c>
      <c r="D76" s="1" t="s">
        <v>291</v>
      </c>
      <c r="E76" s="1" t="s">
        <v>225</v>
      </c>
      <c r="L76" s="18">
        <f>IFERROR(VLOOKUP($D76&amp;$C76,生产方式定位!$A$2:$E$38,2,FALSE)+VLOOKUP($E76&amp;$C76,生产方式定位!$F$3:$J$38,2,FALSE),0)</f>
        <v>0</v>
      </c>
      <c r="S76" s="18">
        <f>IFERROR(VLOOKUP($D76&amp;$C76,生产方式定位!$A$2:$E$38,3,FALSE)+VLOOKUP($E76&amp;$C76,生产方式定位!$F$3:$J$38,3,FALSE),0)</f>
        <v>100</v>
      </c>
      <c r="X76" s="18">
        <f>IFERROR(VLOOKUP($D76&amp;$C76,生产方式定位!$A$2:$E$38,5,FALSE)+VLOOKUP($E76&amp;$C76,生产方式定位!$F$3:$J$38,5,FALSE),"错误")</f>
        <v>100</v>
      </c>
      <c r="Y76" s="27" t="str">
        <f t="shared" si="17"/>
        <v/>
      </c>
      <c r="Z76" s="50" t="str">
        <f t="shared" si="20"/>
        <v/>
      </c>
      <c r="AA76" s="50" t="str">
        <f t="shared" si="18"/>
        <v/>
      </c>
      <c r="AB76" s="28" t="str">
        <f t="shared" si="21"/>
        <v/>
      </c>
      <c r="AC76" s="1" t="str">
        <f t="shared" si="22"/>
        <v/>
      </c>
      <c r="AD76" s="52">
        <f t="shared" si="19"/>
        <v>1</v>
      </c>
      <c r="AE76" t="str">
        <f t="shared" si="23"/>
        <v/>
      </c>
      <c r="AF76" t="str">
        <f t="shared" si="24"/>
        <v/>
      </c>
      <c r="AG76" t="str">
        <f t="shared" si="25"/>
        <v/>
      </c>
      <c r="AH76" t="str">
        <f t="shared" si="26"/>
        <v/>
      </c>
      <c r="AI76" t="str">
        <f t="shared" si="27"/>
        <v/>
      </c>
      <c r="AJ76" t="str">
        <f t="shared" si="28"/>
        <v/>
      </c>
      <c r="AK76" t="str">
        <f t="shared" si="29"/>
        <v/>
      </c>
      <c r="AL76" t="str">
        <f t="shared" si="30"/>
        <v/>
      </c>
      <c r="AN76" t="str">
        <f>IFERROR(ROUND(L76*(G76/$AW76)/VLOOKUP(F76,商品!$A$4:$D$67,4,FALSE),0),"")</f>
        <v/>
      </c>
      <c r="AO76" t="str">
        <f>IFERROR(ROUND(L76*(I76/$AW76)/VLOOKUP(H76,商品!$A$4:$D$67,4,FALSE),0),"")</f>
        <v/>
      </c>
      <c r="AP76" t="str">
        <f>IFERROR(ROUND(L76*(K76/$AW76)/VLOOKUP(J76,商品!$A$4:$D$67,4,FALSE),0),"")</f>
        <v/>
      </c>
      <c r="AQ76" t="str">
        <f>IFERROR(ROUND(S76*(N76/$AX76)/VLOOKUP(M76,职业!$A$3:$E$16,4,FALSE),0),"")</f>
        <v/>
      </c>
      <c r="AR76" t="str">
        <f>IFERROR(ROUND(S76*(P76/$AX76)/VLOOKUP(O76,职业!$A$3:$E$16,4,FALSE),0),"")</f>
        <v/>
      </c>
      <c r="AS76" t="str">
        <f>IFERROR(ROUND(S76*(R76/$AX76)/VLOOKUP(Q76,职业!$A$3:$E$16,4,FALSE),0),"")</f>
        <v/>
      </c>
      <c r="AT76" t="str">
        <f>IFERROR(ROUND(X76*(U76/$AY76)/VLOOKUP(T76,商品!$A$4:$D$67,4,FALSE),0),"")</f>
        <v/>
      </c>
      <c r="AU76" t="str">
        <f>IFERROR(ROUND(X76*(W76/$AY76)/VLOOKUP(V76,商品!$A$4:$D$67,4,FALSE),0),"")</f>
        <v/>
      </c>
      <c r="AW76">
        <f t="shared" si="31"/>
        <v>0</v>
      </c>
      <c r="AX76">
        <f t="shared" si="32"/>
        <v>0</v>
      </c>
      <c r="AY76">
        <f t="shared" si="33"/>
        <v>0</v>
      </c>
    </row>
    <row r="77" customHeight="1" spans="1:51">
      <c r="A77" s="18" t="s">
        <v>301</v>
      </c>
      <c r="C77" s="18">
        <v>2</v>
      </c>
      <c r="D77" s="1" t="s">
        <v>291</v>
      </c>
      <c r="E77" s="1" t="s">
        <v>225</v>
      </c>
      <c r="L77" s="18">
        <f>IFERROR(VLOOKUP($D77&amp;$C77,生产方式定位!$A$2:$E$38,2,FALSE)+VLOOKUP($E77&amp;$C77,生产方式定位!$F$3:$J$38,2,FALSE),0)</f>
        <v>0</v>
      </c>
      <c r="S77" s="18">
        <f>IFERROR(VLOOKUP($D77&amp;$C77,生产方式定位!$A$2:$E$38,3,FALSE)+VLOOKUP($E77&amp;$C77,生产方式定位!$F$3:$J$38,3,FALSE),0)</f>
        <v>100</v>
      </c>
      <c r="X77" s="18">
        <f>IFERROR(VLOOKUP($D77&amp;$C77,生产方式定位!$A$2:$E$38,5,FALSE)+VLOOKUP($E77&amp;$C77,生产方式定位!$F$3:$J$38,5,FALSE),"错误")</f>
        <v>100</v>
      </c>
      <c r="Y77" s="27" t="str">
        <f t="shared" si="17"/>
        <v/>
      </c>
      <c r="Z77" s="50" t="str">
        <f t="shared" si="20"/>
        <v/>
      </c>
      <c r="AA77" s="50" t="str">
        <f t="shared" si="18"/>
        <v/>
      </c>
      <c r="AB77" s="28" t="str">
        <f t="shared" si="21"/>
        <v/>
      </c>
      <c r="AC77" s="1" t="str">
        <f t="shared" si="22"/>
        <v/>
      </c>
      <c r="AD77" s="52">
        <f t="shared" si="19"/>
        <v>2</v>
      </c>
      <c r="AE77" t="str">
        <f t="shared" si="23"/>
        <v/>
      </c>
      <c r="AF77" t="str">
        <f t="shared" si="24"/>
        <v/>
      </c>
      <c r="AG77" t="str">
        <f t="shared" si="25"/>
        <v/>
      </c>
      <c r="AH77" t="str">
        <f t="shared" si="26"/>
        <v/>
      </c>
      <c r="AI77" t="str">
        <f t="shared" si="27"/>
        <v/>
      </c>
      <c r="AJ77" t="str">
        <f t="shared" si="28"/>
        <v/>
      </c>
      <c r="AK77" t="str">
        <f t="shared" si="29"/>
        <v/>
      </c>
      <c r="AL77" t="str">
        <f t="shared" si="30"/>
        <v/>
      </c>
      <c r="AN77" t="str">
        <f>IFERROR(ROUND(L77*(G77/$AW77)/VLOOKUP(F77,商品!$A$4:$D$67,4,FALSE),0),"")</f>
        <v/>
      </c>
      <c r="AO77" t="str">
        <f>IFERROR(ROUND(L77*(I77/$AW77)/VLOOKUP(H77,商品!$A$4:$D$67,4,FALSE),0),"")</f>
        <v/>
      </c>
      <c r="AP77" t="str">
        <f>IFERROR(ROUND(L77*(K77/$AW77)/VLOOKUP(J77,商品!$A$4:$D$67,4,FALSE),0),"")</f>
        <v/>
      </c>
      <c r="AQ77" t="str">
        <f>IFERROR(ROUND(S77*(N77/$AX77)/VLOOKUP(M77,职业!$A$3:$E$16,4,FALSE),0),"")</f>
        <v/>
      </c>
      <c r="AR77" t="str">
        <f>IFERROR(ROUND(S77*(P77/$AX77)/VLOOKUP(O77,职业!$A$3:$E$16,4,FALSE),0),"")</f>
        <v/>
      </c>
      <c r="AS77" t="str">
        <f>IFERROR(ROUND(S77*(R77/$AX77)/VLOOKUP(Q77,职业!$A$3:$E$16,4,FALSE),0),"")</f>
        <v/>
      </c>
      <c r="AT77" t="str">
        <f>IFERROR(ROUND(X77*(U77/$AY77)/VLOOKUP(T77,商品!$A$4:$D$67,4,FALSE),0),"")</f>
        <v/>
      </c>
      <c r="AU77" t="str">
        <f>IFERROR(ROUND(X77*(W77/$AY77)/VLOOKUP(V77,商品!$A$4:$D$67,4,FALSE),0),"")</f>
        <v/>
      </c>
      <c r="AW77">
        <f t="shared" si="31"/>
        <v>0</v>
      </c>
      <c r="AX77">
        <f t="shared" si="32"/>
        <v>0</v>
      </c>
      <c r="AY77">
        <f t="shared" si="33"/>
        <v>0</v>
      </c>
    </row>
    <row r="78" customHeight="1" spans="1:51">
      <c r="A78" s="18" t="s">
        <v>301</v>
      </c>
      <c r="C78" s="18">
        <v>3</v>
      </c>
      <c r="D78" s="1" t="s">
        <v>291</v>
      </c>
      <c r="E78" s="1" t="s">
        <v>225</v>
      </c>
      <c r="L78" s="18">
        <f>IFERROR(VLOOKUP($D78&amp;$C78,生产方式定位!$A$2:$E$38,2,FALSE)+VLOOKUP($E78&amp;$C78,生产方式定位!$F$3:$J$38,2,FALSE),0)</f>
        <v>0</v>
      </c>
      <c r="S78" s="18">
        <f>IFERROR(VLOOKUP($D78&amp;$C78,生产方式定位!$A$2:$E$38,3,FALSE)+VLOOKUP($E78&amp;$C78,生产方式定位!$F$3:$J$38,3,FALSE),0)</f>
        <v>100</v>
      </c>
      <c r="X78" s="18">
        <f>IFERROR(VLOOKUP($D78&amp;$C78,生产方式定位!$A$2:$E$38,5,FALSE)+VLOOKUP($E78&amp;$C78,生产方式定位!$F$3:$J$38,5,FALSE),"错误")</f>
        <v>100</v>
      </c>
      <c r="Y78" s="27" t="str">
        <f t="shared" si="17"/>
        <v/>
      </c>
      <c r="Z78" s="50" t="str">
        <f t="shared" si="20"/>
        <v/>
      </c>
      <c r="AA78" s="50" t="str">
        <f t="shared" si="18"/>
        <v/>
      </c>
      <c r="AB78" s="28" t="str">
        <f t="shared" si="21"/>
        <v/>
      </c>
      <c r="AC78" s="1" t="str">
        <f t="shared" si="22"/>
        <v/>
      </c>
      <c r="AD78" s="52">
        <f t="shared" si="19"/>
        <v>3</v>
      </c>
      <c r="AE78" t="str">
        <f t="shared" si="23"/>
        <v/>
      </c>
      <c r="AF78" t="str">
        <f t="shared" si="24"/>
        <v/>
      </c>
      <c r="AG78" t="str">
        <f t="shared" si="25"/>
        <v/>
      </c>
      <c r="AH78" t="str">
        <f t="shared" si="26"/>
        <v/>
      </c>
      <c r="AI78" t="str">
        <f t="shared" si="27"/>
        <v/>
      </c>
      <c r="AJ78" t="str">
        <f t="shared" si="28"/>
        <v/>
      </c>
      <c r="AK78" t="str">
        <f t="shared" si="29"/>
        <v/>
      </c>
      <c r="AL78" t="str">
        <f t="shared" si="30"/>
        <v/>
      </c>
      <c r="AN78" t="str">
        <f>IFERROR(ROUND(L78*(G78/$AW78)/VLOOKUP(F78,商品!$A$4:$D$67,4,FALSE),0),"")</f>
        <v/>
      </c>
      <c r="AO78" t="str">
        <f>IFERROR(ROUND(L78*(I78/$AW78)/VLOOKUP(H78,商品!$A$4:$D$67,4,FALSE),0),"")</f>
        <v/>
      </c>
      <c r="AP78" t="str">
        <f>IFERROR(ROUND(L78*(K78/$AW78)/VLOOKUP(J78,商品!$A$4:$D$67,4,FALSE),0),"")</f>
        <v/>
      </c>
      <c r="AQ78" t="str">
        <f>IFERROR(ROUND(S78*(N78/$AX78)/VLOOKUP(M78,职业!$A$3:$E$16,4,FALSE),0),"")</f>
        <v/>
      </c>
      <c r="AR78" t="str">
        <f>IFERROR(ROUND(S78*(P78/$AX78)/VLOOKUP(O78,职业!$A$3:$E$16,4,FALSE),0),"")</f>
        <v/>
      </c>
      <c r="AS78" t="str">
        <f>IFERROR(ROUND(S78*(R78/$AX78)/VLOOKUP(Q78,职业!$A$3:$E$16,4,FALSE),0),"")</f>
        <v/>
      </c>
      <c r="AT78" t="str">
        <f>IFERROR(ROUND(X78*(U78/$AY78)/VLOOKUP(T78,商品!$A$4:$D$67,4,FALSE),0),"")</f>
        <v/>
      </c>
      <c r="AU78" t="str">
        <f>IFERROR(ROUND(X78*(W78/$AY78)/VLOOKUP(V78,商品!$A$4:$D$67,4,FALSE),0),"")</f>
        <v/>
      </c>
      <c r="AW78">
        <f t="shared" si="31"/>
        <v>0</v>
      </c>
      <c r="AX78">
        <f t="shared" si="32"/>
        <v>0</v>
      </c>
      <c r="AY78">
        <f t="shared" si="33"/>
        <v>0</v>
      </c>
    </row>
    <row r="79" customHeight="1" spans="1:51">
      <c r="A79" s="18" t="s">
        <v>301</v>
      </c>
      <c r="C79" s="18">
        <v>4</v>
      </c>
      <c r="D79" s="1" t="s">
        <v>291</v>
      </c>
      <c r="E79" s="1" t="s">
        <v>225</v>
      </c>
      <c r="L79" s="18">
        <f>IFERROR(VLOOKUP($D79&amp;$C79,生产方式定位!$A$2:$E$38,2,FALSE)+VLOOKUP($E79&amp;$C79,生产方式定位!$F$3:$J$38,2,FALSE),0)</f>
        <v>0</v>
      </c>
      <c r="S79" s="18">
        <f>IFERROR(VLOOKUP($D79&amp;$C79,生产方式定位!$A$2:$E$38,3,FALSE)+VLOOKUP($E79&amp;$C79,生产方式定位!$F$3:$J$38,3,FALSE),0)</f>
        <v>100</v>
      </c>
      <c r="X79" s="18">
        <f>IFERROR(VLOOKUP($D79&amp;$C79,生产方式定位!$A$2:$E$38,5,FALSE)+VLOOKUP($E79&amp;$C79,生产方式定位!$F$3:$J$38,5,FALSE),"错误")</f>
        <v>100</v>
      </c>
      <c r="Y79" s="27" t="str">
        <f t="shared" si="17"/>
        <v/>
      </c>
      <c r="Z79" s="50" t="str">
        <f t="shared" si="20"/>
        <v/>
      </c>
      <c r="AA79" s="50" t="str">
        <f t="shared" si="18"/>
        <v/>
      </c>
      <c r="AB79" s="28" t="str">
        <f t="shared" si="21"/>
        <v/>
      </c>
      <c r="AC79" s="1" t="str">
        <f t="shared" si="22"/>
        <v/>
      </c>
      <c r="AD79" s="52">
        <f t="shared" si="19"/>
        <v>4</v>
      </c>
      <c r="AE79" t="str">
        <f t="shared" si="23"/>
        <v/>
      </c>
      <c r="AF79" t="str">
        <f t="shared" si="24"/>
        <v/>
      </c>
      <c r="AG79" t="str">
        <f t="shared" si="25"/>
        <v/>
      </c>
      <c r="AH79" t="str">
        <f t="shared" si="26"/>
        <v/>
      </c>
      <c r="AI79" t="str">
        <f t="shared" si="27"/>
        <v/>
      </c>
      <c r="AJ79" t="str">
        <f t="shared" si="28"/>
        <v/>
      </c>
      <c r="AK79" t="str">
        <f t="shared" si="29"/>
        <v/>
      </c>
      <c r="AL79" t="str">
        <f t="shared" si="30"/>
        <v/>
      </c>
      <c r="AN79" t="str">
        <f>IFERROR(ROUND(L79*(G79/$AW79)/VLOOKUP(F79,商品!$A$4:$D$67,4,FALSE),0),"")</f>
        <v/>
      </c>
      <c r="AO79" t="str">
        <f>IFERROR(ROUND(L79*(I79/$AW79)/VLOOKUP(H79,商品!$A$4:$D$67,4,FALSE),0),"")</f>
        <v/>
      </c>
      <c r="AP79" t="str">
        <f>IFERROR(ROUND(L79*(K79/$AW79)/VLOOKUP(J79,商品!$A$4:$D$67,4,FALSE),0),"")</f>
        <v/>
      </c>
      <c r="AQ79" t="str">
        <f>IFERROR(ROUND(S79*(N79/$AX79)/VLOOKUP(M79,职业!$A$3:$E$16,4,FALSE),0),"")</f>
        <v/>
      </c>
      <c r="AR79" t="str">
        <f>IFERROR(ROUND(S79*(P79/$AX79)/VLOOKUP(O79,职业!$A$3:$E$16,4,FALSE),0),"")</f>
        <v/>
      </c>
      <c r="AS79" t="str">
        <f>IFERROR(ROUND(S79*(R79/$AX79)/VLOOKUP(Q79,职业!$A$3:$E$16,4,FALSE),0),"")</f>
        <v/>
      </c>
      <c r="AT79" t="str">
        <f>IFERROR(ROUND(X79*(U79/$AY79)/VLOOKUP(T79,商品!$A$4:$D$67,4,FALSE),0),"")</f>
        <v/>
      </c>
      <c r="AU79" t="str">
        <f>IFERROR(ROUND(X79*(W79/$AY79)/VLOOKUP(V79,商品!$A$4:$D$67,4,FALSE),0),"")</f>
        <v/>
      </c>
      <c r="AW79">
        <f t="shared" si="31"/>
        <v>0</v>
      </c>
      <c r="AX79">
        <f t="shared" si="32"/>
        <v>0</v>
      </c>
      <c r="AY79">
        <f t="shared" si="33"/>
        <v>0</v>
      </c>
    </row>
    <row r="80" customHeight="1" spans="1:51">
      <c r="A80" s="18" t="s">
        <v>301</v>
      </c>
      <c r="C80" s="18">
        <v>5</v>
      </c>
      <c r="D80" s="1" t="s">
        <v>291</v>
      </c>
      <c r="E80" s="1" t="s">
        <v>225</v>
      </c>
      <c r="L80" s="18">
        <f>IFERROR(VLOOKUP($D80&amp;$C80,生产方式定位!$A$2:$E$38,2,FALSE)+VLOOKUP($E80&amp;$C80,生产方式定位!$F$3:$J$38,2,FALSE),0)</f>
        <v>0</v>
      </c>
      <c r="S80" s="18">
        <f>IFERROR(VLOOKUP($D80&amp;$C80,生产方式定位!$A$2:$E$38,3,FALSE)+VLOOKUP($E80&amp;$C80,生产方式定位!$F$3:$J$38,3,FALSE),0)</f>
        <v>100</v>
      </c>
      <c r="X80" s="18">
        <f>IFERROR(VLOOKUP($D80&amp;$C80,生产方式定位!$A$2:$E$38,5,FALSE)+VLOOKUP($E80&amp;$C80,生产方式定位!$F$3:$J$38,5,FALSE),"错误")</f>
        <v>100</v>
      </c>
      <c r="Y80" s="27" t="str">
        <f t="shared" si="17"/>
        <v/>
      </c>
      <c r="Z80" s="50" t="str">
        <f t="shared" si="20"/>
        <v/>
      </c>
      <c r="AA80" s="50" t="str">
        <f t="shared" si="18"/>
        <v/>
      </c>
      <c r="AB80" s="28" t="str">
        <f t="shared" si="21"/>
        <v/>
      </c>
      <c r="AC80" s="1" t="str">
        <f t="shared" si="22"/>
        <v/>
      </c>
      <c r="AD80" s="52">
        <f t="shared" si="19"/>
        <v>5</v>
      </c>
      <c r="AE80" t="str">
        <f t="shared" si="23"/>
        <v/>
      </c>
      <c r="AF80" t="str">
        <f t="shared" si="24"/>
        <v/>
      </c>
      <c r="AG80" t="str">
        <f t="shared" si="25"/>
        <v/>
      </c>
      <c r="AH80" t="str">
        <f t="shared" si="26"/>
        <v/>
      </c>
      <c r="AI80" t="str">
        <f t="shared" si="27"/>
        <v/>
      </c>
      <c r="AJ80" t="str">
        <f t="shared" si="28"/>
        <v/>
      </c>
      <c r="AK80" t="str">
        <f t="shared" si="29"/>
        <v/>
      </c>
      <c r="AL80" t="str">
        <f t="shared" si="30"/>
        <v/>
      </c>
      <c r="AN80" t="str">
        <f>IFERROR(ROUND(L80*(G80/$AW80)/VLOOKUP(F80,商品!$A$4:$D$67,4,FALSE),0),"")</f>
        <v/>
      </c>
      <c r="AO80" t="str">
        <f>IFERROR(ROUND(L80*(I80/$AW80)/VLOOKUP(H80,商品!$A$4:$D$67,4,FALSE),0),"")</f>
        <v/>
      </c>
      <c r="AP80" t="str">
        <f>IFERROR(ROUND(L80*(K80/$AW80)/VLOOKUP(J80,商品!$A$4:$D$67,4,FALSE),0),"")</f>
        <v/>
      </c>
      <c r="AQ80" t="str">
        <f>IFERROR(ROUND(S80*(N80/$AX80)/VLOOKUP(M80,职业!$A$3:$E$16,4,FALSE),0),"")</f>
        <v/>
      </c>
      <c r="AR80" t="str">
        <f>IFERROR(ROUND(S80*(P80/$AX80)/VLOOKUP(O80,职业!$A$3:$E$16,4,FALSE),0),"")</f>
        <v/>
      </c>
      <c r="AS80" t="str">
        <f>IFERROR(ROUND(S80*(R80/$AX80)/VLOOKUP(Q80,职业!$A$3:$E$16,4,FALSE),0),"")</f>
        <v/>
      </c>
      <c r="AT80" t="str">
        <f>IFERROR(ROUND(X80*(U80/$AY80)/VLOOKUP(T80,商品!$A$4:$D$67,4,FALSE),0),"")</f>
        <v/>
      </c>
      <c r="AU80" t="str">
        <f>IFERROR(ROUND(X80*(W80/$AY80)/VLOOKUP(V80,商品!$A$4:$D$67,4,FALSE),0),"")</f>
        <v/>
      </c>
      <c r="AW80">
        <f t="shared" si="31"/>
        <v>0</v>
      </c>
      <c r="AX80">
        <f t="shared" si="32"/>
        <v>0</v>
      </c>
      <c r="AY80">
        <f t="shared" si="33"/>
        <v>0</v>
      </c>
    </row>
    <row r="81" customHeight="1" spans="1:51">
      <c r="A81" s="18" t="s">
        <v>301</v>
      </c>
      <c r="C81" s="18">
        <v>6</v>
      </c>
      <c r="D81" s="1" t="s">
        <v>291</v>
      </c>
      <c r="E81" s="1" t="s">
        <v>225</v>
      </c>
      <c r="L81" s="18">
        <f>IFERROR(VLOOKUP($D81&amp;$C81,生产方式定位!$A$2:$E$38,2,FALSE)+VLOOKUP($E81&amp;$C81,生产方式定位!$F$3:$J$38,2,FALSE),0)</f>
        <v>0</v>
      </c>
      <c r="S81" s="18">
        <f>IFERROR(VLOOKUP($D81&amp;$C81,生产方式定位!$A$2:$E$38,3,FALSE)+VLOOKUP($E81&amp;$C81,生产方式定位!$F$3:$J$38,3,FALSE),0)</f>
        <v>100</v>
      </c>
      <c r="X81" s="18">
        <f>IFERROR(VLOOKUP($D81&amp;$C81,生产方式定位!$A$2:$E$38,5,FALSE)+VLOOKUP($E81&amp;$C81,生产方式定位!$F$3:$J$38,5,FALSE),"错误")</f>
        <v>100</v>
      </c>
      <c r="Y81" s="27" t="str">
        <f t="shared" si="17"/>
        <v/>
      </c>
      <c r="Z81" s="50" t="str">
        <f t="shared" si="20"/>
        <v/>
      </c>
      <c r="AA81" s="50" t="str">
        <f t="shared" si="18"/>
        <v/>
      </c>
      <c r="AB81" s="28" t="str">
        <f t="shared" si="21"/>
        <v/>
      </c>
      <c r="AC81" s="1" t="str">
        <f t="shared" si="22"/>
        <v/>
      </c>
      <c r="AD81" s="52">
        <f t="shared" si="19"/>
        <v>6</v>
      </c>
      <c r="AE81" t="str">
        <f t="shared" si="23"/>
        <v/>
      </c>
      <c r="AF81" t="str">
        <f t="shared" si="24"/>
        <v/>
      </c>
      <c r="AG81" t="str">
        <f t="shared" si="25"/>
        <v/>
      </c>
      <c r="AH81" t="str">
        <f t="shared" si="26"/>
        <v/>
      </c>
      <c r="AI81" t="str">
        <f t="shared" si="27"/>
        <v/>
      </c>
      <c r="AJ81" t="str">
        <f t="shared" si="28"/>
        <v/>
      </c>
      <c r="AK81" t="str">
        <f t="shared" si="29"/>
        <v/>
      </c>
      <c r="AL81" t="str">
        <f t="shared" si="30"/>
        <v/>
      </c>
      <c r="AN81" t="str">
        <f>IFERROR(ROUND(L81*(G81/$AW81)/VLOOKUP(F81,商品!$A$4:$D$67,4,FALSE),0),"")</f>
        <v/>
      </c>
      <c r="AO81" t="str">
        <f>IFERROR(ROUND(L81*(I81/$AW81)/VLOOKUP(H81,商品!$A$4:$D$67,4,FALSE),0),"")</f>
        <v/>
      </c>
      <c r="AP81" t="str">
        <f>IFERROR(ROUND(L81*(K81/$AW81)/VLOOKUP(J81,商品!$A$4:$D$67,4,FALSE),0),"")</f>
        <v/>
      </c>
      <c r="AQ81" t="str">
        <f>IFERROR(ROUND(S81*(N81/$AX81)/VLOOKUP(M81,职业!$A$3:$E$16,4,FALSE),0),"")</f>
        <v/>
      </c>
      <c r="AR81" t="str">
        <f>IFERROR(ROUND(S81*(P81/$AX81)/VLOOKUP(O81,职业!$A$3:$E$16,4,FALSE),0),"")</f>
        <v/>
      </c>
      <c r="AS81" t="str">
        <f>IFERROR(ROUND(S81*(R81/$AX81)/VLOOKUP(Q81,职业!$A$3:$E$16,4,FALSE),0),"")</f>
        <v/>
      </c>
      <c r="AT81" t="str">
        <f>IFERROR(ROUND(X81*(U81/$AY81)/VLOOKUP(T81,商品!$A$4:$D$67,4,FALSE),0),"")</f>
        <v/>
      </c>
      <c r="AU81" t="str">
        <f>IFERROR(ROUND(X81*(W81/$AY81)/VLOOKUP(V81,商品!$A$4:$D$67,4,FALSE),0),"")</f>
        <v/>
      </c>
      <c r="AW81">
        <f t="shared" si="31"/>
        <v>0</v>
      </c>
      <c r="AX81">
        <f t="shared" si="32"/>
        <v>0</v>
      </c>
      <c r="AY81">
        <f t="shared" si="33"/>
        <v>0</v>
      </c>
    </row>
    <row r="82" customHeight="1" spans="1:51">
      <c r="A82" s="18" t="s">
        <v>301</v>
      </c>
      <c r="C82" s="18">
        <v>7</v>
      </c>
      <c r="D82" s="1" t="s">
        <v>291</v>
      </c>
      <c r="E82" s="1" t="s">
        <v>225</v>
      </c>
      <c r="L82" s="18">
        <f>IFERROR(VLOOKUP($D82&amp;$C82,生产方式定位!$A$2:$E$38,2,FALSE)+VLOOKUP($E82&amp;$C82,生产方式定位!$F$3:$J$38,2,FALSE),0)</f>
        <v>0</v>
      </c>
      <c r="S82" s="18">
        <f>IFERROR(VLOOKUP($D82&amp;$C82,生产方式定位!$A$2:$E$38,3,FALSE)+VLOOKUP($E82&amp;$C82,生产方式定位!$F$3:$J$38,3,FALSE),0)</f>
        <v>100</v>
      </c>
      <c r="X82" s="18">
        <f>IFERROR(VLOOKUP($D82&amp;$C82,生产方式定位!$A$2:$E$38,5,FALSE)+VLOOKUP($E82&amp;$C82,生产方式定位!$F$3:$J$38,5,FALSE),"错误")</f>
        <v>100</v>
      </c>
      <c r="Y82" s="27" t="str">
        <f t="shared" si="17"/>
        <v/>
      </c>
      <c r="Z82" s="50" t="str">
        <f t="shared" si="20"/>
        <v/>
      </c>
      <c r="AA82" s="50" t="str">
        <f t="shared" si="18"/>
        <v/>
      </c>
      <c r="AB82" s="28" t="str">
        <f t="shared" si="21"/>
        <v/>
      </c>
      <c r="AC82" s="1" t="str">
        <f t="shared" si="22"/>
        <v/>
      </c>
      <c r="AD82" s="52">
        <f t="shared" si="19"/>
        <v>7</v>
      </c>
      <c r="AE82" t="str">
        <f t="shared" si="23"/>
        <v/>
      </c>
      <c r="AF82" t="str">
        <f t="shared" si="24"/>
        <v/>
      </c>
      <c r="AG82" t="str">
        <f t="shared" si="25"/>
        <v/>
      </c>
      <c r="AH82" t="str">
        <f t="shared" si="26"/>
        <v/>
      </c>
      <c r="AI82" t="str">
        <f t="shared" si="27"/>
        <v/>
      </c>
      <c r="AJ82" t="str">
        <f t="shared" si="28"/>
        <v/>
      </c>
      <c r="AK82" t="str">
        <f t="shared" si="29"/>
        <v/>
      </c>
      <c r="AL82" t="str">
        <f t="shared" si="30"/>
        <v/>
      </c>
      <c r="AN82" t="str">
        <f>IFERROR(ROUND(L82*(G82/$AW82)/VLOOKUP(F82,商品!$A$4:$D$67,4,FALSE),0),"")</f>
        <v/>
      </c>
      <c r="AO82" t="str">
        <f>IFERROR(ROUND(L82*(I82/$AW82)/VLOOKUP(H82,商品!$A$4:$D$67,4,FALSE),0),"")</f>
        <v/>
      </c>
      <c r="AP82" t="str">
        <f>IFERROR(ROUND(L82*(K82/$AW82)/VLOOKUP(J82,商品!$A$4:$D$67,4,FALSE),0),"")</f>
        <v/>
      </c>
      <c r="AQ82" t="str">
        <f>IFERROR(ROUND(S82*(N82/$AX82)/VLOOKUP(M82,职业!$A$3:$E$16,4,FALSE),0),"")</f>
        <v/>
      </c>
      <c r="AR82" t="str">
        <f>IFERROR(ROUND(S82*(P82/$AX82)/VLOOKUP(O82,职业!$A$3:$E$16,4,FALSE),0),"")</f>
        <v/>
      </c>
      <c r="AS82" t="str">
        <f>IFERROR(ROUND(S82*(R82/$AX82)/VLOOKUP(Q82,职业!$A$3:$E$16,4,FALSE),0),"")</f>
        <v/>
      </c>
      <c r="AT82" t="str">
        <f>IFERROR(ROUND(X82*(U82/$AY82)/VLOOKUP(T82,商品!$A$4:$D$67,4,FALSE),0),"")</f>
        <v/>
      </c>
      <c r="AU82" t="str">
        <f>IFERROR(ROUND(X82*(W82/$AY82)/VLOOKUP(V82,商品!$A$4:$D$67,4,FALSE),0),"")</f>
        <v/>
      </c>
      <c r="AW82">
        <f t="shared" si="31"/>
        <v>0</v>
      </c>
      <c r="AX82">
        <f t="shared" si="32"/>
        <v>0</v>
      </c>
      <c r="AY82">
        <f t="shared" si="33"/>
        <v>0</v>
      </c>
    </row>
    <row r="83" customHeight="1" spans="1:51">
      <c r="A83" s="18" t="s">
        <v>301</v>
      </c>
      <c r="C83" s="18">
        <v>8</v>
      </c>
      <c r="D83" s="1" t="s">
        <v>291</v>
      </c>
      <c r="E83" s="1" t="s">
        <v>225</v>
      </c>
      <c r="L83" s="18">
        <f>IFERROR(VLOOKUP($D83&amp;$C83,生产方式定位!$A$2:$E$38,2,FALSE)+VLOOKUP($E83&amp;$C83,生产方式定位!$F$3:$J$38,2,FALSE),0)</f>
        <v>0</v>
      </c>
      <c r="S83" s="18">
        <f>IFERROR(VLOOKUP($D83&amp;$C83,生产方式定位!$A$2:$E$38,3,FALSE)+VLOOKUP($E83&amp;$C83,生产方式定位!$F$3:$J$38,3,FALSE),0)</f>
        <v>100</v>
      </c>
      <c r="X83" s="18">
        <f>IFERROR(VLOOKUP($D83&amp;$C83,生产方式定位!$A$2:$E$38,5,FALSE)+VLOOKUP($E83&amp;$C83,生产方式定位!$F$3:$J$38,5,FALSE),"错误")</f>
        <v>100</v>
      </c>
      <c r="Y83" s="27" t="str">
        <f t="shared" si="17"/>
        <v/>
      </c>
      <c r="Z83" s="50" t="str">
        <f t="shared" si="20"/>
        <v/>
      </c>
      <c r="AA83" s="50" t="str">
        <f t="shared" si="18"/>
        <v/>
      </c>
      <c r="AB83" s="28" t="str">
        <f t="shared" si="21"/>
        <v/>
      </c>
      <c r="AC83" s="1" t="str">
        <f t="shared" si="22"/>
        <v/>
      </c>
      <c r="AD83" s="52">
        <f t="shared" si="19"/>
        <v>8</v>
      </c>
      <c r="AE83" t="str">
        <f t="shared" si="23"/>
        <v/>
      </c>
      <c r="AF83" t="str">
        <f t="shared" si="24"/>
        <v/>
      </c>
      <c r="AG83" t="str">
        <f t="shared" si="25"/>
        <v/>
      </c>
      <c r="AH83" t="str">
        <f t="shared" si="26"/>
        <v/>
      </c>
      <c r="AI83" t="str">
        <f t="shared" si="27"/>
        <v/>
      </c>
      <c r="AJ83" t="str">
        <f t="shared" si="28"/>
        <v/>
      </c>
      <c r="AK83" t="str">
        <f t="shared" si="29"/>
        <v/>
      </c>
      <c r="AL83" t="str">
        <f t="shared" si="30"/>
        <v/>
      </c>
      <c r="AN83" t="str">
        <f>IFERROR(ROUND(L83*(G83/$AW83)/VLOOKUP(F83,商品!$A$4:$D$67,4,FALSE),0),"")</f>
        <v/>
      </c>
      <c r="AO83" t="str">
        <f>IFERROR(ROUND(L83*(I83/$AW83)/VLOOKUP(H83,商品!$A$4:$D$67,4,FALSE),0),"")</f>
        <v/>
      </c>
      <c r="AP83" t="str">
        <f>IFERROR(ROUND(L83*(K83/$AW83)/VLOOKUP(J83,商品!$A$4:$D$67,4,FALSE),0),"")</f>
        <v/>
      </c>
      <c r="AQ83" t="str">
        <f>IFERROR(ROUND(S83*(N83/$AX83)/VLOOKUP(M83,职业!$A$3:$E$16,4,FALSE),0),"")</f>
        <v/>
      </c>
      <c r="AR83" t="str">
        <f>IFERROR(ROUND(S83*(P83/$AX83)/VLOOKUP(O83,职业!$A$3:$E$16,4,FALSE),0),"")</f>
        <v/>
      </c>
      <c r="AS83" t="str">
        <f>IFERROR(ROUND(S83*(R83/$AX83)/VLOOKUP(Q83,职业!$A$3:$E$16,4,FALSE),0),"")</f>
        <v/>
      </c>
      <c r="AT83" t="str">
        <f>IFERROR(ROUND(X83*(U83/$AY83)/VLOOKUP(T83,商品!$A$4:$D$67,4,FALSE),0),"")</f>
        <v/>
      </c>
      <c r="AU83" t="str">
        <f>IFERROR(ROUND(X83*(W83/$AY83)/VLOOKUP(V83,商品!$A$4:$D$67,4,FALSE),0),"")</f>
        <v/>
      </c>
      <c r="AW83">
        <f t="shared" si="31"/>
        <v>0</v>
      </c>
      <c r="AX83">
        <f t="shared" si="32"/>
        <v>0</v>
      </c>
      <c r="AY83">
        <f t="shared" si="33"/>
        <v>0</v>
      </c>
    </row>
    <row r="84" customHeight="1" spans="1:51">
      <c r="A84" s="5" t="s">
        <v>303</v>
      </c>
      <c r="C84" s="5">
        <v>1</v>
      </c>
      <c r="D84" s="1" t="s">
        <v>220</v>
      </c>
      <c r="E84" s="1" t="s">
        <v>222</v>
      </c>
      <c r="L84" s="5">
        <f>IFERROR(VLOOKUP($D84&amp;$C84,生产方式定位!$A$2:$E$38,2,FALSE)+VLOOKUP($E84&amp;$C84,生产方式定位!$F$3:$J$38,2,FALSE),0)</f>
        <v>500</v>
      </c>
      <c r="S84" s="5">
        <f>IFERROR(VLOOKUP($D84&amp;$C84,生产方式定位!$A$2:$E$38,3,FALSE)+VLOOKUP($E84&amp;$C84,生产方式定位!$F$3:$J$38,3,FALSE),0)</f>
        <v>150</v>
      </c>
      <c r="X84" s="5">
        <f>IFERROR(VLOOKUP($D84&amp;$C84,生产方式定位!$A$2:$E$38,5,FALSE)+VLOOKUP($E84&amp;$C84,生产方式定位!$F$3:$J$38,5,FALSE),"错误")</f>
        <v>715</v>
      </c>
      <c r="Y84" s="27" t="str">
        <f t="shared" si="17"/>
        <v/>
      </c>
      <c r="Z84" s="50" t="str">
        <f t="shared" si="20"/>
        <v/>
      </c>
      <c r="AA84" s="50" t="str">
        <f t="shared" si="18"/>
        <v/>
      </c>
      <c r="AB84" s="28" t="str">
        <f t="shared" si="21"/>
        <v>43%</v>
      </c>
      <c r="AC84" s="1">
        <f t="shared" si="22"/>
        <v>65</v>
      </c>
      <c r="AD84" s="51">
        <f t="shared" si="19"/>
        <v>1</v>
      </c>
      <c r="AE84" t="str">
        <f t="shared" si="23"/>
        <v/>
      </c>
      <c r="AF84" t="str">
        <f t="shared" si="24"/>
        <v/>
      </c>
      <c r="AG84" t="str">
        <f t="shared" si="25"/>
        <v/>
      </c>
      <c r="AH84" t="str">
        <f t="shared" si="26"/>
        <v/>
      </c>
      <c r="AI84" t="str">
        <f t="shared" si="27"/>
        <v/>
      </c>
      <c r="AJ84" t="str">
        <f t="shared" si="28"/>
        <v/>
      </c>
      <c r="AK84" t="str">
        <f t="shared" si="29"/>
        <v/>
      </c>
      <c r="AL84" t="str">
        <f t="shared" si="30"/>
        <v/>
      </c>
      <c r="AN84" t="str">
        <f>IFERROR(ROUND(L84*(G84/$AW84)/VLOOKUP(F84,商品!$A$4:$D$67,4,FALSE),0),"")</f>
        <v/>
      </c>
      <c r="AO84" t="str">
        <f>IFERROR(ROUND(L84*(I84/$AW84)/VLOOKUP(H84,商品!$A$4:$D$67,4,FALSE),0),"")</f>
        <v/>
      </c>
      <c r="AP84" t="str">
        <f>IFERROR(ROUND(L84*(K84/$AW84)/VLOOKUP(J84,商品!$A$4:$D$67,4,FALSE),0),"")</f>
        <v/>
      </c>
      <c r="AQ84" t="str">
        <f>IFERROR(ROUND(S84*(N84/$AX84)/VLOOKUP(M84,职业!$A$3:$E$16,4,FALSE),0),"")</f>
        <v/>
      </c>
      <c r="AR84" t="str">
        <f>IFERROR(ROUND(S84*(P84/$AX84)/VLOOKUP(O84,职业!$A$3:$E$16,4,FALSE),0),"")</f>
        <v/>
      </c>
      <c r="AS84" t="str">
        <f>IFERROR(ROUND(S84*(R84/$AX84)/VLOOKUP(Q84,职业!$A$3:$E$16,4,FALSE),0),"")</f>
        <v/>
      </c>
      <c r="AT84" t="str">
        <f>IFERROR(ROUND(X84*(U84/$AY84)/VLOOKUP(T84,商品!$A$4:$D$67,4,FALSE),0),"")</f>
        <v/>
      </c>
      <c r="AU84" t="str">
        <f>IFERROR(ROUND(X84*(W84/$AY84)/VLOOKUP(V84,商品!$A$4:$D$67,4,FALSE),0),"")</f>
        <v/>
      </c>
      <c r="AW84">
        <f t="shared" si="31"/>
        <v>0</v>
      </c>
      <c r="AX84">
        <f t="shared" si="32"/>
        <v>0</v>
      </c>
      <c r="AY84">
        <f t="shared" si="33"/>
        <v>0</v>
      </c>
    </row>
    <row r="85" customHeight="1" spans="1:51">
      <c r="A85" s="5" t="s">
        <v>303</v>
      </c>
      <c r="C85" s="5">
        <v>2</v>
      </c>
      <c r="D85" s="1" t="s">
        <v>220</v>
      </c>
      <c r="E85" s="1" t="s">
        <v>222</v>
      </c>
      <c r="L85" s="5">
        <f>IFERROR(VLOOKUP($D85&amp;$C85,生产方式定位!$A$2:$E$38,2,FALSE)+VLOOKUP($E85&amp;$C85,生产方式定位!$F$3:$J$38,2,FALSE),0)</f>
        <v>1200</v>
      </c>
      <c r="S85" s="5">
        <f>IFERROR(VLOOKUP($D85&amp;$C85,生产方式定位!$A$2:$E$38,3,FALSE)+VLOOKUP($E85&amp;$C85,生产方式定位!$F$3:$J$38,3,FALSE),0)</f>
        <v>140</v>
      </c>
      <c r="X85" s="5">
        <f>IFERROR(VLOOKUP($D85&amp;$C85,生产方式定位!$A$2:$E$38,5,FALSE)+VLOOKUP($E85&amp;$C85,生产方式定位!$F$3:$J$38,5,FALSE),"错误")</f>
        <v>1390</v>
      </c>
      <c r="Y85" s="27" t="str">
        <f t="shared" si="17"/>
        <v/>
      </c>
      <c r="Z85" s="50" t="str">
        <f t="shared" si="20"/>
        <v/>
      </c>
      <c r="AA85" s="50" t="str">
        <f t="shared" si="18"/>
        <v/>
      </c>
      <c r="AB85" s="28" t="str">
        <f t="shared" si="21"/>
        <v>16%</v>
      </c>
      <c r="AC85" s="1">
        <f t="shared" si="22"/>
        <v>50</v>
      </c>
      <c r="AD85" s="51">
        <f t="shared" si="19"/>
        <v>2</v>
      </c>
      <c r="AE85" t="str">
        <f t="shared" si="23"/>
        <v/>
      </c>
      <c r="AF85" t="str">
        <f t="shared" si="24"/>
        <v/>
      </c>
      <c r="AG85" t="str">
        <f t="shared" si="25"/>
        <v/>
      </c>
      <c r="AH85" t="str">
        <f t="shared" si="26"/>
        <v/>
      </c>
      <c r="AI85" t="str">
        <f t="shared" si="27"/>
        <v/>
      </c>
      <c r="AJ85" t="str">
        <f t="shared" si="28"/>
        <v/>
      </c>
      <c r="AK85" t="str">
        <f t="shared" si="29"/>
        <v/>
      </c>
      <c r="AL85" t="str">
        <f t="shared" si="30"/>
        <v/>
      </c>
      <c r="AN85" t="str">
        <f>IFERROR(ROUND(L85*(G85/$AW85)/VLOOKUP(F85,商品!$A$4:$D$67,4,FALSE),0),"")</f>
        <v/>
      </c>
      <c r="AO85" t="str">
        <f>IFERROR(ROUND(L85*(I85/$AW85)/VLOOKUP(H85,商品!$A$4:$D$67,4,FALSE),0),"")</f>
        <v/>
      </c>
      <c r="AP85" t="str">
        <f>IFERROR(ROUND(L85*(K85/$AW85)/VLOOKUP(J85,商品!$A$4:$D$67,4,FALSE),0),"")</f>
        <v/>
      </c>
      <c r="AQ85" t="str">
        <f>IFERROR(ROUND(S85*(N85/$AX85)/VLOOKUP(M85,职业!$A$3:$E$16,4,FALSE),0),"")</f>
        <v/>
      </c>
      <c r="AR85" t="str">
        <f>IFERROR(ROUND(S85*(P85/$AX85)/VLOOKUP(O85,职业!$A$3:$E$16,4,FALSE),0),"")</f>
        <v/>
      </c>
      <c r="AS85" t="str">
        <f>IFERROR(ROUND(S85*(R85/$AX85)/VLOOKUP(Q85,职业!$A$3:$E$16,4,FALSE),0),"")</f>
        <v/>
      </c>
      <c r="AT85" t="str">
        <f>IFERROR(ROUND(X85*(U85/$AY85)/VLOOKUP(T85,商品!$A$4:$D$67,4,FALSE),0),"")</f>
        <v/>
      </c>
      <c r="AU85" t="str">
        <f>IFERROR(ROUND(X85*(W85/$AY85)/VLOOKUP(V85,商品!$A$4:$D$67,4,FALSE),0),"")</f>
        <v/>
      </c>
      <c r="AW85">
        <f t="shared" si="31"/>
        <v>0</v>
      </c>
      <c r="AX85">
        <f t="shared" si="32"/>
        <v>0</v>
      </c>
      <c r="AY85">
        <f t="shared" si="33"/>
        <v>0</v>
      </c>
    </row>
    <row r="86" customHeight="1" spans="1:51">
      <c r="A86" s="5" t="s">
        <v>303</v>
      </c>
      <c r="C86" s="5">
        <v>3</v>
      </c>
      <c r="D86" s="1" t="s">
        <v>220</v>
      </c>
      <c r="E86" s="1" t="s">
        <v>222</v>
      </c>
      <c r="L86" s="5">
        <f>IFERROR(VLOOKUP($D86&amp;$C86,生产方式定位!$A$2:$E$38,2,FALSE)+VLOOKUP($E86&amp;$C86,生产方式定位!$F$3:$J$38,2,FALSE),0)</f>
        <v>1525</v>
      </c>
      <c r="S86" s="5">
        <f>IFERROR(VLOOKUP($D86&amp;$C86,生产方式定位!$A$2:$E$38,3,FALSE)+VLOOKUP($E86&amp;$C86,生产方式定位!$F$3:$J$38,3,FALSE),0)</f>
        <v>130</v>
      </c>
      <c r="X86" s="5">
        <f>IFERROR(VLOOKUP($D86&amp;$C86,生产方式定位!$A$2:$E$38,5,FALSE)+VLOOKUP($E86&amp;$C86,生产方式定位!$F$3:$J$38,5,FALSE),"错误")</f>
        <v>1718</v>
      </c>
      <c r="Y86" s="27" t="str">
        <f t="shared" si="17"/>
        <v/>
      </c>
      <c r="Z86" s="50" t="str">
        <f t="shared" si="20"/>
        <v/>
      </c>
      <c r="AA86" s="50" t="str">
        <f t="shared" si="18"/>
        <v/>
      </c>
      <c r="AB86" s="28" t="str">
        <f t="shared" si="21"/>
        <v>13%</v>
      </c>
      <c r="AC86" s="1">
        <f t="shared" si="22"/>
        <v>63</v>
      </c>
      <c r="AD86" s="51">
        <f t="shared" si="19"/>
        <v>3</v>
      </c>
      <c r="AE86" t="str">
        <f t="shared" si="23"/>
        <v/>
      </c>
      <c r="AF86" t="str">
        <f t="shared" si="24"/>
        <v/>
      </c>
      <c r="AG86" t="str">
        <f t="shared" si="25"/>
        <v/>
      </c>
      <c r="AH86" t="str">
        <f t="shared" si="26"/>
        <v/>
      </c>
      <c r="AI86" t="str">
        <f t="shared" si="27"/>
        <v/>
      </c>
      <c r="AJ86" t="str">
        <f t="shared" si="28"/>
        <v/>
      </c>
      <c r="AK86" t="str">
        <f t="shared" si="29"/>
        <v/>
      </c>
      <c r="AL86" t="str">
        <f t="shared" si="30"/>
        <v/>
      </c>
      <c r="AN86" t="str">
        <f>IFERROR(ROUND(L86*(G86/$AW86)/VLOOKUP(F86,商品!$A$4:$D$67,4,FALSE),0),"")</f>
        <v/>
      </c>
      <c r="AO86" t="str">
        <f>IFERROR(ROUND(L86*(I86/$AW86)/VLOOKUP(H86,商品!$A$4:$D$67,4,FALSE),0),"")</f>
        <v/>
      </c>
      <c r="AP86" t="str">
        <f>IFERROR(ROUND(L86*(K86/$AW86)/VLOOKUP(J86,商品!$A$4:$D$67,4,FALSE),0),"")</f>
        <v/>
      </c>
      <c r="AQ86" t="str">
        <f>IFERROR(ROUND(S86*(N86/$AX86)/VLOOKUP(M86,职业!$A$3:$E$16,4,FALSE),0),"")</f>
        <v/>
      </c>
      <c r="AR86" t="str">
        <f>IFERROR(ROUND(S86*(P86/$AX86)/VLOOKUP(O86,职业!$A$3:$E$16,4,FALSE),0),"")</f>
        <v/>
      </c>
      <c r="AS86" t="str">
        <f>IFERROR(ROUND(S86*(R86/$AX86)/VLOOKUP(Q86,职业!$A$3:$E$16,4,FALSE),0),"")</f>
        <v/>
      </c>
      <c r="AT86" t="str">
        <f>IFERROR(ROUND(X86*(U86/$AY86)/VLOOKUP(T86,商品!$A$4:$D$67,4,FALSE),0),"")</f>
        <v/>
      </c>
      <c r="AU86" t="str">
        <f>IFERROR(ROUND(X86*(W86/$AY86)/VLOOKUP(V86,商品!$A$4:$D$67,4,FALSE),0),"")</f>
        <v/>
      </c>
      <c r="AW86">
        <f t="shared" si="31"/>
        <v>0</v>
      </c>
      <c r="AX86">
        <f t="shared" si="32"/>
        <v>0</v>
      </c>
      <c r="AY86">
        <f t="shared" si="33"/>
        <v>0</v>
      </c>
    </row>
    <row r="87" customHeight="1" spans="1:51">
      <c r="A87" s="5" t="s">
        <v>303</v>
      </c>
      <c r="C87" s="5">
        <v>4</v>
      </c>
      <c r="D87" s="1" t="s">
        <v>220</v>
      </c>
      <c r="E87" s="1" t="s">
        <v>222</v>
      </c>
      <c r="L87" s="5">
        <f>IFERROR(VLOOKUP($D87&amp;$C87,生产方式定位!$A$2:$E$38,2,FALSE)+VLOOKUP($E87&amp;$C87,生产方式定位!$F$3:$J$38,2,FALSE),0)</f>
        <v>1850</v>
      </c>
      <c r="S87" s="5">
        <f>IFERROR(VLOOKUP($D87&amp;$C87,生产方式定位!$A$2:$E$38,3,FALSE)+VLOOKUP($E87&amp;$C87,生产方式定位!$F$3:$J$38,3,FALSE),0)</f>
        <v>120</v>
      </c>
      <c r="X87" s="5">
        <f>IFERROR(VLOOKUP($D87&amp;$C87,生产方式定位!$A$2:$E$38,5,FALSE)+VLOOKUP($E87&amp;$C87,生产方式定位!$F$3:$J$38,5,FALSE),"错误")</f>
        <v>2045</v>
      </c>
      <c r="Y87" s="27" t="str">
        <f t="shared" si="17"/>
        <v/>
      </c>
      <c r="Z87" s="50" t="str">
        <f t="shared" si="20"/>
        <v/>
      </c>
      <c r="AA87" s="50" t="str">
        <f t="shared" si="18"/>
        <v/>
      </c>
      <c r="AB87" s="28" t="str">
        <f t="shared" si="21"/>
        <v>11%</v>
      </c>
      <c r="AC87" s="1">
        <f t="shared" si="22"/>
        <v>75</v>
      </c>
      <c r="AD87" s="51">
        <f t="shared" si="19"/>
        <v>4</v>
      </c>
      <c r="AE87" t="str">
        <f t="shared" si="23"/>
        <v/>
      </c>
      <c r="AF87" t="str">
        <f t="shared" si="24"/>
        <v/>
      </c>
      <c r="AG87" t="str">
        <f t="shared" si="25"/>
        <v/>
      </c>
      <c r="AH87" t="str">
        <f t="shared" si="26"/>
        <v/>
      </c>
      <c r="AI87" t="str">
        <f t="shared" si="27"/>
        <v/>
      </c>
      <c r="AJ87" t="str">
        <f t="shared" si="28"/>
        <v/>
      </c>
      <c r="AK87" t="str">
        <f t="shared" si="29"/>
        <v/>
      </c>
      <c r="AL87" t="str">
        <f t="shared" si="30"/>
        <v/>
      </c>
      <c r="AN87" t="str">
        <f>IFERROR(ROUND(L87*(G87/$AW87)/VLOOKUP(F87,商品!$A$4:$D$67,4,FALSE),0),"")</f>
        <v/>
      </c>
      <c r="AO87" t="str">
        <f>IFERROR(ROUND(L87*(I87/$AW87)/VLOOKUP(H87,商品!$A$4:$D$67,4,FALSE),0),"")</f>
        <v/>
      </c>
      <c r="AP87" t="str">
        <f>IFERROR(ROUND(L87*(K87/$AW87)/VLOOKUP(J87,商品!$A$4:$D$67,4,FALSE),0),"")</f>
        <v/>
      </c>
      <c r="AQ87" t="str">
        <f>IFERROR(ROUND(S87*(N87/$AX87)/VLOOKUP(M87,职业!$A$3:$E$16,4,FALSE),0),"")</f>
        <v/>
      </c>
      <c r="AR87" t="str">
        <f>IFERROR(ROUND(S87*(P87/$AX87)/VLOOKUP(O87,职业!$A$3:$E$16,4,FALSE),0),"")</f>
        <v/>
      </c>
      <c r="AS87" t="str">
        <f>IFERROR(ROUND(S87*(R87/$AX87)/VLOOKUP(Q87,职业!$A$3:$E$16,4,FALSE),0),"")</f>
        <v/>
      </c>
      <c r="AT87" t="str">
        <f>IFERROR(ROUND(X87*(U87/$AY87)/VLOOKUP(T87,商品!$A$4:$D$67,4,FALSE),0),"")</f>
        <v/>
      </c>
      <c r="AU87" t="str">
        <f>IFERROR(ROUND(X87*(W87/$AY87)/VLOOKUP(V87,商品!$A$4:$D$67,4,FALSE),0),"")</f>
        <v/>
      </c>
      <c r="AW87">
        <f t="shared" si="31"/>
        <v>0</v>
      </c>
      <c r="AX87">
        <f t="shared" si="32"/>
        <v>0</v>
      </c>
      <c r="AY87">
        <f t="shared" si="33"/>
        <v>0</v>
      </c>
    </row>
    <row r="88" customHeight="1" spans="1:51">
      <c r="A88" s="5" t="s">
        <v>303</v>
      </c>
      <c r="C88" s="5">
        <v>5</v>
      </c>
      <c r="D88" s="1" t="s">
        <v>220</v>
      </c>
      <c r="E88" s="1" t="s">
        <v>222</v>
      </c>
      <c r="L88" s="5">
        <f>IFERROR(VLOOKUP($D88&amp;$C88,生产方式定位!$A$2:$E$38,2,FALSE)+VLOOKUP($E88&amp;$C88,生产方式定位!$F$3:$J$38,2,FALSE),0)</f>
        <v>2175</v>
      </c>
      <c r="S88" s="5">
        <f>IFERROR(VLOOKUP($D88&amp;$C88,生产方式定位!$A$2:$E$38,3,FALSE)+VLOOKUP($E88&amp;$C88,生产方式定位!$F$3:$J$38,3,FALSE),0)</f>
        <v>110</v>
      </c>
      <c r="X88" s="5">
        <f>IFERROR(VLOOKUP($D88&amp;$C88,生产方式定位!$A$2:$E$38,5,FALSE)+VLOOKUP($E88&amp;$C88,生产方式定位!$F$3:$J$38,5,FALSE),"错误")</f>
        <v>2373</v>
      </c>
      <c r="Y88" s="27" t="str">
        <f t="shared" si="17"/>
        <v/>
      </c>
      <c r="Z88" s="50" t="str">
        <f t="shared" si="20"/>
        <v/>
      </c>
      <c r="AA88" s="50" t="str">
        <f t="shared" si="18"/>
        <v/>
      </c>
      <c r="AB88" s="28" t="str">
        <f t="shared" si="21"/>
        <v>9%</v>
      </c>
      <c r="AC88" s="1">
        <f t="shared" si="22"/>
        <v>88</v>
      </c>
      <c r="AD88" s="51">
        <f t="shared" si="19"/>
        <v>5</v>
      </c>
      <c r="AE88" t="str">
        <f t="shared" si="23"/>
        <v/>
      </c>
      <c r="AF88" t="str">
        <f t="shared" si="24"/>
        <v/>
      </c>
      <c r="AG88" t="str">
        <f t="shared" si="25"/>
        <v/>
      </c>
      <c r="AH88" t="str">
        <f t="shared" si="26"/>
        <v/>
      </c>
      <c r="AI88" t="str">
        <f t="shared" si="27"/>
        <v/>
      </c>
      <c r="AJ88" t="str">
        <f t="shared" si="28"/>
        <v/>
      </c>
      <c r="AK88" t="str">
        <f t="shared" si="29"/>
        <v/>
      </c>
      <c r="AL88" t="str">
        <f t="shared" si="30"/>
        <v/>
      </c>
      <c r="AN88" t="str">
        <f>IFERROR(ROUND(L88*(G88/$AW88)/VLOOKUP(F88,商品!$A$4:$D$67,4,FALSE),0),"")</f>
        <v/>
      </c>
      <c r="AO88" t="str">
        <f>IFERROR(ROUND(L88*(I88/$AW88)/VLOOKUP(H88,商品!$A$4:$D$67,4,FALSE),0),"")</f>
        <v/>
      </c>
      <c r="AP88" t="str">
        <f>IFERROR(ROUND(L88*(K88/$AW88)/VLOOKUP(J88,商品!$A$4:$D$67,4,FALSE),0),"")</f>
        <v/>
      </c>
      <c r="AQ88" t="str">
        <f>IFERROR(ROUND(S88*(N88/$AX88)/VLOOKUP(M88,职业!$A$3:$E$16,4,FALSE),0),"")</f>
        <v/>
      </c>
      <c r="AR88" t="str">
        <f>IFERROR(ROUND(S88*(P88/$AX88)/VLOOKUP(O88,职业!$A$3:$E$16,4,FALSE),0),"")</f>
        <v/>
      </c>
      <c r="AS88" t="str">
        <f>IFERROR(ROUND(S88*(R88/$AX88)/VLOOKUP(Q88,职业!$A$3:$E$16,4,FALSE),0),"")</f>
        <v/>
      </c>
      <c r="AT88" t="str">
        <f>IFERROR(ROUND(X88*(U88/$AY88)/VLOOKUP(T88,商品!$A$4:$D$67,4,FALSE),0),"")</f>
        <v/>
      </c>
      <c r="AU88" t="str">
        <f>IFERROR(ROUND(X88*(W88/$AY88)/VLOOKUP(V88,商品!$A$4:$D$67,4,FALSE),0),"")</f>
        <v/>
      </c>
      <c r="AW88">
        <f t="shared" si="31"/>
        <v>0</v>
      </c>
      <c r="AX88">
        <f t="shared" si="32"/>
        <v>0</v>
      </c>
      <c r="AY88">
        <f t="shared" si="33"/>
        <v>0</v>
      </c>
    </row>
    <row r="89" customHeight="1" spans="1:51">
      <c r="A89" s="18" t="s">
        <v>304</v>
      </c>
      <c r="C89" s="18">
        <v>1</v>
      </c>
      <c r="D89" s="1" t="s">
        <v>220</v>
      </c>
      <c r="E89" s="1" t="s">
        <v>223</v>
      </c>
      <c r="L89" s="18">
        <f>IFERROR(VLOOKUP($D89&amp;$C89,生产方式定位!$A$2:$E$38,2,FALSE)+VLOOKUP($E89&amp;$C89,生产方式定位!$F$3:$J$38,2,FALSE),0)</f>
        <v>500</v>
      </c>
      <c r="S89" s="18">
        <f>IFERROR(VLOOKUP($D89&amp;$C89,生产方式定位!$A$2:$E$38,3,FALSE)+VLOOKUP($E89&amp;$C89,生产方式定位!$F$3:$J$38,3,FALSE),0)</f>
        <v>150</v>
      </c>
      <c r="X89" s="18">
        <f>IFERROR(VLOOKUP($D89&amp;$C89,生产方式定位!$A$2:$E$38,5,FALSE)+VLOOKUP($E89&amp;$C89,生产方式定位!$F$3:$J$38,5,FALSE),"错误")</f>
        <v>715</v>
      </c>
      <c r="Y89" s="27" t="str">
        <f t="shared" si="17"/>
        <v/>
      </c>
      <c r="Z89" s="50" t="str">
        <f t="shared" si="20"/>
        <v/>
      </c>
      <c r="AA89" s="50" t="str">
        <f t="shared" si="18"/>
        <v/>
      </c>
      <c r="AB89" s="28" t="str">
        <f t="shared" si="21"/>
        <v>43%</v>
      </c>
      <c r="AC89" s="1">
        <f t="shared" si="22"/>
        <v>65</v>
      </c>
      <c r="AD89" s="52">
        <f t="shared" si="19"/>
        <v>1</v>
      </c>
      <c r="AE89" t="str">
        <f t="shared" si="23"/>
        <v/>
      </c>
      <c r="AF89" t="str">
        <f t="shared" si="24"/>
        <v/>
      </c>
      <c r="AG89" t="str">
        <f t="shared" si="25"/>
        <v/>
      </c>
      <c r="AH89" t="str">
        <f t="shared" si="26"/>
        <v/>
      </c>
      <c r="AI89" t="str">
        <f t="shared" si="27"/>
        <v/>
      </c>
      <c r="AJ89" t="str">
        <f t="shared" si="28"/>
        <v/>
      </c>
      <c r="AK89" t="str">
        <f t="shared" si="29"/>
        <v/>
      </c>
      <c r="AL89" t="str">
        <f t="shared" si="30"/>
        <v/>
      </c>
      <c r="AN89" t="str">
        <f>IFERROR(ROUND(L89*(G89/$AW89)/VLOOKUP(F89,商品!$A$4:$D$67,4,FALSE),0),"")</f>
        <v/>
      </c>
      <c r="AO89" t="str">
        <f>IFERROR(ROUND(L89*(I89/$AW89)/VLOOKUP(H89,商品!$A$4:$D$67,4,FALSE),0),"")</f>
        <v/>
      </c>
      <c r="AP89" t="str">
        <f>IFERROR(ROUND(L89*(K89/$AW89)/VLOOKUP(J89,商品!$A$4:$D$67,4,FALSE),0),"")</f>
        <v/>
      </c>
      <c r="AQ89" t="str">
        <f>IFERROR(ROUND(S89*(N89/$AX89)/VLOOKUP(M89,职业!$A$3:$E$16,4,FALSE),0),"")</f>
        <v/>
      </c>
      <c r="AR89" t="str">
        <f>IFERROR(ROUND(S89*(P89/$AX89)/VLOOKUP(O89,职业!$A$3:$E$16,4,FALSE),0),"")</f>
        <v/>
      </c>
      <c r="AS89" t="str">
        <f>IFERROR(ROUND(S89*(R89/$AX89)/VLOOKUP(Q89,职业!$A$3:$E$16,4,FALSE),0),"")</f>
        <v/>
      </c>
      <c r="AT89" t="str">
        <f>IFERROR(ROUND(X89*(U89/$AY89)/VLOOKUP(T89,商品!$A$4:$D$67,4,FALSE),0),"")</f>
        <v/>
      </c>
      <c r="AU89" t="str">
        <f>IFERROR(ROUND(X89*(W89/$AY89)/VLOOKUP(V89,商品!$A$4:$D$67,4,FALSE),0),"")</f>
        <v/>
      </c>
      <c r="AW89">
        <f t="shared" si="31"/>
        <v>0</v>
      </c>
      <c r="AX89">
        <f t="shared" si="32"/>
        <v>0</v>
      </c>
      <c r="AY89">
        <f t="shared" si="33"/>
        <v>0</v>
      </c>
    </row>
    <row r="90" customHeight="1" spans="1:51">
      <c r="A90" s="18" t="s">
        <v>304</v>
      </c>
      <c r="C90" s="18">
        <v>2</v>
      </c>
      <c r="D90" s="1" t="s">
        <v>220</v>
      </c>
      <c r="E90" s="1" t="s">
        <v>223</v>
      </c>
      <c r="L90" s="18">
        <f>IFERROR(VLOOKUP($D90&amp;$C90,生产方式定位!$A$2:$E$38,2,FALSE)+VLOOKUP($E90&amp;$C90,生产方式定位!$F$3:$J$38,2,FALSE),0)</f>
        <v>1100</v>
      </c>
      <c r="S90" s="18">
        <f>IFERROR(VLOOKUP($D90&amp;$C90,生产方式定位!$A$2:$E$38,3,FALSE)+VLOOKUP($E90&amp;$C90,生产方式定位!$F$3:$J$38,3,FALSE),0)</f>
        <v>150</v>
      </c>
      <c r="X90" s="18">
        <f>IFERROR(VLOOKUP($D90&amp;$C90,生产方式定位!$A$2:$E$38,5,FALSE)+VLOOKUP($E90&amp;$C90,生产方式定位!$F$3:$J$38,5,FALSE),"错误")</f>
        <v>1291</v>
      </c>
      <c r="Y90" s="27" t="str">
        <f t="shared" si="17"/>
        <v/>
      </c>
      <c r="Z90" s="50" t="str">
        <f t="shared" si="20"/>
        <v/>
      </c>
      <c r="AA90" s="50" t="str">
        <f t="shared" si="18"/>
        <v/>
      </c>
      <c r="AB90" s="28" t="str">
        <f t="shared" si="21"/>
        <v>17%</v>
      </c>
      <c r="AC90" s="1">
        <f t="shared" si="22"/>
        <v>41</v>
      </c>
      <c r="AD90" s="52">
        <f t="shared" si="19"/>
        <v>2</v>
      </c>
      <c r="AE90" t="str">
        <f t="shared" si="23"/>
        <v/>
      </c>
      <c r="AF90" t="str">
        <f t="shared" si="24"/>
        <v/>
      </c>
      <c r="AG90" t="str">
        <f t="shared" si="25"/>
        <v/>
      </c>
      <c r="AH90" t="str">
        <f t="shared" si="26"/>
        <v/>
      </c>
      <c r="AI90" t="str">
        <f t="shared" si="27"/>
        <v/>
      </c>
      <c r="AJ90" t="str">
        <f t="shared" si="28"/>
        <v/>
      </c>
      <c r="AK90" t="str">
        <f t="shared" si="29"/>
        <v/>
      </c>
      <c r="AL90" t="str">
        <f t="shared" si="30"/>
        <v/>
      </c>
      <c r="AN90" t="str">
        <f>IFERROR(ROUND(L90*(G90/$AW90)/VLOOKUP(F90,商品!$A$4:$D$67,4,FALSE),0),"")</f>
        <v/>
      </c>
      <c r="AO90" t="str">
        <f>IFERROR(ROUND(L90*(I90/$AW90)/VLOOKUP(H90,商品!$A$4:$D$67,4,FALSE),0),"")</f>
        <v/>
      </c>
      <c r="AP90" t="str">
        <f>IFERROR(ROUND(L90*(K90/$AW90)/VLOOKUP(J90,商品!$A$4:$D$67,4,FALSE),0),"")</f>
        <v/>
      </c>
      <c r="AQ90" t="str">
        <f>IFERROR(ROUND(S90*(N90/$AX90)/VLOOKUP(M90,职业!$A$3:$E$16,4,FALSE),0),"")</f>
        <v/>
      </c>
      <c r="AR90" t="str">
        <f>IFERROR(ROUND(S90*(P90/$AX90)/VLOOKUP(O90,职业!$A$3:$E$16,4,FALSE),0),"")</f>
        <v/>
      </c>
      <c r="AS90" t="str">
        <f>IFERROR(ROUND(S90*(R90/$AX90)/VLOOKUP(Q90,职业!$A$3:$E$16,4,FALSE),0),"")</f>
        <v/>
      </c>
      <c r="AT90" t="str">
        <f>IFERROR(ROUND(X90*(U90/$AY90)/VLOOKUP(T90,商品!$A$4:$D$67,4,FALSE),0),"")</f>
        <v/>
      </c>
      <c r="AU90" t="str">
        <f>IFERROR(ROUND(X90*(W90/$AY90)/VLOOKUP(V90,商品!$A$4:$D$67,4,FALSE),0),"")</f>
        <v/>
      </c>
      <c r="AW90">
        <f t="shared" si="31"/>
        <v>0</v>
      </c>
      <c r="AX90">
        <f t="shared" si="32"/>
        <v>0</v>
      </c>
      <c r="AY90">
        <f t="shared" si="33"/>
        <v>0</v>
      </c>
    </row>
    <row r="91" customHeight="1" spans="1:51">
      <c r="A91" s="18" t="s">
        <v>304</v>
      </c>
      <c r="C91" s="18">
        <v>3</v>
      </c>
      <c r="D91" s="1" t="s">
        <v>220</v>
      </c>
      <c r="E91" s="1" t="s">
        <v>223</v>
      </c>
      <c r="L91" s="18">
        <f>IFERROR(VLOOKUP($D91&amp;$C91,生产方式定位!$A$2:$E$38,2,FALSE)+VLOOKUP($E91&amp;$C91,生产方式定位!$F$3:$J$38,2,FALSE),0)</f>
        <v>1400</v>
      </c>
      <c r="S91" s="18">
        <f>IFERROR(VLOOKUP($D91&amp;$C91,生产方式定位!$A$2:$E$38,3,FALSE)+VLOOKUP($E91&amp;$C91,生产方式定位!$F$3:$J$38,3,FALSE),0)</f>
        <v>145</v>
      </c>
      <c r="X91" s="18">
        <f>IFERROR(VLOOKUP($D91&amp;$C91,生产方式定位!$A$2:$E$38,5,FALSE)+VLOOKUP($E91&amp;$C91,生产方式定位!$F$3:$J$38,5,FALSE),"错误")</f>
        <v>1597</v>
      </c>
      <c r="Y91" s="27" t="str">
        <f t="shared" si="17"/>
        <v/>
      </c>
      <c r="Z91" s="50" t="str">
        <f t="shared" si="20"/>
        <v/>
      </c>
      <c r="AA91" s="50" t="str">
        <f t="shared" si="18"/>
        <v/>
      </c>
      <c r="AB91" s="28" t="str">
        <f t="shared" si="21"/>
        <v>14%</v>
      </c>
      <c r="AC91" s="1">
        <f t="shared" si="22"/>
        <v>52</v>
      </c>
      <c r="AD91" s="52">
        <f t="shared" si="19"/>
        <v>3</v>
      </c>
      <c r="AE91" t="str">
        <f t="shared" si="23"/>
        <v/>
      </c>
      <c r="AF91" t="str">
        <f t="shared" si="24"/>
        <v/>
      </c>
      <c r="AG91" t="str">
        <f t="shared" si="25"/>
        <v/>
      </c>
      <c r="AH91" t="str">
        <f t="shared" si="26"/>
        <v/>
      </c>
      <c r="AI91" t="str">
        <f t="shared" si="27"/>
        <v/>
      </c>
      <c r="AJ91" t="str">
        <f t="shared" si="28"/>
        <v/>
      </c>
      <c r="AK91" t="str">
        <f t="shared" si="29"/>
        <v/>
      </c>
      <c r="AL91" t="str">
        <f t="shared" si="30"/>
        <v/>
      </c>
      <c r="AN91" t="str">
        <f>IFERROR(ROUND(L91*(G91/$AW91)/VLOOKUP(F91,商品!$A$4:$D$67,4,FALSE),0),"")</f>
        <v/>
      </c>
      <c r="AO91" t="str">
        <f>IFERROR(ROUND(L91*(I91/$AW91)/VLOOKUP(H91,商品!$A$4:$D$67,4,FALSE),0),"")</f>
        <v/>
      </c>
      <c r="AP91" t="str">
        <f>IFERROR(ROUND(L91*(K91/$AW91)/VLOOKUP(J91,商品!$A$4:$D$67,4,FALSE),0),"")</f>
        <v/>
      </c>
      <c r="AQ91" t="str">
        <f>IFERROR(ROUND(S91*(N91/$AX91)/VLOOKUP(M91,职业!$A$3:$E$16,4,FALSE),0),"")</f>
        <v/>
      </c>
      <c r="AR91" t="str">
        <f>IFERROR(ROUND(S91*(P91/$AX91)/VLOOKUP(O91,职业!$A$3:$E$16,4,FALSE),0),"")</f>
        <v/>
      </c>
      <c r="AS91" t="str">
        <f>IFERROR(ROUND(S91*(R91/$AX91)/VLOOKUP(Q91,职业!$A$3:$E$16,4,FALSE),0),"")</f>
        <v/>
      </c>
      <c r="AT91" t="str">
        <f>IFERROR(ROUND(X91*(U91/$AY91)/VLOOKUP(T91,商品!$A$4:$D$67,4,FALSE),0),"")</f>
        <v/>
      </c>
      <c r="AU91" t="str">
        <f>IFERROR(ROUND(X91*(W91/$AY91)/VLOOKUP(V91,商品!$A$4:$D$67,4,FALSE),0),"")</f>
        <v/>
      </c>
      <c r="AW91">
        <f t="shared" si="31"/>
        <v>0</v>
      </c>
      <c r="AX91">
        <f t="shared" si="32"/>
        <v>0</v>
      </c>
      <c r="AY91">
        <f t="shared" si="33"/>
        <v>0</v>
      </c>
    </row>
    <row r="92" customHeight="1" spans="1:51">
      <c r="A92" s="18" t="s">
        <v>304</v>
      </c>
      <c r="C92" s="18">
        <v>4</v>
      </c>
      <c r="D92" s="1" t="s">
        <v>220</v>
      </c>
      <c r="E92" s="1" t="s">
        <v>223</v>
      </c>
      <c r="L92" s="18">
        <f>IFERROR(VLOOKUP($D92&amp;$C92,生产方式定位!$A$2:$E$38,2,FALSE)+VLOOKUP($E92&amp;$C92,生产方式定位!$F$3:$J$38,2,FALSE),0)</f>
        <v>1700</v>
      </c>
      <c r="S92" s="18">
        <f>IFERROR(VLOOKUP($D92&amp;$C92,生产方式定位!$A$2:$E$38,3,FALSE)+VLOOKUP($E92&amp;$C92,生产方式定位!$F$3:$J$38,3,FALSE),0)</f>
        <v>140</v>
      </c>
      <c r="X92" s="18">
        <f>IFERROR(VLOOKUP($D92&amp;$C92,生产方式定位!$A$2:$E$38,5,FALSE)+VLOOKUP($E92&amp;$C92,生产方式定位!$F$3:$J$38,5,FALSE),"错误")</f>
        <v>1902</v>
      </c>
      <c r="Y92" s="27" t="str">
        <f t="shared" si="17"/>
        <v/>
      </c>
      <c r="Z92" s="50" t="str">
        <f t="shared" si="20"/>
        <v/>
      </c>
      <c r="AA92" s="50" t="str">
        <f t="shared" si="18"/>
        <v/>
      </c>
      <c r="AB92" s="28" t="str">
        <f t="shared" si="21"/>
        <v>12%</v>
      </c>
      <c r="AC92" s="1">
        <f t="shared" si="22"/>
        <v>62</v>
      </c>
      <c r="AD92" s="52">
        <f t="shared" si="19"/>
        <v>4</v>
      </c>
      <c r="AE92" t="str">
        <f t="shared" si="23"/>
        <v/>
      </c>
      <c r="AF92" t="str">
        <f t="shared" si="24"/>
        <v/>
      </c>
      <c r="AG92" t="str">
        <f t="shared" si="25"/>
        <v/>
      </c>
      <c r="AH92" t="str">
        <f t="shared" si="26"/>
        <v/>
      </c>
      <c r="AI92" t="str">
        <f t="shared" si="27"/>
        <v/>
      </c>
      <c r="AJ92" t="str">
        <f t="shared" si="28"/>
        <v/>
      </c>
      <c r="AK92" t="str">
        <f t="shared" si="29"/>
        <v/>
      </c>
      <c r="AL92" t="str">
        <f t="shared" si="30"/>
        <v/>
      </c>
      <c r="AN92" t="str">
        <f>IFERROR(ROUND(L92*(G92/$AW92)/VLOOKUP(F92,商品!$A$4:$D$67,4,FALSE),0),"")</f>
        <v/>
      </c>
      <c r="AO92" t="str">
        <f>IFERROR(ROUND(L92*(I92/$AW92)/VLOOKUP(H92,商品!$A$4:$D$67,4,FALSE),0),"")</f>
        <v/>
      </c>
      <c r="AP92" t="str">
        <f>IFERROR(ROUND(L92*(K92/$AW92)/VLOOKUP(J92,商品!$A$4:$D$67,4,FALSE),0),"")</f>
        <v/>
      </c>
      <c r="AQ92" t="str">
        <f>IFERROR(ROUND(S92*(N92/$AX92)/VLOOKUP(M92,职业!$A$3:$E$16,4,FALSE),0),"")</f>
        <v/>
      </c>
      <c r="AR92" t="str">
        <f>IFERROR(ROUND(S92*(P92/$AX92)/VLOOKUP(O92,职业!$A$3:$E$16,4,FALSE),0),"")</f>
        <v/>
      </c>
      <c r="AS92" t="str">
        <f>IFERROR(ROUND(S92*(R92/$AX92)/VLOOKUP(Q92,职业!$A$3:$E$16,4,FALSE),0),"")</f>
        <v/>
      </c>
      <c r="AT92" t="str">
        <f>IFERROR(ROUND(X92*(U92/$AY92)/VLOOKUP(T92,商品!$A$4:$D$67,4,FALSE),0),"")</f>
        <v/>
      </c>
      <c r="AU92" t="str">
        <f>IFERROR(ROUND(X92*(W92/$AY92)/VLOOKUP(V92,商品!$A$4:$D$67,4,FALSE),0),"")</f>
        <v/>
      </c>
      <c r="AW92">
        <f t="shared" si="31"/>
        <v>0</v>
      </c>
      <c r="AX92">
        <f t="shared" si="32"/>
        <v>0</v>
      </c>
      <c r="AY92">
        <f t="shared" si="33"/>
        <v>0</v>
      </c>
    </row>
    <row r="93" customHeight="1" spans="1:51">
      <c r="A93" s="18" t="s">
        <v>304</v>
      </c>
      <c r="C93" s="18">
        <v>5</v>
      </c>
      <c r="D93" s="1" t="s">
        <v>220</v>
      </c>
      <c r="E93" s="1" t="s">
        <v>223</v>
      </c>
      <c r="L93" s="18">
        <f>IFERROR(VLOOKUP($D93&amp;$C93,生产方式定位!$A$2:$E$38,2,FALSE)+VLOOKUP($E93&amp;$C93,生产方式定位!$F$3:$J$38,2,FALSE),0)</f>
        <v>2000</v>
      </c>
      <c r="S93" s="18">
        <f>IFERROR(VLOOKUP($D93&amp;$C93,生产方式定位!$A$2:$E$38,3,FALSE)+VLOOKUP($E93&amp;$C93,生产方式定位!$F$3:$J$38,3,FALSE),0)</f>
        <v>135</v>
      </c>
      <c r="X93" s="18">
        <f>IFERROR(VLOOKUP($D93&amp;$C93,生产方式定位!$A$2:$E$38,5,FALSE)+VLOOKUP($E93&amp;$C93,生产方式定位!$F$3:$J$38,5,FALSE),"错误")</f>
        <v>2208</v>
      </c>
      <c r="Y93" s="27" t="str">
        <f t="shared" si="17"/>
        <v/>
      </c>
      <c r="Z93" s="50" t="str">
        <f t="shared" si="20"/>
        <v/>
      </c>
      <c r="AA93" s="50" t="str">
        <f t="shared" si="18"/>
        <v/>
      </c>
      <c r="AB93" s="28" t="str">
        <f t="shared" si="21"/>
        <v>10%</v>
      </c>
      <c r="AC93" s="1">
        <f t="shared" si="22"/>
        <v>73</v>
      </c>
      <c r="AD93" s="52">
        <f t="shared" si="19"/>
        <v>5</v>
      </c>
      <c r="AE93" t="str">
        <f t="shared" si="23"/>
        <v/>
      </c>
      <c r="AF93" t="str">
        <f t="shared" si="24"/>
        <v/>
      </c>
      <c r="AG93" t="str">
        <f t="shared" si="25"/>
        <v/>
      </c>
      <c r="AH93" t="str">
        <f t="shared" si="26"/>
        <v/>
      </c>
      <c r="AI93" t="str">
        <f t="shared" si="27"/>
        <v/>
      </c>
      <c r="AJ93" t="str">
        <f t="shared" si="28"/>
        <v/>
      </c>
      <c r="AK93" t="str">
        <f t="shared" si="29"/>
        <v/>
      </c>
      <c r="AL93" t="str">
        <f t="shared" si="30"/>
        <v/>
      </c>
      <c r="AN93" t="str">
        <f>IFERROR(ROUND(L93*(G93/$AW93)/VLOOKUP(F93,商品!$A$4:$D$67,4,FALSE),0),"")</f>
        <v/>
      </c>
      <c r="AO93" t="str">
        <f>IFERROR(ROUND(L93*(I93/$AW93)/VLOOKUP(H93,商品!$A$4:$D$67,4,FALSE),0),"")</f>
        <v/>
      </c>
      <c r="AP93" t="str">
        <f>IFERROR(ROUND(L93*(K93/$AW93)/VLOOKUP(J93,商品!$A$4:$D$67,4,FALSE),0),"")</f>
        <v/>
      </c>
      <c r="AQ93" t="str">
        <f>IFERROR(ROUND(S93*(N93/$AX93)/VLOOKUP(M93,职业!$A$3:$E$16,4,FALSE),0),"")</f>
        <v/>
      </c>
      <c r="AR93" t="str">
        <f>IFERROR(ROUND(S93*(P93/$AX93)/VLOOKUP(O93,职业!$A$3:$E$16,4,FALSE),0),"")</f>
        <v/>
      </c>
      <c r="AS93" t="str">
        <f>IFERROR(ROUND(S93*(R93/$AX93)/VLOOKUP(Q93,职业!$A$3:$E$16,4,FALSE),0),"")</f>
        <v/>
      </c>
      <c r="AT93" t="str">
        <f>IFERROR(ROUND(X93*(U93/$AY93)/VLOOKUP(T93,商品!$A$4:$D$67,4,FALSE),0),"")</f>
        <v/>
      </c>
      <c r="AU93" t="str">
        <f>IFERROR(ROUND(X93*(W93/$AY93)/VLOOKUP(V93,商品!$A$4:$D$67,4,FALSE),0),"")</f>
        <v/>
      </c>
      <c r="AW93">
        <f t="shared" si="31"/>
        <v>0</v>
      </c>
      <c r="AX93">
        <f t="shared" si="32"/>
        <v>0</v>
      </c>
      <c r="AY93">
        <f t="shared" si="33"/>
        <v>0</v>
      </c>
    </row>
    <row r="94" customHeight="1" spans="1:51">
      <c r="A94" s="5" t="s">
        <v>305</v>
      </c>
      <c r="C94" s="5">
        <v>1</v>
      </c>
      <c r="D94" s="1" t="s">
        <v>220</v>
      </c>
      <c r="E94" s="1" t="s">
        <v>224</v>
      </c>
      <c r="L94" s="5">
        <f>IFERROR(VLOOKUP($D94&amp;$C94,生产方式定位!$A$2:$E$38,2,FALSE)+VLOOKUP($E94&amp;$C94,生产方式定位!$F$3:$J$38,2,FALSE),0)</f>
        <v>500</v>
      </c>
      <c r="S94" s="5">
        <f>IFERROR(VLOOKUP($D94&amp;$C94,生产方式定位!$A$2:$E$38,3,FALSE)+VLOOKUP($E94&amp;$C94,生产方式定位!$F$3:$J$38,3,FALSE),0)</f>
        <v>150</v>
      </c>
      <c r="X94" s="5">
        <f>IFERROR(VLOOKUP($D94&amp;$C94,生产方式定位!$A$2:$E$38,5,FALSE)+VLOOKUP($E94&amp;$C94,生产方式定位!$F$3:$J$38,5,FALSE),"错误")</f>
        <v>715</v>
      </c>
      <c r="Y94" s="27" t="str">
        <f t="shared" si="17"/>
        <v/>
      </c>
      <c r="Z94" s="50" t="str">
        <f t="shared" si="20"/>
        <v/>
      </c>
      <c r="AA94" s="50" t="str">
        <f t="shared" si="18"/>
        <v/>
      </c>
      <c r="AB94" s="28" t="str">
        <f t="shared" si="21"/>
        <v>43%</v>
      </c>
      <c r="AC94" s="1">
        <f t="shared" si="22"/>
        <v>65</v>
      </c>
      <c r="AD94" s="51">
        <f t="shared" si="19"/>
        <v>1</v>
      </c>
      <c r="AE94" t="str">
        <f t="shared" si="23"/>
        <v/>
      </c>
      <c r="AF94" t="str">
        <f t="shared" si="24"/>
        <v/>
      </c>
      <c r="AG94" t="str">
        <f t="shared" si="25"/>
        <v/>
      </c>
      <c r="AH94" t="str">
        <f t="shared" si="26"/>
        <v/>
      </c>
      <c r="AI94" t="str">
        <f t="shared" si="27"/>
        <v/>
      </c>
      <c r="AJ94" t="str">
        <f t="shared" si="28"/>
        <v/>
      </c>
      <c r="AK94" t="str">
        <f t="shared" si="29"/>
        <v/>
      </c>
      <c r="AL94" t="str">
        <f t="shared" si="30"/>
        <v/>
      </c>
      <c r="AN94" t="str">
        <f>IFERROR(ROUND(L94*(G94/$AW94)/VLOOKUP(F94,商品!$A$4:$D$67,4,FALSE),0),"")</f>
        <v/>
      </c>
      <c r="AO94" t="str">
        <f>IFERROR(ROUND(L94*(I94/$AW94)/VLOOKUP(H94,商品!$A$4:$D$67,4,FALSE),0),"")</f>
        <v/>
      </c>
      <c r="AP94" t="str">
        <f>IFERROR(ROUND(L94*(K94/$AW94)/VLOOKUP(J94,商品!$A$4:$D$67,4,FALSE),0),"")</f>
        <v/>
      </c>
      <c r="AQ94" t="str">
        <f>IFERROR(ROUND(S94*(N94/$AX94)/VLOOKUP(M94,职业!$A$3:$E$16,4,FALSE),0),"")</f>
        <v/>
      </c>
      <c r="AR94" t="str">
        <f>IFERROR(ROUND(S94*(P94/$AX94)/VLOOKUP(O94,职业!$A$3:$E$16,4,FALSE),0),"")</f>
        <v/>
      </c>
      <c r="AS94" t="str">
        <f>IFERROR(ROUND(S94*(R94/$AX94)/VLOOKUP(Q94,职业!$A$3:$E$16,4,FALSE),0),"")</f>
        <v/>
      </c>
      <c r="AT94" t="str">
        <f>IFERROR(ROUND(X94*(U94/$AY94)/VLOOKUP(T94,商品!$A$4:$D$67,4,FALSE),0),"")</f>
        <v/>
      </c>
      <c r="AU94" t="str">
        <f>IFERROR(ROUND(X94*(W94/$AY94)/VLOOKUP(V94,商品!$A$4:$D$67,4,FALSE),0),"")</f>
        <v/>
      </c>
      <c r="AW94">
        <f t="shared" si="31"/>
        <v>0</v>
      </c>
      <c r="AX94">
        <f t="shared" si="32"/>
        <v>0</v>
      </c>
      <c r="AY94">
        <f t="shared" si="33"/>
        <v>0</v>
      </c>
    </row>
    <row r="95" customHeight="1" spans="1:51">
      <c r="A95" s="5" t="s">
        <v>305</v>
      </c>
      <c r="C95" s="5">
        <v>2</v>
      </c>
      <c r="D95" s="1" t="s">
        <v>220</v>
      </c>
      <c r="E95" s="1" t="s">
        <v>224</v>
      </c>
      <c r="L95" s="5">
        <f>IFERROR(VLOOKUP($D95&amp;$C95,生产方式定位!$A$2:$E$38,2,FALSE)+VLOOKUP($E95&amp;$C95,生产方式定位!$F$3:$J$38,2,FALSE),0)</f>
        <v>1200</v>
      </c>
      <c r="S95" s="5">
        <f>IFERROR(VLOOKUP($D95&amp;$C95,生产方式定位!$A$2:$E$38,3,FALSE)+VLOOKUP($E95&amp;$C95,生产方式定位!$F$3:$J$38,3,FALSE),0)</f>
        <v>100</v>
      </c>
      <c r="X95" s="5">
        <f>IFERROR(VLOOKUP($D95&amp;$C95,生产方式定位!$A$2:$E$38,5,FALSE)+VLOOKUP($E95&amp;$C95,生产方式定位!$F$3:$J$38,5,FALSE),"错误")</f>
        <v>1346</v>
      </c>
      <c r="Y95" s="27" t="str">
        <f t="shared" si="17"/>
        <v/>
      </c>
      <c r="Z95" s="50" t="str">
        <f t="shared" si="20"/>
        <v/>
      </c>
      <c r="AA95" s="50" t="str">
        <f t="shared" si="18"/>
        <v/>
      </c>
      <c r="AB95" s="28" t="str">
        <f t="shared" si="21"/>
        <v>12%</v>
      </c>
      <c r="AC95" s="1">
        <f t="shared" si="22"/>
        <v>46</v>
      </c>
      <c r="AD95" s="51">
        <f t="shared" si="19"/>
        <v>2</v>
      </c>
      <c r="AE95" t="str">
        <f t="shared" si="23"/>
        <v/>
      </c>
      <c r="AF95" t="str">
        <f t="shared" si="24"/>
        <v/>
      </c>
      <c r="AG95" t="str">
        <f t="shared" si="25"/>
        <v/>
      </c>
      <c r="AH95" t="str">
        <f t="shared" si="26"/>
        <v/>
      </c>
      <c r="AI95" t="str">
        <f t="shared" si="27"/>
        <v/>
      </c>
      <c r="AJ95" t="str">
        <f t="shared" si="28"/>
        <v/>
      </c>
      <c r="AK95" t="str">
        <f t="shared" si="29"/>
        <v/>
      </c>
      <c r="AL95" t="str">
        <f t="shared" si="30"/>
        <v/>
      </c>
      <c r="AN95" t="str">
        <f>IFERROR(ROUND(L95*(G95/$AW95)/VLOOKUP(F95,商品!$A$4:$D$67,4,FALSE),0),"")</f>
        <v/>
      </c>
      <c r="AO95" t="str">
        <f>IFERROR(ROUND(L95*(I95/$AW95)/VLOOKUP(H95,商品!$A$4:$D$67,4,FALSE),0),"")</f>
        <v/>
      </c>
      <c r="AP95" t="str">
        <f>IFERROR(ROUND(L95*(K95/$AW95)/VLOOKUP(J95,商品!$A$4:$D$67,4,FALSE),0),"")</f>
        <v/>
      </c>
      <c r="AQ95" t="str">
        <f>IFERROR(ROUND(S95*(N95/$AX95)/VLOOKUP(M95,职业!$A$3:$E$16,4,FALSE),0),"")</f>
        <v/>
      </c>
      <c r="AR95" t="str">
        <f>IFERROR(ROUND(S95*(P95/$AX95)/VLOOKUP(O95,职业!$A$3:$E$16,4,FALSE),0),"")</f>
        <v/>
      </c>
      <c r="AS95" t="str">
        <f>IFERROR(ROUND(S95*(R95/$AX95)/VLOOKUP(Q95,职业!$A$3:$E$16,4,FALSE),0),"")</f>
        <v/>
      </c>
      <c r="AT95" t="str">
        <f>IFERROR(ROUND(X95*(U95/$AY95)/VLOOKUP(T95,商品!$A$4:$D$67,4,FALSE),0),"")</f>
        <v/>
      </c>
      <c r="AU95" t="str">
        <f>IFERROR(ROUND(X95*(W95/$AY95)/VLOOKUP(V95,商品!$A$4:$D$67,4,FALSE),0),"")</f>
        <v/>
      </c>
      <c r="AW95">
        <f t="shared" si="31"/>
        <v>0</v>
      </c>
      <c r="AX95">
        <f t="shared" si="32"/>
        <v>0</v>
      </c>
      <c r="AY95">
        <f t="shared" si="33"/>
        <v>0</v>
      </c>
    </row>
    <row r="96" customHeight="1" spans="1:51">
      <c r="A96" s="5" t="s">
        <v>305</v>
      </c>
      <c r="C96" s="5">
        <v>3</v>
      </c>
      <c r="D96" s="1" t="s">
        <v>220</v>
      </c>
      <c r="E96" s="1" t="s">
        <v>224</v>
      </c>
      <c r="L96" s="5">
        <f>IFERROR(VLOOKUP($D96&amp;$C96,生产方式定位!$A$2:$E$38,2,FALSE)+VLOOKUP($E96&amp;$C96,生产方式定位!$F$3:$J$38,2,FALSE),0)</f>
        <v>1900</v>
      </c>
      <c r="S96" s="5">
        <f>IFERROR(VLOOKUP($D96&amp;$C96,生产方式定位!$A$2:$E$38,3,FALSE)+VLOOKUP($E96&amp;$C96,生产方式定位!$F$3:$J$38,3,FALSE),0)</f>
        <v>70</v>
      </c>
      <c r="X96" s="5">
        <f>IFERROR(VLOOKUP($D96&amp;$C96,生产方式定位!$A$2:$E$38,5,FALSE)+VLOOKUP($E96&amp;$C96,生产方式定位!$F$3:$J$38,5,FALSE),"错误")</f>
        <v>2064</v>
      </c>
      <c r="Y96" s="27" t="str">
        <f t="shared" si="17"/>
        <v/>
      </c>
      <c r="Z96" s="50" t="str">
        <f t="shared" si="20"/>
        <v/>
      </c>
      <c r="AA96" s="50" t="str">
        <f t="shared" si="18"/>
        <v/>
      </c>
      <c r="AB96" s="28" t="str">
        <f t="shared" si="21"/>
        <v>9%</v>
      </c>
      <c r="AC96" s="1">
        <f t="shared" si="22"/>
        <v>94</v>
      </c>
      <c r="AD96" s="51">
        <f t="shared" si="19"/>
        <v>3</v>
      </c>
      <c r="AE96" t="str">
        <f t="shared" si="23"/>
        <v/>
      </c>
      <c r="AF96" t="str">
        <f t="shared" si="24"/>
        <v/>
      </c>
      <c r="AG96" t="str">
        <f t="shared" si="25"/>
        <v/>
      </c>
      <c r="AH96" t="str">
        <f t="shared" si="26"/>
        <v/>
      </c>
      <c r="AI96" t="str">
        <f t="shared" si="27"/>
        <v/>
      </c>
      <c r="AJ96" t="str">
        <f t="shared" si="28"/>
        <v/>
      </c>
      <c r="AK96" t="str">
        <f t="shared" si="29"/>
        <v/>
      </c>
      <c r="AL96" t="str">
        <f t="shared" si="30"/>
        <v/>
      </c>
      <c r="AN96" t="str">
        <f>IFERROR(ROUND(L96*(G96/$AW96)/VLOOKUP(F96,商品!$A$4:$D$67,4,FALSE),0),"")</f>
        <v/>
      </c>
      <c r="AO96" t="str">
        <f>IFERROR(ROUND(L96*(I96/$AW96)/VLOOKUP(H96,商品!$A$4:$D$67,4,FALSE),0),"")</f>
        <v/>
      </c>
      <c r="AP96" t="str">
        <f>IFERROR(ROUND(L96*(K96/$AW96)/VLOOKUP(J96,商品!$A$4:$D$67,4,FALSE),0),"")</f>
        <v/>
      </c>
      <c r="AQ96" t="str">
        <f>IFERROR(ROUND(S96*(N96/$AX96)/VLOOKUP(M96,职业!$A$3:$E$16,4,FALSE),0),"")</f>
        <v/>
      </c>
      <c r="AR96" t="str">
        <f>IFERROR(ROUND(S96*(P96/$AX96)/VLOOKUP(O96,职业!$A$3:$E$16,4,FALSE),0),"")</f>
        <v/>
      </c>
      <c r="AS96" t="str">
        <f>IFERROR(ROUND(S96*(R96/$AX96)/VLOOKUP(Q96,职业!$A$3:$E$16,4,FALSE),0),"")</f>
        <v/>
      </c>
      <c r="AT96" t="str">
        <f>IFERROR(ROUND(X96*(U96/$AY96)/VLOOKUP(T96,商品!$A$4:$D$67,4,FALSE),0),"")</f>
        <v/>
      </c>
      <c r="AU96" t="str">
        <f>IFERROR(ROUND(X96*(W96/$AY96)/VLOOKUP(V96,商品!$A$4:$D$67,4,FALSE),0),"")</f>
        <v/>
      </c>
      <c r="AW96">
        <f t="shared" si="31"/>
        <v>0</v>
      </c>
      <c r="AX96">
        <f t="shared" si="32"/>
        <v>0</v>
      </c>
      <c r="AY96">
        <f t="shared" si="33"/>
        <v>0</v>
      </c>
    </row>
    <row r="97" customHeight="1" spans="1:51">
      <c r="A97" s="5" t="s">
        <v>305</v>
      </c>
      <c r="C97" s="5">
        <v>4</v>
      </c>
      <c r="D97" s="1" t="s">
        <v>220</v>
      </c>
      <c r="E97" s="1" t="s">
        <v>224</v>
      </c>
      <c r="L97" s="5">
        <f>IFERROR(VLOOKUP($D97&amp;$C97,生产方式定位!$A$2:$E$38,2,FALSE)+VLOOKUP($E97&amp;$C97,生产方式定位!$F$3:$J$38,2,FALSE),0)</f>
        <v>2600</v>
      </c>
      <c r="S97" s="5">
        <f>IFERROR(VLOOKUP($D97&amp;$C97,生产方式定位!$A$2:$E$38,3,FALSE)+VLOOKUP($E97&amp;$C97,生产方式定位!$F$3:$J$38,3,FALSE),0)</f>
        <v>40</v>
      </c>
      <c r="X97" s="5">
        <f>IFERROR(VLOOKUP($D97&amp;$C97,生产方式定位!$A$2:$E$38,5,FALSE)+VLOOKUP($E97&amp;$C97,生产方式定位!$F$3:$J$38,5,FALSE),"错误")</f>
        <v>2782</v>
      </c>
      <c r="Y97" s="27" t="str">
        <f t="shared" si="17"/>
        <v/>
      </c>
      <c r="Z97" s="50" t="str">
        <f t="shared" si="20"/>
        <v/>
      </c>
      <c r="AA97" s="50" t="str">
        <f t="shared" si="18"/>
        <v/>
      </c>
      <c r="AB97" s="28" t="str">
        <f t="shared" si="21"/>
        <v>7%</v>
      </c>
      <c r="AC97" s="1">
        <f t="shared" si="22"/>
        <v>142</v>
      </c>
      <c r="AD97" s="51">
        <f t="shared" si="19"/>
        <v>4</v>
      </c>
      <c r="AE97" t="str">
        <f t="shared" si="23"/>
        <v/>
      </c>
      <c r="AF97" t="str">
        <f t="shared" si="24"/>
        <v/>
      </c>
      <c r="AG97" t="str">
        <f t="shared" si="25"/>
        <v/>
      </c>
      <c r="AH97" t="str">
        <f t="shared" si="26"/>
        <v/>
      </c>
      <c r="AI97" t="str">
        <f t="shared" si="27"/>
        <v/>
      </c>
      <c r="AJ97" t="str">
        <f t="shared" si="28"/>
        <v/>
      </c>
      <c r="AK97" t="str">
        <f t="shared" si="29"/>
        <v/>
      </c>
      <c r="AL97" t="str">
        <f t="shared" si="30"/>
        <v/>
      </c>
      <c r="AN97" t="str">
        <f>IFERROR(ROUND(L97*(G97/$AW97)/VLOOKUP(F97,商品!$A$4:$D$67,4,FALSE),0),"")</f>
        <v/>
      </c>
      <c r="AO97" t="str">
        <f>IFERROR(ROUND(L97*(I97/$AW97)/VLOOKUP(H97,商品!$A$4:$D$67,4,FALSE),0),"")</f>
        <v/>
      </c>
      <c r="AP97" t="str">
        <f>IFERROR(ROUND(L97*(K97/$AW97)/VLOOKUP(J97,商品!$A$4:$D$67,4,FALSE),0),"")</f>
        <v/>
      </c>
      <c r="AQ97" t="str">
        <f>IFERROR(ROUND(S97*(N97/$AX97)/VLOOKUP(M97,职业!$A$3:$E$16,4,FALSE),0),"")</f>
        <v/>
      </c>
      <c r="AR97" t="str">
        <f>IFERROR(ROUND(S97*(P97/$AX97)/VLOOKUP(O97,职业!$A$3:$E$16,4,FALSE),0),"")</f>
        <v/>
      </c>
      <c r="AS97" t="str">
        <f>IFERROR(ROUND(S97*(R97/$AX97)/VLOOKUP(Q97,职业!$A$3:$E$16,4,FALSE),0),"")</f>
        <v/>
      </c>
      <c r="AT97" t="str">
        <f>IFERROR(ROUND(X97*(U97/$AY97)/VLOOKUP(T97,商品!$A$4:$D$67,4,FALSE),0),"")</f>
        <v/>
      </c>
      <c r="AU97" t="str">
        <f>IFERROR(ROUND(X97*(W97/$AY97)/VLOOKUP(V97,商品!$A$4:$D$67,4,FALSE),0),"")</f>
        <v/>
      </c>
      <c r="AW97">
        <f t="shared" si="31"/>
        <v>0</v>
      </c>
      <c r="AX97">
        <f t="shared" si="32"/>
        <v>0</v>
      </c>
      <c r="AY97">
        <f t="shared" si="33"/>
        <v>0</v>
      </c>
    </row>
    <row r="98" customHeight="1" spans="1:51">
      <c r="A98" s="5" t="s">
        <v>305</v>
      </c>
      <c r="C98" s="5">
        <v>5</v>
      </c>
      <c r="D98" s="1" t="s">
        <v>220</v>
      </c>
      <c r="E98" s="1" t="s">
        <v>224</v>
      </c>
      <c r="L98" s="5">
        <f>IFERROR(VLOOKUP($D98&amp;$C98,生产方式定位!$A$2:$E$38,2,FALSE)+VLOOKUP($E98&amp;$C98,生产方式定位!$F$3:$J$38,2,FALSE),0)</f>
        <v>3300</v>
      </c>
      <c r="S98" s="5">
        <f>IFERROR(VLOOKUP($D98&amp;$C98,生产方式定位!$A$2:$E$38,3,FALSE)+VLOOKUP($E98&amp;$C98,生产方式定位!$F$3:$J$38,3,FALSE),0)</f>
        <v>10</v>
      </c>
      <c r="X98" s="5">
        <f>IFERROR(VLOOKUP($D98&amp;$C98,生产方式定位!$A$2:$E$38,5,FALSE)+VLOOKUP($E98&amp;$C98,生产方式定位!$F$3:$J$38,5,FALSE),"错误")</f>
        <v>3500</v>
      </c>
      <c r="Y98" s="27" t="str">
        <f t="shared" si="17"/>
        <v/>
      </c>
      <c r="Z98" s="50" t="str">
        <f t="shared" si="20"/>
        <v/>
      </c>
      <c r="AA98" s="50" t="str">
        <f t="shared" si="18"/>
        <v/>
      </c>
      <c r="AB98" s="28" t="str">
        <f t="shared" si="21"/>
        <v>6%</v>
      </c>
      <c r="AC98" s="1">
        <f t="shared" si="22"/>
        <v>190</v>
      </c>
      <c r="AD98" s="51">
        <f t="shared" si="19"/>
        <v>5</v>
      </c>
      <c r="AE98" t="str">
        <f t="shared" si="23"/>
        <v/>
      </c>
      <c r="AF98" t="str">
        <f t="shared" si="24"/>
        <v/>
      </c>
      <c r="AG98" t="str">
        <f t="shared" si="25"/>
        <v/>
      </c>
      <c r="AH98" t="str">
        <f t="shared" si="26"/>
        <v/>
      </c>
      <c r="AI98" t="str">
        <f t="shared" si="27"/>
        <v/>
      </c>
      <c r="AJ98" t="str">
        <f t="shared" si="28"/>
        <v/>
      </c>
      <c r="AK98" t="str">
        <f t="shared" si="29"/>
        <v/>
      </c>
      <c r="AL98" t="str">
        <f t="shared" si="30"/>
        <v/>
      </c>
      <c r="AN98" t="str">
        <f>IFERROR(ROUND(L98*(G98/$AW98)/VLOOKUP(F98,商品!$A$4:$D$67,4,FALSE),0),"")</f>
        <v/>
      </c>
      <c r="AO98" t="str">
        <f>IFERROR(ROUND(L98*(I98/$AW98)/VLOOKUP(H98,商品!$A$4:$D$67,4,FALSE),0),"")</f>
        <v/>
      </c>
      <c r="AP98" t="str">
        <f>IFERROR(ROUND(L98*(K98/$AW98)/VLOOKUP(J98,商品!$A$4:$D$67,4,FALSE),0),"")</f>
        <v/>
      </c>
      <c r="AQ98" t="str">
        <f>IFERROR(ROUND(S98*(N98/$AX98)/VLOOKUP(M98,职业!$A$3:$E$16,4,FALSE),0),"")</f>
        <v/>
      </c>
      <c r="AR98" t="str">
        <f>IFERROR(ROUND(S98*(P98/$AX98)/VLOOKUP(O98,职业!$A$3:$E$16,4,FALSE),0),"")</f>
        <v/>
      </c>
      <c r="AS98" t="str">
        <f>IFERROR(ROUND(S98*(R98/$AX98)/VLOOKUP(Q98,职业!$A$3:$E$16,4,FALSE),0),"")</f>
        <v/>
      </c>
      <c r="AT98" t="str">
        <f>IFERROR(ROUND(X98*(U98/$AY98)/VLOOKUP(T98,商品!$A$4:$D$67,4,FALSE),0),"")</f>
        <v/>
      </c>
      <c r="AU98" t="str">
        <f>IFERROR(ROUND(X98*(W98/$AY98)/VLOOKUP(V98,商品!$A$4:$D$67,4,FALSE),0),"")</f>
        <v/>
      </c>
      <c r="AW98">
        <f t="shared" si="31"/>
        <v>0</v>
      </c>
      <c r="AX98">
        <f t="shared" si="32"/>
        <v>0</v>
      </c>
      <c r="AY98">
        <f t="shared" si="33"/>
        <v>0</v>
      </c>
    </row>
    <row r="99" customHeight="1" spans="1:51">
      <c r="A99" s="18" t="s">
        <v>305</v>
      </c>
      <c r="C99" s="18">
        <v>1</v>
      </c>
      <c r="D99" s="1" t="s">
        <v>220</v>
      </c>
      <c r="E99" s="1" t="s">
        <v>224</v>
      </c>
      <c r="L99" s="18">
        <f>IFERROR(VLOOKUP($D99&amp;$C99,生产方式定位!$A$2:$E$38,2,FALSE)+VLOOKUP($E99&amp;$C99,生产方式定位!$F$3:$J$38,2,FALSE),0)</f>
        <v>500</v>
      </c>
      <c r="S99" s="18">
        <f>IFERROR(VLOOKUP($D99&amp;$C99,生产方式定位!$A$2:$E$38,3,FALSE)+VLOOKUP($E99&amp;$C99,生产方式定位!$F$3:$J$38,3,FALSE),0)</f>
        <v>150</v>
      </c>
      <c r="X99" s="18">
        <f>IFERROR(VLOOKUP($D99&amp;$C99,生产方式定位!$A$2:$E$38,5,FALSE)+VLOOKUP($E99&amp;$C99,生产方式定位!$F$3:$J$38,5,FALSE),"错误")</f>
        <v>715</v>
      </c>
      <c r="Y99" s="27" t="str">
        <f t="shared" si="17"/>
        <v/>
      </c>
      <c r="Z99" s="50" t="str">
        <f t="shared" si="20"/>
        <v/>
      </c>
      <c r="AA99" s="50" t="str">
        <f t="shared" si="18"/>
        <v/>
      </c>
      <c r="AB99" s="28" t="str">
        <f t="shared" si="21"/>
        <v>43%</v>
      </c>
      <c r="AC99" s="1">
        <f t="shared" si="22"/>
        <v>65</v>
      </c>
      <c r="AD99" s="52">
        <f t="shared" si="19"/>
        <v>1</v>
      </c>
      <c r="AE99" t="str">
        <f t="shared" si="23"/>
        <v/>
      </c>
      <c r="AF99" t="str">
        <f t="shared" si="24"/>
        <v/>
      </c>
      <c r="AG99" t="str">
        <f t="shared" si="25"/>
        <v/>
      </c>
      <c r="AH99" t="str">
        <f t="shared" si="26"/>
        <v/>
      </c>
      <c r="AI99" t="str">
        <f t="shared" si="27"/>
        <v/>
      </c>
      <c r="AJ99" t="str">
        <f t="shared" si="28"/>
        <v/>
      </c>
      <c r="AK99" t="str">
        <f t="shared" si="29"/>
        <v/>
      </c>
      <c r="AL99" t="str">
        <f t="shared" si="30"/>
        <v/>
      </c>
      <c r="AN99" t="str">
        <f>IFERROR(ROUND(L99*(G99/$AW99)/VLOOKUP(F99,商品!$A$4:$D$67,4,FALSE),0),"")</f>
        <v/>
      </c>
      <c r="AO99" t="str">
        <f>IFERROR(ROUND(L99*(I99/$AW99)/VLOOKUP(H99,商品!$A$4:$D$67,4,FALSE),0),"")</f>
        <v/>
      </c>
      <c r="AP99" t="str">
        <f>IFERROR(ROUND(L99*(K99/$AW99)/VLOOKUP(J99,商品!$A$4:$D$67,4,FALSE),0),"")</f>
        <v/>
      </c>
      <c r="AQ99" t="str">
        <f>IFERROR(ROUND(S99*(N99/$AX99)/VLOOKUP(M99,职业!$A$3:$E$16,4,FALSE),0),"")</f>
        <v/>
      </c>
      <c r="AR99" t="str">
        <f>IFERROR(ROUND(S99*(P99/$AX99)/VLOOKUP(O99,职业!$A$3:$E$16,4,FALSE),0),"")</f>
        <v/>
      </c>
      <c r="AS99" t="str">
        <f>IFERROR(ROUND(S99*(R99/$AX99)/VLOOKUP(Q99,职业!$A$3:$E$16,4,FALSE),0),"")</f>
        <v/>
      </c>
      <c r="AT99" t="str">
        <f>IFERROR(ROUND(X99*(U99/$AY99)/VLOOKUP(T99,商品!$A$4:$D$67,4,FALSE),0),"")</f>
        <v/>
      </c>
      <c r="AU99" t="str">
        <f>IFERROR(ROUND(X99*(W99/$AY99)/VLOOKUP(V99,商品!$A$4:$D$67,4,FALSE),0),"")</f>
        <v/>
      </c>
      <c r="AW99">
        <f t="shared" si="31"/>
        <v>0</v>
      </c>
      <c r="AX99">
        <f t="shared" si="32"/>
        <v>0</v>
      </c>
      <c r="AY99">
        <f t="shared" si="33"/>
        <v>0</v>
      </c>
    </row>
    <row r="100" customHeight="1" spans="1:51">
      <c r="A100" s="18" t="s">
        <v>305</v>
      </c>
      <c r="C100" s="18">
        <v>2</v>
      </c>
      <c r="D100" s="1" t="s">
        <v>220</v>
      </c>
      <c r="E100" s="1" t="s">
        <v>224</v>
      </c>
      <c r="L100" s="18">
        <f>IFERROR(VLOOKUP($D100&amp;$C100,生产方式定位!$A$2:$E$38,2,FALSE)+VLOOKUP($E100&amp;$C100,生产方式定位!$F$3:$J$38,2,FALSE),0)</f>
        <v>1200</v>
      </c>
      <c r="S100" s="18">
        <f>IFERROR(VLOOKUP($D100&amp;$C100,生产方式定位!$A$2:$E$38,3,FALSE)+VLOOKUP($E100&amp;$C100,生产方式定位!$F$3:$J$38,3,FALSE),0)</f>
        <v>100</v>
      </c>
      <c r="X100" s="18">
        <f>IFERROR(VLOOKUP($D100&amp;$C100,生产方式定位!$A$2:$E$38,5,FALSE)+VLOOKUP($E100&amp;$C100,生产方式定位!$F$3:$J$38,5,FALSE),"错误")</f>
        <v>1346</v>
      </c>
      <c r="Y100" s="27" t="str">
        <f t="shared" si="17"/>
        <v/>
      </c>
      <c r="Z100" s="50" t="str">
        <f t="shared" si="20"/>
        <v/>
      </c>
      <c r="AA100" s="50" t="str">
        <f t="shared" si="18"/>
        <v/>
      </c>
      <c r="AB100" s="28" t="str">
        <f t="shared" si="21"/>
        <v>12%</v>
      </c>
      <c r="AC100" s="1">
        <f t="shared" si="22"/>
        <v>46</v>
      </c>
      <c r="AD100" s="52">
        <f t="shared" si="19"/>
        <v>2</v>
      </c>
      <c r="AE100" t="str">
        <f t="shared" si="23"/>
        <v/>
      </c>
      <c r="AF100" t="str">
        <f t="shared" si="24"/>
        <v/>
      </c>
      <c r="AG100" t="str">
        <f t="shared" si="25"/>
        <v/>
      </c>
      <c r="AH100" t="str">
        <f t="shared" si="26"/>
        <v/>
      </c>
      <c r="AI100" t="str">
        <f t="shared" si="27"/>
        <v/>
      </c>
      <c r="AJ100" t="str">
        <f t="shared" si="28"/>
        <v/>
      </c>
      <c r="AK100" t="str">
        <f t="shared" si="29"/>
        <v/>
      </c>
      <c r="AL100" t="str">
        <f t="shared" si="30"/>
        <v/>
      </c>
      <c r="AN100" t="str">
        <f>IFERROR(ROUND(L100*(G100/$AW100)/VLOOKUP(F100,商品!$A$4:$D$67,4,FALSE),0),"")</f>
        <v/>
      </c>
      <c r="AO100" t="str">
        <f>IFERROR(ROUND(L100*(I100/$AW100)/VLOOKUP(H100,商品!$A$4:$D$67,4,FALSE),0),"")</f>
        <v/>
      </c>
      <c r="AP100" t="str">
        <f>IFERROR(ROUND(L100*(K100/$AW100)/VLOOKUP(J100,商品!$A$4:$D$67,4,FALSE),0),"")</f>
        <v/>
      </c>
      <c r="AQ100" t="str">
        <f>IFERROR(ROUND(S100*(N100/$AX100)/VLOOKUP(M100,职业!$A$3:$E$16,4,FALSE),0),"")</f>
        <v/>
      </c>
      <c r="AR100" t="str">
        <f>IFERROR(ROUND(S100*(P100/$AX100)/VLOOKUP(O100,职业!$A$3:$E$16,4,FALSE),0),"")</f>
        <v/>
      </c>
      <c r="AS100" t="str">
        <f>IFERROR(ROUND(S100*(R100/$AX100)/VLOOKUP(Q100,职业!$A$3:$E$16,4,FALSE),0),"")</f>
        <v/>
      </c>
      <c r="AT100" t="str">
        <f>IFERROR(ROUND(X100*(U100/$AY100)/VLOOKUP(T100,商品!$A$4:$D$67,4,FALSE),0),"")</f>
        <v/>
      </c>
      <c r="AU100" t="str">
        <f>IFERROR(ROUND(X100*(W100/$AY100)/VLOOKUP(V100,商品!$A$4:$D$67,4,FALSE),0),"")</f>
        <v/>
      </c>
      <c r="AW100">
        <f t="shared" si="31"/>
        <v>0</v>
      </c>
      <c r="AX100">
        <f t="shared" si="32"/>
        <v>0</v>
      </c>
      <c r="AY100">
        <f t="shared" si="33"/>
        <v>0</v>
      </c>
    </row>
    <row r="101" customHeight="1" spans="1:51">
      <c r="A101" s="18" t="s">
        <v>305</v>
      </c>
      <c r="C101" s="18">
        <v>3</v>
      </c>
      <c r="D101" s="1" t="s">
        <v>220</v>
      </c>
      <c r="E101" s="1" t="s">
        <v>224</v>
      </c>
      <c r="L101" s="18">
        <f>IFERROR(VLOOKUP($D101&amp;$C101,生产方式定位!$A$2:$E$38,2,FALSE)+VLOOKUP($E101&amp;$C101,生产方式定位!$F$3:$J$38,2,FALSE),0)</f>
        <v>1900</v>
      </c>
      <c r="S101" s="18">
        <f>IFERROR(VLOOKUP($D101&amp;$C101,生产方式定位!$A$2:$E$38,3,FALSE)+VLOOKUP($E101&amp;$C101,生产方式定位!$F$3:$J$38,3,FALSE),0)</f>
        <v>70</v>
      </c>
      <c r="X101" s="18">
        <f>IFERROR(VLOOKUP($D101&amp;$C101,生产方式定位!$A$2:$E$38,5,FALSE)+VLOOKUP($E101&amp;$C101,生产方式定位!$F$3:$J$38,5,FALSE),"错误")</f>
        <v>2064</v>
      </c>
      <c r="Y101" s="27" t="str">
        <f t="shared" si="17"/>
        <v/>
      </c>
      <c r="Z101" s="50" t="str">
        <f t="shared" si="20"/>
        <v/>
      </c>
      <c r="AA101" s="50" t="str">
        <f t="shared" si="18"/>
        <v/>
      </c>
      <c r="AB101" s="28" t="str">
        <f t="shared" si="21"/>
        <v>9%</v>
      </c>
      <c r="AC101" s="1">
        <f t="shared" si="22"/>
        <v>94</v>
      </c>
      <c r="AD101" s="52">
        <f t="shared" si="19"/>
        <v>3</v>
      </c>
      <c r="AE101" t="str">
        <f t="shared" si="23"/>
        <v/>
      </c>
      <c r="AF101" t="str">
        <f t="shared" si="24"/>
        <v/>
      </c>
      <c r="AG101" t="str">
        <f t="shared" si="25"/>
        <v/>
      </c>
      <c r="AH101" t="str">
        <f t="shared" si="26"/>
        <v/>
      </c>
      <c r="AI101" t="str">
        <f t="shared" si="27"/>
        <v/>
      </c>
      <c r="AJ101" t="str">
        <f t="shared" si="28"/>
        <v/>
      </c>
      <c r="AK101" t="str">
        <f t="shared" si="29"/>
        <v/>
      </c>
      <c r="AL101" t="str">
        <f t="shared" si="30"/>
        <v/>
      </c>
      <c r="AN101" t="str">
        <f>IFERROR(ROUND(L101*(G101/$AW101)/VLOOKUP(F101,商品!$A$4:$D$67,4,FALSE),0),"")</f>
        <v/>
      </c>
      <c r="AO101" t="str">
        <f>IFERROR(ROUND(L101*(I101/$AW101)/VLOOKUP(H101,商品!$A$4:$D$67,4,FALSE),0),"")</f>
        <v/>
      </c>
      <c r="AP101" t="str">
        <f>IFERROR(ROUND(L101*(K101/$AW101)/VLOOKUP(J101,商品!$A$4:$D$67,4,FALSE),0),"")</f>
        <v/>
      </c>
      <c r="AQ101" t="str">
        <f>IFERROR(ROUND(S101*(N101/$AX101)/VLOOKUP(M101,职业!$A$3:$E$16,4,FALSE),0),"")</f>
        <v/>
      </c>
      <c r="AR101" t="str">
        <f>IFERROR(ROUND(S101*(P101/$AX101)/VLOOKUP(O101,职业!$A$3:$E$16,4,FALSE),0),"")</f>
        <v/>
      </c>
      <c r="AS101" t="str">
        <f>IFERROR(ROUND(S101*(R101/$AX101)/VLOOKUP(Q101,职业!$A$3:$E$16,4,FALSE),0),"")</f>
        <v/>
      </c>
      <c r="AT101" t="str">
        <f>IFERROR(ROUND(X101*(U101/$AY101)/VLOOKUP(T101,商品!$A$4:$D$67,4,FALSE),0),"")</f>
        <v/>
      </c>
      <c r="AU101" t="str">
        <f>IFERROR(ROUND(X101*(W101/$AY101)/VLOOKUP(V101,商品!$A$4:$D$67,4,FALSE),0),"")</f>
        <v/>
      </c>
      <c r="AW101">
        <f t="shared" si="31"/>
        <v>0</v>
      </c>
      <c r="AX101">
        <f t="shared" si="32"/>
        <v>0</v>
      </c>
      <c r="AY101">
        <f t="shared" si="33"/>
        <v>0</v>
      </c>
    </row>
    <row r="102" customHeight="1" spans="1:51">
      <c r="A102" s="18" t="s">
        <v>305</v>
      </c>
      <c r="C102" s="18">
        <v>4</v>
      </c>
      <c r="D102" s="1" t="s">
        <v>220</v>
      </c>
      <c r="E102" s="1" t="s">
        <v>224</v>
      </c>
      <c r="L102" s="18">
        <f>IFERROR(VLOOKUP($D102&amp;$C102,生产方式定位!$A$2:$E$38,2,FALSE)+VLOOKUP($E102&amp;$C102,生产方式定位!$F$3:$J$38,2,FALSE),0)</f>
        <v>2600</v>
      </c>
      <c r="S102" s="18">
        <f>IFERROR(VLOOKUP($D102&amp;$C102,生产方式定位!$A$2:$E$38,3,FALSE)+VLOOKUP($E102&amp;$C102,生产方式定位!$F$3:$J$38,3,FALSE),0)</f>
        <v>40</v>
      </c>
      <c r="X102" s="18">
        <f>IFERROR(VLOOKUP($D102&amp;$C102,生产方式定位!$A$2:$E$38,5,FALSE)+VLOOKUP($E102&amp;$C102,生产方式定位!$F$3:$J$38,5,FALSE),"错误")</f>
        <v>2782</v>
      </c>
      <c r="Y102" s="27" t="str">
        <f t="shared" si="17"/>
        <v/>
      </c>
      <c r="Z102" s="50" t="str">
        <f t="shared" si="20"/>
        <v/>
      </c>
      <c r="AA102" s="50" t="str">
        <f t="shared" si="18"/>
        <v/>
      </c>
      <c r="AB102" s="28" t="str">
        <f t="shared" si="21"/>
        <v>7%</v>
      </c>
      <c r="AC102" s="1">
        <f t="shared" si="22"/>
        <v>142</v>
      </c>
      <c r="AD102" s="52">
        <f t="shared" si="19"/>
        <v>4</v>
      </c>
      <c r="AE102" t="str">
        <f t="shared" si="23"/>
        <v/>
      </c>
      <c r="AF102" t="str">
        <f t="shared" si="24"/>
        <v/>
      </c>
      <c r="AG102" t="str">
        <f t="shared" si="25"/>
        <v/>
      </c>
      <c r="AH102" t="str">
        <f t="shared" si="26"/>
        <v/>
      </c>
      <c r="AI102" t="str">
        <f t="shared" si="27"/>
        <v/>
      </c>
      <c r="AJ102" t="str">
        <f t="shared" si="28"/>
        <v/>
      </c>
      <c r="AK102" t="str">
        <f t="shared" si="29"/>
        <v/>
      </c>
      <c r="AL102" t="str">
        <f t="shared" si="30"/>
        <v/>
      </c>
      <c r="AN102" t="str">
        <f>IFERROR(ROUND(L102*(G102/$AW102)/VLOOKUP(F102,商品!$A$4:$D$67,4,FALSE),0),"")</f>
        <v/>
      </c>
      <c r="AO102" t="str">
        <f>IFERROR(ROUND(L102*(I102/$AW102)/VLOOKUP(H102,商品!$A$4:$D$67,4,FALSE),0),"")</f>
        <v/>
      </c>
      <c r="AP102" t="str">
        <f>IFERROR(ROUND(L102*(K102/$AW102)/VLOOKUP(J102,商品!$A$4:$D$67,4,FALSE),0),"")</f>
        <v/>
      </c>
      <c r="AQ102" t="str">
        <f>IFERROR(ROUND(S102*(N102/$AX102)/VLOOKUP(M102,职业!$A$3:$E$16,4,FALSE),0),"")</f>
        <v/>
      </c>
      <c r="AR102" t="str">
        <f>IFERROR(ROUND(S102*(P102/$AX102)/VLOOKUP(O102,职业!$A$3:$E$16,4,FALSE),0),"")</f>
        <v/>
      </c>
      <c r="AS102" t="str">
        <f>IFERROR(ROUND(S102*(R102/$AX102)/VLOOKUP(Q102,职业!$A$3:$E$16,4,FALSE),0),"")</f>
        <v/>
      </c>
      <c r="AT102" t="str">
        <f>IFERROR(ROUND(X102*(U102/$AY102)/VLOOKUP(T102,商品!$A$4:$D$67,4,FALSE),0),"")</f>
        <v/>
      </c>
      <c r="AU102" t="str">
        <f>IFERROR(ROUND(X102*(W102/$AY102)/VLOOKUP(V102,商品!$A$4:$D$67,4,FALSE),0),"")</f>
        <v/>
      </c>
      <c r="AW102">
        <f t="shared" si="31"/>
        <v>0</v>
      </c>
      <c r="AX102">
        <f t="shared" si="32"/>
        <v>0</v>
      </c>
      <c r="AY102">
        <f t="shared" si="33"/>
        <v>0</v>
      </c>
    </row>
    <row r="103" customHeight="1" spans="1:51">
      <c r="A103" s="18" t="s">
        <v>305</v>
      </c>
      <c r="C103" s="18">
        <v>5</v>
      </c>
      <c r="D103" s="1" t="s">
        <v>220</v>
      </c>
      <c r="E103" s="1" t="s">
        <v>224</v>
      </c>
      <c r="L103" s="18">
        <f>IFERROR(VLOOKUP($D103&amp;$C103,生产方式定位!$A$2:$E$38,2,FALSE)+VLOOKUP($E103&amp;$C103,生产方式定位!$F$3:$J$38,2,FALSE),0)</f>
        <v>3300</v>
      </c>
      <c r="S103" s="18">
        <f>IFERROR(VLOOKUP($D103&amp;$C103,生产方式定位!$A$2:$E$38,3,FALSE)+VLOOKUP($E103&amp;$C103,生产方式定位!$F$3:$J$38,3,FALSE),0)</f>
        <v>10</v>
      </c>
      <c r="X103" s="18">
        <f>IFERROR(VLOOKUP($D103&amp;$C103,生产方式定位!$A$2:$E$38,5,FALSE)+VLOOKUP($E103&amp;$C103,生产方式定位!$F$3:$J$38,5,FALSE),"错误")</f>
        <v>3500</v>
      </c>
      <c r="Y103" s="27" t="str">
        <f t="shared" si="17"/>
        <v/>
      </c>
      <c r="Z103" s="50" t="str">
        <f t="shared" si="20"/>
        <v/>
      </c>
      <c r="AA103" s="50" t="str">
        <f t="shared" si="18"/>
        <v/>
      </c>
      <c r="AB103" s="28" t="str">
        <f t="shared" si="21"/>
        <v>6%</v>
      </c>
      <c r="AC103" s="1">
        <f t="shared" si="22"/>
        <v>190</v>
      </c>
      <c r="AD103" s="52">
        <f t="shared" si="19"/>
        <v>5</v>
      </c>
      <c r="AE103" t="str">
        <f t="shared" si="23"/>
        <v/>
      </c>
      <c r="AF103" t="str">
        <f t="shared" si="24"/>
        <v/>
      </c>
      <c r="AG103" t="str">
        <f t="shared" si="25"/>
        <v/>
      </c>
      <c r="AH103" t="str">
        <f t="shared" si="26"/>
        <v/>
      </c>
      <c r="AI103" t="str">
        <f t="shared" si="27"/>
        <v/>
      </c>
      <c r="AJ103" t="str">
        <f t="shared" si="28"/>
        <v/>
      </c>
      <c r="AK103" t="str">
        <f t="shared" si="29"/>
        <v/>
      </c>
      <c r="AL103" t="str">
        <f t="shared" si="30"/>
        <v/>
      </c>
      <c r="AN103" t="str">
        <f>IFERROR(ROUND(L103*(G103/$AW103)/VLOOKUP(F103,商品!$A$4:$D$67,4,FALSE),0),"")</f>
        <v/>
      </c>
      <c r="AO103" t="str">
        <f>IFERROR(ROUND(L103*(I103/$AW103)/VLOOKUP(H103,商品!$A$4:$D$67,4,FALSE),0),"")</f>
        <v/>
      </c>
      <c r="AP103" t="str">
        <f>IFERROR(ROUND(L103*(K103/$AW103)/VLOOKUP(J103,商品!$A$4:$D$67,4,FALSE),0),"")</f>
        <v/>
      </c>
      <c r="AQ103" t="str">
        <f>IFERROR(ROUND(S103*(N103/$AX103)/VLOOKUP(M103,职业!$A$3:$E$16,4,FALSE),0),"")</f>
        <v/>
      </c>
      <c r="AR103" t="str">
        <f>IFERROR(ROUND(S103*(P103/$AX103)/VLOOKUP(O103,职业!$A$3:$E$16,4,FALSE),0),"")</f>
        <v/>
      </c>
      <c r="AS103" t="str">
        <f>IFERROR(ROUND(S103*(R103/$AX103)/VLOOKUP(Q103,职业!$A$3:$E$16,4,FALSE),0),"")</f>
        <v/>
      </c>
      <c r="AT103" t="str">
        <f>IFERROR(ROUND(X103*(U103/$AY103)/VLOOKUP(T103,商品!$A$4:$D$67,4,FALSE),0),"")</f>
        <v/>
      </c>
      <c r="AU103" t="str">
        <f>IFERROR(ROUND(X103*(W103/$AY103)/VLOOKUP(V103,商品!$A$4:$D$67,4,FALSE),0),"")</f>
        <v/>
      </c>
      <c r="AW103">
        <f t="shared" si="31"/>
        <v>0</v>
      </c>
      <c r="AX103">
        <f t="shared" si="32"/>
        <v>0</v>
      </c>
      <c r="AY103">
        <f t="shared" si="33"/>
        <v>0</v>
      </c>
    </row>
    <row r="104" customHeight="1" spans="1:51">
      <c r="A104" s="5" t="s">
        <v>306</v>
      </c>
      <c r="C104" s="5">
        <v>1</v>
      </c>
      <c r="D104" s="1" t="s">
        <v>291</v>
      </c>
      <c r="E104" s="1" t="s">
        <v>225</v>
      </c>
      <c r="L104" s="5">
        <f>IFERROR(VLOOKUP($D104&amp;$C104,生产方式定位!$A$2:$E$38,2,FALSE)+VLOOKUP($E104&amp;$C104,生产方式定位!$F$3:$J$38,2,FALSE),0)</f>
        <v>0</v>
      </c>
      <c r="S104" s="5">
        <f>IFERROR(VLOOKUP($D104&amp;$C104,生产方式定位!$A$2:$E$38,3,FALSE)+VLOOKUP($E104&amp;$C104,生产方式定位!$F$3:$J$38,3,FALSE),0)</f>
        <v>100</v>
      </c>
      <c r="X104" s="5">
        <f>IFERROR(VLOOKUP($D104&amp;$C104,生产方式定位!$A$2:$E$38,5,FALSE)+VLOOKUP($E104&amp;$C104,生产方式定位!$F$3:$J$38,5,FALSE),"错误")</f>
        <v>100</v>
      </c>
      <c r="Y104" s="27" t="str">
        <f t="shared" si="17"/>
        <v/>
      </c>
      <c r="Z104" s="50" t="str">
        <f t="shared" si="20"/>
        <v/>
      </c>
      <c r="AA104" s="50" t="str">
        <f t="shared" si="18"/>
        <v/>
      </c>
      <c r="AB104" s="28" t="str">
        <f t="shared" si="21"/>
        <v/>
      </c>
      <c r="AC104" s="1" t="str">
        <f t="shared" si="22"/>
        <v/>
      </c>
      <c r="AD104" s="51">
        <f t="shared" si="19"/>
        <v>1</v>
      </c>
      <c r="AE104" t="str">
        <f t="shared" si="23"/>
        <v/>
      </c>
      <c r="AF104" t="str">
        <f t="shared" si="24"/>
        <v/>
      </c>
      <c r="AG104" t="str">
        <f t="shared" si="25"/>
        <v/>
      </c>
      <c r="AH104" t="str">
        <f t="shared" si="26"/>
        <v/>
      </c>
      <c r="AI104" t="str">
        <f t="shared" si="27"/>
        <v/>
      </c>
      <c r="AJ104" t="str">
        <f t="shared" si="28"/>
        <v/>
      </c>
      <c r="AK104" t="str">
        <f t="shared" si="29"/>
        <v/>
      </c>
      <c r="AL104" t="str">
        <f t="shared" si="30"/>
        <v/>
      </c>
      <c r="AN104" t="str">
        <f>IFERROR(ROUND(L104*(G104/$AW104)/VLOOKUP(F104,商品!$A$4:$D$67,4,FALSE),0),"")</f>
        <v/>
      </c>
      <c r="AO104" t="str">
        <f>IFERROR(ROUND(L104*(I104/$AW104)/VLOOKUP(H104,商品!$A$4:$D$67,4,FALSE),0),"")</f>
        <v/>
      </c>
      <c r="AP104" t="str">
        <f>IFERROR(ROUND(L104*(K104/$AW104)/VLOOKUP(J104,商品!$A$4:$D$67,4,FALSE),0),"")</f>
        <v/>
      </c>
      <c r="AQ104" t="str">
        <f>IFERROR(ROUND(S104*(N104/$AX104)/VLOOKUP(M104,职业!$A$3:$E$16,4,FALSE),0),"")</f>
        <v/>
      </c>
      <c r="AR104" t="str">
        <f>IFERROR(ROUND(S104*(P104/$AX104)/VLOOKUP(O104,职业!$A$3:$E$16,4,FALSE),0),"")</f>
        <v/>
      </c>
      <c r="AS104" t="str">
        <f>IFERROR(ROUND(S104*(R104/$AX104)/VLOOKUP(Q104,职业!$A$3:$E$16,4,FALSE),0),"")</f>
        <v/>
      </c>
      <c r="AT104" t="str">
        <f>IFERROR(ROUND(X104*(U104/$AY104)/VLOOKUP(T104,商品!$A$4:$D$67,4,FALSE),0),"")</f>
        <v/>
      </c>
      <c r="AU104" t="str">
        <f>IFERROR(ROUND(X104*(W104/$AY104)/VLOOKUP(V104,商品!$A$4:$D$67,4,FALSE),0),"")</f>
        <v/>
      </c>
      <c r="AW104">
        <f t="shared" si="31"/>
        <v>0</v>
      </c>
      <c r="AX104">
        <f t="shared" si="32"/>
        <v>0</v>
      </c>
      <c r="AY104">
        <f t="shared" si="33"/>
        <v>0</v>
      </c>
    </row>
    <row r="105" customHeight="1" spans="1:51">
      <c r="A105" s="5" t="s">
        <v>306</v>
      </c>
      <c r="C105" s="5">
        <v>2</v>
      </c>
      <c r="D105" s="1" t="s">
        <v>291</v>
      </c>
      <c r="E105" s="1" t="s">
        <v>225</v>
      </c>
      <c r="L105" s="5">
        <f>IFERROR(VLOOKUP($D105&amp;$C105,生产方式定位!$A$2:$E$38,2,FALSE)+VLOOKUP($E105&amp;$C105,生产方式定位!$F$3:$J$38,2,FALSE),0)</f>
        <v>0</v>
      </c>
      <c r="S105" s="5">
        <f>IFERROR(VLOOKUP($D105&amp;$C105,生产方式定位!$A$2:$E$38,3,FALSE)+VLOOKUP($E105&amp;$C105,生产方式定位!$F$3:$J$38,3,FALSE),0)</f>
        <v>100</v>
      </c>
      <c r="X105" s="5">
        <f>IFERROR(VLOOKUP($D105&amp;$C105,生产方式定位!$A$2:$E$38,5,FALSE)+VLOOKUP($E105&amp;$C105,生产方式定位!$F$3:$J$38,5,FALSE),"错误")</f>
        <v>100</v>
      </c>
      <c r="Y105" s="27" t="str">
        <f t="shared" si="17"/>
        <v/>
      </c>
      <c r="Z105" s="50" t="str">
        <f t="shared" si="20"/>
        <v/>
      </c>
      <c r="AA105" s="50" t="str">
        <f t="shared" si="18"/>
        <v/>
      </c>
      <c r="AB105" s="28" t="str">
        <f t="shared" si="21"/>
        <v/>
      </c>
      <c r="AC105" s="1" t="str">
        <f t="shared" si="22"/>
        <v/>
      </c>
      <c r="AD105" s="51">
        <f t="shared" si="19"/>
        <v>2</v>
      </c>
      <c r="AE105" t="str">
        <f t="shared" si="23"/>
        <v/>
      </c>
      <c r="AF105" t="str">
        <f t="shared" si="24"/>
        <v/>
      </c>
      <c r="AG105" t="str">
        <f t="shared" si="25"/>
        <v/>
      </c>
      <c r="AH105" t="str">
        <f t="shared" si="26"/>
        <v/>
      </c>
      <c r="AI105" t="str">
        <f t="shared" si="27"/>
        <v/>
      </c>
      <c r="AJ105" t="str">
        <f t="shared" si="28"/>
        <v/>
      </c>
      <c r="AK105" t="str">
        <f t="shared" si="29"/>
        <v/>
      </c>
      <c r="AL105" t="str">
        <f t="shared" si="30"/>
        <v/>
      </c>
      <c r="AN105" t="str">
        <f>IFERROR(ROUND(L105*(G105/$AW105)/VLOOKUP(F105,商品!$A$4:$D$67,4,FALSE),0),"")</f>
        <v/>
      </c>
      <c r="AO105" t="str">
        <f>IFERROR(ROUND(L105*(I105/$AW105)/VLOOKUP(H105,商品!$A$4:$D$67,4,FALSE),0),"")</f>
        <v/>
      </c>
      <c r="AP105" t="str">
        <f>IFERROR(ROUND(L105*(K105/$AW105)/VLOOKUP(J105,商品!$A$4:$D$67,4,FALSE),0),"")</f>
        <v/>
      </c>
      <c r="AQ105" t="str">
        <f>IFERROR(ROUND(S105*(N105/$AX105)/VLOOKUP(M105,职业!$A$3:$E$16,4,FALSE),0),"")</f>
        <v/>
      </c>
      <c r="AR105" t="str">
        <f>IFERROR(ROUND(S105*(P105/$AX105)/VLOOKUP(O105,职业!$A$3:$E$16,4,FALSE),0),"")</f>
        <v/>
      </c>
      <c r="AS105" t="str">
        <f>IFERROR(ROUND(S105*(R105/$AX105)/VLOOKUP(Q105,职业!$A$3:$E$16,4,FALSE),0),"")</f>
        <v/>
      </c>
      <c r="AT105" t="str">
        <f>IFERROR(ROUND(X105*(U105/$AY105)/VLOOKUP(T105,商品!$A$4:$D$67,4,FALSE),0),"")</f>
        <v/>
      </c>
      <c r="AU105" t="str">
        <f>IFERROR(ROUND(X105*(W105/$AY105)/VLOOKUP(V105,商品!$A$4:$D$67,4,FALSE),0),"")</f>
        <v/>
      </c>
      <c r="AW105">
        <f t="shared" si="31"/>
        <v>0</v>
      </c>
      <c r="AX105">
        <f t="shared" si="32"/>
        <v>0</v>
      </c>
      <c r="AY105">
        <f t="shared" si="33"/>
        <v>0</v>
      </c>
    </row>
    <row r="106" customHeight="1" spans="1:51">
      <c r="A106" s="5" t="s">
        <v>306</v>
      </c>
      <c r="C106" s="5">
        <v>3</v>
      </c>
      <c r="D106" s="1" t="s">
        <v>291</v>
      </c>
      <c r="E106" s="1" t="s">
        <v>225</v>
      </c>
      <c r="L106" s="5">
        <f>IFERROR(VLOOKUP($D106&amp;$C106,生产方式定位!$A$2:$E$38,2,FALSE)+VLOOKUP($E106&amp;$C106,生产方式定位!$F$3:$J$38,2,FALSE),0)</f>
        <v>0</v>
      </c>
      <c r="S106" s="5">
        <f>IFERROR(VLOOKUP($D106&amp;$C106,生产方式定位!$A$2:$E$38,3,FALSE)+VLOOKUP($E106&amp;$C106,生产方式定位!$F$3:$J$38,3,FALSE),0)</f>
        <v>100</v>
      </c>
      <c r="X106" s="5">
        <f>IFERROR(VLOOKUP($D106&amp;$C106,生产方式定位!$A$2:$E$38,5,FALSE)+VLOOKUP($E106&amp;$C106,生产方式定位!$F$3:$J$38,5,FALSE),"错误")</f>
        <v>100</v>
      </c>
      <c r="Y106" s="27" t="str">
        <f t="shared" si="17"/>
        <v/>
      </c>
      <c r="Z106" s="50" t="str">
        <f t="shared" si="20"/>
        <v/>
      </c>
      <c r="AA106" s="50" t="str">
        <f t="shared" si="18"/>
        <v/>
      </c>
      <c r="AB106" s="28" t="str">
        <f t="shared" si="21"/>
        <v/>
      </c>
      <c r="AC106" s="1" t="str">
        <f t="shared" si="22"/>
        <v/>
      </c>
      <c r="AD106" s="51">
        <f t="shared" si="19"/>
        <v>3</v>
      </c>
      <c r="AE106" t="str">
        <f t="shared" si="23"/>
        <v/>
      </c>
      <c r="AF106" t="str">
        <f t="shared" si="24"/>
        <v/>
      </c>
      <c r="AG106" t="str">
        <f t="shared" si="25"/>
        <v/>
      </c>
      <c r="AH106" t="str">
        <f t="shared" si="26"/>
        <v/>
      </c>
      <c r="AI106" t="str">
        <f t="shared" si="27"/>
        <v/>
      </c>
      <c r="AJ106" t="str">
        <f t="shared" si="28"/>
        <v/>
      </c>
      <c r="AK106" t="str">
        <f t="shared" si="29"/>
        <v/>
      </c>
      <c r="AL106" t="str">
        <f t="shared" si="30"/>
        <v/>
      </c>
      <c r="AN106" t="str">
        <f>IFERROR(ROUND(L106*(G106/$AW106)/VLOOKUP(F106,商品!$A$4:$D$67,4,FALSE),0),"")</f>
        <v/>
      </c>
      <c r="AO106" t="str">
        <f>IFERROR(ROUND(L106*(I106/$AW106)/VLOOKUP(H106,商品!$A$4:$D$67,4,FALSE),0),"")</f>
        <v/>
      </c>
      <c r="AP106" t="str">
        <f>IFERROR(ROUND(L106*(K106/$AW106)/VLOOKUP(J106,商品!$A$4:$D$67,4,FALSE),0),"")</f>
        <v/>
      </c>
      <c r="AQ106" t="str">
        <f>IFERROR(ROUND(S106*(N106/$AX106)/VLOOKUP(M106,职业!$A$3:$E$16,4,FALSE),0),"")</f>
        <v/>
      </c>
      <c r="AR106" t="str">
        <f>IFERROR(ROUND(S106*(P106/$AX106)/VLOOKUP(O106,职业!$A$3:$E$16,4,FALSE),0),"")</f>
        <v/>
      </c>
      <c r="AS106" t="str">
        <f>IFERROR(ROUND(S106*(R106/$AX106)/VLOOKUP(Q106,职业!$A$3:$E$16,4,FALSE),0),"")</f>
        <v/>
      </c>
      <c r="AT106" t="str">
        <f>IFERROR(ROUND(X106*(U106/$AY106)/VLOOKUP(T106,商品!$A$4:$D$67,4,FALSE),0),"")</f>
        <v/>
      </c>
      <c r="AU106" t="str">
        <f>IFERROR(ROUND(X106*(W106/$AY106)/VLOOKUP(V106,商品!$A$4:$D$67,4,FALSE),0),"")</f>
        <v/>
      </c>
      <c r="AW106">
        <f t="shared" si="31"/>
        <v>0</v>
      </c>
      <c r="AX106">
        <f t="shared" si="32"/>
        <v>0</v>
      </c>
      <c r="AY106">
        <f t="shared" si="33"/>
        <v>0</v>
      </c>
    </row>
    <row r="107" customHeight="1" spans="1:51">
      <c r="A107" s="5" t="s">
        <v>306</v>
      </c>
      <c r="C107" s="5">
        <v>4</v>
      </c>
      <c r="D107" s="1" t="s">
        <v>291</v>
      </c>
      <c r="E107" s="1" t="s">
        <v>225</v>
      </c>
      <c r="L107" s="5">
        <f>IFERROR(VLOOKUP($D107&amp;$C107,生产方式定位!$A$2:$E$38,2,FALSE)+VLOOKUP($E107&amp;$C107,生产方式定位!$F$3:$J$38,2,FALSE),0)</f>
        <v>0</v>
      </c>
      <c r="S107" s="5">
        <f>IFERROR(VLOOKUP($D107&amp;$C107,生产方式定位!$A$2:$E$38,3,FALSE)+VLOOKUP($E107&amp;$C107,生产方式定位!$F$3:$J$38,3,FALSE),0)</f>
        <v>100</v>
      </c>
      <c r="X107" s="5">
        <f>IFERROR(VLOOKUP($D107&amp;$C107,生产方式定位!$A$2:$E$38,5,FALSE)+VLOOKUP($E107&amp;$C107,生产方式定位!$F$3:$J$38,5,FALSE),"错误")</f>
        <v>100</v>
      </c>
      <c r="Y107" s="27" t="str">
        <f t="shared" si="17"/>
        <v/>
      </c>
      <c r="Z107" s="50" t="str">
        <f t="shared" si="20"/>
        <v/>
      </c>
      <c r="AA107" s="50" t="str">
        <f t="shared" si="18"/>
        <v/>
      </c>
      <c r="AB107" s="28" t="str">
        <f t="shared" si="21"/>
        <v/>
      </c>
      <c r="AC107" s="1" t="str">
        <f t="shared" si="22"/>
        <v/>
      </c>
      <c r="AD107" s="51">
        <f t="shared" si="19"/>
        <v>4</v>
      </c>
      <c r="AE107" t="str">
        <f t="shared" si="23"/>
        <v/>
      </c>
      <c r="AF107" t="str">
        <f t="shared" si="24"/>
        <v/>
      </c>
      <c r="AG107" t="str">
        <f t="shared" si="25"/>
        <v/>
      </c>
      <c r="AH107" t="str">
        <f t="shared" si="26"/>
        <v/>
      </c>
      <c r="AI107" t="str">
        <f t="shared" si="27"/>
        <v/>
      </c>
      <c r="AJ107" t="str">
        <f t="shared" si="28"/>
        <v/>
      </c>
      <c r="AK107" t="str">
        <f t="shared" si="29"/>
        <v/>
      </c>
      <c r="AL107" t="str">
        <f t="shared" si="30"/>
        <v/>
      </c>
      <c r="AN107" t="str">
        <f>IFERROR(ROUND(L107*(G107/$AW107)/VLOOKUP(F107,商品!$A$4:$D$67,4,FALSE),0),"")</f>
        <v/>
      </c>
      <c r="AO107" t="str">
        <f>IFERROR(ROUND(L107*(I107/$AW107)/VLOOKUP(H107,商品!$A$4:$D$67,4,FALSE),0),"")</f>
        <v/>
      </c>
      <c r="AP107" t="str">
        <f>IFERROR(ROUND(L107*(K107/$AW107)/VLOOKUP(J107,商品!$A$4:$D$67,4,FALSE),0),"")</f>
        <v/>
      </c>
      <c r="AQ107" t="str">
        <f>IFERROR(ROUND(S107*(N107/$AX107)/VLOOKUP(M107,职业!$A$3:$E$16,4,FALSE),0),"")</f>
        <v/>
      </c>
      <c r="AR107" t="str">
        <f>IFERROR(ROUND(S107*(P107/$AX107)/VLOOKUP(O107,职业!$A$3:$E$16,4,FALSE),0),"")</f>
        <v/>
      </c>
      <c r="AS107" t="str">
        <f>IFERROR(ROUND(S107*(R107/$AX107)/VLOOKUP(Q107,职业!$A$3:$E$16,4,FALSE),0),"")</f>
        <v/>
      </c>
      <c r="AT107" t="str">
        <f>IFERROR(ROUND(X107*(U107/$AY107)/VLOOKUP(T107,商品!$A$4:$D$67,4,FALSE),0),"")</f>
        <v/>
      </c>
      <c r="AU107" t="str">
        <f>IFERROR(ROUND(X107*(W107/$AY107)/VLOOKUP(V107,商品!$A$4:$D$67,4,FALSE),0),"")</f>
        <v/>
      </c>
      <c r="AW107">
        <f t="shared" si="31"/>
        <v>0</v>
      </c>
      <c r="AX107">
        <f t="shared" si="32"/>
        <v>0</v>
      </c>
      <c r="AY107">
        <f t="shared" si="33"/>
        <v>0</v>
      </c>
    </row>
    <row r="108" customHeight="1" spans="1:51">
      <c r="A108" s="5" t="s">
        <v>306</v>
      </c>
      <c r="C108" s="5">
        <v>5</v>
      </c>
      <c r="D108" s="1" t="s">
        <v>291</v>
      </c>
      <c r="E108" s="1" t="s">
        <v>225</v>
      </c>
      <c r="L108" s="5">
        <f>IFERROR(VLOOKUP($D108&amp;$C108,生产方式定位!$A$2:$E$38,2,FALSE)+VLOOKUP($E108&amp;$C108,生产方式定位!$F$3:$J$38,2,FALSE),0)</f>
        <v>0</v>
      </c>
      <c r="S108" s="5">
        <f>IFERROR(VLOOKUP($D108&amp;$C108,生产方式定位!$A$2:$E$38,3,FALSE)+VLOOKUP($E108&amp;$C108,生产方式定位!$F$3:$J$38,3,FALSE),0)</f>
        <v>100</v>
      </c>
      <c r="X108" s="5">
        <f>IFERROR(VLOOKUP($D108&amp;$C108,生产方式定位!$A$2:$E$38,5,FALSE)+VLOOKUP($E108&amp;$C108,生产方式定位!$F$3:$J$38,5,FALSE),"错误")</f>
        <v>100</v>
      </c>
      <c r="Y108" s="27" t="str">
        <f t="shared" si="17"/>
        <v/>
      </c>
      <c r="Z108" s="50" t="str">
        <f t="shared" si="20"/>
        <v/>
      </c>
      <c r="AA108" s="50" t="str">
        <f t="shared" si="18"/>
        <v/>
      </c>
      <c r="AB108" s="28" t="str">
        <f t="shared" si="21"/>
        <v/>
      </c>
      <c r="AC108" s="1" t="str">
        <f t="shared" si="22"/>
        <v/>
      </c>
      <c r="AD108" s="51">
        <f t="shared" si="19"/>
        <v>5</v>
      </c>
      <c r="AE108" t="str">
        <f t="shared" si="23"/>
        <v/>
      </c>
      <c r="AF108" t="str">
        <f t="shared" si="24"/>
        <v/>
      </c>
      <c r="AG108" t="str">
        <f t="shared" si="25"/>
        <v/>
      </c>
      <c r="AH108" t="str">
        <f t="shared" si="26"/>
        <v/>
      </c>
      <c r="AI108" t="str">
        <f t="shared" si="27"/>
        <v/>
      </c>
      <c r="AJ108" t="str">
        <f t="shared" si="28"/>
        <v/>
      </c>
      <c r="AK108" t="str">
        <f t="shared" si="29"/>
        <v/>
      </c>
      <c r="AL108" t="str">
        <f t="shared" si="30"/>
        <v/>
      </c>
      <c r="AN108" t="str">
        <f>IFERROR(ROUND(L108*(G108/$AW108)/VLOOKUP(F108,商品!$A$4:$D$67,4,FALSE),0),"")</f>
        <v/>
      </c>
      <c r="AO108" t="str">
        <f>IFERROR(ROUND(L108*(I108/$AW108)/VLOOKUP(H108,商品!$A$4:$D$67,4,FALSE),0),"")</f>
        <v/>
      </c>
      <c r="AP108" t="str">
        <f>IFERROR(ROUND(L108*(K108/$AW108)/VLOOKUP(J108,商品!$A$4:$D$67,4,FALSE),0),"")</f>
        <v/>
      </c>
      <c r="AQ108" t="str">
        <f>IFERROR(ROUND(S108*(N108/$AX108)/VLOOKUP(M108,职业!$A$3:$E$16,4,FALSE),0),"")</f>
        <v/>
      </c>
      <c r="AR108" t="str">
        <f>IFERROR(ROUND(S108*(P108/$AX108)/VLOOKUP(O108,职业!$A$3:$E$16,4,FALSE),0),"")</f>
        <v/>
      </c>
      <c r="AS108" t="str">
        <f>IFERROR(ROUND(S108*(R108/$AX108)/VLOOKUP(Q108,职业!$A$3:$E$16,4,FALSE),0),"")</f>
        <v/>
      </c>
      <c r="AT108" t="str">
        <f>IFERROR(ROUND(X108*(U108/$AY108)/VLOOKUP(T108,商品!$A$4:$D$67,4,FALSE),0),"")</f>
        <v/>
      </c>
      <c r="AU108" t="str">
        <f>IFERROR(ROUND(X108*(W108/$AY108)/VLOOKUP(V108,商品!$A$4:$D$67,4,FALSE),0),"")</f>
        <v/>
      </c>
      <c r="AW108">
        <f t="shared" si="31"/>
        <v>0</v>
      </c>
      <c r="AX108">
        <f t="shared" si="32"/>
        <v>0</v>
      </c>
      <c r="AY108">
        <f t="shared" si="33"/>
        <v>0</v>
      </c>
    </row>
    <row r="109" customHeight="1" spans="1:51">
      <c r="A109" s="5" t="s">
        <v>306</v>
      </c>
      <c r="C109" s="5">
        <v>6</v>
      </c>
      <c r="D109" s="1" t="s">
        <v>291</v>
      </c>
      <c r="E109" s="1" t="s">
        <v>225</v>
      </c>
      <c r="L109" s="5">
        <f>IFERROR(VLOOKUP($D109&amp;$C109,生产方式定位!$A$2:$E$38,2,FALSE)+VLOOKUP($E109&amp;$C109,生产方式定位!$F$3:$J$38,2,FALSE),0)</f>
        <v>0</v>
      </c>
      <c r="S109" s="5">
        <f>IFERROR(VLOOKUP($D109&amp;$C109,生产方式定位!$A$2:$E$38,3,FALSE)+VLOOKUP($E109&amp;$C109,生产方式定位!$F$3:$J$38,3,FALSE),0)</f>
        <v>100</v>
      </c>
      <c r="X109" s="5">
        <f>IFERROR(VLOOKUP($D109&amp;$C109,生产方式定位!$A$2:$E$38,5,FALSE)+VLOOKUP($E109&amp;$C109,生产方式定位!$F$3:$J$38,5,FALSE),"错误")</f>
        <v>100</v>
      </c>
      <c r="Y109" s="27" t="str">
        <f t="shared" si="17"/>
        <v/>
      </c>
      <c r="Z109" s="50" t="str">
        <f t="shared" si="20"/>
        <v/>
      </c>
      <c r="AA109" s="50" t="str">
        <f t="shared" si="18"/>
        <v/>
      </c>
      <c r="AB109" s="28" t="str">
        <f t="shared" si="21"/>
        <v/>
      </c>
      <c r="AC109" s="1" t="str">
        <f t="shared" si="22"/>
        <v/>
      </c>
      <c r="AD109" s="51">
        <f t="shared" si="19"/>
        <v>6</v>
      </c>
      <c r="AE109" t="str">
        <f t="shared" si="23"/>
        <v/>
      </c>
      <c r="AF109" t="str">
        <f t="shared" si="24"/>
        <v/>
      </c>
      <c r="AG109" t="str">
        <f t="shared" si="25"/>
        <v/>
      </c>
      <c r="AH109" t="str">
        <f t="shared" si="26"/>
        <v/>
      </c>
      <c r="AI109" t="str">
        <f t="shared" si="27"/>
        <v/>
      </c>
      <c r="AJ109" t="str">
        <f t="shared" si="28"/>
        <v/>
      </c>
      <c r="AK109" t="str">
        <f t="shared" si="29"/>
        <v/>
      </c>
      <c r="AL109" t="str">
        <f t="shared" si="30"/>
        <v/>
      </c>
      <c r="AN109" t="str">
        <f>IFERROR(ROUND(L109*(G109/$AW109)/VLOOKUP(F109,商品!$A$4:$D$67,4,FALSE),0),"")</f>
        <v/>
      </c>
      <c r="AO109" t="str">
        <f>IFERROR(ROUND(L109*(I109/$AW109)/VLOOKUP(H109,商品!$A$4:$D$67,4,FALSE),0),"")</f>
        <v/>
      </c>
      <c r="AP109" t="str">
        <f>IFERROR(ROUND(L109*(K109/$AW109)/VLOOKUP(J109,商品!$A$4:$D$67,4,FALSE),0),"")</f>
        <v/>
      </c>
      <c r="AQ109" t="str">
        <f>IFERROR(ROUND(S109*(N109/$AX109)/VLOOKUP(M109,职业!$A$3:$E$16,4,FALSE),0),"")</f>
        <v/>
      </c>
      <c r="AR109" t="str">
        <f>IFERROR(ROUND(S109*(P109/$AX109)/VLOOKUP(O109,职业!$A$3:$E$16,4,FALSE),0),"")</f>
        <v/>
      </c>
      <c r="AS109" t="str">
        <f>IFERROR(ROUND(S109*(R109/$AX109)/VLOOKUP(Q109,职业!$A$3:$E$16,4,FALSE),0),"")</f>
        <v/>
      </c>
      <c r="AT109" t="str">
        <f>IFERROR(ROUND(X109*(U109/$AY109)/VLOOKUP(T109,商品!$A$4:$D$67,4,FALSE),0),"")</f>
        <v/>
      </c>
      <c r="AU109" t="str">
        <f>IFERROR(ROUND(X109*(W109/$AY109)/VLOOKUP(V109,商品!$A$4:$D$67,4,FALSE),0),"")</f>
        <v/>
      </c>
      <c r="AW109">
        <f t="shared" si="31"/>
        <v>0</v>
      </c>
      <c r="AX109">
        <f t="shared" si="32"/>
        <v>0</v>
      </c>
      <c r="AY109">
        <f t="shared" si="33"/>
        <v>0</v>
      </c>
    </row>
    <row r="110" customHeight="1" spans="1:51">
      <c r="A110" s="5" t="s">
        <v>306</v>
      </c>
      <c r="C110" s="5">
        <v>7</v>
      </c>
      <c r="D110" s="1" t="s">
        <v>291</v>
      </c>
      <c r="E110" s="1" t="s">
        <v>225</v>
      </c>
      <c r="L110" s="5">
        <f>IFERROR(VLOOKUP($D110&amp;$C110,生产方式定位!$A$2:$E$38,2,FALSE)+VLOOKUP($E110&amp;$C110,生产方式定位!$F$3:$J$38,2,FALSE),0)</f>
        <v>0</v>
      </c>
      <c r="S110" s="5">
        <f>IFERROR(VLOOKUP($D110&amp;$C110,生产方式定位!$A$2:$E$38,3,FALSE)+VLOOKUP($E110&amp;$C110,生产方式定位!$F$3:$J$38,3,FALSE),0)</f>
        <v>100</v>
      </c>
      <c r="X110" s="5">
        <f>IFERROR(VLOOKUP($D110&amp;$C110,生产方式定位!$A$2:$E$38,5,FALSE)+VLOOKUP($E110&amp;$C110,生产方式定位!$F$3:$J$38,5,FALSE),"错误")</f>
        <v>100</v>
      </c>
      <c r="Y110" s="27" t="str">
        <f t="shared" si="17"/>
        <v/>
      </c>
      <c r="Z110" s="50" t="str">
        <f t="shared" si="20"/>
        <v/>
      </c>
      <c r="AA110" s="50" t="str">
        <f t="shared" si="18"/>
        <v/>
      </c>
      <c r="AB110" s="28" t="str">
        <f t="shared" si="21"/>
        <v/>
      </c>
      <c r="AC110" s="1" t="str">
        <f t="shared" si="22"/>
        <v/>
      </c>
      <c r="AD110" s="51">
        <f t="shared" si="19"/>
        <v>7</v>
      </c>
      <c r="AE110" t="str">
        <f t="shared" si="23"/>
        <v/>
      </c>
      <c r="AF110" t="str">
        <f t="shared" si="24"/>
        <v/>
      </c>
      <c r="AG110" t="str">
        <f t="shared" si="25"/>
        <v/>
      </c>
      <c r="AH110" t="str">
        <f t="shared" si="26"/>
        <v/>
      </c>
      <c r="AI110" t="str">
        <f t="shared" si="27"/>
        <v/>
      </c>
      <c r="AJ110" t="str">
        <f t="shared" si="28"/>
        <v/>
      </c>
      <c r="AK110" t="str">
        <f t="shared" si="29"/>
        <v/>
      </c>
      <c r="AL110" t="str">
        <f t="shared" si="30"/>
        <v/>
      </c>
      <c r="AN110" t="str">
        <f>IFERROR(ROUND(L110*(G110/$AW110)/VLOOKUP(F110,商品!$A$4:$D$67,4,FALSE),0),"")</f>
        <v/>
      </c>
      <c r="AO110" t="str">
        <f>IFERROR(ROUND(L110*(I110/$AW110)/VLOOKUP(H110,商品!$A$4:$D$67,4,FALSE),0),"")</f>
        <v/>
      </c>
      <c r="AP110" t="str">
        <f>IFERROR(ROUND(L110*(K110/$AW110)/VLOOKUP(J110,商品!$A$4:$D$67,4,FALSE),0),"")</f>
        <v/>
      </c>
      <c r="AQ110" t="str">
        <f>IFERROR(ROUND(S110*(N110/$AX110)/VLOOKUP(M110,职业!$A$3:$E$16,4,FALSE),0),"")</f>
        <v/>
      </c>
      <c r="AR110" t="str">
        <f>IFERROR(ROUND(S110*(P110/$AX110)/VLOOKUP(O110,职业!$A$3:$E$16,4,FALSE),0),"")</f>
        <v/>
      </c>
      <c r="AS110" t="str">
        <f>IFERROR(ROUND(S110*(R110/$AX110)/VLOOKUP(Q110,职业!$A$3:$E$16,4,FALSE),0),"")</f>
        <v/>
      </c>
      <c r="AT110" t="str">
        <f>IFERROR(ROUND(X110*(U110/$AY110)/VLOOKUP(T110,商品!$A$4:$D$67,4,FALSE),0),"")</f>
        <v/>
      </c>
      <c r="AU110" t="str">
        <f>IFERROR(ROUND(X110*(W110/$AY110)/VLOOKUP(V110,商品!$A$4:$D$67,4,FALSE),0),"")</f>
        <v/>
      </c>
      <c r="AW110">
        <f t="shared" si="31"/>
        <v>0</v>
      </c>
      <c r="AX110">
        <f t="shared" si="32"/>
        <v>0</v>
      </c>
      <c r="AY110">
        <f t="shared" si="33"/>
        <v>0</v>
      </c>
    </row>
    <row r="111" customHeight="1" spans="1:51">
      <c r="A111" s="5" t="s">
        <v>306</v>
      </c>
      <c r="C111" s="5">
        <v>8</v>
      </c>
      <c r="D111" s="1" t="s">
        <v>291</v>
      </c>
      <c r="E111" s="1" t="s">
        <v>225</v>
      </c>
      <c r="L111" s="5">
        <f>IFERROR(VLOOKUP($D111&amp;$C111,生产方式定位!$A$2:$E$38,2,FALSE)+VLOOKUP($E111&amp;$C111,生产方式定位!$F$3:$J$38,2,FALSE),0)</f>
        <v>0</v>
      </c>
      <c r="S111" s="5">
        <f>IFERROR(VLOOKUP($D111&amp;$C111,生产方式定位!$A$2:$E$38,3,FALSE)+VLOOKUP($E111&amp;$C111,生产方式定位!$F$3:$J$38,3,FALSE),0)</f>
        <v>100</v>
      </c>
      <c r="X111" s="5">
        <f>IFERROR(VLOOKUP($D111&amp;$C111,生产方式定位!$A$2:$E$38,5,FALSE)+VLOOKUP($E111&amp;$C111,生产方式定位!$F$3:$J$38,5,FALSE),"错误")</f>
        <v>100</v>
      </c>
      <c r="Y111" s="27" t="str">
        <f t="shared" si="17"/>
        <v/>
      </c>
      <c r="Z111" s="50" t="str">
        <f t="shared" si="20"/>
        <v/>
      </c>
      <c r="AA111" s="50" t="str">
        <f t="shared" si="18"/>
        <v/>
      </c>
      <c r="AB111" s="28" t="str">
        <f t="shared" si="21"/>
        <v/>
      </c>
      <c r="AC111" s="1" t="str">
        <f t="shared" si="22"/>
        <v/>
      </c>
      <c r="AD111" s="51">
        <f t="shared" si="19"/>
        <v>8</v>
      </c>
      <c r="AE111" t="str">
        <f t="shared" si="23"/>
        <v/>
      </c>
      <c r="AF111" t="str">
        <f t="shared" si="24"/>
        <v/>
      </c>
      <c r="AG111" t="str">
        <f t="shared" si="25"/>
        <v/>
      </c>
      <c r="AH111" t="str">
        <f t="shared" si="26"/>
        <v/>
      </c>
      <c r="AI111" t="str">
        <f t="shared" si="27"/>
        <v/>
      </c>
      <c r="AJ111" t="str">
        <f t="shared" si="28"/>
        <v/>
      </c>
      <c r="AK111" t="str">
        <f t="shared" si="29"/>
        <v/>
      </c>
      <c r="AL111" t="str">
        <f t="shared" si="30"/>
        <v/>
      </c>
      <c r="AN111" t="str">
        <f>IFERROR(ROUND(L111*(G111/$AW111)/VLOOKUP(F111,商品!$A$4:$D$67,4,FALSE),0),"")</f>
        <v/>
      </c>
      <c r="AO111" t="str">
        <f>IFERROR(ROUND(L111*(I111/$AW111)/VLOOKUP(H111,商品!$A$4:$D$67,4,FALSE),0),"")</f>
        <v/>
      </c>
      <c r="AP111" t="str">
        <f>IFERROR(ROUND(L111*(K111/$AW111)/VLOOKUP(J111,商品!$A$4:$D$67,4,FALSE),0),"")</f>
        <v/>
      </c>
      <c r="AQ111" t="str">
        <f>IFERROR(ROUND(S111*(N111/$AX111)/VLOOKUP(M111,职业!$A$3:$E$16,4,FALSE),0),"")</f>
        <v/>
      </c>
      <c r="AR111" t="str">
        <f>IFERROR(ROUND(S111*(P111/$AX111)/VLOOKUP(O111,职业!$A$3:$E$16,4,FALSE),0),"")</f>
        <v/>
      </c>
      <c r="AS111" t="str">
        <f>IFERROR(ROUND(S111*(R111/$AX111)/VLOOKUP(Q111,职业!$A$3:$E$16,4,FALSE),0),"")</f>
        <v/>
      </c>
      <c r="AT111" t="str">
        <f>IFERROR(ROUND(X111*(U111/$AY111)/VLOOKUP(T111,商品!$A$4:$D$67,4,FALSE),0),"")</f>
        <v/>
      </c>
      <c r="AU111" t="str">
        <f>IFERROR(ROUND(X111*(W111/$AY111)/VLOOKUP(V111,商品!$A$4:$D$67,4,FALSE),0),"")</f>
        <v/>
      </c>
      <c r="AW111">
        <f t="shared" si="31"/>
        <v>0</v>
      </c>
      <c r="AX111">
        <f t="shared" si="32"/>
        <v>0</v>
      </c>
      <c r="AY111">
        <f t="shared" si="33"/>
        <v>0</v>
      </c>
    </row>
    <row r="112" customHeight="1" spans="1:51">
      <c r="A112" s="18" t="s">
        <v>308</v>
      </c>
      <c r="C112" s="18">
        <v>1</v>
      </c>
      <c r="D112" s="1" t="s">
        <v>220</v>
      </c>
      <c r="E112" s="1" t="s">
        <v>222</v>
      </c>
      <c r="L112" s="18">
        <f>IFERROR(VLOOKUP($D112&amp;$C112,生产方式定位!$A$2:$E$38,2,FALSE)+VLOOKUP($E112&amp;$C112,生产方式定位!$F$3:$J$38,2,FALSE),0)</f>
        <v>500</v>
      </c>
      <c r="S112" s="18">
        <f>IFERROR(VLOOKUP($D112&amp;$C112,生产方式定位!$A$2:$E$38,3,FALSE)+VLOOKUP($E112&amp;$C112,生产方式定位!$F$3:$J$38,3,FALSE),0)</f>
        <v>150</v>
      </c>
      <c r="X112" s="18">
        <f>IFERROR(VLOOKUP($D112&amp;$C112,生产方式定位!$A$2:$E$38,5,FALSE)+VLOOKUP($E112&amp;$C112,生产方式定位!$F$3:$J$38,5,FALSE),"错误")</f>
        <v>715</v>
      </c>
      <c r="Y112" s="27" t="str">
        <f t="shared" si="17"/>
        <v/>
      </c>
      <c r="Z112" s="50" t="str">
        <f t="shared" si="20"/>
        <v/>
      </c>
      <c r="AA112" s="50" t="str">
        <f t="shared" si="18"/>
        <v/>
      </c>
      <c r="AB112" s="28" t="str">
        <f t="shared" si="21"/>
        <v>43%</v>
      </c>
      <c r="AC112" s="1">
        <f t="shared" si="22"/>
        <v>65</v>
      </c>
      <c r="AD112" s="52">
        <f t="shared" si="19"/>
        <v>1</v>
      </c>
      <c r="AE112" t="str">
        <f t="shared" si="23"/>
        <v/>
      </c>
      <c r="AF112" t="str">
        <f t="shared" si="24"/>
        <v/>
      </c>
      <c r="AG112" t="str">
        <f t="shared" si="25"/>
        <v/>
      </c>
      <c r="AH112" t="str">
        <f t="shared" si="26"/>
        <v/>
      </c>
      <c r="AI112" t="str">
        <f t="shared" si="27"/>
        <v/>
      </c>
      <c r="AJ112" t="str">
        <f t="shared" si="28"/>
        <v/>
      </c>
      <c r="AK112" t="str">
        <f t="shared" si="29"/>
        <v/>
      </c>
      <c r="AL112" t="str">
        <f t="shared" si="30"/>
        <v/>
      </c>
      <c r="AN112" t="str">
        <f>IFERROR(ROUND(L112*(G112/$AW112)/VLOOKUP(F112,商品!$A$4:$D$67,4,FALSE),0),"")</f>
        <v/>
      </c>
      <c r="AO112" t="str">
        <f>IFERROR(ROUND(L112*(I112/$AW112)/VLOOKUP(H112,商品!$A$4:$D$67,4,FALSE),0),"")</f>
        <v/>
      </c>
      <c r="AP112" t="str">
        <f>IFERROR(ROUND(L112*(K112/$AW112)/VLOOKUP(J112,商品!$A$4:$D$67,4,FALSE),0),"")</f>
        <v/>
      </c>
      <c r="AQ112" t="str">
        <f>IFERROR(ROUND(S112*(N112/$AX112)/VLOOKUP(M112,职业!$A$3:$E$16,4,FALSE),0),"")</f>
        <v/>
      </c>
      <c r="AR112" t="str">
        <f>IFERROR(ROUND(S112*(P112/$AX112)/VLOOKUP(O112,职业!$A$3:$E$16,4,FALSE),0),"")</f>
        <v/>
      </c>
      <c r="AS112" t="str">
        <f>IFERROR(ROUND(S112*(R112/$AX112)/VLOOKUP(Q112,职业!$A$3:$E$16,4,FALSE),0),"")</f>
        <v/>
      </c>
      <c r="AT112" t="str">
        <f>IFERROR(ROUND(X112*(U112/$AY112)/VLOOKUP(T112,商品!$A$4:$D$67,4,FALSE),0),"")</f>
        <v/>
      </c>
      <c r="AU112" t="str">
        <f>IFERROR(ROUND(X112*(W112/$AY112)/VLOOKUP(V112,商品!$A$4:$D$67,4,FALSE),0),"")</f>
        <v/>
      </c>
      <c r="AW112">
        <f t="shared" si="31"/>
        <v>0</v>
      </c>
      <c r="AX112">
        <f t="shared" si="32"/>
        <v>0</v>
      </c>
      <c r="AY112">
        <f t="shared" si="33"/>
        <v>0</v>
      </c>
    </row>
    <row r="113" customHeight="1" spans="1:51">
      <c r="A113" s="18" t="s">
        <v>308</v>
      </c>
      <c r="C113" s="18">
        <v>2</v>
      </c>
      <c r="D113" s="1" t="s">
        <v>220</v>
      </c>
      <c r="E113" s="1" t="s">
        <v>222</v>
      </c>
      <c r="L113" s="18">
        <f>IFERROR(VLOOKUP($D113&amp;$C113,生产方式定位!$A$2:$E$38,2,FALSE)+VLOOKUP($E113&amp;$C113,生产方式定位!$F$3:$J$38,2,FALSE),0)</f>
        <v>1200</v>
      </c>
      <c r="S113" s="18">
        <f>IFERROR(VLOOKUP($D113&amp;$C113,生产方式定位!$A$2:$E$38,3,FALSE)+VLOOKUP($E113&amp;$C113,生产方式定位!$F$3:$J$38,3,FALSE),0)</f>
        <v>140</v>
      </c>
      <c r="X113" s="18">
        <f>IFERROR(VLOOKUP($D113&amp;$C113,生产方式定位!$A$2:$E$38,5,FALSE)+VLOOKUP($E113&amp;$C113,生产方式定位!$F$3:$J$38,5,FALSE),"错误")</f>
        <v>1390</v>
      </c>
      <c r="Y113" s="27" t="str">
        <f t="shared" si="17"/>
        <v/>
      </c>
      <c r="Z113" s="50" t="str">
        <f t="shared" si="20"/>
        <v/>
      </c>
      <c r="AA113" s="50" t="str">
        <f t="shared" si="18"/>
        <v/>
      </c>
      <c r="AB113" s="28" t="str">
        <f t="shared" si="21"/>
        <v>16%</v>
      </c>
      <c r="AC113" s="1">
        <f t="shared" si="22"/>
        <v>50</v>
      </c>
      <c r="AD113" s="52">
        <f t="shared" si="19"/>
        <v>2</v>
      </c>
      <c r="AE113" t="str">
        <f t="shared" si="23"/>
        <v/>
      </c>
      <c r="AF113" t="str">
        <f t="shared" si="24"/>
        <v/>
      </c>
      <c r="AG113" t="str">
        <f t="shared" si="25"/>
        <v/>
      </c>
      <c r="AH113" t="str">
        <f t="shared" si="26"/>
        <v/>
      </c>
      <c r="AI113" t="str">
        <f t="shared" si="27"/>
        <v/>
      </c>
      <c r="AJ113" t="str">
        <f t="shared" si="28"/>
        <v/>
      </c>
      <c r="AK113" t="str">
        <f t="shared" si="29"/>
        <v/>
      </c>
      <c r="AL113" t="str">
        <f t="shared" si="30"/>
        <v/>
      </c>
      <c r="AN113" t="str">
        <f>IFERROR(ROUND(L113*(G113/$AW113)/VLOOKUP(F113,商品!$A$4:$D$67,4,FALSE),0),"")</f>
        <v/>
      </c>
      <c r="AO113" t="str">
        <f>IFERROR(ROUND(L113*(I113/$AW113)/VLOOKUP(H113,商品!$A$4:$D$67,4,FALSE),0),"")</f>
        <v/>
      </c>
      <c r="AP113" t="str">
        <f>IFERROR(ROUND(L113*(K113/$AW113)/VLOOKUP(J113,商品!$A$4:$D$67,4,FALSE),0),"")</f>
        <v/>
      </c>
      <c r="AQ113" t="str">
        <f>IFERROR(ROUND(S113*(N113/$AX113)/VLOOKUP(M113,职业!$A$3:$E$16,4,FALSE),0),"")</f>
        <v/>
      </c>
      <c r="AR113" t="str">
        <f>IFERROR(ROUND(S113*(P113/$AX113)/VLOOKUP(O113,职业!$A$3:$E$16,4,FALSE),0),"")</f>
        <v/>
      </c>
      <c r="AS113" t="str">
        <f>IFERROR(ROUND(S113*(R113/$AX113)/VLOOKUP(Q113,职业!$A$3:$E$16,4,FALSE),0),"")</f>
        <v/>
      </c>
      <c r="AT113" t="str">
        <f>IFERROR(ROUND(X113*(U113/$AY113)/VLOOKUP(T113,商品!$A$4:$D$67,4,FALSE),0),"")</f>
        <v/>
      </c>
      <c r="AU113" t="str">
        <f>IFERROR(ROUND(X113*(W113/$AY113)/VLOOKUP(V113,商品!$A$4:$D$67,4,FALSE),0),"")</f>
        <v/>
      </c>
      <c r="AW113">
        <f t="shared" si="31"/>
        <v>0</v>
      </c>
      <c r="AX113">
        <f t="shared" si="32"/>
        <v>0</v>
      </c>
      <c r="AY113">
        <f t="shared" si="33"/>
        <v>0</v>
      </c>
    </row>
    <row r="114" customHeight="1" spans="1:51">
      <c r="A114" s="18" t="s">
        <v>308</v>
      </c>
      <c r="C114" s="18">
        <v>3</v>
      </c>
      <c r="D114" s="1" t="s">
        <v>220</v>
      </c>
      <c r="E114" s="1" t="s">
        <v>222</v>
      </c>
      <c r="L114" s="18">
        <f>IFERROR(VLOOKUP($D114&amp;$C114,生产方式定位!$A$2:$E$38,2,FALSE)+VLOOKUP($E114&amp;$C114,生产方式定位!$F$3:$J$38,2,FALSE),0)</f>
        <v>1525</v>
      </c>
      <c r="S114" s="18">
        <f>IFERROR(VLOOKUP($D114&amp;$C114,生产方式定位!$A$2:$E$38,3,FALSE)+VLOOKUP($E114&amp;$C114,生产方式定位!$F$3:$J$38,3,FALSE),0)</f>
        <v>130</v>
      </c>
      <c r="X114" s="18">
        <f>IFERROR(VLOOKUP($D114&amp;$C114,生产方式定位!$A$2:$E$38,5,FALSE)+VLOOKUP($E114&amp;$C114,生产方式定位!$F$3:$J$38,5,FALSE),"错误")</f>
        <v>1718</v>
      </c>
      <c r="Y114" s="27" t="str">
        <f t="shared" si="17"/>
        <v/>
      </c>
      <c r="Z114" s="50" t="str">
        <f t="shared" si="20"/>
        <v/>
      </c>
      <c r="AA114" s="50" t="str">
        <f t="shared" si="18"/>
        <v/>
      </c>
      <c r="AB114" s="28" t="str">
        <f t="shared" si="21"/>
        <v>13%</v>
      </c>
      <c r="AC114" s="1">
        <f t="shared" si="22"/>
        <v>63</v>
      </c>
      <c r="AD114" s="52">
        <f t="shared" si="19"/>
        <v>3</v>
      </c>
      <c r="AE114" t="str">
        <f t="shared" si="23"/>
        <v/>
      </c>
      <c r="AF114" t="str">
        <f t="shared" si="24"/>
        <v/>
      </c>
      <c r="AG114" t="str">
        <f t="shared" si="25"/>
        <v/>
      </c>
      <c r="AH114" t="str">
        <f t="shared" si="26"/>
        <v/>
      </c>
      <c r="AI114" t="str">
        <f t="shared" si="27"/>
        <v/>
      </c>
      <c r="AJ114" t="str">
        <f t="shared" si="28"/>
        <v/>
      </c>
      <c r="AK114" t="str">
        <f t="shared" si="29"/>
        <v/>
      </c>
      <c r="AL114" t="str">
        <f t="shared" si="30"/>
        <v/>
      </c>
      <c r="AN114" t="str">
        <f>IFERROR(ROUND(L114*(G114/$AW114)/VLOOKUP(F114,商品!$A$4:$D$67,4,FALSE),0),"")</f>
        <v/>
      </c>
      <c r="AO114" t="str">
        <f>IFERROR(ROUND(L114*(I114/$AW114)/VLOOKUP(H114,商品!$A$4:$D$67,4,FALSE),0),"")</f>
        <v/>
      </c>
      <c r="AP114" t="str">
        <f>IFERROR(ROUND(L114*(K114/$AW114)/VLOOKUP(J114,商品!$A$4:$D$67,4,FALSE),0),"")</f>
        <v/>
      </c>
      <c r="AQ114" t="str">
        <f>IFERROR(ROUND(S114*(N114/$AX114)/VLOOKUP(M114,职业!$A$3:$E$16,4,FALSE),0),"")</f>
        <v/>
      </c>
      <c r="AR114" t="str">
        <f>IFERROR(ROUND(S114*(P114/$AX114)/VLOOKUP(O114,职业!$A$3:$E$16,4,FALSE),0),"")</f>
        <v/>
      </c>
      <c r="AS114" t="str">
        <f>IFERROR(ROUND(S114*(R114/$AX114)/VLOOKUP(Q114,职业!$A$3:$E$16,4,FALSE),0),"")</f>
        <v/>
      </c>
      <c r="AT114" t="str">
        <f>IFERROR(ROUND(X114*(U114/$AY114)/VLOOKUP(T114,商品!$A$4:$D$67,4,FALSE),0),"")</f>
        <v/>
      </c>
      <c r="AU114" t="str">
        <f>IFERROR(ROUND(X114*(W114/$AY114)/VLOOKUP(V114,商品!$A$4:$D$67,4,FALSE),0),"")</f>
        <v/>
      </c>
      <c r="AW114">
        <f t="shared" si="31"/>
        <v>0</v>
      </c>
      <c r="AX114">
        <f t="shared" si="32"/>
        <v>0</v>
      </c>
      <c r="AY114">
        <f t="shared" si="33"/>
        <v>0</v>
      </c>
    </row>
    <row r="115" customHeight="1" spans="1:51">
      <c r="A115" s="18" t="s">
        <v>308</v>
      </c>
      <c r="C115" s="18">
        <v>4</v>
      </c>
      <c r="D115" s="1" t="s">
        <v>220</v>
      </c>
      <c r="E115" s="1" t="s">
        <v>222</v>
      </c>
      <c r="L115" s="18">
        <f>IFERROR(VLOOKUP($D115&amp;$C115,生产方式定位!$A$2:$E$38,2,FALSE)+VLOOKUP($E115&amp;$C115,生产方式定位!$F$3:$J$38,2,FALSE),0)</f>
        <v>1850</v>
      </c>
      <c r="S115" s="18">
        <f>IFERROR(VLOOKUP($D115&amp;$C115,生产方式定位!$A$2:$E$38,3,FALSE)+VLOOKUP($E115&amp;$C115,生产方式定位!$F$3:$J$38,3,FALSE),0)</f>
        <v>120</v>
      </c>
      <c r="X115" s="18">
        <f>IFERROR(VLOOKUP($D115&amp;$C115,生产方式定位!$A$2:$E$38,5,FALSE)+VLOOKUP($E115&amp;$C115,生产方式定位!$F$3:$J$38,5,FALSE),"错误")</f>
        <v>2045</v>
      </c>
      <c r="Y115" s="27" t="str">
        <f t="shared" si="17"/>
        <v/>
      </c>
      <c r="Z115" s="50" t="str">
        <f t="shared" si="20"/>
        <v/>
      </c>
      <c r="AA115" s="50" t="str">
        <f t="shared" si="18"/>
        <v/>
      </c>
      <c r="AB115" s="28" t="str">
        <f t="shared" si="21"/>
        <v>11%</v>
      </c>
      <c r="AC115" s="1">
        <f t="shared" si="22"/>
        <v>75</v>
      </c>
      <c r="AD115" s="52">
        <f t="shared" si="19"/>
        <v>4</v>
      </c>
      <c r="AE115" t="str">
        <f t="shared" si="23"/>
        <v/>
      </c>
      <c r="AF115" t="str">
        <f t="shared" si="24"/>
        <v/>
      </c>
      <c r="AG115" t="str">
        <f t="shared" si="25"/>
        <v/>
      </c>
      <c r="AH115" t="str">
        <f t="shared" si="26"/>
        <v/>
      </c>
      <c r="AI115" t="str">
        <f t="shared" si="27"/>
        <v/>
      </c>
      <c r="AJ115" t="str">
        <f t="shared" si="28"/>
        <v/>
      </c>
      <c r="AK115" t="str">
        <f t="shared" si="29"/>
        <v/>
      </c>
      <c r="AL115" t="str">
        <f t="shared" si="30"/>
        <v/>
      </c>
      <c r="AN115" t="str">
        <f>IFERROR(ROUND(L115*(G115/$AW115)/VLOOKUP(F115,商品!$A$4:$D$67,4,FALSE),0),"")</f>
        <v/>
      </c>
      <c r="AO115" t="str">
        <f>IFERROR(ROUND(L115*(I115/$AW115)/VLOOKUP(H115,商品!$A$4:$D$67,4,FALSE),0),"")</f>
        <v/>
      </c>
      <c r="AP115" t="str">
        <f>IFERROR(ROUND(L115*(K115/$AW115)/VLOOKUP(J115,商品!$A$4:$D$67,4,FALSE),0),"")</f>
        <v/>
      </c>
      <c r="AQ115" t="str">
        <f>IFERROR(ROUND(S115*(N115/$AX115)/VLOOKUP(M115,职业!$A$3:$E$16,4,FALSE),0),"")</f>
        <v/>
      </c>
      <c r="AR115" t="str">
        <f>IFERROR(ROUND(S115*(P115/$AX115)/VLOOKUP(O115,职业!$A$3:$E$16,4,FALSE),0),"")</f>
        <v/>
      </c>
      <c r="AS115" t="str">
        <f>IFERROR(ROUND(S115*(R115/$AX115)/VLOOKUP(Q115,职业!$A$3:$E$16,4,FALSE),0),"")</f>
        <v/>
      </c>
      <c r="AT115" t="str">
        <f>IFERROR(ROUND(X115*(U115/$AY115)/VLOOKUP(T115,商品!$A$4:$D$67,4,FALSE),0),"")</f>
        <v/>
      </c>
      <c r="AU115" t="str">
        <f>IFERROR(ROUND(X115*(W115/$AY115)/VLOOKUP(V115,商品!$A$4:$D$67,4,FALSE),0),"")</f>
        <v/>
      </c>
      <c r="AW115">
        <f t="shared" si="31"/>
        <v>0</v>
      </c>
      <c r="AX115">
        <f t="shared" si="32"/>
        <v>0</v>
      </c>
      <c r="AY115">
        <f t="shared" si="33"/>
        <v>0</v>
      </c>
    </row>
    <row r="116" customHeight="1" spans="1:51">
      <c r="A116" s="18" t="s">
        <v>308</v>
      </c>
      <c r="C116" s="18">
        <v>5</v>
      </c>
      <c r="D116" s="1" t="s">
        <v>220</v>
      </c>
      <c r="E116" s="1" t="s">
        <v>222</v>
      </c>
      <c r="L116" s="18">
        <f>IFERROR(VLOOKUP($D116&amp;$C116,生产方式定位!$A$2:$E$38,2,FALSE)+VLOOKUP($E116&amp;$C116,生产方式定位!$F$3:$J$38,2,FALSE),0)</f>
        <v>2175</v>
      </c>
      <c r="S116" s="18">
        <f>IFERROR(VLOOKUP($D116&amp;$C116,生产方式定位!$A$2:$E$38,3,FALSE)+VLOOKUP($E116&amp;$C116,生产方式定位!$F$3:$J$38,3,FALSE),0)</f>
        <v>110</v>
      </c>
      <c r="X116" s="18">
        <f>IFERROR(VLOOKUP($D116&amp;$C116,生产方式定位!$A$2:$E$38,5,FALSE)+VLOOKUP($E116&amp;$C116,生产方式定位!$F$3:$J$38,5,FALSE),"错误")</f>
        <v>2373</v>
      </c>
      <c r="Y116" s="27" t="str">
        <f t="shared" si="17"/>
        <v/>
      </c>
      <c r="Z116" s="50" t="str">
        <f t="shared" si="20"/>
        <v/>
      </c>
      <c r="AA116" s="50" t="str">
        <f t="shared" si="18"/>
        <v/>
      </c>
      <c r="AB116" s="28" t="str">
        <f t="shared" si="21"/>
        <v>9%</v>
      </c>
      <c r="AC116" s="1">
        <f t="shared" si="22"/>
        <v>88</v>
      </c>
      <c r="AD116" s="52">
        <f t="shared" si="19"/>
        <v>5</v>
      </c>
      <c r="AE116" t="str">
        <f t="shared" si="23"/>
        <v/>
      </c>
      <c r="AF116" t="str">
        <f t="shared" si="24"/>
        <v/>
      </c>
      <c r="AG116" t="str">
        <f t="shared" si="25"/>
        <v/>
      </c>
      <c r="AH116" t="str">
        <f t="shared" si="26"/>
        <v/>
      </c>
      <c r="AI116" t="str">
        <f t="shared" si="27"/>
        <v/>
      </c>
      <c r="AJ116" t="str">
        <f t="shared" si="28"/>
        <v/>
      </c>
      <c r="AK116" t="str">
        <f t="shared" si="29"/>
        <v/>
      </c>
      <c r="AL116" t="str">
        <f t="shared" si="30"/>
        <v/>
      </c>
      <c r="AN116" t="str">
        <f>IFERROR(ROUND(L116*(G116/$AW116)/VLOOKUP(F116,商品!$A$4:$D$67,4,FALSE),0),"")</f>
        <v/>
      </c>
      <c r="AO116" t="str">
        <f>IFERROR(ROUND(L116*(I116/$AW116)/VLOOKUP(H116,商品!$A$4:$D$67,4,FALSE),0),"")</f>
        <v/>
      </c>
      <c r="AP116" t="str">
        <f>IFERROR(ROUND(L116*(K116/$AW116)/VLOOKUP(J116,商品!$A$4:$D$67,4,FALSE),0),"")</f>
        <v/>
      </c>
      <c r="AQ116" t="str">
        <f>IFERROR(ROUND(S116*(N116/$AX116)/VLOOKUP(M116,职业!$A$3:$E$16,4,FALSE),0),"")</f>
        <v/>
      </c>
      <c r="AR116" t="str">
        <f>IFERROR(ROUND(S116*(P116/$AX116)/VLOOKUP(O116,职业!$A$3:$E$16,4,FALSE),0),"")</f>
        <v/>
      </c>
      <c r="AS116" t="str">
        <f>IFERROR(ROUND(S116*(R116/$AX116)/VLOOKUP(Q116,职业!$A$3:$E$16,4,FALSE),0),"")</f>
        <v/>
      </c>
      <c r="AT116" t="str">
        <f>IFERROR(ROUND(X116*(U116/$AY116)/VLOOKUP(T116,商品!$A$4:$D$67,4,FALSE),0),"")</f>
        <v/>
      </c>
      <c r="AU116" t="str">
        <f>IFERROR(ROUND(X116*(W116/$AY116)/VLOOKUP(V116,商品!$A$4:$D$67,4,FALSE),0),"")</f>
        <v/>
      </c>
      <c r="AW116">
        <f t="shared" si="31"/>
        <v>0</v>
      </c>
      <c r="AX116">
        <f t="shared" si="32"/>
        <v>0</v>
      </c>
      <c r="AY116">
        <f t="shared" si="33"/>
        <v>0</v>
      </c>
    </row>
    <row r="117" customHeight="1" spans="1:51">
      <c r="A117" s="5" t="s">
        <v>309</v>
      </c>
      <c r="C117" s="5">
        <v>1</v>
      </c>
      <c r="D117" s="1" t="s">
        <v>220</v>
      </c>
      <c r="E117" s="1" t="s">
        <v>223</v>
      </c>
      <c r="L117" s="5">
        <f>IFERROR(VLOOKUP($D117&amp;$C117,生产方式定位!$A$2:$E$38,2,FALSE)+VLOOKUP($E117&amp;$C117,生产方式定位!$F$3:$J$38,2,FALSE),0)</f>
        <v>500</v>
      </c>
      <c r="S117" s="5">
        <f>IFERROR(VLOOKUP($D117&amp;$C117,生产方式定位!$A$2:$E$38,3,FALSE)+VLOOKUP($E117&amp;$C117,生产方式定位!$F$3:$J$38,3,FALSE),0)</f>
        <v>150</v>
      </c>
      <c r="X117" s="5">
        <f>IFERROR(VLOOKUP($D117&amp;$C117,生产方式定位!$A$2:$E$38,5,FALSE)+VLOOKUP($E117&amp;$C117,生产方式定位!$F$3:$J$38,5,FALSE),"错误")</f>
        <v>715</v>
      </c>
      <c r="Y117" s="27" t="str">
        <f t="shared" si="17"/>
        <v/>
      </c>
      <c r="Z117" s="50" t="str">
        <f t="shared" si="20"/>
        <v/>
      </c>
      <c r="AA117" s="50" t="str">
        <f t="shared" si="18"/>
        <v/>
      </c>
      <c r="AB117" s="28" t="str">
        <f t="shared" si="21"/>
        <v>43%</v>
      </c>
      <c r="AC117" s="1">
        <f t="shared" si="22"/>
        <v>65</v>
      </c>
      <c r="AD117" s="51">
        <f t="shared" si="19"/>
        <v>1</v>
      </c>
      <c r="AE117" t="str">
        <f t="shared" si="23"/>
        <v/>
      </c>
      <c r="AF117" t="str">
        <f t="shared" si="24"/>
        <v/>
      </c>
      <c r="AG117" t="str">
        <f t="shared" si="25"/>
        <v/>
      </c>
      <c r="AH117" t="str">
        <f t="shared" si="26"/>
        <v/>
      </c>
      <c r="AI117" t="str">
        <f t="shared" si="27"/>
        <v/>
      </c>
      <c r="AJ117" t="str">
        <f t="shared" si="28"/>
        <v/>
      </c>
      <c r="AK117" t="str">
        <f t="shared" si="29"/>
        <v/>
      </c>
      <c r="AL117" t="str">
        <f t="shared" si="30"/>
        <v/>
      </c>
      <c r="AN117" t="str">
        <f>IFERROR(ROUND(L117*(G117/$AW117)/VLOOKUP(F117,商品!$A$4:$D$67,4,FALSE),0),"")</f>
        <v/>
      </c>
      <c r="AO117" t="str">
        <f>IFERROR(ROUND(L117*(I117/$AW117)/VLOOKUP(H117,商品!$A$4:$D$67,4,FALSE),0),"")</f>
        <v/>
      </c>
      <c r="AP117" t="str">
        <f>IFERROR(ROUND(L117*(K117/$AW117)/VLOOKUP(J117,商品!$A$4:$D$67,4,FALSE),0),"")</f>
        <v/>
      </c>
      <c r="AQ117" t="str">
        <f>IFERROR(ROUND(S117*(N117/$AX117)/VLOOKUP(M117,职业!$A$3:$E$16,4,FALSE),0),"")</f>
        <v/>
      </c>
      <c r="AR117" t="str">
        <f>IFERROR(ROUND(S117*(P117/$AX117)/VLOOKUP(O117,职业!$A$3:$E$16,4,FALSE),0),"")</f>
        <v/>
      </c>
      <c r="AS117" t="str">
        <f>IFERROR(ROUND(S117*(R117/$AX117)/VLOOKUP(Q117,职业!$A$3:$E$16,4,FALSE),0),"")</f>
        <v/>
      </c>
      <c r="AT117" t="str">
        <f>IFERROR(ROUND(X117*(U117/$AY117)/VLOOKUP(T117,商品!$A$4:$D$67,4,FALSE),0),"")</f>
        <v/>
      </c>
      <c r="AU117" t="str">
        <f>IFERROR(ROUND(X117*(W117/$AY117)/VLOOKUP(V117,商品!$A$4:$D$67,4,FALSE),0),"")</f>
        <v/>
      </c>
      <c r="AW117">
        <f t="shared" si="31"/>
        <v>0</v>
      </c>
      <c r="AX117">
        <f t="shared" si="32"/>
        <v>0</v>
      </c>
      <c r="AY117">
        <f t="shared" si="33"/>
        <v>0</v>
      </c>
    </row>
    <row r="118" customHeight="1" spans="1:51">
      <c r="A118" s="5" t="s">
        <v>309</v>
      </c>
      <c r="C118" s="5">
        <v>2</v>
      </c>
      <c r="D118" s="1" t="s">
        <v>220</v>
      </c>
      <c r="E118" s="1" t="s">
        <v>223</v>
      </c>
      <c r="L118" s="5">
        <f>IFERROR(VLOOKUP($D118&amp;$C118,生产方式定位!$A$2:$E$38,2,FALSE)+VLOOKUP($E118&amp;$C118,生产方式定位!$F$3:$J$38,2,FALSE),0)</f>
        <v>1100</v>
      </c>
      <c r="S118" s="5">
        <f>IFERROR(VLOOKUP($D118&amp;$C118,生产方式定位!$A$2:$E$38,3,FALSE)+VLOOKUP($E118&amp;$C118,生产方式定位!$F$3:$J$38,3,FALSE),0)</f>
        <v>150</v>
      </c>
      <c r="X118" s="5">
        <f>IFERROR(VLOOKUP($D118&amp;$C118,生产方式定位!$A$2:$E$38,5,FALSE)+VLOOKUP($E118&amp;$C118,生产方式定位!$F$3:$J$38,5,FALSE),"错误")</f>
        <v>1291</v>
      </c>
      <c r="Y118" s="27" t="str">
        <f t="shared" si="17"/>
        <v/>
      </c>
      <c r="Z118" s="50" t="str">
        <f t="shared" si="20"/>
        <v/>
      </c>
      <c r="AA118" s="50" t="str">
        <f t="shared" si="18"/>
        <v/>
      </c>
      <c r="AB118" s="28" t="str">
        <f t="shared" si="21"/>
        <v>17%</v>
      </c>
      <c r="AC118" s="1">
        <f t="shared" si="22"/>
        <v>41</v>
      </c>
      <c r="AD118" s="51">
        <f t="shared" si="19"/>
        <v>2</v>
      </c>
      <c r="AE118" t="str">
        <f t="shared" si="23"/>
        <v/>
      </c>
      <c r="AF118" t="str">
        <f t="shared" si="24"/>
        <v/>
      </c>
      <c r="AG118" t="str">
        <f t="shared" si="25"/>
        <v/>
      </c>
      <c r="AH118" t="str">
        <f t="shared" si="26"/>
        <v/>
      </c>
      <c r="AI118" t="str">
        <f t="shared" si="27"/>
        <v/>
      </c>
      <c r="AJ118" t="str">
        <f t="shared" si="28"/>
        <v/>
      </c>
      <c r="AK118" t="str">
        <f t="shared" si="29"/>
        <v/>
      </c>
      <c r="AL118" t="str">
        <f t="shared" si="30"/>
        <v/>
      </c>
      <c r="AN118" t="str">
        <f>IFERROR(ROUND(L118*(G118/$AW118)/VLOOKUP(F118,商品!$A$4:$D$67,4,FALSE),0),"")</f>
        <v/>
      </c>
      <c r="AO118" t="str">
        <f>IFERROR(ROUND(L118*(I118/$AW118)/VLOOKUP(H118,商品!$A$4:$D$67,4,FALSE),0),"")</f>
        <v/>
      </c>
      <c r="AP118" t="str">
        <f>IFERROR(ROUND(L118*(K118/$AW118)/VLOOKUP(J118,商品!$A$4:$D$67,4,FALSE),0),"")</f>
        <v/>
      </c>
      <c r="AQ118" t="str">
        <f>IFERROR(ROUND(S118*(N118/$AX118)/VLOOKUP(M118,职业!$A$3:$E$16,4,FALSE),0),"")</f>
        <v/>
      </c>
      <c r="AR118" t="str">
        <f>IFERROR(ROUND(S118*(P118/$AX118)/VLOOKUP(O118,职业!$A$3:$E$16,4,FALSE),0),"")</f>
        <v/>
      </c>
      <c r="AS118" t="str">
        <f>IFERROR(ROUND(S118*(R118/$AX118)/VLOOKUP(Q118,职业!$A$3:$E$16,4,FALSE),0),"")</f>
        <v/>
      </c>
      <c r="AT118" t="str">
        <f>IFERROR(ROUND(X118*(U118/$AY118)/VLOOKUP(T118,商品!$A$4:$D$67,4,FALSE),0),"")</f>
        <v/>
      </c>
      <c r="AU118" t="str">
        <f>IFERROR(ROUND(X118*(W118/$AY118)/VLOOKUP(V118,商品!$A$4:$D$67,4,FALSE),0),"")</f>
        <v/>
      </c>
      <c r="AW118">
        <f t="shared" si="31"/>
        <v>0</v>
      </c>
      <c r="AX118">
        <f t="shared" si="32"/>
        <v>0</v>
      </c>
      <c r="AY118">
        <f t="shared" si="33"/>
        <v>0</v>
      </c>
    </row>
    <row r="119" customHeight="1" spans="1:51">
      <c r="A119" s="5" t="s">
        <v>309</v>
      </c>
      <c r="C119" s="5">
        <v>3</v>
      </c>
      <c r="D119" s="1" t="s">
        <v>220</v>
      </c>
      <c r="E119" s="1" t="s">
        <v>223</v>
      </c>
      <c r="L119" s="5">
        <f>IFERROR(VLOOKUP($D119&amp;$C119,生产方式定位!$A$2:$E$38,2,FALSE)+VLOOKUP($E119&amp;$C119,生产方式定位!$F$3:$J$38,2,FALSE),0)</f>
        <v>1400</v>
      </c>
      <c r="S119" s="5">
        <f>IFERROR(VLOOKUP($D119&amp;$C119,生产方式定位!$A$2:$E$38,3,FALSE)+VLOOKUP($E119&amp;$C119,生产方式定位!$F$3:$J$38,3,FALSE),0)</f>
        <v>145</v>
      </c>
      <c r="X119" s="5">
        <f>IFERROR(VLOOKUP($D119&amp;$C119,生产方式定位!$A$2:$E$38,5,FALSE)+VLOOKUP($E119&amp;$C119,生产方式定位!$F$3:$J$38,5,FALSE),"错误")</f>
        <v>1597</v>
      </c>
      <c r="Y119" s="27" t="str">
        <f t="shared" si="17"/>
        <v/>
      </c>
      <c r="Z119" s="50" t="str">
        <f t="shared" si="20"/>
        <v/>
      </c>
      <c r="AA119" s="50" t="str">
        <f t="shared" si="18"/>
        <v/>
      </c>
      <c r="AB119" s="28" t="str">
        <f t="shared" si="21"/>
        <v>14%</v>
      </c>
      <c r="AC119" s="1">
        <f t="shared" si="22"/>
        <v>52</v>
      </c>
      <c r="AD119" s="51">
        <f t="shared" si="19"/>
        <v>3</v>
      </c>
      <c r="AE119" t="str">
        <f t="shared" si="23"/>
        <v/>
      </c>
      <c r="AF119" t="str">
        <f t="shared" si="24"/>
        <v/>
      </c>
      <c r="AG119" t="str">
        <f t="shared" si="25"/>
        <v/>
      </c>
      <c r="AH119" t="str">
        <f t="shared" si="26"/>
        <v/>
      </c>
      <c r="AI119" t="str">
        <f t="shared" si="27"/>
        <v/>
      </c>
      <c r="AJ119" t="str">
        <f t="shared" si="28"/>
        <v/>
      </c>
      <c r="AK119" t="str">
        <f t="shared" si="29"/>
        <v/>
      </c>
      <c r="AL119" t="str">
        <f t="shared" si="30"/>
        <v/>
      </c>
      <c r="AN119" t="str">
        <f>IFERROR(ROUND(L119*(G119/$AW119)/VLOOKUP(F119,商品!$A$4:$D$67,4,FALSE),0),"")</f>
        <v/>
      </c>
      <c r="AO119" t="str">
        <f>IFERROR(ROUND(L119*(I119/$AW119)/VLOOKUP(H119,商品!$A$4:$D$67,4,FALSE),0),"")</f>
        <v/>
      </c>
      <c r="AP119" t="str">
        <f>IFERROR(ROUND(L119*(K119/$AW119)/VLOOKUP(J119,商品!$A$4:$D$67,4,FALSE),0),"")</f>
        <v/>
      </c>
      <c r="AQ119" t="str">
        <f>IFERROR(ROUND(S119*(N119/$AX119)/VLOOKUP(M119,职业!$A$3:$E$16,4,FALSE),0),"")</f>
        <v/>
      </c>
      <c r="AR119" t="str">
        <f>IFERROR(ROUND(S119*(P119/$AX119)/VLOOKUP(O119,职业!$A$3:$E$16,4,FALSE),0),"")</f>
        <v/>
      </c>
      <c r="AS119" t="str">
        <f>IFERROR(ROUND(S119*(R119/$AX119)/VLOOKUP(Q119,职业!$A$3:$E$16,4,FALSE),0),"")</f>
        <v/>
      </c>
      <c r="AT119" t="str">
        <f>IFERROR(ROUND(X119*(U119/$AY119)/VLOOKUP(T119,商品!$A$4:$D$67,4,FALSE),0),"")</f>
        <v/>
      </c>
      <c r="AU119" t="str">
        <f>IFERROR(ROUND(X119*(W119/$AY119)/VLOOKUP(V119,商品!$A$4:$D$67,4,FALSE),0),"")</f>
        <v/>
      </c>
      <c r="AW119">
        <f t="shared" si="31"/>
        <v>0</v>
      </c>
      <c r="AX119">
        <f t="shared" si="32"/>
        <v>0</v>
      </c>
      <c r="AY119">
        <f t="shared" si="33"/>
        <v>0</v>
      </c>
    </row>
    <row r="120" customHeight="1" spans="1:51">
      <c r="A120" s="5" t="s">
        <v>309</v>
      </c>
      <c r="C120" s="5">
        <v>4</v>
      </c>
      <c r="D120" s="1" t="s">
        <v>220</v>
      </c>
      <c r="E120" s="1" t="s">
        <v>223</v>
      </c>
      <c r="L120" s="5">
        <f>IFERROR(VLOOKUP($D120&amp;$C120,生产方式定位!$A$2:$E$38,2,FALSE)+VLOOKUP($E120&amp;$C120,生产方式定位!$F$3:$J$38,2,FALSE),0)</f>
        <v>1700</v>
      </c>
      <c r="S120" s="5">
        <f>IFERROR(VLOOKUP($D120&amp;$C120,生产方式定位!$A$2:$E$38,3,FALSE)+VLOOKUP($E120&amp;$C120,生产方式定位!$F$3:$J$38,3,FALSE),0)</f>
        <v>140</v>
      </c>
      <c r="X120" s="5">
        <f>IFERROR(VLOOKUP($D120&amp;$C120,生产方式定位!$A$2:$E$38,5,FALSE)+VLOOKUP($E120&amp;$C120,生产方式定位!$F$3:$J$38,5,FALSE),"错误")</f>
        <v>1902</v>
      </c>
      <c r="Y120" s="27" t="str">
        <f t="shared" si="17"/>
        <v/>
      </c>
      <c r="Z120" s="50" t="str">
        <f t="shared" si="20"/>
        <v/>
      </c>
      <c r="AA120" s="50" t="str">
        <f t="shared" si="18"/>
        <v/>
      </c>
      <c r="AB120" s="28" t="str">
        <f t="shared" si="21"/>
        <v>12%</v>
      </c>
      <c r="AC120" s="1">
        <f t="shared" si="22"/>
        <v>62</v>
      </c>
      <c r="AD120" s="51">
        <f t="shared" si="19"/>
        <v>4</v>
      </c>
      <c r="AE120" t="str">
        <f t="shared" si="23"/>
        <v/>
      </c>
      <c r="AF120" t="str">
        <f t="shared" si="24"/>
        <v/>
      </c>
      <c r="AG120" t="str">
        <f t="shared" si="25"/>
        <v/>
      </c>
      <c r="AH120" t="str">
        <f t="shared" si="26"/>
        <v/>
      </c>
      <c r="AI120" t="str">
        <f t="shared" si="27"/>
        <v/>
      </c>
      <c r="AJ120" t="str">
        <f t="shared" si="28"/>
        <v/>
      </c>
      <c r="AK120" t="str">
        <f t="shared" si="29"/>
        <v/>
      </c>
      <c r="AL120" t="str">
        <f t="shared" si="30"/>
        <v/>
      </c>
      <c r="AN120" t="str">
        <f>IFERROR(ROUND(L120*(G120/$AW120)/VLOOKUP(F120,商品!$A$4:$D$67,4,FALSE),0),"")</f>
        <v/>
      </c>
      <c r="AO120" t="str">
        <f>IFERROR(ROUND(L120*(I120/$AW120)/VLOOKUP(H120,商品!$A$4:$D$67,4,FALSE),0),"")</f>
        <v/>
      </c>
      <c r="AP120" t="str">
        <f>IFERROR(ROUND(L120*(K120/$AW120)/VLOOKUP(J120,商品!$A$4:$D$67,4,FALSE),0),"")</f>
        <v/>
      </c>
      <c r="AQ120" t="str">
        <f>IFERROR(ROUND(S120*(N120/$AX120)/VLOOKUP(M120,职业!$A$3:$E$16,4,FALSE),0),"")</f>
        <v/>
      </c>
      <c r="AR120" t="str">
        <f>IFERROR(ROUND(S120*(P120/$AX120)/VLOOKUP(O120,职业!$A$3:$E$16,4,FALSE),0),"")</f>
        <v/>
      </c>
      <c r="AS120" t="str">
        <f>IFERROR(ROUND(S120*(R120/$AX120)/VLOOKUP(Q120,职业!$A$3:$E$16,4,FALSE),0),"")</f>
        <v/>
      </c>
      <c r="AT120" t="str">
        <f>IFERROR(ROUND(X120*(U120/$AY120)/VLOOKUP(T120,商品!$A$4:$D$67,4,FALSE),0),"")</f>
        <v/>
      </c>
      <c r="AU120" t="str">
        <f>IFERROR(ROUND(X120*(W120/$AY120)/VLOOKUP(V120,商品!$A$4:$D$67,4,FALSE),0),"")</f>
        <v/>
      </c>
      <c r="AW120">
        <f t="shared" si="31"/>
        <v>0</v>
      </c>
      <c r="AX120">
        <f t="shared" si="32"/>
        <v>0</v>
      </c>
      <c r="AY120">
        <f t="shared" si="33"/>
        <v>0</v>
      </c>
    </row>
    <row r="121" customHeight="1" spans="1:51">
      <c r="A121" s="5" t="s">
        <v>309</v>
      </c>
      <c r="C121" s="5">
        <v>5</v>
      </c>
      <c r="D121" s="1" t="s">
        <v>220</v>
      </c>
      <c r="E121" s="1" t="s">
        <v>223</v>
      </c>
      <c r="L121" s="5">
        <f>IFERROR(VLOOKUP($D121&amp;$C121,生产方式定位!$A$2:$E$38,2,FALSE)+VLOOKUP($E121&amp;$C121,生产方式定位!$F$3:$J$38,2,FALSE),0)</f>
        <v>2000</v>
      </c>
      <c r="S121" s="5">
        <f>IFERROR(VLOOKUP($D121&amp;$C121,生产方式定位!$A$2:$E$38,3,FALSE)+VLOOKUP($E121&amp;$C121,生产方式定位!$F$3:$J$38,3,FALSE),0)</f>
        <v>135</v>
      </c>
      <c r="X121" s="5">
        <f>IFERROR(VLOOKUP($D121&amp;$C121,生产方式定位!$A$2:$E$38,5,FALSE)+VLOOKUP($E121&amp;$C121,生产方式定位!$F$3:$J$38,5,FALSE),"错误")</f>
        <v>2208</v>
      </c>
      <c r="Y121" s="27" t="str">
        <f t="shared" si="17"/>
        <v/>
      </c>
      <c r="Z121" s="50" t="str">
        <f t="shared" si="20"/>
        <v/>
      </c>
      <c r="AA121" s="50" t="str">
        <f t="shared" si="18"/>
        <v/>
      </c>
      <c r="AB121" s="28" t="str">
        <f t="shared" si="21"/>
        <v>10%</v>
      </c>
      <c r="AC121" s="1">
        <f t="shared" si="22"/>
        <v>73</v>
      </c>
      <c r="AD121" s="51">
        <f t="shared" si="19"/>
        <v>5</v>
      </c>
      <c r="AE121" t="str">
        <f t="shared" si="23"/>
        <v/>
      </c>
      <c r="AF121" t="str">
        <f t="shared" si="24"/>
        <v/>
      </c>
      <c r="AG121" t="str">
        <f t="shared" si="25"/>
        <v/>
      </c>
      <c r="AH121" t="str">
        <f t="shared" si="26"/>
        <v/>
      </c>
      <c r="AI121" t="str">
        <f t="shared" si="27"/>
        <v/>
      </c>
      <c r="AJ121" t="str">
        <f t="shared" si="28"/>
        <v/>
      </c>
      <c r="AK121" t="str">
        <f t="shared" si="29"/>
        <v/>
      </c>
      <c r="AL121" t="str">
        <f t="shared" si="30"/>
        <v/>
      </c>
      <c r="AN121" t="str">
        <f>IFERROR(ROUND(L121*(G121/$AW121)/VLOOKUP(F121,商品!$A$4:$D$67,4,FALSE),0),"")</f>
        <v/>
      </c>
      <c r="AO121" t="str">
        <f>IFERROR(ROUND(L121*(I121/$AW121)/VLOOKUP(H121,商品!$A$4:$D$67,4,FALSE),0),"")</f>
        <v/>
      </c>
      <c r="AP121" t="str">
        <f>IFERROR(ROUND(L121*(K121/$AW121)/VLOOKUP(J121,商品!$A$4:$D$67,4,FALSE),0),"")</f>
        <v/>
      </c>
      <c r="AQ121" t="str">
        <f>IFERROR(ROUND(S121*(N121/$AX121)/VLOOKUP(M121,职业!$A$3:$E$16,4,FALSE),0),"")</f>
        <v/>
      </c>
      <c r="AR121" t="str">
        <f>IFERROR(ROUND(S121*(P121/$AX121)/VLOOKUP(O121,职业!$A$3:$E$16,4,FALSE),0),"")</f>
        <v/>
      </c>
      <c r="AS121" t="str">
        <f>IFERROR(ROUND(S121*(R121/$AX121)/VLOOKUP(Q121,职业!$A$3:$E$16,4,FALSE),0),"")</f>
        <v/>
      </c>
      <c r="AT121" t="str">
        <f>IFERROR(ROUND(X121*(U121/$AY121)/VLOOKUP(T121,商品!$A$4:$D$67,4,FALSE),0),"")</f>
        <v/>
      </c>
      <c r="AU121" t="str">
        <f>IFERROR(ROUND(X121*(W121/$AY121)/VLOOKUP(V121,商品!$A$4:$D$67,4,FALSE),0),"")</f>
        <v/>
      </c>
      <c r="AW121">
        <f t="shared" si="31"/>
        <v>0</v>
      </c>
      <c r="AX121">
        <f t="shared" si="32"/>
        <v>0</v>
      </c>
      <c r="AY121">
        <f t="shared" si="33"/>
        <v>0</v>
      </c>
    </row>
    <row r="122" customHeight="1" spans="1:51">
      <c r="A122" s="18" t="s">
        <v>310</v>
      </c>
      <c r="C122" s="18">
        <v>1</v>
      </c>
      <c r="D122" s="1" t="s">
        <v>220</v>
      </c>
      <c r="E122" s="1" t="s">
        <v>224</v>
      </c>
      <c r="L122" s="18">
        <f>IFERROR(VLOOKUP($D122&amp;$C122,生产方式定位!$A$2:$E$38,2,FALSE)+VLOOKUP($E122&amp;$C122,生产方式定位!$F$3:$J$38,2,FALSE),0)</f>
        <v>500</v>
      </c>
      <c r="S122" s="18">
        <f>IFERROR(VLOOKUP($D122&amp;$C122,生产方式定位!$A$2:$E$38,3,FALSE)+VLOOKUP($E122&amp;$C122,生产方式定位!$F$3:$J$38,3,FALSE),0)</f>
        <v>150</v>
      </c>
      <c r="X122" s="18">
        <f>IFERROR(VLOOKUP($D122&amp;$C122,生产方式定位!$A$2:$E$38,5,FALSE)+VLOOKUP($E122&amp;$C122,生产方式定位!$F$3:$J$38,5,FALSE),"错误")</f>
        <v>715</v>
      </c>
      <c r="Y122" s="27" t="str">
        <f t="shared" si="17"/>
        <v/>
      </c>
      <c r="Z122" s="50" t="str">
        <f t="shared" si="20"/>
        <v/>
      </c>
      <c r="AA122" s="50" t="str">
        <f t="shared" si="18"/>
        <v/>
      </c>
      <c r="AB122" s="28" t="str">
        <f t="shared" si="21"/>
        <v>43%</v>
      </c>
      <c r="AC122" s="1">
        <f t="shared" si="22"/>
        <v>65</v>
      </c>
      <c r="AD122" s="52">
        <f t="shared" si="19"/>
        <v>1</v>
      </c>
      <c r="AE122" t="str">
        <f t="shared" si="23"/>
        <v/>
      </c>
      <c r="AF122" t="str">
        <f t="shared" si="24"/>
        <v/>
      </c>
      <c r="AG122" t="str">
        <f t="shared" si="25"/>
        <v/>
      </c>
      <c r="AH122" t="str">
        <f t="shared" si="26"/>
        <v/>
      </c>
      <c r="AI122" t="str">
        <f t="shared" si="27"/>
        <v/>
      </c>
      <c r="AJ122" t="str">
        <f t="shared" si="28"/>
        <v/>
      </c>
      <c r="AK122" t="str">
        <f t="shared" si="29"/>
        <v/>
      </c>
      <c r="AL122" t="str">
        <f t="shared" si="30"/>
        <v/>
      </c>
      <c r="AN122" t="str">
        <f>IFERROR(ROUND(L122*(G122/$AW122)/VLOOKUP(F122,商品!$A$4:$D$67,4,FALSE),0),"")</f>
        <v/>
      </c>
      <c r="AO122" t="str">
        <f>IFERROR(ROUND(L122*(I122/$AW122)/VLOOKUP(H122,商品!$A$4:$D$67,4,FALSE),0),"")</f>
        <v/>
      </c>
      <c r="AP122" t="str">
        <f>IFERROR(ROUND(L122*(K122/$AW122)/VLOOKUP(J122,商品!$A$4:$D$67,4,FALSE),0),"")</f>
        <v/>
      </c>
      <c r="AQ122" t="str">
        <f>IFERROR(ROUND(S122*(N122/$AX122)/VLOOKUP(M122,职业!$A$3:$E$16,4,FALSE),0),"")</f>
        <v/>
      </c>
      <c r="AR122" t="str">
        <f>IFERROR(ROUND(S122*(P122/$AX122)/VLOOKUP(O122,职业!$A$3:$E$16,4,FALSE),0),"")</f>
        <v/>
      </c>
      <c r="AS122" t="str">
        <f>IFERROR(ROUND(S122*(R122/$AX122)/VLOOKUP(Q122,职业!$A$3:$E$16,4,FALSE),0),"")</f>
        <v/>
      </c>
      <c r="AT122" t="str">
        <f>IFERROR(ROUND(X122*(U122/$AY122)/VLOOKUP(T122,商品!$A$4:$D$67,4,FALSE),0),"")</f>
        <v/>
      </c>
      <c r="AU122" t="str">
        <f>IFERROR(ROUND(X122*(W122/$AY122)/VLOOKUP(V122,商品!$A$4:$D$67,4,FALSE),0),"")</f>
        <v/>
      </c>
      <c r="AW122">
        <f t="shared" si="31"/>
        <v>0</v>
      </c>
      <c r="AX122">
        <f t="shared" si="32"/>
        <v>0</v>
      </c>
      <c r="AY122">
        <f t="shared" si="33"/>
        <v>0</v>
      </c>
    </row>
    <row r="123" customHeight="1" spans="1:51">
      <c r="A123" s="18" t="s">
        <v>310</v>
      </c>
      <c r="C123" s="18">
        <v>2</v>
      </c>
      <c r="D123" s="1" t="s">
        <v>220</v>
      </c>
      <c r="E123" s="1" t="s">
        <v>224</v>
      </c>
      <c r="L123" s="18">
        <f>IFERROR(VLOOKUP($D123&amp;$C123,生产方式定位!$A$2:$E$38,2,FALSE)+VLOOKUP($E123&amp;$C123,生产方式定位!$F$3:$J$38,2,FALSE),0)</f>
        <v>1200</v>
      </c>
      <c r="S123" s="18">
        <f>IFERROR(VLOOKUP($D123&amp;$C123,生产方式定位!$A$2:$E$38,3,FALSE)+VLOOKUP($E123&amp;$C123,生产方式定位!$F$3:$J$38,3,FALSE),0)</f>
        <v>100</v>
      </c>
      <c r="X123" s="18">
        <f>IFERROR(VLOOKUP($D123&amp;$C123,生产方式定位!$A$2:$E$38,5,FALSE)+VLOOKUP($E123&amp;$C123,生产方式定位!$F$3:$J$38,5,FALSE),"错误")</f>
        <v>1346</v>
      </c>
      <c r="Y123" s="27" t="str">
        <f t="shared" si="17"/>
        <v/>
      </c>
      <c r="Z123" s="50" t="str">
        <f t="shared" si="20"/>
        <v/>
      </c>
      <c r="AA123" s="50" t="str">
        <f t="shared" si="18"/>
        <v/>
      </c>
      <c r="AB123" s="28" t="str">
        <f t="shared" si="21"/>
        <v>12%</v>
      </c>
      <c r="AC123" s="1">
        <f t="shared" si="22"/>
        <v>46</v>
      </c>
      <c r="AD123" s="52">
        <f t="shared" si="19"/>
        <v>2</v>
      </c>
      <c r="AE123" t="str">
        <f t="shared" si="23"/>
        <v/>
      </c>
      <c r="AF123" t="str">
        <f t="shared" si="24"/>
        <v/>
      </c>
      <c r="AG123" t="str">
        <f t="shared" si="25"/>
        <v/>
      </c>
      <c r="AH123" t="str">
        <f t="shared" si="26"/>
        <v/>
      </c>
      <c r="AI123" t="str">
        <f t="shared" si="27"/>
        <v/>
      </c>
      <c r="AJ123" t="str">
        <f t="shared" si="28"/>
        <v/>
      </c>
      <c r="AK123" t="str">
        <f t="shared" si="29"/>
        <v/>
      </c>
      <c r="AL123" t="str">
        <f t="shared" si="30"/>
        <v/>
      </c>
      <c r="AN123" t="str">
        <f>IFERROR(ROUND(L123*(G123/$AW123)/VLOOKUP(F123,商品!$A$4:$D$67,4,FALSE),0),"")</f>
        <v/>
      </c>
      <c r="AO123" t="str">
        <f>IFERROR(ROUND(L123*(I123/$AW123)/VLOOKUP(H123,商品!$A$4:$D$67,4,FALSE),0),"")</f>
        <v/>
      </c>
      <c r="AP123" t="str">
        <f>IFERROR(ROUND(L123*(K123/$AW123)/VLOOKUP(J123,商品!$A$4:$D$67,4,FALSE),0),"")</f>
        <v/>
      </c>
      <c r="AQ123" t="str">
        <f>IFERROR(ROUND(S123*(N123/$AX123)/VLOOKUP(M123,职业!$A$3:$E$16,4,FALSE),0),"")</f>
        <v/>
      </c>
      <c r="AR123" t="str">
        <f>IFERROR(ROUND(S123*(P123/$AX123)/VLOOKUP(O123,职业!$A$3:$E$16,4,FALSE),0),"")</f>
        <v/>
      </c>
      <c r="AS123" t="str">
        <f>IFERROR(ROUND(S123*(R123/$AX123)/VLOOKUP(Q123,职业!$A$3:$E$16,4,FALSE),0),"")</f>
        <v/>
      </c>
      <c r="AT123" t="str">
        <f>IFERROR(ROUND(X123*(U123/$AY123)/VLOOKUP(T123,商品!$A$4:$D$67,4,FALSE),0),"")</f>
        <v/>
      </c>
      <c r="AU123" t="str">
        <f>IFERROR(ROUND(X123*(W123/$AY123)/VLOOKUP(V123,商品!$A$4:$D$67,4,FALSE),0),"")</f>
        <v/>
      </c>
      <c r="AW123">
        <f t="shared" si="31"/>
        <v>0</v>
      </c>
      <c r="AX123">
        <f t="shared" si="32"/>
        <v>0</v>
      </c>
      <c r="AY123">
        <f t="shared" si="33"/>
        <v>0</v>
      </c>
    </row>
    <row r="124" customHeight="1" spans="1:51">
      <c r="A124" s="18" t="s">
        <v>310</v>
      </c>
      <c r="C124" s="18">
        <v>3</v>
      </c>
      <c r="D124" s="1" t="s">
        <v>220</v>
      </c>
      <c r="E124" s="1" t="s">
        <v>224</v>
      </c>
      <c r="L124" s="18">
        <f>IFERROR(VLOOKUP($D124&amp;$C124,生产方式定位!$A$2:$E$38,2,FALSE)+VLOOKUP($E124&amp;$C124,生产方式定位!$F$3:$J$38,2,FALSE),0)</f>
        <v>1900</v>
      </c>
      <c r="S124" s="18">
        <f>IFERROR(VLOOKUP($D124&amp;$C124,生产方式定位!$A$2:$E$38,3,FALSE)+VLOOKUP($E124&amp;$C124,生产方式定位!$F$3:$J$38,3,FALSE),0)</f>
        <v>70</v>
      </c>
      <c r="X124" s="18">
        <f>IFERROR(VLOOKUP($D124&amp;$C124,生产方式定位!$A$2:$E$38,5,FALSE)+VLOOKUP($E124&amp;$C124,生产方式定位!$F$3:$J$38,5,FALSE),"错误")</f>
        <v>2064</v>
      </c>
      <c r="Y124" s="27" t="str">
        <f t="shared" si="17"/>
        <v/>
      </c>
      <c r="Z124" s="50" t="str">
        <f t="shared" si="20"/>
        <v/>
      </c>
      <c r="AA124" s="50" t="str">
        <f t="shared" si="18"/>
        <v/>
      </c>
      <c r="AB124" s="28" t="str">
        <f t="shared" si="21"/>
        <v>9%</v>
      </c>
      <c r="AC124" s="1">
        <f t="shared" si="22"/>
        <v>94</v>
      </c>
      <c r="AD124" s="52">
        <f t="shared" si="19"/>
        <v>3</v>
      </c>
      <c r="AE124" t="str">
        <f t="shared" si="23"/>
        <v/>
      </c>
      <c r="AF124" t="str">
        <f t="shared" si="24"/>
        <v/>
      </c>
      <c r="AG124" t="str">
        <f t="shared" si="25"/>
        <v/>
      </c>
      <c r="AH124" t="str">
        <f t="shared" si="26"/>
        <v/>
      </c>
      <c r="AI124" t="str">
        <f t="shared" si="27"/>
        <v/>
      </c>
      <c r="AJ124" t="str">
        <f t="shared" si="28"/>
        <v/>
      </c>
      <c r="AK124" t="str">
        <f t="shared" si="29"/>
        <v/>
      </c>
      <c r="AL124" t="str">
        <f t="shared" si="30"/>
        <v/>
      </c>
      <c r="AN124" t="str">
        <f>IFERROR(ROUND(L124*(G124/$AW124)/VLOOKUP(F124,商品!$A$4:$D$67,4,FALSE),0),"")</f>
        <v/>
      </c>
      <c r="AO124" t="str">
        <f>IFERROR(ROUND(L124*(I124/$AW124)/VLOOKUP(H124,商品!$A$4:$D$67,4,FALSE),0),"")</f>
        <v/>
      </c>
      <c r="AP124" t="str">
        <f>IFERROR(ROUND(L124*(K124/$AW124)/VLOOKUP(J124,商品!$A$4:$D$67,4,FALSE),0),"")</f>
        <v/>
      </c>
      <c r="AQ124" t="str">
        <f>IFERROR(ROUND(S124*(N124/$AX124)/VLOOKUP(M124,职业!$A$3:$E$16,4,FALSE),0),"")</f>
        <v/>
      </c>
      <c r="AR124" t="str">
        <f>IFERROR(ROUND(S124*(P124/$AX124)/VLOOKUP(O124,职业!$A$3:$E$16,4,FALSE),0),"")</f>
        <v/>
      </c>
      <c r="AS124" t="str">
        <f>IFERROR(ROUND(S124*(R124/$AX124)/VLOOKUP(Q124,职业!$A$3:$E$16,4,FALSE),0),"")</f>
        <v/>
      </c>
      <c r="AT124" t="str">
        <f>IFERROR(ROUND(X124*(U124/$AY124)/VLOOKUP(T124,商品!$A$4:$D$67,4,FALSE),0),"")</f>
        <v/>
      </c>
      <c r="AU124" t="str">
        <f>IFERROR(ROUND(X124*(W124/$AY124)/VLOOKUP(V124,商品!$A$4:$D$67,4,FALSE),0),"")</f>
        <v/>
      </c>
      <c r="AW124">
        <f t="shared" si="31"/>
        <v>0</v>
      </c>
      <c r="AX124">
        <f t="shared" si="32"/>
        <v>0</v>
      </c>
      <c r="AY124">
        <f t="shared" si="33"/>
        <v>0</v>
      </c>
    </row>
    <row r="125" customHeight="1" spans="1:51">
      <c r="A125" s="18" t="s">
        <v>310</v>
      </c>
      <c r="C125" s="18">
        <v>4</v>
      </c>
      <c r="D125" s="1" t="s">
        <v>220</v>
      </c>
      <c r="E125" s="1" t="s">
        <v>224</v>
      </c>
      <c r="L125" s="18">
        <f>IFERROR(VLOOKUP($D125&amp;$C125,生产方式定位!$A$2:$E$38,2,FALSE)+VLOOKUP($E125&amp;$C125,生产方式定位!$F$3:$J$38,2,FALSE),0)</f>
        <v>2600</v>
      </c>
      <c r="S125" s="18">
        <f>IFERROR(VLOOKUP($D125&amp;$C125,生产方式定位!$A$2:$E$38,3,FALSE)+VLOOKUP($E125&amp;$C125,生产方式定位!$F$3:$J$38,3,FALSE),0)</f>
        <v>40</v>
      </c>
      <c r="X125" s="18">
        <f>IFERROR(VLOOKUP($D125&amp;$C125,生产方式定位!$A$2:$E$38,5,FALSE)+VLOOKUP($E125&amp;$C125,生产方式定位!$F$3:$J$38,5,FALSE),"错误")</f>
        <v>2782</v>
      </c>
      <c r="Y125" s="27" t="str">
        <f t="shared" si="17"/>
        <v/>
      </c>
      <c r="Z125" s="50" t="str">
        <f t="shared" si="20"/>
        <v/>
      </c>
      <c r="AA125" s="50" t="str">
        <f t="shared" si="18"/>
        <v/>
      </c>
      <c r="AB125" s="28" t="str">
        <f t="shared" si="21"/>
        <v>7%</v>
      </c>
      <c r="AC125" s="1">
        <f t="shared" si="22"/>
        <v>142</v>
      </c>
      <c r="AD125" s="52">
        <f t="shared" si="19"/>
        <v>4</v>
      </c>
      <c r="AE125" t="str">
        <f t="shared" si="23"/>
        <v/>
      </c>
      <c r="AF125" t="str">
        <f t="shared" si="24"/>
        <v/>
      </c>
      <c r="AG125" t="str">
        <f t="shared" si="25"/>
        <v/>
      </c>
      <c r="AH125" t="str">
        <f t="shared" si="26"/>
        <v/>
      </c>
      <c r="AI125" t="str">
        <f t="shared" si="27"/>
        <v/>
      </c>
      <c r="AJ125" t="str">
        <f t="shared" si="28"/>
        <v/>
      </c>
      <c r="AK125" t="str">
        <f t="shared" si="29"/>
        <v/>
      </c>
      <c r="AL125" t="str">
        <f t="shared" si="30"/>
        <v/>
      </c>
      <c r="AN125" t="str">
        <f>IFERROR(ROUND(L125*(G125/$AW125)/VLOOKUP(F125,商品!$A$4:$D$67,4,FALSE),0),"")</f>
        <v/>
      </c>
      <c r="AO125" t="str">
        <f>IFERROR(ROUND(L125*(I125/$AW125)/VLOOKUP(H125,商品!$A$4:$D$67,4,FALSE),0),"")</f>
        <v/>
      </c>
      <c r="AP125" t="str">
        <f>IFERROR(ROUND(L125*(K125/$AW125)/VLOOKUP(J125,商品!$A$4:$D$67,4,FALSE),0),"")</f>
        <v/>
      </c>
      <c r="AQ125" t="str">
        <f>IFERROR(ROUND(S125*(N125/$AX125)/VLOOKUP(M125,职业!$A$3:$E$16,4,FALSE),0),"")</f>
        <v/>
      </c>
      <c r="AR125" t="str">
        <f>IFERROR(ROUND(S125*(P125/$AX125)/VLOOKUP(O125,职业!$A$3:$E$16,4,FALSE),0),"")</f>
        <v/>
      </c>
      <c r="AS125" t="str">
        <f>IFERROR(ROUND(S125*(R125/$AX125)/VLOOKUP(Q125,职业!$A$3:$E$16,4,FALSE),0),"")</f>
        <v/>
      </c>
      <c r="AT125" t="str">
        <f>IFERROR(ROUND(X125*(U125/$AY125)/VLOOKUP(T125,商品!$A$4:$D$67,4,FALSE),0),"")</f>
        <v/>
      </c>
      <c r="AU125" t="str">
        <f>IFERROR(ROUND(X125*(W125/$AY125)/VLOOKUP(V125,商品!$A$4:$D$67,4,FALSE),0),"")</f>
        <v/>
      </c>
      <c r="AW125">
        <f t="shared" si="31"/>
        <v>0</v>
      </c>
      <c r="AX125">
        <f t="shared" si="32"/>
        <v>0</v>
      </c>
      <c r="AY125">
        <f t="shared" si="33"/>
        <v>0</v>
      </c>
    </row>
    <row r="126" customHeight="1" spans="1:51">
      <c r="A126" s="18" t="s">
        <v>310</v>
      </c>
      <c r="C126" s="18">
        <v>5</v>
      </c>
      <c r="D126" s="1" t="s">
        <v>220</v>
      </c>
      <c r="E126" s="1" t="s">
        <v>224</v>
      </c>
      <c r="L126" s="18">
        <f>IFERROR(VLOOKUP($D126&amp;$C126,生产方式定位!$A$2:$E$38,2,FALSE)+VLOOKUP($E126&amp;$C126,生产方式定位!$F$3:$J$38,2,FALSE),0)</f>
        <v>3300</v>
      </c>
      <c r="S126" s="18">
        <f>IFERROR(VLOOKUP($D126&amp;$C126,生产方式定位!$A$2:$E$38,3,FALSE)+VLOOKUP($E126&amp;$C126,生产方式定位!$F$3:$J$38,3,FALSE),0)</f>
        <v>10</v>
      </c>
      <c r="X126" s="18">
        <f>IFERROR(VLOOKUP($D126&amp;$C126,生产方式定位!$A$2:$E$38,5,FALSE)+VLOOKUP($E126&amp;$C126,生产方式定位!$F$3:$J$38,5,FALSE),"错误")</f>
        <v>3500</v>
      </c>
      <c r="Y126" s="27" t="str">
        <f t="shared" si="17"/>
        <v/>
      </c>
      <c r="Z126" s="50" t="str">
        <f t="shared" si="20"/>
        <v/>
      </c>
      <c r="AA126" s="50" t="str">
        <f t="shared" si="18"/>
        <v/>
      </c>
      <c r="AB126" s="28" t="str">
        <f t="shared" si="21"/>
        <v>6%</v>
      </c>
      <c r="AC126" s="1">
        <f t="shared" si="22"/>
        <v>190</v>
      </c>
      <c r="AD126" s="52">
        <f t="shared" si="19"/>
        <v>5</v>
      </c>
      <c r="AE126" t="str">
        <f t="shared" si="23"/>
        <v/>
      </c>
      <c r="AF126" t="str">
        <f t="shared" si="24"/>
        <v/>
      </c>
      <c r="AG126" t="str">
        <f t="shared" si="25"/>
        <v/>
      </c>
      <c r="AH126" t="str">
        <f t="shared" si="26"/>
        <v/>
      </c>
      <c r="AI126" t="str">
        <f t="shared" si="27"/>
        <v/>
      </c>
      <c r="AJ126" t="str">
        <f t="shared" si="28"/>
        <v/>
      </c>
      <c r="AK126" t="str">
        <f t="shared" si="29"/>
        <v/>
      </c>
      <c r="AL126" t="str">
        <f t="shared" si="30"/>
        <v/>
      </c>
      <c r="AN126" t="str">
        <f>IFERROR(ROUND(L126*(G126/$AW126)/VLOOKUP(F126,商品!$A$4:$D$67,4,FALSE),0),"")</f>
        <v/>
      </c>
      <c r="AO126" t="str">
        <f>IFERROR(ROUND(L126*(I126/$AW126)/VLOOKUP(H126,商品!$A$4:$D$67,4,FALSE),0),"")</f>
        <v/>
      </c>
      <c r="AP126" t="str">
        <f>IFERROR(ROUND(L126*(K126/$AW126)/VLOOKUP(J126,商品!$A$4:$D$67,4,FALSE),0),"")</f>
        <v/>
      </c>
      <c r="AQ126" t="str">
        <f>IFERROR(ROUND(S126*(N126/$AX126)/VLOOKUP(M126,职业!$A$3:$E$16,4,FALSE),0),"")</f>
        <v/>
      </c>
      <c r="AR126" t="str">
        <f>IFERROR(ROUND(S126*(P126/$AX126)/VLOOKUP(O126,职业!$A$3:$E$16,4,FALSE),0),"")</f>
        <v/>
      </c>
      <c r="AS126" t="str">
        <f>IFERROR(ROUND(S126*(R126/$AX126)/VLOOKUP(Q126,职业!$A$3:$E$16,4,FALSE),0),"")</f>
        <v/>
      </c>
      <c r="AT126" t="str">
        <f>IFERROR(ROUND(X126*(U126/$AY126)/VLOOKUP(T126,商品!$A$4:$D$67,4,FALSE),0),"")</f>
        <v/>
      </c>
      <c r="AU126" t="str">
        <f>IFERROR(ROUND(X126*(W126/$AY126)/VLOOKUP(V126,商品!$A$4:$D$67,4,FALSE),0),"")</f>
        <v/>
      </c>
      <c r="AW126">
        <f t="shared" si="31"/>
        <v>0</v>
      </c>
      <c r="AX126">
        <f t="shared" si="32"/>
        <v>0</v>
      </c>
      <c r="AY126">
        <f t="shared" si="33"/>
        <v>0</v>
      </c>
    </row>
    <row r="127" customHeight="1" spans="1:51">
      <c r="A127" s="5" t="s">
        <v>310</v>
      </c>
      <c r="C127" s="5">
        <v>1</v>
      </c>
      <c r="D127" s="1" t="s">
        <v>220</v>
      </c>
      <c r="E127" s="1" t="s">
        <v>224</v>
      </c>
      <c r="L127" s="5">
        <f>IFERROR(VLOOKUP($D127&amp;$C127,生产方式定位!$A$2:$E$38,2,FALSE)+VLOOKUP($E127&amp;$C127,生产方式定位!$F$3:$J$38,2,FALSE),0)</f>
        <v>500</v>
      </c>
      <c r="S127" s="5">
        <f>IFERROR(VLOOKUP($D127&amp;$C127,生产方式定位!$A$2:$E$38,3,FALSE)+VLOOKUP($E127&amp;$C127,生产方式定位!$F$3:$J$38,3,FALSE),0)</f>
        <v>150</v>
      </c>
      <c r="X127" s="5">
        <f>IFERROR(VLOOKUP($D127&amp;$C127,生产方式定位!$A$2:$E$38,5,FALSE)+VLOOKUP($E127&amp;$C127,生产方式定位!$F$3:$J$38,5,FALSE),"错误")</f>
        <v>715</v>
      </c>
      <c r="Y127" s="27" t="str">
        <f t="shared" si="17"/>
        <v/>
      </c>
      <c r="Z127" s="50" t="str">
        <f t="shared" si="20"/>
        <v/>
      </c>
      <c r="AA127" s="50" t="str">
        <f t="shared" si="18"/>
        <v/>
      </c>
      <c r="AB127" s="28" t="str">
        <f t="shared" si="21"/>
        <v>43%</v>
      </c>
      <c r="AC127" s="1">
        <f t="shared" si="22"/>
        <v>65</v>
      </c>
      <c r="AD127" s="51">
        <f t="shared" si="19"/>
        <v>1</v>
      </c>
      <c r="AE127" t="str">
        <f t="shared" si="23"/>
        <v/>
      </c>
      <c r="AF127" t="str">
        <f t="shared" si="24"/>
        <v/>
      </c>
      <c r="AG127" t="str">
        <f t="shared" si="25"/>
        <v/>
      </c>
      <c r="AH127" t="str">
        <f t="shared" si="26"/>
        <v/>
      </c>
      <c r="AI127" t="str">
        <f t="shared" si="27"/>
        <v/>
      </c>
      <c r="AJ127" t="str">
        <f t="shared" si="28"/>
        <v/>
      </c>
      <c r="AK127" t="str">
        <f t="shared" si="29"/>
        <v/>
      </c>
      <c r="AL127" t="str">
        <f t="shared" si="30"/>
        <v/>
      </c>
      <c r="AN127" t="str">
        <f>IFERROR(ROUND(L127*(G127/$AW127)/VLOOKUP(F127,商品!$A$4:$D$67,4,FALSE),0),"")</f>
        <v/>
      </c>
      <c r="AO127" t="str">
        <f>IFERROR(ROUND(L127*(I127/$AW127)/VLOOKUP(H127,商品!$A$4:$D$67,4,FALSE),0),"")</f>
        <v/>
      </c>
      <c r="AP127" t="str">
        <f>IFERROR(ROUND(L127*(K127/$AW127)/VLOOKUP(J127,商品!$A$4:$D$67,4,FALSE),0),"")</f>
        <v/>
      </c>
      <c r="AQ127" t="str">
        <f>IFERROR(ROUND(S127*(N127/$AX127)/VLOOKUP(M127,职业!$A$3:$E$16,4,FALSE),0),"")</f>
        <v/>
      </c>
      <c r="AR127" t="str">
        <f>IFERROR(ROUND(S127*(P127/$AX127)/VLOOKUP(O127,职业!$A$3:$E$16,4,FALSE),0),"")</f>
        <v/>
      </c>
      <c r="AS127" t="str">
        <f>IFERROR(ROUND(S127*(R127/$AX127)/VLOOKUP(Q127,职业!$A$3:$E$16,4,FALSE),0),"")</f>
        <v/>
      </c>
      <c r="AT127" t="str">
        <f>IFERROR(ROUND(X127*(U127/$AY127)/VLOOKUP(T127,商品!$A$4:$D$67,4,FALSE),0),"")</f>
        <v/>
      </c>
      <c r="AU127" t="str">
        <f>IFERROR(ROUND(X127*(W127/$AY127)/VLOOKUP(V127,商品!$A$4:$D$67,4,FALSE),0),"")</f>
        <v/>
      </c>
      <c r="AW127">
        <f t="shared" si="31"/>
        <v>0</v>
      </c>
      <c r="AX127">
        <f t="shared" si="32"/>
        <v>0</v>
      </c>
      <c r="AY127">
        <f t="shared" si="33"/>
        <v>0</v>
      </c>
    </row>
    <row r="128" customHeight="1" spans="1:51">
      <c r="A128" s="5" t="s">
        <v>310</v>
      </c>
      <c r="C128" s="5">
        <v>2</v>
      </c>
      <c r="D128" s="1" t="s">
        <v>220</v>
      </c>
      <c r="E128" s="1" t="s">
        <v>224</v>
      </c>
      <c r="L128" s="5">
        <f>IFERROR(VLOOKUP($D128&amp;$C128,生产方式定位!$A$2:$E$38,2,FALSE)+VLOOKUP($E128&amp;$C128,生产方式定位!$F$3:$J$38,2,FALSE),0)</f>
        <v>1200</v>
      </c>
      <c r="S128" s="5">
        <f>IFERROR(VLOOKUP($D128&amp;$C128,生产方式定位!$A$2:$E$38,3,FALSE)+VLOOKUP($E128&amp;$C128,生产方式定位!$F$3:$J$38,3,FALSE),0)</f>
        <v>100</v>
      </c>
      <c r="X128" s="5">
        <f>IFERROR(VLOOKUP($D128&amp;$C128,生产方式定位!$A$2:$E$38,5,FALSE)+VLOOKUP($E128&amp;$C128,生产方式定位!$F$3:$J$38,5,FALSE),"错误")</f>
        <v>1346</v>
      </c>
      <c r="Y128" s="27" t="str">
        <f t="shared" si="17"/>
        <v/>
      </c>
      <c r="Z128" s="50" t="str">
        <f t="shared" si="20"/>
        <v/>
      </c>
      <c r="AA128" s="50" t="str">
        <f t="shared" si="18"/>
        <v/>
      </c>
      <c r="AB128" s="28" t="str">
        <f t="shared" si="21"/>
        <v>12%</v>
      </c>
      <c r="AC128" s="1">
        <f t="shared" si="22"/>
        <v>46</v>
      </c>
      <c r="AD128" s="51">
        <f t="shared" si="19"/>
        <v>2</v>
      </c>
      <c r="AE128" t="str">
        <f t="shared" si="23"/>
        <v/>
      </c>
      <c r="AF128" t="str">
        <f t="shared" si="24"/>
        <v/>
      </c>
      <c r="AG128" t="str">
        <f t="shared" si="25"/>
        <v/>
      </c>
      <c r="AH128" t="str">
        <f t="shared" si="26"/>
        <v/>
      </c>
      <c r="AI128" t="str">
        <f t="shared" si="27"/>
        <v/>
      </c>
      <c r="AJ128" t="str">
        <f t="shared" si="28"/>
        <v/>
      </c>
      <c r="AK128" t="str">
        <f t="shared" si="29"/>
        <v/>
      </c>
      <c r="AL128" t="str">
        <f t="shared" si="30"/>
        <v/>
      </c>
      <c r="AN128" t="str">
        <f>IFERROR(ROUND(L128*(G128/$AW128)/VLOOKUP(F128,商品!$A$4:$D$67,4,FALSE),0),"")</f>
        <v/>
      </c>
      <c r="AO128" t="str">
        <f>IFERROR(ROUND(L128*(I128/$AW128)/VLOOKUP(H128,商品!$A$4:$D$67,4,FALSE),0),"")</f>
        <v/>
      </c>
      <c r="AP128" t="str">
        <f>IFERROR(ROUND(L128*(K128/$AW128)/VLOOKUP(J128,商品!$A$4:$D$67,4,FALSE),0),"")</f>
        <v/>
      </c>
      <c r="AQ128" t="str">
        <f>IFERROR(ROUND(S128*(N128/$AX128)/VLOOKUP(M128,职业!$A$3:$E$16,4,FALSE),0),"")</f>
        <v/>
      </c>
      <c r="AR128" t="str">
        <f>IFERROR(ROUND(S128*(P128/$AX128)/VLOOKUP(O128,职业!$A$3:$E$16,4,FALSE),0),"")</f>
        <v/>
      </c>
      <c r="AS128" t="str">
        <f>IFERROR(ROUND(S128*(R128/$AX128)/VLOOKUP(Q128,职业!$A$3:$E$16,4,FALSE),0),"")</f>
        <v/>
      </c>
      <c r="AT128" t="str">
        <f>IFERROR(ROUND(X128*(U128/$AY128)/VLOOKUP(T128,商品!$A$4:$D$67,4,FALSE),0),"")</f>
        <v/>
      </c>
      <c r="AU128" t="str">
        <f>IFERROR(ROUND(X128*(W128/$AY128)/VLOOKUP(V128,商品!$A$4:$D$67,4,FALSE),0),"")</f>
        <v/>
      </c>
      <c r="AW128">
        <f t="shared" si="31"/>
        <v>0</v>
      </c>
      <c r="AX128">
        <f t="shared" si="32"/>
        <v>0</v>
      </c>
      <c r="AY128">
        <f t="shared" si="33"/>
        <v>0</v>
      </c>
    </row>
    <row r="129" customHeight="1" spans="1:51">
      <c r="A129" s="5" t="s">
        <v>310</v>
      </c>
      <c r="C129" s="5">
        <v>3</v>
      </c>
      <c r="D129" s="1" t="s">
        <v>220</v>
      </c>
      <c r="E129" s="1" t="s">
        <v>224</v>
      </c>
      <c r="L129" s="5">
        <f>IFERROR(VLOOKUP($D129&amp;$C129,生产方式定位!$A$2:$E$38,2,FALSE)+VLOOKUP($E129&amp;$C129,生产方式定位!$F$3:$J$38,2,FALSE),0)</f>
        <v>1900</v>
      </c>
      <c r="S129" s="5">
        <f>IFERROR(VLOOKUP($D129&amp;$C129,生产方式定位!$A$2:$E$38,3,FALSE)+VLOOKUP($E129&amp;$C129,生产方式定位!$F$3:$J$38,3,FALSE),0)</f>
        <v>70</v>
      </c>
      <c r="X129" s="5">
        <f>IFERROR(VLOOKUP($D129&amp;$C129,生产方式定位!$A$2:$E$38,5,FALSE)+VLOOKUP($E129&amp;$C129,生产方式定位!$F$3:$J$38,5,FALSE),"错误")</f>
        <v>2064</v>
      </c>
      <c r="Y129" s="27" t="str">
        <f t="shared" si="17"/>
        <v/>
      </c>
      <c r="Z129" s="50" t="str">
        <f t="shared" si="20"/>
        <v/>
      </c>
      <c r="AA129" s="50" t="str">
        <f t="shared" si="18"/>
        <v/>
      </c>
      <c r="AB129" s="28" t="str">
        <f t="shared" si="21"/>
        <v>9%</v>
      </c>
      <c r="AC129" s="1">
        <f t="shared" si="22"/>
        <v>94</v>
      </c>
      <c r="AD129" s="51">
        <f t="shared" si="19"/>
        <v>3</v>
      </c>
      <c r="AE129" t="str">
        <f t="shared" si="23"/>
        <v/>
      </c>
      <c r="AF129" t="str">
        <f t="shared" si="24"/>
        <v/>
      </c>
      <c r="AG129" t="str">
        <f t="shared" si="25"/>
        <v/>
      </c>
      <c r="AH129" t="str">
        <f t="shared" si="26"/>
        <v/>
      </c>
      <c r="AI129" t="str">
        <f t="shared" si="27"/>
        <v/>
      </c>
      <c r="AJ129" t="str">
        <f t="shared" si="28"/>
        <v/>
      </c>
      <c r="AK129" t="str">
        <f t="shared" si="29"/>
        <v/>
      </c>
      <c r="AL129" t="str">
        <f t="shared" si="30"/>
        <v/>
      </c>
      <c r="AN129" t="str">
        <f>IFERROR(ROUND(L129*(G129/$AW129)/VLOOKUP(F129,商品!$A$4:$D$67,4,FALSE),0),"")</f>
        <v/>
      </c>
      <c r="AO129" t="str">
        <f>IFERROR(ROUND(L129*(I129/$AW129)/VLOOKUP(H129,商品!$A$4:$D$67,4,FALSE),0),"")</f>
        <v/>
      </c>
      <c r="AP129" t="str">
        <f>IFERROR(ROUND(L129*(K129/$AW129)/VLOOKUP(J129,商品!$A$4:$D$67,4,FALSE),0),"")</f>
        <v/>
      </c>
      <c r="AQ129" t="str">
        <f>IFERROR(ROUND(S129*(N129/$AX129)/VLOOKUP(M129,职业!$A$3:$E$16,4,FALSE),0),"")</f>
        <v/>
      </c>
      <c r="AR129" t="str">
        <f>IFERROR(ROUND(S129*(P129/$AX129)/VLOOKUP(O129,职业!$A$3:$E$16,4,FALSE),0),"")</f>
        <v/>
      </c>
      <c r="AS129" t="str">
        <f>IFERROR(ROUND(S129*(R129/$AX129)/VLOOKUP(Q129,职业!$A$3:$E$16,4,FALSE),0),"")</f>
        <v/>
      </c>
      <c r="AT129" t="str">
        <f>IFERROR(ROUND(X129*(U129/$AY129)/VLOOKUP(T129,商品!$A$4:$D$67,4,FALSE),0),"")</f>
        <v/>
      </c>
      <c r="AU129" t="str">
        <f>IFERROR(ROUND(X129*(W129/$AY129)/VLOOKUP(V129,商品!$A$4:$D$67,4,FALSE),0),"")</f>
        <v/>
      </c>
      <c r="AW129">
        <f t="shared" si="31"/>
        <v>0</v>
      </c>
      <c r="AX129">
        <f t="shared" si="32"/>
        <v>0</v>
      </c>
      <c r="AY129">
        <f t="shared" si="33"/>
        <v>0</v>
      </c>
    </row>
    <row r="130" customHeight="1" spans="1:51">
      <c r="A130" s="5" t="s">
        <v>310</v>
      </c>
      <c r="C130" s="5">
        <v>4</v>
      </c>
      <c r="D130" s="1" t="s">
        <v>220</v>
      </c>
      <c r="E130" s="1" t="s">
        <v>224</v>
      </c>
      <c r="L130" s="5">
        <f>IFERROR(VLOOKUP($D130&amp;$C130,生产方式定位!$A$2:$E$38,2,FALSE)+VLOOKUP($E130&amp;$C130,生产方式定位!$F$3:$J$38,2,FALSE),0)</f>
        <v>2600</v>
      </c>
      <c r="S130" s="5">
        <f>IFERROR(VLOOKUP($D130&amp;$C130,生产方式定位!$A$2:$E$38,3,FALSE)+VLOOKUP($E130&amp;$C130,生产方式定位!$F$3:$J$38,3,FALSE),0)</f>
        <v>40</v>
      </c>
      <c r="X130" s="5">
        <f>IFERROR(VLOOKUP($D130&amp;$C130,生产方式定位!$A$2:$E$38,5,FALSE)+VLOOKUP($E130&amp;$C130,生产方式定位!$F$3:$J$38,5,FALSE),"错误")</f>
        <v>2782</v>
      </c>
      <c r="Y130" s="27" t="str">
        <f t="shared" si="17"/>
        <v/>
      </c>
      <c r="Z130" s="50" t="str">
        <f t="shared" si="20"/>
        <v/>
      </c>
      <c r="AA130" s="50" t="str">
        <f t="shared" si="18"/>
        <v/>
      </c>
      <c r="AB130" s="28" t="str">
        <f t="shared" si="21"/>
        <v>7%</v>
      </c>
      <c r="AC130" s="1">
        <f t="shared" si="22"/>
        <v>142</v>
      </c>
      <c r="AD130" s="51">
        <f t="shared" si="19"/>
        <v>4</v>
      </c>
      <c r="AE130" t="str">
        <f t="shared" si="23"/>
        <v/>
      </c>
      <c r="AF130" t="str">
        <f t="shared" si="24"/>
        <v/>
      </c>
      <c r="AG130" t="str">
        <f t="shared" si="25"/>
        <v/>
      </c>
      <c r="AH130" t="str">
        <f t="shared" si="26"/>
        <v/>
      </c>
      <c r="AI130" t="str">
        <f t="shared" si="27"/>
        <v/>
      </c>
      <c r="AJ130" t="str">
        <f t="shared" si="28"/>
        <v/>
      </c>
      <c r="AK130" t="str">
        <f t="shared" si="29"/>
        <v/>
      </c>
      <c r="AL130" t="str">
        <f t="shared" si="30"/>
        <v/>
      </c>
      <c r="AN130" t="str">
        <f>IFERROR(ROUND(L130*(G130/$AW130)/VLOOKUP(F130,商品!$A$4:$D$67,4,FALSE),0),"")</f>
        <v/>
      </c>
      <c r="AO130" t="str">
        <f>IFERROR(ROUND(L130*(I130/$AW130)/VLOOKUP(H130,商品!$A$4:$D$67,4,FALSE),0),"")</f>
        <v/>
      </c>
      <c r="AP130" t="str">
        <f>IFERROR(ROUND(L130*(K130/$AW130)/VLOOKUP(J130,商品!$A$4:$D$67,4,FALSE),0),"")</f>
        <v/>
      </c>
      <c r="AQ130" t="str">
        <f>IFERROR(ROUND(S130*(N130/$AX130)/VLOOKUP(M130,职业!$A$3:$E$16,4,FALSE),0),"")</f>
        <v/>
      </c>
      <c r="AR130" t="str">
        <f>IFERROR(ROUND(S130*(P130/$AX130)/VLOOKUP(O130,职业!$A$3:$E$16,4,FALSE),0),"")</f>
        <v/>
      </c>
      <c r="AS130" t="str">
        <f>IFERROR(ROUND(S130*(R130/$AX130)/VLOOKUP(Q130,职业!$A$3:$E$16,4,FALSE),0),"")</f>
        <v/>
      </c>
      <c r="AT130" t="str">
        <f>IFERROR(ROUND(X130*(U130/$AY130)/VLOOKUP(T130,商品!$A$4:$D$67,4,FALSE),0),"")</f>
        <v/>
      </c>
      <c r="AU130" t="str">
        <f>IFERROR(ROUND(X130*(W130/$AY130)/VLOOKUP(V130,商品!$A$4:$D$67,4,FALSE),0),"")</f>
        <v/>
      </c>
      <c r="AW130">
        <f t="shared" si="31"/>
        <v>0</v>
      </c>
      <c r="AX130">
        <f t="shared" si="32"/>
        <v>0</v>
      </c>
      <c r="AY130">
        <f t="shared" si="33"/>
        <v>0</v>
      </c>
    </row>
    <row r="131" customHeight="1" spans="1:51">
      <c r="A131" s="5" t="s">
        <v>310</v>
      </c>
      <c r="C131" s="5">
        <v>5</v>
      </c>
      <c r="D131" s="1" t="s">
        <v>220</v>
      </c>
      <c r="E131" s="1" t="s">
        <v>224</v>
      </c>
      <c r="L131" s="5">
        <f>IFERROR(VLOOKUP($D131&amp;$C131,生产方式定位!$A$2:$E$38,2,FALSE)+VLOOKUP($E131&amp;$C131,生产方式定位!$F$3:$J$38,2,FALSE),0)</f>
        <v>3300</v>
      </c>
      <c r="S131" s="5">
        <f>IFERROR(VLOOKUP($D131&amp;$C131,生产方式定位!$A$2:$E$38,3,FALSE)+VLOOKUP($E131&amp;$C131,生产方式定位!$F$3:$J$38,3,FALSE),0)</f>
        <v>10</v>
      </c>
      <c r="X131" s="5">
        <f>IFERROR(VLOOKUP($D131&amp;$C131,生产方式定位!$A$2:$E$38,5,FALSE)+VLOOKUP($E131&amp;$C131,生产方式定位!$F$3:$J$38,5,FALSE),"错误")</f>
        <v>3500</v>
      </c>
      <c r="Y131" s="27" t="str">
        <f t="shared" si="17"/>
        <v/>
      </c>
      <c r="Z131" s="50" t="str">
        <f t="shared" si="20"/>
        <v/>
      </c>
      <c r="AA131" s="50" t="str">
        <f t="shared" si="18"/>
        <v/>
      </c>
      <c r="AB131" s="28" t="str">
        <f t="shared" si="21"/>
        <v>6%</v>
      </c>
      <c r="AC131" s="1">
        <f t="shared" si="22"/>
        <v>190</v>
      </c>
      <c r="AD131" s="51">
        <f t="shared" si="19"/>
        <v>5</v>
      </c>
      <c r="AE131" t="str">
        <f t="shared" si="23"/>
        <v/>
      </c>
      <c r="AF131" t="str">
        <f t="shared" si="24"/>
        <v/>
      </c>
      <c r="AG131" t="str">
        <f t="shared" si="25"/>
        <v/>
      </c>
      <c r="AH131" t="str">
        <f t="shared" si="26"/>
        <v/>
      </c>
      <c r="AI131" t="str">
        <f t="shared" si="27"/>
        <v/>
      </c>
      <c r="AJ131" t="str">
        <f t="shared" si="28"/>
        <v/>
      </c>
      <c r="AK131" t="str">
        <f t="shared" si="29"/>
        <v/>
      </c>
      <c r="AL131" t="str">
        <f t="shared" si="30"/>
        <v/>
      </c>
      <c r="AN131" t="str">
        <f>IFERROR(ROUND(L131*(G131/$AW131)/VLOOKUP(F131,商品!$A$4:$D$67,4,FALSE),0),"")</f>
        <v/>
      </c>
      <c r="AO131" t="str">
        <f>IFERROR(ROUND(L131*(I131/$AW131)/VLOOKUP(H131,商品!$A$4:$D$67,4,FALSE),0),"")</f>
        <v/>
      </c>
      <c r="AP131" t="str">
        <f>IFERROR(ROUND(L131*(K131/$AW131)/VLOOKUP(J131,商品!$A$4:$D$67,4,FALSE),0),"")</f>
        <v/>
      </c>
      <c r="AQ131" t="str">
        <f>IFERROR(ROUND(S131*(N131/$AX131)/VLOOKUP(M131,职业!$A$3:$E$16,4,FALSE),0),"")</f>
        <v/>
      </c>
      <c r="AR131" t="str">
        <f>IFERROR(ROUND(S131*(P131/$AX131)/VLOOKUP(O131,职业!$A$3:$E$16,4,FALSE),0),"")</f>
        <v/>
      </c>
      <c r="AS131" t="str">
        <f>IFERROR(ROUND(S131*(R131/$AX131)/VLOOKUP(Q131,职业!$A$3:$E$16,4,FALSE),0),"")</f>
        <v/>
      </c>
      <c r="AT131" t="str">
        <f>IFERROR(ROUND(X131*(U131/$AY131)/VLOOKUP(T131,商品!$A$4:$D$67,4,FALSE),0),"")</f>
        <v/>
      </c>
      <c r="AU131" t="str">
        <f>IFERROR(ROUND(X131*(W131/$AY131)/VLOOKUP(V131,商品!$A$4:$D$67,4,FALSE),0),"")</f>
        <v/>
      </c>
      <c r="AW131">
        <f t="shared" si="31"/>
        <v>0</v>
      </c>
      <c r="AX131">
        <f t="shared" si="32"/>
        <v>0</v>
      </c>
      <c r="AY131">
        <f t="shared" si="33"/>
        <v>0</v>
      </c>
    </row>
    <row r="132" customHeight="1" spans="1:51">
      <c r="A132" s="18" t="s">
        <v>311</v>
      </c>
      <c r="C132" s="18">
        <v>1</v>
      </c>
      <c r="D132" s="1" t="s">
        <v>291</v>
      </c>
      <c r="E132" s="1" t="s">
        <v>225</v>
      </c>
      <c r="L132" s="18">
        <f>IFERROR(VLOOKUP($D132&amp;$C132,生产方式定位!$A$2:$E$38,2,FALSE)+VLOOKUP($E132&amp;$C132,生产方式定位!$F$3:$J$38,2,FALSE),0)</f>
        <v>0</v>
      </c>
      <c r="S132" s="18">
        <f>IFERROR(VLOOKUP($D132&amp;$C132,生产方式定位!$A$2:$E$38,3,FALSE)+VLOOKUP($E132&amp;$C132,生产方式定位!$F$3:$J$38,3,FALSE),0)</f>
        <v>100</v>
      </c>
      <c r="X132" s="18">
        <f>IFERROR(VLOOKUP($D132&amp;$C132,生产方式定位!$A$2:$E$38,5,FALSE)+VLOOKUP($E132&amp;$C132,生产方式定位!$F$3:$J$38,5,FALSE),"错误")</f>
        <v>100</v>
      </c>
      <c r="Y132" s="27" t="str">
        <f t="shared" si="17"/>
        <v/>
      </c>
      <c r="Z132" s="50" t="str">
        <f t="shared" si="20"/>
        <v/>
      </c>
      <c r="AA132" s="50" t="str">
        <f t="shared" si="18"/>
        <v/>
      </c>
      <c r="AB132" s="28" t="str">
        <f t="shared" si="21"/>
        <v/>
      </c>
      <c r="AC132" s="1" t="str">
        <f t="shared" si="22"/>
        <v/>
      </c>
      <c r="AD132" s="52">
        <f t="shared" si="19"/>
        <v>1</v>
      </c>
      <c r="AE132" t="str">
        <f t="shared" si="23"/>
        <v/>
      </c>
      <c r="AF132" t="str">
        <f t="shared" si="24"/>
        <v/>
      </c>
      <c r="AG132" t="str">
        <f t="shared" si="25"/>
        <v/>
      </c>
      <c r="AH132" t="str">
        <f t="shared" si="26"/>
        <v/>
      </c>
      <c r="AI132" t="str">
        <f t="shared" si="27"/>
        <v/>
      </c>
      <c r="AJ132" t="str">
        <f t="shared" si="28"/>
        <v/>
      </c>
      <c r="AK132" t="str">
        <f t="shared" si="29"/>
        <v/>
      </c>
      <c r="AL132" t="str">
        <f t="shared" si="30"/>
        <v/>
      </c>
      <c r="AN132" t="str">
        <f>IFERROR(ROUND(L132*(G132/$AW132)/VLOOKUP(F132,商品!$A$4:$D$67,4,FALSE),0),"")</f>
        <v/>
      </c>
      <c r="AO132" t="str">
        <f>IFERROR(ROUND(L132*(I132/$AW132)/VLOOKUP(H132,商品!$A$4:$D$67,4,FALSE),0),"")</f>
        <v/>
      </c>
      <c r="AP132" t="str">
        <f>IFERROR(ROUND(L132*(K132/$AW132)/VLOOKUP(J132,商品!$A$4:$D$67,4,FALSE),0),"")</f>
        <v/>
      </c>
      <c r="AQ132" t="str">
        <f>IFERROR(ROUND(S132*(N132/$AX132)/VLOOKUP(M132,职业!$A$3:$E$16,4,FALSE),0),"")</f>
        <v/>
      </c>
      <c r="AR132" t="str">
        <f>IFERROR(ROUND(S132*(P132/$AX132)/VLOOKUP(O132,职业!$A$3:$E$16,4,FALSE),0),"")</f>
        <v/>
      </c>
      <c r="AS132" t="str">
        <f>IFERROR(ROUND(S132*(R132/$AX132)/VLOOKUP(Q132,职业!$A$3:$E$16,4,FALSE),0),"")</f>
        <v/>
      </c>
      <c r="AT132" t="str">
        <f>IFERROR(ROUND(X132*(U132/$AY132)/VLOOKUP(T132,商品!$A$4:$D$67,4,FALSE),0),"")</f>
        <v/>
      </c>
      <c r="AU132" t="str">
        <f>IFERROR(ROUND(X132*(W132/$AY132)/VLOOKUP(V132,商品!$A$4:$D$67,4,FALSE),0),"")</f>
        <v/>
      </c>
      <c r="AW132">
        <f t="shared" si="31"/>
        <v>0</v>
      </c>
      <c r="AX132">
        <f t="shared" si="32"/>
        <v>0</v>
      </c>
      <c r="AY132">
        <f t="shared" si="33"/>
        <v>0</v>
      </c>
    </row>
    <row r="133" customHeight="1" spans="1:51">
      <c r="A133" s="18" t="s">
        <v>311</v>
      </c>
      <c r="C133" s="18">
        <v>2</v>
      </c>
      <c r="D133" s="1" t="s">
        <v>291</v>
      </c>
      <c r="E133" s="1" t="s">
        <v>225</v>
      </c>
      <c r="L133" s="18">
        <f>IFERROR(VLOOKUP($D133&amp;$C133,生产方式定位!$A$2:$E$38,2,FALSE)+VLOOKUP($E133&amp;$C133,生产方式定位!$F$3:$J$38,2,FALSE),0)</f>
        <v>0</v>
      </c>
      <c r="S133" s="18">
        <f>IFERROR(VLOOKUP($D133&amp;$C133,生产方式定位!$A$2:$E$38,3,FALSE)+VLOOKUP($E133&amp;$C133,生产方式定位!$F$3:$J$38,3,FALSE),0)</f>
        <v>100</v>
      </c>
      <c r="X133" s="18">
        <f>IFERROR(VLOOKUP($D133&amp;$C133,生产方式定位!$A$2:$E$38,5,FALSE)+VLOOKUP($E133&amp;$C133,生产方式定位!$F$3:$J$38,5,FALSE),"错误")</f>
        <v>100</v>
      </c>
      <c r="Y133" s="27" t="str">
        <f t="shared" ref="Y133:Y196" si="34">IF(AE133="","",AE133)&amp;IF(AF133="","",","&amp;AF133)&amp;IF(AG133="","",","&amp;AG133)</f>
        <v/>
      </c>
      <c r="Z133" s="50" t="str">
        <f t="shared" si="20"/>
        <v/>
      </c>
      <c r="AA133" s="50" t="str">
        <f t="shared" ref="AA133:AA196" si="35">IF(AK133="","",AK133)&amp;IF(AL133="","",","&amp;AL133)</f>
        <v/>
      </c>
      <c r="AB133" s="28" t="str">
        <f t="shared" si="21"/>
        <v/>
      </c>
      <c r="AC133" s="1" t="str">
        <f t="shared" si="22"/>
        <v/>
      </c>
      <c r="AD133" s="52">
        <f t="shared" ref="AD133:AD196" si="36">C133</f>
        <v>2</v>
      </c>
      <c r="AE133" t="str">
        <f t="shared" si="23"/>
        <v/>
      </c>
      <c r="AF133" t="str">
        <f t="shared" si="24"/>
        <v/>
      </c>
      <c r="AG133" t="str">
        <f t="shared" si="25"/>
        <v/>
      </c>
      <c r="AH133" t="str">
        <f t="shared" si="26"/>
        <v/>
      </c>
      <c r="AI133" t="str">
        <f t="shared" si="27"/>
        <v/>
      </c>
      <c r="AJ133" t="str">
        <f t="shared" si="28"/>
        <v/>
      </c>
      <c r="AK133" t="str">
        <f t="shared" si="29"/>
        <v/>
      </c>
      <c r="AL133" t="str">
        <f t="shared" si="30"/>
        <v/>
      </c>
      <c r="AN133" t="str">
        <f>IFERROR(ROUND(L133*(G133/$AW133)/VLOOKUP(F133,商品!$A$4:$D$67,4,FALSE),0),"")</f>
        <v/>
      </c>
      <c r="AO133" t="str">
        <f>IFERROR(ROUND(L133*(I133/$AW133)/VLOOKUP(H133,商品!$A$4:$D$67,4,FALSE),0),"")</f>
        <v/>
      </c>
      <c r="AP133" t="str">
        <f>IFERROR(ROUND(L133*(K133/$AW133)/VLOOKUP(J133,商品!$A$4:$D$67,4,FALSE),0),"")</f>
        <v/>
      </c>
      <c r="AQ133" t="str">
        <f>IFERROR(ROUND(S133*(N133/$AX133)/VLOOKUP(M133,职业!$A$3:$E$16,4,FALSE),0),"")</f>
        <v/>
      </c>
      <c r="AR133" t="str">
        <f>IFERROR(ROUND(S133*(P133/$AX133)/VLOOKUP(O133,职业!$A$3:$E$16,4,FALSE),0),"")</f>
        <v/>
      </c>
      <c r="AS133" t="str">
        <f>IFERROR(ROUND(S133*(R133/$AX133)/VLOOKUP(Q133,职业!$A$3:$E$16,4,FALSE),0),"")</f>
        <v/>
      </c>
      <c r="AT133" t="str">
        <f>IFERROR(ROUND(X133*(U133/$AY133)/VLOOKUP(T133,商品!$A$4:$D$67,4,FALSE),0),"")</f>
        <v/>
      </c>
      <c r="AU133" t="str">
        <f>IFERROR(ROUND(X133*(W133/$AY133)/VLOOKUP(V133,商品!$A$4:$D$67,4,FALSE),0),"")</f>
        <v/>
      </c>
      <c r="AW133">
        <f t="shared" si="31"/>
        <v>0</v>
      </c>
      <c r="AX133">
        <f t="shared" si="32"/>
        <v>0</v>
      </c>
      <c r="AY133">
        <f t="shared" si="33"/>
        <v>0</v>
      </c>
    </row>
    <row r="134" customHeight="1" spans="1:51">
      <c r="A134" s="18" t="s">
        <v>311</v>
      </c>
      <c r="C134" s="18">
        <v>3</v>
      </c>
      <c r="D134" s="1" t="s">
        <v>291</v>
      </c>
      <c r="E134" s="1" t="s">
        <v>225</v>
      </c>
      <c r="L134" s="18">
        <f>IFERROR(VLOOKUP($D134&amp;$C134,生产方式定位!$A$2:$E$38,2,FALSE)+VLOOKUP($E134&amp;$C134,生产方式定位!$F$3:$J$38,2,FALSE),0)</f>
        <v>0</v>
      </c>
      <c r="S134" s="18">
        <f>IFERROR(VLOOKUP($D134&amp;$C134,生产方式定位!$A$2:$E$38,3,FALSE)+VLOOKUP($E134&amp;$C134,生产方式定位!$F$3:$J$38,3,FALSE),0)</f>
        <v>100</v>
      </c>
      <c r="X134" s="18">
        <f>IFERROR(VLOOKUP($D134&amp;$C134,生产方式定位!$A$2:$E$38,5,FALSE)+VLOOKUP($E134&amp;$C134,生产方式定位!$F$3:$J$38,5,FALSE),"错误")</f>
        <v>100</v>
      </c>
      <c r="Y134" s="27" t="str">
        <f t="shared" si="34"/>
        <v/>
      </c>
      <c r="Z134" s="50" t="str">
        <f t="shared" ref="Z134:Z197" si="37">IF(AH134="","",AH134)&amp;IF(AI134="","",","&amp;AI134)&amp;IF(AJ134="","",","&amp;AJ134)</f>
        <v/>
      </c>
      <c r="AA134" s="50" t="str">
        <f t="shared" si="35"/>
        <v/>
      </c>
      <c r="AB134" s="28" t="str">
        <f t="shared" ref="AB134:AB197" si="38">IFERROR(ROUND(((X134/L134)-1)*100,0)&amp;"%","")</f>
        <v/>
      </c>
      <c r="AC134" s="1" t="str">
        <f t="shared" ref="AC134:AC197" si="39">IF(X134-S134-L134=0,"",X134-S134-L134)</f>
        <v/>
      </c>
      <c r="AD134" s="52">
        <f t="shared" si="36"/>
        <v>3</v>
      </c>
      <c r="AE134" t="str">
        <f t="shared" ref="AE134:AE197" si="40">IF(AN134="","",F134&amp;"*"&amp;AN134)</f>
        <v/>
      </c>
      <c r="AF134" t="str">
        <f t="shared" ref="AF134:AF197" si="41">IF(AO134="","",H134&amp;"*"&amp;AO134)</f>
        <v/>
      </c>
      <c r="AG134" t="str">
        <f t="shared" ref="AG134:AG197" si="42">IF(AP134="","",J134&amp;"*"&amp;AP134)</f>
        <v/>
      </c>
      <c r="AH134" t="str">
        <f t="shared" ref="AH134:AH197" si="43">IF(AQ134="","",M134&amp;"*"&amp;AQ134)</f>
        <v/>
      </c>
      <c r="AI134" t="str">
        <f t="shared" ref="AI134:AI197" si="44">IF(AR134="","",O134&amp;"*"&amp;AR134)</f>
        <v/>
      </c>
      <c r="AJ134" t="str">
        <f t="shared" ref="AJ134:AJ197" si="45">IF(AS134="","",Q134&amp;"*"&amp;AS134)</f>
        <v/>
      </c>
      <c r="AK134" t="str">
        <f t="shared" ref="AK134:AK197" si="46">IF(AT134="","",T134&amp;"*"&amp;AT134)</f>
        <v/>
      </c>
      <c r="AL134" t="str">
        <f t="shared" ref="AL134:AL197" si="47">IF(AU134="","",V134&amp;"*"&amp;AU134)</f>
        <v/>
      </c>
      <c r="AN134" t="str">
        <f>IFERROR(ROUND(L134*(G134/$AW134)/VLOOKUP(F134,商品!$A$4:$D$67,4,FALSE),0),"")</f>
        <v/>
      </c>
      <c r="AO134" t="str">
        <f>IFERROR(ROUND(L134*(I134/$AW134)/VLOOKUP(H134,商品!$A$4:$D$67,4,FALSE),0),"")</f>
        <v/>
      </c>
      <c r="AP134" t="str">
        <f>IFERROR(ROUND(L134*(K134/$AW134)/VLOOKUP(J134,商品!$A$4:$D$67,4,FALSE),0),"")</f>
        <v/>
      </c>
      <c r="AQ134" t="str">
        <f>IFERROR(ROUND(S134*(N134/$AX134)/VLOOKUP(M134,职业!$A$3:$E$16,4,FALSE),0),"")</f>
        <v/>
      </c>
      <c r="AR134" t="str">
        <f>IFERROR(ROUND(S134*(P134/$AX134)/VLOOKUP(O134,职业!$A$3:$E$16,4,FALSE),0),"")</f>
        <v/>
      </c>
      <c r="AS134" t="str">
        <f>IFERROR(ROUND(S134*(R134/$AX134)/VLOOKUP(Q134,职业!$A$3:$E$16,4,FALSE),0),"")</f>
        <v/>
      </c>
      <c r="AT134" t="str">
        <f>IFERROR(ROUND(X134*(U134/$AY134)/VLOOKUP(T134,商品!$A$4:$D$67,4,FALSE),0),"")</f>
        <v/>
      </c>
      <c r="AU134" t="str">
        <f>IFERROR(ROUND(X134*(W134/$AY134)/VLOOKUP(V134,商品!$A$4:$D$67,4,FALSE),0),"")</f>
        <v/>
      </c>
      <c r="AW134">
        <f t="shared" ref="AW134:AW197" si="48">G134+I134+K134</f>
        <v>0</v>
      </c>
      <c r="AX134">
        <f t="shared" ref="AX134:AX197" si="49">ABS(N134)+ABS(P134)+ABS(R134)</f>
        <v>0</v>
      </c>
      <c r="AY134">
        <f t="shared" ref="AY134:AY197" si="50">U134+W134</f>
        <v>0</v>
      </c>
    </row>
    <row r="135" customHeight="1" spans="1:51">
      <c r="A135" s="18" t="s">
        <v>311</v>
      </c>
      <c r="C135" s="18">
        <v>4</v>
      </c>
      <c r="D135" s="1" t="s">
        <v>291</v>
      </c>
      <c r="E135" s="1" t="s">
        <v>225</v>
      </c>
      <c r="L135" s="18">
        <f>IFERROR(VLOOKUP($D135&amp;$C135,生产方式定位!$A$2:$E$38,2,FALSE)+VLOOKUP($E135&amp;$C135,生产方式定位!$F$3:$J$38,2,FALSE),0)</f>
        <v>0</v>
      </c>
      <c r="S135" s="18">
        <f>IFERROR(VLOOKUP($D135&amp;$C135,生产方式定位!$A$2:$E$38,3,FALSE)+VLOOKUP($E135&amp;$C135,生产方式定位!$F$3:$J$38,3,FALSE),0)</f>
        <v>100</v>
      </c>
      <c r="X135" s="18">
        <f>IFERROR(VLOOKUP($D135&amp;$C135,生产方式定位!$A$2:$E$38,5,FALSE)+VLOOKUP($E135&amp;$C135,生产方式定位!$F$3:$J$38,5,FALSE),"错误")</f>
        <v>100</v>
      </c>
      <c r="Y135" s="27" t="str">
        <f t="shared" si="34"/>
        <v/>
      </c>
      <c r="Z135" s="50" t="str">
        <f t="shared" si="37"/>
        <v/>
      </c>
      <c r="AA135" s="50" t="str">
        <f t="shared" si="35"/>
        <v/>
      </c>
      <c r="AB135" s="28" t="str">
        <f t="shared" si="38"/>
        <v/>
      </c>
      <c r="AC135" s="1" t="str">
        <f t="shared" si="39"/>
        <v/>
      </c>
      <c r="AD135" s="52">
        <f t="shared" si="36"/>
        <v>4</v>
      </c>
      <c r="AE135" t="str">
        <f t="shared" si="40"/>
        <v/>
      </c>
      <c r="AF135" t="str">
        <f t="shared" si="41"/>
        <v/>
      </c>
      <c r="AG135" t="str">
        <f t="shared" si="42"/>
        <v/>
      </c>
      <c r="AH135" t="str">
        <f t="shared" si="43"/>
        <v/>
      </c>
      <c r="AI135" t="str">
        <f t="shared" si="44"/>
        <v/>
      </c>
      <c r="AJ135" t="str">
        <f t="shared" si="45"/>
        <v/>
      </c>
      <c r="AK135" t="str">
        <f t="shared" si="46"/>
        <v/>
      </c>
      <c r="AL135" t="str">
        <f t="shared" si="47"/>
        <v/>
      </c>
      <c r="AN135" t="str">
        <f>IFERROR(ROUND(L135*(G135/$AW135)/VLOOKUP(F135,商品!$A$4:$D$67,4,FALSE),0),"")</f>
        <v/>
      </c>
      <c r="AO135" t="str">
        <f>IFERROR(ROUND(L135*(I135/$AW135)/VLOOKUP(H135,商品!$A$4:$D$67,4,FALSE),0),"")</f>
        <v/>
      </c>
      <c r="AP135" t="str">
        <f>IFERROR(ROUND(L135*(K135/$AW135)/VLOOKUP(J135,商品!$A$4:$D$67,4,FALSE),0),"")</f>
        <v/>
      </c>
      <c r="AQ135" t="str">
        <f>IFERROR(ROUND(S135*(N135/$AX135)/VLOOKUP(M135,职业!$A$3:$E$16,4,FALSE),0),"")</f>
        <v/>
      </c>
      <c r="AR135" t="str">
        <f>IFERROR(ROUND(S135*(P135/$AX135)/VLOOKUP(O135,职业!$A$3:$E$16,4,FALSE),0),"")</f>
        <v/>
      </c>
      <c r="AS135" t="str">
        <f>IFERROR(ROUND(S135*(R135/$AX135)/VLOOKUP(Q135,职业!$A$3:$E$16,4,FALSE),0),"")</f>
        <v/>
      </c>
      <c r="AT135" t="str">
        <f>IFERROR(ROUND(X135*(U135/$AY135)/VLOOKUP(T135,商品!$A$4:$D$67,4,FALSE),0),"")</f>
        <v/>
      </c>
      <c r="AU135" t="str">
        <f>IFERROR(ROUND(X135*(W135/$AY135)/VLOOKUP(V135,商品!$A$4:$D$67,4,FALSE),0),"")</f>
        <v/>
      </c>
      <c r="AW135">
        <f t="shared" si="48"/>
        <v>0</v>
      </c>
      <c r="AX135">
        <f t="shared" si="49"/>
        <v>0</v>
      </c>
      <c r="AY135">
        <f t="shared" si="50"/>
        <v>0</v>
      </c>
    </row>
    <row r="136" customHeight="1" spans="1:51">
      <c r="A136" s="18" t="s">
        <v>311</v>
      </c>
      <c r="C136" s="18">
        <v>5</v>
      </c>
      <c r="D136" s="1" t="s">
        <v>291</v>
      </c>
      <c r="E136" s="1" t="s">
        <v>225</v>
      </c>
      <c r="L136" s="18">
        <f>IFERROR(VLOOKUP($D136&amp;$C136,生产方式定位!$A$2:$E$38,2,FALSE)+VLOOKUP($E136&amp;$C136,生产方式定位!$F$3:$J$38,2,FALSE),0)</f>
        <v>0</v>
      </c>
      <c r="S136" s="18">
        <f>IFERROR(VLOOKUP($D136&amp;$C136,生产方式定位!$A$2:$E$38,3,FALSE)+VLOOKUP($E136&amp;$C136,生产方式定位!$F$3:$J$38,3,FALSE),0)</f>
        <v>100</v>
      </c>
      <c r="X136" s="18">
        <f>IFERROR(VLOOKUP($D136&amp;$C136,生产方式定位!$A$2:$E$38,5,FALSE)+VLOOKUP($E136&amp;$C136,生产方式定位!$F$3:$J$38,5,FALSE),"错误")</f>
        <v>100</v>
      </c>
      <c r="Y136" s="27" t="str">
        <f t="shared" si="34"/>
        <v/>
      </c>
      <c r="Z136" s="50" t="str">
        <f t="shared" si="37"/>
        <v/>
      </c>
      <c r="AA136" s="50" t="str">
        <f t="shared" si="35"/>
        <v/>
      </c>
      <c r="AB136" s="28" t="str">
        <f t="shared" si="38"/>
        <v/>
      </c>
      <c r="AC136" s="1" t="str">
        <f t="shared" si="39"/>
        <v/>
      </c>
      <c r="AD136" s="52">
        <f t="shared" si="36"/>
        <v>5</v>
      </c>
      <c r="AE136" t="str">
        <f t="shared" si="40"/>
        <v/>
      </c>
      <c r="AF136" t="str">
        <f t="shared" si="41"/>
        <v/>
      </c>
      <c r="AG136" t="str">
        <f t="shared" si="42"/>
        <v/>
      </c>
      <c r="AH136" t="str">
        <f t="shared" si="43"/>
        <v/>
      </c>
      <c r="AI136" t="str">
        <f t="shared" si="44"/>
        <v/>
      </c>
      <c r="AJ136" t="str">
        <f t="shared" si="45"/>
        <v/>
      </c>
      <c r="AK136" t="str">
        <f t="shared" si="46"/>
        <v/>
      </c>
      <c r="AL136" t="str">
        <f t="shared" si="47"/>
        <v/>
      </c>
      <c r="AN136" t="str">
        <f>IFERROR(ROUND(L136*(G136/$AW136)/VLOOKUP(F136,商品!$A$4:$D$67,4,FALSE),0),"")</f>
        <v/>
      </c>
      <c r="AO136" t="str">
        <f>IFERROR(ROUND(L136*(I136/$AW136)/VLOOKUP(H136,商品!$A$4:$D$67,4,FALSE),0),"")</f>
        <v/>
      </c>
      <c r="AP136" t="str">
        <f>IFERROR(ROUND(L136*(K136/$AW136)/VLOOKUP(J136,商品!$A$4:$D$67,4,FALSE),0),"")</f>
        <v/>
      </c>
      <c r="AQ136" t="str">
        <f>IFERROR(ROUND(S136*(N136/$AX136)/VLOOKUP(M136,职业!$A$3:$E$16,4,FALSE),0),"")</f>
        <v/>
      </c>
      <c r="AR136" t="str">
        <f>IFERROR(ROUND(S136*(P136/$AX136)/VLOOKUP(O136,职业!$A$3:$E$16,4,FALSE),0),"")</f>
        <v/>
      </c>
      <c r="AS136" t="str">
        <f>IFERROR(ROUND(S136*(R136/$AX136)/VLOOKUP(Q136,职业!$A$3:$E$16,4,FALSE),0),"")</f>
        <v/>
      </c>
      <c r="AT136" t="str">
        <f>IFERROR(ROUND(X136*(U136/$AY136)/VLOOKUP(T136,商品!$A$4:$D$67,4,FALSE),0),"")</f>
        <v/>
      </c>
      <c r="AU136" t="str">
        <f>IFERROR(ROUND(X136*(W136/$AY136)/VLOOKUP(V136,商品!$A$4:$D$67,4,FALSE),0),"")</f>
        <v/>
      </c>
      <c r="AW136">
        <f t="shared" si="48"/>
        <v>0</v>
      </c>
      <c r="AX136">
        <f t="shared" si="49"/>
        <v>0</v>
      </c>
      <c r="AY136">
        <f t="shared" si="50"/>
        <v>0</v>
      </c>
    </row>
    <row r="137" customHeight="1" spans="1:51">
      <c r="A137" s="18" t="s">
        <v>311</v>
      </c>
      <c r="C137" s="18">
        <v>6</v>
      </c>
      <c r="D137" s="1" t="s">
        <v>291</v>
      </c>
      <c r="E137" s="1" t="s">
        <v>225</v>
      </c>
      <c r="L137" s="18">
        <f>IFERROR(VLOOKUP($D137&amp;$C137,生产方式定位!$A$2:$E$38,2,FALSE)+VLOOKUP($E137&amp;$C137,生产方式定位!$F$3:$J$38,2,FALSE),0)</f>
        <v>0</v>
      </c>
      <c r="S137" s="18">
        <f>IFERROR(VLOOKUP($D137&amp;$C137,生产方式定位!$A$2:$E$38,3,FALSE)+VLOOKUP($E137&amp;$C137,生产方式定位!$F$3:$J$38,3,FALSE),0)</f>
        <v>100</v>
      </c>
      <c r="X137" s="18">
        <f>IFERROR(VLOOKUP($D137&amp;$C137,生产方式定位!$A$2:$E$38,5,FALSE)+VLOOKUP($E137&amp;$C137,生产方式定位!$F$3:$J$38,5,FALSE),"错误")</f>
        <v>100</v>
      </c>
      <c r="Y137" s="27" t="str">
        <f t="shared" si="34"/>
        <v/>
      </c>
      <c r="Z137" s="50" t="str">
        <f t="shared" si="37"/>
        <v/>
      </c>
      <c r="AA137" s="50" t="str">
        <f t="shared" si="35"/>
        <v/>
      </c>
      <c r="AB137" s="28" t="str">
        <f t="shared" si="38"/>
        <v/>
      </c>
      <c r="AC137" s="1" t="str">
        <f t="shared" si="39"/>
        <v/>
      </c>
      <c r="AD137" s="52">
        <f t="shared" si="36"/>
        <v>6</v>
      </c>
      <c r="AE137" t="str">
        <f t="shared" si="40"/>
        <v/>
      </c>
      <c r="AF137" t="str">
        <f t="shared" si="41"/>
        <v/>
      </c>
      <c r="AG137" t="str">
        <f t="shared" si="42"/>
        <v/>
      </c>
      <c r="AH137" t="str">
        <f t="shared" si="43"/>
        <v/>
      </c>
      <c r="AI137" t="str">
        <f t="shared" si="44"/>
        <v/>
      </c>
      <c r="AJ137" t="str">
        <f t="shared" si="45"/>
        <v/>
      </c>
      <c r="AK137" t="str">
        <f t="shared" si="46"/>
        <v/>
      </c>
      <c r="AL137" t="str">
        <f t="shared" si="47"/>
        <v/>
      </c>
      <c r="AN137" t="str">
        <f>IFERROR(ROUND(L137*(G137/$AW137)/VLOOKUP(F137,商品!$A$4:$D$67,4,FALSE),0),"")</f>
        <v/>
      </c>
      <c r="AO137" t="str">
        <f>IFERROR(ROUND(L137*(I137/$AW137)/VLOOKUP(H137,商品!$A$4:$D$67,4,FALSE),0),"")</f>
        <v/>
      </c>
      <c r="AP137" t="str">
        <f>IFERROR(ROUND(L137*(K137/$AW137)/VLOOKUP(J137,商品!$A$4:$D$67,4,FALSE),0),"")</f>
        <v/>
      </c>
      <c r="AQ137" t="str">
        <f>IFERROR(ROUND(S137*(N137/$AX137)/VLOOKUP(M137,职业!$A$3:$E$16,4,FALSE),0),"")</f>
        <v/>
      </c>
      <c r="AR137" t="str">
        <f>IFERROR(ROUND(S137*(P137/$AX137)/VLOOKUP(O137,职业!$A$3:$E$16,4,FALSE),0),"")</f>
        <v/>
      </c>
      <c r="AS137" t="str">
        <f>IFERROR(ROUND(S137*(R137/$AX137)/VLOOKUP(Q137,职业!$A$3:$E$16,4,FALSE),0),"")</f>
        <v/>
      </c>
      <c r="AT137" t="str">
        <f>IFERROR(ROUND(X137*(U137/$AY137)/VLOOKUP(T137,商品!$A$4:$D$67,4,FALSE),0),"")</f>
        <v/>
      </c>
      <c r="AU137" t="str">
        <f>IFERROR(ROUND(X137*(W137/$AY137)/VLOOKUP(V137,商品!$A$4:$D$67,4,FALSE),0),"")</f>
        <v/>
      </c>
      <c r="AW137">
        <f t="shared" si="48"/>
        <v>0</v>
      </c>
      <c r="AX137">
        <f t="shared" si="49"/>
        <v>0</v>
      </c>
      <c r="AY137">
        <f t="shared" si="50"/>
        <v>0</v>
      </c>
    </row>
    <row r="138" customHeight="1" spans="1:51">
      <c r="A138" s="18" t="s">
        <v>311</v>
      </c>
      <c r="C138" s="18">
        <v>7</v>
      </c>
      <c r="D138" s="1" t="s">
        <v>291</v>
      </c>
      <c r="E138" s="1" t="s">
        <v>225</v>
      </c>
      <c r="L138" s="18">
        <f>IFERROR(VLOOKUP($D138&amp;$C138,生产方式定位!$A$2:$E$38,2,FALSE)+VLOOKUP($E138&amp;$C138,生产方式定位!$F$3:$J$38,2,FALSE),0)</f>
        <v>0</v>
      </c>
      <c r="S138" s="18">
        <f>IFERROR(VLOOKUP($D138&amp;$C138,生产方式定位!$A$2:$E$38,3,FALSE)+VLOOKUP($E138&amp;$C138,生产方式定位!$F$3:$J$38,3,FALSE),0)</f>
        <v>100</v>
      </c>
      <c r="X138" s="18">
        <f>IFERROR(VLOOKUP($D138&amp;$C138,生产方式定位!$A$2:$E$38,5,FALSE)+VLOOKUP($E138&amp;$C138,生产方式定位!$F$3:$J$38,5,FALSE),"错误")</f>
        <v>100</v>
      </c>
      <c r="Y138" s="27" t="str">
        <f t="shared" si="34"/>
        <v/>
      </c>
      <c r="Z138" s="50" t="str">
        <f t="shared" si="37"/>
        <v/>
      </c>
      <c r="AA138" s="50" t="str">
        <f t="shared" si="35"/>
        <v/>
      </c>
      <c r="AB138" s="28" t="str">
        <f t="shared" si="38"/>
        <v/>
      </c>
      <c r="AC138" s="1" t="str">
        <f t="shared" si="39"/>
        <v/>
      </c>
      <c r="AD138" s="52">
        <f t="shared" si="36"/>
        <v>7</v>
      </c>
      <c r="AE138" t="str">
        <f t="shared" si="40"/>
        <v/>
      </c>
      <c r="AF138" t="str">
        <f t="shared" si="41"/>
        <v/>
      </c>
      <c r="AG138" t="str">
        <f t="shared" si="42"/>
        <v/>
      </c>
      <c r="AH138" t="str">
        <f t="shared" si="43"/>
        <v/>
      </c>
      <c r="AI138" t="str">
        <f t="shared" si="44"/>
        <v/>
      </c>
      <c r="AJ138" t="str">
        <f t="shared" si="45"/>
        <v/>
      </c>
      <c r="AK138" t="str">
        <f t="shared" si="46"/>
        <v/>
      </c>
      <c r="AL138" t="str">
        <f t="shared" si="47"/>
        <v/>
      </c>
      <c r="AN138" t="str">
        <f>IFERROR(ROUND(L138*(G138/$AW138)/VLOOKUP(F138,商品!$A$4:$D$67,4,FALSE),0),"")</f>
        <v/>
      </c>
      <c r="AO138" t="str">
        <f>IFERROR(ROUND(L138*(I138/$AW138)/VLOOKUP(H138,商品!$A$4:$D$67,4,FALSE),0),"")</f>
        <v/>
      </c>
      <c r="AP138" t="str">
        <f>IFERROR(ROUND(L138*(K138/$AW138)/VLOOKUP(J138,商品!$A$4:$D$67,4,FALSE),0),"")</f>
        <v/>
      </c>
      <c r="AQ138" t="str">
        <f>IFERROR(ROUND(S138*(N138/$AX138)/VLOOKUP(M138,职业!$A$3:$E$16,4,FALSE),0),"")</f>
        <v/>
      </c>
      <c r="AR138" t="str">
        <f>IFERROR(ROUND(S138*(P138/$AX138)/VLOOKUP(O138,职业!$A$3:$E$16,4,FALSE),0),"")</f>
        <v/>
      </c>
      <c r="AS138" t="str">
        <f>IFERROR(ROUND(S138*(R138/$AX138)/VLOOKUP(Q138,职业!$A$3:$E$16,4,FALSE),0),"")</f>
        <v/>
      </c>
      <c r="AT138" t="str">
        <f>IFERROR(ROUND(X138*(U138/$AY138)/VLOOKUP(T138,商品!$A$4:$D$67,4,FALSE),0),"")</f>
        <v/>
      </c>
      <c r="AU138" t="str">
        <f>IFERROR(ROUND(X138*(W138/$AY138)/VLOOKUP(V138,商品!$A$4:$D$67,4,FALSE),0),"")</f>
        <v/>
      </c>
      <c r="AW138">
        <f t="shared" si="48"/>
        <v>0</v>
      </c>
      <c r="AX138">
        <f t="shared" si="49"/>
        <v>0</v>
      </c>
      <c r="AY138">
        <f t="shared" si="50"/>
        <v>0</v>
      </c>
    </row>
    <row r="139" customHeight="1" spans="1:51">
      <c r="A139" s="18" t="s">
        <v>311</v>
      </c>
      <c r="C139" s="18">
        <v>8</v>
      </c>
      <c r="D139" s="1" t="s">
        <v>291</v>
      </c>
      <c r="E139" s="1" t="s">
        <v>225</v>
      </c>
      <c r="L139" s="18">
        <f>IFERROR(VLOOKUP($D139&amp;$C139,生产方式定位!$A$2:$E$38,2,FALSE)+VLOOKUP($E139&amp;$C139,生产方式定位!$F$3:$J$38,2,FALSE),0)</f>
        <v>0</v>
      </c>
      <c r="S139" s="18">
        <f>IFERROR(VLOOKUP($D139&amp;$C139,生产方式定位!$A$2:$E$38,3,FALSE)+VLOOKUP($E139&amp;$C139,生产方式定位!$F$3:$J$38,3,FALSE),0)</f>
        <v>100</v>
      </c>
      <c r="X139" s="18">
        <f>IFERROR(VLOOKUP($D139&amp;$C139,生产方式定位!$A$2:$E$38,5,FALSE)+VLOOKUP($E139&amp;$C139,生产方式定位!$F$3:$J$38,5,FALSE),"错误")</f>
        <v>100</v>
      </c>
      <c r="Y139" s="27" t="str">
        <f t="shared" si="34"/>
        <v/>
      </c>
      <c r="Z139" s="50" t="str">
        <f t="shared" si="37"/>
        <v/>
      </c>
      <c r="AA139" s="50" t="str">
        <f t="shared" si="35"/>
        <v/>
      </c>
      <c r="AB139" s="28" t="str">
        <f t="shared" si="38"/>
        <v/>
      </c>
      <c r="AC139" s="1" t="str">
        <f t="shared" si="39"/>
        <v/>
      </c>
      <c r="AD139" s="52">
        <f t="shared" si="36"/>
        <v>8</v>
      </c>
      <c r="AE139" t="str">
        <f t="shared" si="40"/>
        <v/>
      </c>
      <c r="AF139" t="str">
        <f t="shared" si="41"/>
        <v/>
      </c>
      <c r="AG139" t="str">
        <f t="shared" si="42"/>
        <v/>
      </c>
      <c r="AH139" t="str">
        <f t="shared" si="43"/>
        <v/>
      </c>
      <c r="AI139" t="str">
        <f t="shared" si="44"/>
        <v/>
      </c>
      <c r="AJ139" t="str">
        <f t="shared" si="45"/>
        <v/>
      </c>
      <c r="AK139" t="str">
        <f t="shared" si="46"/>
        <v/>
      </c>
      <c r="AL139" t="str">
        <f t="shared" si="47"/>
        <v/>
      </c>
      <c r="AN139" t="str">
        <f>IFERROR(ROUND(L139*(G139/$AW139)/VLOOKUP(F139,商品!$A$4:$D$67,4,FALSE),0),"")</f>
        <v/>
      </c>
      <c r="AO139" t="str">
        <f>IFERROR(ROUND(L139*(I139/$AW139)/VLOOKUP(H139,商品!$A$4:$D$67,4,FALSE),0),"")</f>
        <v/>
      </c>
      <c r="AP139" t="str">
        <f>IFERROR(ROUND(L139*(K139/$AW139)/VLOOKUP(J139,商品!$A$4:$D$67,4,FALSE),0),"")</f>
        <v/>
      </c>
      <c r="AQ139" t="str">
        <f>IFERROR(ROUND(S139*(N139/$AX139)/VLOOKUP(M139,职业!$A$3:$E$16,4,FALSE),0),"")</f>
        <v/>
      </c>
      <c r="AR139" t="str">
        <f>IFERROR(ROUND(S139*(P139/$AX139)/VLOOKUP(O139,职业!$A$3:$E$16,4,FALSE),0),"")</f>
        <v/>
      </c>
      <c r="AS139" t="str">
        <f>IFERROR(ROUND(S139*(R139/$AX139)/VLOOKUP(Q139,职业!$A$3:$E$16,4,FALSE),0),"")</f>
        <v/>
      </c>
      <c r="AT139" t="str">
        <f>IFERROR(ROUND(X139*(U139/$AY139)/VLOOKUP(T139,商品!$A$4:$D$67,4,FALSE),0),"")</f>
        <v/>
      </c>
      <c r="AU139" t="str">
        <f>IFERROR(ROUND(X139*(W139/$AY139)/VLOOKUP(V139,商品!$A$4:$D$67,4,FALSE),0),"")</f>
        <v/>
      </c>
      <c r="AW139">
        <f t="shared" si="48"/>
        <v>0</v>
      </c>
      <c r="AX139">
        <f t="shared" si="49"/>
        <v>0</v>
      </c>
      <c r="AY139">
        <f t="shared" si="50"/>
        <v>0</v>
      </c>
    </row>
    <row r="140" customHeight="1" spans="1:51">
      <c r="A140" s="5" t="s">
        <v>313</v>
      </c>
      <c r="C140" s="5">
        <v>1</v>
      </c>
      <c r="D140" s="1" t="s">
        <v>220</v>
      </c>
      <c r="E140" s="1" t="s">
        <v>222</v>
      </c>
      <c r="L140" s="5">
        <f>IFERROR(VLOOKUP($D140&amp;$C140,生产方式定位!$A$2:$E$38,2,FALSE)+VLOOKUP($E140&amp;$C140,生产方式定位!$F$3:$J$38,2,FALSE),0)</f>
        <v>500</v>
      </c>
      <c r="S140" s="5">
        <f>IFERROR(VLOOKUP($D140&amp;$C140,生产方式定位!$A$2:$E$38,3,FALSE)+VLOOKUP($E140&amp;$C140,生产方式定位!$F$3:$J$38,3,FALSE),0)</f>
        <v>150</v>
      </c>
      <c r="X140" s="5">
        <f>IFERROR(VLOOKUP($D140&amp;$C140,生产方式定位!$A$2:$E$38,5,FALSE)+VLOOKUP($E140&amp;$C140,生产方式定位!$F$3:$J$38,5,FALSE),"错误")</f>
        <v>715</v>
      </c>
      <c r="Y140" s="27" t="str">
        <f t="shared" si="34"/>
        <v/>
      </c>
      <c r="Z140" s="50" t="str">
        <f t="shared" si="37"/>
        <v/>
      </c>
      <c r="AA140" s="50" t="str">
        <f t="shared" si="35"/>
        <v/>
      </c>
      <c r="AB140" s="28" t="str">
        <f t="shared" si="38"/>
        <v>43%</v>
      </c>
      <c r="AC140" s="1">
        <f t="shared" si="39"/>
        <v>65</v>
      </c>
      <c r="AD140" s="51">
        <f t="shared" si="36"/>
        <v>1</v>
      </c>
      <c r="AE140" t="str">
        <f t="shared" si="40"/>
        <v/>
      </c>
      <c r="AF140" t="str">
        <f t="shared" si="41"/>
        <v/>
      </c>
      <c r="AG140" t="str">
        <f t="shared" si="42"/>
        <v/>
      </c>
      <c r="AH140" t="str">
        <f t="shared" si="43"/>
        <v/>
      </c>
      <c r="AI140" t="str">
        <f t="shared" si="44"/>
        <v/>
      </c>
      <c r="AJ140" t="str">
        <f t="shared" si="45"/>
        <v/>
      </c>
      <c r="AK140" t="str">
        <f t="shared" si="46"/>
        <v/>
      </c>
      <c r="AL140" t="str">
        <f t="shared" si="47"/>
        <v/>
      </c>
      <c r="AN140" t="str">
        <f>IFERROR(ROUND(L140*(G140/$AW140)/VLOOKUP(F140,商品!$A$4:$D$67,4,FALSE),0),"")</f>
        <v/>
      </c>
      <c r="AO140" t="str">
        <f>IFERROR(ROUND(L140*(I140/$AW140)/VLOOKUP(H140,商品!$A$4:$D$67,4,FALSE),0),"")</f>
        <v/>
      </c>
      <c r="AP140" t="str">
        <f>IFERROR(ROUND(L140*(K140/$AW140)/VLOOKUP(J140,商品!$A$4:$D$67,4,FALSE),0),"")</f>
        <v/>
      </c>
      <c r="AQ140" t="str">
        <f>IFERROR(ROUND(S140*(N140/$AX140)/VLOOKUP(M140,职业!$A$3:$E$16,4,FALSE),0),"")</f>
        <v/>
      </c>
      <c r="AR140" t="str">
        <f>IFERROR(ROUND(S140*(P140/$AX140)/VLOOKUP(O140,职业!$A$3:$E$16,4,FALSE),0),"")</f>
        <v/>
      </c>
      <c r="AS140" t="str">
        <f>IFERROR(ROUND(S140*(R140/$AX140)/VLOOKUP(Q140,职业!$A$3:$E$16,4,FALSE),0),"")</f>
        <v/>
      </c>
      <c r="AT140" t="str">
        <f>IFERROR(ROUND(X140*(U140/$AY140)/VLOOKUP(T140,商品!$A$4:$D$67,4,FALSE),0),"")</f>
        <v/>
      </c>
      <c r="AU140" t="str">
        <f>IFERROR(ROUND(X140*(W140/$AY140)/VLOOKUP(V140,商品!$A$4:$D$67,4,FALSE),0),"")</f>
        <v/>
      </c>
      <c r="AW140">
        <f t="shared" si="48"/>
        <v>0</v>
      </c>
      <c r="AX140">
        <f t="shared" si="49"/>
        <v>0</v>
      </c>
      <c r="AY140">
        <f t="shared" si="50"/>
        <v>0</v>
      </c>
    </row>
    <row r="141" customHeight="1" spans="1:51">
      <c r="A141" s="5" t="s">
        <v>313</v>
      </c>
      <c r="C141" s="5">
        <v>2</v>
      </c>
      <c r="D141" s="1" t="s">
        <v>220</v>
      </c>
      <c r="E141" s="1" t="s">
        <v>222</v>
      </c>
      <c r="L141" s="5">
        <f>IFERROR(VLOOKUP($D141&amp;$C141,生产方式定位!$A$2:$E$38,2,FALSE)+VLOOKUP($E141&amp;$C141,生产方式定位!$F$3:$J$38,2,FALSE),0)</f>
        <v>1200</v>
      </c>
      <c r="S141" s="5">
        <f>IFERROR(VLOOKUP($D141&amp;$C141,生产方式定位!$A$2:$E$38,3,FALSE)+VLOOKUP($E141&amp;$C141,生产方式定位!$F$3:$J$38,3,FALSE),0)</f>
        <v>140</v>
      </c>
      <c r="X141" s="5">
        <f>IFERROR(VLOOKUP($D141&amp;$C141,生产方式定位!$A$2:$E$38,5,FALSE)+VLOOKUP($E141&amp;$C141,生产方式定位!$F$3:$J$38,5,FALSE),"错误")</f>
        <v>1390</v>
      </c>
      <c r="Y141" s="27" t="str">
        <f t="shared" si="34"/>
        <v/>
      </c>
      <c r="Z141" s="50" t="str">
        <f t="shared" si="37"/>
        <v/>
      </c>
      <c r="AA141" s="50" t="str">
        <f t="shared" si="35"/>
        <v/>
      </c>
      <c r="AB141" s="28" t="str">
        <f t="shared" si="38"/>
        <v>16%</v>
      </c>
      <c r="AC141" s="1">
        <f t="shared" si="39"/>
        <v>50</v>
      </c>
      <c r="AD141" s="51">
        <f t="shared" si="36"/>
        <v>2</v>
      </c>
      <c r="AE141" t="str">
        <f t="shared" si="40"/>
        <v/>
      </c>
      <c r="AF141" t="str">
        <f t="shared" si="41"/>
        <v/>
      </c>
      <c r="AG141" t="str">
        <f t="shared" si="42"/>
        <v/>
      </c>
      <c r="AH141" t="str">
        <f t="shared" si="43"/>
        <v/>
      </c>
      <c r="AI141" t="str">
        <f t="shared" si="44"/>
        <v/>
      </c>
      <c r="AJ141" t="str">
        <f t="shared" si="45"/>
        <v/>
      </c>
      <c r="AK141" t="str">
        <f t="shared" si="46"/>
        <v/>
      </c>
      <c r="AL141" t="str">
        <f t="shared" si="47"/>
        <v/>
      </c>
      <c r="AN141" t="str">
        <f>IFERROR(ROUND(L141*(G141/$AW141)/VLOOKUP(F141,商品!$A$4:$D$67,4,FALSE),0),"")</f>
        <v/>
      </c>
      <c r="AO141" t="str">
        <f>IFERROR(ROUND(L141*(I141/$AW141)/VLOOKUP(H141,商品!$A$4:$D$67,4,FALSE),0),"")</f>
        <v/>
      </c>
      <c r="AP141" t="str">
        <f>IFERROR(ROUND(L141*(K141/$AW141)/VLOOKUP(J141,商品!$A$4:$D$67,4,FALSE),0),"")</f>
        <v/>
      </c>
      <c r="AQ141" t="str">
        <f>IFERROR(ROUND(S141*(N141/$AX141)/VLOOKUP(M141,职业!$A$3:$E$16,4,FALSE),0),"")</f>
        <v/>
      </c>
      <c r="AR141" t="str">
        <f>IFERROR(ROUND(S141*(P141/$AX141)/VLOOKUP(O141,职业!$A$3:$E$16,4,FALSE),0),"")</f>
        <v/>
      </c>
      <c r="AS141" t="str">
        <f>IFERROR(ROUND(S141*(R141/$AX141)/VLOOKUP(Q141,职业!$A$3:$E$16,4,FALSE),0),"")</f>
        <v/>
      </c>
      <c r="AT141" t="str">
        <f>IFERROR(ROUND(X141*(U141/$AY141)/VLOOKUP(T141,商品!$A$4:$D$67,4,FALSE),0),"")</f>
        <v/>
      </c>
      <c r="AU141" t="str">
        <f>IFERROR(ROUND(X141*(W141/$AY141)/VLOOKUP(V141,商品!$A$4:$D$67,4,FALSE),0),"")</f>
        <v/>
      </c>
      <c r="AW141">
        <f t="shared" si="48"/>
        <v>0</v>
      </c>
      <c r="AX141">
        <f t="shared" si="49"/>
        <v>0</v>
      </c>
      <c r="AY141">
        <f t="shared" si="50"/>
        <v>0</v>
      </c>
    </row>
    <row r="142" customHeight="1" spans="1:51">
      <c r="A142" s="5" t="s">
        <v>313</v>
      </c>
      <c r="C142" s="5">
        <v>3</v>
      </c>
      <c r="D142" s="1" t="s">
        <v>220</v>
      </c>
      <c r="E142" s="1" t="s">
        <v>222</v>
      </c>
      <c r="L142" s="5">
        <f>IFERROR(VLOOKUP($D142&amp;$C142,生产方式定位!$A$2:$E$38,2,FALSE)+VLOOKUP($E142&amp;$C142,生产方式定位!$F$3:$J$38,2,FALSE),0)</f>
        <v>1525</v>
      </c>
      <c r="S142" s="5">
        <f>IFERROR(VLOOKUP($D142&amp;$C142,生产方式定位!$A$2:$E$38,3,FALSE)+VLOOKUP($E142&amp;$C142,生产方式定位!$F$3:$J$38,3,FALSE),0)</f>
        <v>130</v>
      </c>
      <c r="X142" s="5">
        <f>IFERROR(VLOOKUP($D142&amp;$C142,生产方式定位!$A$2:$E$38,5,FALSE)+VLOOKUP($E142&amp;$C142,生产方式定位!$F$3:$J$38,5,FALSE),"错误")</f>
        <v>1718</v>
      </c>
      <c r="Y142" s="27" t="str">
        <f t="shared" si="34"/>
        <v/>
      </c>
      <c r="Z142" s="50" t="str">
        <f t="shared" si="37"/>
        <v/>
      </c>
      <c r="AA142" s="50" t="str">
        <f t="shared" si="35"/>
        <v/>
      </c>
      <c r="AB142" s="28" t="str">
        <f t="shared" si="38"/>
        <v>13%</v>
      </c>
      <c r="AC142" s="1">
        <f t="shared" si="39"/>
        <v>63</v>
      </c>
      <c r="AD142" s="51">
        <f t="shared" si="36"/>
        <v>3</v>
      </c>
      <c r="AE142" t="str">
        <f t="shared" si="40"/>
        <v/>
      </c>
      <c r="AF142" t="str">
        <f t="shared" si="41"/>
        <v/>
      </c>
      <c r="AG142" t="str">
        <f t="shared" si="42"/>
        <v/>
      </c>
      <c r="AH142" t="str">
        <f t="shared" si="43"/>
        <v/>
      </c>
      <c r="AI142" t="str">
        <f t="shared" si="44"/>
        <v/>
      </c>
      <c r="AJ142" t="str">
        <f t="shared" si="45"/>
        <v/>
      </c>
      <c r="AK142" t="str">
        <f t="shared" si="46"/>
        <v/>
      </c>
      <c r="AL142" t="str">
        <f t="shared" si="47"/>
        <v/>
      </c>
      <c r="AN142" t="str">
        <f>IFERROR(ROUND(L142*(G142/$AW142)/VLOOKUP(F142,商品!$A$4:$D$67,4,FALSE),0),"")</f>
        <v/>
      </c>
      <c r="AO142" t="str">
        <f>IFERROR(ROUND(L142*(I142/$AW142)/VLOOKUP(H142,商品!$A$4:$D$67,4,FALSE),0),"")</f>
        <v/>
      </c>
      <c r="AP142" t="str">
        <f>IFERROR(ROUND(L142*(K142/$AW142)/VLOOKUP(J142,商品!$A$4:$D$67,4,FALSE),0),"")</f>
        <v/>
      </c>
      <c r="AQ142" t="str">
        <f>IFERROR(ROUND(S142*(N142/$AX142)/VLOOKUP(M142,职业!$A$3:$E$16,4,FALSE),0),"")</f>
        <v/>
      </c>
      <c r="AR142" t="str">
        <f>IFERROR(ROUND(S142*(P142/$AX142)/VLOOKUP(O142,职业!$A$3:$E$16,4,FALSE),0),"")</f>
        <v/>
      </c>
      <c r="AS142" t="str">
        <f>IFERROR(ROUND(S142*(R142/$AX142)/VLOOKUP(Q142,职业!$A$3:$E$16,4,FALSE),0),"")</f>
        <v/>
      </c>
      <c r="AT142" t="str">
        <f>IFERROR(ROUND(X142*(U142/$AY142)/VLOOKUP(T142,商品!$A$4:$D$67,4,FALSE),0),"")</f>
        <v/>
      </c>
      <c r="AU142" t="str">
        <f>IFERROR(ROUND(X142*(W142/$AY142)/VLOOKUP(V142,商品!$A$4:$D$67,4,FALSE),0),"")</f>
        <v/>
      </c>
      <c r="AW142">
        <f t="shared" si="48"/>
        <v>0</v>
      </c>
      <c r="AX142">
        <f t="shared" si="49"/>
        <v>0</v>
      </c>
      <c r="AY142">
        <f t="shared" si="50"/>
        <v>0</v>
      </c>
    </row>
    <row r="143" customHeight="1" spans="1:51">
      <c r="A143" s="5" t="s">
        <v>313</v>
      </c>
      <c r="C143" s="5">
        <v>4</v>
      </c>
      <c r="D143" s="1" t="s">
        <v>220</v>
      </c>
      <c r="E143" s="1" t="s">
        <v>222</v>
      </c>
      <c r="L143" s="5">
        <f>IFERROR(VLOOKUP($D143&amp;$C143,生产方式定位!$A$2:$E$38,2,FALSE)+VLOOKUP($E143&amp;$C143,生产方式定位!$F$3:$J$38,2,FALSE),0)</f>
        <v>1850</v>
      </c>
      <c r="S143" s="5">
        <f>IFERROR(VLOOKUP($D143&amp;$C143,生产方式定位!$A$2:$E$38,3,FALSE)+VLOOKUP($E143&amp;$C143,生产方式定位!$F$3:$J$38,3,FALSE),0)</f>
        <v>120</v>
      </c>
      <c r="X143" s="5">
        <f>IFERROR(VLOOKUP($D143&amp;$C143,生产方式定位!$A$2:$E$38,5,FALSE)+VLOOKUP($E143&amp;$C143,生产方式定位!$F$3:$J$38,5,FALSE),"错误")</f>
        <v>2045</v>
      </c>
      <c r="Y143" s="27" t="str">
        <f t="shared" si="34"/>
        <v/>
      </c>
      <c r="Z143" s="50" t="str">
        <f t="shared" si="37"/>
        <v/>
      </c>
      <c r="AA143" s="50" t="str">
        <f t="shared" si="35"/>
        <v/>
      </c>
      <c r="AB143" s="28" t="str">
        <f t="shared" si="38"/>
        <v>11%</v>
      </c>
      <c r="AC143" s="1">
        <f t="shared" si="39"/>
        <v>75</v>
      </c>
      <c r="AD143" s="51">
        <f t="shared" si="36"/>
        <v>4</v>
      </c>
      <c r="AE143" t="str">
        <f t="shared" si="40"/>
        <v/>
      </c>
      <c r="AF143" t="str">
        <f t="shared" si="41"/>
        <v/>
      </c>
      <c r="AG143" t="str">
        <f t="shared" si="42"/>
        <v/>
      </c>
      <c r="AH143" t="str">
        <f t="shared" si="43"/>
        <v/>
      </c>
      <c r="AI143" t="str">
        <f t="shared" si="44"/>
        <v/>
      </c>
      <c r="AJ143" t="str">
        <f t="shared" si="45"/>
        <v/>
      </c>
      <c r="AK143" t="str">
        <f t="shared" si="46"/>
        <v/>
      </c>
      <c r="AL143" t="str">
        <f t="shared" si="47"/>
        <v/>
      </c>
      <c r="AN143" t="str">
        <f>IFERROR(ROUND(L143*(G143/$AW143)/VLOOKUP(F143,商品!$A$4:$D$67,4,FALSE),0),"")</f>
        <v/>
      </c>
      <c r="AO143" t="str">
        <f>IFERROR(ROUND(L143*(I143/$AW143)/VLOOKUP(H143,商品!$A$4:$D$67,4,FALSE),0),"")</f>
        <v/>
      </c>
      <c r="AP143" t="str">
        <f>IFERROR(ROUND(L143*(K143/$AW143)/VLOOKUP(J143,商品!$A$4:$D$67,4,FALSE),0),"")</f>
        <v/>
      </c>
      <c r="AQ143" t="str">
        <f>IFERROR(ROUND(S143*(N143/$AX143)/VLOOKUP(M143,职业!$A$3:$E$16,4,FALSE),0),"")</f>
        <v/>
      </c>
      <c r="AR143" t="str">
        <f>IFERROR(ROUND(S143*(P143/$AX143)/VLOOKUP(O143,职业!$A$3:$E$16,4,FALSE),0),"")</f>
        <v/>
      </c>
      <c r="AS143" t="str">
        <f>IFERROR(ROUND(S143*(R143/$AX143)/VLOOKUP(Q143,职业!$A$3:$E$16,4,FALSE),0),"")</f>
        <v/>
      </c>
      <c r="AT143" t="str">
        <f>IFERROR(ROUND(X143*(U143/$AY143)/VLOOKUP(T143,商品!$A$4:$D$67,4,FALSE),0),"")</f>
        <v/>
      </c>
      <c r="AU143" t="str">
        <f>IFERROR(ROUND(X143*(W143/$AY143)/VLOOKUP(V143,商品!$A$4:$D$67,4,FALSE),0),"")</f>
        <v/>
      </c>
      <c r="AW143">
        <f t="shared" si="48"/>
        <v>0</v>
      </c>
      <c r="AX143">
        <f t="shared" si="49"/>
        <v>0</v>
      </c>
      <c r="AY143">
        <f t="shared" si="50"/>
        <v>0</v>
      </c>
    </row>
    <row r="144" customHeight="1" spans="1:51">
      <c r="A144" s="5" t="s">
        <v>313</v>
      </c>
      <c r="C144" s="5">
        <v>5</v>
      </c>
      <c r="D144" s="1" t="s">
        <v>220</v>
      </c>
      <c r="E144" s="1" t="s">
        <v>222</v>
      </c>
      <c r="L144" s="5">
        <f>IFERROR(VLOOKUP($D144&amp;$C144,生产方式定位!$A$2:$E$38,2,FALSE)+VLOOKUP($E144&amp;$C144,生产方式定位!$F$3:$J$38,2,FALSE),0)</f>
        <v>2175</v>
      </c>
      <c r="S144" s="5">
        <f>IFERROR(VLOOKUP($D144&amp;$C144,生产方式定位!$A$2:$E$38,3,FALSE)+VLOOKUP($E144&amp;$C144,生产方式定位!$F$3:$J$38,3,FALSE),0)</f>
        <v>110</v>
      </c>
      <c r="X144" s="5">
        <f>IFERROR(VLOOKUP($D144&amp;$C144,生产方式定位!$A$2:$E$38,5,FALSE)+VLOOKUP($E144&amp;$C144,生产方式定位!$F$3:$J$38,5,FALSE),"错误")</f>
        <v>2373</v>
      </c>
      <c r="Y144" s="27" t="str">
        <f t="shared" si="34"/>
        <v/>
      </c>
      <c r="Z144" s="50" t="str">
        <f t="shared" si="37"/>
        <v/>
      </c>
      <c r="AA144" s="50" t="str">
        <f t="shared" si="35"/>
        <v/>
      </c>
      <c r="AB144" s="28" t="str">
        <f t="shared" si="38"/>
        <v>9%</v>
      </c>
      <c r="AC144" s="1">
        <f t="shared" si="39"/>
        <v>88</v>
      </c>
      <c r="AD144" s="51">
        <f t="shared" si="36"/>
        <v>5</v>
      </c>
      <c r="AE144" t="str">
        <f t="shared" si="40"/>
        <v/>
      </c>
      <c r="AF144" t="str">
        <f t="shared" si="41"/>
        <v/>
      </c>
      <c r="AG144" t="str">
        <f t="shared" si="42"/>
        <v/>
      </c>
      <c r="AH144" t="str">
        <f t="shared" si="43"/>
        <v/>
      </c>
      <c r="AI144" t="str">
        <f t="shared" si="44"/>
        <v/>
      </c>
      <c r="AJ144" t="str">
        <f t="shared" si="45"/>
        <v/>
      </c>
      <c r="AK144" t="str">
        <f t="shared" si="46"/>
        <v/>
      </c>
      <c r="AL144" t="str">
        <f t="shared" si="47"/>
        <v/>
      </c>
      <c r="AN144" t="str">
        <f>IFERROR(ROUND(L144*(G144/$AW144)/VLOOKUP(F144,商品!$A$4:$D$67,4,FALSE),0),"")</f>
        <v/>
      </c>
      <c r="AO144" t="str">
        <f>IFERROR(ROUND(L144*(I144/$AW144)/VLOOKUP(H144,商品!$A$4:$D$67,4,FALSE),0),"")</f>
        <v/>
      </c>
      <c r="AP144" t="str">
        <f>IFERROR(ROUND(L144*(K144/$AW144)/VLOOKUP(J144,商品!$A$4:$D$67,4,FALSE),0),"")</f>
        <v/>
      </c>
      <c r="AQ144" t="str">
        <f>IFERROR(ROUND(S144*(N144/$AX144)/VLOOKUP(M144,职业!$A$3:$E$16,4,FALSE),0),"")</f>
        <v/>
      </c>
      <c r="AR144" t="str">
        <f>IFERROR(ROUND(S144*(P144/$AX144)/VLOOKUP(O144,职业!$A$3:$E$16,4,FALSE),0),"")</f>
        <v/>
      </c>
      <c r="AS144" t="str">
        <f>IFERROR(ROUND(S144*(R144/$AX144)/VLOOKUP(Q144,职业!$A$3:$E$16,4,FALSE),0),"")</f>
        <v/>
      </c>
      <c r="AT144" t="str">
        <f>IFERROR(ROUND(X144*(U144/$AY144)/VLOOKUP(T144,商品!$A$4:$D$67,4,FALSE),0),"")</f>
        <v/>
      </c>
      <c r="AU144" t="str">
        <f>IFERROR(ROUND(X144*(W144/$AY144)/VLOOKUP(V144,商品!$A$4:$D$67,4,FALSE),0),"")</f>
        <v/>
      </c>
      <c r="AW144">
        <f t="shared" si="48"/>
        <v>0</v>
      </c>
      <c r="AX144">
        <f t="shared" si="49"/>
        <v>0</v>
      </c>
      <c r="AY144">
        <f t="shared" si="50"/>
        <v>0</v>
      </c>
    </row>
    <row r="145" customHeight="1" spans="1:51">
      <c r="A145" s="18" t="s">
        <v>314</v>
      </c>
      <c r="C145" s="18">
        <v>1</v>
      </c>
      <c r="D145" s="1" t="s">
        <v>220</v>
      </c>
      <c r="E145" s="1" t="s">
        <v>223</v>
      </c>
      <c r="L145" s="18">
        <f>IFERROR(VLOOKUP($D145&amp;$C145,生产方式定位!$A$2:$E$38,2,FALSE)+VLOOKUP($E145&amp;$C145,生产方式定位!$F$3:$J$38,2,FALSE),0)</f>
        <v>500</v>
      </c>
      <c r="S145" s="18">
        <f>IFERROR(VLOOKUP($D145&amp;$C145,生产方式定位!$A$2:$E$38,3,FALSE)+VLOOKUP($E145&amp;$C145,生产方式定位!$F$3:$J$38,3,FALSE),0)</f>
        <v>150</v>
      </c>
      <c r="X145" s="18">
        <f>IFERROR(VLOOKUP($D145&amp;$C145,生产方式定位!$A$2:$E$38,5,FALSE)+VLOOKUP($E145&amp;$C145,生产方式定位!$F$3:$J$38,5,FALSE),"错误")</f>
        <v>715</v>
      </c>
      <c r="Y145" s="27" t="str">
        <f t="shared" si="34"/>
        <v/>
      </c>
      <c r="Z145" s="50" t="str">
        <f t="shared" si="37"/>
        <v/>
      </c>
      <c r="AA145" s="50" t="str">
        <f t="shared" si="35"/>
        <v/>
      </c>
      <c r="AB145" s="28" t="str">
        <f t="shared" si="38"/>
        <v>43%</v>
      </c>
      <c r="AC145" s="1">
        <f t="shared" si="39"/>
        <v>65</v>
      </c>
      <c r="AD145" s="52">
        <f t="shared" si="36"/>
        <v>1</v>
      </c>
      <c r="AE145" t="str">
        <f t="shared" si="40"/>
        <v/>
      </c>
      <c r="AF145" t="str">
        <f t="shared" si="41"/>
        <v/>
      </c>
      <c r="AG145" t="str">
        <f t="shared" si="42"/>
        <v/>
      </c>
      <c r="AH145" t="str">
        <f t="shared" si="43"/>
        <v/>
      </c>
      <c r="AI145" t="str">
        <f t="shared" si="44"/>
        <v/>
      </c>
      <c r="AJ145" t="str">
        <f t="shared" si="45"/>
        <v/>
      </c>
      <c r="AK145" t="str">
        <f t="shared" si="46"/>
        <v/>
      </c>
      <c r="AL145" t="str">
        <f t="shared" si="47"/>
        <v/>
      </c>
      <c r="AN145" t="str">
        <f>IFERROR(ROUND(L145*(G145/$AW145)/VLOOKUP(F145,商品!$A$4:$D$67,4,FALSE),0),"")</f>
        <v/>
      </c>
      <c r="AO145" t="str">
        <f>IFERROR(ROUND(L145*(I145/$AW145)/VLOOKUP(H145,商品!$A$4:$D$67,4,FALSE),0),"")</f>
        <v/>
      </c>
      <c r="AP145" t="str">
        <f>IFERROR(ROUND(L145*(K145/$AW145)/VLOOKUP(J145,商品!$A$4:$D$67,4,FALSE),0),"")</f>
        <v/>
      </c>
      <c r="AQ145" t="str">
        <f>IFERROR(ROUND(S145*(N145/$AX145)/VLOOKUP(M145,职业!$A$3:$E$16,4,FALSE),0),"")</f>
        <v/>
      </c>
      <c r="AR145" t="str">
        <f>IFERROR(ROUND(S145*(P145/$AX145)/VLOOKUP(O145,职业!$A$3:$E$16,4,FALSE),0),"")</f>
        <v/>
      </c>
      <c r="AS145" t="str">
        <f>IFERROR(ROUND(S145*(R145/$AX145)/VLOOKUP(Q145,职业!$A$3:$E$16,4,FALSE),0),"")</f>
        <v/>
      </c>
      <c r="AT145" t="str">
        <f>IFERROR(ROUND(X145*(U145/$AY145)/VLOOKUP(T145,商品!$A$4:$D$67,4,FALSE),0),"")</f>
        <v/>
      </c>
      <c r="AU145" t="str">
        <f>IFERROR(ROUND(X145*(W145/$AY145)/VLOOKUP(V145,商品!$A$4:$D$67,4,FALSE),0),"")</f>
        <v/>
      </c>
      <c r="AW145">
        <f t="shared" si="48"/>
        <v>0</v>
      </c>
      <c r="AX145">
        <f t="shared" si="49"/>
        <v>0</v>
      </c>
      <c r="AY145">
        <f t="shared" si="50"/>
        <v>0</v>
      </c>
    </row>
    <row r="146" customHeight="1" spans="1:51">
      <c r="A146" s="18" t="s">
        <v>314</v>
      </c>
      <c r="C146" s="18">
        <v>2</v>
      </c>
      <c r="D146" s="1" t="s">
        <v>220</v>
      </c>
      <c r="E146" s="1" t="s">
        <v>223</v>
      </c>
      <c r="L146" s="18">
        <f>IFERROR(VLOOKUP($D146&amp;$C146,生产方式定位!$A$2:$E$38,2,FALSE)+VLOOKUP($E146&amp;$C146,生产方式定位!$F$3:$J$38,2,FALSE),0)</f>
        <v>1100</v>
      </c>
      <c r="S146" s="18">
        <f>IFERROR(VLOOKUP($D146&amp;$C146,生产方式定位!$A$2:$E$38,3,FALSE)+VLOOKUP($E146&amp;$C146,生产方式定位!$F$3:$J$38,3,FALSE),0)</f>
        <v>150</v>
      </c>
      <c r="X146" s="18">
        <f>IFERROR(VLOOKUP($D146&amp;$C146,生产方式定位!$A$2:$E$38,5,FALSE)+VLOOKUP($E146&amp;$C146,生产方式定位!$F$3:$J$38,5,FALSE),"错误")</f>
        <v>1291</v>
      </c>
      <c r="Y146" s="27" t="str">
        <f t="shared" si="34"/>
        <v/>
      </c>
      <c r="Z146" s="50" t="str">
        <f t="shared" si="37"/>
        <v/>
      </c>
      <c r="AA146" s="50" t="str">
        <f t="shared" si="35"/>
        <v/>
      </c>
      <c r="AB146" s="28" t="str">
        <f t="shared" si="38"/>
        <v>17%</v>
      </c>
      <c r="AC146" s="1">
        <f t="shared" si="39"/>
        <v>41</v>
      </c>
      <c r="AD146" s="52">
        <f t="shared" si="36"/>
        <v>2</v>
      </c>
      <c r="AE146" t="str">
        <f t="shared" si="40"/>
        <v/>
      </c>
      <c r="AF146" t="str">
        <f t="shared" si="41"/>
        <v/>
      </c>
      <c r="AG146" t="str">
        <f t="shared" si="42"/>
        <v/>
      </c>
      <c r="AH146" t="str">
        <f t="shared" si="43"/>
        <v/>
      </c>
      <c r="AI146" t="str">
        <f t="shared" si="44"/>
        <v/>
      </c>
      <c r="AJ146" t="str">
        <f t="shared" si="45"/>
        <v/>
      </c>
      <c r="AK146" t="str">
        <f t="shared" si="46"/>
        <v/>
      </c>
      <c r="AL146" t="str">
        <f t="shared" si="47"/>
        <v/>
      </c>
      <c r="AN146" t="str">
        <f>IFERROR(ROUND(L146*(G146/$AW146)/VLOOKUP(F146,商品!$A$4:$D$67,4,FALSE),0),"")</f>
        <v/>
      </c>
      <c r="AO146" t="str">
        <f>IFERROR(ROUND(L146*(I146/$AW146)/VLOOKUP(H146,商品!$A$4:$D$67,4,FALSE),0),"")</f>
        <v/>
      </c>
      <c r="AP146" t="str">
        <f>IFERROR(ROUND(L146*(K146/$AW146)/VLOOKUP(J146,商品!$A$4:$D$67,4,FALSE),0),"")</f>
        <v/>
      </c>
      <c r="AQ146" t="str">
        <f>IFERROR(ROUND(S146*(N146/$AX146)/VLOOKUP(M146,职业!$A$3:$E$16,4,FALSE),0),"")</f>
        <v/>
      </c>
      <c r="AR146" t="str">
        <f>IFERROR(ROUND(S146*(P146/$AX146)/VLOOKUP(O146,职业!$A$3:$E$16,4,FALSE),0),"")</f>
        <v/>
      </c>
      <c r="AS146" t="str">
        <f>IFERROR(ROUND(S146*(R146/$AX146)/VLOOKUP(Q146,职业!$A$3:$E$16,4,FALSE),0),"")</f>
        <v/>
      </c>
      <c r="AT146" t="str">
        <f>IFERROR(ROUND(X146*(U146/$AY146)/VLOOKUP(T146,商品!$A$4:$D$67,4,FALSE),0),"")</f>
        <v/>
      </c>
      <c r="AU146" t="str">
        <f>IFERROR(ROUND(X146*(W146/$AY146)/VLOOKUP(V146,商品!$A$4:$D$67,4,FALSE),0),"")</f>
        <v/>
      </c>
      <c r="AW146">
        <f t="shared" si="48"/>
        <v>0</v>
      </c>
      <c r="AX146">
        <f t="shared" si="49"/>
        <v>0</v>
      </c>
      <c r="AY146">
        <f t="shared" si="50"/>
        <v>0</v>
      </c>
    </row>
    <row r="147" customHeight="1" spans="1:51">
      <c r="A147" s="18" t="s">
        <v>314</v>
      </c>
      <c r="C147" s="18">
        <v>3</v>
      </c>
      <c r="D147" s="1" t="s">
        <v>220</v>
      </c>
      <c r="E147" s="1" t="s">
        <v>223</v>
      </c>
      <c r="L147" s="18">
        <f>IFERROR(VLOOKUP($D147&amp;$C147,生产方式定位!$A$2:$E$38,2,FALSE)+VLOOKUP($E147&amp;$C147,生产方式定位!$F$3:$J$38,2,FALSE),0)</f>
        <v>1400</v>
      </c>
      <c r="S147" s="18">
        <f>IFERROR(VLOOKUP($D147&amp;$C147,生产方式定位!$A$2:$E$38,3,FALSE)+VLOOKUP($E147&amp;$C147,生产方式定位!$F$3:$J$38,3,FALSE),0)</f>
        <v>145</v>
      </c>
      <c r="X147" s="18">
        <f>IFERROR(VLOOKUP($D147&amp;$C147,生产方式定位!$A$2:$E$38,5,FALSE)+VLOOKUP($E147&amp;$C147,生产方式定位!$F$3:$J$38,5,FALSE),"错误")</f>
        <v>1597</v>
      </c>
      <c r="Y147" s="27" t="str">
        <f t="shared" si="34"/>
        <v/>
      </c>
      <c r="Z147" s="50" t="str">
        <f t="shared" si="37"/>
        <v/>
      </c>
      <c r="AA147" s="50" t="str">
        <f t="shared" si="35"/>
        <v/>
      </c>
      <c r="AB147" s="28" t="str">
        <f t="shared" si="38"/>
        <v>14%</v>
      </c>
      <c r="AC147" s="1">
        <f t="shared" si="39"/>
        <v>52</v>
      </c>
      <c r="AD147" s="52">
        <f t="shared" si="36"/>
        <v>3</v>
      </c>
      <c r="AE147" t="str">
        <f t="shared" si="40"/>
        <v/>
      </c>
      <c r="AF147" t="str">
        <f t="shared" si="41"/>
        <v/>
      </c>
      <c r="AG147" t="str">
        <f t="shared" si="42"/>
        <v/>
      </c>
      <c r="AH147" t="str">
        <f t="shared" si="43"/>
        <v/>
      </c>
      <c r="AI147" t="str">
        <f t="shared" si="44"/>
        <v/>
      </c>
      <c r="AJ147" t="str">
        <f t="shared" si="45"/>
        <v/>
      </c>
      <c r="AK147" t="str">
        <f t="shared" si="46"/>
        <v/>
      </c>
      <c r="AL147" t="str">
        <f t="shared" si="47"/>
        <v/>
      </c>
      <c r="AN147" t="str">
        <f>IFERROR(ROUND(L147*(G147/$AW147)/VLOOKUP(F147,商品!$A$4:$D$67,4,FALSE),0),"")</f>
        <v/>
      </c>
      <c r="AO147" t="str">
        <f>IFERROR(ROUND(L147*(I147/$AW147)/VLOOKUP(H147,商品!$A$4:$D$67,4,FALSE),0),"")</f>
        <v/>
      </c>
      <c r="AP147" t="str">
        <f>IFERROR(ROUND(L147*(K147/$AW147)/VLOOKUP(J147,商品!$A$4:$D$67,4,FALSE),0),"")</f>
        <v/>
      </c>
      <c r="AQ147" t="str">
        <f>IFERROR(ROUND(S147*(N147/$AX147)/VLOOKUP(M147,职业!$A$3:$E$16,4,FALSE),0),"")</f>
        <v/>
      </c>
      <c r="AR147" t="str">
        <f>IFERROR(ROUND(S147*(P147/$AX147)/VLOOKUP(O147,职业!$A$3:$E$16,4,FALSE),0),"")</f>
        <v/>
      </c>
      <c r="AS147" t="str">
        <f>IFERROR(ROUND(S147*(R147/$AX147)/VLOOKUP(Q147,职业!$A$3:$E$16,4,FALSE),0),"")</f>
        <v/>
      </c>
      <c r="AT147" t="str">
        <f>IFERROR(ROUND(X147*(U147/$AY147)/VLOOKUP(T147,商品!$A$4:$D$67,4,FALSE),0),"")</f>
        <v/>
      </c>
      <c r="AU147" t="str">
        <f>IFERROR(ROUND(X147*(W147/$AY147)/VLOOKUP(V147,商品!$A$4:$D$67,4,FALSE),0),"")</f>
        <v/>
      </c>
      <c r="AW147">
        <f t="shared" si="48"/>
        <v>0</v>
      </c>
      <c r="AX147">
        <f t="shared" si="49"/>
        <v>0</v>
      </c>
      <c r="AY147">
        <f t="shared" si="50"/>
        <v>0</v>
      </c>
    </row>
    <row r="148" customHeight="1" spans="1:51">
      <c r="A148" s="18" t="s">
        <v>314</v>
      </c>
      <c r="C148" s="18">
        <v>4</v>
      </c>
      <c r="D148" s="1" t="s">
        <v>220</v>
      </c>
      <c r="E148" s="1" t="s">
        <v>223</v>
      </c>
      <c r="L148" s="18">
        <f>IFERROR(VLOOKUP($D148&amp;$C148,生产方式定位!$A$2:$E$38,2,FALSE)+VLOOKUP($E148&amp;$C148,生产方式定位!$F$3:$J$38,2,FALSE),0)</f>
        <v>1700</v>
      </c>
      <c r="S148" s="18">
        <f>IFERROR(VLOOKUP($D148&amp;$C148,生产方式定位!$A$2:$E$38,3,FALSE)+VLOOKUP($E148&amp;$C148,生产方式定位!$F$3:$J$38,3,FALSE),0)</f>
        <v>140</v>
      </c>
      <c r="X148" s="18">
        <f>IFERROR(VLOOKUP($D148&amp;$C148,生产方式定位!$A$2:$E$38,5,FALSE)+VLOOKUP($E148&amp;$C148,生产方式定位!$F$3:$J$38,5,FALSE),"错误")</f>
        <v>1902</v>
      </c>
      <c r="Y148" s="27" t="str">
        <f t="shared" si="34"/>
        <v/>
      </c>
      <c r="Z148" s="50" t="str">
        <f t="shared" si="37"/>
        <v/>
      </c>
      <c r="AA148" s="50" t="str">
        <f t="shared" si="35"/>
        <v/>
      </c>
      <c r="AB148" s="28" t="str">
        <f t="shared" si="38"/>
        <v>12%</v>
      </c>
      <c r="AC148" s="1">
        <f t="shared" si="39"/>
        <v>62</v>
      </c>
      <c r="AD148" s="52">
        <f t="shared" si="36"/>
        <v>4</v>
      </c>
      <c r="AE148" t="str">
        <f t="shared" si="40"/>
        <v/>
      </c>
      <c r="AF148" t="str">
        <f t="shared" si="41"/>
        <v/>
      </c>
      <c r="AG148" t="str">
        <f t="shared" si="42"/>
        <v/>
      </c>
      <c r="AH148" t="str">
        <f t="shared" si="43"/>
        <v/>
      </c>
      <c r="AI148" t="str">
        <f t="shared" si="44"/>
        <v/>
      </c>
      <c r="AJ148" t="str">
        <f t="shared" si="45"/>
        <v/>
      </c>
      <c r="AK148" t="str">
        <f t="shared" si="46"/>
        <v/>
      </c>
      <c r="AL148" t="str">
        <f t="shared" si="47"/>
        <v/>
      </c>
      <c r="AN148" t="str">
        <f>IFERROR(ROUND(L148*(G148/$AW148)/VLOOKUP(F148,商品!$A$4:$D$67,4,FALSE),0),"")</f>
        <v/>
      </c>
      <c r="AO148" t="str">
        <f>IFERROR(ROUND(L148*(I148/$AW148)/VLOOKUP(H148,商品!$A$4:$D$67,4,FALSE),0),"")</f>
        <v/>
      </c>
      <c r="AP148" t="str">
        <f>IFERROR(ROUND(L148*(K148/$AW148)/VLOOKUP(J148,商品!$A$4:$D$67,4,FALSE),0),"")</f>
        <v/>
      </c>
      <c r="AQ148" t="str">
        <f>IFERROR(ROUND(S148*(N148/$AX148)/VLOOKUP(M148,职业!$A$3:$E$16,4,FALSE),0),"")</f>
        <v/>
      </c>
      <c r="AR148" t="str">
        <f>IFERROR(ROUND(S148*(P148/$AX148)/VLOOKUP(O148,职业!$A$3:$E$16,4,FALSE),0),"")</f>
        <v/>
      </c>
      <c r="AS148" t="str">
        <f>IFERROR(ROUND(S148*(R148/$AX148)/VLOOKUP(Q148,职业!$A$3:$E$16,4,FALSE),0),"")</f>
        <v/>
      </c>
      <c r="AT148" t="str">
        <f>IFERROR(ROUND(X148*(U148/$AY148)/VLOOKUP(T148,商品!$A$4:$D$67,4,FALSE),0),"")</f>
        <v/>
      </c>
      <c r="AU148" t="str">
        <f>IFERROR(ROUND(X148*(W148/$AY148)/VLOOKUP(V148,商品!$A$4:$D$67,4,FALSE),0),"")</f>
        <v/>
      </c>
      <c r="AW148">
        <f t="shared" si="48"/>
        <v>0</v>
      </c>
      <c r="AX148">
        <f t="shared" si="49"/>
        <v>0</v>
      </c>
      <c r="AY148">
        <f t="shared" si="50"/>
        <v>0</v>
      </c>
    </row>
    <row r="149" customHeight="1" spans="1:51">
      <c r="A149" s="18" t="s">
        <v>314</v>
      </c>
      <c r="C149" s="18">
        <v>5</v>
      </c>
      <c r="D149" s="1" t="s">
        <v>220</v>
      </c>
      <c r="E149" s="1" t="s">
        <v>223</v>
      </c>
      <c r="L149" s="18">
        <f>IFERROR(VLOOKUP($D149&amp;$C149,生产方式定位!$A$2:$E$38,2,FALSE)+VLOOKUP($E149&amp;$C149,生产方式定位!$F$3:$J$38,2,FALSE),0)</f>
        <v>2000</v>
      </c>
      <c r="S149" s="18">
        <f>IFERROR(VLOOKUP($D149&amp;$C149,生产方式定位!$A$2:$E$38,3,FALSE)+VLOOKUP($E149&amp;$C149,生产方式定位!$F$3:$J$38,3,FALSE),0)</f>
        <v>135</v>
      </c>
      <c r="X149" s="18">
        <f>IFERROR(VLOOKUP($D149&amp;$C149,生产方式定位!$A$2:$E$38,5,FALSE)+VLOOKUP($E149&amp;$C149,生产方式定位!$F$3:$J$38,5,FALSE),"错误")</f>
        <v>2208</v>
      </c>
      <c r="Y149" s="27" t="str">
        <f t="shared" si="34"/>
        <v/>
      </c>
      <c r="Z149" s="50" t="str">
        <f t="shared" si="37"/>
        <v/>
      </c>
      <c r="AA149" s="50" t="str">
        <f t="shared" si="35"/>
        <v/>
      </c>
      <c r="AB149" s="28" t="str">
        <f t="shared" si="38"/>
        <v>10%</v>
      </c>
      <c r="AC149" s="1">
        <f t="shared" si="39"/>
        <v>73</v>
      </c>
      <c r="AD149" s="52">
        <f t="shared" si="36"/>
        <v>5</v>
      </c>
      <c r="AE149" t="str">
        <f t="shared" si="40"/>
        <v/>
      </c>
      <c r="AF149" t="str">
        <f t="shared" si="41"/>
        <v/>
      </c>
      <c r="AG149" t="str">
        <f t="shared" si="42"/>
        <v/>
      </c>
      <c r="AH149" t="str">
        <f t="shared" si="43"/>
        <v/>
      </c>
      <c r="AI149" t="str">
        <f t="shared" si="44"/>
        <v/>
      </c>
      <c r="AJ149" t="str">
        <f t="shared" si="45"/>
        <v/>
      </c>
      <c r="AK149" t="str">
        <f t="shared" si="46"/>
        <v/>
      </c>
      <c r="AL149" t="str">
        <f t="shared" si="47"/>
        <v/>
      </c>
      <c r="AN149" t="str">
        <f>IFERROR(ROUND(L149*(G149/$AW149)/VLOOKUP(F149,商品!$A$4:$D$67,4,FALSE),0),"")</f>
        <v/>
      </c>
      <c r="AO149" t="str">
        <f>IFERROR(ROUND(L149*(I149/$AW149)/VLOOKUP(H149,商品!$A$4:$D$67,4,FALSE),0),"")</f>
        <v/>
      </c>
      <c r="AP149" t="str">
        <f>IFERROR(ROUND(L149*(K149/$AW149)/VLOOKUP(J149,商品!$A$4:$D$67,4,FALSE),0),"")</f>
        <v/>
      </c>
      <c r="AQ149" t="str">
        <f>IFERROR(ROUND(S149*(N149/$AX149)/VLOOKUP(M149,职业!$A$3:$E$16,4,FALSE),0),"")</f>
        <v/>
      </c>
      <c r="AR149" t="str">
        <f>IFERROR(ROUND(S149*(P149/$AX149)/VLOOKUP(O149,职业!$A$3:$E$16,4,FALSE),0),"")</f>
        <v/>
      </c>
      <c r="AS149" t="str">
        <f>IFERROR(ROUND(S149*(R149/$AX149)/VLOOKUP(Q149,职业!$A$3:$E$16,4,FALSE),0),"")</f>
        <v/>
      </c>
      <c r="AT149" t="str">
        <f>IFERROR(ROUND(X149*(U149/$AY149)/VLOOKUP(T149,商品!$A$4:$D$67,4,FALSE),0),"")</f>
        <v/>
      </c>
      <c r="AU149" t="str">
        <f>IFERROR(ROUND(X149*(W149/$AY149)/VLOOKUP(V149,商品!$A$4:$D$67,4,FALSE),0),"")</f>
        <v/>
      </c>
      <c r="AW149">
        <f t="shared" si="48"/>
        <v>0</v>
      </c>
      <c r="AX149">
        <f t="shared" si="49"/>
        <v>0</v>
      </c>
      <c r="AY149">
        <f t="shared" si="50"/>
        <v>0</v>
      </c>
    </row>
    <row r="150" customHeight="1" spans="1:51">
      <c r="A150" s="5" t="s">
        <v>315</v>
      </c>
      <c r="C150" s="5">
        <v>1</v>
      </c>
      <c r="D150" s="1" t="s">
        <v>220</v>
      </c>
      <c r="E150" s="1" t="s">
        <v>224</v>
      </c>
      <c r="L150" s="5">
        <f>IFERROR(VLOOKUP($D150&amp;$C150,生产方式定位!$A$2:$E$38,2,FALSE)+VLOOKUP($E150&amp;$C150,生产方式定位!$F$3:$J$38,2,FALSE),0)</f>
        <v>500</v>
      </c>
      <c r="S150" s="5">
        <f>IFERROR(VLOOKUP($D150&amp;$C150,生产方式定位!$A$2:$E$38,3,FALSE)+VLOOKUP($E150&amp;$C150,生产方式定位!$F$3:$J$38,3,FALSE),0)</f>
        <v>150</v>
      </c>
      <c r="X150" s="5">
        <f>IFERROR(VLOOKUP($D150&amp;$C150,生产方式定位!$A$2:$E$38,5,FALSE)+VLOOKUP($E150&amp;$C150,生产方式定位!$F$3:$J$38,5,FALSE),"错误")</f>
        <v>715</v>
      </c>
      <c r="Y150" s="27" t="str">
        <f t="shared" si="34"/>
        <v/>
      </c>
      <c r="Z150" s="50" t="str">
        <f t="shared" si="37"/>
        <v/>
      </c>
      <c r="AA150" s="50" t="str">
        <f t="shared" si="35"/>
        <v/>
      </c>
      <c r="AB150" s="28" t="str">
        <f t="shared" si="38"/>
        <v>43%</v>
      </c>
      <c r="AC150" s="1">
        <f t="shared" si="39"/>
        <v>65</v>
      </c>
      <c r="AD150" s="51">
        <f t="shared" si="36"/>
        <v>1</v>
      </c>
      <c r="AE150" t="str">
        <f t="shared" si="40"/>
        <v/>
      </c>
      <c r="AF150" t="str">
        <f t="shared" si="41"/>
        <v/>
      </c>
      <c r="AG150" t="str">
        <f t="shared" si="42"/>
        <v/>
      </c>
      <c r="AH150" t="str">
        <f t="shared" si="43"/>
        <v/>
      </c>
      <c r="AI150" t="str">
        <f t="shared" si="44"/>
        <v/>
      </c>
      <c r="AJ150" t="str">
        <f t="shared" si="45"/>
        <v/>
      </c>
      <c r="AK150" t="str">
        <f t="shared" si="46"/>
        <v/>
      </c>
      <c r="AL150" t="str">
        <f t="shared" si="47"/>
        <v/>
      </c>
      <c r="AN150" t="str">
        <f>IFERROR(ROUND(L150*(G150/$AW150)/VLOOKUP(F150,商品!$A$4:$D$67,4,FALSE),0),"")</f>
        <v/>
      </c>
      <c r="AO150" t="str">
        <f>IFERROR(ROUND(L150*(I150/$AW150)/VLOOKUP(H150,商品!$A$4:$D$67,4,FALSE),0),"")</f>
        <v/>
      </c>
      <c r="AP150" t="str">
        <f>IFERROR(ROUND(L150*(K150/$AW150)/VLOOKUP(J150,商品!$A$4:$D$67,4,FALSE),0),"")</f>
        <v/>
      </c>
      <c r="AQ150" t="str">
        <f>IFERROR(ROUND(S150*(N150/$AX150)/VLOOKUP(M150,职业!$A$3:$E$16,4,FALSE),0),"")</f>
        <v/>
      </c>
      <c r="AR150" t="str">
        <f>IFERROR(ROUND(S150*(P150/$AX150)/VLOOKUP(O150,职业!$A$3:$E$16,4,FALSE),0),"")</f>
        <v/>
      </c>
      <c r="AS150" t="str">
        <f>IFERROR(ROUND(S150*(R150/$AX150)/VLOOKUP(Q150,职业!$A$3:$E$16,4,FALSE),0),"")</f>
        <v/>
      </c>
      <c r="AT150" t="str">
        <f>IFERROR(ROUND(X150*(U150/$AY150)/VLOOKUP(T150,商品!$A$4:$D$67,4,FALSE),0),"")</f>
        <v/>
      </c>
      <c r="AU150" t="str">
        <f>IFERROR(ROUND(X150*(W150/$AY150)/VLOOKUP(V150,商品!$A$4:$D$67,4,FALSE),0),"")</f>
        <v/>
      </c>
      <c r="AW150">
        <f t="shared" si="48"/>
        <v>0</v>
      </c>
      <c r="AX150">
        <f t="shared" si="49"/>
        <v>0</v>
      </c>
      <c r="AY150">
        <f t="shared" si="50"/>
        <v>0</v>
      </c>
    </row>
    <row r="151" customHeight="1" spans="1:51">
      <c r="A151" s="5" t="s">
        <v>315</v>
      </c>
      <c r="C151" s="5">
        <v>2</v>
      </c>
      <c r="D151" s="1" t="s">
        <v>220</v>
      </c>
      <c r="E151" s="1" t="s">
        <v>224</v>
      </c>
      <c r="L151" s="5">
        <f>IFERROR(VLOOKUP($D151&amp;$C151,生产方式定位!$A$2:$E$38,2,FALSE)+VLOOKUP($E151&amp;$C151,生产方式定位!$F$3:$J$38,2,FALSE),0)</f>
        <v>1200</v>
      </c>
      <c r="S151" s="5">
        <f>IFERROR(VLOOKUP($D151&amp;$C151,生产方式定位!$A$2:$E$38,3,FALSE)+VLOOKUP($E151&amp;$C151,生产方式定位!$F$3:$J$38,3,FALSE),0)</f>
        <v>100</v>
      </c>
      <c r="X151" s="5">
        <f>IFERROR(VLOOKUP($D151&amp;$C151,生产方式定位!$A$2:$E$38,5,FALSE)+VLOOKUP($E151&amp;$C151,生产方式定位!$F$3:$J$38,5,FALSE),"错误")</f>
        <v>1346</v>
      </c>
      <c r="Y151" s="27" t="str">
        <f t="shared" si="34"/>
        <v/>
      </c>
      <c r="Z151" s="50" t="str">
        <f t="shared" si="37"/>
        <v/>
      </c>
      <c r="AA151" s="50" t="str">
        <f t="shared" si="35"/>
        <v/>
      </c>
      <c r="AB151" s="28" t="str">
        <f t="shared" si="38"/>
        <v>12%</v>
      </c>
      <c r="AC151" s="1">
        <f t="shared" si="39"/>
        <v>46</v>
      </c>
      <c r="AD151" s="51">
        <f t="shared" si="36"/>
        <v>2</v>
      </c>
      <c r="AE151" t="str">
        <f t="shared" si="40"/>
        <v/>
      </c>
      <c r="AF151" t="str">
        <f t="shared" si="41"/>
        <v/>
      </c>
      <c r="AG151" t="str">
        <f t="shared" si="42"/>
        <v/>
      </c>
      <c r="AH151" t="str">
        <f t="shared" si="43"/>
        <v/>
      </c>
      <c r="AI151" t="str">
        <f t="shared" si="44"/>
        <v/>
      </c>
      <c r="AJ151" t="str">
        <f t="shared" si="45"/>
        <v/>
      </c>
      <c r="AK151" t="str">
        <f t="shared" si="46"/>
        <v/>
      </c>
      <c r="AL151" t="str">
        <f t="shared" si="47"/>
        <v/>
      </c>
      <c r="AN151" t="str">
        <f>IFERROR(ROUND(L151*(G151/$AW151)/VLOOKUP(F151,商品!$A$4:$D$67,4,FALSE),0),"")</f>
        <v/>
      </c>
      <c r="AO151" t="str">
        <f>IFERROR(ROUND(L151*(I151/$AW151)/VLOOKUP(H151,商品!$A$4:$D$67,4,FALSE),0),"")</f>
        <v/>
      </c>
      <c r="AP151" t="str">
        <f>IFERROR(ROUND(L151*(K151/$AW151)/VLOOKUP(J151,商品!$A$4:$D$67,4,FALSE),0),"")</f>
        <v/>
      </c>
      <c r="AQ151" t="str">
        <f>IFERROR(ROUND(S151*(N151/$AX151)/VLOOKUP(M151,职业!$A$3:$E$16,4,FALSE),0),"")</f>
        <v/>
      </c>
      <c r="AR151" t="str">
        <f>IFERROR(ROUND(S151*(P151/$AX151)/VLOOKUP(O151,职业!$A$3:$E$16,4,FALSE),0),"")</f>
        <v/>
      </c>
      <c r="AS151" t="str">
        <f>IFERROR(ROUND(S151*(R151/$AX151)/VLOOKUP(Q151,职业!$A$3:$E$16,4,FALSE),0),"")</f>
        <v/>
      </c>
      <c r="AT151" t="str">
        <f>IFERROR(ROUND(X151*(U151/$AY151)/VLOOKUP(T151,商品!$A$4:$D$67,4,FALSE),0),"")</f>
        <v/>
      </c>
      <c r="AU151" t="str">
        <f>IFERROR(ROUND(X151*(W151/$AY151)/VLOOKUP(V151,商品!$A$4:$D$67,4,FALSE),0),"")</f>
        <v/>
      </c>
      <c r="AW151">
        <f t="shared" si="48"/>
        <v>0</v>
      </c>
      <c r="AX151">
        <f t="shared" si="49"/>
        <v>0</v>
      </c>
      <c r="AY151">
        <f t="shared" si="50"/>
        <v>0</v>
      </c>
    </row>
    <row r="152" customHeight="1" spans="1:51">
      <c r="A152" s="5" t="s">
        <v>315</v>
      </c>
      <c r="C152" s="5">
        <v>3</v>
      </c>
      <c r="D152" s="1" t="s">
        <v>220</v>
      </c>
      <c r="E152" s="1" t="s">
        <v>224</v>
      </c>
      <c r="L152" s="5">
        <f>IFERROR(VLOOKUP($D152&amp;$C152,生产方式定位!$A$2:$E$38,2,FALSE)+VLOOKUP($E152&amp;$C152,生产方式定位!$F$3:$J$38,2,FALSE),0)</f>
        <v>1900</v>
      </c>
      <c r="S152" s="5">
        <f>IFERROR(VLOOKUP($D152&amp;$C152,生产方式定位!$A$2:$E$38,3,FALSE)+VLOOKUP($E152&amp;$C152,生产方式定位!$F$3:$J$38,3,FALSE),0)</f>
        <v>70</v>
      </c>
      <c r="X152" s="5">
        <f>IFERROR(VLOOKUP($D152&amp;$C152,生产方式定位!$A$2:$E$38,5,FALSE)+VLOOKUP($E152&amp;$C152,生产方式定位!$F$3:$J$38,5,FALSE),"错误")</f>
        <v>2064</v>
      </c>
      <c r="Y152" s="27" t="str">
        <f t="shared" si="34"/>
        <v/>
      </c>
      <c r="Z152" s="50" t="str">
        <f t="shared" si="37"/>
        <v/>
      </c>
      <c r="AA152" s="50" t="str">
        <f t="shared" si="35"/>
        <v/>
      </c>
      <c r="AB152" s="28" t="str">
        <f t="shared" si="38"/>
        <v>9%</v>
      </c>
      <c r="AC152" s="1">
        <f t="shared" si="39"/>
        <v>94</v>
      </c>
      <c r="AD152" s="51">
        <f t="shared" si="36"/>
        <v>3</v>
      </c>
      <c r="AE152" t="str">
        <f t="shared" si="40"/>
        <v/>
      </c>
      <c r="AF152" t="str">
        <f t="shared" si="41"/>
        <v/>
      </c>
      <c r="AG152" t="str">
        <f t="shared" si="42"/>
        <v/>
      </c>
      <c r="AH152" t="str">
        <f t="shared" si="43"/>
        <v/>
      </c>
      <c r="AI152" t="str">
        <f t="shared" si="44"/>
        <v/>
      </c>
      <c r="AJ152" t="str">
        <f t="shared" si="45"/>
        <v/>
      </c>
      <c r="AK152" t="str">
        <f t="shared" si="46"/>
        <v/>
      </c>
      <c r="AL152" t="str">
        <f t="shared" si="47"/>
        <v/>
      </c>
      <c r="AN152" t="str">
        <f>IFERROR(ROUND(L152*(G152/$AW152)/VLOOKUP(F152,商品!$A$4:$D$67,4,FALSE),0),"")</f>
        <v/>
      </c>
      <c r="AO152" t="str">
        <f>IFERROR(ROUND(L152*(I152/$AW152)/VLOOKUP(H152,商品!$A$4:$D$67,4,FALSE),0),"")</f>
        <v/>
      </c>
      <c r="AP152" t="str">
        <f>IFERROR(ROUND(L152*(K152/$AW152)/VLOOKUP(J152,商品!$A$4:$D$67,4,FALSE),0),"")</f>
        <v/>
      </c>
      <c r="AQ152" t="str">
        <f>IFERROR(ROUND(S152*(N152/$AX152)/VLOOKUP(M152,职业!$A$3:$E$16,4,FALSE),0),"")</f>
        <v/>
      </c>
      <c r="AR152" t="str">
        <f>IFERROR(ROUND(S152*(P152/$AX152)/VLOOKUP(O152,职业!$A$3:$E$16,4,FALSE),0),"")</f>
        <v/>
      </c>
      <c r="AS152" t="str">
        <f>IFERROR(ROUND(S152*(R152/$AX152)/VLOOKUP(Q152,职业!$A$3:$E$16,4,FALSE),0),"")</f>
        <v/>
      </c>
      <c r="AT152" t="str">
        <f>IFERROR(ROUND(X152*(U152/$AY152)/VLOOKUP(T152,商品!$A$4:$D$67,4,FALSE),0),"")</f>
        <v/>
      </c>
      <c r="AU152" t="str">
        <f>IFERROR(ROUND(X152*(W152/$AY152)/VLOOKUP(V152,商品!$A$4:$D$67,4,FALSE),0),"")</f>
        <v/>
      </c>
      <c r="AW152">
        <f t="shared" si="48"/>
        <v>0</v>
      </c>
      <c r="AX152">
        <f t="shared" si="49"/>
        <v>0</v>
      </c>
      <c r="AY152">
        <f t="shared" si="50"/>
        <v>0</v>
      </c>
    </row>
    <row r="153" customHeight="1" spans="1:51">
      <c r="A153" s="5" t="s">
        <v>315</v>
      </c>
      <c r="C153" s="5">
        <v>4</v>
      </c>
      <c r="D153" s="1" t="s">
        <v>220</v>
      </c>
      <c r="E153" s="1" t="s">
        <v>224</v>
      </c>
      <c r="L153" s="5">
        <f>IFERROR(VLOOKUP($D153&amp;$C153,生产方式定位!$A$2:$E$38,2,FALSE)+VLOOKUP($E153&amp;$C153,生产方式定位!$F$3:$J$38,2,FALSE),0)</f>
        <v>2600</v>
      </c>
      <c r="S153" s="5">
        <f>IFERROR(VLOOKUP($D153&amp;$C153,生产方式定位!$A$2:$E$38,3,FALSE)+VLOOKUP($E153&amp;$C153,生产方式定位!$F$3:$J$38,3,FALSE),0)</f>
        <v>40</v>
      </c>
      <c r="X153" s="5">
        <f>IFERROR(VLOOKUP($D153&amp;$C153,生产方式定位!$A$2:$E$38,5,FALSE)+VLOOKUP($E153&amp;$C153,生产方式定位!$F$3:$J$38,5,FALSE),"错误")</f>
        <v>2782</v>
      </c>
      <c r="Y153" s="27" t="str">
        <f t="shared" si="34"/>
        <v/>
      </c>
      <c r="Z153" s="50" t="str">
        <f t="shared" si="37"/>
        <v/>
      </c>
      <c r="AA153" s="50" t="str">
        <f t="shared" si="35"/>
        <v/>
      </c>
      <c r="AB153" s="28" t="str">
        <f t="shared" si="38"/>
        <v>7%</v>
      </c>
      <c r="AC153" s="1">
        <f t="shared" si="39"/>
        <v>142</v>
      </c>
      <c r="AD153" s="51">
        <f t="shared" si="36"/>
        <v>4</v>
      </c>
      <c r="AE153" t="str">
        <f t="shared" si="40"/>
        <v/>
      </c>
      <c r="AF153" t="str">
        <f t="shared" si="41"/>
        <v/>
      </c>
      <c r="AG153" t="str">
        <f t="shared" si="42"/>
        <v/>
      </c>
      <c r="AH153" t="str">
        <f t="shared" si="43"/>
        <v/>
      </c>
      <c r="AI153" t="str">
        <f t="shared" si="44"/>
        <v/>
      </c>
      <c r="AJ153" t="str">
        <f t="shared" si="45"/>
        <v/>
      </c>
      <c r="AK153" t="str">
        <f t="shared" si="46"/>
        <v/>
      </c>
      <c r="AL153" t="str">
        <f t="shared" si="47"/>
        <v/>
      </c>
      <c r="AN153" t="str">
        <f>IFERROR(ROUND(L153*(G153/$AW153)/VLOOKUP(F153,商品!$A$4:$D$67,4,FALSE),0),"")</f>
        <v/>
      </c>
      <c r="AO153" t="str">
        <f>IFERROR(ROUND(L153*(I153/$AW153)/VLOOKUP(H153,商品!$A$4:$D$67,4,FALSE),0),"")</f>
        <v/>
      </c>
      <c r="AP153" t="str">
        <f>IFERROR(ROUND(L153*(K153/$AW153)/VLOOKUP(J153,商品!$A$4:$D$67,4,FALSE),0),"")</f>
        <v/>
      </c>
      <c r="AQ153" t="str">
        <f>IFERROR(ROUND(S153*(N153/$AX153)/VLOOKUP(M153,职业!$A$3:$E$16,4,FALSE),0),"")</f>
        <v/>
      </c>
      <c r="AR153" t="str">
        <f>IFERROR(ROUND(S153*(P153/$AX153)/VLOOKUP(O153,职业!$A$3:$E$16,4,FALSE),0),"")</f>
        <v/>
      </c>
      <c r="AS153" t="str">
        <f>IFERROR(ROUND(S153*(R153/$AX153)/VLOOKUP(Q153,职业!$A$3:$E$16,4,FALSE),0),"")</f>
        <v/>
      </c>
      <c r="AT153" t="str">
        <f>IFERROR(ROUND(X153*(U153/$AY153)/VLOOKUP(T153,商品!$A$4:$D$67,4,FALSE),0),"")</f>
        <v/>
      </c>
      <c r="AU153" t="str">
        <f>IFERROR(ROUND(X153*(W153/$AY153)/VLOOKUP(V153,商品!$A$4:$D$67,4,FALSE),0),"")</f>
        <v/>
      </c>
      <c r="AW153">
        <f t="shared" si="48"/>
        <v>0</v>
      </c>
      <c r="AX153">
        <f t="shared" si="49"/>
        <v>0</v>
      </c>
      <c r="AY153">
        <f t="shared" si="50"/>
        <v>0</v>
      </c>
    </row>
    <row r="154" customHeight="1" spans="1:51">
      <c r="A154" s="5" t="s">
        <v>315</v>
      </c>
      <c r="C154" s="5">
        <v>5</v>
      </c>
      <c r="D154" s="1" t="s">
        <v>220</v>
      </c>
      <c r="E154" s="1" t="s">
        <v>224</v>
      </c>
      <c r="L154" s="5">
        <f>IFERROR(VLOOKUP($D154&amp;$C154,生产方式定位!$A$2:$E$38,2,FALSE)+VLOOKUP($E154&amp;$C154,生产方式定位!$F$3:$J$38,2,FALSE),0)</f>
        <v>3300</v>
      </c>
      <c r="S154" s="5">
        <f>IFERROR(VLOOKUP($D154&amp;$C154,生产方式定位!$A$2:$E$38,3,FALSE)+VLOOKUP($E154&amp;$C154,生产方式定位!$F$3:$J$38,3,FALSE),0)</f>
        <v>10</v>
      </c>
      <c r="X154" s="5">
        <f>IFERROR(VLOOKUP($D154&amp;$C154,生产方式定位!$A$2:$E$38,5,FALSE)+VLOOKUP($E154&amp;$C154,生产方式定位!$F$3:$J$38,5,FALSE),"错误")</f>
        <v>3500</v>
      </c>
      <c r="Y154" s="27" t="str">
        <f t="shared" si="34"/>
        <v/>
      </c>
      <c r="Z154" s="50" t="str">
        <f t="shared" si="37"/>
        <v/>
      </c>
      <c r="AA154" s="50" t="str">
        <f t="shared" si="35"/>
        <v/>
      </c>
      <c r="AB154" s="28" t="str">
        <f t="shared" si="38"/>
        <v>6%</v>
      </c>
      <c r="AC154" s="1">
        <f t="shared" si="39"/>
        <v>190</v>
      </c>
      <c r="AD154" s="51">
        <f t="shared" si="36"/>
        <v>5</v>
      </c>
      <c r="AE154" t="str">
        <f t="shared" si="40"/>
        <v/>
      </c>
      <c r="AF154" t="str">
        <f t="shared" si="41"/>
        <v/>
      </c>
      <c r="AG154" t="str">
        <f t="shared" si="42"/>
        <v/>
      </c>
      <c r="AH154" t="str">
        <f t="shared" si="43"/>
        <v/>
      </c>
      <c r="AI154" t="str">
        <f t="shared" si="44"/>
        <v/>
      </c>
      <c r="AJ154" t="str">
        <f t="shared" si="45"/>
        <v/>
      </c>
      <c r="AK154" t="str">
        <f t="shared" si="46"/>
        <v/>
      </c>
      <c r="AL154" t="str">
        <f t="shared" si="47"/>
        <v/>
      </c>
      <c r="AN154" t="str">
        <f>IFERROR(ROUND(L154*(G154/$AW154)/VLOOKUP(F154,商品!$A$4:$D$67,4,FALSE),0),"")</f>
        <v/>
      </c>
      <c r="AO154" t="str">
        <f>IFERROR(ROUND(L154*(I154/$AW154)/VLOOKUP(H154,商品!$A$4:$D$67,4,FALSE),0),"")</f>
        <v/>
      </c>
      <c r="AP154" t="str">
        <f>IFERROR(ROUND(L154*(K154/$AW154)/VLOOKUP(J154,商品!$A$4:$D$67,4,FALSE),0),"")</f>
        <v/>
      </c>
      <c r="AQ154" t="str">
        <f>IFERROR(ROUND(S154*(N154/$AX154)/VLOOKUP(M154,职业!$A$3:$E$16,4,FALSE),0),"")</f>
        <v/>
      </c>
      <c r="AR154" t="str">
        <f>IFERROR(ROUND(S154*(P154/$AX154)/VLOOKUP(O154,职业!$A$3:$E$16,4,FALSE),0),"")</f>
        <v/>
      </c>
      <c r="AS154" t="str">
        <f>IFERROR(ROUND(S154*(R154/$AX154)/VLOOKUP(Q154,职业!$A$3:$E$16,4,FALSE),0),"")</f>
        <v/>
      </c>
      <c r="AT154" t="str">
        <f>IFERROR(ROUND(X154*(U154/$AY154)/VLOOKUP(T154,商品!$A$4:$D$67,4,FALSE),0),"")</f>
        <v/>
      </c>
      <c r="AU154" t="str">
        <f>IFERROR(ROUND(X154*(W154/$AY154)/VLOOKUP(V154,商品!$A$4:$D$67,4,FALSE),0),"")</f>
        <v/>
      </c>
      <c r="AW154">
        <f t="shared" si="48"/>
        <v>0</v>
      </c>
      <c r="AX154">
        <f t="shared" si="49"/>
        <v>0</v>
      </c>
      <c r="AY154">
        <f t="shared" si="50"/>
        <v>0</v>
      </c>
    </row>
    <row r="155" customHeight="1" spans="1:51">
      <c r="A155" s="18" t="s">
        <v>315</v>
      </c>
      <c r="C155" s="18">
        <v>1</v>
      </c>
      <c r="D155" s="1" t="s">
        <v>220</v>
      </c>
      <c r="E155" s="1" t="s">
        <v>224</v>
      </c>
      <c r="L155" s="18">
        <f>IFERROR(VLOOKUP($D155&amp;$C155,生产方式定位!$A$2:$E$38,2,FALSE)+VLOOKUP($E155&amp;$C155,生产方式定位!$F$3:$J$38,2,FALSE),0)</f>
        <v>500</v>
      </c>
      <c r="S155" s="18">
        <f>IFERROR(VLOOKUP($D155&amp;$C155,生产方式定位!$A$2:$E$38,3,FALSE)+VLOOKUP($E155&amp;$C155,生产方式定位!$F$3:$J$38,3,FALSE),0)</f>
        <v>150</v>
      </c>
      <c r="X155" s="18">
        <f>IFERROR(VLOOKUP($D155&amp;$C155,生产方式定位!$A$2:$E$38,5,FALSE)+VLOOKUP($E155&amp;$C155,生产方式定位!$F$3:$J$38,5,FALSE),"错误")</f>
        <v>715</v>
      </c>
      <c r="Y155" s="27" t="str">
        <f t="shared" si="34"/>
        <v/>
      </c>
      <c r="Z155" s="50" t="str">
        <f t="shared" si="37"/>
        <v/>
      </c>
      <c r="AA155" s="50" t="str">
        <f t="shared" si="35"/>
        <v/>
      </c>
      <c r="AB155" s="28" t="str">
        <f t="shared" si="38"/>
        <v>43%</v>
      </c>
      <c r="AC155" s="1">
        <f t="shared" si="39"/>
        <v>65</v>
      </c>
      <c r="AD155" s="52">
        <f t="shared" si="36"/>
        <v>1</v>
      </c>
      <c r="AE155" t="str">
        <f t="shared" si="40"/>
        <v/>
      </c>
      <c r="AF155" t="str">
        <f t="shared" si="41"/>
        <v/>
      </c>
      <c r="AG155" t="str">
        <f t="shared" si="42"/>
        <v/>
      </c>
      <c r="AH155" t="str">
        <f t="shared" si="43"/>
        <v/>
      </c>
      <c r="AI155" t="str">
        <f t="shared" si="44"/>
        <v/>
      </c>
      <c r="AJ155" t="str">
        <f t="shared" si="45"/>
        <v/>
      </c>
      <c r="AK155" t="str">
        <f t="shared" si="46"/>
        <v/>
      </c>
      <c r="AL155" t="str">
        <f t="shared" si="47"/>
        <v/>
      </c>
      <c r="AN155" t="str">
        <f>IFERROR(ROUND(L155*(G155/$AW155)/VLOOKUP(F155,商品!$A$4:$D$67,4,FALSE),0),"")</f>
        <v/>
      </c>
      <c r="AO155" t="str">
        <f>IFERROR(ROUND(L155*(I155/$AW155)/VLOOKUP(H155,商品!$A$4:$D$67,4,FALSE),0),"")</f>
        <v/>
      </c>
      <c r="AP155" t="str">
        <f>IFERROR(ROUND(L155*(K155/$AW155)/VLOOKUP(J155,商品!$A$4:$D$67,4,FALSE),0),"")</f>
        <v/>
      </c>
      <c r="AQ155" t="str">
        <f>IFERROR(ROUND(S155*(N155/$AX155)/VLOOKUP(M155,职业!$A$3:$E$16,4,FALSE),0),"")</f>
        <v/>
      </c>
      <c r="AR155" t="str">
        <f>IFERROR(ROUND(S155*(P155/$AX155)/VLOOKUP(O155,职业!$A$3:$E$16,4,FALSE),0),"")</f>
        <v/>
      </c>
      <c r="AS155" t="str">
        <f>IFERROR(ROUND(S155*(R155/$AX155)/VLOOKUP(Q155,职业!$A$3:$E$16,4,FALSE),0),"")</f>
        <v/>
      </c>
      <c r="AT155" t="str">
        <f>IFERROR(ROUND(X155*(U155/$AY155)/VLOOKUP(T155,商品!$A$4:$D$67,4,FALSE),0),"")</f>
        <v/>
      </c>
      <c r="AU155" t="str">
        <f>IFERROR(ROUND(X155*(W155/$AY155)/VLOOKUP(V155,商品!$A$4:$D$67,4,FALSE),0),"")</f>
        <v/>
      </c>
      <c r="AW155">
        <f t="shared" si="48"/>
        <v>0</v>
      </c>
      <c r="AX155">
        <f t="shared" si="49"/>
        <v>0</v>
      </c>
      <c r="AY155">
        <f t="shared" si="50"/>
        <v>0</v>
      </c>
    </row>
    <row r="156" customHeight="1" spans="1:51">
      <c r="A156" s="18" t="s">
        <v>315</v>
      </c>
      <c r="C156" s="18">
        <v>2</v>
      </c>
      <c r="D156" s="1" t="s">
        <v>220</v>
      </c>
      <c r="E156" s="1" t="s">
        <v>224</v>
      </c>
      <c r="L156" s="18">
        <f>IFERROR(VLOOKUP($D156&amp;$C156,生产方式定位!$A$2:$E$38,2,FALSE)+VLOOKUP($E156&amp;$C156,生产方式定位!$F$3:$J$38,2,FALSE),0)</f>
        <v>1200</v>
      </c>
      <c r="S156" s="18">
        <f>IFERROR(VLOOKUP($D156&amp;$C156,生产方式定位!$A$2:$E$38,3,FALSE)+VLOOKUP($E156&amp;$C156,生产方式定位!$F$3:$J$38,3,FALSE),0)</f>
        <v>100</v>
      </c>
      <c r="X156" s="18">
        <f>IFERROR(VLOOKUP($D156&amp;$C156,生产方式定位!$A$2:$E$38,5,FALSE)+VLOOKUP($E156&amp;$C156,生产方式定位!$F$3:$J$38,5,FALSE),"错误")</f>
        <v>1346</v>
      </c>
      <c r="Y156" s="27" t="str">
        <f t="shared" si="34"/>
        <v/>
      </c>
      <c r="Z156" s="50" t="str">
        <f t="shared" si="37"/>
        <v/>
      </c>
      <c r="AA156" s="50" t="str">
        <f t="shared" si="35"/>
        <v/>
      </c>
      <c r="AB156" s="28" t="str">
        <f t="shared" si="38"/>
        <v>12%</v>
      </c>
      <c r="AC156" s="1">
        <f t="shared" si="39"/>
        <v>46</v>
      </c>
      <c r="AD156" s="52">
        <f t="shared" si="36"/>
        <v>2</v>
      </c>
      <c r="AE156" t="str">
        <f t="shared" si="40"/>
        <v/>
      </c>
      <c r="AF156" t="str">
        <f t="shared" si="41"/>
        <v/>
      </c>
      <c r="AG156" t="str">
        <f t="shared" si="42"/>
        <v/>
      </c>
      <c r="AH156" t="str">
        <f t="shared" si="43"/>
        <v/>
      </c>
      <c r="AI156" t="str">
        <f t="shared" si="44"/>
        <v/>
      </c>
      <c r="AJ156" t="str">
        <f t="shared" si="45"/>
        <v/>
      </c>
      <c r="AK156" t="str">
        <f t="shared" si="46"/>
        <v/>
      </c>
      <c r="AL156" t="str">
        <f t="shared" si="47"/>
        <v/>
      </c>
      <c r="AN156" t="str">
        <f>IFERROR(ROUND(L156*(G156/$AW156)/VLOOKUP(F156,商品!$A$4:$D$67,4,FALSE),0),"")</f>
        <v/>
      </c>
      <c r="AO156" t="str">
        <f>IFERROR(ROUND(L156*(I156/$AW156)/VLOOKUP(H156,商品!$A$4:$D$67,4,FALSE),0),"")</f>
        <v/>
      </c>
      <c r="AP156" t="str">
        <f>IFERROR(ROUND(L156*(K156/$AW156)/VLOOKUP(J156,商品!$A$4:$D$67,4,FALSE),0),"")</f>
        <v/>
      </c>
      <c r="AQ156" t="str">
        <f>IFERROR(ROUND(S156*(N156/$AX156)/VLOOKUP(M156,职业!$A$3:$E$16,4,FALSE),0),"")</f>
        <v/>
      </c>
      <c r="AR156" t="str">
        <f>IFERROR(ROUND(S156*(P156/$AX156)/VLOOKUP(O156,职业!$A$3:$E$16,4,FALSE),0),"")</f>
        <v/>
      </c>
      <c r="AS156" t="str">
        <f>IFERROR(ROUND(S156*(R156/$AX156)/VLOOKUP(Q156,职业!$A$3:$E$16,4,FALSE),0),"")</f>
        <v/>
      </c>
      <c r="AT156" t="str">
        <f>IFERROR(ROUND(X156*(U156/$AY156)/VLOOKUP(T156,商品!$A$4:$D$67,4,FALSE),0),"")</f>
        <v/>
      </c>
      <c r="AU156" t="str">
        <f>IFERROR(ROUND(X156*(W156/$AY156)/VLOOKUP(V156,商品!$A$4:$D$67,4,FALSE),0),"")</f>
        <v/>
      </c>
      <c r="AW156">
        <f t="shared" si="48"/>
        <v>0</v>
      </c>
      <c r="AX156">
        <f t="shared" si="49"/>
        <v>0</v>
      </c>
      <c r="AY156">
        <f t="shared" si="50"/>
        <v>0</v>
      </c>
    </row>
    <row r="157" customHeight="1" spans="1:51">
      <c r="A157" s="18" t="s">
        <v>315</v>
      </c>
      <c r="C157" s="18">
        <v>3</v>
      </c>
      <c r="D157" s="1" t="s">
        <v>220</v>
      </c>
      <c r="E157" s="1" t="s">
        <v>224</v>
      </c>
      <c r="L157" s="18">
        <f>IFERROR(VLOOKUP($D157&amp;$C157,生产方式定位!$A$2:$E$38,2,FALSE)+VLOOKUP($E157&amp;$C157,生产方式定位!$F$3:$J$38,2,FALSE),0)</f>
        <v>1900</v>
      </c>
      <c r="S157" s="18">
        <f>IFERROR(VLOOKUP($D157&amp;$C157,生产方式定位!$A$2:$E$38,3,FALSE)+VLOOKUP($E157&amp;$C157,生产方式定位!$F$3:$J$38,3,FALSE),0)</f>
        <v>70</v>
      </c>
      <c r="X157" s="18">
        <f>IFERROR(VLOOKUP($D157&amp;$C157,生产方式定位!$A$2:$E$38,5,FALSE)+VLOOKUP($E157&amp;$C157,生产方式定位!$F$3:$J$38,5,FALSE),"错误")</f>
        <v>2064</v>
      </c>
      <c r="Y157" s="27" t="str">
        <f t="shared" si="34"/>
        <v/>
      </c>
      <c r="Z157" s="50" t="str">
        <f t="shared" si="37"/>
        <v/>
      </c>
      <c r="AA157" s="50" t="str">
        <f t="shared" si="35"/>
        <v/>
      </c>
      <c r="AB157" s="28" t="str">
        <f t="shared" si="38"/>
        <v>9%</v>
      </c>
      <c r="AC157" s="1">
        <f t="shared" si="39"/>
        <v>94</v>
      </c>
      <c r="AD157" s="52">
        <f t="shared" si="36"/>
        <v>3</v>
      </c>
      <c r="AE157" t="str">
        <f t="shared" si="40"/>
        <v/>
      </c>
      <c r="AF157" t="str">
        <f t="shared" si="41"/>
        <v/>
      </c>
      <c r="AG157" t="str">
        <f t="shared" si="42"/>
        <v/>
      </c>
      <c r="AH157" t="str">
        <f t="shared" si="43"/>
        <v/>
      </c>
      <c r="AI157" t="str">
        <f t="shared" si="44"/>
        <v/>
      </c>
      <c r="AJ157" t="str">
        <f t="shared" si="45"/>
        <v/>
      </c>
      <c r="AK157" t="str">
        <f t="shared" si="46"/>
        <v/>
      </c>
      <c r="AL157" t="str">
        <f t="shared" si="47"/>
        <v/>
      </c>
      <c r="AN157" t="str">
        <f>IFERROR(ROUND(L157*(G157/$AW157)/VLOOKUP(F157,商品!$A$4:$D$67,4,FALSE),0),"")</f>
        <v/>
      </c>
      <c r="AO157" t="str">
        <f>IFERROR(ROUND(L157*(I157/$AW157)/VLOOKUP(H157,商品!$A$4:$D$67,4,FALSE),0),"")</f>
        <v/>
      </c>
      <c r="AP157" t="str">
        <f>IFERROR(ROUND(L157*(K157/$AW157)/VLOOKUP(J157,商品!$A$4:$D$67,4,FALSE),0),"")</f>
        <v/>
      </c>
      <c r="AQ157" t="str">
        <f>IFERROR(ROUND(S157*(N157/$AX157)/VLOOKUP(M157,职业!$A$3:$E$16,4,FALSE),0),"")</f>
        <v/>
      </c>
      <c r="AR157" t="str">
        <f>IFERROR(ROUND(S157*(P157/$AX157)/VLOOKUP(O157,职业!$A$3:$E$16,4,FALSE),0),"")</f>
        <v/>
      </c>
      <c r="AS157" t="str">
        <f>IFERROR(ROUND(S157*(R157/$AX157)/VLOOKUP(Q157,职业!$A$3:$E$16,4,FALSE),0),"")</f>
        <v/>
      </c>
      <c r="AT157" t="str">
        <f>IFERROR(ROUND(X157*(U157/$AY157)/VLOOKUP(T157,商品!$A$4:$D$67,4,FALSE),0),"")</f>
        <v/>
      </c>
      <c r="AU157" t="str">
        <f>IFERROR(ROUND(X157*(W157/$AY157)/VLOOKUP(V157,商品!$A$4:$D$67,4,FALSE),0),"")</f>
        <v/>
      </c>
      <c r="AW157">
        <f t="shared" si="48"/>
        <v>0</v>
      </c>
      <c r="AX157">
        <f t="shared" si="49"/>
        <v>0</v>
      </c>
      <c r="AY157">
        <f t="shared" si="50"/>
        <v>0</v>
      </c>
    </row>
    <row r="158" customHeight="1" spans="1:51">
      <c r="A158" s="18" t="s">
        <v>315</v>
      </c>
      <c r="C158" s="18">
        <v>4</v>
      </c>
      <c r="D158" s="1" t="s">
        <v>220</v>
      </c>
      <c r="E158" s="1" t="s">
        <v>224</v>
      </c>
      <c r="L158" s="18">
        <f>IFERROR(VLOOKUP($D158&amp;$C158,生产方式定位!$A$2:$E$38,2,FALSE)+VLOOKUP($E158&amp;$C158,生产方式定位!$F$3:$J$38,2,FALSE),0)</f>
        <v>2600</v>
      </c>
      <c r="S158" s="18">
        <f>IFERROR(VLOOKUP($D158&amp;$C158,生产方式定位!$A$2:$E$38,3,FALSE)+VLOOKUP($E158&amp;$C158,生产方式定位!$F$3:$J$38,3,FALSE),0)</f>
        <v>40</v>
      </c>
      <c r="X158" s="18">
        <f>IFERROR(VLOOKUP($D158&amp;$C158,生产方式定位!$A$2:$E$38,5,FALSE)+VLOOKUP($E158&amp;$C158,生产方式定位!$F$3:$J$38,5,FALSE),"错误")</f>
        <v>2782</v>
      </c>
      <c r="Y158" s="27" t="str">
        <f t="shared" si="34"/>
        <v/>
      </c>
      <c r="Z158" s="50" t="str">
        <f t="shared" si="37"/>
        <v/>
      </c>
      <c r="AA158" s="50" t="str">
        <f t="shared" si="35"/>
        <v/>
      </c>
      <c r="AB158" s="28" t="str">
        <f t="shared" si="38"/>
        <v>7%</v>
      </c>
      <c r="AC158" s="1">
        <f t="shared" si="39"/>
        <v>142</v>
      </c>
      <c r="AD158" s="52">
        <f t="shared" si="36"/>
        <v>4</v>
      </c>
      <c r="AE158" t="str">
        <f t="shared" si="40"/>
        <v/>
      </c>
      <c r="AF158" t="str">
        <f t="shared" si="41"/>
        <v/>
      </c>
      <c r="AG158" t="str">
        <f t="shared" si="42"/>
        <v/>
      </c>
      <c r="AH158" t="str">
        <f t="shared" si="43"/>
        <v/>
      </c>
      <c r="AI158" t="str">
        <f t="shared" si="44"/>
        <v/>
      </c>
      <c r="AJ158" t="str">
        <f t="shared" si="45"/>
        <v/>
      </c>
      <c r="AK158" t="str">
        <f t="shared" si="46"/>
        <v/>
      </c>
      <c r="AL158" t="str">
        <f t="shared" si="47"/>
        <v/>
      </c>
      <c r="AN158" t="str">
        <f>IFERROR(ROUND(L158*(G158/$AW158)/VLOOKUP(F158,商品!$A$4:$D$67,4,FALSE),0),"")</f>
        <v/>
      </c>
      <c r="AO158" t="str">
        <f>IFERROR(ROUND(L158*(I158/$AW158)/VLOOKUP(H158,商品!$A$4:$D$67,4,FALSE),0),"")</f>
        <v/>
      </c>
      <c r="AP158" t="str">
        <f>IFERROR(ROUND(L158*(K158/$AW158)/VLOOKUP(J158,商品!$A$4:$D$67,4,FALSE),0),"")</f>
        <v/>
      </c>
      <c r="AQ158" t="str">
        <f>IFERROR(ROUND(S158*(N158/$AX158)/VLOOKUP(M158,职业!$A$3:$E$16,4,FALSE),0),"")</f>
        <v/>
      </c>
      <c r="AR158" t="str">
        <f>IFERROR(ROUND(S158*(P158/$AX158)/VLOOKUP(O158,职业!$A$3:$E$16,4,FALSE),0),"")</f>
        <v/>
      </c>
      <c r="AS158" t="str">
        <f>IFERROR(ROUND(S158*(R158/$AX158)/VLOOKUP(Q158,职业!$A$3:$E$16,4,FALSE),0),"")</f>
        <v/>
      </c>
      <c r="AT158" t="str">
        <f>IFERROR(ROUND(X158*(U158/$AY158)/VLOOKUP(T158,商品!$A$4:$D$67,4,FALSE),0),"")</f>
        <v/>
      </c>
      <c r="AU158" t="str">
        <f>IFERROR(ROUND(X158*(W158/$AY158)/VLOOKUP(V158,商品!$A$4:$D$67,4,FALSE),0),"")</f>
        <v/>
      </c>
      <c r="AW158">
        <f t="shared" si="48"/>
        <v>0</v>
      </c>
      <c r="AX158">
        <f t="shared" si="49"/>
        <v>0</v>
      </c>
      <c r="AY158">
        <f t="shared" si="50"/>
        <v>0</v>
      </c>
    </row>
    <row r="159" customHeight="1" spans="1:51">
      <c r="A159" s="18" t="s">
        <v>315</v>
      </c>
      <c r="C159" s="18">
        <v>5</v>
      </c>
      <c r="D159" s="1" t="s">
        <v>220</v>
      </c>
      <c r="E159" s="1" t="s">
        <v>224</v>
      </c>
      <c r="L159" s="18">
        <f>IFERROR(VLOOKUP($D159&amp;$C159,生产方式定位!$A$2:$E$38,2,FALSE)+VLOOKUP($E159&amp;$C159,生产方式定位!$F$3:$J$38,2,FALSE),0)</f>
        <v>3300</v>
      </c>
      <c r="S159" s="18">
        <f>IFERROR(VLOOKUP($D159&amp;$C159,生产方式定位!$A$2:$E$38,3,FALSE)+VLOOKUP($E159&amp;$C159,生产方式定位!$F$3:$J$38,3,FALSE),0)</f>
        <v>10</v>
      </c>
      <c r="X159" s="18">
        <f>IFERROR(VLOOKUP($D159&amp;$C159,生产方式定位!$A$2:$E$38,5,FALSE)+VLOOKUP($E159&amp;$C159,生产方式定位!$F$3:$J$38,5,FALSE),"错误")</f>
        <v>3500</v>
      </c>
      <c r="Y159" s="27" t="str">
        <f t="shared" si="34"/>
        <v/>
      </c>
      <c r="Z159" s="50" t="str">
        <f t="shared" si="37"/>
        <v/>
      </c>
      <c r="AA159" s="50" t="str">
        <f t="shared" si="35"/>
        <v/>
      </c>
      <c r="AB159" s="28" t="str">
        <f t="shared" si="38"/>
        <v>6%</v>
      </c>
      <c r="AC159" s="1">
        <f t="shared" si="39"/>
        <v>190</v>
      </c>
      <c r="AD159" s="52">
        <f t="shared" si="36"/>
        <v>5</v>
      </c>
      <c r="AE159" t="str">
        <f t="shared" si="40"/>
        <v/>
      </c>
      <c r="AF159" t="str">
        <f t="shared" si="41"/>
        <v/>
      </c>
      <c r="AG159" t="str">
        <f t="shared" si="42"/>
        <v/>
      </c>
      <c r="AH159" t="str">
        <f t="shared" si="43"/>
        <v/>
      </c>
      <c r="AI159" t="str">
        <f t="shared" si="44"/>
        <v/>
      </c>
      <c r="AJ159" t="str">
        <f t="shared" si="45"/>
        <v/>
      </c>
      <c r="AK159" t="str">
        <f t="shared" si="46"/>
        <v/>
      </c>
      <c r="AL159" t="str">
        <f t="shared" si="47"/>
        <v/>
      </c>
      <c r="AN159" t="str">
        <f>IFERROR(ROUND(L159*(G159/$AW159)/VLOOKUP(F159,商品!$A$4:$D$67,4,FALSE),0),"")</f>
        <v/>
      </c>
      <c r="AO159" t="str">
        <f>IFERROR(ROUND(L159*(I159/$AW159)/VLOOKUP(H159,商品!$A$4:$D$67,4,FALSE),0),"")</f>
        <v/>
      </c>
      <c r="AP159" t="str">
        <f>IFERROR(ROUND(L159*(K159/$AW159)/VLOOKUP(J159,商品!$A$4:$D$67,4,FALSE),0),"")</f>
        <v/>
      </c>
      <c r="AQ159" t="str">
        <f>IFERROR(ROUND(S159*(N159/$AX159)/VLOOKUP(M159,职业!$A$3:$E$16,4,FALSE),0),"")</f>
        <v/>
      </c>
      <c r="AR159" t="str">
        <f>IFERROR(ROUND(S159*(P159/$AX159)/VLOOKUP(O159,职业!$A$3:$E$16,4,FALSE),0),"")</f>
        <v/>
      </c>
      <c r="AS159" t="str">
        <f>IFERROR(ROUND(S159*(R159/$AX159)/VLOOKUP(Q159,职业!$A$3:$E$16,4,FALSE),0),"")</f>
        <v/>
      </c>
      <c r="AT159" t="str">
        <f>IFERROR(ROUND(X159*(U159/$AY159)/VLOOKUP(T159,商品!$A$4:$D$67,4,FALSE),0),"")</f>
        <v/>
      </c>
      <c r="AU159" t="str">
        <f>IFERROR(ROUND(X159*(W159/$AY159)/VLOOKUP(V159,商品!$A$4:$D$67,4,FALSE),0),"")</f>
        <v/>
      </c>
      <c r="AW159">
        <f t="shared" si="48"/>
        <v>0</v>
      </c>
      <c r="AX159">
        <f t="shared" si="49"/>
        <v>0</v>
      </c>
      <c r="AY159">
        <f t="shared" si="50"/>
        <v>0</v>
      </c>
    </row>
    <row r="160" customHeight="1" spans="1:51">
      <c r="A160" s="5" t="s">
        <v>316</v>
      </c>
      <c r="C160" s="5">
        <v>1</v>
      </c>
      <c r="D160" s="1" t="s">
        <v>291</v>
      </c>
      <c r="E160" s="1" t="s">
        <v>225</v>
      </c>
      <c r="L160" s="5">
        <f>IFERROR(VLOOKUP($D160&amp;$C160,生产方式定位!$A$2:$E$38,2,FALSE)+VLOOKUP($E160&amp;$C160,生产方式定位!$F$3:$J$38,2,FALSE),0)</f>
        <v>0</v>
      </c>
      <c r="S160" s="5">
        <f>IFERROR(VLOOKUP($D160&amp;$C160,生产方式定位!$A$2:$E$38,3,FALSE)+VLOOKUP($E160&amp;$C160,生产方式定位!$F$3:$J$38,3,FALSE),0)</f>
        <v>100</v>
      </c>
      <c r="X160" s="5">
        <f>IFERROR(VLOOKUP($D160&amp;$C160,生产方式定位!$A$2:$E$38,5,FALSE)+VLOOKUP($E160&amp;$C160,生产方式定位!$F$3:$J$38,5,FALSE),"错误")</f>
        <v>100</v>
      </c>
      <c r="Y160" s="27" t="str">
        <f t="shared" si="34"/>
        <v/>
      </c>
      <c r="Z160" s="50" t="str">
        <f t="shared" si="37"/>
        <v/>
      </c>
      <c r="AA160" s="50" t="str">
        <f t="shared" si="35"/>
        <v/>
      </c>
      <c r="AB160" s="28" t="str">
        <f t="shared" si="38"/>
        <v/>
      </c>
      <c r="AC160" s="1" t="str">
        <f t="shared" si="39"/>
        <v/>
      </c>
      <c r="AD160" s="51">
        <f t="shared" si="36"/>
        <v>1</v>
      </c>
      <c r="AE160" t="str">
        <f t="shared" si="40"/>
        <v/>
      </c>
      <c r="AF160" t="str">
        <f t="shared" si="41"/>
        <v/>
      </c>
      <c r="AG160" t="str">
        <f t="shared" si="42"/>
        <v/>
      </c>
      <c r="AH160" t="str">
        <f t="shared" si="43"/>
        <v/>
      </c>
      <c r="AI160" t="str">
        <f t="shared" si="44"/>
        <v/>
      </c>
      <c r="AJ160" t="str">
        <f t="shared" si="45"/>
        <v/>
      </c>
      <c r="AK160" t="str">
        <f t="shared" si="46"/>
        <v/>
      </c>
      <c r="AL160" t="str">
        <f t="shared" si="47"/>
        <v/>
      </c>
      <c r="AN160" t="str">
        <f>IFERROR(ROUND(L160*(G160/$AW160)/VLOOKUP(F160,商品!$A$4:$D$67,4,FALSE),0),"")</f>
        <v/>
      </c>
      <c r="AO160" t="str">
        <f>IFERROR(ROUND(L160*(I160/$AW160)/VLOOKUP(H160,商品!$A$4:$D$67,4,FALSE),0),"")</f>
        <v/>
      </c>
      <c r="AP160" t="str">
        <f>IFERROR(ROUND(L160*(K160/$AW160)/VLOOKUP(J160,商品!$A$4:$D$67,4,FALSE),0),"")</f>
        <v/>
      </c>
      <c r="AQ160" t="str">
        <f>IFERROR(ROUND(S160*(N160/$AX160)/VLOOKUP(M160,职业!$A$3:$E$16,4,FALSE),0),"")</f>
        <v/>
      </c>
      <c r="AR160" t="str">
        <f>IFERROR(ROUND(S160*(P160/$AX160)/VLOOKUP(O160,职业!$A$3:$E$16,4,FALSE),0),"")</f>
        <v/>
      </c>
      <c r="AS160" t="str">
        <f>IFERROR(ROUND(S160*(R160/$AX160)/VLOOKUP(Q160,职业!$A$3:$E$16,4,FALSE),0),"")</f>
        <v/>
      </c>
      <c r="AT160" t="str">
        <f>IFERROR(ROUND(X160*(U160/$AY160)/VLOOKUP(T160,商品!$A$4:$D$67,4,FALSE),0),"")</f>
        <v/>
      </c>
      <c r="AU160" t="str">
        <f>IFERROR(ROUND(X160*(W160/$AY160)/VLOOKUP(V160,商品!$A$4:$D$67,4,FALSE),0),"")</f>
        <v/>
      </c>
      <c r="AW160">
        <f t="shared" si="48"/>
        <v>0</v>
      </c>
      <c r="AX160">
        <f t="shared" si="49"/>
        <v>0</v>
      </c>
      <c r="AY160">
        <f t="shared" si="50"/>
        <v>0</v>
      </c>
    </row>
    <row r="161" customHeight="1" spans="1:51">
      <c r="A161" s="5" t="s">
        <v>316</v>
      </c>
      <c r="C161" s="5">
        <v>2</v>
      </c>
      <c r="D161" s="1" t="s">
        <v>291</v>
      </c>
      <c r="E161" s="1" t="s">
        <v>225</v>
      </c>
      <c r="L161" s="5">
        <f>IFERROR(VLOOKUP($D161&amp;$C161,生产方式定位!$A$2:$E$38,2,FALSE)+VLOOKUP($E161&amp;$C161,生产方式定位!$F$3:$J$38,2,FALSE),0)</f>
        <v>0</v>
      </c>
      <c r="S161" s="5">
        <f>IFERROR(VLOOKUP($D161&amp;$C161,生产方式定位!$A$2:$E$38,3,FALSE)+VLOOKUP($E161&amp;$C161,生产方式定位!$F$3:$J$38,3,FALSE),0)</f>
        <v>100</v>
      </c>
      <c r="X161" s="5">
        <f>IFERROR(VLOOKUP($D161&amp;$C161,生产方式定位!$A$2:$E$38,5,FALSE)+VLOOKUP($E161&amp;$C161,生产方式定位!$F$3:$J$38,5,FALSE),"错误")</f>
        <v>100</v>
      </c>
      <c r="Y161" s="27" t="str">
        <f t="shared" si="34"/>
        <v/>
      </c>
      <c r="Z161" s="50" t="str">
        <f t="shared" si="37"/>
        <v/>
      </c>
      <c r="AA161" s="50" t="str">
        <f t="shared" si="35"/>
        <v/>
      </c>
      <c r="AB161" s="28" t="str">
        <f t="shared" si="38"/>
        <v/>
      </c>
      <c r="AC161" s="1" t="str">
        <f t="shared" si="39"/>
        <v/>
      </c>
      <c r="AD161" s="51">
        <f t="shared" si="36"/>
        <v>2</v>
      </c>
      <c r="AE161" t="str">
        <f t="shared" si="40"/>
        <v/>
      </c>
      <c r="AF161" t="str">
        <f t="shared" si="41"/>
        <v/>
      </c>
      <c r="AG161" t="str">
        <f t="shared" si="42"/>
        <v/>
      </c>
      <c r="AH161" t="str">
        <f t="shared" si="43"/>
        <v/>
      </c>
      <c r="AI161" t="str">
        <f t="shared" si="44"/>
        <v/>
      </c>
      <c r="AJ161" t="str">
        <f t="shared" si="45"/>
        <v/>
      </c>
      <c r="AK161" t="str">
        <f t="shared" si="46"/>
        <v/>
      </c>
      <c r="AL161" t="str">
        <f t="shared" si="47"/>
        <v/>
      </c>
      <c r="AN161" t="str">
        <f>IFERROR(ROUND(L161*(G161/$AW161)/VLOOKUP(F161,商品!$A$4:$D$67,4,FALSE),0),"")</f>
        <v/>
      </c>
      <c r="AO161" t="str">
        <f>IFERROR(ROUND(L161*(I161/$AW161)/VLOOKUP(H161,商品!$A$4:$D$67,4,FALSE),0),"")</f>
        <v/>
      </c>
      <c r="AP161" t="str">
        <f>IFERROR(ROUND(L161*(K161/$AW161)/VLOOKUP(J161,商品!$A$4:$D$67,4,FALSE),0),"")</f>
        <v/>
      </c>
      <c r="AQ161" t="str">
        <f>IFERROR(ROUND(S161*(N161/$AX161)/VLOOKUP(M161,职业!$A$3:$E$16,4,FALSE),0),"")</f>
        <v/>
      </c>
      <c r="AR161" t="str">
        <f>IFERROR(ROUND(S161*(P161/$AX161)/VLOOKUP(O161,职业!$A$3:$E$16,4,FALSE),0),"")</f>
        <v/>
      </c>
      <c r="AS161" t="str">
        <f>IFERROR(ROUND(S161*(R161/$AX161)/VLOOKUP(Q161,职业!$A$3:$E$16,4,FALSE),0),"")</f>
        <v/>
      </c>
      <c r="AT161" t="str">
        <f>IFERROR(ROUND(X161*(U161/$AY161)/VLOOKUP(T161,商品!$A$4:$D$67,4,FALSE),0),"")</f>
        <v/>
      </c>
      <c r="AU161" t="str">
        <f>IFERROR(ROUND(X161*(W161/$AY161)/VLOOKUP(V161,商品!$A$4:$D$67,4,FALSE),0),"")</f>
        <v/>
      </c>
      <c r="AW161">
        <f t="shared" si="48"/>
        <v>0</v>
      </c>
      <c r="AX161">
        <f t="shared" si="49"/>
        <v>0</v>
      </c>
      <c r="AY161">
        <f t="shared" si="50"/>
        <v>0</v>
      </c>
    </row>
    <row r="162" customHeight="1" spans="1:51">
      <c r="A162" s="5" t="s">
        <v>316</v>
      </c>
      <c r="C162" s="5">
        <v>3</v>
      </c>
      <c r="D162" s="1" t="s">
        <v>291</v>
      </c>
      <c r="E162" s="1" t="s">
        <v>225</v>
      </c>
      <c r="L162" s="5">
        <f>IFERROR(VLOOKUP($D162&amp;$C162,生产方式定位!$A$2:$E$38,2,FALSE)+VLOOKUP($E162&amp;$C162,生产方式定位!$F$3:$J$38,2,FALSE),0)</f>
        <v>0</v>
      </c>
      <c r="S162" s="5">
        <f>IFERROR(VLOOKUP($D162&amp;$C162,生产方式定位!$A$2:$E$38,3,FALSE)+VLOOKUP($E162&amp;$C162,生产方式定位!$F$3:$J$38,3,FALSE),0)</f>
        <v>100</v>
      </c>
      <c r="X162" s="5">
        <f>IFERROR(VLOOKUP($D162&amp;$C162,生产方式定位!$A$2:$E$38,5,FALSE)+VLOOKUP($E162&amp;$C162,生产方式定位!$F$3:$J$38,5,FALSE),"错误")</f>
        <v>100</v>
      </c>
      <c r="Y162" s="27" t="str">
        <f t="shared" si="34"/>
        <v/>
      </c>
      <c r="Z162" s="50" t="str">
        <f t="shared" si="37"/>
        <v/>
      </c>
      <c r="AA162" s="50" t="str">
        <f t="shared" si="35"/>
        <v/>
      </c>
      <c r="AB162" s="28" t="str">
        <f t="shared" si="38"/>
        <v/>
      </c>
      <c r="AC162" s="1" t="str">
        <f t="shared" si="39"/>
        <v/>
      </c>
      <c r="AD162" s="51">
        <f t="shared" si="36"/>
        <v>3</v>
      </c>
      <c r="AE162" t="str">
        <f t="shared" si="40"/>
        <v/>
      </c>
      <c r="AF162" t="str">
        <f t="shared" si="41"/>
        <v/>
      </c>
      <c r="AG162" t="str">
        <f t="shared" si="42"/>
        <v/>
      </c>
      <c r="AH162" t="str">
        <f t="shared" si="43"/>
        <v/>
      </c>
      <c r="AI162" t="str">
        <f t="shared" si="44"/>
        <v/>
      </c>
      <c r="AJ162" t="str">
        <f t="shared" si="45"/>
        <v/>
      </c>
      <c r="AK162" t="str">
        <f t="shared" si="46"/>
        <v/>
      </c>
      <c r="AL162" t="str">
        <f t="shared" si="47"/>
        <v/>
      </c>
      <c r="AN162" t="str">
        <f>IFERROR(ROUND(L162*(G162/$AW162)/VLOOKUP(F162,商品!$A$4:$D$67,4,FALSE),0),"")</f>
        <v/>
      </c>
      <c r="AO162" t="str">
        <f>IFERROR(ROUND(L162*(I162/$AW162)/VLOOKUP(H162,商品!$A$4:$D$67,4,FALSE),0),"")</f>
        <v/>
      </c>
      <c r="AP162" t="str">
        <f>IFERROR(ROUND(L162*(K162/$AW162)/VLOOKUP(J162,商品!$A$4:$D$67,4,FALSE),0),"")</f>
        <v/>
      </c>
      <c r="AQ162" t="str">
        <f>IFERROR(ROUND(S162*(N162/$AX162)/VLOOKUP(M162,职业!$A$3:$E$16,4,FALSE),0),"")</f>
        <v/>
      </c>
      <c r="AR162" t="str">
        <f>IFERROR(ROUND(S162*(P162/$AX162)/VLOOKUP(O162,职业!$A$3:$E$16,4,FALSE),0),"")</f>
        <v/>
      </c>
      <c r="AS162" t="str">
        <f>IFERROR(ROUND(S162*(R162/$AX162)/VLOOKUP(Q162,职业!$A$3:$E$16,4,FALSE),0),"")</f>
        <v/>
      </c>
      <c r="AT162" t="str">
        <f>IFERROR(ROUND(X162*(U162/$AY162)/VLOOKUP(T162,商品!$A$4:$D$67,4,FALSE),0),"")</f>
        <v/>
      </c>
      <c r="AU162" t="str">
        <f>IFERROR(ROUND(X162*(W162/$AY162)/VLOOKUP(V162,商品!$A$4:$D$67,4,FALSE),0),"")</f>
        <v/>
      </c>
      <c r="AW162">
        <f t="shared" si="48"/>
        <v>0</v>
      </c>
      <c r="AX162">
        <f t="shared" si="49"/>
        <v>0</v>
      </c>
      <c r="AY162">
        <f t="shared" si="50"/>
        <v>0</v>
      </c>
    </row>
    <row r="163" customHeight="1" spans="1:51">
      <c r="A163" s="5" t="s">
        <v>316</v>
      </c>
      <c r="C163" s="5">
        <v>4</v>
      </c>
      <c r="D163" s="1" t="s">
        <v>291</v>
      </c>
      <c r="E163" s="1" t="s">
        <v>225</v>
      </c>
      <c r="L163" s="5">
        <f>IFERROR(VLOOKUP($D163&amp;$C163,生产方式定位!$A$2:$E$38,2,FALSE)+VLOOKUP($E163&amp;$C163,生产方式定位!$F$3:$J$38,2,FALSE),0)</f>
        <v>0</v>
      </c>
      <c r="S163" s="5">
        <f>IFERROR(VLOOKUP($D163&amp;$C163,生产方式定位!$A$2:$E$38,3,FALSE)+VLOOKUP($E163&amp;$C163,生产方式定位!$F$3:$J$38,3,FALSE),0)</f>
        <v>100</v>
      </c>
      <c r="X163" s="5">
        <f>IFERROR(VLOOKUP($D163&amp;$C163,生产方式定位!$A$2:$E$38,5,FALSE)+VLOOKUP($E163&amp;$C163,生产方式定位!$F$3:$J$38,5,FALSE),"错误")</f>
        <v>100</v>
      </c>
      <c r="Y163" s="27" t="str">
        <f t="shared" si="34"/>
        <v/>
      </c>
      <c r="Z163" s="50" t="str">
        <f t="shared" si="37"/>
        <v/>
      </c>
      <c r="AA163" s="50" t="str">
        <f t="shared" si="35"/>
        <v/>
      </c>
      <c r="AB163" s="28" t="str">
        <f t="shared" si="38"/>
        <v/>
      </c>
      <c r="AC163" s="1" t="str">
        <f t="shared" si="39"/>
        <v/>
      </c>
      <c r="AD163" s="51">
        <f t="shared" si="36"/>
        <v>4</v>
      </c>
      <c r="AE163" t="str">
        <f t="shared" si="40"/>
        <v/>
      </c>
      <c r="AF163" t="str">
        <f t="shared" si="41"/>
        <v/>
      </c>
      <c r="AG163" t="str">
        <f t="shared" si="42"/>
        <v/>
      </c>
      <c r="AH163" t="str">
        <f t="shared" si="43"/>
        <v/>
      </c>
      <c r="AI163" t="str">
        <f t="shared" si="44"/>
        <v/>
      </c>
      <c r="AJ163" t="str">
        <f t="shared" si="45"/>
        <v/>
      </c>
      <c r="AK163" t="str">
        <f t="shared" si="46"/>
        <v/>
      </c>
      <c r="AL163" t="str">
        <f t="shared" si="47"/>
        <v/>
      </c>
      <c r="AN163" t="str">
        <f>IFERROR(ROUND(L163*(G163/$AW163)/VLOOKUP(F163,商品!$A$4:$D$67,4,FALSE),0),"")</f>
        <v/>
      </c>
      <c r="AO163" t="str">
        <f>IFERROR(ROUND(L163*(I163/$AW163)/VLOOKUP(H163,商品!$A$4:$D$67,4,FALSE),0),"")</f>
        <v/>
      </c>
      <c r="AP163" t="str">
        <f>IFERROR(ROUND(L163*(K163/$AW163)/VLOOKUP(J163,商品!$A$4:$D$67,4,FALSE),0),"")</f>
        <v/>
      </c>
      <c r="AQ163" t="str">
        <f>IFERROR(ROUND(S163*(N163/$AX163)/VLOOKUP(M163,职业!$A$3:$E$16,4,FALSE),0),"")</f>
        <v/>
      </c>
      <c r="AR163" t="str">
        <f>IFERROR(ROUND(S163*(P163/$AX163)/VLOOKUP(O163,职业!$A$3:$E$16,4,FALSE),0),"")</f>
        <v/>
      </c>
      <c r="AS163" t="str">
        <f>IFERROR(ROUND(S163*(R163/$AX163)/VLOOKUP(Q163,职业!$A$3:$E$16,4,FALSE),0),"")</f>
        <v/>
      </c>
      <c r="AT163" t="str">
        <f>IFERROR(ROUND(X163*(U163/$AY163)/VLOOKUP(T163,商品!$A$4:$D$67,4,FALSE),0),"")</f>
        <v/>
      </c>
      <c r="AU163" t="str">
        <f>IFERROR(ROUND(X163*(W163/$AY163)/VLOOKUP(V163,商品!$A$4:$D$67,4,FALSE),0),"")</f>
        <v/>
      </c>
      <c r="AW163">
        <f t="shared" si="48"/>
        <v>0</v>
      </c>
      <c r="AX163">
        <f t="shared" si="49"/>
        <v>0</v>
      </c>
      <c r="AY163">
        <f t="shared" si="50"/>
        <v>0</v>
      </c>
    </row>
    <row r="164" customHeight="1" spans="1:51">
      <c r="A164" s="5" t="s">
        <v>316</v>
      </c>
      <c r="C164" s="5">
        <v>5</v>
      </c>
      <c r="D164" s="1" t="s">
        <v>291</v>
      </c>
      <c r="E164" s="1" t="s">
        <v>225</v>
      </c>
      <c r="L164" s="5">
        <f>IFERROR(VLOOKUP($D164&amp;$C164,生产方式定位!$A$2:$E$38,2,FALSE)+VLOOKUP($E164&amp;$C164,生产方式定位!$F$3:$J$38,2,FALSE),0)</f>
        <v>0</v>
      </c>
      <c r="S164" s="5">
        <f>IFERROR(VLOOKUP($D164&amp;$C164,生产方式定位!$A$2:$E$38,3,FALSE)+VLOOKUP($E164&amp;$C164,生产方式定位!$F$3:$J$38,3,FALSE),0)</f>
        <v>100</v>
      </c>
      <c r="X164" s="5">
        <f>IFERROR(VLOOKUP($D164&amp;$C164,生产方式定位!$A$2:$E$38,5,FALSE)+VLOOKUP($E164&amp;$C164,生产方式定位!$F$3:$J$38,5,FALSE),"错误")</f>
        <v>100</v>
      </c>
      <c r="Y164" s="27" t="str">
        <f t="shared" si="34"/>
        <v/>
      </c>
      <c r="Z164" s="50" t="str">
        <f t="shared" si="37"/>
        <v/>
      </c>
      <c r="AA164" s="50" t="str">
        <f t="shared" si="35"/>
        <v/>
      </c>
      <c r="AB164" s="28" t="str">
        <f t="shared" si="38"/>
        <v/>
      </c>
      <c r="AC164" s="1" t="str">
        <f t="shared" si="39"/>
        <v/>
      </c>
      <c r="AD164" s="51">
        <f t="shared" si="36"/>
        <v>5</v>
      </c>
      <c r="AE164" t="str">
        <f t="shared" si="40"/>
        <v/>
      </c>
      <c r="AF164" t="str">
        <f t="shared" si="41"/>
        <v/>
      </c>
      <c r="AG164" t="str">
        <f t="shared" si="42"/>
        <v/>
      </c>
      <c r="AH164" t="str">
        <f t="shared" si="43"/>
        <v/>
      </c>
      <c r="AI164" t="str">
        <f t="shared" si="44"/>
        <v/>
      </c>
      <c r="AJ164" t="str">
        <f t="shared" si="45"/>
        <v/>
      </c>
      <c r="AK164" t="str">
        <f t="shared" si="46"/>
        <v/>
      </c>
      <c r="AL164" t="str">
        <f t="shared" si="47"/>
        <v/>
      </c>
      <c r="AN164" t="str">
        <f>IFERROR(ROUND(L164*(G164/$AW164)/VLOOKUP(F164,商品!$A$4:$D$67,4,FALSE),0),"")</f>
        <v/>
      </c>
      <c r="AO164" t="str">
        <f>IFERROR(ROUND(L164*(I164/$AW164)/VLOOKUP(H164,商品!$A$4:$D$67,4,FALSE),0),"")</f>
        <v/>
      </c>
      <c r="AP164" t="str">
        <f>IFERROR(ROUND(L164*(K164/$AW164)/VLOOKUP(J164,商品!$A$4:$D$67,4,FALSE),0),"")</f>
        <v/>
      </c>
      <c r="AQ164" t="str">
        <f>IFERROR(ROUND(S164*(N164/$AX164)/VLOOKUP(M164,职业!$A$3:$E$16,4,FALSE),0),"")</f>
        <v/>
      </c>
      <c r="AR164" t="str">
        <f>IFERROR(ROUND(S164*(P164/$AX164)/VLOOKUP(O164,职业!$A$3:$E$16,4,FALSE),0),"")</f>
        <v/>
      </c>
      <c r="AS164" t="str">
        <f>IFERROR(ROUND(S164*(R164/$AX164)/VLOOKUP(Q164,职业!$A$3:$E$16,4,FALSE),0),"")</f>
        <v/>
      </c>
      <c r="AT164" t="str">
        <f>IFERROR(ROUND(X164*(U164/$AY164)/VLOOKUP(T164,商品!$A$4:$D$67,4,FALSE),0),"")</f>
        <v/>
      </c>
      <c r="AU164" t="str">
        <f>IFERROR(ROUND(X164*(W164/$AY164)/VLOOKUP(V164,商品!$A$4:$D$67,4,FALSE),0),"")</f>
        <v/>
      </c>
      <c r="AW164">
        <f t="shared" si="48"/>
        <v>0</v>
      </c>
      <c r="AX164">
        <f t="shared" si="49"/>
        <v>0</v>
      </c>
      <c r="AY164">
        <f t="shared" si="50"/>
        <v>0</v>
      </c>
    </row>
    <row r="165" customHeight="1" spans="1:51">
      <c r="A165" s="5" t="s">
        <v>316</v>
      </c>
      <c r="C165" s="5">
        <v>6</v>
      </c>
      <c r="D165" s="1" t="s">
        <v>291</v>
      </c>
      <c r="E165" s="1" t="s">
        <v>225</v>
      </c>
      <c r="L165" s="5">
        <f>IFERROR(VLOOKUP($D165&amp;$C165,生产方式定位!$A$2:$E$38,2,FALSE)+VLOOKUP($E165&amp;$C165,生产方式定位!$F$3:$J$38,2,FALSE),0)</f>
        <v>0</v>
      </c>
      <c r="S165" s="5">
        <f>IFERROR(VLOOKUP($D165&amp;$C165,生产方式定位!$A$2:$E$38,3,FALSE)+VLOOKUP($E165&amp;$C165,生产方式定位!$F$3:$J$38,3,FALSE),0)</f>
        <v>100</v>
      </c>
      <c r="X165" s="5">
        <f>IFERROR(VLOOKUP($D165&amp;$C165,生产方式定位!$A$2:$E$38,5,FALSE)+VLOOKUP($E165&amp;$C165,生产方式定位!$F$3:$J$38,5,FALSE),"错误")</f>
        <v>100</v>
      </c>
      <c r="Y165" s="27" t="str">
        <f t="shared" si="34"/>
        <v/>
      </c>
      <c r="Z165" s="50" t="str">
        <f t="shared" si="37"/>
        <v/>
      </c>
      <c r="AA165" s="50" t="str">
        <f t="shared" si="35"/>
        <v/>
      </c>
      <c r="AB165" s="28" t="str">
        <f t="shared" si="38"/>
        <v/>
      </c>
      <c r="AC165" s="1" t="str">
        <f t="shared" si="39"/>
        <v/>
      </c>
      <c r="AD165" s="51">
        <f t="shared" si="36"/>
        <v>6</v>
      </c>
      <c r="AE165" t="str">
        <f t="shared" si="40"/>
        <v/>
      </c>
      <c r="AF165" t="str">
        <f t="shared" si="41"/>
        <v/>
      </c>
      <c r="AG165" t="str">
        <f t="shared" si="42"/>
        <v/>
      </c>
      <c r="AH165" t="str">
        <f t="shared" si="43"/>
        <v/>
      </c>
      <c r="AI165" t="str">
        <f t="shared" si="44"/>
        <v/>
      </c>
      <c r="AJ165" t="str">
        <f t="shared" si="45"/>
        <v/>
      </c>
      <c r="AK165" t="str">
        <f t="shared" si="46"/>
        <v/>
      </c>
      <c r="AL165" t="str">
        <f t="shared" si="47"/>
        <v/>
      </c>
      <c r="AN165" t="str">
        <f>IFERROR(ROUND(L165*(G165/$AW165)/VLOOKUP(F165,商品!$A$4:$D$67,4,FALSE),0),"")</f>
        <v/>
      </c>
      <c r="AO165" t="str">
        <f>IFERROR(ROUND(L165*(I165/$AW165)/VLOOKUP(H165,商品!$A$4:$D$67,4,FALSE),0),"")</f>
        <v/>
      </c>
      <c r="AP165" t="str">
        <f>IFERROR(ROUND(L165*(K165/$AW165)/VLOOKUP(J165,商品!$A$4:$D$67,4,FALSE),0),"")</f>
        <v/>
      </c>
      <c r="AQ165" t="str">
        <f>IFERROR(ROUND(S165*(N165/$AX165)/VLOOKUP(M165,职业!$A$3:$E$16,4,FALSE),0),"")</f>
        <v/>
      </c>
      <c r="AR165" t="str">
        <f>IFERROR(ROUND(S165*(P165/$AX165)/VLOOKUP(O165,职业!$A$3:$E$16,4,FALSE),0),"")</f>
        <v/>
      </c>
      <c r="AS165" t="str">
        <f>IFERROR(ROUND(S165*(R165/$AX165)/VLOOKUP(Q165,职业!$A$3:$E$16,4,FALSE),0),"")</f>
        <v/>
      </c>
      <c r="AT165" t="str">
        <f>IFERROR(ROUND(X165*(U165/$AY165)/VLOOKUP(T165,商品!$A$4:$D$67,4,FALSE),0),"")</f>
        <v/>
      </c>
      <c r="AU165" t="str">
        <f>IFERROR(ROUND(X165*(W165/$AY165)/VLOOKUP(V165,商品!$A$4:$D$67,4,FALSE),0),"")</f>
        <v/>
      </c>
      <c r="AW165">
        <f t="shared" si="48"/>
        <v>0</v>
      </c>
      <c r="AX165">
        <f t="shared" si="49"/>
        <v>0</v>
      </c>
      <c r="AY165">
        <f t="shared" si="50"/>
        <v>0</v>
      </c>
    </row>
    <row r="166" customHeight="1" spans="1:51">
      <c r="A166" s="5" t="s">
        <v>316</v>
      </c>
      <c r="C166" s="5">
        <v>7</v>
      </c>
      <c r="D166" s="1" t="s">
        <v>291</v>
      </c>
      <c r="E166" s="1" t="s">
        <v>225</v>
      </c>
      <c r="L166" s="5">
        <f>IFERROR(VLOOKUP($D166&amp;$C166,生产方式定位!$A$2:$E$38,2,FALSE)+VLOOKUP($E166&amp;$C166,生产方式定位!$F$3:$J$38,2,FALSE),0)</f>
        <v>0</v>
      </c>
      <c r="S166" s="5">
        <f>IFERROR(VLOOKUP($D166&amp;$C166,生产方式定位!$A$2:$E$38,3,FALSE)+VLOOKUP($E166&amp;$C166,生产方式定位!$F$3:$J$38,3,FALSE),0)</f>
        <v>100</v>
      </c>
      <c r="X166" s="5">
        <f>IFERROR(VLOOKUP($D166&amp;$C166,生产方式定位!$A$2:$E$38,5,FALSE)+VLOOKUP($E166&amp;$C166,生产方式定位!$F$3:$J$38,5,FALSE),"错误")</f>
        <v>100</v>
      </c>
      <c r="Y166" s="27" t="str">
        <f t="shared" si="34"/>
        <v/>
      </c>
      <c r="Z166" s="50" t="str">
        <f t="shared" si="37"/>
        <v/>
      </c>
      <c r="AA166" s="50" t="str">
        <f t="shared" si="35"/>
        <v/>
      </c>
      <c r="AB166" s="28" t="str">
        <f t="shared" si="38"/>
        <v/>
      </c>
      <c r="AC166" s="1" t="str">
        <f t="shared" si="39"/>
        <v/>
      </c>
      <c r="AD166" s="51">
        <f t="shared" si="36"/>
        <v>7</v>
      </c>
      <c r="AE166" t="str">
        <f t="shared" si="40"/>
        <v/>
      </c>
      <c r="AF166" t="str">
        <f t="shared" si="41"/>
        <v/>
      </c>
      <c r="AG166" t="str">
        <f t="shared" si="42"/>
        <v/>
      </c>
      <c r="AH166" t="str">
        <f t="shared" si="43"/>
        <v/>
      </c>
      <c r="AI166" t="str">
        <f t="shared" si="44"/>
        <v/>
      </c>
      <c r="AJ166" t="str">
        <f t="shared" si="45"/>
        <v/>
      </c>
      <c r="AK166" t="str">
        <f t="shared" si="46"/>
        <v/>
      </c>
      <c r="AL166" t="str">
        <f t="shared" si="47"/>
        <v/>
      </c>
      <c r="AN166" t="str">
        <f>IFERROR(ROUND(L166*(G166/$AW166)/VLOOKUP(F166,商品!$A$4:$D$67,4,FALSE),0),"")</f>
        <v/>
      </c>
      <c r="AO166" t="str">
        <f>IFERROR(ROUND(L166*(I166/$AW166)/VLOOKUP(H166,商品!$A$4:$D$67,4,FALSE),0),"")</f>
        <v/>
      </c>
      <c r="AP166" t="str">
        <f>IFERROR(ROUND(L166*(K166/$AW166)/VLOOKUP(J166,商品!$A$4:$D$67,4,FALSE),0),"")</f>
        <v/>
      </c>
      <c r="AQ166" t="str">
        <f>IFERROR(ROUND(S166*(N166/$AX166)/VLOOKUP(M166,职业!$A$3:$E$16,4,FALSE),0),"")</f>
        <v/>
      </c>
      <c r="AR166" t="str">
        <f>IFERROR(ROUND(S166*(P166/$AX166)/VLOOKUP(O166,职业!$A$3:$E$16,4,FALSE),0),"")</f>
        <v/>
      </c>
      <c r="AS166" t="str">
        <f>IFERROR(ROUND(S166*(R166/$AX166)/VLOOKUP(Q166,职业!$A$3:$E$16,4,FALSE),0),"")</f>
        <v/>
      </c>
      <c r="AT166" t="str">
        <f>IFERROR(ROUND(X166*(U166/$AY166)/VLOOKUP(T166,商品!$A$4:$D$67,4,FALSE),0),"")</f>
        <v/>
      </c>
      <c r="AU166" t="str">
        <f>IFERROR(ROUND(X166*(W166/$AY166)/VLOOKUP(V166,商品!$A$4:$D$67,4,FALSE),0),"")</f>
        <v/>
      </c>
      <c r="AW166">
        <f t="shared" si="48"/>
        <v>0</v>
      </c>
      <c r="AX166">
        <f t="shared" si="49"/>
        <v>0</v>
      </c>
      <c r="AY166">
        <f t="shared" si="50"/>
        <v>0</v>
      </c>
    </row>
    <row r="167" customHeight="1" spans="1:51">
      <c r="A167" s="5" t="s">
        <v>316</v>
      </c>
      <c r="C167" s="5">
        <v>8</v>
      </c>
      <c r="D167" s="1" t="s">
        <v>291</v>
      </c>
      <c r="E167" s="1" t="s">
        <v>225</v>
      </c>
      <c r="L167" s="5">
        <f>IFERROR(VLOOKUP($D167&amp;$C167,生产方式定位!$A$2:$E$38,2,FALSE)+VLOOKUP($E167&amp;$C167,生产方式定位!$F$3:$J$38,2,FALSE),0)</f>
        <v>0</v>
      </c>
      <c r="S167" s="5">
        <f>IFERROR(VLOOKUP($D167&amp;$C167,生产方式定位!$A$2:$E$38,3,FALSE)+VLOOKUP($E167&amp;$C167,生产方式定位!$F$3:$J$38,3,FALSE),0)</f>
        <v>100</v>
      </c>
      <c r="X167" s="5">
        <f>IFERROR(VLOOKUP($D167&amp;$C167,生产方式定位!$A$2:$E$38,5,FALSE)+VLOOKUP($E167&amp;$C167,生产方式定位!$F$3:$J$38,5,FALSE),"错误")</f>
        <v>100</v>
      </c>
      <c r="Y167" s="27" t="str">
        <f t="shared" si="34"/>
        <v/>
      </c>
      <c r="Z167" s="50" t="str">
        <f t="shared" si="37"/>
        <v/>
      </c>
      <c r="AA167" s="50" t="str">
        <f t="shared" si="35"/>
        <v/>
      </c>
      <c r="AB167" s="28" t="str">
        <f t="shared" si="38"/>
        <v/>
      </c>
      <c r="AC167" s="1" t="str">
        <f t="shared" si="39"/>
        <v/>
      </c>
      <c r="AD167" s="51">
        <f t="shared" si="36"/>
        <v>8</v>
      </c>
      <c r="AE167" t="str">
        <f t="shared" si="40"/>
        <v/>
      </c>
      <c r="AF167" t="str">
        <f t="shared" si="41"/>
        <v/>
      </c>
      <c r="AG167" t="str">
        <f t="shared" si="42"/>
        <v/>
      </c>
      <c r="AH167" t="str">
        <f t="shared" si="43"/>
        <v/>
      </c>
      <c r="AI167" t="str">
        <f t="shared" si="44"/>
        <v/>
      </c>
      <c r="AJ167" t="str">
        <f t="shared" si="45"/>
        <v/>
      </c>
      <c r="AK167" t="str">
        <f t="shared" si="46"/>
        <v/>
      </c>
      <c r="AL167" t="str">
        <f t="shared" si="47"/>
        <v/>
      </c>
      <c r="AN167" t="str">
        <f>IFERROR(ROUND(L167*(G167/$AW167)/VLOOKUP(F167,商品!$A$4:$D$67,4,FALSE),0),"")</f>
        <v/>
      </c>
      <c r="AO167" t="str">
        <f>IFERROR(ROUND(L167*(I167/$AW167)/VLOOKUP(H167,商品!$A$4:$D$67,4,FALSE),0),"")</f>
        <v/>
      </c>
      <c r="AP167" t="str">
        <f>IFERROR(ROUND(L167*(K167/$AW167)/VLOOKUP(J167,商品!$A$4:$D$67,4,FALSE),0),"")</f>
        <v/>
      </c>
      <c r="AQ167" t="str">
        <f>IFERROR(ROUND(S167*(N167/$AX167)/VLOOKUP(M167,职业!$A$3:$E$16,4,FALSE),0),"")</f>
        <v/>
      </c>
      <c r="AR167" t="str">
        <f>IFERROR(ROUND(S167*(P167/$AX167)/VLOOKUP(O167,职业!$A$3:$E$16,4,FALSE),0),"")</f>
        <v/>
      </c>
      <c r="AS167" t="str">
        <f>IFERROR(ROUND(S167*(R167/$AX167)/VLOOKUP(Q167,职业!$A$3:$E$16,4,FALSE),0),"")</f>
        <v/>
      </c>
      <c r="AT167" t="str">
        <f>IFERROR(ROUND(X167*(U167/$AY167)/VLOOKUP(T167,商品!$A$4:$D$67,4,FALSE),0),"")</f>
        <v/>
      </c>
      <c r="AU167" t="str">
        <f>IFERROR(ROUND(X167*(W167/$AY167)/VLOOKUP(V167,商品!$A$4:$D$67,4,FALSE),0),"")</f>
        <v/>
      </c>
      <c r="AW167">
        <f t="shared" si="48"/>
        <v>0</v>
      </c>
      <c r="AX167">
        <f t="shared" si="49"/>
        <v>0</v>
      </c>
      <c r="AY167">
        <f t="shared" si="50"/>
        <v>0</v>
      </c>
    </row>
    <row r="168" customHeight="1" spans="1:51">
      <c r="A168" s="18" t="s">
        <v>318</v>
      </c>
      <c r="C168" s="18">
        <v>1</v>
      </c>
      <c r="D168" s="1" t="s">
        <v>220</v>
      </c>
      <c r="E168" s="1" t="s">
        <v>222</v>
      </c>
      <c r="L168" s="18">
        <f>IFERROR(VLOOKUP($D168&amp;$C168,生产方式定位!$A$2:$E$38,2,FALSE)+VLOOKUP($E168&amp;$C168,生产方式定位!$F$3:$J$38,2,FALSE),0)</f>
        <v>500</v>
      </c>
      <c r="S168" s="18">
        <f>IFERROR(VLOOKUP($D168&amp;$C168,生产方式定位!$A$2:$E$38,3,FALSE)+VLOOKUP($E168&amp;$C168,生产方式定位!$F$3:$J$38,3,FALSE),0)</f>
        <v>150</v>
      </c>
      <c r="X168" s="18">
        <f>IFERROR(VLOOKUP($D168&amp;$C168,生产方式定位!$A$2:$E$38,5,FALSE)+VLOOKUP($E168&amp;$C168,生产方式定位!$F$3:$J$38,5,FALSE),"错误")</f>
        <v>715</v>
      </c>
      <c r="Y168" s="27" t="str">
        <f t="shared" si="34"/>
        <v/>
      </c>
      <c r="Z168" s="50" t="str">
        <f t="shared" si="37"/>
        <v/>
      </c>
      <c r="AA168" s="50" t="str">
        <f t="shared" si="35"/>
        <v/>
      </c>
      <c r="AB168" s="28" t="str">
        <f t="shared" si="38"/>
        <v>43%</v>
      </c>
      <c r="AC168" s="1">
        <f t="shared" si="39"/>
        <v>65</v>
      </c>
      <c r="AD168" s="52">
        <f t="shared" si="36"/>
        <v>1</v>
      </c>
      <c r="AE168" t="str">
        <f t="shared" si="40"/>
        <v/>
      </c>
      <c r="AF168" t="str">
        <f t="shared" si="41"/>
        <v/>
      </c>
      <c r="AG168" t="str">
        <f t="shared" si="42"/>
        <v/>
      </c>
      <c r="AH168" t="str">
        <f t="shared" si="43"/>
        <v/>
      </c>
      <c r="AI168" t="str">
        <f t="shared" si="44"/>
        <v/>
      </c>
      <c r="AJ168" t="str">
        <f t="shared" si="45"/>
        <v/>
      </c>
      <c r="AK168" t="str">
        <f t="shared" si="46"/>
        <v/>
      </c>
      <c r="AL168" t="str">
        <f t="shared" si="47"/>
        <v/>
      </c>
      <c r="AN168" t="str">
        <f>IFERROR(ROUND(L168*(G168/$AW168)/VLOOKUP(F168,商品!$A$4:$D$67,4,FALSE),0),"")</f>
        <v/>
      </c>
      <c r="AO168" t="str">
        <f>IFERROR(ROUND(L168*(I168/$AW168)/VLOOKUP(H168,商品!$A$4:$D$67,4,FALSE),0),"")</f>
        <v/>
      </c>
      <c r="AP168" t="str">
        <f>IFERROR(ROUND(L168*(K168/$AW168)/VLOOKUP(J168,商品!$A$4:$D$67,4,FALSE),0),"")</f>
        <v/>
      </c>
      <c r="AQ168" t="str">
        <f>IFERROR(ROUND(S168*(N168/$AX168)/VLOOKUP(M168,职业!$A$3:$E$16,4,FALSE),0),"")</f>
        <v/>
      </c>
      <c r="AR168" t="str">
        <f>IFERROR(ROUND(S168*(P168/$AX168)/VLOOKUP(O168,职业!$A$3:$E$16,4,FALSE),0),"")</f>
        <v/>
      </c>
      <c r="AS168" t="str">
        <f>IFERROR(ROUND(S168*(R168/$AX168)/VLOOKUP(Q168,职业!$A$3:$E$16,4,FALSE),0),"")</f>
        <v/>
      </c>
      <c r="AT168" t="str">
        <f>IFERROR(ROUND(X168*(U168/$AY168)/VLOOKUP(T168,商品!$A$4:$D$67,4,FALSE),0),"")</f>
        <v/>
      </c>
      <c r="AU168" t="str">
        <f>IFERROR(ROUND(X168*(W168/$AY168)/VLOOKUP(V168,商品!$A$4:$D$67,4,FALSE),0),"")</f>
        <v/>
      </c>
      <c r="AW168">
        <f t="shared" si="48"/>
        <v>0</v>
      </c>
      <c r="AX168">
        <f t="shared" si="49"/>
        <v>0</v>
      </c>
      <c r="AY168">
        <f t="shared" si="50"/>
        <v>0</v>
      </c>
    </row>
    <row r="169" customHeight="1" spans="1:51">
      <c r="A169" s="18" t="s">
        <v>318</v>
      </c>
      <c r="C169" s="18">
        <v>2</v>
      </c>
      <c r="D169" s="1" t="s">
        <v>220</v>
      </c>
      <c r="E169" s="1" t="s">
        <v>222</v>
      </c>
      <c r="L169" s="18">
        <f>IFERROR(VLOOKUP($D169&amp;$C169,生产方式定位!$A$2:$E$38,2,FALSE)+VLOOKUP($E169&amp;$C169,生产方式定位!$F$3:$J$38,2,FALSE),0)</f>
        <v>1200</v>
      </c>
      <c r="S169" s="18">
        <f>IFERROR(VLOOKUP($D169&amp;$C169,生产方式定位!$A$2:$E$38,3,FALSE)+VLOOKUP($E169&amp;$C169,生产方式定位!$F$3:$J$38,3,FALSE),0)</f>
        <v>140</v>
      </c>
      <c r="X169" s="18">
        <f>IFERROR(VLOOKUP($D169&amp;$C169,生产方式定位!$A$2:$E$38,5,FALSE)+VLOOKUP($E169&amp;$C169,生产方式定位!$F$3:$J$38,5,FALSE),"错误")</f>
        <v>1390</v>
      </c>
      <c r="Y169" s="27" t="str">
        <f t="shared" si="34"/>
        <v/>
      </c>
      <c r="Z169" s="50" t="str">
        <f t="shared" si="37"/>
        <v/>
      </c>
      <c r="AA169" s="50" t="str">
        <f t="shared" si="35"/>
        <v/>
      </c>
      <c r="AB169" s="28" t="str">
        <f t="shared" si="38"/>
        <v>16%</v>
      </c>
      <c r="AC169" s="1">
        <f t="shared" si="39"/>
        <v>50</v>
      </c>
      <c r="AD169" s="52">
        <f t="shared" si="36"/>
        <v>2</v>
      </c>
      <c r="AE169" t="str">
        <f t="shared" si="40"/>
        <v/>
      </c>
      <c r="AF169" t="str">
        <f t="shared" si="41"/>
        <v/>
      </c>
      <c r="AG169" t="str">
        <f t="shared" si="42"/>
        <v/>
      </c>
      <c r="AH169" t="str">
        <f t="shared" si="43"/>
        <v/>
      </c>
      <c r="AI169" t="str">
        <f t="shared" si="44"/>
        <v/>
      </c>
      <c r="AJ169" t="str">
        <f t="shared" si="45"/>
        <v/>
      </c>
      <c r="AK169" t="str">
        <f t="shared" si="46"/>
        <v/>
      </c>
      <c r="AL169" t="str">
        <f t="shared" si="47"/>
        <v/>
      </c>
      <c r="AN169" t="str">
        <f>IFERROR(ROUND(L169*(G169/$AW169)/VLOOKUP(F169,商品!$A$4:$D$67,4,FALSE),0),"")</f>
        <v/>
      </c>
      <c r="AO169" t="str">
        <f>IFERROR(ROUND(L169*(I169/$AW169)/VLOOKUP(H169,商品!$A$4:$D$67,4,FALSE),0),"")</f>
        <v/>
      </c>
      <c r="AP169" t="str">
        <f>IFERROR(ROUND(L169*(K169/$AW169)/VLOOKUP(J169,商品!$A$4:$D$67,4,FALSE),0),"")</f>
        <v/>
      </c>
      <c r="AQ169" t="str">
        <f>IFERROR(ROUND(S169*(N169/$AX169)/VLOOKUP(M169,职业!$A$3:$E$16,4,FALSE),0),"")</f>
        <v/>
      </c>
      <c r="AR169" t="str">
        <f>IFERROR(ROUND(S169*(P169/$AX169)/VLOOKUP(O169,职业!$A$3:$E$16,4,FALSE),0),"")</f>
        <v/>
      </c>
      <c r="AS169" t="str">
        <f>IFERROR(ROUND(S169*(R169/$AX169)/VLOOKUP(Q169,职业!$A$3:$E$16,4,FALSE),0),"")</f>
        <v/>
      </c>
      <c r="AT169" t="str">
        <f>IFERROR(ROUND(X169*(U169/$AY169)/VLOOKUP(T169,商品!$A$4:$D$67,4,FALSE),0),"")</f>
        <v/>
      </c>
      <c r="AU169" t="str">
        <f>IFERROR(ROUND(X169*(W169/$AY169)/VLOOKUP(V169,商品!$A$4:$D$67,4,FALSE),0),"")</f>
        <v/>
      </c>
      <c r="AW169">
        <f t="shared" si="48"/>
        <v>0</v>
      </c>
      <c r="AX169">
        <f t="shared" si="49"/>
        <v>0</v>
      </c>
      <c r="AY169">
        <f t="shared" si="50"/>
        <v>0</v>
      </c>
    </row>
    <row r="170" customHeight="1" spans="1:51">
      <c r="A170" s="18" t="s">
        <v>318</v>
      </c>
      <c r="C170" s="18">
        <v>3</v>
      </c>
      <c r="D170" s="1" t="s">
        <v>220</v>
      </c>
      <c r="E170" s="1" t="s">
        <v>222</v>
      </c>
      <c r="L170" s="18">
        <f>IFERROR(VLOOKUP($D170&amp;$C170,生产方式定位!$A$2:$E$38,2,FALSE)+VLOOKUP($E170&amp;$C170,生产方式定位!$F$3:$J$38,2,FALSE),0)</f>
        <v>1525</v>
      </c>
      <c r="S170" s="18">
        <f>IFERROR(VLOOKUP($D170&amp;$C170,生产方式定位!$A$2:$E$38,3,FALSE)+VLOOKUP($E170&amp;$C170,生产方式定位!$F$3:$J$38,3,FALSE),0)</f>
        <v>130</v>
      </c>
      <c r="X170" s="18">
        <f>IFERROR(VLOOKUP($D170&amp;$C170,生产方式定位!$A$2:$E$38,5,FALSE)+VLOOKUP($E170&amp;$C170,生产方式定位!$F$3:$J$38,5,FALSE),"错误")</f>
        <v>1718</v>
      </c>
      <c r="Y170" s="27" t="str">
        <f t="shared" si="34"/>
        <v/>
      </c>
      <c r="Z170" s="50" t="str">
        <f t="shared" si="37"/>
        <v/>
      </c>
      <c r="AA170" s="50" t="str">
        <f t="shared" si="35"/>
        <v/>
      </c>
      <c r="AB170" s="28" t="str">
        <f t="shared" si="38"/>
        <v>13%</v>
      </c>
      <c r="AC170" s="1">
        <f t="shared" si="39"/>
        <v>63</v>
      </c>
      <c r="AD170" s="52">
        <f t="shared" si="36"/>
        <v>3</v>
      </c>
      <c r="AE170" t="str">
        <f t="shared" si="40"/>
        <v/>
      </c>
      <c r="AF170" t="str">
        <f t="shared" si="41"/>
        <v/>
      </c>
      <c r="AG170" t="str">
        <f t="shared" si="42"/>
        <v/>
      </c>
      <c r="AH170" t="str">
        <f t="shared" si="43"/>
        <v/>
      </c>
      <c r="AI170" t="str">
        <f t="shared" si="44"/>
        <v/>
      </c>
      <c r="AJ170" t="str">
        <f t="shared" si="45"/>
        <v/>
      </c>
      <c r="AK170" t="str">
        <f t="shared" si="46"/>
        <v/>
      </c>
      <c r="AL170" t="str">
        <f t="shared" si="47"/>
        <v/>
      </c>
      <c r="AN170" t="str">
        <f>IFERROR(ROUND(L170*(G170/$AW170)/VLOOKUP(F170,商品!$A$4:$D$67,4,FALSE),0),"")</f>
        <v/>
      </c>
      <c r="AO170" t="str">
        <f>IFERROR(ROUND(L170*(I170/$AW170)/VLOOKUP(H170,商品!$A$4:$D$67,4,FALSE),0),"")</f>
        <v/>
      </c>
      <c r="AP170" t="str">
        <f>IFERROR(ROUND(L170*(K170/$AW170)/VLOOKUP(J170,商品!$A$4:$D$67,4,FALSE),0),"")</f>
        <v/>
      </c>
      <c r="AQ170" t="str">
        <f>IFERROR(ROUND(S170*(N170/$AX170)/VLOOKUP(M170,职业!$A$3:$E$16,4,FALSE),0),"")</f>
        <v/>
      </c>
      <c r="AR170" t="str">
        <f>IFERROR(ROUND(S170*(P170/$AX170)/VLOOKUP(O170,职业!$A$3:$E$16,4,FALSE),0),"")</f>
        <v/>
      </c>
      <c r="AS170" t="str">
        <f>IFERROR(ROUND(S170*(R170/$AX170)/VLOOKUP(Q170,职业!$A$3:$E$16,4,FALSE),0),"")</f>
        <v/>
      </c>
      <c r="AT170" t="str">
        <f>IFERROR(ROUND(X170*(U170/$AY170)/VLOOKUP(T170,商品!$A$4:$D$67,4,FALSE),0),"")</f>
        <v/>
      </c>
      <c r="AU170" t="str">
        <f>IFERROR(ROUND(X170*(W170/$AY170)/VLOOKUP(V170,商品!$A$4:$D$67,4,FALSE),0),"")</f>
        <v/>
      </c>
      <c r="AW170">
        <f t="shared" si="48"/>
        <v>0</v>
      </c>
      <c r="AX170">
        <f t="shared" si="49"/>
        <v>0</v>
      </c>
      <c r="AY170">
        <f t="shared" si="50"/>
        <v>0</v>
      </c>
    </row>
    <row r="171" customHeight="1" spans="1:51">
      <c r="A171" s="18" t="s">
        <v>318</v>
      </c>
      <c r="C171" s="18">
        <v>4</v>
      </c>
      <c r="D171" s="1" t="s">
        <v>220</v>
      </c>
      <c r="E171" s="1" t="s">
        <v>222</v>
      </c>
      <c r="L171" s="18">
        <f>IFERROR(VLOOKUP($D171&amp;$C171,生产方式定位!$A$2:$E$38,2,FALSE)+VLOOKUP($E171&amp;$C171,生产方式定位!$F$3:$J$38,2,FALSE),0)</f>
        <v>1850</v>
      </c>
      <c r="S171" s="18">
        <f>IFERROR(VLOOKUP($D171&amp;$C171,生产方式定位!$A$2:$E$38,3,FALSE)+VLOOKUP($E171&amp;$C171,生产方式定位!$F$3:$J$38,3,FALSE),0)</f>
        <v>120</v>
      </c>
      <c r="X171" s="18">
        <f>IFERROR(VLOOKUP($D171&amp;$C171,生产方式定位!$A$2:$E$38,5,FALSE)+VLOOKUP($E171&amp;$C171,生产方式定位!$F$3:$J$38,5,FALSE),"错误")</f>
        <v>2045</v>
      </c>
      <c r="Y171" s="27" t="str">
        <f t="shared" si="34"/>
        <v/>
      </c>
      <c r="Z171" s="50" t="str">
        <f t="shared" si="37"/>
        <v/>
      </c>
      <c r="AA171" s="50" t="str">
        <f t="shared" si="35"/>
        <v/>
      </c>
      <c r="AB171" s="28" t="str">
        <f t="shared" si="38"/>
        <v>11%</v>
      </c>
      <c r="AC171" s="1">
        <f t="shared" si="39"/>
        <v>75</v>
      </c>
      <c r="AD171" s="52">
        <f t="shared" si="36"/>
        <v>4</v>
      </c>
      <c r="AE171" t="str">
        <f t="shared" si="40"/>
        <v/>
      </c>
      <c r="AF171" t="str">
        <f t="shared" si="41"/>
        <v/>
      </c>
      <c r="AG171" t="str">
        <f t="shared" si="42"/>
        <v/>
      </c>
      <c r="AH171" t="str">
        <f t="shared" si="43"/>
        <v/>
      </c>
      <c r="AI171" t="str">
        <f t="shared" si="44"/>
        <v/>
      </c>
      <c r="AJ171" t="str">
        <f t="shared" si="45"/>
        <v/>
      </c>
      <c r="AK171" t="str">
        <f t="shared" si="46"/>
        <v/>
      </c>
      <c r="AL171" t="str">
        <f t="shared" si="47"/>
        <v/>
      </c>
      <c r="AN171" t="str">
        <f>IFERROR(ROUND(L171*(G171/$AW171)/VLOOKUP(F171,商品!$A$4:$D$67,4,FALSE),0),"")</f>
        <v/>
      </c>
      <c r="AO171" t="str">
        <f>IFERROR(ROUND(L171*(I171/$AW171)/VLOOKUP(H171,商品!$A$4:$D$67,4,FALSE),0),"")</f>
        <v/>
      </c>
      <c r="AP171" t="str">
        <f>IFERROR(ROUND(L171*(K171/$AW171)/VLOOKUP(J171,商品!$A$4:$D$67,4,FALSE),0),"")</f>
        <v/>
      </c>
      <c r="AQ171" t="str">
        <f>IFERROR(ROUND(S171*(N171/$AX171)/VLOOKUP(M171,职业!$A$3:$E$16,4,FALSE),0),"")</f>
        <v/>
      </c>
      <c r="AR171" t="str">
        <f>IFERROR(ROUND(S171*(P171/$AX171)/VLOOKUP(O171,职业!$A$3:$E$16,4,FALSE),0),"")</f>
        <v/>
      </c>
      <c r="AS171" t="str">
        <f>IFERROR(ROUND(S171*(R171/$AX171)/VLOOKUP(Q171,职业!$A$3:$E$16,4,FALSE),0),"")</f>
        <v/>
      </c>
      <c r="AT171" t="str">
        <f>IFERROR(ROUND(X171*(U171/$AY171)/VLOOKUP(T171,商品!$A$4:$D$67,4,FALSE),0),"")</f>
        <v/>
      </c>
      <c r="AU171" t="str">
        <f>IFERROR(ROUND(X171*(W171/$AY171)/VLOOKUP(V171,商品!$A$4:$D$67,4,FALSE),0),"")</f>
        <v/>
      </c>
      <c r="AW171">
        <f t="shared" si="48"/>
        <v>0</v>
      </c>
      <c r="AX171">
        <f t="shared" si="49"/>
        <v>0</v>
      </c>
      <c r="AY171">
        <f t="shared" si="50"/>
        <v>0</v>
      </c>
    </row>
    <row r="172" customHeight="1" spans="1:51">
      <c r="A172" s="18" t="s">
        <v>318</v>
      </c>
      <c r="C172" s="18">
        <v>5</v>
      </c>
      <c r="D172" s="1" t="s">
        <v>220</v>
      </c>
      <c r="E172" s="1" t="s">
        <v>222</v>
      </c>
      <c r="L172" s="18">
        <f>IFERROR(VLOOKUP($D172&amp;$C172,生产方式定位!$A$2:$E$38,2,FALSE)+VLOOKUP($E172&amp;$C172,生产方式定位!$F$3:$J$38,2,FALSE),0)</f>
        <v>2175</v>
      </c>
      <c r="S172" s="18">
        <f>IFERROR(VLOOKUP($D172&amp;$C172,生产方式定位!$A$2:$E$38,3,FALSE)+VLOOKUP($E172&amp;$C172,生产方式定位!$F$3:$J$38,3,FALSE),0)</f>
        <v>110</v>
      </c>
      <c r="X172" s="18">
        <f>IFERROR(VLOOKUP($D172&amp;$C172,生产方式定位!$A$2:$E$38,5,FALSE)+VLOOKUP($E172&amp;$C172,生产方式定位!$F$3:$J$38,5,FALSE),"错误")</f>
        <v>2373</v>
      </c>
      <c r="Y172" s="27" t="str">
        <f t="shared" si="34"/>
        <v/>
      </c>
      <c r="Z172" s="50" t="str">
        <f t="shared" si="37"/>
        <v/>
      </c>
      <c r="AA172" s="50" t="str">
        <f t="shared" si="35"/>
        <v/>
      </c>
      <c r="AB172" s="28" t="str">
        <f t="shared" si="38"/>
        <v>9%</v>
      </c>
      <c r="AC172" s="1">
        <f t="shared" si="39"/>
        <v>88</v>
      </c>
      <c r="AD172" s="52">
        <f t="shared" si="36"/>
        <v>5</v>
      </c>
      <c r="AE172" t="str">
        <f t="shared" si="40"/>
        <v/>
      </c>
      <c r="AF172" t="str">
        <f t="shared" si="41"/>
        <v/>
      </c>
      <c r="AG172" t="str">
        <f t="shared" si="42"/>
        <v/>
      </c>
      <c r="AH172" t="str">
        <f t="shared" si="43"/>
        <v/>
      </c>
      <c r="AI172" t="str">
        <f t="shared" si="44"/>
        <v/>
      </c>
      <c r="AJ172" t="str">
        <f t="shared" si="45"/>
        <v/>
      </c>
      <c r="AK172" t="str">
        <f t="shared" si="46"/>
        <v/>
      </c>
      <c r="AL172" t="str">
        <f t="shared" si="47"/>
        <v/>
      </c>
      <c r="AN172" t="str">
        <f>IFERROR(ROUND(L172*(G172/$AW172)/VLOOKUP(F172,商品!$A$4:$D$67,4,FALSE),0),"")</f>
        <v/>
      </c>
      <c r="AO172" t="str">
        <f>IFERROR(ROUND(L172*(I172/$AW172)/VLOOKUP(H172,商品!$A$4:$D$67,4,FALSE),0),"")</f>
        <v/>
      </c>
      <c r="AP172" t="str">
        <f>IFERROR(ROUND(L172*(K172/$AW172)/VLOOKUP(J172,商品!$A$4:$D$67,4,FALSE),0),"")</f>
        <v/>
      </c>
      <c r="AQ172" t="str">
        <f>IFERROR(ROUND(S172*(N172/$AX172)/VLOOKUP(M172,职业!$A$3:$E$16,4,FALSE),0),"")</f>
        <v/>
      </c>
      <c r="AR172" t="str">
        <f>IFERROR(ROUND(S172*(P172/$AX172)/VLOOKUP(O172,职业!$A$3:$E$16,4,FALSE),0),"")</f>
        <v/>
      </c>
      <c r="AS172" t="str">
        <f>IFERROR(ROUND(S172*(R172/$AX172)/VLOOKUP(Q172,职业!$A$3:$E$16,4,FALSE),0),"")</f>
        <v/>
      </c>
      <c r="AT172" t="str">
        <f>IFERROR(ROUND(X172*(U172/$AY172)/VLOOKUP(T172,商品!$A$4:$D$67,4,FALSE),0),"")</f>
        <v/>
      </c>
      <c r="AU172" t="str">
        <f>IFERROR(ROUND(X172*(W172/$AY172)/VLOOKUP(V172,商品!$A$4:$D$67,4,FALSE),0),"")</f>
        <v/>
      </c>
      <c r="AW172">
        <f t="shared" si="48"/>
        <v>0</v>
      </c>
      <c r="AX172">
        <f t="shared" si="49"/>
        <v>0</v>
      </c>
      <c r="AY172">
        <f t="shared" si="50"/>
        <v>0</v>
      </c>
    </row>
    <row r="173" customHeight="1" spans="1:51">
      <c r="A173" s="5" t="s">
        <v>319</v>
      </c>
      <c r="C173" s="5">
        <v>1</v>
      </c>
      <c r="D173" s="1" t="s">
        <v>220</v>
      </c>
      <c r="E173" s="1" t="s">
        <v>223</v>
      </c>
      <c r="L173" s="5">
        <f>IFERROR(VLOOKUP($D173&amp;$C173,生产方式定位!$A$2:$E$38,2,FALSE)+VLOOKUP($E173&amp;$C173,生产方式定位!$F$3:$J$38,2,FALSE),0)</f>
        <v>500</v>
      </c>
      <c r="S173" s="5">
        <f>IFERROR(VLOOKUP($D173&amp;$C173,生产方式定位!$A$2:$E$38,3,FALSE)+VLOOKUP($E173&amp;$C173,生产方式定位!$F$3:$J$38,3,FALSE),0)</f>
        <v>150</v>
      </c>
      <c r="X173" s="5">
        <f>IFERROR(VLOOKUP($D173&amp;$C173,生产方式定位!$A$2:$E$38,5,FALSE)+VLOOKUP($E173&amp;$C173,生产方式定位!$F$3:$J$38,5,FALSE),"错误")</f>
        <v>715</v>
      </c>
      <c r="Y173" s="27" t="str">
        <f t="shared" si="34"/>
        <v/>
      </c>
      <c r="Z173" s="50" t="str">
        <f t="shared" si="37"/>
        <v/>
      </c>
      <c r="AA173" s="50" t="str">
        <f t="shared" si="35"/>
        <v/>
      </c>
      <c r="AB173" s="28" t="str">
        <f t="shared" si="38"/>
        <v>43%</v>
      </c>
      <c r="AC173" s="1">
        <f t="shared" si="39"/>
        <v>65</v>
      </c>
      <c r="AD173" s="51">
        <f t="shared" si="36"/>
        <v>1</v>
      </c>
      <c r="AE173" t="str">
        <f t="shared" si="40"/>
        <v/>
      </c>
      <c r="AF173" t="str">
        <f t="shared" si="41"/>
        <v/>
      </c>
      <c r="AG173" t="str">
        <f t="shared" si="42"/>
        <v/>
      </c>
      <c r="AH173" t="str">
        <f t="shared" si="43"/>
        <v/>
      </c>
      <c r="AI173" t="str">
        <f t="shared" si="44"/>
        <v/>
      </c>
      <c r="AJ173" t="str">
        <f t="shared" si="45"/>
        <v/>
      </c>
      <c r="AK173" t="str">
        <f t="shared" si="46"/>
        <v/>
      </c>
      <c r="AL173" t="str">
        <f t="shared" si="47"/>
        <v/>
      </c>
      <c r="AN173" t="str">
        <f>IFERROR(ROUND(L173*(G173/$AW173)/VLOOKUP(F173,商品!$A$4:$D$67,4,FALSE),0),"")</f>
        <v/>
      </c>
      <c r="AO173" t="str">
        <f>IFERROR(ROUND(L173*(I173/$AW173)/VLOOKUP(H173,商品!$A$4:$D$67,4,FALSE),0),"")</f>
        <v/>
      </c>
      <c r="AP173" t="str">
        <f>IFERROR(ROUND(L173*(K173/$AW173)/VLOOKUP(J173,商品!$A$4:$D$67,4,FALSE),0),"")</f>
        <v/>
      </c>
      <c r="AQ173" t="str">
        <f>IFERROR(ROUND(S173*(N173/$AX173)/VLOOKUP(M173,职业!$A$3:$E$16,4,FALSE),0),"")</f>
        <v/>
      </c>
      <c r="AR173" t="str">
        <f>IFERROR(ROUND(S173*(P173/$AX173)/VLOOKUP(O173,职业!$A$3:$E$16,4,FALSE),0),"")</f>
        <v/>
      </c>
      <c r="AS173" t="str">
        <f>IFERROR(ROUND(S173*(R173/$AX173)/VLOOKUP(Q173,职业!$A$3:$E$16,4,FALSE),0),"")</f>
        <v/>
      </c>
      <c r="AT173" t="str">
        <f>IFERROR(ROUND(X173*(U173/$AY173)/VLOOKUP(T173,商品!$A$4:$D$67,4,FALSE),0),"")</f>
        <v/>
      </c>
      <c r="AU173" t="str">
        <f>IFERROR(ROUND(X173*(W173/$AY173)/VLOOKUP(V173,商品!$A$4:$D$67,4,FALSE),0),"")</f>
        <v/>
      </c>
      <c r="AW173">
        <f t="shared" si="48"/>
        <v>0</v>
      </c>
      <c r="AX173">
        <f t="shared" si="49"/>
        <v>0</v>
      </c>
      <c r="AY173">
        <f t="shared" si="50"/>
        <v>0</v>
      </c>
    </row>
    <row r="174" customHeight="1" spans="1:51">
      <c r="A174" s="5" t="s">
        <v>319</v>
      </c>
      <c r="C174" s="5">
        <v>2</v>
      </c>
      <c r="D174" s="1" t="s">
        <v>220</v>
      </c>
      <c r="E174" s="1" t="s">
        <v>223</v>
      </c>
      <c r="L174" s="5">
        <f>IFERROR(VLOOKUP($D174&amp;$C174,生产方式定位!$A$2:$E$38,2,FALSE)+VLOOKUP($E174&amp;$C174,生产方式定位!$F$3:$J$38,2,FALSE),0)</f>
        <v>1100</v>
      </c>
      <c r="S174" s="5">
        <f>IFERROR(VLOOKUP($D174&amp;$C174,生产方式定位!$A$2:$E$38,3,FALSE)+VLOOKUP($E174&amp;$C174,生产方式定位!$F$3:$J$38,3,FALSE),0)</f>
        <v>150</v>
      </c>
      <c r="X174" s="5">
        <f>IFERROR(VLOOKUP($D174&amp;$C174,生产方式定位!$A$2:$E$38,5,FALSE)+VLOOKUP($E174&amp;$C174,生产方式定位!$F$3:$J$38,5,FALSE),"错误")</f>
        <v>1291</v>
      </c>
      <c r="Y174" s="27" t="str">
        <f t="shared" si="34"/>
        <v/>
      </c>
      <c r="Z174" s="50" t="str">
        <f t="shared" si="37"/>
        <v/>
      </c>
      <c r="AA174" s="50" t="str">
        <f t="shared" si="35"/>
        <v/>
      </c>
      <c r="AB174" s="28" t="str">
        <f t="shared" si="38"/>
        <v>17%</v>
      </c>
      <c r="AC174" s="1">
        <f t="shared" si="39"/>
        <v>41</v>
      </c>
      <c r="AD174" s="51">
        <f t="shared" si="36"/>
        <v>2</v>
      </c>
      <c r="AE174" t="str">
        <f t="shared" si="40"/>
        <v/>
      </c>
      <c r="AF174" t="str">
        <f t="shared" si="41"/>
        <v/>
      </c>
      <c r="AG174" t="str">
        <f t="shared" si="42"/>
        <v/>
      </c>
      <c r="AH174" t="str">
        <f t="shared" si="43"/>
        <v/>
      </c>
      <c r="AI174" t="str">
        <f t="shared" si="44"/>
        <v/>
      </c>
      <c r="AJ174" t="str">
        <f t="shared" si="45"/>
        <v/>
      </c>
      <c r="AK174" t="str">
        <f t="shared" si="46"/>
        <v/>
      </c>
      <c r="AL174" t="str">
        <f t="shared" si="47"/>
        <v/>
      </c>
      <c r="AN174" t="str">
        <f>IFERROR(ROUND(L174*(G174/$AW174)/VLOOKUP(F174,商品!$A$4:$D$67,4,FALSE),0),"")</f>
        <v/>
      </c>
      <c r="AO174" t="str">
        <f>IFERROR(ROUND(L174*(I174/$AW174)/VLOOKUP(H174,商品!$A$4:$D$67,4,FALSE),0),"")</f>
        <v/>
      </c>
      <c r="AP174" t="str">
        <f>IFERROR(ROUND(L174*(K174/$AW174)/VLOOKUP(J174,商品!$A$4:$D$67,4,FALSE),0),"")</f>
        <v/>
      </c>
      <c r="AQ174" t="str">
        <f>IFERROR(ROUND(S174*(N174/$AX174)/VLOOKUP(M174,职业!$A$3:$E$16,4,FALSE),0),"")</f>
        <v/>
      </c>
      <c r="AR174" t="str">
        <f>IFERROR(ROUND(S174*(P174/$AX174)/VLOOKUP(O174,职业!$A$3:$E$16,4,FALSE),0),"")</f>
        <v/>
      </c>
      <c r="AS174" t="str">
        <f>IFERROR(ROUND(S174*(R174/$AX174)/VLOOKUP(Q174,职业!$A$3:$E$16,4,FALSE),0),"")</f>
        <v/>
      </c>
      <c r="AT174" t="str">
        <f>IFERROR(ROUND(X174*(U174/$AY174)/VLOOKUP(T174,商品!$A$4:$D$67,4,FALSE),0),"")</f>
        <v/>
      </c>
      <c r="AU174" t="str">
        <f>IFERROR(ROUND(X174*(W174/$AY174)/VLOOKUP(V174,商品!$A$4:$D$67,4,FALSE),0),"")</f>
        <v/>
      </c>
      <c r="AW174">
        <f t="shared" si="48"/>
        <v>0</v>
      </c>
      <c r="AX174">
        <f t="shared" si="49"/>
        <v>0</v>
      </c>
      <c r="AY174">
        <f t="shared" si="50"/>
        <v>0</v>
      </c>
    </row>
    <row r="175" customHeight="1" spans="1:51">
      <c r="A175" s="5" t="s">
        <v>319</v>
      </c>
      <c r="C175" s="5">
        <v>3</v>
      </c>
      <c r="D175" s="1" t="s">
        <v>220</v>
      </c>
      <c r="E175" s="1" t="s">
        <v>223</v>
      </c>
      <c r="L175" s="5">
        <f>IFERROR(VLOOKUP($D175&amp;$C175,生产方式定位!$A$2:$E$38,2,FALSE)+VLOOKUP($E175&amp;$C175,生产方式定位!$F$3:$J$38,2,FALSE),0)</f>
        <v>1400</v>
      </c>
      <c r="S175" s="5">
        <f>IFERROR(VLOOKUP($D175&amp;$C175,生产方式定位!$A$2:$E$38,3,FALSE)+VLOOKUP($E175&amp;$C175,生产方式定位!$F$3:$J$38,3,FALSE),0)</f>
        <v>145</v>
      </c>
      <c r="X175" s="5">
        <f>IFERROR(VLOOKUP($D175&amp;$C175,生产方式定位!$A$2:$E$38,5,FALSE)+VLOOKUP($E175&amp;$C175,生产方式定位!$F$3:$J$38,5,FALSE),"错误")</f>
        <v>1597</v>
      </c>
      <c r="Y175" s="27" t="str">
        <f t="shared" si="34"/>
        <v/>
      </c>
      <c r="Z175" s="50" t="str">
        <f t="shared" si="37"/>
        <v/>
      </c>
      <c r="AA175" s="50" t="str">
        <f t="shared" si="35"/>
        <v/>
      </c>
      <c r="AB175" s="28" t="str">
        <f t="shared" si="38"/>
        <v>14%</v>
      </c>
      <c r="AC175" s="1">
        <f t="shared" si="39"/>
        <v>52</v>
      </c>
      <c r="AD175" s="51">
        <f t="shared" si="36"/>
        <v>3</v>
      </c>
      <c r="AE175" t="str">
        <f t="shared" si="40"/>
        <v/>
      </c>
      <c r="AF175" t="str">
        <f t="shared" si="41"/>
        <v/>
      </c>
      <c r="AG175" t="str">
        <f t="shared" si="42"/>
        <v/>
      </c>
      <c r="AH175" t="str">
        <f t="shared" si="43"/>
        <v/>
      </c>
      <c r="AI175" t="str">
        <f t="shared" si="44"/>
        <v/>
      </c>
      <c r="AJ175" t="str">
        <f t="shared" si="45"/>
        <v/>
      </c>
      <c r="AK175" t="str">
        <f t="shared" si="46"/>
        <v/>
      </c>
      <c r="AL175" t="str">
        <f t="shared" si="47"/>
        <v/>
      </c>
      <c r="AN175" t="str">
        <f>IFERROR(ROUND(L175*(G175/$AW175)/VLOOKUP(F175,商品!$A$4:$D$67,4,FALSE),0),"")</f>
        <v/>
      </c>
      <c r="AO175" t="str">
        <f>IFERROR(ROUND(L175*(I175/$AW175)/VLOOKUP(H175,商品!$A$4:$D$67,4,FALSE),0),"")</f>
        <v/>
      </c>
      <c r="AP175" t="str">
        <f>IFERROR(ROUND(L175*(K175/$AW175)/VLOOKUP(J175,商品!$A$4:$D$67,4,FALSE),0),"")</f>
        <v/>
      </c>
      <c r="AQ175" t="str">
        <f>IFERROR(ROUND(S175*(N175/$AX175)/VLOOKUP(M175,职业!$A$3:$E$16,4,FALSE),0),"")</f>
        <v/>
      </c>
      <c r="AR175" t="str">
        <f>IFERROR(ROUND(S175*(P175/$AX175)/VLOOKUP(O175,职业!$A$3:$E$16,4,FALSE),0),"")</f>
        <v/>
      </c>
      <c r="AS175" t="str">
        <f>IFERROR(ROUND(S175*(R175/$AX175)/VLOOKUP(Q175,职业!$A$3:$E$16,4,FALSE),0),"")</f>
        <v/>
      </c>
      <c r="AT175" t="str">
        <f>IFERROR(ROUND(X175*(U175/$AY175)/VLOOKUP(T175,商品!$A$4:$D$67,4,FALSE),0),"")</f>
        <v/>
      </c>
      <c r="AU175" t="str">
        <f>IFERROR(ROUND(X175*(W175/$AY175)/VLOOKUP(V175,商品!$A$4:$D$67,4,FALSE),0),"")</f>
        <v/>
      </c>
      <c r="AW175">
        <f t="shared" si="48"/>
        <v>0</v>
      </c>
      <c r="AX175">
        <f t="shared" si="49"/>
        <v>0</v>
      </c>
      <c r="AY175">
        <f t="shared" si="50"/>
        <v>0</v>
      </c>
    </row>
    <row r="176" customHeight="1" spans="1:51">
      <c r="A176" s="5" t="s">
        <v>319</v>
      </c>
      <c r="C176" s="5">
        <v>4</v>
      </c>
      <c r="D176" s="1" t="s">
        <v>220</v>
      </c>
      <c r="E176" s="1" t="s">
        <v>223</v>
      </c>
      <c r="L176" s="5">
        <f>IFERROR(VLOOKUP($D176&amp;$C176,生产方式定位!$A$2:$E$38,2,FALSE)+VLOOKUP($E176&amp;$C176,生产方式定位!$F$3:$J$38,2,FALSE),0)</f>
        <v>1700</v>
      </c>
      <c r="S176" s="5">
        <f>IFERROR(VLOOKUP($D176&amp;$C176,生产方式定位!$A$2:$E$38,3,FALSE)+VLOOKUP($E176&amp;$C176,生产方式定位!$F$3:$J$38,3,FALSE),0)</f>
        <v>140</v>
      </c>
      <c r="X176" s="5">
        <f>IFERROR(VLOOKUP($D176&amp;$C176,生产方式定位!$A$2:$E$38,5,FALSE)+VLOOKUP($E176&amp;$C176,生产方式定位!$F$3:$J$38,5,FALSE),"错误")</f>
        <v>1902</v>
      </c>
      <c r="Y176" s="27" t="str">
        <f t="shared" si="34"/>
        <v/>
      </c>
      <c r="Z176" s="50" t="str">
        <f t="shared" si="37"/>
        <v/>
      </c>
      <c r="AA176" s="50" t="str">
        <f t="shared" si="35"/>
        <v/>
      </c>
      <c r="AB176" s="28" t="str">
        <f t="shared" si="38"/>
        <v>12%</v>
      </c>
      <c r="AC176" s="1">
        <f t="shared" si="39"/>
        <v>62</v>
      </c>
      <c r="AD176" s="51">
        <f t="shared" si="36"/>
        <v>4</v>
      </c>
      <c r="AE176" t="str">
        <f t="shared" si="40"/>
        <v/>
      </c>
      <c r="AF176" t="str">
        <f t="shared" si="41"/>
        <v/>
      </c>
      <c r="AG176" t="str">
        <f t="shared" si="42"/>
        <v/>
      </c>
      <c r="AH176" t="str">
        <f t="shared" si="43"/>
        <v/>
      </c>
      <c r="AI176" t="str">
        <f t="shared" si="44"/>
        <v/>
      </c>
      <c r="AJ176" t="str">
        <f t="shared" si="45"/>
        <v/>
      </c>
      <c r="AK176" t="str">
        <f t="shared" si="46"/>
        <v/>
      </c>
      <c r="AL176" t="str">
        <f t="shared" si="47"/>
        <v/>
      </c>
      <c r="AN176" t="str">
        <f>IFERROR(ROUND(L176*(G176/$AW176)/VLOOKUP(F176,商品!$A$4:$D$67,4,FALSE),0),"")</f>
        <v/>
      </c>
      <c r="AO176" t="str">
        <f>IFERROR(ROUND(L176*(I176/$AW176)/VLOOKUP(H176,商品!$A$4:$D$67,4,FALSE),0),"")</f>
        <v/>
      </c>
      <c r="AP176" t="str">
        <f>IFERROR(ROUND(L176*(K176/$AW176)/VLOOKUP(J176,商品!$A$4:$D$67,4,FALSE),0),"")</f>
        <v/>
      </c>
      <c r="AQ176" t="str">
        <f>IFERROR(ROUND(S176*(N176/$AX176)/VLOOKUP(M176,职业!$A$3:$E$16,4,FALSE),0),"")</f>
        <v/>
      </c>
      <c r="AR176" t="str">
        <f>IFERROR(ROUND(S176*(P176/$AX176)/VLOOKUP(O176,职业!$A$3:$E$16,4,FALSE),0),"")</f>
        <v/>
      </c>
      <c r="AS176" t="str">
        <f>IFERROR(ROUND(S176*(R176/$AX176)/VLOOKUP(Q176,职业!$A$3:$E$16,4,FALSE),0),"")</f>
        <v/>
      </c>
      <c r="AT176" t="str">
        <f>IFERROR(ROUND(X176*(U176/$AY176)/VLOOKUP(T176,商品!$A$4:$D$67,4,FALSE),0),"")</f>
        <v/>
      </c>
      <c r="AU176" t="str">
        <f>IFERROR(ROUND(X176*(W176/$AY176)/VLOOKUP(V176,商品!$A$4:$D$67,4,FALSE),0),"")</f>
        <v/>
      </c>
      <c r="AW176">
        <f t="shared" si="48"/>
        <v>0</v>
      </c>
      <c r="AX176">
        <f t="shared" si="49"/>
        <v>0</v>
      </c>
      <c r="AY176">
        <f t="shared" si="50"/>
        <v>0</v>
      </c>
    </row>
    <row r="177" customHeight="1" spans="1:51">
      <c r="A177" s="5" t="s">
        <v>319</v>
      </c>
      <c r="C177" s="5">
        <v>5</v>
      </c>
      <c r="D177" s="1" t="s">
        <v>220</v>
      </c>
      <c r="E177" s="1" t="s">
        <v>223</v>
      </c>
      <c r="L177" s="5">
        <f>IFERROR(VLOOKUP($D177&amp;$C177,生产方式定位!$A$2:$E$38,2,FALSE)+VLOOKUP($E177&amp;$C177,生产方式定位!$F$3:$J$38,2,FALSE),0)</f>
        <v>2000</v>
      </c>
      <c r="S177" s="5">
        <f>IFERROR(VLOOKUP($D177&amp;$C177,生产方式定位!$A$2:$E$38,3,FALSE)+VLOOKUP($E177&amp;$C177,生产方式定位!$F$3:$J$38,3,FALSE),0)</f>
        <v>135</v>
      </c>
      <c r="X177" s="5">
        <f>IFERROR(VLOOKUP($D177&amp;$C177,生产方式定位!$A$2:$E$38,5,FALSE)+VLOOKUP($E177&amp;$C177,生产方式定位!$F$3:$J$38,5,FALSE),"错误")</f>
        <v>2208</v>
      </c>
      <c r="Y177" s="27" t="str">
        <f t="shared" si="34"/>
        <v/>
      </c>
      <c r="Z177" s="50" t="str">
        <f t="shared" si="37"/>
        <v/>
      </c>
      <c r="AA177" s="50" t="str">
        <f t="shared" si="35"/>
        <v/>
      </c>
      <c r="AB177" s="28" t="str">
        <f t="shared" si="38"/>
        <v>10%</v>
      </c>
      <c r="AC177" s="1">
        <f t="shared" si="39"/>
        <v>73</v>
      </c>
      <c r="AD177" s="51">
        <f t="shared" si="36"/>
        <v>5</v>
      </c>
      <c r="AE177" t="str">
        <f t="shared" si="40"/>
        <v/>
      </c>
      <c r="AF177" t="str">
        <f t="shared" si="41"/>
        <v/>
      </c>
      <c r="AG177" t="str">
        <f t="shared" si="42"/>
        <v/>
      </c>
      <c r="AH177" t="str">
        <f t="shared" si="43"/>
        <v/>
      </c>
      <c r="AI177" t="str">
        <f t="shared" si="44"/>
        <v/>
      </c>
      <c r="AJ177" t="str">
        <f t="shared" si="45"/>
        <v/>
      </c>
      <c r="AK177" t="str">
        <f t="shared" si="46"/>
        <v/>
      </c>
      <c r="AL177" t="str">
        <f t="shared" si="47"/>
        <v/>
      </c>
      <c r="AN177" t="str">
        <f>IFERROR(ROUND(L177*(G177/$AW177)/VLOOKUP(F177,商品!$A$4:$D$67,4,FALSE),0),"")</f>
        <v/>
      </c>
      <c r="AO177" t="str">
        <f>IFERROR(ROUND(L177*(I177/$AW177)/VLOOKUP(H177,商品!$A$4:$D$67,4,FALSE),0),"")</f>
        <v/>
      </c>
      <c r="AP177" t="str">
        <f>IFERROR(ROUND(L177*(K177/$AW177)/VLOOKUP(J177,商品!$A$4:$D$67,4,FALSE),0),"")</f>
        <v/>
      </c>
      <c r="AQ177" t="str">
        <f>IFERROR(ROUND(S177*(N177/$AX177)/VLOOKUP(M177,职业!$A$3:$E$16,4,FALSE),0),"")</f>
        <v/>
      </c>
      <c r="AR177" t="str">
        <f>IFERROR(ROUND(S177*(P177/$AX177)/VLOOKUP(O177,职业!$A$3:$E$16,4,FALSE),0),"")</f>
        <v/>
      </c>
      <c r="AS177" t="str">
        <f>IFERROR(ROUND(S177*(R177/$AX177)/VLOOKUP(Q177,职业!$A$3:$E$16,4,FALSE),0),"")</f>
        <v/>
      </c>
      <c r="AT177" t="str">
        <f>IFERROR(ROUND(X177*(U177/$AY177)/VLOOKUP(T177,商品!$A$4:$D$67,4,FALSE),0),"")</f>
        <v/>
      </c>
      <c r="AU177" t="str">
        <f>IFERROR(ROUND(X177*(W177/$AY177)/VLOOKUP(V177,商品!$A$4:$D$67,4,FALSE),0),"")</f>
        <v/>
      </c>
      <c r="AW177">
        <f t="shared" si="48"/>
        <v>0</v>
      </c>
      <c r="AX177">
        <f t="shared" si="49"/>
        <v>0</v>
      </c>
      <c r="AY177">
        <f t="shared" si="50"/>
        <v>0</v>
      </c>
    </row>
    <row r="178" customHeight="1" spans="1:51">
      <c r="A178" s="18" t="s">
        <v>320</v>
      </c>
      <c r="C178" s="18">
        <v>1</v>
      </c>
      <c r="D178" s="1" t="s">
        <v>220</v>
      </c>
      <c r="E178" s="1" t="s">
        <v>224</v>
      </c>
      <c r="L178" s="18">
        <f>IFERROR(VLOOKUP($D178&amp;$C178,生产方式定位!$A$2:$E$38,2,FALSE)+VLOOKUP($E178&amp;$C178,生产方式定位!$F$3:$J$38,2,FALSE),0)</f>
        <v>500</v>
      </c>
      <c r="S178" s="18">
        <f>IFERROR(VLOOKUP($D178&amp;$C178,生产方式定位!$A$2:$E$38,3,FALSE)+VLOOKUP($E178&amp;$C178,生产方式定位!$F$3:$J$38,3,FALSE),0)</f>
        <v>150</v>
      </c>
      <c r="X178" s="18">
        <f>IFERROR(VLOOKUP($D178&amp;$C178,生产方式定位!$A$2:$E$38,5,FALSE)+VLOOKUP($E178&amp;$C178,生产方式定位!$F$3:$J$38,5,FALSE),"错误")</f>
        <v>715</v>
      </c>
      <c r="Y178" s="27" t="str">
        <f t="shared" si="34"/>
        <v/>
      </c>
      <c r="Z178" s="50" t="str">
        <f t="shared" si="37"/>
        <v/>
      </c>
      <c r="AA178" s="50" t="str">
        <f t="shared" si="35"/>
        <v/>
      </c>
      <c r="AB178" s="28" t="str">
        <f t="shared" si="38"/>
        <v>43%</v>
      </c>
      <c r="AC178" s="1">
        <f t="shared" si="39"/>
        <v>65</v>
      </c>
      <c r="AD178" s="52">
        <f t="shared" si="36"/>
        <v>1</v>
      </c>
      <c r="AE178" t="str">
        <f t="shared" si="40"/>
        <v/>
      </c>
      <c r="AF178" t="str">
        <f t="shared" si="41"/>
        <v/>
      </c>
      <c r="AG178" t="str">
        <f t="shared" si="42"/>
        <v/>
      </c>
      <c r="AH178" t="str">
        <f t="shared" si="43"/>
        <v/>
      </c>
      <c r="AI178" t="str">
        <f t="shared" si="44"/>
        <v/>
      </c>
      <c r="AJ178" t="str">
        <f t="shared" si="45"/>
        <v/>
      </c>
      <c r="AK178" t="str">
        <f t="shared" si="46"/>
        <v/>
      </c>
      <c r="AL178" t="str">
        <f t="shared" si="47"/>
        <v/>
      </c>
      <c r="AN178" t="str">
        <f>IFERROR(ROUND(L178*(G178/$AW178)/VLOOKUP(F178,商品!$A$4:$D$67,4,FALSE),0),"")</f>
        <v/>
      </c>
      <c r="AO178" t="str">
        <f>IFERROR(ROUND(L178*(I178/$AW178)/VLOOKUP(H178,商品!$A$4:$D$67,4,FALSE),0),"")</f>
        <v/>
      </c>
      <c r="AP178" t="str">
        <f>IFERROR(ROUND(L178*(K178/$AW178)/VLOOKUP(J178,商品!$A$4:$D$67,4,FALSE),0),"")</f>
        <v/>
      </c>
      <c r="AQ178" t="str">
        <f>IFERROR(ROUND(S178*(N178/$AX178)/VLOOKUP(M178,职业!$A$3:$E$16,4,FALSE),0),"")</f>
        <v/>
      </c>
      <c r="AR178" t="str">
        <f>IFERROR(ROUND(S178*(P178/$AX178)/VLOOKUP(O178,职业!$A$3:$E$16,4,FALSE),0),"")</f>
        <v/>
      </c>
      <c r="AS178" t="str">
        <f>IFERROR(ROUND(S178*(R178/$AX178)/VLOOKUP(Q178,职业!$A$3:$E$16,4,FALSE),0),"")</f>
        <v/>
      </c>
      <c r="AT178" t="str">
        <f>IFERROR(ROUND(X178*(U178/$AY178)/VLOOKUP(T178,商品!$A$4:$D$67,4,FALSE),0),"")</f>
        <v/>
      </c>
      <c r="AU178" t="str">
        <f>IFERROR(ROUND(X178*(W178/$AY178)/VLOOKUP(V178,商品!$A$4:$D$67,4,FALSE),0),"")</f>
        <v/>
      </c>
      <c r="AW178">
        <f t="shared" si="48"/>
        <v>0</v>
      </c>
      <c r="AX178">
        <f t="shared" si="49"/>
        <v>0</v>
      </c>
      <c r="AY178">
        <f t="shared" si="50"/>
        <v>0</v>
      </c>
    </row>
    <row r="179" customHeight="1" spans="1:51">
      <c r="A179" s="18" t="s">
        <v>320</v>
      </c>
      <c r="C179" s="18">
        <v>2</v>
      </c>
      <c r="D179" s="1" t="s">
        <v>220</v>
      </c>
      <c r="E179" s="1" t="s">
        <v>224</v>
      </c>
      <c r="L179" s="18">
        <f>IFERROR(VLOOKUP($D179&amp;$C179,生产方式定位!$A$2:$E$38,2,FALSE)+VLOOKUP($E179&amp;$C179,生产方式定位!$F$3:$J$38,2,FALSE),0)</f>
        <v>1200</v>
      </c>
      <c r="S179" s="18">
        <f>IFERROR(VLOOKUP($D179&amp;$C179,生产方式定位!$A$2:$E$38,3,FALSE)+VLOOKUP($E179&amp;$C179,生产方式定位!$F$3:$J$38,3,FALSE),0)</f>
        <v>100</v>
      </c>
      <c r="X179" s="18">
        <f>IFERROR(VLOOKUP($D179&amp;$C179,生产方式定位!$A$2:$E$38,5,FALSE)+VLOOKUP($E179&amp;$C179,生产方式定位!$F$3:$J$38,5,FALSE),"错误")</f>
        <v>1346</v>
      </c>
      <c r="Y179" s="27" t="str">
        <f t="shared" si="34"/>
        <v/>
      </c>
      <c r="Z179" s="50" t="str">
        <f t="shared" si="37"/>
        <v/>
      </c>
      <c r="AA179" s="50" t="str">
        <f t="shared" si="35"/>
        <v/>
      </c>
      <c r="AB179" s="28" t="str">
        <f t="shared" si="38"/>
        <v>12%</v>
      </c>
      <c r="AC179" s="1">
        <f t="shared" si="39"/>
        <v>46</v>
      </c>
      <c r="AD179" s="52">
        <f t="shared" si="36"/>
        <v>2</v>
      </c>
      <c r="AE179" t="str">
        <f t="shared" si="40"/>
        <v/>
      </c>
      <c r="AF179" t="str">
        <f t="shared" si="41"/>
        <v/>
      </c>
      <c r="AG179" t="str">
        <f t="shared" si="42"/>
        <v/>
      </c>
      <c r="AH179" t="str">
        <f t="shared" si="43"/>
        <v/>
      </c>
      <c r="AI179" t="str">
        <f t="shared" si="44"/>
        <v/>
      </c>
      <c r="AJ179" t="str">
        <f t="shared" si="45"/>
        <v/>
      </c>
      <c r="AK179" t="str">
        <f t="shared" si="46"/>
        <v/>
      </c>
      <c r="AL179" t="str">
        <f t="shared" si="47"/>
        <v/>
      </c>
      <c r="AN179" t="str">
        <f>IFERROR(ROUND(L179*(G179/$AW179)/VLOOKUP(F179,商品!$A$4:$D$67,4,FALSE),0),"")</f>
        <v/>
      </c>
      <c r="AO179" t="str">
        <f>IFERROR(ROUND(L179*(I179/$AW179)/VLOOKUP(H179,商品!$A$4:$D$67,4,FALSE),0),"")</f>
        <v/>
      </c>
      <c r="AP179" t="str">
        <f>IFERROR(ROUND(L179*(K179/$AW179)/VLOOKUP(J179,商品!$A$4:$D$67,4,FALSE),0),"")</f>
        <v/>
      </c>
      <c r="AQ179" t="str">
        <f>IFERROR(ROUND(S179*(N179/$AX179)/VLOOKUP(M179,职业!$A$3:$E$16,4,FALSE),0),"")</f>
        <v/>
      </c>
      <c r="AR179" t="str">
        <f>IFERROR(ROUND(S179*(P179/$AX179)/VLOOKUP(O179,职业!$A$3:$E$16,4,FALSE),0),"")</f>
        <v/>
      </c>
      <c r="AS179" t="str">
        <f>IFERROR(ROUND(S179*(R179/$AX179)/VLOOKUP(Q179,职业!$A$3:$E$16,4,FALSE),0),"")</f>
        <v/>
      </c>
      <c r="AT179" t="str">
        <f>IFERROR(ROUND(X179*(U179/$AY179)/VLOOKUP(T179,商品!$A$4:$D$67,4,FALSE),0),"")</f>
        <v/>
      </c>
      <c r="AU179" t="str">
        <f>IFERROR(ROUND(X179*(W179/$AY179)/VLOOKUP(V179,商品!$A$4:$D$67,4,FALSE),0),"")</f>
        <v/>
      </c>
      <c r="AW179">
        <f t="shared" si="48"/>
        <v>0</v>
      </c>
      <c r="AX179">
        <f t="shared" si="49"/>
        <v>0</v>
      </c>
      <c r="AY179">
        <f t="shared" si="50"/>
        <v>0</v>
      </c>
    </row>
    <row r="180" customHeight="1" spans="1:51">
      <c r="A180" s="18" t="s">
        <v>320</v>
      </c>
      <c r="C180" s="18">
        <v>3</v>
      </c>
      <c r="D180" s="1" t="s">
        <v>220</v>
      </c>
      <c r="E180" s="1" t="s">
        <v>224</v>
      </c>
      <c r="L180" s="18">
        <f>IFERROR(VLOOKUP($D180&amp;$C180,生产方式定位!$A$2:$E$38,2,FALSE)+VLOOKUP($E180&amp;$C180,生产方式定位!$F$3:$J$38,2,FALSE),0)</f>
        <v>1900</v>
      </c>
      <c r="S180" s="18">
        <f>IFERROR(VLOOKUP($D180&amp;$C180,生产方式定位!$A$2:$E$38,3,FALSE)+VLOOKUP($E180&amp;$C180,生产方式定位!$F$3:$J$38,3,FALSE),0)</f>
        <v>70</v>
      </c>
      <c r="X180" s="18">
        <f>IFERROR(VLOOKUP($D180&amp;$C180,生产方式定位!$A$2:$E$38,5,FALSE)+VLOOKUP($E180&amp;$C180,生产方式定位!$F$3:$J$38,5,FALSE),"错误")</f>
        <v>2064</v>
      </c>
      <c r="Y180" s="27" t="str">
        <f t="shared" si="34"/>
        <v/>
      </c>
      <c r="Z180" s="50" t="str">
        <f t="shared" si="37"/>
        <v/>
      </c>
      <c r="AA180" s="50" t="str">
        <f t="shared" si="35"/>
        <v/>
      </c>
      <c r="AB180" s="28" t="str">
        <f t="shared" si="38"/>
        <v>9%</v>
      </c>
      <c r="AC180" s="1">
        <f t="shared" si="39"/>
        <v>94</v>
      </c>
      <c r="AD180" s="52">
        <f t="shared" si="36"/>
        <v>3</v>
      </c>
      <c r="AE180" t="str">
        <f t="shared" si="40"/>
        <v/>
      </c>
      <c r="AF180" t="str">
        <f t="shared" si="41"/>
        <v/>
      </c>
      <c r="AG180" t="str">
        <f t="shared" si="42"/>
        <v/>
      </c>
      <c r="AH180" t="str">
        <f t="shared" si="43"/>
        <v/>
      </c>
      <c r="AI180" t="str">
        <f t="shared" si="44"/>
        <v/>
      </c>
      <c r="AJ180" t="str">
        <f t="shared" si="45"/>
        <v/>
      </c>
      <c r="AK180" t="str">
        <f t="shared" si="46"/>
        <v/>
      </c>
      <c r="AL180" t="str">
        <f t="shared" si="47"/>
        <v/>
      </c>
      <c r="AN180" t="str">
        <f>IFERROR(ROUND(L180*(G180/$AW180)/VLOOKUP(F180,商品!$A$4:$D$67,4,FALSE),0),"")</f>
        <v/>
      </c>
      <c r="AO180" t="str">
        <f>IFERROR(ROUND(L180*(I180/$AW180)/VLOOKUP(H180,商品!$A$4:$D$67,4,FALSE),0),"")</f>
        <v/>
      </c>
      <c r="AP180" t="str">
        <f>IFERROR(ROUND(L180*(K180/$AW180)/VLOOKUP(J180,商品!$A$4:$D$67,4,FALSE),0),"")</f>
        <v/>
      </c>
      <c r="AQ180" t="str">
        <f>IFERROR(ROUND(S180*(N180/$AX180)/VLOOKUP(M180,职业!$A$3:$E$16,4,FALSE),0),"")</f>
        <v/>
      </c>
      <c r="AR180" t="str">
        <f>IFERROR(ROUND(S180*(P180/$AX180)/VLOOKUP(O180,职业!$A$3:$E$16,4,FALSE),0),"")</f>
        <v/>
      </c>
      <c r="AS180" t="str">
        <f>IFERROR(ROUND(S180*(R180/$AX180)/VLOOKUP(Q180,职业!$A$3:$E$16,4,FALSE),0),"")</f>
        <v/>
      </c>
      <c r="AT180" t="str">
        <f>IFERROR(ROUND(X180*(U180/$AY180)/VLOOKUP(T180,商品!$A$4:$D$67,4,FALSE),0),"")</f>
        <v/>
      </c>
      <c r="AU180" t="str">
        <f>IFERROR(ROUND(X180*(W180/$AY180)/VLOOKUP(V180,商品!$A$4:$D$67,4,FALSE),0),"")</f>
        <v/>
      </c>
      <c r="AW180">
        <f t="shared" si="48"/>
        <v>0</v>
      </c>
      <c r="AX180">
        <f t="shared" si="49"/>
        <v>0</v>
      </c>
      <c r="AY180">
        <f t="shared" si="50"/>
        <v>0</v>
      </c>
    </row>
    <row r="181" customHeight="1" spans="1:51">
      <c r="A181" s="18" t="s">
        <v>320</v>
      </c>
      <c r="C181" s="18">
        <v>4</v>
      </c>
      <c r="D181" s="1" t="s">
        <v>220</v>
      </c>
      <c r="E181" s="1" t="s">
        <v>224</v>
      </c>
      <c r="L181" s="18">
        <f>IFERROR(VLOOKUP($D181&amp;$C181,生产方式定位!$A$2:$E$38,2,FALSE)+VLOOKUP($E181&amp;$C181,生产方式定位!$F$3:$J$38,2,FALSE),0)</f>
        <v>2600</v>
      </c>
      <c r="S181" s="18">
        <f>IFERROR(VLOOKUP($D181&amp;$C181,生产方式定位!$A$2:$E$38,3,FALSE)+VLOOKUP($E181&amp;$C181,生产方式定位!$F$3:$J$38,3,FALSE),0)</f>
        <v>40</v>
      </c>
      <c r="X181" s="18">
        <f>IFERROR(VLOOKUP($D181&amp;$C181,生产方式定位!$A$2:$E$38,5,FALSE)+VLOOKUP($E181&amp;$C181,生产方式定位!$F$3:$J$38,5,FALSE),"错误")</f>
        <v>2782</v>
      </c>
      <c r="Y181" s="27" t="str">
        <f t="shared" si="34"/>
        <v/>
      </c>
      <c r="Z181" s="50" t="str">
        <f t="shared" si="37"/>
        <v/>
      </c>
      <c r="AA181" s="50" t="str">
        <f t="shared" si="35"/>
        <v/>
      </c>
      <c r="AB181" s="28" t="str">
        <f t="shared" si="38"/>
        <v>7%</v>
      </c>
      <c r="AC181" s="1">
        <f t="shared" si="39"/>
        <v>142</v>
      </c>
      <c r="AD181" s="52">
        <f t="shared" si="36"/>
        <v>4</v>
      </c>
      <c r="AE181" t="str">
        <f t="shared" si="40"/>
        <v/>
      </c>
      <c r="AF181" t="str">
        <f t="shared" si="41"/>
        <v/>
      </c>
      <c r="AG181" t="str">
        <f t="shared" si="42"/>
        <v/>
      </c>
      <c r="AH181" t="str">
        <f t="shared" si="43"/>
        <v/>
      </c>
      <c r="AI181" t="str">
        <f t="shared" si="44"/>
        <v/>
      </c>
      <c r="AJ181" t="str">
        <f t="shared" si="45"/>
        <v/>
      </c>
      <c r="AK181" t="str">
        <f t="shared" si="46"/>
        <v/>
      </c>
      <c r="AL181" t="str">
        <f t="shared" si="47"/>
        <v/>
      </c>
      <c r="AN181" t="str">
        <f>IFERROR(ROUND(L181*(G181/$AW181)/VLOOKUP(F181,商品!$A$4:$D$67,4,FALSE),0),"")</f>
        <v/>
      </c>
      <c r="AO181" t="str">
        <f>IFERROR(ROUND(L181*(I181/$AW181)/VLOOKUP(H181,商品!$A$4:$D$67,4,FALSE),0),"")</f>
        <v/>
      </c>
      <c r="AP181" t="str">
        <f>IFERROR(ROUND(L181*(K181/$AW181)/VLOOKUP(J181,商品!$A$4:$D$67,4,FALSE),0),"")</f>
        <v/>
      </c>
      <c r="AQ181" t="str">
        <f>IFERROR(ROUND(S181*(N181/$AX181)/VLOOKUP(M181,职业!$A$3:$E$16,4,FALSE),0),"")</f>
        <v/>
      </c>
      <c r="AR181" t="str">
        <f>IFERROR(ROUND(S181*(P181/$AX181)/VLOOKUP(O181,职业!$A$3:$E$16,4,FALSE),0),"")</f>
        <v/>
      </c>
      <c r="AS181" t="str">
        <f>IFERROR(ROUND(S181*(R181/$AX181)/VLOOKUP(Q181,职业!$A$3:$E$16,4,FALSE),0),"")</f>
        <v/>
      </c>
      <c r="AT181" t="str">
        <f>IFERROR(ROUND(X181*(U181/$AY181)/VLOOKUP(T181,商品!$A$4:$D$67,4,FALSE),0),"")</f>
        <v/>
      </c>
      <c r="AU181" t="str">
        <f>IFERROR(ROUND(X181*(W181/$AY181)/VLOOKUP(V181,商品!$A$4:$D$67,4,FALSE),0),"")</f>
        <v/>
      </c>
      <c r="AW181">
        <f t="shared" si="48"/>
        <v>0</v>
      </c>
      <c r="AX181">
        <f t="shared" si="49"/>
        <v>0</v>
      </c>
      <c r="AY181">
        <f t="shared" si="50"/>
        <v>0</v>
      </c>
    </row>
    <row r="182" customHeight="1" spans="1:51">
      <c r="A182" s="18" t="s">
        <v>320</v>
      </c>
      <c r="C182" s="18">
        <v>5</v>
      </c>
      <c r="D182" s="1" t="s">
        <v>220</v>
      </c>
      <c r="E182" s="1" t="s">
        <v>224</v>
      </c>
      <c r="L182" s="18">
        <f>IFERROR(VLOOKUP($D182&amp;$C182,生产方式定位!$A$2:$E$38,2,FALSE)+VLOOKUP($E182&amp;$C182,生产方式定位!$F$3:$J$38,2,FALSE),0)</f>
        <v>3300</v>
      </c>
      <c r="S182" s="18">
        <f>IFERROR(VLOOKUP($D182&amp;$C182,生产方式定位!$A$2:$E$38,3,FALSE)+VLOOKUP($E182&amp;$C182,生产方式定位!$F$3:$J$38,3,FALSE),0)</f>
        <v>10</v>
      </c>
      <c r="X182" s="18">
        <f>IFERROR(VLOOKUP($D182&amp;$C182,生产方式定位!$A$2:$E$38,5,FALSE)+VLOOKUP($E182&amp;$C182,生产方式定位!$F$3:$J$38,5,FALSE),"错误")</f>
        <v>3500</v>
      </c>
      <c r="Y182" s="27" t="str">
        <f t="shared" si="34"/>
        <v/>
      </c>
      <c r="Z182" s="50" t="str">
        <f t="shared" si="37"/>
        <v/>
      </c>
      <c r="AA182" s="50" t="str">
        <f t="shared" si="35"/>
        <v/>
      </c>
      <c r="AB182" s="28" t="str">
        <f t="shared" si="38"/>
        <v>6%</v>
      </c>
      <c r="AC182" s="1">
        <f t="shared" si="39"/>
        <v>190</v>
      </c>
      <c r="AD182" s="52">
        <f t="shared" si="36"/>
        <v>5</v>
      </c>
      <c r="AE182" t="str">
        <f t="shared" si="40"/>
        <v/>
      </c>
      <c r="AF182" t="str">
        <f t="shared" si="41"/>
        <v/>
      </c>
      <c r="AG182" t="str">
        <f t="shared" si="42"/>
        <v/>
      </c>
      <c r="AH182" t="str">
        <f t="shared" si="43"/>
        <v/>
      </c>
      <c r="AI182" t="str">
        <f t="shared" si="44"/>
        <v/>
      </c>
      <c r="AJ182" t="str">
        <f t="shared" si="45"/>
        <v/>
      </c>
      <c r="AK182" t="str">
        <f t="shared" si="46"/>
        <v/>
      </c>
      <c r="AL182" t="str">
        <f t="shared" si="47"/>
        <v/>
      </c>
      <c r="AN182" t="str">
        <f>IFERROR(ROUND(L182*(G182/$AW182)/VLOOKUP(F182,商品!$A$4:$D$67,4,FALSE),0),"")</f>
        <v/>
      </c>
      <c r="AO182" t="str">
        <f>IFERROR(ROUND(L182*(I182/$AW182)/VLOOKUP(H182,商品!$A$4:$D$67,4,FALSE),0),"")</f>
        <v/>
      </c>
      <c r="AP182" t="str">
        <f>IFERROR(ROUND(L182*(K182/$AW182)/VLOOKUP(J182,商品!$A$4:$D$67,4,FALSE),0),"")</f>
        <v/>
      </c>
      <c r="AQ182" t="str">
        <f>IFERROR(ROUND(S182*(N182/$AX182)/VLOOKUP(M182,职业!$A$3:$E$16,4,FALSE),0),"")</f>
        <v/>
      </c>
      <c r="AR182" t="str">
        <f>IFERROR(ROUND(S182*(P182/$AX182)/VLOOKUP(O182,职业!$A$3:$E$16,4,FALSE),0),"")</f>
        <v/>
      </c>
      <c r="AS182" t="str">
        <f>IFERROR(ROUND(S182*(R182/$AX182)/VLOOKUP(Q182,职业!$A$3:$E$16,4,FALSE),0),"")</f>
        <v/>
      </c>
      <c r="AT182" t="str">
        <f>IFERROR(ROUND(X182*(U182/$AY182)/VLOOKUP(T182,商品!$A$4:$D$67,4,FALSE),0),"")</f>
        <v/>
      </c>
      <c r="AU182" t="str">
        <f>IFERROR(ROUND(X182*(W182/$AY182)/VLOOKUP(V182,商品!$A$4:$D$67,4,FALSE),0),"")</f>
        <v/>
      </c>
      <c r="AW182">
        <f t="shared" si="48"/>
        <v>0</v>
      </c>
      <c r="AX182">
        <f t="shared" si="49"/>
        <v>0</v>
      </c>
      <c r="AY182">
        <f t="shared" si="50"/>
        <v>0</v>
      </c>
    </row>
    <row r="183" customHeight="1" spans="1:51">
      <c r="A183" s="5" t="s">
        <v>320</v>
      </c>
      <c r="C183" s="5">
        <v>1</v>
      </c>
      <c r="D183" s="1" t="s">
        <v>220</v>
      </c>
      <c r="E183" s="1" t="s">
        <v>224</v>
      </c>
      <c r="L183" s="5">
        <f>IFERROR(VLOOKUP($D183&amp;$C183,生产方式定位!$A$2:$E$38,2,FALSE)+VLOOKUP($E183&amp;$C183,生产方式定位!$F$3:$J$38,2,FALSE),0)</f>
        <v>500</v>
      </c>
      <c r="S183" s="5">
        <f>IFERROR(VLOOKUP($D183&amp;$C183,生产方式定位!$A$2:$E$38,3,FALSE)+VLOOKUP($E183&amp;$C183,生产方式定位!$F$3:$J$38,3,FALSE),0)</f>
        <v>150</v>
      </c>
      <c r="X183" s="5">
        <f>IFERROR(VLOOKUP($D183&amp;$C183,生产方式定位!$A$2:$E$38,5,FALSE)+VLOOKUP($E183&amp;$C183,生产方式定位!$F$3:$J$38,5,FALSE),"错误")</f>
        <v>715</v>
      </c>
      <c r="Y183" s="27" t="str">
        <f t="shared" si="34"/>
        <v/>
      </c>
      <c r="Z183" s="50" t="str">
        <f t="shared" si="37"/>
        <v/>
      </c>
      <c r="AA183" s="50" t="str">
        <f t="shared" si="35"/>
        <v/>
      </c>
      <c r="AB183" s="28" t="str">
        <f t="shared" si="38"/>
        <v>43%</v>
      </c>
      <c r="AC183" s="1">
        <f t="shared" si="39"/>
        <v>65</v>
      </c>
      <c r="AD183" s="51">
        <f t="shared" si="36"/>
        <v>1</v>
      </c>
      <c r="AE183" t="str">
        <f t="shared" si="40"/>
        <v/>
      </c>
      <c r="AF183" t="str">
        <f t="shared" si="41"/>
        <v/>
      </c>
      <c r="AG183" t="str">
        <f t="shared" si="42"/>
        <v/>
      </c>
      <c r="AH183" t="str">
        <f t="shared" si="43"/>
        <v/>
      </c>
      <c r="AI183" t="str">
        <f t="shared" si="44"/>
        <v/>
      </c>
      <c r="AJ183" t="str">
        <f t="shared" si="45"/>
        <v/>
      </c>
      <c r="AK183" t="str">
        <f t="shared" si="46"/>
        <v/>
      </c>
      <c r="AL183" t="str">
        <f t="shared" si="47"/>
        <v/>
      </c>
      <c r="AN183" t="str">
        <f>IFERROR(ROUND(L183*(G183/$AW183)/VLOOKUP(F183,商品!$A$4:$D$67,4,FALSE),0),"")</f>
        <v/>
      </c>
      <c r="AO183" t="str">
        <f>IFERROR(ROUND(L183*(I183/$AW183)/VLOOKUP(H183,商品!$A$4:$D$67,4,FALSE),0),"")</f>
        <v/>
      </c>
      <c r="AP183" t="str">
        <f>IFERROR(ROUND(L183*(K183/$AW183)/VLOOKUP(J183,商品!$A$4:$D$67,4,FALSE),0),"")</f>
        <v/>
      </c>
      <c r="AQ183" t="str">
        <f>IFERROR(ROUND(S183*(N183/$AX183)/VLOOKUP(M183,职业!$A$3:$E$16,4,FALSE),0),"")</f>
        <v/>
      </c>
      <c r="AR183" t="str">
        <f>IFERROR(ROUND(S183*(P183/$AX183)/VLOOKUP(O183,职业!$A$3:$E$16,4,FALSE),0),"")</f>
        <v/>
      </c>
      <c r="AS183" t="str">
        <f>IFERROR(ROUND(S183*(R183/$AX183)/VLOOKUP(Q183,职业!$A$3:$E$16,4,FALSE),0),"")</f>
        <v/>
      </c>
      <c r="AT183" t="str">
        <f>IFERROR(ROUND(X183*(U183/$AY183)/VLOOKUP(T183,商品!$A$4:$D$67,4,FALSE),0),"")</f>
        <v/>
      </c>
      <c r="AU183" t="str">
        <f>IFERROR(ROUND(X183*(W183/$AY183)/VLOOKUP(V183,商品!$A$4:$D$67,4,FALSE),0),"")</f>
        <v/>
      </c>
      <c r="AW183">
        <f t="shared" si="48"/>
        <v>0</v>
      </c>
      <c r="AX183">
        <f t="shared" si="49"/>
        <v>0</v>
      </c>
      <c r="AY183">
        <f t="shared" si="50"/>
        <v>0</v>
      </c>
    </row>
    <row r="184" customHeight="1" spans="1:51">
      <c r="A184" s="5" t="s">
        <v>320</v>
      </c>
      <c r="C184" s="5">
        <v>2</v>
      </c>
      <c r="D184" s="1" t="s">
        <v>220</v>
      </c>
      <c r="E184" s="1" t="s">
        <v>224</v>
      </c>
      <c r="L184" s="5">
        <f>IFERROR(VLOOKUP($D184&amp;$C184,生产方式定位!$A$2:$E$38,2,FALSE)+VLOOKUP($E184&amp;$C184,生产方式定位!$F$3:$J$38,2,FALSE),0)</f>
        <v>1200</v>
      </c>
      <c r="S184" s="5">
        <f>IFERROR(VLOOKUP($D184&amp;$C184,生产方式定位!$A$2:$E$38,3,FALSE)+VLOOKUP($E184&amp;$C184,生产方式定位!$F$3:$J$38,3,FALSE),0)</f>
        <v>100</v>
      </c>
      <c r="X184" s="5">
        <f>IFERROR(VLOOKUP($D184&amp;$C184,生产方式定位!$A$2:$E$38,5,FALSE)+VLOOKUP($E184&amp;$C184,生产方式定位!$F$3:$J$38,5,FALSE),"错误")</f>
        <v>1346</v>
      </c>
      <c r="Y184" s="27" t="str">
        <f t="shared" si="34"/>
        <v/>
      </c>
      <c r="Z184" s="50" t="str">
        <f t="shared" si="37"/>
        <v/>
      </c>
      <c r="AA184" s="50" t="str">
        <f t="shared" si="35"/>
        <v/>
      </c>
      <c r="AB184" s="28" t="str">
        <f t="shared" si="38"/>
        <v>12%</v>
      </c>
      <c r="AC184" s="1">
        <f t="shared" si="39"/>
        <v>46</v>
      </c>
      <c r="AD184" s="51">
        <f t="shared" si="36"/>
        <v>2</v>
      </c>
      <c r="AE184" t="str">
        <f t="shared" si="40"/>
        <v/>
      </c>
      <c r="AF184" t="str">
        <f t="shared" si="41"/>
        <v/>
      </c>
      <c r="AG184" t="str">
        <f t="shared" si="42"/>
        <v/>
      </c>
      <c r="AH184" t="str">
        <f t="shared" si="43"/>
        <v/>
      </c>
      <c r="AI184" t="str">
        <f t="shared" si="44"/>
        <v/>
      </c>
      <c r="AJ184" t="str">
        <f t="shared" si="45"/>
        <v/>
      </c>
      <c r="AK184" t="str">
        <f t="shared" si="46"/>
        <v/>
      </c>
      <c r="AL184" t="str">
        <f t="shared" si="47"/>
        <v/>
      </c>
      <c r="AN184" t="str">
        <f>IFERROR(ROUND(L184*(G184/$AW184)/VLOOKUP(F184,商品!$A$4:$D$67,4,FALSE),0),"")</f>
        <v/>
      </c>
      <c r="AO184" t="str">
        <f>IFERROR(ROUND(L184*(I184/$AW184)/VLOOKUP(H184,商品!$A$4:$D$67,4,FALSE),0),"")</f>
        <v/>
      </c>
      <c r="AP184" t="str">
        <f>IFERROR(ROUND(L184*(K184/$AW184)/VLOOKUP(J184,商品!$A$4:$D$67,4,FALSE),0),"")</f>
        <v/>
      </c>
      <c r="AQ184" t="str">
        <f>IFERROR(ROUND(S184*(N184/$AX184)/VLOOKUP(M184,职业!$A$3:$E$16,4,FALSE),0),"")</f>
        <v/>
      </c>
      <c r="AR184" t="str">
        <f>IFERROR(ROUND(S184*(P184/$AX184)/VLOOKUP(O184,职业!$A$3:$E$16,4,FALSE),0),"")</f>
        <v/>
      </c>
      <c r="AS184" t="str">
        <f>IFERROR(ROUND(S184*(R184/$AX184)/VLOOKUP(Q184,职业!$A$3:$E$16,4,FALSE),0),"")</f>
        <v/>
      </c>
      <c r="AT184" t="str">
        <f>IFERROR(ROUND(X184*(U184/$AY184)/VLOOKUP(T184,商品!$A$4:$D$67,4,FALSE),0),"")</f>
        <v/>
      </c>
      <c r="AU184" t="str">
        <f>IFERROR(ROUND(X184*(W184/$AY184)/VLOOKUP(V184,商品!$A$4:$D$67,4,FALSE),0),"")</f>
        <v/>
      </c>
      <c r="AW184">
        <f t="shared" si="48"/>
        <v>0</v>
      </c>
      <c r="AX184">
        <f t="shared" si="49"/>
        <v>0</v>
      </c>
      <c r="AY184">
        <f t="shared" si="50"/>
        <v>0</v>
      </c>
    </row>
    <row r="185" customHeight="1" spans="1:51">
      <c r="A185" s="5" t="s">
        <v>320</v>
      </c>
      <c r="C185" s="5">
        <v>3</v>
      </c>
      <c r="D185" s="1" t="s">
        <v>220</v>
      </c>
      <c r="E185" s="1" t="s">
        <v>224</v>
      </c>
      <c r="L185" s="5">
        <f>IFERROR(VLOOKUP($D185&amp;$C185,生产方式定位!$A$2:$E$38,2,FALSE)+VLOOKUP($E185&amp;$C185,生产方式定位!$F$3:$J$38,2,FALSE),0)</f>
        <v>1900</v>
      </c>
      <c r="S185" s="5">
        <f>IFERROR(VLOOKUP($D185&amp;$C185,生产方式定位!$A$2:$E$38,3,FALSE)+VLOOKUP($E185&amp;$C185,生产方式定位!$F$3:$J$38,3,FALSE),0)</f>
        <v>70</v>
      </c>
      <c r="X185" s="5">
        <f>IFERROR(VLOOKUP($D185&amp;$C185,生产方式定位!$A$2:$E$38,5,FALSE)+VLOOKUP($E185&amp;$C185,生产方式定位!$F$3:$J$38,5,FALSE),"错误")</f>
        <v>2064</v>
      </c>
      <c r="Y185" s="27" t="str">
        <f t="shared" si="34"/>
        <v/>
      </c>
      <c r="Z185" s="50" t="str">
        <f t="shared" si="37"/>
        <v/>
      </c>
      <c r="AA185" s="50" t="str">
        <f t="shared" si="35"/>
        <v/>
      </c>
      <c r="AB185" s="28" t="str">
        <f t="shared" si="38"/>
        <v>9%</v>
      </c>
      <c r="AC185" s="1">
        <f t="shared" si="39"/>
        <v>94</v>
      </c>
      <c r="AD185" s="51">
        <f t="shared" si="36"/>
        <v>3</v>
      </c>
      <c r="AE185" t="str">
        <f t="shared" si="40"/>
        <v/>
      </c>
      <c r="AF185" t="str">
        <f t="shared" si="41"/>
        <v/>
      </c>
      <c r="AG185" t="str">
        <f t="shared" si="42"/>
        <v/>
      </c>
      <c r="AH185" t="str">
        <f t="shared" si="43"/>
        <v/>
      </c>
      <c r="AI185" t="str">
        <f t="shared" si="44"/>
        <v/>
      </c>
      <c r="AJ185" t="str">
        <f t="shared" si="45"/>
        <v/>
      </c>
      <c r="AK185" t="str">
        <f t="shared" si="46"/>
        <v/>
      </c>
      <c r="AL185" t="str">
        <f t="shared" si="47"/>
        <v/>
      </c>
      <c r="AN185" t="str">
        <f>IFERROR(ROUND(L185*(G185/$AW185)/VLOOKUP(F185,商品!$A$4:$D$67,4,FALSE),0),"")</f>
        <v/>
      </c>
      <c r="AO185" t="str">
        <f>IFERROR(ROUND(L185*(I185/$AW185)/VLOOKUP(H185,商品!$A$4:$D$67,4,FALSE),0),"")</f>
        <v/>
      </c>
      <c r="AP185" t="str">
        <f>IFERROR(ROUND(L185*(K185/$AW185)/VLOOKUP(J185,商品!$A$4:$D$67,4,FALSE),0),"")</f>
        <v/>
      </c>
      <c r="AQ185" t="str">
        <f>IFERROR(ROUND(S185*(N185/$AX185)/VLOOKUP(M185,职业!$A$3:$E$16,4,FALSE),0),"")</f>
        <v/>
      </c>
      <c r="AR185" t="str">
        <f>IFERROR(ROUND(S185*(P185/$AX185)/VLOOKUP(O185,职业!$A$3:$E$16,4,FALSE),0),"")</f>
        <v/>
      </c>
      <c r="AS185" t="str">
        <f>IFERROR(ROUND(S185*(R185/$AX185)/VLOOKUP(Q185,职业!$A$3:$E$16,4,FALSE),0),"")</f>
        <v/>
      </c>
      <c r="AT185" t="str">
        <f>IFERROR(ROUND(X185*(U185/$AY185)/VLOOKUP(T185,商品!$A$4:$D$67,4,FALSE),0),"")</f>
        <v/>
      </c>
      <c r="AU185" t="str">
        <f>IFERROR(ROUND(X185*(W185/$AY185)/VLOOKUP(V185,商品!$A$4:$D$67,4,FALSE),0),"")</f>
        <v/>
      </c>
      <c r="AW185">
        <f t="shared" si="48"/>
        <v>0</v>
      </c>
      <c r="AX185">
        <f t="shared" si="49"/>
        <v>0</v>
      </c>
      <c r="AY185">
        <f t="shared" si="50"/>
        <v>0</v>
      </c>
    </row>
    <row r="186" customHeight="1" spans="1:51">
      <c r="A186" s="5" t="s">
        <v>320</v>
      </c>
      <c r="C186" s="5">
        <v>4</v>
      </c>
      <c r="D186" s="1" t="s">
        <v>220</v>
      </c>
      <c r="E186" s="1" t="s">
        <v>224</v>
      </c>
      <c r="L186" s="5">
        <f>IFERROR(VLOOKUP($D186&amp;$C186,生产方式定位!$A$2:$E$38,2,FALSE)+VLOOKUP($E186&amp;$C186,生产方式定位!$F$3:$J$38,2,FALSE),0)</f>
        <v>2600</v>
      </c>
      <c r="S186" s="5">
        <f>IFERROR(VLOOKUP($D186&amp;$C186,生产方式定位!$A$2:$E$38,3,FALSE)+VLOOKUP($E186&amp;$C186,生产方式定位!$F$3:$J$38,3,FALSE),0)</f>
        <v>40</v>
      </c>
      <c r="X186" s="5">
        <f>IFERROR(VLOOKUP($D186&amp;$C186,生产方式定位!$A$2:$E$38,5,FALSE)+VLOOKUP($E186&amp;$C186,生产方式定位!$F$3:$J$38,5,FALSE),"错误")</f>
        <v>2782</v>
      </c>
      <c r="Y186" s="27" t="str">
        <f t="shared" si="34"/>
        <v/>
      </c>
      <c r="Z186" s="50" t="str">
        <f t="shared" si="37"/>
        <v/>
      </c>
      <c r="AA186" s="50" t="str">
        <f t="shared" si="35"/>
        <v/>
      </c>
      <c r="AB186" s="28" t="str">
        <f t="shared" si="38"/>
        <v>7%</v>
      </c>
      <c r="AC186" s="1">
        <f t="shared" si="39"/>
        <v>142</v>
      </c>
      <c r="AD186" s="51">
        <f t="shared" si="36"/>
        <v>4</v>
      </c>
      <c r="AE186" t="str">
        <f t="shared" si="40"/>
        <v/>
      </c>
      <c r="AF186" t="str">
        <f t="shared" si="41"/>
        <v/>
      </c>
      <c r="AG186" t="str">
        <f t="shared" si="42"/>
        <v/>
      </c>
      <c r="AH186" t="str">
        <f t="shared" si="43"/>
        <v/>
      </c>
      <c r="AI186" t="str">
        <f t="shared" si="44"/>
        <v/>
      </c>
      <c r="AJ186" t="str">
        <f t="shared" si="45"/>
        <v/>
      </c>
      <c r="AK186" t="str">
        <f t="shared" si="46"/>
        <v/>
      </c>
      <c r="AL186" t="str">
        <f t="shared" si="47"/>
        <v/>
      </c>
      <c r="AN186" t="str">
        <f>IFERROR(ROUND(L186*(G186/$AW186)/VLOOKUP(F186,商品!$A$4:$D$67,4,FALSE),0),"")</f>
        <v/>
      </c>
      <c r="AO186" t="str">
        <f>IFERROR(ROUND(L186*(I186/$AW186)/VLOOKUP(H186,商品!$A$4:$D$67,4,FALSE),0),"")</f>
        <v/>
      </c>
      <c r="AP186" t="str">
        <f>IFERROR(ROUND(L186*(K186/$AW186)/VLOOKUP(J186,商品!$A$4:$D$67,4,FALSE),0),"")</f>
        <v/>
      </c>
      <c r="AQ186" t="str">
        <f>IFERROR(ROUND(S186*(N186/$AX186)/VLOOKUP(M186,职业!$A$3:$E$16,4,FALSE),0),"")</f>
        <v/>
      </c>
      <c r="AR186" t="str">
        <f>IFERROR(ROUND(S186*(P186/$AX186)/VLOOKUP(O186,职业!$A$3:$E$16,4,FALSE),0),"")</f>
        <v/>
      </c>
      <c r="AS186" t="str">
        <f>IFERROR(ROUND(S186*(R186/$AX186)/VLOOKUP(Q186,职业!$A$3:$E$16,4,FALSE),0),"")</f>
        <v/>
      </c>
      <c r="AT186" t="str">
        <f>IFERROR(ROUND(X186*(U186/$AY186)/VLOOKUP(T186,商品!$A$4:$D$67,4,FALSE),0),"")</f>
        <v/>
      </c>
      <c r="AU186" t="str">
        <f>IFERROR(ROUND(X186*(W186/$AY186)/VLOOKUP(V186,商品!$A$4:$D$67,4,FALSE),0),"")</f>
        <v/>
      </c>
      <c r="AW186">
        <f t="shared" si="48"/>
        <v>0</v>
      </c>
      <c r="AX186">
        <f t="shared" si="49"/>
        <v>0</v>
      </c>
      <c r="AY186">
        <f t="shared" si="50"/>
        <v>0</v>
      </c>
    </row>
    <row r="187" customHeight="1" spans="1:51">
      <c r="A187" s="5" t="s">
        <v>320</v>
      </c>
      <c r="C187" s="5">
        <v>5</v>
      </c>
      <c r="D187" s="1" t="s">
        <v>220</v>
      </c>
      <c r="E187" s="1" t="s">
        <v>224</v>
      </c>
      <c r="L187" s="5">
        <f>IFERROR(VLOOKUP($D187&amp;$C187,生产方式定位!$A$2:$E$38,2,FALSE)+VLOOKUP($E187&amp;$C187,生产方式定位!$F$3:$J$38,2,FALSE),0)</f>
        <v>3300</v>
      </c>
      <c r="S187" s="5">
        <f>IFERROR(VLOOKUP($D187&amp;$C187,生产方式定位!$A$2:$E$38,3,FALSE)+VLOOKUP($E187&amp;$C187,生产方式定位!$F$3:$J$38,3,FALSE),0)</f>
        <v>10</v>
      </c>
      <c r="X187" s="5">
        <f>IFERROR(VLOOKUP($D187&amp;$C187,生产方式定位!$A$2:$E$38,5,FALSE)+VLOOKUP($E187&amp;$C187,生产方式定位!$F$3:$J$38,5,FALSE),"错误")</f>
        <v>3500</v>
      </c>
      <c r="Y187" s="27" t="str">
        <f t="shared" si="34"/>
        <v/>
      </c>
      <c r="Z187" s="50" t="str">
        <f t="shared" si="37"/>
        <v/>
      </c>
      <c r="AA187" s="50" t="str">
        <f t="shared" si="35"/>
        <v/>
      </c>
      <c r="AB187" s="28" t="str">
        <f t="shared" si="38"/>
        <v>6%</v>
      </c>
      <c r="AC187" s="1">
        <f t="shared" si="39"/>
        <v>190</v>
      </c>
      <c r="AD187" s="51">
        <f t="shared" si="36"/>
        <v>5</v>
      </c>
      <c r="AE187" t="str">
        <f t="shared" si="40"/>
        <v/>
      </c>
      <c r="AF187" t="str">
        <f t="shared" si="41"/>
        <v/>
      </c>
      <c r="AG187" t="str">
        <f t="shared" si="42"/>
        <v/>
      </c>
      <c r="AH187" t="str">
        <f t="shared" si="43"/>
        <v/>
      </c>
      <c r="AI187" t="str">
        <f t="shared" si="44"/>
        <v/>
      </c>
      <c r="AJ187" t="str">
        <f t="shared" si="45"/>
        <v/>
      </c>
      <c r="AK187" t="str">
        <f t="shared" si="46"/>
        <v/>
      </c>
      <c r="AL187" t="str">
        <f t="shared" si="47"/>
        <v/>
      </c>
      <c r="AN187" t="str">
        <f>IFERROR(ROUND(L187*(G187/$AW187)/VLOOKUP(F187,商品!$A$4:$D$67,4,FALSE),0),"")</f>
        <v/>
      </c>
      <c r="AO187" t="str">
        <f>IFERROR(ROUND(L187*(I187/$AW187)/VLOOKUP(H187,商品!$A$4:$D$67,4,FALSE),0),"")</f>
        <v/>
      </c>
      <c r="AP187" t="str">
        <f>IFERROR(ROUND(L187*(K187/$AW187)/VLOOKUP(J187,商品!$A$4:$D$67,4,FALSE),0),"")</f>
        <v/>
      </c>
      <c r="AQ187" t="str">
        <f>IFERROR(ROUND(S187*(N187/$AX187)/VLOOKUP(M187,职业!$A$3:$E$16,4,FALSE),0),"")</f>
        <v/>
      </c>
      <c r="AR187" t="str">
        <f>IFERROR(ROUND(S187*(P187/$AX187)/VLOOKUP(O187,职业!$A$3:$E$16,4,FALSE),0),"")</f>
        <v/>
      </c>
      <c r="AS187" t="str">
        <f>IFERROR(ROUND(S187*(R187/$AX187)/VLOOKUP(Q187,职业!$A$3:$E$16,4,FALSE),0),"")</f>
        <v/>
      </c>
      <c r="AT187" t="str">
        <f>IFERROR(ROUND(X187*(U187/$AY187)/VLOOKUP(T187,商品!$A$4:$D$67,4,FALSE),0),"")</f>
        <v/>
      </c>
      <c r="AU187" t="str">
        <f>IFERROR(ROUND(X187*(W187/$AY187)/VLOOKUP(V187,商品!$A$4:$D$67,4,FALSE),0),"")</f>
        <v/>
      </c>
      <c r="AW187">
        <f t="shared" si="48"/>
        <v>0</v>
      </c>
      <c r="AX187">
        <f t="shared" si="49"/>
        <v>0</v>
      </c>
      <c r="AY187">
        <f t="shared" si="50"/>
        <v>0</v>
      </c>
    </row>
    <row r="188" customHeight="1" spans="1:51">
      <c r="A188" s="18" t="s">
        <v>321</v>
      </c>
      <c r="C188" s="18">
        <v>1</v>
      </c>
      <c r="D188" s="1" t="s">
        <v>291</v>
      </c>
      <c r="E188" s="1" t="s">
        <v>225</v>
      </c>
      <c r="L188" s="18">
        <f>IFERROR(VLOOKUP($D188&amp;$C188,生产方式定位!$A$2:$E$38,2,FALSE)+VLOOKUP($E188&amp;$C188,生产方式定位!$F$3:$J$38,2,FALSE),0)</f>
        <v>0</v>
      </c>
      <c r="S188" s="18">
        <f>IFERROR(VLOOKUP($D188&amp;$C188,生产方式定位!$A$2:$E$38,3,FALSE)+VLOOKUP($E188&amp;$C188,生产方式定位!$F$3:$J$38,3,FALSE),0)</f>
        <v>100</v>
      </c>
      <c r="X188" s="18">
        <f>IFERROR(VLOOKUP($D188&amp;$C188,生产方式定位!$A$2:$E$38,5,FALSE)+VLOOKUP($E188&amp;$C188,生产方式定位!$F$3:$J$38,5,FALSE),"错误")</f>
        <v>100</v>
      </c>
      <c r="Y188" s="27" t="str">
        <f t="shared" si="34"/>
        <v/>
      </c>
      <c r="Z188" s="50" t="str">
        <f t="shared" si="37"/>
        <v/>
      </c>
      <c r="AA188" s="50" t="str">
        <f t="shared" si="35"/>
        <v/>
      </c>
      <c r="AB188" s="28" t="str">
        <f t="shared" si="38"/>
        <v/>
      </c>
      <c r="AC188" s="1" t="str">
        <f t="shared" si="39"/>
        <v/>
      </c>
      <c r="AD188" s="52">
        <f t="shared" si="36"/>
        <v>1</v>
      </c>
      <c r="AE188" t="str">
        <f t="shared" si="40"/>
        <v/>
      </c>
      <c r="AF188" t="str">
        <f t="shared" si="41"/>
        <v/>
      </c>
      <c r="AG188" t="str">
        <f t="shared" si="42"/>
        <v/>
      </c>
      <c r="AH188" t="str">
        <f t="shared" si="43"/>
        <v/>
      </c>
      <c r="AI188" t="str">
        <f t="shared" si="44"/>
        <v/>
      </c>
      <c r="AJ188" t="str">
        <f t="shared" si="45"/>
        <v/>
      </c>
      <c r="AK188" t="str">
        <f t="shared" si="46"/>
        <v/>
      </c>
      <c r="AL188" t="str">
        <f t="shared" si="47"/>
        <v/>
      </c>
      <c r="AN188" t="str">
        <f>IFERROR(ROUND(L188*(G188/$AW188)/VLOOKUP(F188,商品!$A$4:$D$67,4,FALSE),0),"")</f>
        <v/>
      </c>
      <c r="AO188" t="str">
        <f>IFERROR(ROUND(L188*(I188/$AW188)/VLOOKUP(H188,商品!$A$4:$D$67,4,FALSE),0),"")</f>
        <v/>
      </c>
      <c r="AP188" t="str">
        <f>IFERROR(ROUND(L188*(K188/$AW188)/VLOOKUP(J188,商品!$A$4:$D$67,4,FALSE),0),"")</f>
        <v/>
      </c>
      <c r="AQ188" t="str">
        <f>IFERROR(ROUND(S188*(N188/$AX188)/VLOOKUP(M188,职业!$A$3:$E$16,4,FALSE),0),"")</f>
        <v/>
      </c>
      <c r="AR188" t="str">
        <f>IFERROR(ROUND(S188*(P188/$AX188)/VLOOKUP(O188,职业!$A$3:$E$16,4,FALSE),0),"")</f>
        <v/>
      </c>
      <c r="AS188" t="str">
        <f>IFERROR(ROUND(S188*(R188/$AX188)/VLOOKUP(Q188,职业!$A$3:$E$16,4,FALSE),0),"")</f>
        <v/>
      </c>
      <c r="AT188" t="str">
        <f>IFERROR(ROUND(X188*(U188/$AY188)/VLOOKUP(T188,商品!$A$4:$D$67,4,FALSE),0),"")</f>
        <v/>
      </c>
      <c r="AU188" t="str">
        <f>IFERROR(ROUND(X188*(W188/$AY188)/VLOOKUP(V188,商品!$A$4:$D$67,4,FALSE),0),"")</f>
        <v/>
      </c>
      <c r="AW188">
        <f t="shared" si="48"/>
        <v>0</v>
      </c>
      <c r="AX188">
        <f t="shared" si="49"/>
        <v>0</v>
      </c>
      <c r="AY188">
        <f t="shared" si="50"/>
        <v>0</v>
      </c>
    </row>
    <row r="189" customHeight="1" spans="1:51">
      <c r="A189" s="18" t="s">
        <v>321</v>
      </c>
      <c r="C189" s="18">
        <v>2</v>
      </c>
      <c r="D189" s="1" t="s">
        <v>291</v>
      </c>
      <c r="E189" s="1" t="s">
        <v>225</v>
      </c>
      <c r="L189" s="18">
        <f>IFERROR(VLOOKUP($D189&amp;$C189,生产方式定位!$A$2:$E$38,2,FALSE)+VLOOKUP($E189&amp;$C189,生产方式定位!$F$3:$J$38,2,FALSE),0)</f>
        <v>0</v>
      </c>
      <c r="S189" s="18">
        <f>IFERROR(VLOOKUP($D189&amp;$C189,生产方式定位!$A$2:$E$38,3,FALSE)+VLOOKUP($E189&amp;$C189,生产方式定位!$F$3:$J$38,3,FALSE),0)</f>
        <v>100</v>
      </c>
      <c r="X189" s="18">
        <f>IFERROR(VLOOKUP($D189&amp;$C189,生产方式定位!$A$2:$E$38,5,FALSE)+VLOOKUP($E189&amp;$C189,生产方式定位!$F$3:$J$38,5,FALSE),"错误")</f>
        <v>100</v>
      </c>
      <c r="Y189" s="27" t="str">
        <f t="shared" si="34"/>
        <v/>
      </c>
      <c r="Z189" s="50" t="str">
        <f t="shared" si="37"/>
        <v/>
      </c>
      <c r="AA189" s="50" t="str">
        <f t="shared" si="35"/>
        <v/>
      </c>
      <c r="AB189" s="28" t="str">
        <f t="shared" si="38"/>
        <v/>
      </c>
      <c r="AC189" s="1" t="str">
        <f t="shared" si="39"/>
        <v/>
      </c>
      <c r="AD189" s="52">
        <f t="shared" si="36"/>
        <v>2</v>
      </c>
      <c r="AE189" t="str">
        <f t="shared" si="40"/>
        <v/>
      </c>
      <c r="AF189" t="str">
        <f t="shared" si="41"/>
        <v/>
      </c>
      <c r="AG189" t="str">
        <f t="shared" si="42"/>
        <v/>
      </c>
      <c r="AH189" t="str">
        <f t="shared" si="43"/>
        <v/>
      </c>
      <c r="AI189" t="str">
        <f t="shared" si="44"/>
        <v/>
      </c>
      <c r="AJ189" t="str">
        <f t="shared" si="45"/>
        <v/>
      </c>
      <c r="AK189" t="str">
        <f t="shared" si="46"/>
        <v/>
      </c>
      <c r="AL189" t="str">
        <f t="shared" si="47"/>
        <v/>
      </c>
      <c r="AN189" t="str">
        <f>IFERROR(ROUND(L189*(G189/$AW189)/VLOOKUP(F189,商品!$A$4:$D$67,4,FALSE),0),"")</f>
        <v/>
      </c>
      <c r="AO189" t="str">
        <f>IFERROR(ROUND(L189*(I189/$AW189)/VLOOKUP(H189,商品!$A$4:$D$67,4,FALSE),0),"")</f>
        <v/>
      </c>
      <c r="AP189" t="str">
        <f>IFERROR(ROUND(L189*(K189/$AW189)/VLOOKUP(J189,商品!$A$4:$D$67,4,FALSE),0),"")</f>
        <v/>
      </c>
      <c r="AQ189" t="str">
        <f>IFERROR(ROUND(S189*(N189/$AX189)/VLOOKUP(M189,职业!$A$3:$E$16,4,FALSE),0),"")</f>
        <v/>
      </c>
      <c r="AR189" t="str">
        <f>IFERROR(ROUND(S189*(P189/$AX189)/VLOOKUP(O189,职业!$A$3:$E$16,4,FALSE),0),"")</f>
        <v/>
      </c>
      <c r="AS189" t="str">
        <f>IFERROR(ROUND(S189*(R189/$AX189)/VLOOKUP(Q189,职业!$A$3:$E$16,4,FALSE),0),"")</f>
        <v/>
      </c>
      <c r="AT189" t="str">
        <f>IFERROR(ROUND(X189*(U189/$AY189)/VLOOKUP(T189,商品!$A$4:$D$67,4,FALSE),0),"")</f>
        <v/>
      </c>
      <c r="AU189" t="str">
        <f>IFERROR(ROUND(X189*(W189/$AY189)/VLOOKUP(V189,商品!$A$4:$D$67,4,FALSE),0),"")</f>
        <v/>
      </c>
      <c r="AW189">
        <f t="shared" si="48"/>
        <v>0</v>
      </c>
      <c r="AX189">
        <f t="shared" si="49"/>
        <v>0</v>
      </c>
      <c r="AY189">
        <f t="shared" si="50"/>
        <v>0</v>
      </c>
    </row>
    <row r="190" customHeight="1" spans="1:51">
      <c r="A190" s="18" t="s">
        <v>321</v>
      </c>
      <c r="C190" s="18">
        <v>3</v>
      </c>
      <c r="D190" s="1" t="s">
        <v>291</v>
      </c>
      <c r="E190" s="1" t="s">
        <v>225</v>
      </c>
      <c r="L190" s="18">
        <f>IFERROR(VLOOKUP($D190&amp;$C190,生产方式定位!$A$2:$E$38,2,FALSE)+VLOOKUP($E190&amp;$C190,生产方式定位!$F$3:$J$38,2,FALSE),0)</f>
        <v>0</v>
      </c>
      <c r="S190" s="18">
        <f>IFERROR(VLOOKUP($D190&amp;$C190,生产方式定位!$A$2:$E$38,3,FALSE)+VLOOKUP($E190&amp;$C190,生产方式定位!$F$3:$J$38,3,FALSE),0)</f>
        <v>100</v>
      </c>
      <c r="X190" s="18">
        <f>IFERROR(VLOOKUP($D190&amp;$C190,生产方式定位!$A$2:$E$38,5,FALSE)+VLOOKUP($E190&amp;$C190,生产方式定位!$F$3:$J$38,5,FALSE),"错误")</f>
        <v>100</v>
      </c>
      <c r="Y190" s="27" t="str">
        <f t="shared" si="34"/>
        <v/>
      </c>
      <c r="Z190" s="50" t="str">
        <f t="shared" si="37"/>
        <v/>
      </c>
      <c r="AA190" s="50" t="str">
        <f t="shared" si="35"/>
        <v/>
      </c>
      <c r="AB190" s="28" t="str">
        <f t="shared" si="38"/>
        <v/>
      </c>
      <c r="AC190" s="1" t="str">
        <f t="shared" si="39"/>
        <v/>
      </c>
      <c r="AD190" s="52">
        <f t="shared" si="36"/>
        <v>3</v>
      </c>
      <c r="AE190" t="str">
        <f t="shared" si="40"/>
        <v/>
      </c>
      <c r="AF190" t="str">
        <f t="shared" si="41"/>
        <v/>
      </c>
      <c r="AG190" t="str">
        <f t="shared" si="42"/>
        <v/>
      </c>
      <c r="AH190" t="str">
        <f t="shared" si="43"/>
        <v/>
      </c>
      <c r="AI190" t="str">
        <f t="shared" si="44"/>
        <v/>
      </c>
      <c r="AJ190" t="str">
        <f t="shared" si="45"/>
        <v/>
      </c>
      <c r="AK190" t="str">
        <f t="shared" si="46"/>
        <v/>
      </c>
      <c r="AL190" t="str">
        <f t="shared" si="47"/>
        <v/>
      </c>
      <c r="AN190" t="str">
        <f>IFERROR(ROUND(L190*(G190/$AW190)/VLOOKUP(F190,商品!$A$4:$D$67,4,FALSE),0),"")</f>
        <v/>
      </c>
      <c r="AO190" t="str">
        <f>IFERROR(ROUND(L190*(I190/$AW190)/VLOOKUP(H190,商品!$A$4:$D$67,4,FALSE),0),"")</f>
        <v/>
      </c>
      <c r="AP190" t="str">
        <f>IFERROR(ROUND(L190*(K190/$AW190)/VLOOKUP(J190,商品!$A$4:$D$67,4,FALSE),0),"")</f>
        <v/>
      </c>
      <c r="AQ190" t="str">
        <f>IFERROR(ROUND(S190*(N190/$AX190)/VLOOKUP(M190,职业!$A$3:$E$16,4,FALSE),0),"")</f>
        <v/>
      </c>
      <c r="AR190" t="str">
        <f>IFERROR(ROUND(S190*(P190/$AX190)/VLOOKUP(O190,职业!$A$3:$E$16,4,FALSE),0),"")</f>
        <v/>
      </c>
      <c r="AS190" t="str">
        <f>IFERROR(ROUND(S190*(R190/$AX190)/VLOOKUP(Q190,职业!$A$3:$E$16,4,FALSE),0),"")</f>
        <v/>
      </c>
      <c r="AT190" t="str">
        <f>IFERROR(ROUND(X190*(U190/$AY190)/VLOOKUP(T190,商品!$A$4:$D$67,4,FALSE),0),"")</f>
        <v/>
      </c>
      <c r="AU190" t="str">
        <f>IFERROR(ROUND(X190*(W190/$AY190)/VLOOKUP(V190,商品!$A$4:$D$67,4,FALSE),0),"")</f>
        <v/>
      </c>
      <c r="AW190">
        <f t="shared" si="48"/>
        <v>0</v>
      </c>
      <c r="AX190">
        <f t="shared" si="49"/>
        <v>0</v>
      </c>
      <c r="AY190">
        <f t="shared" si="50"/>
        <v>0</v>
      </c>
    </row>
    <row r="191" customHeight="1" spans="1:51">
      <c r="A191" s="18" t="s">
        <v>321</v>
      </c>
      <c r="C191" s="18">
        <v>4</v>
      </c>
      <c r="D191" s="1" t="s">
        <v>291</v>
      </c>
      <c r="E191" s="1" t="s">
        <v>225</v>
      </c>
      <c r="L191" s="18">
        <f>IFERROR(VLOOKUP($D191&amp;$C191,生产方式定位!$A$2:$E$38,2,FALSE)+VLOOKUP($E191&amp;$C191,生产方式定位!$F$3:$J$38,2,FALSE),0)</f>
        <v>0</v>
      </c>
      <c r="S191" s="18">
        <f>IFERROR(VLOOKUP($D191&amp;$C191,生产方式定位!$A$2:$E$38,3,FALSE)+VLOOKUP($E191&amp;$C191,生产方式定位!$F$3:$J$38,3,FALSE),0)</f>
        <v>100</v>
      </c>
      <c r="X191" s="18">
        <f>IFERROR(VLOOKUP($D191&amp;$C191,生产方式定位!$A$2:$E$38,5,FALSE)+VLOOKUP($E191&amp;$C191,生产方式定位!$F$3:$J$38,5,FALSE),"错误")</f>
        <v>100</v>
      </c>
      <c r="Y191" s="27" t="str">
        <f t="shared" si="34"/>
        <v/>
      </c>
      <c r="Z191" s="50" t="str">
        <f t="shared" si="37"/>
        <v/>
      </c>
      <c r="AA191" s="50" t="str">
        <f t="shared" si="35"/>
        <v/>
      </c>
      <c r="AB191" s="28" t="str">
        <f t="shared" si="38"/>
        <v/>
      </c>
      <c r="AC191" s="1" t="str">
        <f t="shared" si="39"/>
        <v/>
      </c>
      <c r="AD191" s="52">
        <f t="shared" si="36"/>
        <v>4</v>
      </c>
      <c r="AE191" t="str">
        <f t="shared" si="40"/>
        <v/>
      </c>
      <c r="AF191" t="str">
        <f t="shared" si="41"/>
        <v/>
      </c>
      <c r="AG191" t="str">
        <f t="shared" si="42"/>
        <v/>
      </c>
      <c r="AH191" t="str">
        <f t="shared" si="43"/>
        <v/>
      </c>
      <c r="AI191" t="str">
        <f t="shared" si="44"/>
        <v/>
      </c>
      <c r="AJ191" t="str">
        <f t="shared" si="45"/>
        <v/>
      </c>
      <c r="AK191" t="str">
        <f t="shared" si="46"/>
        <v/>
      </c>
      <c r="AL191" t="str">
        <f t="shared" si="47"/>
        <v/>
      </c>
      <c r="AN191" t="str">
        <f>IFERROR(ROUND(L191*(G191/$AW191)/VLOOKUP(F191,商品!$A$4:$D$67,4,FALSE),0),"")</f>
        <v/>
      </c>
      <c r="AO191" t="str">
        <f>IFERROR(ROUND(L191*(I191/$AW191)/VLOOKUP(H191,商品!$A$4:$D$67,4,FALSE),0),"")</f>
        <v/>
      </c>
      <c r="AP191" t="str">
        <f>IFERROR(ROUND(L191*(K191/$AW191)/VLOOKUP(J191,商品!$A$4:$D$67,4,FALSE),0),"")</f>
        <v/>
      </c>
      <c r="AQ191" t="str">
        <f>IFERROR(ROUND(S191*(N191/$AX191)/VLOOKUP(M191,职业!$A$3:$E$16,4,FALSE),0),"")</f>
        <v/>
      </c>
      <c r="AR191" t="str">
        <f>IFERROR(ROUND(S191*(P191/$AX191)/VLOOKUP(O191,职业!$A$3:$E$16,4,FALSE),0),"")</f>
        <v/>
      </c>
      <c r="AS191" t="str">
        <f>IFERROR(ROUND(S191*(R191/$AX191)/VLOOKUP(Q191,职业!$A$3:$E$16,4,FALSE),0),"")</f>
        <v/>
      </c>
      <c r="AT191" t="str">
        <f>IFERROR(ROUND(X191*(U191/$AY191)/VLOOKUP(T191,商品!$A$4:$D$67,4,FALSE),0),"")</f>
        <v/>
      </c>
      <c r="AU191" t="str">
        <f>IFERROR(ROUND(X191*(W191/$AY191)/VLOOKUP(V191,商品!$A$4:$D$67,4,FALSE),0),"")</f>
        <v/>
      </c>
      <c r="AW191">
        <f t="shared" si="48"/>
        <v>0</v>
      </c>
      <c r="AX191">
        <f t="shared" si="49"/>
        <v>0</v>
      </c>
      <c r="AY191">
        <f t="shared" si="50"/>
        <v>0</v>
      </c>
    </row>
    <row r="192" customHeight="1" spans="1:51">
      <c r="A192" s="18" t="s">
        <v>321</v>
      </c>
      <c r="C192" s="18">
        <v>5</v>
      </c>
      <c r="D192" s="1" t="s">
        <v>291</v>
      </c>
      <c r="E192" s="1" t="s">
        <v>225</v>
      </c>
      <c r="L192" s="18">
        <f>IFERROR(VLOOKUP($D192&amp;$C192,生产方式定位!$A$2:$E$38,2,FALSE)+VLOOKUP($E192&amp;$C192,生产方式定位!$F$3:$J$38,2,FALSE),0)</f>
        <v>0</v>
      </c>
      <c r="S192" s="18">
        <f>IFERROR(VLOOKUP($D192&amp;$C192,生产方式定位!$A$2:$E$38,3,FALSE)+VLOOKUP($E192&amp;$C192,生产方式定位!$F$3:$J$38,3,FALSE),0)</f>
        <v>100</v>
      </c>
      <c r="X192" s="18">
        <f>IFERROR(VLOOKUP($D192&amp;$C192,生产方式定位!$A$2:$E$38,5,FALSE)+VLOOKUP($E192&amp;$C192,生产方式定位!$F$3:$J$38,5,FALSE),"错误")</f>
        <v>100</v>
      </c>
      <c r="Y192" s="27" t="str">
        <f t="shared" si="34"/>
        <v/>
      </c>
      <c r="Z192" s="50" t="str">
        <f t="shared" si="37"/>
        <v/>
      </c>
      <c r="AA192" s="50" t="str">
        <f t="shared" si="35"/>
        <v/>
      </c>
      <c r="AB192" s="28" t="str">
        <f t="shared" si="38"/>
        <v/>
      </c>
      <c r="AC192" s="1" t="str">
        <f t="shared" si="39"/>
        <v/>
      </c>
      <c r="AD192" s="52">
        <f t="shared" si="36"/>
        <v>5</v>
      </c>
      <c r="AE192" t="str">
        <f t="shared" si="40"/>
        <v/>
      </c>
      <c r="AF192" t="str">
        <f t="shared" si="41"/>
        <v/>
      </c>
      <c r="AG192" t="str">
        <f t="shared" si="42"/>
        <v/>
      </c>
      <c r="AH192" t="str">
        <f t="shared" si="43"/>
        <v/>
      </c>
      <c r="AI192" t="str">
        <f t="shared" si="44"/>
        <v/>
      </c>
      <c r="AJ192" t="str">
        <f t="shared" si="45"/>
        <v/>
      </c>
      <c r="AK192" t="str">
        <f t="shared" si="46"/>
        <v/>
      </c>
      <c r="AL192" t="str">
        <f t="shared" si="47"/>
        <v/>
      </c>
      <c r="AN192" t="str">
        <f>IFERROR(ROUND(L192*(G192/$AW192)/VLOOKUP(F192,商品!$A$4:$D$67,4,FALSE),0),"")</f>
        <v/>
      </c>
      <c r="AO192" t="str">
        <f>IFERROR(ROUND(L192*(I192/$AW192)/VLOOKUP(H192,商品!$A$4:$D$67,4,FALSE),0),"")</f>
        <v/>
      </c>
      <c r="AP192" t="str">
        <f>IFERROR(ROUND(L192*(K192/$AW192)/VLOOKUP(J192,商品!$A$4:$D$67,4,FALSE),0),"")</f>
        <v/>
      </c>
      <c r="AQ192" t="str">
        <f>IFERROR(ROUND(S192*(N192/$AX192)/VLOOKUP(M192,职业!$A$3:$E$16,4,FALSE),0),"")</f>
        <v/>
      </c>
      <c r="AR192" t="str">
        <f>IFERROR(ROUND(S192*(P192/$AX192)/VLOOKUP(O192,职业!$A$3:$E$16,4,FALSE),0),"")</f>
        <v/>
      </c>
      <c r="AS192" t="str">
        <f>IFERROR(ROUND(S192*(R192/$AX192)/VLOOKUP(Q192,职业!$A$3:$E$16,4,FALSE),0),"")</f>
        <v/>
      </c>
      <c r="AT192" t="str">
        <f>IFERROR(ROUND(X192*(U192/$AY192)/VLOOKUP(T192,商品!$A$4:$D$67,4,FALSE),0),"")</f>
        <v/>
      </c>
      <c r="AU192" t="str">
        <f>IFERROR(ROUND(X192*(W192/$AY192)/VLOOKUP(V192,商品!$A$4:$D$67,4,FALSE),0),"")</f>
        <v/>
      </c>
      <c r="AW192">
        <f t="shared" si="48"/>
        <v>0</v>
      </c>
      <c r="AX192">
        <f t="shared" si="49"/>
        <v>0</v>
      </c>
      <c r="AY192">
        <f t="shared" si="50"/>
        <v>0</v>
      </c>
    </row>
    <row r="193" customHeight="1" spans="1:51">
      <c r="A193" s="18" t="s">
        <v>321</v>
      </c>
      <c r="C193" s="18">
        <v>6</v>
      </c>
      <c r="D193" s="1" t="s">
        <v>291</v>
      </c>
      <c r="E193" s="1" t="s">
        <v>225</v>
      </c>
      <c r="L193" s="18">
        <f>IFERROR(VLOOKUP($D193&amp;$C193,生产方式定位!$A$2:$E$38,2,FALSE)+VLOOKUP($E193&amp;$C193,生产方式定位!$F$3:$J$38,2,FALSE),0)</f>
        <v>0</v>
      </c>
      <c r="S193" s="18">
        <f>IFERROR(VLOOKUP($D193&amp;$C193,生产方式定位!$A$2:$E$38,3,FALSE)+VLOOKUP($E193&amp;$C193,生产方式定位!$F$3:$J$38,3,FALSE),0)</f>
        <v>100</v>
      </c>
      <c r="X193" s="18">
        <f>IFERROR(VLOOKUP($D193&amp;$C193,生产方式定位!$A$2:$E$38,5,FALSE)+VLOOKUP($E193&amp;$C193,生产方式定位!$F$3:$J$38,5,FALSE),"错误")</f>
        <v>100</v>
      </c>
      <c r="Y193" s="27" t="str">
        <f t="shared" si="34"/>
        <v/>
      </c>
      <c r="Z193" s="50" t="str">
        <f t="shared" si="37"/>
        <v/>
      </c>
      <c r="AA193" s="50" t="str">
        <f t="shared" si="35"/>
        <v/>
      </c>
      <c r="AB193" s="28" t="str">
        <f t="shared" si="38"/>
        <v/>
      </c>
      <c r="AC193" s="1" t="str">
        <f t="shared" si="39"/>
        <v/>
      </c>
      <c r="AD193" s="52">
        <f t="shared" si="36"/>
        <v>6</v>
      </c>
      <c r="AE193" t="str">
        <f t="shared" si="40"/>
        <v/>
      </c>
      <c r="AF193" t="str">
        <f t="shared" si="41"/>
        <v/>
      </c>
      <c r="AG193" t="str">
        <f t="shared" si="42"/>
        <v/>
      </c>
      <c r="AH193" t="str">
        <f t="shared" si="43"/>
        <v/>
      </c>
      <c r="AI193" t="str">
        <f t="shared" si="44"/>
        <v/>
      </c>
      <c r="AJ193" t="str">
        <f t="shared" si="45"/>
        <v/>
      </c>
      <c r="AK193" t="str">
        <f t="shared" si="46"/>
        <v/>
      </c>
      <c r="AL193" t="str">
        <f t="shared" si="47"/>
        <v/>
      </c>
      <c r="AN193" t="str">
        <f>IFERROR(ROUND(L193*(G193/$AW193)/VLOOKUP(F193,商品!$A$4:$D$67,4,FALSE),0),"")</f>
        <v/>
      </c>
      <c r="AO193" t="str">
        <f>IFERROR(ROUND(L193*(I193/$AW193)/VLOOKUP(H193,商品!$A$4:$D$67,4,FALSE),0),"")</f>
        <v/>
      </c>
      <c r="AP193" t="str">
        <f>IFERROR(ROUND(L193*(K193/$AW193)/VLOOKUP(J193,商品!$A$4:$D$67,4,FALSE),0),"")</f>
        <v/>
      </c>
      <c r="AQ193" t="str">
        <f>IFERROR(ROUND(S193*(N193/$AX193)/VLOOKUP(M193,职业!$A$3:$E$16,4,FALSE),0),"")</f>
        <v/>
      </c>
      <c r="AR193" t="str">
        <f>IFERROR(ROUND(S193*(P193/$AX193)/VLOOKUP(O193,职业!$A$3:$E$16,4,FALSE),0),"")</f>
        <v/>
      </c>
      <c r="AS193" t="str">
        <f>IFERROR(ROUND(S193*(R193/$AX193)/VLOOKUP(Q193,职业!$A$3:$E$16,4,FALSE),0),"")</f>
        <v/>
      </c>
      <c r="AT193" t="str">
        <f>IFERROR(ROUND(X193*(U193/$AY193)/VLOOKUP(T193,商品!$A$4:$D$67,4,FALSE),0),"")</f>
        <v/>
      </c>
      <c r="AU193" t="str">
        <f>IFERROR(ROUND(X193*(W193/$AY193)/VLOOKUP(V193,商品!$A$4:$D$67,4,FALSE),0),"")</f>
        <v/>
      </c>
      <c r="AW193">
        <f t="shared" si="48"/>
        <v>0</v>
      </c>
      <c r="AX193">
        <f t="shared" si="49"/>
        <v>0</v>
      </c>
      <c r="AY193">
        <f t="shared" si="50"/>
        <v>0</v>
      </c>
    </row>
    <row r="194" customHeight="1" spans="1:51">
      <c r="A194" s="18" t="s">
        <v>321</v>
      </c>
      <c r="C194" s="18">
        <v>7</v>
      </c>
      <c r="D194" s="1" t="s">
        <v>291</v>
      </c>
      <c r="E194" s="1" t="s">
        <v>225</v>
      </c>
      <c r="L194" s="18">
        <f>IFERROR(VLOOKUP($D194&amp;$C194,生产方式定位!$A$2:$E$38,2,FALSE)+VLOOKUP($E194&amp;$C194,生产方式定位!$F$3:$J$38,2,FALSE),0)</f>
        <v>0</v>
      </c>
      <c r="S194" s="18">
        <f>IFERROR(VLOOKUP($D194&amp;$C194,生产方式定位!$A$2:$E$38,3,FALSE)+VLOOKUP($E194&amp;$C194,生产方式定位!$F$3:$J$38,3,FALSE),0)</f>
        <v>100</v>
      </c>
      <c r="X194" s="18">
        <f>IFERROR(VLOOKUP($D194&amp;$C194,生产方式定位!$A$2:$E$38,5,FALSE)+VLOOKUP($E194&amp;$C194,生产方式定位!$F$3:$J$38,5,FALSE),"错误")</f>
        <v>100</v>
      </c>
      <c r="Y194" s="27" t="str">
        <f t="shared" si="34"/>
        <v/>
      </c>
      <c r="Z194" s="50" t="str">
        <f t="shared" si="37"/>
        <v/>
      </c>
      <c r="AA194" s="50" t="str">
        <f t="shared" si="35"/>
        <v/>
      </c>
      <c r="AB194" s="28" t="str">
        <f t="shared" si="38"/>
        <v/>
      </c>
      <c r="AC194" s="1" t="str">
        <f t="shared" si="39"/>
        <v/>
      </c>
      <c r="AD194" s="52">
        <f t="shared" si="36"/>
        <v>7</v>
      </c>
      <c r="AE194" t="str">
        <f t="shared" si="40"/>
        <v/>
      </c>
      <c r="AF194" t="str">
        <f t="shared" si="41"/>
        <v/>
      </c>
      <c r="AG194" t="str">
        <f t="shared" si="42"/>
        <v/>
      </c>
      <c r="AH194" t="str">
        <f t="shared" si="43"/>
        <v/>
      </c>
      <c r="AI194" t="str">
        <f t="shared" si="44"/>
        <v/>
      </c>
      <c r="AJ194" t="str">
        <f t="shared" si="45"/>
        <v/>
      </c>
      <c r="AK194" t="str">
        <f t="shared" si="46"/>
        <v/>
      </c>
      <c r="AL194" t="str">
        <f t="shared" si="47"/>
        <v/>
      </c>
      <c r="AN194" t="str">
        <f>IFERROR(ROUND(L194*(G194/$AW194)/VLOOKUP(F194,商品!$A$4:$D$67,4,FALSE),0),"")</f>
        <v/>
      </c>
      <c r="AO194" t="str">
        <f>IFERROR(ROUND(L194*(I194/$AW194)/VLOOKUP(H194,商品!$A$4:$D$67,4,FALSE),0),"")</f>
        <v/>
      </c>
      <c r="AP194" t="str">
        <f>IFERROR(ROUND(L194*(K194/$AW194)/VLOOKUP(J194,商品!$A$4:$D$67,4,FALSE),0),"")</f>
        <v/>
      </c>
      <c r="AQ194" t="str">
        <f>IFERROR(ROUND(S194*(N194/$AX194)/VLOOKUP(M194,职业!$A$3:$E$16,4,FALSE),0),"")</f>
        <v/>
      </c>
      <c r="AR194" t="str">
        <f>IFERROR(ROUND(S194*(P194/$AX194)/VLOOKUP(O194,职业!$A$3:$E$16,4,FALSE),0),"")</f>
        <v/>
      </c>
      <c r="AS194" t="str">
        <f>IFERROR(ROUND(S194*(R194/$AX194)/VLOOKUP(Q194,职业!$A$3:$E$16,4,FALSE),0),"")</f>
        <v/>
      </c>
      <c r="AT194" t="str">
        <f>IFERROR(ROUND(X194*(U194/$AY194)/VLOOKUP(T194,商品!$A$4:$D$67,4,FALSE),0),"")</f>
        <v/>
      </c>
      <c r="AU194" t="str">
        <f>IFERROR(ROUND(X194*(W194/$AY194)/VLOOKUP(V194,商品!$A$4:$D$67,4,FALSE),0),"")</f>
        <v/>
      </c>
      <c r="AW194">
        <f t="shared" si="48"/>
        <v>0</v>
      </c>
      <c r="AX194">
        <f t="shared" si="49"/>
        <v>0</v>
      </c>
      <c r="AY194">
        <f t="shared" si="50"/>
        <v>0</v>
      </c>
    </row>
    <row r="195" customHeight="1" spans="1:51">
      <c r="A195" s="18" t="s">
        <v>321</v>
      </c>
      <c r="C195" s="18">
        <v>8</v>
      </c>
      <c r="D195" s="1" t="s">
        <v>291</v>
      </c>
      <c r="E195" s="1" t="s">
        <v>225</v>
      </c>
      <c r="L195" s="18">
        <f>IFERROR(VLOOKUP($D195&amp;$C195,生产方式定位!$A$2:$E$38,2,FALSE)+VLOOKUP($E195&amp;$C195,生产方式定位!$F$3:$J$38,2,FALSE),0)</f>
        <v>0</v>
      </c>
      <c r="S195" s="18">
        <f>IFERROR(VLOOKUP($D195&amp;$C195,生产方式定位!$A$2:$E$38,3,FALSE)+VLOOKUP($E195&amp;$C195,生产方式定位!$F$3:$J$38,3,FALSE),0)</f>
        <v>100</v>
      </c>
      <c r="X195" s="18">
        <f>IFERROR(VLOOKUP($D195&amp;$C195,生产方式定位!$A$2:$E$38,5,FALSE)+VLOOKUP($E195&amp;$C195,生产方式定位!$F$3:$J$38,5,FALSE),"错误")</f>
        <v>100</v>
      </c>
      <c r="Y195" s="27" t="str">
        <f t="shared" si="34"/>
        <v/>
      </c>
      <c r="Z195" s="50" t="str">
        <f t="shared" si="37"/>
        <v/>
      </c>
      <c r="AA195" s="50" t="str">
        <f t="shared" si="35"/>
        <v/>
      </c>
      <c r="AB195" s="28" t="str">
        <f t="shared" si="38"/>
        <v/>
      </c>
      <c r="AC195" s="1" t="str">
        <f t="shared" si="39"/>
        <v/>
      </c>
      <c r="AD195" s="52">
        <f t="shared" si="36"/>
        <v>8</v>
      </c>
      <c r="AE195" t="str">
        <f t="shared" si="40"/>
        <v/>
      </c>
      <c r="AF195" t="str">
        <f t="shared" si="41"/>
        <v/>
      </c>
      <c r="AG195" t="str">
        <f t="shared" si="42"/>
        <v/>
      </c>
      <c r="AH195" t="str">
        <f t="shared" si="43"/>
        <v/>
      </c>
      <c r="AI195" t="str">
        <f t="shared" si="44"/>
        <v/>
      </c>
      <c r="AJ195" t="str">
        <f t="shared" si="45"/>
        <v/>
      </c>
      <c r="AK195" t="str">
        <f t="shared" si="46"/>
        <v/>
      </c>
      <c r="AL195" t="str">
        <f t="shared" si="47"/>
        <v/>
      </c>
      <c r="AN195" t="str">
        <f>IFERROR(ROUND(L195*(G195/$AW195)/VLOOKUP(F195,商品!$A$4:$D$67,4,FALSE),0),"")</f>
        <v/>
      </c>
      <c r="AO195" t="str">
        <f>IFERROR(ROUND(L195*(I195/$AW195)/VLOOKUP(H195,商品!$A$4:$D$67,4,FALSE),0),"")</f>
        <v/>
      </c>
      <c r="AP195" t="str">
        <f>IFERROR(ROUND(L195*(K195/$AW195)/VLOOKUP(J195,商品!$A$4:$D$67,4,FALSE),0),"")</f>
        <v/>
      </c>
      <c r="AQ195" t="str">
        <f>IFERROR(ROUND(S195*(N195/$AX195)/VLOOKUP(M195,职业!$A$3:$E$16,4,FALSE),0),"")</f>
        <v/>
      </c>
      <c r="AR195" t="str">
        <f>IFERROR(ROUND(S195*(P195/$AX195)/VLOOKUP(O195,职业!$A$3:$E$16,4,FALSE),0),"")</f>
        <v/>
      </c>
      <c r="AS195" t="str">
        <f>IFERROR(ROUND(S195*(R195/$AX195)/VLOOKUP(Q195,职业!$A$3:$E$16,4,FALSE),0),"")</f>
        <v/>
      </c>
      <c r="AT195" t="str">
        <f>IFERROR(ROUND(X195*(U195/$AY195)/VLOOKUP(T195,商品!$A$4:$D$67,4,FALSE),0),"")</f>
        <v/>
      </c>
      <c r="AU195" t="str">
        <f>IFERROR(ROUND(X195*(W195/$AY195)/VLOOKUP(V195,商品!$A$4:$D$67,4,FALSE),0),"")</f>
        <v/>
      </c>
      <c r="AW195">
        <f t="shared" si="48"/>
        <v>0</v>
      </c>
      <c r="AX195">
        <f t="shared" si="49"/>
        <v>0</v>
      </c>
      <c r="AY195">
        <f t="shared" si="50"/>
        <v>0</v>
      </c>
    </row>
    <row r="196" customHeight="1" spans="1:51">
      <c r="A196" s="5" t="s">
        <v>323</v>
      </c>
      <c r="C196" s="5">
        <v>1</v>
      </c>
      <c r="D196" s="1" t="s">
        <v>220</v>
      </c>
      <c r="E196" s="1" t="s">
        <v>222</v>
      </c>
      <c r="L196" s="5">
        <f>IFERROR(VLOOKUP($D196&amp;$C196,生产方式定位!$A$2:$E$38,2,FALSE)+VLOOKUP($E196&amp;$C196,生产方式定位!$F$3:$J$38,2,FALSE),0)</f>
        <v>500</v>
      </c>
      <c r="S196" s="5">
        <f>IFERROR(VLOOKUP($D196&amp;$C196,生产方式定位!$A$2:$E$38,3,FALSE)+VLOOKUP($E196&amp;$C196,生产方式定位!$F$3:$J$38,3,FALSE),0)</f>
        <v>150</v>
      </c>
      <c r="X196" s="5">
        <f>IFERROR(VLOOKUP($D196&amp;$C196,生产方式定位!$A$2:$E$38,5,FALSE)+VLOOKUP($E196&amp;$C196,生产方式定位!$F$3:$J$38,5,FALSE),"错误")</f>
        <v>715</v>
      </c>
      <c r="Y196" s="27" t="str">
        <f t="shared" si="34"/>
        <v/>
      </c>
      <c r="Z196" s="50" t="str">
        <f t="shared" si="37"/>
        <v/>
      </c>
      <c r="AA196" s="50" t="str">
        <f t="shared" si="35"/>
        <v/>
      </c>
      <c r="AB196" s="28" t="str">
        <f t="shared" si="38"/>
        <v>43%</v>
      </c>
      <c r="AC196" s="1">
        <f t="shared" si="39"/>
        <v>65</v>
      </c>
      <c r="AD196" s="51">
        <f t="shared" si="36"/>
        <v>1</v>
      </c>
      <c r="AE196" t="str">
        <f t="shared" si="40"/>
        <v/>
      </c>
      <c r="AF196" t="str">
        <f t="shared" si="41"/>
        <v/>
      </c>
      <c r="AG196" t="str">
        <f t="shared" si="42"/>
        <v/>
      </c>
      <c r="AH196" t="str">
        <f t="shared" si="43"/>
        <v/>
      </c>
      <c r="AI196" t="str">
        <f t="shared" si="44"/>
        <v/>
      </c>
      <c r="AJ196" t="str">
        <f t="shared" si="45"/>
        <v/>
      </c>
      <c r="AK196" t="str">
        <f t="shared" si="46"/>
        <v/>
      </c>
      <c r="AL196" t="str">
        <f t="shared" si="47"/>
        <v/>
      </c>
      <c r="AN196" t="str">
        <f>IFERROR(ROUND(L196*(G196/$AW196)/VLOOKUP(F196,商品!$A$4:$D$67,4,FALSE),0),"")</f>
        <v/>
      </c>
      <c r="AO196" t="str">
        <f>IFERROR(ROUND(L196*(I196/$AW196)/VLOOKUP(H196,商品!$A$4:$D$67,4,FALSE),0),"")</f>
        <v/>
      </c>
      <c r="AP196" t="str">
        <f>IFERROR(ROUND(L196*(K196/$AW196)/VLOOKUP(J196,商品!$A$4:$D$67,4,FALSE),0),"")</f>
        <v/>
      </c>
      <c r="AQ196" t="str">
        <f>IFERROR(ROUND(S196*(N196/$AX196)/VLOOKUP(M196,职业!$A$3:$E$16,4,FALSE),0),"")</f>
        <v/>
      </c>
      <c r="AR196" t="str">
        <f>IFERROR(ROUND(S196*(P196/$AX196)/VLOOKUP(O196,职业!$A$3:$E$16,4,FALSE),0),"")</f>
        <v/>
      </c>
      <c r="AS196" t="str">
        <f>IFERROR(ROUND(S196*(R196/$AX196)/VLOOKUP(Q196,职业!$A$3:$E$16,4,FALSE),0),"")</f>
        <v/>
      </c>
      <c r="AT196" t="str">
        <f>IFERROR(ROUND(X196*(U196/$AY196)/VLOOKUP(T196,商品!$A$4:$D$67,4,FALSE),0),"")</f>
        <v/>
      </c>
      <c r="AU196" t="str">
        <f>IFERROR(ROUND(X196*(W196/$AY196)/VLOOKUP(V196,商品!$A$4:$D$67,4,FALSE),0),"")</f>
        <v/>
      </c>
      <c r="AW196">
        <f t="shared" si="48"/>
        <v>0</v>
      </c>
      <c r="AX196">
        <f t="shared" si="49"/>
        <v>0</v>
      </c>
      <c r="AY196">
        <f t="shared" si="50"/>
        <v>0</v>
      </c>
    </row>
    <row r="197" customHeight="1" spans="1:51">
      <c r="A197" s="5" t="s">
        <v>323</v>
      </c>
      <c r="C197" s="5">
        <v>2</v>
      </c>
      <c r="D197" s="1" t="s">
        <v>220</v>
      </c>
      <c r="E197" s="1" t="s">
        <v>222</v>
      </c>
      <c r="L197" s="5">
        <f>IFERROR(VLOOKUP($D197&amp;$C197,生产方式定位!$A$2:$E$38,2,FALSE)+VLOOKUP($E197&amp;$C197,生产方式定位!$F$3:$J$38,2,FALSE),0)</f>
        <v>1200</v>
      </c>
      <c r="S197" s="5">
        <f>IFERROR(VLOOKUP($D197&amp;$C197,生产方式定位!$A$2:$E$38,3,FALSE)+VLOOKUP($E197&amp;$C197,生产方式定位!$F$3:$J$38,3,FALSE),0)</f>
        <v>140</v>
      </c>
      <c r="X197" s="5">
        <f>IFERROR(VLOOKUP($D197&amp;$C197,生产方式定位!$A$2:$E$38,5,FALSE)+VLOOKUP($E197&amp;$C197,生产方式定位!$F$3:$J$38,5,FALSE),"错误")</f>
        <v>1390</v>
      </c>
      <c r="Y197" s="27" t="str">
        <f t="shared" ref="Y197:Y260" si="51">IF(AE197="","",AE197)&amp;IF(AF197="","",","&amp;AF197)&amp;IF(AG197="","",","&amp;AG197)</f>
        <v/>
      </c>
      <c r="Z197" s="50" t="str">
        <f t="shared" si="37"/>
        <v/>
      </c>
      <c r="AA197" s="50" t="str">
        <f t="shared" ref="AA197:AA260" si="52">IF(AK197="","",AK197)&amp;IF(AL197="","",","&amp;AL197)</f>
        <v/>
      </c>
      <c r="AB197" s="28" t="str">
        <f t="shared" si="38"/>
        <v>16%</v>
      </c>
      <c r="AC197" s="1">
        <f t="shared" si="39"/>
        <v>50</v>
      </c>
      <c r="AD197" s="51">
        <f t="shared" ref="AD197:AD260" si="53">C197</f>
        <v>2</v>
      </c>
      <c r="AE197" t="str">
        <f t="shared" si="40"/>
        <v/>
      </c>
      <c r="AF197" t="str">
        <f t="shared" si="41"/>
        <v/>
      </c>
      <c r="AG197" t="str">
        <f t="shared" si="42"/>
        <v/>
      </c>
      <c r="AH197" t="str">
        <f t="shared" si="43"/>
        <v/>
      </c>
      <c r="AI197" t="str">
        <f t="shared" si="44"/>
        <v/>
      </c>
      <c r="AJ197" t="str">
        <f t="shared" si="45"/>
        <v/>
      </c>
      <c r="AK197" t="str">
        <f t="shared" si="46"/>
        <v/>
      </c>
      <c r="AL197" t="str">
        <f t="shared" si="47"/>
        <v/>
      </c>
      <c r="AN197" t="str">
        <f>IFERROR(ROUND(L197*(G197/$AW197)/VLOOKUP(F197,商品!$A$4:$D$67,4,FALSE),0),"")</f>
        <v/>
      </c>
      <c r="AO197" t="str">
        <f>IFERROR(ROUND(L197*(I197/$AW197)/VLOOKUP(H197,商品!$A$4:$D$67,4,FALSE),0),"")</f>
        <v/>
      </c>
      <c r="AP197" t="str">
        <f>IFERROR(ROUND(L197*(K197/$AW197)/VLOOKUP(J197,商品!$A$4:$D$67,4,FALSE),0),"")</f>
        <v/>
      </c>
      <c r="AQ197" t="str">
        <f>IFERROR(ROUND(S197*(N197/$AX197)/VLOOKUP(M197,职业!$A$3:$E$16,4,FALSE),0),"")</f>
        <v/>
      </c>
      <c r="AR197" t="str">
        <f>IFERROR(ROUND(S197*(P197/$AX197)/VLOOKUP(O197,职业!$A$3:$E$16,4,FALSE),0),"")</f>
        <v/>
      </c>
      <c r="AS197" t="str">
        <f>IFERROR(ROUND(S197*(R197/$AX197)/VLOOKUP(Q197,职业!$A$3:$E$16,4,FALSE),0),"")</f>
        <v/>
      </c>
      <c r="AT197" t="str">
        <f>IFERROR(ROUND(X197*(U197/$AY197)/VLOOKUP(T197,商品!$A$4:$D$67,4,FALSE),0),"")</f>
        <v/>
      </c>
      <c r="AU197" t="str">
        <f>IFERROR(ROUND(X197*(W197/$AY197)/VLOOKUP(V197,商品!$A$4:$D$67,4,FALSE),0),"")</f>
        <v/>
      </c>
      <c r="AW197">
        <f t="shared" si="48"/>
        <v>0</v>
      </c>
      <c r="AX197">
        <f t="shared" si="49"/>
        <v>0</v>
      </c>
      <c r="AY197">
        <f t="shared" si="50"/>
        <v>0</v>
      </c>
    </row>
    <row r="198" customHeight="1" spans="1:51">
      <c r="A198" s="5" t="s">
        <v>323</v>
      </c>
      <c r="C198" s="5">
        <v>3</v>
      </c>
      <c r="D198" s="1" t="s">
        <v>220</v>
      </c>
      <c r="E198" s="1" t="s">
        <v>222</v>
      </c>
      <c r="L198" s="5">
        <f>IFERROR(VLOOKUP($D198&amp;$C198,生产方式定位!$A$2:$E$38,2,FALSE)+VLOOKUP($E198&amp;$C198,生产方式定位!$F$3:$J$38,2,FALSE),0)</f>
        <v>1525</v>
      </c>
      <c r="S198" s="5">
        <f>IFERROR(VLOOKUP($D198&amp;$C198,生产方式定位!$A$2:$E$38,3,FALSE)+VLOOKUP($E198&amp;$C198,生产方式定位!$F$3:$J$38,3,FALSE),0)</f>
        <v>130</v>
      </c>
      <c r="X198" s="5">
        <f>IFERROR(VLOOKUP($D198&amp;$C198,生产方式定位!$A$2:$E$38,5,FALSE)+VLOOKUP($E198&amp;$C198,生产方式定位!$F$3:$J$38,5,FALSE),"错误")</f>
        <v>1718</v>
      </c>
      <c r="Y198" s="27" t="str">
        <f t="shared" si="51"/>
        <v/>
      </c>
      <c r="Z198" s="50" t="str">
        <f t="shared" ref="Z198:Z261" si="54">IF(AH198="","",AH198)&amp;IF(AI198="","",","&amp;AI198)&amp;IF(AJ198="","",","&amp;AJ198)</f>
        <v/>
      </c>
      <c r="AA198" s="50" t="str">
        <f t="shared" si="52"/>
        <v/>
      </c>
      <c r="AB198" s="28" t="str">
        <f t="shared" ref="AB198:AB261" si="55">IFERROR(ROUND(((X198/L198)-1)*100,0)&amp;"%","")</f>
        <v>13%</v>
      </c>
      <c r="AC198" s="1">
        <f t="shared" ref="AC198:AC261" si="56">IF(X198-S198-L198=0,"",X198-S198-L198)</f>
        <v>63</v>
      </c>
      <c r="AD198" s="51">
        <f t="shared" si="53"/>
        <v>3</v>
      </c>
      <c r="AE198" t="str">
        <f t="shared" ref="AE198:AE261" si="57">IF(AN198="","",F198&amp;"*"&amp;AN198)</f>
        <v/>
      </c>
      <c r="AF198" t="str">
        <f t="shared" ref="AF198:AF261" si="58">IF(AO198="","",H198&amp;"*"&amp;AO198)</f>
        <v/>
      </c>
      <c r="AG198" t="str">
        <f t="shared" ref="AG198:AG261" si="59">IF(AP198="","",J198&amp;"*"&amp;AP198)</f>
        <v/>
      </c>
      <c r="AH198" t="str">
        <f t="shared" ref="AH198:AH261" si="60">IF(AQ198="","",M198&amp;"*"&amp;AQ198)</f>
        <v/>
      </c>
      <c r="AI198" t="str">
        <f t="shared" ref="AI198:AI261" si="61">IF(AR198="","",O198&amp;"*"&amp;AR198)</f>
        <v/>
      </c>
      <c r="AJ198" t="str">
        <f t="shared" ref="AJ198:AJ261" si="62">IF(AS198="","",Q198&amp;"*"&amp;AS198)</f>
        <v/>
      </c>
      <c r="AK198" t="str">
        <f t="shared" ref="AK198:AK261" si="63">IF(AT198="","",T198&amp;"*"&amp;AT198)</f>
        <v/>
      </c>
      <c r="AL198" t="str">
        <f t="shared" ref="AL198:AL261" si="64">IF(AU198="","",V198&amp;"*"&amp;AU198)</f>
        <v/>
      </c>
      <c r="AN198" t="str">
        <f>IFERROR(ROUND(L198*(G198/$AW198)/VLOOKUP(F198,商品!$A$4:$D$67,4,FALSE),0),"")</f>
        <v/>
      </c>
      <c r="AO198" t="str">
        <f>IFERROR(ROUND(L198*(I198/$AW198)/VLOOKUP(H198,商品!$A$4:$D$67,4,FALSE),0),"")</f>
        <v/>
      </c>
      <c r="AP198" t="str">
        <f>IFERROR(ROUND(L198*(K198/$AW198)/VLOOKUP(J198,商品!$A$4:$D$67,4,FALSE),0),"")</f>
        <v/>
      </c>
      <c r="AQ198" t="str">
        <f>IFERROR(ROUND(S198*(N198/$AX198)/VLOOKUP(M198,职业!$A$3:$E$16,4,FALSE),0),"")</f>
        <v/>
      </c>
      <c r="AR198" t="str">
        <f>IFERROR(ROUND(S198*(P198/$AX198)/VLOOKUP(O198,职业!$A$3:$E$16,4,FALSE),0),"")</f>
        <v/>
      </c>
      <c r="AS198" t="str">
        <f>IFERROR(ROUND(S198*(R198/$AX198)/VLOOKUP(Q198,职业!$A$3:$E$16,4,FALSE),0),"")</f>
        <v/>
      </c>
      <c r="AT198" t="str">
        <f>IFERROR(ROUND(X198*(U198/$AY198)/VLOOKUP(T198,商品!$A$4:$D$67,4,FALSE),0),"")</f>
        <v/>
      </c>
      <c r="AU198" t="str">
        <f>IFERROR(ROUND(X198*(W198/$AY198)/VLOOKUP(V198,商品!$A$4:$D$67,4,FALSE),0),"")</f>
        <v/>
      </c>
      <c r="AW198">
        <f t="shared" ref="AW198:AW261" si="65">G198+I198+K198</f>
        <v>0</v>
      </c>
      <c r="AX198">
        <f t="shared" ref="AX198:AX261" si="66">ABS(N198)+ABS(P198)+ABS(R198)</f>
        <v>0</v>
      </c>
      <c r="AY198">
        <f t="shared" ref="AY198:AY261" si="67">U198+W198</f>
        <v>0</v>
      </c>
    </row>
    <row r="199" customHeight="1" spans="1:51">
      <c r="A199" s="5" t="s">
        <v>323</v>
      </c>
      <c r="C199" s="5">
        <v>4</v>
      </c>
      <c r="D199" s="1" t="s">
        <v>220</v>
      </c>
      <c r="E199" s="1" t="s">
        <v>222</v>
      </c>
      <c r="L199" s="5">
        <f>IFERROR(VLOOKUP($D199&amp;$C199,生产方式定位!$A$2:$E$38,2,FALSE)+VLOOKUP($E199&amp;$C199,生产方式定位!$F$3:$J$38,2,FALSE),0)</f>
        <v>1850</v>
      </c>
      <c r="S199" s="5">
        <f>IFERROR(VLOOKUP($D199&amp;$C199,生产方式定位!$A$2:$E$38,3,FALSE)+VLOOKUP($E199&amp;$C199,生产方式定位!$F$3:$J$38,3,FALSE),0)</f>
        <v>120</v>
      </c>
      <c r="X199" s="5">
        <f>IFERROR(VLOOKUP($D199&amp;$C199,生产方式定位!$A$2:$E$38,5,FALSE)+VLOOKUP($E199&amp;$C199,生产方式定位!$F$3:$J$38,5,FALSE),"错误")</f>
        <v>2045</v>
      </c>
      <c r="Y199" s="27" t="str">
        <f t="shared" si="51"/>
        <v/>
      </c>
      <c r="Z199" s="50" t="str">
        <f t="shared" si="54"/>
        <v/>
      </c>
      <c r="AA199" s="50" t="str">
        <f t="shared" si="52"/>
        <v/>
      </c>
      <c r="AB199" s="28" t="str">
        <f t="shared" si="55"/>
        <v>11%</v>
      </c>
      <c r="AC199" s="1">
        <f t="shared" si="56"/>
        <v>75</v>
      </c>
      <c r="AD199" s="51">
        <f t="shared" si="53"/>
        <v>4</v>
      </c>
      <c r="AE199" t="str">
        <f t="shared" si="57"/>
        <v/>
      </c>
      <c r="AF199" t="str">
        <f t="shared" si="58"/>
        <v/>
      </c>
      <c r="AG199" t="str">
        <f t="shared" si="59"/>
        <v/>
      </c>
      <c r="AH199" t="str">
        <f t="shared" si="60"/>
        <v/>
      </c>
      <c r="AI199" t="str">
        <f t="shared" si="61"/>
        <v/>
      </c>
      <c r="AJ199" t="str">
        <f t="shared" si="62"/>
        <v/>
      </c>
      <c r="AK199" t="str">
        <f t="shared" si="63"/>
        <v/>
      </c>
      <c r="AL199" t="str">
        <f t="shared" si="64"/>
        <v/>
      </c>
      <c r="AN199" t="str">
        <f>IFERROR(ROUND(L199*(G199/$AW199)/VLOOKUP(F199,商品!$A$4:$D$67,4,FALSE),0),"")</f>
        <v/>
      </c>
      <c r="AO199" t="str">
        <f>IFERROR(ROUND(L199*(I199/$AW199)/VLOOKUP(H199,商品!$A$4:$D$67,4,FALSE),0),"")</f>
        <v/>
      </c>
      <c r="AP199" t="str">
        <f>IFERROR(ROUND(L199*(K199/$AW199)/VLOOKUP(J199,商品!$A$4:$D$67,4,FALSE),0),"")</f>
        <v/>
      </c>
      <c r="AQ199" t="str">
        <f>IFERROR(ROUND(S199*(N199/$AX199)/VLOOKUP(M199,职业!$A$3:$E$16,4,FALSE),0),"")</f>
        <v/>
      </c>
      <c r="AR199" t="str">
        <f>IFERROR(ROUND(S199*(P199/$AX199)/VLOOKUP(O199,职业!$A$3:$E$16,4,FALSE),0),"")</f>
        <v/>
      </c>
      <c r="AS199" t="str">
        <f>IFERROR(ROUND(S199*(R199/$AX199)/VLOOKUP(Q199,职业!$A$3:$E$16,4,FALSE),0),"")</f>
        <v/>
      </c>
      <c r="AT199" t="str">
        <f>IFERROR(ROUND(X199*(U199/$AY199)/VLOOKUP(T199,商品!$A$4:$D$67,4,FALSE),0),"")</f>
        <v/>
      </c>
      <c r="AU199" t="str">
        <f>IFERROR(ROUND(X199*(W199/$AY199)/VLOOKUP(V199,商品!$A$4:$D$67,4,FALSE),0),"")</f>
        <v/>
      </c>
      <c r="AW199">
        <f t="shared" si="65"/>
        <v>0</v>
      </c>
      <c r="AX199">
        <f t="shared" si="66"/>
        <v>0</v>
      </c>
      <c r="AY199">
        <f t="shared" si="67"/>
        <v>0</v>
      </c>
    </row>
    <row r="200" customHeight="1" spans="1:51">
      <c r="A200" s="5" t="s">
        <v>323</v>
      </c>
      <c r="C200" s="5">
        <v>5</v>
      </c>
      <c r="D200" s="1" t="s">
        <v>220</v>
      </c>
      <c r="E200" s="1" t="s">
        <v>222</v>
      </c>
      <c r="L200" s="5">
        <f>IFERROR(VLOOKUP($D200&amp;$C200,生产方式定位!$A$2:$E$38,2,FALSE)+VLOOKUP($E200&amp;$C200,生产方式定位!$F$3:$J$38,2,FALSE),0)</f>
        <v>2175</v>
      </c>
      <c r="S200" s="5">
        <f>IFERROR(VLOOKUP($D200&amp;$C200,生产方式定位!$A$2:$E$38,3,FALSE)+VLOOKUP($E200&amp;$C200,生产方式定位!$F$3:$J$38,3,FALSE),0)</f>
        <v>110</v>
      </c>
      <c r="X200" s="5">
        <f>IFERROR(VLOOKUP($D200&amp;$C200,生产方式定位!$A$2:$E$38,5,FALSE)+VLOOKUP($E200&amp;$C200,生产方式定位!$F$3:$J$38,5,FALSE),"错误")</f>
        <v>2373</v>
      </c>
      <c r="Y200" s="27" t="str">
        <f t="shared" si="51"/>
        <v/>
      </c>
      <c r="Z200" s="50" t="str">
        <f t="shared" si="54"/>
        <v/>
      </c>
      <c r="AA200" s="50" t="str">
        <f t="shared" si="52"/>
        <v/>
      </c>
      <c r="AB200" s="28" t="str">
        <f t="shared" si="55"/>
        <v>9%</v>
      </c>
      <c r="AC200" s="1">
        <f t="shared" si="56"/>
        <v>88</v>
      </c>
      <c r="AD200" s="51">
        <f t="shared" si="53"/>
        <v>5</v>
      </c>
      <c r="AE200" t="str">
        <f t="shared" si="57"/>
        <v/>
      </c>
      <c r="AF200" t="str">
        <f t="shared" si="58"/>
        <v/>
      </c>
      <c r="AG200" t="str">
        <f t="shared" si="59"/>
        <v/>
      </c>
      <c r="AH200" t="str">
        <f t="shared" si="60"/>
        <v/>
      </c>
      <c r="AI200" t="str">
        <f t="shared" si="61"/>
        <v/>
      </c>
      <c r="AJ200" t="str">
        <f t="shared" si="62"/>
        <v/>
      </c>
      <c r="AK200" t="str">
        <f t="shared" si="63"/>
        <v/>
      </c>
      <c r="AL200" t="str">
        <f t="shared" si="64"/>
        <v/>
      </c>
      <c r="AN200" t="str">
        <f>IFERROR(ROUND(L200*(G200/$AW200)/VLOOKUP(F200,商品!$A$4:$D$67,4,FALSE),0),"")</f>
        <v/>
      </c>
      <c r="AO200" t="str">
        <f>IFERROR(ROUND(L200*(I200/$AW200)/VLOOKUP(H200,商品!$A$4:$D$67,4,FALSE),0),"")</f>
        <v/>
      </c>
      <c r="AP200" t="str">
        <f>IFERROR(ROUND(L200*(K200/$AW200)/VLOOKUP(J200,商品!$A$4:$D$67,4,FALSE),0),"")</f>
        <v/>
      </c>
      <c r="AQ200" t="str">
        <f>IFERROR(ROUND(S200*(N200/$AX200)/VLOOKUP(M200,职业!$A$3:$E$16,4,FALSE),0),"")</f>
        <v/>
      </c>
      <c r="AR200" t="str">
        <f>IFERROR(ROUND(S200*(P200/$AX200)/VLOOKUP(O200,职业!$A$3:$E$16,4,FALSE),0),"")</f>
        <v/>
      </c>
      <c r="AS200" t="str">
        <f>IFERROR(ROUND(S200*(R200/$AX200)/VLOOKUP(Q200,职业!$A$3:$E$16,4,FALSE),0),"")</f>
        <v/>
      </c>
      <c r="AT200" t="str">
        <f>IFERROR(ROUND(X200*(U200/$AY200)/VLOOKUP(T200,商品!$A$4:$D$67,4,FALSE),0),"")</f>
        <v/>
      </c>
      <c r="AU200" t="str">
        <f>IFERROR(ROUND(X200*(W200/$AY200)/VLOOKUP(V200,商品!$A$4:$D$67,4,FALSE),0),"")</f>
        <v/>
      </c>
      <c r="AW200">
        <f t="shared" si="65"/>
        <v>0</v>
      </c>
      <c r="AX200">
        <f t="shared" si="66"/>
        <v>0</v>
      </c>
      <c r="AY200">
        <f t="shared" si="67"/>
        <v>0</v>
      </c>
    </row>
    <row r="201" customHeight="1" spans="1:51">
      <c r="A201" s="18" t="s">
        <v>324</v>
      </c>
      <c r="C201" s="18">
        <v>1</v>
      </c>
      <c r="D201" s="1" t="s">
        <v>220</v>
      </c>
      <c r="E201" s="1" t="s">
        <v>224</v>
      </c>
      <c r="L201" s="18">
        <f>IFERROR(VLOOKUP($D201&amp;$C201,生产方式定位!$A$2:$E$38,2,FALSE)+VLOOKUP($E201&amp;$C201,生产方式定位!$F$3:$J$38,2,FALSE),0)</f>
        <v>500</v>
      </c>
      <c r="S201" s="18">
        <f>IFERROR(VLOOKUP($D201&amp;$C201,生产方式定位!$A$2:$E$38,3,FALSE)+VLOOKUP($E201&amp;$C201,生产方式定位!$F$3:$J$38,3,FALSE),0)</f>
        <v>150</v>
      </c>
      <c r="X201" s="18">
        <f>IFERROR(VLOOKUP($D201&amp;$C201,生产方式定位!$A$2:$E$38,5,FALSE)+VLOOKUP($E201&amp;$C201,生产方式定位!$F$3:$J$38,5,FALSE),"错误")</f>
        <v>715</v>
      </c>
      <c r="Y201" s="27" t="str">
        <f t="shared" si="51"/>
        <v/>
      </c>
      <c r="Z201" s="50" t="str">
        <f t="shared" si="54"/>
        <v/>
      </c>
      <c r="AA201" s="50" t="str">
        <f t="shared" si="52"/>
        <v/>
      </c>
      <c r="AB201" s="28" t="str">
        <f t="shared" si="55"/>
        <v>43%</v>
      </c>
      <c r="AC201" s="1">
        <f t="shared" si="56"/>
        <v>65</v>
      </c>
      <c r="AD201" s="52">
        <f t="shared" si="53"/>
        <v>1</v>
      </c>
      <c r="AE201" t="str">
        <f t="shared" si="57"/>
        <v/>
      </c>
      <c r="AF201" t="str">
        <f t="shared" si="58"/>
        <v/>
      </c>
      <c r="AG201" t="str">
        <f t="shared" si="59"/>
        <v/>
      </c>
      <c r="AH201" t="str">
        <f t="shared" si="60"/>
        <v/>
      </c>
      <c r="AI201" t="str">
        <f t="shared" si="61"/>
        <v/>
      </c>
      <c r="AJ201" t="str">
        <f t="shared" si="62"/>
        <v/>
      </c>
      <c r="AK201" t="str">
        <f t="shared" si="63"/>
        <v/>
      </c>
      <c r="AL201" t="str">
        <f t="shared" si="64"/>
        <v/>
      </c>
      <c r="AN201" t="str">
        <f>IFERROR(ROUND(L201*(G201/$AW201)/VLOOKUP(F201,商品!$A$4:$D$67,4,FALSE),0),"")</f>
        <v/>
      </c>
      <c r="AO201" t="str">
        <f>IFERROR(ROUND(L201*(I201/$AW201)/VLOOKUP(H201,商品!$A$4:$D$67,4,FALSE),0),"")</f>
        <v/>
      </c>
      <c r="AP201" t="str">
        <f>IFERROR(ROUND(L201*(K201/$AW201)/VLOOKUP(J201,商品!$A$4:$D$67,4,FALSE),0),"")</f>
        <v/>
      </c>
      <c r="AQ201" t="str">
        <f>IFERROR(ROUND(S201*(N201/$AX201)/VLOOKUP(M201,职业!$A$3:$E$16,4,FALSE),0),"")</f>
        <v/>
      </c>
      <c r="AR201" t="str">
        <f>IFERROR(ROUND(S201*(P201/$AX201)/VLOOKUP(O201,职业!$A$3:$E$16,4,FALSE),0),"")</f>
        <v/>
      </c>
      <c r="AS201" t="str">
        <f>IFERROR(ROUND(S201*(R201/$AX201)/VLOOKUP(Q201,职业!$A$3:$E$16,4,FALSE),0),"")</f>
        <v/>
      </c>
      <c r="AT201" t="str">
        <f>IFERROR(ROUND(X201*(U201/$AY201)/VLOOKUP(T201,商品!$A$4:$D$67,4,FALSE),0),"")</f>
        <v/>
      </c>
      <c r="AU201" t="str">
        <f>IFERROR(ROUND(X201*(W201/$AY201)/VLOOKUP(V201,商品!$A$4:$D$67,4,FALSE),0),"")</f>
        <v/>
      </c>
      <c r="AW201">
        <f t="shared" si="65"/>
        <v>0</v>
      </c>
      <c r="AX201">
        <f t="shared" si="66"/>
        <v>0</v>
      </c>
      <c r="AY201">
        <f t="shared" si="67"/>
        <v>0</v>
      </c>
    </row>
    <row r="202" customHeight="1" spans="1:51">
      <c r="A202" s="18" t="s">
        <v>324</v>
      </c>
      <c r="C202" s="18">
        <v>2</v>
      </c>
      <c r="D202" s="1" t="s">
        <v>220</v>
      </c>
      <c r="E202" s="1" t="s">
        <v>224</v>
      </c>
      <c r="L202" s="18">
        <f>IFERROR(VLOOKUP($D202&amp;$C202,生产方式定位!$A$2:$E$38,2,FALSE)+VLOOKUP($E202&amp;$C202,生产方式定位!$F$3:$J$38,2,FALSE),0)</f>
        <v>1200</v>
      </c>
      <c r="S202" s="18">
        <f>IFERROR(VLOOKUP($D202&amp;$C202,生产方式定位!$A$2:$E$38,3,FALSE)+VLOOKUP($E202&amp;$C202,生产方式定位!$F$3:$J$38,3,FALSE),0)</f>
        <v>100</v>
      </c>
      <c r="X202" s="18">
        <f>IFERROR(VLOOKUP($D202&amp;$C202,生产方式定位!$A$2:$E$38,5,FALSE)+VLOOKUP($E202&amp;$C202,生产方式定位!$F$3:$J$38,5,FALSE),"错误")</f>
        <v>1346</v>
      </c>
      <c r="Y202" s="27" t="str">
        <f t="shared" si="51"/>
        <v/>
      </c>
      <c r="Z202" s="50" t="str">
        <f t="shared" si="54"/>
        <v/>
      </c>
      <c r="AA202" s="50" t="str">
        <f t="shared" si="52"/>
        <v/>
      </c>
      <c r="AB202" s="28" t="str">
        <f t="shared" si="55"/>
        <v>12%</v>
      </c>
      <c r="AC202" s="1">
        <f t="shared" si="56"/>
        <v>46</v>
      </c>
      <c r="AD202" s="52">
        <f t="shared" si="53"/>
        <v>2</v>
      </c>
      <c r="AE202" t="str">
        <f t="shared" si="57"/>
        <v/>
      </c>
      <c r="AF202" t="str">
        <f t="shared" si="58"/>
        <v/>
      </c>
      <c r="AG202" t="str">
        <f t="shared" si="59"/>
        <v/>
      </c>
      <c r="AH202" t="str">
        <f t="shared" si="60"/>
        <v/>
      </c>
      <c r="AI202" t="str">
        <f t="shared" si="61"/>
        <v/>
      </c>
      <c r="AJ202" t="str">
        <f t="shared" si="62"/>
        <v/>
      </c>
      <c r="AK202" t="str">
        <f t="shared" si="63"/>
        <v/>
      </c>
      <c r="AL202" t="str">
        <f t="shared" si="64"/>
        <v/>
      </c>
      <c r="AN202" t="str">
        <f>IFERROR(ROUND(L202*(G202/$AW202)/VLOOKUP(F202,商品!$A$4:$D$67,4,FALSE),0),"")</f>
        <v/>
      </c>
      <c r="AO202" t="str">
        <f>IFERROR(ROUND(L202*(I202/$AW202)/VLOOKUP(H202,商品!$A$4:$D$67,4,FALSE),0),"")</f>
        <v/>
      </c>
      <c r="AP202" t="str">
        <f>IFERROR(ROUND(L202*(K202/$AW202)/VLOOKUP(J202,商品!$A$4:$D$67,4,FALSE),0),"")</f>
        <v/>
      </c>
      <c r="AQ202" t="str">
        <f>IFERROR(ROUND(S202*(N202/$AX202)/VLOOKUP(M202,职业!$A$3:$E$16,4,FALSE),0),"")</f>
        <v/>
      </c>
      <c r="AR202" t="str">
        <f>IFERROR(ROUND(S202*(P202/$AX202)/VLOOKUP(O202,职业!$A$3:$E$16,4,FALSE),0),"")</f>
        <v/>
      </c>
      <c r="AS202" t="str">
        <f>IFERROR(ROUND(S202*(R202/$AX202)/VLOOKUP(Q202,职业!$A$3:$E$16,4,FALSE),0),"")</f>
        <v/>
      </c>
      <c r="AT202" t="str">
        <f>IFERROR(ROUND(X202*(U202/$AY202)/VLOOKUP(T202,商品!$A$4:$D$67,4,FALSE),0),"")</f>
        <v/>
      </c>
      <c r="AU202" t="str">
        <f>IFERROR(ROUND(X202*(W202/$AY202)/VLOOKUP(V202,商品!$A$4:$D$67,4,FALSE),0),"")</f>
        <v/>
      </c>
      <c r="AW202">
        <f t="shared" si="65"/>
        <v>0</v>
      </c>
      <c r="AX202">
        <f t="shared" si="66"/>
        <v>0</v>
      </c>
      <c r="AY202">
        <f t="shared" si="67"/>
        <v>0</v>
      </c>
    </row>
    <row r="203" customHeight="1" spans="1:51">
      <c r="A203" s="18" t="s">
        <v>324</v>
      </c>
      <c r="C203" s="18">
        <v>3</v>
      </c>
      <c r="D203" s="1" t="s">
        <v>220</v>
      </c>
      <c r="E203" s="1" t="s">
        <v>224</v>
      </c>
      <c r="L203" s="18">
        <f>IFERROR(VLOOKUP($D203&amp;$C203,生产方式定位!$A$2:$E$38,2,FALSE)+VLOOKUP($E203&amp;$C203,生产方式定位!$F$3:$J$38,2,FALSE),0)</f>
        <v>1900</v>
      </c>
      <c r="S203" s="18">
        <f>IFERROR(VLOOKUP($D203&amp;$C203,生产方式定位!$A$2:$E$38,3,FALSE)+VLOOKUP($E203&amp;$C203,生产方式定位!$F$3:$J$38,3,FALSE),0)</f>
        <v>70</v>
      </c>
      <c r="X203" s="18">
        <f>IFERROR(VLOOKUP($D203&amp;$C203,生产方式定位!$A$2:$E$38,5,FALSE)+VLOOKUP($E203&amp;$C203,生产方式定位!$F$3:$J$38,5,FALSE),"错误")</f>
        <v>2064</v>
      </c>
      <c r="Y203" s="27" t="str">
        <f t="shared" si="51"/>
        <v/>
      </c>
      <c r="Z203" s="50" t="str">
        <f t="shared" si="54"/>
        <v/>
      </c>
      <c r="AA203" s="50" t="str">
        <f t="shared" si="52"/>
        <v/>
      </c>
      <c r="AB203" s="28" t="str">
        <f t="shared" si="55"/>
        <v>9%</v>
      </c>
      <c r="AC203" s="1">
        <f t="shared" si="56"/>
        <v>94</v>
      </c>
      <c r="AD203" s="52">
        <f t="shared" si="53"/>
        <v>3</v>
      </c>
      <c r="AE203" t="str">
        <f t="shared" si="57"/>
        <v/>
      </c>
      <c r="AF203" t="str">
        <f t="shared" si="58"/>
        <v/>
      </c>
      <c r="AG203" t="str">
        <f t="shared" si="59"/>
        <v/>
      </c>
      <c r="AH203" t="str">
        <f t="shared" si="60"/>
        <v/>
      </c>
      <c r="AI203" t="str">
        <f t="shared" si="61"/>
        <v/>
      </c>
      <c r="AJ203" t="str">
        <f t="shared" si="62"/>
        <v/>
      </c>
      <c r="AK203" t="str">
        <f t="shared" si="63"/>
        <v/>
      </c>
      <c r="AL203" t="str">
        <f t="shared" si="64"/>
        <v/>
      </c>
      <c r="AN203" t="str">
        <f>IFERROR(ROUND(L203*(G203/$AW203)/VLOOKUP(F203,商品!$A$4:$D$67,4,FALSE),0),"")</f>
        <v/>
      </c>
      <c r="AO203" t="str">
        <f>IFERROR(ROUND(L203*(I203/$AW203)/VLOOKUP(H203,商品!$A$4:$D$67,4,FALSE),0),"")</f>
        <v/>
      </c>
      <c r="AP203" t="str">
        <f>IFERROR(ROUND(L203*(K203/$AW203)/VLOOKUP(J203,商品!$A$4:$D$67,4,FALSE),0),"")</f>
        <v/>
      </c>
      <c r="AQ203" t="str">
        <f>IFERROR(ROUND(S203*(N203/$AX203)/VLOOKUP(M203,职业!$A$3:$E$16,4,FALSE),0),"")</f>
        <v/>
      </c>
      <c r="AR203" t="str">
        <f>IFERROR(ROUND(S203*(P203/$AX203)/VLOOKUP(O203,职业!$A$3:$E$16,4,FALSE),0),"")</f>
        <v/>
      </c>
      <c r="AS203" t="str">
        <f>IFERROR(ROUND(S203*(R203/$AX203)/VLOOKUP(Q203,职业!$A$3:$E$16,4,FALSE),0),"")</f>
        <v/>
      </c>
      <c r="AT203" t="str">
        <f>IFERROR(ROUND(X203*(U203/$AY203)/VLOOKUP(T203,商品!$A$4:$D$67,4,FALSE),0),"")</f>
        <v/>
      </c>
      <c r="AU203" t="str">
        <f>IFERROR(ROUND(X203*(W203/$AY203)/VLOOKUP(V203,商品!$A$4:$D$67,4,FALSE),0),"")</f>
        <v/>
      </c>
      <c r="AW203">
        <f t="shared" si="65"/>
        <v>0</v>
      </c>
      <c r="AX203">
        <f t="shared" si="66"/>
        <v>0</v>
      </c>
      <c r="AY203">
        <f t="shared" si="67"/>
        <v>0</v>
      </c>
    </row>
    <row r="204" customHeight="1" spans="1:51">
      <c r="A204" s="18" t="s">
        <v>324</v>
      </c>
      <c r="C204" s="18">
        <v>4</v>
      </c>
      <c r="D204" s="1" t="s">
        <v>220</v>
      </c>
      <c r="E204" s="1" t="s">
        <v>224</v>
      </c>
      <c r="L204" s="18">
        <f>IFERROR(VLOOKUP($D204&amp;$C204,生产方式定位!$A$2:$E$38,2,FALSE)+VLOOKUP($E204&amp;$C204,生产方式定位!$F$3:$J$38,2,FALSE),0)</f>
        <v>2600</v>
      </c>
      <c r="S204" s="18">
        <f>IFERROR(VLOOKUP($D204&amp;$C204,生产方式定位!$A$2:$E$38,3,FALSE)+VLOOKUP($E204&amp;$C204,生产方式定位!$F$3:$J$38,3,FALSE),0)</f>
        <v>40</v>
      </c>
      <c r="X204" s="18">
        <f>IFERROR(VLOOKUP($D204&amp;$C204,生产方式定位!$A$2:$E$38,5,FALSE)+VLOOKUP($E204&amp;$C204,生产方式定位!$F$3:$J$38,5,FALSE),"错误")</f>
        <v>2782</v>
      </c>
      <c r="Y204" s="27" t="str">
        <f t="shared" si="51"/>
        <v/>
      </c>
      <c r="Z204" s="50" t="str">
        <f t="shared" si="54"/>
        <v/>
      </c>
      <c r="AA204" s="50" t="str">
        <f t="shared" si="52"/>
        <v/>
      </c>
      <c r="AB204" s="28" t="str">
        <f t="shared" si="55"/>
        <v>7%</v>
      </c>
      <c r="AC204" s="1">
        <f t="shared" si="56"/>
        <v>142</v>
      </c>
      <c r="AD204" s="52">
        <f t="shared" si="53"/>
        <v>4</v>
      </c>
      <c r="AE204" t="str">
        <f t="shared" si="57"/>
        <v/>
      </c>
      <c r="AF204" t="str">
        <f t="shared" si="58"/>
        <v/>
      </c>
      <c r="AG204" t="str">
        <f t="shared" si="59"/>
        <v/>
      </c>
      <c r="AH204" t="str">
        <f t="shared" si="60"/>
        <v/>
      </c>
      <c r="AI204" t="str">
        <f t="shared" si="61"/>
        <v/>
      </c>
      <c r="AJ204" t="str">
        <f t="shared" si="62"/>
        <v/>
      </c>
      <c r="AK204" t="str">
        <f t="shared" si="63"/>
        <v/>
      </c>
      <c r="AL204" t="str">
        <f t="shared" si="64"/>
        <v/>
      </c>
      <c r="AN204" t="str">
        <f>IFERROR(ROUND(L204*(G204/$AW204)/VLOOKUP(F204,商品!$A$4:$D$67,4,FALSE),0),"")</f>
        <v/>
      </c>
      <c r="AO204" t="str">
        <f>IFERROR(ROUND(L204*(I204/$AW204)/VLOOKUP(H204,商品!$A$4:$D$67,4,FALSE),0),"")</f>
        <v/>
      </c>
      <c r="AP204" t="str">
        <f>IFERROR(ROUND(L204*(K204/$AW204)/VLOOKUP(J204,商品!$A$4:$D$67,4,FALSE),0),"")</f>
        <v/>
      </c>
      <c r="AQ204" t="str">
        <f>IFERROR(ROUND(S204*(N204/$AX204)/VLOOKUP(M204,职业!$A$3:$E$16,4,FALSE),0),"")</f>
        <v/>
      </c>
      <c r="AR204" t="str">
        <f>IFERROR(ROUND(S204*(P204/$AX204)/VLOOKUP(O204,职业!$A$3:$E$16,4,FALSE),0),"")</f>
        <v/>
      </c>
      <c r="AS204" t="str">
        <f>IFERROR(ROUND(S204*(R204/$AX204)/VLOOKUP(Q204,职业!$A$3:$E$16,4,FALSE),0),"")</f>
        <v/>
      </c>
      <c r="AT204" t="str">
        <f>IFERROR(ROUND(X204*(U204/$AY204)/VLOOKUP(T204,商品!$A$4:$D$67,4,FALSE),0),"")</f>
        <v/>
      </c>
      <c r="AU204" t="str">
        <f>IFERROR(ROUND(X204*(W204/$AY204)/VLOOKUP(V204,商品!$A$4:$D$67,4,FALSE),0),"")</f>
        <v/>
      </c>
      <c r="AW204">
        <f t="shared" si="65"/>
        <v>0</v>
      </c>
      <c r="AX204">
        <f t="shared" si="66"/>
        <v>0</v>
      </c>
      <c r="AY204">
        <f t="shared" si="67"/>
        <v>0</v>
      </c>
    </row>
    <row r="205" customHeight="1" spans="1:51">
      <c r="A205" s="18" t="s">
        <v>324</v>
      </c>
      <c r="C205" s="18">
        <v>5</v>
      </c>
      <c r="D205" s="1" t="s">
        <v>220</v>
      </c>
      <c r="E205" s="1" t="s">
        <v>224</v>
      </c>
      <c r="L205" s="18">
        <f>IFERROR(VLOOKUP($D205&amp;$C205,生产方式定位!$A$2:$E$38,2,FALSE)+VLOOKUP($E205&amp;$C205,生产方式定位!$F$3:$J$38,2,FALSE),0)</f>
        <v>3300</v>
      </c>
      <c r="S205" s="18">
        <f>IFERROR(VLOOKUP($D205&amp;$C205,生产方式定位!$A$2:$E$38,3,FALSE)+VLOOKUP($E205&amp;$C205,生产方式定位!$F$3:$J$38,3,FALSE),0)</f>
        <v>10</v>
      </c>
      <c r="X205" s="18">
        <f>IFERROR(VLOOKUP($D205&amp;$C205,生产方式定位!$A$2:$E$38,5,FALSE)+VLOOKUP($E205&amp;$C205,生产方式定位!$F$3:$J$38,5,FALSE),"错误")</f>
        <v>3500</v>
      </c>
      <c r="Y205" s="27" t="str">
        <f t="shared" si="51"/>
        <v/>
      </c>
      <c r="Z205" s="50" t="str">
        <f t="shared" si="54"/>
        <v/>
      </c>
      <c r="AA205" s="50" t="str">
        <f t="shared" si="52"/>
        <v/>
      </c>
      <c r="AB205" s="28" t="str">
        <f t="shared" si="55"/>
        <v>6%</v>
      </c>
      <c r="AC205" s="1">
        <f t="shared" si="56"/>
        <v>190</v>
      </c>
      <c r="AD205" s="52">
        <f t="shared" si="53"/>
        <v>5</v>
      </c>
      <c r="AE205" t="str">
        <f t="shared" si="57"/>
        <v/>
      </c>
      <c r="AF205" t="str">
        <f t="shared" si="58"/>
        <v/>
      </c>
      <c r="AG205" t="str">
        <f t="shared" si="59"/>
        <v/>
      </c>
      <c r="AH205" t="str">
        <f t="shared" si="60"/>
        <v/>
      </c>
      <c r="AI205" t="str">
        <f t="shared" si="61"/>
        <v/>
      </c>
      <c r="AJ205" t="str">
        <f t="shared" si="62"/>
        <v/>
      </c>
      <c r="AK205" t="str">
        <f t="shared" si="63"/>
        <v/>
      </c>
      <c r="AL205" t="str">
        <f t="shared" si="64"/>
        <v/>
      </c>
      <c r="AN205" t="str">
        <f>IFERROR(ROUND(L205*(G205/$AW205)/VLOOKUP(F205,商品!$A$4:$D$67,4,FALSE),0),"")</f>
        <v/>
      </c>
      <c r="AO205" t="str">
        <f>IFERROR(ROUND(L205*(I205/$AW205)/VLOOKUP(H205,商品!$A$4:$D$67,4,FALSE),0),"")</f>
        <v/>
      </c>
      <c r="AP205" t="str">
        <f>IFERROR(ROUND(L205*(K205/$AW205)/VLOOKUP(J205,商品!$A$4:$D$67,4,FALSE),0),"")</f>
        <v/>
      </c>
      <c r="AQ205" t="str">
        <f>IFERROR(ROUND(S205*(N205/$AX205)/VLOOKUP(M205,职业!$A$3:$E$16,4,FALSE),0),"")</f>
        <v/>
      </c>
      <c r="AR205" t="str">
        <f>IFERROR(ROUND(S205*(P205/$AX205)/VLOOKUP(O205,职业!$A$3:$E$16,4,FALSE),0),"")</f>
        <v/>
      </c>
      <c r="AS205" t="str">
        <f>IFERROR(ROUND(S205*(R205/$AX205)/VLOOKUP(Q205,职业!$A$3:$E$16,4,FALSE),0),"")</f>
        <v/>
      </c>
      <c r="AT205" t="str">
        <f>IFERROR(ROUND(X205*(U205/$AY205)/VLOOKUP(T205,商品!$A$4:$D$67,4,FALSE),0),"")</f>
        <v/>
      </c>
      <c r="AU205" t="str">
        <f>IFERROR(ROUND(X205*(W205/$AY205)/VLOOKUP(V205,商品!$A$4:$D$67,4,FALSE),0),"")</f>
        <v/>
      </c>
      <c r="AW205">
        <f t="shared" si="65"/>
        <v>0</v>
      </c>
      <c r="AX205">
        <f t="shared" si="66"/>
        <v>0</v>
      </c>
      <c r="AY205">
        <f t="shared" si="67"/>
        <v>0</v>
      </c>
    </row>
    <row r="206" customHeight="1" spans="1:51">
      <c r="A206" s="5" t="s">
        <v>324</v>
      </c>
      <c r="C206" s="5">
        <v>1</v>
      </c>
      <c r="D206" s="1" t="s">
        <v>220</v>
      </c>
      <c r="E206" s="1" t="s">
        <v>224</v>
      </c>
      <c r="L206" s="5">
        <f>IFERROR(VLOOKUP($D206&amp;$C206,生产方式定位!$A$2:$E$38,2,FALSE)+VLOOKUP($E206&amp;$C206,生产方式定位!$F$3:$J$38,2,FALSE),0)</f>
        <v>500</v>
      </c>
      <c r="S206" s="5">
        <f>IFERROR(VLOOKUP($D206&amp;$C206,生产方式定位!$A$2:$E$38,3,FALSE)+VLOOKUP($E206&amp;$C206,生产方式定位!$F$3:$J$38,3,FALSE),0)</f>
        <v>150</v>
      </c>
      <c r="X206" s="5">
        <f>IFERROR(VLOOKUP($D206&amp;$C206,生产方式定位!$A$2:$E$38,5,FALSE)+VLOOKUP($E206&amp;$C206,生产方式定位!$F$3:$J$38,5,FALSE),"错误")</f>
        <v>715</v>
      </c>
      <c r="Y206" s="27" t="str">
        <f t="shared" si="51"/>
        <v/>
      </c>
      <c r="Z206" s="50" t="str">
        <f t="shared" si="54"/>
        <v/>
      </c>
      <c r="AA206" s="50" t="str">
        <f t="shared" si="52"/>
        <v/>
      </c>
      <c r="AB206" s="28" t="str">
        <f t="shared" si="55"/>
        <v>43%</v>
      </c>
      <c r="AC206" s="1">
        <f t="shared" si="56"/>
        <v>65</v>
      </c>
      <c r="AD206" s="51">
        <f t="shared" si="53"/>
        <v>1</v>
      </c>
      <c r="AE206" t="str">
        <f t="shared" si="57"/>
        <v/>
      </c>
      <c r="AF206" t="str">
        <f t="shared" si="58"/>
        <v/>
      </c>
      <c r="AG206" t="str">
        <f t="shared" si="59"/>
        <v/>
      </c>
      <c r="AH206" t="str">
        <f t="shared" si="60"/>
        <v/>
      </c>
      <c r="AI206" t="str">
        <f t="shared" si="61"/>
        <v/>
      </c>
      <c r="AJ206" t="str">
        <f t="shared" si="62"/>
        <v/>
      </c>
      <c r="AK206" t="str">
        <f t="shared" si="63"/>
        <v/>
      </c>
      <c r="AL206" t="str">
        <f t="shared" si="64"/>
        <v/>
      </c>
      <c r="AN206" t="str">
        <f>IFERROR(ROUND(L206*(G206/$AW206)/VLOOKUP(F206,商品!$A$4:$D$67,4,FALSE),0),"")</f>
        <v/>
      </c>
      <c r="AO206" t="str">
        <f>IFERROR(ROUND(L206*(I206/$AW206)/VLOOKUP(H206,商品!$A$4:$D$67,4,FALSE),0),"")</f>
        <v/>
      </c>
      <c r="AP206" t="str">
        <f>IFERROR(ROUND(L206*(K206/$AW206)/VLOOKUP(J206,商品!$A$4:$D$67,4,FALSE),0),"")</f>
        <v/>
      </c>
      <c r="AQ206" t="str">
        <f>IFERROR(ROUND(S206*(N206/$AX206)/VLOOKUP(M206,职业!$A$3:$E$16,4,FALSE),0),"")</f>
        <v/>
      </c>
      <c r="AR206" t="str">
        <f>IFERROR(ROUND(S206*(P206/$AX206)/VLOOKUP(O206,职业!$A$3:$E$16,4,FALSE),0),"")</f>
        <v/>
      </c>
      <c r="AS206" t="str">
        <f>IFERROR(ROUND(S206*(R206/$AX206)/VLOOKUP(Q206,职业!$A$3:$E$16,4,FALSE),0),"")</f>
        <v/>
      </c>
      <c r="AT206" t="str">
        <f>IFERROR(ROUND(X206*(U206/$AY206)/VLOOKUP(T206,商品!$A$4:$D$67,4,FALSE),0),"")</f>
        <v/>
      </c>
      <c r="AU206" t="str">
        <f>IFERROR(ROUND(X206*(W206/$AY206)/VLOOKUP(V206,商品!$A$4:$D$67,4,FALSE),0),"")</f>
        <v/>
      </c>
      <c r="AW206">
        <f t="shared" si="65"/>
        <v>0</v>
      </c>
      <c r="AX206">
        <f t="shared" si="66"/>
        <v>0</v>
      </c>
      <c r="AY206">
        <f t="shared" si="67"/>
        <v>0</v>
      </c>
    </row>
    <row r="207" customHeight="1" spans="1:51">
      <c r="A207" s="5" t="s">
        <v>324</v>
      </c>
      <c r="C207" s="5">
        <v>2</v>
      </c>
      <c r="D207" s="1" t="s">
        <v>220</v>
      </c>
      <c r="E207" s="1" t="s">
        <v>224</v>
      </c>
      <c r="L207" s="5">
        <f>IFERROR(VLOOKUP($D207&amp;$C207,生产方式定位!$A$2:$E$38,2,FALSE)+VLOOKUP($E207&amp;$C207,生产方式定位!$F$3:$J$38,2,FALSE),0)</f>
        <v>1200</v>
      </c>
      <c r="S207" s="5">
        <f>IFERROR(VLOOKUP($D207&amp;$C207,生产方式定位!$A$2:$E$38,3,FALSE)+VLOOKUP($E207&amp;$C207,生产方式定位!$F$3:$J$38,3,FALSE),0)</f>
        <v>100</v>
      </c>
      <c r="X207" s="5">
        <f>IFERROR(VLOOKUP($D207&amp;$C207,生产方式定位!$A$2:$E$38,5,FALSE)+VLOOKUP($E207&amp;$C207,生产方式定位!$F$3:$J$38,5,FALSE),"错误")</f>
        <v>1346</v>
      </c>
      <c r="Y207" s="27" t="str">
        <f t="shared" si="51"/>
        <v/>
      </c>
      <c r="Z207" s="50" t="str">
        <f t="shared" si="54"/>
        <v/>
      </c>
      <c r="AA207" s="50" t="str">
        <f t="shared" si="52"/>
        <v/>
      </c>
      <c r="AB207" s="28" t="str">
        <f t="shared" si="55"/>
        <v>12%</v>
      </c>
      <c r="AC207" s="1">
        <f t="shared" si="56"/>
        <v>46</v>
      </c>
      <c r="AD207" s="51">
        <f t="shared" si="53"/>
        <v>2</v>
      </c>
      <c r="AE207" t="str">
        <f t="shared" si="57"/>
        <v/>
      </c>
      <c r="AF207" t="str">
        <f t="shared" si="58"/>
        <v/>
      </c>
      <c r="AG207" t="str">
        <f t="shared" si="59"/>
        <v/>
      </c>
      <c r="AH207" t="str">
        <f t="shared" si="60"/>
        <v/>
      </c>
      <c r="AI207" t="str">
        <f t="shared" si="61"/>
        <v/>
      </c>
      <c r="AJ207" t="str">
        <f t="shared" si="62"/>
        <v/>
      </c>
      <c r="AK207" t="str">
        <f t="shared" si="63"/>
        <v/>
      </c>
      <c r="AL207" t="str">
        <f t="shared" si="64"/>
        <v/>
      </c>
      <c r="AN207" t="str">
        <f>IFERROR(ROUND(L207*(G207/$AW207)/VLOOKUP(F207,商品!$A$4:$D$67,4,FALSE),0),"")</f>
        <v/>
      </c>
      <c r="AO207" t="str">
        <f>IFERROR(ROUND(L207*(I207/$AW207)/VLOOKUP(H207,商品!$A$4:$D$67,4,FALSE),0),"")</f>
        <v/>
      </c>
      <c r="AP207" t="str">
        <f>IFERROR(ROUND(L207*(K207/$AW207)/VLOOKUP(J207,商品!$A$4:$D$67,4,FALSE),0),"")</f>
        <v/>
      </c>
      <c r="AQ207" t="str">
        <f>IFERROR(ROUND(S207*(N207/$AX207)/VLOOKUP(M207,职业!$A$3:$E$16,4,FALSE),0),"")</f>
        <v/>
      </c>
      <c r="AR207" t="str">
        <f>IFERROR(ROUND(S207*(P207/$AX207)/VLOOKUP(O207,职业!$A$3:$E$16,4,FALSE),0),"")</f>
        <v/>
      </c>
      <c r="AS207" t="str">
        <f>IFERROR(ROUND(S207*(R207/$AX207)/VLOOKUP(Q207,职业!$A$3:$E$16,4,FALSE),0),"")</f>
        <v/>
      </c>
      <c r="AT207" t="str">
        <f>IFERROR(ROUND(X207*(U207/$AY207)/VLOOKUP(T207,商品!$A$4:$D$67,4,FALSE),0),"")</f>
        <v/>
      </c>
      <c r="AU207" t="str">
        <f>IFERROR(ROUND(X207*(W207/$AY207)/VLOOKUP(V207,商品!$A$4:$D$67,4,FALSE),0),"")</f>
        <v/>
      </c>
      <c r="AW207">
        <f t="shared" si="65"/>
        <v>0</v>
      </c>
      <c r="AX207">
        <f t="shared" si="66"/>
        <v>0</v>
      </c>
      <c r="AY207">
        <f t="shared" si="67"/>
        <v>0</v>
      </c>
    </row>
    <row r="208" customHeight="1" spans="1:51">
      <c r="A208" s="5" t="s">
        <v>324</v>
      </c>
      <c r="C208" s="5">
        <v>3</v>
      </c>
      <c r="D208" s="1" t="s">
        <v>220</v>
      </c>
      <c r="E208" s="1" t="s">
        <v>224</v>
      </c>
      <c r="L208" s="5">
        <f>IFERROR(VLOOKUP($D208&amp;$C208,生产方式定位!$A$2:$E$38,2,FALSE)+VLOOKUP($E208&amp;$C208,生产方式定位!$F$3:$J$38,2,FALSE),0)</f>
        <v>1900</v>
      </c>
      <c r="S208" s="5">
        <f>IFERROR(VLOOKUP($D208&amp;$C208,生产方式定位!$A$2:$E$38,3,FALSE)+VLOOKUP($E208&amp;$C208,生产方式定位!$F$3:$J$38,3,FALSE),0)</f>
        <v>70</v>
      </c>
      <c r="X208" s="5">
        <f>IFERROR(VLOOKUP($D208&amp;$C208,生产方式定位!$A$2:$E$38,5,FALSE)+VLOOKUP($E208&amp;$C208,生产方式定位!$F$3:$J$38,5,FALSE),"错误")</f>
        <v>2064</v>
      </c>
      <c r="Y208" s="27" t="str">
        <f t="shared" si="51"/>
        <v/>
      </c>
      <c r="Z208" s="50" t="str">
        <f t="shared" si="54"/>
        <v/>
      </c>
      <c r="AA208" s="50" t="str">
        <f t="shared" si="52"/>
        <v/>
      </c>
      <c r="AB208" s="28" t="str">
        <f t="shared" si="55"/>
        <v>9%</v>
      </c>
      <c r="AC208" s="1">
        <f t="shared" si="56"/>
        <v>94</v>
      </c>
      <c r="AD208" s="51">
        <f t="shared" si="53"/>
        <v>3</v>
      </c>
      <c r="AE208" t="str">
        <f t="shared" si="57"/>
        <v/>
      </c>
      <c r="AF208" t="str">
        <f t="shared" si="58"/>
        <v/>
      </c>
      <c r="AG208" t="str">
        <f t="shared" si="59"/>
        <v/>
      </c>
      <c r="AH208" t="str">
        <f t="shared" si="60"/>
        <v/>
      </c>
      <c r="AI208" t="str">
        <f t="shared" si="61"/>
        <v/>
      </c>
      <c r="AJ208" t="str">
        <f t="shared" si="62"/>
        <v/>
      </c>
      <c r="AK208" t="str">
        <f t="shared" si="63"/>
        <v/>
      </c>
      <c r="AL208" t="str">
        <f t="shared" si="64"/>
        <v/>
      </c>
      <c r="AN208" t="str">
        <f>IFERROR(ROUND(L208*(G208/$AW208)/VLOOKUP(F208,商品!$A$4:$D$67,4,FALSE),0),"")</f>
        <v/>
      </c>
      <c r="AO208" t="str">
        <f>IFERROR(ROUND(L208*(I208/$AW208)/VLOOKUP(H208,商品!$A$4:$D$67,4,FALSE),0),"")</f>
        <v/>
      </c>
      <c r="AP208" t="str">
        <f>IFERROR(ROUND(L208*(K208/$AW208)/VLOOKUP(J208,商品!$A$4:$D$67,4,FALSE),0),"")</f>
        <v/>
      </c>
      <c r="AQ208" t="str">
        <f>IFERROR(ROUND(S208*(N208/$AX208)/VLOOKUP(M208,职业!$A$3:$E$16,4,FALSE),0),"")</f>
        <v/>
      </c>
      <c r="AR208" t="str">
        <f>IFERROR(ROUND(S208*(P208/$AX208)/VLOOKUP(O208,职业!$A$3:$E$16,4,FALSE),0),"")</f>
        <v/>
      </c>
      <c r="AS208" t="str">
        <f>IFERROR(ROUND(S208*(R208/$AX208)/VLOOKUP(Q208,职业!$A$3:$E$16,4,FALSE),0),"")</f>
        <v/>
      </c>
      <c r="AT208" t="str">
        <f>IFERROR(ROUND(X208*(U208/$AY208)/VLOOKUP(T208,商品!$A$4:$D$67,4,FALSE),0),"")</f>
        <v/>
      </c>
      <c r="AU208" t="str">
        <f>IFERROR(ROUND(X208*(W208/$AY208)/VLOOKUP(V208,商品!$A$4:$D$67,4,FALSE),0),"")</f>
        <v/>
      </c>
      <c r="AW208">
        <f t="shared" si="65"/>
        <v>0</v>
      </c>
      <c r="AX208">
        <f t="shared" si="66"/>
        <v>0</v>
      </c>
      <c r="AY208">
        <f t="shared" si="67"/>
        <v>0</v>
      </c>
    </row>
    <row r="209" customHeight="1" spans="1:51">
      <c r="A209" s="5" t="s">
        <v>324</v>
      </c>
      <c r="C209" s="5">
        <v>4</v>
      </c>
      <c r="D209" s="1" t="s">
        <v>220</v>
      </c>
      <c r="E209" s="1" t="s">
        <v>224</v>
      </c>
      <c r="L209" s="5">
        <f>IFERROR(VLOOKUP($D209&amp;$C209,生产方式定位!$A$2:$E$38,2,FALSE)+VLOOKUP($E209&amp;$C209,生产方式定位!$F$3:$J$38,2,FALSE),0)</f>
        <v>2600</v>
      </c>
      <c r="S209" s="5">
        <f>IFERROR(VLOOKUP($D209&amp;$C209,生产方式定位!$A$2:$E$38,3,FALSE)+VLOOKUP($E209&amp;$C209,生产方式定位!$F$3:$J$38,3,FALSE),0)</f>
        <v>40</v>
      </c>
      <c r="X209" s="5">
        <f>IFERROR(VLOOKUP($D209&amp;$C209,生产方式定位!$A$2:$E$38,5,FALSE)+VLOOKUP($E209&amp;$C209,生产方式定位!$F$3:$J$38,5,FALSE),"错误")</f>
        <v>2782</v>
      </c>
      <c r="Y209" s="27" t="str">
        <f t="shared" si="51"/>
        <v/>
      </c>
      <c r="Z209" s="50" t="str">
        <f t="shared" si="54"/>
        <v/>
      </c>
      <c r="AA209" s="50" t="str">
        <f t="shared" si="52"/>
        <v/>
      </c>
      <c r="AB209" s="28" t="str">
        <f t="shared" si="55"/>
        <v>7%</v>
      </c>
      <c r="AC209" s="1">
        <f t="shared" si="56"/>
        <v>142</v>
      </c>
      <c r="AD209" s="51">
        <f t="shared" si="53"/>
        <v>4</v>
      </c>
      <c r="AE209" t="str">
        <f t="shared" si="57"/>
        <v/>
      </c>
      <c r="AF209" t="str">
        <f t="shared" si="58"/>
        <v/>
      </c>
      <c r="AG209" t="str">
        <f t="shared" si="59"/>
        <v/>
      </c>
      <c r="AH209" t="str">
        <f t="shared" si="60"/>
        <v/>
      </c>
      <c r="AI209" t="str">
        <f t="shared" si="61"/>
        <v/>
      </c>
      <c r="AJ209" t="str">
        <f t="shared" si="62"/>
        <v/>
      </c>
      <c r="AK209" t="str">
        <f t="shared" si="63"/>
        <v/>
      </c>
      <c r="AL209" t="str">
        <f t="shared" si="64"/>
        <v/>
      </c>
      <c r="AN209" t="str">
        <f>IFERROR(ROUND(L209*(G209/$AW209)/VLOOKUP(F209,商品!$A$4:$D$67,4,FALSE),0),"")</f>
        <v/>
      </c>
      <c r="AO209" t="str">
        <f>IFERROR(ROUND(L209*(I209/$AW209)/VLOOKUP(H209,商品!$A$4:$D$67,4,FALSE),0),"")</f>
        <v/>
      </c>
      <c r="AP209" t="str">
        <f>IFERROR(ROUND(L209*(K209/$AW209)/VLOOKUP(J209,商品!$A$4:$D$67,4,FALSE),0),"")</f>
        <v/>
      </c>
      <c r="AQ209" t="str">
        <f>IFERROR(ROUND(S209*(N209/$AX209)/VLOOKUP(M209,职业!$A$3:$E$16,4,FALSE),0),"")</f>
        <v/>
      </c>
      <c r="AR209" t="str">
        <f>IFERROR(ROUND(S209*(P209/$AX209)/VLOOKUP(O209,职业!$A$3:$E$16,4,FALSE),0),"")</f>
        <v/>
      </c>
      <c r="AS209" t="str">
        <f>IFERROR(ROUND(S209*(R209/$AX209)/VLOOKUP(Q209,职业!$A$3:$E$16,4,FALSE),0),"")</f>
        <v/>
      </c>
      <c r="AT209" t="str">
        <f>IFERROR(ROUND(X209*(U209/$AY209)/VLOOKUP(T209,商品!$A$4:$D$67,4,FALSE),0),"")</f>
        <v/>
      </c>
      <c r="AU209" t="str">
        <f>IFERROR(ROUND(X209*(W209/$AY209)/VLOOKUP(V209,商品!$A$4:$D$67,4,FALSE),0),"")</f>
        <v/>
      </c>
      <c r="AW209">
        <f t="shared" si="65"/>
        <v>0</v>
      </c>
      <c r="AX209">
        <f t="shared" si="66"/>
        <v>0</v>
      </c>
      <c r="AY209">
        <f t="shared" si="67"/>
        <v>0</v>
      </c>
    </row>
    <row r="210" customHeight="1" spans="1:51">
      <c r="A210" s="5" t="s">
        <v>324</v>
      </c>
      <c r="C210" s="5">
        <v>5</v>
      </c>
      <c r="D210" s="1" t="s">
        <v>220</v>
      </c>
      <c r="E210" s="1" t="s">
        <v>224</v>
      </c>
      <c r="L210" s="5">
        <f>IFERROR(VLOOKUP($D210&amp;$C210,生产方式定位!$A$2:$E$38,2,FALSE)+VLOOKUP($E210&amp;$C210,生产方式定位!$F$3:$J$38,2,FALSE),0)</f>
        <v>3300</v>
      </c>
      <c r="S210" s="5">
        <f>IFERROR(VLOOKUP($D210&amp;$C210,生产方式定位!$A$2:$E$38,3,FALSE)+VLOOKUP($E210&amp;$C210,生产方式定位!$F$3:$J$38,3,FALSE),0)</f>
        <v>10</v>
      </c>
      <c r="X210" s="5">
        <f>IFERROR(VLOOKUP($D210&amp;$C210,生产方式定位!$A$2:$E$38,5,FALSE)+VLOOKUP($E210&amp;$C210,生产方式定位!$F$3:$J$38,5,FALSE),"错误")</f>
        <v>3500</v>
      </c>
      <c r="Y210" s="27" t="str">
        <f t="shared" si="51"/>
        <v/>
      </c>
      <c r="Z210" s="50" t="str">
        <f t="shared" si="54"/>
        <v/>
      </c>
      <c r="AA210" s="50" t="str">
        <f t="shared" si="52"/>
        <v/>
      </c>
      <c r="AB210" s="28" t="str">
        <f t="shared" si="55"/>
        <v>6%</v>
      </c>
      <c r="AC210" s="1">
        <f t="shared" si="56"/>
        <v>190</v>
      </c>
      <c r="AD210" s="51">
        <f t="shared" si="53"/>
        <v>5</v>
      </c>
      <c r="AE210" t="str">
        <f t="shared" si="57"/>
        <v/>
      </c>
      <c r="AF210" t="str">
        <f t="shared" si="58"/>
        <v/>
      </c>
      <c r="AG210" t="str">
        <f t="shared" si="59"/>
        <v/>
      </c>
      <c r="AH210" t="str">
        <f t="shared" si="60"/>
        <v/>
      </c>
      <c r="AI210" t="str">
        <f t="shared" si="61"/>
        <v/>
      </c>
      <c r="AJ210" t="str">
        <f t="shared" si="62"/>
        <v/>
      </c>
      <c r="AK210" t="str">
        <f t="shared" si="63"/>
        <v/>
      </c>
      <c r="AL210" t="str">
        <f t="shared" si="64"/>
        <v/>
      </c>
      <c r="AN210" t="str">
        <f>IFERROR(ROUND(L210*(G210/$AW210)/VLOOKUP(F210,商品!$A$4:$D$67,4,FALSE),0),"")</f>
        <v/>
      </c>
      <c r="AO210" t="str">
        <f>IFERROR(ROUND(L210*(I210/$AW210)/VLOOKUP(H210,商品!$A$4:$D$67,4,FALSE),0),"")</f>
        <v/>
      </c>
      <c r="AP210" t="str">
        <f>IFERROR(ROUND(L210*(K210/$AW210)/VLOOKUP(J210,商品!$A$4:$D$67,4,FALSE),0),"")</f>
        <v/>
      </c>
      <c r="AQ210" t="str">
        <f>IFERROR(ROUND(S210*(N210/$AX210)/VLOOKUP(M210,职业!$A$3:$E$16,4,FALSE),0),"")</f>
        <v/>
      </c>
      <c r="AR210" t="str">
        <f>IFERROR(ROUND(S210*(P210/$AX210)/VLOOKUP(O210,职业!$A$3:$E$16,4,FALSE),0),"")</f>
        <v/>
      </c>
      <c r="AS210" t="str">
        <f>IFERROR(ROUND(S210*(R210/$AX210)/VLOOKUP(Q210,职业!$A$3:$E$16,4,FALSE),0),"")</f>
        <v/>
      </c>
      <c r="AT210" t="str">
        <f>IFERROR(ROUND(X210*(U210/$AY210)/VLOOKUP(T210,商品!$A$4:$D$67,4,FALSE),0),"")</f>
        <v/>
      </c>
      <c r="AU210" t="str">
        <f>IFERROR(ROUND(X210*(W210/$AY210)/VLOOKUP(V210,商品!$A$4:$D$67,4,FALSE),0),"")</f>
        <v/>
      </c>
      <c r="AW210">
        <f t="shared" si="65"/>
        <v>0</v>
      </c>
      <c r="AX210">
        <f t="shared" si="66"/>
        <v>0</v>
      </c>
      <c r="AY210">
        <f t="shared" si="67"/>
        <v>0</v>
      </c>
    </row>
    <row r="211" customHeight="1" spans="1:51">
      <c r="A211" s="18" t="s">
        <v>325</v>
      </c>
      <c r="C211" s="18">
        <v>1</v>
      </c>
      <c r="D211" s="1" t="s">
        <v>291</v>
      </c>
      <c r="E211" s="1" t="s">
        <v>225</v>
      </c>
      <c r="L211" s="18">
        <f>IFERROR(VLOOKUP($D211&amp;$C211,生产方式定位!$A$2:$E$38,2,FALSE)+VLOOKUP($E211&amp;$C211,生产方式定位!$F$3:$J$38,2,FALSE),0)</f>
        <v>0</v>
      </c>
      <c r="S211" s="18">
        <f>IFERROR(VLOOKUP($D211&amp;$C211,生产方式定位!$A$2:$E$38,3,FALSE)+VLOOKUP($E211&amp;$C211,生产方式定位!$F$3:$J$38,3,FALSE),0)</f>
        <v>100</v>
      </c>
      <c r="X211" s="18">
        <f>IFERROR(VLOOKUP($D211&amp;$C211,生产方式定位!$A$2:$E$38,5,FALSE)+VLOOKUP($E211&amp;$C211,生产方式定位!$F$3:$J$38,5,FALSE),"错误")</f>
        <v>100</v>
      </c>
      <c r="Y211" s="27" t="str">
        <f t="shared" si="51"/>
        <v/>
      </c>
      <c r="Z211" s="50" t="str">
        <f t="shared" si="54"/>
        <v/>
      </c>
      <c r="AA211" s="50" t="str">
        <f t="shared" si="52"/>
        <v/>
      </c>
      <c r="AB211" s="28" t="str">
        <f t="shared" si="55"/>
        <v/>
      </c>
      <c r="AC211" s="1" t="str">
        <f t="shared" si="56"/>
        <v/>
      </c>
      <c r="AD211" s="52">
        <f t="shared" si="53"/>
        <v>1</v>
      </c>
      <c r="AE211" t="str">
        <f t="shared" si="57"/>
        <v/>
      </c>
      <c r="AF211" t="str">
        <f t="shared" si="58"/>
        <v/>
      </c>
      <c r="AG211" t="str">
        <f t="shared" si="59"/>
        <v/>
      </c>
      <c r="AH211" t="str">
        <f t="shared" si="60"/>
        <v/>
      </c>
      <c r="AI211" t="str">
        <f t="shared" si="61"/>
        <v/>
      </c>
      <c r="AJ211" t="str">
        <f t="shared" si="62"/>
        <v/>
      </c>
      <c r="AK211" t="str">
        <f t="shared" si="63"/>
        <v/>
      </c>
      <c r="AL211" t="str">
        <f t="shared" si="64"/>
        <v/>
      </c>
      <c r="AN211" t="str">
        <f>IFERROR(ROUND(L211*(G211/$AW211)/VLOOKUP(F211,商品!$A$4:$D$67,4,FALSE),0),"")</f>
        <v/>
      </c>
      <c r="AO211" t="str">
        <f>IFERROR(ROUND(L211*(I211/$AW211)/VLOOKUP(H211,商品!$A$4:$D$67,4,FALSE),0),"")</f>
        <v/>
      </c>
      <c r="AP211" t="str">
        <f>IFERROR(ROUND(L211*(K211/$AW211)/VLOOKUP(J211,商品!$A$4:$D$67,4,FALSE),0),"")</f>
        <v/>
      </c>
      <c r="AQ211" t="str">
        <f>IFERROR(ROUND(S211*(N211/$AX211)/VLOOKUP(M211,职业!$A$3:$E$16,4,FALSE),0),"")</f>
        <v/>
      </c>
      <c r="AR211" t="str">
        <f>IFERROR(ROUND(S211*(P211/$AX211)/VLOOKUP(O211,职业!$A$3:$E$16,4,FALSE),0),"")</f>
        <v/>
      </c>
      <c r="AS211" t="str">
        <f>IFERROR(ROUND(S211*(R211/$AX211)/VLOOKUP(Q211,职业!$A$3:$E$16,4,FALSE),0),"")</f>
        <v/>
      </c>
      <c r="AT211" t="str">
        <f>IFERROR(ROUND(X211*(U211/$AY211)/VLOOKUP(T211,商品!$A$4:$D$67,4,FALSE),0),"")</f>
        <v/>
      </c>
      <c r="AU211" t="str">
        <f>IFERROR(ROUND(X211*(W211/$AY211)/VLOOKUP(V211,商品!$A$4:$D$67,4,FALSE),0),"")</f>
        <v/>
      </c>
      <c r="AW211">
        <f t="shared" si="65"/>
        <v>0</v>
      </c>
      <c r="AX211">
        <f t="shared" si="66"/>
        <v>0</v>
      </c>
      <c r="AY211">
        <f t="shared" si="67"/>
        <v>0</v>
      </c>
    </row>
    <row r="212" customHeight="1" spans="1:51">
      <c r="A212" s="18" t="s">
        <v>325</v>
      </c>
      <c r="C212" s="18">
        <v>2</v>
      </c>
      <c r="D212" s="1" t="s">
        <v>291</v>
      </c>
      <c r="E212" s="1" t="s">
        <v>225</v>
      </c>
      <c r="L212" s="18">
        <f>IFERROR(VLOOKUP($D212&amp;$C212,生产方式定位!$A$2:$E$38,2,FALSE)+VLOOKUP($E212&amp;$C212,生产方式定位!$F$3:$J$38,2,FALSE),0)</f>
        <v>0</v>
      </c>
      <c r="S212" s="18">
        <f>IFERROR(VLOOKUP($D212&amp;$C212,生产方式定位!$A$2:$E$38,3,FALSE)+VLOOKUP($E212&amp;$C212,生产方式定位!$F$3:$J$38,3,FALSE),0)</f>
        <v>100</v>
      </c>
      <c r="X212" s="18">
        <f>IFERROR(VLOOKUP($D212&amp;$C212,生产方式定位!$A$2:$E$38,5,FALSE)+VLOOKUP($E212&amp;$C212,生产方式定位!$F$3:$J$38,5,FALSE),"错误")</f>
        <v>100</v>
      </c>
      <c r="Y212" s="27" t="str">
        <f t="shared" si="51"/>
        <v/>
      </c>
      <c r="Z212" s="50" t="str">
        <f t="shared" si="54"/>
        <v/>
      </c>
      <c r="AA212" s="50" t="str">
        <f t="shared" si="52"/>
        <v/>
      </c>
      <c r="AB212" s="28" t="str">
        <f t="shared" si="55"/>
        <v/>
      </c>
      <c r="AC212" s="1" t="str">
        <f t="shared" si="56"/>
        <v/>
      </c>
      <c r="AD212" s="52">
        <f t="shared" si="53"/>
        <v>2</v>
      </c>
      <c r="AE212" t="str">
        <f t="shared" si="57"/>
        <v/>
      </c>
      <c r="AF212" t="str">
        <f t="shared" si="58"/>
        <v/>
      </c>
      <c r="AG212" t="str">
        <f t="shared" si="59"/>
        <v/>
      </c>
      <c r="AH212" t="str">
        <f t="shared" si="60"/>
        <v/>
      </c>
      <c r="AI212" t="str">
        <f t="shared" si="61"/>
        <v/>
      </c>
      <c r="AJ212" t="str">
        <f t="shared" si="62"/>
        <v/>
      </c>
      <c r="AK212" t="str">
        <f t="shared" si="63"/>
        <v/>
      </c>
      <c r="AL212" t="str">
        <f t="shared" si="64"/>
        <v/>
      </c>
      <c r="AN212" t="str">
        <f>IFERROR(ROUND(L212*(G212/$AW212)/VLOOKUP(F212,商品!$A$4:$D$67,4,FALSE),0),"")</f>
        <v/>
      </c>
      <c r="AO212" t="str">
        <f>IFERROR(ROUND(L212*(I212/$AW212)/VLOOKUP(H212,商品!$A$4:$D$67,4,FALSE),0),"")</f>
        <v/>
      </c>
      <c r="AP212" t="str">
        <f>IFERROR(ROUND(L212*(K212/$AW212)/VLOOKUP(J212,商品!$A$4:$D$67,4,FALSE),0),"")</f>
        <v/>
      </c>
      <c r="AQ212" t="str">
        <f>IFERROR(ROUND(S212*(N212/$AX212)/VLOOKUP(M212,职业!$A$3:$E$16,4,FALSE),0),"")</f>
        <v/>
      </c>
      <c r="AR212" t="str">
        <f>IFERROR(ROUND(S212*(P212/$AX212)/VLOOKUP(O212,职业!$A$3:$E$16,4,FALSE),0),"")</f>
        <v/>
      </c>
      <c r="AS212" t="str">
        <f>IFERROR(ROUND(S212*(R212/$AX212)/VLOOKUP(Q212,职业!$A$3:$E$16,4,FALSE),0),"")</f>
        <v/>
      </c>
      <c r="AT212" t="str">
        <f>IFERROR(ROUND(X212*(U212/$AY212)/VLOOKUP(T212,商品!$A$4:$D$67,4,FALSE),0),"")</f>
        <v/>
      </c>
      <c r="AU212" t="str">
        <f>IFERROR(ROUND(X212*(W212/$AY212)/VLOOKUP(V212,商品!$A$4:$D$67,4,FALSE),0),"")</f>
        <v/>
      </c>
      <c r="AW212">
        <f t="shared" si="65"/>
        <v>0</v>
      </c>
      <c r="AX212">
        <f t="shared" si="66"/>
        <v>0</v>
      </c>
      <c r="AY212">
        <f t="shared" si="67"/>
        <v>0</v>
      </c>
    </row>
    <row r="213" customHeight="1" spans="1:51">
      <c r="A213" s="18" t="s">
        <v>325</v>
      </c>
      <c r="C213" s="18">
        <v>3</v>
      </c>
      <c r="D213" s="1" t="s">
        <v>291</v>
      </c>
      <c r="E213" s="1" t="s">
        <v>225</v>
      </c>
      <c r="L213" s="18">
        <f>IFERROR(VLOOKUP($D213&amp;$C213,生产方式定位!$A$2:$E$38,2,FALSE)+VLOOKUP($E213&amp;$C213,生产方式定位!$F$3:$J$38,2,FALSE),0)</f>
        <v>0</v>
      </c>
      <c r="S213" s="18">
        <f>IFERROR(VLOOKUP($D213&amp;$C213,生产方式定位!$A$2:$E$38,3,FALSE)+VLOOKUP($E213&amp;$C213,生产方式定位!$F$3:$J$38,3,FALSE),0)</f>
        <v>100</v>
      </c>
      <c r="X213" s="18">
        <f>IFERROR(VLOOKUP($D213&amp;$C213,生产方式定位!$A$2:$E$38,5,FALSE)+VLOOKUP($E213&amp;$C213,生产方式定位!$F$3:$J$38,5,FALSE),"错误")</f>
        <v>100</v>
      </c>
      <c r="Y213" s="27" t="str">
        <f t="shared" si="51"/>
        <v/>
      </c>
      <c r="Z213" s="50" t="str">
        <f t="shared" si="54"/>
        <v/>
      </c>
      <c r="AA213" s="50" t="str">
        <f t="shared" si="52"/>
        <v/>
      </c>
      <c r="AB213" s="28" t="str">
        <f t="shared" si="55"/>
        <v/>
      </c>
      <c r="AC213" s="1" t="str">
        <f t="shared" si="56"/>
        <v/>
      </c>
      <c r="AD213" s="52">
        <f t="shared" si="53"/>
        <v>3</v>
      </c>
      <c r="AE213" t="str">
        <f t="shared" si="57"/>
        <v/>
      </c>
      <c r="AF213" t="str">
        <f t="shared" si="58"/>
        <v/>
      </c>
      <c r="AG213" t="str">
        <f t="shared" si="59"/>
        <v/>
      </c>
      <c r="AH213" t="str">
        <f t="shared" si="60"/>
        <v/>
      </c>
      <c r="AI213" t="str">
        <f t="shared" si="61"/>
        <v/>
      </c>
      <c r="AJ213" t="str">
        <f t="shared" si="62"/>
        <v/>
      </c>
      <c r="AK213" t="str">
        <f t="shared" si="63"/>
        <v/>
      </c>
      <c r="AL213" t="str">
        <f t="shared" si="64"/>
        <v/>
      </c>
      <c r="AN213" t="str">
        <f>IFERROR(ROUND(L213*(G213/$AW213)/VLOOKUP(F213,商品!$A$4:$D$67,4,FALSE),0),"")</f>
        <v/>
      </c>
      <c r="AO213" t="str">
        <f>IFERROR(ROUND(L213*(I213/$AW213)/VLOOKUP(H213,商品!$A$4:$D$67,4,FALSE),0),"")</f>
        <v/>
      </c>
      <c r="AP213" t="str">
        <f>IFERROR(ROUND(L213*(K213/$AW213)/VLOOKUP(J213,商品!$A$4:$D$67,4,FALSE),0),"")</f>
        <v/>
      </c>
      <c r="AQ213" t="str">
        <f>IFERROR(ROUND(S213*(N213/$AX213)/VLOOKUP(M213,职业!$A$3:$E$16,4,FALSE),0),"")</f>
        <v/>
      </c>
      <c r="AR213" t="str">
        <f>IFERROR(ROUND(S213*(P213/$AX213)/VLOOKUP(O213,职业!$A$3:$E$16,4,FALSE),0),"")</f>
        <v/>
      </c>
      <c r="AS213" t="str">
        <f>IFERROR(ROUND(S213*(R213/$AX213)/VLOOKUP(Q213,职业!$A$3:$E$16,4,FALSE),0),"")</f>
        <v/>
      </c>
      <c r="AT213" t="str">
        <f>IFERROR(ROUND(X213*(U213/$AY213)/VLOOKUP(T213,商品!$A$4:$D$67,4,FALSE),0),"")</f>
        <v/>
      </c>
      <c r="AU213" t="str">
        <f>IFERROR(ROUND(X213*(W213/$AY213)/VLOOKUP(V213,商品!$A$4:$D$67,4,FALSE),0),"")</f>
        <v/>
      </c>
      <c r="AW213">
        <f t="shared" si="65"/>
        <v>0</v>
      </c>
      <c r="AX213">
        <f t="shared" si="66"/>
        <v>0</v>
      </c>
      <c r="AY213">
        <f t="shared" si="67"/>
        <v>0</v>
      </c>
    </row>
    <row r="214" customHeight="1" spans="1:51">
      <c r="A214" s="18" t="s">
        <v>325</v>
      </c>
      <c r="C214" s="18">
        <v>4</v>
      </c>
      <c r="D214" s="1" t="s">
        <v>291</v>
      </c>
      <c r="E214" s="1" t="s">
        <v>225</v>
      </c>
      <c r="L214" s="18">
        <f>IFERROR(VLOOKUP($D214&amp;$C214,生产方式定位!$A$2:$E$38,2,FALSE)+VLOOKUP($E214&amp;$C214,生产方式定位!$F$3:$J$38,2,FALSE),0)</f>
        <v>0</v>
      </c>
      <c r="S214" s="18">
        <f>IFERROR(VLOOKUP($D214&amp;$C214,生产方式定位!$A$2:$E$38,3,FALSE)+VLOOKUP($E214&amp;$C214,生产方式定位!$F$3:$J$38,3,FALSE),0)</f>
        <v>100</v>
      </c>
      <c r="X214" s="18">
        <f>IFERROR(VLOOKUP($D214&amp;$C214,生产方式定位!$A$2:$E$38,5,FALSE)+VLOOKUP($E214&amp;$C214,生产方式定位!$F$3:$J$38,5,FALSE),"错误")</f>
        <v>100</v>
      </c>
      <c r="Y214" s="27" t="str">
        <f t="shared" si="51"/>
        <v/>
      </c>
      <c r="Z214" s="50" t="str">
        <f t="shared" si="54"/>
        <v/>
      </c>
      <c r="AA214" s="50" t="str">
        <f t="shared" si="52"/>
        <v/>
      </c>
      <c r="AB214" s="28" t="str">
        <f t="shared" si="55"/>
        <v/>
      </c>
      <c r="AC214" s="1" t="str">
        <f t="shared" si="56"/>
        <v/>
      </c>
      <c r="AD214" s="52">
        <f t="shared" si="53"/>
        <v>4</v>
      </c>
      <c r="AE214" t="str">
        <f t="shared" si="57"/>
        <v/>
      </c>
      <c r="AF214" t="str">
        <f t="shared" si="58"/>
        <v/>
      </c>
      <c r="AG214" t="str">
        <f t="shared" si="59"/>
        <v/>
      </c>
      <c r="AH214" t="str">
        <f t="shared" si="60"/>
        <v/>
      </c>
      <c r="AI214" t="str">
        <f t="shared" si="61"/>
        <v/>
      </c>
      <c r="AJ214" t="str">
        <f t="shared" si="62"/>
        <v/>
      </c>
      <c r="AK214" t="str">
        <f t="shared" si="63"/>
        <v/>
      </c>
      <c r="AL214" t="str">
        <f t="shared" si="64"/>
        <v/>
      </c>
      <c r="AN214" t="str">
        <f>IFERROR(ROUND(L214*(G214/$AW214)/VLOOKUP(F214,商品!$A$4:$D$67,4,FALSE),0),"")</f>
        <v/>
      </c>
      <c r="AO214" t="str">
        <f>IFERROR(ROUND(L214*(I214/$AW214)/VLOOKUP(H214,商品!$A$4:$D$67,4,FALSE),0),"")</f>
        <v/>
      </c>
      <c r="AP214" t="str">
        <f>IFERROR(ROUND(L214*(K214/$AW214)/VLOOKUP(J214,商品!$A$4:$D$67,4,FALSE),0),"")</f>
        <v/>
      </c>
      <c r="AQ214" t="str">
        <f>IFERROR(ROUND(S214*(N214/$AX214)/VLOOKUP(M214,职业!$A$3:$E$16,4,FALSE),0),"")</f>
        <v/>
      </c>
      <c r="AR214" t="str">
        <f>IFERROR(ROUND(S214*(P214/$AX214)/VLOOKUP(O214,职业!$A$3:$E$16,4,FALSE),0),"")</f>
        <v/>
      </c>
      <c r="AS214" t="str">
        <f>IFERROR(ROUND(S214*(R214/$AX214)/VLOOKUP(Q214,职业!$A$3:$E$16,4,FALSE),0),"")</f>
        <v/>
      </c>
      <c r="AT214" t="str">
        <f>IFERROR(ROUND(X214*(U214/$AY214)/VLOOKUP(T214,商品!$A$4:$D$67,4,FALSE),0),"")</f>
        <v/>
      </c>
      <c r="AU214" t="str">
        <f>IFERROR(ROUND(X214*(W214/$AY214)/VLOOKUP(V214,商品!$A$4:$D$67,4,FALSE),0),"")</f>
        <v/>
      </c>
      <c r="AW214">
        <f t="shared" si="65"/>
        <v>0</v>
      </c>
      <c r="AX214">
        <f t="shared" si="66"/>
        <v>0</v>
      </c>
      <c r="AY214">
        <f t="shared" si="67"/>
        <v>0</v>
      </c>
    </row>
    <row r="215" customHeight="1" spans="1:51">
      <c r="A215" s="18" t="s">
        <v>325</v>
      </c>
      <c r="C215" s="18">
        <v>5</v>
      </c>
      <c r="D215" s="1" t="s">
        <v>291</v>
      </c>
      <c r="E215" s="1" t="s">
        <v>225</v>
      </c>
      <c r="L215" s="18">
        <f>IFERROR(VLOOKUP($D215&amp;$C215,生产方式定位!$A$2:$E$38,2,FALSE)+VLOOKUP($E215&amp;$C215,生产方式定位!$F$3:$J$38,2,FALSE),0)</f>
        <v>0</v>
      </c>
      <c r="S215" s="18">
        <f>IFERROR(VLOOKUP($D215&amp;$C215,生产方式定位!$A$2:$E$38,3,FALSE)+VLOOKUP($E215&amp;$C215,生产方式定位!$F$3:$J$38,3,FALSE),0)</f>
        <v>100</v>
      </c>
      <c r="X215" s="18">
        <f>IFERROR(VLOOKUP($D215&amp;$C215,生产方式定位!$A$2:$E$38,5,FALSE)+VLOOKUP($E215&amp;$C215,生产方式定位!$F$3:$J$38,5,FALSE),"错误")</f>
        <v>100</v>
      </c>
      <c r="Y215" s="27" t="str">
        <f t="shared" si="51"/>
        <v/>
      </c>
      <c r="Z215" s="50" t="str">
        <f t="shared" si="54"/>
        <v/>
      </c>
      <c r="AA215" s="50" t="str">
        <f t="shared" si="52"/>
        <v/>
      </c>
      <c r="AB215" s="28" t="str">
        <f t="shared" si="55"/>
        <v/>
      </c>
      <c r="AC215" s="1" t="str">
        <f t="shared" si="56"/>
        <v/>
      </c>
      <c r="AD215" s="52">
        <f t="shared" si="53"/>
        <v>5</v>
      </c>
      <c r="AE215" t="str">
        <f t="shared" si="57"/>
        <v/>
      </c>
      <c r="AF215" t="str">
        <f t="shared" si="58"/>
        <v/>
      </c>
      <c r="AG215" t="str">
        <f t="shared" si="59"/>
        <v/>
      </c>
      <c r="AH215" t="str">
        <f t="shared" si="60"/>
        <v/>
      </c>
      <c r="AI215" t="str">
        <f t="shared" si="61"/>
        <v/>
      </c>
      <c r="AJ215" t="str">
        <f t="shared" si="62"/>
        <v/>
      </c>
      <c r="AK215" t="str">
        <f t="shared" si="63"/>
        <v/>
      </c>
      <c r="AL215" t="str">
        <f t="shared" si="64"/>
        <v/>
      </c>
      <c r="AN215" t="str">
        <f>IFERROR(ROUND(L215*(G215/$AW215)/VLOOKUP(F215,商品!$A$4:$D$67,4,FALSE),0),"")</f>
        <v/>
      </c>
      <c r="AO215" t="str">
        <f>IFERROR(ROUND(L215*(I215/$AW215)/VLOOKUP(H215,商品!$A$4:$D$67,4,FALSE),0),"")</f>
        <v/>
      </c>
      <c r="AP215" t="str">
        <f>IFERROR(ROUND(L215*(K215/$AW215)/VLOOKUP(J215,商品!$A$4:$D$67,4,FALSE),0),"")</f>
        <v/>
      </c>
      <c r="AQ215" t="str">
        <f>IFERROR(ROUND(S215*(N215/$AX215)/VLOOKUP(M215,职业!$A$3:$E$16,4,FALSE),0),"")</f>
        <v/>
      </c>
      <c r="AR215" t="str">
        <f>IFERROR(ROUND(S215*(P215/$AX215)/VLOOKUP(O215,职业!$A$3:$E$16,4,FALSE),0),"")</f>
        <v/>
      </c>
      <c r="AS215" t="str">
        <f>IFERROR(ROUND(S215*(R215/$AX215)/VLOOKUP(Q215,职业!$A$3:$E$16,4,FALSE),0),"")</f>
        <v/>
      </c>
      <c r="AT215" t="str">
        <f>IFERROR(ROUND(X215*(U215/$AY215)/VLOOKUP(T215,商品!$A$4:$D$67,4,FALSE),0),"")</f>
        <v/>
      </c>
      <c r="AU215" t="str">
        <f>IFERROR(ROUND(X215*(W215/$AY215)/VLOOKUP(V215,商品!$A$4:$D$67,4,FALSE),0),"")</f>
        <v/>
      </c>
      <c r="AW215">
        <f t="shared" si="65"/>
        <v>0</v>
      </c>
      <c r="AX215">
        <f t="shared" si="66"/>
        <v>0</v>
      </c>
      <c r="AY215">
        <f t="shared" si="67"/>
        <v>0</v>
      </c>
    </row>
    <row r="216" customHeight="1" spans="1:51">
      <c r="A216" s="18" t="s">
        <v>325</v>
      </c>
      <c r="C216" s="18">
        <v>6</v>
      </c>
      <c r="D216" s="1" t="s">
        <v>291</v>
      </c>
      <c r="E216" s="1" t="s">
        <v>225</v>
      </c>
      <c r="L216" s="18">
        <f>IFERROR(VLOOKUP($D216&amp;$C216,生产方式定位!$A$2:$E$38,2,FALSE)+VLOOKUP($E216&amp;$C216,生产方式定位!$F$3:$J$38,2,FALSE),0)</f>
        <v>0</v>
      </c>
      <c r="S216" s="18">
        <f>IFERROR(VLOOKUP($D216&amp;$C216,生产方式定位!$A$2:$E$38,3,FALSE)+VLOOKUP($E216&amp;$C216,生产方式定位!$F$3:$J$38,3,FALSE),0)</f>
        <v>100</v>
      </c>
      <c r="X216" s="18">
        <f>IFERROR(VLOOKUP($D216&amp;$C216,生产方式定位!$A$2:$E$38,5,FALSE)+VLOOKUP($E216&amp;$C216,生产方式定位!$F$3:$J$38,5,FALSE),"错误")</f>
        <v>100</v>
      </c>
      <c r="Y216" s="27" t="str">
        <f t="shared" si="51"/>
        <v/>
      </c>
      <c r="Z216" s="50" t="str">
        <f t="shared" si="54"/>
        <v/>
      </c>
      <c r="AA216" s="50" t="str">
        <f t="shared" si="52"/>
        <v/>
      </c>
      <c r="AB216" s="28" t="str">
        <f t="shared" si="55"/>
        <v/>
      </c>
      <c r="AC216" s="1" t="str">
        <f t="shared" si="56"/>
        <v/>
      </c>
      <c r="AD216" s="52">
        <f t="shared" si="53"/>
        <v>6</v>
      </c>
      <c r="AE216" t="str">
        <f t="shared" si="57"/>
        <v/>
      </c>
      <c r="AF216" t="str">
        <f t="shared" si="58"/>
        <v/>
      </c>
      <c r="AG216" t="str">
        <f t="shared" si="59"/>
        <v/>
      </c>
      <c r="AH216" t="str">
        <f t="shared" si="60"/>
        <v/>
      </c>
      <c r="AI216" t="str">
        <f t="shared" si="61"/>
        <v/>
      </c>
      <c r="AJ216" t="str">
        <f t="shared" si="62"/>
        <v/>
      </c>
      <c r="AK216" t="str">
        <f t="shared" si="63"/>
        <v/>
      </c>
      <c r="AL216" t="str">
        <f t="shared" si="64"/>
        <v/>
      </c>
      <c r="AN216" t="str">
        <f>IFERROR(ROUND(L216*(G216/$AW216)/VLOOKUP(F216,商品!$A$4:$D$67,4,FALSE),0),"")</f>
        <v/>
      </c>
      <c r="AO216" t="str">
        <f>IFERROR(ROUND(L216*(I216/$AW216)/VLOOKUP(H216,商品!$A$4:$D$67,4,FALSE),0),"")</f>
        <v/>
      </c>
      <c r="AP216" t="str">
        <f>IFERROR(ROUND(L216*(K216/$AW216)/VLOOKUP(J216,商品!$A$4:$D$67,4,FALSE),0),"")</f>
        <v/>
      </c>
      <c r="AQ216" t="str">
        <f>IFERROR(ROUND(S216*(N216/$AX216)/VLOOKUP(M216,职业!$A$3:$E$16,4,FALSE),0),"")</f>
        <v/>
      </c>
      <c r="AR216" t="str">
        <f>IFERROR(ROUND(S216*(P216/$AX216)/VLOOKUP(O216,职业!$A$3:$E$16,4,FALSE),0),"")</f>
        <v/>
      </c>
      <c r="AS216" t="str">
        <f>IFERROR(ROUND(S216*(R216/$AX216)/VLOOKUP(Q216,职业!$A$3:$E$16,4,FALSE),0),"")</f>
        <v/>
      </c>
      <c r="AT216" t="str">
        <f>IFERROR(ROUND(X216*(U216/$AY216)/VLOOKUP(T216,商品!$A$4:$D$67,4,FALSE),0),"")</f>
        <v/>
      </c>
      <c r="AU216" t="str">
        <f>IFERROR(ROUND(X216*(W216/$AY216)/VLOOKUP(V216,商品!$A$4:$D$67,4,FALSE),0),"")</f>
        <v/>
      </c>
      <c r="AW216">
        <f t="shared" si="65"/>
        <v>0</v>
      </c>
      <c r="AX216">
        <f t="shared" si="66"/>
        <v>0</v>
      </c>
      <c r="AY216">
        <f t="shared" si="67"/>
        <v>0</v>
      </c>
    </row>
    <row r="217" customHeight="1" spans="1:51">
      <c r="A217" s="18" t="s">
        <v>325</v>
      </c>
      <c r="C217" s="18">
        <v>7</v>
      </c>
      <c r="D217" s="1" t="s">
        <v>291</v>
      </c>
      <c r="E217" s="1" t="s">
        <v>225</v>
      </c>
      <c r="L217" s="18">
        <f>IFERROR(VLOOKUP($D217&amp;$C217,生产方式定位!$A$2:$E$38,2,FALSE)+VLOOKUP($E217&amp;$C217,生产方式定位!$F$3:$J$38,2,FALSE),0)</f>
        <v>0</v>
      </c>
      <c r="S217" s="18">
        <f>IFERROR(VLOOKUP($D217&amp;$C217,生产方式定位!$A$2:$E$38,3,FALSE)+VLOOKUP($E217&amp;$C217,生产方式定位!$F$3:$J$38,3,FALSE),0)</f>
        <v>100</v>
      </c>
      <c r="X217" s="18">
        <f>IFERROR(VLOOKUP($D217&amp;$C217,生产方式定位!$A$2:$E$38,5,FALSE)+VLOOKUP($E217&amp;$C217,生产方式定位!$F$3:$J$38,5,FALSE),"错误")</f>
        <v>100</v>
      </c>
      <c r="Y217" s="27" t="str">
        <f t="shared" si="51"/>
        <v/>
      </c>
      <c r="Z217" s="50" t="str">
        <f t="shared" si="54"/>
        <v/>
      </c>
      <c r="AA217" s="50" t="str">
        <f t="shared" si="52"/>
        <v/>
      </c>
      <c r="AB217" s="28" t="str">
        <f t="shared" si="55"/>
        <v/>
      </c>
      <c r="AC217" s="1" t="str">
        <f t="shared" si="56"/>
        <v/>
      </c>
      <c r="AD217" s="52">
        <f t="shared" si="53"/>
        <v>7</v>
      </c>
      <c r="AE217" t="str">
        <f t="shared" si="57"/>
        <v/>
      </c>
      <c r="AF217" t="str">
        <f t="shared" si="58"/>
        <v/>
      </c>
      <c r="AG217" t="str">
        <f t="shared" si="59"/>
        <v/>
      </c>
      <c r="AH217" t="str">
        <f t="shared" si="60"/>
        <v/>
      </c>
      <c r="AI217" t="str">
        <f t="shared" si="61"/>
        <v/>
      </c>
      <c r="AJ217" t="str">
        <f t="shared" si="62"/>
        <v/>
      </c>
      <c r="AK217" t="str">
        <f t="shared" si="63"/>
        <v/>
      </c>
      <c r="AL217" t="str">
        <f t="shared" si="64"/>
        <v/>
      </c>
      <c r="AN217" t="str">
        <f>IFERROR(ROUND(L217*(G217/$AW217)/VLOOKUP(F217,商品!$A$4:$D$67,4,FALSE),0),"")</f>
        <v/>
      </c>
      <c r="AO217" t="str">
        <f>IFERROR(ROUND(L217*(I217/$AW217)/VLOOKUP(H217,商品!$A$4:$D$67,4,FALSE),0),"")</f>
        <v/>
      </c>
      <c r="AP217" t="str">
        <f>IFERROR(ROUND(L217*(K217/$AW217)/VLOOKUP(J217,商品!$A$4:$D$67,4,FALSE),0),"")</f>
        <v/>
      </c>
      <c r="AQ217" t="str">
        <f>IFERROR(ROUND(S217*(N217/$AX217)/VLOOKUP(M217,职业!$A$3:$E$16,4,FALSE),0),"")</f>
        <v/>
      </c>
      <c r="AR217" t="str">
        <f>IFERROR(ROUND(S217*(P217/$AX217)/VLOOKUP(O217,职业!$A$3:$E$16,4,FALSE),0),"")</f>
        <v/>
      </c>
      <c r="AS217" t="str">
        <f>IFERROR(ROUND(S217*(R217/$AX217)/VLOOKUP(Q217,职业!$A$3:$E$16,4,FALSE),0),"")</f>
        <v/>
      </c>
      <c r="AT217" t="str">
        <f>IFERROR(ROUND(X217*(U217/$AY217)/VLOOKUP(T217,商品!$A$4:$D$67,4,FALSE),0),"")</f>
        <v/>
      </c>
      <c r="AU217" t="str">
        <f>IFERROR(ROUND(X217*(W217/$AY217)/VLOOKUP(V217,商品!$A$4:$D$67,4,FALSE),0),"")</f>
        <v/>
      </c>
      <c r="AW217">
        <f t="shared" si="65"/>
        <v>0</v>
      </c>
      <c r="AX217">
        <f t="shared" si="66"/>
        <v>0</v>
      </c>
      <c r="AY217">
        <f t="shared" si="67"/>
        <v>0</v>
      </c>
    </row>
    <row r="218" customHeight="1" spans="1:51">
      <c r="A218" s="18" t="s">
        <v>325</v>
      </c>
      <c r="C218" s="18">
        <v>8</v>
      </c>
      <c r="D218" s="1" t="s">
        <v>291</v>
      </c>
      <c r="E218" s="1" t="s">
        <v>225</v>
      </c>
      <c r="L218" s="18">
        <f>IFERROR(VLOOKUP($D218&amp;$C218,生产方式定位!$A$2:$E$38,2,FALSE)+VLOOKUP($E218&amp;$C218,生产方式定位!$F$3:$J$38,2,FALSE),0)</f>
        <v>0</v>
      </c>
      <c r="S218" s="18">
        <f>IFERROR(VLOOKUP($D218&amp;$C218,生产方式定位!$A$2:$E$38,3,FALSE)+VLOOKUP($E218&amp;$C218,生产方式定位!$F$3:$J$38,3,FALSE),0)</f>
        <v>100</v>
      </c>
      <c r="X218" s="18">
        <f>IFERROR(VLOOKUP($D218&amp;$C218,生产方式定位!$A$2:$E$38,5,FALSE)+VLOOKUP($E218&amp;$C218,生产方式定位!$F$3:$J$38,5,FALSE),"错误")</f>
        <v>100</v>
      </c>
      <c r="Y218" s="27" t="str">
        <f t="shared" si="51"/>
        <v/>
      </c>
      <c r="Z218" s="50" t="str">
        <f t="shared" si="54"/>
        <v/>
      </c>
      <c r="AA218" s="50" t="str">
        <f t="shared" si="52"/>
        <v/>
      </c>
      <c r="AB218" s="28" t="str">
        <f t="shared" si="55"/>
        <v/>
      </c>
      <c r="AC218" s="1" t="str">
        <f t="shared" si="56"/>
        <v/>
      </c>
      <c r="AD218" s="52">
        <f t="shared" si="53"/>
        <v>8</v>
      </c>
      <c r="AE218" t="str">
        <f t="shared" si="57"/>
        <v/>
      </c>
      <c r="AF218" t="str">
        <f t="shared" si="58"/>
        <v/>
      </c>
      <c r="AG218" t="str">
        <f t="shared" si="59"/>
        <v/>
      </c>
      <c r="AH218" t="str">
        <f t="shared" si="60"/>
        <v/>
      </c>
      <c r="AI218" t="str">
        <f t="shared" si="61"/>
        <v/>
      </c>
      <c r="AJ218" t="str">
        <f t="shared" si="62"/>
        <v/>
      </c>
      <c r="AK218" t="str">
        <f t="shared" si="63"/>
        <v/>
      </c>
      <c r="AL218" t="str">
        <f t="shared" si="64"/>
        <v/>
      </c>
      <c r="AN218" t="str">
        <f>IFERROR(ROUND(L218*(G218/$AW218)/VLOOKUP(F218,商品!$A$4:$D$67,4,FALSE),0),"")</f>
        <v/>
      </c>
      <c r="AO218" t="str">
        <f>IFERROR(ROUND(L218*(I218/$AW218)/VLOOKUP(H218,商品!$A$4:$D$67,4,FALSE),0),"")</f>
        <v/>
      </c>
      <c r="AP218" t="str">
        <f>IFERROR(ROUND(L218*(K218/$AW218)/VLOOKUP(J218,商品!$A$4:$D$67,4,FALSE),0),"")</f>
        <v/>
      </c>
      <c r="AQ218" t="str">
        <f>IFERROR(ROUND(S218*(N218/$AX218)/VLOOKUP(M218,职业!$A$3:$E$16,4,FALSE),0),"")</f>
        <v/>
      </c>
      <c r="AR218" t="str">
        <f>IFERROR(ROUND(S218*(P218/$AX218)/VLOOKUP(O218,职业!$A$3:$E$16,4,FALSE),0),"")</f>
        <v/>
      </c>
      <c r="AS218" t="str">
        <f>IFERROR(ROUND(S218*(R218/$AX218)/VLOOKUP(Q218,职业!$A$3:$E$16,4,FALSE),0),"")</f>
        <v/>
      </c>
      <c r="AT218" t="str">
        <f>IFERROR(ROUND(X218*(U218/$AY218)/VLOOKUP(T218,商品!$A$4:$D$67,4,FALSE),0),"")</f>
        <v/>
      </c>
      <c r="AU218" t="str">
        <f>IFERROR(ROUND(X218*(W218/$AY218)/VLOOKUP(V218,商品!$A$4:$D$67,4,FALSE),0),"")</f>
        <v/>
      </c>
      <c r="AW218">
        <f t="shared" si="65"/>
        <v>0</v>
      </c>
      <c r="AX218">
        <f t="shared" si="66"/>
        <v>0</v>
      </c>
      <c r="AY218">
        <f t="shared" si="67"/>
        <v>0</v>
      </c>
    </row>
    <row r="219" customHeight="1" spans="1:51">
      <c r="A219" s="5" t="s">
        <v>327</v>
      </c>
      <c r="C219" s="5">
        <v>1</v>
      </c>
      <c r="D219" s="1" t="s">
        <v>220</v>
      </c>
      <c r="E219" s="1" t="s">
        <v>222</v>
      </c>
      <c r="L219" s="5">
        <f>IFERROR(VLOOKUP($D219&amp;$C219,生产方式定位!$A$2:$E$38,2,FALSE)+VLOOKUP($E219&amp;$C219,生产方式定位!$F$3:$J$38,2,FALSE),0)</f>
        <v>500</v>
      </c>
      <c r="S219" s="5">
        <f>IFERROR(VLOOKUP($D219&amp;$C219,生产方式定位!$A$2:$E$38,3,FALSE)+VLOOKUP($E219&amp;$C219,生产方式定位!$F$3:$J$38,3,FALSE),0)</f>
        <v>150</v>
      </c>
      <c r="X219" s="5">
        <f>IFERROR(VLOOKUP($D219&amp;$C219,生产方式定位!$A$2:$E$38,5,FALSE)+VLOOKUP($E219&amp;$C219,生产方式定位!$F$3:$J$38,5,FALSE),"错误")</f>
        <v>715</v>
      </c>
      <c r="Y219" s="27" t="str">
        <f t="shared" si="51"/>
        <v/>
      </c>
      <c r="Z219" s="50" t="str">
        <f t="shared" si="54"/>
        <v/>
      </c>
      <c r="AA219" s="50" t="str">
        <f t="shared" si="52"/>
        <v/>
      </c>
      <c r="AB219" s="28" t="str">
        <f t="shared" si="55"/>
        <v>43%</v>
      </c>
      <c r="AC219" s="1">
        <f t="shared" si="56"/>
        <v>65</v>
      </c>
      <c r="AD219" s="51">
        <f t="shared" si="53"/>
        <v>1</v>
      </c>
      <c r="AE219" t="str">
        <f t="shared" si="57"/>
        <v/>
      </c>
      <c r="AF219" t="str">
        <f t="shared" si="58"/>
        <v/>
      </c>
      <c r="AG219" t="str">
        <f t="shared" si="59"/>
        <v/>
      </c>
      <c r="AH219" t="str">
        <f t="shared" si="60"/>
        <v/>
      </c>
      <c r="AI219" t="str">
        <f t="shared" si="61"/>
        <v/>
      </c>
      <c r="AJ219" t="str">
        <f t="shared" si="62"/>
        <v/>
      </c>
      <c r="AK219" t="str">
        <f t="shared" si="63"/>
        <v/>
      </c>
      <c r="AL219" t="str">
        <f t="shared" si="64"/>
        <v/>
      </c>
      <c r="AN219" t="str">
        <f>IFERROR(ROUND(L219*(G219/$AW219)/VLOOKUP(F219,商品!$A$4:$D$67,4,FALSE),0),"")</f>
        <v/>
      </c>
      <c r="AO219" t="str">
        <f>IFERROR(ROUND(L219*(I219/$AW219)/VLOOKUP(H219,商品!$A$4:$D$67,4,FALSE),0),"")</f>
        <v/>
      </c>
      <c r="AP219" t="str">
        <f>IFERROR(ROUND(L219*(K219/$AW219)/VLOOKUP(J219,商品!$A$4:$D$67,4,FALSE),0),"")</f>
        <v/>
      </c>
      <c r="AQ219" t="str">
        <f>IFERROR(ROUND(S219*(N219/$AX219)/VLOOKUP(M219,职业!$A$3:$E$16,4,FALSE),0),"")</f>
        <v/>
      </c>
      <c r="AR219" t="str">
        <f>IFERROR(ROUND(S219*(P219/$AX219)/VLOOKUP(O219,职业!$A$3:$E$16,4,FALSE),0),"")</f>
        <v/>
      </c>
      <c r="AS219" t="str">
        <f>IFERROR(ROUND(S219*(R219/$AX219)/VLOOKUP(Q219,职业!$A$3:$E$16,4,FALSE),0),"")</f>
        <v/>
      </c>
      <c r="AT219" t="str">
        <f>IFERROR(ROUND(X219*(U219/$AY219)/VLOOKUP(T219,商品!$A$4:$D$67,4,FALSE),0),"")</f>
        <v/>
      </c>
      <c r="AU219" t="str">
        <f>IFERROR(ROUND(X219*(W219/$AY219)/VLOOKUP(V219,商品!$A$4:$D$67,4,FALSE),0),"")</f>
        <v/>
      </c>
      <c r="AW219">
        <f t="shared" si="65"/>
        <v>0</v>
      </c>
      <c r="AX219">
        <f t="shared" si="66"/>
        <v>0</v>
      </c>
      <c r="AY219">
        <f t="shared" si="67"/>
        <v>0</v>
      </c>
    </row>
    <row r="220" customHeight="1" spans="1:51">
      <c r="A220" s="5" t="s">
        <v>327</v>
      </c>
      <c r="C220" s="5">
        <v>2</v>
      </c>
      <c r="D220" s="1" t="s">
        <v>220</v>
      </c>
      <c r="E220" s="1" t="s">
        <v>222</v>
      </c>
      <c r="L220" s="5">
        <f>IFERROR(VLOOKUP($D220&amp;$C220,生产方式定位!$A$2:$E$38,2,FALSE)+VLOOKUP($E220&amp;$C220,生产方式定位!$F$3:$J$38,2,FALSE),0)</f>
        <v>1200</v>
      </c>
      <c r="S220" s="5">
        <f>IFERROR(VLOOKUP($D220&amp;$C220,生产方式定位!$A$2:$E$38,3,FALSE)+VLOOKUP($E220&amp;$C220,生产方式定位!$F$3:$J$38,3,FALSE),0)</f>
        <v>140</v>
      </c>
      <c r="X220" s="5">
        <f>IFERROR(VLOOKUP($D220&amp;$C220,生产方式定位!$A$2:$E$38,5,FALSE)+VLOOKUP($E220&amp;$C220,生产方式定位!$F$3:$J$38,5,FALSE),"错误")</f>
        <v>1390</v>
      </c>
      <c r="Y220" s="27" t="str">
        <f t="shared" si="51"/>
        <v/>
      </c>
      <c r="Z220" s="50" t="str">
        <f t="shared" si="54"/>
        <v/>
      </c>
      <c r="AA220" s="50" t="str">
        <f t="shared" si="52"/>
        <v/>
      </c>
      <c r="AB220" s="28" t="str">
        <f t="shared" si="55"/>
        <v>16%</v>
      </c>
      <c r="AC220" s="1">
        <f t="shared" si="56"/>
        <v>50</v>
      </c>
      <c r="AD220" s="51">
        <f t="shared" si="53"/>
        <v>2</v>
      </c>
      <c r="AE220" t="str">
        <f t="shared" si="57"/>
        <v/>
      </c>
      <c r="AF220" t="str">
        <f t="shared" si="58"/>
        <v/>
      </c>
      <c r="AG220" t="str">
        <f t="shared" si="59"/>
        <v/>
      </c>
      <c r="AH220" t="str">
        <f t="shared" si="60"/>
        <v/>
      </c>
      <c r="AI220" t="str">
        <f t="shared" si="61"/>
        <v/>
      </c>
      <c r="AJ220" t="str">
        <f t="shared" si="62"/>
        <v/>
      </c>
      <c r="AK220" t="str">
        <f t="shared" si="63"/>
        <v/>
      </c>
      <c r="AL220" t="str">
        <f t="shared" si="64"/>
        <v/>
      </c>
      <c r="AN220" t="str">
        <f>IFERROR(ROUND(L220*(G220/$AW220)/VLOOKUP(F220,商品!$A$4:$D$67,4,FALSE),0),"")</f>
        <v/>
      </c>
      <c r="AO220" t="str">
        <f>IFERROR(ROUND(L220*(I220/$AW220)/VLOOKUP(H220,商品!$A$4:$D$67,4,FALSE),0),"")</f>
        <v/>
      </c>
      <c r="AP220" t="str">
        <f>IFERROR(ROUND(L220*(K220/$AW220)/VLOOKUP(J220,商品!$A$4:$D$67,4,FALSE),0),"")</f>
        <v/>
      </c>
      <c r="AQ220" t="str">
        <f>IFERROR(ROUND(S220*(N220/$AX220)/VLOOKUP(M220,职业!$A$3:$E$16,4,FALSE),0),"")</f>
        <v/>
      </c>
      <c r="AR220" t="str">
        <f>IFERROR(ROUND(S220*(P220/$AX220)/VLOOKUP(O220,职业!$A$3:$E$16,4,FALSE),0),"")</f>
        <v/>
      </c>
      <c r="AS220" t="str">
        <f>IFERROR(ROUND(S220*(R220/$AX220)/VLOOKUP(Q220,职业!$A$3:$E$16,4,FALSE),0),"")</f>
        <v/>
      </c>
      <c r="AT220" t="str">
        <f>IFERROR(ROUND(X220*(U220/$AY220)/VLOOKUP(T220,商品!$A$4:$D$67,4,FALSE),0),"")</f>
        <v/>
      </c>
      <c r="AU220" t="str">
        <f>IFERROR(ROUND(X220*(W220/$AY220)/VLOOKUP(V220,商品!$A$4:$D$67,4,FALSE),0),"")</f>
        <v/>
      </c>
      <c r="AW220">
        <f t="shared" si="65"/>
        <v>0</v>
      </c>
      <c r="AX220">
        <f t="shared" si="66"/>
        <v>0</v>
      </c>
      <c r="AY220">
        <f t="shared" si="67"/>
        <v>0</v>
      </c>
    </row>
    <row r="221" customHeight="1" spans="1:51">
      <c r="A221" s="5" t="s">
        <v>327</v>
      </c>
      <c r="C221" s="5">
        <v>3</v>
      </c>
      <c r="D221" s="1" t="s">
        <v>220</v>
      </c>
      <c r="E221" s="1" t="s">
        <v>222</v>
      </c>
      <c r="L221" s="5">
        <f>IFERROR(VLOOKUP($D221&amp;$C221,生产方式定位!$A$2:$E$38,2,FALSE)+VLOOKUP($E221&amp;$C221,生产方式定位!$F$3:$J$38,2,FALSE),0)</f>
        <v>1525</v>
      </c>
      <c r="S221" s="5">
        <f>IFERROR(VLOOKUP($D221&amp;$C221,生产方式定位!$A$2:$E$38,3,FALSE)+VLOOKUP($E221&amp;$C221,生产方式定位!$F$3:$J$38,3,FALSE),0)</f>
        <v>130</v>
      </c>
      <c r="X221" s="5">
        <f>IFERROR(VLOOKUP($D221&amp;$C221,生产方式定位!$A$2:$E$38,5,FALSE)+VLOOKUP($E221&amp;$C221,生产方式定位!$F$3:$J$38,5,FALSE),"错误")</f>
        <v>1718</v>
      </c>
      <c r="Y221" s="27" t="str">
        <f t="shared" si="51"/>
        <v/>
      </c>
      <c r="Z221" s="50" t="str">
        <f t="shared" si="54"/>
        <v/>
      </c>
      <c r="AA221" s="50" t="str">
        <f t="shared" si="52"/>
        <v/>
      </c>
      <c r="AB221" s="28" t="str">
        <f t="shared" si="55"/>
        <v>13%</v>
      </c>
      <c r="AC221" s="1">
        <f t="shared" si="56"/>
        <v>63</v>
      </c>
      <c r="AD221" s="51">
        <f t="shared" si="53"/>
        <v>3</v>
      </c>
      <c r="AE221" t="str">
        <f t="shared" si="57"/>
        <v/>
      </c>
      <c r="AF221" t="str">
        <f t="shared" si="58"/>
        <v/>
      </c>
      <c r="AG221" t="str">
        <f t="shared" si="59"/>
        <v/>
      </c>
      <c r="AH221" t="str">
        <f t="shared" si="60"/>
        <v/>
      </c>
      <c r="AI221" t="str">
        <f t="shared" si="61"/>
        <v/>
      </c>
      <c r="AJ221" t="str">
        <f t="shared" si="62"/>
        <v/>
      </c>
      <c r="AK221" t="str">
        <f t="shared" si="63"/>
        <v/>
      </c>
      <c r="AL221" t="str">
        <f t="shared" si="64"/>
        <v/>
      </c>
      <c r="AN221" t="str">
        <f>IFERROR(ROUND(L221*(G221/$AW221)/VLOOKUP(F221,商品!$A$4:$D$67,4,FALSE),0),"")</f>
        <v/>
      </c>
      <c r="AO221" t="str">
        <f>IFERROR(ROUND(L221*(I221/$AW221)/VLOOKUP(H221,商品!$A$4:$D$67,4,FALSE),0),"")</f>
        <v/>
      </c>
      <c r="AP221" t="str">
        <f>IFERROR(ROUND(L221*(K221/$AW221)/VLOOKUP(J221,商品!$A$4:$D$67,4,FALSE),0),"")</f>
        <v/>
      </c>
      <c r="AQ221" t="str">
        <f>IFERROR(ROUND(S221*(N221/$AX221)/VLOOKUP(M221,职业!$A$3:$E$16,4,FALSE),0),"")</f>
        <v/>
      </c>
      <c r="AR221" t="str">
        <f>IFERROR(ROUND(S221*(P221/$AX221)/VLOOKUP(O221,职业!$A$3:$E$16,4,FALSE),0),"")</f>
        <v/>
      </c>
      <c r="AS221" t="str">
        <f>IFERROR(ROUND(S221*(R221/$AX221)/VLOOKUP(Q221,职业!$A$3:$E$16,4,FALSE),0),"")</f>
        <v/>
      </c>
      <c r="AT221" t="str">
        <f>IFERROR(ROUND(X221*(U221/$AY221)/VLOOKUP(T221,商品!$A$4:$D$67,4,FALSE),0),"")</f>
        <v/>
      </c>
      <c r="AU221" t="str">
        <f>IFERROR(ROUND(X221*(W221/$AY221)/VLOOKUP(V221,商品!$A$4:$D$67,4,FALSE),0),"")</f>
        <v/>
      </c>
      <c r="AW221">
        <f t="shared" si="65"/>
        <v>0</v>
      </c>
      <c r="AX221">
        <f t="shared" si="66"/>
        <v>0</v>
      </c>
      <c r="AY221">
        <f t="shared" si="67"/>
        <v>0</v>
      </c>
    </row>
    <row r="222" customHeight="1" spans="1:51">
      <c r="A222" s="5" t="s">
        <v>327</v>
      </c>
      <c r="C222" s="5">
        <v>4</v>
      </c>
      <c r="D222" s="1" t="s">
        <v>220</v>
      </c>
      <c r="E222" s="1" t="s">
        <v>222</v>
      </c>
      <c r="L222" s="5">
        <f>IFERROR(VLOOKUP($D222&amp;$C222,生产方式定位!$A$2:$E$38,2,FALSE)+VLOOKUP($E222&amp;$C222,生产方式定位!$F$3:$J$38,2,FALSE),0)</f>
        <v>1850</v>
      </c>
      <c r="S222" s="5">
        <f>IFERROR(VLOOKUP($D222&amp;$C222,生产方式定位!$A$2:$E$38,3,FALSE)+VLOOKUP($E222&amp;$C222,生产方式定位!$F$3:$J$38,3,FALSE),0)</f>
        <v>120</v>
      </c>
      <c r="X222" s="5">
        <f>IFERROR(VLOOKUP($D222&amp;$C222,生产方式定位!$A$2:$E$38,5,FALSE)+VLOOKUP($E222&amp;$C222,生产方式定位!$F$3:$J$38,5,FALSE),"错误")</f>
        <v>2045</v>
      </c>
      <c r="Y222" s="27" t="str">
        <f t="shared" si="51"/>
        <v/>
      </c>
      <c r="Z222" s="50" t="str">
        <f t="shared" si="54"/>
        <v/>
      </c>
      <c r="AA222" s="50" t="str">
        <f t="shared" si="52"/>
        <v/>
      </c>
      <c r="AB222" s="28" t="str">
        <f t="shared" si="55"/>
        <v>11%</v>
      </c>
      <c r="AC222" s="1">
        <f t="shared" si="56"/>
        <v>75</v>
      </c>
      <c r="AD222" s="51">
        <f t="shared" si="53"/>
        <v>4</v>
      </c>
      <c r="AE222" t="str">
        <f t="shared" si="57"/>
        <v/>
      </c>
      <c r="AF222" t="str">
        <f t="shared" si="58"/>
        <v/>
      </c>
      <c r="AG222" t="str">
        <f t="shared" si="59"/>
        <v/>
      </c>
      <c r="AH222" t="str">
        <f t="shared" si="60"/>
        <v/>
      </c>
      <c r="AI222" t="str">
        <f t="shared" si="61"/>
        <v/>
      </c>
      <c r="AJ222" t="str">
        <f t="shared" si="62"/>
        <v/>
      </c>
      <c r="AK222" t="str">
        <f t="shared" si="63"/>
        <v/>
      </c>
      <c r="AL222" t="str">
        <f t="shared" si="64"/>
        <v/>
      </c>
      <c r="AN222" t="str">
        <f>IFERROR(ROUND(L222*(G222/$AW222)/VLOOKUP(F222,商品!$A$4:$D$67,4,FALSE),0),"")</f>
        <v/>
      </c>
      <c r="AO222" t="str">
        <f>IFERROR(ROUND(L222*(I222/$AW222)/VLOOKUP(H222,商品!$A$4:$D$67,4,FALSE),0),"")</f>
        <v/>
      </c>
      <c r="AP222" t="str">
        <f>IFERROR(ROUND(L222*(K222/$AW222)/VLOOKUP(J222,商品!$A$4:$D$67,4,FALSE),0),"")</f>
        <v/>
      </c>
      <c r="AQ222" t="str">
        <f>IFERROR(ROUND(S222*(N222/$AX222)/VLOOKUP(M222,职业!$A$3:$E$16,4,FALSE),0),"")</f>
        <v/>
      </c>
      <c r="AR222" t="str">
        <f>IFERROR(ROUND(S222*(P222/$AX222)/VLOOKUP(O222,职业!$A$3:$E$16,4,FALSE),0),"")</f>
        <v/>
      </c>
      <c r="AS222" t="str">
        <f>IFERROR(ROUND(S222*(R222/$AX222)/VLOOKUP(Q222,职业!$A$3:$E$16,4,FALSE),0),"")</f>
        <v/>
      </c>
      <c r="AT222" t="str">
        <f>IFERROR(ROUND(X222*(U222/$AY222)/VLOOKUP(T222,商品!$A$4:$D$67,4,FALSE),0),"")</f>
        <v/>
      </c>
      <c r="AU222" t="str">
        <f>IFERROR(ROUND(X222*(W222/$AY222)/VLOOKUP(V222,商品!$A$4:$D$67,4,FALSE),0),"")</f>
        <v/>
      </c>
      <c r="AW222">
        <f t="shared" si="65"/>
        <v>0</v>
      </c>
      <c r="AX222">
        <f t="shared" si="66"/>
        <v>0</v>
      </c>
      <c r="AY222">
        <f t="shared" si="67"/>
        <v>0</v>
      </c>
    </row>
    <row r="223" customHeight="1" spans="1:51">
      <c r="A223" s="5" t="s">
        <v>327</v>
      </c>
      <c r="C223" s="5">
        <v>5</v>
      </c>
      <c r="D223" s="1" t="s">
        <v>220</v>
      </c>
      <c r="E223" s="1" t="s">
        <v>222</v>
      </c>
      <c r="L223" s="5">
        <f>IFERROR(VLOOKUP($D223&amp;$C223,生产方式定位!$A$2:$E$38,2,FALSE)+VLOOKUP($E223&amp;$C223,生产方式定位!$F$3:$J$38,2,FALSE),0)</f>
        <v>2175</v>
      </c>
      <c r="S223" s="5">
        <f>IFERROR(VLOOKUP($D223&amp;$C223,生产方式定位!$A$2:$E$38,3,FALSE)+VLOOKUP($E223&amp;$C223,生产方式定位!$F$3:$J$38,3,FALSE),0)</f>
        <v>110</v>
      </c>
      <c r="X223" s="5">
        <f>IFERROR(VLOOKUP($D223&amp;$C223,生产方式定位!$A$2:$E$38,5,FALSE)+VLOOKUP($E223&amp;$C223,生产方式定位!$F$3:$J$38,5,FALSE),"错误")</f>
        <v>2373</v>
      </c>
      <c r="Y223" s="27" t="str">
        <f t="shared" si="51"/>
        <v/>
      </c>
      <c r="Z223" s="50" t="str">
        <f t="shared" si="54"/>
        <v/>
      </c>
      <c r="AA223" s="50" t="str">
        <f t="shared" si="52"/>
        <v/>
      </c>
      <c r="AB223" s="28" t="str">
        <f t="shared" si="55"/>
        <v>9%</v>
      </c>
      <c r="AC223" s="1">
        <f t="shared" si="56"/>
        <v>88</v>
      </c>
      <c r="AD223" s="51">
        <f t="shared" si="53"/>
        <v>5</v>
      </c>
      <c r="AE223" t="str">
        <f t="shared" si="57"/>
        <v/>
      </c>
      <c r="AF223" t="str">
        <f t="shared" si="58"/>
        <v/>
      </c>
      <c r="AG223" t="str">
        <f t="shared" si="59"/>
        <v/>
      </c>
      <c r="AH223" t="str">
        <f t="shared" si="60"/>
        <v/>
      </c>
      <c r="AI223" t="str">
        <f t="shared" si="61"/>
        <v/>
      </c>
      <c r="AJ223" t="str">
        <f t="shared" si="62"/>
        <v/>
      </c>
      <c r="AK223" t="str">
        <f t="shared" si="63"/>
        <v/>
      </c>
      <c r="AL223" t="str">
        <f t="shared" si="64"/>
        <v/>
      </c>
      <c r="AN223" t="str">
        <f>IFERROR(ROUND(L223*(G223/$AW223)/VLOOKUP(F223,商品!$A$4:$D$67,4,FALSE),0),"")</f>
        <v/>
      </c>
      <c r="AO223" t="str">
        <f>IFERROR(ROUND(L223*(I223/$AW223)/VLOOKUP(H223,商品!$A$4:$D$67,4,FALSE),0),"")</f>
        <v/>
      </c>
      <c r="AP223" t="str">
        <f>IFERROR(ROUND(L223*(K223/$AW223)/VLOOKUP(J223,商品!$A$4:$D$67,4,FALSE),0),"")</f>
        <v/>
      </c>
      <c r="AQ223" t="str">
        <f>IFERROR(ROUND(S223*(N223/$AX223)/VLOOKUP(M223,职业!$A$3:$E$16,4,FALSE),0),"")</f>
        <v/>
      </c>
      <c r="AR223" t="str">
        <f>IFERROR(ROUND(S223*(P223/$AX223)/VLOOKUP(O223,职业!$A$3:$E$16,4,FALSE),0),"")</f>
        <v/>
      </c>
      <c r="AS223" t="str">
        <f>IFERROR(ROUND(S223*(R223/$AX223)/VLOOKUP(Q223,职业!$A$3:$E$16,4,FALSE),0),"")</f>
        <v/>
      </c>
      <c r="AT223" t="str">
        <f>IFERROR(ROUND(X223*(U223/$AY223)/VLOOKUP(T223,商品!$A$4:$D$67,4,FALSE),0),"")</f>
        <v/>
      </c>
      <c r="AU223" t="str">
        <f>IFERROR(ROUND(X223*(W223/$AY223)/VLOOKUP(V223,商品!$A$4:$D$67,4,FALSE),0),"")</f>
        <v/>
      </c>
      <c r="AW223">
        <f t="shared" si="65"/>
        <v>0</v>
      </c>
      <c r="AX223">
        <f t="shared" si="66"/>
        <v>0</v>
      </c>
      <c r="AY223">
        <f t="shared" si="67"/>
        <v>0</v>
      </c>
    </row>
    <row r="224" customHeight="1" spans="1:51">
      <c r="A224" s="18" t="s">
        <v>328</v>
      </c>
      <c r="C224" s="18">
        <v>1</v>
      </c>
      <c r="D224" s="1" t="s">
        <v>220</v>
      </c>
      <c r="E224" s="1" t="s">
        <v>224</v>
      </c>
      <c r="L224" s="18">
        <f>IFERROR(VLOOKUP($D224&amp;$C224,生产方式定位!$A$2:$E$38,2,FALSE)+VLOOKUP($E224&amp;$C224,生产方式定位!$F$3:$J$38,2,FALSE),0)</f>
        <v>500</v>
      </c>
      <c r="S224" s="18">
        <f>IFERROR(VLOOKUP($D224&amp;$C224,生产方式定位!$A$2:$E$38,3,FALSE)+VLOOKUP($E224&amp;$C224,生产方式定位!$F$3:$J$38,3,FALSE),0)</f>
        <v>150</v>
      </c>
      <c r="X224" s="18">
        <f>IFERROR(VLOOKUP($D224&amp;$C224,生产方式定位!$A$2:$E$38,5,FALSE)+VLOOKUP($E224&amp;$C224,生产方式定位!$F$3:$J$38,5,FALSE),"错误")</f>
        <v>715</v>
      </c>
      <c r="Y224" s="27" t="str">
        <f t="shared" si="51"/>
        <v/>
      </c>
      <c r="Z224" s="50" t="str">
        <f t="shared" si="54"/>
        <v/>
      </c>
      <c r="AA224" s="50" t="str">
        <f t="shared" si="52"/>
        <v/>
      </c>
      <c r="AB224" s="28" t="str">
        <f t="shared" si="55"/>
        <v>43%</v>
      </c>
      <c r="AC224" s="1">
        <f t="shared" si="56"/>
        <v>65</v>
      </c>
      <c r="AD224" s="52">
        <f t="shared" si="53"/>
        <v>1</v>
      </c>
      <c r="AE224" t="str">
        <f t="shared" si="57"/>
        <v/>
      </c>
      <c r="AF224" t="str">
        <f t="shared" si="58"/>
        <v/>
      </c>
      <c r="AG224" t="str">
        <f t="shared" si="59"/>
        <v/>
      </c>
      <c r="AH224" t="str">
        <f t="shared" si="60"/>
        <v/>
      </c>
      <c r="AI224" t="str">
        <f t="shared" si="61"/>
        <v/>
      </c>
      <c r="AJ224" t="str">
        <f t="shared" si="62"/>
        <v/>
      </c>
      <c r="AK224" t="str">
        <f t="shared" si="63"/>
        <v/>
      </c>
      <c r="AL224" t="str">
        <f t="shared" si="64"/>
        <v/>
      </c>
      <c r="AN224" t="str">
        <f>IFERROR(ROUND(L224*(G224/$AW224)/VLOOKUP(F224,商品!$A$4:$D$67,4,FALSE),0),"")</f>
        <v/>
      </c>
      <c r="AO224" t="str">
        <f>IFERROR(ROUND(L224*(I224/$AW224)/VLOOKUP(H224,商品!$A$4:$D$67,4,FALSE),0),"")</f>
        <v/>
      </c>
      <c r="AP224" t="str">
        <f>IFERROR(ROUND(L224*(K224/$AW224)/VLOOKUP(J224,商品!$A$4:$D$67,4,FALSE),0),"")</f>
        <v/>
      </c>
      <c r="AQ224" t="str">
        <f>IFERROR(ROUND(S224*(N224/$AX224)/VLOOKUP(M224,职业!$A$3:$E$16,4,FALSE),0),"")</f>
        <v/>
      </c>
      <c r="AR224" t="str">
        <f>IFERROR(ROUND(S224*(P224/$AX224)/VLOOKUP(O224,职业!$A$3:$E$16,4,FALSE),0),"")</f>
        <v/>
      </c>
      <c r="AS224" t="str">
        <f>IFERROR(ROUND(S224*(R224/$AX224)/VLOOKUP(Q224,职业!$A$3:$E$16,4,FALSE),0),"")</f>
        <v/>
      </c>
      <c r="AT224" t="str">
        <f>IFERROR(ROUND(X224*(U224/$AY224)/VLOOKUP(T224,商品!$A$4:$D$67,4,FALSE),0),"")</f>
        <v/>
      </c>
      <c r="AU224" t="str">
        <f>IFERROR(ROUND(X224*(W224/$AY224)/VLOOKUP(V224,商品!$A$4:$D$67,4,FALSE),0),"")</f>
        <v/>
      </c>
      <c r="AW224">
        <f t="shared" si="65"/>
        <v>0</v>
      </c>
      <c r="AX224">
        <f t="shared" si="66"/>
        <v>0</v>
      </c>
      <c r="AY224">
        <f t="shared" si="67"/>
        <v>0</v>
      </c>
    </row>
    <row r="225" customHeight="1" spans="1:51">
      <c r="A225" s="18" t="s">
        <v>328</v>
      </c>
      <c r="C225" s="18">
        <v>2</v>
      </c>
      <c r="D225" s="1" t="s">
        <v>220</v>
      </c>
      <c r="E225" s="1" t="s">
        <v>224</v>
      </c>
      <c r="L225" s="18">
        <f>IFERROR(VLOOKUP($D225&amp;$C225,生产方式定位!$A$2:$E$38,2,FALSE)+VLOOKUP($E225&amp;$C225,生产方式定位!$F$3:$J$38,2,FALSE),0)</f>
        <v>1200</v>
      </c>
      <c r="S225" s="18">
        <f>IFERROR(VLOOKUP($D225&amp;$C225,生产方式定位!$A$2:$E$38,3,FALSE)+VLOOKUP($E225&amp;$C225,生产方式定位!$F$3:$J$38,3,FALSE),0)</f>
        <v>100</v>
      </c>
      <c r="X225" s="18">
        <f>IFERROR(VLOOKUP($D225&amp;$C225,生产方式定位!$A$2:$E$38,5,FALSE)+VLOOKUP($E225&amp;$C225,生产方式定位!$F$3:$J$38,5,FALSE),"错误")</f>
        <v>1346</v>
      </c>
      <c r="Y225" s="27" t="str">
        <f t="shared" si="51"/>
        <v/>
      </c>
      <c r="Z225" s="50" t="str">
        <f t="shared" si="54"/>
        <v/>
      </c>
      <c r="AA225" s="50" t="str">
        <f t="shared" si="52"/>
        <v/>
      </c>
      <c r="AB225" s="28" t="str">
        <f t="shared" si="55"/>
        <v>12%</v>
      </c>
      <c r="AC225" s="1">
        <f t="shared" si="56"/>
        <v>46</v>
      </c>
      <c r="AD225" s="52">
        <f t="shared" si="53"/>
        <v>2</v>
      </c>
      <c r="AE225" t="str">
        <f t="shared" si="57"/>
        <v/>
      </c>
      <c r="AF225" t="str">
        <f t="shared" si="58"/>
        <v/>
      </c>
      <c r="AG225" t="str">
        <f t="shared" si="59"/>
        <v/>
      </c>
      <c r="AH225" t="str">
        <f t="shared" si="60"/>
        <v/>
      </c>
      <c r="AI225" t="str">
        <f t="shared" si="61"/>
        <v/>
      </c>
      <c r="AJ225" t="str">
        <f t="shared" si="62"/>
        <v/>
      </c>
      <c r="AK225" t="str">
        <f t="shared" si="63"/>
        <v/>
      </c>
      <c r="AL225" t="str">
        <f t="shared" si="64"/>
        <v/>
      </c>
      <c r="AN225" t="str">
        <f>IFERROR(ROUND(L225*(G225/$AW225)/VLOOKUP(F225,商品!$A$4:$D$67,4,FALSE),0),"")</f>
        <v/>
      </c>
      <c r="AO225" t="str">
        <f>IFERROR(ROUND(L225*(I225/$AW225)/VLOOKUP(H225,商品!$A$4:$D$67,4,FALSE),0),"")</f>
        <v/>
      </c>
      <c r="AP225" t="str">
        <f>IFERROR(ROUND(L225*(K225/$AW225)/VLOOKUP(J225,商品!$A$4:$D$67,4,FALSE),0),"")</f>
        <v/>
      </c>
      <c r="AQ225" t="str">
        <f>IFERROR(ROUND(S225*(N225/$AX225)/VLOOKUP(M225,职业!$A$3:$E$16,4,FALSE),0),"")</f>
        <v/>
      </c>
      <c r="AR225" t="str">
        <f>IFERROR(ROUND(S225*(P225/$AX225)/VLOOKUP(O225,职业!$A$3:$E$16,4,FALSE),0),"")</f>
        <v/>
      </c>
      <c r="AS225" t="str">
        <f>IFERROR(ROUND(S225*(R225/$AX225)/VLOOKUP(Q225,职业!$A$3:$E$16,4,FALSE),0),"")</f>
        <v/>
      </c>
      <c r="AT225" t="str">
        <f>IFERROR(ROUND(X225*(U225/$AY225)/VLOOKUP(T225,商品!$A$4:$D$67,4,FALSE),0),"")</f>
        <v/>
      </c>
      <c r="AU225" t="str">
        <f>IFERROR(ROUND(X225*(W225/$AY225)/VLOOKUP(V225,商品!$A$4:$D$67,4,FALSE),0),"")</f>
        <v/>
      </c>
      <c r="AW225">
        <f t="shared" si="65"/>
        <v>0</v>
      </c>
      <c r="AX225">
        <f t="shared" si="66"/>
        <v>0</v>
      </c>
      <c r="AY225">
        <f t="shared" si="67"/>
        <v>0</v>
      </c>
    </row>
    <row r="226" customHeight="1" spans="1:51">
      <c r="A226" s="18" t="s">
        <v>328</v>
      </c>
      <c r="C226" s="18">
        <v>3</v>
      </c>
      <c r="D226" s="1" t="s">
        <v>220</v>
      </c>
      <c r="E226" s="1" t="s">
        <v>224</v>
      </c>
      <c r="L226" s="18">
        <f>IFERROR(VLOOKUP($D226&amp;$C226,生产方式定位!$A$2:$E$38,2,FALSE)+VLOOKUP($E226&amp;$C226,生产方式定位!$F$3:$J$38,2,FALSE),0)</f>
        <v>1900</v>
      </c>
      <c r="S226" s="18">
        <f>IFERROR(VLOOKUP($D226&amp;$C226,生产方式定位!$A$2:$E$38,3,FALSE)+VLOOKUP($E226&amp;$C226,生产方式定位!$F$3:$J$38,3,FALSE),0)</f>
        <v>70</v>
      </c>
      <c r="X226" s="18">
        <f>IFERROR(VLOOKUP($D226&amp;$C226,生产方式定位!$A$2:$E$38,5,FALSE)+VLOOKUP($E226&amp;$C226,生产方式定位!$F$3:$J$38,5,FALSE),"错误")</f>
        <v>2064</v>
      </c>
      <c r="Y226" s="27" t="str">
        <f t="shared" si="51"/>
        <v/>
      </c>
      <c r="Z226" s="50" t="str">
        <f t="shared" si="54"/>
        <v/>
      </c>
      <c r="AA226" s="50" t="str">
        <f t="shared" si="52"/>
        <v/>
      </c>
      <c r="AB226" s="28" t="str">
        <f t="shared" si="55"/>
        <v>9%</v>
      </c>
      <c r="AC226" s="1">
        <f t="shared" si="56"/>
        <v>94</v>
      </c>
      <c r="AD226" s="52">
        <f t="shared" si="53"/>
        <v>3</v>
      </c>
      <c r="AE226" t="str">
        <f t="shared" si="57"/>
        <v/>
      </c>
      <c r="AF226" t="str">
        <f t="shared" si="58"/>
        <v/>
      </c>
      <c r="AG226" t="str">
        <f t="shared" si="59"/>
        <v/>
      </c>
      <c r="AH226" t="str">
        <f t="shared" si="60"/>
        <v/>
      </c>
      <c r="AI226" t="str">
        <f t="shared" si="61"/>
        <v/>
      </c>
      <c r="AJ226" t="str">
        <f t="shared" si="62"/>
        <v/>
      </c>
      <c r="AK226" t="str">
        <f t="shared" si="63"/>
        <v/>
      </c>
      <c r="AL226" t="str">
        <f t="shared" si="64"/>
        <v/>
      </c>
      <c r="AN226" t="str">
        <f>IFERROR(ROUND(L226*(G226/$AW226)/VLOOKUP(F226,商品!$A$4:$D$67,4,FALSE),0),"")</f>
        <v/>
      </c>
      <c r="AO226" t="str">
        <f>IFERROR(ROUND(L226*(I226/$AW226)/VLOOKUP(H226,商品!$A$4:$D$67,4,FALSE),0),"")</f>
        <v/>
      </c>
      <c r="AP226" t="str">
        <f>IFERROR(ROUND(L226*(K226/$AW226)/VLOOKUP(J226,商品!$A$4:$D$67,4,FALSE),0),"")</f>
        <v/>
      </c>
      <c r="AQ226" t="str">
        <f>IFERROR(ROUND(S226*(N226/$AX226)/VLOOKUP(M226,职业!$A$3:$E$16,4,FALSE),0),"")</f>
        <v/>
      </c>
      <c r="AR226" t="str">
        <f>IFERROR(ROUND(S226*(P226/$AX226)/VLOOKUP(O226,职业!$A$3:$E$16,4,FALSE),0),"")</f>
        <v/>
      </c>
      <c r="AS226" t="str">
        <f>IFERROR(ROUND(S226*(R226/$AX226)/VLOOKUP(Q226,职业!$A$3:$E$16,4,FALSE),0),"")</f>
        <v/>
      </c>
      <c r="AT226" t="str">
        <f>IFERROR(ROUND(X226*(U226/$AY226)/VLOOKUP(T226,商品!$A$4:$D$67,4,FALSE),0),"")</f>
        <v/>
      </c>
      <c r="AU226" t="str">
        <f>IFERROR(ROUND(X226*(W226/$AY226)/VLOOKUP(V226,商品!$A$4:$D$67,4,FALSE),0),"")</f>
        <v/>
      </c>
      <c r="AW226">
        <f t="shared" si="65"/>
        <v>0</v>
      </c>
      <c r="AX226">
        <f t="shared" si="66"/>
        <v>0</v>
      </c>
      <c r="AY226">
        <f t="shared" si="67"/>
        <v>0</v>
      </c>
    </row>
    <row r="227" customHeight="1" spans="1:51">
      <c r="A227" s="18" t="s">
        <v>328</v>
      </c>
      <c r="C227" s="18">
        <v>4</v>
      </c>
      <c r="D227" s="1" t="s">
        <v>220</v>
      </c>
      <c r="E227" s="1" t="s">
        <v>224</v>
      </c>
      <c r="L227" s="18">
        <f>IFERROR(VLOOKUP($D227&amp;$C227,生产方式定位!$A$2:$E$38,2,FALSE)+VLOOKUP($E227&amp;$C227,生产方式定位!$F$3:$J$38,2,FALSE),0)</f>
        <v>2600</v>
      </c>
      <c r="S227" s="18">
        <f>IFERROR(VLOOKUP($D227&amp;$C227,生产方式定位!$A$2:$E$38,3,FALSE)+VLOOKUP($E227&amp;$C227,生产方式定位!$F$3:$J$38,3,FALSE),0)</f>
        <v>40</v>
      </c>
      <c r="X227" s="18">
        <f>IFERROR(VLOOKUP($D227&amp;$C227,生产方式定位!$A$2:$E$38,5,FALSE)+VLOOKUP($E227&amp;$C227,生产方式定位!$F$3:$J$38,5,FALSE),"错误")</f>
        <v>2782</v>
      </c>
      <c r="Y227" s="27" t="str">
        <f t="shared" si="51"/>
        <v/>
      </c>
      <c r="Z227" s="50" t="str">
        <f t="shared" si="54"/>
        <v/>
      </c>
      <c r="AA227" s="50" t="str">
        <f t="shared" si="52"/>
        <v/>
      </c>
      <c r="AB227" s="28" t="str">
        <f t="shared" si="55"/>
        <v>7%</v>
      </c>
      <c r="AC227" s="1">
        <f t="shared" si="56"/>
        <v>142</v>
      </c>
      <c r="AD227" s="52">
        <f t="shared" si="53"/>
        <v>4</v>
      </c>
      <c r="AE227" t="str">
        <f t="shared" si="57"/>
        <v/>
      </c>
      <c r="AF227" t="str">
        <f t="shared" si="58"/>
        <v/>
      </c>
      <c r="AG227" t="str">
        <f t="shared" si="59"/>
        <v/>
      </c>
      <c r="AH227" t="str">
        <f t="shared" si="60"/>
        <v/>
      </c>
      <c r="AI227" t="str">
        <f t="shared" si="61"/>
        <v/>
      </c>
      <c r="AJ227" t="str">
        <f t="shared" si="62"/>
        <v/>
      </c>
      <c r="AK227" t="str">
        <f t="shared" si="63"/>
        <v/>
      </c>
      <c r="AL227" t="str">
        <f t="shared" si="64"/>
        <v/>
      </c>
      <c r="AN227" t="str">
        <f>IFERROR(ROUND(L227*(G227/$AW227)/VLOOKUP(F227,商品!$A$4:$D$67,4,FALSE),0),"")</f>
        <v/>
      </c>
      <c r="AO227" t="str">
        <f>IFERROR(ROUND(L227*(I227/$AW227)/VLOOKUP(H227,商品!$A$4:$D$67,4,FALSE),0),"")</f>
        <v/>
      </c>
      <c r="AP227" t="str">
        <f>IFERROR(ROUND(L227*(K227/$AW227)/VLOOKUP(J227,商品!$A$4:$D$67,4,FALSE),0),"")</f>
        <v/>
      </c>
      <c r="AQ227" t="str">
        <f>IFERROR(ROUND(S227*(N227/$AX227)/VLOOKUP(M227,职业!$A$3:$E$16,4,FALSE),0),"")</f>
        <v/>
      </c>
      <c r="AR227" t="str">
        <f>IFERROR(ROUND(S227*(P227/$AX227)/VLOOKUP(O227,职业!$A$3:$E$16,4,FALSE),0),"")</f>
        <v/>
      </c>
      <c r="AS227" t="str">
        <f>IFERROR(ROUND(S227*(R227/$AX227)/VLOOKUP(Q227,职业!$A$3:$E$16,4,FALSE),0),"")</f>
        <v/>
      </c>
      <c r="AT227" t="str">
        <f>IFERROR(ROUND(X227*(U227/$AY227)/VLOOKUP(T227,商品!$A$4:$D$67,4,FALSE),0),"")</f>
        <v/>
      </c>
      <c r="AU227" t="str">
        <f>IFERROR(ROUND(X227*(W227/$AY227)/VLOOKUP(V227,商品!$A$4:$D$67,4,FALSE),0),"")</f>
        <v/>
      </c>
      <c r="AW227">
        <f t="shared" si="65"/>
        <v>0</v>
      </c>
      <c r="AX227">
        <f t="shared" si="66"/>
        <v>0</v>
      </c>
      <c r="AY227">
        <f t="shared" si="67"/>
        <v>0</v>
      </c>
    </row>
    <row r="228" customHeight="1" spans="1:51">
      <c r="A228" s="18" t="s">
        <v>328</v>
      </c>
      <c r="C228" s="18">
        <v>5</v>
      </c>
      <c r="D228" s="1" t="s">
        <v>220</v>
      </c>
      <c r="E228" s="1" t="s">
        <v>224</v>
      </c>
      <c r="L228" s="18">
        <f>IFERROR(VLOOKUP($D228&amp;$C228,生产方式定位!$A$2:$E$38,2,FALSE)+VLOOKUP($E228&amp;$C228,生产方式定位!$F$3:$J$38,2,FALSE),0)</f>
        <v>3300</v>
      </c>
      <c r="S228" s="18">
        <f>IFERROR(VLOOKUP($D228&amp;$C228,生产方式定位!$A$2:$E$38,3,FALSE)+VLOOKUP($E228&amp;$C228,生产方式定位!$F$3:$J$38,3,FALSE),0)</f>
        <v>10</v>
      </c>
      <c r="X228" s="18">
        <f>IFERROR(VLOOKUP($D228&amp;$C228,生产方式定位!$A$2:$E$38,5,FALSE)+VLOOKUP($E228&amp;$C228,生产方式定位!$F$3:$J$38,5,FALSE),"错误")</f>
        <v>3500</v>
      </c>
      <c r="Y228" s="27" t="str">
        <f t="shared" si="51"/>
        <v/>
      </c>
      <c r="Z228" s="50" t="str">
        <f t="shared" si="54"/>
        <v/>
      </c>
      <c r="AA228" s="50" t="str">
        <f t="shared" si="52"/>
        <v/>
      </c>
      <c r="AB228" s="28" t="str">
        <f t="shared" si="55"/>
        <v>6%</v>
      </c>
      <c r="AC228" s="1">
        <f t="shared" si="56"/>
        <v>190</v>
      </c>
      <c r="AD228" s="52">
        <f t="shared" si="53"/>
        <v>5</v>
      </c>
      <c r="AE228" t="str">
        <f t="shared" si="57"/>
        <v/>
      </c>
      <c r="AF228" t="str">
        <f t="shared" si="58"/>
        <v/>
      </c>
      <c r="AG228" t="str">
        <f t="shared" si="59"/>
        <v/>
      </c>
      <c r="AH228" t="str">
        <f t="shared" si="60"/>
        <v/>
      </c>
      <c r="AI228" t="str">
        <f t="shared" si="61"/>
        <v/>
      </c>
      <c r="AJ228" t="str">
        <f t="shared" si="62"/>
        <v/>
      </c>
      <c r="AK228" t="str">
        <f t="shared" si="63"/>
        <v/>
      </c>
      <c r="AL228" t="str">
        <f t="shared" si="64"/>
        <v/>
      </c>
      <c r="AN228" t="str">
        <f>IFERROR(ROUND(L228*(G228/$AW228)/VLOOKUP(F228,商品!$A$4:$D$67,4,FALSE),0),"")</f>
        <v/>
      </c>
      <c r="AO228" t="str">
        <f>IFERROR(ROUND(L228*(I228/$AW228)/VLOOKUP(H228,商品!$A$4:$D$67,4,FALSE),0),"")</f>
        <v/>
      </c>
      <c r="AP228" t="str">
        <f>IFERROR(ROUND(L228*(K228/$AW228)/VLOOKUP(J228,商品!$A$4:$D$67,4,FALSE),0),"")</f>
        <v/>
      </c>
      <c r="AQ228" t="str">
        <f>IFERROR(ROUND(S228*(N228/$AX228)/VLOOKUP(M228,职业!$A$3:$E$16,4,FALSE),0),"")</f>
        <v/>
      </c>
      <c r="AR228" t="str">
        <f>IFERROR(ROUND(S228*(P228/$AX228)/VLOOKUP(O228,职业!$A$3:$E$16,4,FALSE),0),"")</f>
        <v/>
      </c>
      <c r="AS228" t="str">
        <f>IFERROR(ROUND(S228*(R228/$AX228)/VLOOKUP(Q228,职业!$A$3:$E$16,4,FALSE),0),"")</f>
        <v/>
      </c>
      <c r="AT228" t="str">
        <f>IFERROR(ROUND(X228*(U228/$AY228)/VLOOKUP(T228,商品!$A$4:$D$67,4,FALSE),0),"")</f>
        <v/>
      </c>
      <c r="AU228" t="str">
        <f>IFERROR(ROUND(X228*(W228/$AY228)/VLOOKUP(V228,商品!$A$4:$D$67,4,FALSE),0),"")</f>
        <v/>
      </c>
      <c r="AW228">
        <f t="shared" si="65"/>
        <v>0</v>
      </c>
      <c r="AX228">
        <f t="shared" si="66"/>
        <v>0</v>
      </c>
      <c r="AY228">
        <f t="shared" si="67"/>
        <v>0</v>
      </c>
    </row>
    <row r="229" customHeight="1" spans="1:51">
      <c r="A229" s="5" t="s">
        <v>328</v>
      </c>
      <c r="C229" s="5">
        <v>1</v>
      </c>
      <c r="D229" s="1" t="s">
        <v>220</v>
      </c>
      <c r="E229" s="1" t="s">
        <v>224</v>
      </c>
      <c r="L229" s="5">
        <f>IFERROR(VLOOKUP($D229&amp;$C229,生产方式定位!$A$2:$E$38,2,FALSE)+VLOOKUP($E229&amp;$C229,生产方式定位!$F$3:$J$38,2,FALSE),0)</f>
        <v>500</v>
      </c>
      <c r="S229" s="5">
        <f>IFERROR(VLOOKUP($D229&amp;$C229,生产方式定位!$A$2:$E$38,3,FALSE)+VLOOKUP($E229&amp;$C229,生产方式定位!$F$3:$J$38,3,FALSE),0)</f>
        <v>150</v>
      </c>
      <c r="X229" s="5">
        <f>IFERROR(VLOOKUP($D229&amp;$C229,生产方式定位!$A$2:$E$38,5,FALSE)+VLOOKUP($E229&amp;$C229,生产方式定位!$F$3:$J$38,5,FALSE),"错误")</f>
        <v>715</v>
      </c>
      <c r="Y229" s="27" t="str">
        <f t="shared" si="51"/>
        <v/>
      </c>
      <c r="Z229" s="50" t="str">
        <f t="shared" si="54"/>
        <v/>
      </c>
      <c r="AA229" s="50" t="str">
        <f t="shared" si="52"/>
        <v/>
      </c>
      <c r="AB229" s="28" t="str">
        <f t="shared" si="55"/>
        <v>43%</v>
      </c>
      <c r="AC229" s="1">
        <f t="shared" si="56"/>
        <v>65</v>
      </c>
      <c r="AD229" s="51">
        <f t="shared" si="53"/>
        <v>1</v>
      </c>
      <c r="AE229" t="str">
        <f t="shared" si="57"/>
        <v/>
      </c>
      <c r="AF229" t="str">
        <f t="shared" si="58"/>
        <v/>
      </c>
      <c r="AG229" t="str">
        <f t="shared" si="59"/>
        <v/>
      </c>
      <c r="AH229" t="str">
        <f t="shared" si="60"/>
        <v/>
      </c>
      <c r="AI229" t="str">
        <f t="shared" si="61"/>
        <v/>
      </c>
      <c r="AJ229" t="str">
        <f t="shared" si="62"/>
        <v/>
      </c>
      <c r="AK229" t="str">
        <f t="shared" si="63"/>
        <v/>
      </c>
      <c r="AL229" t="str">
        <f t="shared" si="64"/>
        <v/>
      </c>
      <c r="AN229" t="str">
        <f>IFERROR(ROUND(L229*(G229/$AW229)/VLOOKUP(F229,商品!$A$4:$D$67,4,FALSE),0),"")</f>
        <v/>
      </c>
      <c r="AO229" t="str">
        <f>IFERROR(ROUND(L229*(I229/$AW229)/VLOOKUP(H229,商品!$A$4:$D$67,4,FALSE),0),"")</f>
        <v/>
      </c>
      <c r="AP229" t="str">
        <f>IFERROR(ROUND(L229*(K229/$AW229)/VLOOKUP(J229,商品!$A$4:$D$67,4,FALSE),0),"")</f>
        <v/>
      </c>
      <c r="AQ229" t="str">
        <f>IFERROR(ROUND(S229*(N229/$AX229)/VLOOKUP(M229,职业!$A$3:$E$16,4,FALSE),0),"")</f>
        <v/>
      </c>
      <c r="AR229" t="str">
        <f>IFERROR(ROUND(S229*(P229/$AX229)/VLOOKUP(O229,职业!$A$3:$E$16,4,FALSE),0),"")</f>
        <v/>
      </c>
      <c r="AS229" t="str">
        <f>IFERROR(ROUND(S229*(R229/$AX229)/VLOOKUP(Q229,职业!$A$3:$E$16,4,FALSE),0),"")</f>
        <v/>
      </c>
      <c r="AT229" t="str">
        <f>IFERROR(ROUND(X229*(U229/$AY229)/VLOOKUP(T229,商品!$A$4:$D$67,4,FALSE),0),"")</f>
        <v/>
      </c>
      <c r="AU229" t="str">
        <f>IFERROR(ROUND(X229*(W229/$AY229)/VLOOKUP(V229,商品!$A$4:$D$67,4,FALSE),0),"")</f>
        <v/>
      </c>
      <c r="AW229">
        <f t="shared" si="65"/>
        <v>0</v>
      </c>
      <c r="AX229">
        <f t="shared" si="66"/>
        <v>0</v>
      </c>
      <c r="AY229">
        <f t="shared" si="67"/>
        <v>0</v>
      </c>
    </row>
    <row r="230" customHeight="1" spans="1:51">
      <c r="A230" s="5" t="s">
        <v>328</v>
      </c>
      <c r="C230" s="5">
        <v>2</v>
      </c>
      <c r="D230" s="1" t="s">
        <v>220</v>
      </c>
      <c r="E230" s="1" t="s">
        <v>224</v>
      </c>
      <c r="L230" s="5">
        <f>IFERROR(VLOOKUP($D230&amp;$C230,生产方式定位!$A$2:$E$38,2,FALSE)+VLOOKUP($E230&amp;$C230,生产方式定位!$F$3:$J$38,2,FALSE),0)</f>
        <v>1200</v>
      </c>
      <c r="S230" s="5">
        <f>IFERROR(VLOOKUP($D230&amp;$C230,生产方式定位!$A$2:$E$38,3,FALSE)+VLOOKUP($E230&amp;$C230,生产方式定位!$F$3:$J$38,3,FALSE),0)</f>
        <v>100</v>
      </c>
      <c r="X230" s="5">
        <f>IFERROR(VLOOKUP($D230&amp;$C230,生产方式定位!$A$2:$E$38,5,FALSE)+VLOOKUP($E230&amp;$C230,生产方式定位!$F$3:$J$38,5,FALSE),"错误")</f>
        <v>1346</v>
      </c>
      <c r="Y230" s="27" t="str">
        <f t="shared" si="51"/>
        <v/>
      </c>
      <c r="Z230" s="50" t="str">
        <f t="shared" si="54"/>
        <v/>
      </c>
      <c r="AA230" s="50" t="str">
        <f t="shared" si="52"/>
        <v/>
      </c>
      <c r="AB230" s="28" t="str">
        <f t="shared" si="55"/>
        <v>12%</v>
      </c>
      <c r="AC230" s="1">
        <f t="shared" si="56"/>
        <v>46</v>
      </c>
      <c r="AD230" s="51">
        <f t="shared" si="53"/>
        <v>2</v>
      </c>
      <c r="AE230" t="str">
        <f t="shared" si="57"/>
        <v/>
      </c>
      <c r="AF230" t="str">
        <f t="shared" si="58"/>
        <v/>
      </c>
      <c r="AG230" t="str">
        <f t="shared" si="59"/>
        <v/>
      </c>
      <c r="AH230" t="str">
        <f t="shared" si="60"/>
        <v/>
      </c>
      <c r="AI230" t="str">
        <f t="shared" si="61"/>
        <v/>
      </c>
      <c r="AJ230" t="str">
        <f t="shared" si="62"/>
        <v/>
      </c>
      <c r="AK230" t="str">
        <f t="shared" si="63"/>
        <v/>
      </c>
      <c r="AL230" t="str">
        <f t="shared" si="64"/>
        <v/>
      </c>
      <c r="AN230" t="str">
        <f>IFERROR(ROUND(L230*(G230/$AW230)/VLOOKUP(F230,商品!$A$4:$D$67,4,FALSE),0),"")</f>
        <v/>
      </c>
      <c r="AO230" t="str">
        <f>IFERROR(ROUND(L230*(I230/$AW230)/VLOOKUP(H230,商品!$A$4:$D$67,4,FALSE),0),"")</f>
        <v/>
      </c>
      <c r="AP230" t="str">
        <f>IFERROR(ROUND(L230*(K230/$AW230)/VLOOKUP(J230,商品!$A$4:$D$67,4,FALSE),0),"")</f>
        <v/>
      </c>
      <c r="AQ230" t="str">
        <f>IFERROR(ROUND(S230*(N230/$AX230)/VLOOKUP(M230,职业!$A$3:$E$16,4,FALSE),0),"")</f>
        <v/>
      </c>
      <c r="AR230" t="str">
        <f>IFERROR(ROUND(S230*(P230/$AX230)/VLOOKUP(O230,职业!$A$3:$E$16,4,FALSE),0),"")</f>
        <v/>
      </c>
      <c r="AS230" t="str">
        <f>IFERROR(ROUND(S230*(R230/$AX230)/VLOOKUP(Q230,职业!$A$3:$E$16,4,FALSE),0),"")</f>
        <v/>
      </c>
      <c r="AT230" t="str">
        <f>IFERROR(ROUND(X230*(U230/$AY230)/VLOOKUP(T230,商品!$A$4:$D$67,4,FALSE),0),"")</f>
        <v/>
      </c>
      <c r="AU230" t="str">
        <f>IFERROR(ROUND(X230*(W230/$AY230)/VLOOKUP(V230,商品!$A$4:$D$67,4,FALSE),0),"")</f>
        <v/>
      </c>
      <c r="AW230">
        <f t="shared" si="65"/>
        <v>0</v>
      </c>
      <c r="AX230">
        <f t="shared" si="66"/>
        <v>0</v>
      </c>
      <c r="AY230">
        <f t="shared" si="67"/>
        <v>0</v>
      </c>
    </row>
    <row r="231" customHeight="1" spans="1:51">
      <c r="A231" s="5" t="s">
        <v>328</v>
      </c>
      <c r="C231" s="5">
        <v>3</v>
      </c>
      <c r="D231" s="1" t="s">
        <v>220</v>
      </c>
      <c r="E231" s="1" t="s">
        <v>224</v>
      </c>
      <c r="L231" s="5">
        <f>IFERROR(VLOOKUP($D231&amp;$C231,生产方式定位!$A$2:$E$38,2,FALSE)+VLOOKUP($E231&amp;$C231,生产方式定位!$F$3:$J$38,2,FALSE),0)</f>
        <v>1900</v>
      </c>
      <c r="S231" s="5">
        <f>IFERROR(VLOOKUP($D231&amp;$C231,生产方式定位!$A$2:$E$38,3,FALSE)+VLOOKUP($E231&amp;$C231,生产方式定位!$F$3:$J$38,3,FALSE),0)</f>
        <v>70</v>
      </c>
      <c r="X231" s="5">
        <f>IFERROR(VLOOKUP($D231&amp;$C231,生产方式定位!$A$2:$E$38,5,FALSE)+VLOOKUP($E231&amp;$C231,生产方式定位!$F$3:$J$38,5,FALSE),"错误")</f>
        <v>2064</v>
      </c>
      <c r="Y231" s="27" t="str">
        <f t="shared" si="51"/>
        <v/>
      </c>
      <c r="Z231" s="50" t="str">
        <f t="shared" si="54"/>
        <v/>
      </c>
      <c r="AA231" s="50" t="str">
        <f t="shared" si="52"/>
        <v/>
      </c>
      <c r="AB231" s="28" t="str">
        <f t="shared" si="55"/>
        <v>9%</v>
      </c>
      <c r="AC231" s="1">
        <f t="shared" si="56"/>
        <v>94</v>
      </c>
      <c r="AD231" s="51">
        <f t="shared" si="53"/>
        <v>3</v>
      </c>
      <c r="AE231" t="str">
        <f t="shared" si="57"/>
        <v/>
      </c>
      <c r="AF231" t="str">
        <f t="shared" si="58"/>
        <v/>
      </c>
      <c r="AG231" t="str">
        <f t="shared" si="59"/>
        <v/>
      </c>
      <c r="AH231" t="str">
        <f t="shared" si="60"/>
        <v/>
      </c>
      <c r="AI231" t="str">
        <f t="shared" si="61"/>
        <v/>
      </c>
      <c r="AJ231" t="str">
        <f t="shared" si="62"/>
        <v/>
      </c>
      <c r="AK231" t="str">
        <f t="shared" si="63"/>
        <v/>
      </c>
      <c r="AL231" t="str">
        <f t="shared" si="64"/>
        <v/>
      </c>
      <c r="AN231" t="str">
        <f>IFERROR(ROUND(L231*(G231/$AW231)/VLOOKUP(F231,商品!$A$4:$D$67,4,FALSE),0),"")</f>
        <v/>
      </c>
      <c r="AO231" t="str">
        <f>IFERROR(ROUND(L231*(I231/$AW231)/VLOOKUP(H231,商品!$A$4:$D$67,4,FALSE),0),"")</f>
        <v/>
      </c>
      <c r="AP231" t="str">
        <f>IFERROR(ROUND(L231*(K231/$AW231)/VLOOKUP(J231,商品!$A$4:$D$67,4,FALSE),0),"")</f>
        <v/>
      </c>
      <c r="AQ231" t="str">
        <f>IFERROR(ROUND(S231*(N231/$AX231)/VLOOKUP(M231,职业!$A$3:$E$16,4,FALSE),0),"")</f>
        <v/>
      </c>
      <c r="AR231" t="str">
        <f>IFERROR(ROUND(S231*(P231/$AX231)/VLOOKUP(O231,职业!$A$3:$E$16,4,FALSE),0),"")</f>
        <v/>
      </c>
      <c r="AS231" t="str">
        <f>IFERROR(ROUND(S231*(R231/$AX231)/VLOOKUP(Q231,职业!$A$3:$E$16,4,FALSE),0),"")</f>
        <v/>
      </c>
      <c r="AT231" t="str">
        <f>IFERROR(ROUND(X231*(U231/$AY231)/VLOOKUP(T231,商品!$A$4:$D$67,4,FALSE),0),"")</f>
        <v/>
      </c>
      <c r="AU231" t="str">
        <f>IFERROR(ROUND(X231*(W231/$AY231)/VLOOKUP(V231,商品!$A$4:$D$67,4,FALSE),0),"")</f>
        <v/>
      </c>
      <c r="AW231">
        <f t="shared" si="65"/>
        <v>0</v>
      </c>
      <c r="AX231">
        <f t="shared" si="66"/>
        <v>0</v>
      </c>
      <c r="AY231">
        <f t="shared" si="67"/>
        <v>0</v>
      </c>
    </row>
    <row r="232" customHeight="1" spans="1:51">
      <c r="A232" s="5" t="s">
        <v>328</v>
      </c>
      <c r="C232" s="5">
        <v>4</v>
      </c>
      <c r="D232" s="1" t="s">
        <v>220</v>
      </c>
      <c r="E232" s="1" t="s">
        <v>224</v>
      </c>
      <c r="L232" s="5">
        <f>IFERROR(VLOOKUP($D232&amp;$C232,生产方式定位!$A$2:$E$38,2,FALSE)+VLOOKUP($E232&amp;$C232,生产方式定位!$F$3:$J$38,2,FALSE),0)</f>
        <v>2600</v>
      </c>
      <c r="S232" s="5">
        <f>IFERROR(VLOOKUP($D232&amp;$C232,生产方式定位!$A$2:$E$38,3,FALSE)+VLOOKUP($E232&amp;$C232,生产方式定位!$F$3:$J$38,3,FALSE),0)</f>
        <v>40</v>
      </c>
      <c r="X232" s="5">
        <f>IFERROR(VLOOKUP($D232&amp;$C232,生产方式定位!$A$2:$E$38,5,FALSE)+VLOOKUP($E232&amp;$C232,生产方式定位!$F$3:$J$38,5,FALSE),"错误")</f>
        <v>2782</v>
      </c>
      <c r="Y232" s="27" t="str">
        <f t="shared" si="51"/>
        <v/>
      </c>
      <c r="Z232" s="50" t="str">
        <f t="shared" si="54"/>
        <v/>
      </c>
      <c r="AA232" s="50" t="str">
        <f t="shared" si="52"/>
        <v/>
      </c>
      <c r="AB232" s="28" t="str">
        <f t="shared" si="55"/>
        <v>7%</v>
      </c>
      <c r="AC232" s="1">
        <f t="shared" si="56"/>
        <v>142</v>
      </c>
      <c r="AD232" s="51">
        <f t="shared" si="53"/>
        <v>4</v>
      </c>
      <c r="AE232" t="str">
        <f t="shared" si="57"/>
        <v/>
      </c>
      <c r="AF232" t="str">
        <f t="shared" si="58"/>
        <v/>
      </c>
      <c r="AG232" t="str">
        <f t="shared" si="59"/>
        <v/>
      </c>
      <c r="AH232" t="str">
        <f t="shared" si="60"/>
        <v/>
      </c>
      <c r="AI232" t="str">
        <f t="shared" si="61"/>
        <v/>
      </c>
      <c r="AJ232" t="str">
        <f t="shared" si="62"/>
        <v/>
      </c>
      <c r="AK232" t="str">
        <f t="shared" si="63"/>
        <v/>
      </c>
      <c r="AL232" t="str">
        <f t="shared" si="64"/>
        <v/>
      </c>
      <c r="AN232" t="str">
        <f>IFERROR(ROUND(L232*(G232/$AW232)/VLOOKUP(F232,商品!$A$4:$D$67,4,FALSE),0),"")</f>
        <v/>
      </c>
      <c r="AO232" t="str">
        <f>IFERROR(ROUND(L232*(I232/$AW232)/VLOOKUP(H232,商品!$A$4:$D$67,4,FALSE),0),"")</f>
        <v/>
      </c>
      <c r="AP232" t="str">
        <f>IFERROR(ROUND(L232*(K232/$AW232)/VLOOKUP(J232,商品!$A$4:$D$67,4,FALSE),0),"")</f>
        <v/>
      </c>
      <c r="AQ232" t="str">
        <f>IFERROR(ROUND(S232*(N232/$AX232)/VLOOKUP(M232,职业!$A$3:$E$16,4,FALSE),0),"")</f>
        <v/>
      </c>
      <c r="AR232" t="str">
        <f>IFERROR(ROUND(S232*(P232/$AX232)/VLOOKUP(O232,职业!$A$3:$E$16,4,FALSE),0),"")</f>
        <v/>
      </c>
      <c r="AS232" t="str">
        <f>IFERROR(ROUND(S232*(R232/$AX232)/VLOOKUP(Q232,职业!$A$3:$E$16,4,FALSE),0),"")</f>
        <v/>
      </c>
      <c r="AT232" t="str">
        <f>IFERROR(ROUND(X232*(U232/$AY232)/VLOOKUP(T232,商品!$A$4:$D$67,4,FALSE),0),"")</f>
        <v/>
      </c>
      <c r="AU232" t="str">
        <f>IFERROR(ROUND(X232*(W232/$AY232)/VLOOKUP(V232,商品!$A$4:$D$67,4,FALSE),0),"")</f>
        <v/>
      </c>
      <c r="AW232">
        <f t="shared" si="65"/>
        <v>0</v>
      </c>
      <c r="AX232">
        <f t="shared" si="66"/>
        <v>0</v>
      </c>
      <c r="AY232">
        <f t="shared" si="67"/>
        <v>0</v>
      </c>
    </row>
    <row r="233" customHeight="1" spans="1:51">
      <c r="A233" s="5" t="s">
        <v>328</v>
      </c>
      <c r="C233" s="5">
        <v>5</v>
      </c>
      <c r="D233" s="1" t="s">
        <v>220</v>
      </c>
      <c r="E233" s="1" t="s">
        <v>224</v>
      </c>
      <c r="L233" s="5">
        <f>IFERROR(VLOOKUP($D233&amp;$C233,生产方式定位!$A$2:$E$38,2,FALSE)+VLOOKUP($E233&amp;$C233,生产方式定位!$F$3:$J$38,2,FALSE),0)</f>
        <v>3300</v>
      </c>
      <c r="S233" s="5">
        <f>IFERROR(VLOOKUP($D233&amp;$C233,生产方式定位!$A$2:$E$38,3,FALSE)+VLOOKUP($E233&amp;$C233,生产方式定位!$F$3:$J$38,3,FALSE),0)</f>
        <v>10</v>
      </c>
      <c r="X233" s="5">
        <f>IFERROR(VLOOKUP($D233&amp;$C233,生产方式定位!$A$2:$E$38,5,FALSE)+VLOOKUP($E233&amp;$C233,生产方式定位!$F$3:$J$38,5,FALSE),"错误")</f>
        <v>3500</v>
      </c>
      <c r="Y233" s="27" t="str">
        <f t="shared" si="51"/>
        <v/>
      </c>
      <c r="Z233" s="50" t="str">
        <f t="shared" si="54"/>
        <v/>
      </c>
      <c r="AA233" s="50" t="str">
        <f t="shared" si="52"/>
        <v/>
      </c>
      <c r="AB233" s="28" t="str">
        <f t="shared" si="55"/>
        <v>6%</v>
      </c>
      <c r="AC233" s="1">
        <f t="shared" si="56"/>
        <v>190</v>
      </c>
      <c r="AD233" s="51">
        <f t="shared" si="53"/>
        <v>5</v>
      </c>
      <c r="AE233" t="str">
        <f t="shared" si="57"/>
        <v/>
      </c>
      <c r="AF233" t="str">
        <f t="shared" si="58"/>
        <v/>
      </c>
      <c r="AG233" t="str">
        <f t="shared" si="59"/>
        <v/>
      </c>
      <c r="AH233" t="str">
        <f t="shared" si="60"/>
        <v/>
      </c>
      <c r="AI233" t="str">
        <f t="shared" si="61"/>
        <v/>
      </c>
      <c r="AJ233" t="str">
        <f t="shared" si="62"/>
        <v/>
      </c>
      <c r="AK233" t="str">
        <f t="shared" si="63"/>
        <v/>
      </c>
      <c r="AL233" t="str">
        <f t="shared" si="64"/>
        <v/>
      </c>
      <c r="AN233" t="str">
        <f>IFERROR(ROUND(L233*(G233/$AW233)/VLOOKUP(F233,商品!$A$4:$D$67,4,FALSE),0),"")</f>
        <v/>
      </c>
      <c r="AO233" t="str">
        <f>IFERROR(ROUND(L233*(I233/$AW233)/VLOOKUP(H233,商品!$A$4:$D$67,4,FALSE),0),"")</f>
        <v/>
      </c>
      <c r="AP233" t="str">
        <f>IFERROR(ROUND(L233*(K233/$AW233)/VLOOKUP(J233,商品!$A$4:$D$67,4,FALSE),0),"")</f>
        <v/>
      </c>
      <c r="AQ233" t="str">
        <f>IFERROR(ROUND(S233*(N233/$AX233)/VLOOKUP(M233,职业!$A$3:$E$16,4,FALSE),0),"")</f>
        <v/>
      </c>
      <c r="AR233" t="str">
        <f>IFERROR(ROUND(S233*(P233/$AX233)/VLOOKUP(O233,职业!$A$3:$E$16,4,FALSE),0),"")</f>
        <v/>
      </c>
      <c r="AS233" t="str">
        <f>IFERROR(ROUND(S233*(R233/$AX233)/VLOOKUP(Q233,职业!$A$3:$E$16,4,FALSE),0),"")</f>
        <v/>
      </c>
      <c r="AT233" t="str">
        <f>IFERROR(ROUND(X233*(U233/$AY233)/VLOOKUP(T233,商品!$A$4:$D$67,4,FALSE),0),"")</f>
        <v/>
      </c>
      <c r="AU233" t="str">
        <f>IFERROR(ROUND(X233*(W233/$AY233)/VLOOKUP(V233,商品!$A$4:$D$67,4,FALSE),0),"")</f>
        <v/>
      </c>
      <c r="AW233">
        <f t="shared" si="65"/>
        <v>0</v>
      </c>
      <c r="AX233">
        <f t="shared" si="66"/>
        <v>0</v>
      </c>
      <c r="AY233">
        <f t="shared" si="67"/>
        <v>0</v>
      </c>
    </row>
    <row r="234" customHeight="1" spans="1:51">
      <c r="A234" s="18" t="s">
        <v>329</v>
      </c>
      <c r="C234" s="18">
        <v>1</v>
      </c>
      <c r="D234" s="1" t="s">
        <v>291</v>
      </c>
      <c r="E234" s="1" t="s">
        <v>225</v>
      </c>
      <c r="L234" s="18">
        <f>IFERROR(VLOOKUP($D234&amp;$C234,生产方式定位!$A$2:$E$38,2,FALSE)+VLOOKUP($E234&amp;$C234,生产方式定位!$F$3:$J$38,2,FALSE),0)</f>
        <v>0</v>
      </c>
      <c r="S234" s="18">
        <f>IFERROR(VLOOKUP($D234&amp;$C234,生产方式定位!$A$2:$E$38,3,FALSE)+VLOOKUP($E234&amp;$C234,生产方式定位!$F$3:$J$38,3,FALSE),0)</f>
        <v>100</v>
      </c>
      <c r="X234" s="18">
        <f>IFERROR(VLOOKUP($D234&amp;$C234,生产方式定位!$A$2:$E$38,5,FALSE)+VLOOKUP($E234&amp;$C234,生产方式定位!$F$3:$J$38,5,FALSE),"错误")</f>
        <v>100</v>
      </c>
      <c r="Y234" s="27" t="str">
        <f t="shared" si="51"/>
        <v/>
      </c>
      <c r="Z234" s="50" t="str">
        <f t="shared" si="54"/>
        <v/>
      </c>
      <c r="AA234" s="50" t="str">
        <f t="shared" si="52"/>
        <v/>
      </c>
      <c r="AB234" s="28" t="str">
        <f t="shared" si="55"/>
        <v/>
      </c>
      <c r="AC234" s="1" t="str">
        <f t="shared" si="56"/>
        <v/>
      </c>
      <c r="AD234" s="52">
        <f t="shared" si="53"/>
        <v>1</v>
      </c>
      <c r="AE234" t="str">
        <f t="shared" si="57"/>
        <v/>
      </c>
      <c r="AF234" t="str">
        <f t="shared" si="58"/>
        <v/>
      </c>
      <c r="AG234" t="str">
        <f t="shared" si="59"/>
        <v/>
      </c>
      <c r="AH234" t="str">
        <f t="shared" si="60"/>
        <v/>
      </c>
      <c r="AI234" t="str">
        <f t="shared" si="61"/>
        <v/>
      </c>
      <c r="AJ234" t="str">
        <f t="shared" si="62"/>
        <v/>
      </c>
      <c r="AK234" t="str">
        <f t="shared" si="63"/>
        <v/>
      </c>
      <c r="AL234" t="str">
        <f t="shared" si="64"/>
        <v/>
      </c>
      <c r="AN234" t="str">
        <f>IFERROR(ROUND(L234*(G234/$AW234)/VLOOKUP(F234,商品!$A$4:$D$67,4,FALSE),0),"")</f>
        <v/>
      </c>
      <c r="AO234" t="str">
        <f>IFERROR(ROUND(L234*(I234/$AW234)/VLOOKUP(H234,商品!$A$4:$D$67,4,FALSE),0),"")</f>
        <v/>
      </c>
      <c r="AP234" t="str">
        <f>IFERROR(ROUND(L234*(K234/$AW234)/VLOOKUP(J234,商品!$A$4:$D$67,4,FALSE),0),"")</f>
        <v/>
      </c>
      <c r="AQ234" t="str">
        <f>IFERROR(ROUND(S234*(N234/$AX234)/VLOOKUP(M234,职业!$A$3:$E$16,4,FALSE),0),"")</f>
        <v/>
      </c>
      <c r="AR234" t="str">
        <f>IFERROR(ROUND(S234*(P234/$AX234)/VLOOKUP(O234,职业!$A$3:$E$16,4,FALSE),0),"")</f>
        <v/>
      </c>
      <c r="AS234" t="str">
        <f>IFERROR(ROUND(S234*(R234/$AX234)/VLOOKUP(Q234,职业!$A$3:$E$16,4,FALSE),0),"")</f>
        <v/>
      </c>
      <c r="AT234" t="str">
        <f>IFERROR(ROUND(X234*(U234/$AY234)/VLOOKUP(T234,商品!$A$4:$D$67,4,FALSE),0),"")</f>
        <v/>
      </c>
      <c r="AU234" t="str">
        <f>IFERROR(ROUND(X234*(W234/$AY234)/VLOOKUP(V234,商品!$A$4:$D$67,4,FALSE),0),"")</f>
        <v/>
      </c>
      <c r="AW234">
        <f t="shared" si="65"/>
        <v>0</v>
      </c>
      <c r="AX234">
        <f t="shared" si="66"/>
        <v>0</v>
      </c>
      <c r="AY234">
        <f t="shared" si="67"/>
        <v>0</v>
      </c>
    </row>
    <row r="235" customHeight="1" spans="1:51">
      <c r="A235" s="18" t="s">
        <v>329</v>
      </c>
      <c r="C235" s="18">
        <v>2</v>
      </c>
      <c r="D235" s="1" t="s">
        <v>291</v>
      </c>
      <c r="E235" s="1" t="s">
        <v>225</v>
      </c>
      <c r="L235" s="18">
        <f>IFERROR(VLOOKUP($D235&amp;$C235,生产方式定位!$A$2:$E$38,2,FALSE)+VLOOKUP($E235&amp;$C235,生产方式定位!$F$3:$J$38,2,FALSE),0)</f>
        <v>0</v>
      </c>
      <c r="S235" s="18">
        <f>IFERROR(VLOOKUP($D235&amp;$C235,生产方式定位!$A$2:$E$38,3,FALSE)+VLOOKUP($E235&amp;$C235,生产方式定位!$F$3:$J$38,3,FALSE),0)</f>
        <v>100</v>
      </c>
      <c r="X235" s="18">
        <f>IFERROR(VLOOKUP($D235&amp;$C235,生产方式定位!$A$2:$E$38,5,FALSE)+VLOOKUP($E235&amp;$C235,生产方式定位!$F$3:$J$38,5,FALSE),"错误")</f>
        <v>100</v>
      </c>
      <c r="Y235" s="27" t="str">
        <f t="shared" si="51"/>
        <v/>
      </c>
      <c r="Z235" s="50" t="str">
        <f t="shared" si="54"/>
        <v/>
      </c>
      <c r="AA235" s="50" t="str">
        <f t="shared" si="52"/>
        <v/>
      </c>
      <c r="AB235" s="28" t="str">
        <f t="shared" si="55"/>
        <v/>
      </c>
      <c r="AC235" s="1" t="str">
        <f t="shared" si="56"/>
        <v/>
      </c>
      <c r="AD235" s="52">
        <f t="shared" si="53"/>
        <v>2</v>
      </c>
      <c r="AE235" t="str">
        <f t="shared" si="57"/>
        <v/>
      </c>
      <c r="AF235" t="str">
        <f t="shared" si="58"/>
        <v/>
      </c>
      <c r="AG235" t="str">
        <f t="shared" si="59"/>
        <v/>
      </c>
      <c r="AH235" t="str">
        <f t="shared" si="60"/>
        <v/>
      </c>
      <c r="AI235" t="str">
        <f t="shared" si="61"/>
        <v/>
      </c>
      <c r="AJ235" t="str">
        <f t="shared" si="62"/>
        <v/>
      </c>
      <c r="AK235" t="str">
        <f t="shared" si="63"/>
        <v/>
      </c>
      <c r="AL235" t="str">
        <f t="shared" si="64"/>
        <v/>
      </c>
      <c r="AN235" t="str">
        <f>IFERROR(ROUND(L235*(G235/$AW235)/VLOOKUP(F235,商品!$A$4:$D$67,4,FALSE),0),"")</f>
        <v/>
      </c>
      <c r="AO235" t="str">
        <f>IFERROR(ROUND(L235*(I235/$AW235)/VLOOKUP(H235,商品!$A$4:$D$67,4,FALSE),0),"")</f>
        <v/>
      </c>
      <c r="AP235" t="str">
        <f>IFERROR(ROUND(L235*(K235/$AW235)/VLOOKUP(J235,商品!$A$4:$D$67,4,FALSE),0),"")</f>
        <v/>
      </c>
      <c r="AQ235" t="str">
        <f>IFERROR(ROUND(S235*(N235/$AX235)/VLOOKUP(M235,职业!$A$3:$E$16,4,FALSE),0),"")</f>
        <v/>
      </c>
      <c r="AR235" t="str">
        <f>IFERROR(ROUND(S235*(P235/$AX235)/VLOOKUP(O235,职业!$A$3:$E$16,4,FALSE),0),"")</f>
        <v/>
      </c>
      <c r="AS235" t="str">
        <f>IFERROR(ROUND(S235*(R235/$AX235)/VLOOKUP(Q235,职业!$A$3:$E$16,4,FALSE),0),"")</f>
        <v/>
      </c>
      <c r="AT235" t="str">
        <f>IFERROR(ROUND(X235*(U235/$AY235)/VLOOKUP(T235,商品!$A$4:$D$67,4,FALSE),0),"")</f>
        <v/>
      </c>
      <c r="AU235" t="str">
        <f>IFERROR(ROUND(X235*(W235/$AY235)/VLOOKUP(V235,商品!$A$4:$D$67,4,FALSE),0),"")</f>
        <v/>
      </c>
      <c r="AW235">
        <f t="shared" si="65"/>
        <v>0</v>
      </c>
      <c r="AX235">
        <f t="shared" si="66"/>
        <v>0</v>
      </c>
      <c r="AY235">
        <f t="shared" si="67"/>
        <v>0</v>
      </c>
    </row>
    <row r="236" customHeight="1" spans="1:51">
      <c r="A236" s="18" t="s">
        <v>329</v>
      </c>
      <c r="C236" s="18">
        <v>3</v>
      </c>
      <c r="D236" s="1" t="s">
        <v>291</v>
      </c>
      <c r="E236" s="1" t="s">
        <v>225</v>
      </c>
      <c r="L236" s="18">
        <f>IFERROR(VLOOKUP($D236&amp;$C236,生产方式定位!$A$2:$E$38,2,FALSE)+VLOOKUP($E236&amp;$C236,生产方式定位!$F$3:$J$38,2,FALSE),0)</f>
        <v>0</v>
      </c>
      <c r="S236" s="18">
        <f>IFERROR(VLOOKUP($D236&amp;$C236,生产方式定位!$A$2:$E$38,3,FALSE)+VLOOKUP($E236&amp;$C236,生产方式定位!$F$3:$J$38,3,FALSE),0)</f>
        <v>100</v>
      </c>
      <c r="X236" s="18">
        <f>IFERROR(VLOOKUP($D236&amp;$C236,生产方式定位!$A$2:$E$38,5,FALSE)+VLOOKUP($E236&amp;$C236,生产方式定位!$F$3:$J$38,5,FALSE),"错误")</f>
        <v>100</v>
      </c>
      <c r="Y236" s="27" t="str">
        <f t="shared" si="51"/>
        <v/>
      </c>
      <c r="Z236" s="50" t="str">
        <f t="shared" si="54"/>
        <v/>
      </c>
      <c r="AA236" s="50" t="str">
        <f t="shared" si="52"/>
        <v/>
      </c>
      <c r="AB236" s="28" t="str">
        <f t="shared" si="55"/>
        <v/>
      </c>
      <c r="AC236" s="1" t="str">
        <f t="shared" si="56"/>
        <v/>
      </c>
      <c r="AD236" s="52">
        <f t="shared" si="53"/>
        <v>3</v>
      </c>
      <c r="AE236" t="str">
        <f t="shared" si="57"/>
        <v/>
      </c>
      <c r="AF236" t="str">
        <f t="shared" si="58"/>
        <v/>
      </c>
      <c r="AG236" t="str">
        <f t="shared" si="59"/>
        <v/>
      </c>
      <c r="AH236" t="str">
        <f t="shared" si="60"/>
        <v/>
      </c>
      <c r="AI236" t="str">
        <f t="shared" si="61"/>
        <v/>
      </c>
      <c r="AJ236" t="str">
        <f t="shared" si="62"/>
        <v/>
      </c>
      <c r="AK236" t="str">
        <f t="shared" si="63"/>
        <v/>
      </c>
      <c r="AL236" t="str">
        <f t="shared" si="64"/>
        <v/>
      </c>
      <c r="AN236" t="str">
        <f>IFERROR(ROUND(L236*(G236/$AW236)/VLOOKUP(F236,商品!$A$4:$D$67,4,FALSE),0),"")</f>
        <v/>
      </c>
      <c r="AO236" t="str">
        <f>IFERROR(ROUND(L236*(I236/$AW236)/VLOOKUP(H236,商品!$A$4:$D$67,4,FALSE),0),"")</f>
        <v/>
      </c>
      <c r="AP236" t="str">
        <f>IFERROR(ROUND(L236*(K236/$AW236)/VLOOKUP(J236,商品!$A$4:$D$67,4,FALSE),0),"")</f>
        <v/>
      </c>
      <c r="AQ236" t="str">
        <f>IFERROR(ROUND(S236*(N236/$AX236)/VLOOKUP(M236,职业!$A$3:$E$16,4,FALSE),0),"")</f>
        <v/>
      </c>
      <c r="AR236" t="str">
        <f>IFERROR(ROUND(S236*(P236/$AX236)/VLOOKUP(O236,职业!$A$3:$E$16,4,FALSE),0),"")</f>
        <v/>
      </c>
      <c r="AS236" t="str">
        <f>IFERROR(ROUND(S236*(R236/$AX236)/VLOOKUP(Q236,职业!$A$3:$E$16,4,FALSE),0),"")</f>
        <v/>
      </c>
      <c r="AT236" t="str">
        <f>IFERROR(ROUND(X236*(U236/$AY236)/VLOOKUP(T236,商品!$A$4:$D$67,4,FALSE),0),"")</f>
        <v/>
      </c>
      <c r="AU236" t="str">
        <f>IFERROR(ROUND(X236*(W236/$AY236)/VLOOKUP(V236,商品!$A$4:$D$67,4,FALSE),0),"")</f>
        <v/>
      </c>
      <c r="AW236">
        <f t="shared" si="65"/>
        <v>0</v>
      </c>
      <c r="AX236">
        <f t="shared" si="66"/>
        <v>0</v>
      </c>
      <c r="AY236">
        <f t="shared" si="67"/>
        <v>0</v>
      </c>
    </row>
    <row r="237" customHeight="1" spans="1:51">
      <c r="A237" s="18" t="s">
        <v>329</v>
      </c>
      <c r="C237" s="18">
        <v>4</v>
      </c>
      <c r="D237" s="1" t="s">
        <v>291</v>
      </c>
      <c r="E237" s="1" t="s">
        <v>225</v>
      </c>
      <c r="L237" s="18">
        <f>IFERROR(VLOOKUP($D237&amp;$C237,生产方式定位!$A$2:$E$38,2,FALSE)+VLOOKUP($E237&amp;$C237,生产方式定位!$F$3:$J$38,2,FALSE),0)</f>
        <v>0</v>
      </c>
      <c r="S237" s="18">
        <f>IFERROR(VLOOKUP($D237&amp;$C237,生产方式定位!$A$2:$E$38,3,FALSE)+VLOOKUP($E237&amp;$C237,生产方式定位!$F$3:$J$38,3,FALSE),0)</f>
        <v>100</v>
      </c>
      <c r="X237" s="18">
        <f>IFERROR(VLOOKUP($D237&amp;$C237,生产方式定位!$A$2:$E$38,5,FALSE)+VLOOKUP($E237&amp;$C237,生产方式定位!$F$3:$J$38,5,FALSE),"错误")</f>
        <v>100</v>
      </c>
      <c r="Y237" s="27" t="str">
        <f t="shared" si="51"/>
        <v/>
      </c>
      <c r="Z237" s="50" t="str">
        <f t="shared" si="54"/>
        <v/>
      </c>
      <c r="AA237" s="50" t="str">
        <f t="shared" si="52"/>
        <v/>
      </c>
      <c r="AB237" s="28" t="str">
        <f t="shared" si="55"/>
        <v/>
      </c>
      <c r="AC237" s="1" t="str">
        <f t="shared" si="56"/>
        <v/>
      </c>
      <c r="AD237" s="52">
        <f t="shared" si="53"/>
        <v>4</v>
      </c>
      <c r="AE237" t="str">
        <f t="shared" si="57"/>
        <v/>
      </c>
      <c r="AF237" t="str">
        <f t="shared" si="58"/>
        <v/>
      </c>
      <c r="AG237" t="str">
        <f t="shared" si="59"/>
        <v/>
      </c>
      <c r="AH237" t="str">
        <f t="shared" si="60"/>
        <v/>
      </c>
      <c r="AI237" t="str">
        <f t="shared" si="61"/>
        <v/>
      </c>
      <c r="AJ237" t="str">
        <f t="shared" si="62"/>
        <v/>
      </c>
      <c r="AK237" t="str">
        <f t="shared" si="63"/>
        <v/>
      </c>
      <c r="AL237" t="str">
        <f t="shared" si="64"/>
        <v/>
      </c>
      <c r="AN237" t="str">
        <f>IFERROR(ROUND(L237*(G237/$AW237)/VLOOKUP(F237,商品!$A$4:$D$67,4,FALSE),0),"")</f>
        <v/>
      </c>
      <c r="AO237" t="str">
        <f>IFERROR(ROUND(L237*(I237/$AW237)/VLOOKUP(H237,商品!$A$4:$D$67,4,FALSE),0),"")</f>
        <v/>
      </c>
      <c r="AP237" t="str">
        <f>IFERROR(ROUND(L237*(K237/$AW237)/VLOOKUP(J237,商品!$A$4:$D$67,4,FALSE),0),"")</f>
        <v/>
      </c>
      <c r="AQ237" t="str">
        <f>IFERROR(ROUND(S237*(N237/$AX237)/VLOOKUP(M237,职业!$A$3:$E$16,4,FALSE),0),"")</f>
        <v/>
      </c>
      <c r="AR237" t="str">
        <f>IFERROR(ROUND(S237*(P237/$AX237)/VLOOKUP(O237,职业!$A$3:$E$16,4,FALSE),0),"")</f>
        <v/>
      </c>
      <c r="AS237" t="str">
        <f>IFERROR(ROUND(S237*(R237/$AX237)/VLOOKUP(Q237,职业!$A$3:$E$16,4,FALSE),0),"")</f>
        <v/>
      </c>
      <c r="AT237" t="str">
        <f>IFERROR(ROUND(X237*(U237/$AY237)/VLOOKUP(T237,商品!$A$4:$D$67,4,FALSE),0),"")</f>
        <v/>
      </c>
      <c r="AU237" t="str">
        <f>IFERROR(ROUND(X237*(W237/$AY237)/VLOOKUP(V237,商品!$A$4:$D$67,4,FALSE),0),"")</f>
        <v/>
      </c>
      <c r="AW237">
        <f t="shared" si="65"/>
        <v>0</v>
      </c>
      <c r="AX237">
        <f t="shared" si="66"/>
        <v>0</v>
      </c>
      <c r="AY237">
        <f t="shared" si="67"/>
        <v>0</v>
      </c>
    </row>
    <row r="238" customHeight="1" spans="1:51">
      <c r="A238" s="18" t="s">
        <v>329</v>
      </c>
      <c r="C238" s="18">
        <v>5</v>
      </c>
      <c r="D238" s="1" t="s">
        <v>291</v>
      </c>
      <c r="E238" s="1" t="s">
        <v>225</v>
      </c>
      <c r="L238" s="18">
        <f>IFERROR(VLOOKUP($D238&amp;$C238,生产方式定位!$A$2:$E$38,2,FALSE)+VLOOKUP($E238&amp;$C238,生产方式定位!$F$3:$J$38,2,FALSE),0)</f>
        <v>0</v>
      </c>
      <c r="S238" s="18">
        <f>IFERROR(VLOOKUP($D238&amp;$C238,生产方式定位!$A$2:$E$38,3,FALSE)+VLOOKUP($E238&amp;$C238,生产方式定位!$F$3:$J$38,3,FALSE),0)</f>
        <v>100</v>
      </c>
      <c r="X238" s="18">
        <f>IFERROR(VLOOKUP($D238&amp;$C238,生产方式定位!$A$2:$E$38,5,FALSE)+VLOOKUP($E238&amp;$C238,生产方式定位!$F$3:$J$38,5,FALSE),"错误")</f>
        <v>100</v>
      </c>
      <c r="Y238" s="27" t="str">
        <f t="shared" si="51"/>
        <v/>
      </c>
      <c r="Z238" s="50" t="str">
        <f t="shared" si="54"/>
        <v/>
      </c>
      <c r="AA238" s="50" t="str">
        <f t="shared" si="52"/>
        <v/>
      </c>
      <c r="AB238" s="28" t="str">
        <f t="shared" si="55"/>
        <v/>
      </c>
      <c r="AC238" s="1" t="str">
        <f t="shared" si="56"/>
        <v/>
      </c>
      <c r="AD238" s="52">
        <f t="shared" si="53"/>
        <v>5</v>
      </c>
      <c r="AE238" t="str">
        <f t="shared" si="57"/>
        <v/>
      </c>
      <c r="AF238" t="str">
        <f t="shared" si="58"/>
        <v/>
      </c>
      <c r="AG238" t="str">
        <f t="shared" si="59"/>
        <v/>
      </c>
      <c r="AH238" t="str">
        <f t="shared" si="60"/>
        <v/>
      </c>
      <c r="AI238" t="str">
        <f t="shared" si="61"/>
        <v/>
      </c>
      <c r="AJ238" t="str">
        <f t="shared" si="62"/>
        <v/>
      </c>
      <c r="AK238" t="str">
        <f t="shared" si="63"/>
        <v/>
      </c>
      <c r="AL238" t="str">
        <f t="shared" si="64"/>
        <v/>
      </c>
      <c r="AN238" t="str">
        <f>IFERROR(ROUND(L238*(G238/$AW238)/VLOOKUP(F238,商品!$A$4:$D$67,4,FALSE),0),"")</f>
        <v/>
      </c>
      <c r="AO238" t="str">
        <f>IFERROR(ROUND(L238*(I238/$AW238)/VLOOKUP(H238,商品!$A$4:$D$67,4,FALSE),0),"")</f>
        <v/>
      </c>
      <c r="AP238" t="str">
        <f>IFERROR(ROUND(L238*(K238/$AW238)/VLOOKUP(J238,商品!$A$4:$D$67,4,FALSE),0),"")</f>
        <v/>
      </c>
      <c r="AQ238" t="str">
        <f>IFERROR(ROUND(S238*(N238/$AX238)/VLOOKUP(M238,职业!$A$3:$E$16,4,FALSE),0),"")</f>
        <v/>
      </c>
      <c r="AR238" t="str">
        <f>IFERROR(ROUND(S238*(P238/$AX238)/VLOOKUP(O238,职业!$A$3:$E$16,4,FALSE),0),"")</f>
        <v/>
      </c>
      <c r="AS238" t="str">
        <f>IFERROR(ROUND(S238*(R238/$AX238)/VLOOKUP(Q238,职业!$A$3:$E$16,4,FALSE),0),"")</f>
        <v/>
      </c>
      <c r="AT238" t="str">
        <f>IFERROR(ROUND(X238*(U238/$AY238)/VLOOKUP(T238,商品!$A$4:$D$67,4,FALSE),0),"")</f>
        <v/>
      </c>
      <c r="AU238" t="str">
        <f>IFERROR(ROUND(X238*(W238/$AY238)/VLOOKUP(V238,商品!$A$4:$D$67,4,FALSE),0),"")</f>
        <v/>
      </c>
      <c r="AW238">
        <f t="shared" si="65"/>
        <v>0</v>
      </c>
      <c r="AX238">
        <f t="shared" si="66"/>
        <v>0</v>
      </c>
      <c r="AY238">
        <f t="shared" si="67"/>
        <v>0</v>
      </c>
    </row>
    <row r="239" customHeight="1" spans="1:51">
      <c r="A239" s="18" t="s">
        <v>329</v>
      </c>
      <c r="C239" s="18">
        <v>6</v>
      </c>
      <c r="D239" s="1" t="s">
        <v>291</v>
      </c>
      <c r="E239" s="1" t="s">
        <v>225</v>
      </c>
      <c r="L239" s="18">
        <f>IFERROR(VLOOKUP($D239&amp;$C239,生产方式定位!$A$2:$E$38,2,FALSE)+VLOOKUP($E239&amp;$C239,生产方式定位!$F$3:$J$38,2,FALSE),0)</f>
        <v>0</v>
      </c>
      <c r="S239" s="18">
        <f>IFERROR(VLOOKUP($D239&amp;$C239,生产方式定位!$A$2:$E$38,3,FALSE)+VLOOKUP($E239&amp;$C239,生产方式定位!$F$3:$J$38,3,FALSE),0)</f>
        <v>100</v>
      </c>
      <c r="X239" s="18">
        <f>IFERROR(VLOOKUP($D239&amp;$C239,生产方式定位!$A$2:$E$38,5,FALSE)+VLOOKUP($E239&amp;$C239,生产方式定位!$F$3:$J$38,5,FALSE),"错误")</f>
        <v>100</v>
      </c>
      <c r="Y239" s="27" t="str">
        <f t="shared" si="51"/>
        <v/>
      </c>
      <c r="Z239" s="50" t="str">
        <f t="shared" si="54"/>
        <v/>
      </c>
      <c r="AA239" s="50" t="str">
        <f t="shared" si="52"/>
        <v/>
      </c>
      <c r="AB239" s="28" t="str">
        <f t="shared" si="55"/>
        <v/>
      </c>
      <c r="AC239" s="1" t="str">
        <f t="shared" si="56"/>
        <v/>
      </c>
      <c r="AD239" s="52">
        <f t="shared" si="53"/>
        <v>6</v>
      </c>
      <c r="AE239" t="str">
        <f t="shared" si="57"/>
        <v/>
      </c>
      <c r="AF239" t="str">
        <f t="shared" si="58"/>
        <v/>
      </c>
      <c r="AG239" t="str">
        <f t="shared" si="59"/>
        <v/>
      </c>
      <c r="AH239" t="str">
        <f t="shared" si="60"/>
        <v/>
      </c>
      <c r="AI239" t="str">
        <f t="shared" si="61"/>
        <v/>
      </c>
      <c r="AJ239" t="str">
        <f t="shared" si="62"/>
        <v/>
      </c>
      <c r="AK239" t="str">
        <f t="shared" si="63"/>
        <v/>
      </c>
      <c r="AL239" t="str">
        <f t="shared" si="64"/>
        <v/>
      </c>
      <c r="AN239" t="str">
        <f>IFERROR(ROUND(L239*(G239/$AW239)/VLOOKUP(F239,商品!$A$4:$D$67,4,FALSE),0),"")</f>
        <v/>
      </c>
      <c r="AO239" t="str">
        <f>IFERROR(ROUND(L239*(I239/$AW239)/VLOOKUP(H239,商品!$A$4:$D$67,4,FALSE),0),"")</f>
        <v/>
      </c>
      <c r="AP239" t="str">
        <f>IFERROR(ROUND(L239*(K239/$AW239)/VLOOKUP(J239,商品!$A$4:$D$67,4,FALSE),0),"")</f>
        <v/>
      </c>
      <c r="AQ239" t="str">
        <f>IFERROR(ROUND(S239*(N239/$AX239)/VLOOKUP(M239,职业!$A$3:$E$16,4,FALSE),0),"")</f>
        <v/>
      </c>
      <c r="AR239" t="str">
        <f>IFERROR(ROUND(S239*(P239/$AX239)/VLOOKUP(O239,职业!$A$3:$E$16,4,FALSE),0),"")</f>
        <v/>
      </c>
      <c r="AS239" t="str">
        <f>IFERROR(ROUND(S239*(R239/$AX239)/VLOOKUP(Q239,职业!$A$3:$E$16,4,FALSE),0),"")</f>
        <v/>
      </c>
      <c r="AT239" t="str">
        <f>IFERROR(ROUND(X239*(U239/$AY239)/VLOOKUP(T239,商品!$A$4:$D$67,4,FALSE),0),"")</f>
        <v/>
      </c>
      <c r="AU239" t="str">
        <f>IFERROR(ROUND(X239*(W239/$AY239)/VLOOKUP(V239,商品!$A$4:$D$67,4,FALSE),0),"")</f>
        <v/>
      </c>
      <c r="AW239">
        <f t="shared" si="65"/>
        <v>0</v>
      </c>
      <c r="AX239">
        <f t="shared" si="66"/>
        <v>0</v>
      </c>
      <c r="AY239">
        <f t="shared" si="67"/>
        <v>0</v>
      </c>
    </row>
    <row r="240" customHeight="1" spans="1:51">
      <c r="A240" s="18" t="s">
        <v>329</v>
      </c>
      <c r="C240" s="18">
        <v>7</v>
      </c>
      <c r="D240" s="1" t="s">
        <v>291</v>
      </c>
      <c r="E240" s="1" t="s">
        <v>225</v>
      </c>
      <c r="L240" s="18">
        <f>IFERROR(VLOOKUP($D240&amp;$C240,生产方式定位!$A$2:$E$38,2,FALSE)+VLOOKUP($E240&amp;$C240,生产方式定位!$F$3:$J$38,2,FALSE),0)</f>
        <v>0</v>
      </c>
      <c r="S240" s="18">
        <f>IFERROR(VLOOKUP($D240&amp;$C240,生产方式定位!$A$2:$E$38,3,FALSE)+VLOOKUP($E240&amp;$C240,生产方式定位!$F$3:$J$38,3,FALSE),0)</f>
        <v>100</v>
      </c>
      <c r="X240" s="18">
        <f>IFERROR(VLOOKUP($D240&amp;$C240,生产方式定位!$A$2:$E$38,5,FALSE)+VLOOKUP($E240&amp;$C240,生产方式定位!$F$3:$J$38,5,FALSE),"错误")</f>
        <v>100</v>
      </c>
      <c r="Y240" s="27" t="str">
        <f t="shared" si="51"/>
        <v/>
      </c>
      <c r="Z240" s="50" t="str">
        <f t="shared" si="54"/>
        <v/>
      </c>
      <c r="AA240" s="50" t="str">
        <f t="shared" si="52"/>
        <v/>
      </c>
      <c r="AB240" s="28" t="str">
        <f t="shared" si="55"/>
        <v/>
      </c>
      <c r="AC240" s="1" t="str">
        <f t="shared" si="56"/>
        <v/>
      </c>
      <c r="AD240" s="52">
        <f t="shared" si="53"/>
        <v>7</v>
      </c>
      <c r="AE240" t="str">
        <f t="shared" si="57"/>
        <v/>
      </c>
      <c r="AF240" t="str">
        <f t="shared" si="58"/>
        <v/>
      </c>
      <c r="AG240" t="str">
        <f t="shared" si="59"/>
        <v/>
      </c>
      <c r="AH240" t="str">
        <f t="shared" si="60"/>
        <v/>
      </c>
      <c r="AI240" t="str">
        <f t="shared" si="61"/>
        <v/>
      </c>
      <c r="AJ240" t="str">
        <f t="shared" si="62"/>
        <v/>
      </c>
      <c r="AK240" t="str">
        <f t="shared" si="63"/>
        <v/>
      </c>
      <c r="AL240" t="str">
        <f t="shared" si="64"/>
        <v/>
      </c>
      <c r="AN240" t="str">
        <f>IFERROR(ROUND(L240*(G240/$AW240)/VLOOKUP(F240,商品!$A$4:$D$67,4,FALSE),0),"")</f>
        <v/>
      </c>
      <c r="AO240" t="str">
        <f>IFERROR(ROUND(L240*(I240/$AW240)/VLOOKUP(H240,商品!$A$4:$D$67,4,FALSE),0),"")</f>
        <v/>
      </c>
      <c r="AP240" t="str">
        <f>IFERROR(ROUND(L240*(K240/$AW240)/VLOOKUP(J240,商品!$A$4:$D$67,4,FALSE),0),"")</f>
        <v/>
      </c>
      <c r="AQ240" t="str">
        <f>IFERROR(ROUND(S240*(N240/$AX240)/VLOOKUP(M240,职业!$A$3:$E$16,4,FALSE),0),"")</f>
        <v/>
      </c>
      <c r="AR240" t="str">
        <f>IFERROR(ROUND(S240*(P240/$AX240)/VLOOKUP(O240,职业!$A$3:$E$16,4,FALSE),0),"")</f>
        <v/>
      </c>
      <c r="AS240" t="str">
        <f>IFERROR(ROUND(S240*(R240/$AX240)/VLOOKUP(Q240,职业!$A$3:$E$16,4,FALSE),0),"")</f>
        <v/>
      </c>
      <c r="AT240" t="str">
        <f>IFERROR(ROUND(X240*(U240/$AY240)/VLOOKUP(T240,商品!$A$4:$D$67,4,FALSE),0),"")</f>
        <v/>
      </c>
      <c r="AU240" t="str">
        <f>IFERROR(ROUND(X240*(W240/$AY240)/VLOOKUP(V240,商品!$A$4:$D$67,4,FALSE),0),"")</f>
        <v/>
      </c>
      <c r="AW240">
        <f t="shared" si="65"/>
        <v>0</v>
      </c>
      <c r="AX240">
        <f t="shared" si="66"/>
        <v>0</v>
      </c>
      <c r="AY240">
        <f t="shared" si="67"/>
        <v>0</v>
      </c>
    </row>
    <row r="241" customHeight="1" spans="1:51">
      <c r="A241" s="18" t="s">
        <v>329</v>
      </c>
      <c r="C241" s="18">
        <v>8</v>
      </c>
      <c r="D241" s="1" t="s">
        <v>291</v>
      </c>
      <c r="E241" s="1" t="s">
        <v>225</v>
      </c>
      <c r="L241" s="18">
        <f>IFERROR(VLOOKUP($D241&amp;$C241,生产方式定位!$A$2:$E$38,2,FALSE)+VLOOKUP($E241&amp;$C241,生产方式定位!$F$3:$J$38,2,FALSE),0)</f>
        <v>0</v>
      </c>
      <c r="S241" s="18">
        <f>IFERROR(VLOOKUP($D241&amp;$C241,生产方式定位!$A$2:$E$38,3,FALSE)+VLOOKUP($E241&amp;$C241,生产方式定位!$F$3:$J$38,3,FALSE),0)</f>
        <v>100</v>
      </c>
      <c r="X241" s="18">
        <f>IFERROR(VLOOKUP($D241&amp;$C241,生产方式定位!$A$2:$E$38,5,FALSE)+VLOOKUP($E241&amp;$C241,生产方式定位!$F$3:$J$38,5,FALSE),"错误")</f>
        <v>100</v>
      </c>
      <c r="Y241" s="27" t="str">
        <f t="shared" si="51"/>
        <v/>
      </c>
      <c r="Z241" s="50" t="str">
        <f t="shared" si="54"/>
        <v/>
      </c>
      <c r="AA241" s="50" t="str">
        <f t="shared" si="52"/>
        <v/>
      </c>
      <c r="AB241" s="28" t="str">
        <f t="shared" si="55"/>
        <v/>
      </c>
      <c r="AC241" s="1" t="str">
        <f t="shared" si="56"/>
        <v/>
      </c>
      <c r="AD241" s="52">
        <f t="shared" si="53"/>
        <v>8</v>
      </c>
      <c r="AE241" t="str">
        <f t="shared" si="57"/>
        <v/>
      </c>
      <c r="AF241" t="str">
        <f t="shared" si="58"/>
        <v/>
      </c>
      <c r="AG241" t="str">
        <f t="shared" si="59"/>
        <v/>
      </c>
      <c r="AH241" t="str">
        <f t="shared" si="60"/>
        <v/>
      </c>
      <c r="AI241" t="str">
        <f t="shared" si="61"/>
        <v/>
      </c>
      <c r="AJ241" t="str">
        <f t="shared" si="62"/>
        <v/>
      </c>
      <c r="AK241" t="str">
        <f t="shared" si="63"/>
        <v/>
      </c>
      <c r="AL241" t="str">
        <f t="shared" si="64"/>
        <v/>
      </c>
      <c r="AN241" t="str">
        <f>IFERROR(ROUND(L241*(G241/$AW241)/VLOOKUP(F241,商品!$A$4:$D$67,4,FALSE),0),"")</f>
        <v/>
      </c>
      <c r="AO241" t="str">
        <f>IFERROR(ROUND(L241*(I241/$AW241)/VLOOKUP(H241,商品!$A$4:$D$67,4,FALSE),0),"")</f>
        <v/>
      </c>
      <c r="AP241" t="str">
        <f>IFERROR(ROUND(L241*(K241/$AW241)/VLOOKUP(J241,商品!$A$4:$D$67,4,FALSE),0),"")</f>
        <v/>
      </c>
      <c r="AQ241" t="str">
        <f>IFERROR(ROUND(S241*(N241/$AX241)/VLOOKUP(M241,职业!$A$3:$E$16,4,FALSE),0),"")</f>
        <v/>
      </c>
      <c r="AR241" t="str">
        <f>IFERROR(ROUND(S241*(P241/$AX241)/VLOOKUP(O241,职业!$A$3:$E$16,4,FALSE),0),"")</f>
        <v/>
      </c>
      <c r="AS241" t="str">
        <f>IFERROR(ROUND(S241*(R241/$AX241)/VLOOKUP(Q241,职业!$A$3:$E$16,4,FALSE),0),"")</f>
        <v/>
      </c>
      <c r="AT241" t="str">
        <f>IFERROR(ROUND(X241*(U241/$AY241)/VLOOKUP(T241,商品!$A$4:$D$67,4,FALSE),0),"")</f>
        <v/>
      </c>
      <c r="AU241" t="str">
        <f>IFERROR(ROUND(X241*(W241/$AY241)/VLOOKUP(V241,商品!$A$4:$D$67,4,FALSE),0),"")</f>
        <v/>
      </c>
      <c r="AW241">
        <f t="shared" si="65"/>
        <v>0</v>
      </c>
      <c r="AX241">
        <f t="shared" si="66"/>
        <v>0</v>
      </c>
      <c r="AY241">
        <f t="shared" si="67"/>
        <v>0</v>
      </c>
    </row>
    <row r="242" customHeight="1" spans="1:51">
      <c r="A242" s="5" t="s">
        <v>331</v>
      </c>
      <c r="C242" s="5">
        <v>1</v>
      </c>
      <c r="D242" s="1" t="s">
        <v>220</v>
      </c>
      <c r="E242" s="1" t="s">
        <v>222</v>
      </c>
      <c r="L242" s="5">
        <f>IFERROR(VLOOKUP($D242&amp;$C242,生产方式定位!$A$2:$E$38,2,FALSE)+VLOOKUP($E242&amp;$C242,生产方式定位!$F$3:$J$38,2,FALSE),0)</f>
        <v>500</v>
      </c>
      <c r="S242" s="5">
        <f>IFERROR(VLOOKUP($D242&amp;$C242,生产方式定位!$A$2:$E$38,3,FALSE)+VLOOKUP($E242&amp;$C242,生产方式定位!$F$3:$J$38,3,FALSE),0)</f>
        <v>150</v>
      </c>
      <c r="X242" s="5">
        <f>IFERROR(VLOOKUP($D242&amp;$C242,生产方式定位!$A$2:$E$38,5,FALSE)+VLOOKUP($E242&amp;$C242,生产方式定位!$F$3:$J$38,5,FALSE),"错误")</f>
        <v>715</v>
      </c>
      <c r="Y242" s="27" t="str">
        <f t="shared" si="51"/>
        <v/>
      </c>
      <c r="Z242" s="50" t="str">
        <f t="shared" si="54"/>
        <v/>
      </c>
      <c r="AA242" s="50" t="str">
        <f t="shared" si="52"/>
        <v/>
      </c>
      <c r="AB242" s="28" t="str">
        <f t="shared" si="55"/>
        <v>43%</v>
      </c>
      <c r="AC242" s="1">
        <f t="shared" si="56"/>
        <v>65</v>
      </c>
      <c r="AD242" s="51">
        <f t="shared" si="53"/>
        <v>1</v>
      </c>
      <c r="AE242" t="str">
        <f t="shared" si="57"/>
        <v/>
      </c>
      <c r="AF242" t="str">
        <f t="shared" si="58"/>
        <v/>
      </c>
      <c r="AG242" t="str">
        <f t="shared" si="59"/>
        <v/>
      </c>
      <c r="AH242" t="str">
        <f t="shared" si="60"/>
        <v/>
      </c>
      <c r="AI242" t="str">
        <f t="shared" si="61"/>
        <v/>
      </c>
      <c r="AJ242" t="str">
        <f t="shared" si="62"/>
        <v/>
      </c>
      <c r="AK242" t="str">
        <f t="shared" si="63"/>
        <v/>
      </c>
      <c r="AL242" t="str">
        <f t="shared" si="64"/>
        <v/>
      </c>
      <c r="AN242" t="str">
        <f>IFERROR(ROUND(L242*(G242/$AW242)/VLOOKUP(F242,商品!$A$4:$D$67,4,FALSE),0),"")</f>
        <v/>
      </c>
      <c r="AO242" t="str">
        <f>IFERROR(ROUND(L242*(I242/$AW242)/VLOOKUP(H242,商品!$A$4:$D$67,4,FALSE),0),"")</f>
        <v/>
      </c>
      <c r="AP242" t="str">
        <f>IFERROR(ROUND(L242*(K242/$AW242)/VLOOKUP(J242,商品!$A$4:$D$67,4,FALSE),0),"")</f>
        <v/>
      </c>
      <c r="AQ242" t="str">
        <f>IFERROR(ROUND(S242*(N242/$AX242)/VLOOKUP(M242,职业!$A$3:$E$16,4,FALSE),0),"")</f>
        <v/>
      </c>
      <c r="AR242" t="str">
        <f>IFERROR(ROUND(S242*(P242/$AX242)/VLOOKUP(O242,职业!$A$3:$E$16,4,FALSE),0),"")</f>
        <v/>
      </c>
      <c r="AS242" t="str">
        <f>IFERROR(ROUND(S242*(R242/$AX242)/VLOOKUP(Q242,职业!$A$3:$E$16,4,FALSE),0),"")</f>
        <v/>
      </c>
      <c r="AT242" t="str">
        <f>IFERROR(ROUND(X242*(U242/$AY242)/VLOOKUP(T242,商品!$A$4:$D$67,4,FALSE),0),"")</f>
        <v/>
      </c>
      <c r="AU242" t="str">
        <f>IFERROR(ROUND(X242*(W242/$AY242)/VLOOKUP(V242,商品!$A$4:$D$67,4,FALSE),0),"")</f>
        <v/>
      </c>
      <c r="AW242">
        <f t="shared" si="65"/>
        <v>0</v>
      </c>
      <c r="AX242">
        <f t="shared" si="66"/>
        <v>0</v>
      </c>
      <c r="AY242">
        <f t="shared" si="67"/>
        <v>0</v>
      </c>
    </row>
    <row r="243" customHeight="1" spans="1:51">
      <c r="A243" s="5" t="s">
        <v>331</v>
      </c>
      <c r="C243" s="5">
        <v>2</v>
      </c>
      <c r="D243" s="1" t="s">
        <v>220</v>
      </c>
      <c r="E243" s="1" t="s">
        <v>222</v>
      </c>
      <c r="L243" s="5">
        <f>IFERROR(VLOOKUP($D243&amp;$C243,生产方式定位!$A$2:$E$38,2,FALSE)+VLOOKUP($E243&amp;$C243,生产方式定位!$F$3:$J$38,2,FALSE),0)</f>
        <v>1200</v>
      </c>
      <c r="S243" s="5">
        <f>IFERROR(VLOOKUP($D243&amp;$C243,生产方式定位!$A$2:$E$38,3,FALSE)+VLOOKUP($E243&amp;$C243,生产方式定位!$F$3:$J$38,3,FALSE),0)</f>
        <v>140</v>
      </c>
      <c r="X243" s="5">
        <f>IFERROR(VLOOKUP($D243&amp;$C243,生产方式定位!$A$2:$E$38,5,FALSE)+VLOOKUP($E243&amp;$C243,生产方式定位!$F$3:$J$38,5,FALSE),"错误")</f>
        <v>1390</v>
      </c>
      <c r="Y243" s="27" t="str">
        <f t="shared" si="51"/>
        <v/>
      </c>
      <c r="Z243" s="50" t="str">
        <f t="shared" si="54"/>
        <v/>
      </c>
      <c r="AA243" s="50" t="str">
        <f t="shared" si="52"/>
        <v/>
      </c>
      <c r="AB243" s="28" t="str">
        <f t="shared" si="55"/>
        <v>16%</v>
      </c>
      <c r="AC243" s="1">
        <f t="shared" si="56"/>
        <v>50</v>
      </c>
      <c r="AD243" s="51">
        <f t="shared" si="53"/>
        <v>2</v>
      </c>
      <c r="AE243" t="str">
        <f t="shared" si="57"/>
        <v/>
      </c>
      <c r="AF243" t="str">
        <f t="shared" si="58"/>
        <v/>
      </c>
      <c r="AG243" t="str">
        <f t="shared" si="59"/>
        <v/>
      </c>
      <c r="AH243" t="str">
        <f t="shared" si="60"/>
        <v/>
      </c>
      <c r="AI243" t="str">
        <f t="shared" si="61"/>
        <v/>
      </c>
      <c r="AJ243" t="str">
        <f t="shared" si="62"/>
        <v/>
      </c>
      <c r="AK243" t="str">
        <f t="shared" si="63"/>
        <v/>
      </c>
      <c r="AL243" t="str">
        <f t="shared" si="64"/>
        <v/>
      </c>
      <c r="AN243" t="str">
        <f>IFERROR(ROUND(L243*(G243/$AW243)/VLOOKUP(F243,商品!$A$4:$D$67,4,FALSE),0),"")</f>
        <v/>
      </c>
      <c r="AO243" t="str">
        <f>IFERROR(ROUND(L243*(I243/$AW243)/VLOOKUP(H243,商品!$A$4:$D$67,4,FALSE),0),"")</f>
        <v/>
      </c>
      <c r="AP243" t="str">
        <f>IFERROR(ROUND(L243*(K243/$AW243)/VLOOKUP(J243,商品!$A$4:$D$67,4,FALSE),0),"")</f>
        <v/>
      </c>
      <c r="AQ243" t="str">
        <f>IFERROR(ROUND(S243*(N243/$AX243)/VLOOKUP(M243,职业!$A$3:$E$16,4,FALSE),0),"")</f>
        <v/>
      </c>
      <c r="AR243" t="str">
        <f>IFERROR(ROUND(S243*(P243/$AX243)/VLOOKUP(O243,职业!$A$3:$E$16,4,FALSE),0),"")</f>
        <v/>
      </c>
      <c r="AS243" t="str">
        <f>IFERROR(ROUND(S243*(R243/$AX243)/VLOOKUP(Q243,职业!$A$3:$E$16,4,FALSE),0),"")</f>
        <v/>
      </c>
      <c r="AT243" t="str">
        <f>IFERROR(ROUND(X243*(U243/$AY243)/VLOOKUP(T243,商品!$A$4:$D$67,4,FALSE),0),"")</f>
        <v/>
      </c>
      <c r="AU243" t="str">
        <f>IFERROR(ROUND(X243*(W243/$AY243)/VLOOKUP(V243,商品!$A$4:$D$67,4,FALSE),0),"")</f>
        <v/>
      </c>
      <c r="AW243">
        <f t="shared" si="65"/>
        <v>0</v>
      </c>
      <c r="AX243">
        <f t="shared" si="66"/>
        <v>0</v>
      </c>
      <c r="AY243">
        <f t="shared" si="67"/>
        <v>0</v>
      </c>
    </row>
    <row r="244" customHeight="1" spans="1:51">
      <c r="A244" s="5" t="s">
        <v>331</v>
      </c>
      <c r="C244" s="5">
        <v>3</v>
      </c>
      <c r="D244" s="1" t="s">
        <v>220</v>
      </c>
      <c r="E244" s="1" t="s">
        <v>222</v>
      </c>
      <c r="L244" s="5">
        <f>IFERROR(VLOOKUP($D244&amp;$C244,生产方式定位!$A$2:$E$38,2,FALSE)+VLOOKUP($E244&amp;$C244,生产方式定位!$F$3:$J$38,2,FALSE),0)</f>
        <v>1525</v>
      </c>
      <c r="S244" s="5">
        <f>IFERROR(VLOOKUP($D244&amp;$C244,生产方式定位!$A$2:$E$38,3,FALSE)+VLOOKUP($E244&amp;$C244,生产方式定位!$F$3:$J$38,3,FALSE),0)</f>
        <v>130</v>
      </c>
      <c r="X244" s="5">
        <f>IFERROR(VLOOKUP($D244&amp;$C244,生产方式定位!$A$2:$E$38,5,FALSE)+VLOOKUP($E244&amp;$C244,生产方式定位!$F$3:$J$38,5,FALSE),"错误")</f>
        <v>1718</v>
      </c>
      <c r="Y244" s="27" t="str">
        <f t="shared" si="51"/>
        <v/>
      </c>
      <c r="Z244" s="50" t="str">
        <f t="shared" si="54"/>
        <v/>
      </c>
      <c r="AA244" s="50" t="str">
        <f t="shared" si="52"/>
        <v/>
      </c>
      <c r="AB244" s="28" t="str">
        <f t="shared" si="55"/>
        <v>13%</v>
      </c>
      <c r="AC244" s="1">
        <f t="shared" si="56"/>
        <v>63</v>
      </c>
      <c r="AD244" s="51">
        <f t="shared" si="53"/>
        <v>3</v>
      </c>
      <c r="AE244" t="str">
        <f t="shared" si="57"/>
        <v/>
      </c>
      <c r="AF244" t="str">
        <f t="shared" si="58"/>
        <v/>
      </c>
      <c r="AG244" t="str">
        <f t="shared" si="59"/>
        <v/>
      </c>
      <c r="AH244" t="str">
        <f t="shared" si="60"/>
        <v/>
      </c>
      <c r="AI244" t="str">
        <f t="shared" si="61"/>
        <v/>
      </c>
      <c r="AJ244" t="str">
        <f t="shared" si="62"/>
        <v/>
      </c>
      <c r="AK244" t="str">
        <f t="shared" si="63"/>
        <v/>
      </c>
      <c r="AL244" t="str">
        <f t="shared" si="64"/>
        <v/>
      </c>
      <c r="AN244" t="str">
        <f>IFERROR(ROUND(L244*(G244/$AW244)/VLOOKUP(F244,商品!$A$4:$D$67,4,FALSE),0),"")</f>
        <v/>
      </c>
      <c r="AO244" t="str">
        <f>IFERROR(ROUND(L244*(I244/$AW244)/VLOOKUP(H244,商品!$A$4:$D$67,4,FALSE),0),"")</f>
        <v/>
      </c>
      <c r="AP244" t="str">
        <f>IFERROR(ROUND(L244*(K244/$AW244)/VLOOKUP(J244,商品!$A$4:$D$67,4,FALSE),0),"")</f>
        <v/>
      </c>
      <c r="AQ244" t="str">
        <f>IFERROR(ROUND(S244*(N244/$AX244)/VLOOKUP(M244,职业!$A$3:$E$16,4,FALSE),0),"")</f>
        <v/>
      </c>
      <c r="AR244" t="str">
        <f>IFERROR(ROUND(S244*(P244/$AX244)/VLOOKUP(O244,职业!$A$3:$E$16,4,FALSE),0),"")</f>
        <v/>
      </c>
      <c r="AS244" t="str">
        <f>IFERROR(ROUND(S244*(R244/$AX244)/VLOOKUP(Q244,职业!$A$3:$E$16,4,FALSE),0),"")</f>
        <v/>
      </c>
      <c r="AT244" t="str">
        <f>IFERROR(ROUND(X244*(U244/$AY244)/VLOOKUP(T244,商品!$A$4:$D$67,4,FALSE),0),"")</f>
        <v/>
      </c>
      <c r="AU244" t="str">
        <f>IFERROR(ROUND(X244*(W244/$AY244)/VLOOKUP(V244,商品!$A$4:$D$67,4,FALSE),0),"")</f>
        <v/>
      </c>
      <c r="AW244">
        <f t="shared" si="65"/>
        <v>0</v>
      </c>
      <c r="AX244">
        <f t="shared" si="66"/>
        <v>0</v>
      </c>
      <c r="AY244">
        <f t="shared" si="67"/>
        <v>0</v>
      </c>
    </row>
    <row r="245" customHeight="1" spans="1:51">
      <c r="A245" s="5" t="s">
        <v>331</v>
      </c>
      <c r="C245" s="5">
        <v>4</v>
      </c>
      <c r="D245" s="1" t="s">
        <v>220</v>
      </c>
      <c r="E245" s="1" t="s">
        <v>222</v>
      </c>
      <c r="L245" s="5">
        <f>IFERROR(VLOOKUP($D245&amp;$C245,生产方式定位!$A$2:$E$38,2,FALSE)+VLOOKUP($E245&amp;$C245,生产方式定位!$F$3:$J$38,2,FALSE),0)</f>
        <v>1850</v>
      </c>
      <c r="S245" s="5">
        <f>IFERROR(VLOOKUP($D245&amp;$C245,生产方式定位!$A$2:$E$38,3,FALSE)+VLOOKUP($E245&amp;$C245,生产方式定位!$F$3:$J$38,3,FALSE),0)</f>
        <v>120</v>
      </c>
      <c r="X245" s="5">
        <f>IFERROR(VLOOKUP($D245&amp;$C245,生产方式定位!$A$2:$E$38,5,FALSE)+VLOOKUP($E245&amp;$C245,生产方式定位!$F$3:$J$38,5,FALSE),"错误")</f>
        <v>2045</v>
      </c>
      <c r="Y245" s="27" t="str">
        <f t="shared" si="51"/>
        <v/>
      </c>
      <c r="Z245" s="50" t="str">
        <f t="shared" si="54"/>
        <v/>
      </c>
      <c r="AA245" s="50" t="str">
        <f t="shared" si="52"/>
        <v/>
      </c>
      <c r="AB245" s="28" t="str">
        <f t="shared" si="55"/>
        <v>11%</v>
      </c>
      <c r="AC245" s="1">
        <f t="shared" si="56"/>
        <v>75</v>
      </c>
      <c r="AD245" s="51">
        <f t="shared" si="53"/>
        <v>4</v>
      </c>
      <c r="AE245" t="str">
        <f t="shared" si="57"/>
        <v/>
      </c>
      <c r="AF245" t="str">
        <f t="shared" si="58"/>
        <v/>
      </c>
      <c r="AG245" t="str">
        <f t="shared" si="59"/>
        <v/>
      </c>
      <c r="AH245" t="str">
        <f t="shared" si="60"/>
        <v/>
      </c>
      <c r="AI245" t="str">
        <f t="shared" si="61"/>
        <v/>
      </c>
      <c r="AJ245" t="str">
        <f t="shared" si="62"/>
        <v/>
      </c>
      <c r="AK245" t="str">
        <f t="shared" si="63"/>
        <v/>
      </c>
      <c r="AL245" t="str">
        <f t="shared" si="64"/>
        <v/>
      </c>
      <c r="AN245" t="str">
        <f>IFERROR(ROUND(L245*(G245/$AW245)/VLOOKUP(F245,商品!$A$4:$D$67,4,FALSE),0),"")</f>
        <v/>
      </c>
      <c r="AO245" t="str">
        <f>IFERROR(ROUND(L245*(I245/$AW245)/VLOOKUP(H245,商品!$A$4:$D$67,4,FALSE),0),"")</f>
        <v/>
      </c>
      <c r="AP245" t="str">
        <f>IFERROR(ROUND(L245*(K245/$AW245)/VLOOKUP(J245,商品!$A$4:$D$67,4,FALSE),0),"")</f>
        <v/>
      </c>
      <c r="AQ245" t="str">
        <f>IFERROR(ROUND(S245*(N245/$AX245)/VLOOKUP(M245,职业!$A$3:$E$16,4,FALSE),0),"")</f>
        <v/>
      </c>
      <c r="AR245" t="str">
        <f>IFERROR(ROUND(S245*(P245/$AX245)/VLOOKUP(O245,职业!$A$3:$E$16,4,FALSE),0),"")</f>
        <v/>
      </c>
      <c r="AS245" t="str">
        <f>IFERROR(ROUND(S245*(R245/$AX245)/VLOOKUP(Q245,职业!$A$3:$E$16,4,FALSE),0),"")</f>
        <v/>
      </c>
      <c r="AT245" t="str">
        <f>IFERROR(ROUND(X245*(U245/$AY245)/VLOOKUP(T245,商品!$A$4:$D$67,4,FALSE),0),"")</f>
        <v/>
      </c>
      <c r="AU245" t="str">
        <f>IFERROR(ROUND(X245*(W245/$AY245)/VLOOKUP(V245,商品!$A$4:$D$67,4,FALSE),0),"")</f>
        <v/>
      </c>
      <c r="AW245">
        <f t="shared" si="65"/>
        <v>0</v>
      </c>
      <c r="AX245">
        <f t="shared" si="66"/>
        <v>0</v>
      </c>
      <c r="AY245">
        <f t="shared" si="67"/>
        <v>0</v>
      </c>
    </row>
    <row r="246" customHeight="1" spans="1:51">
      <c r="A246" s="5" t="s">
        <v>331</v>
      </c>
      <c r="C246" s="5">
        <v>5</v>
      </c>
      <c r="D246" s="1" t="s">
        <v>220</v>
      </c>
      <c r="E246" s="1" t="s">
        <v>222</v>
      </c>
      <c r="L246" s="5">
        <f>IFERROR(VLOOKUP($D246&amp;$C246,生产方式定位!$A$2:$E$38,2,FALSE)+VLOOKUP($E246&amp;$C246,生产方式定位!$F$3:$J$38,2,FALSE),0)</f>
        <v>2175</v>
      </c>
      <c r="S246" s="5">
        <f>IFERROR(VLOOKUP($D246&amp;$C246,生产方式定位!$A$2:$E$38,3,FALSE)+VLOOKUP($E246&amp;$C246,生产方式定位!$F$3:$J$38,3,FALSE),0)</f>
        <v>110</v>
      </c>
      <c r="X246" s="5">
        <f>IFERROR(VLOOKUP($D246&amp;$C246,生产方式定位!$A$2:$E$38,5,FALSE)+VLOOKUP($E246&amp;$C246,生产方式定位!$F$3:$J$38,5,FALSE),"错误")</f>
        <v>2373</v>
      </c>
      <c r="Y246" s="27" t="str">
        <f t="shared" si="51"/>
        <v/>
      </c>
      <c r="Z246" s="50" t="str">
        <f t="shared" si="54"/>
        <v/>
      </c>
      <c r="AA246" s="50" t="str">
        <f t="shared" si="52"/>
        <v/>
      </c>
      <c r="AB246" s="28" t="str">
        <f t="shared" si="55"/>
        <v>9%</v>
      </c>
      <c r="AC246" s="1">
        <f t="shared" si="56"/>
        <v>88</v>
      </c>
      <c r="AD246" s="51">
        <f t="shared" si="53"/>
        <v>5</v>
      </c>
      <c r="AE246" t="str">
        <f t="shared" si="57"/>
        <v/>
      </c>
      <c r="AF246" t="str">
        <f t="shared" si="58"/>
        <v/>
      </c>
      <c r="AG246" t="str">
        <f t="shared" si="59"/>
        <v/>
      </c>
      <c r="AH246" t="str">
        <f t="shared" si="60"/>
        <v/>
      </c>
      <c r="AI246" t="str">
        <f t="shared" si="61"/>
        <v/>
      </c>
      <c r="AJ246" t="str">
        <f t="shared" si="62"/>
        <v/>
      </c>
      <c r="AK246" t="str">
        <f t="shared" si="63"/>
        <v/>
      </c>
      <c r="AL246" t="str">
        <f t="shared" si="64"/>
        <v/>
      </c>
      <c r="AN246" t="str">
        <f>IFERROR(ROUND(L246*(G246/$AW246)/VLOOKUP(F246,商品!$A$4:$D$67,4,FALSE),0),"")</f>
        <v/>
      </c>
      <c r="AO246" t="str">
        <f>IFERROR(ROUND(L246*(I246/$AW246)/VLOOKUP(H246,商品!$A$4:$D$67,4,FALSE),0),"")</f>
        <v/>
      </c>
      <c r="AP246" t="str">
        <f>IFERROR(ROUND(L246*(K246/$AW246)/VLOOKUP(J246,商品!$A$4:$D$67,4,FALSE),0),"")</f>
        <v/>
      </c>
      <c r="AQ246" t="str">
        <f>IFERROR(ROUND(S246*(N246/$AX246)/VLOOKUP(M246,职业!$A$3:$E$16,4,FALSE),0),"")</f>
        <v/>
      </c>
      <c r="AR246" t="str">
        <f>IFERROR(ROUND(S246*(P246/$AX246)/VLOOKUP(O246,职业!$A$3:$E$16,4,FALSE),0),"")</f>
        <v/>
      </c>
      <c r="AS246" t="str">
        <f>IFERROR(ROUND(S246*(R246/$AX246)/VLOOKUP(Q246,职业!$A$3:$E$16,4,FALSE),0),"")</f>
        <v/>
      </c>
      <c r="AT246" t="str">
        <f>IFERROR(ROUND(X246*(U246/$AY246)/VLOOKUP(T246,商品!$A$4:$D$67,4,FALSE),0),"")</f>
        <v/>
      </c>
      <c r="AU246" t="str">
        <f>IFERROR(ROUND(X246*(W246/$AY246)/VLOOKUP(V246,商品!$A$4:$D$67,4,FALSE),0),"")</f>
        <v/>
      </c>
      <c r="AW246">
        <f t="shared" si="65"/>
        <v>0</v>
      </c>
      <c r="AX246">
        <f t="shared" si="66"/>
        <v>0</v>
      </c>
      <c r="AY246">
        <f t="shared" si="67"/>
        <v>0</v>
      </c>
    </row>
    <row r="247" customHeight="1" spans="1:51">
      <c r="A247" s="18" t="s">
        <v>332</v>
      </c>
      <c r="C247" s="18">
        <v>1</v>
      </c>
      <c r="D247" s="1" t="s">
        <v>220</v>
      </c>
      <c r="E247" s="1" t="s">
        <v>223</v>
      </c>
      <c r="L247" s="18">
        <f>IFERROR(VLOOKUP($D247&amp;$C247,生产方式定位!$A$2:$E$38,2,FALSE)+VLOOKUP($E247&amp;$C247,生产方式定位!$F$3:$J$38,2,FALSE),0)</f>
        <v>500</v>
      </c>
      <c r="S247" s="18">
        <f>IFERROR(VLOOKUP($D247&amp;$C247,生产方式定位!$A$2:$E$38,3,FALSE)+VLOOKUP($E247&amp;$C247,生产方式定位!$F$3:$J$38,3,FALSE),0)</f>
        <v>150</v>
      </c>
      <c r="X247" s="18">
        <f>IFERROR(VLOOKUP($D247&amp;$C247,生产方式定位!$A$2:$E$38,5,FALSE)+VLOOKUP($E247&amp;$C247,生产方式定位!$F$3:$J$38,5,FALSE),"错误")</f>
        <v>715</v>
      </c>
      <c r="Y247" s="27" t="str">
        <f t="shared" si="51"/>
        <v/>
      </c>
      <c r="Z247" s="50" t="str">
        <f t="shared" si="54"/>
        <v/>
      </c>
      <c r="AA247" s="50" t="str">
        <f t="shared" si="52"/>
        <v/>
      </c>
      <c r="AB247" s="28" t="str">
        <f t="shared" si="55"/>
        <v>43%</v>
      </c>
      <c r="AC247" s="1">
        <f t="shared" si="56"/>
        <v>65</v>
      </c>
      <c r="AD247" s="52">
        <f t="shared" si="53"/>
        <v>1</v>
      </c>
      <c r="AE247" t="str">
        <f t="shared" si="57"/>
        <v/>
      </c>
      <c r="AF247" t="str">
        <f t="shared" si="58"/>
        <v/>
      </c>
      <c r="AG247" t="str">
        <f t="shared" si="59"/>
        <v/>
      </c>
      <c r="AH247" t="str">
        <f t="shared" si="60"/>
        <v/>
      </c>
      <c r="AI247" t="str">
        <f t="shared" si="61"/>
        <v/>
      </c>
      <c r="AJ247" t="str">
        <f t="shared" si="62"/>
        <v/>
      </c>
      <c r="AK247" t="str">
        <f t="shared" si="63"/>
        <v/>
      </c>
      <c r="AL247" t="str">
        <f t="shared" si="64"/>
        <v/>
      </c>
      <c r="AN247" t="str">
        <f>IFERROR(ROUND(L247*(G247/$AW247)/VLOOKUP(F247,商品!$A$4:$D$67,4,FALSE),0),"")</f>
        <v/>
      </c>
      <c r="AO247" t="str">
        <f>IFERROR(ROUND(L247*(I247/$AW247)/VLOOKUP(H247,商品!$A$4:$D$67,4,FALSE),0),"")</f>
        <v/>
      </c>
      <c r="AP247" t="str">
        <f>IFERROR(ROUND(L247*(K247/$AW247)/VLOOKUP(J247,商品!$A$4:$D$67,4,FALSE),0),"")</f>
        <v/>
      </c>
      <c r="AQ247" t="str">
        <f>IFERROR(ROUND(S247*(N247/$AX247)/VLOOKUP(M247,职业!$A$3:$E$16,4,FALSE),0),"")</f>
        <v/>
      </c>
      <c r="AR247" t="str">
        <f>IFERROR(ROUND(S247*(P247/$AX247)/VLOOKUP(O247,职业!$A$3:$E$16,4,FALSE),0),"")</f>
        <v/>
      </c>
      <c r="AS247" t="str">
        <f>IFERROR(ROUND(S247*(R247/$AX247)/VLOOKUP(Q247,职业!$A$3:$E$16,4,FALSE),0),"")</f>
        <v/>
      </c>
      <c r="AT247" t="str">
        <f>IFERROR(ROUND(X247*(U247/$AY247)/VLOOKUP(T247,商品!$A$4:$D$67,4,FALSE),0),"")</f>
        <v/>
      </c>
      <c r="AU247" t="str">
        <f>IFERROR(ROUND(X247*(W247/$AY247)/VLOOKUP(V247,商品!$A$4:$D$67,4,FALSE),0),"")</f>
        <v/>
      </c>
      <c r="AW247">
        <f t="shared" si="65"/>
        <v>0</v>
      </c>
      <c r="AX247">
        <f t="shared" si="66"/>
        <v>0</v>
      </c>
      <c r="AY247">
        <f t="shared" si="67"/>
        <v>0</v>
      </c>
    </row>
    <row r="248" customHeight="1" spans="1:51">
      <c r="A248" s="18" t="s">
        <v>332</v>
      </c>
      <c r="C248" s="18">
        <v>2</v>
      </c>
      <c r="D248" s="1" t="s">
        <v>220</v>
      </c>
      <c r="E248" s="1" t="s">
        <v>223</v>
      </c>
      <c r="L248" s="18">
        <f>IFERROR(VLOOKUP($D248&amp;$C248,生产方式定位!$A$2:$E$38,2,FALSE)+VLOOKUP($E248&amp;$C248,生产方式定位!$F$3:$J$38,2,FALSE),0)</f>
        <v>1100</v>
      </c>
      <c r="S248" s="18">
        <f>IFERROR(VLOOKUP($D248&amp;$C248,生产方式定位!$A$2:$E$38,3,FALSE)+VLOOKUP($E248&amp;$C248,生产方式定位!$F$3:$J$38,3,FALSE),0)</f>
        <v>150</v>
      </c>
      <c r="X248" s="18">
        <f>IFERROR(VLOOKUP($D248&amp;$C248,生产方式定位!$A$2:$E$38,5,FALSE)+VLOOKUP($E248&amp;$C248,生产方式定位!$F$3:$J$38,5,FALSE),"错误")</f>
        <v>1291</v>
      </c>
      <c r="Y248" s="27" t="str">
        <f t="shared" si="51"/>
        <v/>
      </c>
      <c r="Z248" s="50" t="str">
        <f t="shared" si="54"/>
        <v/>
      </c>
      <c r="AA248" s="50" t="str">
        <f t="shared" si="52"/>
        <v/>
      </c>
      <c r="AB248" s="28" t="str">
        <f t="shared" si="55"/>
        <v>17%</v>
      </c>
      <c r="AC248" s="1">
        <f t="shared" si="56"/>
        <v>41</v>
      </c>
      <c r="AD248" s="52">
        <f t="shared" si="53"/>
        <v>2</v>
      </c>
      <c r="AE248" t="str">
        <f t="shared" si="57"/>
        <v/>
      </c>
      <c r="AF248" t="str">
        <f t="shared" si="58"/>
        <v/>
      </c>
      <c r="AG248" t="str">
        <f t="shared" si="59"/>
        <v/>
      </c>
      <c r="AH248" t="str">
        <f t="shared" si="60"/>
        <v/>
      </c>
      <c r="AI248" t="str">
        <f t="shared" si="61"/>
        <v/>
      </c>
      <c r="AJ248" t="str">
        <f t="shared" si="62"/>
        <v/>
      </c>
      <c r="AK248" t="str">
        <f t="shared" si="63"/>
        <v/>
      </c>
      <c r="AL248" t="str">
        <f t="shared" si="64"/>
        <v/>
      </c>
      <c r="AN248" t="str">
        <f>IFERROR(ROUND(L248*(G248/$AW248)/VLOOKUP(F248,商品!$A$4:$D$67,4,FALSE),0),"")</f>
        <v/>
      </c>
      <c r="AO248" t="str">
        <f>IFERROR(ROUND(L248*(I248/$AW248)/VLOOKUP(H248,商品!$A$4:$D$67,4,FALSE),0),"")</f>
        <v/>
      </c>
      <c r="AP248" t="str">
        <f>IFERROR(ROUND(L248*(K248/$AW248)/VLOOKUP(J248,商品!$A$4:$D$67,4,FALSE),0),"")</f>
        <v/>
      </c>
      <c r="AQ248" t="str">
        <f>IFERROR(ROUND(S248*(N248/$AX248)/VLOOKUP(M248,职业!$A$3:$E$16,4,FALSE),0),"")</f>
        <v/>
      </c>
      <c r="AR248" t="str">
        <f>IFERROR(ROUND(S248*(P248/$AX248)/VLOOKUP(O248,职业!$A$3:$E$16,4,FALSE),0),"")</f>
        <v/>
      </c>
      <c r="AS248" t="str">
        <f>IFERROR(ROUND(S248*(R248/$AX248)/VLOOKUP(Q248,职业!$A$3:$E$16,4,FALSE),0),"")</f>
        <v/>
      </c>
      <c r="AT248" t="str">
        <f>IFERROR(ROUND(X248*(U248/$AY248)/VLOOKUP(T248,商品!$A$4:$D$67,4,FALSE),0),"")</f>
        <v/>
      </c>
      <c r="AU248" t="str">
        <f>IFERROR(ROUND(X248*(W248/$AY248)/VLOOKUP(V248,商品!$A$4:$D$67,4,FALSE),0),"")</f>
        <v/>
      </c>
      <c r="AW248">
        <f t="shared" si="65"/>
        <v>0</v>
      </c>
      <c r="AX248">
        <f t="shared" si="66"/>
        <v>0</v>
      </c>
      <c r="AY248">
        <f t="shared" si="67"/>
        <v>0</v>
      </c>
    </row>
    <row r="249" customHeight="1" spans="1:51">
      <c r="A249" s="18" t="s">
        <v>332</v>
      </c>
      <c r="C249" s="18">
        <v>3</v>
      </c>
      <c r="D249" s="1" t="s">
        <v>220</v>
      </c>
      <c r="E249" s="1" t="s">
        <v>223</v>
      </c>
      <c r="L249" s="18">
        <f>IFERROR(VLOOKUP($D249&amp;$C249,生产方式定位!$A$2:$E$38,2,FALSE)+VLOOKUP($E249&amp;$C249,生产方式定位!$F$3:$J$38,2,FALSE),0)</f>
        <v>1400</v>
      </c>
      <c r="S249" s="18">
        <f>IFERROR(VLOOKUP($D249&amp;$C249,生产方式定位!$A$2:$E$38,3,FALSE)+VLOOKUP($E249&amp;$C249,生产方式定位!$F$3:$J$38,3,FALSE),0)</f>
        <v>145</v>
      </c>
      <c r="X249" s="18">
        <f>IFERROR(VLOOKUP($D249&amp;$C249,生产方式定位!$A$2:$E$38,5,FALSE)+VLOOKUP($E249&amp;$C249,生产方式定位!$F$3:$J$38,5,FALSE),"错误")</f>
        <v>1597</v>
      </c>
      <c r="Y249" s="27" t="str">
        <f t="shared" si="51"/>
        <v/>
      </c>
      <c r="Z249" s="50" t="str">
        <f t="shared" si="54"/>
        <v/>
      </c>
      <c r="AA249" s="50" t="str">
        <f t="shared" si="52"/>
        <v/>
      </c>
      <c r="AB249" s="28" t="str">
        <f t="shared" si="55"/>
        <v>14%</v>
      </c>
      <c r="AC249" s="1">
        <f t="shared" si="56"/>
        <v>52</v>
      </c>
      <c r="AD249" s="52">
        <f t="shared" si="53"/>
        <v>3</v>
      </c>
      <c r="AE249" t="str">
        <f t="shared" si="57"/>
        <v/>
      </c>
      <c r="AF249" t="str">
        <f t="shared" si="58"/>
        <v/>
      </c>
      <c r="AG249" t="str">
        <f t="shared" si="59"/>
        <v/>
      </c>
      <c r="AH249" t="str">
        <f t="shared" si="60"/>
        <v/>
      </c>
      <c r="AI249" t="str">
        <f t="shared" si="61"/>
        <v/>
      </c>
      <c r="AJ249" t="str">
        <f t="shared" si="62"/>
        <v/>
      </c>
      <c r="AK249" t="str">
        <f t="shared" si="63"/>
        <v/>
      </c>
      <c r="AL249" t="str">
        <f t="shared" si="64"/>
        <v/>
      </c>
      <c r="AN249" t="str">
        <f>IFERROR(ROUND(L249*(G249/$AW249)/VLOOKUP(F249,商品!$A$4:$D$67,4,FALSE),0),"")</f>
        <v/>
      </c>
      <c r="AO249" t="str">
        <f>IFERROR(ROUND(L249*(I249/$AW249)/VLOOKUP(H249,商品!$A$4:$D$67,4,FALSE),0),"")</f>
        <v/>
      </c>
      <c r="AP249" t="str">
        <f>IFERROR(ROUND(L249*(K249/$AW249)/VLOOKUP(J249,商品!$A$4:$D$67,4,FALSE),0),"")</f>
        <v/>
      </c>
      <c r="AQ249" t="str">
        <f>IFERROR(ROUND(S249*(N249/$AX249)/VLOOKUP(M249,职业!$A$3:$E$16,4,FALSE),0),"")</f>
        <v/>
      </c>
      <c r="AR249" t="str">
        <f>IFERROR(ROUND(S249*(P249/$AX249)/VLOOKUP(O249,职业!$A$3:$E$16,4,FALSE),0),"")</f>
        <v/>
      </c>
      <c r="AS249" t="str">
        <f>IFERROR(ROUND(S249*(R249/$AX249)/VLOOKUP(Q249,职业!$A$3:$E$16,4,FALSE),0),"")</f>
        <v/>
      </c>
      <c r="AT249" t="str">
        <f>IFERROR(ROUND(X249*(U249/$AY249)/VLOOKUP(T249,商品!$A$4:$D$67,4,FALSE),0),"")</f>
        <v/>
      </c>
      <c r="AU249" t="str">
        <f>IFERROR(ROUND(X249*(W249/$AY249)/VLOOKUP(V249,商品!$A$4:$D$67,4,FALSE),0),"")</f>
        <v/>
      </c>
      <c r="AW249">
        <f t="shared" si="65"/>
        <v>0</v>
      </c>
      <c r="AX249">
        <f t="shared" si="66"/>
        <v>0</v>
      </c>
      <c r="AY249">
        <f t="shared" si="67"/>
        <v>0</v>
      </c>
    </row>
    <row r="250" customHeight="1" spans="1:51">
      <c r="A250" s="18" t="s">
        <v>332</v>
      </c>
      <c r="C250" s="18">
        <v>4</v>
      </c>
      <c r="D250" s="1" t="s">
        <v>220</v>
      </c>
      <c r="E250" s="1" t="s">
        <v>223</v>
      </c>
      <c r="L250" s="18">
        <f>IFERROR(VLOOKUP($D250&amp;$C250,生产方式定位!$A$2:$E$38,2,FALSE)+VLOOKUP($E250&amp;$C250,生产方式定位!$F$3:$J$38,2,FALSE),0)</f>
        <v>1700</v>
      </c>
      <c r="S250" s="18">
        <f>IFERROR(VLOOKUP($D250&amp;$C250,生产方式定位!$A$2:$E$38,3,FALSE)+VLOOKUP($E250&amp;$C250,生产方式定位!$F$3:$J$38,3,FALSE),0)</f>
        <v>140</v>
      </c>
      <c r="X250" s="18">
        <f>IFERROR(VLOOKUP($D250&amp;$C250,生产方式定位!$A$2:$E$38,5,FALSE)+VLOOKUP($E250&amp;$C250,生产方式定位!$F$3:$J$38,5,FALSE),"错误")</f>
        <v>1902</v>
      </c>
      <c r="Y250" s="27" t="str">
        <f t="shared" si="51"/>
        <v/>
      </c>
      <c r="Z250" s="50" t="str">
        <f t="shared" si="54"/>
        <v/>
      </c>
      <c r="AA250" s="50" t="str">
        <f t="shared" si="52"/>
        <v/>
      </c>
      <c r="AB250" s="28" t="str">
        <f t="shared" si="55"/>
        <v>12%</v>
      </c>
      <c r="AC250" s="1">
        <f t="shared" si="56"/>
        <v>62</v>
      </c>
      <c r="AD250" s="52">
        <f t="shared" si="53"/>
        <v>4</v>
      </c>
      <c r="AE250" t="str">
        <f t="shared" si="57"/>
        <v/>
      </c>
      <c r="AF250" t="str">
        <f t="shared" si="58"/>
        <v/>
      </c>
      <c r="AG250" t="str">
        <f t="shared" si="59"/>
        <v/>
      </c>
      <c r="AH250" t="str">
        <f t="shared" si="60"/>
        <v/>
      </c>
      <c r="AI250" t="str">
        <f t="shared" si="61"/>
        <v/>
      </c>
      <c r="AJ250" t="str">
        <f t="shared" si="62"/>
        <v/>
      </c>
      <c r="AK250" t="str">
        <f t="shared" si="63"/>
        <v/>
      </c>
      <c r="AL250" t="str">
        <f t="shared" si="64"/>
        <v/>
      </c>
      <c r="AN250" t="str">
        <f>IFERROR(ROUND(L250*(G250/$AW250)/VLOOKUP(F250,商品!$A$4:$D$67,4,FALSE),0),"")</f>
        <v/>
      </c>
      <c r="AO250" t="str">
        <f>IFERROR(ROUND(L250*(I250/$AW250)/VLOOKUP(H250,商品!$A$4:$D$67,4,FALSE),0),"")</f>
        <v/>
      </c>
      <c r="AP250" t="str">
        <f>IFERROR(ROUND(L250*(K250/$AW250)/VLOOKUP(J250,商品!$A$4:$D$67,4,FALSE),0),"")</f>
        <v/>
      </c>
      <c r="AQ250" t="str">
        <f>IFERROR(ROUND(S250*(N250/$AX250)/VLOOKUP(M250,职业!$A$3:$E$16,4,FALSE),0),"")</f>
        <v/>
      </c>
      <c r="AR250" t="str">
        <f>IFERROR(ROUND(S250*(P250/$AX250)/VLOOKUP(O250,职业!$A$3:$E$16,4,FALSE),0),"")</f>
        <v/>
      </c>
      <c r="AS250" t="str">
        <f>IFERROR(ROUND(S250*(R250/$AX250)/VLOOKUP(Q250,职业!$A$3:$E$16,4,FALSE),0),"")</f>
        <v/>
      </c>
      <c r="AT250" t="str">
        <f>IFERROR(ROUND(X250*(U250/$AY250)/VLOOKUP(T250,商品!$A$4:$D$67,4,FALSE),0),"")</f>
        <v/>
      </c>
      <c r="AU250" t="str">
        <f>IFERROR(ROUND(X250*(W250/$AY250)/VLOOKUP(V250,商品!$A$4:$D$67,4,FALSE),0),"")</f>
        <v/>
      </c>
      <c r="AW250">
        <f t="shared" si="65"/>
        <v>0</v>
      </c>
      <c r="AX250">
        <f t="shared" si="66"/>
        <v>0</v>
      </c>
      <c r="AY250">
        <f t="shared" si="67"/>
        <v>0</v>
      </c>
    </row>
    <row r="251" customHeight="1" spans="1:51">
      <c r="A251" s="18" t="s">
        <v>332</v>
      </c>
      <c r="C251" s="18">
        <v>5</v>
      </c>
      <c r="D251" s="1" t="s">
        <v>220</v>
      </c>
      <c r="E251" s="1" t="s">
        <v>223</v>
      </c>
      <c r="L251" s="18">
        <f>IFERROR(VLOOKUP($D251&amp;$C251,生产方式定位!$A$2:$E$38,2,FALSE)+VLOOKUP($E251&amp;$C251,生产方式定位!$F$3:$J$38,2,FALSE),0)</f>
        <v>2000</v>
      </c>
      <c r="S251" s="18">
        <f>IFERROR(VLOOKUP($D251&amp;$C251,生产方式定位!$A$2:$E$38,3,FALSE)+VLOOKUP($E251&amp;$C251,生产方式定位!$F$3:$J$38,3,FALSE),0)</f>
        <v>135</v>
      </c>
      <c r="X251" s="18">
        <f>IFERROR(VLOOKUP($D251&amp;$C251,生产方式定位!$A$2:$E$38,5,FALSE)+VLOOKUP($E251&amp;$C251,生产方式定位!$F$3:$J$38,5,FALSE),"错误")</f>
        <v>2208</v>
      </c>
      <c r="Y251" s="27" t="str">
        <f t="shared" si="51"/>
        <v/>
      </c>
      <c r="Z251" s="50" t="str">
        <f t="shared" si="54"/>
        <v/>
      </c>
      <c r="AA251" s="50" t="str">
        <f t="shared" si="52"/>
        <v/>
      </c>
      <c r="AB251" s="28" t="str">
        <f t="shared" si="55"/>
        <v>10%</v>
      </c>
      <c r="AC251" s="1">
        <f t="shared" si="56"/>
        <v>73</v>
      </c>
      <c r="AD251" s="52">
        <f t="shared" si="53"/>
        <v>5</v>
      </c>
      <c r="AE251" t="str">
        <f t="shared" si="57"/>
        <v/>
      </c>
      <c r="AF251" t="str">
        <f t="shared" si="58"/>
        <v/>
      </c>
      <c r="AG251" t="str">
        <f t="shared" si="59"/>
        <v/>
      </c>
      <c r="AH251" t="str">
        <f t="shared" si="60"/>
        <v/>
      </c>
      <c r="AI251" t="str">
        <f t="shared" si="61"/>
        <v/>
      </c>
      <c r="AJ251" t="str">
        <f t="shared" si="62"/>
        <v/>
      </c>
      <c r="AK251" t="str">
        <f t="shared" si="63"/>
        <v/>
      </c>
      <c r="AL251" t="str">
        <f t="shared" si="64"/>
        <v/>
      </c>
      <c r="AN251" t="str">
        <f>IFERROR(ROUND(L251*(G251/$AW251)/VLOOKUP(F251,商品!$A$4:$D$67,4,FALSE),0),"")</f>
        <v/>
      </c>
      <c r="AO251" t="str">
        <f>IFERROR(ROUND(L251*(I251/$AW251)/VLOOKUP(H251,商品!$A$4:$D$67,4,FALSE),0),"")</f>
        <v/>
      </c>
      <c r="AP251" t="str">
        <f>IFERROR(ROUND(L251*(K251/$AW251)/VLOOKUP(J251,商品!$A$4:$D$67,4,FALSE),0),"")</f>
        <v/>
      </c>
      <c r="AQ251" t="str">
        <f>IFERROR(ROUND(S251*(N251/$AX251)/VLOOKUP(M251,职业!$A$3:$E$16,4,FALSE),0),"")</f>
        <v/>
      </c>
      <c r="AR251" t="str">
        <f>IFERROR(ROUND(S251*(P251/$AX251)/VLOOKUP(O251,职业!$A$3:$E$16,4,FALSE),0),"")</f>
        <v/>
      </c>
      <c r="AS251" t="str">
        <f>IFERROR(ROUND(S251*(R251/$AX251)/VLOOKUP(Q251,职业!$A$3:$E$16,4,FALSE),0),"")</f>
        <v/>
      </c>
      <c r="AT251" t="str">
        <f>IFERROR(ROUND(X251*(U251/$AY251)/VLOOKUP(T251,商品!$A$4:$D$67,4,FALSE),0),"")</f>
        <v/>
      </c>
      <c r="AU251" t="str">
        <f>IFERROR(ROUND(X251*(W251/$AY251)/VLOOKUP(V251,商品!$A$4:$D$67,4,FALSE),0),"")</f>
        <v/>
      </c>
      <c r="AW251">
        <f t="shared" si="65"/>
        <v>0</v>
      </c>
      <c r="AX251">
        <f t="shared" si="66"/>
        <v>0</v>
      </c>
      <c r="AY251">
        <f t="shared" si="67"/>
        <v>0</v>
      </c>
    </row>
    <row r="252" customHeight="1" spans="1:51">
      <c r="A252" s="5" t="s">
        <v>333</v>
      </c>
      <c r="C252" s="5">
        <v>1</v>
      </c>
      <c r="D252" s="1" t="s">
        <v>220</v>
      </c>
      <c r="E252" s="1" t="s">
        <v>224</v>
      </c>
      <c r="L252" s="5">
        <f>IFERROR(VLOOKUP($D252&amp;$C252,生产方式定位!$A$2:$E$38,2,FALSE)+VLOOKUP($E252&amp;$C252,生产方式定位!$F$3:$J$38,2,FALSE),0)</f>
        <v>500</v>
      </c>
      <c r="S252" s="5">
        <f>IFERROR(VLOOKUP($D252&amp;$C252,生产方式定位!$A$2:$E$38,3,FALSE)+VLOOKUP($E252&amp;$C252,生产方式定位!$F$3:$J$38,3,FALSE),0)</f>
        <v>150</v>
      </c>
      <c r="X252" s="5">
        <f>IFERROR(VLOOKUP($D252&amp;$C252,生产方式定位!$A$2:$E$38,5,FALSE)+VLOOKUP($E252&amp;$C252,生产方式定位!$F$3:$J$38,5,FALSE),"错误")</f>
        <v>715</v>
      </c>
      <c r="Y252" s="27" t="str">
        <f t="shared" si="51"/>
        <v/>
      </c>
      <c r="Z252" s="50" t="str">
        <f t="shared" si="54"/>
        <v/>
      </c>
      <c r="AA252" s="50" t="str">
        <f t="shared" si="52"/>
        <v/>
      </c>
      <c r="AB252" s="28" t="str">
        <f t="shared" si="55"/>
        <v>43%</v>
      </c>
      <c r="AC252" s="1">
        <f t="shared" si="56"/>
        <v>65</v>
      </c>
      <c r="AD252" s="51">
        <f t="shared" si="53"/>
        <v>1</v>
      </c>
      <c r="AE252" t="str">
        <f t="shared" si="57"/>
        <v/>
      </c>
      <c r="AF252" t="str">
        <f t="shared" si="58"/>
        <v/>
      </c>
      <c r="AG252" t="str">
        <f t="shared" si="59"/>
        <v/>
      </c>
      <c r="AH252" t="str">
        <f t="shared" si="60"/>
        <v/>
      </c>
      <c r="AI252" t="str">
        <f t="shared" si="61"/>
        <v/>
      </c>
      <c r="AJ252" t="str">
        <f t="shared" si="62"/>
        <v/>
      </c>
      <c r="AK252" t="str">
        <f t="shared" si="63"/>
        <v/>
      </c>
      <c r="AL252" t="str">
        <f t="shared" si="64"/>
        <v/>
      </c>
      <c r="AN252" t="str">
        <f>IFERROR(ROUND(L252*(G252/$AW252)/VLOOKUP(F252,商品!$A$4:$D$67,4,FALSE),0),"")</f>
        <v/>
      </c>
      <c r="AO252" t="str">
        <f>IFERROR(ROUND(L252*(I252/$AW252)/VLOOKUP(H252,商品!$A$4:$D$67,4,FALSE),0),"")</f>
        <v/>
      </c>
      <c r="AP252" t="str">
        <f>IFERROR(ROUND(L252*(K252/$AW252)/VLOOKUP(J252,商品!$A$4:$D$67,4,FALSE),0),"")</f>
        <v/>
      </c>
      <c r="AQ252" t="str">
        <f>IFERROR(ROUND(S252*(N252/$AX252)/VLOOKUP(M252,职业!$A$3:$E$16,4,FALSE),0),"")</f>
        <v/>
      </c>
      <c r="AR252" t="str">
        <f>IFERROR(ROUND(S252*(P252/$AX252)/VLOOKUP(O252,职业!$A$3:$E$16,4,FALSE),0),"")</f>
        <v/>
      </c>
      <c r="AS252" t="str">
        <f>IFERROR(ROUND(S252*(R252/$AX252)/VLOOKUP(Q252,职业!$A$3:$E$16,4,FALSE),0),"")</f>
        <v/>
      </c>
      <c r="AT252" t="str">
        <f>IFERROR(ROUND(X252*(U252/$AY252)/VLOOKUP(T252,商品!$A$4:$D$67,4,FALSE),0),"")</f>
        <v/>
      </c>
      <c r="AU252" t="str">
        <f>IFERROR(ROUND(X252*(W252/$AY252)/VLOOKUP(V252,商品!$A$4:$D$67,4,FALSE),0),"")</f>
        <v/>
      </c>
      <c r="AW252">
        <f t="shared" si="65"/>
        <v>0</v>
      </c>
      <c r="AX252">
        <f t="shared" si="66"/>
        <v>0</v>
      </c>
      <c r="AY252">
        <f t="shared" si="67"/>
        <v>0</v>
      </c>
    </row>
    <row r="253" customHeight="1" spans="1:51">
      <c r="A253" s="5" t="s">
        <v>333</v>
      </c>
      <c r="C253" s="5">
        <v>2</v>
      </c>
      <c r="D253" s="1" t="s">
        <v>220</v>
      </c>
      <c r="E253" s="1" t="s">
        <v>224</v>
      </c>
      <c r="L253" s="5">
        <f>IFERROR(VLOOKUP($D253&amp;$C253,生产方式定位!$A$2:$E$38,2,FALSE)+VLOOKUP($E253&amp;$C253,生产方式定位!$F$3:$J$38,2,FALSE),0)</f>
        <v>1200</v>
      </c>
      <c r="S253" s="5">
        <f>IFERROR(VLOOKUP($D253&amp;$C253,生产方式定位!$A$2:$E$38,3,FALSE)+VLOOKUP($E253&amp;$C253,生产方式定位!$F$3:$J$38,3,FALSE),0)</f>
        <v>100</v>
      </c>
      <c r="X253" s="5">
        <f>IFERROR(VLOOKUP($D253&amp;$C253,生产方式定位!$A$2:$E$38,5,FALSE)+VLOOKUP($E253&amp;$C253,生产方式定位!$F$3:$J$38,5,FALSE),"错误")</f>
        <v>1346</v>
      </c>
      <c r="Y253" s="27" t="str">
        <f t="shared" si="51"/>
        <v/>
      </c>
      <c r="Z253" s="50" t="str">
        <f t="shared" si="54"/>
        <v/>
      </c>
      <c r="AA253" s="50" t="str">
        <f t="shared" si="52"/>
        <v/>
      </c>
      <c r="AB253" s="28" t="str">
        <f t="shared" si="55"/>
        <v>12%</v>
      </c>
      <c r="AC253" s="1">
        <f t="shared" si="56"/>
        <v>46</v>
      </c>
      <c r="AD253" s="51">
        <f t="shared" si="53"/>
        <v>2</v>
      </c>
      <c r="AE253" t="str">
        <f t="shared" si="57"/>
        <v/>
      </c>
      <c r="AF253" t="str">
        <f t="shared" si="58"/>
        <v/>
      </c>
      <c r="AG253" t="str">
        <f t="shared" si="59"/>
        <v/>
      </c>
      <c r="AH253" t="str">
        <f t="shared" si="60"/>
        <v/>
      </c>
      <c r="AI253" t="str">
        <f t="shared" si="61"/>
        <v/>
      </c>
      <c r="AJ253" t="str">
        <f t="shared" si="62"/>
        <v/>
      </c>
      <c r="AK253" t="str">
        <f t="shared" si="63"/>
        <v/>
      </c>
      <c r="AL253" t="str">
        <f t="shared" si="64"/>
        <v/>
      </c>
      <c r="AN253" t="str">
        <f>IFERROR(ROUND(L253*(G253/$AW253)/VLOOKUP(F253,商品!$A$4:$D$67,4,FALSE),0),"")</f>
        <v/>
      </c>
      <c r="AO253" t="str">
        <f>IFERROR(ROUND(L253*(I253/$AW253)/VLOOKUP(H253,商品!$A$4:$D$67,4,FALSE),0),"")</f>
        <v/>
      </c>
      <c r="AP253" t="str">
        <f>IFERROR(ROUND(L253*(K253/$AW253)/VLOOKUP(J253,商品!$A$4:$D$67,4,FALSE),0),"")</f>
        <v/>
      </c>
      <c r="AQ253" t="str">
        <f>IFERROR(ROUND(S253*(N253/$AX253)/VLOOKUP(M253,职业!$A$3:$E$16,4,FALSE),0),"")</f>
        <v/>
      </c>
      <c r="AR253" t="str">
        <f>IFERROR(ROUND(S253*(P253/$AX253)/VLOOKUP(O253,职业!$A$3:$E$16,4,FALSE),0),"")</f>
        <v/>
      </c>
      <c r="AS253" t="str">
        <f>IFERROR(ROUND(S253*(R253/$AX253)/VLOOKUP(Q253,职业!$A$3:$E$16,4,FALSE),0),"")</f>
        <v/>
      </c>
      <c r="AT253" t="str">
        <f>IFERROR(ROUND(X253*(U253/$AY253)/VLOOKUP(T253,商品!$A$4:$D$67,4,FALSE),0),"")</f>
        <v/>
      </c>
      <c r="AU253" t="str">
        <f>IFERROR(ROUND(X253*(W253/$AY253)/VLOOKUP(V253,商品!$A$4:$D$67,4,FALSE),0),"")</f>
        <v/>
      </c>
      <c r="AW253">
        <f t="shared" si="65"/>
        <v>0</v>
      </c>
      <c r="AX253">
        <f t="shared" si="66"/>
        <v>0</v>
      </c>
      <c r="AY253">
        <f t="shared" si="67"/>
        <v>0</v>
      </c>
    </row>
    <row r="254" customHeight="1" spans="1:51">
      <c r="A254" s="5" t="s">
        <v>333</v>
      </c>
      <c r="C254" s="5">
        <v>3</v>
      </c>
      <c r="D254" s="1" t="s">
        <v>220</v>
      </c>
      <c r="E254" s="1" t="s">
        <v>224</v>
      </c>
      <c r="L254" s="5">
        <f>IFERROR(VLOOKUP($D254&amp;$C254,生产方式定位!$A$2:$E$38,2,FALSE)+VLOOKUP($E254&amp;$C254,生产方式定位!$F$3:$J$38,2,FALSE),0)</f>
        <v>1900</v>
      </c>
      <c r="S254" s="5">
        <f>IFERROR(VLOOKUP($D254&amp;$C254,生产方式定位!$A$2:$E$38,3,FALSE)+VLOOKUP($E254&amp;$C254,生产方式定位!$F$3:$J$38,3,FALSE),0)</f>
        <v>70</v>
      </c>
      <c r="X254" s="5">
        <f>IFERROR(VLOOKUP($D254&amp;$C254,生产方式定位!$A$2:$E$38,5,FALSE)+VLOOKUP($E254&amp;$C254,生产方式定位!$F$3:$J$38,5,FALSE),"错误")</f>
        <v>2064</v>
      </c>
      <c r="Y254" s="27" t="str">
        <f t="shared" si="51"/>
        <v/>
      </c>
      <c r="Z254" s="50" t="str">
        <f t="shared" si="54"/>
        <v/>
      </c>
      <c r="AA254" s="50" t="str">
        <f t="shared" si="52"/>
        <v/>
      </c>
      <c r="AB254" s="28" t="str">
        <f t="shared" si="55"/>
        <v>9%</v>
      </c>
      <c r="AC254" s="1">
        <f t="shared" si="56"/>
        <v>94</v>
      </c>
      <c r="AD254" s="51">
        <f t="shared" si="53"/>
        <v>3</v>
      </c>
      <c r="AE254" t="str">
        <f t="shared" si="57"/>
        <v/>
      </c>
      <c r="AF254" t="str">
        <f t="shared" si="58"/>
        <v/>
      </c>
      <c r="AG254" t="str">
        <f t="shared" si="59"/>
        <v/>
      </c>
      <c r="AH254" t="str">
        <f t="shared" si="60"/>
        <v/>
      </c>
      <c r="AI254" t="str">
        <f t="shared" si="61"/>
        <v/>
      </c>
      <c r="AJ254" t="str">
        <f t="shared" si="62"/>
        <v/>
      </c>
      <c r="AK254" t="str">
        <f t="shared" si="63"/>
        <v/>
      </c>
      <c r="AL254" t="str">
        <f t="shared" si="64"/>
        <v/>
      </c>
      <c r="AN254" t="str">
        <f>IFERROR(ROUND(L254*(G254/$AW254)/VLOOKUP(F254,商品!$A$4:$D$67,4,FALSE),0),"")</f>
        <v/>
      </c>
      <c r="AO254" t="str">
        <f>IFERROR(ROUND(L254*(I254/$AW254)/VLOOKUP(H254,商品!$A$4:$D$67,4,FALSE),0),"")</f>
        <v/>
      </c>
      <c r="AP254" t="str">
        <f>IFERROR(ROUND(L254*(K254/$AW254)/VLOOKUP(J254,商品!$A$4:$D$67,4,FALSE),0),"")</f>
        <v/>
      </c>
      <c r="AQ254" t="str">
        <f>IFERROR(ROUND(S254*(N254/$AX254)/VLOOKUP(M254,职业!$A$3:$E$16,4,FALSE),0),"")</f>
        <v/>
      </c>
      <c r="AR254" t="str">
        <f>IFERROR(ROUND(S254*(P254/$AX254)/VLOOKUP(O254,职业!$A$3:$E$16,4,FALSE),0),"")</f>
        <v/>
      </c>
      <c r="AS254" t="str">
        <f>IFERROR(ROUND(S254*(R254/$AX254)/VLOOKUP(Q254,职业!$A$3:$E$16,4,FALSE),0),"")</f>
        <v/>
      </c>
      <c r="AT254" t="str">
        <f>IFERROR(ROUND(X254*(U254/$AY254)/VLOOKUP(T254,商品!$A$4:$D$67,4,FALSE),0),"")</f>
        <v/>
      </c>
      <c r="AU254" t="str">
        <f>IFERROR(ROUND(X254*(W254/$AY254)/VLOOKUP(V254,商品!$A$4:$D$67,4,FALSE),0),"")</f>
        <v/>
      </c>
      <c r="AW254">
        <f t="shared" si="65"/>
        <v>0</v>
      </c>
      <c r="AX254">
        <f t="shared" si="66"/>
        <v>0</v>
      </c>
      <c r="AY254">
        <f t="shared" si="67"/>
        <v>0</v>
      </c>
    </row>
    <row r="255" customHeight="1" spans="1:51">
      <c r="A255" s="5" t="s">
        <v>333</v>
      </c>
      <c r="C255" s="5">
        <v>4</v>
      </c>
      <c r="D255" s="1" t="s">
        <v>220</v>
      </c>
      <c r="E255" s="1" t="s">
        <v>224</v>
      </c>
      <c r="L255" s="5">
        <f>IFERROR(VLOOKUP($D255&amp;$C255,生产方式定位!$A$2:$E$38,2,FALSE)+VLOOKUP($E255&amp;$C255,生产方式定位!$F$3:$J$38,2,FALSE),0)</f>
        <v>2600</v>
      </c>
      <c r="S255" s="5">
        <f>IFERROR(VLOOKUP($D255&amp;$C255,生产方式定位!$A$2:$E$38,3,FALSE)+VLOOKUP($E255&amp;$C255,生产方式定位!$F$3:$J$38,3,FALSE),0)</f>
        <v>40</v>
      </c>
      <c r="X255" s="5">
        <f>IFERROR(VLOOKUP($D255&amp;$C255,生产方式定位!$A$2:$E$38,5,FALSE)+VLOOKUP($E255&amp;$C255,生产方式定位!$F$3:$J$38,5,FALSE),"错误")</f>
        <v>2782</v>
      </c>
      <c r="Y255" s="27" t="str">
        <f t="shared" si="51"/>
        <v/>
      </c>
      <c r="Z255" s="50" t="str">
        <f t="shared" si="54"/>
        <v/>
      </c>
      <c r="AA255" s="50" t="str">
        <f t="shared" si="52"/>
        <v/>
      </c>
      <c r="AB255" s="28" t="str">
        <f t="shared" si="55"/>
        <v>7%</v>
      </c>
      <c r="AC255" s="1">
        <f t="shared" si="56"/>
        <v>142</v>
      </c>
      <c r="AD255" s="51">
        <f t="shared" si="53"/>
        <v>4</v>
      </c>
      <c r="AE255" t="str">
        <f t="shared" si="57"/>
        <v/>
      </c>
      <c r="AF255" t="str">
        <f t="shared" si="58"/>
        <v/>
      </c>
      <c r="AG255" t="str">
        <f t="shared" si="59"/>
        <v/>
      </c>
      <c r="AH255" t="str">
        <f t="shared" si="60"/>
        <v/>
      </c>
      <c r="AI255" t="str">
        <f t="shared" si="61"/>
        <v/>
      </c>
      <c r="AJ255" t="str">
        <f t="shared" si="62"/>
        <v/>
      </c>
      <c r="AK255" t="str">
        <f t="shared" si="63"/>
        <v/>
      </c>
      <c r="AL255" t="str">
        <f t="shared" si="64"/>
        <v/>
      </c>
      <c r="AN255" t="str">
        <f>IFERROR(ROUND(L255*(G255/$AW255)/VLOOKUP(F255,商品!$A$4:$D$67,4,FALSE),0),"")</f>
        <v/>
      </c>
      <c r="AO255" t="str">
        <f>IFERROR(ROUND(L255*(I255/$AW255)/VLOOKUP(H255,商品!$A$4:$D$67,4,FALSE),0),"")</f>
        <v/>
      </c>
      <c r="AP255" t="str">
        <f>IFERROR(ROUND(L255*(K255/$AW255)/VLOOKUP(J255,商品!$A$4:$D$67,4,FALSE),0),"")</f>
        <v/>
      </c>
      <c r="AQ255" t="str">
        <f>IFERROR(ROUND(S255*(N255/$AX255)/VLOOKUP(M255,职业!$A$3:$E$16,4,FALSE),0),"")</f>
        <v/>
      </c>
      <c r="AR255" t="str">
        <f>IFERROR(ROUND(S255*(P255/$AX255)/VLOOKUP(O255,职业!$A$3:$E$16,4,FALSE),0),"")</f>
        <v/>
      </c>
      <c r="AS255" t="str">
        <f>IFERROR(ROUND(S255*(R255/$AX255)/VLOOKUP(Q255,职业!$A$3:$E$16,4,FALSE),0),"")</f>
        <v/>
      </c>
      <c r="AT255" t="str">
        <f>IFERROR(ROUND(X255*(U255/$AY255)/VLOOKUP(T255,商品!$A$4:$D$67,4,FALSE),0),"")</f>
        <v/>
      </c>
      <c r="AU255" t="str">
        <f>IFERROR(ROUND(X255*(W255/$AY255)/VLOOKUP(V255,商品!$A$4:$D$67,4,FALSE),0),"")</f>
        <v/>
      </c>
      <c r="AW255">
        <f t="shared" si="65"/>
        <v>0</v>
      </c>
      <c r="AX255">
        <f t="shared" si="66"/>
        <v>0</v>
      </c>
      <c r="AY255">
        <f t="shared" si="67"/>
        <v>0</v>
      </c>
    </row>
    <row r="256" customHeight="1" spans="1:51">
      <c r="A256" s="5" t="s">
        <v>333</v>
      </c>
      <c r="C256" s="5">
        <v>5</v>
      </c>
      <c r="D256" s="1" t="s">
        <v>220</v>
      </c>
      <c r="E256" s="1" t="s">
        <v>224</v>
      </c>
      <c r="L256" s="5">
        <f>IFERROR(VLOOKUP($D256&amp;$C256,生产方式定位!$A$2:$E$38,2,FALSE)+VLOOKUP($E256&amp;$C256,生产方式定位!$F$3:$J$38,2,FALSE),0)</f>
        <v>3300</v>
      </c>
      <c r="S256" s="5">
        <f>IFERROR(VLOOKUP($D256&amp;$C256,生产方式定位!$A$2:$E$38,3,FALSE)+VLOOKUP($E256&amp;$C256,生产方式定位!$F$3:$J$38,3,FALSE),0)</f>
        <v>10</v>
      </c>
      <c r="X256" s="5">
        <f>IFERROR(VLOOKUP($D256&amp;$C256,生产方式定位!$A$2:$E$38,5,FALSE)+VLOOKUP($E256&amp;$C256,生产方式定位!$F$3:$J$38,5,FALSE),"错误")</f>
        <v>3500</v>
      </c>
      <c r="Y256" s="27" t="str">
        <f t="shared" si="51"/>
        <v/>
      </c>
      <c r="Z256" s="50" t="str">
        <f t="shared" si="54"/>
        <v/>
      </c>
      <c r="AA256" s="50" t="str">
        <f t="shared" si="52"/>
        <v/>
      </c>
      <c r="AB256" s="28" t="str">
        <f t="shared" si="55"/>
        <v>6%</v>
      </c>
      <c r="AC256" s="1">
        <f t="shared" si="56"/>
        <v>190</v>
      </c>
      <c r="AD256" s="51">
        <f t="shared" si="53"/>
        <v>5</v>
      </c>
      <c r="AE256" t="str">
        <f t="shared" si="57"/>
        <v/>
      </c>
      <c r="AF256" t="str">
        <f t="shared" si="58"/>
        <v/>
      </c>
      <c r="AG256" t="str">
        <f t="shared" si="59"/>
        <v/>
      </c>
      <c r="AH256" t="str">
        <f t="shared" si="60"/>
        <v/>
      </c>
      <c r="AI256" t="str">
        <f t="shared" si="61"/>
        <v/>
      </c>
      <c r="AJ256" t="str">
        <f t="shared" si="62"/>
        <v/>
      </c>
      <c r="AK256" t="str">
        <f t="shared" si="63"/>
        <v/>
      </c>
      <c r="AL256" t="str">
        <f t="shared" si="64"/>
        <v/>
      </c>
      <c r="AN256" t="str">
        <f>IFERROR(ROUND(L256*(G256/$AW256)/VLOOKUP(F256,商品!$A$4:$D$67,4,FALSE),0),"")</f>
        <v/>
      </c>
      <c r="AO256" t="str">
        <f>IFERROR(ROUND(L256*(I256/$AW256)/VLOOKUP(H256,商品!$A$4:$D$67,4,FALSE),0),"")</f>
        <v/>
      </c>
      <c r="AP256" t="str">
        <f>IFERROR(ROUND(L256*(K256/$AW256)/VLOOKUP(J256,商品!$A$4:$D$67,4,FALSE),0),"")</f>
        <v/>
      </c>
      <c r="AQ256" t="str">
        <f>IFERROR(ROUND(S256*(N256/$AX256)/VLOOKUP(M256,职业!$A$3:$E$16,4,FALSE),0),"")</f>
        <v/>
      </c>
      <c r="AR256" t="str">
        <f>IFERROR(ROUND(S256*(P256/$AX256)/VLOOKUP(O256,职业!$A$3:$E$16,4,FALSE),0),"")</f>
        <v/>
      </c>
      <c r="AS256" t="str">
        <f>IFERROR(ROUND(S256*(R256/$AX256)/VLOOKUP(Q256,职业!$A$3:$E$16,4,FALSE),0),"")</f>
        <v/>
      </c>
      <c r="AT256" t="str">
        <f>IFERROR(ROUND(X256*(U256/$AY256)/VLOOKUP(T256,商品!$A$4:$D$67,4,FALSE),0),"")</f>
        <v/>
      </c>
      <c r="AU256" t="str">
        <f>IFERROR(ROUND(X256*(W256/$AY256)/VLOOKUP(V256,商品!$A$4:$D$67,4,FALSE),0),"")</f>
        <v/>
      </c>
      <c r="AW256">
        <f t="shared" si="65"/>
        <v>0</v>
      </c>
      <c r="AX256">
        <f t="shared" si="66"/>
        <v>0</v>
      </c>
      <c r="AY256">
        <f t="shared" si="67"/>
        <v>0</v>
      </c>
    </row>
    <row r="257" customHeight="1" spans="1:51">
      <c r="A257" s="18" t="s">
        <v>333</v>
      </c>
      <c r="C257" s="18">
        <v>1</v>
      </c>
      <c r="D257" s="1" t="s">
        <v>220</v>
      </c>
      <c r="E257" s="1" t="s">
        <v>224</v>
      </c>
      <c r="L257" s="18">
        <f>IFERROR(VLOOKUP($D257&amp;$C257,生产方式定位!$A$2:$E$38,2,FALSE)+VLOOKUP($E257&amp;$C257,生产方式定位!$F$3:$J$38,2,FALSE),0)</f>
        <v>500</v>
      </c>
      <c r="S257" s="18">
        <f>IFERROR(VLOOKUP($D257&amp;$C257,生产方式定位!$A$2:$E$38,3,FALSE)+VLOOKUP($E257&amp;$C257,生产方式定位!$F$3:$J$38,3,FALSE),0)</f>
        <v>150</v>
      </c>
      <c r="X257" s="18">
        <f>IFERROR(VLOOKUP($D257&amp;$C257,生产方式定位!$A$2:$E$38,5,FALSE)+VLOOKUP($E257&amp;$C257,生产方式定位!$F$3:$J$38,5,FALSE),"错误")</f>
        <v>715</v>
      </c>
      <c r="Y257" s="27" t="str">
        <f t="shared" si="51"/>
        <v/>
      </c>
      <c r="Z257" s="50" t="str">
        <f t="shared" si="54"/>
        <v/>
      </c>
      <c r="AA257" s="50" t="str">
        <f t="shared" si="52"/>
        <v/>
      </c>
      <c r="AB257" s="28" t="str">
        <f t="shared" si="55"/>
        <v>43%</v>
      </c>
      <c r="AC257" s="1">
        <f t="shared" si="56"/>
        <v>65</v>
      </c>
      <c r="AD257" s="52">
        <f t="shared" si="53"/>
        <v>1</v>
      </c>
      <c r="AE257" t="str">
        <f t="shared" si="57"/>
        <v/>
      </c>
      <c r="AF257" t="str">
        <f t="shared" si="58"/>
        <v/>
      </c>
      <c r="AG257" t="str">
        <f t="shared" si="59"/>
        <v/>
      </c>
      <c r="AH257" t="str">
        <f t="shared" si="60"/>
        <v/>
      </c>
      <c r="AI257" t="str">
        <f t="shared" si="61"/>
        <v/>
      </c>
      <c r="AJ257" t="str">
        <f t="shared" si="62"/>
        <v/>
      </c>
      <c r="AK257" t="str">
        <f t="shared" si="63"/>
        <v/>
      </c>
      <c r="AL257" t="str">
        <f t="shared" si="64"/>
        <v/>
      </c>
      <c r="AN257" t="str">
        <f>IFERROR(ROUND(L257*(G257/$AW257)/VLOOKUP(F257,商品!$A$4:$D$67,4,FALSE),0),"")</f>
        <v/>
      </c>
      <c r="AO257" t="str">
        <f>IFERROR(ROUND(L257*(I257/$AW257)/VLOOKUP(H257,商品!$A$4:$D$67,4,FALSE),0),"")</f>
        <v/>
      </c>
      <c r="AP257" t="str">
        <f>IFERROR(ROUND(L257*(K257/$AW257)/VLOOKUP(J257,商品!$A$4:$D$67,4,FALSE),0),"")</f>
        <v/>
      </c>
      <c r="AQ257" t="str">
        <f>IFERROR(ROUND(S257*(N257/$AX257)/VLOOKUP(M257,职业!$A$3:$E$16,4,FALSE),0),"")</f>
        <v/>
      </c>
      <c r="AR257" t="str">
        <f>IFERROR(ROUND(S257*(P257/$AX257)/VLOOKUP(O257,职业!$A$3:$E$16,4,FALSE),0),"")</f>
        <v/>
      </c>
      <c r="AS257" t="str">
        <f>IFERROR(ROUND(S257*(R257/$AX257)/VLOOKUP(Q257,职业!$A$3:$E$16,4,FALSE),0),"")</f>
        <v/>
      </c>
      <c r="AT257" t="str">
        <f>IFERROR(ROUND(X257*(U257/$AY257)/VLOOKUP(T257,商品!$A$4:$D$67,4,FALSE),0),"")</f>
        <v/>
      </c>
      <c r="AU257" t="str">
        <f>IFERROR(ROUND(X257*(W257/$AY257)/VLOOKUP(V257,商品!$A$4:$D$67,4,FALSE),0),"")</f>
        <v/>
      </c>
      <c r="AW257">
        <f t="shared" si="65"/>
        <v>0</v>
      </c>
      <c r="AX257">
        <f t="shared" si="66"/>
        <v>0</v>
      </c>
      <c r="AY257">
        <f t="shared" si="67"/>
        <v>0</v>
      </c>
    </row>
    <row r="258" customHeight="1" spans="1:51">
      <c r="A258" s="18" t="s">
        <v>333</v>
      </c>
      <c r="C258" s="18">
        <v>2</v>
      </c>
      <c r="D258" s="1" t="s">
        <v>220</v>
      </c>
      <c r="E258" s="1" t="s">
        <v>224</v>
      </c>
      <c r="L258" s="18">
        <f>IFERROR(VLOOKUP($D258&amp;$C258,生产方式定位!$A$2:$E$38,2,FALSE)+VLOOKUP($E258&amp;$C258,生产方式定位!$F$3:$J$38,2,FALSE),0)</f>
        <v>1200</v>
      </c>
      <c r="S258" s="18">
        <f>IFERROR(VLOOKUP($D258&amp;$C258,生产方式定位!$A$2:$E$38,3,FALSE)+VLOOKUP($E258&amp;$C258,生产方式定位!$F$3:$J$38,3,FALSE),0)</f>
        <v>100</v>
      </c>
      <c r="X258" s="18">
        <f>IFERROR(VLOOKUP($D258&amp;$C258,生产方式定位!$A$2:$E$38,5,FALSE)+VLOOKUP($E258&amp;$C258,生产方式定位!$F$3:$J$38,5,FALSE),"错误")</f>
        <v>1346</v>
      </c>
      <c r="Y258" s="27" t="str">
        <f t="shared" si="51"/>
        <v/>
      </c>
      <c r="Z258" s="50" t="str">
        <f t="shared" si="54"/>
        <v/>
      </c>
      <c r="AA258" s="50" t="str">
        <f t="shared" si="52"/>
        <v/>
      </c>
      <c r="AB258" s="28" t="str">
        <f t="shared" si="55"/>
        <v>12%</v>
      </c>
      <c r="AC258" s="1">
        <f t="shared" si="56"/>
        <v>46</v>
      </c>
      <c r="AD258" s="52">
        <f t="shared" si="53"/>
        <v>2</v>
      </c>
      <c r="AE258" t="str">
        <f t="shared" si="57"/>
        <v/>
      </c>
      <c r="AF258" t="str">
        <f t="shared" si="58"/>
        <v/>
      </c>
      <c r="AG258" t="str">
        <f t="shared" si="59"/>
        <v/>
      </c>
      <c r="AH258" t="str">
        <f t="shared" si="60"/>
        <v/>
      </c>
      <c r="AI258" t="str">
        <f t="shared" si="61"/>
        <v/>
      </c>
      <c r="AJ258" t="str">
        <f t="shared" si="62"/>
        <v/>
      </c>
      <c r="AK258" t="str">
        <f t="shared" si="63"/>
        <v/>
      </c>
      <c r="AL258" t="str">
        <f t="shared" si="64"/>
        <v/>
      </c>
      <c r="AN258" t="str">
        <f>IFERROR(ROUND(L258*(G258/$AW258)/VLOOKUP(F258,商品!$A$4:$D$67,4,FALSE),0),"")</f>
        <v/>
      </c>
      <c r="AO258" t="str">
        <f>IFERROR(ROUND(L258*(I258/$AW258)/VLOOKUP(H258,商品!$A$4:$D$67,4,FALSE),0),"")</f>
        <v/>
      </c>
      <c r="AP258" t="str">
        <f>IFERROR(ROUND(L258*(K258/$AW258)/VLOOKUP(J258,商品!$A$4:$D$67,4,FALSE),0),"")</f>
        <v/>
      </c>
      <c r="AQ258" t="str">
        <f>IFERROR(ROUND(S258*(N258/$AX258)/VLOOKUP(M258,职业!$A$3:$E$16,4,FALSE),0),"")</f>
        <v/>
      </c>
      <c r="AR258" t="str">
        <f>IFERROR(ROUND(S258*(P258/$AX258)/VLOOKUP(O258,职业!$A$3:$E$16,4,FALSE),0),"")</f>
        <v/>
      </c>
      <c r="AS258" t="str">
        <f>IFERROR(ROUND(S258*(R258/$AX258)/VLOOKUP(Q258,职业!$A$3:$E$16,4,FALSE),0),"")</f>
        <v/>
      </c>
      <c r="AT258" t="str">
        <f>IFERROR(ROUND(X258*(U258/$AY258)/VLOOKUP(T258,商品!$A$4:$D$67,4,FALSE),0),"")</f>
        <v/>
      </c>
      <c r="AU258" t="str">
        <f>IFERROR(ROUND(X258*(W258/$AY258)/VLOOKUP(V258,商品!$A$4:$D$67,4,FALSE),0),"")</f>
        <v/>
      </c>
      <c r="AW258">
        <f t="shared" si="65"/>
        <v>0</v>
      </c>
      <c r="AX258">
        <f t="shared" si="66"/>
        <v>0</v>
      </c>
      <c r="AY258">
        <f t="shared" si="67"/>
        <v>0</v>
      </c>
    </row>
    <row r="259" customHeight="1" spans="1:51">
      <c r="A259" s="18" t="s">
        <v>333</v>
      </c>
      <c r="C259" s="18">
        <v>3</v>
      </c>
      <c r="D259" s="1" t="s">
        <v>220</v>
      </c>
      <c r="E259" s="1" t="s">
        <v>224</v>
      </c>
      <c r="L259" s="18">
        <f>IFERROR(VLOOKUP($D259&amp;$C259,生产方式定位!$A$2:$E$38,2,FALSE)+VLOOKUP($E259&amp;$C259,生产方式定位!$F$3:$J$38,2,FALSE),0)</f>
        <v>1900</v>
      </c>
      <c r="S259" s="18">
        <f>IFERROR(VLOOKUP($D259&amp;$C259,生产方式定位!$A$2:$E$38,3,FALSE)+VLOOKUP($E259&amp;$C259,生产方式定位!$F$3:$J$38,3,FALSE),0)</f>
        <v>70</v>
      </c>
      <c r="X259" s="18">
        <f>IFERROR(VLOOKUP($D259&amp;$C259,生产方式定位!$A$2:$E$38,5,FALSE)+VLOOKUP($E259&amp;$C259,生产方式定位!$F$3:$J$38,5,FALSE),"错误")</f>
        <v>2064</v>
      </c>
      <c r="Y259" s="27" t="str">
        <f t="shared" si="51"/>
        <v/>
      </c>
      <c r="Z259" s="50" t="str">
        <f t="shared" si="54"/>
        <v/>
      </c>
      <c r="AA259" s="50" t="str">
        <f t="shared" si="52"/>
        <v/>
      </c>
      <c r="AB259" s="28" t="str">
        <f t="shared" si="55"/>
        <v>9%</v>
      </c>
      <c r="AC259" s="1">
        <f t="shared" si="56"/>
        <v>94</v>
      </c>
      <c r="AD259" s="52">
        <f t="shared" si="53"/>
        <v>3</v>
      </c>
      <c r="AE259" t="str">
        <f t="shared" si="57"/>
        <v/>
      </c>
      <c r="AF259" t="str">
        <f t="shared" si="58"/>
        <v/>
      </c>
      <c r="AG259" t="str">
        <f t="shared" si="59"/>
        <v/>
      </c>
      <c r="AH259" t="str">
        <f t="shared" si="60"/>
        <v/>
      </c>
      <c r="AI259" t="str">
        <f t="shared" si="61"/>
        <v/>
      </c>
      <c r="AJ259" t="str">
        <f t="shared" si="62"/>
        <v/>
      </c>
      <c r="AK259" t="str">
        <f t="shared" si="63"/>
        <v/>
      </c>
      <c r="AL259" t="str">
        <f t="shared" si="64"/>
        <v/>
      </c>
      <c r="AN259" t="str">
        <f>IFERROR(ROUND(L259*(G259/$AW259)/VLOOKUP(F259,商品!$A$4:$D$67,4,FALSE),0),"")</f>
        <v/>
      </c>
      <c r="AO259" t="str">
        <f>IFERROR(ROUND(L259*(I259/$AW259)/VLOOKUP(H259,商品!$A$4:$D$67,4,FALSE),0),"")</f>
        <v/>
      </c>
      <c r="AP259" t="str">
        <f>IFERROR(ROUND(L259*(K259/$AW259)/VLOOKUP(J259,商品!$A$4:$D$67,4,FALSE),0),"")</f>
        <v/>
      </c>
      <c r="AQ259" t="str">
        <f>IFERROR(ROUND(S259*(N259/$AX259)/VLOOKUP(M259,职业!$A$3:$E$16,4,FALSE),0),"")</f>
        <v/>
      </c>
      <c r="AR259" t="str">
        <f>IFERROR(ROUND(S259*(P259/$AX259)/VLOOKUP(O259,职业!$A$3:$E$16,4,FALSE),0),"")</f>
        <v/>
      </c>
      <c r="AS259" t="str">
        <f>IFERROR(ROUND(S259*(R259/$AX259)/VLOOKUP(Q259,职业!$A$3:$E$16,4,FALSE),0),"")</f>
        <v/>
      </c>
      <c r="AT259" t="str">
        <f>IFERROR(ROUND(X259*(U259/$AY259)/VLOOKUP(T259,商品!$A$4:$D$67,4,FALSE),0),"")</f>
        <v/>
      </c>
      <c r="AU259" t="str">
        <f>IFERROR(ROUND(X259*(W259/$AY259)/VLOOKUP(V259,商品!$A$4:$D$67,4,FALSE),0),"")</f>
        <v/>
      </c>
      <c r="AW259">
        <f t="shared" si="65"/>
        <v>0</v>
      </c>
      <c r="AX259">
        <f t="shared" si="66"/>
        <v>0</v>
      </c>
      <c r="AY259">
        <f t="shared" si="67"/>
        <v>0</v>
      </c>
    </row>
    <row r="260" customHeight="1" spans="1:51">
      <c r="A260" s="18" t="s">
        <v>333</v>
      </c>
      <c r="C260" s="18">
        <v>4</v>
      </c>
      <c r="D260" s="1" t="s">
        <v>220</v>
      </c>
      <c r="E260" s="1" t="s">
        <v>224</v>
      </c>
      <c r="L260" s="18">
        <f>IFERROR(VLOOKUP($D260&amp;$C260,生产方式定位!$A$2:$E$38,2,FALSE)+VLOOKUP($E260&amp;$C260,生产方式定位!$F$3:$J$38,2,FALSE),0)</f>
        <v>2600</v>
      </c>
      <c r="S260" s="18">
        <f>IFERROR(VLOOKUP($D260&amp;$C260,生产方式定位!$A$2:$E$38,3,FALSE)+VLOOKUP($E260&amp;$C260,生产方式定位!$F$3:$J$38,3,FALSE),0)</f>
        <v>40</v>
      </c>
      <c r="X260" s="18">
        <f>IFERROR(VLOOKUP($D260&amp;$C260,生产方式定位!$A$2:$E$38,5,FALSE)+VLOOKUP($E260&amp;$C260,生产方式定位!$F$3:$J$38,5,FALSE),"错误")</f>
        <v>2782</v>
      </c>
      <c r="Y260" s="27" t="str">
        <f t="shared" si="51"/>
        <v/>
      </c>
      <c r="Z260" s="50" t="str">
        <f t="shared" si="54"/>
        <v/>
      </c>
      <c r="AA260" s="50" t="str">
        <f t="shared" si="52"/>
        <v/>
      </c>
      <c r="AB260" s="28" t="str">
        <f t="shared" si="55"/>
        <v>7%</v>
      </c>
      <c r="AC260" s="1">
        <f t="shared" si="56"/>
        <v>142</v>
      </c>
      <c r="AD260" s="52">
        <f t="shared" si="53"/>
        <v>4</v>
      </c>
      <c r="AE260" t="str">
        <f t="shared" si="57"/>
        <v/>
      </c>
      <c r="AF260" t="str">
        <f t="shared" si="58"/>
        <v/>
      </c>
      <c r="AG260" t="str">
        <f t="shared" si="59"/>
        <v/>
      </c>
      <c r="AH260" t="str">
        <f t="shared" si="60"/>
        <v/>
      </c>
      <c r="AI260" t="str">
        <f t="shared" si="61"/>
        <v/>
      </c>
      <c r="AJ260" t="str">
        <f t="shared" si="62"/>
        <v/>
      </c>
      <c r="AK260" t="str">
        <f t="shared" si="63"/>
        <v/>
      </c>
      <c r="AL260" t="str">
        <f t="shared" si="64"/>
        <v/>
      </c>
      <c r="AN260" t="str">
        <f>IFERROR(ROUND(L260*(G260/$AW260)/VLOOKUP(F260,商品!$A$4:$D$67,4,FALSE),0),"")</f>
        <v/>
      </c>
      <c r="AO260" t="str">
        <f>IFERROR(ROUND(L260*(I260/$AW260)/VLOOKUP(H260,商品!$A$4:$D$67,4,FALSE),0),"")</f>
        <v/>
      </c>
      <c r="AP260" t="str">
        <f>IFERROR(ROUND(L260*(K260/$AW260)/VLOOKUP(J260,商品!$A$4:$D$67,4,FALSE),0),"")</f>
        <v/>
      </c>
      <c r="AQ260" t="str">
        <f>IFERROR(ROUND(S260*(N260/$AX260)/VLOOKUP(M260,职业!$A$3:$E$16,4,FALSE),0),"")</f>
        <v/>
      </c>
      <c r="AR260" t="str">
        <f>IFERROR(ROUND(S260*(P260/$AX260)/VLOOKUP(O260,职业!$A$3:$E$16,4,FALSE),0),"")</f>
        <v/>
      </c>
      <c r="AS260" t="str">
        <f>IFERROR(ROUND(S260*(R260/$AX260)/VLOOKUP(Q260,职业!$A$3:$E$16,4,FALSE),0),"")</f>
        <v/>
      </c>
      <c r="AT260" t="str">
        <f>IFERROR(ROUND(X260*(U260/$AY260)/VLOOKUP(T260,商品!$A$4:$D$67,4,FALSE),0),"")</f>
        <v/>
      </c>
      <c r="AU260" t="str">
        <f>IFERROR(ROUND(X260*(W260/$AY260)/VLOOKUP(V260,商品!$A$4:$D$67,4,FALSE),0),"")</f>
        <v/>
      </c>
      <c r="AW260">
        <f t="shared" si="65"/>
        <v>0</v>
      </c>
      <c r="AX260">
        <f t="shared" si="66"/>
        <v>0</v>
      </c>
      <c r="AY260">
        <f t="shared" si="67"/>
        <v>0</v>
      </c>
    </row>
    <row r="261" customHeight="1" spans="1:51">
      <c r="A261" s="18" t="s">
        <v>333</v>
      </c>
      <c r="C261" s="18">
        <v>5</v>
      </c>
      <c r="D261" s="1" t="s">
        <v>220</v>
      </c>
      <c r="E261" s="1" t="s">
        <v>224</v>
      </c>
      <c r="L261" s="18">
        <f>IFERROR(VLOOKUP($D261&amp;$C261,生产方式定位!$A$2:$E$38,2,FALSE)+VLOOKUP($E261&amp;$C261,生产方式定位!$F$3:$J$38,2,FALSE),0)</f>
        <v>3300</v>
      </c>
      <c r="S261" s="18">
        <f>IFERROR(VLOOKUP($D261&amp;$C261,生产方式定位!$A$2:$E$38,3,FALSE)+VLOOKUP($E261&amp;$C261,生产方式定位!$F$3:$J$38,3,FALSE),0)</f>
        <v>10</v>
      </c>
      <c r="X261" s="18">
        <f>IFERROR(VLOOKUP($D261&amp;$C261,生产方式定位!$A$2:$E$38,5,FALSE)+VLOOKUP($E261&amp;$C261,生产方式定位!$F$3:$J$38,5,FALSE),"错误")</f>
        <v>3500</v>
      </c>
      <c r="Y261" s="27" t="str">
        <f t="shared" ref="Y261:Y324" si="68">IF(AE261="","",AE261)&amp;IF(AF261="","",","&amp;AF261)&amp;IF(AG261="","",","&amp;AG261)</f>
        <v/>
      </c>
      <c r="Z261" s="50" t="str">
        <f t="shared" si="54"/>
        <v/>
      </c>
      <c r="AA261" s="50" t="str">
        <f t="shared" ref="AA261:AA324" si="69">IF(AK261="","",AK261)&amp;IF(AL261="","",","&amp;AL261)</f>
        <v/>
      </c>
      <c r="AB261" s="28" t="str">
        <f t="shared" si="55"/>
        <v>6%</v>
      </c>
      <c r="AC261" s="1">
        <f t="shared" si="56"/>
        <v>190</v>
      </c>
      <c r="AD261" s="52">
        <f t="shared" ref="AD261:AD324" si="70">C261</f>
        <v>5</v>
      </c>
      <c r="AE261" t="str">
        <f t="shared" si="57"/>
        <v/>
      </c>
      <c r="AF261" t="str">
        <f t="shared" si="58"/>
        <v/>
      </c>
      <c r="AG261" t="str">
        <f t="shared" si="59"/>
        <v/>
      </c>
      <c r="AH261" t="str">
        <f t="shared" si="60"/>
        <v/>
      </c>
      <c r="AI261" t="str">
        <f t="shared" si="61"/>
        <v/>
      </c>
      <c r="AJ261" t="str">
        <f t="shared" si="62"/>
        <v/>
      </c>
      <c r="AK261" t="str">
        <f t="shared" si="63"/>
        <v/>
      </c>
      <c r="AL261" t="str">
        <f t="shared" si="64"/>
        <v/>
      </c>
      <c r="AN261" t="str">
        <f>IFERROR(ROUND(L261*(G261/$AW261)/VLOOKUP(F261,商品!$A$4:$D$67,4,FALSE),0),"")</f>
        <v/>
      </c>
      <c r="AO261" t="str">
        <f>IFERROR(ROUND(L261*(I261/$AW261)/VLOOKUP(H261,商品!$A$4:$D$67,4,FALSE),0),"")</f>
        <v/>
      </c>
      <c r="AP261" t="str">
        <f>IFERROR(ROUND(L261*(K261/$AW261)/VLOOKUP(J261,商品!$A$4:$D$67,4,FALSE),0),"")</f>
        <v/>
      </c>
      <c r="AQ261" t="str">
        <f>IFERROR(ROUND(S261*(N261/$AX261)/VLOOKUP(M261,职业!$A$3:$E$16,4,FALSE),0),"")</f>
        <v/>
      </c>
      <c r="AR261" t="str">
        <f>IFERROR(ROUND(S261*(P261/$AX261)/VLOOKUP(O261,职业!$A$3:$E$16,4,FALSE),0),"")</f>
        <v/>
      </c>
      <c r="AS261" t="str">
        <f>IFERROR(ROUND(S261*(R261/$AX261)/VLOOKUP(Q261,职业!$A$3:$E$16,4,FALSE),0),"")</f>
        <v/>
      </c>
      <c r="AT261" t="str">
        <f>IFERROR(ROUND(X261*(U261/$AY261)/VLOOKUP(T261,商品!$A$4:$D$67,4,FALSE),0),"")</f>
        <v/>
      </c>
      <c r="AU261" t="str">
        <f>IFERROR(ROUND(X261*(W261/$AY261)/VLOOKUP(V261,商品!$A$4:$D$67,4,FALSE),0),"")</f>
        <v/>
      </c>
      <c r="AW261">
        <f t="shared" si="65"/>
        <v>0</v>
      </c>
      <c r="AX261">
        <f t="shared" si="66"/>
        <v>0</v>
      </c>
      <c r="AY261">
        <f t="shared" si="67"/>
        <v>0</v>
      </c>
    </row>
    <row r="262" customHeight="1" spans="1:51">
      <c r="A262" s="5" t="s">
        <v>334</v>
      </c>
      <c r="C262" s="5">
        <v>1</v>
      </c>
      <c r="D262" s="1" t="s">
        <v>291</v>
      </c>
      <c r="E262" s="1" t="s">
        <v>225</v>
      </c>
      <c r="L262" s="5">
        <f>IFERROR(VLOOKUP($D262&amp;$C262,生产方式定位!$A$2:$E$38,2,FALSE)+VLOOKUP($E262&amp;$C262,生产方式定位!$F$3:$J$38,2,FALSE),0)</f>
        <v>0</v>
      </c>
      <c r="S262" s="5">
        <f>IFERROR(VLOOKUP($D262&amp;$C262,生产方式定位!$A$2:$E$38,3,FALSE)+VLOOKUP($E262&amp;$C262,生产方式定位!$F$3:$J$38,3,FALSE),0)</f>
        <v>100</v>
      </c>
      <c r="X262" s="5">
        <f>IFERROR(VLOOKUP($D262&amp;$C262,生产方式定位!$A$2:$E$38,5,FALSE)+VLOOKUP($E262&amp;$C262,生产方式定位!$F$3:$J$38,5,FALSE),"错误")</f>
        <v>100</v>
      </c>
      <c r="Y262" s="27" t="str">
        <f t="shared" si="68"/>
        <v/>
      </c>
      <c r="Z262" s="50" t="str">
        <f t="shared" ref="Z262:Z325" si="71">IF(AH262="","",AH262)&amp;IF(AI262="","",","&amp;AI262)&amp;IF(AJ262="","",","&amp;AJ262)</f>
        <v/>
      </c>
      <c r="AA262" s="50" t="str">
        <f t="shared" si="69"/>
        <v/>
      </c>
      <c r="AB262" s="28" t="str">
        <f t="shared" ref="AB262:AB325" si="72">IFERROR(ROUND(((X262/L262)-1)*100,0)&amp;"%","")</f>
        <v/>
      </c>
      <c r="AC262" s="1" t="str">
        <f t="shared" ref="AC262:AC325" si="73">IF(X262-S262-L262=0,"",X262-S262-L262)</f>
        <v/>
      </c>
      <c r="AD262" s="51">
        <f t="shared" si="70"/>
        <v>1</v>
      </c>
      <c r="AE262" t="str">
        <f t="shared" ref="AE262:AE325" si="74">IF(AN262="","",F262&amp;"*"&amp;AN262)</f>
        <v/>
      </c>
      <c r="AF262" t="str">
        <f t="shared" ref="AF262:AF325" si="75">IF(AO262="","",H262&amp;"*"&amp;AO262)</f>
        <v/>
      </c>
      <c r="AG262" t="str">
        <f t="shared" ref="AG262:AG325" si="76">IF(AP262="","",J262&amp;"*"&amp;AP262)</f>
        <v/>
      </c>
      <c r="AH262" t="str">
        <f t="shared" ref="AH262:AH325" si="77">IF(AQ262="","",M262&amp;"*"&amp;AQ262)</f>
        <v/>
      </c>
      <c r="AI262" t="str">
        <f t="shared" ref="AI262:AI325" si="78">IF(AR262="","",O262&amp;"*"&amp;AR262)</f>
        <v/>
      </c>
      <c r="AJ262" t="str">
        <f t="shared" ref="AJ262:AJ325" si="79">IF(AS262="","",Q262&amp;"*"&amp;AS262)</f>
        <v/>
      </c>
      <c r="AK262" t="str">
        <f t="shared" ref="AK262:AK325" si="80">IF(AT262="","",T262&amp;"*"&amp;AT262)</f>
        <v/>
      </c>
      <c r="AL262" t="str">
        <f t="shared" ref="AL262:AL325" si="81">IF(AU262="","",V262&amp;"*"&amp;AU262)</f>
        <v/>
      </c>
      <c r="AN262" t="str">
        <f>IFERROR(ROUND(L262*(G262/$AW262)/VLOOKUP(F262,商品!$A$4:$D$67,4,FALSE),0),"")</f>
        <v/>
      </c>
      <c r="AO262" t="str">
        <f>IFERROR(ROUND(L262*(I262/$AW262)/VLOOKUP(H262,商品!$A$4:$D$67,4,FALSE),0),"")</f>
        <v/>
      </c>
      <c r="AP262" t="str">
        <f>IFERROR(ROUND(L262*(K262/$AW262)/VLOOKUP(J262,商品!$A$4:$D$67,4,FALSE),0),"")</f>
        <v/>
      </c>
      <c r="AQ262" t="str">
        <f>IFERROR(ROUND(S262*(N262/$AX262)/VLOOKUP(M262,职业!$A$3:$E$16,4,FALSE),0),"")</f>
        <v/>
      </c>
      <c r="AR262" t="str">
        <f>IFERROR(ROUND(S262*(P262/$AX262)/VLOOKUP(O262,职业!$A$3:$E$16,4,FALSE),0),"")</f>
        <v/>
      </c>
      <c r="AS262" t="str">
        <f>IFERROR(ROUND(S262*(R262/$AX262)/VLOOKUP(Q262,职业!$A$3:$E$16,4,FALSE),0),"")</f>
        <v/>
      </c>
      <c r="AT262" t="str">
        <f>IFERROR(ROUND(X262*(U262/$AY262)/VLOOKUP(T262,商品!$A$4:$D$67,4,FALSE),0),"")</f>
        <v/>
      </c>
      <c r="AU262" t="str">
        <f>IFERROR(ROUND(X262*(W262/$AY262)/VLOOKUP(V262,商品!$A$4:$D$67,4,FALSE),0),"")</f>
        <v/>
      </c>
      <c r="AW262">
        <f t="shared" ref="AW262:AW325" si="82">G262+I262+K262</f>
        <v>0</v>
      </c>
      <c r="AX262">
        <f t="shared" ref="AX262:AX325" si="83">ABS(N262)+ABS(P262)+ABS(R262)</f>
        <v>0</v>
      </c>
      <c r="AY262">
        <f t="shared" ref="AY262:AY325" si="84">U262+W262</f>
        <v>0</v>
      </c>
    </row>
    <row r="263" customHeight="1" spans="1:51">
      <c r="A263" s="5" t="s">
        <v>334</v>
      </c>
      <c r="C263" s="5">
        <v>2</v>
      </c>
      <c r="D263" s="1" t="s">
        <v>291</v>
      </c>
      <c r="E263" s="1" t="s">
        <v>225</v>
      </c>
      <c r="L263" s="5">
        <f>IFERROR(VLOOKUP($D263&amp;$C263,生产方式定位!$A$2:$E$38,2,FALSE)+VLOOKUP($E263&amp;$C263,生产方式定位!$F$3:$J$38,2,FALSE),0)</f>
        <v>0</v>
      </c>
      <c r="S263" s="5">
        <f>IFERROR(VLOOKUP($D263&amp;$C263,生产方式定位!$A$2:$E$38,3,FALSE)+VLOOKUP($E263&amp;$C263,生产方式定位!$F$3:$J$38,3,FALSE),0)</f>
        <v>100</v>
      </c>
      <c r="X263" s="5">
        <f>IFERROR(VLOOKUP($D263&amp;$C263,生产方式定位!$A$2:$E$38,5,FALSE)+VLOOKUP($E263&amp;$C263,生产方式定位!$F$3:$J$38,5,FALSE),"错误")</f>
        <v>100</v>
      </c>
      <c r="Y263" s="27" t="str">
        <f t="shared" si="68"/>
        <v/>
      </c>
      <c r="Z263" s="50" t="str">
        <f t="shared" si="71"/>
        <v/>
      </c>
      <c r="AA263" s="50" t="str">
        <f t="shared" si="69"/>
        <v/>
      </c>
      <c r="AB263" s="28" t="str">
        <f t="shared" si="72"/>
        <v/>
      </c>
      <c r="AC263" s="1" t="str">
        <f t="shared" si="73"/>
        <v/>
      </c>
      <c r="AD263" s="51">
        <f t="shared" si="70"/>
        <v>2</v>
      </c>
      <c r="AE263" t="str">
        <f t="shared" si="74"/>
        <v/>
      </c>
      <c r="AF263" t="str">
        <f t="shared" si="75"/>
        <v/>
      </c>
      <c r="AG263" t="str">
        <f t="shared" si="76"/>
        <v/>
      </c>
      <c r="AH263" t="str">
        <f t="shared" si="77"/>
        <v/>
      </c>
      <c r="AI263" t="str">
        <f t="shared" si="78"/>
        <v/>
      </c>
      <c r="AJ263" t="str">
        <f t="shared" si="79"/>
        <v/>
      </c>
      <c r="AK263" t="str">
        <f t="shared" si="80"/>
        <v/>
      </c>
      <c r="AL263" t="str">
        <f t="shared" si="81"/>
        <v/>
      </c>
      <c r="AN263" t="str">
        <f>IFERROR(ROUND(L263*(G263/$AW263)/VLOOKUP(F263,商品!$A$4:$D$67,4,FALSE),0),"")</f>
        <v/>
      </c>
      <c r="AO263" t="str">
        <f>IFERROR(ROUND(L263*(I263/$AW263)/VLOOKUP(H263,商品!$A$4:$D$67,4,FALSE),0),"")</f>
        <v/>
      </c>
      <c r="AP263" t="str">
        <f>IFERROR(ROUND(L263*(K263/$AW263)/VLOOKUP(J263,商品!$A$4:$D$67,4,FALSE),0),"")</f>
        <v/>
      </c>
      <c r="AQ263" t="str">
        <f>IFERROR(ROUND(S263*(N263/$AX263)/VLOOKUP(M263,职业!$A$3:$E$16,4,FALSE),0),"")</f>
        <v/>
      </c>
      <c r="AR263" t="str">
        <f>IFERROR(ROUND(S263*(P263/$AX263)/VLOOKUP(O263,职业!$A$3:$E$16,4,FALSE),0),"")</f>
        <v/>
      </c>
      <c r="AS263" t="str">
        <f>IFERROR(ROUND(S263*(R263/$AX263)/VLOOKUP(Q263,职业!$A$3:$E$16,4,FALSE),0),"")</f>
        <v/>
      </c>
      <c r="AT263" t="str">
        <f>IFERROR(ROUND(X263*(U263/$AY263)/VLOOKUP(T263,商品!$A$4:$D$67,4,FALSE),0),"")</f>
        <v/>
      </c>
      <c r="AU263" t="str">
        <f>IFERROR(ROUND(X263*(W263/$AY263)/VLOOKUP(V263,商品!$A$4:$D$67,4,FALSE),0),"")</f>
        <v/>
      </c>
      <c r="AW263">
        <f t="shared" si="82"/>
        <v>0</v>
      </c>
      <c r="AX263">
        <f t="shared" si="83"/>
        <v>0</v>
      </c>
      <c r="AY263">
        <f t="shared" si="84"/>
        <v>0</v>
      </c>
    </row>
    <row r="264" customHeight="1" spans="1:51">
      <c r="A264" s="5" t="s">
        <v>334</v>
      </c>
      <c r="C264" s="5">
        <v>3</v>
      </c>
      <c r="D264" s="1" t="s">
        <v>291</v>
      </c>
      <c r="E264" s="1" t="s">
        <v>225</v>
      </c>
      <c r="L264" s="5">
        <f>IFERROR(VLOOKUP($D264&amp;$C264,生产方式定位!$A$2:$E$38,2,FALSE)+VLOOKUP($E264&amp;$C264,生产方式定位!$F$3:$J$38,2,FALSE),0)</f>
        <v>0</v>
      </c>
      <c r="S264" s="5">
        <f>IFERROR(VLOOKUP($D264&amp;$C264,生产方式定位!$A$2:$E$38,3,FALSE)+VLOOKUP($E264&amp;$C264,生产方式定位!$F$3:$J$38,3,FALSE),0)</f>
        <v>100</v>
      </c>
      <c r="X264" s="5">
        <f>IFERROR(VLOOKUP($D264&amp;$C264,生产方式定位!$A$2:$E$38,5,FALSE)+VLOOKUP($E264&amp;$C264,生产方式定位!$F$3:$J$38,5,FALSE),"错误")</f>
        <v>100</v>
      </c>
      <c r="Y264" s="27" t="str">
        <f t="shared" si="68"/>
        <v/>
      </c>
      <c r="Z264" s="50" t="str">
        <f t="shared" si="71"/>
        <v/>
      </c>
      <c r="AA264" s="50" t="str">
        <f t="shared" si="69"/>
        <v/>
      </c>
      <c r="AB264" s="28" t="str">
        <f t="shared" si="72"/>
        <v/>
      </c>
      <c r="AC264" s="1" t="str">
        <f t="shared" si="73"/>
        <v/>
      </c>
      <c r="AD264" s="51">
        <f t="shared" si="70"/>
        <v>3</v>
      </c>
      <c r="AE264" t="str">
        <f t="shared" si="74"/>
        <v/>
      </c>
      <c r="AF264" t="str">
        <f t="shared" si="75"/>
        <v/>
      </c>
      <c r="AG264" t="str">
        <f t="shared" si="76"/>
        <v/>
      </c>
      <c r="AH264" t="str">
        <f t="shared" si="77"/>
        <v/>
      </c>
      <c r="AI264" t="str">
        <f t="shared" si="78"/>
        <v/>
      </c>
      <c r="AJ264" t="str">
        <f t="shared" si="79"/>
        <v/>
      </c>
      <c r="AK264" t="str">
        <f t="shared" si="80"/>
        <v/>
      </c>
      <c r="AL264" t="str">
        <f t="shared" si="81"/>
        <v/>
      </c>
      <c r="AN264" t="str">
        <f>IFERROR(ROUND(L264*(G264/$AW264)/VLOOKUP(F264,商品!$A$4:$D$67,4,FALSE),0),"")</f>
        <v/>
      </c>
      <c r="AO264" t="str">
        <f>IFERROR(ROUND(L264*(I264/$AW264)/VLOOKUP(H264,商品!$A$4:$D$67,4,FALSE),0),"")</f>
        <v/>
      </c>
      <c r="AP264" t="str">
        <f>IFERROR(ROUND(L264*(K264/$AW264)/VLOOKUP(J264,商品!$A$4:$D$67,4,FALSE),0),"")</f>
        <v/>
      </c>
      <c r="AQ264" t="str">
        <f>IFERROR(ROUND(S264*(N264/$AX264)/VLOOKUP(M264,职业!$A$3:$E$16,4,FALSE),0),"")</f>
        <v/>
      </c>
      <c r="AR264" t="str">
        <f>IFERROR(ROUND(S264*(P264/$AX264)/VLOOKUP(O264,职业!$A$3:$E$16,4,FALSE),0),"")</f>
        <v/>
      </c>
      <c r="AS264" t="str">
        <f>IFERROR(ROUND(S264*(R264/$AX264)/VLOOKUP(Q264,职业!$A$3:$E$16,4,FALSE),0),"")</f>
        <v/>
      </c>
      <c r="AT264" t="str">
        <f>IFERROR(ROUND(X264*(U264/$AY264)/VLOOKUP(T264,商品!$A$4:$D$67,4,FALSE),0),"")</f>
        <v/>
      </c>
      <c r="AU264" t="str">
        <f>IFERROR(ROUND(X264*(W264/$AY264)/VLOOKUP(V264,商品!$A$4:$D$67,4,FALSE),0),"")</f>
        <v/>
      </c>
      <c r="AW264">
        <f t="shared" si="82"/>
        <v>0</v>
      </c>
      <c r="AX264">
        <f t="shared" si="83"/>
        <v>0</v>
      </c>
      <c r="AY264">
        <f t="shared" si="84"/>
        <v>0</v>
      </c>
    </row>
    <row r="265" customHeight="1" spans="1:51">
      <c r="A265" s="5" t="s">
        <v>334</v>
      </c>
      <c r="C265" s="5">
        <v>4</v>
      </c>
      <c r="D265" s="1" t="s">
        <v>291</v>
      </c>
      <c r="E265" s="1" t="s">
        <v>225</v>
      </c>
      <c r="L265" s="5">
        <f>IFERROR(VLOOKUP($D265&amp;$C265,生产方式定位!$A$2:$E$38,2,FALSE)+VLOOKUP($E265&amp;$C265,生产方式定位!$F$3:$J$38,2,FALSE),0)</f>
        <v>0</v>
      </c>
      <c r="S265" s="5">
        <f>IFERROR(VLOOKUP($D265&amp;$C265,生产方式定位!$A$2:$E$38,3,FALSE)+VLOOKUP($E265&amp;$C265,生产方式定位!$F$3:$J$38,3,FALSE),0)</f>
        <v>100</v>
      </c>
      <c r="X265" s="5">
        <f>IFERROR(VLOOKUP($D265&amp;$C265,生产方式定位!$A$2:$E$38,5,FALSE)+VLOOKUP($E265&amp;$C265,生产方式定位!$F$3:$J$38,5,FALSE),"错误")</f>
        <v>100</v>
      </c>
      <c r="Y265" s="27" t="str">
        <f t="shared" si="68"/>
        <v/>
      </c>
      <c r="Z265" s="50" t="str">
        <f t="shared" si="71"/>
        <v/>
      </c>
      <c r="AA265" s="50" t="str">
        <f t="shared" si="69"/>
        <v/>
      </c>
      <c r="AB265" s="28" t="str">
        <f t="shared" si="72"/>
        <v/>
      </c>
      <c r="AC265" s="1" t="str">
        <f t="shared" si="73"/>
        <v/>
      </c>
      <c r="AD265" s="51">
        <f t="shared" si="70"/>
        <v>4</v>
      </c>
      <c r="AE265" t="str">
        <f t="shared" si="74"/>
        <v/>
      </c>
      <c r="AF265" t="str">
        <f t="shared" si="75"/>
        <v/>
      </c>
      <c r="AG265" t="str">
        <f t="shared" si="76"/>
        <v/>
      </c>
      <c r="AH265" t="str">
        <f t="shared" si="77"/>
        <v/>
      </c>
      <c r="AI265" t="str">
        <f t="shared" si="78"/>
        <v/>
      </c>
      <c r="AJ265" t="str">
        <f t="shared" si="79"/>
        <v/>
      </c>
      <c r="AK265" t="str">
        <f t="shared" si="80"/>
        <v/>
      </c>
      <c r="AL265" t="str">
        <f t="shared" si="81"/>
        <v/>
      </c>
      <c r="AN265" t="str">
        <f>IFERROR(ROUND(L265*(G265/$AW265)/VLOOKUP(F265,商品!$A$4:$D$67,4,FALSE),0),"")</f>
        <v/>
      </c>
      <c r="AO265" t="str">
        <f>IFERROR(ROUND(L265*(I265/$AW265)/VLOOKUP(H265,商品!$A$4:$D$67,4,FALSE),0),"")</f>
        <v/>
      </c>
      <c r="AP265" t="str">
        <f>IFERROR(ROUND(L265*(K265/$AW265)/VLOOKUP(J265,商品!$A$4:$D$67,4,FALSE),0),"")</f>
        <v/>
      </c>
      <c r="AQ265" t="str">
        <f>IFERROR(ROUND(S265*(N265/$AX265)/VLOOKUP(M265,职业!$A$3:$E$16,4,FALSE),0),"")</f>
        <v/>
      </c>
      <c r="AR265" t="str">
        <f>IFERROR(ROUND(S265*(P265/$AX265)/VLOOKUP(O265,职业!$A$3:$E$16,4,FALSE),0),"")</f>
        <v/>
      </c>
      <c r="AS265" t="str">
        <f>IFERROR(ROUND(S265*(R265/$AX265)/VLOOKUP(Q265,职业!$A$3:$E$16,4,FALSE),0),"")</f>
        <v/>
      </c>
      <c r="AT265" t="str">
        <f>IFERROR(ROUND(X265*(U265/$AY265)/VLOOKUP(T265,商品!$A$4:$D$67,4,FALSE),0),"")</f>
        <v/>
      </c>
      <c r="AU265" t="str">
        <f>IFERROR(ROUND(X265*(W265/$AY265)/VLOOKUP(V265,商品!$A$4:$D$67,4,FALSE),0),"")</f>
        <v/>
      </c>
      <c r="AW265">
        <f t="shared" si="82"/>
        <v>0</v>
      </c>
      <c r="AX265">
        <f t="shared" si="83"/>
        <v>0</v>
      </c>
      <c r="AY265">
        <f t="shared" si="84"/>
        <v>0</v>
      </c>
    </row>
    <row r="266" customHeight="1" spans="1:51">
      <c r="A266" s="5" t="s">
        <v>334</v>
      </c>
      <c r="C266" s="5">
        <v>5</v>
      </c>
      <c r="D266" s="1" t="s">
        <v>291</v>
      </c>
      <c r="E266" s="1" t="s">
        <v>225</v>
      </c>
      <c r="L266" s="5">
        <f>IFERROR(VLOOKUP($D266&amp;$C266,生产方式定位!$A$2:$E$38,2,FALSE)+VLOOKUP($E266&amp;$C266,生产方式定位!$F$3:$J$38,2,FALSE),0)</f>
        <v>0</v>
      </c>
      <c r="S266" s="5">
        <f>IFERROR(VLOOKUP($D266&amp;$C266,生产方式定位!$A$2:$E$38,3,FALSE)+VLOOKUP($E266&amp;$C266,生产方式定位!$F$3:$J$38,3,FALSE),0)</f>
        <v>100</v>
      </c>
      <c r="X266" s="5">
        <f>IFERROR(VLOOKUP($D266&amp;$C266,生产方式定位!$A$2:$E$38,5,FALSE)+VLOOKUP($E266&amp;$C266,生产方式定位!$F$3:$J$38,5,FALSE),"错误")</f>
        <v>100</v>
      </c>
      <c r="Y266" s="27" t="str">
        <f t="shared" si="68"/>
        <v/>
      </c>
      <c r="Z266" s="50" t="str">
        <f t="shared" si="71"/>
        <v/>
      </c>
      <c r="AA266" s="50" t="str">
        <f t="shared" si="69"/>
        <v/>
      </c>
      <c r="AB266" s="28" t="str">
        <f t="shared" si="72"/>
        <v/>
      </c>
      <c r="AC266" s="1" t="str">
        <f t="shared" si="73"/>
        <v/>
      </c>
      <c r="AD266" s="51">
        <f t="shared" si="70"/>
        <v>5</v>
      </c>
      <c r="AE266" t="str">
        <f t="shared" si="74"/>
        <v/>
      </c>
      <c r="AF266" t="str">
        <f t="shared" si="75"/>
        <v/>
      </c>
      <c r="AG266" t="str">
        <f t="shared" si="76"/>
        <v/>
      </c>
      <c r="AH266" t="str">
        <f t="shared" si="77"/>
        <v/>
      </c>
      <c r="AI266" t="str">
        <f t="shared" si="78"/>
        <v/>
      </c>
      <c r="AJ266" t="str">
        <f t="shared" si="79"/>
        <v/>
      </c>
      <c r="AK266" t="str">
        <f t="shared" si="80"/>
        <v/>
      </c>
      <c r="AL266" t="str">
        <f t="shared" si="81"/>
        <v/>
      </c>
      <c r="AN266" t="str">
        <f>IFERROR(ROUND(L266*(G266/$AW266)/VLOOKUP(F266,商品!$A$4:$D$67,4,FALSE),0),"")</f>
        <v/>
      </c>
      <c r="AO266" t="str">
        <f>IFERROR(ROUND(L266*(I266/$AW266)/VLOOKUP(H266,商品!$A$4:$D$67,4,FALSE),0),"")</f>
        <v/>
      </c>
      <c r="AP266" t="str">
        <f>IFERROR(ROUND(L266*(K266/$AW266)/VLOOKUP(J266,商品!$A$4:$D$67,4,FALSE),0),"")</f>
        <v/>
      </c>
      <c r="AQ266" t="str">
        <f>IFERROR(ROUND(S266*(N266/$AX266)/VLOOKUP(M266,职业!$A$3:$E$16,4,FALSE),0),"")</f>
        <v/>
      </c>
      <c r="AR266" t="str">
        <f>IFERROR(ROUND(S266*(P266/$AX266)/VLOOKUP(O266,职业!$A$3:$E$16,4,FALSE),0),"")</f>
        <v/>
      </c>
      <c r="AS266" t="str">
        <f>IFERROR(ROUND(S266*(R266/$AX266)/VLOOKUP(Q266,职业!$A$3:$E$16,4,FALSE),0),"")</f>
        <v/>
      </c>
      <c r="AT266" t="str">
        <f>IFERROR(ROUND(X266*(U266/$AY266)/VLOOKUP(T266,商品!$A$4:$D$67,4,FALSE),0),"")</f>
        <v/>
      </c>
      <c r="AU266" t="str">
        <f>IFERROR(ROUND(X266*(W266/$AY266)/VLOOKUP(V266,商品!$A$4:$D$67,4,FALSE),0),"")</f>
        <v/>
      </c>
      <c r="AW266">
        <f t="shared" si="82"/>
        <v>0</v>
      </c>
      <c r="AX266">
        <f t="shared" si="83"/>
        <v>0</v>
      </c>
      <c r="AY266">
        <f t="shared" si="84"/>
        <v>0</v>
      </c>
    </row>
    <row r="267" customHeight="1" spans="1:51">
      <c r="A267" s="5" t="s">
        <v>334</v>
      </c>
      <c r="C267" s="5">
        <v>6</v>
      </c>
      <c r="D267" s="1" t="s">
        <v>291</v>
      </c>
      <c r="E267" s="1" t="s">
        <v>225</v>
      </c>
      <c r="L267" s="5">
        <f>IFERROR(VLOOKUP($D267&amp;$C267,生产方式定位!$A$2:$E$38,2,FALSE)+VLOOKUP($E267&amp;$C267,生产方式定位!$F$3:$J$38,2,FALSE),0)</f>
        <v>0</v>
      </c>
      <c r="S267" s="5">
        <f>IFERROR(VLOOKUP($D267&amp;$C267,生产方式定位!$A$2:$E$38,3,FALSE)+VLOOKUP($E267&amp;$C267,生产方式定位!$F$3:$J$38,3,FALSE),0)</f>
        <v>100</v>
      </c>
      <c r="X267" s="5">
        <f>IFERROR(VLOOKUP($D267&amp;$C267,生产方式定位!$A$2:$E$38,5,FALSE)+VLOOKUP($E267&amp;$C267,生产方式定位!$F$3:$J$38,5,FALSE),"错误")</f>
        <v>100</v>
      </c>
      <c r="Y267" s="27" t="str">
        <f t="shared" si="68"/>
        <v/>
      </c>
      <c r="Z267" s="50" t="str">
        <f t="shared" si="71"/>
        <v/>
      </c>
      <c r="AA267" s="50" t="str">
        <f t="shared" si="69"/>
        <v/>
      </c>
      <c r="AB267" s="28" t="str">
        <f t="shared" si="72"/>
        <v/>
      </c>
      <c r="AC267" s="1" t="str">
        <f t="shared" si="73"/>
        <v/>
      </c>
      <c r="AD267" s="51">
        <f t="shared" si="70"/>
        <v>6</v>
      </c>
      <c r="AE267" t="str">
        <f t="shared" si="74"/>
        <v/>
      </c>
      <c r="AF267" t="str">
        <f t="shared" si="75"/>
        <v/>
      </c>
      <c r="AG267" t="str">
        <f t="shared" si="76"/>
        <v/>
      </c>
      <c r="AH267" t="str">
        <f t="shared" si="77"/>
        <v/>
      </c>
      <c r="AI267" t="str">
        <f t="shared" si="78"/>
        <v/>
      </c>
      <c r="AJ267" t="str">
        <f t="shared" si="79"/>
        <v/>
      </c>
      <c r="AK267" t="str">
        <f t="shared" si="80"/>
        <v/>
      </c>
      <c r="AL267" t="str">
        <f t="shared" si="81"/>
        <v/>
      </c>
      <c r="AN267" t="str">
        <f>IFERROR(ROUND(L267*(G267/$AW267)/VLOOKUP(F267,商品!$A$4:$D$67,4,FALSE),0),"")</f>
        <v/>
      </c>
      <c r="AO267" t="str">
        <f>IFERROR(ROUND(L267*(I267/$AW267)/VLOOKUP(H267,商品!$A$4:$D$67,4,FALSE),0),"")</f>
        <v/>
      </c>
      <c r="AP267" t="str">
        <f>IFERROR(ROUND(L267*(K267/$AW267)/VLOOKUP(J267,商品!$A$4:$D$67,4,FALSE),0),"")</f>
        <v/>
      </c>
      <c r="AQ267" t="str">
        <f>IFERROR(ROUND(S267*(N267/$AX267)/VLOOKUP(M267,职业!$A$3:$E$16,4,FALSE),0),"")</f>
        <v/>
      </c>
      <c r="AR267" t="str">
        <f>IFERROR(ROUND(S267*(P267/$AX267)/VLOOKUP(O267,职业!$A$3:$E$16,4,FALSE),0),"")</f>
        <v/>
      </c>
      <c r="AS267" t="str">
        <f>IFERROR(ROUND(S267*(R267/$AX267)/VLOOKUP(Q267,职业!$A$3:$E$16,4,FALSE),0),"")</f>
        <v/>
      </c>
      <c r="AT267" t="str">
        <f>IFERROR(ROUND(X267*(U267/$AY267)/VLOOKUP(T267,商品!$A$4:$D$67,4,FALSE),0),"")</f>
        <v/>
      </c>
      <c r="AU267" t="str">
        <f>IFERROR(ROUND(X267*(W267/$AY267)/VLOOKUP(V267,商品!$A$4:$D$67,4,FALSE),0),"")</f>
        <v/>
      </c>
      <c r="AW267">
        <f t="shared" si="82"/>
        <v>0</v>
      </c>
      <c r="AX267">
        <f t="shared" si="83"/>
        <v>0</v>
      </c>
      <c r="AY267">
        <f t="shared" si="84"/>
        <v>0</v>
      </c>
    </row>
    <row r="268" customHeight="1" spans="1:51">
      <c r="A268" s="5" t="s">
        <v>334</v>
      </c>
      <c r="C268" s="5">
        <v>7</v>
      </c>
      <c r="D268" s="1" t="s">
        <v>291</v>
      </c>
      <c r="E268" s="1" t="s">
        <v>225</v>
      </c>
      <c r="L268" s="5">
        <f>IFERROR(VLOOKUP($D268&amp;$C268,生产方式定位!$A$2:$E$38,2,FALSE)+VLOOKUP($E268&amp;$C268,生产方式定位!$F$3:$J$38,2,FALSE),0)</f>
        <v>0</v>
      </c>
      <c r="S268" s="5">
        <f>IFERROR(VLOOKUP($D268&amp;$C268,生产方式定位!$A$2:$E$38,3,FALSE)+VLOOKUP($E268&amp;$C268,生产方式定位!$F$3:$J$38,3,FALSE),0)</f>
        <v>100</v>
      </c>
      <c r="X268" s="5">
        <f>IFERROR(VLOOKUP($D268&amp;$C268,生产方式定位!$A$2:$E$38,5,FALSE)+VLOOKUP($E268&amp;$C268,生产方式定位!$F$3:$J$38,5,FALSE),"错误")</f>
        <v>100</v>
      </c>
      <c r="Y268" s="27" t="str">
        <f t="shared" si="68"/>
        <v/>
      </c>
      <c r="Z268" s="50" t="str">
        <f t="shared" si="71"/>
        <v/>
      </c>
      <c r="AA268" s="50" t="str">
        <f t="shared" si="69"/>
        <v/>
      </c>
      <c r="AB268" s="28" t="str">
        <f t="shared" si="72"/>
        <v/>
      </c>
      <c r="AC268" s="1" t="str">
        <f t="shared" si="73"/>
        <v/>
      </c>
      <c r="AD268" s="51">
        <f t="shared" si="70"/>
        <v>7</v>
      </c>
      <c r="AE268" t="str">
        <f t="shared" si="74"/>
        <v/>
      </c>
      <c r="AF268" t="str">
        <f t="shared" si="75"/>
        <v/>
      </c>
      <c r="AG268" t="str">
        <f t="shared" si="76"/>
        <v/>
      </c>
      <c r="AH268" t="str">
        <f t="shared" si="77"/>
        <v/>
      </c>
      <c r="AI268" t="str">
        <f t="shared" si="78"/>
        <v/>
      </c>
      <c r="AJ268" t="str">
        <f t="shared" si="79"/>
        <v/>
      </c>
      <c r="AK268" t="str">
        <f t="shared" si="80"/>
        <v/>
      </c>
      <c r="AL268" t="str">
        <f t="shared" si="81"/>
        <v/>
      </c>
      <c r="AN268" t="str">
        <f>IFERROR(ROUND(L268*(G268/$AW268)/VLOOKUP(F268,商品!$A$4:$D$67,4,FALSE),0),"")</f>
        <v/>
      </c>
      <c r="AO268" t="str">
        <f>IFERROR(ROUND(L268*(I268/$AW268)/VLOOKUP(H268,商品!$A$4:$D$67,4,FALSE),0),"")</f>
        <v/>
      </c>
      <c r="AP268" t="str">
        <f>IFERROR(ROUND(L268*(K268/$AW268)/VLOOKUP(J268,商品!$A$4:$D$67,4,FALSE),0),"")</f>
        <v/>
      </c>
      <c r="AQ268" t="str">
        <f>IFERROR(ROUND(S268*(N268/$AX268)/VLOOKUP(M268,职业!$A$3:$E$16,4,FALSE),0),"")</f>
        <v/>
      </c>
      <c r="AR268" t="str">
        <f>IFERROR(ROUND(S268*(P268/$AX268)/VLOOKUP(O268,职业!$A$3:$E$16,4,FALSE),0),"")</f>
        <v/>
      </c>
      <c r="AS268" t="str">
        <f>IFERROR(ROUND(S268*(R268/$AX268)/VLOOKUP(Q268,职业!$A$3:$E$16,4,FALSE),0),"")</f>
        <v/>
      </c>
      <c r="AT268" t="str">
        <f>IFERROR(ROUND(X268*(U268/$AY268)/VLOOKUP(T268,商品!$A$4:$D$67,4,FALSE),0),"")</f>
        <v/>
      </c>
      <c r="AU268" t="str">
        <f>IFERROR(ROUND(X268*(W268/$AY268)/VLOOKUP(V268,商品!$A$4:$D$67,4,FALSE),0),"")</f>
        <v/>
      </c>
      <c r="AW268">
        <f t="shared" si="82"/>
        <v>0</v>
      </c>
      <c r="AX268">
        <f t="shared" si="83"/>
        <v>0</v>
      </c>
      <c r="AY268">
        <f t="shared" si="84"/>
        <v>0</v>
      </c>
    </row>
    <row r="269" customHeight="1" spans="1:51">
      <c r="A269" s="5" t="s">
        <v>334</v>
      </c>
      <c r="C269" s="5">
        <v>8</v>
      </c>
      <c r="D269" s="1" t="s">
        <v>291</v>
      </c>
      <c r="E269" s="1" t="s">
        <v>225</v>
      </c>
      <c r="L269" s="5">
        <f>IFERROR(VLOOKUP($D269&amp;$C269,生产方式定位!$A$2:$E$38,2,FALSE)+VLOOKUP($E269&amp;$C269,生产方式定位!$F$3:$J$38,2,FALSE),0)</f>
        <v>0</v>
      </c>
      <c r="S269" s="5">
        <f>IFERROR(VLOOKUP($D269&amp;$C269,生产方式定位!$A$2:$E$38,3,FALSE)+VLOOKUP($E269&amp;$C269,生产方式定位!$F$3:$J$38,3,FALSE),0)</f>
        <v>100</v>
      </c>
      <c r="X269" s="5">
        <f>IFERROR(VLOOKUP($D269&amp;$C269,生产方式定位!$A$2:$E$38,5,FALSE)+VLOOKUP($E269&amp;$C269,生产方式定位!$F$3:$J$38,5,FALSE),"错误")</f>
        <v>100</v>
      </c>
      <c r="Y269" s="27" t="str">
        <f t="shared" si="68"/>
        <v/>
      </c>
      <c r="Z269" s="50" t="str">
        <f t="shared" si="71"/>
        <v/>
      </c>
      <c r="AA269" s="50" t="str">
        <f t="shared" si="69"/>
        <v/>
      </c>
      <c r="AB269" s="28" t="str">
        <f t="shared" si="72"/>
        <v/>
      </c>
      <c r="AC269" s="1" t="str">
        <f t="shared" si="73"/>
        <v/>
      </c>
      <c r="AD269" s="51">
        <f t="shared" si="70"/>
        <v>8</v>
      </c>
      <c r="AE269" t="str">
        <f t="shared" si="74"/>
        <v/>
      </c>
      <c r="AF269" t="str">
        <f t="shared" si="75"/>
        <v/>
      </c>
      <c r="AG269" t="str">
        <f t="shared" si="76"/>
        <v/>
      </c>
      <c r="AH269" t="str">
        <f t="shared" si="77"/>
        <v/>
      </c>
      <c r="AI269" t="str">
        <f t="shared" si="78"/>
        <v/>
      </c>
      <c r="AJ269" t="str">
        <f t="shared" si="79"/>
        <v/>
      </c>
      <c r="AK269" t="str">
        <f t="shared" si="80"/>
        <v/>
      </c>
      <c r="AL269" t="str">
        <f t="shared" si="81"/>
        <v/>
      </c>
      <c r="AN269" t="str">
        <f>IFERROR(ROUND(L269*(G269/$AW269)/VLOOKUP(F269,商品!$A$4:$D$67,4,FALSE),0),"")</f>
        <v/>
      </c>
      <c r="AO269" t="str">
        <f>IFERROR(ROUND(L269*(I269/$AW269)/VLOOKUP(H269,商品!$A$4:$D$67,4,FALSE),0),"")</f>
        <v/>
      </c>
      <c r="AP269" t="str">
        <f>IFERROR(ROUND(L269*(K269/$AW269)/VLOOKUP(J269,商品!$A$4:$D$67,4,FALSE),0),"")</f>
        <v/>
      </c>
      <c r="AQ269" t="str">
        <f>IFERROR(ROUND(S269*(N269/$AX269)/VLOOKUP(M269,职业!$A$3:$E$16,4,FALSE),0),"")</f>
        <v/>
      </c>
      <c r="AR269" t="str">
        <f>IFERROR(ROUND(S269*(P269/$AX269)/VLOOKUP(O269,职业!$A$3:$E$16,4,FALSE),0),"")</f>
        <v/>
      </c>
      <c r="AS269" t="str">
        <f>IFERROR(ROUND(S269*(R269/$AX269)/VLOOKUP(Q269,职业!$A$3:$E$16,4,FALSE),0),"")</f>
        <v/>
      </c>
      <c r="AT269" t="str">
        <f>IFERROR(ROUND(X269*(U269/$AY269)/VLOOKUP(T269,商品!$A$4:$D$67,4,FALSE),0),"")</f>
        <v/>
      </c>
      <c r="AU269" t="str">
        <f>IFERROR(ROUND(X269*(W269/$AY269)/VLOOKUP(V269,商品!$A$4:$D$67,4,FALSE),0),"")</f>
        <v/>
      </c>
      <c r="AW269">
        <f t="shared" si="82"/>
        <v>0</v>
      </c>
      <c r="AX269">
        <f t="shared" si="83"/>
        <v>0</v>
      </c>
      <c r="AY269">
        <f t="shared" si="84"/>
        <v>0</v>
      </c>
    </row>
    <row r="270" customHeight="1" spans="1:51">
      <c r="A270" s="18" t="s">
        <v>336</v>
      </c>
      <c r="C270" s="18">
        <v>1</v>
      </c>
      <c r="D270" s="1" t="s">
        <v>220</v>
      </c>
      <c r="E270" s="1" t="s">
        <v>222</v>
      </c>
      <c r="L270" s="18">
        <f>IFERROR(VLOOKUP($D270&amp;$C270,生产方式定位!$A$2:$E$38,2,FALSE)+VLOOKUP($E270&amp;$C270,生产方式定位!$F$3:$J$38,2,FALSE),0)</f>
        <v>500</v>
      </c>
      <c r="S270" s="18">
        <f>IFERROR(VLOOKUP($D270&amp;$C270,生产方式定位!$A$2:$E$38,3,FALSE)+VLOOKUP($E270&amp;$C270,生产方式定位!$F$3:$J$38,3,FALSE),0)</f>
        <v>150</v>
      </c>
      <c r="X270" s="18">
        <f>IFERROR(VLOOKUP($D270&amp;$C270,生产方式定位!$A$2:$E$38,5,FALSE)+VLOOKUP($E270&amp;$C270,生产方式定位!$F$3:$J$38,5,FALSE),"错误")</f>
        <v>715</v>
      </c>
      <c r="Y270" s="27" t="str">
        <f t="shared" si="68"/>
        <v/>
      </c>
      <c r="Z270" s="50" t="str">
        <f t="shared" si="71"/>
        <v/>
      </c>
      <c r="AA270" s="50" t="str">
        <f t="shared" si="69"/>
        <v/>
      </c>
      <c r="AB270" s="28" t="str">
        <f t="shared" si="72"/>
        <v>43%</v>
      </c>
      <c r="AC270" s="1">
        <f t="shared" si="73"/>
        <v>65</v>
      </c>
      <c r="AD270" s="52">
        <f t="shared" si="70"/>
        <v>1</v>
      </c>
      <c r="AE270" t="str">
        <f t="shared" si="74"/>
        <v/>
      </c>
      <c r="AF270" t="str">
        <f t="shared" si="75"/>
        <v/>
      </c>
      <c r="AG270" t="str">
        <f t="shared" si="76"/>
        <v/>
      </c>
      <c r="AH270" t="str">
        <f t="shared" si="77"/>
        <v/>
      </c>
      <c r="AI270" t="str">
        <f t="shared" si="78"/>
        <v/>
      </c>
      <c r="AJ270" t="str">
        <f t="shared" si="79"/>
        <v/>
      </c>
      <c r="AK270" t="str">
        <f t="shared" si="80"/>
        <v/>
      </c>
      <c r="AL270" t="str">
        <f t="shared" si="81"/>
        <v/>
      </c>
      <c r="AN270" t="str">
        <f>IFERROR(ROUND(L270*(G270/$AW270)/VLOOKUP(F270,商品!$A$4:$D$67,4,FALSE),0),"")</f>
        <v/>
      </c>
      <c r="AO270" t="str">
        <f>IFERROR(ROUND(L270*(I270/$AW270)/VLOOKUP(H270,商品!$A$4:$D$67,4,FALSE),0),"")</f>
        <v/>
      </c>
      <c r="AP270" t="str">
        <f>IFERROR(ROUND(L270*(K270/$AW270)/VLOOKUP(J270,商品!$A$4:$D$67,4,FALSE),0),"")</f>
        <v/>
      </c>
      <c r="AQ270" t="str">
        <f>IFERROR(ROUND(S270*(N270/$AX270)/VLOOKUP(M270,职业!$A$3:$E$16,4,FALSE),0),"")</f>
        <v/>
      </c>
      <c r="AR270" t="str">
        <f>IFERROR(ROUND(S270*(P270/$AX270)/VLOOKUP(O270,职业!$A$3:$E$16,4,FALSE),0),"")</f>
        <v/>
      </c>
      <c r="AS270" t="str">
        <f>IFERROR(ROUND(S270*(R270/$AX270)/VLOOKUP(Q270,职业!$A$3:$E$16,4,FALSE),0),"")</f>
        <v/>
      </c>
      <c r="AT270" t="str">
        <f>IFERROR(ROUND(X270*(U270/$AY270)/VLOOKUP(T270,商品!$A$4:$D$67,4,FALSE),0),"")</f>
        <v/>
      </c>
      <c r="AU270" t="str">
        <f>IFERROR(ROUND(X270*(W270/$AY270)/VLOOKUP(V270,商品!$A$4:$D$67,4,FALSE),0),"")</f>
        <v/>
      </c>
      <c r="AW270">
        <f t="shared" si="82"/>
        <v>0</v>
      </c>
      <c r="AX270">
        <f t="shared" si="83"/>
        <v>0</v>
      </c>
      <c r="AY270">
        <f t="shared" si="84"/>
        <v>0</v>
      </c>
    </row>
    <row r="271" customHeight="1" spans="1:51">
      <c r="A271" s="18" t="s">
        <v>336</v>
      </c>
      <c r="C271" s="18">
        <v>2</v>
      </c>
      <c r="D271" s="1" t="s">
        <v>220</v>
      </c>
      <c r="E271" s="1" t="s">
        <v>222</v>
      </c>
      <c r="L271" s="18">
        <f>IFERROR(VLOOKUP($D271&amp;$C271,生产方式定位!$A$2:$E$38,2,FALSE)+VLOOKUP($E271&amp;$C271,生产方式定位!$F$3:$J$38,2,FALSE),0)</f>
        <v>1200</v>
      </c>
      <c r="S271" s="18">
        <f>IFERROR(VLOOKUP($D271&amp;$C271,生产方式定位!$A$2:$E$38,3,FALSE)+VLOOKUP($E271&amp;$C271,生产方式定位!$F$3:$J$38,3,FALSE),0)</f>
        <v>140</v>
      </c>
      <c r="X271" s="18">
        <f>IFERROR(VLOOKUP($D271&amp;$C271,生产方式定位!$A$2:$E$38,5,FALSE)+VLOOKUP($E271&amp;$C271,生产方式定位!$F$3:$J$38,5,FALSE),"错误")</f>
        <v>1390</v>
      </c>
      <c r="Y271" s="27" t="str">
        <f t="shared" si="68"/>
        <v/>
      </c>
      <c r="Z271" s="50" t="str">
        <f t="shared" si="71"/>
        <v/>
      </c>
      <c r="AA271" s="50" t="str">
        <f t="shared" si="69"/>
        <v/>
      </c>
      <c r="AB271" s="28" t="str">
        <f t="shared" si="72"/>
        <v>16%</v>
      </c>
      <c r="AC271" s="1">
        <f t="shared" si="73"/>
        <v>50</v>
      </c>
      <c r="AD271" s="52">
        <f t="shared" si="70"/>
        <v>2</v>
      </c>
      <c r="AE271" t="str">
        <f t="shared" si="74"/>
        <v/>
      </c>
      <c r="AF271" t="str">
        <f t="shared" si="75"/>
        <v/>
      </c>
      <c r="AG271" t="str">
        <f t="shared" si="76"/>
        <v/>
      </c>
      <c r="AH271" t="str">
        <f t="shared" si="77"/>
        <v/>
      </c>
      <c r="AI271" t="str">
        <f t="shared" si="78"/>
        <v/>
      </c>
      <c r="AJ271" t="str">
        <f t="shared" si="79"/>
        <v/>
      </c>
      <c r="AK271" t="str">
        <f t="shared" si="80"/>
        <v/>
      </c>
      <c r="AL271" t="str">
        <f t="shared" si="81"/>
        <v/>
      </c>
      <c r="AN271" t="str">
        <f>IFERROR(ROUND(L271*(G271/$AW271)/VLOOKUP(F271,商品!$A$4:$D$67,4,FALSE),0),"")</f>
        <v/>
      </c>
      <c r="AO271" t="str">
        <f>IFERROR(ROUND(L271*(I271/$AW271)/VLOOKUP(H271,商品!$A$4:$D$67,4,FALSE),0),"")</f>
        <v/>
      </c>
      <c r="AP271" t="str">
        <f>IFERROR(ROUND(L271*(K271/$AW271)/VLOOKUP(J271,商品!$A$4:$D$67,4,FALSE),0),"")</f>
        <v/>
      </c>
      <c r="AQ271" t="str">
        <f>IFERROR(ROUND(S271*(N271/$AX271)/VLOOKUP(M271,职业!$A$3:$E$16,4,FALSE),0),"")</f>
        <v/>
      </c>
      <c r="AR271" t="str">
        <f>IFERROR(ROUND(S271*(P271/$AX271)/VLOOKUP(O271,职业!$A$3:$E$16,4,FALSE),0),"")</f>
        <v/>
      </c>
      <c r="AS271" t="str">
        <f>IFERROR(ROUND(S271*(R271/$AX271)/VLOOKUP(Q271,职业!$A$3:$E$16,4,FALSE),0),"")</f>
        <v/>
      </c>
      <c r="AT271" t="str">
        <f>IFERROR(ROUND(X271*(U271/$AY271)/VLOOKUP(T271,商品!$A$4:$D$67,4,FALSE),0),"")</f>
        <v/>
      </c>
      <c r="AU271" t="str">
        <f>IFERROR(ROUND(X271*(W271/$AY271)/VLOOKUP(V271,商品!$A$4:$D$67,4,FALSE),0),"")</f>
        <v/>
      </c>
      <c r="AW271">
        <f t="shared" si="82"/>
        <v>0</v>
      </c>
      <c r="AX271">
        <f t="shared" si="83"/>
        <v>0</v>
      </c>
      <c r="AY271">
        <f t="shared" si="84"/>
        <v>0</v>
      </c>
    </row>
    <row r="272" customHeight="1" spans="1:51">
      <c r="A272" s="18" t="s">
        <v>336</v>
      </c>
      <c r="C272" s="18">
        <v>3</v>
      </c>
      <c r="D272" s="1" t="s">
        <v>220</v>
      </c>
      <c r="E272" s="1" t="s">
        <v>222</v>
      </c>
      <c r="L272" s="18">
        <f>IFERROR(VLOOKUP($D272&amp;$C272,生产方式定位!$A$2:$E$38,2,FALSE)+VLOOKUP($E272&amp;$C272,生产方式定位!$F$3:$J$38,2,FALSE),0)</f>
        <v>1525</v>
      </c>
      <c r="S272" s="18">
        <f>IFERROR(VLOOKUP($D272&amp;$C272,生产方式定位!$A$2:$E$38,3,FALSE)+VLOOKUP($E272&amp;$C272,生产方式定位!$F$3:$J$38,3,FALSE),0)</f>
        <v>130</v>
      </c>
      <c r="X272" s="18">
        <f>IFERROR(VLOOKUP($D272&amp;$C272,生产方式定位!$A$2:$E$38,5,FALSE)+VLOOKUP($E272&amp;$C272,生产方式定位!$F$3:$J$38,5,FALSE),"错误")</f>
        <v>1718</v>
      </c>
      <c r="Y272" s="27" t="str">
        <f t="shared" si="68"/>
        <v/>
      </c>
      <c r="Z272" s="50" t="str">
        <f t="shared" si="71"/>
        <v/>
      </c>
      <c r="AA272" s="50" t="str">
        <f t="shared" si="69"/>
        <v/>
      </c>
      <c r="AB272" s="28" t="str">
        <f t="shared" si="72"/>
        <v>13%</v>
      </c>
      <c r="AC272" s="1">
        <f t="shared" si="73"/>
        <v>63</v>
      </c>
      <c r="AD272" s="52">
        <f t="shared" si="70"/>
        <v>3</v>
      </c>
      <c r="AE272" t="str">
        <f t="shared" si="74"/>
        <v/>
      </c>
      <c r="AF272" t="str">
        <f t="shared" si="75"/>
        <v/>
      </c>
      <c r="AG272" t="str">
        <f t="shared" si="76"/>
        <v/>
      </c>
      <c r="AH272" t="str">
        <f t="shared" si="77"/>
        <v/>
      </c>
      <c r="AI272" t="str">
        <f t="shared" si="78"/>
        <v/>
      </c>
      <c r="AJ272" t="str">
        <f t="shared" si="79"/>
        <v/>
      </c>
      <c r="AK272" t="str">
        <f t="shared" si="80"/>
        <v/>
      </c>
      <c r="AL272" t="str">
        <f t="shared" si="81"/>
        <v/>
      </c>
      <c r="AN272" t="str">
        <f>IFERROR(ROUND(L272*(G272/$AW272)/VLOOKUP(F272,商品!$A$4:$D$67,4,FALSE),0),"")</f>
        <v/>
      </c>
      <c r="AO272" t="str">
        <f>IFERROR(ROUND(L272*(I272/$AW272)/VLOOKUP(H272,商品!$A$4:$D$67,4,FALSE),0),"")</f>
        <v/>
      </c>
      <c r="AP272" t="str">
        <f>IFERROR(ROUND(L272*(K272/$AW272)/VLOOKUP(J272,商品!$A$4:$D$67,4,FALSE),0),"")</f>
        <v/>
      </c>
      <c r="AQ272" t="str">
        <f>IFERROR(ROUND(S272*(N272/$AX272)/VLOOKUP(M272,职业!$A$3:$E$16,4,FALSE),0),"")</f>
        <v/>
      </c>
      <c r="AR272" t="str">
        <f>IFERROR(ROUND(S272*(P272/$AX272)/VLOOKUP(O272,职业!$A$3:$E$16,4,FALSE),0),"")</f>
        <v/>
      </c>
      <c r="AS272" t="str">
        <f>IFERROR(ROUND(S272*(R272/$AX272)/VLOOKUP(Q272,职业!$A$3:$E$16,4,FALSE),0),"")</f>
        <v/>
      </c>
      <c r="AT272" t="str">
        <f>IFERROR(ROUND(X272*(U272/$AY272)/VLOOKUP(T272,商品!$A$4:$D$67,4,FALSE),0),"")</f>
        <v/>
      </c>
      <c r="AU272" t="str">
        <f>IFERROR(ROUND(X272*(W272/$AY272)/VLOOKUP(V272,商品!$A$4:$D$67,4,FALSE),0),"")</f>
        <v/>
      </c>
      <c r="AW272">
        <f t="shared" si="82"/>
        <v>0</v>
      </c>
      <c r="AX272">
        <f t="shared" si="83"/>
        <v>0</v>
      </c>
      <c r="AY272">
        <f t="shared" si="84"/>
        <v>0</v>
      </c>
    </row>
    <row r="273" customHeight="1" spans="1:51">
      <c r="A273" s="18" t="s">
        <v>336</v>
      </c>
      <c r="C273" s="18">
        <v>4</v>
      </c>
      <c r="D273" s="1" t="s">
        <v>220</v>
      </c>
      <c r="E273" s="1" t="s">
        <v>222</v>
      </c>
      <c r="L273" s="18">
        <f>IFERROR(VLOOKUP($D273&amp;$C273,生产方式定位!$A$2:$E$38,2,FALSE)+VLOOKUP($E273&amp;$C273,生产方式定位!$F$3:$J$38,2,FALSE),0)</f>
        <v>1850</v>
      </c>
      <c r="S273" s="18">
        <f>IFERROR(VLOOKUP($D273&amp;$C273,生产方式定位!$A$2:$E$38,3,FALSE)+VLOOKUP($E273&amp;$C273,生产方式定位!$F$3:$J$38,3,FALSE),0)</f>
        <v>120</v>
      </c>
      <c r="X273" s="18">
        <f>IFERROR(VLOOKUP($D273&amp;$C273,生产方式定位!$A$2:$E$38,5,FALSE)+VLOOKUP($E273&amp;$C273,生产方式定位!$F$3:$J$38,5,FALSE),"错误")</f>
        <v>2045</v>
      </c>
      <c r="Y273" s="27" t="str">
        <f t="shared" si="68"/>
        <v/>
      </c>
      <c r="Z273" s="50" t="str">
        <f t="shared" si="71"/>
        <v/>
      </c>
      <c r="AA273" s="50" t="str">
        <f t="shared" si="69"/>
        <v/>
      </c>
      <c r="AB273" s="28" t="str">
        <f t="shared" si="72"/>
        <v>11%</v>
      </c>
      <c r="AC273" s="1">
        <f t="shared" si="73"/>
        <v>75</v>
      </c>
      <c r="AD273" s="52">
        <f t="shared" si="70"/>
        <v>4</v>
      </c>
      <c r="AE273" t="str">
        <f t="shared" si="74"/>
        <v/>
      </c>
      <c r="AF273" t="str">
        <f t="shared" si="75"/>
        <v/>
      </c>
      <c r="AG273" t="str">
        <f t="shared" si="76"/>
        <v/>
      </c>
      <c r="AH273" t="str">
        <f t="shared" si="77"/>
        <v/>
      </c>
      <c r="AI273" t="str">
        <f t="shared" si="78"/>
        <v/>
      </c>
      <c r="AJ273" t="str">
        <f t="shared" si="79"/>
        <v/>
      </c>
      <c r="AK273" t="str">
        <f t="shared" si="80"/>
        <v/>
      </c>
      <c r="AL273" t="str">
        <f t="shared" si="81"/>
        <v/>
      </c>
      <c r="AN273" t="str">
        <f>IFERROR(ROUND(L273*(G273/$AW273)/VLOOKUP(F273,商品!$A$4:$D$67,4,FALSE),0),"")</f>
        <v/>
      </c>
      <c r="AO273" t="str">
        <f>IFERROR(ROUND(L273*(I273/$AW273)/VLOOKUP(H273,商品!$A$4:$D$67,4,FALSE),0),"")</f>
        <v/>
      </c>
      <c r="AP273" t="str">
        <f>IFERROR(ROUND(L273*(K273/$AW273)/VLOOKUP(J273,商品!$A$4:$D$67,4,FALSE),0),"")</f>
        <v/>
      </c>
      <c r="AQ273" t="str">
        <f>IFERROR(ROUND(S273*(N273/$AX273)/VLOOKUP(M273,职业!$A$3:$E$16,4,FALSE),0),"")</f>
        <v/>
      </c>
      <c r="AR273" t="str">
        <f>IFERROR(ROUND(S273*(P273/$AX273)/VLOOKUP(O273,职业!$A$3:$E$16,4,FALSE),0),"")</f>
        <v/>
      </c>
      <c r="AS273" t="str">
        <f>IFERROR(ROUND(S273*(R273/$AX273)/VLOOKUP(Q273,职业!$A$3:$E$16,4,FALSE),0),"")</f>
        <v/>
      </c>
      <c r="AT273" t="str">
        <f>IFERROR(ROUND(X273*(U273/$AY273)/VLOOKUP(T273,商品!$A$4:$D$67,4,FALSE),0),"")</f>
        <v/>
      </c>
      <c r="AU273" t="str">
        <f>IFERROR(ROUND(X273*(W273/$AY273)/VLOOKUP(V273,商品!$A$4:$D$67,4,FALSE),0),"")</f>
        <v/>
      </c>
      <c r="AW273">
        <f t="shared" si="82"/>
        <v>0</v>
      </c>
      <c r="AX273">
        <f t="shared" si="83"/>
        <v>0</v>
      </c>
      <c r="AY273">
        <f t="shared" si="84"/>
        <v>0</v>
      </c>
    </row>
    <row r="274" customHeight="1" spans="1:51">
      <c r="A274" s="18" t="s">
        <v>336</v>
      </c>
      <c r="C274" s="18">
        <v>5</v>
      </c>
      <c r="D274" s="1" t="s">
        <v>220</v>
      </c>
      <c r="E274" s="1" t="s">
        <v>222</v>
      </c>
      <c r="L274" s="18">
        <f>IFERROR(VLOOKUP($D274&amp;$C274,生产方式定位!$A$2:$E$38,2,FALSE)+VLOOKUP($E274&amp;$C274,生产方式定位!$F$3:$J$38,2,FALSE),0)</f>
        <v>2175</v>
      </c>
      <c r="S274" s="18">
        <f>IFERROR(VLOOKUP($D274&amp;$C274,生产方式定位!$A$2:$E$38,3,FALSE)+VLOOKUP($E274&amp;$C274,生产方式定位!$F$3:$J$38,3,FALSE),0)</f>
        <v>110</v>
      </c>
      <c r="X274" s="18">
        <f>IFERROR(VLOOKUP($D274&amp;$C274,生产方式定位!$A$2:$E$38,5,FALSE)+VLOOKUP($E274&amp;$C274,生产方式定位!$F$3:$J$38,5,FALSE),"错误")</f>
        <v>2373</v>
      </c>
      <c r="Y274" s="27" t="str">
        <f t="shared" si="68"/>
        <v/>
      </c>
      <c r="Z274" s="50" t="str">
        <f t="shared" si="71"/>
        <v/>
      </c>
      <c r="AA274" s="50" t="str">
        <f t="shared" si="69"/>
        <v/>
      </c>
      <c r="AB274" s="28" t="str">
        <f t="shared" si="72"/>
        <v>9%</v>
      </c>
      <c r="AC274" s="1">
        <f t="shared" si="73"/>
        <v>88</v>
      </c>
      <c r="AD274" s="52">
        <f t="shared" si="70"/>
        <v>5</v>
      </c>
      <c r="AE274" t="str">
        <f t="shared" si="74"/>
        <v/>
      </c>
      <c r="AF274" t="str">
        <f t="shared" si="75"/>
        <v/>
      </c>
      <c r="AG274" t="str">
        <f t="shared" si="76"/>
        <v/>
      </c>
      <c r="AH274" t="str">
        <f t="shared" si="77"/>
        <v/>
      </c>
      <c r="AI274" t="str">
        <f t="shared" si="78"/>
        <v/>
      </c>
      <c r="AJ274" t="str">
        <f t="shared" si="79"/>
        <v/>
      </c>
      <c r="AK274" t="str">
        <f t="shared" si="80"/>
        <v/>
      </c>
      <c r="AL274" t="str">
        <f t="shared" si="81"/>
        <v/>
      </c>
      <c r="AN274" t="str">
        <f>IFERROR(ROUND(L274*(G274/$AW274)/VLOOKUP(F274,商品!$A$4:$D$67,4,FALSE),0),"")</f>
        <v/>
      </c>
      <c r="AO274" t="str">
        <f>IFERROR(ROUND(L274*(I274/$AW274)/VLOOKUP(H274,商品!$A$4:$D$67,4,FALSE),0),"")</f>
        <v/>
      </c>
      <c r="AP274" t="str">
        <f>IFERROR(ROUND(L274*(K274/$AW274)/VLOOKUP(J274,商品!$A$4:$D$67,4,FALSE),0),"")</f>
        <v/>
      </c>
      <c r="AQ274" t="str">
        <f>IFERROR(ROUND(S274*(N274/$AX274)/VLOOKUP(M274,职业!$A$3:$E$16,4,FALSE),0),"")</f>
        <v/>
      </c>
      <c r="AR274" t="str">
        <f>IFERROR(ROUND(S274*(P274/$AX274)/VLOOKUP(O274,职业!$A$3:$E$16,4,FALSE),0),"")</f>
        <v/>
      </c>
      <c r="AS274" t="str">
        <f>IFERROR(ROUND(S274*(R274/$AX274)/VLOOKUP(Q274,职业!$A$3:$E$16,4,FALSE),0),"")</f>
        <v/>
      </c>
      <c r="AT274" t="str">
        <f>IFERROR(ROUND(X274*(U274/$AY274)/VLOOKUP(T274,商品!$A$4:$D$67,4,FALSE),0),"")</f>
        <v/>
      </c>
      <c r="AU274" t="str">
        <f>IFERROR(ROUND(X274*(W274/$AY274)/VLOOKUP(V274,商品!$A$4:$D$67,4,FALSE),0),"")</f>
        <v/>
      </c>
      <c r="AW274">
        <f t="shared" si="82"/>
        <v>0</v>
      </c>
      <c r="AX274">
        <f t="shared" si="83"/>
        <v>0</v>
      </c>
      <c r="AY274">
        <f t="shared" si="84"/>
        <v>0</v>
      </c>
    </row>
    <row r="275" customHeight="1" spans="1:51">
      <c r="A275" s="5" t="s">
        <v>337</v>
      </c>
      <c r="C275" s="5">
        <v>1</v>
      </c>
      <c r="D275" s="1" t="s">
        <v>220</v>
      </c>
      <c r="E275" s="1" t="s">
        <v>223</v>
      </c>
      <c r="L275" s="5">
        <f>IFERROR(VLOOKUP($D275&amp;$C275,生产方式定位!$A$2:$E$38,2,FALSE)+VLOOKUP($E275&amp;$C275,生产方式定位!$F$3:$J$38,2,FALSE),0)</f>
        <v>500</v>
      </c>
      <c r="S275" s="5">
        <f>IFERROR(VLOOKUP($D275&amp;$C275,生产方式定位!$A$2:$E$38,3,FALSE)+VLOOKUP($E275&amp;$C275,生产方式定位!$F$3:$J$38,3,FALSE),0)</f>
        <v>150</v>
      </c>
      <c r="X275" s="5">
        <f>IFERROR(VLOOKUP($D275&amp;$C275,生产方式定位!$A$2:$E$38,5,FALSE)+VLOOKUP($E275&amp;$C275,生产方式定位!$F$3:$J$38,5,FALSE),"错误")</f>
        <v>715</v>
      </c>
      <c r="Y275" s="27" t="str">
        <f t="shared" si="68"/>
        <v/>
      </c>
      <c r="Z275" s="50" t="str">
        <f t="shared" si="71"/>
        <v/>
      </c>
      <c r="AA275" s="50" t="str">
        <f t="shared" si="69"/>
        <v/>
      </c>
      <c r="AB275" s="28" t="str">
        <f t="shared" si="72"/>
        <v>43%</v>
      </c>
      <c r="AC275" s="1">
        <f t="shared" si="73"/>
        <v>65</v>
      </c>
      <c r="AD275" s="51">
        <f t="shared" si="70"/>
        <v>1</v>
      </c>
      <c r="AE275" t="str">
        <f t="shared" si="74"/>
        <v/>
      </c>
      <c r="AF275" t="str">
        <f t="shared" si="75"/>
        <v/>
      </c>
      <c r="AG275" t="str">
        <f t="shared" si="76"/>
        <v/>
      </c>
      <c r="AH275" t="str">
        <f t="shared" si="77"/>
        <v/>
      </c>
      <c r="AI275" t="str">
        <f t="shared" si="78"/>
        <v/>
      </c>
      <c r="AJ275" t="str">
        <f t="shared" si="79"/>
        <v/>
      </c>
      <c r="AK275" t="str">
        <f t="shared" si="80"/>
        <v/>
      </c>
      <c r="AL275" t="str">
        <f t="shared" si="81"/>
        <v/>
      </c>
      <c r="AN275" t="str">
        <f>IFERROR(ROUND(L275*(G275/$AW275)/VLOOKUP(F275,商品!$A$4:$D$67,4,FALSE),0),"")</f>
        <v/>
      </c>
      <c r="AO275" t="str">
        <f>IFERROR(ROUND(L275*(I275/$AW275)/VLOOKUP(H275,商品!$A$4:$D$67,4,FALSE),0),"")</f>
        <v/>
      </c>
      <c r="AP275" t="str">
        <f>IFERROR(ROUND(L275*(K275/$AW275)/VLOOKUP(J275,商品!$A$4:$D$67,4,FALSE),0),"")</f>
        <v/>
      </c>
      <c r="AQ275" t="str">
        <f>IFERROR(ROUND(S275*(N275/$AX275)/VLOOKUP(M275,职业!$A$3:$E$16,4,FALSE),0),"")</f>
        <v/>
      </c>
      <c r="AR275" t="str">
        <f>IFERROR(ROUND(S275*(P275/$AX275)/VLOOKUP(O275,职业!$A$3:$E$16,4,FALSE),0),"")</f>
        <v/>
      </c>
      <c r="AS275" t="str">
        <f>IFERROR(ROUND(S275*(R275/$AX275)/VLOOKUP(Q275,职业!$A$3:$E$16,4,FALSE),0),"")</f>
        <v/>
      </c>
      <c r="AT275" t="str">
        <f>IFERROR(ROUND(X275*(U275/$AY275)/VLOOKUP(T275,商品!$A$4:$D$67,4,FALSE),0),"")</f>
        <v/>
      </c>
      <c r="AU275" t="str">
        <f>IFERROR(ROUND(X275*(W275/$AY275)/VLOOKUP(V275,商品!$A$4:$D$67,4,FALSE),0),"")</f>
        <v/>
      </c>
      <c r="AW275">
        <f t="shared" si="82"/>
        <v>0</v>
      </c>
      <c r="AX275">
        <f t="shared" si="83"/>
        <v>0</v>
      </c>
      <c r="AY275">
        <f t="shared" si="84"/>
        <v>0</v>
      </c>
    </row>
    <row r="276" customHeight="1" spans="1:51">
      <c r="A276" s="5" t="s">
        <v>337</v>
      </c>
      <c r="C276" s="5">
        <v>2</v>
      </c>
      <c r="D276" s="1" t="s">
        <v>220</v>
      </c>
      <c r="E276" s="1" t="s">
        <v>223</v>
      </c>
      <c r="L276" s="5">
        <f>IFERROR(VLOOKUP($D276&amp;$C276,生产方式定位!$A$2:$E$38,2,FALSE)+VLOOKUP($E276&amp;$C276,生产方式定位!$F$3:$J$38,2,FALSE),0)</f>
        <v>1100</v>
      </c>
      <c r="S276" s="5">
        <f>IFERROR(VLOOKUP($D276&amp;$C276,生产方式定位!$A$2:$E$38,3,FALSE)+VLOOKUP($E276&amp;$C276,生产方式定位!$F$3:$J$38,3,FALSE),0)</f>
        <v>150</v>
      </c>
      <c r="X276" s="5">
        <f>IFERROR(VLOOKUP($D276&amp;$C276,生产方式定位!$A$2:$E$38,5,FALSE)+VLOOKUP($E276&amp;$C276,生产方式定位!$F$3:$J$38,5,FALSE),"错误")</f>
        <v>1291</v>
      </c>
      <c r="Y276" s="27" t="str">
        <f t="shared" si="68"/>
        <v/>
      </c>
      <c r="Z276" s="50" t="str">
        <f t="shared" si="71"/>
        <v/>
      </c>
      <c r="AA276" s="50" t="str">
        <f t="shared" si="69"/>
        <v/>
      </c>
      <c r="AB276" s="28" t="str">
        <f t="shared" si="72"/>
        <v>17%</v>
      </c>
      <c r="AC276" s="1">
        <f t="shared" si="73"/>
        <v>41</v>
      </c>
      <c r="AD276" s="51">
        <f t="shared" si="70"/>
        <v>2</v>
      </c>
      <c r="AE276" t="str">
        <f t="shared" si="74"/>
        <v/>
      </c>
      <c r="AF276" t="str">
        <f t="shared" si="75"/>
        <v/>
      </c>
      <c r="AG276" t="str">
        <f t="shared" si="76"/>
        <v/>
      </c>
      <c r="AH276" t="str">
        <f t="shared" si="77"/>
        <v/>
      </c>
      <c r="AI276" t="str">
        <f t="shared" si="78"/>
        <v/>
      </c>
      <c r="AJ276" t="str">
        <f t="shared" si="79"/>
        <v/>
      </c>
      <c r="AK276" t="str">
        <f t="shared" si="80"/>
        <v/>
      </c>
      <c r="AL276" t="str">
        <f t="shared" si="81"/>
        <v/>
      </c>
      <c r="AN276" t="str">
        <f>IFERROR(ROUND(L276*(G276/$AW276)/VLOOKUP(F276,商品!$A$4:$D$67,4,FALSE),0),"")</f>
        <v/>
      </c>
      <c r="AO276" t="str">
        <f>IFERROR(ROUND(L276*(I276/$AW276)/VLOOKUP(H276,商品!$A$4:$D$67,4,FALSE),0),"")</f>
        <v/>
      </c>
      <c r="AP276" t="str">
        <f>IFERROR(ROUND(L276*(K276/$AW276)/VLOOKUP(J276,商品!$A$4:$D$67,4,FALSE),0),"")</f>
        <v/>
      </c>
      <c r="AQ276" t="str">
        <f>IFERROR(ROUND(S276*(N276/$AX276)/VLOOKUP(M276,职业!$A$3:$E$16,4,FALSE),0),"")</f>
        <v/>
      </c>
      <c r="AR276" t="str">
        <f>IFERROR(ROUND(S276*(P276/$AX276)/VLOOKUP(O276,职业!$A$3:$E$16,4,FALSE),0),"")</f>
        <v/>
      </c>
      <c r="AS276" t="str">
        <f>IFERROR(ROUND(S276*(R276/$AX276)/VLOOKUP(Q276,职业!$A$3:$E$16,4,FALSE),0),"")</f>
        <v/>
      </c>
      <c r="AT276" t="str">
        <f>IFERROR(ROUND(X276*(U276/$AY276)/VLOOKUP(T276,商品!$A$4:$D$67,4,FALSE),0),"")</f>
        <v/>
      </c>
      <c r="AU276" t="str">
        <f>IFERROR(ROUND(X276*(W276/$AY276)/VLOOKUP(V276,商品!$A$4:$D$67,4,FALSE),0),"")</f>
        <v/>
      </c>
      <c r="AW276">
        <f t="shared" si="82"/>
        <v>0</v>
      </c>
      <c r="AX276">
        <f t="shared" si="83"/>
        <v>0</v>
      </c>
      <c r="AY276">
        <f t="shared" si="84"/>
        <v>0</v>
      </c>
    </row>
    <row r="277" customHeight="1" spans="1:51">
      <c r="A277" s="5" t="s">
        <v>337</v>
      </c>
      <c r="C277" s="5">
        <v>3</v>
      </c>
      <c r="D277" s="1" t="s">
        <v>220</v>
      </c>
      <c r="E277" s="1" t="s">
        <v>223</v>
      </c>
      <c r="L277" s="5">
        <f>IFERROR(VLOOKUP($D277&amp;$C277,生产方式定位!$A$2:$E$38,2,FALSE)+VLOOKUP($E277&amp;$C277,生产方式定位!$F$3:$J$38,2,FALSE),0)</f>
        <v>1400</v>
      </c>
      <c r="S277" s="5">
        <f>IFERROR(VLOOKUP($D277&amp;$C277,生产方式定位!$A$2:$E$38,3,FALSE)+VLOOKUP($E277&amp;$C277,生产方式定位!$F$3:$J$38,3,FALSE),0)</f>
        <v>145</v>
      </c>
      <c r="X277" s="5">
        <f>IFERROR(VLOOKUP($D277&amp;$C277,生产方式定位!$A$2:$E$38,5,FALSE)+VLOOKUP($E277&amp;$C277,生产方式定位!$F$3:$J$38,5,FALSE),"错误")</f>
        <v>1597</v>
      </c>
      <c r="Y277" s="27" t="str">
        <f t="shared" si="68"/>
        <v/>
      </c>
      <c r="Z277" s="50" t="str">
        <f t="shared" si="71"/>
        <v/>
      </c>
      <c r="AA277" s="50" t="str">
        <f t="shared" si="69"/>
        <v/>
      </c>
      <c r="AB277" s="28" t="str">
        <f t="shared" si="72"/>
        <v>14%</v>
      </c>
      <c r="AC277" s="1">
        <f t="shared" si="73"/>
        <v>52</v>
      </c>
      <c r="AD277" s="51">
        <f t="shared" si="70"/>
        <v>3</v>
      </c>
      <c r="AE277" t="str">
        <f t="shared" si="74"/>
        <v/>
      </c>
      <c r="AF277" t="str">
        <f t="shared" si="75"/>
        <v/>
      </c>
      <c r="AG277" t="str">
        <f t="shared" si="76"/>
        <v/>
      </c>
      <c r="AH277" t="str">
        <f t="shared" si="77"/>
        <v/>
      </c>
      <c r="AI277" t="str">
        <f t="shared" si="78"/>
        <v/>
      </c>
      <c r="AJ277" t="str">
        <f t="shared" si="79"/>
        <v/>
      </c>
      <c r="AK277" t="str">
        <f t="shared" si="80"/>
        <v/>
      </c>
      <c r="AL277" t="str">
        <f t="shared" si="81"/>
        <v/>
      </c>
      <c r="AN277" t="str">
        <f>IFERROR(ROUND(L277*(G277/$AW277)/VLOOKUP(F277,商品!$A$4:$D$67,4,FALSE),0),"")</f>
        <v/>
      </c>
      <c r="AO277" t="str">
        <f>IFERROR(ROUND(L277*(I277/$AW277)/VLOOKUP(H277,商品!$A$4:$D$67,4,FALSE),0),"")</f>
        <v/>
      </c>
      <c r="AP277" t="str">
        <f>IFERROR(ROUND(L277*(K277/$AW277)/VLOOKUP(J277,商品!$A$4:$D$67,4,FALSE),0),"")</f>
        <v/>
      </c>
      <c r="AQ277" t="str">
        <f>IFERROR(ROUND(S277*(N277/$AX277)/VLOOKUP(M277,职业!$A$3:$E$16,4,FALSE),0),"")</f>
        <v/>
      </c>
      <c r="AR277" t="str">
        <f>IFERROR(ROUND(S277*(P277/$AX277)/VLOOKUP(O277,职业!$A$3:$E$16,4,FALSE),0),"")</f>
        <v/>
      </c>
      <c r="AS277" t="str">
        <f>IFERROR(ROUND(S277*(R277/$AX277)/VLOOKUP(Q277,职业!$A$3:$E$16,4,FALSE),0),"")</f>
        <v/>
      </c>
      <c r="AT277" t="str">
        <f>IFERROR(ROUND(X277*(U277/$AY277)/VLOOKUP(T277,商品!$A$4:$D$67,4,FALSE),0),"")</f>
        <v/>
      </c>
      <c r="AU277" t="str">
        <f>IFERROR(ROUND(X277*(W277/$AY277)/VLOOKUP(V277,商品!$A$4:$D$67,4,FALSE),0),"")</f>
        <v/>
      </c>
      <c r="AW277">
        <f t="shared" si="82"/>
        <v>0</v>
      </c>
      <c r="AX277">
        <f t="shared" si="83"/>
        <v>0</v>
      </c>
      <c r="AY277">
        <f t="shared" si="84"/>
        <v>0</v>
      </c>
    </row>
    <row r="278" customHeight="1" spans="1:51">
      <c r="A278" s="5" t="s">
        <v>337</v>
      </c>
      <c r="C278" s="5">
        <v>4</v>
      </c>
      <c r="D278" s="1" t="s">
        <v>220</v>
      </c>
      <c r="E278" s="1" t="s">
        <v>223</v>
      </c>
      <c r="L278" s="5">
        <f>IFERROR(VLOOKUP($D278&amp;$C278,生产方式定位!$A$2:$E$38,2,FALSE)+VLOOKUP($E278&amp;$C278,生产方式定位!$F$3:$J$38,2,FALSE),0)</f>
        <v>1700</v>
      </c>
      <c r="S278" s="5">
        <f>IFERROR(VLOOKUP($D278&amp;$C278,生产方式定位!$A$2:$E$38,3,FALSE)+VLOOKUP($E278&amp;$C278,生产方式定位!$F$3:$J$38,3,FALSE),0)</f>
        <v>140</v>
      </c>
      <c r="X278" s="5">
        <f>IFERROR(VLOOKUP($D278&amp;$C278,生产方式定位!$A$2:$E$38,5,FALSE)+VLOOKUP($E278&amp;$C278,生产方式定位!$F$3:$J$38,5,FALSE),"错误")</f>
        <v>1902</v>
      </c>
      <c r="Y278" s="27" t="str">
        <f t="shared" si="68"/>
        <v/>
      </c>
      <c r="Z278" s="50" t="str">
        <f t="shared" si="71"/>
        <v/>
      </c>
      <c r="AA278" s="50" t="str">
        <f t="shared" si="69"/>
        <v/>
      </c>
      <c r="AB278" s="28" t="str">
        <f t="shared" si="72"/>
        <v>12%</v>
      </c>
      <c r="AC278" s="1">
        <f t="shared" si="73"/>
        <v>62</v>
      </c>
      <c r="AD278" s="51">
        <f t="shared" si="70"/>
        <v>4</v>
      </c>
      <c r="AE278" t="str">
        <f t="shared" si="74"/>
        <v/>
      </c>
      <c r="AF278" t="str">
        <f t="shared" si="75"/>
        <v/>
      </c>
      <c r="AG278" t="str">
        <f t="shared" si="76"/>
        <v/>
      </c>
      <c r="AH278" t="str">
        <f t="shared" si="77"/>
        <v/>
      </c>
      <c r="AI278" t="str">
        <f t="shared" si="78"/>
        <v/>
      </c>
      <c r="AJ278" t="str">
        <f t="shared" si="79"/>
        <v/>
      </c>
      <c r="AK278" t="str">
        <f t="shared" si="80"/>
        <v/>
      </c>
      <c r="AL278" t="str">
        <f t="shared" si="81"/>
        <v/>
      </c>
      <c r="AN278" t="str">
        <f>IFERROR(ROUND(L278*(G278/$AW278)/VLOOKUP(F278,商品!$A$4:$D$67,4,FALSE),0),"")</f>
        <v/>
      </c>
      <c r="AO278" t="str">
        <f>IFERROR(ROUND(L278*(I278/$AW278)/VLOOKUP(H278,商品!$A$4:$D$67,4,FALSE),0),"")</f>
        <v/>
      </c>
      <c r="AP278" t="str">
        <f>IFERROR(ROUND(L278*(K278/$AW278)/VLOOKUP(J278,商品!$A$4:$D$67,4,FALSE),0),"")</f>
        <v/>
      </c>
      <c r="AQ278" t="str">
        <f>IFERROR(ROUND(S278*(N278/$AX278)/VLOOKUP(M278,职业!$A$3:$E$16,4,FALSE),0),"")</f>
        <v/>
      </c>
      <c r="AR278" t="str">
        <f>IFERROR(ROUND(S278*(P278/$AX278)/VLOOKUP(O278,职业!$A$3:$E$16,4,FALSE),0),"")</f>
        <v/>
      </c>
      <c r="AS278" t="str">
        <f>IFERROR(ROUND(S278*(R278/$AX278)/VLOOKUP(Q278,职业!$A$3:$E$16,4,FALSE),0),"")</f>
        <v/>
      </c>
      <c r="AT278" t="str">
        <f>IFERROR(ROUND(X278*(U278/$AY278)/VLOOKUP(T278,商品!$A$4:$D$67,4,FALSE),0),"")</f>
        <v/>
      </c>
      <c r="AU278" t="str">
        <f>IFERROR(ROUND(X278*(W278/$AY278)/VLOOKUP(V278,商品!$A$4:$D$67,4,FALSE),0),"")</f>
        <v/>
      </c>
      <c r="AW278">
        <f t="shared" si="82"/>
        <v>0</v>
      </c>
      <c r="AX278">
        <f t="shared" si="83"/>
        <v>0</v>
      </c>
      <c r="AY278">
        <f t="shared" si="84"/>
        <v>0</v>
      </c>
    </row>
    <row r="279" customHeight="1" spans="1:51">
      <c r="A279" s="5" t="s">
        <v>337</v>
      </c>
      <c r="C279" s="5">
        <v>5</v>
      </c>
      <c r="D279" s="1" t="s">
        <v>220</v>
      </c>
      <c r="E279" s="1" t="s">
        <v>223</v>
      </c>
      <c r="L279" s="5">
        <f>IFERROR(VLOOKUP($D279&amp;$C279,生产方式定位!$A$2:$E$38,2,FALSE)+VLOOKUP($E279&amp;$C279,生产方式定位!$F$3:$J$38,2,FALSE),0)</f>
        <v>2000</v>
      </c>
      <c r="S279" s="5">
        <f>IFERROR(VLOOKUP($D279&amp;$C279,生产方式定位!$A$2:$E$38,3,FALSE)+VLOOKUP($E279&amp;$C279,生产方式定位!$F$3:$J$38,3,FALSE),0)</f>
        <v>135</v>
      </c>
      <c r="X279" s="5">
        <f>IFERROR(VLOOKUP($D279&amp;$C279,生产方式定位!$A$2:$E$38,5,FALSE)+VLOOKUP($E279&amp;$C279,生产方式定位!$F$3:$J$38,5,FALSE),"错误")</f>
        <v>2208</v>
      </c>
      <c r="Y279" s="27" t="str">
        <f t="shared" si="68"/>
        <v/>
      </c>
      <c r="Z279" s="50" t="str">
        <f t="shared" si="71"/>
        <v/>
      </c>
      <c r="AA279" s="50" t="str">
        <f t="shared" si="69"/>
        <v/>
      </c>
      <c r="AB279" s="28" t="str">
        <f t="shared" si="72"/>
        <v>10%</v>
      </c>
      <c r="AC279" s="1">
        <f t="shared" si="73"/>
        <v>73</v>
      </c>
      <c r="AD279" s="51">
        <f t="shared" si="70"/>
        <v>5</v>
      </c>
      <c r="AE279" t="str">
        <f t="shared" si="74"/>
        <v/>
      </c>
      <c r="AF279" t="str">
        <f t="shared" si="75"/>
        <v/>
      </c>
      <c r="AG279" t="str">
        <f t="shared" si="76"/>
        <v/>
      </c>
      <c r="AH279" t="str">
        <f t="shared" si="77"/>
        <v/>
      </c>
      <c r="AI279" t="str">
        <f t="shared" si="78"/>
        <v/>
      </c>
      <c r="AJ279" t="str">
        <f t="shared" si="79"/>
        <v/>
      </c>
      <c r="AK279" t="str">
        <f t="shared" si="80"/>
        <v/>
      </c>
      <c r="AL279" t="str">
        <f t="shared" si="81"/>
        <v/>
      </c>
      <c r="AN279" t="str">
        <f>IFERROR(ROUND(L279*(G279/$AW279)/VLOOKUP(F279,商品!$A$4:$D$67,4,FALSE),0),"")</f>
        <v/>
      </c>
      <c r="AO279" t="str">
        <f>IFERROR(ROUND(L279*(I279/$AW279)/VLOOKUP(H279,商品!$A$4:$D$67,4,FALSE),0),"")</f>
        <v/>
      </c>
      <c r="AP279" t="str">
        <f>IFERROR(ROUND(L279*(K279/$AW279)/VLOOKUP(J279,商品!$A$4:$D$67,4,FALSE),0),"")</f>
        <v/>
      </c>
      <c r="AQ279" t="str">
        <f>IFERROR(ROUND(S279*(N279/$AX279)/VLOOKUP(M279,职业!$A$3:$E$16,4,FALSE),0),"")</f>
        <v/>
      </c>
      <c r="AR279" t="str">
        <f>IFERROR(ROUND(S279*(P279/$AX279)/VLOOKUP(O279,职业!$A$3:$E$16,4,FALSE),0),"")</f>
        <v/>
      </c>
      <c r="AS279" t="str">
        <f>IFERROR(ROUND(S279*(R279/$AX279)/VLOOKUP(Q279,职业!$A$3:$E$16,4,FALSE),0),"")</f>
        <v/>
      </c>
      <c r="AT279" t="str">
        <f>IFERROR(ROUND(X279*(U279/$AY279)/VLOOKUP(T279,商品!$A$4:$D$67,4,FALSE),0),"")</f>
        <v/>
      </c>
      <c r="AU279" t="str">
        <f>IFERROR(ROUND(X279*(W279/$AY279)/VLOOKUP(V279,商品!$A$4:$D$67,4,FALSE),0),"")</f>
        <v/>
      </c>
      <c r="AW279">
        <f t="shared" si="82"/>
        <v>0</v>
      </c>
      <c r="AX279">
        <f t="shared" si="83"/>
        <v>0</v>
      </c>
      <c r="AY279">
        <f t="shared" si="84"/>
        <v>0</v>
      </c>
    </row>
    <row r="280" customHeight="1" spans="1:51">
      <c r="A280" s="18" t="s">
        <v>338</v>
      </c>
      <c r="C280" s="18">
        <v>1</v>
      </c>
      <c r="D280" s="1" t="s">
        <v>220</v>
      </c>
      <c r="E280" s="1" t="s">
        <v>224</v>
      </c>
      <c r="L280" s="18">
        <f>IFERROR(VLOOKUP($D280&amp;$C280,生产方式定位!$A$2:$E$38,2,FALSE)+VLOOKUP($E280&amp;$C280,生产方式定位!$F$3:$J$38,2,FALSE),0)</f>
        <v>500</v>
      </c>
      <c r="S280" s="18">
        <f>IFERROR(VLOOKUP($D280&amp;$C280,生产方式定位!$A$2:$E$38,3,FALSE)+VLOOKUP($E280&amp;$C280,生产方式定位!$F$3:$J$38,3,FALSE),0)</f>
        <v>150</v>
      </c>
      <c r="X280" s="18">
        <f>IFERROR(VLOOKUP($D280&amp;$C280,生产方式定位!$A$2:$E$38,5,FALSE)+VLOOKUP($E280&amp;$C280,生产方式定位!$F$3:$J$38,5,FALSE),"错误")</f>
        <v>715</v>
      </c>
      <c r="Y280" s="27" t="str">
        <f t="shared" si="68"/>
        <v/>
      </c>
      <c r="Z280" s="50" t="str">
        <f t="shared" si="71"/>
        <v/>
      </c>
      <c r="AA280" s="50" t="str">
        <f t="shared" si="69"/>
        <v/>
      </c>
      <c r="AB280" s="28" t="str">
        <f t="shared" si="72"/>
        <v>43%</v>
      </c>
      <c r="AC280" s="1">
        <f t="shared" si="73"/>
        <v>65</v>
      </c>
      <c r="AD280" s="52">
        <f t="shared" si="70"/>
        <v>1</v>
      </c>
      <c r="AE280" t="str">
        <f t="shared" si="74"/>
        <v/>
      </c>
      <c r="AF280" t="str">
        <f t="shared" si="75"/>
        <v/>
      </c>
      <c r="AG280" t="str">
        <f t="shared" si="76"/>
        <v/>
      </c>
      <c r="AH280" t="str">
        <f t="shared" si="77"/>
        <v/>
      </c>
      <c r="AI280" t="str">
        <f t="shared" si="78"/>
        <v/>
      </c>
      <c r="AJ280" t="str">
        <f t="shared" si="79"/>
        <v/>
      </c>
      <c r="AK280" t="str">
        <f t="shared" si="80"/>
        <v/>
      </c>
      <c r="AL280" t="str">
        <f t="shared" si="81"/>
        <v/>
      </c>
      <c r="AN280" t="str">
        <f>IFERROR(ROUND(L280*(G280/$AW280)/VLOOKUP(F280,商品!$A$4:$D$67,4,FALSE),0),"")</f>
        <v/>
      </c>
      <c r="AO280" t="str">
        <f>IFERROR(ROUND(L280*(I280/$AW280)/VLOOKUP(H280,商品!$A$4:$D$67,4,FALSE),0),"")</f>
        <v/>
      </c>
      <c r="AP280" t="str">
        <f>IFERROR(ROUND(L280*(K280/$AW280)/VLOOKUP(J280,商品!$A$4:$D$67,4,FALSE),0),"")</f>
        <v/>
      </c>
      <c r="AQ280" t="str">
        <f>IFERROR(ROUND(S280*(N280/$AX280)/VLOOKUP(M280,职业!$A$3:$E$16,4,FALSE),0),"")</f>
        <v/>
      </c>
      <c r="AR280" t="str">
        <f>IFERROR(ROUND(S280*(P280/$AX280)/VLOOKUP(O280,职业!$A$3:$E$16,4,FALSE),0),"")</f>
        <v/>
      </c>
      <c r="AS280" t="str">
        <f>IFERROR(ROUND(S280*(R280/$AX280)/VLOOKUP(Q280,职业!$A$3:$E$16,4,FALSE),0),"")</f>
        <v/>
      </c>
      <c r="AT280" t="str">
        <f>IFERROR(ROUND(X280*(U280/$AY280)/VLOOKUP(T280,商品!$A$4:$D$67,4,FALSE),0),"")</f>
        <v/>
      </c>
      <c r="AU280" t="str">
        <f>IFERROR(ROUND(X280*(W280/$AY280)/VLOOKUP(V280,商品!$A$4:$D$67,4,FALSE),0),"")</f>
        <v/>
      </c>
      <c r="AW280">
        <f t="shared" si="82"/>
        <v>0</v>
      </c>
      <c r="AX280">
        <f t="shared" si="83"/>
        <v>0</v>
      </c>
      <c r="AY280">
        <f t="shared" si="84"/>
        <v>0</v>
      </c>
    </row>
    <row r="281" customHeight="1" spans="1:51">
      <c r="A281" s="18" t="s">
        <v>338</v>
      </c>
      <c r="C281" s="18">
        <v>2</v>
      </c>
      <c r="D281" s="1" t="s">
        <v>220</v>
      </c>
      <c r="E281" s="1" t="s">
        <v>224</v>
      </c>
      <c r="L281" s="18">
        <f>IFERROR(VLOOKUP($D281&amp;$C281,生产方式定位!$A$2:$E$38,2,FALSE)+VLOOKUP($E281&amp;$C281,生产方式定位!$F$3:$J$38,2,FALSE),0)</f>
        <v>1200</v>
      </c>
      <c r="S281" s="18">
        <f>IFERROR(VLOOKUP($D281&amp;$C281,生产方式定位!$A$2:$E$38,3,FALSE)+VLOOKUP($E281&amp;$C281,生产方式定位!$F$3:$J$38,3,FALSE),0)</f>
        <v>100</v>
      </c>
      <c r="X281" s="18">
        <f>IFERROR(VLOOKUP($D281&amp;$C281,生产方式定位!$A$2:$E$38,5,FALSE)+VLOOKUP($E281&amp;$C281,生产方式定位!$F$3:$J$38,5,FALSE),"错误")</f>
        <v>1346</v>
      </c>
      <c r="Y281" s="27" t="str">
        <f t="shared" si="68"/>
        <v/>
      </c>
      <c r="Z281" s="50" t="str">
        <f t="shared" si="71"/>
        <v/>
      </c>
      <c r="AA281" s="50" t="str">
        <f t="shared" si="69"/>
        <v/>
      </c>
      <c r="AB281" s="28" t="str">
        <f t="shared" si="72"/>
        <v>12%</v>
      </c>
      <c r="AC281" s="1">
        <f t="shared" si="73"/>
        <v>46</v>
      </c>
      <c r="AD281" s="52">
        <f t="shared" si="70"/>
        <v>2</v>
      </c>
      <c r="AE281" t="str">
        <f t="shared" si="74"/>
        <v/>
      </c>
      <c r="AF281" t="str">
        <f t="shared" si="75"/>
        <v/>
      </c>
      <c r="AG281" t="str">
        <f t="shared" si="76"/>
        <v/>
      </c>
      <c r="AH281" t="str">
        <f t="shared" si="77"/>
        <v/>
      </c>
      <c r="AI281" t="str">
        <f t="shared" si="78"/>
        <v/>
      </c>
      <c r="AJ281" t="str">
        <f t="shared" si="79"/>
        <v/>
      </c>
      <c r="AK281" t="str">
        <f t="shared" si="80"/>
        <v/>
      </c>
      <c r="AL281" t="str">
        <f t="shared" si="81"/>
        <v/>
      </c>
      <c r="AN281" t="str">
        <f>IFERROR(ROUND(L281*(G281/$AW281)/VLOOKUP(F281,商品!$A$4:$D$67,4,FALSE),0),"")</f>
        <v/>
      </c>
      <c r="AO281" t="str">
        <f>IFERROR(ROUND(L281*(I281/$AW281)/VLOOKUP(H281,商品!$A$4:$D$67,4,FALSE),0),"")</f>
        <v/>
      </c>
      <c r="AP281" t="str">
        <f>IFERROR(ROUND(L281*(K281/$AW281)/VLOOKUP(J281,商品!$A$4:$D$67,4,FALSE),0),"")</f>
        <v/>
      </c>
      <c r="AQ281" t="str">
        <f>IFERROR(ROUND(S281*(N281/$AX281)/VLOOKUP(M281,职业!$A$3:$E$16,4,FALSE),0),"")</f>
        <v/>
      </c>
      <c r="AR281" t="str">
        <f>IFERROR(ROUND(S281*(P281/$AX281)/VLOOKUP(O281,职业!$A$3:$E$16,4,FALSE),0),"")</f>
        <v/>
      </c>
      <c r="AS281" t="str">
        <f>IFERROR(ROUND(S281*(R281/$AX281)/VLOOKUP(Q281,职业!$A$3:$E$16,4,FALSE),0),"")</f>
        <v/>
      </c>
      <c r="AT281" t="str">
        <f>IFERROR(ROUND(X281*(U281/$AY281)/VLOOKUP(T281,商品!$A$4:$D$67,4,FALSE),0),"")</f>
        <v/>
      </c>
      <c r="AU281" t="str">
        <f>IFERROR(ROUND(X281*(W281/$AY281)/VLOOKUP(V281,商品!$A$4:$D$67,4,FALSE),0),"")</f>
        <v/>
      </c>
      <c r="AW281">
        <f t="shared" si="82"/>
        <v>0</v>
      </c>
      <c r="AX281">
        <f t="shared" si="83"/>
        <v>0</v>
      </c>
      <c r="AY281">
        <f t="shared" si="84"/>
        <v>0</v>
      </c>
    </row>
    <row r="282" customHeight="1" spans="1:51">
      <c r="A282" s="18" t="s">
        <v>338</v>
      </c>
      <c r="C282" s="18">
        <v>3</v>
      </c>
      <c r="D282" s="1" t="s">
        <v>220</v>
      </c>
      <c r="E282" s="1" t="s">
        <v>224</v>
      </c>
      <c r="L282" s="18">
        <f>IFERROR(VLOOKUP($D282&amp;$C282,生产方式定位!$A$2:$E$38,2,FALSE)+VLOOKUP($E282&amp;$C282,生产方式定位!$F$3:$J$38,2,FALSE),0)</f>
        <v>1900</v>
      </c>
      <c r="S282" s="18">
        <f>IFERROR(VLOOKUP($D282&amp;$C282,生产方式定位!$A$2:$E$38,3,FALSE)+VLOOKUP($E282&amp;$C282,生产方式定位!$F$3:$J$38,3,FALSE),0)</f>
        <v>70</v>
      </c>
      <c r="X282" s="18">
        <f>IFERROR(VLOOKUP($D282&amp;$C282,生产方式定位!$A$2:$E$38,5,FALSE)+VLOOKUP($E282&amp;$C282,生产方式定位!$F$3:$J$38,5,FALSE),"错误")</f>
        <v>2064</v>
      </c>
      <c r="Y282" s="27" t="str">
        <f t="shared" si="68"/>
        <v/>
      </c>
      <c r="Z282" s="50" t="str">
        <f t="shared" si="71"/>
        <v/>
      </c>
      <c r="AA282" s="50" t="str">
        <f t="shared" si="69"/>
        <v/>
      </c>
      <c r="AB282" s="28" t="str">
        <f t="shared" si="72"/>
        <v>9%</v>
      </c>
      <c r="AC282" s="1">
        <f t="shared" si="73"/>
        <v>94</v>
      </c>
      <c r="AD282" s="52">
        <f t="shared" si="70"/>
        <v>3</v>
      </c>
      <c r="AE282" t="str">
        <f t="shared" si="74"/>
        <v/>
      </c>
      <c r="AF282" t="str">
        <f t="shared" si="75"/>
        <v/>
      </c>
      <c r="AG282" t="str">
        <f t="shared" si="76"/>
        <v/>
      </c>
      <c r="AH282" t="str">
        <f t="shared" si="77"/>
        <v/>
      </c>
      <c r="AI282" t="str">
        <f t="shared" si="78"/>
        <v/>
      </c>
      <c r="AJ282" t="str">
        <f t="shared" si="79"/>
        <v/>
      </c>
      <c r="AK282" t="str">
        <f t="shared" si="80"/>
        <v/>
      </c>
      <c r="AL282" t="str">
        <f t="shared" si="81"/>
        <v/>
      </c>
      <c r="AN282" t="str">
        <f>IFERROR(ROUND(L282*(G282/$AW282)/VLOOKUP(F282,商品!$A$4:$D$67,4,FALSE),0),"")</f>
        <v/>
      </c>
      <c r="AO282" t="str">
        <f>IFERROR(ROUND(L282*(I282/$AW282)/VLOOKUP(H282,商品!$A$4:$D$67,4,FALSE),0),"")</f>
        <v/>
      </c>
      <c r="AP282" t="str">
        <f>IFERROR(ROUND(L282*(K282/$AW282)/VLOOKUP(J282,商品!$A$4:$D$67,4,FALSE),0),"")</f>
        <v/>
      </c>
      <c r="AQ282" t="str">
        <f>IFERROR(ROUND(S282*(N282/$AX282)/VLOOKUP(M282,职业!$A$3:$E$16,4,FALSE),0),"")</f>
        <v/>
      </c>
      <c r="AR282" t="str">
        <f>IFERROR(ROUND(S282*(P282/$AX282)/VLOOKUP(O282,职业!$A$3:$E$16,4,FALSE),0),"")</f>
        <v/>
      </c>
      <c r="AS282" t="str">
        <f>IFERROR(ROUND(S282*(R282/$AX282)/VLOOKUP(Q282,职业!$A$3:$E$16,4,FALSE),0),"")</f>
        <v/>
      </c>
      <c r="AT282" t="str">
        <f>IFERROR(ROUND(X282*(U282/$AY282)/VLOOKUP(T282,商品!$A$4:$D$67,4,FALSE),0),"")</f>
        <v/>
      </c>
      <c r="AU282" t="str">
        <f>IFERROR(ROUND(X282*(W282/$AY282)/VLOOKUP(V282,商品!$A$4:$D$67,4,FALSE),0),"")</f>
        <v/>
      </c>
      <c r="AW282">
        <f t="shared" si="82"/>
        <v>0</v>
      </c>
      <c r="AX282">
        <f t="shared" si="83"/>
        <v>0</v>
      </c>
      <c r="AY282">
        <f t="shared" si="84"/>
        <v>0</v>
      </c>
    </row>
    <row r="283" customHeight="1" spans="1:51">
      <c r="A283" s="18" t="s">
        <v>338</v>
      </c>
      <c r="C283" s="18">
        <v>4</v>
      </c>
      <c r="D283" s="1" t="s">
        <v>220</v>
      </c>
      <c r="E283" s="1" t="s">
        <v>224</v>
      </c>
      <c r="L283" s="18">
        <f>IFERROR(VLOOKUP($D283&amp;$C283,生产方式定位!$A$2:$E$38,2,FALSE)+VLOOKUP($E283&amp;$C283,生产方式定位!$F$3:$J$38,2,FALSE),0)</f>
        <v>2600</v>
      </c>
      <c r="S283" s="18">
        <f>IFERROR(VLOOKUP($D283&amp;$C283,生产方式定位!$A$2:$E$38,3,FALSE)+VLOOKUP($E283&amp;$C283,生产方式定位!$F$3:$J$38,3,FALSE),0)</f>
        <v>40</v>
      </c>
      <c r="X283" s="18">
        <f>IFERROR(VLOOKUP($D283&amp;$C283,生产方式定位!$A$2:$E$38,5,FALSE)+VLOOKUP($E283&amp;$C283,生产方式定位!$F$3:$J$38,5,FALSE),"错误")</f>
        <v>2782</v>
      </c>
      <c r="Y283" s="27" t="str">
        <f t="shared" si="68"/>
        <v/>
      </c>
      <c r="Z283" s="50" t="str">
        <f t="shared" si="71"/>
        <v/>
      </c>
      <c r="AA283" s="50" t="str">
        <f t="shared" si="69"/>
        <v/>
      </c>
      <c r="AB283" s="28" t="str">
        <f t="shared" si="72"/>
        <v>7%</v>
      </c>
      <c r="AC283" s="1">
        <f t="shared" si="73"/>
        <v>142</v>
      </c>
      <c r="AD283" s="52">
        <f t="shared" si="70"/>
        <v>4</v>
      </c>
      <c r="AE283" t="str">
        <f t="shared" si="74"/>
        <v/>
      </c>
      <c r="AF283" t="str">
        <f t="shared" si="75"/>
        <v/>
      </c>
      <c r="AG283" t="str">
        <f t="shared" si="76"/>
        <v/>
      </c>
      <c r="AH283" t="str">
        <f t="shared" si="77"/>
        <v/>
      </c>
      <c r="AI283" t="str">
        <f t="shared" si="78"/>
        <v/>
      </c>
      <c r="AJ283" t="str">
        <f t="shared" si="79"/>
        <v/>
      </c>
      <c r="AK283" t="str">
        <f t="shared" si="80"/>
        <v/>
      </c>
      <c r="AL283" t="str">
        <f t="shared" si="81"/>
        <v/>
      </c>
      <c r="AN283" t="str">
        <f>IFERROR(ROUND(L283*(G283/$AW283)/VLOOKUP(F283,商品!$A$4:$D$67,4,FALSE),0),"")</f>
        <v/>
      </c>
      <c r="AO283" t="str">
        <f>IFERROR(ROUND(L283*(I283/$AW283)/VLOOKUP(H283,商品!$A$4:$D$67,4,FALSE),0),"")</f>
        <v/>
      </c>
      <c r="AP283" t="str">
        <f>IFERROR(ROUND(L283*(K283/$AW283)/VLOOKUP(J283,商品!$A$4:$D$67,4,FALSE),0),"")</f>
        <v/>
      </c>
      <c r="AQ283" t="str">
        <f>IFERROR(ROUND(S283*(N283/$AX283)/VLOOKUP(M283,职业!$A$3:$E$16,4,FALSE),0),"")</f>
        <v/>
      </c>
      <c r="AR283" t="str">
        <f>IFERROR(ROUND(S283*(P283/$AX283)/VLOOKUP(O283,职业!$A$3:$E$16,4,FALSE),0),"")</f>
        <v/>
      </c>
      <c r="AS283" t="str">
        <f>IFERROR(ROUND(S283*(R283/$AX283)/VLOOKUP(Q283,职业!$A$3:$E$16,4,FALSE),0),"")</f>
        <v/>
      </c>
      <c r="AT283" t="str">
        <f>IFERROR(ROUND(X283*(U283/$AY283)/VLOOKUP(T283,商品!$A$4:$D$67,4,FALSE),0),"")</f>
        <v/>
      </c>
      <c r="AU283" t="str">
        <f>IFERROR(ROUND(X283*(W283/$AY283)/VLOOKUP(V283,商品!$A$4:$D$67,4,FALSE),0),"")</f>
        <v/>
      </c>
      <c r="AW283">
        <f t="shared" si="82"/>
        <v>0</v>
      </c>
      <c r="AX283">
        <f t="shared" si="83"/>
        <v>0</v>
      </c>
      <c r="AY283">
        <f t="shared" si="84"/>
        <v>0</v>
      </c>
    </row>
    <row r="284" customHeight="1" spans="1:51">
      <c r="A284" s="18" t="s">
        <v>338</v>
      </c>
      <c r="C284" s="18">
        <v>5</v>
      </c>
      <c r="D284" s="1" t="s">
        <v>220</v>
      </c>
      <c r="E284" s="1" t="s">
        <v>224</v>
      </c>
      <c r="L284" s="18">
        <f>IFERROR(VLOOKUP($D284&amp;$C284,生产方式定位!$A$2:$E$38,2,FALSE)+VLOOKUP($E284&amp;$C284,生产方式定位!$F$3:$J$38,2,FALSE),0)</f>
        <v>3300</v>
      </c>
      <c r="S284" s="18">
        <f>IFERROR(VLOOKUP($D284&amp;$C284,生产方式定位!$A$2:$E$38,3,FALSE)+VLOOKUP($E284&amp;$C284,生产方式定位!$F$3:$J$38,3,FALSE),0)</f>
        <v>10</v>
      </c>
      <c r="X284" s="18">
        <f>IFERROR(VLOOKUP($D284&amp;$C284,生产方式定位!$A$2:$E$38,5,FALSE)+VLOOKUP($E284&amp;$C284,生产方式定位!$F$3:$J$38,5,FALSE),"错误")</f>
        <v>3500</v>
      </c>
      <c r="Y284" s="27" t="str">
        <f t="shared" si="68"/>
        <v/>
      </c>
      <c r="Z284" s="50" t="str">
        <f t="shared" si="71"/>
        <v/>
      </c>
      <c r="AA284" s="50" t="str">
        <f t="shared" si="69"/>
        <v/>
      </c>
      <c r="AB284" s="28" t="str">
        <f t="shared" si="72"/>
        <v>6%</v>
      </c>
      <c r="AC284" s="1">
        <f t="shared" si="73"/>
        <v>190</v>
      </c>
      <c r="AD284" s="52">
        <f t="shared" si="70"/>
        <v>5</v>
      </c>
      <c r="AE284" t="str">
        <f t="shared" si="74"/>
        <v/>
      </c>
      <c r="AF284" t="str">
        <f t="shared" si="75"/>
        <v/>
      </c>
      <c r="AG284" t="str">
        <f t="shared" si="76"/>
        <v/>
      </c>
      <c r="AH284" t="str">
        <f t="shared" si="77"/>
        <v/>
      </c>
      <c r="AI284" t="str">
        <f t="shared" si="78"/>
        <v/>
      </c>
      <c r="AJ284" t="str">
        <f t="shared" si="79"/>
        <v/>
      </c>
      <c r="AK284" t="str">
        <f t="shared" si="80"/>
        <v/>
      </c>
      <c r="AL284" t="str">
        <f t="shared" si="81"/>
        <v/>
      </c>
      <c r="AN284" t="str">
        <f>IFERROR(ROUND(L284*(G284/$AW284)/VLOOKUP(F284,商品!$A$4:$D$67,4,FALSE),0),"")</f>
        <v/>
      </c>
      <c r="AO284" t="str">
        <f>IFERROR(ROUND(L284*(I284/$AW284)/VLOOKUP(H284,商品!$A$4:$D$67,4,FALSE),0),"")</f>
        <v/>
      </c>
      <c r="AP284" t="str">
        <f>IFERROR(ROUND(L284*(K284/$AW284)/VLOOKUP(J284,商品!$A$4:$D$67,4,FALSE),0),"")</f>
        <v/>
      </c>
      <c r="AQ284" t="str">
        <f>IFERROR(ROUND(S284*(N284/$AX284)/VLOOKUP(M284,职业!$A$3:$E$16,4,FALSE),0),"")</f>
        <v/>
      </c>
      <c r="AR284" t="str">
        <f>IFERROR(ROUND(S284*(P284/$AX284)/VLOOKUP(O284,职业!$A$3:$E$16,4,FALSE),0),"")</f>
        <v/>
      </c>
      <c r="AS284" t="str">
        <f>IFERROR(ROUND(S284*(R284/$AX284)/VLOOKUP(Q284,职业!$A$3:$E$16,4,FALSE),0),"")</f>
        <v/>
      </c>
      <c r="AT284" t="str">
        <f>IFERROR(ROUND(X284*(U284/$AY284)/VLOOKUP(T284,商品!$A$4:$D$67,4,FALSE),0),"")</f>
        <v/>
      </c>
      <c r="AU284" t="str">
        <f>IFERROR(ROUND(X284*(W284/$AY284)/VLOOKUP(V284,商品!$A$4:$D$67,4,FALSE),0),"")</f>
        <v/>
      </c>
      <c r="AW284">
        <f t="shared" si="82"/>
        <v>0</v>
      </c>
      <c r="AX284">
        <f t="shared" si="83"/>
        <v>0</v>
      </c>
      <c r="AY284">
        <f t="shared" si="84"/>
        <v>0</v>
      </c>
    </row>
    <row r="285" customHeight="1" spans="1:51">
      <c r="A285" s="5" t="s">
        <v>338</v>
      </c>
      <c r="C285" s="5">
        <v>1</v>
      </c>
      <c r="D285" s="1" t="s">
        <v>220</v>
      </c>
      <c r="E285" s="1" t="s">
        <v>224</v>
      </c>
      <c r="L285" s="5">
        <f>IFERROR(VLOOKUP($D285&amp;$C285,生产方式定位!$A$2:$E$38,2,FALSE)+VLOOKUP($E285&amp;$C285,生产方式定位!$F$3:$J$38,2,FALSE),0)</f>
        <v>500</v>
      </c>
      <c r="S285" s="5">
        <f>IFERROR(VLOOKUP($D285&amp;$C285,生产方式定位!$A$2:$E$38,3,FALSE)+VLOOKUP($E285&amp;$C285,生产方式定位!$F$3:$J$38,3,FALSE),0)</f>
        <v>150</v>
      </c>
      <c r="X285" s="5">
        <f>IFERROR(VLOOKUP($D285&amp;$C285,生产方式定位!$A$2:$E$38,5,FALSE)+VLOOKUP($E285&amp;$C285,生产方式定位!$F$3:$J$38,5,FALSE),"错误")</f>
        <v>715</v>
      </c>
      <c r="Y285" s="27" t="str">
        <f t="shared" si="68"/>
        <v/>
      </c>
      <c r="Z285" s="50" t="str">
        <f t="shared" si="71"/>
        <v/>
      </c>
      <c r="AA285" s="50" t="str">
        <f t="shared" si="69"/>
        <v/>
      </c>
      <c r="AB285" s="28" t="str">
        <f t="shared" si="72"/>
        <v>43%</v>
      </c>
      <c r="AC285" s="1">
        <f t="shared" si="73"/>
        <v>65</v>
      </c>
      <c r="AD285" s="51">
        <f t="shared" si="70"/>
        <v>1</v>
      </c>
      <c r="AE285" t="str">
        <f t="shared" si="74"/>
        <v/>
      </c>
      <c r="AF285" t="str">
        <f t="shared" si="75"/>
        <v/>
      </c>
      <c r="AG285" t="str">
        <f t="shared" si="76"/>
        <v/>
      </c>
      <c r="AH285" t="str">
        <f t="shared" si="77"/>
        <v/>
      </c>
      <c r="AI285" t="str">
        <f t="shared" si="78"/>
        <v/>
      </c>
      <c r="AJ285" t="str">
        <f t="shared" si="79"/>
        <v/>
      </c>
      <c r="AK285" t="str">
        <f t="shared" si="80"/>
        <v/>
      </c>
      <c r="AL285" t="str">
        <f t="shared" si="81"/>
        <v/>
      </c>
      <c r="AN285" t="str">
        <f>IFERROR(ROUND(L285*(G285/$AW285)/VLOOKUP(F285,商品!$A$4:$D$67,4,FALSE),0),"")</f>
        <v/>
      </c>
      <c r="AO285" t="str">
        <f>IFERROR(ROUND(L285*(I285/$AW285)/VLOOKUP(H285,商品!$A$4:$D$67,4,FALSE),0),"")</f>
        <v/>
      </c>
      <c r="AP285" t="str">
        <f>IFERROR(ROUND(L285*(K285/$AW285)/VLOOKUP(J285,商品!$A$4:$D$67,4,FALSE),0),"")</f>
        <v/>
      </c>
      <c r="AQ285" t="str">
        <f>IFERROR(ROUND(S285*(N285/$AX285)/VLOOKUP(M285,职业!$A$3:$E$16,4,FALSE),0),"")</f>
        <v/>
      </c>
      <c r="AR285" t="str">
        <f>IFERROR(ROUND(S285*(P285/$AX285)/VLOOKUP(O285,职业!$A$3:$E$16,4,FALSE),0),"")</f>
        <v/>
      </c>
      <c r="AS285" t="str">
        <f>IFERROR(ROUND(S285*(R285/$AX285)/VLOOKUP(Q285,职业!$A$3:$E$16,4,FALSE),0),"")</f>
        <v/>
      </c>
      <c r="AT285" t="str">
        <f>IFERROR(ROUND(X285*(U285/$AY285)/VLOOKUP(T285,商品!$A$4:$D$67,4,FALSE),0),"")</f>
        <v/>
      </c>
      <c r="AU285" t="str">
        <f>IFERROR(ROUND(X285*(W285/$AY285)/VLOOKUP(V285,商品!$A$4:$D$67,4,FALSE),0),"")</f>
        <v/>
      </c>
      <c r="AW285">
        <f t="shared" si="82"/>
        <v>0</v>
      </c>
      <c r="AX285">
        <f t="shared" si="83"/>
        <v>0</v>
      </c>
      <c r="AY285">
        <f t="shared" si="84"/>
        <v>0</v>
      </c>
    </row>
    <row r="286" customHeight="1" spans="1:51">
      <c r="A286" s="5" t="s">
        <v>338</v>
      </c>
      <c r="C286" s="5">
        <v>2</v>
      </c>
      <c r="D286" s="1" t="s">
        <v>220</v>
      </c>
      <c r="E286" s="1" t="s">
        <v>224</v>
      </c>
      <c r="L286" s="5">
        <f>IFERROR(VLOOKUP($D286&amp;$C286,生产方式定位!$A$2:$E$38,2,FALSE)+VLOOKUP($E286&amp;$C286,生产方式定位!$F$3:$J$38,2,FALSE),0)</f>
        <v>1200</v>
      </c>
      <c r="S286" s="5">
        <f>IFERROR(VLOOKUP($D286&amp;$C286,生产方式定位!$A$2:$E$38,3,FALSE)+VLOOKUP($E286&amp;$C286,生产方式定位!$F$3:$J$38,3,FALSE),0)</f>
        <v>100</v>
      </c>
      <c r="X286" s="5">
        <f>IFERROR(VLOOKUP($D286&amp;$C286,生产方式定位!$A$2:$E$38,5,FALSE)+VLOOKUP($E286&amp;$C286,生产方式定位!$F$3:$J$38,5,FALSE),"错误")</f>
        <v>1346</v>
      </c>
      <c r="Y286" s="27" t="str">
        <f t="shared" si="68"/>
        <v/>
      </c>
      <c r="Z286" s="50" t="str">
        <f t="shared" si="71"/>
        <v/>
      </c>
      <c r="AA286" s="50" t="str">
        <f t="shared" si="69"/>
        <v/>
      </c>
      <c r="AB286" s="28" t="str">
        <f t="shared" si="72"/>
        <v>12%</v>
      </c>
      <c r="AC286" s="1">
        <f t="shared" si="73"/>
        <v>46</v>
      </c>
      <c r="AD286" s="51">
        <f t="shared" si="70"/>
        <v>2</v>
      </c>
      <c r="AE286" t="str">
        <f t="shared" si="74"/>
        <v/>
      </c>
      <c r="AF286" t="str">
        <f t="shared" si="75"/>
        <v/>
      </c>
      <c r="AG286" t="str">
        <f t="shared" si="76"/>
        <v/>
      </c>
      <c r="AH286" t="str">
        <f t="shared" si="77"/>
        <v/>
      </c>
      <c r="AI286" t="str">
        <f t="shared" si="78"/>
        <v/>
      </c>
      <c r="AJ286" t="str">
        <f t="shared" si="79"/>
        <v/>
      </c>
      <c r="AK286" t="str">
        <f t="shared" si="80"/>
        <v/>
      </c>
      <c r="AL286" t="str">
        <f t="shared" si="81"/>
        <v/>
      </c>
      <c r="AN286" t="str">
        <f>IFERROR(ROUND(L286*(G286/$AW286)/VLOOKUP(F286,商品!$A$4:$D$67,4,FALSE),0),"")</f>
        <v/>
      </c>
      <c r="AO286" t="str">
        <f>IFERROR(ROUND(L286*(I286/$AW286)/VLOOKUP(H286,商品!$A$4:$D$67,4,FALSE),0),"")</f>
        <v/>
      </c>
      <c r="AP286" t="str">
        <f>IFERROR(ROUND(L286*(K286/$AW286)/VLOOKUP(J286,商品!$A$4:$D$67,4,FALSE),0),"")</f>
        <v/>
      </c>
      <c r="AQ286" t="str">
        <f>IFERROR(ROUND(S286*(N286/$AX286)/VLOOKUP(M286,职业!$A$3:$E$16,4,FALSE),0),"")</f>
        <v/>
      </c>
      <c r="AR286" t="str">
        <f>IFERROR(ROUND(S286*(P286/$AX286)/VLOOKUP(O286,职业!$A$3:$E$16,4,FALSE),0),"")</f>
        <v/>
      </c>
      <c r="AS286" t="str">
        <f>IFERROR(ROUND(S286*(R286/$AX286)/VLOOKUP(Q286,职业!$A$3:$E$16,4,FALSE),0),"")</f>
        <v/>
      </c>
      <c r="AT286" t="str">
        <f>IFERROR(ROUND(X286*(U286/$AY286)/VLOOKUP(T286,商品!$A$4:$D$67,4,FALSE),0),"")</f>
        <v/>
      </c>
      <c r="AU286" t="str">
        <f>IFERROR(ROUND(X286*(W286/$AY286)/VLOOKUP(V286,商品!$A$4:$D$67,4,FALSE),0),"")</f>
        <v/>
      </c>
      <c r="AW286">
        <f t="shared" si="82"/>
        <v>0</v>
      </c>
      <c r="AX286">
        <f t="shared" si="83"/>
        <v>0</v>
      </c>
      <c r="AY286">
        <f t="shared" si="84"/>
        <v>0</v>
      </c>
    </row>
    <row r="287" customHeight="1" spans="1:51">
      <c r="A287" s="5" t="s">
        <v>338</v>
      </c>
      <c r="C287" s="5">
        <v>3</v>
      </c>
      <c r="D287" s="1" t="s">
        <v>220</v>
      </c>
      <c r="E287" s="1" t="s">
        <v>224</v>
      </c>
      <c r="L287" s="5">
        <f>IFERROR(VLOOKUP($D287&amp;$C287,生产方式定位!$A$2:$E$38,2,FALSE)+VLOOKUP($E287&amp;$C287,生产方式定位!$F$3:$J$38,2,FALSE),0)</f>
        <v>1900</v>
      </c>
      <c r="S287" s="5">
        <f>IFERROR(VLOOKUP($D287&amp;$C287,生产方式定位!$A$2:$E$38,3,FALSE)+VLOOKUP($E287&amp;$C287,生产方式定位!$F$3:$J$38,3,FALSE),0)</f>
        <v>70</v>
      </c>
      <c r="X287" s="5">
        <f>IFERROR(VLOOKUP($D287&amp;$C287,生产方式定位!$A$2:$E$38,5,FALSE)+VLOOKUP($E287&amp;$C287,生产方式定位!$F$3:$J$38,5,FALSE),"错误")</f>
        <v>2064</v>
      </c>
      <c r="Y287" s="27" t="str">
        <f t="shared" si="68"/>
        <v/>
      </c>
      <c r="Z287" s="50" t="str">
        <f t="shared" si="71"/>
        <v/>
      </c>
      <c r="AA287" s="50" t="str">
        <f t="shared" si="69"/>
        <v/>
      </c>
      <c r="AB287" s="28" t="str">
        <f t="shared" si="72"/>
        <v>9%</v>
      </c>
      <c r="AC287" s="1">
        <f t="shared" si="73"/>
        <v>94</v>
      </c>
      <c r="AD287" s="51">
        <f t="shared" si="70"/>
        <v>3</v>
      </c>
      <c r="AE287" t="str">
        <f t="shared" si="74"/>
        <v/>
      </c>
      <c r="AF287" t="str">
        <f t="shared" si="75"/>
        <v/>
      </c>
      <c r="AG287" t="str">
        <f t="shared" si="76"/>
        <v/>
      </c>
      <c r="AH287" t="str">
        <f t="shared" si="77"/>
        <v/>
      </c>
      <c r="AI287" t="str">
        <f t="shared" si="78"/>
        <v/>
      </c>
      <c r="AJ287" t="str">
        <f t="shared" si="79"/>
        <v/>
      </c>
      <c r="AK287" t="str">
        <f t="shared" si="80"/>
        <v/>
      </c>
      <c r="AL287" t="str">
        <f t="shared" si="81"/>
        <v/>
      </c>
      <c r="AN287" t="str">
        <f>IFERROR(ROUND(L287*(G287/$AW287)/VLOOKUP(F287,商品!$A$4:$D$67,4,FALSE),0),"")</f>
        <v/>
      </c>
      <c r="AO287" t="str">
        <f>IFERROR(ROUND(L287*(I287/$AW287)/VLOOKUP(H287,商品!$A$4:$D$67,4,FALSE),0),"")</f>
        <v/>
      </c>
      <c r="AP287" t="str">
        <f>IFERROR(ROUND(L287*(K287/$AW287)/VLOOKUP(J287,商品!$A$4:$D$67,4,FALSE),0),"")</f>
        <v/>
      </c>
      <c r="AQ287" t="str">
        <f>IFERROR(ROUND(S287*(N287/$AX287)/VLOOKUP(M287,职业!$A$3:$E$16,4,FALSE),0),"")</f>
        <v/>
      </c>
      <c r="AR287" t="str">
        <f>IFERROR(ROUND(S287*(P287/$AX287)/VLOOKUP(O287,职业!$A$3:$E$16,4,FALSE),0),"")</f>
        <v/>
      </c>
      <c r="AS287" t="str">
        <f>IFERROR(ROUND(S287*(R287/$AX287)/VLOOKUP(Q287,职业!$A$3:$E$16,4,FALSE),0),"")</f>
        <v/>
      </c>
      <c r="AT287" t="str">
        <f>IFERROR(ROUND(X287*(U287/$AY287)/VLOOKUP(T287,商品!$A$4:$D$67,4,FALSE),0),"")</f>
        <v/>
      </c>
      <c r="AU287" t="str">
        <f>IFERROR(ROUND(X287*(W287/$AY287)/VLOOKUP(V287,商品!$A$4:$D$67,4,FALSE),0),"")</f>
        <v/>
      </c>
      <c r="AW287">
        <f t="shared" si="82"/>
        <v>0</v>
      </c>
      <c r="AX287">
        <f t="shared" si="83"/>
        <v>0</v>
      </c>
      <c r="AY287">
        <f t="shared" si="84"/>
        <v>0</v>
      </c>
    </row>
    <row r="288" customHeight="1" spans="1:51">
      <c r="A288" s="5" t="s">
        <v>338</v>
      </c>
      <c r="C288" s="5">
        <v>4</v>
      </c>
      <c r="D288" s="1" t="s">
        <v>220</v>
      </c>
      <c r="E288" s="1" t="s">
        <v>224</v>
      </c>
      <c r="L288" s="5">
        <f>IFERROR(VLOOKUP($D288&amp;$C288,生产方式定位!$A$2:$E$38,2,FALSE)+VLOOKUP($E288&amp;$C288,生产方式定位!$F$3:$J$38,2,FALSE),0)</f>
        <v>2600</v>
      </c>
      <c r="S288" s="5">
        <f>IFERROR(VLOOKUP($D288&amp;$C288,生产方式定位!$A$2:$E$38,3,FALSE)+VLOOKUP($E288&amp;$C288,生产方式定位!$F$3:$J$38,3,FALSE),0)</f>
        <v>40</v>
      </c>
      <c r="X288" s="5">
        <f>IFERROR(VLOOKUP($D288&amp;$C288,生产方式定位!$A$2:$E$38,5,FALSE)+VLOOKUP($E288&amp;$C288,生产方式定位!$F$3:$J$38,5,FALSE),"错误")</f>
        <v>2782</v>
      </c>
      <c r="Y288" s="27" t="str">
        <f t="shared" si="68"/>
        <v/>
      </c>
      <c r="Z288" s="50" t="str">
        <f t="shared" si="71"/>
        <v/>
      </c>
      <c r="AA288" s="50" t="str">
        <f t="shared" si="69"/>
        <v/>
      </c>
      <c r="AB288" s="28" t="str">
        <f t="shared" si="72"/>
        <v>7%</v>
      </c>
      <c r="AC288" s="1">
        <f t="shared" si="73"/>
        <v>142</v>
      </c>
      <c r="AD288" s="51">
        <f t="shared" si="70"/>
        <v>4</v>
      </c>
      <c r="AE288" t="str">
        <f t="shared" si="74"/>
        <v/>
      </c>
      <c r="AF288" t="str">
        <f t="shared" si="75"/>
        <v/>
      </c>
      <c r="AG288" t="str">
        <f t="shared" si="76"/>
        <v/>
      </c>
      <c r="AH288" t="str">
        <f t="shared" si="77"/>
        <v/>
      </c>
      <c r="AI288" t="str">
        <f t="shared" si="78"/>
        <v/>
      </c>
      <c r="AJ288" t="str">
        <f t="shared" si="79"/>
        <v/>
      </c>
      <c r="AK288" t="str">
        <f t="shared" si="80"/>
        <v/>
      </c>
      <c r="AL288" t="str">
        <f t="shared" si="81"/>
        <v/>
      </c>
      <c r="AN288" t="str">
        <f>IFERROR(ROUND(L288*(G288/$AW288)/VLOOKUP(F288,商品!$A$4:$D$67,4,FALSE),0),"")</f>
        <v/>
      </c>
      <c r="AO288" t="str">
        <f>IFERROR(ROUND(L288*(I288/$AW288)/VLOOKUP(H288,商品!$A$4:$D$67,4,FALSE),0),"")</f>
        <v/>
      </c>
      <c r="AP288" t="str">
        <f>IFERROR(ROUND(L288*(K288/$AW288)/VLOOKUP(J288,商品!$A$4:$D$67,4,FALSE),0),"")</f>
        <v/>
      </c>
      <c r="AQ288" t="str">
        <f>IFERROR(ROUND(S288*(N288/$AX288)/VLOOKUP(M288,职业!$A$3:$E$16,4,FALSE),0),"")</f>
        <v/>
      </c>
      <c r="AR288" t="str">
        <f>IFERROR(ROUND(S288*(P288/$AX288)/VLOOKUP(O288,职业!$A$3:$E$16,4,FALSE),0),"")</f>
        <v/>
      </c>
      <c r="AS288" t="str">
        <f>IFERROR(ROUND(S288*(R288/$AX288)/VLOOKUP(Q288,职业!$A$3:$E$16,4,FALSE),0),"")</f>
        <v/>
      </c>
      <c r="AT288" t="str">
        <f>IFERROR(ROUND(X288*(U288/$AY288)/VLOOKUP(T288,商品!$A$4:$D$67,4,FALSE),0),"")</f>
        <v/>
      </c>
      <c r="AU288" t="str">
        <f>IFERROR(ROUND(X288*(W288/$AY288)/VLOOKUP(V288,商品!$A$4:$D$67,4,FALSE),0),"")</f>
        <v/>
      </c>
      <c r="AW288">
        <f t="shared" si="82"/>
        <v>0</v>
      </c>
      <c r="AX288">
        <f t="shared" si="83"/>
        <v>0</v>
      </c>
      <c r="AY288">
        <f t="shared" si="84"/>
        <v>0</v>
      </c>
    </row>
    <row r="289" customHeight="1" spans="1:51">
      <c r="A289" s="5" t="s">
        <v>338</v>
      </c>
      <c r="C289" s="5">
        <v>5</v>
      </c>
      <c r="D289" s="1" t="s">
        <v>220</v>
      </c>
      <c r="E289" s="1" t="s">
        <v>224</v>
      </c>
      <c r="L289" s="5">
        <f>IFERROR(VLOOKUP($D289&amp;$C289,生产方式定位!$A$2:$E$38,2,FALSE)+VLOOKUP($E289&amp;$C289,生产方式定位!$F$3:$J$38,2,FALSE),0)</f>
        <v>3300</v>
      </c>
      <c r="S289" s="5">
        <f>IFERROR(VLOOKUP($D289&amp;$C289,生产方式定位!$A$2:$E$38,3,FALSE)+VLOOKUP($E289&amp;$C289,生产方式定位!$F$3:$J$38,3,FALSE),0)</f>
        <v>10</v>
      </c>
      <c r="X289" s="5">
        <f>IFERROR(VLOOKUP($D289&amp;$C289,生产方式定位!$A$2:$E$38,5,FALSE)+VLOOKUP($E289&amp;$C289,生产方式定位!$F$3:$J$38,5,FALSE),"错误")</f>
        <v>3500</v>
      </c>
      <c r="Y289" s="27" t="str">
        <f t="shared" si="68"/>
        <v/>
      </c>
      <c r="Z289" s="50" t="str">
        <f t="shared" si="71"/>
        <v/>
      </c>
      <c r="AA289" s="50" t="str">
        <f t="shared" si="69"/>
        <v/>
      </c>
      <c r="AB289" s="28" t="str">
        <f t="shared" si="72"/>
        <v>6%</v>
      </c>
      <c r="AC289" s="1">
        <f t="shared" si="73"/>
        <v>190</v>
      </c>
      <c r="AD289" s="51">
        <f t="shared" si="70"/>
        <v>5</v>
      </c>
      <c r="AE289" t="str">
        <f t="shared" si="74"/>
        <v/>
      </c>
      <c r="AF289" t="str">
        <f t="shared" si="75"/>
        <v/>
      </c>
      <c r="AG289" t="str">
        <f t="shared" si="76"/>
        <v/>
      </c>
      <c r="AH289" t="str">
        <f t="shared" si="77"/>
        <v/>
      </c>
      <c r="AI289" t="str">
        <f t="shared" si="78"/>
        <v/>
      </c>
      <c r="AJ289" t="str">
        <f t="shared" si="79"/>
        <v/>
      </c>
      <c r="AK289" t="str">
        <f t="shared" si="80"/>
        <v/>
      </c>
      <c r="AL289" t="str">
        <f t="shared" si="81"/>
        <v/>
      </c>
      <c r="AN289" t="str">
        <f>IFERROR(ROUND(L289*(G289/$AW289)/VLOOKUP(F289,商品!$A$4:$D$67,4,FALSE),0),"")</f>
        <v/>
      </c>
      <c r="AO289" t="str">
        <f>IFERROR(ROUND(L289*(I289/$AW289)/VLOOKUP(H289,商品!$A$4:$D$67,4,FALSE),0),"")</f>
        <v/>
      </c>
      <c r="AP289" t="str">
        <f>IFERROR(ROUND(L289*(K289/$AW289)/VLOOKUP(J289,商品!$A$4:$D$67,4,FALSE),0),"")</f>
        <v/>
      </c>
      <c r="AQ289" t="str">
        <f>IFERROR(ROUND(S289*(N289/$AX289)/VLOOKUP(M289,职业!$A$3:$E$16,4,FALSE),0),"")</f>
        <v/>
      </c>
      <c r="AR289" t="str">
        <f>IFERROR(ROUND(S289*(P289/$AX289)/VLOOKUP(O289,职业!$A$3:$E$16,4,FALSE),0),"")</f>
        <v/>
      </c>
      <c r="AS289" t="str">
        <f>IFERROR(ROUND(S289*(R289/$AX289)/VLOOKUP(Q289,职业!$A$3:$E$16,4,FALSE),0),"")</f>
        <v/>
      </c>
      <c r="AT289" t="str">
        <f>IFERROR(ROUND(X289*(U289/$AY289)/VLOOKUP(T289,商品!$A$4:$D$67,4,FALSE),0),"")</f>
        <v/>
      </c>
      <c r="AU289" t="str">
        <f>IFERROR(ROUND(X289*(W289/$AY289)/VLOOKUP(V289,商品!$A$4:$D$67,4,FALSE),0),"")</f>
        <v/>
      </c>
      <c r="AW289">
        <f t="shared" si="82"/>
        <v>0</v>
      </c>
      <c r="AX289">
        <f t="shared" si="83"/>
        <v>0</v>
      </c>
      <c r="AY289">
        <f t="shared" si="84"/>
        <v>0</v>
      </c>
    </row>
    <row r="290" customHeight="1" spans="1:51">
      <c r="A290" s="18" t="s">
        <v>339</v>
      </c>
      <c r="C290" s="18">
        <v>1</v>
      </c>
      <c r="D290" s="1" t="s">
        <v>291</v>
      </c>
      <c r="E290" s="1" t="s">
        <v>225</v>
      </c>
      <c r="L290" s="18">
        <f>IFERROR(VLOOKUP($D290&amp;$C290,生产方式定位!$A$2:$E$38,2,FALSE)+VLOOKUP($E290&amp;$C290,生产方式定位!$F$3:$J$38,2,FALSE),0)</f>
        <v>0</v>
      </c>
      <c r="S290" s="18">
        <f>IFERROR(VLOOKUP($D290&amp;$C290,生产方式定位!$A$2:$E$38,3,FALSE)+VLOOKUP($E290&amp;$C290,生产方式定位!$F$3:$J$38,3,FALSE),0)</f>
        <v>100</v>
      </c>
      <c r="X290" s="18">
        <f>IFERROR(VLOOKUP($D290&amp;$C290,生产方式定位!$A$2:$E$38,5,FALSE)+VLOOKUP($E290&amp;$C290,生产方式定位!$F$3:$J$38,5,FALSE),"错误")</f>
        <v>100</v>
      </c>
      <c r="Y290" s="27" t="str">
        <f t="shared" si="68"/>
        <v/>
      </c>
      <c r="Z290" s="50" t="str">
        <f t="shared" si="71"/>
        <v/>
      </c>
      <c r="AA290" s="50" t="str">
        <f t="shared" si="69"/>
        <v/>
      </c>
      <c r="AB290" s="28" t="str">
        <f t="shared" si="72"/>
        <v/>
      </c>
      <c r="AC290" s="1" t="str">
        <f t="shared" si="73"/>
        <v/>
      </c>
      <c r="AD290" s="52">
        <f t="shared" si="70"/>
        <v>1</v>
      </c>
      <c r="AE290" t="str">
        <f t="shared" si="74"/>
        <v/>
      </c>
      <c r="AF290" t="str">
        <f t="shared" si="75"/>
        <v/>
      </c>
      <c r="AG290" t="str">
        <f t="shared" si="76"/>
        <v/>
      </c>
      <c r="AH290" t="str">
        <f t="shared" si="77"/>
        <v/>
      </c>
      <c r="AI290" t="str">
        <f t="shared" si="78"/>
        <v/>
      </c>
      <c r="AJ290" t="str">
        <f t="shared" si="79"/>
        <v/>
      </c>
      <c r="AK290" t="str">
        <f t="shared" si="80"/>
        <v/>
      </c>
      <c r="AL290" t="str">
        <f t="shared" si="81"/>
        <v/>
      </c>
      <c r="AN290" t="str">
        <f>IFERROR(ROUND(L290*(G290/$AW290)/VLOOKUP(F290,商品!$A$4:$D$67,4,FALSE),0),"")</f>
        <v/>
      </c>
      <c r="AO290" t="str">
        <f>IFERROR(ROUND(L290*(I290/$AW290)/VLOOKUP(H290,商品!$A$4:$D$67,4,FALSE),0),"")</f>
        <v/>
      </c>
      <c r="AP290" t="str">
        <f>IFERROR(ROUND(L290*(K290/$AW290)/VLOOKUP(J290,商品!$A$4:$D$67,4,FALSE),0),"")</f>
        <v/>
      </c>
      <c r="AQ290" t="str">
        <f>IFERROR(ROUND(S290*(N290/$AX290)/VLOOKUP(M290,职业!$A$3:$E$16,4,FALSE),0),"")</f>
        <v/>
      </c>
      <c r="AR290" t="str">
        <f>IFERROR(ROUND(S290*(P290/$AX290)/VLOOKUP(O290,职业!$A$3:$E$16,4,FALSE),0),"")</f>
        <v/>
      </c>
      <c r="AS290" t="str">
        <f>IFERROR(ROUND(S290*(R290/$AX290)/VLOOKUP(Q290,职业!$A$3:$E$16,4,FALSE),0),"")</f>
        <v/>
      </c>
      <c r="AT290" t="str">
        <f>IFERROR(ROUND(X290*(U290/$AY290)/VLOOKUP(T290,商品!$A$4:$D$67,4,FALSE),0),"")</f>
        <v/>
      </c>
      <c r="AU290" t="str">
        <f>IFERROR(ROUND(X290*(W290/$AY290)/VLOOKUP(V290,商品!$A$4:$D$67,4,FALSE),0),"")</f>
        <v/>
      </c>
      <c r="AW290">
        <f t="shared" si="82"/>
        <v>0</v>
      </c>
      <c r="AX290">
        <f t="shared" si="83"/>
        <v>0</v>
      </c>
      <c r="AY290">
        <f t="shared" si="84"/>
        <v>0</v>
      </c>
    </row>
    <row r="291" customHeight="1" spans="1:51">
      <c r="A291" s="18" t="s">
        <v>339</v>
      </c>
      <c r="C291" s="18">
        <v>2</v>
      </c>
      <c r="D291" s="1" t="s">
        <v>291</v>
      </c>
      <c r="E291" s="1" t="s">
        <v>225</v>
      </c>
      <c r="L291" s="18">
        <f>IFERROR(VLOOKUP($D291&amp;$C291,生产方式定位!$A$2:$E$38,2,FALSE)+VLOOKUP($E291&amp;$C291,生产方式定位!$F$3:$J$38,2,FALSE),0)</f>
        <v>0</v>
      </c>
      <c r="S291" s="18">
        <f>IFERROR(VLOOKUP($D291&amp;$C291,生产方式定位!$A$2:$E$38,3,FALSE)+VLOOKUP($E291&amp;$C291,生产方式定位!$F$3:$J$38,3,FALSE),0)</f>
        <v>100</v>
      </c>
      <c r="X291" s="18">
        <f>IFERROR(VLOOKUP($D291&amp;$C291,生产方式定位!$A$2:$E$38,5,FALSE)+VLOOKUP($E291&amp;$C291,生产方式定位!$F$3:$J$38,5,FALSE),"错误")</f>
        <v>100</v>
      </c>
      <c r="Y291" s="27" t="str">
        <f t="shared" si="68"/>
        <v/>
      </c>
      <c r="Z291" s="50" t="str">
        <f t="shared" si="71"/>
        <v/>
      </c>
      <c r="AA291" s="50" t="str">
        <f t="shared" si="69"/>
        <v/>
      </c>
      <c r="AB291" s="28" t="str">
        <f t="shared" si="72"/>
        <v/>
      </c>
      <c r="AC291" s="1" t="str">
        <f t="shared" si="73"/>
        <v/>
      </c>
      <c r="AD291" s="52">
        <f t="shared" si="70"/>
        <v>2</v>
      </c>
      <c r="AE291" t="str">
        <f t="shared" si="74"/>
        <v/>
      </c>
      <c r="AF291" t="str">
        <f t="shared" si="75"/>
        <v/>
      </c>
      <c r="AG291" t="str">
        <f t="shared" si="76"/>
        <v/>
      </c>
      <c r="AH291" t="str">
        <f t="shared" si="77"/>
        <v/>
      </c>
      <c r="AI291" t="str">
        <f t="shared" si="78"/>
        <v/>
      </c>
      <c r="AJ291" t="str">
        <f t="shared" si="79"/>
        <v/>
      </c>
      <c r="AK291" t="str">
        <f t="shared" si="80"/>
        <v/>
      </c>
      <c r="AL291" t="str">
        <f t="shared" si="81"/>
        <v/>
      </c>
      <c r="AN291" t="str">
        <f>IFERROR(ROUND(L291*(G291/$AW291)/VLOOKUP(F291,商品!$A$4:$D$67,4,FALSE),0),"")</f>
        <v/>
      </c>
      <c r="AO291" t="str">
        <f>IFERROR(ROUND(L291*(I291/$AW291)/VLOOKUP(H291,商品!$A$4:$D$67,4,FALSE),0),"")</f>
        <v/>
      </c>
      <c r="AP291" t="str">
        <f>IFERROR(ROUND(L291*(K291/$AW291)/VLOOKUP(J291,商品!$A$4:$D$67,4,FALSE),0),"")</f>
        <v/>
      </c>
      <c r="AQ291" t="str">
        <f>IFERROR(ROUND(S291*(N291/$AX291)/VLOOKUP(M291,职业!$A$3:$E$16,4,FALSE),0),"")</f>
        <v/>
      </c>
      <c r="AR291" t="str">
        <f>IFERROR(ROUND(S291*(P291/$AX291)/VLOOKUP(O291,职业!$A$3:$E$16,4,FALSE),0),"")</f>
        <v/>
      </c>
      <c r="AS291" t="str">
        <f>IFERROR(ROUND(S291*(R291/$AX291)/VLOOKUP(Q291,职业!$A$3:$E$16,4,FALSE),0),"")</f>
        <v/>
      </c>
      <c r="AT291" t="str">
        <f>IFERROR(ROUND(X291*(U291/$AY291)/VLOOKUP(T291,商品!$A$4:$D$67,4,FALSE),0),"")</f>
        <v/>
      </c>
      <c r="AU291" t="str">
        <f>IFERROR(ROUND(X291*(W291/$AY291)/VLOOKUP(V291,商品!$A$4:$D$67,4,FALSE),0),"")</f>
        <v/>
      </c>
      <c r="AW291">
        <f t="shared" si="82"/>
        <v>0</v>
      </c>
      <c r="AX291">
        <f t="shared" si="83"/>
        <v>0</v>
      </c>
      <c r="AY291">
        <f t="shared" si="84"/>
        <v>0</v>
      </c>
    </row>
    <row r="292" customHeight="1" spans="1:51">
      <c r="A292" s="18" t="s">
        <v>339</v>
      </c>
      <c r="C292" s="18">
        <v>3</v>
      </c>
      <c r="D292" s="1" t="s">
        <v>291</v>
      </c>
      <c r="E292" s="1" t="s">
        <v>225</v>
      </c>
      <c r="L292" s="18">
        <f>IFERROR(VLOOKUP($D292&amp;$C292,生产方式定位!$A$2:$E$38,2,FALSE)+VLOOKUP($E292&amp;$C292,生产方式定位!$F$3:$J$38,2,FALSE),0)</f>
        <v>0</v>
      </c>
      <c r="S292" s="18">
        <f>IFERROR(VLOOKUP($D292&amp;$C292,生产方式定位!$A$2:$E$38,3,FALSE)+VLOOKUP($E292&amp;$C292,生产方式定位!$F$3:$J$38,3,FALSE),0)</f>
        <v>100</v>
      </c>
      <c r="X292" s="18">
        <f>IFERROR(VLOOKUP($D292&amp;$C292,生产方式定位!$A$2:$E$38,5,FALSE)+VLOOKUP($E292&amp;$C292,生产方式定位!$F$3:$J$38,5,FALSE),"错误")</f>
        <v>100</v>
      </c>
      <c r="Y292" s="27" t="str">
        <f t="shared" si="68"/>
        <v/>
      </c>
      <c r="Z292" s="50" t="str">
        <f t="shared" si="71"/>
        <v/>
      </c>
      <c r="AA292" s="50" t="str">
        <f t="shared" si="69"/>
        <v/>
      </c>
      <c r="AB292" s="28" t="str">
        <f t="shared" si="72"/>
        <v/>
      </c>
      <c r="AC292" s="1" t="str">
        <f t="shared" si="73"/>
        <v/>
      </c>
      <c r="AD292" s="52">
        <f t="shared" si="70"/>
        <v>3</v>
      </c>
      <c r="AE292" t="str">
        <f t="shared" si="74"/>
        <v/>
      </c>
      <c r="AF292" t="str">
        <f t="shared" si="75"/>
        <v/>
      </c>
      <c r="AG292" t="str">
        <f t="shared" si="76"/>
        <v/>
      </c>
      <c r="AH292" t="str">
        <f t="shared" si="77"/>
        <v/>
      </c>
      <c r="AI292" t="str">
        <f t="shared" si="78"/>
        <v/>
      </c>
      <c r="AJ292" t="str">
        <f t="shared" si="79"/>
        <v/>
      </c>
      <c r="AK292" t="str">
        <f t="shared" si="80"/>
        <v/>
      </c>
      <c r="AL292" t="str">
        <f t="shared" si="81"/>
        <v/>
      </c>
      <c r="AN292" t="str">
        <f>IFERROR(ROUND(L292*(G292/$AW292)/VLOOKUP(F292,商品!$A$4:$D$67,4,FALSE),0),"")</f>
        <v/>
      </c>
      <c r="AO292" t="str">
        <f>IFERROR(ROUND(L292*(I292/$AW292)/VLOOKUP(H292,商品!$A$4:$D$67,4,FALSE),0),"")</f>
        <v/>
      </c>
      <c r="AP292" t="str">
        <f>IFERROR(ROUND(L292*(K292/$AW292)/VLOOKUP(J292,商品!$A$4:$D$67,4,FALSE),0),"")</f>
        <v/>
      </c>
      <c r="AQ292" t="str">
        <f>IFERROR(ROUND(S292*(N292/$AX292)/VLOOKUP(M292,职业!$A$3:$E$16,4,FALSE),0),"")</f>
        <v/>
      </c>
      <c r="AR292" t="str">
        <f>IFERROR(ROUND(S292*(P292/$AX292)/VLOOKUP(O292,职业!$A$3:$E$16,4,FALSE),0),"")</f>
        <v/>
      </c>
      <c r="AS292" t="str">
        <f>IFERROR(ROUND(S292*(R292/$AX292)/VLOOKUP(Q292,职业!$A$3:$E$16,4,FALSE),0),"")</f>
        <v/>
      </c>
      <c r="AT292" t="str">
        <f>IFERROR(ROUND(X292*(U292/$AY292)/VLOOKUP(T292,商品!$A$4:$D$67,4,FALSE),0),"")</f>
        <v/>
      </c>
      <c r="AU292" t="str">
        <f>IFERROR(ROUND(X292*(W292/$AY292)/VLOOKUP(V292,商品!$A$4:$D$67,4,FALSE),0),"")</f>
        <v/>
      </c>
      <c r="AW292">
        <f t="shared" si="82"/>
        <v>0</v>
      </c>
      <c r="AX292">
        <f t="shared" si="83"/>
        <v>0</v>
      </c>
      <c r="AY292">
        <f t="shared" si="84"/>
        <v>0</v>
      </c>
    </row>
    <row r="293" customHeight="1" spans="1:51">
      <c r="A293" s="18" t="s">
        <v>339</v>
      </c>
      <c r="C293" s="18">
        <v>4</v>
      </c>
      <c r="D293" s="1" t="s">
        <v>291</v>
      </c>
      <c r="E293" s="1" t="s">
        <v>225</v>
      </c>
      <c r="L293" s="18">
        <f>IFERROR(VLOOKUP($D293&amp;$C293,生产方式定位!$A$2:$E$38,2,FALSE)+VLOOKUP($E293&amp;$C293,生产方式定位!$F$3:$J$38,2,FALSE),0)</f>
        <v>0</v>
      </c>
      <c r="S293" s="18">
        <f>IFERROR(VLOOKUP($D293&amp;$C293,生产方式定位!$A$2:$E$38,3,FALSE)+VLOOKUP($E293&amp;$C293,生产方式定位!$F$3:$J$38,3,FALSE),0)</f>
        <v>100</v>
      </c>
      <c r="X293" s="18">
        <f>IFERROR(VLOOKUP($D293&amp;$C293,生产方式定位!$A$2:$E$38,5,FALSE)+VLOOKUP($E293&amp;$C293,生产方式定位!$F$3:$J$38,5,FALSE),"错误")</f>
        <v>100</v>
      </c>
      <c r="Y293" s="27" t="str">
        <f t="shared" si="68"/>
        <v/>
      </c>
      <c r="Z293" s="50" t="str">
        <f t="shared" si="71"/>
        <v/>
      </c>
      <c r="AA293" s="50" t="str">
        <f t="shared" si="69"/>
        <v/>
      </c>
      <c r="AB293" s="28" t="str">
        <f t="shared" si="72"/>
        <v/>
      </c>
      <c r="AC293" s="1" t="str">
        <f t="shared" si="73"/>
        <v/>
      </c>
      <c r="AD293" s="52">
        <f t="shared" si="70"/>
        <v>4</v>
      </c>
      <c r="AE293" t="str">
        <f t="shared" si="74"/>
        <v/>
      </c>
      <c r="AF293" t="str">
        <f t="shared" si="75"/>
        <v/>
      </c>
      <c r="AG293" t="str">
        <f t="shared" si="76"/>
        <v/>
      </c>
      <c r="AH293" t="str">
        <f t="shared" si="77"/>
        <v/>
      </c>
      <c r="AI293" t="str">
        <f t="shared" si="78"/>
        <v/>
      </c>
      <c r="AJ293" t="str">
        <f t="shared" si="79"/>
        <v/>
      </c>
      <c r="AK293" t="str">
        <f t="shared" si="80"/>
        <v/>
      </c>
      <c r="AL293" t="str">
        <f t="shared" si="81"/>
        <v/>
      </c>
      <c r="AN293" t="str">
        <f>IFERROR(ROUND(L293*(G293/$AW293)/VLOOKUP(F293,商品!$A$4:$D$67,4,FALSE),0),"")</f>
        <v/>
      </c>
      <c r="AO293" t="str">
        <f>IFERROR(ROUND(L293*(I293/$AW293)/VLOOKUP(H293,商品!$A$4:$D$67,4,FALSE),0),"")</f>
        <v/>
      </c>
      <c r="AP293" t="str">
        <f>IFERROR(ROUND(L293*(K293/$AW293)/VLOOKUP(J293,商品!$A$4:$D$67,4,FALSE),0),"")</f>
        <v/>
      </c>
      <c r="AQ293" t="str">
        <f>IFERROR(ROUND(S293*(N293/$AX293)/VLOOKUP(M293,职业!$A$3:$E$16,4,FALSE),0),"")</f>
        <v/>
      </c>
      <c r="AR293" t="str">
        <f>IFERROR(ROUND(S293*(P293/$AX293)/VLOOKUP(O293,职业!$A$3:$E$16,4,FALSE),0),"")</f>
        <v/>
      </c>
      <c r="AS293" t="str">
        <f>IFERROR(ROUND(S293*(R293/$AX293)/VLOOKUP(Q293,职业!$A$3:$E$16,4,FALSE),0),"")</f>
        <v/>
      </c>
      <c r="AT293" t="str">
        <f>IFERROR(ROUND(X293*(U293/$AY293)/VLOOKUP(T293,商品!$A$4:$D$67,4,FALSE),0),"")</f>
        <v/>
      </c>
      <c r="AU293" t="str">
        <f>IFERROR(ROUND(X293*(W293/$AY293)/VLOOKUP(V293,商品!$A$4:$D$67,4,FALSE),0),"")</f>
        <v/>
      </c>
      <c r="AW293">
        <f t="shared" si="82"/>
        <v>0</v>
      </c>
      <c r="AX293">
        <f t="shared" si="83"/>
        <v>0</v>
      </c>
      <c r="AY293">
        <f t="shared" si="84"/>
        <v>0</v>
      </c>
    </row>
    <row r="294" customHeight="1" spans="1:51">
      <c r="A294" s="18" t="s">
        <v>339</v>
      </c>
      <c r="C294" s="18">
        <v>5</v>
      </c>
      <c r="D294" s="1" t="s">
        <v>291</v>
      </c>
      <c r="E294" s="1" t="s">
        <v>225</v>
      </c>
      <c r="L294" s="18">
        <f>IFERROR(VLOOKUP($D294&amp;$C294,生产方式定位!$A$2:$E$38,2,FALSE)+VLOOKUP($E294&amp;$C294,生产方式定位!$F$3:$J$38,2,FALSE),0)</f>
        <v>0</v>
      </c>
      <c r="S294" s="18">
        <f>IFERROR(VLOOKUP($D294&amp;$C294,生产方式定位!$A$2:$E$38,3,FALSE)+VLOOKUP($E294&amp;$C294,生产方式定位!$F$3:$J$38,3,FALSE),0)</f>
        <v>100</v>
      </c>
      <c r="X294" s="18">
        <f>IFERROR(VLOOKUP($D294&amp;$C294,生产方式定位!$A$2:$E$38,5,FALSE)+VLOOKUP($E294&amp;$C294,生产方式定位!$F$3:$J$38,5,FALSE),"错误")</f>
        <v>100</v>
      </c>
      <c r="Y294" s="27" t="str">
        <f t="shared" si="68"/>
        <v/>
      </c>
      <c r="Z294" s="50" t="str">
        <f t="shared" si="71"/>
        <v/>
      </c>
      <c r="AA294" s="50" t="str">
        <f t="shared" si="69"/>
        <v/>
      </c>
      <c r="AB294" s="28" t="str">
        <f t="shared" si="72"/>
        <v/>
      </c>
      <c r="AC294" s="1" t="str">
        <f t="shared" si="73"/>
        <v/>
      </c>
      <c r="AD294" s="52">
        <f t="shared" si="70"/>
        <v>5</v>
      </c>
      <c r="AE294" t="str">
        <f t="shared" si="74"/>
        <v/>
      </c>
      <c r="AF294" t="str">
        <f t="shared" si="75"/>
        <v/>
      </c>
      <c r="AG294" t="str">
        <f t="shared" si="76"/>
        <v/>
      </c>
      <c r="AH294" t="str">
        <f t="shared" si="77"/>
        <v/>
      </c>
      <c r="AI294" t="str">
        <f t="shared" si="78"/>
        <v/>
      </c>
      <c r="AJ294" t="str">
        <f t="shared" si="79"/>
        <v/>
      </c>
      <c r="AK294" t="str">
        <f t="shared" si="80"/>
        <v/>
      </c>
      <c r="AL294" t="str">
        <f t="shared" si="81"/>
        <v/>
      </c>
      <c r="AN294" t="str">
        <f>IFERROR(ROUND(L294*(G294/$AW294)/VLOOKUP(F294,商品!$A$4:$D$67,4,FALSE),0),"")</f>
        <v/>
      </c>
      <c r="AO294" t="str">
        <f>IFERROR(ROUND(L294*(I294/$AW294)/VLOOKUP(H294,商品!$A$4:$D$67,4,FALSE),0),"")</f>
        <v/>
      </c>
      <c r="AP294" t="str">
        <f>IFERROR(ROUND(L294*(K294/$AW294)/VLOOKUP(J294,商品!$A$4:$D$67,4,FALSE),0),"")</f>
        <v/>
      </c>
      <c r="AQ294" t="str">
        <f>IFERROR(ROUND(S294*(N294/$AX294)/VLOOKUP(M294,职业!$A$3:$E$16,4,FALSE),0),"")</f>
        <v/>
      </c>
      <c r="AR294" t="str">
        <f>IFERROR(ROUND(S294*(P294/$AX294)/VLOOKUP(O294,职业!$A$3:$E$16,4,FALSE),0),"")</f>
        <v/>
      </c>
      <c r="AS294" t="str">
        <f>IFERROR(ROUND(S294*(R294/$AX294)/VLOOKUP(Q294,职业!$A$3:$E$16,4,FALSE),0),"")</f>
        <v/>
      </c>
      <c r="AT294" t="str">
        <f>IFERROR(ROUND(X294*(U294/$AY294)/VLOOKUP(T294,商品!$A$4:$D$67,4,FALSE),0),"")</f>
        <v/>
      </c>
      <c r="AU294" t="str">
        <f>IFERROR(ROUND(X294*(W294/$AY294)/VLOOKUP(V294,商品!$A$4:$D$67,4,FALSE),0),"")</f>
        <v/>
      </c>
      <c r="AW294">
        <f t="shared" si="82"/>
        <v>0</v>
      </c>
      <c r="AX294">
        <f t="shared" si="83"/>
        <v>0</v>
      </c>
      <c r="AY294">
        <f t="shared" si="84"/>
        <v>0</v>
      </c>
    </row>
    <row r="295" customHeight="1" spans="1:51">
      <c r="A295" s="18" t="s">
        <v>339</v>
      </c>
      <c r="C295" s="18">
        <v>6</v>
      </c>
      <c r="D295" s="1" t="s">
        <v>291</v>
      </c>
      <c r="E295" s="1" t="s">
        <v>225</v>
      </c>
      <c r="L295" s="18">
        <f>IFERROR(VLOOKUP($D295&amp;$C295,生产方式定位!$A$2:$E$38,2,FALSE)+VLOOKUP($E295&amp;$C295,生产方式定位!$F$3:$J$38,2,FALSE),0)</f>
        <v>0</v>
      </c>
      <c r="S295" s="18">
        <f>IFERROR(VLOOKUP($D295&amp;$C295,生产方式定位!$A$2:$E$38,3,FALSE)+VLOOKUP($E295&amp;$C295,生产方式定位!$F$3:$J$38,3,FALSE),0)</f>
        <v>100</v>
      </c>
      <c r="X295" s="18">
        <f>IFERROR(VLOOKUP($D295&amp;$C295,生产方式定位!$A$2:$E$38,5,FALSE)+VLOOKUP($E295&amp;$C295,生产方式定位!$F$3:$J$38,5,FALSE),"错误")</f>
        <v>100</v>
      </c>
      <c r="Y295" s="27" t="str">
        <f t="shared" si="68"/>
        <v/>
      </c>
      <c r="Z295" s="50" t="str">
        <f t="shared" si="71"/>
        <v/>
      </c>
      <c r="AA295" s="50" t="str">
        <f t="shared" si="69"/>
        <v/>
      </c>
      <c r="AB295" s="28" t="str">
        <f t="shared" si="72"/>
        <v/>
      </c>
      <c r="AC295" s="1" t="str">
        <f t="shared" si="73"/>
        <v/>
      </c>
      <c r="AD295" s="52">
        <f t="shared" si="70"/>
        <v>6</v>
      </c>
      <c r="AE295" t="str">
        <f t="shared" si="74"/>
        <v/>
      </c>
      <c r="AF295" t="str">
        <f t="shared" si="75"/>
        <v/>
      </c>
      <c r="AG295" t="str">
        <f t="shared" si="76"/>
        <v/>
      </c>
      <c r="AH295" t="str">
        <f t="shared" si="77"/>
        <v/>
      </c>
      <c r="AI295" t="str">
        <f t="shared" si="78"/>
        <v/>
      </c>
      <c r="AJ295" t="str">
        <f t="shared" si="79"/>
        <v/>
      </c>
      <c r="AK295" t="str">
        <f t="shared" si="80"/>
        <v/>
      </c>
      <c r="AL295" t="str">
        <f t="shared" si="81"/>
        <v/>
      </c>
      <c r="AN295" t="str">
        <f>IFERROR(ROUND(L295*(G295/$AW295)/VLOOKUP(F295,商品!$A$4:$D$67,4,FALSE),0),"")</f>
        <v/>
      </c>
      <c r="AO295" t="str">
        <f>IFERROR(ROUND(L295*(I295/$AW295)/VLOOKUP(H295,商品!$A$4:$D$67,4,FALSE),0),"")</f>
        <v/>
      </c>
      <c r="AP295" t="str">
        <f>IFERROR(ROUND(L295*(K295/$AW295)/VLOOKUP(J295,商品!$A$4:$D$67,4,FALSE),0),"")</f>
        <v/>
      </c>
      <c r="AQ295" t="str">
        <f>IFERROR(ROUND(S295*(N295/$AX295)/VLOOKUP(M295,职业!$A$3:$E$16,4,FALSE),0),"")</f>
        <v/>
      </c>
      <c r="AR295" t="str">
        <f>IFERROR(ROUND(S295*(P295/$AX295)/VLOOKUP(O295,职业!$A$3:$E$16,4,FALSE),0),"")</f>
        <v/>
      </c>
      <c r="AS295" t="str">
        <f>IFERROR(ROUND(S295*(R295/$AX295)/VLOOKUP(Q295,职业!$A$3:$E$16,4,FALSE),0),"")</f>
        <v/>
      </c>
      <c r="AT295" t="str">
        <f>IFERROR(ROUND(X295*(U295/$AY295)/VLOOKUP(T295,商品!$A$4:$D$67,4,FALSE),0),"")</f>
        <v/>
      </c>
      <c r="AU295" t="str">
        <f>IFERROR(ROUND(X295*(W295/$AY295)/VLOOKUP(V295,商品!$A$4:$D$67,4,FALSE),0),"")</f>
        <v/>
      </c>
      <c r="AW295">
        <f t="shared" si="82"/>
        <v>0</v>
      </c>
      <c r="AX295">
        <f t="shared" si="83"/>
        <v>0</v>
      </c>
      <c r="AY295">
        <f t="shared" si="84"/>
        <v>0</v>
      </c>
    </row>
    <row r="296" customHeight="1" spans="1:51">
      <c r="A296" s="18" t="s">
        <v>339</v>
      </c>
      <c r="C296" s="18">
        <v>7</v>
      </c>
      <c r="D296" s="1" t="s">
        <v>291</v>
      </c>
      <c r="E296" s="1" t="s">
        <v>225</v>
      </c>
      <c r="L296" s="18">
        <f>IFERROR(VLOOKUP($D296&amp;$C296,生产方式定位!$A$2:$E$38,2,FALSE)+VLOOKUP($E296&amp;$C296,生产方式定位!$F$3:$J$38,2,FALSE),0)</f>
        <v>0</v>
      </c>
      <c r="S296" s="18">
        <f>IFERROR(VLOOKUP($D296&amp;$C296,生产方式定位!$A$2:$E$38,3,FALSE)+VLOOKUP($E296&amp;$C296,生产方式定位!$F$3:$J$38,3,FALSE),0)</f>
        <v>100</v>
      </c>
      <c r="X296" s="18">
        <f>IFERROR(VLOOKUP($D296&amp;$C296,生产方式定位!$A$2:$E$38,5,FALSE)+VLOOKUP($E296&amp;$C296,生产方式定位!$F$3:$J$38,5,FALSE),"错误")</f>
        <v>100</v>
      </c>
      <c r="Y296" s="27" t="str">
        <f t="shared" si="68"/>
        <v/>
      </c>
      <c r="Z296" s="50" t="str">
        <f t="shared" si="71"/>
        <v/>
      </c>
      <c r="AA296" s="50" t="str">
        <f t="shared" si="69"/>
        <v/>
      </c>
      <c r="AB296" s="28" t="str">
        <f t="shared" si="72"/>
        <v/>
      </c>
      <c r="AC296" s="1" t="str">
        <f t="shared" si="73"/>
        <v/>
      </c>
      <c r="AD296" s="52">
        <f t="shared" si="70"/>
        <v>7</v>
      </c>
      <c r="AE296" t="str">
        <f t="shared" si="74"/>
        <v/>
      </c>
      <c r="AF296" t="str">
        <f t="shared" si="75"/>
        <v/>
      </c>
      <c r="AG296" t="str">
        <f t="shared" si="76"/>
        <v/>
      </c>
      <c r="AH296" t="str">
        <f t="shared" si="77"/>
        <v/>
      </c>
      <c r="AI296" t="str">
        <f t="shared" si="78"/>
        <v/>
      </c>
      <c r="AJ296" t="str">
        <f t="shared" si="79"/>
        <v/>
      </c>
      <c r="AK296" t="str">
        <f t="shared" si="80"/>
        <v/>
      </c>
      <c r="AL296" t="str">
        <f t="shared" si="81"/>
        <v/>
      </c>
      <c r="AN296" t="str">
        <f>IFERROR(ROUND(L296*(G296/$AW296)/VLOOKUP(F296,商品!$A$4:$D$67,4,FALSE),0),"")</f>
        <v/>
      </c>
      <c r="AO296" t="str">
        <f>IFERROR(ROUND(L296*(I296/$AW296)/VLOOKUP(H296,商品!$A$4:$D$67,4,FALSE),0),"")</f>
        <v/>
      </c>
      <c r="AP296" t="str">
        <f>IFERROR(ROUND(L296*(K296/$AW296)/VLOOKUP(J296,商品!$A$4:$D$67,4,FALSE),0),"")</f>
        <v/>
      </c>
      <c r="AQ296" t="str">
        <f>IFERROR(ROUND(S296*(N296/$AX296)/VLOOKUP(M296,职业!$A$3:$E$16,4,FALSE),0),"")</f>
        <v/>
      </c>
      <c r="AR296" t="str">
        <f>IFERROR(ROUND(S296*(P296/$AX296)/VLOOKUP(O296,职业!$A$3:$E$16,4,FALSE),0),"")</f>
        <v/>
      </c>
      <c r="AS296" t="str">
        <f>IFERROR(ROUND(S296*(R296/$AX296)/VLOOKUP(Q296,职业!$A$3:$E$16,4,FALSE),0),"")</f>
        <v/>
      </c>
      <c r="AT296" t="str">
        <f>IFERROR(ROUND(X296*(U296/$AY296)/VLOOKUP(T296,商品!$A$4:$D$67,4,FALSE),0),"")</f>
        <v/>
      </c>
      <c r="AU296" t="str">
        <f>IFERROR(ROUND(X296*(W296/$AY296)/VLOOKUP(V296,商品!$A$4:$D$67,4,FALSE),0),"")</f>
        <v/>
      </c>
      <c r="AW296">
        <f t="shared" si="82"/>
        <v>0</v>
      </c>
      <c r="AX296">
        <f t="shared" si="83"/>
        <v>0</v>
      </c>
      <c r="AY296">
        <f t="shared" si="84"/>
        <v>0</v>
      </c>
    </row>
    <row r="297" customHeight="1" spans="1:51">
      <c r="A297" s="18" t="s">
        <v>339</v>
      </c>
      <c r="C297" s="18">
        <v>8</v>
      </c>
      <c r="D297" s="1" t="s">
        <v>291</v>
      </c>
      <c r="E297" s="1" t="s">
        <v>225</v>
      </c>
      <c r="L297" s="18">
        <f>IFERROR(VLOOKUP($D297&amp;$C297,生产方式定位!$A$2:$E$38,2,FALSE)+VLOOKUP($E297&amp;$C297,生产方式定位!$F$3:$J$38,2,FALSE),0)</f>
        <v>0</v>
      </c>
      <c r="S297" s="18">
        <f>IFERROR(VLOOKUP($D297&amp;$C297,生产方式定位!$A$2:$E$38,3,FALSE)+VLOOKUP($E297&amp;$C297,生产方式定位!$F$3:$J$38,3,FALSE),0)</f>
        <v>100</v>
      </c>
      <c r="X297" s="18">
        <f>IFERROR(VLOOKUP($D297&amp;$C297,生产方式定位!$A$2:$E$38,5,FALSE)+VLOOKUP($E297&amp;$C297,生产方式定位!$F$3:$J$38,5,FALSE),"错误")</f>
        <v>100</v>
      </c>
      <c r="Y297" s="27" t="str">
        <f t="shared" si="68"/>
        <v/>
      </c>
      <c r="Z297" s="50" t="str">
        <f t="shared" si="71"/>
        <v/>
      </c>
      <c r="AA297" s="50" t="str">
        <f t="shared" si="69"/>
        <v/>
      </c>
      <c r="AB297" s="28" t="str">
        <f t="shared" si="72"/>
        <v/>
      </c>
      <c r="AC297" s="1" t="str">
        <f t="shared" si="73"/>
        <v/>
      </c>
      <c r="AD297" s="52">
        <f t="shared" si="70"/>
        <v>8</v>
      </c>
      <c r="AE297" t="str">
        <f t="shared" si="74"/>
        <v/>
      </c>
      <c r="AF297" t="str">
        <f t="shared" si="75"/>
        <v/>
      </c>
      <c r="AG297" t="str">
        <f t="shared" si="76"/>
        <v/>
      </c>
      <c r="AH297" t="str">
        <f t="shared" si="77"/>
        <v/>
      </c>
      <c r="AI297" t="str">
        <f t="shared" si="78"/>
        <v/>
      </c>
      <c r="AJ297" t="str">
        <f t="shared" si="79"/>
        <v/>
      </c>
      <c r="AK297" t="str">
        <f t="shared" si="80"/>
        <v/>
      </c>
      <c r="AL297" t="str">
        <f t="shared" si="81"/>
        <v/>
      </c>
      <c r="AN297" t="str">
        <f>IFERROR(ROUND(L297*(G297/$AW297)/VLOOKUP(F297,商品!$A$4:$D$67,4,FALSE),0),"")</f>
        <v/>
      </c>
      <c r="AO297" t="str">
        <f>IFERROR(ROUND(L297*(I297/$AW297)/VLOOKUP(H297,商品!$A$4:$D$67,4,FALSE),0),"")</f>
        <v/>
      </c>
      <c r="AP297" t="str">
        <f>IFERROR(ROUND(L297*(K297/$AW297)/VLOOKUP(J297,商品!$A$4:$D$67,4,FALSE),0),"")</f>
        <v/>
      </c>
      <c r="AQ297" t="str">
        <f>IFERROR(ROUND(S297*(N297/$AX297)/VLOOKUP(M297,职业!$A$3:$E$16,4,FALSE),0),"")</f>
        <v/>
      </c>
      <c r="AR297" t="str">
        <f>IFERROR(ROUND(S297*(P297/$AX297)/VLOOKUP(O297,职业!$A$3:$E$16,4,FALSE),0),"")</f>
        <v/>
      </c>
      <c r="AS297" t="str">
        <f>IFERROR(ROUND(S297*(R297/$AX297)/VLOOKUP(Q297,职业!$A$3:$E$16,4,FALSE),0),"")</f>
        <v/>
      </c>
      <c r="AT297" t="str">
        <f>IFERROR(ROUND(X297*(U297/$AY297)/VLOOKUP(T297,商品!$A$4:$D$67,4,FALSE),0),"")</f>
        <v/>
      </c>
      <c r="AU297" t="str">
        <f>IFERROR(ROUND(X297*(W297/$AY297)/VLOOKUP(V297,商品!$A$4:$D$67,4,FALSE),0),"")</f>
        <v/>
      </c>
      <c r="AW297">
        <f t="shared" si="82"/>
        <v>0</v>
      </c>
      <c r="AX297">
        <f t="shared" si="83"/>
        <v>0</v>
      </c>
      <c r="AY297">
        <f t="shared" si="84"/>
        <v>0</v>
      </c>
    </row>
    <row r="298" customHeight="1" spans="1:51">
      <c r="A298" s="5" t="s">
        <v>341</v>
      </c>
      <c r="C298" s="5">
        <v>1</v>
      </c>
      <c r="D298" s="1" t="s">
        <v>238</v>
      </c>
      <c r="E298" s="1" t="s">
        <v>222</v>
      </c>
      <c r="L298" s="5">
        <f>IFERROR(VLOOKUP($D298&amp;$C298,生产方式定位!$A$2:$E$38,2,FALSE)+VLOOKUP($E298&amp;$C298,生产方式定位!$F$3:$J$38,2,FALSE),0)</f>
        <v>1000</v>
      </c>
      <c r="S298" s="5">
        <f>IFERROR(VLOOKUP($D298&amp;$C298,生产方式定位!$A$2:$E$38,3,FALSE)+VLOOKUP($E298&amp;$C298,生产方式定位!$F$3:$J$38,3,FALSE),0)</f>
        <v>80</v>
      </c>
      <c r="X298" s="5">
        <f>IFERROR(VLOOKUP($D298&amp;$C298,生产方式定位!$A$2:$E$38,5,FALSE)+VLOOKUP($E298&amp;$C298,生产方式定位!$F$3:$J$38,5,FALSE),"错误")</f>
        <v>972</v>
      </c>
      <c r="Y298" s="27" t="str">
        <f t="shared" si="68"/>
        <v/>
      </c>
      <c r="Z298" s="50" t="str">
        <f t="shared" si="71"/>
        <v/>
      </c>
      <c r="AA298" s="50" t="str">
        <f t="shared" si="69"/>
        <v/>
      </c>
      <c r="AB298" s="28" t="str">
        <f t="shared" si="72"/>
        <v>-3%</v>
      </c>
      <c r="AC298" s="1">
        <f t="shared" si="73"/>
        <v>-108</v>
      </c>
      <c r="AD298" s="51">
        <f t="shared" si="70"/>
        <v>1</v>
      </c>
      <c r="AE298" t="str">
        <f t="shared" si="74"/>
        <v/>
      </c>
      <c r="AF298" t="str">
        <f t="shared" si="75"/>
        <v/>
      </c>
      <c r="AG298" t="str">
        <f t="shared" si="76"/>
        <v/>
      </c>
      <c r="AH298" t="str">
        <f t="shared" si="77"/>
        <v/>
      </c>
      <c r="AI298" t="str">
        <f t="shared" si="78"/>
        <v/>
      </c>
      <c r="AJ298" t="str">
        <f t="shared" si="79"/>
        <v/>
      </c>
      <c r="AK298" t="str">
        <f t="shared" si="80"/>
        <v/>
      </c>
      <c r="AL298" t="str">
        <f t="shared" si="81"/>
        <v/>
      </c>
      <c r="AN298" t="str">
        <f>IFERROR(ROUND(L298*(G298/$AW298)/VLOOKUP(F298,商品!$A$4:$D$67,4,FALSE),0),"")</f>
        <v/>
      </c>
      <c r="AO298" t="str">
        <f>IFERROR(ROUND(L298*(I298/$AW298)/VLOOKUP(H298,商品!$A$4:$D$67,4,FALSE),0),"")</f>
        <v/>
      </c>
      <c r="AP298" t="str">
        <f>IFERROR(ROUND(L298*(K298/$AW298)/VLOOKUP(J298,商品!$A$4:$D$67,4,FALSE),0),"")</f>
        <v/>
      </c>
      <c r="AQ298" t="str">
        <f>IFERROR(ROUND(S298*(N298/$AX298)/VLOOKUP(M298,职业!$A$3:$E$16,4,FALSE),0),"")</f>
        <v/>
      </c>
      <c r="AR298" t="str">
        <f>IFERROR(ROUND(S298*(P298/$AX298)/VLOOKUP(O298,职业!$A$3:$E$16,4,FALSE),0),"")</f>
        <v/>
      </c>
      <c r="AS298" t="str">
        <f>IFERROR(ROUND(S298*(R298/$AX298)/VLOOKUP(Q298,职业!$A$3:$E$16,4,FALSE),0),"")</f>
        <v/>
      </c>
      <c r="AT298" t="str">
        <f>IFERROR(ROUND(X298*(U298/$AY298)/VLOOKUP(T298,商品!$A$4:$D$67,4,FALSE),0),"")</f>
        <v/>
      </c>
      <c r="AU298" t="str">
        <f>IFERROR(ROUND(X298*(W298/$AY298)/VLOOKUP(V298,商品!$A$4:$D$67,4,FALSE),0),"")</f>
        <v/>
      </c>
      <c r="AW298">
        <f t="shared" si="82"/>
        <v>0</v>
      </c>
      <c r="AX298">
        <f t="shared" si="83"/>
        <v>0</v>
      </c>
      <c r="AY298">
        <f t="shared" si="84"/>
        <v>0</v>
      </c>
    </row>
    <row r="299" customHeight="1" spans="1:51">
      <c r="A299" s="5" t="s">
        <v>341</v>
      </c>
      <c r="C299" s="5">
        <v>2</v>
      </c>
      <c r="D299" s="1" t="s">
        <v>238</v>
      </c>
      <c r="E299" s="1" t="s">
        <v>222</v>
      </c>
      <c r="L299" s="5">
        <f>IFERROR(VLOOKUP($D299&amp;$C299,生产方式定位!$A$2:$E$38,2,FALSE)+VLOOKUP($E299&amp;$C299,生产方式定位!$F$3:$J$38,2,FALSE),0)</f>
        <v>1400</v>
      </c>
      <c r="S299" s="5">
        <f>IFERROR(VLOOKUP($D299&amp;$C299,生产方式定位!$A$2:$E$38,3,FALSE)+VLOOKUP($E299&amp;$C299,生产方式定位!$F$3:$J$38,3,FALSE),0)</f>
        <v>85</v>
      </c>
      <c r="X299" s="5">
        <f>IFERROR(VLOOKUP($D299&amp;$C299,生产方式定位!$A$2:$E$38,5,FALSE)+VLOOKUP($E299&amp;$C299,生产方式定位!$F$3:$J$38,5,FALSE),"错误")</f>
        <v>1732</v>
      </c>
      <c r="Y299" s="27" t="str">
        <f t="shared" si="68"/>
        <v/>
      </c>
      <c r="Z299" s="50" t="str">
        <f t="shared" si="71"/>
        <v/>
      </c>
      <c r="AA299" s="50" t="str">
        <f t="shared" si="69"/>
        <v/>
      </c>
      <c r="AB299" s="28" t="str">
        <f t="shared" si="72"/>
        <v>24%</v>
      </c>
      <c r="AC299" s="1">
        <f t="shared" si="73"/>
        <v>247</v>
      </c>
      <c r="AD299" s="51">
        <f t="shared" si="70"/>
        <v>2</v>
      </c>
      <c r="AE299" t="str">
        <f t="shared" si="74"/>
        <v/>
      </c>
      <c r="AF299" t="str">
        <f t="shared" si="75"/>
        <v/>
      </c>
      <c r="AG299" t="str">
        <f t="shared" si="76"/>
        <v/>
      </c>
      <c r="AH299" t="str">
        <f t="shared" si="77"/>
        <v/>
      </c>
      <c r="AI299" t="str">
        <f t="shared" si="78"/>
        <v/>
      </c>
      <c r="AJ299" t="str">
        <f t="shared" si="79"/>
        <v/>
      </c>
      <c r="AK299" t="str">
        <f t="shared" si="80"/>
        <v/>
      </c>
      <c r="AL299" t="str">
        <f t="shared" si="81"/>
        <v/>
      </c>
      <c r="AN299" t="str">
        <f>IFERROR(ROUND(L299*(G299/$AW299)/VLOOKUP(F299,商品!$A$4:$D$67,4,FALSE),0),"")</f>
        <v/>
      </c>
      <c r="AO299" t="str">
        <f>IFERROR(ROUND(L299*(I299/$AW299)/VLOOKUP(H299,商品!$A$4:$D$67,4,FALSE),0),"")</f>
        <v/>
      </c>
      <c r="AP299" t="str">
        <f>IFERROR(ROUND(L299*(K299/$AW299)/VLOOKUP(J299,商品!$A$4:$D$67,4,FALSE),0),"")</f>
        <v/>
      </c>
      <c r="AQ299" t="str">
        <f>IFERROR(ROUND(S299*(N299/$AX299)/VLOOKUP(M299,职业!$A$3:$E$16,4,FALSE),0),"")</f>
        <v/>
      </c>
      <c r="AR299" t="str">
        <f>IFERROR(ROUND(S299*(P299/$AX299)/VLOOKUP(O299,职业!$A$3:$E$16,4,FALSE),0),"")</f>
        <v/>
      </c>
      <c r="AS299" t="str">
        <f>IFERROR(ROUND(S299*(R299/$AX299)/VLOOKUP(Q299,职业!$A$3:$E$16,4,FALSE),0),"")</f>
        <v/>
      </c>
      <c r="AT299" t="str">
        <f>IFERROR(ROUND(X299*(U299/$AY299)/VLOOKUP(T299,商品!$A$4:$D$67,4,FALSE),0),"")</f>
        <v/>
      </c>
      <c r="AU299" t="str">
        <f>IFERROR(ROUND(X299*(W299/$AY299)/VLOOKUP(V299,商品!$A$4:$D$67,4,FALSE),0),"")</f>
        <v/>
      </c>
      <c r="AW299">
        <f t="shared" si="82"/>
        <v>0</v>
      </c>
      <c r="AX299">
        <f t="shared" si="83"/>
        <v>0</v>
      </c>
      <c r="AY299">
        <f t="shared" si="84"/>
        <v>0</v>
      </c>
    </row>
    <row r="300" customHeight="1" spans="1:51">
      <c r="A300" s="5" t="s">
        <v>341</v>
      </c>
      <c r="C300" s="5">
        <v>3</v>
      </c>
      <c r="D300" s="1" t="s">
        <v>238</v>
      </c>
      <c r="E300" s="1" t="s">
        <v>222</v>
      </c>
      <c r="L300" s="5">
        <f>IFERROR(VLOOKUP($D300&amp;$C300,生产方式定位!$A$2:$E$38,2,FALSE)+VLOOKUP($E300&amp;$C300,生产方式定位!$F$3:$J$38,2,FALSE),0)</f>
        <v>1425</v>
      </c>
      <c r="S300" s="5">
        <f>IFERROR(VLOOKUP($D300&amp;$C300,生产方式定位!$A$2:$E$38,3,FALSE)+VLOOKUP($E300&amp;$C300,生产方式定位!$F$3:$J$38,3,FALSE),0)</f>
        <v>90</v>
      </c>
      <c r="X300" s="5">
        <f>IFERROR(VLOOKUP($D300&amp;$C300,生产方式定位!$A$2:$E$38,5,FALSE)+VLOOKUP($E300&amp;$C300,生产方式定位!$F$3:$J$38,5,FALSE),"错误")</f>
        <v>2112</v>
      </c>
      <c r="Y300" s="27" t="str">
        <f t="shared" si="68"/>
        <v/>
      </c>
      <c r="Z300" s="50" t="str">
        <f t="shared" si="71"/>
        <v/>
      </c>
      <c r="AA300" s="50" t="str">
        <f t="shared" si="69"/>
        <v/>
      </c>
      <c r="AB300" s="28" t="str">
        <f t="shared" si="72"/>
        <v>48%</v>
      </c>
      <c r="AC300" s="1">
        <f t="shared" si="73"/>
        <v>597</v>
      </c>
      <c r="AD300" s="51">
        <f t="shared" si="70"/>
        <v>3</v>
      </c>
      <c r="AE300" t="str">
        <f t="shared" si="74"/>
        <v/>
      </c>
      <c r="AF300" t="str">
        <f t="shared" si="75"/>
        <v/>
      </c>
      <c r="AG300" t="str">
        <f t="shared" si="76"/>
        <v/>
      </c>
      <c r="AH300" t="str">
        <f t="shared" si="77"/>
        <v/>
      </c>
      <c r="AI300" t="str">
        <f t="shared" si="78"/>
        <v/>
      </c>
      <c r="AJ300" t="str">
        <f t="shared" si="79"/>
        <v/>
      </c>
      <c r="AK300" t="str">
        <f t="shared" si="80"/>
        <v/>
      </c>
      <c r="AL300" t="str">
        <f t="shared" si="81"/>
        <v/>
      </c>
      <c r="AN300" t="str">
        <f>IFERROR(ROUND(L300*(G300/$AW300)/VLOOKUP(F300,商品!$A$4:$D$67,4,FALSE),0),"")</f>
        <v/>
      </c>
      <c r="AO300" t="str">
        <f>IFERROR(ROUND(L300*(I300/$AW300)/VLOOKUP(H300,商品!$A$4:$D$67,4,FALSE),0),"")</f>
        <v/>
      </c>
      <c r="AP300" t="str">
        <f>IFERROR(ROUND(L300*(K300/$AW300)/VLOOKUP(J300,商品!$A$4:$D$67,4,FALSE),0),"")</f>
        <v/>
      </c>
      <c r="AQ300" t="str">
        <f>IFERROR(ROUND(S300*(N300/$AX300)/VLOOKUP(M300,职业!$A$3:$E$16,4,FALSE),0),"")</f>
        <v/>
      </c>
      <c r="AR300" t="str">
        <f>IFERROR(ROUND(S300*(P300/$AX300)/VLOOKUP(O300,职业!$A$3:$E$16,4,FALSE),0),"")</f>
        <v/>
      </c>
      <c r="AS300" t="str">
        <f>IFERROR(ROUND(S300*(R300/$AX300)/VLOOKUP(Q300,职业!$A$3:$E$16,4,FALSE),0),"")</f>
        <v/>
      </c>
      <c r="AT300" t="str">
        <f>IFERROR(ROUND(X300*(U300/$AY300)/VLOOKUP(T300,商品!$A$4:$D$67,4,FALSE),0),"")</f>
        <v/>
      </c>
      <c r="AU300" t="str">
        <f>IFERROR(ROUND(X300*(W300/$AY300)/VLOOKUP(V300,商品!$A$4:$D$67,4,FALSE),0),"")</f>
        <v/>
      </c>
      <c r="AW300">
        <f t="shared" si="82"/>
        <v>0</v>
      </c>
      <c r="AX300">
        <f t="shared" si="83"/>
        <v>0</v>
      </c>
      <c r="AY300">
        <f t="shared" si="84"/>
        <v>0</v>
      </c>
    </row>
    <row r="301" customHeight="1" spans="1:51">
      <c r="A301" s="5" t="s">
        <v>341</v>
      </c>
      <c r="C301" s="5">
        <v>4</v>
      </c>
      <c r="D301" s="1" t="s">
        <v>238</v>
      </c>
      <c r="E301" s="1" t="s">
        <v>222</v>
      </c>
      <c r="L301" s="5">
        <f>IFERROR(VLOOKUP($D301&amp;$C301,生产方式定位!$A$2:$E$38,2,FALSE)+VLOOKUP($E301&amp;$C301,生产方式定位!$F$3:$J$38,2,FALSE),0)</f>
        <v>1450</v>
      </c>
      <c r="S301" s="5">
        <f>IFERROR(VLOOKUP($D301&amp;$C301,生产方式定位!$A$2:$E$38,3,FALSE)+VLOOKUP($E301&amp;$C301,生产方式定位!$F$3:$J$38,3,FALSE),0)</f>
        <v>95</v>
      </c>
      <c r="X301" s="5">
        <f>IFERROR(VLOOKUP($D301&amp;$C301,生产方式定位!$A$2:$E$38,5,FALSE)+VLOOKUP($E301&amp;$C301,生产方式定位!$F$3:$J$38,5,FALSE),"错误")</f>
        <v>2733</v>
      </c>
      <c r="Y301" s="27" t="str">
        <f t="shared" si="68"/>
        <v/>
      </c>
      <c r="Z301" s="50" t="str">
        <f t="shared" si="71"/>
        <v/>
      </c>
      <c r="AA301" s="50" t="str">
        <f t="shared" si="69"/>
        <v/>
      </c>
      <c r="AB301" s="28" t="str">
        <f t="shared" si="72"/>
        <v>88%</v>
      </c>
      <c r="AC301" s="1">
        <f t="shared" si="73"/>
        <v>1188</v>
      </c>
      <c r="AD301" s="51">
        <f t="shared" si="70"/>
        <v>4</v>
      </c>
      <c r="AE301" t="str">
        <f t="shared" si="74"/>
        <v/>
      </c>
      <c r="AF301" t="str">
        <f t="shared" si="75"/>
        <v/>
      </c>
      <c r="AG301" t="str">
        <f t="shared" si="76"/>
        <v/>
      </c>
      <c r="AH301" t="str">
        <f t="shared" si="77"/>
        <v/>
      </c>
      <c r="AI301" t="str">
        <f t="shared" si="78"/>
        <v/>
      </c>
      <c r="AJ301" t="str">
        <f t="shared" si="79"/>
        <v/>
      </c>
      <c r="AK301" t="str">
        <f t="shared" si="80"/>
        <v/>
      </c>
      <c r="AL301" t="str">
        <f t="shared" si="81"/>
        <v/>
      </c>
      <c r="AN301" t="str">
        <f>IFERROR(ROUND(L301*(G301/$AW301)/VLOOKUP(F301,商品!$A$4:$D$67,4,FALSE),0),"")</f>
        <v/>
      </c>
      <c r="AO301" t="str">
        <f>IFERROR(ROUND(L301*(I301/$AW301)/VLOOKUP(H301,商品!$A$4:$D$67,4,FALSE),0),"")</f>
        <v/>
      </c>
      <c r="AP301" t="str">
        <f>IFERROR(ROUND(L301*(K301/$AW301)/VLOOKUP(J301,商品!$A$4:$D$67,4,FALSE),0),"")</f>
        <v/>
      </c>
      <c r="AQ301" t="str">
        <f>IFERROR(ROUND(S301*(N301/$AX301)/VLOOKUP(M301,职业!$A$3:$E$16,4,FALSE),0),"")</f>
        <v/>
      </c>
      <c r="AR301" t="str">
        <f>IFERROR(ROUND(S301*(P301/$AX301)/VLOOKUP(O301,职业!$A$3:$E$16,4,FALSE),0),"")</f>
        <v/>
      </c>
      <c r="AS301" t="str">
        <f>IFERROR(ROUND(S301*(R301/$AX301)/VLOOKUP(Q301,职业!$A$3:$E$16,4,FALSE),0),"")</f>
        <v/>
      </c>
      <c r="AT301" t="str">
        <f>IFERROR(ROUND(X301*(U301/$AY301)/VLOOKUP(T301,商品!$A$4:$D$67,4,FALSE),0),"")</f>
        <v/>
      </c>
      <c r="AU301" t="str">
        <f>IFERROR(ROUND(X301*(W301/$AY301)/VLOOKUP(V301,商品!$A$4:$D$67,4,FALSE),0),"")</f>
        <v/>
      </c>
      <c r="AW301">
        <f t="shared" si="82"/>
        <v>0</v>
      </c>
      <c r="AX301">
        <f t="shared" si="83"/>
        <v>0</v>
      </c>
      <c r="AY301">
        <f t="shared" si="84"/>
        <v>0</v>
      </c>
    </row>
    <row r="302" customHeight="1" spans="1:51">
      <c r="A302" s="5" t="s">
        <v>341</v>
      </c>
      <c r="C302" s="5">
        <v>5</v>
      </c>
      <c r="D302" s="1" t="s">
        <v>238</v>
      </c>
      <c r="E302" s="1" t="s">
        <v>222</v>
      </c>
      <c r="L302" s="5">
        <f>IFERROR(VLOOKUP($D302&amp;$C302,生产方式定位!$A$2:$E$38,2,FALSE)+VLOOKUP($E302&amp;$C302,生产方式定位!$F$3:$J$38,2,FALSE),0)</f>
        <v>1475</v>
      </c>
      <c r="S302" s="5">
        <f>IFERROR(VLOOKUP($D302&amp;$C302,生产方式定位!$A$2:$E$38,3,FALSE)+VLOOKUP($E302&amp;$C302,生产方式定位!$F$3:$J$38,3,FALSE),0)</f>
        <v>100</v>
      </c>
      <c r="X302" s="5">
        <f>IFERROR(VLOOKUP($D302&amp;$C302,生产方式定位!$A$2:$E$38,5,FALSE)+VLOOKUP($E302&amp;$C302,生产方式定位!$F$3:$J$38,5,FALSE),"错误")</f>
        <v>3763</v>
      </c>
      <c r="Y302" s="27" t="str">
        <f t="shared" si="68"/>
        <v/>
      </c>
      <c r="Z302" s="50" t="str">
        <f t="shared" si="71"/>
        <v/>
      </c>
      <c r="AA302" s="50" t="str">
        <f t="shared" si="69"/>
        <v/>
      </c>
      <c r="AB302" s="28" t="str">
        <f t="shared" si="72"/>
        <v>155%</v>
      </c>
      <c r="AC302" s="1">
        <f t="shared" si="73"/>
        <v>2188</v>
      </c>
      <c r="AD302" s="51">
        <f t="shared" si="70"/>
        <v>5</v>
      </c>
      <c r="AE302" t="str">
        <f t="shared" si="74"/>
        <v/>
      </c>
      <c r="AF302" t="str">
        <f t="shared" si="75"/>
        <v/>
      </c>
      <c r="AG302" t="str">
        <f t="shared" si="76"/>
        <v/>
      </c>
      <c r="AH302" t="str">
        <f t="shared" si="77"/>
        <v/>
      </c>
      <c r="AI302" t="str">
        <f t="shared" si="78"/>
        <v/>
      </c>
      <c r="AJ302" t="str">
        <f t="shared" si="79"/>
        <v/>
      </c>
      <c r="AK302" t="str">
        <f t="shared" si="80"/>
        <v/>
      </c>
      <c r="AL302" t="str">
        <f t="shared" si="81"/>
        <v/>
      </c>
      <c r="AN302" t="str">
        <f>IFERROR(ROUND(L302*(G302/$AW302)/VLOOKUP(F302,商品!$A$4:$D$67,4,FALSE),0),"")</f>
        <v/>
      </c>
      <c r="AO302" t="str">
        <f>IFERROR(ROUND(L302*(I302/$AW302)/VLOOKUP(H302,商品!$A$4:$D$67,4,FALSE),0),"")</f>
        <v/>
      </c>
      <c r="AP302" t="str">
        <f>IFERROR(ROUND(L302*(K302/$AW302)/VLOOKUP(J302,商品!$A$4:$D$67,4,FALSE),0),"")</f>
        <v/>
      </c>
      <c r="AQ302" t="str">
        <f>IFERROR(ROUND(S302*(N302/$AX302)/VLOOKUP(M302,职业!$A$3:$E$16,4,FALSE),0),"")</f>
        <v/>
      </c>
      <c r="AR302" t="str">
        <f>IFERROR(ROUND(S302*(P302/$AX302)/VLOOKUP(O302,职业!$A$3:$E$16,4,FALSE),0),"")</f>
        <v/>
      </c>
      <c r="AS302" t="str">
        <f>IFERROR(ROUND(S302*(R302/$AX302)/VLOOKUP(Q302,职业!$A$3:$E$16,4,FALSE),0),"")</f>
        <v/>
      </c>
      <c r="AT302" t="str">
        <f>IFERROR(ROUND(X302*(U302/$AY302)/VLOOKUP(T302,商品!$A$4:$D$67,4,FALSE),0),"")</f>
        <v/>
      </c>
      <c r="AU302" t="str">
        <f>IFERROR(ROUND(X302*(W302/$AY302)/VLOOKUP(V302,商品!$A$4:$D$67,4,FALSE),0),"")</f>
        <v/>
      </c>
      <c r="AW302">
        <f t="shared" si="82"/>
        <v>0</v>
      </c>
      <c r="AX302">
        <f t="shared" si="83"/>
        <v>0</v>
      </c>
      <c r="AY302">
        <f t="shared" si="84"/>
        <v>0</v>
      </c>
    </row>
    <row r="303" customHeight="1" spans="1:51">
      <c r="A303" s="18" t="s">
        <v>342</v>
      </c>
      <c r="C303" s="18">
        <v>1</v>
      </c>
      <c r="D303" s="1" t="s">
        <v>238</v>
      </c>
      <c r="E303" s="1" t="s">
        <v>224</v>
      </c>
      <c r="L303" s="18">
        <f>IFERROR(VLOOKUP($D303&amp;$C303,生产方式定位!$A$2:$E$38,2,FALSE)+VLOOKUP($E303&amp;$C303,生产方式定位!$F$3:$J$38,2,FALSE),0)</f>
        <v>1000</v>
      </c>
      <c r="S303" s="18">
        <f>IFERROR(VLOOKUP($D303&amp;$C303,生产方式定位!$A$2:$E$38,3,FALSE)+VLOOKUP($E303&amp;$C303,生产方式定位!$F$3:$J$38,3,FALSE),0)</f>
        <v>80</v>
      </c>
      <c r="X303" s="18">
        <f>IFERROR(VLOOKUP($D303&amp;$C303,生产方式定位!$A$2:$E$38,5,FALSE)+VLOOKUP($E303&amp;$C303,生产方式定位!$F$3:$J$38,5,FALSE),"错误")</f>
        <v>972</v>
      </c>
      <c r="Y303" s="27" t="str">
        <f t="shared" si="68"/>
        <v/>
      </c>
      <c r="Z303" s="50" t="str">
        <f t="shared" si="71"/>
        <v/>
      </c>
      <c r="AA303" s="50" t="str">
        <f t="shared" si="69"/>
        <v/>
      </c>
      <c r="AB303" s="28" t="str">
        <f t="shared" si="72"/>
        <v>-3%</v>
      </c>
      <c r="AC303" s="1">
        <f t="shared" si="73"/>
        <v>-108</v>
      </c>
      <c r="AD303" s="52">
        <f t="shared" si="70"/>
        <v>1</v>
      </c>
      <c r="AE303" t="str">
        <f t="shared" si="74"/>
        <v/>
      </c>
      <c r="AF303" t="str">
        <f t="shared" si="75"/>
        <v/>
      </c>
      <c r="AG303" t="str">
        <f t="shared" si="76"/>
        <v/>
      </c>
      <c r="AH303" t="str">
        <f t="shared" si="77"/>
        <v/>
      </c>
      <c r="AI303" t="str">
        <f t="shared" si="78"/>
        <v/>
      </c>
      <c r="AJ303" t="str">
        <f t="shared" si="79"/>
        <v/>
      </c>
      <c r="AK303" t="str">
        <f t="shared" si="80"/>
        <v/>
      </c>
      <c r="AL303" t="str">
        <f t="shared" si="81"/>
        <v/>
      </c>
      <c r="AN303" t="str">
        <f>IFERROR(ROUND(L303*(G303/$AW303)/VLOOKUP(F303,商品!$A$4:$D$67,4,FALSE),0),"")</f>
        <v/>
      </c>
      <c r="AO303" t="str">
        <f>IFERROR(ROUND(L303*(I303/$AW303)/VLOOKUP(H303,商品!$A$4:$D$67,4,FALSE),0),"")</f>
        <v/>
      </c>
      <c r="AP303" t="str">
        <f>IFERROR(ROUND(L303*(K303/$AW303)/VLOOKUP(J303,商品!$A$4:$D$67,4,FALSE),0),"")</f>
        <v/>
      </c>
      <c r="AQ303" t="str">
        <f>IFERROR(ROUND(S303*(N303/$AX303)/VLOOKUP(M303,职业!$A$3:$E$16,4,FALSE),0),"")</f>
        <v/>
      </c>
      <c r="AR303" t="str">
        <f>IFERROR(ROUND(S303*(P303/$AX303)/VLOOKUP(O303,职业!$A$3:$E$16,4,FALSE),0),"")</f>
        <v/>
      </c>
      <c r="AS303" t="str">
        <f>IFERROR(ROUND(S303*(R303/$AX303)/VLOOKUP(Q303,职业!$A$3:$E$16,4,FALSE),0),"")</f>
        <v/>
      </c>
      <c r="AT303" t="str">
        <f>IFERROR(ROUND(X303*(U303/$AY303)/VLOOKUP(T303,商品!$A$4:$D$67,4,FALSE),0),"")</f>
        <v/>
      </c>
      <c r="AU303" t="str">
        <f>IFERROR(ROUND(X303*(W303/$AY303)/VLOOKUP(V303,商品!$A$4:$D$67,4,FALSE),0),"")</f>
        <v/>
      </c>
      <c r="AW303">
        <f t="shared" si="82"/>
        <v>0</v>
      </c>
      <c r="AX303">
        <f t="shared" si="83"/>
        <v>0</v>
      </c>
      <c r="AY303">
        <f t="shared" si="84"/>
        <v>0</v>
      </c>
    </row>
    <row r="304" customHeight="1" spans="1:51">
      <c r="A304" s="18" t="s">
        <v>342</v>
      </c>
      <c r="C304" s="18">
        <v>2</v>
      </c>
      <c r="D304" s="1" t="s">
        <v>238</v>
      </c>
      <c r="E304" s="1" t="s">
        <v>224</v>
      </c>
      <c r="L304" s="18">
        <f>IFERROR(VLOOKUP($D304&amp;$C304,生产方式定位!$A$2:$E$38,2,FALSE)+VLOOKUP($E304&amp;$C304,生产方式定位!$F$3:$J$38,2,FALSE),0)</f>
        <v>1400</v>
      </c>
      <c r="S304" s="18">
        <f>IFERROR(VLOOKUP($D304&amp;$C304,生产方式定位!$A$2:$E$38,3,FALSE)+VLOOKUP($E304&amp;$C304,生产方式定位!$F$3:$J$38,3,FALSE),0)</f>
        <v>45</v>
      </c>
      <c r="X304" s="18">
        <f>IFERROR(VLOOKUP($D304&amp;$C304,生产方式定位!$A$2:$E$38,5,FALSE)+VLOOKUP($E304&amp;$C304,生产方式定位!$F$3:$J$38,5,FALSE),"错误")</f>
        <v>1688</v>
      </c>
      <c r="Y304" s="27" t="str">
        <f t="shared" si="68"/>
        <v/>
      </c>
      <c r="Z304" s="50" t="str">
        <f t="shared" si="71"/>
        <v/>
      </c>
      <c r="AA304" s="50" t="str">
        <f t="shared" si="69"/>
        <v/>
      </c>
      <c r="AB304" s="28" t="str">
        <f t="shared" si="72"/>
        <v>21%</v>
      </c>
      <c r="AC304" s="1">
        <f t="shared" si="73"/>
        <v>243</v>
      </c>
      <c r="AD304" s="52">
        <f t="shared" si="70"/>
        <v>2</v>
      </c>
      <c r="AE304" t="str">
        <f t="shared" si="74"/>
        <v/>
      </c>
      <c r="AF304" t="str">
        <f t="shared" si="75"/>
        <v/>
      </c>
      <c r="AG304" t="str">
        <f t="shared" si="76"/>
        <v/>
      </c>
      <c r="AH304" t="str">
        <f t="shared" si="77"/>
        <v/>
      </c>
      <c r="AI304" t="str">
        <f t="shared" si="78"/>
        <v/>
      </c>
      <c r="AJ304" t="str">
        <f t="shared" si="79"/>
        <v/>
      </c>
      <c r="AK304" t="str">
        <f t="shared" si="80"/>
        <v/>
      </c>
      <c r="AL304" t="str">
        <f t="shared" si="81"/>
        <v/>
      </c>
      <c r="AN304" t="str">
        <f>IFERROR(ROUND(L304*(G304/$AW304)/VLOOKUP(F304,商品!$A$4:$D$67,4,FALSE),0),"")</f>
        <v/>
      </c>
      <c r="AO304" t="str">
        <f>IFERROR(ROUND(L304*(I304/$AW304)/VLOOKUP(H304,商品!$A$4:$D$67,4,FALSE),0),"")</f>
        <v/>
      </c>
      <c r="AP304" t="str">
        <f>IFERROR(ROUND(L304*(K304/$AW304)/VLOOKUP(J304,商品!$A$4:$D$67,4,FALSE),0),"")</f>
        <v/>
      </c>
      <c r="AQ304" t="str">
        <f>IFERROR(ROUND(S304*(N304/$AX304)/VLOOKUP(M304,职业!$A$3:$E$16,4,FALSE),0),"")</f>
        <v/>
      </c>
      <c r="AR304" t="str">
        <f>IFERROR(ROUND(S304*(P304/$AX304)/VLOOKUP(O304,职业!$A$3:$E$16,4,FALSE),0),"")</f>
        <v/>
      </c>
      <c r="AS304" t="str">
        <f>IFERROR(ROUND(S304*(R304/$AX304)/VLOOKUP(Q304,职业!$A$3:$E$16,4,FALSE),0),"")</f>
        <v/>
      </c>
      <c r="AT304" t="str">
        <f>IFERROR(ROUND(X304*(U304/$AY304)/VLOOKUP(T304,商品!$A$4:$D$67,4,FALSE),0),"")</f>
        <v/>
      </c>
      <c r="AU304" t="str">
        <f>IFERROR(ROUND(X304*(W304/$AY304)/VLOOKUP(V304,商品!$A$4:$D$67,4,FALSE),0),"")</f>
        <v/>
      </c>
      <c r="AW304">
        <f t="shared" si="82"/>
        <v>0</v>
      </c>
      <c r="AX304">
        <f t="shared" si="83"/>
        <v>0</v>
      </c>
      <c r="AY304">
        <f t="shared" si="84"/>
        <v>0</v>
      </c>
    </row>
    <row r="305" customHeight="1" spans="1:51">
      <c r="A305" s="18" t="s">
        <v>342</v>
      </c>
      <c r="C305" s="18">
        <v>3</v>
      </c>
      <c r="D305" s="1" t="s">
        <v>238</v>
      </c>
      <c r="E305" s="1" t="s">
        <v>224</v>
      </c>
      <c r="L305" s="18">
        <f>IFERROR(VLOOKUP($D305&amp;$C305,生产方式定位!$A$2:$E$38,2,FALSE)+VLOOKUP($E305&amp;$C305,生产方式定位!$F$3:$J$38,2,FALSE),0)</f>
        <v>1800</v>
      </c>
      <c r="S305" s="18">
        <f>IFERROR(VLOOKUP($D305&amp;$C305,生产方式定位!$A$2:$E$38,3,FALSE)+VLOOKUP($E305&amp;$C305,生产方式定位!$F$3:$J$38,3,FALSE),0)</f>
        <v>30</v>
      </c>
      <c r="X305" s="18">
        <f>IFERROR(VLOOKUP($D305&amp;$C305,生产方式定位!$A$2:$E$38,5,FALSE)+VLOOKUP($E305&amp;$C305,生产方式定位!$F$3:$J$38,5,FALSE),"错误")</f>
        <v>2458</v>
      </c>
      <c r="Y305" s="27" t="str">
        <f t="shared" si="68"/>
        <v/>
      </c>
      <c r="Z305" s="50" t="str">
        <f t="shared" si="71"/>
        <v/>
      </c>
      <c r="AA305" s="50" t="str">
        <f t="shared" si="69"/>
        <v/>
      </c>
      <c r="AB305" s="28" t="str">
        <f t="shared" si="72"/>
        <v>37%</v>
      </c>
      <c r="AC305" s="1">
        <f t="shared" si="73"/>
        <v>628</v>
      </c>
      <c r="AD305" s="52">
        <f t="shared" si="70"/>
        <v>3</v>
      </c>
      <c r="AE305" t="str">
        <f t="shared" si="74"/>
        <v/>
      </c>
      <c r="AF305" t="str">
        <f t="shared" si="75"/>
        <v/>
      </c>
      <c r="AG305" t="str">
        <f t="shared" si="76"/>
        <v/>
      </c>
      <c r="AH305" t="str">
        <f t="shared" si="77"/>
        <v/>
      </c>
      <c r="AI305" t="str">
        <f t="shared" si="78"/>
        <v/>
      </c>
      <c r="AJ305" t="str">
        <f t="shared" si="79"/>
        <v/>
      </c>
      <c r="AK305" t="str">
        <f t="shared" si="80"/>
        <v/>
      </c>
      <c r="AL305" t="str">
        <f t="shared" si="81"/>
        <v/>
      </c>
      <c r="AN305" t="str">
        <f>IFERROR(ROUND(L305*(G305/$AW305)/VLOOKUP(F305,商品!$A$4:$D$67,4,FALSE),0),"")</f>
        <v/>
      </c>
      <c r="AO305" t="str">
        <f>IFERROR(ROUND(L305*(I305/$AW305)/VLOOKUP(H305,商品!$A$4:$D$67,4,FALSE),0),"")</f>
        <v/>
      </c>
      <c r="AP305" t="str">
        <f>IFERROR(ROUND(L305*(K305/$AW305)/VLOOKUP(J305,商品!$A$4:$D$67,4,FALSE),0),"")</f>
        <v/>
      </c>
      <c r="AQ305" t="str">
        <f>IFERROR(ROUND(S305*(N305/$AX305)/VLOOKUP(M305,职业!$A$3:$E$16,4,FALSE),0),"")</f>
        <v/>
      </c>
      <c r="AR305" t="str">
        <f>IFERROR(ROUND(S305*(P305/$AX305)/VLOOKUP(O305,职业!$A$3:$E$16,4,FALSE),0),"")</f>
        <v/>
      </c>
      <c r="AS305" t="str">
        <f>IFERROR(ROUND(S305*(R305/$AX305)/VLOOKUP(Q305,职业!$A$3:$E$16,4,FALSE),0),"")</f>
        <v/>
      </c>
      <c r="AT305" t="str">
        <f>IFERROR(ROUND(X305*(U305/$AY305)/VLOOKUP(T305,商品!$A$4:$D$67,4,FALSE),0),"")</f>
        <v/>
      </c>
      <c r="AU305" t="str">
        <f>IFERROR(ROUND(X305*(W305/$AY305)/VLOOKUP(V305,商品!$A$4:$D$67,4,FALSE),0),"")</f>
        <v/>
      </c>
      <c r="AW305">
        <f t="shared" si="82"/>
        <v>0</v>
      </c>
      <c r="AX305">
        <f t="shared" si="83"/>
        <v>0</v>
      </c>
      <c r="AY305">
        <f t="shared" si="84"/>
        <v>0</v>
      </c>
    </row>
    <row r="306" customHeight="1" spans="1:51">
      <c r="A306" s="18" t="s">
        <v>342</v>
      </c>
      <c r="C306" s="18">
        <v>4</v>
      </c>
      <c r="D306" s="1" t="s">
        <v>238</v>
      </c>
      <c r="E306" s="1" t="s">
        <v>224</v>
      </c>
      <c r="L306" s="18">
        <f>IFERROR(VLOOKUP($D306&amp;$C306,生产方式定位!$A$2:$E$38,2,FALSE)+VLOOKUP($E306&amp;$C306,生产方式定位!$F$3:$J$38,2,FALSE),0)</f>
        <v>2200</v>
      </c>
      <c r="S306" s="18">
        <f>IFERROR(VLOOKUP($D306&amp;$C306,生产方式定位!$A$2:$E$38,3,FALSE)+VLOOKUP($E306&amp;$C306,生产方式定位!$F$3:$J$38,3,FALSE),0)</f>
        <v>15</v>
      </c>
      <c r="X306" s="18">
        <f>IFERROR(VLOOKUP($D306&amp;$C306,生产方式定位!$A$2:$E$38,5,FALSE)+VLOOKUP($E306&amp;$C306,生产方式定位!$F$3:$J$38,5,FALSE),"错误")</f>
        <v>3470</v>
      </c>
      <c r="Y306" s="27" t="str">
        <f t="shared" si="68"/>
        <v/>
      </c>
      <c r="Z306" s="50" t="str">
        <f t="shared" si="71"/>
        <v/>
      </c>
      <c r="AA306" s="50" t="str">
        <f t="shared" si="69"/>
        <v/>
      </c>
      <c r="AB306" s="28" t="str">
        <f t="shared" si="72"/>
        <v>58%</v>
      </c>
      <c r="AC306" s="1">
        <f t="shared" si="73"/>
        <v>1255</v>
      </c>
      <c r="AD306" s="52">
        <f t="shared" si="70"/>
        <v>4</v>
      </c>
      <c r="AE306" t="str">
        <f t="shared" si="74"/>
        <v/>
      </c>
      <c r="AF306" t="str">
        <f t="shared" si="75"/>
        <v/>
      </c>
      <c r="AG306" t="str">
        <f t="shared" si="76"/>
        <v/>
      </c>
      <c r="AH306" t="str">
        <f t="shared" si="77"/>
        <v/>
      </c>
      <c r="AI306" t="str">
        <f t="shared" si="78"/>
        <v/>
      </c>
      <c r="AJ306" t="str">
        <f t="shared" si="79"/>
        <v/>
      </c>
      <c r="AK306" t="str">
        <f t="shared" si="80"/>
        <v/>
      </c>
      <c r="AL306" t="str">
        <f t="shared" si="81"/>
        <v/>
      </c>
      <c r="AN306" t="str">
        <f>IFERROR(ROUND(L306*(G306/$AW306)/VLOOKUP(F306,商品!$A$4:$D$67,4,FALSE),0),"")</f>
        <v/>
      </c>
      <c r="AO306" t="str">
        <f>IFERROR(ROUND(L306*(I306/$AW306)/VLOOKUP(H306,商品!$A$4:$D$67,4,FALSE),0),"")</f>
        <v/>
      </c>
      <c r="AP306" t="str">
        <f>IFERROR(ROUND(L306*(K306/$AW306)/VLOOKUP(J306,商品!$A$4:$D$67,4,FALSE),0),"")</f>
        <v/>
      </c>
      <c r="AQ306" t="str">
        <f>IFERROR(ROUND(S306*(N306/$AX306)/VLOOKUP(M306,职业!$A$3:$E$16,4,FALSE),0),"")</f>
        <v/>
      </c>
      <c r="AR306" t="str">
        <f>IFERROR(ROUND(S306*(P306/$AX306)/VLOOKUP(O306,职业!$A$3:$E$16,4,FALSE),0),"")</f>
        <v/>
      </c>
      <c r="AS306" t="str">
        <f>IFERROR(ROUND(S306*(R306/$AX306)/VLOOKUP(Q306,职业!$A$3:$E$16,4,FALSE),0),"")</f>
        <v/>
      </c>
      <c r="AT306" t="str">
        <f>IFERROR(ROUND(X306*(U306/$AY306)/VLOOKUP(T306,商品!$A$4:$D$67,4,FALSE),0),"")</f>
        <v/>
      </c>
      <c r="AU306" t="str">
        <f>IFERROR(ROUND(X306*(W306/$AY306)/VLOOKUP(V306,商品!$A$4:$D$67,4,FALSE),0),"")</f>
        <v/>
      </c>
      <c r="AW306">
        <f t="shared" si="82"/>
        <v>0</v>
      </c>
      <c r="AX306">
        <f t="shared" si="83"/>
        <v>0</v>
      </c>
      <c r="AY306">
        <f t="shared" si="84"/>
        <v>0</v>
      </c>
    </row>
    <row r="307" customHeight="1" spans="1:51">
      <c r="A307" s="18" t="s">
        <v>342</v>
      </c>
      <c r="C307" s="18">
        <v>5</v>
      </c>
      <c r="D307" s="1" t="s">
        <v>238</v>
      </c>
      <c r="E307" s="1" t="s">
        <v>224</v>
      </c>
      <c r="L307" s="18">
        <f>IFERROR(VLOOKUP($D307&amp;$C307,生产方式定位!$A$2:$E$38,2,FALSE)+VLOOKUP($E307&amp;$C307,生产方式定位!$F$3:$J$38,2,FALSE),0)</f>
        <v>2600</v>
      </c>
      <c r="S307" s="18">
        <f>IFERROR(VLOOKUP($D307&amp;$C307,生产方式定位!$A$2:$E$38,3,FALSE)+VLOOKUP($E307&amp;$C307,生产方式定位!$F$3:$J$38,3,FALSE),0)</f>
        <v>0</v>
      </c>
      <c r="X307" s="18">
        <f>IFERROR(VLOOKUP($D307&amp;$C307,生产方式定位!$A$2:$E$38,5,FALSE)+VLOOKUP($E307&amp;$C307,生产方式定位!$F$3:$J$38,5,FALSE),"错误")</f>
        <v>4890</v>
      </c>
      <c r="Y307" s="27" t="str">
        <f t="shared" si="68"/>
        <v/>
      </c>
      <c r="Z307" s="50" t="str">
        <f t="shared" si="71"/>
        <v/>
      </c>
      <c r="AA307" s="50" t="str">
        <f t="shared" si="69"/>
        <v/>
      </c>
      <c r="AB307" s="28" t="str">
        <f t="shared" si="72"/>
        <v>88%</v>
      </c>
      <c r="AC307" s="1">
        <f t="shared" si="73"/>
        <v>2290</v>
      </c>
      <c r="AD307" s="52">
        <f t="shared" si="70"/>
        <v>5</v>
      </c>
      <c r="AE307" t="str">
        <f t="shared" si="74"/>
        <v/>
      </c>
      <c r="AF307" t="str">
        <f t="shared" si="75"/>
        <v/>
      </c>
      <c r="AG307" t="str">
        <f t="shared" si="76"/>
        <v/>
      </c>
      <c r="AH307" t="str">
        <f t="shared" si="77"/>
        <v/>
      </c>
      <c r="AI307" t="str">
        <f t="shared" si="78"/>
        <v/>
      </c>
      <c r="AJ307" t="str">
        <f t="shared" si="79"/>
        <v/>
      </c>
      <c r="AK307" t="str">
        <f t="shared" si="80"/>
        <v/>
      </c>
      <c r="AL307" t="str">
        <f t="shared" si="81"/>
        <v/>
      </c>
      <c r="AN307" t="str">
        <f>IFERROR(ROUND(L307*(G307/$AW307)/VLOOKUP(F307,商品!$A$4:$D$67,4,FALSE),0),"")</f>
        <v/>
      </c>
      <c r="AO307" t="str">
        <f>IFERROR(ROUND(L307*(I307/$AW307)/VLOOKUP(H307,商品!$A$4:$D$67,4,FALSE),0),"")</f>
        <v/>
      </c>
      <c r="AP307" t="str">
        <f>IFERROR(ROUND(L307*(K307/$AW307)/VLOOKUP(J307,商品!$A$4:$D$67,4,FALSE),0),"")</f>
        <v/>
      </c>
      <c r="AQ307" t="str">
        <f>IFERROR(ROUND(S307*(N307/$AX307)/VLOOKUP(M307,职业!$A$3:$E$16,4,FALSE),0),"")</f>
        <v/>
      </c>
      <c r="AR307" t="str">
        <f>IFERROR(ROUND(S307*(P307/$AX307)/VLOOKUP(O307,职业!$A$3:$E$16,4,FALSE),0),"")</f>
        <v/>
      </c>
      <c r="AS307" t="str">
        <f>IFERROR(ROUND(S307*(R307/$AX307)/VLOOKUP(Q307,职业!$A$3:$E$16,4,FALSE),0),"")</f>
        <v/>
      </c>
      <c r="AT307" t="str">
        <f>IFERROR(ROUND(X307*(U307/$AY307)/VLOOKUP(T307,商品!$A$4:$D$67,4,FALSE),0),"")</f>
        <v/>
      </c>
      <c r="AU307" t="str">
        <f>IFERROR(ROUND(X307*(W307/$AY307)/VLOOKUP(V307,商品!$A$4:$D$67,4,FALSE),0),"")</f>
        <v/>
      </c>
      <c r="AW307">
        <f t="shared" si="82"/>
        <v>0</v>
      </c>
      <c r="AX307">
        <f t="shared" si="83"/>
        <v>0</v>
      </c>
      <c r="AY307">
        <f t="shared" si="84"/>
        <v>0</v>
      </c>
    </row>
    <row r="308" customHeight="1" spans="1:51">
      <c r="A308" s="5" t="s">
        <v>342</v>
      </c>
      <c r="C308" s="5">
        <v>1</v>
      </c>
      <c r="D308" s="1" t="s">
        <v>238</v>
      </c>
      <c r="E308" s="1" t="s">
        <v>224</v>
      </c>
      <c r="L308" s="5">
        <f>IFERROR(VLOOKUP($D308&amp;$C308,生产方式定位!$A$2:$E$38,2,FALSE)+VLOOKUP($E308&amp;$C308,生产方式定位!$F$3:$J$38,2,FALSE),0)</f>
        <v>1000</v>
      </c>
      <c r="S308" s="5">
        <f>IFERROR(VLOOKUP($D308&amp;$C308,生产方式定位!$A$2:$E$38,3,FALSE)+VLOOKUP($E308&amp;$C308,生产方式定位!$F$3:$J$38,3,FALSE),0)</f>
        <v>80</v>
      </c>
      <c r="X308" s="5">
        <f>IFERROR(VLOOKUP($D308&amp;$C308,生产方式定位!$A$2:$E$38,5,FALSE)+VLOOKUP($E308&amp;$C308,生产方式定位!$F$3:$J$38,5,FALSE),"错误")</f>
        <v>972</v>
      </c>
      <c r="Y308" s="27" t="str">
        <f t="shared" si="68"/>
        <v/>
      </c>
      <c r="Z308" s="50" t="str">
        <f t="shared" si="71"/>
        <v/>
      </c>
      <c r="AA308" s="50" t="str">
        <f t="shared" si="69"/>
        <v/>
      </c>
      <c r="AB308" s="28" t="str">
        <f t="shared" si="72"/>
        <v>-3%</v>
      </c>
      <c r="AC308" s="1">
        <f t="shared" si="73"/>
        <v>-108</v>
      </c>
      <c r="AD308" s="51">
        <f t="shared" si="70"/>
        <v>1</v>
      </c>
      <c r="AE308" t="str">
        <f t="shared" si="74"/>
        <v/>
      </c>
      <c r="AF308" t="str">
        <f t="shared" si="75"/>
        <v/>
      </c>
      <c r="AG308" t="str">
        <f t="shared" si="76"/>
        <v/>
      </c>
      <c r="AH308" t="str">
        <f t="shared" si="77"/>
        <v/>
      </c>
      <c r="AI308" t="str">
        <f t="shared" si="78"/>
        <v/>
      </c>
      <c r="AJ308" t="str">
        <f t="shared" si="79"/>
        <v/>
      </c>
      <c r="AK308" t="str">
        <f t="shared" si="80"/>
        <v/>
      </c>
      <c r="AL308" t="str">
        <f t="shared" si="81"/>
        <v/>
      </c>
      <c r="AN308" t="str">
        <f>IFERROR(ROUND(L308*(G308/$AW308)/VLOOKUP(F308,商品!$A$4:$D$67,4,FALSE),0),"")</f>
        <v/>
      </c>
      <c r="AO308" t="str">
        <f>IFERROR(ROUND(L308*(I308/$AW308)/VLOOKUP(H308,商品!$A$4:$D$67,4,FALSE),0),"")</f>
        <v/>
      </c>
      <c r="AP308" t="str">
        <f>IFERROR(ROUND(L308*(K308/$AW308)/VLOOKUP(J308,商品!$A$4:$D$67,4,FALSE),0),"")</f>
        <v/>
      </c>
      <c r="AQ308" t="str">
        <f>IFERROR(ROUND(S308*(N308/$AX308)/VLOOKUP(M308,职业!$A$3:$E$16,4,FALSE),0),"")</f>
        <v/>
      </c>
      <c r="AR308" t="str">
        <f>IFERROR(ROUND(S308*(P308/$AX308)/VLOOKUP(O308,职业!$A$3:$E$16,4,FALSE),0),"")</f>
        <v/>
      </c>
      <c r="AS308" t="str">
        <f>IFERROR(ROUND(S308*(R308/$AX308)/VLOOKUP(Q308,职业!$A$3:$E$16,4,FALSE),0),"")</f>
        <v/>
      </c>
      <c r="AT308" t="str">
        <f>IFERROR(ROUND(X308*(U308/$AY308)/VLOOKUP(T308,商品!$A$4:$D$67,4,FALSE),0),"")</f>
        <v/>
      </c>
      <c r="AU308" t="str">
        <f>IFERROR(ROUND(X308*(W308/$AY308)/VLOOKUP(V308,商品!$A$4:$D$67,4,FALSE),0),"")</f>
        <v/>
      </c>
      <c r="AW308">
        <f t="shared" si="82"/>
        <v>0</v>
      </c>
      <c r="AX308">
        <f t="shared" si="83"/>
        <v>0</v>
      </c>
      <c r="AY308">
        <f t="shared" si="84"/>
        <v>0</v>
      </c>
    </row>
    <row r="309" customHeight="1" spans="1:51">
      <c r="A309" s="5" t="s">
        <v>342</v>
      </c>
      <c r="C309" s="5">
        <v>2</v>
      </c>
      <c r="D309" s="1" t="s">
        <v>238</v>
      </c>
      <c r="E309" s="1" t="s">
        <v>224</v>
      </c>
      <c r="L309" s="5">
        <f>IFERROR(VLOOKUP($D309&amp;$C309,生产方式定位!$A$2:$E$38,2,FALSE)+VLOOKUP($E309&amp;$C309,生产方式定位!$F$3:$J$38,2,FALSE),0)</f>
        <v>1400</v>
      </c>
      <c r="S309" s="5">
        <f>IFERROR(VLOOKUP($D309&amp;$C309,生产方式定位!$A$2:$E$38,3,FALSE)+VLOOKUP($E309&amp;$C309,生产方式定位!$F$3:$J$38,3,FALSE),0)</f>
        <v>45</v>
      </c>
      <c r="X309" s="5">
        <f>IFERROR(VLOOKUP($D309&amp;$C309,生产方式定位!$A$2:$E$38,5,FALSE)+VLOOKUP($E309&amp;$C309,生产方式定位!$F$3:$J$38,5,FALSE),"错误")</f>
        <v>1688</v>
      </c>
      <c r="Y309" s="27" t="str">
        <f t="shared" si="68"/>
        <v/>
      </c>
      <c r="Z309" s="50" t="str">
        <f t="shared" si="71"/>
        <v/>
      </c>
      <c r="AA309" s="50" t="str">
        <f t="shared" si="69"/>
        <v/>
      </c>
      <c r="AB309" s="28" t="str">
        <f t="shared" si="72"/>
        <v>21%</v>
      </c>
      <c r="AC309" s="1">
        <f t="shared" si="73"/>
        <v>243</v>
      </c>
      <c r="AD309" s="51">
        <f t="shared" si="70"/>
        <v>2</v>
      </c>
      <c r="AE309" t="str">
        <f t="shared" si="74"/>
        <v/>
      </c>
      <c r="AF309" t="str">
        <f t="shared" si="75"/>
        <v/>
      </c>
      <c r="AG309" t="str">
        <f t="shared" si="76"/>
        <v/>
      </c>
      <c r="AH309" t="str">
        <f t="shared" si="77"/>
        <v/>
      </c>
      <c r="AI309" t="str">
        <f t="shared" si="78"/>
        <v/>
      </c>
      <c r="AJ309" t="str">
        <f t="shared" si="79"/>
        <v/>
      </c>
      <c r="AK309" t="str">
        <f t="shared" si="80"/>
        <v/>
      </c>
      <c r="AL309" t="str">
        <f t="shared" si="81"/>
        <v/>
      </c>
      <c r="AN309" t="str">
        <f>IFERROR(ROUND(L309*(G309/$AW309)/VLOOKUP(F309,商品!$A$4:$D$67,4,FALSE),0),"")</f>
        <v/>
      </c>
      <c r="AO309" t="str">
        <f>IFERROR(ROUND(L309*(I309/$AW309)/VLOOKUP(H309,商品!$A$4:$D$67,4,FALSE),0),"")</f>
        <v/>
      </c>
      <c r="AP309" t="str">
        <f>IFERROR(ROUND(L309*(K309/$AW309)/VLOOKUP(J309,商品!$A$4:$D$67,4,FALSE),0),"")</f>
        <v/>
      </c>
      <c r="AQ309" t="str">
        <f>IFERROR(ROUND(S309*(N309/$AX309)/VLOOKUP(M309,职业!$A$3:$E$16,4,FALSE),0),"")</f>
        <v/>
      </c>
      <c r="AR309" t="str">
        <f>IFERROR(ROUND(S309*(P309/$AX309)/VLOOKUP(O309,职业!$A$3:$E$16,4,FALSE),0),"")</f>
        <v/>
      </c>
      <c r="AS309" t="str">
        <f>IFERROR(ROUND(S309*(R309/$AX309)/VLOOKUP(Q309,职业!$A$3:$E$16,4,FALSE),0),"")</f>
        <v/>
      </c>
      <c r="AT309" t="str">
        <f>IFERROR(ROUND(X309*(U309/$AY309)/VLOOKUP(T309,商品!$A$4:$D$67,4,FALSE),0),"")</f>
        <v/>
      </c>
      <c r="AU309" t="str">
        <f>IFERROR(ROUND(X309*(W309/$AY309)/VLOOKUP(V309,商品!$A$4:$D$67,4,FALSE),0),"")</f>
        <v/>
      </c>
      <c r="AW309">
        <f t="shared" si="82"/>
        <v>0</v>
      </c>
      <c r="AX309">
        <f t="shared" si="83"/>
        <v>0</v>
      </c>
      <c r="AY309">
        <f t="shared" si="84"/>
        <v>0</v>
      </c>
    </row>
    <row r="310" customHeight="1" spans="1:51">
      <c r="A310" s="5" t="s">
        <v>342</v>
      </c>
      <c r="C310" s="5">
        <v>3</v>
      </c>
      <c r="D310" s="1" t="s">
        <v>238</v>
      </c>
      <c r="E310" s="1" t="s">
        <v>224</v>
      </c>
      <c r="L310" s="5">
        <f>IFERROR(VLOOKUP($D310&amp;$C310,生产方式定位!$A$2:$E$38,2,FALSE)+VLOOKUP($E310&amp;$C310,生产方式定位!$F$3:$J$38,2,FALSE),0)</f>
        <v>1800</v>
      </c>
      <c r="S310" s="5">
        <f>IFERROR(VLOOKUP($D310&amp;$C310,生产方式定位!$A$2:$E$38,3,FALSE)+VLOOKUP($E310&amp;$C310,生产方式定位!$F$3:$J$38,3,FALSE),0)</f>
        <v>30</v>
      </c>
      <c r="X310" s="5">
        <f>IFERROR(VLOOKUP($D310&amp;$C310,生产方式定位!$A$2:$E$38,5,FALSE)+VLOOKUP($E310&amp;$C310,生产方式定位!$F$3:$J$38,5,FALSE),"错误")</f>
        <v>2458</v>
      </c>
      <c r="Y310" s="27" t="str">
        <f t="shared" si="68"/>
        <v/>
      </c>
      <c r="Z310" s="50" t="str">
        <f t="shared" si="71"/>
        <v/>
      </c>
      <c r="AA310" s="50" t="str">
        <f t="shared" si="69"/>
        <v/>
      </c>
      <c r="AB310" s="28" t="str">
        <f t="shared" si="72"/>
        <v>37%</v>
      </c>
      <c r="AC310" s="1">
        <f t="shared" si="73"/>
        <v>628</v>
      </c>
      <c r="AD310" s="51">
        <f t="shared" si="70"/>
        <v>3</v>
      </c>
      <c r="AE310" t="str">
        <f t="shared" si="74"/>
        <v/>
      </c>
      <c r="AF310" t="str">
        <f t="shared" si="75"/>
        <v/>
      </c>
      <c r="AG310" t="str">
        <f t="shared" si="76"/>
        <v/>
      </c>
      <c r="AH310" t="str">
        <f t="shared" si="77"/>
        <v/>
      </c>
      <c r="AI310" t="str">
        <f t="shared" si="78"/>
        <v/>
      </c>
      <c r="AJ310" t="str">
        <f t="shared" si="79"/>
        <v/>
      </c>
      <c r="AK310" t="str">
        <f t="shared" si="80"/>
        <v/>
      </c>
      <c r="AL310" t="str">
        <f t="shared" si="81"/>
        <v/>
      </c>
      <c r="AN310" t="str">
        <f>IFERROR(ROUND(L310*(G310/$AW310)/VLOOKUP(F310,商品!$A$4:$D$67,4,FALSE),0),"")</f>
        <v/>
      </c>
      <c r="AO310" t="str">
        <f>IFERROR(ROUND(L310*(I310/$AW310)/VLOOKUP(H310,商品!$A$4:$D$67,4,FALSE),0),"")</f>
        <v/>
      </c>
      <c r="AP310" t="str">
        <f>IFERROR(ROUND(L310*(K310/$AW310)/VLOOKUP(J310,商品!$A$4:$D$67,4,FALSE),0),"")</f>
        <v/>
      </c>
      <c r="AQ310" t="str">
        <f>IFERROR(ROUND(S310*(N310/$AX310)/VLOOKUP(M310,职业!$A$3:$E$16,4,FALSE),0),"")</f>
        <v/>
      </c>
      <c r="AR310" t="str">
        <f>IFERROR(ROUND(S310*(P310/$AX310)/VLOOKUP(O310,职业!$A$3:$E$16,4,FALSE),0),"")</f>
        <v/>
      </c>
      <c r="AS310" t="str">
        <f>IFERROR(ROUND(S310*(R310/$AX310)/VLOOKUP(Q310,职业!$A$3:$E$16,4,FALSE),0),"")</f>
        <v/>
      </c>
      <c r="AT310" t="str">
        <f>IFERROR(ROUND(X310*(U310/$AY310)/VLOOKUP(T310,商品!$A$4:$D$67,4,FALSE),0),"")</f>
        <v/>
      </c>
      <c r="AU310" t="str">
        <f>IFERROR(ROUND(X310*(W310/$AY310)/VLOOKUP(V310,商品!$A$4:$D$67,4,FALSE),0),"")</f>
        <v/>
      </c>
      <c r="AW310">
        <f t="shared" si="82"/>
        <v>0</v>
      </c>
      <c r="AX310">
        <f t="shared" si="83"/>
        <v>0</v>
      </c>
      <c r="AY310">
        <f t="shared" si="84"/>
        <v>0</v>
      </c>
    </row>
    <row r="311" customHeight="1" spans="1:51">
      <c r="A311" s="5" t="s">
        <v>342</v>
      </c>
      <c r="C311" s="5">
        <v>4</v>
      </c>
      <c r="D311" s="1" t="s">
        <v>238</v>
      </c>
      <c r="E311" s="1" t="s">
        <v>224</v>
      </c>
      <c r="L311" s="5">
        <f>IFERROR(VLOOKUP($D311&amp;$C311,生产方式定位!$A$2:$E$38,2,FALSE)+VLOOKUP($E311&amp;$C311,生产方式定位!$F$3:$J$38,2,FALSE),0)</f>
        <v>2200</v>
      </c>
      <c r="S311" s="5">
        <f>IFERROR(VLOOKUP($D311&amp;$C311,生产方式定位!$A$2:$E$38,3,FALSE)+VLOOKUP($E311&amp;$C311,生产方式定位!$F$3:$J$38,3,FALSE),0)</f>
        <v>15</v>
      </c>
      <c r="X311" s="5">
        <f>IFERROR(VLOOKUP($D311&amp;$C311,生产方式定位!$A$2:$E$38,5,FALSE)+VLOOKUP($E311&amp;$C311,生产方式定位!$F$3:$J$38,5,FALSE),"错误")</f>
        <v>3470</v>
      </c>
      <c r="Y311" s="27" t="str">
        <f t="shared" si="68"/>
        <v/>
      </c>
      <c r="Z311" s="50" t="str">
        <f t="shared" si="71"/>
        <v/>
      </c>
      <c r="AA311" s="50" t="str">
        <f t="shared" si="69"/>
        <v/>
      </c>
      <c r="AB311" s="28" t="str">
        <f t="shared" si="72"/>
        <v>58%</v>
      </c>
      <c r="AC311" s="1">
        <f t="shared" si="73"/>
        <v>1255</v>
      </c>
      <c r="AD311" s="51">
        <f t="shared" si="70"/>
        <v>4</v>
      </c>
      <c r="AE311" t="str">
        <f t="shared" si="74"/>
        <v/>
      </c>
      <c r="AF311" t="str">
        <f t="shared" si="75"/>
        <v/>
      </c>
      <c r="AG311" t="str">
        <f t="shared" si="76"/>
        <v/>
      </c>
      <c r="AH311" t="str">
        <f t="shared" si="77"/>
        <v/>
      </c>
      <c r="AI311" t="str">
        <f t="shared" si="78"/>
        <v/>
      </c>
      <c r="AJ311" t="str">
        <f t="shared" si="79"/>
        <v/>
      </c>
      <c r="AK311" t="str">
        <f t="shared" si="80"/>
        <v/>
      </c>
      <c r="AL311" t="str">
        <f t="shared" si="81"/>
        <v/>
      </c>
      <c r="AN311" t="str">
        <f>IFERROR(ROUND(L311*(G311/$AW311)/VLOOKUP(F311,商品!$A$4:$D$67,4,FALSE),0),"")</f>
        <v/>
      </c>
      <c r="AO311" t="str">
        <f>IFERROR(ROUND(L311*(I311/$AW311)/VLOOKUP(H311,商品!$A$4:$D$67,4,FALSE),0),"")</f>
        <v/>
      </c>
      <c r="AP311" t="str">
        <f>IFERROR(ROUND(L311*(K311/$AW311)/VLOOKUP(J311,商品!$A$4:$D$67,4,FALSE),0),"")</f>
        <v/>
      </c>
      <c r="AQ311" t="str">
        <f>IFERROR(ROUND(S311*(N311/$AX311)/VLOOKUP(M311,职业!$A$3:$E$16,4,FALSE),0),"")</f>
        <v/>
      </c>
      <c r="AR311" t="str">
        <f>IFERROR(ROUND(S311*(P311/$AX311)/VLOOKUP(O311,职业!$A$3:$E$16,4,FALSE),0),"")</f>
        <v/>
      </c>
      <c r="AS311" t="str">
        <f>IFERROR(ROUND(S311*(R311/$AX311)/VLOOKUP(Q311,职业!$A$3:$E$16,4,FALSE),0),"")</f>
        <v/>
      </c>
      <c r="AT311" t="str">
        <f>IFERROR(ROUND(X311*(U311/$AY311)/VLOOKUP(T311,商品!$A$4:$D$67,4,FALSE),0),"")</f>
        <v/>
      </c>
      <c r="AU311" t="str">
        <f>IFERROR(ROUND(X311*(W311/$AY311)/VLOOKUP(V311,商品!$A$4:$D$67,4,FALSE),0),"")</f>
        <v/>
      </c>
      <c r="AW311">
        <f t="shared" si="82"/>
        <v>0</v>
      </c>
      <c r="AX311">
        <f t="shared" si="83"/>
        <v>0</v>
      </c>
      <c r="AY311">
        <f t="shared" si="84"/>
        <v>0</v>
      </c>
    </row>
    <row r="312" customHeight="1" spans="1:51">
      <c r="A312" s="5" t="s">
        <v>342</v>
      </c>
      <c r="C312" s="5">
        <v>5</v>
      </c>
      <c r="D312" s="1" t="s">
        <v>238</v>
      </c>
      <c r="E312" s="1" t="s">
        <v>224</v>
      </c>
      <c r="L312" s="5">
        <f>IFERROR(VLOOKUP($D312&amp;$C312,生产方式定位!$A$2:$E$38,2,FALSE)+VLOOKUP($E312&amp;$C312,生产方式定位!$F$3:$J$38,2,FALSE),0)</f>
        <v>2600</v>
      </c>
      <c r="S312" s="5">
        <f>IFERROR(VLOOKUP($D312&amp;$C312,生产方式定位!$A$2:$E$38,3,FALSE)+VLOOKUP($E312&amp;$C312,生产方式定位!$F$3:$J$38,3,FALSE),0)</f>
        <v>0</v>
      </c>
      <c r="X312" s="5">
        <f>IFERROR(VLOOKUP($D312&amp;$C312,生产方式定位!$A$2:$E$38,5,FALSE)+VLOOKUP($E312&amp;$C312,生产方式定位!$F$3:$J$38,5,FALSE),"错误")</f>
        <v>4890</v>
      </c>
      <c r="Y312" s="27" t="str">
        <f t="shared" si="68"/>
        <v/>
      </c>
      <c r="Z312" s="50" t="str">
        <f t="shared" si="71"/>
        <v/>
      </c>
      <c r="AA312" s="50" t="str">
        <f t="shared" si="69"/>
        <v/>
      </c>
      <c r="AB312" s="28" t="str">
        <f t="shared" si="72"/>
        <v>88%</v>
      </c>
      <c r="AC312" s="1">
        <f t="shared" si="73"/>
        <v>2290</v>
      </c>
      <c r="AD312" s="51">
        <f t="shared" si="70"/>
        <v>5</v>
      </c>
      <c r="AE312" t="str">
        <f t="shared" si="74"/>
        <v/>
      </c>
      <c r="AF312" t="str">
        <f t="shared" si="75"/>
        <v/>
      </c>
      <c r="AG312" t="str">
        <f t="shared" si="76"/>
        <v/>
      </c>
      <c r="AH312" t="str">
        <f t="shared" si="77"/>
        <v/>
      </c>
      <c r="AI312" t="str">
        <f t="shared" si="78"/>
        <v/>
      </c>
      <c r="AJ312" t="str">
        <f t="shared" si="79"/>
        <v/>
      </c>
      <c r="AK312" t="str">
        <f t="shared" si="80"/>
        <v/>
      </c>
      <c r="AL312" t="str">
        <f t="shared" si="81"/>
        <v/>
      </c>
      <c r="AN312" t="str">
        <f>IFERROR(ROUND(L312*(G312/$AW312)/VLOOKUP(F312,商品!$A$4:$D$67,4,FALSE),0),"")</f>
        <v/>
      </c>
      <c r="AO312" t="str">
        <f>IFERROR(ROUND(L312*(I312/$AW312)/VLOOKUP(H312,商品!$A$4:$D$67,4,FALSE),0),"")</f>
        <v/>
      </c>
      <c r="AP312" t="str">
        <f>IFERROR(ROUND(L312*(K312/$AW312)/VLOOKUP(J312,商品!$A$4:$D$67,4,FALSE),0),"")</f>
        <v/>
      </c>
      <c r="AQ312" t="str">
        <f>IFERROR(ROUND(S312*(N312/$AX312)/VLOOKUP(M312,职业!$A$3:$E$16,4,FALSE),0),"")</f>
        <v/>
      </c>
      <c r="AR312" t="str">
        <f>IFERROR(ROUND(S312*(P312/$AX312)/VLOOKUP(O312,职业!$A$3:$E$16,4,FALSE),0),"")</f>
        <v/>
      </c>
      <c r="AS312" t="str">
        <f>IFERROR(ROUND(S312*(R312/$AX312)/VLOOKUP(Q312,职业!$A$3:$E$16,4,FALSE),0),"")</f>
        <v/>
      </c>
      <c r="AT312" t="str">
        <f>IFERROR(ROUND(X312*(U312/$AY312)/VLOOKUP(T312,商品!$A$4:$D$67,4,FALSE),0),"")</f>
        <v/>
      </c>
      <c r="AU312" t="str">
        <f>IFERROR(ROUND(X312*(W312/$AY312)/VLOOKUP(V312,商品!$A$4:$D$67,4,FALSE),0),"")</f>
        <v/>
      </c>
      <c r="AW312">
        <f t="shared" si="82"/>
        <v>0</v>
      </c>
      <c r="AX312">
        <f t="shared" si="83"/>
        <v>0</v>
      </c>
      <c r="AY312">
        <f t="shared" si="84"/>
        <v>0</v>
      </c>
    </row>
    <row r="313" customHeight="1" spans="1:51">
      <c r="A313" s="18" t="s">
        <v>343</v>
      </c>
      <c r="C313" s="18">
        <v>1</v>
      </c>
      <c r="D313" s="1" t="s">
        <v>291</v>
      </c>
      <c r="E313" s="1" t="s">
        <v>225</v>
      </c>
      <c r="L313" s="18">
        <f>IFERROR(VLOOKUP($D313&amp;$C313,生产方式定位!$A$2:$E$38,2,FALSE)+VLOOKUP($E313&amp;$C313,生产方式定位!$F$3:$J$38,2,FALSE),0)</f>
        <v>0</v>
      </c>
      <c r="S313" s="18">
        <f>IFERROR(VLOOKUP($D313&amp;$C313,生产方式定位!$A$2:$E$38,3,FALSE)+VLOOKUP($E313&amp;$C313,生产方式定位!$F$3:$J$38,3,FALSE),0)</f>
        <v>100</v>
      </c>
      <c r="X313" s="18">
        <f>IFERROR(VLOOKUP($D313&amp;$C313,生产方式定位!$A$2:$E$38,5,FALSE)+VLOOKUP($E313&amp;$C313,生产方式定位!$F$3:$J$38,5,FALSE),"错误")</f>
        <v>100</v>
      </c>
      <c r="Y313" s="27" t="str">
        <f t="shared" si="68"/>
        <v/>
      </c>
      <c r="Z313" s="50" t="str">
        <f t="shared" si="71"/>
        <v/>
      </c>
      <c r="AA313" s="50" t="str">
        <f t="shared" si="69"/>
        <v/>
      </c>
      <c r="AB313" s="28" t="str">
        <f t="shared" si="72"/>
        <v/>
      </c>
      <c r="AC313" s="1" t="str">
        <f t="shared" si="73"/>
        <v/>
      </c>
      <c r="AD313" s="52">
        <f t="shared" si="70"/>
        <v>1</v>
      </c>
      <c r="AE313" t="str">
        <f t="shared" si="74"/>
        <v/>
      </c>
      <c r="AF313" t="str">
        <f t="shared" si="75"/>
        <v/>
      </c>
      <c r="AG313" t="str">
        <f t="shared" si="76"/>
        <v/>
      </c>
      <c r="AH313" t="str">
        <f t="shared" si="77"/>
        <v/>
      </c>
      <c r="AI313" t="str">
        <f t="shared" si="78"/>
        <v/>
      </c>
      <c r="AJ313" t="str">
        <f t="shared" si="79"/>
        <v/>
      </c>
      <c r="AK313" t="str">
        <f t="shared" si="80"/>
        <v/>
      </c>
      <c r="AL313" t="str">
        <f t="shared" si="81"/>
        <v/>
      </c>
      <c r="AN313" t="str">
        <f>IFERROR(ROUND(L313*(G313/$AW313)/VLOOKUP(F313,商品!$A$4:$D$67,4,FALSE),0),"")</f>
        <v/>
      </c>
      <c r="AO313" t="str">
        <f>IFERROR(ROUND(L313*(I313/$AW313)/VLOOKUP(H313,商品!$A$4:$D$67,4,FALSE),0),"")</f>
        <v/>
      </c>
      <c r="AP313" t="str">
        <f>IFERROR(ROUND(L313*(K313/$AW313)/VLOOKUP(J313,商品!$A$4:$D$67,4,FALSE),0),"")</f>
        <v/>
      </c>
      <c r="AQ313" t="str">
        <f>IFERROR(ROUND(S313*(N313/$AX313)/VLOOKUP(M313,职业!$A$3:$E$16,4,FALSE),0),"")</f>
        <v/>
      </c>
      <c r="AR313" t="str">
        <f>IFERROR(ROUND(S313*(P313/$AX313)/VLOOKUP(O313,职业!$A$3:$E$16,4,FALSE),0),"")</f>
        <v/>
      </c>
      <c r="AS313" t="str">
        <f>IFERROR(ROUND(S313*(R313/$AX313)/VLOOKUP(Q313,职业!$A$3:$E$16,4,FALSE),0),"")</f>
        <v/>
      </c>
      <c r="AT313" t="str">
        <f>IFERROR(ROUND(X313*(U313/$AY313)/VLOOKUP(T313,商品!$A$4:$D$67,4,FALSE),0),"")</f>
        <v/>
      </c>
      <c r="AU313" t="str">
        <f>IFERROR(ROUND(X313*(W313/$AY313)/VLOOKUP(V313,商品!$A$4:$D$67,4,FALSE),0),"")</f>
        <v/>
      </c>
      <c r="AW313">
        <f t="shared" si="82"/>
        <v>0</v>
      </c>
      <c r="AX313">
        <f t="shared" si="83"/>
        <v>0</v>
      </c>
      <c r="AY313">
        <f t="shared" si="84"/>
        <v>0</v>
      </c>
    </row>
    <row r="314" customHeight="1" spans="1:51">
      <c r="A314" s="18" t="s">
        <v>343</v>
      </c>
      <c r="C314" s="18">
        <v>2</v>
      </c>
      <c r="D314" s="1" t="s">
        <v>291</v>
      </c>
      <c r="E314" s="1" t="s">
        <v>225</v>
      </c>
      <c r="L314" s="18">
        <f>IFERROR(VLOOKUP($D314&amp;$C314,生产方式定位!$A$2:$E$38,2,FALSE)+VLOOKUP($E314&amp;$C314,生产方式定位!$F$3:$J$38,2,FALSE),0)</f>
        <v>0</v>
      </c>
      <c r="S314" s="18">
        <f>IFERROR(VLOOKUP($D314&amp;$C314,生产方式定位!$A$2:$E$38,3,FALSE)+VLOOKUP($E314&amp;$C314,生产方式定位!$F$3:$J$38,3,FALSE),0)</f>
        <v>100</v>
      </c>
      <c r="X314" s="18">
        <f>IFERROR(VLOOKUP($D314&amp;$C314,生产方式定位!$A$2:$E$38,5,FALSE)+VLOOKUP($E314&amp;$C314,生产方式定位!$F$3:$J$38,5,FALSE),"错误")</f>
        <v>100</v>
      </c>
      <c r="Y314" s="27" t="str">
        <f t="shared" si="68"/>
        <v/>
      </c>
      <c r="Z314" s="50" t="str">
        <f t="shared" si="71"/>
        <v/>
      </c>
      <c r="AA314" s="50" t="str">
        <f t="shared" si="69"/>
        <v/>
      </c>
      <c r="AB314" s="28" t="str">
        <f t="shared" si="72"/>
        <v/>
      </c>
      <c r="AC314" s="1" t="str">
        <f t="shared" si="73"/>
        <v/>
      </c>
      <c r="AD314" s="52">
        <f t="shared" si="70"/>
        <v>2</v>
      </c>
      <c r="AE314" t="str">
        <f t="shared" si="74"/>
        <v/>
      </c>
      <c r="AF314" t="str">
        <f t="shared" si="75"/>
        <v/>
      </c>
      <c r="AG314" t="str">
        <f t="shared" si="76"/>
        <v/>
      </c>
      <c r="AH314" t="str">
        <f t="shared" si="77"/>
        <v/>
      </c>
      <c r="AI314" t="str">
        <f t="shared" si="78"/>
        <v/>
      </c>
      <c r="AJ314" t="str">
        <f t="shared" si="79"/>
        <v/>
      </c>
      <c r="AK314" t="str">
        <f t="shared" si="80"/>
        <v/>
      </c>
      <c r="AL314" t="str">
        <f t="shared" si="81"/>
        <v/>
      </c>
      <c r="AN314" t="str">
        <f>IFERROR(ROUND(L314*(G314/$AW314)/VLOOKUP(F314,商品!$A$4:$D$67,4,FALSE),0),"")</f>
        <v/>
      </c>
      <c r="AO314" t="str">
        <f>IFERROR(ROUND(L314*(I314/$AW314)/VLOOKUP(H314,商品!$A$4:$D$67,4,FALSE),0),"")</f>
        <v/>
      </c>
      <c r="AP314" t="str">
        <f>IFERROR(ROUND(L314*(K314/$AW314)/VLOOKUP(J314,商品!$A$4:$D$67,4,FALSE),0),"")</f>
        <v/>
      </c>
      <c r="AQ314" t="str">
        <f>IFERROR(ROUND(S314*(N314/$AX314)/VLOOKUP(M314,职业!$A$3:$E$16,4,FALSE),0),"")</f>
        <v/>
      </c>
      <c r="AR314" t="str">
        <f>IFERROR(ROUND(S314*(P314/$AX314)/VLOOKUP(O314,职业!$A$3:$E$16,4,FALSE),0),"")</f>
        <v/>
      </c>
      <c r="AS314" t="str">
        <f>IFERROR(ROUND(S314*(R314/$AX314)/VLOOKUP(Q314,职业!$A$3:$E$16,4,FALSE),0),"")</f>
        <v/>
      </c>
      <c r="AT314" t="str">
        <f>IFERROR(ROUND(X314*(U314/$AY314)/VLOOKUP(T314,商品!$A$4:$D$67,4,FALSE),0),"")</f>
        <v/>
      </c>
      <c r="AU314" t="str">
        <f>IFERROR(ROUND(X314*(W314/$AY314)/VLOOKUP(V314,商品!$A$4:$D$67,4,FALSE),0),"")</f>
        <v/>
      </c>
      <c r="AW314">
        <f t="shared" si="82"/>
        <v>0</v>
      </c>
      <c r="AX314">
        <f t="shared" si="83"/>
        <v>0</v>
      </c>
      <c r="AY314">
        <f t="shared" si="84"/>
        <v>0</v>
      </c>
    </row>
    <row r="315" customHeight="1" spans="1:51">
      <c r="A315" s="18" t="s">
        <v>343</v>
      </c>
      <c r="C315" s="18">
        <v>3</v>
      </c>
      <c r="D315" s="1" t="s">
        <v>291</v>
      </c>
      <c r="E315" s="1" t="s">
        <v>225</v>
      </c>
      <c r="L315" s="18">
        <f>IFERROR(VLOOKUP($D315&amp;$C315,生产方式定位!$A$2:$E$38,2,FALSE)+VLOOKUP($E315&amp;$C315,生产方式定位!$F$3:$J$38,2,FALSE),0)</f>
        <v>0</v>
      </c>
      <c r="S315" s="18">
        <f>IFERROR(VLOOKUP($D315&amp;$C315,生产方式定位!$A$2:$E$38,3,FALSE)+VLOOKUP($E315&amp;$C315,生产方式定位!$F$3:$J$38,3,FALSE),0)</f>
        <v>100</v>
      </c>
      <c r="X315" s="18">
        <f>IFERROR(VLOOKUP($D315&amp;$C315,生产方式定位!$A$2:$E$38,5,FALSE)+VLOOKUP($E315&amp;$C315,生产方式定位!$F$3:$J$38,5,FALSE),"错误")</f>
        <v>100</v>
      </c>
      <c r="Y315" s="27" t="str">
        <f t="shared" si="68"/>
        <v/>
      </c>
      <c r="Z315" s="50" t="str">
        <f t="shared" si="71"/>
        <v/>
      </c>
      <c r="AA315" s="50" t="str">
        <f t="shared" si="69"/>
        <v/>
      </c>
      <c r="AB315" s="28" t="str">
        <f t="shared" si="72"/>
        <v/>
      </c>
      <c r="AC315" s="1" t="str">
        <f t="shared" si="73"/>
        <v/>
      </c>
      <c r="AD315" s="52">
        <f t="shared" si="70"/>
        <v>3</v>
      </c>
      <c r="AE315" t="str">
        <f t="shared" si="74"/>
        <v/>
      </c>
      <c r="AF315" t="str">
        <f t="shared" si="75"/>
        <v/>
      </c>
      <c r="AG315" t="str">
        <f t="shared" si="76"/>
        <v/>
      </c>
      <c r="AH315" t="str">
        <f t="shared" si="77"/>
        <v/>
      </c>
      <c r="AI315" t="str">
        <f t="shared" si="78"/>
        <v/>
      </c>
      <c r="AJ315" t="str">
        <f t="shared" si="79"/>
        <v/>
      </c>
      <c r="AK315" t="str">
        <f t="shared" si="80"/>
        <v/>
      </c>
      <c r="AL315" t="str">
        <f t="shared" si="81"/>
        <v/>
      </c>
      <c r="AN315" t="str">
        <f>IFERROR(ROUND(L315*(G315/$AW315)/VLOOKUP(F315,商品!$A$4:$D$67,4,FALSE),0),"")</f>
        <v/>
      </c>
      <c r="AO315" t="str">
        <f>IFERROR(ROUND(L315*(I315/$AW315)/VLOOKUP(H315,商品!$A$4:$D$67,4,FALSE),0),"")</f>
        <v/>
      </c>
      <c r="AP315" t="str">
        <f>IFERROR(ROUND(L315*(K315/$AW315)/VLOOKUP(J315,商品!$A$4:$D$67,4,FALSE),0),"")</f>
        <v/>
      </c>
      <c r="AQ315" t="str">
        <f>IFERROR(ROUND(S315*(N315/$AX315)/VLOOKUP(M315,职业!$A$3:$E$16,4,FALSE),0),"")</f>
        <v/>
      </c>
      <c r="AR315" t="str">
        <f>IFERROR(ROUND(S315*(P315/$AX315)/VLOOKUP(O315,职业!$A$3:$E$16,4,FALSE),0),"")</f>
        <v/>
      </c>
      <c r="AS315" t="str">
        <f>IFERROR(ROUND(S315*(R315/$AX315)/VLOOKUP(Q315,职业!$A$3:$E$16,4,FALSE),0),"")</f>
        <v/>
      </c>
      <c r="AT315" t="str">
        <f>IFERROR(ROUND(X315*(U315/$AY315)/VLOOKUP(T315,商品!$A$4:$D$67,4,FALSE),0),"")</f>
        <v/>
      </c>
      <c r="AU315" t="str">
        <f>IFERROR(ROUND(X315*(W315/$AY315)/VLOOKUP(V315,商品!$A$4:$D$67,4,FALSE),0),"")</f>
        <v/>
      </c>
      <c r="AW315">
        <f t="shared" si="82"/>
        <v>0</v>
      </c>
      <c r="AX315">
        <f t="shared" si="83"/>
        <v>0</v>
      </c>
      <c r="AY315">
        <f t="shared" si="84"/>
        <v>0</v>
      </c>
    </row>
    <row r="316" customHeight="1" spans="1:51">
      <c r="A316" s="18" t="s">
        <v>343</v>
      </c>
      <c r="C316" s="18">
        <v>4</v>
      </c>
      <c r="D316" s="1" t="s">
        <v>291</v>
      </c>
      <c r="E316" s="1" t="s">
        <v>225</v>
      </c>
      <c r="L316" s="18">
        <f>IFERROR(VLOOKUP($D316&amp;$C316,生产方式定位!$A$2:$E$38,2,FALSE)+VLOOKUP($E316&amp;$C316,生产方式定位!$F$3:$J$38,2,FALSE),0)</f>
        <v>0</v>
      </c>
      <c r="S316" s="18">
        <f>IFERROR(VLOOKUP($D316&amp;$C316,生产方式定位!$A$2:$E$38,3,FALSE)+VLOOKUP($E316&amp;$C316,生产方式定位!$F$3:$J$38,3,FALSE),0)</f>
        <v>100</v>
      </c>
      <c r="X316" s="18">
        <f>IFERROR(VLOOKUP($D316&amp;$C316,生产方式定位!$A$2:$E$38,5,FALSE)+VLOOKUP($E316&amp;$C316,生产方式定位!$F$3:$J$38,5,FALSE),"错误")</f>
        <v>100</v>
      </c>
      <c r="Y316" s="27" t="str">
        <f t="shared" si="68"/>
        <v/>
      </c>
      <c r="Z316" s="50" t="str">
        <f t="shared" si="71"/>
        <v/>
      </c>
      <c r="AA316" s="50" t="str">
        <f t="shared" si="69"/>
        <v/>
      </c>
      <c r="AB316" s="28" t="str">
        <f t="shared" si="72"/>
        <v/>
      </c>
      <c r="AC316" s="1" t="str">
        <f t="shared" si="73"/>
        <v/>
      </c>
      <c r="AD316" s="52">
        <f t="shared" si="70"/>
        <v>4</v>
      </c>
      <c r="AE316" t="str">
        <f t="shared" si="74"/>
        <v/>
      </c>
      <c r="AF316" t="str">
        <f t="shared" si="75"/>
        <v/>
      </c>
      <c r="AG316" t="str">
        <f t="shared" si="76"/>
        <v/>
      </c>
      <c r="AH316" t="str">
        <f t="shared" si="77"/>
        <v/>
      </c>
      <c r="AI316" t="str">
        <f t="shared" si="78"/>
        <v/>
      </c>
      <c r="AJ316" t="str">
        <f t="shared" si="79"/>
        <v/>
      </c>
      <c r="AK316" t="str">
        <f t="shared" si="80"/>
        <v/>
      </c>
      <c r="AL316" t="str">
        <f t="shared" si="81"/>
        <v/>
      </c>
      <c r="AN316" t="str">
        <f>IFERROR(ROUND(L316*(G316/$AW316)/VLOOKUP(F316,商品!$A$4:$D$67,4,FALSE),0),"")</f>
        <v/>
      </c>
      <c r="AO316" t="str">
        <f>IFERROR(ROUND(L316*(I316/$AW316)/VLOOKUP(H316,商品!$A$4:$D$67,4,FALSE),0),"")</f>
        <v/>
      </c>
      <c r="AP316" t="str">
        <f>IFERROR(ROUND(L316*(K316/$AW316)/VLOOKUP(J316,商品!$A$4:$D$67,4,FALSE),0),"")</f>
        <v/>
      </c>
      <c r="AQ316" t="str">
        <f>IFERROR(ROUND(S316*(N316/$AX316)/VLOOKUP(M316,职业!$A$3:$E$16,4,FALSE),0),"")</f>
        <v/>
      </c>
      <c r="AR316" t="str">
        <f>IFERROR(ROUND(S316*(P316/$AX316)/VLOOKUP(O316,职业!$A$3:$E$16,4,FALSE),0),"")</f>
        <v/>
      </c>
      <c r="AS316" t="str">
        <f>IFERROR(ROUND(S316*(R316/$AX316)/VLOOKUP(Q316,职业!$A$3:$E$16,4,FALSE),0),"")</f>
        <v/>
      </c>
      <c r="AT316" t="str">
        <f>IFERROR(ROUND(X316*(U316/$AY316)/VLOOKUP(T316,商品!$A$4:$D$67,4,FALSE),0),"")</f>
        <v/>
      </c>
      <c r="AU316" t="str">
        <f>IFERROR(ROUND(X316*(W316/$AY316)/VLOOKUP(V316,商品!$A$4:$D$67,4,FALSE),0),"")</f>
        <v/>
      </c>
      <c r="AW316">
        <f t="shared" si="82"/>
        <v>0</v>
      </c>
      <c r="AX316">
        <f t="shared" si="83"/>
        <v>0</v>
      </c>
      <c r="AY316">
        <f t="shared" si="84"/>
        <v>0</v>
      </c>
    </row>
    <row r="317" customHeight="1" spans="1:51">
      <c r="A317" s="18" t="s">
        <v>343</v>
      </c>
      <c r="C317" s="18">
        <v>5</v>
      </c>
      <c r="D317" s="1" t="s">
        <v>291</v>
      </c>
      <c r="E317" s="1" t="s">
        <v>225</v>
      </c>
      <c r="L317" s="18">
        <f>IFERROR(VLOOKUP($D317&amp;$C317,生产方式定位!$A$2:$E$38,2,FALSE)+VLOOKUP($E317&amp;$C317,生产方式定位!$F$3:$J$38,2,FALSE),0)</f>
        <v>0</v>
      </c>
      <c r="S317" s="18">
        <f>IFERROR(VLOOKUP($D317&amp;$C317,生产方式定位!$A$2:$E$38,3,FALSE)+VLOOKUP($E317&amp;$C317,生产方式定位!$F$3:$J$38,3,FALSE),0)</f>
        <v>100</v>
      </c>
      <c r="X317" s="18">
        <f>IFERROR(VLOOKUP($D317&amp;$C317,生产方式定位!$A$2:$E$38,5,FALSE)+VLOOKUP($E317&amp;$C317,生产方式定位!$F$3:$J$38,5,FALSE),"错误")</f>
        <v>100</v>
      </c>
      <c r="Y317" s="27" t="str">
        <f t="shared" si="68"/>
        <v/>
      </c>
      <c r="Z317" s="50" t="str">
        <f t="shared" si="71"/>
        <v/>
      </c>
      <c r="AA317" s="50" t="str">
        <f t="shared" si="69"/>
        <v/>
      </c>
      <c r="AB317" s="28" t="str">
        <f t="shared" si="72"/>
        <v/>
      </c>
      <c r="AC317" s="1" t="str">
        <f t="shared" si="73"/>
        <v/>
      </c>
      <c r="AD317" s="52">
        <f t="shared" si="70"/>
        <v>5</v>
      </c>
      <c r="AE317" t="str">
        <f t="shared" si="74"/>
        <v/>
      </c>
      <c r="AF317" t="str">
        <f t="shared" si="75"/>
        <v/>
      </c>
      <c r="AG317" t="str">
        <f t="shared" si="76"/>
        <v/>
      </c>
      <c r="AH317" t="str">
        <f t="shared" si="77"/>
        <v/>
      </c>
      <c r="AI317" t="str">
        <f t="shared" si="78"/>
        <v/>
      </c>
      <c r="AJ317" t="str">
        <f t="shared" si="79"/>
        <v/>
      </c>
      <c r="AK317" t="str">
        <f t="shared" si="80"/>
        <v/>
      </c>
      <c r="AL317" t="str">
        <f t="shared" si="81"/>
        <v/>
      </c>
      <c r="AN317" t="str">
        <f>IFERROR(ROUND(L317*(G317/$AW317)/VLOOKUP(F317,商品!$A$4:$D$67,4,FALSE),0),"")</f>
        <v/>
      </c>
      <c r="AO317" t="str">
        <f>IFERROR(ROUND(L317*(I317/$AW317)/VLOOKUP(H317,商品!$A$4:$D$67,4,FALSE),0),"")</f>
        <v/>
      </c>
      <c r="AP317" t="str">
        <f>IFERROR(ROUND(L317*(K317/$AW317)/VLOOKUP(J317,商品!$A$4:$D$67,4,FALSE),0),"")</f>
        <v/>
      </c>
      <c r="AQ317" t="str">
        <f>IFERROR(ROUND(S317*(N317/$AX317)/VLOOKUP(M317,职业!$A$3:$E$16,4,FALSE),0),"")</f>
        <v/>
      </c>
      <c r="AR317" t="str">
        <f>IFERROR(ROUND(S317*(P317/$AX317)/VLOOKUP(O317,职业!$A$3:$E$16,4,FALSE),0),"")</f>
        <v/>
      </c>
      <c r="AS317" t="str">
        <f>IFERROR(ROUND(S317*(R317/$AX317)/VLOOKUP(Q317,职业!$A$3:$E$16,4,FALSE),0),"")</f>
        <v/>
      </c>
      <c r="AT317" t="str">
        <f>IFERROR(ROUND(X317*(U317/$AY317)/VLOOKUP(T317,商品!$A$4:$D$67,4,FALSE),0),"")</f>
        <v/>
      </c>
      <c r="AU317" t="str">
        <f>IFERROR(ROUND(X317*(W317/$AY317)/VLOOKUP(V317,商品!$A$4:$D$67,4,FALSE),0),"")</f>
        <v/>
      </c>
      <c r="AW317">
        <f t="shared" si="82"/>
        <v>0</v>
      </c>
      <c r="AX317">
        <f t="shared" si="83"/>
        <v>0</v>
      </c>
      <c r="AY317">
        <f t="shared" si="84"/>
        <v>0</v>
      </c>
    </row>
    <row r="318" customHeight="1" spans="1:51">
      <c r="A318" s="18" t="s">
        <v>343</v>
      </c>
      <c r="C318" s="18">
        <v>6</v>
      </c>
      <c r="D318" s="1" t="s">
        <v>291</v>
      </c>
      <c r="E318" s="1" t="s">
        <v>225</v>
      </c>
      <c r="L318" s="18">
        <f>IFERROR(VLOOKUP($D318&amp;$C318,生产方式定位!$A$2:$E$38,2,FALSE)+VLOOKUP($E318&amp;$C318,生产方式定位!$F$3:$J$38,2,FALSE),0)</f>
        <v>0</v>
      </c>
      <c r="S318" s="18">
        <f>IFERROR(VLOOKUP($D318&amp;$C318,生产方式定位!$A$2:$E$38,3,FALSE)+VLOOKUP($E318&amp;$C318,生产方式定位!$F$3:$J$38,3,FALSE),0)</f>
        <v>100</v>
      </c>
      <c r="X318" s="18">
        <f>IFERROR(VLOOKUP($D318&amp;$C318,生产方式定位!$A$2:$E$38,5,FALSE)+VLOOKUP($E318&amp;$C318,生产方式定位!$F$3:$J$38,5,FALSE),"错误")</f>
        <v>100</v>
      </c>
      <c r="Y318" s="27" t="str">
        <f t="shared" si="68"/>
        <v/>
      </c>
      <c r="Z318" s="50" t="str">
        <f t="shared" si="71"/>
        <v/>
      </c>
      <c r="AA318" s="50" t="str">
        <f t="shared" si="69"/>
        <v/>
      </c>
      <c r="AB318" s="28" t="str">
        <f t="shared" si="72"/>
        <v/>
      </c>
      <c r="AC318" s="1" t="str">
        <f t="shared" si="73"/>
        <v/>
      </c>
      <c r="AD318" s="52">
        <f t="shared" si="70"/>
        <v>6</v>
      </c>
      <c r="AE318" t="str">
        <f t="shared" si="74"/>
        <v/>
      </c>
      <c r="AF318" t="str">
        <f t="shared" si="75"/>
        <v/>
      </c>
      <c r="AG318" t="str">
        <f t="shared" si="76"/>
        <v/>
      </c>
      <c r="AH318" t="str">
        <f t="shared" si="77"/>
        <v/>
      </c>
      <c r="AI318" t="str">
        <f t="shared" si="78"/>
        <v/>
      </c>
      <c r="AJ318" t="str">
        <f t="shared" si="79"/>
        <v/>
      </c>
      <c r="AK318" t="str">
        <f t="shared" si="80"/>
        <v/>
      </c>
      <c r="AL318" t="str">
        <f t="shared" si="81"/>
        <v/>
      </c>
      <c r="AN318" t="str">
        <f>IFERROR(ROUND(L318*(G318/$AW318)/VLOOKUP(F318,商品!$A$4:$D$67,4,FALSE),0),"")</f>
        <v/>
      </c>
      <c r="AO318" t="str">
        <f>IFERROR(ROUND(L318*(I318/$AW318)/VLOOKUP(H318,商品!$A$4:$D$67,4,FALSE),0),"")</f>
        <v/>
      </c>
      <c r="AP318" t="str">
        <f>IFERROR(ROUND(L318*(K318/$AW318)/VLOOKUP(J318,商品!$A$4:$D$67,4,FALSE),0),"")</f>
        <v/>
      </c>
      <c r="AQ318" t="str">
        <f>IFERROR(ROUND(S318*(N318/$AX318)/VLOOKUP(M318,职业!$A$3:$E$16,4,FALSE),0),"")</f>
        <v/>
      </c>
      <c r="AR318" t="str">
        <f>IFERROR(ROUND(S318*(P318/$AX318)/VLOOKUP(O318,职业!$A$3:$E$16,4,FALSE),0),"")</f>
        <v/>
      </c>
      <c r="AS318" t="str">
        <f>IFERROR(ROUND(S318*(R318/$AX318)/VLOOKUP(Q318,职业!$A$3:$E$16,4,FALSE),0),"")</f>
        <v/>
      </c>
      <c r="AT318" t="str">
        <f>IFERROR(ROUND(X318*(U318/$AY318)/VLOOKUP(T318,商品!$A$4:$D$67,4,FALSE),0),"")</f>
        <v/>
      </c>
      <c r="AU318" t="str">
        <f>IFERROR(ROUND(X318*(W318/$AY318)/VLOOKUP(V318,商品!$A$4:$D$67,4,FALSE),0),"")</f>
        <v/>
      </c>
      <c r="AW318">
        <f t="shared" si="82"/>
        <v>0</v>
      </c>
      <c r="AX318">
        <f t="shared" si="83"/>
        <v>0</v>
      </c>
      <c r="AY318">
        <f t="shared" si="84"/>
        <v>0</v>
      </c>
    </row>
    <row r="319" customHeight="1" spans="1:51">
      <c r="A319" s="18" t="s">
        <v>343</v>
      </c>
      <c r="C319" s="18">
        <v>7</v>
      </c>
      <c r="D319" s="1" t="s">
        <v>291</v>
      </c>
      <c r="E319" s="1" t="s">
        <v>225</v>
      </c>
      <c r="L319" s="18">
        <f>IFERROR(VLOOKUP($D319&amp;$C319,生产方式定位!$A$2:$E$38,2,FALSE)+VLOOKUP($E319&amp;$C319,生产方式定位!$F$3:$J$38,2,FALSE),0)</f>
        <v>0</v>
      </c>
      <c r="S319" s="18">
        <f>IFERROR(VLOOKUP($D319&amp;$C319,生产方式定位!$A$2:$E$38,3,FALSE)+VLOOKUP($E319&amp;$C319,生产方式定位!$F$3:$J$38,3,FALSE),0)</f>
        <v>100</v>
      </c>
      <c r="X319" s="18">
        <f>IFERROR(VLOOKUP($D319&amp;$C319,生产方式定位!$A$2:$E$38,5,FALSE)+VLOOKUP($E319&amp;$C319,生产方式定位!$F$3:$J$38,5,FALSE),"错误")</f>
        <v>100</v>
      </c>
      <c r="Y319" s="27" t="str">
        <f t="shared" si="68"/>
        <v/>
      </c>
      <c r="Z319" s="50" t="str">
        <f t="shared" si="71"/>
        <v/>
      </c>
      <c r="AA319" s="50" t="str">
        <f t="shared" si="69"/>
        <v/>
      </c>
      <c r="AB319" s="28" t="str">
        <f t="shared" si="72"/>
        <v/>
      </c>
      <c r="AC319" s="1" t="str">
        <f t="shared" si="73"/>
        <v/>
      </c>
      <c r="AD319" s="52">
        <f t="shared" si="70"/>
        <v>7</v>
      </c>
      <c r="AE319" t="str">
        <f t="shared" si="74"/>
        <v/>
      </c>
      <c r="AF319" t="str">
        <f t="shared" si="75"/>
        <v/>
      </c>
      <c r="AG319" t="str">
        <f t="shared" si="76"/>
        <v/>
      </c>
      <c r="AH319" t="str">
        <f t="shared" si="77"/>
        <v/>
      </c>
      <c r="AI319" t="str">
        <f t="shared" si="78"/>
        <v/>
      </c>
      <c r="AJ319" t="str">
        <f t="shared" si="79"/>
        <v/>
      </c>
      <c r="AK319" t="str">
        <f t="shared" si="80"/>
        <v/>
      </c>
      <c r="AL319" t="str">
        <f t="shared" si="81"/>
        <v/>
      </c>
      <c r="AN319" t="str">
        <f>IFERROR(ROUND(L319*(G319/$AW319)/VLOOKUP(F319,商品!$A$4:$D$67,4,FALSE),0),"")</f>
        <v/>
      </c>
      <c r="AO319" t="str">
        <f>IFERROR(ROUND(L319*(I319/$AW319)/VLOOKUP(H319,商品!$A$4:$D$67,4,FALSE),0),"")</f>
        <v/>
      </c>
      <c r="AP319" t="str">
        <f>IFERROR(ROUND(L319*(K319/$AW319)/VLOOKUP(J319,商品!$A$4:$D$67,4,FALSE),0),"")</f>
        <v/>
      </c>
      <c r="AQ319" t="str">
        <f>IFERROR(ROUND(S319*(N319/$AX319)/VLOOKUP(M319,职业!$A$3:$E$16,4,FALSE),0),"")</f>
        <v/>
      </c>
      <c r="AR319" t="str">
        <f>IFERROR(ROUND(S319*(P319/$AX319)/VLOOKUP(O319,职业!$A$3:$E$16,4,FALSE),0),"")</f>
        <v/>
      </c>
      <c r="AS319" t="str">
        <f>IFERROR(ROUND(S319*(R319/$AX319)/VLOOKUP(Q319,职业!$A$3:$E$16,4,FALSE),0),"")</f>
        <v/>
      </c>
      <c r="AT319" t="str">
        <f>IFERROR(ROUND(X319*(U319/$AY319)/VLOOKUP(T319,商品!$A$4:$D$67,4,FALSE),0),"")</f>
        <v/>
      </c>
      <c r="AU319" t="str">
        <f>IFERROR(ROUND(X319*(W319/$AY319)/VLOOKUP(V319,商品!$A$4:$D$67,4,FALSE),0),"")</f>
        <v/>
      </c>
      <c r="AW319">
        <f t="shared" si="82"/>
        <v>0</v>
      </c>
      <c r="AX319">
        <f t="shared" si="83"/>
        <v>0</v>
      </c>
      <c r="AY319">
        <f t="shared" si="84"/>
        <v>0</v>
      </c>
    </row>
    <row r="320" customHeight="1" spans="1:51">
      <c r="A320" s="18" t="s">
        <v>343</v>
      </c>
      <c r="C320" s="18">
        <v>8</v>
      </c>
      <c r="D320" s="1" t="s">
        <v>291</v>
      </c>
      <c r="E320" s="1" t="s">
        <v>225</v>
      </c>
      <c r="L320" s="18">
        <f>IFERROR(VLOOKUP($D320&amp;$C320,生产方式定位!$A$2:$E$38,2,FALSE)+VLOOKUP($E320&amp;$C320,生产方式定位!$F$3:$J$38,2,FALSE),0)</f>
        <v>0</v>
      </c>
      <c r="S320" s="18">
        <f>IFERROR(VLOOKUP($D320&amp;$C320,生产方式定位!$A$2:$E$38,3,FALSE)+VLOOKUP($E320&amp;$C320,生产方式定位!$F$3:$J$38,3,FALSE),0)</f>
        <v>100</v>
      </c>
      <c r="X320" s="18">
        <f>IFERROR(VLOOKUP($D320&amp;$C320,生产方式定位!$A$2:$E$38,5,FALSE)+VLOOKUP($E320&amp;$C320,生产方式定位!$F$3:$J$38,5,FALSE),"错误")</f>
        <v>100</v>
      </c>
      <c r="Y320" s="27" t="str">
        <f t="shared" si="68"/>
        <v/>
      </c>
      <c r="Z320" s="50" t="str">
        <f t="shared" si="71"/>
        <v/>
      </c>
      <c r="AA320" s="50" t="str">
        <f t="shared" si="69"/>
        <v/>
      </c>
      <c r="AB320" s="28" t="str">
        <f t="shared" si="72"/>
        <v/>
      </c>
      <c r="AC320" s="1" t="str">
        <f t="shared" si="73"/>
        <v/>
      </c>
      <c r="AD320" s="52">
        <f t="shared" si="70"/>
        <v>8</v>
      </c>
      <c r="AE320" t="str">
        <f t="shared" si="74"/>
        <v/>
      </c>
      <c r="AF320" t="str">
        <f t="shared" si="75"/>
        <v/>
      </c>
      <c r="AG320" t="str">
        <f t="shared" si="76"/>
        <v/>
      </c>
      <c r="AH320" t="str">
        <f t="shared" si="77"/>
        <v/>
      </c>
      <c r="AI320" t="str">
        <f t="shared" si="78"/>
        <v/>
      </c>
      <c r="AJ320" t="str">
        <f t="shared" si="79"/>
        <v/>
      </c>
      <c r="AK320" t="str">
        <f t="shared" si="80"/>
        <v/>
      </c>
      <c r="AL320" t="str">
        <f t="shared" si="81"/>
        <v/>
      </c>
      <c r="AN320" t="str">
        <f>IFERROR(ROUND(L320*(G320/$AW320)/VLOOKUP(F320,商品!$A$4:$D$67,4,FALSE),0),"")</f>
        <v/>
      </c>
      <c r="AO320" t="str">
        <f>IFERROR(ROUND(L320*(I320/$AW320)/VLOOKUP(H320,商品!$A$4:$D$67,4,FALSE),0),"")</f>
        <v/>
      </c>
      <c r="AP320" t="str">
        <f>IFERROR(ROUND(L320*(K320/$AW320)/VLOOKUP(J320,商品!$A$4:$D$67,4,FALSE),0),"")</f>
        <v/>
      </c>
      <c r="AQ320" t="str">
        <f>IFERROR(ROUND(S320*(N320/$AX320)/VLOOKUP(M320,职业!$A$3:$E$16,4,FALSE),0),"")</f>
        <v/>
      </c>
      <c r="AR320" t="str">
        <f>IFERROR(ROUND(S320*(P320/$AX320)/VLOOKUP(O320,职业!$A$3:$E$16,4,FALSE),0),"")</f>
        <v/>
      </c>
      <c r="AS320" t="str">
        <f>IFERROR(ROUND(S320*(R320/$AX320)/VLOOKUP(Q320,职业!$A$3:$E$16,4,FALSE),0),"")</f>
        <v/>
      </c>
      <c r="AT320" t="str">
        <f>IFERROR(ROUND(X320*(U320/$AY320)/VLOOKUP(T320,商品!$A$4:$D$67,4,FALSE),0),"")</f>
        <v/>
      </c>
      <c r="AU320" t="str">
        <f>IFERROR(ROUND(X320*(W320/$AY320)/VLOOKUP(V320,商品!$A$4:$D$67,4,FALSE),0),"")</f>
        <v/>
      </c>
      <c r="AW320">
        <f t="shared" si="82"/>
        <v>0</v>
      </c>
      <c r="AX320">
        <f t="shared" si="83"/>
        <v>0</v>
      </c>
      <c r="AY320">
        <f t="shared" si="84"/>
        <v>0</v>
      </c>
    </row>
    <row r="321" customHeight="1" spans="1:51">
      <c r="A321" s="5" t="s">
        <v>345</v>
      </c>
      <c r="C321" s="5">
        <v>1</v>
      </c>
      <c r="D321" s="1" t="s">
        <v>238</v>
      </c>
      <c r="E321" s="1" t="s">
        <v>222</v>
      </c>
      <c r="L321" s="5">
        <f>IFERROR(VLOOKUP($D321&amp;$C321,生产方式定位!$A$2:$E$38,2,FALSE)+VLOOKUP($E321&amp;$C321,生产方式定位!$F$3:$J$38,2,FALSE),0)</f>
        <v>1000</v>
      </c>
      <c r="S321" s="5">
        <f>IFERROR(VLOOKUP($D321&amp;$C321,生产方式定位!$A$2:$E$38,3,FALSE)+VLOOKUP($E321&amp;$C321,生产方式定位!$F$3:$J$38,3,FALSE),0)</f>
        <v>80</v>
      </c>
      <c r="X321" s="5">
        <f>IFERROR(VLOOKUP($D321&amp;$C321,生产方式定位!$A$2:$E$38,5,FALSE)+VLOOKUP($E321&amp;$C321,生产方式定位!$F$3:$J$38,5,FALSE),"错误")</f>
        <v>972</v>
      </c>
      <c r="Y321" s="27" t="str">
        <f t="shared" si="68"/>
        <v/>
      </c>
      <c r="Z321" s="50" t="str">
        <f t="shared" si="71"/>
        <v/>
      </c>
      <c r="AA321" s="50" t="str">
        <f t="shared" si="69"/>
        <v/>
      </c>
      <c r="AB321" s="28" t="str">
        <f t="shared" si="72"/>
        <v>-3%</v>
      </c>
      <c r="AC321" s="1">
        <f t="shared" si="73"/>
        <v>-108</v>
      </c>
      <c r="AD321" s="51">
        <f t="shared" si="70"/>
        <v>1</v>
      </c>
      <c r="AE321" t="str">
        <f t="shared" si="74"/>
        <v/>
      </c>
      <c r="AF321" t="str">
        <f t="shared" si="75"/>
        <v/>
      </c>
      <c r="AG321" t="str">
        <f t="shared" si="76"/>
        <v/>
      </c>
      <c r="AH321" t="str">
        <f t="shared" si="77"/>
        <v/>
      </c>
      <c r="AI321" t="str">
        <f t="shared" si="78"/>
        <v/>
      </c>
      <c r="AJ321" t="str">
        <f t="shared" si="79"/>
        <v/>
      </c>
      <c r="AK321" t="str">
        <f t="shared" si="80"/>
        <v/>
      </c>
      <c r="AL321" t="str">
        <f t="shared" si="81"/>
        <v/>
      </c>
      <c r="AN321" t="str">
        <f>IFERROR(ROUND(L321*(G321/$AW321)/VLOOKUP(F321,商品!$A$4:$D$67,4,FALSE),0),"")</f>
        <v/>
      </c>
      <c r="AO321" t="str">
        <f>IFERROR(ROUND(L321*(I321/$AW321)/VLOOKUP(H321,商品!$A$4:$D$67,4,FALSE),0),"")</f>
        <v/>
      </c>
      <c r="AP321" t="str">
        <f>IFERROR(ROUND(L321*(K321/$AW321)/VLOOKUP(J321,商品!$A$4:$D$67,4,FALSE),0),"")</f>
        <v/>
      </c>
      <c r="AQ321" t="str">
        <f>IFERROR(ROUND(S321*(N321/$AX321)/VLOOKUP(M321,职业!$A$3:$E$16,4,FALSE),0),"")</f>
        <v/>
      </c>
      <c r="AR321" t="str">
        <f>IFERROR(ROUND(S321*(P321/$AX321)/VLOOKUP(O321,职业!$A$3:$E$16,4,FALSE),0),"")</f>
        <v/>
      </c>
      <c r="AS321" t="str">
        <f>IFERROR(ROUND(S321*(R321/$AX321)/VLOOKUP(Q321,职业!$A$3:$E$16,4,FALSE),0),"")</f>
        <v/>
      </c>
      <c r="AT321" t="str">
        <f>IFERROR(ROUND(X321*(U321/$AY321)/VLOOKUP(T321,商品!$A$4:$D$67,4,FALSE),0),"")</f>
        <v/>
      </c>
      <c r="AU321" t="str">
        <f>IFERROR(ROUND(X321*(W321/$AY321)/VLOOKUP(V321,商品!$A$4:$D$67,4,FALSE),0),"")</f>
        <v/>
      </c>
      <c r="AW321">
        <f t="shared" si="82"/>
        <v>0</v>
      </c>
      <c r="AX321">
        <f t="shared" si="83"/>
        <v>0</v>
      </c>
      <c r="AY321">
        <f t="shared" si="84"/>
        <v>0</v>
      </c>
    </row>
    <row r="322" customHeight="1" spans="1:51">
      <c r="A322" s="5" t="s">
        <v>345</v>
      </c>
      <c r="C322" s="5">
        <v>2</v>
      </c>
      <c r="D322" s="1" t="s">
        <v>238</v>
      </c>
      <c r="E322" s="1" t="s">
        <v>222</v>
      </c>
      <c r="L322" s="5">
        <f>IFERROR(VLOOKUP($D322&amp;$C322,生产方式定位!$A$2:$E$38,2,FALSE)+VLOOKUP($E322&amp;$C322,生产方式定位!$F$3:$J$38,2,FALSE),0)</f>
        <v>1400</v>
      </c>
      <c r="S322" s="5">
        <f>IFERROR(VLOOKUP($D322&amp;$C322,生产方式定位!$A$2:$E$38,3,FALSE)+VLOOKUP($E322&amp;$C322,生产方式定位!$F$3:$J$38,3,FALSE),0)</f>
        <v>85</v>
      </c>
      <c r="X322" s="5">
        <f>IFERROR(VLOOKUP($D322&amp;$C322,生产方式定位!$A$2:$E$38,5,FALSE)+VLOOKUP($E322&amp;$C322,生产方式定位!$F$3:$J$38,5,FALSE),"错误")</f>
        <v>1732</v>
      </c>
      <c r="Y322" s="27" t="str">
        <f t="shared" si="68"/>
        <v/>
      </c>
      <c r="Z322" s="50" t="str">
        <f t="shared" si="71"/>
        <v/>
      </c>
      <c r="AA322" s="50" t="str">
        <f t="shared" si="69"/>
        <v/>
      </c>
      <c r="AB322" s="28" t="str">
        <f t="shared" si="72"/>
        <v>24%</v>
      </c>
      <c r="AC322" s="1">
        <f t="shared" si="73"/>
        <v>247</v>
      </c>
      <c r="AD322" s="51">
        <f t="shared" si="70"/>
        <v>2</v>
      </c>
      <c r="AE322" t="str">
        <f t="shared" si="74"/>
        <v/>
      </c>
      <c r="AF322" t="str">
        <f t="shared" si="75"/>
        <v/>
      </c>
      <c r="AG322" t="str">
        <f t="shared" si="76"/>
        <v/>
      </c>
      <c r="AH322" t="str">
        <f t="shared" si="77"/>
        <v/>
      </c>
      <c r="AI322" t="str">
        <f t="shared" si="78"/>
        <v/>
      </c>
      <c r="AJ322" t="str">
        <f t="shared" si="79"/>
        <v/>
      </c>
      <c r="AK322" t="str">
        <f t="shared" si="80"/>
        <v/>
      </c>
      <c r="AL322" t="str">
        <f t="shared" si="81"/>
        <v/>
      </c>
      <c r="AN322" t="str">
        <f>IFERROR(ROUND(L322*(G322/$AW322)/VLOOKUP(F322,商品!$A$4:$D$67,4,FALSE),0),"")</f>
        <v/>
      </c>
      <c r="AO322" t="str">
        <f>IFERROR(ROUND(L322*(I322/$AW322)/VLOOKUP(H322,商品!$A$4:$D$67,4,FALSE),0),"")</f>
        <v/>
      </c>
      <c r="AP322" t="str">
        <f>IFERROR(ROUND(L322*(K322/$AW322)/VLOOKUP(J322,商品!$A$4:$D$67,4,FALSE),0),"")</f>
        <v/>
      </c>
      <c r="AQ322" t="str">
        <f>IFERROR(ROUND(S322*(N322/$AX322)/VLOOKUP(M322,职业!$A$3:$E$16,4,FALSE),0),"")</f>
        <v/>
      </c>
      <c r="AR322" t="str">
        <f>IFERROR(ROUND(S322*(P322/$AX322)/VLOOKUP(O322,职业!$A$3:$E$16,4,FALSE),0),"")</f>
        <v/>
      </c>
      <c r="AS322" t="str">
        <f>IFERROR(ROUND(S322*(R322/$AX322)/VLOOKUP(Q322,职业!$A$3:$E$16,4,FALSE),0),"")</f>
        <v/>
      </c>
      <c r="AT322" t="str">
        <f>IFERROR(ROUND(X322*(U322/$AY322)/VLOOKUP(T322,商品!$A$4:$D$67,4,FALSE),0),"")</f>
        <v/>
      </c>
      <c r="AU322" t="str">
        <f>IFERROR(ROUND(X322*(W322/$AY322)/VLOOKUP(V322,商品!$A$4:$D$67,4,FALSE),0),"")</f>
        <v/>
      </c>
      <c r="AW322">
        <f t="shared" si="82"/>
        <v>0</v>
      </c>
      <c r="AX322">
        <f t="shared" si="83"/>
        <v>0</v>
      </c>
      <c r="AY322">
        <f t="shared" si="84"/>
        <v>0</v>
      </c>
    </row>
    <row r="323" customHeight="1" spans="1:51">
      <c r="A323" s="5" t="s">
        <v>345</v>
      </c>
      <c r="C323" s="5">
        <v>3</v>
      </c>
      <c r="D323" s="1" t="s">
        <v>238</v>
      </c>
      <c r="E323" s="1" t="s">
        <v>222</v>
      </c>
      <c r="L323" s="5">
        <f>IFERROR(VLOOKUP($D323&amp;$C323,生产方式定位!$A$2:$E$38,2,FALSE)+VLOOKUP($E323&amp;$C323,生产方式定位!$F$3:$J$38,2,FALSE),0)</f>
        <v>1425</v>
      </c>
      <c r="S323" s="5">
        <f>IFERROR(VLOOKUP($D323&amp;$C323,生产方式定位!$A$2:$E$38,3,FALSE)+VLOOKUP($E323&amp;$C323,生产方式定位!$F$3:$J$38,3,FALSE),0)</f>
        <v>90</v>
      </c>
      <c r="X323" s="5">
        <f>IFERROR(VLOOKUP($D323&amp;$C323,生产方式定位!$A$2:$E$38,5,FALSE)+VLOOKUP($E323&amp;$C323,生产方式定位!$F$3:$J$38,5,FALSE),"错误")</f>
        <v>2112</v>
      </c>
      <c r="Y323" s="27" t="str">
        <f t="shared" si="68"/>
        <v/>
      </c>
      <c r="Z323" s="50" t="str">
        <f t="shared" si="71"/>
        <v/>
      </c>
      <c r="AA323" s="50" t="str">
        <f t="shared" si="69"/>
        <v/>
      </c>
      <c r="AB323" s="28" t="str">
        <f t="shared" si="72"/>
        <v>48%</v>
      </c>
      <c r="AC323" s="1">
        <f t="shared" si="73"/>
        <v>597</v>
      </c>
      <c r="AD323" s="51">
        <f t="shared" si="70"/>
        <v>3</v>
      </c>
      <c r="AE323" t="str">
        <f t="shared" si="74"/>
        <v/>
      </c>
      <c r="AF323" t="str">
        <f t="shared" si="75"/>
        <v/>
      </c>
      <c r="AG323" t="str">
        <f t="shared" si="76"/>
        <v/>
      </c>
      <c r="AH323" t="str">
        <f t="shared" si="77"/>
        <v/>
      </c>
      <c r="AI323" t="str">
        <f t="shared" si="78"/>
        <v/>
      </c>
      <c r="AJ323" t="str">
        <f t="shared" si="79"/>
        <v/>
      </c>
      <c r="AK323" t="str">
        <f t="shared" si="80"/>
        <v/>
      </c>
      <c r="AL323" t="str">
        <f t="shared" si="81"/>
        <v/>
      </c>
      <c r="AN323" t="str">
        <f>IFERROR(ROUND(L323*(G323/$AW323)/VLOOKUP(F323,商品!$A$4:$D$67,4,FALSE),0),"")</f>
        <v/>
      </c>
      <c r="AO323" t="str">
        <f>IFERROR(ROUND(L323*(I323/$AW323)/VLOOKUP(H323,商品!$A$4:$D$67,4,FALSE),0),"")</f>
        <v/>
      </c>
      <c r="AP323" t="str">
        <f>IFERROR(ROUND(L323*(K323/$AW323)/VLOOKUP(J323,商品!$A$4:$D$67,4,FALSE),0),"")</f>
        <v/>
      </c>
      <c r="AQ323" t="str">
        <f>IFERROR(ROUND(S323*(N323/$AX323)/VLOOKUP(M323,职业!$A$3:$E$16,4,FALSE),0),"")</f>
        <v/>
      </c>
      <c r="AR323" t="str">
        <f>IFERROR(ROUND(S323*(P323/$AX323)/VLOOKUP(O323,职业!$A$3:$E$16,4,FALSE),0),"")</f>
        <v/>
      </c>
      <c r="AS323" t="str">
        <f>IFERROR(ROUND(S323*(R323/$AX323)/VLOOKUP(Q323,职业!$A$3:$E$16,4,FALSE),0),"")</f>
        <v/>
      </c>
      <c r="AT323" t="str">
        <f>IFERROR(ROUND(X323*(U323/$AY323)/VLOOKUP(T323,商品!$A$4:$D$67,4,FALSE),0),"")</f>
        <v/>
      </c>
      <c r="AU323" t="str">
        <f>IFERROR(ROUND(X323*(W323/$AY323)/VLOOKUP(V323,商品!$A$4:$D$67,4,FALSE),0),"")</f>
        <v/>
      </c>
      <c r="AW323">
        <f t="shared" si="82"/>
        <v>0</v>
      </c>
      <c r="AX323">
        <f t="shared" si="83"/>
        <v>0</v>
      </c>
      <c r="AY323">
        <f t="shared" si="84"/>
        <v>0</v>
      </c>
    </row>
    <row r="324" customHeight="1" spans="1:51">
      <c r="A324" s="5" t="s">
        <v>345</v>
      </c>
      <c r="C324" s="5">
        <v>4</v>
      </c>
      <c r="D324" s="1" t="s">
        <v>238</v>
      </c>
      <c r="E324" s="1" t="s">
        <v>222</v>
      </c>
      <c r="L324" s="5">
        <f>IFERROR(VLOOKUP($D324&amp;$C324,生产方式定位!$A$2:$E$38,2,FALSE)+VLOOKUP($E324&amp;$C324,生产方式定位!$F$3:$J$38,2,FALSE),0)</f>
        <v>1450</v>
      </c>
      <c r="S324" s="5">
        <f>IFERROR(VLOOKUP($D324&amp;$C324,生产方式定位!$A$2:$E$38,3,FALSE)+VLOOKUP($E324&amp;$C324,生产方式定位!$F$3:$J$38,3,FALSE),0)</f>
        <v>95</v>
      </c>
      <c r="X324" s="5">
        <f>IFERROR(VLOOKUP($D324&amp;$C324,生产方式定位!$A$2:$E$38,5,FALSE)+VLOOKUP($E324&amp;$C324,生产方式定位!$F$3:$J$38,5,FALSE),"错误")</f>
        <v>2733</v>
      </c>
      <c r="Y324" s="27" t="str">
        <f t="shared" si="68"/>
        <v/>
      </c>
      <c r="Z324" s="50" t="str">
        <f t="shared" si="71"/>
        <v/>
      </c>
      <c r="AA324" s="50" t="str">
        <f t="shared" si="69"/>
        <v/>
      </c>
      <c r="AB324" s="28" t="str">
        <f t="shared" si="72"/>
        <v>88%</v>
      </c>
      <c r="AC324" s="1">
        <f t="shared" si="73"/>
        <v>1188</v>
      </c>
      <c r="AD324" s="51">
        <f t="shared" si="70"/>
        <v>4</v>
      </c>
      <c r="AE324" t="str">
        <f t="shared" si="74"/>
        <v/>
      </c>
      <c r="AF324" t="str">
        <f t="shared" si="75"/>
        <v/>
      </c>
      <c r="AG324" t="str">
        <f t="shared" si="76"/>
        <v/>
      </c>
      <c r="AH324" t="str">
        <f t="shared" si="77"/>
        <v/>
      </c>
      <c r="AI324" t="str">
        <f t="shared" si="78"/>
        <v/>
      </c>
      <c r="AJ324" t="str">
        <f t="shared" si="79"/>
        <v/>
      </c>
      <c r="AK324" t="str">
        <f t="shared" si="80"/>
        <v/>
      </c>
      <c r="AL324" t="str">
        <f t="shared" si="81"/>
        <v/>
      </c>
      <c r="AN324" t="str">
        <f>IFERROR(ROUND(L324*(G324/$AW324)/VLOOKUP(F324,商品!$A$4:$D$67,4,FALSE),0),"")</f>
        <v/>
      </c>
      <c r="AO324" t="str">
        <f>IFERROR(ROUND(L324*(I324/$AW324)/VLOOKUP(H324,商品!$A$4:$D$67,4,FALSE),0),"")</f>
        <v/>
      </c>
      <c r="AP324" t="str">
        <f>IFERROR(ROUND(L324*(K324/$AW324)/VLOOKUP(J324,商品!$A$4:$D$67,4,FALSE),0),"")</f>
        <v/>
      </c>
      <c r="AQ324" t="str">
        <f>IFERROR(ROUND(S324*(N324/$AX324)/VLOOKUP(M324,职业!$A$3:$E$16,4,FALSE),0),"")</f>
        <v/>
      </c>
      <c r="AR324" t="str">
        <f>IFERROR(ROUND(S324*(P324/$AX324)/VLOOKUP(O324,职业!$A$3:$E$16,4,FALSE),0),"")</f>
        <v/>
      </c>
      <c r="AS324" t="str">
        <f>IFERROR(ROUND(S324*(R324/$AX324)/VLOOKUP(Q324,职业!$A$3:$E$16,4,FALSE),0),"")</f>
        <v/>
      </c>
      <c r="AT324" t="str">
        <f>IFERROR(ROUND(X324*(U324/$AY324)/VLOOKUP(T324,商品!$A$4:$D$67,4,FALSE),0),"")</f>
        <v/>
      </c>
      <c r="AU324" t="str">
        <f>IFERROR(ROUND(X324*(W324/$AY324)/VLOOKUP(V324,商品!$A$4:$D$67,4,FALSE),0),"")</f>
        <v/>
      </c>
      <c r="AW324">
        <f t="shared" si="82"/>
        <v>0</v>
      </c>
      <c r="AX324">
        <f t="shared" si="83"/>
        <v>0</v>
      </c>
      <c r="AY324">
        <f t="shared" si="84"/>
        <v>0</v>
      </c>
    </row>
    <row r="325" customHeight="1" spans="1:51">
      <c r="A325" s="5" t="s">
        <v>345</v>
      </c>
      <c r="C325" s="5">
        <v>5</v>
      </c>
      <c r="D325" s="1" t="s">
        <v>238</v>
      </c>
      <c r="E325" s="1" t="s">
        <v>222</v>
      </c>
      <c r="L325" s="5">
        <f>IFERROR(VLOOKUP($D325&amp;$C325,生产方式定位!$A$2:$E$38,2,FALSE)+VLOOKUP($E325&amp;$C325,生产方式定位!$F$3:$J$38,2,FALSE),0)</f>
        <v>1475</v>
      </c>
      <c r="S325" s="5">
        <f>IFERROR(VLOOKUP($D325&amp;$C325,生产方式定位!$A$2:$E$38,3,FALSE)+VLOOKUP($E325&amp;$C325,生产方式定位!$F$3:$J$38,3,FALSE),0)</f>
        <v>100</v>
      </c>
      <c r="X325" s="5">
        <f>IFERROR(VLOOKUP($D325&amp;$C325,生产方式定位!$A$2:$E$38,5,FALSE)+VLOOKUP($E325&amp;$C325,生产方式定位!$F$3:$J$38,5,FALSE),"错误")</f>
        <v>3763</v>
      </c>
      <c r="Y325" s="27" t="str">
        <f t="shared" ref="Y325:Y388" si="85">IF(AE325="","",AE325)&amp;IF(AF325="","",","&amp;AF325)&amp;IF(AG325="","",","&amp;AG325)</f>
        <v/>
      </c>
      <c r="Z325" s="50" t="str">
        <f t="shared" si="71"/>
        <v/>
      </c>
      <c r="AA325" s="50" t="str">
        <f t="shared" ref="AA325:AA388" si="86">IF(AK325="","",AK325)&amp;IF(AL325="","",","&amp;AL325)</f>
        <v/>
      </c>
      <c r="AB325" s="28" t="str">
        <f t="shared" si="72"/>
        <v>155%</v>
      </c>
      <c r="AC325" s="1">
        <f t="shared" si="73"/>
        <v>2188</v>
      </c>
      <c r="AD325" s="51">
        <f t="shared" ref="AD325:AD388" si="87">C325</f>
        <v>5</v>
      </c>
      <c r="AE325" t="str">
        <f t="shared" si="74"/>
        <v/>
      </c>
      <c r="AF325" t="str">
        <f t="shared" si="75"/>
        <v/>
      </c>
      <c r="AG325" t="str">
        <f t="shared" si="76"/>
        <v/>
      </c>
      <c r="AH325" t="str">
        <f t="shared" si="77"/>
        <v/>
      </c>
      <c r="AI325" t="str">
        <f t="shared" si="78"/>
        <v/>
      </c>
      <c r="AJ325" t="str">
        <f t="shared" si="79"/>
        <v/>
      </c>
      <c r="AK325" t="str">
        <f t="shared" si="80"/>
        <v/>
      </c>
      <c r="AL325" t="str">
        <f t="shared" si="81"/>
        <v/>
      </c>
      <c r="AN325" t="str">
        <f>IFERROR(ROUND(L325*(G325/$AW325)/VLOOKUP(F325,商品!$A$4:$D$67,4,FALSE),0),"")</f>
        <v/>
      </c>
      <c r="AO325" t="str">
        <f>IFERROR(ROUND(L325*(I325/$AW325)/VLOOKUP(H325,商品!$A$4:$D$67,4,FALSE),0),"")</f>
        <v/>
      </c>
      <c r="AP325" t="str">
        <f>IFERROR(ROUND(L325*(K325/$AW325)/VLOOKUP(J325,商品!$A$4:$D$67,4,FALSE),0),"")</f>
        <v/>
      </c>
      <c r="AQ325" t="str">
        <f>IFERROR(ROUND(S325*(N325/$AX325)/VLOOKUP(M325,职业!$A$3:$E$16,4,FALSE),0),"")</f>
        <v/>
      </c>
      <c r="AR325" t="str">
        <f>IFERROR(ROUND(S325*(P325/$AX325)/VLOOKUP(O325,职业!$A$3:$E$16,4,FALSE),0),"")</f>
        <v/>
      </c>
      <c r="AS325" t="str">
        <f>IFERROR(ROUND(S325*(R325/$AX325)/VLOOKUP(Q325,职业!$A$3:$E$16,4,FALSE),0),"")</f>
        <v/>
      </c>
      <c r="AT325" t="str">
        <f>IFERROR(ROUND(X325*(U325/$AY325)/VLOOKUP(T325,商品!$A$4:$D$67,4,FALSE),0),"")</f>
        <v/>
      </c>
      <c r="AU325" t="str">
        <f>IFERROR(ROUND(X325*(W325/$AY325)/VLOOKUP(V325,商品!$A$4:$D$67,4,FALSE),0),"")</f>
        <v/>
      </c>
      <c r="AW325">
        <f t="shared" si="82"/>
        <v>0</v>
      </c>
      <c r="AX325">
        <f t="shared" si="83"/>
        <v>0</v>
      </c>
      <c r="AY325">
        <f t="shared" si="84"/>
        <v>0</v>
      </c>
    </row>
    <row r="326" customHeight="1" spans="1:51">
      <c r="A326" s="18" t="s">
        <v>346</v>
      </c>
      <c r="C326" s="18">
        <v>1</v>
      </c>
      <c r="D326" s="1" t="s">
        <v>238</v>
      </c>
      <c r="E326" s="1" t="s">
        <v>224</v>
      </c>
      <c r="L326" s="18">
        <f>IFERROR(VLOOKUP($D326&amp;$C326,生产方式定位!$A$2:$E$38,2,FALSE)+VLOOKUP($E326&amp;$C326,生产方式定位!$F$3:$J$38,2,FALSE),0)</f>
        <v>1000</v>
      </c>
      <c r="S326" s="18">
        <f>IFERROR(VLOOKUP($D326&amp;$C326,生产方式定位!$A$2:$E$38,3,FALSE)+VLOOKUP($E326&amp;$C326,生产方式定位!$F$3:$J$38,3,FALSE),0)</f>
        <v>80</v>
      </c>
      <c r="X326" s="18">
        <f>IFERROR(VLOOKUP($D326&amp;$C326,生产方式定位!$A$2:$E$38,5,FALSE)+VLOOKUP($E326&amp;$C326,生产方式定位!$F$3:$J$38,5,FALSE),"错误")</f>
        <v>972</v>
      </c>
      <c r="Y326" s="27" t="str">
        <f t="shared" si="85"/>
        <v/>
      </c>
      <c r="Z326" s="50" t="str">
        <f t="shared" ref="Z326:Z389" si="88">IF(AH326="","",AH326)&amp;IF(AI326="","",","&amp;AI326)&amp;IF(AJ326="","",","&amp;AJ326)</f>
        <v/>
      </c>
      <c r="AA326" s="50" t="str">
        <f t="shared" si="86"/>
        <v/>
      </c>
      <c r="AB326" s="28" t="str">
        <f t="shared" ref="AB326:AB389" si="89">IFERROR(ROUND(((X326/L326)-1)*100,0)&amp;"%","")</f>
        <v>-3%</v>
      </c>
      <c r="AC326" s="1">
        <f t="shared" ref="AC326:AC389" si="90">IF(X326-S326-L326=0,"",X326-S326-L326)</f>
        <v>-108</v>
      </c>
      <c r="AD326" s="52">
        <f t="shared" si="87"/>
        <v>1</v>
      </c>
      <c r="AE326" t="str">
        <f t="shared" ref="AE326:AE389" si="91">IF(AN326="","",F326&amp;"*"&amp;AN326)</f>
        <v/>
      </c>
      <c r="AF326" t="str">
        <f t="shared" ref="AF326:AF389" si="92">IF(AO326="","",H326&amp;"*"&amp;AO326)</f>
        <v/>
      </c>
      <c r="AG326" t="str">
        <f t="shared" ref="AG326:AG389" si="93">IF(AP326="","",J326&amp;"*"&amp;AP326)</f>
        <v/>
      </c>
      <c r="AH326" t="str">
        <f t="shared" ref="AH326:AH389" si="94">IF(AQ326="","",M326&amp;"*"&amp;AQ326)</f>
        <v/>
      </c>
      <c r="AI326" t="str">
        <f t="shared" ref="AI326:AI389" si="95">IF(AR326="","",O326&amp;"*"&amp;AR326)</f>
        <v/>
      </c>
      <c r="AJ326" t="str">
        <f t="shared" ref="AJ326:AJ389" si="96">IF(AS326="","",Q326&amp;"*"&amp;AS326)</f>
        <v/>
      </c>
      <c r="AK326" t="str">
        <f t="shared" ref="AK326:AK389" si="97">IF(AT326="","",T326&amp;"*"&amp;AT326)</f>
        <v/>
      </c>
      <c r="AL326" t="str">
        <f t="shared" ref="AL326:AL389" si="98">IF(AU326="","",V326&amp;"*"&amp;AU326)</f>
        <v/>
      </c>
      <c r="AN326" t="str">
        <f>IFERROR(ROUND(L326*(G326/$AW326)/VLOOKUP(F326,商品!$A$4:$D$67,4,FALSE),0),"")</f>
        <v/>
      </c>
      <c r="AO326" t="str">
        <f>IFERROR(ROUND(L326*(I326/$AW326)/VLOOKUP(H326,商品!$A$4:$D$67,4,FALSE),0),"")</f>
        <v/>
      </c>
      <c r="AP326" t="str">
        <f>IFERROR(ROUND(L326*(K326/$AW326)/VLOOKUP(J326,商品!$A$4:$D$67,4,FALSE),0),"")</f>
        <v/>
      </c>
      <c r="AQ326" t="str">
        <f>IFERROR(ROUND(S326*(N326/$AX326)/VLOOKUP(M326,职业!$A$3:$E$16,4,FALSE),0),"")</f>
        <v/>
      </c>
      <c r="AR326" t="str">
        <f>IFERROR(ROUND(S326*(P326/$AX326)/VLOOKUP(O326,职业!$A$3:$E$16,4,FALSE),0),"")</f>
        <v/>
      </c>
      <c r="AS326" t="str">
        <f>IFERROR(ROUND(S326*(R326/$AX326)/VLOOKUP(Q326,职业!$A$3:$E$16,4,FALSE),0),"")</f>
        <v/>
      </c>
      <c r="AT326" t="str">
        <f>IFERROR(ROUND(X326*(U326/$AY326)/VLOOKUP(T326,商品!$A$4:$D$67,4,FALSE),0),"")</f>
        <v/>
      </c>
      <c r="AU326" t="str">
        <f>IFERROR(ROUND(X326*(W326/$AY326)/VLOOKUP(V326,商品!$A$4:$D$67,4,FALSE),0),"")</f>
        <v/>
      </c>
      <c r="AW326">
        <f t="shared" ref="AW326:AW389" si="99">G326+I326+K326</f>
        <v>0</v>
      </c>
      <c r="AX326">
        <f t="shared" ref="AX326:AX389" si="100">ABS(N326)+ABS(P326)+ABS(R326)</f>
        <v>0</v>
      </c>
      <c r="AY326">
        <f t="shared" ref="AY326:AY389" si="101">U326+W326</f>
        <v>0</v>
      </c>
    </row>
    <row r="327" customHeight="1" spans="1:51">
      <c r="A327" s="18" t="s">
        <v>346</v>
      </c>
      <c r="C327" s="18">
        <v>2</v>
      </c>
      <c r="D327" s="1" t="s">
        <v>238</v>
      </c>
      <c r="E327" s="1" t="s">
        <v>224</v>
      </c>
      <c r="L327" s="18">
        <f>IFERROR(VLOOKUP($D327&amp;$C327,生产方式定位!$A$2:$E$38,2,FALSE)+VLOOKUP($E327&amp;$C327,生产方式定位!$F$3:$J$38,2,FALSE),0)</f>
        <v>1400</v>
      </c>
      <c r="S327" s="18">
        <f>IFERROR(VLOOKUP($D327&amp;$C327,生产方式定位!$A$2:$E$38,3,FALSE)+VLOOKUP($E327&amp;$C327,生产方式定位!$F$3:$J$38,3,FALSE),0)</f>
        <v>45</v>
      </c>
      <c r="X327" s="18">
        <f>IFERROR(VLOOKUP($D327&amp;$C327,生产方式定位!$A$2:$E$38,5,FALSE)+VLOOKUP($E327&amp;$C327,生产方式定位!$F$3:$J$38,5,FALSE),"错误")</f>
        <v>1688</v>
      </c>
      <c r="Y327" s="27" t="str">
        <f t="shared" si="85"/>
        <v/>
      </c>
      <c r="Z327" s="50" t="str">
        <f t="shared" si="88"/>
        <v/>
      </c>
      <c r="AA327" s="50" t="str">
        <f t="shared" si="86"/>
        <v/>
      </c>
      <c r="AB327" s="28" t="str">
        <f t="shared" si="89"/>
        <v>21%</v>
      </c>
      <c r="AC327" s="1">
        <f t="shared" si="90"/>
        <v>243</v>
      </c>
      <c r="AD327" s="52">
        <f t="shared" si="87"/>
        <v>2</v>
      </c>
      <c r="AE327" t="str">
        <f t="shared" si="91"/>
        <v/>
      </c>
      <c r="AF327" t="str">
        <f t="shared" si="92"/>
        <v/>
      </c>
      <c r="AG327" t="str">
        <f t="shared" si="93"/>
        <v/>
      </c>
      <c r="AH327" t="str">
        <f t="shared" si="94"/>
        <v/>
      </c>
      <c r="AI327" t="str">
        <f t="shared" si="95"/>
        <v/>
      </c>
      <c r="AJ327" t="str">
        <f t="shared" si="96"/>
        <v/>
      </c>
      <c r="AK327" t="str">
        <f t="shared" si="97"/>
        <v/>
      </c>
      <c r="AL327" t="str">
        <f t="shared" si="98"/>
        <v/>
      </c>
      <c r="AN327" t="str">
        <f>IFERROR(ROUND(L327*(G327/$AW327)/VLOOKUP(F327,商品!$A$4:$D$67,4,FALSE),0),"")</f>
        <v/>
      </c>
      <c r="AO327" t="str">
        <f>IFERROR(ROUND(L327*(I327/$AW327)/VLOOKUP(H327,商品!$A$4:$D$67,4,FALSE),0),"")</f>
        <v/>
      </c>
      <c r="AP327" t="str">
        <f>IFERROR(ROUND(L327*(K327/$AW327)/VLOOKUP(J327,商品!$A$4:$D$67,4,FALSE),0),"")</f>
        <v/>
      </c>
      <c r="AQ327" t="str">
        <f>IFERROR(ROUND(S327*(N327/$AX327)/VLOOKUP(M327,职业!$A$3:$E$16,4,FALSE),0),"")</f>
        <v/>
      </c>
      <c r="AR327" t="str">
        <f>IFERROR(ROUND(S327*(P327/$AX327)/VLOOKUP(O327,职业!$A$3:$E$16,4,FALSE),0),"")</f>
        <v/>
      </c>
      <c r="AS327" t="str">
        <f>IFERROR(ROUND(S327*(R327/$AX327)/VLOOKUP(Q327,职业!$A$3:$E$16,4,FALSE),0),"")</f>
        <v/>
      </c>
      <c r="AT327" t="str">
        <f>IFERROR(ROUND(X327*(U327/$AY327)/VLOOKUP(T327,商品!$A$4:$D$67,4,FALSE),0),"")</f>
        <v/>
      </c>
      <c r="AU327" t="str">
        <f>IFERROR(ROUND(X327*(W327/$AY327)/VLOOKUP(V327,商品!$A$4:$D$67,4,FALSE),0),"")</f>
        <v/>
      </c>
      <c r="AW327">
        <f t="shared" si="99"/>
        <v>0</v>
      </c>
      <c r="AX327">
        <f t="shared" si="100"/>
        <v>0</v>
      </c>
      <c r="AY327">
        <f t="shared" si="101"/>
        <v>0</v>
      </c>
    </row>
    <row r="328" customHeight="1" spans="1:51">
      <c r="A328" s="18" t="s">
        <v>346</v>
      </c>
      <c r="C328" s="18">
        <v>3</v>
      </c>
      <c r="D328" s="1" t="s">
        <v>238</v>
      </c>
      <c r="E328" s="1" t="s">
        <v>224</v>
      </c>
      <c r="L328" s="18">
        <f>IFERROR(VLOOKUP($D328&amp;$C328,生产方式定位!$A$2:$E$38,2,FALSE)+VLOOKUP($E328&amp;$C328,生产方式定位!$F$3:$J$38,2,FALSE),0)</f>
        <v>1800</v>
      </c>
      <c r="S328" s="18">
        <f>IFERROR(VLOOKUP($D328&amp;$C328,生产方式定位!$A$2:$E$38,3,FALSE)+VLOOKUP($E328&amp;$C328,生产方式定位!$F$3:$J$38,3,FALSE),0)</f>
        <v>30</v>
      </c>
      <c r="X328" s="18">
        <f>IFERROR(VLOOKUP($D328&amp;$C328,生产方式定位!$A$2:$E$38,5,FALSE)+VLOOKUP($E328&amp;$C328,生产方式定位!$F$3:$J$38,5,FALSE),"错误")</f>
        <v>2458</v>
      </c>
      <c r="Y328" s="27" t="str">
        <f t="shared" si="85"/>
        <v/>
      </c>
      <c r="Z328" s="50" t="str">
        <f t="shared" si="88"/>
        <v/>
      </c>
      <c r="AA328" s="50" t="str">
        <f t="shared" si="86"/>
        <v/>
      </c>
      <c r="AB328" s="28" t="str">
        <f t="shared" si="89"/>
        <v>37%</v>
      </c>
      <c r="AC328" s="1">
        <f t="shared" si="90"/>
        <v>628</v>
      </c>
      <c r="AD328" s="52">
        <f t="shared" si="87"/>
        <v>3</v>
      </c>
      <c r="AE328" t="str">
        <f t="shared" si="91"/>
        <v/>
      </c>
      <c r="AF328" t="str">
        <f t="shared" si="92"/>
        <v/>
      </c>
      <c r="AG328" t="str">
        <f t="shared" si="93"/>
        <v/>
      </c>
      <c r="AH328" t="str">
        <f t="shared" si="94"/>
        <v/>
      </c>
      <c r="AI328" t="str">
        <f t="shared" si="95"/>
        <v/>
      </c>
      <c r="AJ328" t="str">
        <f t="shared" si="96"/>
        <v/>
      </c>
      <c r="AK328" t="str">
        <f t="shared" si="97"/>
        <v/>
      </c>
      <c r="AL328" t="str">
        <f t="shared" si="98"/>
        <v/>
      </c>
      <c r="AN328" t="str">
        <f>IFERROR(ROUND(L328*(G328/$AW328)/VLOOKUP(F328,商品!$A$4:$D$67,4,FALSE),0),"")</f>
        <v/>
      </c>
      <c r="AO328" t="str">
        <f>IFERROR(ROUND(L328*(I328/$AW328)/VLOOKUP(H328,商品!$A$4:$D$67,4,FALSE),0),"")</f>
        <v/>
      </c>
      <c r="AP328" t="str">
        <f>IFERROR(ROUND(L328*(K328/$AW328)/VLOOKUP(J328,商品!$A$4:$D$67,4,FALSE),0),"")</f>
        <v/>
      </c>
      <c r="AQ328" t="str">
        <f>IFERROR(ROUND(S328*(N328/$AX328)/VLOOKUP(M328,职业!$A$3:$E$16,4,FALSE),0),"")</f>
        <v/>
      </c>
      <c r="AR328" t="str">
        <f>IFERROR(ROUND(S328*(P328/$AX328)/VLOOKUP(O328,职业!$A$3:$E$16,4,FALSE),0),"")</f>
        <v/>
      </c>
      <c r="AS328" t="str">
        <f>IFERROR(ROUND(S328*(R328/$AX328)/VLOOKUP(Q328,职业!$A$3:$E$16,4,FALSE),0),"")</f>
        <v/>
      </c>
      <c r="AT328" t="str">
        <f>IFERROR(ROUND(X328*(U328/$AY328)/VLOOKUP(T328,商品!$A$4:$D$67,4,FALSE),0),"")</f>
        <v/>
      </c>
      <c r="AU328" t="str">
        <f>IFERROR(ROUND(X328*(W328/$AY328)/VLOOKUP(V328,商品!$A$4:$D$67,4,FALSE),0),"")</f>
        <v/>
      </c>
      <c r="AW328">
        <f t="shared" si="99"/>
        <v>0</v>
      </c>
      <c r="AX328">
        <f t="shared" si="100"/>
        <v>0</v>
      </c>
      <c r="AY328">
        <f t="shared" si="101"/>
        <v>0</v>
      </c>
    </row>
    <row r="329" customHeight="1" spans="1:51">
      <c r="A329" s="18" t="s">
        <v>346</v>
      </c>
      <c r="C329" s="18">
        <v>4</v>
      </c>
      <c r="D329" s="1" t="s">
        <v>238</v>
      </c>
      <c r="E329" s="1" t="s">
        <v>224</v>
      </c>
      <c r="L329" s="18">
        <f>IFERROR(VLOOKUP($D329&amp;$C329,生产方式定位!$A$2:$E$38,2,FALSE)+VLOOKUP($E329&amp;$C329,生产方式定位!$F$3:$J$38,2,FALSE),0)</f>
        <v>2200</v>
      </c>
      <c r="S329" s="18">
        <f>IFERROR(VLOOKUP($D329&amp;$C329,生产方式定位!$A$2:$E$38,3,FALSE)+VLOOKUP($E329&amp;$C329,生产方式定位!$F$3:$J$38,3,FALSE),0)</f>
        <v>15</v>
      </c>
      <c r="X329" s="18">
        <f>IFERROR(VLOOKUP($D329&amp;$C329,生产方式定位!$A$2:$E$38,5,FALSE)+VLOOKUP($E329&amp;$C329,生产方式定位!$F$3:$J$38,5,FALSE),"错误")</f>
        <v>3470</v>
      </c>
      <c r="Y329" s="27" t="str">
        <f t="shared" si="85"/>
        <v/>
      </c>
      <c r="Z329" s="50" t="str">
        <f t="shared" si="88"/>
        <v/>
      </c>
      <c r="AA329" s="50" t="str">
        <f t="shared" si="86"/>
        <v/>
      </c>
      <c r="AB329" s="28" t="str">
        <f t="shared" si="89"/>
        <v>58%</v>
      </c>
      <c r="AC329" s="1">
        <f t="shared" si="90"/>
        <v>1255</v>
      </c>
      <c r="AD329" s="52">
        <f t="shared" si="87"/>
        <v>4</v>
      </c>
      <c r="AE329" t="str">
        <f t="shared" si="91"/>
        <v/>
      </c>
      <c r="AF329" t="str">
        <f t="shared" si="92"/>
        <v/>
      </c>
      <c r="AG329" t="str">
        <f t="shared" si="93"/>
        <v/>
      </c>
      <c r="AH329" t="str">
        <f t="shared" si="94"/>
        <v/>
      </c>
      <c r="AI329" t="str">
        <f t="shared" si="95"/>
        <v/>
      </c>
      <c r="AJ329" t="str">
        <f t="shared" si="96"/>
        <v/>
      </c>
      <c r="AK329" t="str">
        <f t="shared" si="97"/>
        <v/>
      </c>
      <c r="AL329" t="str">
        <f t="shared" si="98"/>
        <v/>
      </c>
      <c r="AN329" t="str">
        <f>IFERROR(ROUND(L329*(G329/$AW329)/VLOOKUP(F329,商品!$A$4:$D$67,4,FALSE),0),"")</f>
        <v/>
      </c>
      <c r="AO329" t="str">
        <f>IFERROR(ROUND(L329*(I329/$AW329)/VLOOKUP(H329,商品!$A$4:$D$67,4,FALSE),0),"")</f>
        <v/>
      </c>
      <c r="AP329" t="str">
        <f>IFERROR(ROUND(L329*(K329/$AW329)/VLOOKUP(J329,商品!$A$4:$D$67,4,FALSE),0),"")</f>
        <v/>
      </c>
      <c r="AQ329" t="str">
        <f>IFERROR(ROUND(S329*(N329/$AX329)/VLOOKUP(M329,职业!$A$3:$E$16,4,FALSE),0),"")</f>
        <v/>
      </c>
      <c r="AR329" t="str">
        <f>IFERROR(ROUND(S329*(P329/$AX329)/VLOOKUP(O329,职业!$A$3:$E$16,4,FALSE),0),"")</f>
        <v/>
      </c>
      <c r="AS329" t="str">
        <f>IFERROR(ROUND(S329*(R329/$AX329)/VLOOKUP(Q329,职业!$A$3:$E$16,4,FALSE),0),"")</f>
        <v/>
      </c>
      <c r="AT329" t="str">
        <f>IFERROR(ROUND(X329*(U329/$AY329)/VLOOKUP(T329,商品!$A$4:$D$67,4,FALSE),0),"")</f>
        <v/>
      </c>
      <c r="AU329" t="str">
        <f>IFERROR(ROUND(X329*(W329/$AY329)/VLOOKUP(V329,商品!$A$4:$D$67,4,FALSE),0),"")</f>
        <v/>
      </c>
      <c r="AW329">
        <f t="shared" si="99"/>
        <v>0</v>
      </c>
      <c r="AX329">
        <f t="shared" si="100"/>
        <v>0</v>
      </c>
      <c r="AY329">
        <f t="shared" si="101"/>
        <v>0</v>
      </c>
    </row>
    <row r="330" customHeight="1" spans="1:51">
      <c r="A330" s="18" t="s">
        <v>346</v>
      </c>
      <c r="C330" s="18">
        <v>5</v>
      </c>
      <c r="D330" s="1" t="s">
        <v>238</v>
      </c>
      <c r="E330" s="1" t="s">
        <v>224</v>
      </c>
      <c r="L330" s="18">
        <f>IFERROR(VLOOKUP($D330&amp;$C330,生产方式定位!$A$2:$E$38,2,FALSE)+VLOOKUP($E330&amp;$C330,生产方式定位!$F$3:$J$38,2,FALSE),0)</f>
        <v>2600</v>
      </c>
      <c r="S330" s="18">
        <f>IFERROR(VLOOKUP($D330&amp;$C330,生产方式定位!$A$2:$E$38,3,FALSE)+VLOOKUP($E330&amp;$C330,生产方式定位!$F$3:$J$38,3,FALSE),0)</f>
        <v>0</v>
      </c>
      <c r="X330" s="18">
        <f>IFERROR(VLOOKUP($D330&amp;$C330,生产方式定位!$A$2:$E$38,5,FALSE)+VLOOKUP($E330&amp;$C330,生产方式定位!$F$3:$J$38,5,FALSE),"错误")</f>
        <v>4890</v>
      </c>
      <c r="Y330" s="27" t="str">
        <f t="shared" si="85"/>
        <v/>
      </c>
      <c r="Z330" s="50" t="str">
        <f t="shared" si="88"/>
        <v/>
      </c>
      <c r="AA330" s="50" t="str">
        <f t="shared" si="86"/>
        <v/>
      </c>
      <c r="AB330" s="28" t="str">
        <f t="shared" si="89"/>
        <v>88%</v>
      </c>
      <c r="AC330" s="1">
        <f t="shared" si="90"/>
        <v>2290</v>
      </c>
      <c r="AD330" s="52">
        <f t="shared" si="87"/>
        <v>5</v>
      </c>
      <c r="AE330" t="str">
        <f t="shared" si="91"/>
        <v/>
      </c>
      <c r="AF330" t="str">
        <f t="shared" si="92"/>
        <v/>
      </c>
      <c r="AG330" t="str">
        <f t="shared" si="93"/>
        <v/>
      </c>
      <c r="AH330" t="str">
        <f t="shared" si="94"/>
        <v/>
      </c>
      <c r="AI330" t="str">
        <f t="shared" si="95"/>
        <v/>
      </c>
      <c r="AJ330" t="str">
        <f t="shared" si="96"/>
        <v/>
      </c>
      <c r="AK330" t="str">
        <f t="shared" si="97"/>
        <v/>
      </c>
      <c r="AL330" t="str">
        <f t="shared" si="98"/>
        <v/>
      </c>
      <c r="AN330" t="str">
        <f>IFERROR(ROUND(L330*(G330/$AW330)/VLOOKUP(F330,商品!$A$4:$D$67,4,FALSE),0),"")</f>
        <v/>
      </c>
      <c r="AO330" t="str">
        <f>IFERROR(ROUND(L330*(I330/$AW330)/VLOOKUP(H330,商品!$A$4:$D$67,4,FALSE),0),"")</f>
        <v/>
      </c>
      <c r="AP330" t="str">
        <f>IFERROR(ROUND(L330*(K330/$AW330)/VLOOKUP(J330,商品!$A$4:$D$67,4,FALSE),0),"")</f>
        <v/>
      </c>
      <c r="AQ330" t="str">
        <f>IFERROR(ROUND(S330*(N330/$AX330)/VLOOKUP(M330,职业!$A$3:$E$16,4,FALSE),0),"")</f>
        <v/>
      </c>
      <c r="AR330" t="str">
        <f>IFERROR(ROUND(S330*(P330/$AX330)/VLOOKUP(O330,职业!$A$3:$E$16,4,FALSE),0),"")</f>
        <v/>
      </c>
      <c r="AS330" t="str">
        <f>IFERROR(ROUND(S330*(R330/$AX330)/VLOOKUP(Q330,职业!$A$3:$E$16,4,FALSE),0),"")</f>
        <v/>
      </c>
      <c r="AT330" t="str">
        <f>IFERROR(ROUND(X330*(U330/$AY330)/VLOOKUP(T330,商品!$A$4:$D$67,4,FALSE),0),"")</f>
        <v/>
      </c>
      <c r="AU330" t="str">
        <f>IFERROR(ROUND(X330*(W330/$AY330)/VLOOKUP(V330,商品!$A$4:$D$67,4,FALSE),0),"")</f>
        <v/>
      </c>
      <c r="AW330">
        <f t="shared" si="99"/>
        <v>0</v>
      </c>
      <c r="AX330">
        <f t="shared" si="100"/>
        <v>0</v>
      </c>
      <c r="AY330">
        <f t="shared" si="101"/>
        <v>0</v>
      </c>
    </row>
    <row r="331" customHeight="1" spans="1:51">
      <c r="A331" s="5" t="s">
        <v>346</v>
      </c>
      <c r="C331" s="5">
        <v>1</v>
      </c>
      <c r="D331" s="1" t="s">
        <v>238</v>
      </c>
      <c r="E331" s="1" t="s">
        <v>224</v>
      </c>
      <c r="L331" s="5">
        <f>IFERROR(VLOOKUP($D331&amp;$C331,生产方式定位!$A$2:$E$38,2,FALSE)+VLOOKUP($E331&amp;$C331,生产方式定位!$F$3:$J$38,2,FALSE),0)</f>
        <v>1000</v>
      </c>
      <c r="S331" s="5">
        <f>IFERROR(VLOOKUP($D331&amp;$C331,生产方式定位!$A$2:$E$38,3,FALSE)+VLOOKUP($E331&amp;$C331,生产方式定位!$F$3:$J$38,3,FALSE),0)</f>
        <v>80</v>
      </c>
      <c r="X331" s="5">
        <f>IFERROR(VLOOKUP($D331&amp;$C331,生产方式定位!$A$2:$E$38,5,FALSE)+VLOOKUP($E331&amp;$C331,生产方式定位!$F$3:$J$38,5,FALSE),"错误")</f>
        <v>972</v>
      </c>
      <c r="Y331" s="27" t="str">
        <f t="shared" si="85"/>
        <v/>
      </c>
      <c r="Z331" s="50" t="str">
        <f t="shared" si="88"/>
        <v/>
      </c>
      <c r="AA331" s="50" t="str">
        <f t="shared" si="86"/>
        <v/>
      </c>
      <c r="AB331" s="28" t="str">
        <f t="shared" si="89"/>
        <v>-3%</v>
      </c>
      <c r="AC331" s="1">
        <f t="shared" si="90"/>
        <v>-108</v>
      </c>
      <c r="AD331" s="51">
        <f t="shared" si="87"/>
        <v>1</v>
      </c>
      <c r="AE331" t="str">
        <f t="shared" si="91"/>
        <v/>
      </c>
      <c r="AF331" t="str">
        <f t="shared" si="92"/>
        <v/>
      </c>
      <c r="AG331" t="str">
        <f t="shared" si="93"/>
        <v/>
      </c>
      <c r="AH331" t="str">
        <f t="shared" si="94"/>
        <v/>
      </c>
      <c r="AI331" t="str">
        <f t="shared" si="95"/>
        <v/>
      </c>
      <c r="AJ331" t="str">
        <f t="shared" si="96"/>
        <v/>
      </c>
      <c r="AK331" t="str">
        <f t="shared" si="97"/>
        <v/>
      </c>
      <c r="AL331" t="str">
        <f t="shared" si="98"/>
        <v/>
      </c>
      <c r="AN331" t="str">
        <f>IFERROR(ROUND(L331*(G331/$AW331)/VLOOKUP(F331,商品!$A$4:$D$67,4,FALSE),0),"")</f>
        <v/>
      </c>
      <c r="AO331" t="str">
        <f>IFERROR(ROUND(L331*(I331/$AW331)/VLOOKUP(H331,商品!$A$4:$D$67,4,FALSE),0),"")</f>
        <v/>
      </c>
      <c r="AP331" t="str">
        <f>IFERROR(ROUND(L331*(K331/$AW331)/VLOOKUP(J331,商品!$A$4:$D$67,4,FALSE),0),"")</f>
        <v/>
      </c>
      <c r="AQ331" t="str">
        <f>IFERROR(ROUND(S331*(N331/$AX331)/VLOOKUP(M331,职业!$A$3:$E$16,4,FALSE),0),"")</f>
        <v/>
      </c>
      <c r="AR331" t="str">
        <f>IFERROR(ROUND(S331*(P331/$AX331)/VLOOKUP(O331,职业!$A$3:$E$16,4,FALSE),0),"")</f>
        <v/>
      </c>
      <c r="AS331" t="str">
        <f>IFERROR(ROUND(S331*(R331/$AX331)/VLOOKUP(Q331,职业!$A$3:$E$16,4,FALSE),0),"")</f>
        <v/>
      </c>
      <c r="AT331" t="str">
        <f>IFERROR(ROUND(X331*(U331/$AY331)/VLOOKUP(T331,商品!$A$4:$D$67,4,FALSE),0),"")</f>
        <v/>
      </c>
      <c r="AU331" t="str">
        <f>IFERROR(ROUND(X331*(W331/$AY331)/VLOOKUP(V331,商品!$A$4:$D$67,4,FALSE),0),"")</f>
        <v/>
      </c>
      <c r="AW331">
        <f t="shared" si="99"/>
        <v>0</v>
      </c>
      <c r="AX331">
        <f t="shared" si="100"/>
        <v>0</v>
      </c>
      <c r="AY331">
        <f t="shared" si="101"/>
        <v>0</v>
      </c>
    </row>
    <row r="332" customHeight="1" spans="1:51">
      <c r="A332" s="5" t="s">
        <v>346</v>
      </c>
      <c r="C332" s="5">
        <v>2</v>
      </c>
      <c r="D332" s="1" t="s">
        <v>238</v>
      </c>
      <c r="E332" s="1" t="s">
        <v>224</v>
      </c>
      <c r="L332" s="5">
        <f>IFERROR(VLOOKUP($D332&amp;$C332,生产方式定位!$A$2:$E$38,2,FALSE)+VLOOKUP($E332&amp;$C332,生产方式定位!$F$3:$J$38,2,FALSE),0)</f>
        <v>1400</v>
      </c>
      <c r="S332" s="5">
        <f>IFERROR(VLOOKUP($D332&amp;$C332,生产方式定位!$A$2:$E$38,3,FALSE)+VLOOKUP($E332&amp;$C332,生产方式定位!$F$3:$J$38,3,FALSE),0)</f>
        <v>45</v>
      </c>
      <c r="X332" s="5">
        <f>IFERROR(VLOOKUP($D332&amp;$C332,生产方式定位!$A$2:$E$38,5,FALSE)+VLOOKUP($E332&amp;$C332,生产方式定位!$F$3:$J$38,5,FALSE),"错误")</f>
        <v>1688</v>
      </c>
      <c r="Y332" s="27" t="str">
        <f t="shared" si="85"/>
        <v/>
      </c>
      <c r="Z332" s="50" t="str">
        <f t="shared" si="88"/>
        <v/>
      </c>
      <c r="AA332" s="50" t="str">
        <f t="shared" si="86"/>
        <v/>
      </c>
      <c r="AB332" s="28" t="str">
        <f t="shared" si="89"/>
        <v>21%</v>
      </c>
      <c r="AC332" s="1">
        <f t="shared" si="90"/>
        <v>243</v>
      </c>
      <c r="AD332" s="51">
        <f t="shared" si="87"/>
        <v>2</v>
      </c>
      <c r="AE332" t="str">
        <f t="shared" si="91"/>
        <v/>
      </c>
      <c r="AF332" t="str">
        <f t="shared" si="92"/>
        <v/>
      </c>
      <c r="AG332" t="str">
        <f t="shared" si="93"/>
        <v/>
      </c>
      <c r="AH332" t="str">
        <f t="shared" si="94"/>
        <v/>
      </c>
      <c r="AI332" t="str">
        <f t="shared" si="95"/>
        <v/>
      </c>
      <c r="AJ332" t="str">
        <f t="shared" si="96"/>
        <v/>
      </c>
      <c r="AK332" t="str">
        <f t="shared" si="97"/>
        <v/>
      </c>
      <c r="AL332" t="str">
        <f t="shared" si="98"/>
        <v/>
      </c>
      <c r="AN332" t="str">
        <f>IFERROR(ROUND(L332*(G332/$AW332)/VLOOKUP(F332,商品!$A$4:$D$67,4,FALSE),0),"")</f>
        <v/>
      </c>
      <c r="AO332" t="str">
        <f>IFERROR(ROUND(L332*(I332/$AW332)/VLOOKUP(H332,商品!$A$4:$D$67,4,FALSE),0),"")</f>
        <v/>
      </c>
      <c r="AP332" t="str">
        <f>IFERROR(ROUND(L332*(K332/$AW332)/VLOOKUP(J332,商品!$A$4:$D$67,4,FALSE),0),"")</f>
        <v/>
      </c>
      <c r="AQ332" t="str">
        <f>IFERROR(ROUND(S332*(N332/$AX332)/VLOOKUP(M332,职业!$A$3:$E$16,4,FALSE),0),"")</f>
        <v/>
      </c>
      <c r="AR332" t="str">
        <f>IFERROR(ROUND(S332*(P332/$AX332)/VLOOKUP(O332,职业!$A$3:$E$16,4,FALSE),0),"")</f>
        <v/>
      </c>
      <c r="AS332" t="str">
        <f>IFERROR(ROUND(S332*(R332/$AX332)/VLOOKUP(Q332,职业!$A$3:$E$16,4,FALSE),0),"")</f>
        <v/>
      </c>
      <c r="AT332" t="str">
        <f>IFERROR(ROUND(X332*(U332/$AY332)/VLOOKUP(T332,商品!$A$4:$D$67,4,FALSE),0),"")</f>
        <v/>
      </c>
      <c r="AU332" t="str">
        <f>IFERROR(ROUND(X332*(W332/$AY332)/VLOOKUP(V332,商品!$A$4:$D$67,4,FALSE),0),"")</f>
        <v/>
      </c>
      <c r="AW332">
        <f t="shared" si="99"/>
        <v>0</v>
      </c>
      <c r="AX332">
        <f t="shared" si="100"/>
        <v>0</v>
      </c>
      <c r="AY332">
        <f t="shared" si="101"/>
        <v>0</v>
      </c>
    </row>
    <row r="333" customHeight="1" spans="1:51">
      <c r="A333" s="5" t="s">
        <v>346</v>
      </c>
      <c r="C333" s="5">
        <v>3</v>
      </c>
      <c r="D333" s="1" t="s">
        <v>238</v>
      </c>
      <c r="E333" s="1" t="s">
        <v>224</v>
      </c>
      <c r="L333" s="5">
        <f>IFERROR(VLOOKUP($D333&amp;$C333,生产方式定位!$A$2:$E$38,2,FALSE)+VLOOKUP($E333&amp;$C333,生产方式定位!$F$3:$J$38,2,FALSE),0)</f>
        <v>1800</v>
      </c>
      <c r="S333" s="5">
        <f>IFERROR(VLOOKUP($D333&amp;$C333,生产方式定位!$A$2:$E$38,3,FALSE)+VLOOKUP($E333&amp;$C333,生产方式定位!$F$3:$J$38,3,FALSE),0)</f>
        <v>30</v>
      </c>
      <c r="X333" s="5">
        <f>IFERROR(VLOOKUP($D333&amp;$C333,生产方式定位!$A$2:$E$38,5,FALSE)+VLOOKUP($E333&amp;$C333,生产方式定位!$F$3:$J$38,5,FALSE),"错误")</f>
        <v>2458</v>
      </c>
      <c r="Y333" s="27" t="str">
        <f t="shared" si="85"/>
        <v/>
      </c>
      <c r="Z333" s="50" t="str">
        <f t="shared" si="88"/>
        <v/>
      </c>
      <c r="AA333" s="50" t="str">
        <f t="shared" si="86"/>
        <v/>
      </c>
      <c r="AB333" s="28" t="str">
        <f t="shared" si="89"/>
        <v>37%</v>
      </c>
      <c r="AC333" s="1">
        <f t="shared" si="90"/>
        <v>628</v>
      </c>
      <c r="AD333" s="51">
        <f t="shared" si="87"/>
        <v>3</v>
      </c>
      <c r="AE333" t="str">
        <f t="shared" si="91"/>
        <v/>
      </c>
      <c r="AF333" t="str">
        <f t="shared" si="92"/>
        <v/>
      </c>
      <c r="AG333" t="str">
        <f t="shared" si="93"/>
        <v/>
      </c>
      <c r="AH333" t="str">
        <f t="shared" si="94"/>
        <v/>
      </c>
      <c r="AI333" t="str">
        <f t="shared" si="95"/>
        <v/>
      </c>
      <c r="AJ333" t="str">
        <f t="shared" si="96"/>
        <v/>
      </c>
      <c r="AK333" t="str">
        <f t="shared" si="97"/>
        <v/>
      </c>
      <c r="AL333" t="str">
        <f t="shared" si="98"/>
        <v/>
      </c>
      <c r="AN333" t="str">
        <f>IFERROR(ROUND(L333*(G333/$AW333)/VLOOKUP(F333,商品!$A$4:$D$67,4,FALSE),0),"")</f>
        <v/>
      </c>
      <c r="AO333" t="str">
        <f>IFERROR(ROUND(L333*(I333/$AW333)/VLOOKUP(H333,商品!$A$4:$D$67,4,FALSE),0),"")</f>
        <v/>
      </c>
      <c r="AP333" t="str">
        <f>IFERROR(ROUND(L333*(K333/$AW333)/VLOOKUP(J333,商品!$A$4:$D$67,4,FALSE),0),"")</f>
        <v/>
      </c>
      <c r="AQ333" t="str">
        <f>IFERROR(ROUND(S333*(N333/$AX333)/VLOOKUP(M333,职业!$A$3:$E$16,4,FALSE),0),"")</f>
        <v/>
      </c>
      <c r="AR333" t="str">
        <f>IFERROR(ROUND(S333*(P333/$AX333)/VLOOKUP(O333,职业!$A$3:$E$16,4,FALSE),0),"")</f>
        <v/>
      </c>
      <c r="AS333" t="str">
        <f>IFERROR(ROUND(S333*(R333/$AX333)/VLOOKUP(Q333,职业!$A$3:$E$16,4,FALSE),0),"")</f>
        <v/>
      </c>
      <c r="AT333" t="str">
        <f>IFERROR(ROUND(X333*(U333/$AY333)/VLOOKUP(T333,商品!$A$4:$D$67,4,FALSE),0),"")</f>
        <v/>
      </c>
      <c r="AU333" t="str">
        <f>IFERROR(ROUND(X333*(W333/$AY333)/VLOOKUP(V333,商品!$A$4:$D$67,4,FALSE),0),"")</f>
        <v/>
      </c>
      <c r="AW333">
        <f t="shared" si="99"/>
        <v>0</v>
      </c>
      <c r="AX333">
        <f t="shared" si="100"/>
        <v>0</v>
      </c>
      <c r="AY333">
        <f t="shared" si="101"/>
        <v>0</v>
      </c>
    </row>
    <row r="334" customHeight="1" spans="1:51">
      <c r="A334" s="5" t="s">
        <v>346</v>
      </c>
      <c r="C334" s="5">
        <v>4</v>
      </c>
      <c r="D334" s="1" t="s">
        <v>238</v>
      </c>
      <c r="E334" s="1" t="s">
        <v>224</v>
      </c>
      <c r="L334" s="5">
        <f>IFERROR(VLOOKUP($D334&amp;$C334,生产方式定位!$A$2:$E$38,2,FALSE)+VLOOKUP($E334&amp;$C334,生产方式定位!$F$3:$J$38,2,FALSE),0)</f>
        <v>2200</v>
      </c>
      <c r="S334" s="5">
        <f>IFERROR(VLOOKUP($D334&amp;$C334,生产方式定位!$A$2:$E$38,3,FALSE)+VLOOKUP($E334&amp;$C334,生产方式定位!$F$3:$J$38,3,FALSE),0)</f>
        <v>15</v>
      </c>
      <c r="X334" s="5">
        <f>IFERROR(VLOOKUP($D334&amp;$C334,生产方式定位!$A$2:$E$38,5,FALSE)+VLOOKUP($E334&amp;$C334,生产方式定位!$F$3:$J$38,5,FALSE),"错误")</f>
        <v>3470</v>
      </c>
      <c r="Y334" s="27" t="str">
        <f t="shared" si="85"/>
        <v/>
      </c>
      <c r="Z334" s="50" t="str">
        <f t="shared" si="88"/>
        <v/>
      </c>
      <c r="AA334" s="50" t="str">
        <f t="shared" si="86"/>
        <v/>
      </c>
      <c r="AB334" s="28" t="str">
        <f t="shared" si="89"/>
        <v>58%</v>
      </c>
      <c r="AC334" s="1">
        <f t="shared" si="90"/>
        <v>1255</v>
      </c>
      <c r="AD334" s="51">
        <f t="shared" si="87"/>
        <v>4</v>
      </c>
      <c r="AE334" t="str">
        <f t="shared" si="91"/>
        <v/>
      </c>
      <c r="AF334" t="str">
        <f t="shared" si="92"/>
        <v/>
      </c>
      <c r="AG334" t="str">
        <f t="shared" si="93"/>
        <v/>
      </c>
      <c r="AH334" t="str">
        <f t="shared" si="94"/>
        <v/>
      </c>
      <c r="AI334" t="str">
        <f t="shared" si="95"/>
        <v/>
      </c>
      <c r="AJ334" t="str">
        <f t="shared" si="96"/>
        <v/>
      </c>
      <c r="AK334" t="str">
        <f t="shared" si="97"/>
        <v/>
      </c>
      <c r="AL334" t="str">
        <f t="shared" si="98"/>
        <v/>
      </c>
      <c r="AN334" t="str">
        <f>IFERROR(ROUND(L334*(G334/$AW334)/VLOOKUP(F334,商品!$A$4:$D$67,4,FALSE),0),"")</f>
        <v/>
      </c>
      <c r="AO334" t="str">
        <f>IFERROR(ROUND(L334*(I334/$AW334)/VLOOKUP(H334,商品!$A$4:$D$67,4,FALSE),0),"")</f>
        <v/>
      </c>
      <c r="AP334" t="str">
        <f>IFERROR(ROUND(L334*(K334/$AW334)/VLOOKUP(J334,商品!$A$4:$D$67,4,FALSE),0),"")</f>
        <v/>
      </c>
      <c r="AQ334" t="str">
        <f>IFERROR(ROUND(S334*(N334/$AX334)/VLOOKUP(M334,职业!$A$3:$E$16,4,FALSE),0),"")</f>
        <v/>
      </c>
      <c r="AR334" t="str">
        <f>IFERROR(ROUND(S334*(P334/$AX334)/VLOOKUP(O334,职业!$A$3:$E$16,4,FALSE),0),"")</f>
        <v/>
      </c>
      <c r="AS334" t="str">
        <f>IFERROR(ROUND(S334*(R334/$AX334)/VLOOKUP(Q334,职业!$A$3:$E$16,4,FALSE),0),"")</f>
        <v/>
      </c>
      <c r="AT334" t="str">
        <f>IFERROR(ROUND(X334*(U334/$AY334)/VLOOKUP(T334,商品!$A$4:$D$67,4,FALSE),0),"")</f>
        <v/>
      </c>
      <c r="AU334" t="str">
        <f>IFERROR(ROUND(X334*(W334/$AY334)/VLOOKUP(V334,商品!$A$4:$D$67,4,FALSE),0),"")</f>
        <v/>
      </c>
      <c r="AW334">
        <f t="shared" si="99"/>
        <v>0</v>
      </c>
      <c r="AX334">
        <f t="shared" si="100"/>
        <v>0</v>
      </c>
      <c r="AY334">
        <f t="shared" si="101"/>
        <v>0</v>
      </c>
    </row>
    <row r="335" customHeight="1" spans="1:51">
      <c r="A335" s="5" t="s">
        <v>346</v>
      </c>
      <c r="C335" s="5">
        <v>5</v>
      </c>
      <c r="D335" s="1" t="s">
        <v>238</v>
      </c>
      <c r="E335" s="1" t="s">
        <v>224</v>
      </c>
      <c r="L335" s="5">
        <f>IFERROR(VLOOKUP($D335&amp;$C335,生产方式定位!$A$2:$E$38,2,FALSE)+VLOOKUP($E335&amp;$C335,生产方式定位!$F$3:$J$38,2,FALSE),0)</f>
        <v>2600</v>
      </c>
      <c r="S335" s="5">
        <f>IFERROR(VLOOKUP($D335&amp;$C335,生产方式定位!$A$2:$E$38,3,FALSE)+VLOOKUP($E335&amp;$C335,生产方式定位!$F$3:$J$38,3,FALSE),0)</f>
        <v>0</v>
      </c>
      <c r="X335" s="5">
        <f>IFERROR(VLOOKUP($D335&amp;$C335,生产方式定位!$A$2:$E$38,5,FALSE)+VLOOKUP($E335&amp;$C335,生产方式定位!$F$3:$J$38,5,FALSE),"错误")</f>
        <v>4890</v>
      </c>
      <c r="Y335" s="27" t="str">
        <f t="shared" si="85"/>
        <v/>
      </c>
      <c r="Z335" s="50" t="str">
        <f t="shared" si="88"/>
        <v/>
      </c>
      <c r="AA335" s="50" t="str">
        <f t="shared" si="86"/>
        <v/>
      </c>
      <c r="AB335" s="28" t="str">
        <f t="shared" si="89"/>
        <v>88%</v>
      </c>
      <c r="AC335" s="1">
        <f t="shared" si="90"/>
        <v>2290</v>
      </c>
      <c r="AD335" s="51">
        <f t="shared" si="87"/>
        <v>5</v>
      </c>
      <c r="AE335" t="str">
        <f t="shared" si="91"/>
        <v/>
      </c>
      <c r="AF335" t="str">
        <f t="shared" si="92"/>
        <v/>
      </c>
      <c r="AG335" t="str">
        <f t="shared" si="93"/>
        <v/>
      </c>
      <c r="AH335" t="str">
        <f t="shared" si="94"/>
        <v/>
      </c>
      <c r="AI335" t="str">
        <f t="shared" si="95"/>
        <v/>
      </c>
      <c r="AJ335" t="str">
        <f t="shared" si="96"/>
        <v/>
      </c>
      <c r="AK335" t="str">
        <f t="shared" si="97"/>
        <v/>
      </c>
      <c r="AL335" t="str">
        <f t="shared" si="98"/>
        <v/>
      </c>
      <c r="AN335" t="str">
        <f>IFERROR(ROUND(L335*(G335/$AW335)/VLOOKUP(F335,商品!$A$4:$D$67,4,FALSE),0),"")</f>
        <v/>
      </c>
      <c r="AO335" t="str">
        <f>IFERROR(ROUND(L335*(I335/$AW335)/VLOOKUP(H335,商品!$A$4:$D$67,4,FALSE),0),"")</f>
        <v/>
      </c>
      <c r="AP335" t="str">
        <f>IFERROR(ROUND(L335*(K335/$AW335)/VLOOKUP(J335,商品!$A$4:$D$67,4,FALSE),0),"")</f>
        <v/>
      </c>
      <c r="AQ335" t="str">
        <f>IFERROR(ROUND(S335*(N335/$AX335)/VLOOKUP(M335,职业!$A$3:$E$16,4,FALSE),0),"")</f>
        <v/>
      </c>
      <c r="AR335" t="str">
        <f>IFERROR(ROUND(S335*(P335/$AX335)/VLOOKUP(O335,职业!$A$3:$E$16,4,FALSE),0),"")</f>
        <v/>
      </c>
      <c r="AS335" t="str">
        <f>IFERROR(ROUND(S335*(R335/$AX335)/VLOOKUP(Q335,职业!$A$3:$E$16,4,FALSE),0),"")</f>
        <v/>
      </c>
      <c r="AT335" t="str">
        <f>IFERROR(ROUND(X335*(U335/$AY335)/VLOOKUP(T335,商品!$A$4:$D$67,4,FALSE),0),"")</f>
        <v/>
      </c>
      <c r="AU335" t="str">
        <f>IFERROR(ROUND(X335*(W335/$AY335)/VLOOKUP(V335,商品!$A$4:$D$67,4,FALSE),0),"")</f>
        <v/>
      </c>
      <c r="AW335">
        <f t="shared" si="99"/>
        <v>0</v>
      </c>
      <c r="AX335">
        <f t="shared" si="100"/>
        <v>0</v>
      </c>
      <c r="AY335">
        <f t="shared" si="101"/>
        <v>0</v>
      </c>
    </row>
    <row r="336" customHeight="1" spans="1:51">
      <c r="A336" s="18" t="s">
        <v>347</v>
      </c>
      <c r="C336" s="18">
        <v>1</v>
      </c>
      <c r="D336" s="1" t="s">
        <v>291</v>
      </c>
      <c r="E336" s="1" t="s">
        <v>225</v>
      </c>
      <c r="L336" s="18">
        <f>IFERROR(VLOOKUP($D336&amp;$C336,生产方式定位!$A$2:$E$38,2,FALSE)+VLOOKUP($E336&amp;$C336,生产方式定位!$F$3:$J$38,2,FALSE),0)</f>
        <v>0</v>
      </c>
      <c r="S336" s="18">
        <f>IFERROR(VLOOKUP($D336&amp;$C336,生产方式定位!$A$2:$E$38,3,FALSE)+VLOOKUP($E336&amp;$C336,生产方式定位!$F$3:$J$38,3,FALSE),0)</f>
        <v>100</v>
      </c>
      <c r="X336" s="18">
        <f>IFERROR(VLOOKUP($D336&amp;$C336,生产方式定位!$A$2:$E$38,5,FALSE)+VLOOKUP($E336&amp;$C336,生产方式定位!$F$3:$J$38,5,FALSE),"错误")</f>
        <v>100</v>
      </c>
      <c r="Y336" s="27" t="str">
        <f t="shared" si="85"/>
        <v/>
      </c>
      <c r="Z336" s="50" t="str">
        <f t="shared" si="88"/>
        <v/>
      </c>
      <c r="AA336" s="50" t="str">
        <f t="shared" si="86"/>
        <v/>
      </c>
      <c r="AB336" s="28" t="str">
        <f t="shared" si="89"/>
        <v/>
      </c>
      <c r="AC336" s="1" t="str">
        <f t="shared" si="90"/>
        <v/>
      </c>
      <c r="AD336" s="52">
        <f t="shared" si="87"/>
        <v>1</v>
      </c>
      <c r="AE336" t="str">
        <f t="shared" si="91"/>
        <v/>
      </c>
      <c r="AF336" t="str">
        <f t="shared" si="92"/>
        <v/>
      </c>
      <c r="AG336" t="str">
        <f t="shared" si="93"/>
        <v/>
      </c>
      <c r="AH336" t="str">
        <f t="shared" si="94"/>
        <v/>
      </c>
      <c r="AI336" t="str">
        <f t="shared" si="95"/>
        <v/>
      </c>
      <c r="AJ336" t="str">
        <f t="shared" si="96"/>
        <v/>
      </c>
      <c r="AK336" t="str">
        <f t="shared" si="97"/>
        <v/>
      </c>
      <c r="AL336" t="str">
        <f t="shared" si="98"/>
        <v/>
      </c>
      <c r="AN336" t="str">
        <f>IFERROR(ROUND(L336*(G336/$AW336)/VLOOKUP(F336,商品!$A$4:$D$67,4,FALSE),0),"")</f>
        <v/>
      </c>
      <c r="AO336" t="str">
        <f>IFERROR(ROUND(L336*(I336/$AW336)/VLOOKUP(H336,商品!$A$4:$D$67,4,FALSE),0),"")</f>
        <v/>
      </c>
      <c r="AP336" t="str">
        <f>IFERROR(ROUND(L336*(K336/$AW336)/VLOOKUP(J336,商品!$A$4:$D$67,4,FALSE),0),"")</f>
        <v/>
      </c>
      <c r="AQ336" t="str">
        <f>IFERROR(ROUND(S336*(N336/$AX336)/VLOOKUP(M336,职业!$A$3:$E$16,4,FALSE),0),"")</f>
        <v/>
      </c>
      <c r="AR336" t="str">
        <f>IFERROR(ROUND(S336*(P336/$AX336)/VLOOKUP(O336,职业!$A$3:$E$16,4,FALSE),0),"")</f>
        <v/>
      </c>
      <c r="AS336" t="str">
        <f>IFERROR(ROUND(S336*(R336/$AX336)/VLOOKUP(Q336,职业!$A$3:$E$16,4,FALSE),0),"")</f>
        <v/>
      </c>
      <c r="AT336" t="str">
        <f>IFERROR(ROUND(X336*(U336/$AY336)/VLOOKUP(T336,商品!$A$4:$D$67,4,FALSE),0),"")</f>
        <v/>
      </c>
      <c r="AU336" t="str">
        <f>IFERROR(ROUND(X336*(W336/$AY336)/VLOOKUP(V336,商品!$A$4:$D$67,4,FALSE),0),"")</f>
        <v/>
      </c>
      <c r="AW336">
        <f t="shared" si="99"/>
        <v>0</v>
      </c>
      <c r="AX336">
        <f t="shared" si="100"/>
        <v>0</v>
      </c>
      <c r="AY336">
        <f t="shared" si="101"/>
        <v>0</v>
      </c>
    </row>
    <row r="337" customHeight="1" spans="1:51">
      <c r="A337" s="18" t="s">
        <v>347</v>
      </c>
      <c r="C337" s="18">
        <v>2</v>
      </c>
      <c r="D337" s="1" t="s">
        <v>291</v>
      </c>
      <c r="E337" s="1" t="s">
        <v>225</v>
      </c>
      <c r="L337" s="18">
        <f>IFERROR(VLOOKUP($D337&amp;$C337,生产方式定位!$A$2:$E$38,2,FALSE)+VLOOKUP($E337&amp;$C337,生产方式定位!$F$3:$J$38,2,FALSE),0)</f>
        <v>0</v>
      </c>
      <c r="S337" s="18">
        <f>IFERROR(VLOOKUP($D337&amp;$C337,生产方式定位!$A$2:$E$38,3,FALSE)+VLOOKUP($E337&amp;$C337,生产方式定位!$F$3:$J$38,3,FALSE),0)</f>
        <v>100</v>
      </c>
      <c r="X337" s="18">
        <f>IFERROR(VLOOKUP($D337&amp;$C337,生产方式定位!$A$2:$E$38,5,FALSE)+VLOOKUP($E337&amp;$C337,生产方式定位!$F$3:$J$38,5,FALSE),"错误")</f>
        <v>100</v>
      </c>
      <c r="Y337" s="27" t="str">
        <f t="shared" si="85"/>
        <v/>
      </c>
      <c r="Z337" s="50" t="str">
        <f t="shared" si="88"/>
        <v/>
      </c>
      <c r="AA337" s="50" t="str">
        <f t="shared" si="86"/>
        <v/>
      </c>
      <c r="AB337" s="28" t="str">
        <f t="shared" si="89"/>
        <v/>
      </c>
      <c r="AC337" s="1" t="str">
        <f t="shared" si="90"/>
        <v/>
      </c>
      <c r="AD337" s="52">
        <f t="shared" si="87"/>
        <v>2</v>
      </c>
      <c r="AE337" t="str">
        <f t="shared" si="91"/>
        <v/>
      </c>
      <c r="AF337" t="str">
        <f t="shared" si="92"/>
        <v/>
      </c>
      <c r="AG337" t="str">
        <f t="shared" si="93"/>
        <v/>
      </c>
      <c r="AH337" t="str">
        <f t="shared" si="94"/>
        <v/>
      </c>
      <c r="AI337" t="str">
        <f t="shared" si="95"/>
        <v/>
      </c>
      <c r="AJ337" t="str">
        <f t="shared" si="96"/>
        <v/>
      </c>
      <c r="AK337" t="str">
        <f t="shared" si="97"/>
        <v/>
      </c>
      <c r="AL337" t="str">
        <f t="shared" si="98"/>
        <v/>
      </c>
      <c r="AN337" t="str">
        <f>IFERROR(ROUND(L337*(G337/$AW337)/VLOOKUP(F337,商品!$A$4:$D$67,4,FALSE),0),"")</f>
        <v/>
      </c>
      <c r="AO337" t="str">
        <f>IFERROR(ROUND(L337*(I337/$AW337)/VLOOKUP(H337,商品!$A$4:$D$67,4,FALSE),0),"")</f>
        <v/>
      </c>
      <c r="AP337" t="str">
        <f>IFERROR(ROUND(L337*(K337/$AW337)/VLOOKUP(J337,商品!$A$4:$D$67,4,FALSE),0),"")</f>
        <v/>
      </c>
      <c r="AQ337" t="str">
        <f>IFERROR(ROUND(S337*(N337/$AX337)/VLOOKUP(M337,职业!$A$3:$E$16,4,FALSE),0),"")</f>
        <v/>
      </c>
      <c r="AR337" t="str">
        <f>IFERROR(ROUND(S337*(P337/$AX337)/VLOOKUP(O337,职业!$A$3:$E$16,4,FALSE),0),"")</f>
        <v/>
      </c>
      <c r="AS337" t="str">
        <f>IFERROR(ROUND(S337*(R337/$AX337)/VLOOKUP(Q337,职业!$A$3:$E$16,4,FALSE),0),"")</f>
        <v/>
      </c>
      <c r="AT337" t="str">
        <f>IFERROR(ROUND(X337*(U337/$AY337)/VLOOKUP(T337,商品!$A$4:$D$67,4,FALSE),0),"")</f>
        <v/>
      </c>
      <c r="AU337" t="str">
        <f>IFERROR(ROUND(X337*(W337/$AY337)/VLOOKUP(V337,商品!$A$4:$D$67,4,FALSE),0),"")</f>
        <v/>
      </c>
      <c r="AW337">
        <f t="shared" si="99"/>
        <v>0</v>
      </c>
      <c r="AX337">
        <f t="shared" si="100"/>
        <v>0</v>
      </c>
      <c r="AY337">
        <f t="shared" si="101"/>
        <v>0</v>
      </c>
    </row>
    <row r="338" customHeight="1" spans="1:51">
      <c r="A338" s="18" t="s">
        <v>347</v>
      </c>
      <c r="C338" s="18">
        <v>3</v>
      </c>
      <c r="D338" s="1" t="s">
        <v>291</v>
      </c>
      <c r="E338" s="1" t="s">
        <v>225</v>
      </c>
      <c r="L338" s="18">
        <f>IFERROR(VLOOKUP($D338&amp;$C338,生产方式定位!$A$2:$E$38,2,FALSE)+VLOOKUP($E338&amp;$C338,生产方式定位!$F$3:$J$38,2,FALSE),0)</f>
        <v>0</v>
      </c>
      <c r="S338" s="18">
        <f>IFERROR(VLOOKUP($D338&amp;$C338,生产方式定位!$A$2:$E$38,3,FALSE)+VLOOKUP($E338&amp;$C338,生产方式定位!$F$3:$J$38,3,FALSE),0)</f>
        <v>100</v>
      </c>
      <c r="X338" s="18">
        <f>IFERROR(VLOOKUP($D338&amp;$C338,生产方式定位!$A$2:$E$38,5,FALSE)+VLOOKUP($E338&amp;$C338,生产方式定位!$F$3:$J$38,5,FALSE),"错误")</f>
        <v>100</v>
      </c>
      <c r="Y338" s="27" t="str">
        <f t="shared" si="85"/>
        <v/>
      </c>
      <c r="Z338" s="50" t="str">
        <f t="shared" si="88"/>
        <v/>
      </c>
      <c r="AA338" s="50" t="str">
        <f t="shared" si="86"/>
        <v/>
      </c>
      <c r="AB338" s="28" t="str">
        <f t="shared" si="89"/>
        <v/>
      </c>
      <c r="AC338" s="1" t="str">
        <f t="shared" si="90"/>
        <v/>
      </c>
      <c r="AD338" s="52">
        <f t="shared" si="87"/>
        <v>3</v>
      </c>
      <c r="AE338" t="str">
        <f t="shared" si="91"/>
        <v/>
      </c>
      <c r="AF338" t="str">
        <f t="shared" si="92"/>
        <v/>
      </c>
      <c r="AG338" t="str">
        <f t="shared" si="93"/>
        <v/>
      </c>
      <c r="AH338" t="str">
        <f t="shared" si="94"/>
        <v/>
      </c>
      <c r="AI338" t="str">
        <f t="shared" si="95"/>
        <v/>
      </c>
      <c r="AJ338" t="str">
        <f t="shared" si="96"/>
        <v/>
      </c>
      <c r="AK338" t="str">
        <f t="shared" si="97"/>
        <v/>
      </c>
      <c r="AL338" t="str">
        <f t="shared" si="98"/>
        <v/>
      </c>
      <c r="AN338" t="str">
        <f>IFERROR(ROUND(L338*(G338/$AW338)/VLOOKUP(F338,商品!$A$4:$D$67,4,FALSE),0),"")</f>
        <v/>
      </c>
      <c r="AO338" t="str">
        <f>IFERROR(ROUND(L338*(I338/$AW338)/VLOOKUP(H338,商品!$A$4:$D$67,4,FALSE),0),"")</f>
        <v/>
      </c>
      <c r="AP338" t="str">
        <f>IFERROR(ROUND(L338*(K338/$AW338)/VLOOKUP(J338,商品!$A$4:$D$67,4,FALSE),0),"")</f>
        <v/>
      </c>
      <c r="AQ338" t="str">
        <f>IFERROR(ROUND(S338*(N338/$AX338)/VLOOKUP(M338,职业!$A$3:$E$16,4,FALSE),0),"")</f>
        <v/>
      </c>
      <c r="AR338" t="str">
        <f>IFERROR(ROUND(S338*(P338/$AX338)/VLOOKUP(O338,职业!$A$3:$E$16,4,FALSE),0),"")</f>
        <v/>
      </c>
      <c r="AS338" t="str">
        <f>IFERROR(ROUND(S338*(R338/$AX338)/VLOOKUP(Q338,职业!$A$3:$E$16,4,FALSE),0),"")</f>
        <v/>
      </c>
      <c r="AT338" t="str">
        <f>IFERROR(ROUND(X338*(U338/$AY338)/VLOOKUP(T338,商品!$A$4:$D$67,4,FALSE),0),"")</f>
        <v/>
      </c>
      <c r="AU338" t="str">
        <f>IFERROR(ROUND(X338*(W338/$AY338)/VLOOKUP(V338,商品!$A$4:$D$67,4,FALSE),0),"")</f>
        <v/>
      </c>
      <c r="AW338">
        <f t="shared" si="99"/>
        <v>0</v>
      </c>
      <c r="AX338">
        <f t="shared" si="100"/>
        <v>0</v>
      </c>
      <c r="AY338">
        <f t="shared" si="101"/>
        <v>0</v>
      </c>
    </row>
    <row r="339" customHeight="1" spans="1:51">
      <c r="A339" s="18" t="s">
        <v>347</v>
      </c>
      <c r="C339" s="18">
        <v>4</v>
      </c>
      <c r="D339" s="1" t="s">
        <v>291</v>
      </c>
      <c r="E339" s="1" t="s">
        <v>225</v>
      </c>
      <c r="L339" s="18">
        <f>IFERROR(VLOOKUP($D339&amp;$C339,生产方式定位!$A$2:$E$38,2,FALSE)+VLOOKUP($E339&amp;$C339,生产方式定位!$F$3:$J$38,2,FALSE),0)</f>
        <v>0</v>
      </c>
      <c r="S339" s="18">
        <f>IFERROR(VLOOKUP($D339&amp;$C339,生产方式定位!$A$2:$E$38,3,FALSE)+VLOOKUP($E339&amp;$C339,生产方式定位!$F$3:$J$38,3,FALSE),0)</f>
        <v>100</v>
      </c>
      <c r="X339" s="18">
        <f>IFERROR(VLOOKUP($D339&amp;$C339,生产方式定位!$A$2:$E$38,5,FALSE)+VLOOKUP($E339&amp;$C339,生产方式定位!$F$3:$J$38,5,FALSE),"错误")</f>
        <v>100</v>
      </c>
      <c r="Y339" s="27" t="str">
        <f t="shared" si="85"/>
        <v/>
      </c>
      <c r="Z339" s="50" t="str">
        <f t="shared" si="88"/>
        <v/>
      </c>
      <c r="AA339" s="50" t="str">
        <f t="shared" si="86"/>
        <v/>
      </c>
      <c r="AB339" s="28" t="str">
        <f t="shared" si="89"/>
        <v/>
      </c>
      <c r="AC339" s="1" t="str">
        <f t="shared" si="90"/>
        <v/>
      </c>
      <c r="AD339" s="52">
        <f t="shared" si="87"/>
        <v>4</v>
      </c>
      <c r="AE339" t="str">
        <f t="shared" si="91"/>
        <v/>
      </c>
      <c r="AF339" t="str">
        <f t="shared" si="92"/>
        <v/>
      </c>
      <c r="AG339" t="str">
        <f t="shared" si="93"/>
        <v/>
      </c>
      <c r="AH339" t="str">
        <f t="shared" si="94"/>
        <v/>
      </c>
      <c r="AI339" t="str">
        <f t="shared" si="95"/>
        <v/>
      </c>
      <c r="AJ339" t="str">
        <f t="shared" si="96"/>
        <v/>
      </c>
      <c r="AK339" t="str">
        <f t="shared" si="97"/>
        <v/>
      </c>
      <c r="AL339" t="str">
        <f t="shared" si="98"/>
        <v/>
      </c>
      <c r="AN339" t="str">
        <f>IFERROR(ROUND(L339*(G339/$AW339)/VLOOKUP(F339,商品!$A$4:$D$67,4,FALSE),0),"")</f>
        <v/>
      </c>
      <c r="AO339" t="str">
        <f>IFERROR(ROUND(L339*(I339/$AW339)/VLOOKUP(H339,商品!$A$4:$D$67,4,FALSE),0),"")</f>
        <v/>
      </c>
      <c r="AP339" t="str">
        <f>IFERROR(ROUND(L339*(K339/$AW339)/VLOOKUP(J339,商品!$A$4:$D$67,4,FALSE),0),"")</f>
        <v/>
      </c>
      <c r="AQ339" t="str">
        <f>IFERROR(ROUND(S339*(N339/$AX339)/VLOOKUP(M339,职业!$A$3:$E$16,4,FALSE),0),"")</f>
        <v/>
      </c>
      <c r="AR339" t="str">
        <f>IFERROR(ROUND(S339*(P339/$AX339)/VLOOKUP(O339,职业!$A$3:$E$16,4,FALSE),0),"")</f>
        <v/>
      </c>
      <c r="AS339" t="str">
        <f>IFERROR(ROUND(S339*(R339/$AX339)/VLOOKUP(Q339,职业!$A$3:$E$16,4,FALSE),0),"")</f>
        <v/>
      </c>
      <c r="AT339" t="str">
        <f>IFERROR(ROUND(X339*(U339/$AY339)/VLOOKUP(T339,商品!$A$4:$D$67,4,FALSE),0),"")</f>
        <v/>
      </c>
      <c r="AU339" t="str">
        <f>IFERROR(ROUND(X339*(W339/$AY339)/VLOOKUP(V339,商品!$A$4:$D$67,4,FALSE),0),"")</f>
        <v/>
      </c>
      <c r="AW339">
        <f t="shared" si="99"/>
        <v>0</v>
      </c>
      <c r="AX339">
        <f t="shared" si="100"/>
        <v>0</v>
      </c>
      <c r="AY339">
        <f t="shared" si="101"/>
        <v>0</v>
      </c>
    </row>
    <row r="340" customHeight="1" spans="1:51">
      <c r="A340" s="18" t="s">
        <v>347</v>
      </c>
      <c r="C340" s="18">
        <v>5</v>
      </c>
      <c r="D340" s="1" t="s">
        <v>291</v>
      </c>
      <c r="E340" s="1" t="s">
        <v>225</v>
      </c>
      <c r="L340" s="18">
        <f>IFERROR(VLOOKUP($D340&amp;$C340,生产方式定位!$A$2:$E$38,2,FALSE)+VLOOKUP($E340&amp;$C340,生产方式定位!$F$3:$J$38,2,FALSE),0)</f>
        <v>0</v>
      </c>
      <c r="S340" s="18">
        <f>IFERROR(VLOOKUP($D340&amp;$C340,生产方式定位!$A$2:$E$38,3,FALSE)+VLOOKUP($E340&amp;$C340,生产方式定位!$F$3:$J$38,3,FALSE),0)</f>
        <v>100</v>
      </c>
      <c r="X340" s="18">
        <f>IFERROR(VLOOKUP($D340&amp;$C340,生产方式定位!$A$2:$E$38,5,FALSE)+VLOOKUP($E340&amp;$C340,生产方式定位!$F$3:$J$38,5,FALSE),"错误")</f>
        <v>100</v>
      </c>
      <c r="Y340" s="27" t="str">
        <f t="shared" si="85"/>
        <v/>
      </c>
      <c r="Z340" s="50" t="str">
        <f t="shared" si="88"/>
        <v/>
      </c>
      <c r="AA340" s="50" t="str">
        <f t="shared" si="86"/>
        <v/>
      </c>
      <c r="AB340" s="28" t="str">
        <f t="shared" si="89"/>
        <v/>
      </c>
      <c r="AC340" s="1" t="str">
        <f t="shared" si="90"/>
        <v/>
      </c>
      <c r="AD340" s="52">
        <f t="shared" si="87"/>
        <v>5</v>
      </c>
      <c r="AE340" t="str">
        <f t="shared" si="91"/>
        <v/>
      </c>
      <c r="AF340" t="str">
        <f t="shared" si="92"/>
        <v/>
      </c>
      <c r="AG340" t="str">
        <f t="shared" si="93"/>
        <v/>
      </c>
      <c r="AH340" t="str">
        <f t="shared" si="94"/>
        <v/>
      </c>
      <c r="AI340" t="str">
        <f t="shared" si="95"/>
        <v/>
      </c>
      <c r="AJ340" t="str">
        <f t="shared" si="96"/>
        <v/>
      </c>
      <c r="AK340" t="str">
        <f t="shared" si="97"/>
        <v/>
      </c>
      <c r="AL340" t="str">
        <f t="shared" si="98"/>
        <v/>
      </c>
      <c r="AN340" t="str">
        <f>IFERROR(ROUND(L340*(G340/$AW340)/VLOOKUP(F340,商品!$A$4:$D$67,4,FALSE),0),"")</f>
        <v/>
      </c>
      <c r="AO340" t="str">
        <f>IFERROR(ROUND(L340*(I340/$AW340)/VLOOKUP(H340,商品!$A$4:$D$67,4,FALSE),0),"")</f>
        <v/>
      </c>
      <c r="AP340" t="str">
        <f>IFERROR(ROUND(L340*(K340/$AW340)/VLOOKUP(J340,商品!$A$4:$D$67,4,FALSE),0),"")</f>
        <v/>
      </c>
      <c r="AQ340" t="str">
        <f>IFERROR(ROUND(S340*(N340/$AX340)/VLOOKUP(M340,职业!$A$3:$E$16,4,FALSE),0),"")</f>
        <v/>
      </c>
      <c r="AR340" t="str">
        <f>IFERROR(ROUND(S340*(P340/$AX340)/VLOOKUP(O340,职业!$A$3:$E$16,4,FALSE),0),"")</f>
        <v/>
      </c>
      <c r="AS340" t="str">
        <f>IFERROR(ROUND(S340*(R340/$AX340)/VLOOKUP(Q340,职业!$A$3:$E$16,4,FALSE),0),"")</f>
        <v/>
      </c>
      <c r="AT340" t="str">
        <f>IFERROR(ROUND(X340*(U340/$AY340)/VLOOKUP(T340,商品!$A$4:$D$67,4,FALSE),0),"")</f>
        <v/>
      </c>
      <c r="AU340" t="str">
        <f>IFERROR(ROUND(X340*(W340/$AY340)/VLOOKUP(V340,商品!$A$4:$D$67,4,FALSE),0),"")</f>
        <v/>
      </c>
      <c r="AW340">
        <f t="shared" si="99"/>
        <v>0</v>
      </c>
      <c r="AX340">
        <f t="shared" si="100"/>
        <v>0</v>
      </c>
      <c r="AY340">
        <f t="shared" si="101"/>
        <v>0</v>
      </c>
    </row>
    <row r="341" customHeight="1" spans="1:51">
      <c r="A341" s="18" t="s">
        <v>347</v>
      </c>
      <c r="C341" s="18">
        <v>6</v>
      </c>
      <c r="D341" s="1" t="s">
        <v>291</v>
      </c>
      <c r="E341" s="1" t="s">
        <v>225</v>
      </c>
      <c r="L341" s="18">
        <f>IFERROR(VLOOKUP($D341&amp;$C341,生产方式定位!$A$2:$E$38,2,FALSE)+VLOOKUP($E341&amp;$C341,生产方式定位!$F$3:$J$38,2,FALSE),0)</f>
        <v>0</v>
      </c>
      <c r="S341" s="18">
        <f>IFERROR(VLOOKUP($D341&amp;$C341,生产方式定位!$A$2:$E$38,3,FALSE)+VLOOKUP($E341&amp;$C341,生产方式定位!$F$3:$J$38,3,FALSE),0)</f>
        <v>100</v>
      </c>
      <c r="X341" s="18">
        <f>IFERROR(VLOOKUP($D341&amp;$C341,生产方式定位!$A$2:$E$38,5,FALSE)+VLOOKUP($E341&amp;$C341,生产方式定位!$F$3:$J$38,5,FALSE),"错误")</f>
        <v>100</v>
      </c>
      <c r="Y341" s="27" t="str">
        <f t="shared" si="85"/>
        <v/>
      </c>
      <c r="Z341" s="50" t="str">
        <f t="shared" si="88"/>
        <v/>
      </c>
      <c r="AA341" s="50" t="str">
        <f t="shared" si="86"/>
        <v/>
      </c>
      <c r="AB341" s="28" t="str">
        <f t="shared" si="89"/>
        <v/>
      </c>
      <c r="AC341" s="1" t="str">
        <f t="shared" si="90"/>
        <v/>
      </c>
      <c r="AD341" s="52">
        <f t="shared" si="87"/>
        <v>6</v>
      </c>
      <c r="AE341" t="str">
        <f t="shared" si="91"/>
        <v/>
      </c>
      <c r="AF341" t="str">
        <f t="shared" si="92"/>
        <v/>
      </c>
      <c r="AG341" t="str">
        <f t="shared" si="93"/>
        <v/>
      </c>
      <c r="AH341" t="str">
        <f t="shared" si="94"/>
        <v/>
      </c>
      <c r="AI341" t="str">
        <f t="shared" si="95"/>
        <v/>
      </c>
      <c r="AJ341" t="str">
        <f t="shared" si="96"/>
        <v/>
      </c>
      <c r="AK341" t="str">
        <f t="shared" si="97"/>
        <v/>
      </c>
      <c r="AL341" t="str">
        <f t="shared" si="98"/>
        <v/>
      </c>
      <c r="AN341" t="str">
        <f>IFERROR(ROUND(L341*(G341/$AW341)/VLOOKUP(F341,商品!$A$4:$D$67,4,FALSE),0),"")</f>
        <v/>
      </c>
      <c r="AO341" t="str">
        <f>IFERROR(ROUND(L341*(I341/$AW341)/VLOOKUP(H341,商品!$A$4:$D$67,4,FALSE),0),"")</f>
        <v/>
      </c>
      <c r="AP341" t="str">
        <f>IFERROR(ROUND(L341*(K341/$AW341)/VLOOKUP(J341,商品!$A$4:$D$67,4,FALSE),0),"")</f>
        <v/>
      </c>
      <c r="AQ341" t="str">
        <f>IFERROR(ROUND(S341*(N341/$AX341)/VLOOKUP(M341,职业!$A$3:$E$16,4,FALSE),0),"")</f>
        <v/>
      </c>
      <c r="AR341" t="str">
        <f>IFERROR(ROUND(S341*(P341/$AX341)/VLOOKUP(O341,职业!$A$3:$E$16,4,FALSE),0),"")</f>
        <v/>
      </c>
      <c r="AS341" t="str">
        <f>IFERROR(ROUND(S341*(R341/$AX341)/VLOOKUP(Q341,职业!$A$3:$E$16,4,FALSE),0),"")</f>
        <v/>
      </c>
      <c r="AT341" t="str">
        <f>IFERROR(ROUND(X341*(U341/$AY341)/VLOOKUP(T341,商品!$A$4:$D$67,4,FALSE),0),"")</f>
        <v/>
      </c>
      <c r="AU341" t="str">
        <f>IFERROR(ROUND(X341*(W341/$AY341)/VLOOKUP(V341,商品!$A$4:$D$67,4,FALSE),0),"")</f>
        <v/>
      </c>
      <c r="AW341">
        <f t="shared" si="99"/>
        <v>0</v>
      </c>
      <c r="AX341">
        <f t="shared" si="100"/>
        <v>0</v>
      </c>
      <c r="AY341">
        <f t="shared" si="101"/>
        <v>0</v>
      </c>
    </row>
    <row r="342" customHeight="1" spans="1:51">
      <c r="A342" s="18" t="s">
        <v>347</v>
      </c>
      <c r="C342" s="18">
        <v>7</v>
      </c>
      <c r="D342" s="1" t="s">
        <v>291</v>
      </c>
      <c r="E342" s="1" t="s">
        <v>225</v>
      </c>
      <c r="L342" s="18">
        <f>IFERROR(VLOOKUP($D342&amp;$C342,生产方式定位!$A$2:$E$38,2,FALSE)+VLOOKUP($E342&amp;$C342,生产方式定位!$F$3:$J$38,2,FALSE),0)</f>
        <v>0</v>
      </c>
      <c r="S342" s="18">
        <f>IFERROR(VLOOKUP($D342&amp;$C342,生产方式定位!$A$2:$E$38,3,FALSE)+VLOOKUP($E342&amp;$C342,生产方式定位!$F$3:$J$38,3,FALSE),0)</f>
        <v>100</v>
      </c>
      <c r="X342" s="18">
        <f>IFERROR(VLOOKUP($D342&amp;$C342,生产方式定位!$A$2:$E$38,5,FALSE)+VLOOKUP($E342&amp;$C342,生产方式定位!$F$3:$J$38,5,FALSE),"错误")</f>
        <v>100</v>
      </c>
      <c r="Y342" s="27" t="str">
        <f t="shared" si="85"/>
        <v/>
      </c>
      <c r="Z342" s="50" t="str">
        <f t="shared" si="88"/>
        <v/>
      </c>
      <c r="AA342" s="50" t="str">
        <f t="shared" si="86"/>
        <v/>
      </c>
      <c r="AB342" s="28" t="str">
        <f t="shared" si="89"/>
        <v/>
      </c>
      <c r="AC342" s="1" t="str">
        <f t="shared" si="90"/>
        <v/>
      </c>
      <c r="AD342" s="52">
        <f t="shared" si="87"/>
        <v>7</v>
      </c>
      <c r="AE342" t="str">
        <f t="shared" si="91"/>
        <v/>
      </c>
      <c r="AF342" t="str">
        <f t="shared" si="92"/>
        <v/>
      </c>
      <c r="AG342" t="str">
        <f t="shared" si="93"/>
        <v/>
      </c>
      <c r="AH342" t="str">
        <f t="shared" si="94"/>
        <v/>
      </c>
      <c r="AI342" t="str">
        <f t="shared" si="95"/>
        <v/>
      </c>
      <c r="AJ342" t="str">
        <f t="shared" si="96"/>
        <v/>
      </c>
      <c r="AK342" t="str">
        <f t="shared" si="97"/>
        <v/>
      </c>
      <c r="AL342" t="str">
        <f t="shared" si="98"/>
        <v/>
      </c>
      <c r="AN342" t="str">
        <f>IFERROR(ROUND(L342*(G342/$AW342)/VLOOKUP(F342,商品!$A$4:$D$67,4,FALSE),0),"")</f>
        <v/>
      </c>
      <c r="AO342" t="str">
        <f>IFERROR(ROUND(L342*(I342/$AW342)/VLOOKUP(H342,商品!$A$4:$D$67,4,FALSE),0),"")</f>
        <v/>
      </c>
      <c r="AP342" t="str">
        <f>IFERROR(ROUND(L342*(K342/$AW342)/VLOOKUP(J342,商品!$A$4:$D$67,4,FALSE),0),"")</f>
        <v/>
      </c>
      <c r="AQ342" t="str">
        <f>IFERROR(ROUND(S342*(N342/$AX342)/VLOOKUP(M342,职业!$A$3:$E$16,4,FALSE),0),"")</f>
        <v/>
      </c>
      <c r="AR342" t="str">
        <f>IFERROR(ROUND(S342*(P342/$AX342)/VLOOKUP(O342,职业!$A$3:$E$16,4,FALSE),0),"")</f>
        <v/>
      </c>
      <c r="AS342" t="str">
        <f>IFERROR(ROUND(S342*(R342/$AX342)/VLOOKUP(Q342,职业!$A$3:$E$16,4,FALSE),0),"")</f>
        <v/>
      </c>
      <c r="AT342" t="str">
        <f>IFERROR(ROUND(X342*(U342/$AY342)/VLOOKUP(T342,商品!$A$4:$D$67,4,FALSE),0),"")</f>
        <v/>
      </c>
      <c r="AU342" t="str">
        <f>IFERROR(ROUND(X342*(W342/$AY342)/VLOOKUP(V342,商品!$A$4:$D$67,4,FALSE),0),"")</f>
        <v/>
      </c>
      <c r="AW342">
        <f t="shared" si="99"/>
        <v>0</v>
      </c>
      <c r="AX342">
        <f t="shared" si="100"/>
        <v>0</v>
      </c>
      <c r="AY342">
        <f t="shared" si="101"/>
        <v>0</v>
      </c>
    </row>
    <row r="343" customHeight="1" spans="1:51">
      <c r="A343" s="18" t="s">
        <v>347</v>
      </c>
      <c r="C343" s="18">
        <v>8</v>
      </c>
      <c r="D343" s="1" t="s">
        <v>291</v>
      </c>
      <c r="E343" s="1" t="s">
        <v>225</v>
      </c>
      <c r="L343" s="18">
        <f>IFERROR(VLOOKUP($D343&amp;$C343,生产方式定位!$A$2:$E$38,2,FALSE)+VLOOKUP($E343&amp;$C343,生产方式定位!$F$3:$J$38,2,FALSE),0)</f>
        <v>0</v>
      </c>
      <c r="S343" s="18">
        <f>IFERROR(VLOOKUP($D343&amp;$C343,生产方式定位!$A$2:$E$38,3,FALSE)+VLOOKUP($E343&amp;$C343,生产方式定位!$F$3:$J$38,3,FALSE),0)</f>
        <v>100</v>
      </c>
      <c r="X343" s="18">
        <f>IFERROR(VLOOKUP($D343&amp;$C343,生产方式定位!$A$2:$E$38,5,FALSE)+VLOOKUP($E343&amp;$C343,生产方式定位!$F$3:$J$38,5,FALSE),"错误")</f>
        <v>100</v>
      </c>
      <c r="Y343" s="27" t="str">
        <f t="shared" si="85"/>
        <v/>
      </c>
      <c r="Z343" s="50" t="str">
        <f t="shared" si="88"/>
        <v/>
      </c>
      <c r="AA343" s="50" t="str">
        <f t="shared" si="86"/>
        <v/>
      </c>
      <c r="AB343" s="28" t="str">
        <f t="shared" si="89"/>
        <v/>
      </c>
      <c r="AC343" s="1" t="str">
        <f t="shared" si="90"/>
        <v/>
      </c>
      <c r="AD343" s="52">
        <f t="shared" si="87"/>
        <v>8</v>
      </c>
      <c r="AE343" t="str">
        <f t="shared" si="91"/>
        <v/>
      </c>
      <c r="AF343" t="str">
        <f t="shared" si="92"/>
        <v/>
      </c>
      <c r="AG343" t="str">
        <f t="shared" si="93"/>
        <v/>
      </c>
      <c r="AH343" t="str">
        <f t="shared" si="94"/>
        <v/>
      </c>
      <c r="AI343" t="str">
        <f t="shared" si="95"/>
        <v/>
      </c>
      <c r="AJ343" t="str">
        <f t="shared" si="96"/>
        <v/>
      </c>
      <c r="AK343" t="str">
        <f t="shared" si="97"/>
        <v/>
      </c>
      <c r="AL343" t="str">
        <f t="shared" si="98"/>
        <v/>
      </c>
      <c r="AN343" t="str">
        <f>IFERROR(ROUND(L343*(G343/$AW343)/VLOOKUP(F343,商品!$A$4:$D$67,4,FALSE),0),"")</f>
        <v/>
      </c>
      <c r="AO343" t="str">
        <f>IFERROR(ROUND(L343*(I343/$AW343)/VLOOKUP(H343,商品!$A$4:$D$67,4,FALSE),0),"")</f>
        <v/>
      </c>
      <c r="AP343" t="str">
        <f>IFERROR(ROUND(L343*(K343/$AW343)/VLOOKUP(J343,商品!$A$4:$D$67,4,FALSE),0),"")</f>
        <v/>
      </c>
      <c r="AQ343" t="str">
        <f>IFERROR(ROUND(S343*(N343/$AX343)/VLOOKUP(M343,职业!$A$3:$E$16,4,FALSE),0),"")</f>
        <v/>
      </c>
      <c r="AR343" t="str">
        <f>IFERROR(ROUND(S343*(P343/$AX343)/VLOOKUP(O343,职业!$A$3:$E$16,4,FALSE),0),"")</f>
        <v/>
      </c>
      <c r="AS343" t="str">
        <f>IFERROR(ROUND(S343*(R343/$AX343)/VLOOKUP(Q343,职业!$A$3:$E$16,4,FALSE),0),"")</f>
        <v/>
      </c>
      <c r="AT343" t="str">
        <f>IFERROR(ROUND(X343*(U343/$AY343)/VLOOKUP(T343,商品!$A$4:$D$67,4,FALSE),0),"")</f>
        <v/>
      </c>
      <c r="AU343" t="str">
        <f>IFERROR(ROUND(X343*(W343/$AY343)/VLOOKUP(V343,商品!$A$4:$D$67,4,FALSE),0),"")</f>
        <v/>
      </c>
      <c r="AW343">
        <f t="shared" si="99"/>
        <v>0</v>
      </c>
      <c r="AX343">
        <f t="shared" si="100"/>
        <v>0</v>
      </c>
      <c r="AY343">
        <f t="shared" si="101"/>
        <v>0</v>
      </c>
    </row>
    <row r="344" customHeight="1" spans="1:51">
      <c r="A344" s="5" t="s">
        <v>349</v>
      </c>
      <c r="C344" s="5">
        <v>1</v>
      </c>
      <c r="D344" s="1" t="s">
        <v>238</v>
      </c>
      <c r="E344" s="1" t="s">
        <v>222</v>
      </c>
      <c r="L344" s="5">
        <f>IFERROR(VLOOKUP($D344&amp;$C344,生产方式定位!$A$2:$E$38,2,FALSE)+VLOOKUP($E344&amp;$C344,生产方式定位!$F$3:$J$38,2,FALSE),0)</f>
        <v>1000</v>
      </c>
      <c r="S344" s="5">
        <f>IFERROR(VLOOKUP($D344&amp;$C344,生产方式定位!$A$2:$E$38,3,FALSE)+VLOOKUP($E344&amp;$C344,生产方式定位!$F$3:$J$38,3,FALSE),0)</f>
        <v>80</v>
      </c>
      <c r="X344" s="5">
        <f>IFERROR(VLOOKUP($D344&amp;$C344,生产方式定位!$A$2:$E$38,5,FALSE)+VLOOKUP($E344&amp;$C344,生产方式定位!$F$3:$J$38,5,FALSE),"错误")</f>
        <v>972</v>
      </c>
      <c r="Y344" s="27" t="str">
        <f t="shared" si="85"/>
        <v/>
      </c>
      <c r="Z344" s="50" t="str">
        <f t="shared" si="88"/>
        <v/>
      </c>
      <c r="AA344" s="50" t="str">
        <f t="shared" si="86"/>
        <v/>
      </c>
      <c r="AB344" s="28" t="str">
        <f t="shared" si="89"/>
        <v>-3%</v>
      </c>
      <c r="AC344" s="1">
        <f t="shared" si="90"/>
        <v>-108</v>
      </c>
      <c r="AD344" s="51">
        <f t="shared" si="87"/>
        <v>1</v>
      </c>
      <c r="AE344" t="str">
        <f t="shared" si="91"/>
        <v/>
      </c>
      <c r="AF344" t="str">
        <f t="shared" si="92"/>
        <v/>
      </c>
      <c r="AG344" t="str">
        <f t="shared" si="93"/>
        <v/>
      </c>
      <c r="AH344" t="str">
        <f t="shared" si="94"/>
        <v/>
      </c>
      <c r="AI344" t="str">
        <f t="shared" si="95"/>
        <v/>
      </c>
      <c r="AJ344" t="str">
        <f t="shared" si="96"/>
        <v/>
      </c>
      <c r="AK344" t="str">
        <f t="shared" si="97"/>
        <v/>
      </c>
      <c r="AL344" t="str">
        <f t="shared" si="98"/>
        <v/>
      </c>
      <c r="AN344" t="str">
        <f>IFERROR(ROUND(L344*(G344/$AW344)/VLOOKUP(F344,商品!$A$4:$D$67,4,FALSE),0),"")</f>
        <v/>
      </c>
      <c r="AO344" t="str">
        <f>IFERROR(ROUND(L344*(I344/$AW344)/VLOOKUP(H344,商品!$A$4:$D$67,4,FALSE),0),"")</f>
        <v/>
      </c>
      <c r="AP344" t="str">
        <f>IFERROR(ROUND(L344*(K344/$AW344)/VLOOKUP(J344,商品!$A$4:$D$67,4,FALSE),0),"")</f>
        <v/>
      </c>
      <c r="AQ344" t="str">
        <f>IFERROR(ROUND(S344*(N344/$AX344)/VLOOKUP(M344,职业!$A$3:$E$16,4,FALSE),0),"")</f>
        <v/>
      </c>
      <c r="AR344" t="str">
        <f>IFERROR(ROUND(S344*(P344/$AX344)/VLOOKUP(O344,职业!$A$3:$E$16,4,FALSE),0),"")</f>
        <v/>
      </c>
      <c r="AS344" t="str">
        <f>IFERROR(ROUND(S344*(R344/$AX344)/VLOOKUP(Q344,职业!$A$3:$E$16,4,FALSE),0),"")</f>
        <v/>
      </c>
      <c r="AT344" t="str">
        <f>IFERROR(ROUND(X344*(U344/$AY344)/VLOOKUP(T344,商品!$A$4:$D$67,4,FALSE),0),"")</f>
        <v/>
      </c>
      <c r="AU344" t="str">
        <f>IFERROR(ROUND(X344*(W344/$AY344)/VLOOKUP(V344,商品!$A$4:$D$67,4,FALSE),0),"")</f>
        <v/>
      </c>
      <c r="AW344">
        <f t="shared" si="99"/>
        <v>0</v>
      </c>
      <c r="AX344">
        <f t="shared" si="100"/>
        <v>0</v>
      </c>
      <c r="AY344">
        <f t="shared" si="101"/>
        <v>0</v>
      </c>
    </row>
    <row r="345" customHeight="1" spans="1:51">
      <c r="A345" s="5" t="s">
        <v>349</v>
      </c>
      <c r="C345" s="5">
        <v>2</v>
      </c>
      <c r="D345" s="1" t="s">
        <v>238</v>
      </c>
      <c r="E345" s="1" t="s">
        <v>222</v>
      </c>
      <c r="L345" s="5">
        <f>IFERROR(VLOOKUP($D345&amp;$C345,生产方式定位!$A$2:$E$38,2,FALSE)+VLOOKUP($E345&amp;$C345,生产方式定位!$F$3:$J$38,2,FALSE),0)</f>
        <v>1400</v>
      </c>
      <c r="S345" s="5">
        <f>IFERROR(VLOOKUP($D345&amp;$C345,生产方式定位!$A$2:$E$38,3,FALSE)+VLOOKUP($E345&amp;$C345,生产方式定位!$F$3:$J$38,3,FALSE),0)</f>
        <v>85</v>
      </c>
      <c r="X345" s="5">
        <f>IFERROR(VLOOKUP($D345&amp;$C345,生产方式定位!$A$2:$E$38,5,FALSE)+VLOOKUP($E345&amp;$C345,生产方式定位!$F$3:$J$38,5,FALSE),"错误")</f>
        <v>1732</v>
      </c>
      <c r="Y345" s="27" t="str">
        <f t="shared" si="85"/>
        <v/>
      </c>
      <c r="Z345" s="50" t="str">
        <f t="shared" si="88"/>
        <v/>
      </c>
      <c r="AA345" s="50" t="str">
        <f t="shared" si="86"/>
        <v/>
      </c>
      <c r="AB345" s="28" t="str">
        <f t="shared" si="89"/>
        <v>24%</v>
      </c>
      <c r="AC345" s="1">
        <f t="shared" si="90"/>
        <v>247</v>
      </c>
      <c r="AD345" s="51">
        <f t="shared" si="87"/>
        <v>2</v>
      </c>
      <c r="AE345" t="str">
        <f t="shared" si="91"/>
        <v/>
      </c>
      <c r="AF345" t="str">
        <f t="shared" si="92"/>
        <v/>
      </c>
      <c r="AG345" t="str">
        <f t="shared" si="93"/>
        <v/>
      </c>
      <c r="AH345" t="str">
        <f t="shared" si="94"/>
        <v/>
      </c>
      <c r="AI345" t="str">
        <f t="shared" si="95"/>
        <v/>
      </c>
      <c r="AJ345" t="str">
        <f t="shared" si="96"/>
        <v/>
      </c>
      <c r="AK345" t="str">
        <f t="shared" si="97"/>
        <v/>
      </c>
      <c r="AL345" t="str">
        <f t="shared" si="98"/>
        <v/>
      </c>
      <c r="AN345" t="str">
        <f>IFERROR(ROUND(L345*(G345/$AW345)/VLOOKUP(F345,商品!$A$4:$D$67,4,FALSE),0),"")</f>
        <v/>
      </c>
      <c r="AO345" t="str">
        <f>IFERROR(ROUND(L345*(I345/$AW345)/VLOOKUP(H345,商品!$A$4:$D$67,4,FALSE),0),"")</f>
        <v/>
      </c>
      <c r="AP345" t="str">
        <f>IFERROR(ROUND(L345*(K345/$AW345)/VLOOKUP(J345,商品!$A$4:$D$67,4,FALSE),0),"")</f>
        <v/>
      </c>
      <c r="AQ345" t="str">
        <f>IFERROR(ROUND(S345*(N345/$AX345)/VLOOKUP(M345,职业!$A$3:$E$16,4,FALSE),0),"")</f>
        <v/>
      </c>
      <c r="AR345" t="str">
        <f>IFERROR(ROUND(S345*(P345/$AX345)/VLOOKUP(O345,职业!$A$3:$E$16,4,FALSE),0),"")</f>
        <v/>
      </c>
      <c r="AS345" t="str">
        <f>IFERROR(ROUND(S345*(R345/$AX345)/VLOOKUP(Q345,职业!$A$3:$E$16,4,FALSE),0),"")</f>
        <v/>
      </c>
      <c r="AT345" t="str">
        <f>IFERROR(ROUND(X345*(U345/$AY345)/VLOOKUP(T345,商品!$A$4:$D$67,4,FALSE),0),"")</f>
        <v/>
      </c>
      <c r="AU345" t="str">
        <f>IFERROR(ROUND(X345*(W345/$AY345)/VLOOKUP(V345,商品!$A$4:$D$67,4,FALSE),0),"")</f>
        <v/>
      </c>
      <c r="AW345">
        <f t="shared" si="99"/>
        <v>0</v>
      </c>
      <c r="AX345">
        <f t="shared" si="100"/>
        <v>0</v>
      </c>
      <c r="AY345">
        <f t="shared" si="101"/>
        <v>0</v>
      </c>
    </row>
    <row r="346" customHeight="1" spans="1:51">
      <c r="A346" s="5" t="s">
        <v>349</v>
      </c>
      <c r="C346" s="5">
        <v>3</v>
      </c>
      <c r="D346" s="1" t="s">
        <v>238</v>
      </c>
      <c r="E346" s="1" t="s">
        <v>222</v>
      </c>
      <c r="L346" s="5">
        <f>IFERROR(VLOOKUP($D346&amp;$C346,生产方式定位!$A$2:$E$38,2,FALSE)+VLOOKUP($E346&amp;$C346,生产方式定位!$F$3:$J$38,2,FALSE),0)</f>
        <v>1425</v>
      </c>
      <c r="S346" s="5">
        <f>IFERROR(VLOOKUP($D346&amp;$C346,生产方式定位!$A$2:$E$38,3,FALSE)+VLOOKUP($E346&amp;$C346,生产方式定位!$F$3:$J$38,3,FALSE),0)</f>
        <v>90</v>
      </c>
      <c r="X346" s="5">
        <f>IFERROR(VLOOKUP($D346&amp;$C346,生产方式定位!$A$2:$E$38,5,FALSE)+VLOOKUP($E346&amp;$C346,生产方式定位!$F$3:$J$38,5,FALSE),"错误")</f>
        <v>2112</v>
      </c>
      <c r="Y346" s="27" t="str">
        <f t="shared" si="85"/>
        <v/>
      </c>
      <c r="Z346" s="50" t="str">
        <f t="shared" si="88"/>
        <v/>
      </c>
      <c r="AA346" s="50" t="str">
        <f t="shared" si="86"/>
        <v/>
      </c>
      <c r="AB346" s="28" t="str">
        <f t="shared" si="89"/>
        <v>48%</v>
      </c>
      <c r="AC346" s="1">
        <f t="shared" si="90"/>
        <v>597</v>
      </c>
      <c r="AD346" s="51">
        <f t="shared" si="87"/>
        <v>3</v>
      </c>
      <c r="AE346" t="str">
        <f t="shared" si="91"/>
        <v/>
      </c>
      <c r="AF346" t="str">
        <f t="shared" si="92"/>
        <v/>
      </c>
      <c r="AG346" t="str">
        <f t="shared" si="93"/>
        <v/>
      </c>
      <c r="AH346" t="str">
        <f t="shared" si="94"/>
        <v/>
      </c>
      <c r="AI346" t="str">
        <f t="shared" si="95"/>
        <v/>
      </c>
      <c r="AJ346" t="str">
        <f t="shared" si="96"/>
        <v/>
      </c>
      <c r="AK346" t="str">
        <f t="shared" si="97"/>
        <v/>
      </c>
      <c r="AL346" t="str">
        <f t="shared" si="98"/>
        <v/>
      </c>
      <c r="AN346" t="str">
        <f>IFERROR(ROUND(L346*(G346/$AW346)/VLOOKUP(F346,商品!$A$4:$D$67,4,FALSE),0),"")</f>
        <v/>
      </c>
      <c r="AO346" t="str">
        <f>IFERROR(ROUND(L346*(I346/$AW346)/VLOOKUP(H346,商品!$A$4:$D$67,4,FALSE),0),"")</f>
        <v/>
      </c>
      <c r="AP346" t="str">
        <f>IFERROR(ROUND(L346*(K346/$AW346)/VLOOKUP(J346,商品!$A$4:$D$67,4,FALSE),0),"")</f>
        <v/>
      </c>
      <c r="AQ346" t="str">
        <f>IFERROR(ROUND(S346*(N346/$AX346)/VLOOKUP(M346,职业!$A$3:$E$16,4,FALSE),0),"")</f>
        <v/>
      </c>
      <c r="AR346" t="str">
        <f>IFERROR(ROUND(S346*(P346/$AX346)/VLOOKUP(O346,职业!$A$3:$E$16,4,FALSE),0),"")</f>
        <v/>
      </c>
      <c r="AS346" t="str">
        <f>IFERROR(ROUND(S346*(R346/$AX346)/VLOOKUP(Q346,职业!$A$3:$E$16,4,FALSE),0),"")</f>
        <v/>
      </c>
      <c r="AT346" t="str">
        <f>IFERROR(ROUND(X346*(U346/$AY346)/VLOOKUP(T346,商品!$A$4:$D$67,4,FALSE),0),"")</f>
        <v/>
      </c>
      <c r="AU346" t="str">
        <f>IFERROR(ROUND(X346*(W346/$AY346)/VLOOKUP(V346,商品!$A$4:$D$67,4,FALSE),0),"")</f>
        <v/>
      </c>
      <c r="AW346">
        <f t="shared" si="99"/>
        <v>0</v>
      </c>
      <c r="AX346">
        <f t="shared" si="100"/>
        <v>0</v>
      </c>
      <c r="AY346">
        <f t="shared" si="101"/>
        <v>0</v>
      </c>
    </row>
    <row r="347" customHeight="1" spans="1:51">
      <c r="A347" s="5" t="s">
        <v>349</v>
      </c>
      <c r="C347" s="5">
        <v>4</v>
      </c>
      <c r="D347" s="1" t="s">
        <v>238</v>
      </c>
      <c r="E347" s="1" t="s">
        <v>222</v>
      </c>
      <c r="L347" s="5">
        <f>IFERROR(VLOOKUP($D347&amp;$C347,生产方式定位!$A$2:$E$38,2,FALSE)+VLOOKUP($E347&amp;$C347,生产方式定位!$F$3:$J$38,2,FALSE),0)</f>
        <v>1450</v>
      </c>
      <c r="S347" s="5">
        <f>IFERROR(VLOOKUP($D347&amp;$C347,生产方式定位!$A$2:$E$38,3,FALSE)+VLOOKUP($E347&amp;$C347,生产方式定位!$F$3:$J$38,3,FALSE),0)</f>
        <v>95</v>
      </c>
      <c r="X347" s="5">
        <f>IFERROR(VLOOKUP($D347&amp;$C347,生产方式定位!$A$2:$E$38,5,FALSE)+VLOOKUP($E347&amp;$C347,生产方式定位!$F$3:$J$38,5,FALSE),"错误")</f>
        <v>2733</v>
      </c>
      <c r="Y347" s="27" t="str">
        <f t="shared" si="85"/>
        <v/>
      </c>
      <c r="Z347" s="50" t="str">
        <f t="shared" si="88"/>
        <v/>
      </c>
      <c r="AA347" s="50" t="str">
        <f t="shared" si="86"/>
        <v/>
      </c>
      <c r="AB347" s="28" t="str">
        <f t="shared" si="89"/>
        <v>88%</v>
      </c>
      <c r="AC347" s="1">
        <f t="shared" si="90"/>
        <v>1188</v>
      </c>
      <c r="AD347" s="51">
        <f t="shared" si="87"/>
        <v>4</v>
      </c>
      <c r="AE347" t="str">
        <f t="shared" si="91"/>
        <v/>
      </c>
      <c r="AF347" t="str">
        <f t="shared" si="92"/>
        <v/>
      </c>
      <c r="AG347" t="str">
        <f t="shared" si="93"/>
        <v/>
      </c>
      <c r="AH347" t="str">
        <f t="shared" si="94"/>
        <v/>
      </c>
      <c r="AI347" t="str">
        <f t="shared" si="95"/>
        <v/>
      </c>
      <c r="AJ347" t="str">
        <f t="shared" si="96"/>
        <v/>
      </c>
      <c r="AK347" t="str">
        <f t="shared" si="97"/>
        <v/>
      </c>
      <c r="AL347" t="str">
        <f t="shared" si="98"/>
        <v/>
      </c>
      <c r="AN347" t="str">
        <f>IFERROR(ROUND(L347*(G347/$AW347)/VLOOKUP(F347,商品!$A$4:$D$67,4,FALSE),0),"")</f>
        <v/>
      </c>
      <c r="AO347" t="str">
        <f>IFERROR(ROUND(L347*(I347/$AW347)/VLOOKUP(H347,商品!$A$4:$D$67,4,FALSE),0),"")</f>
        <v/>
      </c>
      <c r="AP347" t="str">
        <f>IFERROR(ROUND(L347*(K347/$AW347)/VLOOKUP(J347,商品!$A$4:$D$67,4,FALSE),0),"")</f>
        <v/>
      </c>
      <c r="AQ347" t="str">
        <f>IFERROR(ROUND(S347*(N347/$AX347)/VLOOKUP(M347,职业!$A$3:$E$16,4,FALSE),0),"")</f>
        <v/>
      </c>
      <c r="AR347" t="str">
        <f>IFERROR(ROUND(S347*(P347/$AX347)/VLOOKUP(O347,职业!$A$3:$E$16,4,FALSE),0),"")</f>
        <v/>
      </c>
      <c r="AS347" t="str">
        <f>IFERROR(ROUND(S347*(R347/$AX347)/VLOOKUP(Q347,职业!$A$3:$E$16,4,FALSE),0),"")</f>
        <v/>
      </c>
      <c r="AT347" t="str">
        <f>IFERROR(ROUND(X347*(U347/$AY347)/VLOOKUP(T347,商品!$A$4:$D$67,4,FALSE),0),"")</f>
        <v/>
      </c>
      <c r="AU347" t="str">
        <f>IFERROR(ROUND(X347*(W347/$AY347)/VLOOKUP(V347,商品!$A$4:$D$67,4,FALSE),0),"")</f>
        <v/>
      </c>
      <c r="AW347">
        <f t="shared" si="99"/>
        <v>0</v>
      </c>
      <c r="AX347">
        <f t="shared" si="100"/>
        <v>0</v>
      </c>
      <c r="AY347">
        <f t="shared" si="101"/>
        <v>0</v>
      </c>
    </row>
    <row r="348" customHeight="1" spans="1:51">
      <c r="A348" s="5" t="s">
        <v>349</v>
      </c>
      <c r="C348" s="5">
        <v>5</v>
      </c>
      <c r="D348" s="1" t="s">
        <v>238</v>
      </c>
      <c r="E348" s="1" t="s">
        <v>222</v>
      </c>
      <c r="L348" s="5">
        <f>IFERROR(VLOOKUP($D348&amp;$C348,生产方式定位!$A$2:$E$38,2,FALSE)+VLOOKUP($E348&amp;$C348,生产方式定位!$F$3:$J$38,2,FALSE),0)</f>
        <v>1475</v>
      </c>
      <c r="S348" s="5">
        <f>IFERROR(VLOOKUP($D348&amp;$C348,生产方式定位!$A$2:$E$38,3,FALSE)+VLOOKUP($E348&amp;$C348,生产方式定位!$F$3:$J$38,3,FALSE),0)</f>
        <v>100</v>
      </c>
      <c r="X348" s="5">
        <f>IFERROR(VLOOKUP($D348&amp;$C348,生产方式定位!$A$2:$E$38,5,FALSE)+VLOOKUP($E348&amp;$C348,生产方式定位!$F$3:$J$38,5,FALSE),"错误")</f>
        <v>3763</v>
      </c>
      <c r="Y348" s="27" t="str">
        <f t="shared" si="85"/>
        <v/>
      </c>
      <c r="Z348" s="50" t="str">
        <f t="shared" si="88"/>
        <v/>
      </c>
      <c r="AA348" s="50" t="str">
        <f t="shared" si="86"/>
        <v/>
      </c>
      <c r="AB348" s="28" t="str">
        <f t="shared" si="89"/>
        <v>155%</v>
      </c>
      <c r="AC348" s="1">
        <f t="shared" si="90"/>
        <v>2188</v>
      </c>
      <c r="AD348" s="51">
        <f t="shared" si="87"/>
        <v>5</v>
      </c>
      <c r="AE348" t="str">
        <f t="shared" si="91"/>
        <v/>
      </c>
      <c r="AF348" t="str">
        <f t="shared" si="92"/>
        <v/>
      </c>
      <c r="AG348" t="str">
        <f t="shared" si="93"/>
        <v/>
      </c>
      <c r="AH348" t="str">
        <f t="shared" si="94"/>
        <v/>
      </c>
      <c r="AI348" t="str">
        <f t="shared" si="95"/>
        <v/>
      </c>
      <c r="AJ348" t="str">
        <f t="shared" si="96"/>
        <v/>
      </c>
      <c r="AK348" t="str">
        <f t="shared" si="97"/>
        <v/>
      </c>
      <c r="AL348" t="str">
        <f t="shared" si="98"/>
        <v/>
      </c>
      <c r="AN348" t="str">
        <f>IFERROR(ROUND(L348*(G348/$AW348)/VLOOKUP(F348,商品!$A$4:$D$67,4,FALSE),0),"")</f>
        <v/>
      </c>
      <c r="AO348" t="str">
        <f>IFERROR(ROUND(L348*(I348/$AW348)/VLOOKUP(H348,商品!$A$4:$D$67,4,FALSE),0),"")</f>
        <v/>
      </c>
      <c r="AP348" t="str">
        <f>IFERROR(ROUND(L348*(K348/$AW348)/VLOOKUP(J348,商品!$A$4:$D$67,4,FALSE),0),"")</f>
        <v/>
      </c>
      <c r="AQ348" t="str">
        <f>IFERROR(ROUND(S348*(N348/$AX348)/VLOOKUP(M348,职业!$A$3:$E$16,4,FALSE),0),"")</f>
        <v/>
      </c>
      <c r="AR348" t="str">
        <f>IFERROR(ROUND(S348*(P348/$AX348)/VLOOKUP(O348,职业!$A$3:$E$16,4,FALSE),0),"")</f>
        <v/>
      </c>
      <c r="AS348" t="str">
        <f>IFERROR(ROUND(S348*(R348/$AX348)/VLOOKUP(Q348,职业!$A$3:$E$16,4,FALSE),0),"")</f>
        <v/>
      </c>
      <c r="AT348" t="str">
        <f>IFERROR(ROUND(X348*(U348/$AY348)/VLOOKUP(T348,商品!$A$4:$D$67,4,FALSE),0),"")</f>
        <v/>
      </c>
      <c r="AU348" t="str">
        <f>IFERROR(ROUND(X348*(W348/$AY348)/VLOOKUP(V348,商品!$A$4:$D$67,4,FALSE),0),"")</f>
        <v/>
      </c>
      <c r="AW348">
        <f t="shared" si="99"/>
        <v>0</v>
      </c>
      <c r="AX348">
        <f t="shared" si="100"/>
        <v>0</v>
      </c>
      <c r="AY348">
        <f t="shared" si="101"/>
        <v>0</v>
      </c>
    </row>
    <row r="349" customHeight="1" spans="1:51">
      <c r="A349" s="18" t="s">
        <v>350</v>
      </c>
      <c r="C349" s="18">
        <v>1</v>
      </c>
      <c r="D349" s="1" t="s">
        <v>238</v>
      </c>
      <c r="E349" s="1" t="s">
        <v>224</v>
      </c>
      <c r="L349" s="18">
        <f>IFERROR(VLOOKUP($D349&amp;$C349,生产方式定位!$A$2:$E$38,2,FALSE)+VLOOKUP($E349&amp;$C349,生产方式定位!$F$3:$J$38,2,FALSE),0)</f>
        <v>1000</v>
      </c>
      <c r="S349" s="18">
        <f>IFERROR(VLOOKUP($D349&amp;$C349,生产方式定位!$A$2:$E$38,3,FALSE)+VLOOKUP($E349&amp;$C349,生产方式定位!$F$3:$J$38,3,FALSE),0)</f>
        <v>80</v>
      </c>
      <c r="X349" s="18">
        <f>IFERROR(VLOOKUP($D349&amp;$C349,生产方式定位!$A$2:$E$38,5,FALSE)+VLOOKUP($E349&amp;$C349,生产方式定位!$F$3:$J$38,5,FALSE),"错误")</f>
        <v>972</v>
      </c>
      <c r="Y349" s="27" t="str">
        <f t="shared" si="85"/>
        <v/>
      </c>
      <c r="Z349" s="50" t="str">
        <f t="shared" si="88"/>
        <v/>
      </c>
      <c r="AA349" s="50" t="str">
        <f t="shared" si="86"/>
        <v/>
      </c>
      <c r="AB349" s="28" t="str">
        <f t="shared" si="89"/>
        <v>-3%</v>
      </c>
      <c r="AC349" s="1">
        <f t="shared" si="90"/>
        <v>-108</v>
      </c>
      <c r="AD349" s="52">
        <f t="shared" si="87"/>
        <v>1</v>
      </c>
      <c r="AE349" t="str">
        <f t="shared" si="91"/>
        <v/>
      </c>
      <c r="AF349" t="str">
        <f t="shared" si="92"/>
        <v/>
      </c>
      <c r="AG349" t="str">
        <f t="shared" si="93"/>
        <v/>
      </c>
      <c r="AH349" t="str">
        <f t="shared" si="94"/>
        <v/>
      </c>
      <c r="AI349" t="str">
        <f t="shared" si="95"/>
        <v/>
      </c>
      <c r="AJ349" t="str">
        <f t="shared" si="96"/>
        <v/>
      </c>
      <c r="AK349" t="str">
        <f t="shared" si="97"/>
        <v/>
      </c>
      <c r="AL349" t="str">
        <f t="shared" si="98"/>
        <v/>
      </c>
      <c r="AN349" t="str">
        <f>IFERROR(ROUND(L349*(G349/$AW349)/VLOOKUP(F349,商品!$A$4:$D$67,4,FALSE),0),"")</f>
        <v/>
      </c>
      <c r="AO349" t="str">
        <f>IFERROR(ROUND(L349*(I349/$AW349)/VLOOKUP(H349,商品!$A$4:$D$67,4,FALSE),0),"")</f>
        <v/>
      </c>
      <c r="AP349" t="str">
        <f>IFERROR(ROUND(L349*(K349/$AW349)/VLOOKUP(J349,商品!$A$4:$D$67,4,FALSE),0),"")</f>
        <v/>
      </c>
      <c r="AQ349" t="str">
        <f>IFERROR(ROUND(S349*(N349/$AX349)/VLOOKUP(M349,职业!$A$3:$E$16,4,FALSE),0),"")</f>
        <v/>
      </c>
      <c r="AR349" t="str">
        <f>IFERROR(ROUND(S349*(P349/$AX349)/VLOOKUP(O349,职业!$A$3:$E$16,4,FALSE),0),"")</f>
        <v/>
      </c>
      <c r="AS349" t="str">
        <f>IFERROR(ROUND(S349*(R349/$AX349)/VLOOKUP(Q349,职业!$A$3:$E$16,4,FALSE),0),"")</f>
        <v/>
      </c>
      <c r="AT349" t="str">
        <f>IFERROR(ROUND(X349*(U349/$AY349)/VLOOKUP(T349,商品!$A$4:$D$67,4,FALSE),0),"")</f>
        <v/>
      </c>
      <c r="AU349" t="str">
        <f>IFERROR(ROUND(X349*(W349/$AY349)/VLOOKUP(V349,商品!$A$4:$D$67,4,FALSE),0),"")</f>
        <v/>
      </c>
      <c r="AW349">
        <f t="shared" si="99"/>
        <v>0</v>
      </c>
      <c r="AX349">
        <f t="shared" si="100"/>
        <v>0</v>
      </c>
      <c r="AY349">
        <f t="shared" si="101"/>
        <v>0</v>
      </c>
    </row>
    <row r="350" customHeight="1" spans="1:51">
      <c r="A350" s="18" t="s">
        <v>350</v>
      </c>
      <c r="C350" s="18">
        <v>2</v>
      </c>
      <c r="D350" s="1" t="s">
        <v>238</v>
      </c>
      <c r="E350" s="1" t="s">
        <v>224</v>
      </c>
      <c r="L350" s="18">
        <f>IFERROR(VLOOKUP($D350&amp;$C350,生产方式定位!$A$2:$E$38,2,FALSE)+VLOOKUP($E350&amp;$C350,生产方式定位!$F$3:$J$38,2,FALSE),0)</f>
        <v>1400</v>
      </c>
      <c r="S350" s="18">
        <f>IFERROR(VLOOKUP($D350&amp;$C350,生产方式定位!$A$2:$E$38,3,FALSE)+VLOOKUP($E350&amp;$C350,生产方式定位!$F$3:$J$38,3,FALSE),0)</f>
        <v>45</v>
      </c>
      <c r="X350" s="18">
        <f>IFERROR(VLOOKUP($D350&amp;$C350,生产方式定位!$A$2:$E$38,5,FALSE)+VLOOKUP($E350&amp;$C350,生产方式定位!$F$3:$J$38,5,FALSE),"错误")</f>
        <v>1688</v>
      </c>
      <c r="Y350" s="27" t="str">
        <f t="shared" si="85"/>
        <v/>
      </c>
      <c r="Z350" s="50" t="str">
        <f t="shared" si="88"/>
        <v/>
      </c>
      <c r="AA350" s="50" t="str">
        <f t="shared" si="86"/>
        <v/>
      </c>
      <c r="AB350" s="28" t="str">
        <f t="shared" si="89"/>
        <v>21%</v>
      </c>
      <c r="AC350" s="1">
        <f t="shared" si="90"/>
        <v>243</v>
      </c>
      <c r="AD350" s="52">
        <f t="shared" si="87"/>
        <v>2</v>
      </c>
      <c r="AE350" t="str">
        <f t="shared" si="91"/>
        <v/>
      </c>
      <c r="AF350" t="str">
        <f t="shared" si="92"/>
        <v/>
      </c>
      <c r="AG350" t="str">
        <f t="shared" si="93"/>
        <v/>
      </c>
      <c r="AH350" t="str">
        <f t="shared" si="94"/>
        <v/>
      </c>
      <c r="AI350" t="str">
        <f t="shared" si="95"/>
        <v/>
      </c>
      <c r="AJ350" t="str">
        <f t="shared" si="96"/>
        <v/>
      </c>
      <c r="AK350" t="str">
        <f t="shared" si="97"/>
        <v/>
      </c>
      <c r="AL350" t="str">
        <f t="shared" si="98"/>
        <v/>
      </c>
      <c r="AN350" t="str">
        <f>IFERROR(ROUND(L350*(G350/$AW350)/VLOOKUP(F350,商品!$A$4:$D$67,4,FALSE),0),"")</f>
        <v/>
      </c>
      <c r="AO350" t="str">
        <f>IFERROR(ROUND(L350*(I350/$AW350)/VLOOKUP(H350,商品!$A$4:$D$67,4,FALSE),0),"")</f>
        <v/>
      </c>
      <c r="AP350" t="str">
        <f>IFERROR(ROUND(L350*(K350/$AW350)/VLOOKUP(J350,商品!$A$4:$D$67,4,FALSE),0),"")</f>
        <v/>
      </c>
      <c r="AQ350" t="str">
        <f>IFERROR(ROUND(S350*(N350/$AX350)/VLOOKUP(M350,职业!$A$3:$E$16,4,FALSE),0),"")</f>
        <v/>
      </c>
      <c r="AR350" t="str">
        <f>IFERROR(ROUND(S350*(P350/$AX350)/VLOOKUP(O350,职业!$A$3:$E$16,4,FALSE),0),"")</f>
        <v/>
      </c>
      <c r="AS350" t="str">
        <f>IFERROR(ROUND(S350*(R350/$AX350)/VLOOKUP(Q350,职业!$A$3:$E$16,4,FALSE),0),"")</f>
        <v/>
      </c>
      <c r="AT350" t="str">
        <f>IFERROR(ROUND(X350*(U350/$AY350)/VLOOKUP(T350,商品!$A$4:$D$67,4,FALSE),0),"")</f>
        <v/>
      </c>
      <c r="AU350" t="str">
        <f>IFERROR(ROUND(X350*(W350/$AY350)/VLOOKUP(V350,商品!$A$4:$D$67,4,FALSE),0),"")</f>
        <v/>
      </c>
      <c r="AW350">
        <f t="shared" si="99"/>
        <v>0</v>
      </c>
      <c r="AX350">
        <f t="shared" si="100"/>
        <v>0</v>
      </c>
      <c r="AY350">
        <f t="shared" si="101"/>
        <v>0</v>
      </c>
    </row>
    <row r="351" customHeight="1" spans="1:51">
      <c r="A351" s="18" t="s">
        <v>350</v>
      </c>
      <c r="C351" s="18">
        <v>3</v>
      </c>
      <c r="D351" s="1" t="s">
        <v>238</v>
      </c>
      <c r="E351" s="1" t="s">
        <v>224</v>
      </c>
      <c r="L351" s="18">
        <f>IFERROR(VLOOKUP($D351&amp;$C351,生产方式定位!$A$2:$E$38,2,FALSE)+VLOOKUP($E351&amp;$C351,生产方式定位!$F$3:$J$38,2,FALSE),0)</f>
        <v>1800</v>
      </c>
      <c r="S351" s="18">
        <f>IFERROR(VLOOKUP($D351&amp;$C351,生产方式定位!$A$2:$E$38,3,FALSE)+VLOOKUP($E351&amp;$C351,生产方式定位!$F$3:$J$38,3,FALSE),0)</f>
        <v>30</v>
      </c>
      <c r="X351" s="18">
        <f>IFERROR(VLOOKUP($D351&amp;$C351,生产方式定位!$A$2:$E$38,5,FALSE)+VLOOKUP($E351&amp;$C351,生产方式定位!$F$3:$J$38,5,FALSE),"错误")</f>
        <v>2458</v>
      </c>
      <c r="Y351" s="27" t="str">
        <f t="shared" si="85"/>
        <v/>
      </c>
      <c r="Z351" s="50" t="str">
        <f t="shared" si="88"/>
        <v/>
      </c>
      <c r="AA351" s="50" t="str">
        <f t="shared" si="86"/>
        <v/>
      </c>
      <c r="AB351" s="28" t="str">
        <f t="shared" si="89"/>
        <v>37%</v>
      </c>
      <c r="AC351" s="1">
        <f t="shared" si="90"/>
        <v>628</v>
      </c>
      <c r="AD351" s="52">
        <f t="shared" si="87"/>
        <v>3</v>
      </c>
      <c r="AE351" t="str">
        <f t="shared" si="91"/>
        <v/>
      </c>
      <c r="AF351" t="str">
        <f t="shared" si="92"/>
        <v/>
      </c>
      <c r="AG351" t="str">
        <f t="shared" si="93"/>
        <v/>
      </c>
      <c r="AH351" t="str">
        <f t="shared" si="94"/>
        <v/>
      </c>
      <c r="AI351" t="str">
        <f t="shared" si="95"/>
        <v/>
      </c>
      <c r="AJ351" t="str">
        <f t="shared" si="96"/>
        <v/>
      </c>
      <c r="AK351" t="str">
        <f t="shared" si="97"/>
        <v/>
      </c>
      <c r="AL351" t="str">
        <f t="shared" si="98"/>
        <v/>
      </c>
      <c r="AN351" t="str">
        <f>IFERROR(ROUND(L351*(G351/$AW351)/VLOOKUP(F351,商品!$A$4:$D$67,4,FALSE),0),"")</f>
        <v/>
      </c>
      <c r="AO351" t="str">
        <f>IFERROR(ROUND(L351*(I351/$AW351)/VLOOKUP(H351,商品!$A$4:$D$67,4,FALSE),0),"")</f>
        <v/>
      </c>
      <c r="AP351" t="str">
        <f>IFERROR(ROUND(L351*(K351/$AW351)/VLOOKUP(J351,商品!$A$4:$D$67,4,FALSE),0),"")</f>
        <v/>
      </c>
      <c r="AQ351" t="str">
        <f>IFERROR(ROUND(S351*(N351/$AX351)/VLOOKUP(M351,职业!$A$3:$E$16,4,FALSE),0),"")</f>
        <v/>
      </c>
      <c r="AR351" t="str">
        <f>IFERROR(ROUND(S351*(P351/$AX351)/VLOOKUP(O351,职业!$A$3:$E$16,4,FALSE),0),"")</f>
        <v/>
      </c>
      <c r="AS351" t="str">
        <f>IFERROR(ROUND(S351*(R351/$AX351)/VLOOKUP(Q351,职业!$A$3:$E$16,4,FALSE),0),"")</f>
        <v/>
      </c>
      <c r="AT351" t="str">
        <f>IFERROR(ROUND(X351*(U351/$AY351)/VLOOKUP(T351,商品!$A$4:$D$67,4,FALSE),0),"")</f>
        <v/>
      </c>
      <c r="AU351" t="str">
        <f>IFERROR(ROUND(X351*(W351/$AY351)/VLOOKUP(V351,商品!$A$4:$D$67,4,FALSE),0),"")</f>
        <v/>
      </c>
      <c r="AW351">
        <f t="shared" si="99"/>
        <v>0</v>
      </c>
      <c r="AX351">
        <f t="shared" si="100"/>
        <v>0</v>
      </c>
      <c r="AY351">
        <f t="shared" si="101"/>
        <v>0</v>
      </c>
    </row>
    <row r="352" customHeight="1" spans="1:51">
      <c r="A352" s="18" t="s">
        <v>350</v>
      </c>
      <c r="C352" s="18">
        <v>4</v>
      </c>
      <c r="D352" s="1" t="s">
        <v>238</v>
      </c>
      <c r="E352" s="1" t="s">
        <v>224</v>
      </c>
      <c r="L352" s="18">
        <f>IFERROR(VLOOKUP($D352&amp;$C352,生产方式定位!$A$2:$E$38,2,FALSE)+VLOOKUP($E352&amp;$C352,生产方式定位!$F$3:$J$38,2,FALSE),0)</f>
        <v>2200</v>
      </c>
      <c r="S352" s="18">
        <f>IFERROR(VLOOKUP($D352&amp;$C352,生产方式定位!$A$2:$E$38,3,FALSE)+VLOOKUP($E352&amp;$C352,生产方式定位!$F$3:$J$38,3,FALSE),0)</f>
        <v>15</v>
      </c>
      <c r="X352" s="18">
        <f>IFERROR(VLOOKUP($D352&amp;$C352,生产方式定位!$A$2:$E$38,5,FALSE)+VLOOKUP($E352&amp;$C352,生产方式定位!$F$3:$J$38,5,FALSE),"错误")</f>
        <v>3470</v>
      </c>
      <c r="Y352" s="27" t="str">
        <f t="shared" si="85"/>
        <v/>
      </c>
      <c r="Z352" s="50" t="str">
        <f t="shared" si="88"/>
        <v/>
      </c>
      <c r="AA352" s="50" t="str">
        <f t="shared" si="86"/>
        <v/>
      </c>
      <c r="AB352" s="28" t="str">
        <f t="shared" si="89"/>
        <v>58%</v>
      </c>
      <c r="AC352" s="1">
        <f t="shared" si="90"/>
        <v>1255</v>
      </c>
      <c r="AD352" s="52">
        <f t="shared" si="87"/>
        <v>4</v>
      </c>
      <c r="AE352" t="str">
        <f t="shared" si="91"/>
        <v/>
      </c>
      <c r="AF352" t="str">
        <f t="shared" si="92"/>
        <v/>
      </c>
      <c r="AG352" t="str">
        <f t="shared" si="93"/>
        <v/>
      </c>
      <c r="AH352" t="str">
        <f t="shared" si="94"/>
        <v/>
      </c>
      <c r="AI352" t="str">
        <f t="shared" si="95"/>
        <v/>
      </c>
      <c r="AJ352" t="str">
        <f t="shared" si="96"/>
        <v/>
      </c>
      <c r="AK352" t="str">
        <f t="shared" si="97"/>
        <v/>
      </c>
      <c r="AL352" t="str">
        <f t="shared" si="98"/>
        <v/>
      </c>
      <c r="AN352" t="str">
        <f>IFERROR(ROUND(L352*(G352/$AW352)/VLOOKUP(F352,商品!$A$4:$D$67,4,FALSE),0),"")</f>
        <v/>
      </c>
      <c r="AO352" t="str">
        <f>IFERROR(ROUND(L352*(I352/$AW352)/VLOOKUP(H352,商品!$A$4:$D$67,4,FALSE),0),"")</f>
        <v/>
      </c>
      <c r="AP352" t="str">
        <f>IFERROR(ROUND(L352*(K352/$AW352)/VLOOKUP(J352,商品!$A$4:$D$67,4,FALSE),0),"")</f>
        <v/>
      </c>
      <c r="AQ352" t="str">
        <f>IFERROR(ROUND(S352*(N352/$AX352)/VLOOKUP(M352,职业!$A$3:$E$16,4,FALSE),0),"")</f>
        <v/>
      </c>
      <c r="AR352" t="str">
        <f>IFERROR(ROUND(S352*(P352/$AX352)/VLOOKUP(O352,职业!$A$3:$E$16,4,FALSE),0),"")</f>
        <v/>
      </c>
      <c r="AS352" t="str">
        <f>IFERROR(ROUND(S352*(R352/$AX352)/VLOOKUP(Q352,职业!$A$3:$E$16,4,FALSE),0),"")</f>
        <v/>
      </c>
      <c r="AT352" t="str">
        <f>IFERROR(ROUND(X352*(U352/$AY352)/VLOOKUP(T352,商品!$A$4:$D$67,4,FALSE),0),"")</f>
        <v/>
      </c>
      <c r="AU352" t="str">
        <f>IFERROR(ROUND(X352*(W352/$AY352)/VLOOKUP(V352,商品!$A$4:$D$67,4,FALSE),0),"")</f>
        <v/>
      </c>
      <c r="AW352">
        <f t="shared" si="99"/>
        <v>0</v>
      </c>
      <c r="AX352">
        <f t="shared" si="100"/>
        <v>0</v>
      </c>
      <c r="AY352">
        <f t="shared" si="101"/>
        <v>0</v>
      </c>
    </row>
    <row r="353" customHeight="1" spans="1:51">
      <c r="A353" s="18" t="s">
        <v>350</v>
      </c>
      <c r="C353" s="18">
        <v>5</v>
      </c>
      <c r="D353" s="1" t="s">
        <v>238</v>
      </c>
      <c r="E353" s="1" t="s">
        <v>224</v>
      </c>
      <c r="L353" s="18">
        <f>IFERROR(VLOOKUP($D353&amp;$C353,生产方式定位!$A$2:$E$38,2,FALSE)+VLOOKUP($E353&amp;$C353,生产方式定位!$F$3:$J$38,2,FALSE),0)</f>
        <v>2600</v>
      </c>
      <c r="S353" s="18">
        <f>IFERROR(VLOOKUP($D353&amp;$C353,生产方式定位!$A$2:$E$38,3,FALSE)+VLOOKUP($E353&amp;$C353,生产方式定位!$F$3:$J$38,3,FALSE),0)</f>
        <v>0</v>
      </c>
      <c r="X353" s="18">
        <f>IFERROR(VLOOKUP($D353&amp;$C353,生产方式定位!$A$2:$E$38,5,FALSE)+VLOOKUP($E353&amp;$C353,生产方式定位!$F$3:$J$38,5,FALSE),"错误")</f>
        <v>4890</v>
      </c>
      <c r="Y353" s="27" t="str">
        <f t="shared" si="85"/>
        <v/>
      </c>
      <c r="Z353" s="50" t="str">
        <f t="shared" si="88"/>
        <v/>
      </c>
      <c r="AA353" s="50" t="str">
        <f t="shared" si="86"/>
        <v/>
      </c>
      <c r="AB353" s="28" t="str">
        <f t="shared" si="89"/>
        <v>88%</v>
      </c>
      <c r="AC353" s="1">
        <f t="shared" si="90"/>
        <v>2290</v>
      </c>
      <c r="AD353" s="52">
        <f t="shared" si="87"/>
        <v>5</v>
      </c>
      <c r="AE353" t="str">
        <f t="shared" si="91"/>
        <v/>
      </c>
      <c r="AF353" t="str">
        <f t="shared" si="92"/>
        <v/>
      </c>
      <c r="AG353" t="str">
        <f t="shared" si="93"/>
        <v/>
      </c>
      <c r="AH353" t="str">
        <f t="shared" si="94"/>
        <v/>
      </c>
      <c r="AI353" t="str">
        <f t="shared" si="95"/>
        <v/>
      </c>
      <c r="AJ353" t="str">
        <f t="shared" si="96"/>
        <v/>
      </c>
      <c r="AK353" t="str">
        <f t="shared" si="97"/>
        <v/>
      </c>
      <c r="AL353" t="str">
        <f t="shared" si="98"/>
        <v/>
      </c>
      <c r="AN353" t="str">
        <f>IFERROR(ROUND(L353*(G353/$AW353)/VLOOKUP(F353,商品!$A$4:$D$67,4,FALSE),0),"")</f>
        <v/>
      </c>
      <c r="AO353" t="str">
        <f>IFERROR(ROUND(L353*(I353/$AW353)/VLOOKUP(H353,商品!$A$4:$D$67,4,FALSE),0),"")</f>
        <v/>
      </c>
      <c r="AP353" t="str">
        <f>IFERROR(ROUND(L353*(K353/$AW353)/VLOOKUP(J353,商品!$A$4:$D$67,4,FALSE),0),"")</f>
        <v/>
      </c>
      <c r="AQ353" t="str">
        <f>IFERROR(ROUND(S353*(N353/$AX353)/VLOOKUP(M353,职业!$A$3:$E$16,4,FALSE),0),"")</f>
        <v/>
      </c>
      <c r="AR353" t="str">
        <f>IFERROR(ROUND(S353*(P353/$AX353)/VLOOKUP(O353,职业!$A$3:$E$16,4,FALSE),0),"")</f>
        <v/>
      </c>
      <c r="AS353" t="str">
        <f>IFERROR(ROUND(S353*(R353/$AX353)/VLOOKUP(Q353,职业!$A$3:$E$16,4,FALSE),0),"")</f>
        <v/>
      </c>
      <c r="AT353" t="str">
        <f>IFERROR(ROUND(X353*(U353/$AY353)/VLOOKUP(T353,商品!$A$4:$D$67,4,FALSE),0),"")</f>
        <v/>
      </c>
      <c r="AU353" t="str">
        <f>IFERROR(ROUND(X353*(W353/$AY353)/VLOOKUP(V353,商品!$A$4:$D$67,4,FALSE),0),"")</f>
        <v/>
      </c>
      <c r="AW353">
        <f t="shared" si="99"/>
        <v>0</v>
      </c>
      <c r="AX353">
        <f t="shared" si="100"/>
        <v>0</v>
      </c>
      <c r="AY353">
        <f t="shared" si="101"/>
        <v>0</v>
      </c>
    </row>
    <row r="354" customHeight="1" spans="1:51">
      <c r="A354" s="5" t="s">
        <v>350</v>
      </c>
      <c r="C354" s="5">
        <v>1</v>
      </c>
      <c r="D354" s="1" t="s">
        <v>238</v>
      </c>
      <c r="E354" s="1" t="s">
        <v>224</v>
      </c>
      <c r="L354" s="5">
        <f>IFERROR(VLOOKUP($D354&amp;$C354,生产方式定位!$A$2:$E$38,2,FALSE)+VLOOKUP($E354&amp;$C354,生产方式定位!$F$3:$J$38,2,FALSE),0)</f>
        <v>1000</v>
      </c>
      <c r="S354" s="5">
        <f>IFERROR(VLOOKUP($D354&amp;$C354,生产方式定位!$A$2:$E$38,3,FALSE)+VLOOKUP($E354&amp;$C354,生产方式定位!$F$3:$J$38,3,FALSE),0)</f>
        <v>80</v>
      </c>
      <c r="X354" s="5">
        <f>IFERROR(VLOOKUP($D354&amp;$C354,生产方式定位!$A$2:$E$38,5,FALSE)+VLOOKUP($E354&amp;$C354,生产方式定位!$F$3:$J$38,5,FALSE),"错误")</f>
        <v>972</v>
      </c>
      <c r="Y354" s="27" t="str">
        <f t="shared" si="85"/>
        <v/>
      </c>
      <c r="Z354" s="50" t="str">
        <f t="shared" si="88"/>
        <v/>
      </c>
      <c r="AA354" s="50" t="str">
        <f t="shared" si="86"/>
        <v/>
      </c>
      <c r="AB354" s="28" t="str">
        <f t="shared" si="89"/>
        <v>-3%</v>
      </c>
      <c r="AC354" s="1">
        <f t="shared" si="90"/>
        <v>-108</v>
      </c>
      <c r="AD354" s="51">
        <f t="shared" si="87"/>
        <v>1</v>
      </c>
      <c r="AE354" t="str">
        <f t="shared" si="91"/>
        <v/>
      </c>
      <c r="AF354" t="str">
        <f t="shared" si="92"/>
        <v/>
      </c>
      <c r="AG354" t="str">
        <f t="shared" si="93"/>
        <v/>
      </c>
      <c r="AH354" t="str">
        <f t="shared" si="94"/>
        <v/>
      </c>
      <c r="AI354" t="str">
        <f t="shared" si="95"/>
        <v/>
      </c>
      <c r="AJ354" t="str">
        <f t="shared" si="96"/>
        <v/>
      </c>
      <c r="AK354" t="str">
        <f t="shared" si="97"/>
        <v/>
      </c>
      <c r="AL354" t="str">
        <f t="shared" si="98"/>
        <v/>
      </c>
      <c r="AN354" t="str">
        <f>IFERROR(ROUND(L354*(G354/$AW354)/VLOOKUP(F354,商品!$A$4:$D$67,4,FALSE),0),"")</f>
        <v/>
      </c>
      <c r="AO354" t="str">
        <f>IFERROR(ROUND(L354*(I354/$AW354)/VLOOKUP(H354,商品!$A$4:$D$67,4,FALSE),0),"")</f>
        <v/>
      </c>
      <c r="AP354" t="str">
        <f>IFERROR(ROUND(L354*(K354/$AW354)/VLOOKUP(J354,商品!$A$4:$D$67,4,FALSE),0),"")</f>
        <v/>
      </c>
      <c r="AQ354" t="str">
        <f>IFERROR(ROUND(S354*(N354/$AX354)/VLOOKUP(M354,职业!$A$3:$E$16,4,FALSE),0),"")</f>
        <v/>
      </c>
      <c r="AR354" t="str">
        <f>IFERROR(ROUND(S354*(P354/$AX354)/VLOOKUP(O354,职业!$A$3:$E$16,4,FALSE),0),"")</f>
        <v/>
      </c>
      <c r="AS354" t="str">
        <f>IFERROR(ROUND(S354*(R354/$AX354)/VLOOKUP(Q354,职业!$A$3:$E$16,4,FALSE),0),"")</f>
        <v/>
      </c>
      <c r="AT354" t="str">
        <f>IFERROR(ROUND(X354*(U354/$AY354)/VLOOKUP(T354,商品!$A$4:$D$67,4,FALSE),0),"")</f>
        <v/>
      </c>
      <c r="AU354" t="str">
        <f>IFERROR(ROUND(X354*(W354/$AY354)/VLOOKUP(V354,商品!$A$4:$D$67,4,FALSE),0),"")</f>
        <v/>
      </c>
      <c r="AW354">
        <f t="shared" si="99"/>
        <v>0</v>
      </c>
      <c r="AX354">
        <f t="shared" si="100"/>
        <v>0</v>
      </c>
      <c r="AY354">
        <f t="shared" si="101"/>
        <v>0</v>
      </c>
    </row>
    <row r="355" customHeight="1" spans="1:51">
      <c r="A355" s="5" t="s">
        <v>350</v>
      </c>
      <c r="C355" s="5">
        <v>2</v>
      </c>
      <c r="D355" s="1" t="s">
        <v>238</v>
      </c>
      <c r="E355" s="1" t="s">
        <v>224</v>
      </c>
      <c r="L355" s="5">
        <f>IFERROR(VLOOKUP($D355&amp;$C355,生产方式定位!$A$2:$E$38,2,FALSE)+VLOOKUP($E355&amp;$C355,生产方式定位!$F$3:$J$38,2,FALSE),0)</f>
        <v>1400</v>
      </c>
      <c r="S355" s="5">
        <f>IFERROR(VLOOKUP($D355&amp;$C355,生产方式定位!$A$2:$E$38,3,FALSE)+VLOOKUP($E355&amp;$C355,生产方式定位!$F$3:$J$38,3,FALSE),0)</f>
        <v>45</v>
      </c>
      <c r="X355" s="5">
        <f>IFERROR(VLOOKUP($D355&amp;$C355,生产方式定位!$A$2:$E$38,5,FALSE)+VLOOKUP($E355&amp;$C355,生产方式定位!$F$3:$J$38,5,FALSE),"错误")</f>
        <v>1688</v>
      </c>
      <c r="Y355" s="27" t="str">
        <f t="shared" si="85"/>
        <v/>
      </c>
      <c r="Z355" s="50" t="str">
        <f t="shared" si="88"/>
        <v/>
      </c>
      <c r="AA355" s="50" t="str">
        <f t="shared" si="86"/>
        <v/>
      </c>
      <c r="AB355" s="28" t="str">
        <f t="shared" si="89"/>
        <v>21%</v>
      </c>
      <c r="AC355" s="1">
        <f t="shared" si="90"/>
        <v>243</v>
      </c>
      <c r="AD355" s="51">
        <f t="shared" si="87"/>
        <v>2</v>
      </c>
      <c r="AE355" t="str">
        <f t="shared" si="91"/>
        <v/>
      </c>
      <c r="AF355" t="str">
        <f t="shared" si="92"/>
        <v/>
      </c>
      <c r="AG355" t="str">
        <f t="shared" si="93"/>
        <v/>
      </c>
      <c r="AH355" t="str">
        <f t="shared" si="94"/>
        <v/>
      </c>
      <c r="AI355" t="str">
        <f t="shared" si="95"/>
        <v/>
      </c>
      <c r="AJ355" t="str">
        <f t="shared" si="96"/>
        <v/>
      </c>
      <c r="AK355" t="str">
        <f t="shared" si="97"/>
        <v/>
      </c>
      <c r="AL355" t="str">
        <f t="shared" si="98"/>
        <v/>
      </c>
      <c r="AN355" t="str">
        <f>IFERROR(ROUND(L355*(G355/$AW355)/VLOOKUP(F355,商品!$A$4:$D$67,4,FALSE),0),"")</f>
        <v/>
      </c>
      <c r="AO355" t="str">
        <f>IFERROR(ROUND(L355*(I355/$AW355)/VLOOKUP(H355,商品!$A$4:$D$67,4,FALSE),0),"")</f>
        <v/>
      </c>
      <c r="AP355" t="str">
        <f>IFERROR(ROUND(L355*(K355/$AW355)/VLOOKUP(J355,商品!$A$4:$D$67,4,FALSE),0),"")</f>
        <v/>
      </c>
      <c r="AQ355" t="str">
        <f>IFERROR(ROUND(S355*(N355/$AX355)/VLOOKUP(M355,职业!$A$3:$E$16,4,FALSE),0),"")</f>
        <v/>
      </c>
      <c r="AR355" t="str">
        <f>IFERROR(ROUND(S355*(P355/$AX355)/VLOOKUP(O355,职业!$A$3:$E$16,4,FALSE),0),"")</f>
        <v/>
      </c>
      <c r="AS355" t="str">
        <f>IFERROR(ROUND(S355*(R355/$AX355)/VLOOKUP(Q355,职业!$A$3:$E$16,4,FALSE),0),"")</f>
        <v/>
      </c>
      <c r="AT355" t="str">
        <f>IFERROR(ROUND(X355*(U355/$AY355)/VLOOKUP(T355,商品!$A$4:$D$67,4,FALSE),0),"")</f>
        <v/>
      </c>
      <c r="AU355" t="str">
        <f>IFERROR(ROUND(X355*(W355/$AY355)/VLOOKUP(V355,商品!$A$4:$D$67,4,FALSE),0),"")</f>
        <v/>
      </c>
      <c r="AW355">
        <f t="shared" si="99"/>
        <v>0</v>
      </c>
      <c r="AX355">
        <f t="shared" si="100"/>
        <v>0</v>
      </c>
      <c r="AY355">
        <f t="shared" si="101"/>
        <v>0</v>
      </c>
    </row>
    <row r="356" customHeight="1" spans="1:51">
      <c r="A356" s="5" t="s">
        <v>350</v>
      </c>
      <c r="C356" s="5">
        <v>3</v>
      </c>
      <c r="D356" s="1" t="s">
        <v>238</v>
      </c>
      <c r="E356" s="1" t="s">
        <v>224</v>
      </c>
      <c r="L356" s="5">
        <f>IFERROR(VLOOKUP($D356&amp;$C356,生产方式定位!$A$2:$E$38,2,FALSE)+VLOOKUP($E356&amp;$C356,生产方式定位!$F$3:$J$38,2,FALSE),0)</f>
        <v>1800</v>
      </c>
      <c r="S356" s="5">
        <f>IFERROR(VLOOKUP($D356&amp;$C356,生产方式定位!$A$2:$E$38,3,FALSE)+VLOOKUP($E356&amp;$C356,生产方式定位!$F$3:$J$38,3,FALSE),0)</f>
        <v>30</v>
      </c>
      <c r="X356" s="5">
        <f>IFERROR(VLOOKUP($D356&amp;$C356,生产方式定位!$A$2:$E$38,5,FALSE)+VLOOKUP($E356&amp;$C356,生产方式定位!$F$3:$J$38,5,FALSE),"错误")</f>
        <v>2458</v>
      </c>
      <c r="Y356" s="27" t="str">
        <f t="shared" si="85"/>
        <v/>
      </c>
      <c r="Z356" s="50" t="str">
        <f t="shared" si="88"/>
        <v/>
      </c>
      <c r="AA356" s="50" t="str">
        <f t="shared" si="86"/>
        <v/>
      </c>
      <c r="AB356" s="28" t="str">
        <f t="shared" si="89"/>
        <v>37%</v>
      </c>
      <c r="AC356" s="1">
        <f t="shared" si="90"/>
        <v>628</v>
      </c>
      <c r="AD356" s="51">
        <f t="shared" si="87"/>
        <v>3</v>
      </c>
      <c r="AE356" t="str">
        <f t="shared" si="91"/>
        <v/>
      </c>
      <c r="AF356" t="str">
        <f t="shared" si="92"/>
        <v/>
      </c>
      <c r="AG356" t="str">
        <f t="shared" si="93"/>
        <v/>
      </c>
      <c r="AH356" t="str">
        <f t="shared" si="94"/>
        <v/>
      </c>
      <c r="AI356" t="str">
        <f t="shared" si="95"/>
        <v/>
      </c>
      <c r="AJ356" t="str">
        <f t="shared" si="96"/>
        <v/>
      </c>
      <c r="AK356" t="str">
        <f t="shared" si="97"/>
        <v/>
      </c>
      <c r="AL356" t="str">
        <f t="shared" si="98"/>
        <v/>
      </c>
      <c r="AN356" t="str">
        <f>IFERROR(ROUND(L356*(G356/$AW356)/VLOOKUP(F356,商品!$A$4:$D$67,4,FALSE),0),"")</f>
        <v/>
      </c>
      <c r="AO356" t="str">
        <f>IFERROR(ROUND(L356*(I356/$AW356)/VLOOKUP(H356,商品!$A$4:$D$67,4,FALSE),0),"")</f>
        <v/>
      </c>
      <c r="AP356" t="str">
        <f>IFERROR(ROUND(L356*(K356/$AW356)/VLOOKUP(J356,商品!$A$4:$D$67,4,FALSE),0),"")</f>
        <v/>
      </c>
      <c r="AQ356" t="str">
        <f>IFERROR(ROUND(S356*(N356/$AX356)/VLOOKUP(M356,职业!$A$3:$E$16,4,FALSE),0),"")</f>
        <v/>
      </c>
      <c r="AR356" t="str">
        <f>IFERROR(ROUND(S356*(P356/$AX356)/VLOOKUP(O356,职业!$A$3:$E$16,4,FALSE),0),"")</f>
        <v/>
      </c>
      <c r="AS356" t="str">
        <f>IFERROR(ROUND(S356*(R356/$AX356)/VLOOKUP(Q356,职业!$A$3:$E$16,4,FALSE),0),"")</f>
        <v/>
      </c>
      <c r="AT356" t="str">
        <f>IFERROR(ROUND(X356*(U356/$AY356)/VLOOKUP(T356,商品!$A$4:$D$67,4,FALSE),0),"")</f>
        <v/>
      </c>
      <c r="AU356" t="str">
        <f>IFERROR(ROUND(X356*(W356/$AY356)/VLOOKUP(V356,商品!$A$4:$D$67,4,FALSE),0),"")</f>
        <v/>
      </c>
      <c r="AW356">
        <f t="shared" si="99"/>
        <v>0</v>
      </c>
      <c r="AX356">
        <f t="shared" si="100"/>
        <v>0</v>
      </c>
      <c r="AY356">
        <f t="shared" si="101"/>
        <v>0</v>
      </c>
    </row>
    <row r="357" customHeight="1" spans="1:51">
      <c r="A357" s="5" t="s">
        <v>350</v>
      </c>
      <c r="C357" s="5">
        <v>4</v>
      </c>
      <c r="D357" s="1" t="s">
        <v>238</v>
      </c>
      <c r="E357" s="1" t="s">
        <v>224</v>
      </c>
      <c r="L357" s="5">
        <f>IFERROR(VLOOKUP($D357&amp;$C357,生产方式定位!$A$2:$E$38,2,FALSE)+VLOOKUP($E357&amp;$C357,生产方式定位!$F$3:$J$38,2,FALSE),0)</f>
        <v>2200</v>
      </c>
      <c r="S357" s="5">
        <f>IFERROR(VLOOKUP($D357&amp;$C357,生产方式定位!$A$2:$E$38,3,FALSE)+VLOOKUP($E357&amp;$C357,生产方式定位!$F$3:$J$38,3,FALSE),0)</f>
        <v>15</v>
      </c>
      <c r="X357" s="5">
        <f>IFERROR(VLOOKUP($D357&amp;$C357,生产方式定位!$A$2:$E$38,5,FALSE)+VLOOKUP($E357&amp;$C357,生产方式定位!$F$3:$J$38,5,FALSE),"错误")</f>
        <v>3470</v>
      </c>
      <c r="Y357" s="27" t="str">
        <f t="shared" si="85"/>
        <v/>
      </c>
      <c r="Z357" s="50" t="str">
        <f t="shared" si="88"/>
        <v/>
      </c>
      <c r="AA357" s="50" t="str">
        <f t="shared" si="86"/>
        <v/>
      </c>
      <c r="AB357" s="28" t="str">
        <f t="shared" si="89"/>
        <v>58%</v>
      </c>
      <c r="AC357" s="1">
        <f t="shared" si="90"/>
        <v>1255</v>
      </c>
      <c r="AD357" s="51">
        <f t="shared" si="87"/>
        <v>4</v>
      </c>
      <c r="AE357" t="str">
        <f t="shared" si="91"/>
        <v/>
      </c>
      <c r="AF357" t="str">
        <f t="shared" si="92"/>
        <v/>
      </c>
      <c r="AG357" t="str">
        <f t="shared" si="93"/>
        <v/>
      </c>
      <c r="AH357" t="str">
        <f t="shared" si="94"/>
        <v/>
      </c>
      <c r="AI357" t="str">
        <f t="shared" si="95"/>
        <v/>
      </c>
      <c r="AJ357" t="str">
        <f t="shared" si="96"/>
        <v/>
      </c>
      <c r="AK357" t="str">
        <f t="shared" si="97"/>
        <v/>
      </c>
      <c r="AL357" t="str">
        <f t="shared" si="98"/>
        <v/>
      </c>
      <c r="AN357" t="str">
        <f>IFERROR(ROUND(L357*(G357/$AW357)/VLOOKUP(F357,商品!$A$4:$D$67,4,FALSE),0),"")</f>
        <v/>
      </c>
      <c r="AO357" t="str">
        <f>IFERROR(ROUND(L357*(I357/$AW357)/VLOOKUP(H357,商品!$A$4:$D$67,4,FALSE),0),"")</f>
        <v/>
      </c>
      <c r="AP357" t="str">
        <f>IFERROR(ROUND(L357*(K357/$AW357)/VLOOKUP(J357,商品!$A$4:$D$67,4,FALSE),0),"")</f>
        <v/>
      </c>
      <c r="AQ357" t="str">
        <f>IFERROR(ROUND(S357*(N357/$AX357)/VLOOKUP(M357,职业!$A$3:$E$16,4,FALSE),0),"")</f>
        <v/>
      </c>
      <c r="AR357" t="str">
        <f>IFERROR(ROUND(S357*(P357/$AX357)/VLOOKUP(O357,职业!$A$3:$E$16,4,FALSE),0),"")</f>
        <v/>
      </c>
      <c r="AS357" t="str">
        <f>IFERROR(ROUND(S357*(R357/$AX357)/VLOOKUP(Q357,职业!$A$3:$E$16,4,FALSE),0),"")</f>
        <v/>
      </c>
      <c r="AT357" t="str">
        <f>IFERROR(ROUND(X357*(U357/$AY357)/VLOOKUP(T357,商品!$A$4:$D$67,4,FALSE),0),"")</f>
        <v/>
      </c>
      <c r="AU357" t="str">
        <f>IFERROR(ROUND(X357*(W357/$AY357)/VLOOKUP(V357,商品!$A$4:$D$67,4,FALSE),0),"")</f>
        <v/>
      </c>
      <c r="AW357">
        <f t="shared" si="99"/>
        <v>0</v>
      </c>
      <c r="AX357">
        <f t="shared" si="100"/>
        <v>0</v>
      </c>
      <c r="AY357">
        <f t="shared" si="101"/>
        <v>0</v>
      </c>
    </row>
    <row r="358" customHeight="1" spans="1:51">
      <c r="A358" s="5" t="s">
        <v>350</v>
      </c>
      <c r="C358" s="5">
        <v>5</v>
      </c>
      <c r="D358" s="1" t="s">
        <v>238</v>
      </c>
      <c r="E358" s="1" t="s">
        <v>224</v>
      </c>
      <c r="L358" s="5">
        <f>IFERROR(VLOOKUP($D358&amp;$C358,生产方式定位!$A$2:$E$38,2,FALSE)+VLOOKUP($E358&amp;$C358,生产方式定位!$F$3:$J$38,2,FALSE),0)</f>
        <v>2600</v>
      </c>
      <c r="S358" s="5">
        <f>IFERROR(VLOOKUP($D358&amp;$C358,生产方式定位!$A$2:$E$38,3,FALSE)+VLOOKUP($E358&amp;$C358,生产方式定位!$F$3:$J$38,3,FALSE),0)</f>
        <v>0</v>
      </c>
      <c r="X358" s="5">
        <f>IFERROR(VLOOKUP($D358&amp;$C358,生产方式定位!$A$2:$E$38,5,FALSE)+VLOOKUP($E358&amp;$C358,生产方式定位!$F$3:$J$38,5,FALSE),"错误")</f>
        <v>4890</v>
      </c>
      <c r="Y358" s="27" t="str">
        <f t="shared" si="85"/>
        <v/>
      </c>
      <c r="Z358" s="50" t="str">
        <f t="shared" si="88"/>
        <v/>
      </c>
      <c r="AA358" s="50" t="str">
        <f t="shared" si="86"/>
        <v/>
      </c>
      <c r="AB358" s="28" t="str">
        <f t="shared" si="89"/>
        <v>88%</v>
      </c>
      <c r="AC358" s="1">
        <f t="shared" si="90"/>
        <v>2290</v>
      </c>
      <c r="AD358" s="51">
        <f t="shared" si="87"/>
        <v>5</v>
      </c>
      <c r="AE358" t="str">
        <f t="shared" si="91"/>
        <v/>
      </c>
      <c r="AF358" t="str">
        <f t="shared" si="92"/>
        <v/>
      </c>
      <c r="AG358" t="str">
        <f t="shared" si="93"/>
        <v/>
      </c>
      <c r="AH358" t="str">
        <f t="shared" si="94"/>
        <v/>
      </c>
      <c r="AI358" t="str">
        <f t="shared" si="95"/>
        <v/>
      </c>
      <c r="AJ358" t="str">
        <f t="shared" si="96"/>
        <v/>
      </c>
      <c r="AK358" t="str">
        <f t="shared" si="97"/>
        <v/>
      </c>
      <c r="AL358" t="str">
        <f t="shared" si="98"/>
        <v/>
      </c>
      <c r="AN358" t="str">
        <f>IFERROR(ROUND(L358*(G358/$AW358)/VLOOKUP(F358,商品!$A$4:$D$67,4,FALSE),0),"")</f>
        <v/>
      </c>
      <c r="AO358" t="str">
        <f>IFERROR(ROUND(L358*(I358/$AW358)/VLOOKUP(H358,商品!$A$4:$D$67,4,FALSE),0),"")</f>
        <v/>
      </c>
      <c r="AP358" t="str">
        <f>IFERROR(ROUND(L358*(K358/$AW358)/VLOOKUP(J358,商品!$A$4:$D$67,4,FALSE),0),"")</f>
        <v/>
      </c>
      <c r="AQ358" t="str">
        <f>IFERROR(ROUND(S358*(N358/$AX358)/VLOOKUP(M358,职业!$A$3:$E$16,4,FALSE),0),"")</f>
        <v/>
      </c>
      <c r="AR358" t="str">
        <f>IFERROR(ROUND(S358*(P358/$AX358)/VLOOKUP(O358,职业!$A$3:$E$16,4,FALSE),0),"")</f>
        <v/>
      </c>
      <c r="AS358" t="str">
        <f>IFERROR(ROUND(S358*(R358/$AX358)/VLOOKUP(Q358,职业!$A$3:$E$16,4,FALSE),0),"")</f>
        <v/>
      </c>
      <c r="AT358" t="str">
        <f>IFERROR(ROUND(X358*(U358/$AY358)/VLOOKUP(T358,商品!$A$4:$D$67,4,FALSE),0),"")</f>
        <v/>
      </c>
      <c r="AU358" t="str">
        <f>IFERROR(ROUND(X358*(W358/$AY358)/VLOOKUP(V358,商品!$A$4:$D$67,4,FALSE),0),"")</f>
        <v/>
      </c>
      <c r="AW358">
        <f t="shared" si="99"/>
        <v>0</v>
      </c>
      <c r="AX358">
        <f t="shared" si="100"/>
        <v>0</v>
      </c>
      <c r="AY358">
        <f t="shared" si="101"/>
        <v>0</v>
      </c>
    </row>
    <row r="359" customHeight="1" spans="1:51">
      <c r="A359" s="18" t="s">
        <v>351</v>
      </c>
      <c r="C359" s="18">
        <v>1</v>
      </c>
      <c r="D359" s="1" t="s">
        <v>291</v>
      </c>
      <c r="E359" s="1" t="s">
        <v>225</v>
      </c>
      <c r="L359" s="18">
        <f>IFERROR(VLOOKUP($D359&amp;$C359,生产方式定位!$A$2:$E$38,2,FALSE)+VLOOKUP($E359&amp;$C359,生产方式定位!$F$3:$J$38,2,FALSE),0)</f>
        <v>0</v>
      </c>
      <c r="S359" s="18">
        <f>IFERROR(VLOOKUP($D359&amp;$C359,生产方式定位!$A$2:$E$38,3,FALSE)+VLOOKUP($E359&amp;$C359,生产方式定位!$F$3:$J$38,3,FALSE),0)</f>
        <v>100</v>
      </c>
      <c r="X359" s="18">
        <f>IFERROR(VLOOKUP($D359&amp;$C359,生产方式定位!$A$2:$E$38,5,FALSE)+VLOOKUP($E359&amp;$C359,生产方式定位!$F$3:$J$38,5,FALSE),"错误")</f>
        <v>100</v>
      </c>
      <c r="Y359" s="27" t="str">
        <f t="shared" si="85"/>
        <v/>
      </c>
      <c r="Z359" s="50" t="str">
        <f t="shared" si="88"/>
        <v/>
      </c>
      <c r="AA359" s="50" t="str">
        <f t="shared" si="86"/>
        <v/>
      </c>
      <c r="AB359" s="28" t="str">
        <f t="shared" si="89"/>
        <v/>
      </c>
      <c r="AC359" s="1" t="str">
        <f t="shared" si="90"/>
        <v/>
      </c>
      <c r="AD359" s="52">
        <f t="shared" si="87"/>
        <v>1</v>
      </c>
      <c r="AE359" t="str">
        <f t="shared" si="91"/>
        <v/>
      </c>
      <c r="AF359" t="str">
        <f t="shared" si="92"/>
        <v/>
      </c>
      <c r="AG359" t="str">
        <f t="shared" si="93"/>
        <v/>
      </c>
      <c r="AH359" t="str">
        <f t="shared" si="94"/>
        <v/>
      </c>
      <c r="AI359" t="str">
        <f t="shared" si="95"/>
        <v/>
      </c>
      <c r="AJ359" t="str">
        <f t="shared" si="96"/>
        <v/>
      </c>
      <c r="AK359" t="str">
        <f t="shared" si="97"/>
        <v/>
      </c>
      <c r="AL359" t="str">
        <f t="shared" si="98"/>
        <v/>
      </c>
      <c r="AN359" t="str">
        <f>IFERROR(ROUND(L359*(G359/$AW359)/VLOOKUP(F359,商品!$A$4:$D$67,4,FALSE),0),"")</f>
        <v/>
      </c>
      <c r="AO359" t="str">
        <f>IFERROR(ROUND(L359*(I359/$AW359)/VLOOKUP(H359,商品!$A$4:$D$67,4,FALSE),0),"")</f>
        <v/>
      </c>
      <c r="AP359" t="str">
        <f>IFERROR(ROUND(L359*(K359/$AW359)/VLOOKUP(J359,商品!$A$4:$D$67,4,FALSE),0),"")</f>
        <v/>
      </c>
      <c r="AQ359" t="str">
        <f>IFERROR(ROUND(S359*(N359/$AX359)/VLOOKUP(M359,职业!$A$3:$E$16,4,FALSE),0),"")</f>
        <v/>
      </c>
      <c r="AR359" t="str">
        <f>IFERROR(ROUND(S359*(P359/$AX359)/VLOOKUP(O359,职业!$A$3:$E$16,4,FALSE),0),"")</f>
        <v/>
      </c>
      <c r="AS359" t="str">
        <f>IFERROR(ROUND(S359*(R359/$AX359)/VLOOKUP(Q359,职业!$A$3:$E$16,4,FALSE),0),"")</f>
        <v/>
      </c>
      <c r="AT359" t="str">
        <f>IFERROR(ROUND(X359*(U359/$AY359)/VLOOKUP(T359,商品!$A$4:$D$67,4,FALSE),0),"")</f>
        <v/>
      </c>
      <c r="AU359" t="str">
        <f>IFERROR(ROUND(X359*(W359/$AY359)/VLOOKUP(V359,商品!$A$4:$D$67,4,FALSE),0),"")</f>
        <v/>
      </c>
      <c r="AW359">
        <f t="shared" si="99"/>
        <v>0</v>
      </c>
      <c r="AX359">
        <f t="shared" si="100"/>
        <v>0</v>
      </c>
      <c r="AY359">
        <f t="shared" si="101"/>
        <v>0</v>
      </c>
    </row>
    <row r="360" customHeight="1" spans="1:51">
      <c r="A360" s="18" t="s">
        <v>351</v>
      </c>
      <c r="C360" s="18">
        <v>2</v>
      </c>
      <c r="D360" s="1" t="s">
        <v>291</v>
      </c>
      <c r="E360" s="1" t="s">
        <v>225</v>
      </c>
      <c r="L360" s="18">
        <f>IFERROR(VLOOKUP($D360&amp;$C360,生产方式定位!$A$2:$E$38,2,FALSE)+VLOOKUP($E360&amp;$C360,生产方式定位!$F$3:$J$38,2,FALSE),0)</f>
        <v>0</v>
      </c>
      <c r="S360" s="18">
        <f>IFERROR(VLOOKUP($D360&amp;$C360,生产方式定位!$A$2:$E$38,3,FALSE)+VLOOKUP($E360&amp;$C360,生产方式定位!$F$3:$J$38,3,FALSE),0)</f>
        <v>100</v>
      </c>
      <c r="X360" s="18">
        <f>IFERROR(VLOOKUP($D360&amp;$C360,生产方式定位!$A$2:$E$38,5,FALSE)+VLOOKUP($E360&amp;$C360,生产方式定位!$F$3:$J$38,5,FALSE),"错误")</f>
        <v>100</v>
      </c>
      <c r="Y360" s="27" t="str">
        <f t="shared" si="85"/>
        <v/>
      </c>
      <c r="Z360" s="50" t="str">
        <f t="shared" si="88"/>
        <v/>
      </c>
      <c r="AA360" s="50" t="str">
        <f t="shared" si="86"/>
        <v/>
      </c>
      <c r="AB360" s="28" t="str">
        <f t="shared" si="89"/>
        <v/>
      </c>
      <c r="AC360" s="1" t="str">
        <f t="shared" si="90"/>
        <v/>
      </c>
      <c r="AD360" s="52">
        <f t="shared" si="87"/>
        <v>2</v>
      </c>
      <c r="AE360" t="str">
        <f t="shared" si="91"/>
        <v/>
      </c>
      <c r="AF360" t="str">
        <f t="shared" si="92"/>
        <v/>
      </c>
      <c r="AG360" t="str">
        <f t="shared" si="93"/>
        <v/>
      </c>
      <c r="AH360" t="str">
        <f t="shared" si="94"/>
        <v/>
      </c>
      <c r="AI360" t="str">
        <f t="shared" si="95"/>
        <v/>
      </c>
      <c r="AJ360" t="str">
        <f t="shared" si="96"/>
        <v/>
      </c>
      <c r="AK360" t="str">
        <f t="shared" si="97"/>
        <v/>
      </c>
      <c r="AL360" t="str">
        <f t="shared" si="98"/>
        <v/>
      </c>
      <c r="AN360" t="str">
        <f>IFERROR(ROUND(L360*(G360/$AW360)/VLOOKUP(F360,商品!$A$4:$D$67,4,FALSE),0),"")</f>
        <v/>
      </c>
      <c r="AO360" t="str">
        <f>IFERROR(ROUND(L360*(I360/$AW360)/VLOOKUP(H360,商品!$A$4:$D$67,4,FALSE),0),"")</f>
        <v/>
      </c>
      <c r="AP360" t="str">
        <f>IFERROR(ROUND(L360*(K360/$AW360)/VLOOKUP(J360,商品!$A$4:$D$67,4,FALSE),0),"")</f>
        <v/>
      </c>
      <c r="AQ360" t="str">
        <f>IFERROR(ROUND(S360*(N360/$AX360)/VLOOKUP(M360,职业!$A$3:$E$16,4,FALSE),0),"")</f>
        <v/>
      </c>
      <c r="AR360" t="str">
        <f>IFERROR(ROUND(S360*(P360/$AX360)/VLOOKUP(O360,职业!$A$3:$E$16,4,FALSE),0),"")</f>
        <v/>
      </c>
      <c r="AS360" t="str">
        <f>IFERROR(ROUND(S360*(R360/$AX360)/VLOOKUP(Q360,职业!$A$3:$E$16,4,FALSE),0),"")</f>
        <v/>
      </c>
      <c r="AT360" t="str">
        <f>IFERROR(ROUND(X360*(U360/$AY360)/VLOOKUP(T360,商品!$A$4:$D$67,4,FALSE),0),"")</f>
        <v/>
      </c>
      <c r="AU360" t="str">
        <f>IFERROR(ROUND(X360*(W360/$AY360)/VLOOKUP(V360,商品!$A$4:$D$67,4,FALSE),0),"")</f>
        <v/>
      </c>
      <c r="AW360">
        <f t="shared" si="99"/>
        <v>0</v>
      </c>
      <c r="AX360">
        <f t="shared" si="100"/>
        <v>0</v>
      </c>
      <c r="AY360">
        <f t="shared" si="101"/>
        <v>0</v>
      </c>
    </row>
    <row r="361" customHeight="1" spans="1:51">
      <c r="A361" s="18" t="s">
        <v>351</v>
      </c>
      <c r="C361" s="18">
        <v>3</v>
      </c>
      <c r="D361" s="1" t="s">
        <v>291</v>
      </c>
      <c r="E361" s="1" t="s">
        <v>225</v>
      </c>
      <c r="L361" s="18">
        <f>IFERROR(VLOOKUP($D361&amp;$C361,生产方式定位!$A$2:$E$38,2,FALSE)+VLOOKUP($E361&amp;$C361,生产方式定位!$F$3:$J$38,2,FALSE),0)</f>
        <v>0</v>
      </c>
      <c r="S361" s="18">
        <f>IFERROR(VLOOKUP($D361&amp;$C361,生产方式定位!$A$2:$E$38,3,FALSE)+VLOOKUP($E361&amp;$C361,生产方式定位!$F$3:$J$38,3,FALSE),0)</f>
        <v>100</v>
      </c>
      <c r="X361" s="18">
        <f>IFERROR(VLOOKUP($D361&amp;$C361,生产方式定位!$A$2:$E$38,5,FALSE)+VLOOKUP($E361&amp;$C361,生产方式定位!$F$3:$J$38,5,FALSE),"错误")</f>
        <v>100</v>
      </c>
      <c r="Y361" s="27" t="str">
        <f t="shared" si="85"/>
        <v/>
      </c>
      <c r="Z361" s="50" t="str">
        <f t="shared" si="88"/>
        <v/>
      </c>
      <c r="AA361" s="50" t="str">
        <f t="shared" si="86"/>
        <v/>
      </c>
      <c r="AB361" s="28" t="str">
        <f t="shared" si="89"/>
        <v/>
      </c>
      <c r="AC361" s="1" t="str">
        <f t="shared" si="90"/>
        <v/>
      </c>
      <c r="AD361" s="52">
        <f t="shared" si="87"/>
        <v>3</v>
      </c>
      <c r="AE361" t="str">
        <f t="shared" si="91"/>
        <v/>
      </c>
      <c r="AF361" t="str">
        <f t="shared" si="92"/>
        <v/>
      </c>
      <c r="AG361" t="str">
        <f t="shared" si="93"/>
        <v/>
      </c>
      <c r="AH361" t="str">
        <f t="shared" si="94"/>
        <v/>
      </c>
      <c r="AI361" t="str">
        <f t="shared" si="95"/>
        <v/>
      </c>
      <c r="AJ361" t="str">
        <f t="shared" si="96"/>
        <v/>
      </c>
      <c r="AK361" t="str">
        <f t="shared" si="97"/>
        <v/>
      </c>
      <c r="AL361" t="str">
        <f t="shared" si="98"/>
        <v/>
      </c>
      <c r="AN361" t="str">
        <f>IFERROR(ROUND(L361*(G361/$AW361)/VLOOKUP(F361,商品!$A$4:$D$67,4,FALSE),0),"")</f>
        <v/>
      </c>
      <c r="AO361" t="str">
        <f>IFERROR(ROUND(L361*(I361/$AW361)/VLOOKUP(H361,商品!$A$4:$D$67,4,FALSE),0),"")</f>
        <v/>
      </c>
      <c r="AP361" t="str">
        <f>IFERROR(ROUND(L361*(K361/$AW361)/VLOOKUP(J361,商品!$A$4:$D$67,4,FALSE),0),"")</f>
        <v/>
      </c>
      <c r="AQ361" t="str">
        <f>IFERROR(ROUND(S361*(N361/$AX361)/VLOOKUP(M361,职业!$A$3:$E$16,4,FALSE),0),"")</f>
        <v/>
      </c>
      <c r="AR361" t="str">
        <f>IFERROR(ROUND(S361*(P361/$AX361)/VLOOKUP(O361,职业!$A$3:$E$16,4,FALSE),0),"")</f>
        <v/>
      </c>
      <c r="AS361" t="str">
        <f>IFERROR(ROUND(S361*(R361/$AX361)/VLOOKUP(Q361,职业!$A$3:$E$16,4,FALSE),0),"")</f>
        <v/>
      </c>
      <c r="AT361" t="str">
        <f>IFERROR(ROUND(X361*(U361/$AY361)/VLOOKUP(T361,商品!$A$4:$D$67,4,FALSE),0),"")</f>
        <v/>
      </c>
      <c r="AU361" t="str">
        <f>IFERROR(ROUND(X361*(W361/$AY361)/VLOOKUP(V361,商品!$A$4:$D$67,4,FALSE),0),"")</f>
        <v/>
      </c>
      <c r="AW361">
        <f t="shared" si="99"/>
        <v>0</v>
      </c>
      <c r="AX361">
        <f t="shared" si="100"/>
        <v>0</v>
      </c>
      <c r="AY361">
        <f t="shared" si="101"/>
        <v>0</v>
      </c>
    </row>
    <row r="362" customHeight="1" spans="1:51">
      <c r="A362" s="18" t="s">
        <v>351</v>
      </c>
      <c r="C362" s="18">
        <v>4</v>
      </c>
      <c r="D362" s="1" t="s">
        <v>291</v>
      </c>
      <c r="E362" s="1" t="s">
        <v>225</v>
      </c>
      <c r="L362" s="18">
        <f>IFERROR(VLOOKUP($D362&amp;$C362,生产方式定位!$A$2:$E$38,2,FALSE)+VLOOKUP($E362&amp;$C362,生产方式定位!$F$3:$J$38,2,FALSE),0)</f>
        <v>0</v>
      </c>
      <c r="S362" s="18">
        <f>IFERROR(VLOOKUP($D362&amp;$C362,生产方式定位!$A$2:$E$38,3,FALSE)+VLOOKUP($E362&amp;$C362,生产方式定位!$F$3:$J$38,3,FALSE),0)</f>
        <v>100</v>
      </c>
      <c r="X362" s="18">
        <f>IFERROR(VLOOKUP($D362&amp;$C362,生产方式定位!$A$2:$E$38,5,FALSE)+VLOOKUP($E362&amp;$C362,生产方式定位!$F$3:$J$38,5,FALSE),"错误")</f>
        <v>100</v>
      </c>
      <c r="Y362" s="27" t="str">
        <f t="shared" si="85"/>
        <v/>
      </c>
      <c r="Z362" s="50" t="str">
        <f t="shared" si="88"/>
        <v/>
      </c>
      <c r="AA362" s="50" t="str">
        <f t="shared" si="86"/>
        <v/>
      </c>
      <c r="AB362" s="28" t="str">
        <f t="shared" si="89"/>
        <v/>
      </c>
      <c r="AC362" s="1" t="str">
        <f t="shared" si="90"/>
        <v/>
      </c>
      <c r="AD362" s="52">
        <f t="shared" si="87"/>
        <v>4</v>
      </c>
      <c r="AE362" t="str">
        <f t="shared" si="91"/>
        <v/>
      </c>
      <c r="AF362" t="str">
        <f t="shared" si="92"/>
        <v/>
      </c>
      <c r="AG362" t="str">
        <f t="shared" si="93"/>
        <v/>
      </c>
      <c r="AH362" t="str">
        <f t="shared" si="94"/>
        <v/>
      </c>
      <c r="AI362" t="str">
        <f t="shared" si="95"/>
        <v/>
      </c>
      <c r="AJ362" t="str">
        <f t="shared" si="96"/>
        <v/>
      </c>
      <c r="AK362" t="str">
        <f t="shared" si="97"/>
        <v/>
      </c>
      <c r="AL362" t="str">
        <f t="shared" si="98"/>
        <v/>
      </c>
      <c r="AN362" t="str">
        <f>IFERROR(ROUND(L362*(G362/$AW362)/VLOOKUP(F362,商品!$A$4:$D$67,4,FALSE),0),"")</f>
        <v/>
      </c>
      <c r="AO362" t="str">
        <f>IFERROR(ROUND(L362*(I362/$AW362)/VLOOKUP(H362,商品!$A$4:$D$67,4,FALSE),0),"")</f>
        <v/>
      </c>
      <c r="AP362" t="str">
        <f>IFERROR(ROUND(L362*(K362/$AW362)/VLOOKUP(J362,商品!$A$4:$D$67,4,FALSE),0),"")</f>
        <v/>
      </c>
      <c r="AQ362" t="str">
        <f>IFERROR(ROUND(S362*(N362/$AX362)/VLOOKUP(M362,职业!$A$3:$E$16,4,FALSE),0),"")</f>
        <v/>
      </c>
      <c r="AR362" t="str">
        <f>IFERROR(ROUND(S362*(P362/$AX362)/VLOOKUP(O362,职业!$A$3:$E$16,4,FALSE),0),"")</f>
        <v/>
      </c>
      <c r="AS362" t="str">
        <f>IFERROR(ROUND(S362*(R362/$AX362)/VLOOKUP(Q362,职业!$A$3:$E$16,4,FALSE),0),"")</f>
        <v/>
      </c>
      <c r="AT362" t="str">
        <f>IFERROR(ROUND(X362*(U362/$AY362)/VLOOKUP(T362,商品!$A$4:$D$67,4,FALSE),0),"")</f>
        <v/>
      </c>
      <c r="AU362" t="str">
        <f>IFERROR(ROUND(X362*(W362/$AY362)/VLOOKUP(V362,商品!$A$4:$D$67,4,FALSE),0),"")</f>
        <v/>
      </c>
      <c r="AW362">
        <f t="shared" si="99"/>
        <v>0</v>
      </c>
      <c r="AX362">
        <f t="shared" si="100"/>
        <v>0</v>
      </c>
      <c r="AY362">
        <f t="shared" si="101"/>
        <v>0</v>
      </c>
    </row>
    <row r="363" customHeight="1" spans="1:51">
      <c r="A363" s="18" t="s">
        <v>351</v>
      </c>
      <c r="C363" s="18">
        <v>5</v>
      </c>
      <c r="D363" s="1" t="s">
        <v>291</v>
      </c>
      <c r="E363" s="1" t="s">
        <v>225</v>
      </c>
      <c r="L363" s="18">
        <f>IFERROR(VLOOKUP($D363&amp;$C363,生产方式定位!$A$2:$E$38,2,FALSE)+VLOOKUP($E363&amp;$C363,生产方式定位!$F$3:$J$38,2,FALSE),0)</f>
        <v>0</v>
      </c>
      <c r="S363" s="18">
        <f>IFERROR(VLOOKUP($D363&amp;$C363,生产方式定位!$A$2:$E$38,3,FALSE)+VLOOKUP($E363&amp;$C363,生产方式定位!$F$3:$J$38,3,FALSE),0)</f>
        <v>100</v>
      </c>
      <c r="X363" s="18">
        <f>IFERROR(VLOOKUP($D363&amp;$C363,生产方式定位!$A$2:$E$38,5,FALSE)+VLOOKUP($E363&amp;$C363,生产方式定位!$F$3:$J$38,5,FALSE),"错误")</f>
        <v>100</v>
      </c>
      <c r="Y363" s="27" t="str">
        <f t="shared" si="85"/>
        <v/>
      </c>
      <c r="Z363" s="50" t="str">
        <f t="shared" si="88"/>
        <v/>
      </c>
      <c r="AA363" s="50" t="str">
        <f t="shared" si="86"/>
        <v/>
      </c>
      <c r="AB363" s="28" t="str">
        <f t="shared" si="89"/>
        <v/>
      </c>
      <c r="AC363" s="1" t="str">
        <f t="shared" si="90"/>
        <v/>
      </c>
      <c r="AD363" s="52">
        <f t="shared" si="87"/>
        <v>5</v>
      </c>
      <c r="AE363" t="str">
        <f t="shared" si="91"/>
        <v/>
      </c>
      <c r="AF363" t="str">
        <f t="shared" si="92"/>
        <v/>
      </c>
      <c r="AG363" t="str">
        <f t="shared" si="93"/>
        <v/>
      </c>
      <c r="AH363" t="str">
        <f t="shared" si="94"/>
        <v/>
      </c>
      <c r="AI363" t="str">
        <f t="shared" si="95"/>
        <v/>
      </c>
      <c r="AJ363" t="str">
        <f t="shared" si="96"/>
        <v/>
      </c>
      <c r="AK363" t="str">
        <f t="shared" si="97"/>
        <v/>
      </c>
      <c r="AL363" t="str">
        <f t="shared" si="98"/>
        <v/>
      </c>
      <c r="AN363" t="str">
        <f>IFERROR(ROUND(L363*(G363/$AW363)/VLOOKUP(F363,商品!$A$4:$D$67,4,FALSE),0),"")</f>
        <v/>
      </c>
      <c r="AO363" t="str">
        <f>IFERROR(ROUND(L363*(I363/$AW363)/VLOOKUP(H363,商品!$A$4:$D$67,4,FALSE),0),"")</f>
        <v/>
      </c>
      <c r="AP363" t="str">
        <f>IFERROR(ROUND(L363*(K363/$AW363)/VLOOKUP(J363,商品!$A$4:$D$67,4,FALSE),0),"")</f>
        <v/>
      </c>
      <c r="AQ363" t="str">
        <f>IFERROR(ROUND(S363*(N363/$AX363)/VLOOKUP(M363,职业!$A$3:$E$16,4,FALSE),0),"")</f>
        <v/>
      </c>
      <c r="AR363" t="str">
        <f>IFERROR(ROUND(S363*(P363/$AX363)/VLOOKUP(O363,职业!$A$3:$E$16,4,FALSE),0),"")</f>
        <v/>
      </c>
      <c r="AS363" t="str">
        <f>IFERROR(ROUND(S363*(R363/$AX363)/VLOOKUP(Q363,职业!$A$3:$E$16,4,FALSE),0),"")</f>
        <v/>
      </c>
      <c r="AT363" t="str">
        <f>IFERROR(ROUND(X363*(U363/$AY363)/VLOOKUP(T363,商品!$A$4:$D$67,4,FALSE),0),"")</f>
        <v/>
      </c>
      <c r="AU363" t="str">
        <f>IFERROR(ROUND(X363*(W363/$AY363)/VLOOKUP(V363,商品!$A$4:$D$67,4,FALSE),0),"")</f>
        <v/>
      </c>
      <c r="AW363">
        <f t="shared" si="99"/>
        <v>0</v>
      </c>
      <c r="AX363">
        <f t="shared" si="100"/>
        <v>0</v>
      </c>
      <c r="AY363">
        <f t="shared" si="101"/>
        <v>0</v>
      </c>
    </row>
    <row r="364" customHeight="1" spans="1:51">
      <c r="A364" s="18" t="s">
        <v>351</v>
      </c>
      <c r="C364" s="18">
        <v>6</v>
      </c>
      <c r="D364" s="1" t="s">
        <v>291</v>
      </c>
      <c r="E364" s="1" t="s">
        <v>225</v>
      </c>
      <c r="L364" s="18">
        <f>IFERROR(VLOOKUP($D364&amp;$C364,生产方式定位!$A$2:$E$38,2,FALSE)+VLOOKUP($E364&amp;$C364,生产方式定位!$F$3:$J$38,2,FALSE),0)</f>
        <v>0</v>
      </c>
      <c r="S364" s="18">
        <f>IFERROR(VLOOKUP($D364&amp;$C364,生产方式定位!$A$2:$E$38,3,FALSE)+VLOOKUP($E364&amp;$C364,生产方式定位!$F$3:$J$38,3,FALSE),0)</f>
        <v>100</v>
      </c>
      <c r="X364" s="18">
        <f>IFERROR(VLOOKUP($D364&amp;$C364,生产方式定位!$A$2:$E$38,5,FALSE)+VLOOKUP($E364&amp;$C364,生产方式定位!$F$3:$J$38,5,FALSE),"错误")</f>
        <v>100</v>
      </c>
      <c r="Y364" s="27" t="str">
        <f t="shared" si="85"/>
        <v/>
      </c>
      <c r="Z364" s="50" t="str">
        <f t="shared" si="88"/>
        <v/>
      </c>
      <c r="AA364" s="50" t="str">
        <f t="shared" si="86"/>
        <v/>
      </c>
      <c r="AB364" s="28" t="str">
        <f t="shared" si="89"/>
        <v/>
      </c>
      <c r="AC364" s="1" t="str">
        <f t="shared" si="90"/>
        <v/>
      </c>
      <c r="AD364" s="52">
        <f t="shared" si="87"/>
        <v>6</v>
      </c>
      <c r="AE364" t="str">
        <f t="shared" si="91"/>
        <v/>
      </c>
      <c r="AF364" t="str">
        <f t="shared" si="92"/>
        <v/>
      </c>
      <c r="AG364" t="str">
        <f t="shared" si="93"/>
        <v/>
      </c>
      <c r="AH364" t="str">
        <f t="shared" si="94"/>
        <v/>
      </c>
      <c r="AI364" t="str">
        <f t="shared" si="95"/>
        <v/>
      </c>
      <c r="AJ364" t="str">
        <f t="shared" si="96"/>
        <v/>
      </c>
      <c r="AK364" t="str">
        <f t="shared" si="97"/>
        <v/>
      </c>
      <c r="AL364" t="str">
        <f t="shared" si="98"/>
        <v/>
      </c>
      <c r="AN364" t="str">
        <f>IFERROR(ROUND(L364*(G364/$AW364)/VLOOKUP(F364,商品!$A$4:$D$67,4,FALSE),0),"")</f>
        <v/>
      </c>
      <c r="AO364" t="str">
        <f>IFERROR(ROUND(L364*(I364/$AW364)/VLOOKUP(H364,商品!$A$4:$D$67,4,FALSE),0),"")</f>
        <v/>
      </c>
      <c r="AP364" t="str">
        <f>IFERROR(ROUND(L364*(K364/$AW364)/VLOOKUP(J364,商品!$A$4:$D$67,4,FALSE),0),"")</f>
        <v/>
      </c>
      <c r="AQ364" t="str">
        <f>IFERROR(ROUND(S364*(N364/$AX364)/VLOOKUP(M364,职业!$A$3:$E$16,4,FALSE),0),"")</f>
        <v/>
      </c>
      <c r="AR364" t="str">
        <f>IFERROR(ROUND(S364*(P364/$AX364)/VLOOKUP(O364,职业!$A$3:$E$16,4,FALSE),0),"")</f>
        <v/>
      </c>
      <c r="AS364" t="str">
        <f>IFERROR(ROUND(S364*(R364/$AX364)/VLOOKUP(Q364,职业!$A$3:$E$16,4,FALSE),0),"")</f>
        <v/>
      </c>
      <c r="AT364" t="str">
        <f>IFERROR(ROUND(X364*(U364/$AY364)/VLOOKUP(T364,商品!$A$4:$D$67,4,FALSE),0),"")</f>
        <v/>
      </c>
      <c r="AU364" t="str">
        <f>IFERROR(ROUND(X364*(W364/$AY364)/VLOOKUP(V364,商品!$A$4:$D$67,4,FALSE),0),"")</f>
        <v/>
      </c>
      <c r="AW364">
        <f t="shared" si="99"/>
        <v>0</v>
      </c>
      <c r="AX364">
        <f t="shared" si="100"/>
        <v>0</v>
      </c>
      <c r="AY364">
        <f t="shared" si="101"/>
        <v>0</v>
      </c>
    </row>
    <row r="365" customHeight="1" spans="1:51">
      <c r="A365" s="18" t="s">
        <v>351</v>
      </c>
      <c r="C365" s="18">
        <v>7</v>
      </c>
      <c r="D365" s="1" t="s">
        <v>291</v>
      </c>
      <c r="E365" s="1" t="s">
        <v>225</v>
      </c>
      <c r="L365" s="18">
        <f>IFERROR(VLOOKUP($D365&amp;$C365,生产方式定位!$A$2:$E$38,2,FALSE)+VLOOKUP($E365&amp;$C365,生产方式定位!$F$3:$J$38,2,FALSE),0)</f>
        <v>0</v>
      </c>
      <c r="S365" s="18">
        <f>IFERROR(VLOOKUP($D365&amp;$C365,生产方式定位!$A$2:$E$38,3,FALSE)+VLOOKUP($E365&amp;$C365,生产方式定位!$F$3:$J$38,3,FALSE),0)</f>
        <v>100</v>
      </c>
      <c r="X365" s="18">
        <f>IFERROR(VLOOKUP($D365&amp;$C365,生产方式定位!$A$2:$E$38,5,FALSE)+VLOOKUP($E365&amp;$C365,生产方式定位!$F$3:$J$38,5,FALSE),"错误")</f>
        <v>100</v>
      </c>
      <c r="Y365" s="27" t="str">
        <f t="shared" si="85"/>
        <v/>
      </c>
      <c r="Z365" s="50" t="str">
        <f t="shared" si="88"/>
        <v/>
      </c>
      <c r="AA365" s="50" t="str">
        <f t="shared" si="86"/>
        <v/>
      </c>
      <c r="AB365" s="28" t="str">
        <f t="shared" si="89"/>
        <v/>
      </c>
      <c r="AC365" s="1" t="str">
        <f t="shared" si="90"/>
        <v/>
      </c>
      <c r="AD365" s="52">
        <f t="shared" si="87"/>
        <v>7</v>
      </c>
      <c r="AE365" t="str">
        <f t="shared" si="91"/>
        <v/>
      </c>
      <c r="AF365" t="str">
        <f t="shared" si="92"/>
        <v/>
      </c>
      <c r="AG365" t="str">
        <f t="shared" si="93"/>
        <v/>
      </c>
      <c r="AH365" t="str">
        <f t="shared" si="94"/>
        <v/>
      </c>
      <c r="AI365" t="str">
        <f t="shared" si="95"/>
        <v/>
      </c>
      <c r="AJ365" t="str">
        <f t="shared" si="96"/>
        <v/>
      </c>
      <c r="AK365" t="str">
        <f t="shared" si="97"/>
        <v/>
      </c>
      <c r="AL365" t="str">
        <f t="shared" si="98"/>
        <v/>
      </c>
      <c r="AN365" t="str">
        <f>IFERROR(ROUND(L365*(G365/$AW365)/VLOOKUP(F365,商品!$A$4:$D$67,4,FALSE),0),"")</f>
        <v/>
      </c>
      <c r="AO365" t="str">
        <f>IFERROR(ROUND(L365*(I365/$AW365)/VLOOKUP(H365,商品!$A$4:$D$67,4,FALSE),0),"")</f>
        <v/>
      </c>
      <c r="AP365" t="str">
        <f>IFERROR(ROUND(L365*(K365/$AW365)/VLOOKUP(J365,商品!$A$4:$D$67,4,FALSE),0),"")</f>
        <v/>
      </c>
      <c r="AQ365" t="str">
        <f>IFERROR(ROUND(S365*(N365/$AX365)/VLOOKUP(M365,职业!$A$3:$E$16,4,FALSE),0),"")</f>
        <v/>
      </c>
      <c r="AR365" t="str">
        <f>IFERROR(ROUND(S365*(P365/$AX365)/VLOOKUP(O365,职业!$A$3:$E$16,4,FALSE),0),"")</f>
        <v/>
      </c>
      <c r="AS365" t="str">
        <f>IFERROR(ROUND(S365*(R365/$AX365)/VLOOKUP(Q365,职业!$A$3:$E$16,4,FALSE),0),"")</f>
        <v/>
      </c>
      <c r="AT365" t="str">
        <f>IFERROR(ROUND(X365*(U365/$AY365)/VLOOKUP(T365,商品!$A$4:$D$67,4,FALSE),0),"")</f>
        <v/>
      </c>
      <c r="AU365" t="str">
        <f>IFERROR(ROUND(X365*(W365/$AY365)/VLOOKUP(V365,商品!$A$4:$D$67,4,FALSE),0),"")</f>
        <v/>
      </c>
      <c r="AW365">
        <f t="shared" si="99"/>
        <v>0</v>
      </c>
      <c r="AX365">
        <f t="shared" si="100"/>
        <v>0</v>
      </c>
      <c r="AY365">
        <f t="shared" si="101"/>
        <v>0</v>
      </c>
    </row>
    <row r="366" customHeight="1" spans="1:51">
      <c r="A366" s="18" t="s">
        <v>351</v>
      </c>
      <c r="C366" s="18">
        <v>8</v>
      </c>
      <c r="D366" s="1" t="s">
        <v>291</v>
      </c>
      <c r="E366" s="1" t="s">
        <v>225</v>
      </c>
      <c r="L366" s="18">
        <f>IFERROR(VLOOKUP($D366&amp;$C366,生产方式定位!$A$2:$E$38,2,FALSE)+VLOOKUP($E366&amp;$C366,生产方式定位!$F$3:$J$38,2,FALSE),0)</f>
        <v>0</v>
      </c>
      <c r="S366" s="18">
        <f>IFERROR(VLOOKUP($D366&amp;$C366,生产方式定位!$A$2:$E$38,3,FALSE)+VLOOKUP($E366&amp;$C366,生产方式定位!$F$3:$J$38,3,FALSE),0)</f>
        <v>100</v>
      </c>
      <c r="X366" s="18">
        <f>IFERROR(VLOOKUP($D366&amp;$C366,生产方式定位!$A$2:$E$38,5,FALSE)+VLOOKUP($E366&amp;$C366,生产方式定位!$F$3:$J$38,5,FALSE),"错误")</f>
        <v>100</v>
      </c>
      <c r="Y366" s="27" t="str">
        <f t="shared" si="85"/>
        <v/>
      </c>
      <c r="Z366" s="50" t="str">
        <f t="shared" si="88"/>
        <v/>
      </c>
      <c r="AA366" s="50" t="str">
        <f t="shared" si="86"/>
        <v/>
      </c>
      <c r="AB366" s="28" t="str">
        <f t="shared" si="89"/>
        <v/>
      </c>
      <c r="AC366" s="1" t="str">
        <f t="shared" si="90"/>
        <v/>
      </c>
      <c r="AD366" s="52">
        <f t="shared" si="87"/>
        <v>8</v>
      </c>
      <c r="AE366" t="str">
        <f t="shared" si="91"/>
        <v/>
      </c>
      <c r="AF366" t="str">
        <f t="shared" si="92"/>
        <v/>
      </c>
      <c r="AG366" t="str">
        <f t="shared" si="93"/>
        <v/>
      </c>
      <c r="AH366" t="str">
        <f t="shared" si="94"/>
        <v/>
      </c>
      <c r="AI366" t="str">
        <f t="shared" si="95"/>
        <v/>
      </c>
      <c r="AJ366" t="str">
        <f t="shared" si="96"/>
        <v/>
      </c>
      <c r="AK366" t="str">
        <f t="shared" si="97"/>
        <v/>
      </c>
      <c r="AL366" t="str">
        <f t="shared" si="98"/>
        <v/>
      </c>
      <c r="AN366" t="str">
        <f>IFERROR(ROUND(L366*(G366/$AW366)/VLOOKUP(F366,商品!$A$4:$D$67,4,FALSE),0),"")</f>
        <v/>
      </c>
      <c r="AO366" t="str">
        <f>IFERROR(ROUND(L366*(I366/$AW366)/VLOOKUP(H366,商品!$A$4:$D$67,4,FALSE),0),"")</f>
        <v/>
      </c>
      <c r="AP366" t="str">
        <f>IFERROR(ROUND(L366*(K366/$AW366)/VLOOKUP(J366,商品!$A$4:$D$67,4,FALSE),0),"")</f>
        <v/>
      </c>
      <c r="AQ366" t="str">
        <f>IFERROR(ROUND(S366*(N366/$AX366)/VLOOKUP(M366,职业!$A$3:$E$16,4,FALSE),0),"")</f>
        <v/>
      </c>
      <c r="AR366" t="str">
        <f>IFERROR(ROUND(S366*(P366/$AX366)/VLOOKUP(O366,职业!$A$3:$E$16,4,FALSE),0),"")</f>
        <v/>
      </c>
      <c r="AS366" t="str">
        <f>IFERROR(ROUND(S366*(R366/$AX366)/VLOOKUP(Q366,职业!$A$3:$E$16,4,FALSE),0),"")</f>
        <v/>
      </c>
      <c r="AT366" t="str">
        <f>IFERROR(ROUND(X366*(U366/$AY366)/VLOOKUP(T366,商品!$A$4:$D$67,4,FALSE),0),"")</f>
        <v/>
      </c>
      <c r="AU366" t="str">
        <f>IFERROR(ROUND(X366*(W366/$AY366)/VLOOKUP(V366,商品!$A$4:$D$67,4,FALSE),0),"")</f>
        <v/>
      </c>
      <c r="AW366">
        <f t="shared" si="99"/>
        <v>0</v>
      </c>
      <c r="AX366">
        <f t="shared" si="100"/>
        <v>0</v>
      </c>
      <c r="AY366">
        <f t="shared" si="101"/>
        <v>0</v>
      </c>
    </row>
    <row r="367" customHeight="1" spans="1:51">
      <c r="A367" s="5" t="s">
        <v>353</v>
      </c>
      <c r="C367" s="5">
        <v>1</v>
      </c>
      <c r="D367" s="1" t="s">
        <v>238</v>
      </c>
      <c r="E367" s="1" t="s">
        <v>222</v>
      </c>
      <c r="L367" s="5">
        <f>IFERROR(VLOOKUP($D367&amp;$C367,生产方式定位!$A$2:$E$38,2,FALSE)+VLOOKUP($E367&amp;$C367,生产方式定位!$F$3:$J$38,2,FALSE),0)</f>
        <v>1000</v>
      </c>
      <c r="S367" s="5">
        <f>IFERROR(VLOOKUP($D367&amp;$C367,生产方式定位!$A$2:$E$38,3,FALSE)+VLOOKUP($E367&amp;$C367,生产方式定位!$F$3:$J$38,3,FALSE),0)</f>
        <v>80</v>
      </c>
      <c r="X367" s="5">
        <f>IFERROR(VLOOKUP($D367&amp;$C367,生产方式定位!$A$2:$E$38,5,FALSE)+VLOOKUP($E367&amp;$C367,生产方式定位!$F$3:$J$38,5,FALSE),"错误")</f>
        <v>972</v>
      </c>
      <c r="Y367" s="27" t="str">
        <f t="shared" si="85"/>
        <v/>
      </c>
      <c r="Z367" s="50" t="str">
        <f t="shared" si="88"/>
        <v/>
      </c>
      <c r="AA367" s="50" t="str">
        <f t="shared" si="86"/>
        <v/>
      </c>
      <c r="AB367" s="28" t="str">
        <f t="shared" si="89"/>
        <v>-3%</v>
      </c>
      <c r="AC367" s="1">
        <f t="shared" si="90"/>
        <v>-108</v>
      </c>
      <c r="AD367" s="51">
        <f t="shared" si="87"/>
        <v>1</v>
      </c>
      <c r="AE367" t="str">
        <f t="shared" si="91"/>
        <v/>
      </c>
      <c r="AF367" t="str">
        <f t="shared" si="92"/>
        <v/>
      </c>
      <c r="AG367" t="str">
        <f t="shared" si="93"/>
        <v/>
      </c>
      <c r="AH367" t="str">
        <f t="shared" si="94"/>
        <v/>
      </c>
      <c r="AI367" t="str">
        <f t="shared" si="95"/>
        <v/>
      </c>
      <c r="AJ367" t="str">
        <f t="shared" si="96"/>
        <v/>
      </c>
      <c r="AK367" t="str">
        <f t="shared" si="97"/>
        <v/>
      </c>
      <c r="AL367" t="str">
        <f t="shared" si="98"/>
        <v/>
      </c>
      <c r="AN367" t="str">
        <f>IFERROR(ROUND(L367*(G367/$AW367)/VLOOKUP(F367,商品!$A$4:$D$67,4,FALSE),0),"")</f>
        <v/>
      </c>
      <c r="AO367" t="str">
        <f>IFERROR(ROUND(L367*(I367/$AW367)/VLOOKUP(H367,商品!$A$4:$D$67,4,FALSE),0),"")</f>
        <v/>
      </c>
      <c r="AP367" t="str">
        <f>IFERROR(ROUND(L367*(K367/$AW367)/VLOOKUP(J367,商品!$A$4:$D$67,4,FALSE),0),"")</f>
        <v/>
      </c>
      <c r="AQ367" t="str">
        <f>IFERROR(ROUND(S367*(N367/$AX367)/VLOOKUP(M367,职业!$A$3:$E$16,4,FALSE),0),"")</f>
        <v/>
      </c>
      <c r="AR367" t="str">
        <f>IFERROR(ROUND(S367*(P367/$AX367)/VLOOKUP(O367,职业!$A$3:$E$16,4,FALSE),0),"")</f>
        <v/>
      </c>
      <c r="AS367" t="str">
        <f>IFERROR(ROUND(S367*(R367/$AX367)/VLOOKUP(Q367,职业!$A$3:$E$16,4,FALSE),0),"")</f>
        <v/>
      </c>
      <c r="AT367" t="str">
        <f>IFERROR(ROUND(X367*(U367/$AY367)/VLOOKUP(T367,商品!$A$4:$D$67,4,FALSE),0),"")</f>
        <v/>
      </c>
      <c r="AU367" t="str">
        <f>IFERROR(ROUND(X367*(W367/$AY367)/VLOOKUP(V367,商品!$A$4:$D$67,4,FALSE),0),"")</f>
        <v/>
      </c>
      <c r="AW367">
        <f t="shared" si="99"/>
        <v>0</v>
      </c>
      <c r="AX367">
        <f t="shared" si="100"/>
        <v>0</v>
      </c>
      <c r="AY367">
        <f t="shared" si="101"/>
        <v>0</v>
      </c>
    </row>
    <row r="368" customHeight="1" spans="1:51">
      <c r="A368" s="5" t="s">
        <v>353</v>
      </c>
      <c r="C368" s="5">
        <v>2</v>
      </c>
      <c r="D368" s="1" t="s">
        <v>238</v>
      </c>
      <c r="E368" s="1" t="s">
        <v>222</v>
      </c>
      <c r="L368" s="5">
        <f>IFERROR(VLOOKUP($D368&amp;$C368,生产方式定位!$A$2:$E$38,2,FALSE)+VLOOKUP($E368&amp;$C368,生产方式定位!$F$3:$J$38,2,FALSE),0)</f>
        <v>1400</v>
      </c>
      <c r="S368" s="5">
        <f>IFERROR(VLOOKUP($D368&amp;$C368,生产方式定位!$A$2:$E$38,3,FALSE)+VLOOKUP($E368&amp;$C368,生产方式定位!$F$3:$J$38,3,FALSE),0)</f>
        <v>85</v>
      </c>
      <c r="X368" s="5">
        <f>IFERROR(VLOOKUP($D368&amp;$C368,生产方式定位!$A$2:$E$38,5,FALSE)+VLOOKUP($E368&amp;$C368,生产方式定位!$F$3:$J$38,5,FALSE),"错误")</f>
        <v>1732</v>
      </c>
      <c r="Y368" s="27" t="str">
        <f t="shared" si="85"/>
        <v/>
      </c>
      <c r="Z368" s="50" t="str">
        <f t="shared" si="88"/>
        <v/>
      </c>
      <c r="AA368" s="50" t="str">
        <f t="shared" si="86"/>
        <v/>
      </c>
      <c r="AB368" s="28" t="str">
        <f t="shared" si="89"/>
        <v>24%</v>
      </c>
      <c r="AC368" s="1">
        <f t="shared" si="90"/>
        <v>247</v>
      </c>
      <c r="AD368" s="51">
        <f t="shared" si="87"/>
        <v>2</v>
      </c>
      <c r="AE368" t="str">
        <f t="shared" si="91"/>
        <v/>
      </c>
      <c r="AF368" t="str">
        <f t="shared" si="92"/>
        <v/>
      </c>
      <c r="AG368" t="str">
        <f t="shared" si="93"/>
        <v/>
      </c>
      <c r="AH368" t="str">
        <f t="shared" si="94"/>
        <v/>
      </c>
      <c r="AI368" t="str">
        <f t="shared" si="95"/>
        <v/>
      </c>
      <c r="AJ368" t="str">
        <f t="shared" si="96"/>
        <v/>
      </c>
      <c r="AK368" t="str">
        <f t="shared" si="97"/>
        <v/>
      </c>
      <c r="AL368" t="str">
        <f t="shared" si="98"/>
        <v/>
      </c>
      <c r="AN368" t="str">
        <f>IFERROR(ROUND(L368*(G368/$AW368)/VLOOKUP(F368,商品!$A$4:$D$67,4,FALSE),0),"")</f>
        <v/>
      </c>
      <c r="AO368" t="str">
        <f>IFERROR(ROUND(L368*(I368/$AW368)/VLOOKUP(H368,商品!$A$4:$D$67,4,FALSE),0),"")</f>
        <v/>
      </c>
      <c r="AP368" t="str">
        <f>IFERROR(ROUND(L368*(K368/$AW368)/VLOOKUP(J368,商品!$A$4:$D$67,4,FALSE),0),"")</f>
        <v/>
      </c>
      <c r="AQ368" t="str">
        <f>IFERROR(ROUND(S368*(N368/$AX368)/VLOOKUP(M368,职业!$A$3:$E$16,4,FALSE),0),"")</f>
        <v/>
      </c>
      <c r="AR368" t="str">
        <f>IFERROR(ROUND(S368*(P368/$AX368)/VLOOKUP(O368,职业!$A$3:$E$16,4,FALSE),0),"")</f>
        <v/>
      </c>
      <c r="AS368" t="str">
        <f>IFERROR(ROUND(S368*(R368/$AX368)/VLOOKUP(Q368,职业!$A$3:$E$16,4,FALSE),0),"")</f>
        <v/>
      </c>
      <c r="AT368" t="str">
        <f>IFERROR(ROUND(X368*(U368/$AY368)/VLOOKUP(T368,商品!$A$4:$D$67,4,FALSE),0),"")</f>
        <v/>
      </c>
      <c r="AU368" t="str">
        <f>IFERROR(ROUND(X368*(W368/$AY368)/VLOOKUP(V368,商品!$A$4:$D$67,4,FALSE),0),"")</f>
        <v/>
      </c>
      <c r="AW368">
        <f t="shared" si="99"/>
        <v>0</v>
      </c>
      <c r="AX368">
        <f t="shared" si="100"/>
        <v>0</v>
      </c>
      <c r="AY368">
        <f t="shared" si="101"/>
        <v>0</v>
      </c>
    </row>
    <row r="369" customHeight="1" spans="1:51">
      <c r="A369" s="5" t="s">
        <v>353</v>
      </c>
      <c r="C369" s="5">
        <v>3</v>
      </c>
      <c r="D369" s="1" t="s">
        <v>238</v>
      </c>
      <c r="E369" s="1" t="s">
        <v>222</v>
      </c>
      <c r="L369" s="5">
        <f>IFERROR(VLOOKUP($D369&amp;$C369,生产方式定位!$A$2:$E$38,2,FALSE)+VLOOKUP($E369&amp;$C369,生产方式定位!$F$3:$J$38,2,FALSE),0)</f>
        <v>1425</v>
      </c>
      <c r="S369" s="5">
        <f>IFERROR(VLOOKUP($D369&amp;$C369,生产方式定位!$A$2:$E$38,3,FALSE)+VLOOKUP($E369&amp;$C369,生产方式定位!$F$3:$J$38,3,FALSE),0)</f>
        <v>90</v>
      </c>
      <c r="X369" s="5">
        <f>IFERROR(VLOOKUP($D369&amp;$C369,生产方式定位!$A$2:$E$38,5,FALSE)+VLOOKUP($E369&amp;$C369,生产方式定位!$F$3:$J$38,5,FALSE),"错误")</f>
        <v>2112</v>
      </c>
      <c r="Y369" s="27" t="str">
        <f t="shared" si="85"/>
        <v/>
      </c>
      <c r="Z369" s="50" t="str">
        <f t="shared" si="88"/>
        <v/>
      </c>
      <c r="AA369" s="50" t="str">
        <f t="shared" si="86"/>
        <v/>
      </c>
      <c r="AB369" s="28" t="str">
        <f t="shared" si="89"/>
        <v>48%</v>
      </c>
      <c r="AC369" s="1">
        <f t="shared" si="90"/>
        <v>597</v>
      </c>
      <c r="AD369" s="51">
        <f t="shared" si="87"/>
        <v>3</v>
      </c>
      <c r="AE369" t="str">
        <f t="shared" si="91"/>
        <v/>
      </c>
      <c r="AF369" t="str">
        <f t="shared" si="92"/>
        <v/>
      </c>
      <c r="AG369" t="str">
        <f t="shared" si="93"/>
        <v/>
      </c>
      <c r="AH369" t="str">
        <f t="shared" si="94"/>
        <v/>
      </c>
      <c r="AI369" t="str">
        <f t="shared" si="95"/>
        <v/>
      </c>
      <c r="AJ369" t="str">
        <f t="shared" si="96"/>
        <v/>
      </c>
      <c r="AK369" t="str">
        <f t="shared" si="97"/>
        <v/>
      </c>
      <c r="AL369" t="str">
        <f t="shared" si="98"/>
        <v/>
      </c>
      <c r="AN369" t="str">
        <f>IFERROR(ROUND(L369*(G369/$AW369)/VLOOKUP(F369,商品!$A$4:$D$67,4,FALSE),0),"")</f>
        <v/>
      </c>
      <c r="AO369" t="str">
        <f>IFERROR(ROUND(L369*(I369/$AW369)/VLOOKUP(H369,商品!$A$4:$D$67,4,FALSE),0),"")</f>
        <v/>
      </c>
      <c r="AP369" t="str">
        <f>IFERROR(ROUND(L369*(K369/$AW369)/VLOOKUP(J369,商品!$A$4:$D$67,4,FALSE),0),"")</f>
        <v/>
      </c>
      <c r="AQ369" t="str">
        <f>IFERROR(ROUND(S369*(N369/$AX369)/VLOOKUP(M369,职业!$A$3:$E$16,4,FALSE),0),"")</f>
        <v/>
      </c>
      <c r="AR369" t="str">
        <f>IFERROR(ROUND(S369*(P369/$AX369)/VLOOKUP(O369,职业!$A$3:$E$16,4,FALSE),0),"")</f>
        <v/>
      </c>
      <c r="AS369" t="str">
        <f>IFERROR(ROUND(S369*(R369/$AX369)/VLOOKUP(Q369,职业!$A$3:$E$16,4,FALSE),0),"")</f>
        <v/>
      </c>
      <c r="AT369" t="str">
        <f>IFERROR(ROUND(X369*(U369/$AY369)/VLOOKUP(T369,商品!$A$4:$D$67,4,FALSE),0),"")</f>
        <v/>
      </c>
      <c r="AU369" t="str">
        <f>IFERROR(ROUND(X369*(W369/$AY369)/VLOOKUP(V369,商品!$A$4:$D$67,4,FALSE),0),"")</f>
        <v/>
      </c>
      <c r="AW369">
        <f t="shared" si="99"/>
        <v>0</v>
      </c>
      <c r="AX369">
        <f t="shared" si="100"/>
        <v>0</v>
      </c>
      <c r="AY369">
        <f t="shared" si="101"/>
        <v>0</v>
      </c>
    </row>
    <row r="370" customHeight="1" spans="1:51">
      <c r="A370" s="5" t="s">
        <v>353</v>
      </c>
      <c r="C370" s="5">
        <v>4</v>
      </c>
      <c r="D370" s="1" t="s">
        <v>238</v>
      </c>
      <c r="E370" s="1" t="s">
        <v>222</v>
      </c>
      <c r="L370" s="5">
        <f>IFERROR(VLOOKUP($D370&amp;$C370,生产方式定位!$A$2:$E$38,2,FALSE)+VLOOKUP($E370&amp;$C370,生产方式定位!$F$3:$J$38,2,FALSE),0)</f>
        <v>1450</v>
      </c>
      <c r="S370" s="5">
        <f>IFERROR(VLOOKUP($D370&amp;$C370,生产方式定位!$A$2:$E$38,3,FALSE)+VLOOKUP($E370&amp;$C370,生产方式定位!$F$3:$J$38,3,FALSE),0)</f>
        <v>95</v>
      </c>
      <c r="X370" s="5">
        <f>IFERROR(VLOOKUP($D370&amp;$C370,生产方式定位!$A$2:$E$38,5,FALSE)+VLOOKUP($E370&amp;$C370,生产方式定位!$F$3:$J$38,5,FALSE),"错误")</f>
        <v>2733</v>
      </c>
      <c r="Y370" s="27" t="str">
        <f t="shared" si="85"/>
        <v/>
      </c>
      <c r="Z370" s="50" t="str">
        <f t="shared" si="88"/>
        <v/>
      </c>
      <c r="AA370" s="50" t="str">
        <f t="shared" si="86"/>
        <v/>
      </c>
      <c r="AB370" s="28" t="str">
        <f t="shared" si="89"/>
        <v>88%</v>
      </c>
      <c r="AC370" s="1">
        <f t="shared" si="90"/>
        <v>1188</v>
      </c>
      <c r="AD370" s="51">
        <f t="shared" si="87"/>
        <v>4</v>
      </c>
      <c r="AE370" t="str">
        <f t="shared" si="91"/>
        <v/>
      </c>
      <c r="AF370" t="str">
        <f t="shared" si="92"/>
        <v/>
      </c>
      <c r="AG370" t="str">
        <f t="shared" si="93"/>
        <v/>
      </c>
      <c r="AH370" t="str">
        <f t="shared" si="94"/>
        <v/>
      </c>
      <c r="AI370" t="str">
        <f t="shared" si="95"/>
        <v/>
      </c>
      <c r="AJ370" t="str">
        <f t="shared" si="96"/>
        <v/>
      </c>
      <c r="AK370" t="str">
        <f t="shared" si="97"/>
        <v/>
      </c>
      <c r="AL370" t="str">
        <f t="shared" si="98"/>
        <v/>
      </c>
      <c r="AN370" t="str">
        <f>IFERROR(ROUND(L370*(G370/$AW370)/VLOOKUP(F370,商品!$A$4:$D$67,4,FALSE),0),"")</f>
        <v/>
      </c>
      <c r="AO370" t="str">
        <f>IFERROR(ROUND(L370*(I370/$AW370)/VLOOKUP(H370,商品!$A$4:$D$67,4,FALSE),0),"")</f>
        <v/>
      </c>
      <c r="AP370" t="str">
        <f>IFERROR(ROUND(L370*(K370/$AW370)/VLOOKUP(J370,商品!$A$4:$D$67,4,FALSE),0),"")</f>
        <v/>
      </c>
      <c r="AQ370" t="str">
        <f>IFERROR(ROUND(S370*(N370/$AX370)/VLOOKUP(M370,职业!$A$3:$E$16,4,FALSE),0),"")</f>
        <v/>
      </c>
      <c r="AR370" t="str">
        <f>IFERROR(ROUND(S370*(P370/$AX370)/VLOOKUP(O370,职业!$A$3:$E$16,4,FALSE),0),"")</f>
        <v/>
      </c>
      <c r="AS370" t="str">
        <f>IFERROR(ROUND(S370*(R370/$AX370)/VLOOKUP(Q370,职业!$A$3:$E$16,4,FALSE),0),"")</f>
        <v/>
      </c>
      <c r="AT370" t="str">
        <f>IFERROR(ROUND(X370*(U370/$AY370)/VLOOKUP(T370,商品!$A$4:$D$67,4,FALSE),0),"")</f>
        <v/>
      </c>
      <c r="AU370" t="str">
        <f>IFERROR(ROUND(X370*(W370/$AY370)/VLOOKUP(V370,商品!$A$4:$D$67,4,FALSE),0),"")</f>
        <v/>
      </c>
      <c r="AW370">
        <f t="shared" si="99"/>
        <v>0</v>
      </c>
      <c r="AX370">
        <f t="shared" si="100"/>
        <v>0</v>
      </c>
      <c r="AY370">
        <f t="shared" si="101"/>
        <v>0</v>
      </c>
    </row>
    <row r="371" customHeight="1" spans="1:51">
      <c r="A371" s="5" t="s">
        <v>353</v>
      </c>
      <c r="C371" s="5">
        <v>5</v>
      </c>
      <c r="D371" s="1" t="s">
        <v>238</v>
      </c>
      <c r="E371" s="1" t="s">
        <v>222</v>
      </c>
      <c r="L371" s="5">
        <f>IFERROR(VLOOKUP($D371&amp;$C371,生产方式定位!$A$2:$E$38,2,FALSE)+VLOOKUP($E371&amp;$C371,生产方式定位!$F$3:$J$38,2,FALSE),0)</f>
        <v>1475</v>
      </c>
      <c r="S371" s="5">
        <f>IFERROR(VLOOKUP($D371&amp;$C371,生产方式定位!$A$2:$E$38,3,FALSE)+VLOOKUP($E371&amp;$C371,生产方式定位!$F$3:$J$38,3,FALSE),0)</f>
        <v>100</v>
      </c>
      <c r="X371" s="5">
        <f>IFERROR(VLOOKUP($D371&amp;$C371,生产方式定位!$A$2:$E$38,5,FALSE)+VLOOKUP($E371&amp;$C371,生产方式定位!$F$3:$J$38,5,FALSE),"错误")</f>
        <v>3763</v>
      </c>
      <c r="Y371" s="27" t="str">
        <f t="shared" si="85"/>
        <v/>
      </c>
      <c r="Z371" s="50" t="str">
        <f t="shared" si="88"/>
        <v/>
      </c>
      <c r="AA371" s="50" t="str">
        <f t="shared" si="86"/>
        <v/>
      </c>
      <c r="AB371" s="28" t="str">
        <f t="shared" si="89"/>
        <v>155%</v>
      </c>
      <c r="AC371" s="1">
        <f t="shared" si="90"/>
        <v>2188</v>
      </c>
      <c r="AD371" s="51">
        <f t="shared" si="87"/>
        <v>5</v>
      </c>
      <c r="AE371" t="str">
        <f t="shared" si="91"/>
        <v/>
      </c>
      <c r="AF371" t="str">
        <f t="shared" si="92"/>
        <v/>
      </c>
      <c r="AG371" t="str">
        <f t="shared" si="93"/>
        <v/>
      </c>
      <c r="AH371" t="str">
        <f t="shared" si="94"/>
        <v/>
      </c>
      <c r="AI371" t="str">
        <f t="shared" si="95"/>
        <v/>
      </c>
      <c r="AJ371" t="str">
        <f t="shared" si="96"/>
        <v/>
      </c>
      <c r="AK371" t="str">
        <f t="shared" si="97"/>
        <v/>
      </c>
      <c r="AL371" t="str">
        <f t="shared" si="98"/>
        <v/>
      </c>
      <c r="AN371" t="str">
        <f>IFERROR(ROUND(L371*(G371/$AW371)/VLOOKUP(F371,商品!$A$4:$D$67,4,FALSE),0),"")</f>
        <v/>
      </c>
      <c r="AO371" t="str">
        <f>IFERROR(ROUND(L371*(I371/$AW371)/VLOOKUP(H371,商品!$A$4:$D$67,4,FALSE),0),"")</f>
        <v/>
      </c>
      <c r="AP371" t="str">
        <f>IFERROR(ROUND(L371*(K371/$AW371)/VLOOKUP(J371,商品!$A$4:$D$67,4,FALSE),0),"")</f>
        <v/>
      </c>
      <c r="AQ371" t="str">
        <f>IFERROR(ROUND(S371*(N371/$AX371)/VLOOKUP(M371,职业!$A$3:$E$16,4,FALSE),0),"")</f>
        <v/>
      </c>
      <c r="AR371" t="str">
        <f>IFERROR(ROUND(S371*(P371/$AX371)/VLOOKUP(O371,职业!$A$3:$E$16,4,FALSE),0),"")</f>
        <v/>
      </c>
      <c r="AS371" t="str">
        <f>IFERROR(ROUND(S371*(R371/$AX371)/VLOOKUP(Q371,职业!$A$3:$E$16,4,FALSE),0),"")</f>
        <v/>
      </c>
      <c r="AT371" t="str">
        <f>IFERROR(ROUND(X371*(U371/$AY371)/VLOOKUP(T371,商品!$A$4:$D$67,4,FALSE),0),"")</f>
        <v/>
      </c>
      <c r="AU371" t="str">
        <f>IFERROR(ROUND(X371*(W371/$AY371)/VLOOKUP(V371,商品!$A$4:$D$67,4,FALSE),0),"")</f>
        <v/>
      </c>
      <c r="AW371">
        <f t="shared" si="99"/>
        <v>0</v>
      </c>
      <c r="AX371">
        <f t="shared" si="100"/>
        <v>0</v>
      </c>
      <c r="AY371">
        <f t="shared" si="101"/>
        <v>0</v>
      </c>
    </row>
    <row r="372" customHeight="1" spans="1:51">
      <c r="A372" s="18" t="s">
        <v>354</v>
      </c>
      <c r="C372" s="18">
        <v>1</v>
      </c>
      <c r="D372" s="1" t="s">
        <v>238</v>
      </c>
      <c r="E372" s="1" t="s">
        <v>224</v>
      </c>
      <c r="L372" s="18">
        <f>IFERROR(VLOOKUP($D372&amp;$C372,生产方式定位!$A$2:$E$38,2,FALSE)+VLOOKUP($E372&amp;$C372,生产方式定位!$F$3:$J$38,2,FALSE),0)</f>
        <v>1000</v>
      </c>
      <c r="S372" s="18">
        <f>IFERROR(VLOOKUP($D372&amp;$C372,生产方式定位!$A$2:$E$38,3,FALSE)+VLOOKUP($E372&amp;$C372,生产方式定位!$F$3:$J$38,3,FALSE),0)</f>
        <v>80</v>
      </c>
      <c r="X372" s="18">
        <f>IFERROR(VLOOKUP($D372&amp;$C372,生产方式定位!$A$2:$E$38,5,FALSE)+VLOOKUP($E372&amp;$C372,生产方式定位!$F$3:$J$38,5,FALSE),"错误")</f>
        <v>972</v>
      </c>
      <c r="Y372" s="27" t="str">
        <f t="shared" si="85"/>
        <v/>
      </c>
      <c r="Z372" s="50" t="str">
        <f t="shared" si="88"/>
        <v/>
      </c>
      <c r="AA372" s="50" t="str">
        <f t="shared" si="86"/>
        <v/>
      </c>
      <c r="AB372" s="28" t="str">
        <f t="shared" si="89"/>
        <v>-3%</v>
      </c>
      <c r="AC372" s="1">
        <f t="shared" si="90"/>
        <v>-108</v>
      </c>
      <c r="AD372" s="52">
        <f t="shared" si="87"/>
        <v>1</v>
      </c>
      <c r="AE372" t="str">
        <f t="shared" si="91"/>
        <v/>
      </c>
      <c r="AF372" t="str">
        <f t="shared" si="92"/>
        <v/>
      </c>
      <c r="AG372" t="str">
        <f t="shared" si="93"/>
        <v/>
      </c>
      <c r="AH372" t="str">
        <f t="shared" si="94"/>
        <v/>
      </c>
      <c r="AI372" t="str">
        <f t="shared" si="95"/>
        <v/>
      </c>
      <c r="AJ372" t="str">
        <f t="shared" si="96"/>
        <v/>
      </c>
      <c r="AK372" t="str">
        <f t="shared" si="97"/>
        <v/>
      </c>
      <c r="AL372" t="str">
        <f t="shared" si="98"/>
        <v/>
      </c>
      <c r="AN372" t="str">
        <f>IFERROR(ROUND(L372*(G372/$AW372)/VLOOKUP(F372,商品!$A$4:$D$67,4,FALSE),0),"")</f>
        <v/>
      </c>
      <c r="AO372" t="str">
        <f>IFERROR(ROUND(L372*(I372/$AW372)/VLOOKUP(H372,商品!$A$4:$D$67,4,FALSE),0),"")</f>
        <v/>
      </c>
      <c r="AP372" t="str">
        <f>IFERROR(ROUND(L372*(K372/$AW372)/VLOOKUP(J372,商品!$A$4:$D$67,4,FALSE),0),"")</f>
        <v/>
      </c>
      <c r="AQ372" t="str">
        <f>IFERROR(ROUND(S372*(N372/$AX372)/VLOOKUP(M372,职业!$A$3:$E$16,4,FALSE),0),"")</f>
        <v/>
      </c>
      <c r="AR372" t="str">
        <f>IFERROR(ROUND(S372*(P372/$AX372)/VLOOKUP(O372,职业!$A$3:$E$16,4,FALSE),0),"")</f>
        <v/>
      </c>
      <c r="AS372" t="str">
        <f>IFERROR(ROUND(S372*(R372/$AX372)/VLOOKUP(Q372,职业!$A$3:$E$16,4,FALSE),0),"")</f>
        <v/>
      </c>
      <c r="AT372" t="str">
        <f>IFERROR(ROUND(X372*(U372/$AY372)/VLOOKUP(T372,商品!$A$4:$D$67,4,FALSE),0),"")</f>
        <v/>
      </c>
      <c r="AU372" t="str">
        <f>IFERROR(ROUND(X372*(W372/$AY372)/VLOOKUP(V372,商品!$A$4:$D$67,4,FALSE),0),"")</f>
        <v/>
      </c>
      <c r="AW372">
        <f t="shared" si="99"/>
        <v>0</v>
      </c>
      <c r="AX372">
        <f t="shared" si="100"/>
        <v>0</v>
      </c>
      <c r="AY372">
        <f t="shared" si="101"/>
        <v>0</v>
      </c>
    </row>
    <row r="373" customHeight="1" spans="1:51">
      <c r="A373" s="18" t="s">
        <v>354</v>
      </c>
      <c r="C373" s="18">
        <v>2</v>
      </c>
      <c r="D373" s="1" t="s">
        <v>238</v>
      </c>
      <c r="E373" s="1" t="s">
        <v>224</v>
      </c>
      <c r="L373" s="18">
        <f>IFERROR(VLOOKUP($D373&amp;$C373,生产方式定位!$A$2:$E$38,2,FALSE)+VLOOKUP($E373&amp;$C373,生产方式定位!$F$3:$J$38,2,FALSE),0)</f>
        <v>1400</v>
      </c>
      <c r="S373" s="18">
        <f>IFERROR(VLOOKUP($D373&amp;$C373,生产方式定位!$A$2:$E$38,3,FALSE)+VLOOKUP($E373&amp;$C373,生产方式定位!$F$3:$J$38,3,FALSE),0)</f>
        <v>45</v>
      </c>
      <c r="X373" s="18">
        <f>IFERROR(VLOOKUP($D373&amp;$C373,生产方式定位!$A$2:$E$38,5,FALSE)+VLOOKUP($E373&amp;$C373,生产方式定位!$F$3:$J$38,5,FALSE),"错误")</f>
        <v>1688</v>
      </c>
      <c r="Y373" s="27" t="str">
        <f t="shared" si="85"/>
        <v/>
      </c>
      <c r="Z373" s="50" t="str">
        <f t="shared" si="88"/>
        <v/>
      </c>
      <c r="AA373" s="50" t="str">
        <f t="shared" si="86"/>
        <v/>
      </c>
      <c r="AB373" s="28" t="str">
        <f t="shared" si="89"/>
        <v>21%</v>
      </c>
      <c r="AC373" s="1">
        <f t="shared" si="90"/>
        <v>243</v>
      </c>
      <c r="AD373" s="52">
        <f t="shared" si="87"/>
        <v>2</v>
      </c>
      <c r="AE373" t="str">
        <f t="shared" si="91"/>
        <v/>
      </c>
      <c r="AF373" t="str">
        <f t="shared" si="92"/>
        <v/>
      </c>
      <c r="AG373" t="str">
        <f t="shared" si="93"/>
        <v/>
      </c>
      <c r="AH373" t="str">
        <f t="shared" si="94"/>
        <v/>
      </c>
      <c r="AI373" t="str">
        <f t="shared" si="95"/>
        <v/>
      </c>
      <c r="AJ373" t="str">
        <f t="shared" si="96"/>
        <v/>
      </c>
      <c r="AK373" t="str">
        <f t="shared" si="97"/>
        <v/>
      </c>
      <c r="AL373" t="str">
        <f t="shared" si="98"/>
        <v/>
      </c>
      <c r="AN373" t="str">
        <f>IFERROR(ROUND(L373*(G373/$AW373)/VLOOKUP(F373,商品!$A$4:$D$67,4,FALSE),0),"")</f>
        <v/>
      </c>
      <c r="AO373" t="str">
        <f>IFERROR(ROUND(L373*(I373/$AW373)/VLOOKUP(H373,商品!$A$4:$D$67,4,FALSE),0),"")</f>
        <v/>
      </c>
      <c r="AP373" t="str">
        <f>IFERROR(ROUND(L373*(K373/$AW373)/VLOOKUP(J373,商品!$A$4:$D$67,4,FALSE),0),"")</f>
        <v/>
      </c>
      <c r="AQ373" t="str">
        <f>IFERROR(ROUND(S373*(N373/$AX373)/VLOOKUP(M373,职业!$A$3:$E$16,4,FALSE),0),"")</f>
        <v/>
      </c>
      <c r="AR373" t="str">
        <f>IFERROR(ROUND(S373*(P373/$AX373)/VLOOKUP(O373,职业!$A$3:$E$16,4,FALSE),0),"")</f>
        <v/>
      </c>
      <c r="AS373" t="str">
        <f>IFERROR(ROUND(S373*(R373/$AX373)/VLOOKUP(Q373,职业!$A$3:$E$16,4,FALSE),0),"")</f>
        <v/>
      </c>
      <c r="AT373" t="str">
        <f>IFERROR(ROUND(X373*(U373/$AY373)/VLOOKUP(T373,商品!$A$4:$D$67,4,FALSE),0),"")</f>
        <v/>
      </c>
      <c r="AU373" t="str">
        <f>IFERROR(ROUND(X373*(W373/$AY373)/VLOOKUP(V373,商品!$A$4:$D$67,4,FALSE),0),"")</f>
        <v/>
      </c>
      <c r="AW373">
        <f t="shared" si="99"/>
        <v>0</v>
      </c>
      <c r="AX373">
        <f t="shared" si="100"/>
        <v>0</v>
      </c>
      <c r="AY373">
        <f t="shared" si="101"/>
        <v>0</v>
      </c>
    </row>
    <row r="374" customHeight="1" spans="1:51">
      <c r="A374" s="18" t="s">
        <v>354</v>
      </c>
      <c r="C374" s="18">
        <v>3</v>
      </c>
      <c r="D374" s="1" t="s">
        <v>238</v>
      </c>
      <c r="E374" s="1" t="s">
        <v>224</v>
      </c>
      <c r="L374" s="18">
        <f>IFERROR(VLOOKUP($D374&amp;$C374,生产方式定位!$A$2:$E$38,2,FALSE)+VLOOKUP($E374&amp;$C374,生产方式定位!$F$3:$J$38,2,FALSE),0)</f>
        <v>1800</v>
      </c>
      <c r="S374" s="18">
        <f>IFERROR(VLOOKUP($D374&amp;$C374,生产方式定位!$A$2:$E$38,3,FALSE)+VLOOKUP($E374&amp;$C374,生产方式定位!$F$3:$J$38,3,FALSE),0)</f>
        <v>30</v>
      </c>
      <c r="X374" s="18">
        <f>IFERROR(VLOOKUP($D374&amp;$C374,生产方式定位!$A$2:$E$38,5,FALSE)+VLOOKUP($E374&amp;$C374,生产方式定位!$F$3:$J$38,5,FALSE),"错误")</f>
        <v>2458</v>
      </c>
      <c r="Y374" s="27" t="str">
        <f t="shared" si="85"/>
        <v/>
      </c>
      <c r="Z374" s="50" t="str">
        <f t="shared" si="88"/>
        <v/>
      </c>
      <c r="AA374" s="50" t="str">
        <f t="shared" si="86"/>
        <v/>
      </c>
      <c r="AB374" s="28" t="str">
        <f t="shared" si="89"/>
        <v>37%</v>
      </c>
      <c r="AC374" s="1">
        <f t="shared" si="90"/>
        <v>628</v>
      </c>
      <c r="AD374" s="52">
        <f t="shared" si="87"/>
        <v>3</v>
      </c>
      <c r="AE374" t="str">
        <f t="shared" si="91"/>
        <v/>
      </c>
      <c r="AF374" t="str">
        <f t="shared" si="92"/>
        <v/>
      </c>
      <c r="AG374" t="str">
        <f t="shared" si="93"/>
        <v/>
      </c>
      <c r="AH374" t="str">
        <f t="shared" si="94"/>
        <v/>
      </c>
      <c r="AI374" t="str">
        <f t="shared" si="95"/>
        <v/>
      </c>
      <c r="AJ374" t="str">
        <f t="shared" si="96"/>
        <v/>
      </c>
      <c r="AK374" t="str">
        <f t="shared" si="97"/>
        <v/>
      </c>
      <c r="AL374" t="str">
        <f t="shared" si="98"/>
        <v/>
      </c>
      <c r="AN374" t="str">
        <f>IFERROR(ROUND(L374*(G374/$AW374)/VLOOKUP(F374,商品!$A$4:$D$67,4,FALSE),0),"")</f>
        <v/>
      </c>
      <c r="AO374" t="str">
        <f>IFERROR(ROUND(L374*(I374/$AW374)/VLOOKUP(H374,商品!$A$4:$D$67,4,FALSE),0),"")</f>
        <v/>
      </c>
      <c r="AP374" t="str">
        <f>IFERROR(ROUND(L374*(K374/$AW374)/VLOOKUP(J374,商品!$A$4:$D$67,4,FALSE),0),"")</f>
        <v/>
      </c>
      <c r="AQ374" t="str">
        <f>IFERROR(ROUND(S374*(N374/$AX374)/VLOOKUP(M374,职业!$A$3:$E$16,4,FALSE),0),"")</f>
        <v/>
      </c>
      <c r="AR374" t="str">
        <f>IFERROR(ROUND(S374*(P374/$AX374)/VLOOKUP(O374,职业!$A$3:$E$16,4,FALSE),0),"")</f>
        <v/>
      </c>
      <c r="AS374" t="str">
        <f>IFERROR(ROUND(S374*(R374/$AX374)/VLOOKUP(Q374,职业!$A$3:$E$16,4,FALSE),0),"")</f>
        <v/>
      </c>
      <c r="AT374" t="str">
        <f>IFERROR(ROUND(X374*(U374/$AY374)/VLOOKUP(T374,商品!$A$4:$D$67,4,FALSE),0),"")</f>
        <v/>
      </c>
      <c r="AU374" t="str">
        <f>IFERROR(ROUND(X374*(W374/$AY374)/VLOOKUP(V374,商品!$A$4:$D$67,4,FALSE),0),"")</f>
        <v/>
      </c>
      <c r="AW374">
        <f t="shared" si="99"/>
        <v>0</v>
      </c>
      <c r="AX374">
        <f t="shared" si="100"/>
        <v>0</v>
      </c>
      <c r="AY374">
        <f t="shared" si="101"/>
        <v>0</v>
      </c>
    </row>
    <row r="375" customHeight="1" spans="1:51">
      <c r="A375" s="18" t="s">
        <v>354</v>
      </c>
      <c r="C375" s="18">
        <v>4</v>
      </c>
      <c r="D375" s="1" t="s">
        <v>238</v>
      </c>
      <c r="E375" s="1" t="s">
        <v>224</v>
      </c>
      <c r="L375" s="18">
        <f>IFERROR(VLOOKUP($D375&amp;$C375,生产方式定位!$A$2:$E$38,2,FALSE)+VLOOKUP($E375&amp;$C375,生产方式定位!$F$3:$J$38,2,FALSE),0)</f>
        <v>2200</v>
      </c>
      <c r="S375" s="18">
        <f>IFERROR(VLOOKUP($D375&amp;$C375,生产方式定位!$A$2:$E$38,3,FALSE)+VLOOKUP($E375&amp;$C375,生产方式定位!$F$3:$J$38,3,FALSE),0)</f>
        <v>15</v>
      </c>
      <c r="X375" s="18">
        <f>IFERROR(VLOOKUP($D375&amp;$C375,生产方式定位!$A$2:$E$38,5,FALSE)+VLOOKUP($E375&amp;$C375,生产方式定位!$F$3:$J$38,5,FALSE),"错误")</f>
        <v>3470</v>
      </c>
      <c r="Y375" s="27" t="str">
        <f t="shared" si="85"/>
        <v/>
      </c>
      <c r="Z375" s="50" t="str">
        <f t="shared" si="88"/>
        <v/>
      </c>
      <c r="AA375" s="50" t="str">
        <f t="shared" si="86"/>
        <v/>
      </c>
      <c r="AB375" s="28" t="str">
        <f t="shared" si="89"/>
        <v>58%</v>
      </c>
      <c r="AC375" s="1">
        <f t="shared" si="90"/>
        <v>1255</v>
      </c>
      <c r="AD375" s="52">
        <f t="shared" si="87"/>
        <v>4</v>
      </c>
      <c r="AE375" t="str">
        <f t="shared" si="91"/>
        <v/>
      </c>
      <c r="AF375" t="str">
        <f t="shared" si="92"/>
        <v/>
      </c>
      <c r="AG375" t="str">
        <f t="shared" si="93"/>
        <v/>
      </c>
      <c r="AH375" t="str">
        <f t="shared" si="94"/>
        <v/>
      </c>
      <c r="AI375" t="str">
        <f t="shared" si="95"/>
        <v/>
      </c>
      <c r="AJ375" t="str">
        <f t="shared" si="96"/>
        <v/>
      </c>
      <c r="AK375" t="str">
        <f t="shared" si="97"/>
        <v/>
      </c>
      <c r="AL375" t="str">
        <f t="shared" si="98"/>
        <v/>
      </c>
      <c r="AN375" t="str">
        <f>IFERROR(ROUND(L375*(G375/$AW375)/VLOOKUP(F375,商品!$A$4:$D$67,4,FALSE),0),"")</f>
        <v/>
      </c>
      <c r="AO375" t="str">
        <f>IFERROR(ROUND(L375*(I375/$AW375)/VLOOKUP(H375,商品!$A$4:$D$67,4,FALSE),0),"")</f>
        <v/>
      </c>
      <c r="AP375" t="str">
        <f>IFERROR(ROUND(L375*(K375/$AW375)/VLOOKUP(J375,商品!$A$4:$D$67,4,FALSE),0),"")</f>
        <v/>
      </c>
      <c r="AQ375" t="str">
        <f>IFERROR(ROUND(S375*(N375/$AX375)/VLOOKUP(M375,职业!$A$3:$E$16,4,FALSE),0),"")</f>
        <v/>
      </c>
      <c r="AR375" t="str">
        <f>IFERROR(ROUND(S375*(P375/$AX375)/VLOOKUP(O375,职业!$A$3:$E$16,4,FALSE),0),"")</f>
        <v/>
      </c>
      <c r="AS375" t="str">
        <f>IFERROR(ROUND(S375*(R375/$AX375)/VLOOKUP(Q375,职业!$A$3:$E$16,4,FALSE),0),"")</f>
        <v/>
      </c>
      <c r="AT375" t="str">
        <f>IFERROR(ROUND(X375*(U375/$AY375)/VLOOKUP(T375,商品!$A$4:$D$67,4,FALSE),0),"")</f>
        <v/>
      </c>
      <c r="AU375" t="str">
        <f>IFERROR(ROUND(X375*(W375/$AY375)/VLOOKUP(V375,商品!$A$4:$D$67,4,FALSE),0),"")</f>
        <v/>
      </c>
      <c r="AW375">
        <f t="shared" si="99"/>
        <v>0</v>
      </c>
      <c r="AX375">
        <f t="shared" si="100"/>
        <v>0</v>
      </c>
      <c r="AY375">
        <f t="shared" si="101"/>
        <v>0</v>
      </c>
    </row>
    <row r="376" customHeight="1" spans="1:51">
      <c r="A376" s="18" t="s">
        <v>354</v>
      </c>
      <c r="C376" s="18">
        <v>5</v>
      </c>
      <c r="D376" s="1" t="s">
        <v>238</v>
      </c>
      <c r="E376" s="1" t="s">
        <v>224</v>
      </c>
      <c r="L376" s="18">
        <f>IFERROR(VLOOKUP($D376&amp;$C376,生产方式定位!$A$2:$E$38,2,FALSE)+VLOOKUP($E376&amp;$C376,生产方式定位!$F$3:$J$38,2,FALSE),0)</f>
        <v>2600</v>
      </c>
      <c r="S376" s="18">
        <f>IFERROR(VLOOKUP($D376&amp;$C376,生产方式定位!$A$2:$E$38,3,FALSE)+VLOOKUP($E376&amp;$C376,生产方式定位!$F$3:$J$38,3,FALSE),0)</f>
        <v>0</v>
      </c>
      <c r="X376" s="18">
        <f>IFERROR(VLOOKUP($D376&amp;$C376,生产方式定位!$A$2:$E$38,5,FALSE)+VLOOKUP($E376&amp;$C376,生产方式定位!$F$3:$J$38,5,FALSE),"错误")</f>
        <v>4890</v>
      </c>
      <c r="Y376" s="27" t="str">
        <f t="shared" si="85"/>
        <v/>
      </c>
      <c r="Z376" s="50" t="str">
        <f t="shared" si="88"/>
        <v/>
      </c>
      <c r="AA376" s="50" t="str">
        <f t="shared" si="86"/>
        <v/>
      </c>
      <c r="AB376" s="28" t="str">
        <f t="shared" si="89"/>
        <v>88%</v>
      </c>
      <c r="AC376" s="1">
        <f t="shared" si="90"/>
        <v>2290</v>
      </c>
      <c r="AD376" s="52">
        <f t="shared" si="87"/>
        <v>5</v>
      </c>
      <c r="AE376" t="str">
        <f t="shared" si="91"/>
        <v/>
      </c>
      <c r="AF376" t="str">
        <f t="shared" si="92"/>
        <v/>
      </c>
      <c r="AG376" t="str">
        <f t="shared" si="93"/>
        <v/>
      </c>
      <c r="AH376" t="str">
        <f t="shared" si="94"/>
        <v/>
      </c>
      <c r="AI376" t="str">
        <f t="shared" si="95"/>
        <v/>
      </c>
      <c r="AJ376" t="str">
        <f t="shared" si="96"/>
        <v/>
      </c>
      <c r="AK376" t="str">
        <f t="shared" si="97"/>
        <v/>
      </c>
      <c r="AL376" t="str">
        <f t="shared" si="98"/>
        <v/>
      </c>
      <c r="AN376" t="str">
        <f>IFERROR(ROUND(L376*(G376/$AW376)/VLOOKUP(F376,商品!$A$4:$D$67,4,FALSE),0),"")</f>
        <v/>
      </c>
      <c r="AO376" t="str">
        <f>IFERROR(ROUND(L376*(I376/$AW376)/VLOOKUP(H376,商品!$A$4:$D$67,4,FALSE),0),"")</f>
        <v/>
      </c>
      <c r="AP376" t="str">
        <f>IFERROR(ROUND(L376*(K376/$AW376)/VLOOKUP(J376,商品!$A$4:$D$67,4,FALSE),0),"")</f>
        <v/>
      </c>
      <c r="AQ376" t="str">
        <f>IFERROR(ROUND(S376*(N376/$AX376)/VLOOKUP(M376,职业!$A$3:$E$16,4,FALSE),0),"")</f>
        <v/>
      </c>
      <c r="AR376" t="str">
        <f>IFERROR(ROUND(S376*(P376/$AX376)/VLOOKUP(O376,职业!$A$3:$E$16,4,FALSE),0),"")</f>
        <v/>
      </c>
      <c r="AS376" t="str">
        <f>IFERROR(ROUND(S376*(R376/$AX376)/VLOOKUP(Q376,职业!$A$3:$E$16,4,FALSE),0),"")</f>
        <v/>
      </c>
      <c r="AT376" t="str">
        <f>IFERROR(ROUND(X376*(U376/$AY376)/VLOOKUP(T376,商品!$A$4:$D$67,4,FALSE),0),"")</f>
        <v/>
      </c>
      <c r="AU376" t="str">
        <f>IFERROR(ROUND(X376*(W376/$AY376)/VLOOKUP(V376,商品!$A$4:$D$67,4,FALSE),0),"")</f>
        <v/>
      </c>
      <c r="AW376">
        <f t="shared" si="99"/>
        <v>0</v>
      </c>
      <c r="AX376">
        <f t="shared" si="100"/>
        <v>0</v>
      </c>
      <c r="AY376">
        <f t="shared" si="101"/>
        <v>0</v>
      </c>
    </row>
    <row r="377" customHeight="1" spans="1:51">
      <c r="A377" s="5" t="s">
        <v>354</v>
      </c>
      <c r="C377" s="5">
        <v>1</v>
      </c>
      <c r="D377" s="1" t="s">
        <v>238</v>
      </c>
      <c r="E377" s="1" t="s">
        <v>224</v>
      </c>
      <c r="L377" s="5">
        <f>IFERROR(VLOOKUP($D377&amp;$C377,生产方式定位!$A$2:$E$38,2,FALSE)+VLOOKUP($E377&amp;$C377,生产方式定位!$F$3:$J$38,2,FALSE),0)</f>
        <v>1000</v>
      </c>
      <c r="S377" s="5">
        <f>IFERROR(VLOOKUP($D377&amp;$C377,生产方式定位!$A$2:$E$38,3,FALSE)+VLOOKUP($E377&amp;$C377,生产方式定位!$F$3:$J$38,3,FALSE),0)</f>
        <v>80</v>
      </c>
      <c r="X377" s="5">
        <f>IFERROR(VLOOKUP($D377&amp;$C377,生产方式定位!$A$2:$E$38,5,FALSE)+VLOOKUP($E377&amp;$C377,生产方式定位!$F$3:$J$38,5,FALSE),"错误")</f>
        <v>972</v>
      </c>
      <c r="Y377" s="27" t="str">
        <f t="shared" si="85"/>
        <v/>
      </c>
      <c r="Z377" s="50" t="str">
        <f t="shared" si="88"/>
        <v/>
      </c>
      <c r="AA377" s="50" t="str">
        <f t="shared" si="86"/>
        <v/>
      </c>
      <c r="AB377" s="28" t="str">
        <f t="shared" si="89"/>
        <v>-3%</v>
      </c>
      <c r="AC377" s="1">
        <f t="shared" si="90"/>
        <v>-108</v>
      </c>
      <c r="AD377" s="51">
        <f t="shared" si="87"/>
        <v>1</v>
      </c>
      <c r="AE377" t="str">
        <f t="shared" si="91"/>
        <v/>
      </c>
      <c r="AF377" t="str">
        <f t="shared" si="92"/>
        <v/>
      </c>
      <c r="AG377" t="str">
        <f t="shared" si="93"/>
        <v/>
      </c>
      <c r="AH377" t="str">
        <f t="shared" si="94"/>
        <v/>
      </c>
      <c r="AI377" t="str">
        <f t="shared" si="95"/>
        <v/>
      </c>
      <c r="AJ377" t="str">
        <f t="shared" si="96"/>
        <v/>
      </c>
      <c r="AK377" t="str">
        <f t="shared" si="97"/>
        <v/>
      </c>
      <c r="AL377" t="str">
        <f t="shared" si="98"/>
        <v/>
      </c>
      <c r="AN377" t="str">
        <f>IFERROR(ROUND(L377*(G377/$AW377)/VLOOKUP(F377,商品!$A$4:$D$67,4,FALSE),0),"")</f>
        <v/>
      </c>
      <c r="AO377" t="str">
        <f>IFERROR(ROUND(L377*(I377/$AW377)/VLOOKUP(H377,商品!$A$4:$D$67,4,FALSE),0),"")</f>
        <v/>
      </c>
      <c r="AP377" t="str">
        <f>IFERROR(ROUND(L377*(K377/$AW377)/VLOOKUP(J377,商品!$A$4:$D$67,4,FALSE),0),"")</f>
        <v/>
      </c>
      <c r="AQ377" t="str">
        <f>IFERROR(ROUND(S377*(N377/$AX377)/VLOOKUP(M377,职业!$A$3:$E$16,4,FALSE),0),"")</f>
        <v/>
      </c>
      <c r="AR377" t="str">
        <f>IFERROR(ROUND(S377*(P377/$AX377)/VLOOKUP(O377,职业!$A$3:$E$16,4,FALSE),0),"")</f>
        <v/>
      </c>
      <c r="AS377" t="str">
        <f>IFERROR(ROUND(S377*(R377/$AX377)/VLOOKUP(Q377,职业!$A$3:$E$16,4,FALSE),0),"")</f>
        <v/>
      </c>
      <c r="AT377" t="str">
        <f>IFERROR(ROUND(X377*(U377/$AY377)/VLOOKUP(T377,商品!$A$4:$D$67,4,FALSE),0),"")</f>
        <v/>
      </c>
      <c r="AU377" t="str">
        <f>IFERROR(ROUND(X377*(W377/$AY377)/VLOOKUP(V377,商品!$A$4:$D$67,4,FALSE),0),"")</f>
        <v/>
      </c>
      <c r="AW377">
        <f t="shared" si="99"/>
        <v>0</v>
      </c>
      <c r="AX377">
        <f t="shared" si="100"/>
        <v>0</v>
      </c>
      <c r="AY377">
        <f t="shared" si="101"/>
        <v>0</v>
      </c>
    </row>
    <row r="378" customHeight="1" spans="1:51">
      <c r="A378" s="5" t="s">
        <v>354</v>
      </c>
      <c r="C378" s="5">
        <v>2</v>
      </c>
      <c r="D378" s="1" t="s">
        <v>238</v>
      </c>
      <c r="E378" s="1" t="s">
        <v>224</v>
      </c>
      <c r="L378" s="5">
        <f>IFERROR(VLOOKUP($D378&amp;$C378,生产方式定位!$A$2:$E$38,2,FALSE)+VLOOKUP($E378&amp;$C378,生产方式定位!$F$3:$J$38,2,FALSE),0)</f>
        <v>1400</v>
      </c>
      <c r="S378" s="5">
        <f>IFERROR(VLOOKUP($D378&amp;$C378,生产方式定位!$A$2:$E$38,3,FALSE)+VLOOKUP($E378&amp;$C378,生产方式定位!$F$3:$J$38,3,FALSE),0)</f>
        <v>45</v>
      </c>
      <c r="X378" s="5">
        <f>IFERROR(VLOOKUP($D378&amp;$C378,生产方式定位!$A$2:$E$38,5,FALSE)+VLOOKUP($E378&amp;$C378,生产方式定位!$F$3:$J$38,5,FALSE),"错误")</f>
        <v>1688</v>
      </c>
      <c r="Y378" s="27" t="str">
        <f t="shared" si="85"/>
        <v/>
      </c>
      <c r="Z378" s="50" t="str">
        <f t="shared" si="88"/>
        <v/>
      </c>
      <c r="AA378" s="50" t="str">
        <f t="shared" si="86"/>
        <v/>
      </c>
      <c r="AB378" s="28" t="str">
        <f t="shared" si="89"/>
        <v>21%</v>
      </c>
      <c r="AC378" s="1">
        <f t="shared" si="90"/>
        <v>243</v>
      </c>
      <c r="AD378" s="51">
        <f t="shared" si="87"/>
        <v>2</v>
      </c>
      <c r="AE378" t="str">
        <f t="shared" si="91"/>
        <v/>
      </c>
      <c r="AF378" t="str">
        <f t="shared" si="92"/>
        <v/>
      </c>
      <c r="AG378" t="str">
        <f t="shared" si="93"/>
        <v/>
      </c>
      <c r="AH378" t="str">
        <f t="shared" si="94"/>
        <v/>
      </c>
      <c r="AI378" t="str">
        <f t="shared" si="95"/>
        <v/>
      </c>
      <c r="AJ378" t="str">
        <f t="shared" si="96"/>
        <v/>
      </c>
      <c r="AK378" t="str">
        <f t="shared" si="97"/>
        <v/>
      </c>
      <c r="AL378" t="str">
        <f t="shared" si="98"/>
        <v/>
      </c>
      <c r="AN378" t="str">
        <f>IFERROR(ROUND(L378*(G378/$AW378)/VLOOKUP(F378,商品!$A$4:$D$67,4,FALSE),0),"")</f>
        <v/>
      </c>
      <c r="AO378" t="str">
        <f>IFERROR(ROUND(L378*(I378/$AW378)/VLOOKUP(H378,商品!$A$4:$D$67,4,FALSE),0),"")</f>
        <v/>
      </c>
      <c r="AP378" t="str">
        <f>IFERROR(ROUND(L378*(K378/$AW378)/VLOOKUP(J378,商品!$A$4:$D$67,4,FALSE),0),"")</f>
        <v/>
      </c>
      <c r="AQ378" t="str">
        <f>IFERROR(ROUND(S378*(N378/$AX378)/VLOOKUP(M378,职业!$A$3:$E$16,4,FALSE),0),"")</f>
        <v/>
      </c>
      <c r="AR378" t="str">
        <f>IFERROR(ROUND(S378*(P378/$AX378)/VLOOKUP(O378,职业!$A$3:$E$16,4,FALSE),0),"")</f>
        <v/>
      </c>
      <c r="AS378" t="str">
        <f>IFERROR(ROUND(S378*(R378/$AX378)/VLOOKUP(Q378,职业!$A$3:$E$16,4,FALSE),0),"")</f>
        <v/>
      </c>
      <c r="AT378" t="str">
        <f>IFERROR(ROUND(X378*(U378/$AY378)/VLOOKUP(T378,商品!$A$4:$D$67,4,FALSE),0),"")</f>
        <v/>
      </c>
      <c r="AU378" t="str">
        <f>IFERROR(ROUND(X378*(W378/$AY378)/VLOOKUP(V378,商品!$A$4:$D$67,4,FALSE),0),"")</f>
        <v/>
      </c>
      <c r="AW378">
        <f t="shared" si="99"/>
        <v>0</v>
      </c>
      <c r="AX378">
        <f t="shared" si="100"/>
        <v>0</v>
      </c>
      <c r="AY378">
        <f t="shared" si="101"/>
        <v>0</v>
      </c>
    </row>
    <row r="379" customHeight="1" spans="1:51">
      <c r="A379" s="5" t="s">
        <v>354</v>
      </c>
      <c r="C379" s="5">
        <v>3</v>
      </c>
      <c r="D379" s="1" t="s">
        <v>238</v>
      </c>
      <c r="E379" s="1" t="s">
        <v>224</v>
      </c>
      <c r="L379" s="5">
        <f>IFERROR(VLOOKUP($D379&amp;$C379,生产方式定位!$A$2:$E$38,2,FALSE)+VLOOKUP($E379&amp;$C379,生产方式定位!$F$3:$J$38,2,FALSE),0)</f>
        <v>1800</v>
      </c>
      <c r="S379" s="5">
        <f>IFERROR(VLOOKUP($D379&amp;$C379,生产方式定位!$A$2:$E$38,3,FALSE)+VLOOKUP($E379&amp;$C379,生产方式定位!$F$3:$J$38,3,FALSE),0)</f>
        <v>30</v>
      </c>
      <c r="X379" s="5">
        <f>IFERROR(VLOOKUP($D379&amp;$C379,生产方式定位!$A$2:$E$38,5,FALSE)+VLOOKUP($E379&amp;$C379,生产方式定位!$F$3:$J$38,5,FALSE),"错误")</f>
        <v>2458</v>
      </c>
      <c r="Y379" s="27" t="str">
        <f t="shared" si="85"/>
        <v/>
      </c>
      <c r="Z379" s="50" t="str">
        <f t="shared" si="88"/>
        <v/>
      </c>
      <c r="AA379" s="50" t="str">
        <f t="shared" si="86"/>
        <v/>
      </c>
      <c r="AB379" s="28" t="str">
        <f t="shared" si="89"/>
        <v>37%</v>
      </c>
      <c r="AC379" s="1">
        <f t="shared" si="90"/>
        <v>628</v>
      </c>
      <c r="AD379" s="51">
        <f t="shared" si="87"/>
        <v>3</v>
      </c>
      <c r="AE379" t="str">
        <f t="shared" si="91"/>
        <v/>
      </c>
      <c r="AF379" t="str">
        <f t="shared" si="92"/>
        <v/>
      </c>
      <c r="AG379" t="str">
        <f t="shared" si="93"/>
        <v/>
      </c>
      <c r="AH379" t="str">
        <f t="shared" si="94"/>
        <v/>
      </c>
      <c r="AI379" t="str">
        <f t="shared" si="95"/>
        <v/>
      </c>
      <c r="AJ379" t="str">
        <f t="shared" si="96"/>
        <v/>
      </c>
      <c r="AK379" t="str">
        <f t="shared" si="97"/>
        <v/>
      </c>
      <c r="AL379" t="str">
        <f t="shared" si="98"/>
        <v/>
      </c>
      <c r="AN379" t="str">
        <f>IFERROR(ROUND(L379*(G379/$AW379)/VLOOKUP(F379,商品!$A$4:$D$67,4,FALSE),0),"")</f>
        <v/>
      </c>
      <c r="AO379" t="str">
        <f>IFERROR(ROUND(L379*(I379/$AW379)/VLOOKUP(H379,商品!$A$4:$D$67,4,FALSE),0),"")</f>
        <v/>
      </c>
      <c r="AP379" t="str">
        <f>IFERROR(ROUND(L379*(K379/$AW379)/VLOOKUP(J379,商品!$A$4:$D$67,4,FALSE),0),"")</f>
        <v/>
      </c>
      <c r="AQ379" t="str">
        <f>IFERROR(ROUND(S379*(N379/$AX379)/VLOOKUP(M379,职业!$A$3:$E$16,4,FALSE),0),"")</f>
        <v/>
      </c>
      <c r="AR379" t="str">
        <f>IFERROR(ROUND(S379*(P379/$AX379)/VLOOKUP(O379,职业!$A$3:$E$16,4,FALSE),0),"")</f>
        <v/>
      </c>
      <c r="AS379" t="str">
        <f>IFERROR(ROUND(S379*(R379/$AX379)/VLOOKUP(Q379,职业!$A$3:$E$16,4,FALSE),0),"")</f>
        <v/>
      </c>
      <c r="AT379" t="str">
        <f>IFERROR(ROUND(X379*(U379/$AY379)/VLOOKUP(T379,商品!$A$4:$D$67,4,FALSE),0),"")</f>
        <v/>
      </c>
      <c r="AU379" t="str">
        <f>IFERROR(ROUND(X379*(W379/$AY379)/VLOOKUP(V379,商品!$A$4:$D$67,4,FALSE),0),"")</f>
        <v/>
      </c>
      <c r="AW379">
        <f t="shared" si="99"/>
        <v>0</v>
      </c>
      <c r="AX379">
        <f t="shared" si="100"/>
        <v>0</v>
      </c>
      <c r="AY379">
        <f t="shared" si="101"/>
        <v>0</v>
      </c>
    </row>
    <row r="380" customHeight="1" spans="1:51">
      <c r="A380" s="5" t="s">
        <v>354</v>
      </c>
      <c r="C380" s="5">
        <v>4</v>
      </c>
      <c r="D380" s="1" t="s">
        <v>238</v>
      </c>
      <c r="E380" s="1" t="s">
        <v>224</v>
      </c>
      <c r="L380" s="5">
        <f>IFERROR(VLOOKUP($D380&amp;$C380,生产方式定位!$A$2:$E$38,2,FALSE)+VLOOKUP($E380&amp;$C380,生产方式定位!$F$3:$J$38,2,FALSE),0)</f>
        <v>2200</v>
      </c>
      <c r="S380" s="5">
        <f>IFERROR(VLOOKUP($D380&amp;$C380,生产方式定位!$A$2:$E$38,3,FALSE)+VLOOKUP($E380&amp;$C380,生产方式定位!$F$3:$J$38,3,FALSE),0)</f>
        <v>15</v>
      </c>
      <c r="X380" s="5">
        <f>IFERROR(VLOOKUP($D380&amp;$C380,生产方式定位!$A$2:$E$38,5,FALSE)+VLOOKUP($E380&amp;$C380,生产方式定位!$F$3:$J$38,5,FALSE),"错误")</f>
        <v>3470</v>
      </c>
      <c r="Y380" s="27" t="str">
        <f t="shared" si="85"/>
        <v/>
      </c>
      <c r="Z380" s="50" t="str">
        <f t="shared" si="88"/>
        <v/>
      </c>
      <c r="AA380" s="50" t="str">
        <f t="shared" si="86"/>
        <v/>
      </c>
      <c r="AB380" s="28" t="str">
        <f t="shared" si="89"/>
        <v>58%</v>
      </c>
      <c r="AC380" s="1">
        <f t="shared" si="90"/>
        <v>1255</v>
      </c>
      <c r="AD380" s="51">
        <f t="shared" si="87"/>
        <v>4</v>
      </c>
      <c r="AE380" t="str">
        <f t="shared" si="91"/>
        <v/>
      </c>
      <c r="AF380" t="str">
        <f t="shared" si="92"/>
        <v/>
      </c>
      <c r="AG380" t="str">
        <f t="shared" si="93"/>
        <v/>
      </c>
      <c r="AH380" t="str">
        <f t="shared" si="94"/>
        <v/>
      </c>
      <c r="AI380" t="str">
        <f t="shared" si="95"/>
        <v/>
      </c>
      <c r="AJ380" t="str">
        <f t="shared" si="96"/>
        <v/>
      </c>
      <c r="AK380" t="str">
        <f t="shared" si="97"/>
        <v/>
      </c>
      <c r="AL380" t="str">
        <f t="shared" si="98"/>
        <v/>
      </c>
      <c r="AN380" t="str">
        <f>IFERROR(ROUND(L380*(G380/$AW380)/VLOOKUP(F380,商品!$A$4:$D$67,4,FALSE),0),"")</f>
        <v/>
      </c>
      <c r="AO380" t="str">
        <f>IFERROR(ROUND(L380*(I380/$AW380)/VLOOKUP(H380,商品!$A$4:$D$67,4,FALSE),0),"")</f>
        <v/>
      </c>
      <c r="AP380" t="str">
        <f>IFERROR(ROUND(L380*(K380/$AW380)/VLOOKUP(J380,商品!$A$4:$D$67,4,FALSE),0),"")</f>
        <v/>
      </c>
      <c r="AQ380" t="str">
        <f>IFERROR(ROUND(S380*(N380/$AX380)/VLOOKUP(M380,职业!$A$3:$E$16,4,FALSE),0),"")</f>
        <v/>
      </c>
      <c r="AR380" t="str">
        <f>IFERROR(ROUND(S380*(P380/$AX380)/VLOOKUP(O380,职业!$A$3:$E$16,4,FALSE),0),"")</f>
        <v/>
      </c>
      <c r="AS380" t="str">
        <f>IFERROR(ROUND(S380*(R380/$AX380)/VLOOKUP(Q380,职业!$A$3:$E$16,4,FALSE),0),"")</f>
        <v/>
      </c>
      <c r="AT380" t="str">
        <f>IFERROR(ROUND(X380*(U380/$AY380)/VLOOKUP(T380,商品!$A$4:$D$67,4,FALSE),0),"")</f>
        <v/>
      </c>
      <c r="AU380" t="str">
        <f>IFERROR(ROUND(X380*(W380/$AY380)/VLOOKUP(V380,商品!$A$4:$D$67,4,FALSE),0),"")</f>
        <v/>
      </c>
      <c r="AW380">
        <f t="shared" si="99"/>
        <v>0</v>
      </c>
      <c r="AX380">
        <f t="shared" si="100"/>
        <v>0</v>
      </c>
      <c r="AY380">
        <f t="shared" si="101"/>
        <v>0</v>
      </c>
    </row>
    <row r="381" customHeight="1" spans="1:51">
      <c r="A381" s="5" t="s">
        <v>354</v>
      </c>
      <c r="C381" s="5">
        <v>5</v>
      </c>
      <c r="D381" s="1" t="s">
        <v>238</v>
      </c>
      <c r="E381" s="1" t="s">
        <v>224</v>
      </c>
      <c r="L381" s="5">
        <f>IFERROR(VLOOKUP($D381&amp;$C381,生产方式定位!$A$2:$E$38,2,FALSE)+VLOOKUP($E381&amp;$C381,生产方式定位!$F$3:$J$38,2,FALSE),0)</f>
        <v>2600</v>
      </c>
      <c r="S381" s="5">
        <f>IFERROR(VLOOKUP($D381&amp;$C381,生产方式定位!$A$2:$E$38,3,FALSE)+VLOOKUP($E381&amp;$C381,生产方式定位!$F$3:$J$38,3,FALSE),0)</f>
        <v>0</v>
      </c>
      <c r="X381" s="5">
        <f>IFERROR(VLOOKUP($D381&amp;$C381,生产方式定位!$A$2:$E$38,5,FALSE)+VLOOKUP($E381&amp;$C381,生产方式定位!$F$3:$J$38,5,FALSE),"错误")</f>
        <v>4890</v>
      </c>
      <c r="Y381" s="27" t="str">
        <f t="shared" si="85"/>
        <v/>
      </c>
      <c r="Z381" s="50" t="str">
        <f t="shared" si="88"/>
        <v/>
      </c>
      <c r="AA381" s="50" t="str">
        <f t="shared" si="86"/>
        <v/>
      </c>
      <c r="AB381" s="28" t="str">
        <f t="shared" si="89"/>
        <v>88%</v>
      </c>
      <c r="AC381" s="1">
        <f t="shared" si="90"/>
        <v>2290</v>
      </c>
      <c r="AD381" s="51">
        <f t="shared" si="87"/>
        <v>5</v>
      </c>
      <c r="AE381" t="str">
        <f t="shared" si="91"/>
        <v/>
      </c>
      <c r="AF381" t="str">
        <f t="shared" si="92"/>
        <v/>
      </c>
      <c r="AG381" t="str">
        <f t="shared" si="93"/>
        <v/>
      </c>
      <c r="AH381" t="str">
        <f t="shared" si="94"/>
        <v/>
      </c>
      <c r="AI381" t="str">
        <f t="shared" si="95"/>
        <v/>
      </c>
      <c r="AJ381" t="str">
        <f t="shared" si="96"/>
        <v/>
      </c>
      <c r="AK381" t="str">
        <f t="shared" si="97"/>
        <v/>
      </c>
      <c r="AL381" t="str">
        <f t="shared" si="98"/>
        <v/>
      </c>
      <c r="AN381" t="str">
        <f>IFERROR(ROUND(L381*(G381/$AW381)/VLOOKUP(F381,商品!$A$4:$D$67,4,FALSE),0),"")</f>
        <v/>
      </c>
      <c r="AO381" t="str">
        <f>IFERROR(ROUND(L381*(I381/$AW381)/VLOOKUP(H381,商品!$A$4:$D$67,4,FALSE),0),"")</f>
        <v/>
      </c>
      <c r="AP381" t="str">
        <f>IFERROR(ROUND(L381*(K381/$AW381)/VLOOKUP(J381,商品!$A$4:$D$67,4,FALSE),0),"")</f>
        <v/>
      </c>
      <c r="AQ381" t="str">
        <f>IFERROR(ROUND(S381*(N381/$AX381)/VLOOKUP(M381,职业!$A$3:$E$16,4,FALSE),0),"")</f>
        <v/>
      </c>
      <c r="AR381" t="str">
        <f>IFERROR(ROUND(S381*(P381/$AX381)/VLOOKUP(O381,职业!$A$3:$E$16,4,FALSE),0),"")</f>
        <v/>
      </c>
      <c r="AS381" t="str">
        <f>IFERROR(ROUND(S381*(R381/$AX381)/VLOOKUP(Q381,职业!$A$3:$E$16,4,FALSE),0),"")</f>
        <v/>
      </c>
      <c r="AT381" t="str">
        <f>IFERROR(ROUND(X381*(U381/$AY381)/VLOOKUP(T381,商品!$A$4:$D$67,4,FALSE),0),"")</f>
        <v/>
      </c>
      <c r="AU381" t="str">
        <f>IFERROR(ROUND(X381*(W381/$AY381)/VLOOKUP(V381,商品!$A$4:$D$67,4,FALSE),0),"")</f>
        <v/>
      </c>
      <c r="AW381">
        <f t="shared" si="99"/>
        <v>0</v>
      </c>
      <c r="AX381">
        <f t="shared" si="100"/>
        <v>0</v>
      </c>
      <c r="AY381">
        <f t="shared" si="101"/>
        <v>0</v>
      </c>
    </row>
    <row r="382" customHeight="1" spans="1:51">
      <c r="A382" s="18" t="s">
        <v>355</v>
      </c>
      <c r="C382" s="18">
        <v>1</v>
      </c>
      <c r="D382" s="1" t="s">
        <v>291</v>
      </c>
      <c r="E382" s="1" t="s">
        <v>225</v>
      </c>
      <c r="L382" s="18">
        <f>IFERROR(VLOOKUP($D382&amp;$C382,生产方式定位!$A$2:$E$38,2,FALSE)+VLOOKUP($E382&amp;$C382,生产方式定位!$F$3:$J$38,2,FALSE),0)</f>
        <v>0</v>
      </c>
      <c r="S382" s="18">
        <f>IFERROR(VLOOKUP($D382&amp;$C382,生产方式定位!$A$2:$E$38,3,FALSE)+VLOOKUP($E382&amp;$C382,生产方式定位!$F$3:$J$38,3,FALSE),0)</f>
        <v>100</v>
      </c>
      <c r="X382" s="18">
        <f>IFERROR(VLOOKUP($D382&amp;$C382,生产方式定位!$A$2:$E$38,5,FALSE)+VLOOKUP($E382&amp;$C382,生产方式定位!$F$3:$J$38,5,FALSE),"错误")</f>
        <v>100</v>
      </c>
      <c r="Y382" s="27" t="str">
        <f t="shared" si="85"/>
        <v/>
      </c>
      <c r="Z382" s="50" t="str">
        <f t="shared" si="88"/>
        <v/>
      </c>
      <c r="AA382" s="50" t="str">
        <f t="shared" si="86"/>
        <v/>
      </c>
      <c r="AB382" s="28" t="str">
        <f t="shared" si="89"/>
        <v/>
      </c>
      <c r="AC382" s="1" t="str">
        <f t="shared" si="90"/>
        <v/>
      </c>
      <c r="AD382" s="52">
        <f t="shared" si="87"/>
        <v>1</v>
      </c>
      <c r="AE382" t="str">
        <f t="shared" si="91"/>
        <v/>
      </c>
      <c r="AF382" t="str">
        <f t="shared" si="92"/>
        <v/>
      </c>
      <c r="AG382" t="str">
        <f t="shared" si="93"/>
        <v/>
      </c>
      <c r="AH382" t="str">
        <f t="shared" si="94"/>
        <v/>
      </c>
      <c r="AI382" t="str">
        <f t="shared" si="95"/>
        <v/>
      </c>
      <c r="AJ382" t="str">
        <f t="shared" si="96"/>
        <v/>
      </c>
      <c r="AK382" t="str">
        <f t="shared" si="97"/>
        <v/>
      </c>
      <c r="AL382" t="str">
        <f t="shared" si="98"/>
        <v/>
      </c>
      <c r="AN382" t="str">
        <f>IFERROR(ROUND(L382*(G382/$AW382)/VLOOKUP(F382,商品!$A$4:$D$67,4,FALSE),0),"")</f>
        <v/>
      </c>
      <c r="AO382" t="str">
        <f>IFERROR(ROUND(L382*(I382/$AW382)/VLOOKUP(H382,商品!$A$4:$D$67,4,FALSE),0),"")</f>
        <v/>
      </c>
      <c r="AP382" t="str">
        <f>IFERROR(ROUND(L382*(K382/$AW382)/VLOOKUP(J382,商品!$A$4:$D$67,4,FALSE),0),"")</f>
        <v/>
      </c>
      <c r="AQ382" t="str">
        <f>IFERROR(ROUND(S382*(N382/$AX382)/VLOOKUP(M382,职业!$A$3:$E$16,4,FALSE),0),"")</f>
        <v/>
      </c>
      <c r="AR382" t="str">
        <f>IFERROR(ROUND(S382*(P382/$AX382)/VLOOKUP(O382,职业!$A$3:$E$16,4,FALSE),0),"")</f>
        <v/>
      </c>
      <c r="AS382" t="str">
        <f>IFERROR(ROUND(S382*(R382/$AX382)/VLOOKUP(Q382,职业!$A$3:$E$16,4,FALSE),0),"")</f>
        <v/>
      </c>
      <c r="AT382" t="str">
        <f>IFERROR(ROUND(X382*(U382/$AY382)/VLOOKUP(T382,商品!$A$4:$D$67,4,FALSE),0),"")</f>
        <v/>
      </c>
      <c r="AU382" t="str">
        <f>IFERROR(ROUND(X382*(W382/$AY382)/VLOOKUP(V382,商品!$A$4:$D$67,4,FALSE),0),"")</f>
        <v/>
      </c>
      <c r="AW382">
        <f t="shared" si="99"/>
        <v>0</v>
      </c>
      <c r="AX382">
        <f t="shared" si="100"/>
        <v>0</v>
      </c>
      <c r="AY382">
        <f t="shared" si="101"/>
        <v>0</v>
      </c>
    </row>
    <row r="383" customHeight="1" spans="1:51">
      <c r="A383" s="18" t="s">
        <v>355</v>
      </c>
      <c r="C383" s="18">
        <v>2</v>
      </c>
      <c r="D383" s="1" t="s">
        <v>291</v>
      </c>
      <c r="E383" s="1" t="s">
        <v>225</v>
      </c>
      <c r="L383" s="18">
        <f>IFERROR(VLOOKUP($D383&amp;$C383,生产方式定位!$A$2:$E$38,2,FALSE)+VLOOKUP($E383&amp;$C383,生产方式定位!$F$3:$J$38,2,FALSE),0)</f>
        <v>0</v>
      </c>
      <c r="S383" s="18">
        <f>IFERROR(VLOOKUP($D383&amp;$C383,生产方式定位!$A$2:$E$38,3,FALSE)+VLOOKUP($E383&amp;$C383,生产方式定位!$F$3:$J$38,3,FALSE),0)</f>
        <v>100</v>
      </c>
      <c r="X383" s="18">
        <f>IFERROR(VLOOKUP($D383&amp;$C383,生产方式定位!$A$2:$E$38,5,FALSE)+VLOOKUP($E383&amp;$C383,生产方式定位!$F$3:$J$38,5,FALSE),"错误")</f>
        <v>100</v>
      </c>
      <c r="Y383" s="27" t="str">
        <f t="shared" si="85"/>
        <v/>
      </c>
      <c r="Z383" s="50" t="str">
        <f t="shared" si="88"/>
        <v/>
      </c>
      <c r="AA383" s="50" t="str">
        <f t="shared" si="86"/>
        <v/>
      </c>
      <c r="AB383" s="28" t="str">
        <f t="shared" si="89"/>
        <v/>
      </c>
      <c r="AC383" s="1" t="str">
        <f t="shared" si="90"/>
        <v/>
      </c>
      <c r="AD383" s="52">
        <f t="shared" si="87"/>
        <v>2</v>
      </c>
      <c r="AE383" t="str">
        <f t="shared" si="91"/>
        <v/>
      </c>
      <c r="AF383" t="str">
        <f t="shared" si="92"/>
        <v/>
      </c>
      <c r="AG383" t="str">
        <f t="shared" si="93"/>
        <v/>
      </c>
      <c r="AH383" t="str">
        <f t="shared" si="94"/>
        <v/>
      </c>
      <c r="AI383" t="str">
        <f t="shared" si="95"/>
        <v/>
      </c>
      <c r="AJ383" t="str">
        <f t="shared" si="96"/>
        <v/>
      </c>
      <c r="AK383" t="str">
        <f t="shared" si="97"/>
        <v/>
      </c>
      <c r="AL383" t="str">
        <f t="shared" si="98"/>
        <v/>
      </c>
      <c r="AN383" t="str">
        <f>IFERROR(ROUND(L383*(G383/$AW383)/VLOOKUP(F383,商品!$A$4:$D$67,4,FALSE),0),"")</f>
        <v/>
      </c>
      <c r="AO383" t="str">
        <f>IFERROR(ROUND(L383*(I383/$AW383)/VLOOKUP(H383,商品!$A$4:$D$67,4,FALSE),0),"")</f>
        <v/>
      </c>
      <c r="AP383" t="str">
        <f>IFERROR(ROUND(L383*(K383/$AW383)/VLOOKUP(J383,商品!$A$4:$D$67,4,FALSE),0),"")</f>
        <v/>
      </c>
      <c r="AQ383" t="str">
        <f>IFERROR(ROUND(S383*(N383/$AX383)/VLOOKUP(M383,职业!$A$3:$E$16,4,FALSE),0),"")</f>
        <v/>
      </c>
      <c r="AR383" t="str">
        <f>IFERROR(ROUND(S383*(P383/$AX383)/VLOOKUP(O383,职业!$A$3:$E$16,4,FALSE),0),"")</f>
        <v/>
      </c>
      <c r="AS383" t="str">
        <f>IFERROR(ROUND(S383*(R383/$AX383)/VLOOKUP(Q383,职业!$A$3:$E$16,4,FALSE),0),"")</f>
        <v/>
      </c>
      <c r="AT383" t="str">
        <f>IFERROR(ROUND(X383*(U383/$AY383)/VLOOKUP(T383,商品!$A$4:$D$67,4,FALSE),0),"")</f>
        <v/>
      </c>
      <c r="AU383" t="str">
        <f>IFERROR(ROUND(X383*(W383/$AY383)/VLOOKUP(V383,商品!$A$4:$D$67,4,FALSE),0),"")</f>
        <v/>
      </c>
      <c r="AW383">
        <f t="shared" si="99"/>
        <v>0</v>
      </c>
      <c r="AX383">
        <f t="shared" si="100"/>
        <v>0</v>
      </c>
      <c r="AY383">
        <f t="shared" si="101"/>
        <v>0</v>
      </c>
    </row>
    <row r="384" customHeight="1" spans="1:51">
      <c r="A384" s="18" t="s">
        <v>355</v>
      </c>
      <c r="C384" s="18">
        <v>3</v>
      </c>
      <c r="D384" s="1" t="s">
        <v>291</v>
      </c>
      <c r="E384" s="1" t="s">
        <v>225</v>
      </c>
      <c r="L384" s="18">
        <f>IFERROR(VLOOKUP($D384&amp;$C384,生产方式定位!$A$2:$E$38,2,FALSE)+VLOOKUP($E384&amp;$C384,生产方式定位!$F$3:$J$38,2,FALSE),0)</f>
        <v>0</v>
      </c>
      <c r="S384" s="18">
        <f>IFERROR(VLOOKUP($D384&amp;$C384,生产方式定位!$A$2:$E$38,3,FALSE)+VLOOKUP($E384&amp;$C384,生产方式定位!$F$3:$J$38,3,FALSE),0)</f>
        <v>100</v>
      </c>
      <c r="X384" s="18">
        <f>IFERROR(VLOOKUP($D384&amp;$C384,生产方式定位!$A$2:$E$38,5,FALSE)+VLOOKUP($E384&amp;$C384,生产方式定位!$F$3:$J$38,5,FALSE),"错误")</f>
        <v>100</v>
      </c>
      <c r="Y384" s="27" t="str">
        <f t="shared" si="85"/>
        <v/>
      </c>
      <c r="Z384" s="50" t="str">
        <f t="shared" si="88"/>
        <v/>
      </c>
      <c r="AA384" s="50" t="str">
        <f t="shared" si="86"/>
        <v/>
      </c>
      <c r="AB384" s="28" t="str">
        <f t="shared" si="89"/>
        <v/>
      </c>
      <c r="AC384" s="1" t="str">
        <f t="shared" si="90"/>
        <v/>
      </c>
      <c r="AD384" s="52">
        <f t="shared" si="87"/>
        <v>3</v>
      </c>
      <c r="AE384" t="str">
        <f t="shared" si="91"/>
        <v/>
      </c>
      <c r="AF384" t="str">
        <f t="shared" si="92"/>
        <v/>
      </c>
      <c r="AG384" t="str">
        <f t="shared" si="93"/>
        <v/>
      </c>
      <c r="AH384" t="str">
        <f t="shared" si="94"/>
        <v/>
      </c>
      <c r="AI384" t="str">
        <f t="shared" si="95"/>
        <v/>
      </c>
      <c r="AJ384" t="str">
        <f t="shared" si="96"/>
        <v/>
      </c>
      <c r="AK384" t="str">
        <f t="shared" si="97"/>
        <v/>
      </c>
      <c r="AL384" t="str">
        <f t="shared" si="98"/>
        <v/>
      </c>
      <c r="AN384" t="str">
        <f>IFERROR(ROUND(L384*(G384/$AW384)/VLOOKUP(F384,商品!$A$4:$D$67,4,FALSE),0),"")</f>
        <v/>
      </c>
      <c r="AO384" t="str">
        <f>IFERROR(ROUND(L384*(I384/$AW384)/VLOOKUP(H384,商品!$A$4:$D$67,4,FALSE),0),"")</f>
        <v/>
      </c>
      <c r="AP384" t="str">
        <f>IFERROR(ROUND(L384*(K384/$AW384)/VLOOKUP(J384,商品!$A$4:$D$67,4,FALSE),0),"")</f>
        <v/>
      </c>
      <c r="AQ384" t="str">
        <f>IFERROR(ROUND(S384*(N384/$AX384)/VLOOKUP(M384,职业!$A$3:$E$16,4,FALSE),0),"")</f>
        <v/>
      </c>
      <c r="AR384" t="str">
        <f>IFERROR(ROUND(S384*(P384/$AX384)/VLOOKUP(O384,职业!$A$3:$E$16,4,FALSE),0),"")</f>
        <v/>
      </c>
      <c r="AS384" t="str">
        <f>IFERROR(ROUND(S384*(R384/$AX384)/VLOOKUP(Q384,职业!$A$3:$E$16,4,FALSE),0),"")</f>
        <v/>
      </c>
      <c r="AT384" t="str">
        <f>IFERROR(ROUND(X384*(U384/$AY384)/VLOOKUP(T384,商品!$A$4:$D$67,4,FALSE),0),"")</f>
        <v/>
      </c>
      <c r="AU384" t="str">
        <f>IFERROR(ROUND(X384*(W384/$AY384)/VLOOKUP(V384,商品!$A$4:$D$67,4,FALSE),0),"")</f>
        <v/>
      </c>
      <c r="AW384">
        <f t="shared" si="99"/>
        <v>0</v>
      </c>
      <c r="AX384">
        <f t="shared" si="100"/>
        <v>0</v>
      </c>
      <c r="AY384">
        <f t="shared" si="101"/>
        <v>0</v>
      </c>
    </row>
    <row r="385" customHeight="1" spans="1:51">
      <c r="A385" s="18" t="s">
        <v>355</v>
      </c>
      <c r="C385" s="18">
        <v>4</v>
      </c>
      <c r="D385" s="1" t="s">
        <v>291</v>
      </c>
      <c r="E385" s="1" t="s">
        <v>225</v>
      </c>
      <c r="L385" s="18">
        <f>IFERROR(VLOOKUP($D385&amp;$C385,生产方式定位!$A$2:$E$38,2,FALSE)+VLOOKUP($E385&amp;$C385,生产方式定位!$F$3:$J$38,2,FALSE),0)</f>
        <v>0</v>
      </c>
      <c r="S385" s="18">
        <f>IFERROR(VLOOKUP($D385&amp;$C385,生产方式定位!$A$2:$E$38,3,FALSE)+VLOOKUP($E385&amp;$C385,生产方式定位!$F$3:$J$38,3,FALSE),0)</f>
        <v>100</v>
      </c>
      <c r="X385" s="18">
        <f>IFERROR(VLOOKUP($D385&amp;$C385,生产方式定位!$A$2:$E$38,5,FALSE)+VLOOKUP($E385&amp;$C385,生产方式定位!$F$3:$J$38,5,FALSE),"错误")</f>
        <v>100</v>
      </c>
      <c r="Y385" s="27" t="str">
        <f t="shared" si="85"/>
        <v/>
      </c>
      <c r="Z385" s="50" t="str">
        <f t="shared" si="88"/>
        <v/>
      </c>
      <c r="AA385" s="50" t="str">
        <f t="shared" si="86"/>
        <v/>
      </c>
      <c r="AB385" s="28" t="str">
        <f t="shared" si="89"/>
        <v/>
      </c>
      <c r="AC385" s="1" t="str">
        <f t="shared" si="90"/>
        <v/>
      </c>
      <c r="AD385" s="52">
        <f t="shared" si="87"/>
        <v>4</v>
      </c>
      <c r="AE385" t="str">
        <f t="shared" si="91"/>
        <v/>
      </c>
      <c r="AF385" t="str">
        <f t="shared" si="92"/>
        <v/>
      </c>
      <c r="AG385" t="str">
        <f t="shared" si="93"/>
        <v/>
      </c>
      <c r="AH385" t="str">
        <f t="shared" si="94"/>
        <v/>
      </c>
      <c r="AI385" t="str">
        <f t="shared" si="95"/>
        <v/>
      </c>
      <c r="AJ385" t="str">
        <f t="shared" si="96"/>
        <v/>
      </c>
      <c r="AK385" t="str">
        <f t="shared" si="97"/>
        <v/>
      </c>
      <c r="AL385" t="str">
        <f t="shared" si="98"/>
        <v/>
      </c>
      <c r="AN385" t="str">
        <f>IFERROR(ROUND(L385*(G385/$AW385)/VLOOKUP(F385,商品!$A$4:$D$67,4,FALSE),0),"")</f>
        <v/>
      </c>
      <c r="AO385" t="str">
        <f>IFERROR(ROUND(L385*(I385/$AW385)/VLOOKUP(H385,商品!$A$4:$D$67,4,FALSE),0),"")</f>
        <v/>
      </c>
      <c r="AP385" t="str">
        <f>IFERROR(ROUND(L385*(K385/$AW385)/VLOOKUP(J385,商品!$A$4:$D$67,4,FALSE),0),"")</f>
        <v/>
      </c>
      <c r="AQ385" t="str">
        <f>IFERROR(ROUND(S385*(N385/$AX385)/VLOOKUP(M385,职业!$A$3:$E$16,4,FALSE),0),"")</f>
        <v/>
      </c>
      <c r="AR385" t="str">
        <f>IFERROR(ROUND(S385*(P385/$AX385)/VLOOKUP(O385,职业!$A$3:$E$16,4,FALSE),0),"")</f>
        <v/>
      </c>
      <c r="AS385" t="str">
        <f>IFERROR(ROUND(S385*(R385/$AX385)/VLOOKUP(Q385,职业!$A$3:$E$16,4,FALSE),0),"")</f>
        <v/>
      </c>
      <c r="AT385" t="str">
        <f>IFERROR(ROUND(X385*(U385/$AY385)/VLOOKUP(T385,商品!$A$4:$D$67,4,FALSE),0),"")</f>
        <v/>
      </c>
      <c r="AU385" t="str">
        <f>IFERROR(ROUND(X385*(W385/$AY385)/VLOOKUP(V385,商品!$A$4:$D$67,4,FALSE),0),"")</f>
        <v/>
      </c>
      <c r="AW385">
        <f t="shared" si="99"/>
        <v>0</v>
      </c>
      <c r="AX385">
        <f t="shared" si="100"/>
        <v>0</v>
      </c>
      <c r="AY385">
        <f t="shared" si="101"/>
        <v>0</v>
      </c>
    </row>
    <row r="386" customHeight="1" spans="1:51">
      <c r="A386" s="18" t="s">
        <v>355</v>
      </c>
      <c r="C386" s="18">
        <v>5</v>
      </c>
      <c r="D386" s="1" t="s">
        <v>291</v>
      </c>
      <c r="E386" s="1" t="s">
        <v>225</v>
      </c>
      <c r="L386" s="18">
        <f>IFERROR(VLOOKUP($D386&amp;$C386,生产方式定位!$A$2:$E$38,2,FALSE)+VLOOKUP($E386&amp;$C386,生产方式定位!$F$3:$J$38,2,FALSE),0)</f>
        <v>0</v>
      </c>
      <c r="S386" s="18">
        <f>IFERROR(VLOOKUP($D386&amp;$C386,生产方式定位!$A$2:$E$38,3,FALSE)+VLOOKUP($E386&amp;$C386,生产方式定位!$F$3:$J$38,3,FALSE),0)</f>
        <v>100</v>
      </c>
      <c r="X386" s="18">
        <f>IFERROR(VLOOKUP($D386&amp;$C386,生产方式定位!$A$2:$E$38,5,FALSE)+VLOOKUP($E386&amp;$C386,生产方式定位!$F$3:$J$38,5,FALSE),"错误")</f>
        <v>100</v>
      </c>
      <c r="Y386" s="27" t="str">
        <f t="shared" si="85"/>
        <v/>
      </c>
      <c r="Z386" s="50" t="str">
        <f t="shared" si="88"/>
        <v/>
      </c>
      <c r="AA386" s="50" t="str">
        <f t="shared" si="86"/>
        <v/>
      </c>
      <c r="AB386" s="28" t="str">
        <f t="shared" si="89"/>
        <v/>
      </c>
      <c r="AC386" s="1" t="str">
        <f t="shared" si="90"/>
        <v/>
      </c>
      <c r="AD386" s="52">
        <f t="shared" si="87"/>
        <v>5</v>
      </c>
      <c r="AE386" t="str">
        <f t="shared" si="91"/>
        <v/>
      </c>
      <c r="AF386" t="str">
        <f t="shared" si="92"/>
        <v/>
      </c>
      <c r="AG386" t="str">
        <f t="shared" si="93"/>
        <v/>
      </c>
      <c r="AH386" t="str">
        <f t="shared" si="94"/>
        <v/>
      </c>
      <c r="AI386" t="str">
        <f t="shared" si="95"/>
        <v/>
      </c>
      <c r="AJ386" t="str">
        <f t="shared" si="96"/>
        <v/>
      </c>
      <c r="AK386" t="str">
        <f t="shared" si="97"/>
        <v/>
      </c>
      <c r="AL386" t="str">
        <f t="shared" si="98"/>
        <v/>
      </c>
      <c r="AN386" t="str">
        <f>IFERROR(ROUND(L386*(G386/$AW386)/VLOOKUP(F386,商品!$A$4:$D$67,4,FALSE),0),"")</f>
        <v/>
      </c>
      <c r="AO386" t="str">
        <f>IFERROR(ROUND(L386*(I386/$AW386)/VLOOKUP(H386,商品!$A$4:$D$67,4,FALSE),0),"")</f>
        <v/>
      </c>
      <c r="AP386" t="str">
        <f>IFERROR(ROUND(L386*(K386/$AW386)/VLOOKUP(J386,商品!$A$4:$D$67,4,FALSE),0),"")</f>
        <v/>
      </c>
      <c r="AQ386" t="str">
        <f>IFERROR(ROUND(S386*(N386/$AX386)/VLOOKUP(M386,职业!$A$3:$E$16,4,FALSE),0),"")</f>
        <v/>
      </c>
      <c r="AR386" t="str">
        <f>IFERROR(ROUND(S386*(P386/$AX386)/VLOOKUP(O386,职业!$A$3:$E$16,4,FALSE),0),"")</f>
        <v/>
      </c>
      <c r="AS386" t="str">
        <f>IFERROR(ROUND(S386*(R386/$AX386)/VLOOKUP(Q386,职业!$A$3:$E$16,4,FALSE),0),"")</f>
        <v/>
      </c>
      <c r="AT386" t="str">
        <f>IFERROR(ROUND(X386*(U386/$AY386)/VLOOKUP(T386,商品!$A$4:$D$67,4,FALSE),0),"")</f>
        <v/>
      </c>
      <c r="AU386" t="str">
        <f>IFERROR(ROUND(X386*(W386/$AY386)/VLOOKUP(V386,商品!$A$4:$D$67,4,FALSE),0),"")</f>
        <v/>
      </c>
      <c r="AW386">
        <f t="shared" si="99"/>
        <v>0</v>
      </c>
      <c r="AX386">
        <f t="shared" si="100"/>
        <v>0</v>
      </c>
      <c r="AY386">
        <f t="shared" si="101"/>
        <v>0</v>
      </c>
    </row>
    <row r="387" customHeight="1" spans="1:51">
      <c r="A387" s="18" t="s">
        <v>355</v>
      </c>
      <c r="C387" s="18">
        <v>6</v>
      </c>
      <c r="D387" s="1" t="s">
        <v>291</v>
      </c>
      <c r="E387" s="1" t="s">
        <v>225</v>
      </c>
      <c r="L387" s="18">
        <f>IFERROR(VLOOKUP($D387&amp;$C387,生产方式定位!$A$2:$E$38,2,FALSE)+VLOOKUP($E387&amp;$C387,生产方式定位!$F$3:$J$38,2,FALSE),0)</f>
        <v>0</v>
      </c>
      <c r="S387" s="18">
        <f>IFERROR(VLOOKUP($D387&amp;$C387,生产方式定位!$A$2:$E$38,3,FALSE)+VLOOKUP($E387&amp;$C387,生产方式定位!$F$3:$J$38,3,FALSE),0)</f>
        <v>100</v>
      </c>
      <c r="X387" s="18">
        <f>IFERROR(VLOOKUP($D387&amp;$C387,生产方式定位!$A$2:$E$38,5,FALSE)+VLOOKUP($E387&amp;$C387,生产方式定位!$F$3:$J$38,5,FALSE),"错误")</f>
        <v>100</v>
      </c>
      <c r="Y387" s="27" t="str">
        <f t="shared" si="85"/>
        <v/>
      </c>
      <c r="Z387" s="50" t="str">
        <f t="shared" si="88"/>
        <v/>
      </c>
      <c r="AA387" s="50" t="str">
        <f t="shared" si="86"/>
        <v/>
      </c>
      <c r="AB387" s="28" t="str">
        <f t="shared" si="89"/>
        <v/>
      </c>
      <c r="AC387" s="1" t="str">
        <f t="shared" si="90"/>
        <v/>
      </c>
      <c r="AD387" s="52">
        <f t="shared" si="87"/>
        <v>6</v>
      </c>
      <c r="AE387" t="str">
        <f t="shared" si="91"/>
        <v/>
      </c>
      <c r="AF387" t="str">
        <f t="shared" si="92"/>
        <v/>
      </c>
      <c r="AG387" t="str">
        <f t="shared" si="93"/>
        <v/>
      </c>
      <c r="AH387" t="str">
        <f t="shared" si="94"/>
        <v/>
      </c>
      <c r="AI387" t="str">
        <f t="shared" si="95"/>
        <v/>
      </c>
      <c r="AJ387" t="str">
        <f t="shared" si="96"/>
        <v/>
      </c>
      <c r="AK387" t="str">
        <f t="shared" si="97"/>
        <v/>
      </c>
      <c r="AL387" t="str">
        <f t="shared" si="98"/>
        <v/>
      </c>
      <c r="AN387" t="str">
        <f>IFERROR(ROUND(L387*(G387/$AW387)/VLOOKUP(F387,商品!$A$4:$D$67,4,FALSE),0),"")</f>
        <v/>
      </c>
      <c r="AO387" t="str">
        <f>IFERROR(ROUND(L387*(I387/$AW387)/VLOOKUP(H387,商品!$A$4:$D$67,4,FALSE),0),"")</f>
        <v/>
      </c>
      <c r="AP387" t="str">
        <f>IFERROR(ROUND(L387*(K387/$AW387)/VLOOKUP(J387,商品!$A$4:$D$67,4,FALSE),0),"")</f>
        <v/>
      </c>
      <c r="AQ387" t="str">
        <f>IFERROR(ROUND(S387*(N387/$AX387)/VLOOKUP(M387,职业!$A$3:$E$16,4,FALSE),0),"")</f>
        <v/>
      </c>
      <c r="AR387" t="str">
        <f>IFERROR(ROUND(S387*(P387/$AX387)/VLOOKUP(O387,职业!$A$3:$E$16,4,FALSE),0),"")</f>
        <v/>
      </c>
      <c r="AS387" t="str">
        <f>IFERROR(ROUND(S387*(R387/$AX387)/VLOOKUP(Q387,职业!$A$3:$E$16,4,FALSE),0),"")</f>
        <v/>
      </c>
      <c r="AT387" t="str">
        <f>IFERROR(ROUND(X387*(U387/$AY387)/VLOOKUP(T387,商品!$A$4:$D$67,4,FALSE),0),"")</f>
        <v/>
      </c>
      <c r="AU387" t="str">
        <f>IFERROR(ROUND(X387*(W387/$AY387)/VLOOKUP(V387,商品!$A$4:$D$67,4,FALSE),0),"")</f>
        <v/>
      </c>
      <c r="AW387">
        <f t="shared" si="99"/>
        <v>0</v>
      </c>
      <c r="AX387">
        <f t="shared" si="100"/>
        <v>0</v>
      </c>
      <c r="AY387">
        <f t="shared" si="101"/>
        <v>0</v>
      </c>
    </row>
    <row r="388" customHeight="1" spans="1:51">
      <c r="A388" s="18" t="s">
        <v>355</v>
      </c>
      <c r="C388" s="18">
        <v>7</v>
      </c>
      <c r="D388" s="1" t="s">
        <v>291</v>
      </c>
      <c r="E388" s="1" t="s">
        <v>225</v>
      </c>
      <c r="L388" s="18">
        <f>IFERROR(VLOOKUP($D388&amp;$C388,生产方式定位!$A$2:$E$38,2,FALSE)+VLOOKUP($E388&amp;$C388,生产方式定位!$F$3:$J$38,2,FALSE),0)</f>
        <v>0</v>
      </c>
      <c r="S388" s="18">
        <f>IFERROR(VLOOKUP($D388&amp;$C388,生产方式定位!$A$2:$E$38,3,FALSE)+VLOOKUP($E388&amp;$C388,生产方式定位!$F$3:$J$38,3,FALSE),0)</f>
        <v>100</v>
      </c>
      <c r="X388" s="18">
        <f>IFERROR(VLOOKUP($D388&amp;$C388,生产方式定位!$A$2:$E$38,5,FALSE)+VLOOKUP($E388&amp;$C388,生产方式定位!$F$3:$J$38,5,FALSE),"错误")</f>
        <v>100</v>
      </c>
      <c r="Y388" s="27" t="str">
        <f t="shared" si="85"/>
        <v/>
      </c>
      <c r="Z388" s="50" t="str">
        <f t="shared" si="88"/>
        <v/>
      </c>
      <c r="AA388" s="50" t="str">
        <f t="shared" si="86"/>
        <v/>
      </c>
      <c r="AB388" s="28" t="str">
        <f t="shared" si="89"/>
        <v/>
      </c>
      <c r="AC388" s="1" t="str">
        <f t="shared" si="90"/>
        <v/>
      </c>
      <c r="AD388" s="52">
        <f t="shared" si="87"/>
        <v>7</v>
      </c>
      <c r="AE388" t="str">
        <f t="shared" si="91"/>
        <v/>
      </c>
      <c r="AF388" t="str">
        <f t="shared" si="92"/>
        <v/>
      </c>
      <c r="AG388" t="str">
        <f t="shared" si="93"/>
        <v/>
      </c>
      <c r="AH388" t="str">
        <f t="shared" si="94"/>
        <v/>
      </c>
      <c r="AI388" t="str">
        <f t="shared" si="95"/>
        <v/>
      </c>
      <c r="AJ388" t="str">
        <f t="shared" si="96"/>
        <v/>
      </c>
      <c r="AK388" t="str">
        <f t="shared" si="97"/>
        <v/>
      </c>
      <c r="AL388" t="str">
        <f t="shared" si="98"/>
        <v/>
      </c>
      <c r="AN388" t="str">
        <f>IFERROR(ROUND(L388*(G388/$AW388)/VLOOKUP(F388,商品!$A$4:$D$67,4,FALSE),0),"")</f>
        <v/>
      </c>
      <c r="AO388" t="str">
        <f>IFERROR(ROUND(L388*(I388/$AW388)/VLOOKUP(H388,商品!$A$4:$D$67,4,FALSE),0),"")</f>
        <v/>
      </c>
      <c r="AP388" t="str">
        <f>IFERROR(ROUND(L388*(K388/$AW388)/VLOOKUP(J388,商品!$A$4:$D$67,4,FALSE),0),"")</f>
        <v/>
      </c>
      <c r="AQ388" t="str">
        <f>IFERROR(ROUND(S388*(N388/$AX388)/VLOOKUP(M388,职业!$A$3:$E$16,4,FALSE),0),"")</f>
        <v/>
      </c>
      <c r="AR388" t="str">
        <f>IFERROR(ROUND(S388*(P388/$AX388)/VLOOKUP(O388,职业!$A$3:$E$16,4,FALSE),0),"")</f>
        <v/>
      </c>
      <c r="AS388" t="str">
        <f>IFERROR(ROUND(S388*(R388/$AX388)/VLOOKUP(Q388,职业!$A$3:$E$16,4,FALSE),0),"")</f>
        <v/>
      </c>
      <c r="AT388" t="str">
        <f>IFERROR(ROUND(X388*(U388/$AY388)/VLOOKUP(T388,商品!$A$4:$D$67,4,FALSE),0),"")</f>
        <v/>
      </c>
      <c r="AU388" t="str">
        <f>IFERROR(ROUND(X388*(W388/$AY388)/VLOOKUP(V388,商品!$A$4:$D$67,4,FALSE),0),"")</f>
        <v/>
      </c>
      <c r="AW388">
        <f t="shared" si="99"/>
        <v>0</v>
      </c>
      <c r="AX388">
        <f t="shared" si="100"/>
        <v>0</v>
      </c>
      <c r="AY388">
        <f t="shared" si="101"/>
        <v>0</v>
      </c>
    </row>
    <row r="389" customHeight="1" spans="1:51">
      <c r="A389" s="18" t="s">
        <v>355</v>
      </c>
      <c r="C389" s="18">
        <v>8</v>
      </c>
      <c r="D389" s="1" t="s">
        <v>291</v>
      </c>
      <c r="E389" s="1" t="s">
        <v>225</v>
      </c>
      <c r="L389" s="18">
        <f>IFERROR(VLOOKUP($D389&amp;$C389,生产方式定位!$A$2:$E$38,2,FALSE)+VLOOKUP($E389&amp;$C389,生产方式定位!$F$3:$J$38,2,FALSE),0)</f>
        <v>0</v>
      </c>
      <c r="S389" s="18">
        <f>IFERROR(VLOOKUP($D389&amp;$C389,生产方式定位!$A$2:$E$38,3,FALSE)+VLOOKUP($E389&amp;$C389,生产方式定位!$F$3:$J$38,3,FALSE),0)</f>
        <v>100</v>
      </c>
      <c r="X389" s="18">
        <f>IFERROR(VLOOKUP($D389&amp;$C389,生产方式定位!$A$2:$E$38,5,FALSE)+VLOOKUP($E389&amp;$C389,生产方式定位!$F$3:$J$38,5,FALSE),"错误")</f>
        <v>100</v>
      </c>
      <c r="Y389" s="27" t="str">
        <f t="shared" ref="Y389:Y452" si="102">IF(AE389="","",AE389)&amp;IF(AF389="","",","&amp;AF389)&amp;IF(AG389="","",","&amp;AG389)</f>
        <v/>
      </c>
      <c r="Z389" s="50" t="str">
        <f t="shared" si="88"/>
        <v/>
      </c>
      <c r="AA389" s="50" t="str">
        <f t="shared" ref="AA389:AA452" si="103">IF(AK389="","",AK389)&amp;IF(AL389="","",","&amp;AL389)</f>
        <v/>
      </c>
      <c r="AB389" s="28" t="str">
        <f t="shared" si="89"/>
        <v/>
      </c>
      <c r="AC389" s="1" t="str">
        <f t="shared" si="90"/>
        <v/>
      </c>
      <c r="AD389" s="52">
        <f t="shared" ref="AD389:AD452" si="104">C389</f>
        <v>8</v>
      </c>
      <c r="AE389" t="str">
        <f t="shared" si="91"/>
        <v/>
      </c>
      <c r="AF389" t="str">
        <f t="shared" si="92"/>
        <v/>
      </c>
      <c r="AG389" t="str">
        <f t="shared" si="93"/>
        <v/>
      </c>
      <c r="AH389" t="str">
        <f t="shared" si="94"/>
        <v/>
      </c>
      <c r="AI389" t="str">
        <f t="shared" si="95"/>
        <v/>
      </c>
      <c r="AJ389" t="str">
        <f t="shared" si="96"/>
        <v/>
      </c>
      <c r="AK389" t="str">
        <f t="shared" si="97"/>
        <v/>
      </c>
      <c r="AL389" t="str">
        <f t="shared" si="98"/>
        <v/>
      </c>
      <c r="AN389" t="str">
        <f>IFERROR(ROUND(L389*(G389/$AW389)/VLOOKUP(F389,商品!$A$4:$D$67,4,FALSE),0),"")</f>
        <v/>
      </c>
      <c r="AO389" t="str">
        <f>IFERROR(ROUND(L389*(I389/$AW389)/VLOOKUP(H389,商品!$A$4:$D$67,4,FALSE),0),"")</f>
        <v/>
      </c>
      <c r="AP389" t="str">
        <f>IFERROR(ROUND(L389*(K389/$AW389)/VLOOKUP(J389,商品!$A$4:$D$67,4,FALSE),0),"")</f>
        <v/>
      </c>
      <c r="AQ389" t="str">
        <f>IFERROR(ROUND(S389*(N389/$AX389)/VLOOKUP(M389,职业!$A$3:$E$16,4,FALSE),0),"")</f>
        <v/>
      </c>
      <c r="AR389" t="str">
        <f>IFERROR(ROUND(S389*(P389/$AX389)/VLOOKUP(O389,职业!$A$3:$E$16,4,FALSE),0),"")</f>
        <v/>
      </c>
      <c r="AS389" t="str">
        <f>IFERROR(ROUND(S389*(R389/$AX389)/VLOOKUP(Q389,职业!$A$3:$E$16,4,FALSE),0),"")</f>
        <v/>
      </c>
      <c r="AT389" t="str">
        <f>IFERROR(ROUND(X389*(U389/$AY389)/VLOOKUP(T389,商品!$A$4:$D$67,4,FALSE),0),"")</f>
        <v/>
      </c>
      <c r="AU389" t="str">
        <f>IFERROR(ROUND(X389*(W389/$AY389)/VLOOKUP(V389,商品!$A$4:$D$67,4,FALSE),0),"")</f>
        <v/>
      </c>
      <c r="AW389">
        <f t="shared" si="99"/>
        <v>0</v>
      </c>
      <c r="AX389">
        <f t="shared" si="100"/>
        <v>0</v>
      </c>
      <c r="AY389">
        <f t="shared" si="101"/>
        <v>0</v>
      </c>
    </row>
    <row r="390" customHeight="1" spans="1:51">
      <c r="A390" s="5" t="s">
        <v>357</v>
      </c>
      <c r="C390" s="5">
        <v>1</v>
      </c>
      <c r="D390" s="1" t="s">
        <v>238</v>
      </c>
      <c r="E390" s="1" t="s">
        <v>222</v>
      </c>
      <c r="L390" s="5">
        <f>IFERROR(VLOOKUP($D390&amp;$C390,生产方式定位!$A$2:$E$38,2,FALSE)+VLOOKUP($E390&amp;$C390,生产方式定位!$F$3:$J$38,2,FALSE),0)</f>
        <v>1000</v>
      </c>
      <c r="S390" s="5">
        <f>IFERROR(VLOOKUP($D390&amp;$C390,生产方式定位!$A$2:$E$38,3,FALSE)+VLOOKUP($E390&amp;$C390,生产方式定位!$F$3:$J$38,3,FALSE),0)</f>
        <v>80</v>
      </c>
      <c r="X390" s="5">
        <f>IFERROR(VLOOKUP($D390&amp;$C390,生产方式定位!$A$2:$E$38,5,FALSE)+VLOOKUP($E390&amp;$C390,生产方式定位!$F$3:$J$38,5,FALSE),"错误")</f>
        <v>972</v>
      </c>
      <c r="Y390" s="27" t="str">
        <f t="shared" si="102"/>
        <v/>
      </c>
      <c r="Z390" s="50" t="str">
        <f t="shared" ref="Z390:Z453" si="105">IF(AH390="","",AH390)&amp;IF(AI390="","",","&amp;AI390)&amp;IF(AJ390="","",","&amp;AJ390)</f>
        <v/>
      </c>
      <c r="AA390" s="50" t="str">
        <f t="shared" si="103"/>
        <v/>
      </c>
      <c r="AB390" s="28" t="str">
        <f t="shared" ref="AB390:AB453" si="106">IFERROR(ROUND(((X390/L390)-1)*100,0)&amp;"%","")</f>
        <v>-3%</v>
      </c>
      <c r="AC390" s="1">
        <f t="shared" ref="AC390:AC453" si="107">IF(X390-S390-L390=0,"",X390-S390-L390)</f>
        <v>-108</v>
      </c>
      <c r="AD390" s="51">
        <f t="shared" si="104"/>
        <v>1</v>
      </c>
      <c r="AE390" t="str">
        <f t="shared" ref="AE390:AE453" si="108">IF(AN390="","",F390&amp;"*"&amp;AN390)</f>
        <v/>
      </c>
      <c r="AF390" t="str">
        <f t="shared" ref="AF390:AF453" si="109">IF(AO390="","",H390&amp;"*"&amp;AO390)</f>
        <v/>
      </c>
      <c r="AG390" t="str">
        <f t="shared" ref="AG390:AG453" si="110">IF(AP390="","",J390&amp;"*"&amp;AP390)</f>
        <v/>
      </c>
      <c r="AH390" t="str">
        <f t="shared" ref="AH390:AH453" si="111">IF(AQ390="","",M390&amp;"*"&amp;AQ390)</f>
        <v/>
      </c>
      <c r="AI390" t="str">
        <f t="shared" ref="AI390:AI453" si="112">IF(AR390="","",O390&amp;"*"&amp;AR390)</f>
        <v/>
      </c>
      <c r="AJ390" t="str">
        <f t="shared" ref="AJ390:AJ453" si="113">IF(AS390="","",Q390&amp;"*"&amp;AS390)</f>
        <v/>
      </c>
      <c r="AK390" t="str">
        <f t="shared" ref="AK390:AK453" si="114">IF(AT390="","",T390&amp;"*"&amp;AT390)</f>
        <v/>
      </c>
      <c r="AL390" t="str">
        <f t="shared" ref="AL390:AL453" si="115">IF(AU390="","",V390&amp;"*"&amp;AU390)</f>
        <v/>
      </c>
      <c r="AN390" t="str">
        <f>IFERROR(ROUND(L390*(G390/$AW390)/VLOOKUP(F390,商品!$A$4:$D$67,4,FALSE),0),"")</f>
        <v/>
      </c>
      <c r="AO390" t="str">
        <f>IFERROR(ROUND(L390*(I390/$AW390)/VLOOKUP(H390,商品!$A$4:$D$67,4,FALSE),0),"")</f>
        <v/>
      </c>
      <c r="AP390" t="str">
        <f>IFERROR(ROUND(L390*(K390/$AW390)/VLOOKUP(J390,商品!$A$4:$D$67,4,FALSE),0),"")</f>
        <v/>
      </c>
      <c r="AQ390" t="str">
        <f>IFERROR(ROUND(S390*(N390/$AX390)/VLOOKUP(M390,职业!$A$3:$E$16,4,FALSE),0),"")</f>
        <v/>
      </c>
      <c r="AR390" t="str">
        <f>IFERROR(ROUND(S390*(P390/$AX390)/VLOOKUP(O390,职业!$A$3:$E$16,4,FALSE),0),"")</f>
        <v/>
      </c>
      <c r="AS390" t="str">
        <f>IFERROR(ROUND(S390*(R390/$AX390)/VLOOKUP(Q390,职业!$A$3:$E$16,4,FALSE),0),"")</f>
        <v/>
      </c>
      <c r="AT390" t="str">
        <f>IFERROR(ROUND(X390*(U390/$AY390)/VLOOKUP(T390,商品!$A$4:$D$67,4,FALSE),0),"")</f>
        <v/>
      </c>
      <c r="AU390" t="str">
        <f>IFERROR(ROUND(X390*(W390/$AY390)/VLOOKUP(V390,商品!$A$4:$D$67,4,FALSE),0),"")</f>
        <v/>
      </c>
      <c r="AW390">
        <f t="shared" ref="AW390:AW453" si="116">G390+I390+K390</f>
        <v>0</v>
      </c>
      <c r="AX390">
        <f t="shared" ref="AX390:AX453" si="117">ABS(N390)+ABS(P390)+ABS(R390)</f>
        <v>0</v>
      </c>
      <c r="AY390">
        <f t="shared" ref="AY390:AY453" si="118">U390+W390</f>
        <v>0</v>
      </c>
    </row>
    <row r="391" customHeight="1" spans="1:51">
      <c r="A391" s="5" t="s">
        <v>357</v>
      </c>
      <c r="C391" s="5">
        <v>2</v>
      </c>
      <c r="D391" s="1" t="s">
        <v>238</v>
      </c>
      <c r="E391" s="1" t="s">
        <v>222</v>
      </c>
      <c r="L391" s="5">
        <f>IFERROR(VLOOKUP($D391&amp;$C391,生产方式定位!$A$2:$E$38,2,FALSE)+VLOOKUP($E391&amp;$C391,生产方式定位!$F$3:$J$38,2,FALSE),0)</f>
        <v>1400</v>
      </c>
      <c r="S391" s="5">
        <f>IFERROR(VLOOKUP($D391&amp;$C391,生产方式定位!$A$2:$E$38,3,FALSE)+VLOOKUP($E391&amp;$C391,生产方式定位!$F$3:$J$38,3,FALSE),0)</f>
        <v>85</v>
      </c>
      <c r="X391" s="5">
        <f>IFERROR(VLOOKUP($D391&amp;$C391,生产方式定位!$A$2:$E$38,5,FALSE)+VLOOKUP($E391&amp;$C391,生产方式定位!$F$3:$J$38,5,FALSE),"错误")</f>
        <v>1732</v>
      </c>
      <c r="Y391" s="27" t="str">
        <f t="shared" si="102"/>
        <v/>
      </c>
      <c r="Z391" s="50" t="str">
        <f t="shared" si="105"/>
        <v/>
      </c>
      <c r="AA391" s="50" t="str">
        <f t="shared" si="103"/>
        <v/>
      </c>
      <c r="AB391" s="28" t="str">
        <f t="shared" si="106"/>
        <v>24%</v>
      </c>
      <c r="AC391" s="1">
        <f t="shared" si="107"/>
        <v>247</v>
      </c>
      <c r="AD391" s="51">
        <f t="shared" si="104"/>
        <v>2</v>
      </c>
      <c r="AE391" t="str">
        <f t="shared" si="108"/>
        <v/>
      </c>
      <c r="AF391" t="str">
        <f t="shared" si="109"/>
        <v/>
      </c>
      <c r="AG391" t="str">
        <f t="shared" si="110"/>
        <v/>
      </c>
      <c r="AH391" t="str">
        <f t="shared" si="111"/>
        <v/>
      </c>
      <c r="AI391" t="str">
        <f t="shared" si="112"/>
        <v/>
      </c>
      <c r="AJ391" t="str">
        <f t="shared" si="113"/>
        <v/>
      </c>
      <c r="AK391" t="str">
        <f t="shared" si="114"/>
        <v/>
      </c>
      <c r="AL391" t="str">
        <f t="shared" si="115"/>
        <v/>
      </c>
      <c r="AN391" t="str">
        <f>IFERROR(ROUND(L391*(G391/$AW391)/VLOOKUP(F391,商品!$A$4:$D$67,4,FALSE),0),"")</f>
        <v/>
      </c>
      <c r="AO391" t="str">
        <f>IFERROR(ROUND(L391*(I391/$AW391)/VLOOKUP(H391,商品!$A$4:$D$67,4,FALSE),0),"")</f>
        <v/>
      </c>
      <c r="AP391" t="str">
        <f>IFERROR(ROUND(L391*(K391/$AW391)/VLOOKUP(J391,商品!$A$4:$D$67,4,FALSE),0),"")</f>
        <v/>
      </c>
      <c r="AQ391" t="str">
        <f>IFERROR(ROUND(S391*(N391/$AX391)/VLOOKUP(M391,职业!$A$3:$E$16,4,FALSE),0),"")</f>
        <v/>
      </c>
      <c r="AR391" t="str">
        <f>IFERROR(ROUND(S391*(P391/$AX391)/VLOOKUP(O391,职业!$A$3:$E$16,4,FALSE),0),"")</f>
        <v/>
      </c>
      <c r="AS391" t="str">
        <f>IFERROR(ROUND(S391*(R391/$AX391)/VLOOKUP(Q391,职业!$A$3:$E$16,4,FALSE),0),"")</f>
        <v/>
      </c>
      <c r="AT391" t="str">
        <f>IFERROR(ROUND(X391*(U391/$AY391)/VLOOKUP(T391,商品!$A$4:$D$67,4,FALSE),0),"")</f>
        <v/>
      </c>
      <c r="AU391" t="str">
        <f>IFERROR(ROUND(X391*(W391/$AY391)/VLOOKUP(V391,商品!$A$4:$D$67,4,FALSE),0),"")</f>
        <v/>
      </c>
      <c r="AW391">
        <f t="shared" si="116"/>
        <v>0</v>
      </c>
      <c r="AX391">
        <f t="shared" si="117"/>
        <v>0</v>
      </c>
      <c r="AY391">
        <f t="shared" si="118"/>
        <v>0</v>
      </c>
    </row>
    <row r="392" customHeight="1" spans="1:51">
      <c r="A392" s="5" t="s">
        <v>357</v>
      </c>
      <c r="C392" s="5">
        <v>3</v>
      </c>
      <c r="D392" s="1" t="s">
        <v>238</v>
      </c>
      <c r="E392" s="1" t="s">
        <v>222</v>
      </c>
      <c r="L392" s="5">
        <f>IFERROR(VLOOKUP($D392&amp;$C392,生产方式定位!$A$2:$E$38,2,FALSE)+VLOOKUP($E392&amp;$C392,生产方式定位!$F$3:$J$38,2,FALSE),0)</f>
        <v>1425</v>
      </c>
      <c r="S392" s="5">
        <f>IFERROR(VLOOKUP($D392&amp;$C392,生产方式定位!$A$2:$E$38,3,FALSE)+VLOOKUP($E392&amp;$C392,生产方式定位!$F$3:$J$38,3,FALSE),0)</f>
        <v>90</v>
      </c>
      <c r="X392" s="5">
        <f>IFERROR(VLOOKUP($D392&amp;$C392,生产方式定位!$A$2:$E$38,5,FALSE)+VLOOKUP($E392&amp;$C392,生产方式定位!$F$3:$J$38,5,FALSE),"错误")</f>
        <v>2112</v>
      </c>
      <c r="Y392" s="27" t="str">
        <f t="shared" si="102"/>
        <v/>
      </c>
      <c r="Z392" s="50" t="str">
        <f t="shared" si="105"/>
        <v/>
      </c>
      <c r="AA392" s="50" t="str">
        <f t="shared" si="103"/>
        <v/>
      </c>
      <c r="AB392" s="28" t="str">
        <f t="shared" si="106"/>
        <v>48%</v>
      </c>
      <c r="AC392" s="1">
        <f t="shared" si="107"/>
        <v>597</v>
      </c>
      <c r="AD392" s="51">
        <f t="shared" si="104"/>
        <v>3</v>
      </c>
      <c r="AE392" t="str">
        <f t="shared" si="108"/>
        <v/>
      </c>
      <c r="AF392" t="str">
        <f t="shared" si="109"/>
        <v/>
      </c>
      <c r="AG392" t="str">
        <f t="shared" si="110"/>
        <v/>
      </c>
      <c r="AH392" t="str">
        <f t="shared" si="111"/>
        <v/>
      </c>
      <c r="AI392" t="str">
        <f t="shared" si="112"/>
        <v/>
      </c>
      <c r="AJ392" t="str">
        <f t="shared" si="113"/>
        <v/>
      </c>
      <c r="AK392" t="str">
        <f t="shared" si="114"/>
        <v/>
      </c>
      <c r="AL392" t="str">
        <f t="shared" si="115"/>
        <v/>
      </c>
      <c r="AN392" t="str">
        <f>IFERROR(ROUND(L392*(G392/$AW392)/VLOOKUP(F392,商品!$A$4:$D$67,4,FALSE),0),"")</f>
        <v/>
      </c>
      <c r="AO392" t="str">
        <f>IFERROR(ROUND(L392*(I392/$AW392)/VLOOKUP(H392,商品!$A$4:$D$67,4,FALSE),0),"")</f>
        <v/>
      </c>
      <c r="AP392" t="str">
        <f>IFERROR(ROUND(L392*(K392/$AW392)/VLOOKUP(J392,商品!$A$4:$D$67,4,FALSE),0),"")</f>
        <v/>
      </c>
      <c r="AQ392" t="str">
        <f>IFERROR(ROUND(S392*(N392/$AX392)/VLOOKUP(M392,职业!$A$3:$E$16,4,FALSE),0),"")</f>
        <v/>
      </c>
      <c r="AR392" t="str">
        <f>IFERROR(ROUND(S392*(P392/$AX392)/VLOOKUP(O392,职业!$A$3:$E$16,4,FALSE),0),"")</f>
        <v/>
      </c>
      <c r="AS392" t="str">
        <f>IFERROR(ROUND(S392*(R392/$AX392)/VLOOKUP(Q392,职业!$A$3:$E$16,4,FALSE),0),"")</f>
        <v/>
      </c>
      <c r="AT392" t="str">
        <f>IFERROR(ROUND(X392*(U392/$AY392)/VLOOKUP(T392,商品!$A$4:$D$67,4,FALSE),0),"")</f>
        <v/>
      </c>
      <c r="AU392" t="str">
        <f>IFERROR(ROUND(X392*(W392/$AY392)/VLOOKUP(V392,商品!$A$4:$D$67,4,FALSE),0),"")</f>
        <v/>
      </c>
      <c r="AW392">
        <f t="shared" si="116"/>
        <v>0</v>
      </c>
      <c r="AX392">
        <f t="shared" si="117"/>
        <v>0</v>
      </c>
      <c r="AY392">
        <f t="shared" si="118"/>
        <v>0</v>
      </c>
    </row>
    <row r="393" customHeight="1" spans="1:51">
      <c r="A393" s="5" t="s">
        <v>357</v>
      </c>
      <c r="C393" s="5">
        <v>4</v>
      </c>
      <c r="D393" s="1" t="s">
        <v>238</v>
      </c>
      <c r="E393" s="1" t="s">
        <v>222</v>
      </c>
      <c r="L393" s="5">
        <f>IFERROR(VLOOKUP($D393&amp;$C393,生产方式定位!$A$2:$E$38,2,FALSE)+VLOOKUP($E393&amp;$C393,生产方式定位!$F$3:$J$38,2,FALSE),0)</f>
        <v>1450</v>
      </c>
      <c r="S393" s="5">
        <f>IFERROR(VLOOKUP($D393&amp;$C393,生产方式定位!$A$2:$E$38,3,FALSE)+VLOOKUP($E393&amp;$C393,生产方式定位!$F$3:$J$38,3,FALSE),0)</f>
        <v>95</v>
      </c>
      <c r="X393" s="5">
        <f>IFERROR(VLOOKUP($D393&amp;$C393,生产方式定位!$A$2:$E$38,5,FALSE)+VLOOKUP($E393&amp;$C393,生产方式定位!$F$3:$J$38,5,FALSE),"错误")</f>
        <v>2733</v>
      </c>
      <c r="Y393" s="27" t="str">
        <f t="shared" si="102"/>
        <v/>
      </c>
      <c r="Z393" s="50" t="str">
        <f t="shared" si="105"/>
        <v/>
      </c>
      <c r="AA393" s="50" t="str">
        <f t="shared" si="103"/>
        <v/>
      </c>
      <c r="AB393" s="28" t="str">
        <f t="shared" si="106"/>
        <v>88%</v>
      </c>
      <c r="AC393" s="1">
        <f t="shared" si="107"/>
        <v>1188</v>
      </c>
      <c r="AD393" s="51">
        <f t="shared" si="104"/>
        <v>4</v>
      </c>
      <c r="AE393" t="str">
        <f t="shared" si="108"/>
        <v/>
      </c>
      <c r="AF393" t="str">
        <f t="shared" si="109"/>
        <v/>
      </c>
      <c r="AG393" t="str">
        <f t="shared" si="110"/>
        <v/>
      </c>
      <c r="AH393" t="str">
        <f t="shared" si="111"/>
        <v/>
      </c>
      <c r="AI393" t="str">
        <f t="shared" si="112"/>
        <v/>
      </c>
      <c r="AJ393" t="str">
        <f t="shared" si="113"/>
        <v/>
      </c>
      <c r="AK393" t="str">
        <f t="shared" si="114"/>
        <v/>
      </c>
      <c r="AL393" t="str">
        <f t="shared" si="115"/>
        <v/>
      </c>
      <c r="AN393" t="str">
        <f>IFERROR(ROUND(L393*(G393/$AW393)/VLOOKUP(F393,商品!$A$4:$D$67,4,FALSE),0),"")</f>
        <v/>
      </c>
      <c r="AO393" t="str">
        <f>IFERROR(ROUND(L393*(I393/$AW393)/VLOOKUP(H393,商品!$A$4:$D$67,4,FALSE),0),"")</f>
        <v/>
      </c>
      <c r="AP393" t="str">
        <f>IFERROR(ROUND(L393*(K393/$AW393)/VLOOKUP(J393,商品!$A$4:$D$67,4,FALSE),0),"")</f>
        <v/>
      </c>
      <c r="AQ393" t="str">
        <f>IFERROR(ROUND(S393*(N393/$AX393)/VLOOKUP(M393,职业!$A$3:$E$16,4,FALSE),0),"")</f>
        <v/>
      </c>
      <c r="AR393" t="str">
        <f>IFERROR(ROUND(S393*(P393/$AX393)/VLOOKUP(O393,职业!$A$3:$E$16,4,FALSE),0),"")</f>
        <v/>
      </c>
      <c r="AS393" t="str">
        <f>IFERROR(ROUND(S393*(R393/$AX393)/VLOOKUP(Q393,职业!$A$3:$E$16,4,FALSE),0),"")</f>
        <v/>
      </c>
      <c r="AT393" t="str">
        <f>IFERROR(ROUND(X393*(U393/$AY393)/VLOOKUP(T393,商品!$A$4:$D$67,4,FALSE),0),"")</f>
        <v/>
      </c>
      <c r="AU393" t="str">
        <f>IFERROR(ROUND(X393*(W393/$AY393)/VLOOKUP(V393,商品!$A$4:$D$67,4,FALSE),0),"")</f>
        <v/>
      </c>
      <c r="AW393">
        <f t="shared" si="116"/>
        <v>0</v>
      </c>
      <c r="AX393">
        <f t="shared" si="117"/>
        <v>0</v>
      </c>
      <c r="AY393">
        <f t="shared" si="118"/>
        <v>0</v>
      </c>
    </row>
    <row r="394" customHeight="1" spans="1:51">
      <c r="A394" s="5" t="s">
        <v>357</v>
      </c>
      <c r="C394" s="5">
        <v>5</v>
      </c>
      <c r="D394" s="1" t="s">
        <v>238</v>
      </c>
      <c r="E394" s="1" t="s">
        <v>222</v>
      </c>
      <c r="L394" s="5">
        <f>IFERROR(VLOOKUP($D394&amp;$C394,生产方式定位!$A$2:$E$38,2,FALSE)+VLOOKUP($E394&amp;$C394,生产方式定位!$F$3:$J$38,2,FALSE),0)</f>
        <v>1475</v>
      </c>
      <c r="S394" s="5">
        <f>IFERROR(VLOOKUP($D394&amp;$C394,生产方式定位!$A$2:$E$38,3,FALSE)+VLOOKUP($E394&amp;$C394,生产方式定位!$F$3:$J$38,3,FALSE),0)</f>
        <v>100</v>
      </c>
      <c r="X394" s="5">
        <f>IFERROR(VLOOKUP($D394&amp;$C394,生产方式定位!$A$2:$E$38,5,FALSE)+VLOOKUP($E394&amp;$C394,生产方式定位!$F$3:$J$38,5,FALSE),"错误")</f>
        <v>3763</v>
      </c>
      <c r="Y394" s="27" t="str">
        <f t="shared" si="102"/>
        <v/>
      </c>
      <c r="Z394" s="50" t="str">
        <f t="shared" si="105"/>
        <v/>
      </c>
      <c r="AA394" s="50" t="str">
        <f t="shared" si="103"/>
        <v/>
      </c>
      <c r="AB394" s="28" t="str">
        <f t="shared" si="106"/>
        <v>155%</v>
      </c>
      <c r="AC394" s="1">
        <f t="shared" si="107"/>
        <v>2188</v>
      </c>
      <c r="AD394" s="51">
        <f t="shared" si="104"/>
        <v>5</v>
      </c>
      <c r="AE394" t="str">
        <f t="shared" si="108"/>
        <v/>
      </c>
      <c r="AF394" t="str">
        <f t="shared" si="109"/>
        <v/>
      </c>
      <c r="AG394" t="str">
        <f t="shared" si="110"/>
        <v/>
      </c>
      <c r="AH394" t="str">
        <f t="shared" si="111"/>
        <v/>
      </c>
      <c r="AI394" t="str">
        <f t="shared" si="112"/>
        <v/>
      </c>
      <c r="AJ394" t="str">
        <f t="shared" si="113"/>
        <v/>
      </c>
      <c r="AK394" t="str">
        <f t="shared" si="114"/>
        <v/>
      </c>
      <c r="AL394" t="str">
        <f t="shared" si="115"/>
        <v/>
      </c>
      <c r="AN394" t="str">
        <f>IFERROR(ROUND(L394*(G394/$AW394)/VLOOKUP(F394,商品!$A$4:$D$67,4,FALSE),0),"")</f>
        <v/>
      </c>
      <c r="AO394" t="str">
        <f>IFERROR(ROUND(L394*(I394/$AW394)/VLOOKUP(H394,商品!$A$4:$D$67,4,FALSE),0),"")</f>
        <v/>
      </c>
      <c r="AP394" t="str">
        <f>IFERROR(ROUND(L394*(K394/$AW394)/VLOOKUP(J394,商品!$A$4:$D$67,4,FALSE),0),"")</f>
        <v/>
      </c>
      <c r="AQ394" t="str">
        <f>IFERROR(ROUND(S394*(N394/$AX394)/VLOOKUP(M394,职业!$A$3:$E$16,4,FALSE),0),"")</f>
        <v/>
      </c>
      <c r="AR394" t="str">
        <f>IFERROR(ROUND(S394*(P394/$AX394)/VLOOKUP(O394,职业!$A$3:$E$16,4,FALSE),0),"")</f>
        <v/>
      </c>
      <c r="AS394" t="str">
        <f>IFERROR(ROUND(S394*(R394/$AX394)/VLOOKUP(Q394,职业!$A$3:$E$16,4,FALSE),0),"")</f>
        <v/>
      </c>
      <c r="AT394" t="str">
        <f>IFERROR(ROUND(X394*(U394/$AY394)/VLOOKUP(T394,商品!$A$4:$D$67,4,FALSE),0),"")</f>
        <v/>
      </c>
      <c r="AU394" t="str">
        <f>IFERROR(ROUND(X394*(W394/$AY394)/VLOOKUP(V394,商品!$A$4:$D$67,4,FALSE),0),"")</f>
        <v/>
      </c>
      <c r="AW394">
        <f t="shared" si="116"/>
        <v>0</v>
      </c>
      <c r="AX394">
        <f t="shared" si="117"/>
        <v>0</v>
      </c>
      <c r="AY394">
        <f t="shared" si="118"/>
        <v>0</v>
      </c>
    </row>
    <row r="395" customHeight="1" spans="1:51">
      <c r="A395" s="18" t="s">
        <v>358</v>
      </c>
      <c r="C395" s="18">
        <v>1</v>
      </c>
      <c r="D395" s="1" t="s">
        <v>238</v>
      </c>
      <c r="E395" s="1" t="s">
        <v>224</v>
      </c>
      <c r="L395" s="18">
        <f>IFERROR(VLOOKUP($D395&amp;$C395,生产方式定位!$A$2:$E$38,2,FALSE)+VLOOKUP($E395&amp;$C395,生产方式定位!$F$3:$J$38,2,FALSE),0)</f>
        <v>1000</v>
      </c>
      <c r="S395" s="18">
        <f>IFERROR(VLOOKUP($D395&amp;$C395,生产方式定位!$A$2:$E$38,3,FALSE)+VLOOKUP($E395&amp;$C395,生产方式定位!$F$3:$J$38,3,FALSE),0)</f>
        <v>80</v>
      </c>
      <c r="X395" s="18">
        <f>IFERROR(VLOOKUP($D395&amp;$C395,生产方式定位!$A$2:$E$38,5,FALSE)+VLOOKUP($E395&amp;$C395,生产方式定位!$F$3:$J$38,5,FALSE),"错误")</f>
        <v>972</v>
      </c>
      <c r="Y395" s="27" t="str">
        <f t="shared" si="102"/>
        <v/>
      </c>
      <c r="Z395" s="50" t="str">
        <f t="shared" si="105"/>
        <v/>
      </c>
      <c r="AA395" s="50" t="str">
        <f t="shared" si="103"/>
        <v/>
      </c>
      <c r="AB395" s="28" t="str">
        <f t="shared" si="106"/>
        <v>-3%</v>
      </c>
      <c r="AC395" s="1">
        <f t="shared" si="107"/>
        <v>-108</v>
      </c>
      <c r="AD395" s="52">
        <f t="shared" si="104"/>
        <v>1</v>
      </c>
      <c r="AE395" t="str">
        <f t="shared" si="108"/>
        <v/>
      </c>
      <c r="AF395" t="str">
        <f t="shared" si="109"/>
        <v/>
      </c>
      <c r="AG395" t="str">
        <f t="shared" si="110"/>
        <v/>
      </c>
      <c r="AH395" t="str">
        <f t="shared" si="111"/>
        <v/>
      </c>
      <c r="AI395" t="str">
        <f t="shared" si="112"/>
        <v/>
      </c>
      <c r="AJ395" t="str">
        <f t="shared" si="113"/>
        <v/>
      </c>
      <c r="AK395" t="str">
        <f t="shared" si="114"/>
        <v/>
      </c>
      <c r="AL395" t="str">
        <f t="shared" si="115"/>
        <v/>
      </c>
      <c r="AN395" t="str">
        <f>IFERROR(ROUND(L395*(G395/$AW395)/VLOOKUP(F395,商品!$A$4:$D$67,4,FALSE),0),"")</f>
        <v/>
      </c>
      <c r="AO395" t="str">
        <f>IFERROR(ROUND(L395*(I395/$AW395)/VLOOKUP(H395,商品!$A$4:$D$67,4,FALSE),0),"")</f>
        <v/>
      </c>
      <c r="AP395" t="str">
        <f>IFERROR(ROUND(L395*(K395/$AW395)/VLOOKUP(J395,商品!$A$4:$D$67,4,FALSE),0),"")</f>
        <v/>
      </c>
      <c r="AQ395" t="str">
        <f>IFERROR(ROUND(S395*(N395/$AX395)/VLOOKUP(M395,职业!$A$3:$E$16,4,FALSE),0),"")</f>
        <v/>
      </c>
      <c r="AR395" t="str">
        <f>IFERROR(ROUND(S395*(P395/$AX395)/VLOOKUP(O395,职业!$A$3:$E$16,4,FALSE),0),"")</f>
        <v/>
      </c>
      <c r="AS395" t="str">
        <f>IFERROR(ROUND(S395*(R395/$AX395)/VLOOKUP(Q395,职业!$A$3:$E$16,4,FALSE),0),"")</f>
        <v/>
      </c>
      <c r="AT395" t="str">
        <f>IFERROR(ROUND(X395*(U395/$AY395)/VLOOKUP(T395,商品!$A$4:$D$67,4,FALSE),0),"")</f>
        <v/>
      </c>
      <c r="AU395" t="str">
        <f>IFERROR(ROUND(X395*(W395/$AY395)/VLOOKUP(V395,商品!$A$4:$D$67,4,FALSE),0),"")</f>
        <v/>
      </c>
      <c r="AW395">
        <f t="shared" si="116"/>
        <v>0</v>
      </c>
      <c r="AX395">
        <f t="shared" si="117"/>
        <v>0</v>
      </c>
      <c r="AY395">
        <f t="shared" si="118"/>
        <v>0</v>
      </c>
    </row>
    <row r="396" customHeight="1" spans="1:51">
      <c r="A396" s="18" t="s">
        <v>358</v>
      </c>
      <c r="C396" s="18">
        <v>2</v>
      </c>
      <c r="D396" s="1" t="s">
        <v>238</v>
      </c>
      <c r="E396" s="1" t="s">
        <v>224</v>
      </c>
      <c r="L396" s="18">
        <f>IFERROR(VLOOKUP($D396&amp;$C396,生产方式定位!$A$2:$E$38,2,FALSE)+VLOOKUP($E396&amp;$C396,生产方式定位!$F$3:$J$38,2,FALSE),0)</f>
        <v>1400</v>
      </c>
      <c r="S396" s="18">
        <f>IFERROR(VLOOKUP($D396&amp;$C396,生产方式定位!$A$2:$E$38,3,FALSE)+VLOOKUP($E396&amp;$C396,生产方式定位!$F$3:$J$38,3,FALSE),0)</f>
        <v>45</v>
      </c>
      <c r="X396" s="18">
        <f>IFERROR(VLOOKUP($D396&amp;$C396,生产方式定位!$A$2:$E$38,5,FALSE)+VLOOKUP($E396&amp;$C396,生产方式定位!$F$3:$J$38,5,FALSE),"错误")</f>
        <v>1688</v>
      </c>
      <c r="Y396" s="27" t="str">
        <f t="shared" si="102"/>
        <v/>
      </c>
      <c r="Z396" s="50" t="str">
        <f t="shared" si="105"/>
        <v/>
      </c>
      <c r="AA396" s="50" t="str">
        <f t="shared" si="103"/>
        <v/>
      </c>
      <c r="AB396" s="28" t="str">
        <f t="shared" si="106"/>
        <v>21%</v>
      </c>
      <c r="AC396" s="1">
        <f t="shared" si="107"/>
        <v>243</v>
      </c>
      <c r="AD396" s="52">
        <f t="shared" si="104"/>
        <v>2</v>
      </c>
      <c r="AE396" t="str">
        <f t="shared" si="108"/>
        <v/>
      </c>
      <c r="AF396" t="str">
        <f t="shared" si="109"/>
        <v/>
      </c>
      <c r="AG396" t="str">
        <f t="shared" si="110"/>
        <v/>
      </c>
      <c r="AH396" t="str">
        <f t="shared" si="111"/>
        <v/>
      </c>
      <c r="AI396" t="str">
        <f t="shared" si="112"/>
        <v/>
      </c>
      <c r="AJ396" t="str">
        <f t="shared" si="113"/>
        <v/>
      </c>
      <c r="AK396" t="str">
        <f t="shared" si="114"/>
        <v/>
      </c>
      <c r="AL396" t="str">
        <f t="shared" si="115"/>
        <v/>
      </c>
      <c r="AN396" t="str">
        <f>IFERROR(ROUND(L396*(G396/$AW396)/VLOOKUP(F396,商品!$A$4:$D$67,4,FALSE),0),"")</f>
        <v/>
      </c>
      <c r="AO396" t="str">
        <f>IFERROR(ROUND(L396*(I396/$AW396)/VLOOKUP(H396,商品!$A$4:$D$67,4,FALSE),0),"")</f>
        <v/>
      </c>
      <c r="AP396" t="str">
        <f>IFERROR(ROUND(L396*(K396/$AW396)/VLOOKUP(J396,商品!$A$4:$D$67,4,FALSE),0),"")</f>
        <v/>
      </c>
      <c r="AQ396" t="str">
        <f>IFERROR(ROUND(S396*(N396/$AX396)/VLOOKUP(M396,职业!$A$3:$E$16,4,FALSE),0),"")</f>
        <v/>
      </c>
      <c r="AR396" t="str">
        <f>IFERROR(ROUND(S396*(P396/$AX396)/VLOOKUP(O396,职业!$A$3:$E$16,4,FALSE),0),"")</f>
        <v/>
      </c>
      <c r="AS396" t="str">
        <f>IFERROR(ROUND(S396*(R396/$AX396)/VLOOKUP(Q396,职业!$A$3:$E$16,4,FALSE),0),"")</f>
        <v/>
      </c>
      <c r="AT396" t="str">
        <f>IFERROR(ROUND(X396*(U396/$AY396)/VLOOKUP(T396,商品!$A$4:$D$67,4,FALSE),0),"")</f>
        <v/>
      </c>
      <c r="AU396" t="str">
        <f>IFERROR(ROUND(X396*(W396/$AY396)/VLOOKUP(V396,商品!$A$4:$D$67,4,FALSE),0),"")</f>
        <v/>
      </c>
      <c r="AW396">
        <f t="shared" si="116"/>
        <v>0</v>
      </c>
      <c r="AX396">
        <f t="shared" si="117"/>
        <v>0</v>
      </c>
      <c r="AY396">
        <f t="shared" si="118"/>
        <v>0</v>
      </c>
    </row>
    <row r="397" customHeight="1" spans="1:51">
      <c r="A397" s="18" t="s">
        <v>358</v>
      </c>
      <c r="C397" s="18">
        <v>3</v>
      </c>
      <c r="D397" s="1" t="s">
        <v>238</v>
      </c>
      <c r="E397" s="1" t="s">
        <v>224</v>
      </c>
      <c r="L397" s="18">
        <f>IFERROR(VLOOKUP($D397&amp;$C397,生产方式定位!$A$2:$E$38,2,FALSE)+VLOOKUP($E397&amp;$C397,生产方式定位!$F$3:$J$38,2,FALSE),0)</f>
        <v>1800</v>
      </c>
      <c r="S397" s="18">
        <f>IFERROR(VLOOKUP($D397&amp;$C397,生产方式定位!$A$2:$E$38,3,FALSE)+VLOOKUP($E397&amp;$C397,生产方式定位!$F$3:$J$38,3,FALSE),0)</f>
        <v>30</v>
      </c>
      <c r="X397" s="18">
        <f>IFERROR(VLOOKUP($D397&amp;$C397,生产方式定位!$A$2:$E$38,5,FALSE)+VLOOKUP($E397&amp;$C397,生产方式定位!$F$3:$J$38,5,FALSE),"错误")</f>
        <v>2458</v>
      </c>
      <c r="Y397" s="27" t="str">
        <f t="shared" si="102"/>
        <v/>
      </c>
      <c r="Z397" s="50" t="str">
        <f t="shared" si="105"/>
        <v/>
      </c>
      <c r="AA397" s="50" t="str">
        <f t="shared" si="103"/>
        <v/>
      </c>
      <c r="AB397" s="28" t="str">
        <f t="shared" si="106"/>
        <v>37%</v>
      </c>
      <c r="AC397" s="1">
        <f t="shared" si="107"/>
        <v>628</v>
      </c>
      <c r="AD397" s="52">
        <f t="shared" si="104"/>
        <v>3</v>
      </c>
      <c r="AE397" t="str">
        <f t="shared" si="108"/>
        <v/>
      </c>
      <c r="AF397" t="str">
        <f t="shared" si="109"/>
        <v/>
      </c>
      <c r="AG397" t="str">
        <f t="shared" si="110"/>
        <v/>
      </c>
      <c r="AH397" t="str">
        <f t="shared" si="111"/>
        <v/>
      </c>
      <c r="AI397" t="str">
        <f t="shared" si="112"/>
        <v/>
      </c>
      <c r="AJ397" t="str">
        <f t="shared" si="113"/>
        <v/>
      </c>
      <c r="AK397" t="str">
        <f t="shared" si="114"/>
        <v/>
      </c>
      <c r="AL397" t="str">
        <f t="shared" si="115"/>
        <v/>
      </c>
      <c r="AN397" t="str">
        <f>IFERROR(ROUND(L397*(G397/$AW397)/VLOOKUP(F397,商品!$A$4:$D$67,4,FALSE),0),"")</f>
        <v/>
      </c>
      <c r="AO397" t="str">
        <f>IFERROR(ROUND(L397*(I397/$AW397)/VLOOKUP(H397,商品!$A$4:$D$67,4,FALSE),0),"")</f>
        <v/>
      </c>
      <c r="AP397" t="str">
        <f>IFERROR(ROUND(L397*(K397/$AW397)/VLOOKUP(J397,商品!$A$4:$D$67,4,FALSE),0),"")</f>
        <v/>
      </c>
      <c r="AQ397" t="str">
        <f>IFERROR(ROUND(S397*(N397/$AX397)/VLOOKUP(M397,职业!$A$3:$E$16,4,FALSE),0),"")</f>
        <v/>
      </c>
      <c r="AR397" t="str">
        <f>IFERROR(ROUND(S397*(P397/$AX397)/VLOOKUP(O397,职业!$A$3:$E$16,4,FALSE),0),"")</f>
        <v/>
      </c>
      <c r="AS397" t="str">
        <f>IFERROR(ROUND(S397*(R397/$AX397)/VLOOKUP(Q397,职业!$A$3:$E$16,4,FALSE),0),"")</f>
        <v/>
      </c>
      <c r="AT397" t="str">
        <f>IFERROR(ROUND(X397*(U397/$AY397)/VLOOKUP(T397,商品!$A$4:$D$67,4,FALSE),0),"")</f>
        <v/>
      </c>
      <c r="AU397" t="str">
        <f>IFERROR(ROUND(X397*(W397/$AY397)/VLOOKUP(V397,商品!$A$4:$D$67,4,FALSE),0),"")</f>
        <v/>
      </c>
      <c r="AW397">
        <f t="shared" si="116"/>
        <v>0</v>
      </c>
      <c r="AX397">
        <f t="shared" si="117"/>
        <v>0</v>
      </c>
      <c r="AY397">
        <f t="shared" si="118"/>
        <v>0</v>
      </c>
    </row>
    <row r="398" customHeight="1" spans="1:51">
      <c r="A398" s="18" t="s">
        <v>358</v>
      </c>
      <c r="C398" s="18">
        <v>4</v>
      </c>
      <c r="D398" s="1" t="s">
        <v>238</v>
      </c>
      <c r="E398" s="1" t="s">
        <v>224</v>
      </c>
      <c r="L398" s="18">
        <f>IFERROR(VLOOKUP($D398&amp;$C398,生产方式定位!$A$2:$E$38,2,FALSE)+VLOOKUP($E398&amp;$C398,生产方式定位!$F$3:$J$38,2,FALSE),0)</f>
        <v>2200</v>
      </c>
      <c r="S398" s="18">
        <f>IFERROR(VLOOKUP($D398&amp;$C398,生产方式定位!$A$2:$E$38,3,FALSE)+VLOOKUP($E398&amp;$C398,生产方式定位!$F$3:$J$38,3,FALSE),0)</f>
        <v>15</v>
      </c>
      <c r="X398" s="18">
        <f>IFERROR(VLOOKUP($D398&amp;$C398,生产方式定位!$A$2:$E$38,5,FALSE)+VLOOKUP($E398&amp;$C398,生产方式定位!$F$3:$J$38,5,FALSE),"错误")</f>
        <v>3470</v>
      </c>
      <c r="Y398" s="27" t="str">
        <f t="shared" si="102"/>
        <v/>
      </c>
      <c r="Z398" s="50" t="str">
        <f t="shared" si="105"/>
        <v/>
      </c>
      <c r="AA398" s="50" t="str">
        <f t="shared" si="103"/>
        <v/>
      </c>
      <c r="AB398" s="28" t="str">
        <f t="shared" si="106"/>
        <v>58%</v>
      </c>
      <c r="AC398" s="1">
        <f t="shared" si="107"/>
        <v>1255</v>
      </c>
      <c r="AD398" s="52">
        <f t="shared" si="104"/>
        <v>4</v>
      </c>
      <c r="AE398" t="str">
        <f t="shared" si="108"/>
        <v/>
      </c>
      <c r="AF398" t="str">
        <f t="shared" si="109"/>
        <v/>
      </c>
      <c r="AG398" t="str">
        <f t="shared" si="110"/>
        <v/>
      </c>
      <c r="AH398" t="str">
        <f t="shared" si="111"/>
        <v/>
      </c>
      <c r="AI398" t="str">
        <f t="shared" si="112"/>
        <v/>
      </c>
      <c r="AJ398" t="str">
        <f t="shared" si="113"/>
        <v/>
      </c>
      <c r="AK398" t="str">
        <f t="shared" si="114"/>
        <v/>
      </c>
      <c r="AL398" t="str">
        <f t="shared" si="115"/>
        <v/>
      </c>
      <c r="AN398" t="str">
        <f>IFERROR(ROUND(L398*(G398/$AW398)/VLOOKUP(F398,商品!$A$4:$D$67,4,FALSE),0),"")</f>
        <v/>
      </c>
      <c r="AO398" t="str">
        <f>IFERROR(ROUND(L398*(I398/$AW398)/VLOOKUP(H398,商品!$A$4:$D$67,4,FALSE),0),"")</f>
        <v/>
      </c>
      <c r="AP398" t="str">
        <f>IFERROR(ROUND(L398*(K398/$AW398)/VLOOKUP(J398,商品!$A$4:$D$67,4,FALSE),0),"")</f>
        <v/>
      </c>
      <c r="AQ398" t="str">
        <f>IFERROR(ROUND(S398*(N398/$AX398)/VLOOKUP(M398,职业!$A$3:$E$16,4,FALSE),0),"")</f>
        <v/>
      </c>
      <c r="AR398" t="str">
        <f>IFERROR(ROUND(S398*(P398/$AX398)/VLOOKUP(O398,职业!$A$3:$E$16,4,FALSE),0),"")</f>
        <v/>
      </c>
      <c r="AS398" t="str">
        <f>IFERROR(ROUND(S398*(R398/$AX398)/VLOOKUP(Q398,职业!$A$3:$E$16,4,FALSE),0),"")</f>
        <v/>
      </c>
      <c r="AT398" t="str">
        <f>IFERROR(ROUND(X398*(U398/$AY398)/VLOOKUP(T398,商品!$A$4:$D$67,4,FALSE),0),"")</f>
        <v/>
      </c>
      <c r="AU398" t="str">
        <f>IFERROR(ROUND(X398*(W398/$AY398)/VLOOKUP(V398,商品!$A$4:$D$67,4,FALSE),0),"")</f>
        <v/>
      </c>
      <c r="AW398">
        <f t="shared" si="116"/>
        <v>0</v>
      </c>
      <c r="AX398">
        <f t="shared" si="117"/>
        <v>0</v>
      </c>
      <c r="AY398">
        <f t="shared" si="118"/>
        <v>0</v>
      </c>
    </row>
    <row r="399" customHeight="1" spans="1:51">
      <c r="A399" s="18" t="s">
        <v>358</v>
      </c>
      <c r="C399" s="18">
        <v>5</v>
      </c>
      <c r="D399" s="1" t="s">
        <v>238</v>
      </c>
      <c r="E399" s="1" t="s">
        <v>224</v>
      </c>
      <c r="L399" s="18">
        <f>IFERROR(VLOOKUP($D399&amp;$C399,生产方式定位!$A$2:$E$38,2,FALSE)+VLOOKUP($E399&amp;$C399,生产方式定位!$F$3:$J$38,2,FALSE),0)</f>
        <v>2600</v>
      </c>
      <c r="S399" s="18">
        <f>IFERROR(VLOOKUP($D399&amp;$C399,生产方式定位!$A$2:$E$38,3,FALSE)+VLOOKUP($E399&amp;$C399,生产方式定位!$F$3:$J$38,3,FALSE),0)</f>
        <v>0</v>
      </c>
      <c r="X399" s="18">
        <f>IFERROR(VLOOKUP($D399&amp;$C399,生产方式定位!$A$2:$E$38,5,FALSE)+VLOOKUP($E399&amp;$C399,生产方式定位!$F$3:$J$38,5,FALSE),"错误")</f>
        <v>4890</v>
      </c>
      <c r="Y399" s="27" t="str">
        <f t="shared" si="102"/>
        <v/>
      </c>
      <c r="Z399" s="50" t="str">
        <f t="shared" si="105"/>
        <v/>
      </c>
      <c r="AA399" s="50" t="str">
        <f t="shared" si="103"/>
        <v/>
      </c>
      <c r="AB399" s="28" t="str">
        <f t="shared" si="106"/>
        <v>88%</v>
      </c>
      <c r="AC399" s="1">
        <f t="shared" si="107"/>
        <v>2290</v>
      </c>
      <c r="AD399" s="52">
        <f t="shared" si="104"/>
        <v>5</v>
      </c>
      <c r="AE399" t="str">
        <f t="shared" si="108"/>
        <v/>
      </c>
      <c r="AF399" t="str">
        <f t="shared" si="109"/>
        <v/>
      </c>
      <c r="AG399" t="str">
        <f t="shared" si="110"/>
        <v/>
      </c>
      <c r="AH399" t="str">
        <f t="shared" si="111"/>
        <v/>
      </c>
      <c r="AI399" t="str">
        <f t="shared" si="112"/>
        <v/>
      </c>
      <c r="AJ399" t="str">
        <f t="shared" si="113"/>
        <v/>
      </c>
      <c r="AK399" t="str">
        <f t="shared" si="114"/>
        <v/>
      </c>
      <c r="AL399" t="str">
        <f t="shared" si="115"/>
        <v/>
      </c>
      <c r="AN399" t="str">
        <f>IFERROR(ROUND(L399*(G399/$AW399)/VLOOKUP(F399,商品!$A$4:$D$67,4,FALSE),0),"")</f>
        <v/>
      </c>
      <c r="AO399" t="str">
        <f>IFERROR(ROUND(L399*(I399/$AW399)/VLOOKUP(H399,商品!$A$4:$D$67,4,FALSE),0),"")</f>
        <v/>
      </c>
      <c r="AP399" t="str">
        <f>IFERROR(ROUND(L399*(K399/$AW399)/VLOOKUP(J399,商品!$A$4:$D$67,4,FALSE),0),"")</f>
        <v/>
      </c>
      <c r="AQ399" t="str">
        <f>IFERROR(ROUND(S399*(N399/$AX399)/VLOOKUP(M399,职业!$A$3:$E$16,4,FALSE),0),"")</f>
        <v/>
      </c>
      <c r="AR399" t="str">
        <f>IFERROR(ROUND(S399*(P399/$AX399)/VLOOKUP(O399,职业!$A$3:$E$16,4,FALSE),0),"")</f>
        <v/>
      </c>
      <c r="AS399" t="str">
        <f>IFERROR(ROUND(S399*(R399/$AX399)/VLOOKUP(Q399,职业!$A$3:$E$16,4,FALSE),0),"")</f>
        <v/>
      </c>
      <c r="AT399" t="str">
        <f>IFERROR(ROUND(X399*(U399/$AY399)/VLOOKUP(T399,商品!$A$4:$D$67,4,FALSE),0),"")</f>
        <v/>
      </c>
      <c r="AU399" t="str">
        <f>IFERROR(ROUND(X399*(W399/$AY399)/VLOOKUP(V399,商品!$A$4:$D$67,4,FALSE),0),"")</f>
        <v/>
      </c>
      <c r="AW399">
        <f t="shared" si="116"/>
        <v>0</v>
      </c>
      <c r="AX399">
        <f t="shared" si="117"/>
        <v>0</v>
      </c>
      <c r="AY399">
        <f t="shared" si="118"/>
        <v>0</v>
      </c>
    </row>
    <row r="400" customHeight="1" spans="1:51">
      <c r="A400" s="5" t="s">
        <v>358</v>
      </c>
      <c r="C400" s="5">
        <v>1</v>
      </c>
      <c r="D400" s="1" t="s">
        <v>238</v>
      </c>
      <c r="E400" s="1" t="s">
        <v>224</v>
      </c>
      <c r="L400" s="5">
        <f>IFERROR(VLOOKUP($D400&amp;$C400,生产方式定位!$A$2:$E$38,2,FALSE)+VLOOKUP($E400&amp;$C400,生产方式定位!$F$3:$J$38,2,FALSE),0)</f>
        <v>1000</v>
      </c>
      <c r="S400" s="5">
        <f>IFERROR(VLOOKUP($D400&amp;$C400,生产方式定位!$A$2:$E$38,3,FALSE)+VLOOKUP($E400&amp;$C400,生产方式定位!$F$3:$J$38,3,FALSE),0)</f>
        <v>80</v>
      </c>
      <c r="X400" s="5">
        <f>IFERROR(VLOOKUP($D400&amp;$C400,生产方式定位!$A$2:$E$38,5,FALSE)+VLOOKUP($E400&amp;$C400,生产方式定位!$F$3:$J$38,5,FALSE),"错误")</f>
        <v>972</v>
      </c>
      <c r="Y400" s="27" t="str">
        <f t="shared" si="102"/>
        <v/>
      </c>
      <c r="Z400" s="50" t="str">
        <f t="shared" si="105"/>
        <v/>
      </c>
      <c r="AA400" s="50" t="str">
        <f t="shared" si="103"/>
        <v/>
      </c>
      <c r="AB400" s="28" t="str">
        <f t="shared" si="106"/>
        <v>-3%</v>
      </c>
      <c r="AC400" s="1">
        <f t="shared" si="107"/>
        <v>-108</v>
      </c>
      <c r="AD400" s="51">
        <f t="shared" si="104"/>
        <v>1</v>
      </c>
      <c r="AE400" t="str">
        <f t="shared" si="108"/>
        <v/>
      </c>
      <c r="AF400" t="str">
        <f t="shared" si="109"/>
        <v/>
      </c>
      <c r="AG400" t="str">
        <f t="shared" si="110"/>
        <v/>
      </c>
      <c r="AH400" t="str">
        <f t="shared" si="111"/>
        <v/>
      </c>
      <c r="AI400" t="str">
        <f t="shared" si="112"/>
        <v/>
      </c>
      <c r="AJ400" t="str">
        <f t="shared" si="113"/>
        <v/>
      </c>
      <c r="AK400" t="str">
        <f t="shared" si="114"/>
        <v/>
      </c>
      <c r="AL400" t="str">
        <f t="shared" si="115"/>
        <v/>
      </c>
      <c r="AN400" t="str">
        <f>IFERROR(ROUND(L400*(G400/$AW400)/VLOOKUP(F400,商品!$A$4:$D$67,4,FALSE),0),"")</f>
        <v/>
      </c>
      <c r="AO400" t="str">
        <f>IFERROR(ROUND(L400*(I400/$AW400)/VLOOKUP(H400,商品!$A$4:$D$67,4,FALSE),0),"")</f>
        <v/>
      </c>
      <c r="AP400" t="str">
        <f>IFERROR(ROUND(L400*(K400/$AW400)/VLOOKUP(J400,商品!$A$4:$D$67,4,FALSE),0),"")</f>
        <v/>
      </c>
      <c r="AQ400" t="str">
        <f>IFERROR(ROUND(S400*(N400/$AX400)/VLOOKUP(M400,职业!$A$3:$E$16,4,FALSE),0),"")</f>
        <v/>
      </c>
      <c r="AR400" t="str">
        <f>IFERROR(ROUND(S400*(P400/$AX400)/VLOOKUP(O400,职业!$A$3:$E$16,4,FALSE),0),"")</f>
        <v/>
      </c>
      <c r="AS400" t="str">
        <f>IFERROR(ROUND(S400*(R400/$AX400)/VLOOKUP(Q400,职业!$A$3:$E$16,4,FALSE),0),"")</f>
        <v/>
      </c>
      <c r="AT400" t="str">
        <f>IFERROR(ROUND(X400*(U400/$AY400)/VLOOKUP(T400,商品!$A$4:$D$67,4,FALSE),0),"")</f>
        <v/>
      </c>
      <c r="AU400" t="str">
        <f>IFERROR(ROUND(X400*(W400/$AY400)/VLOOKUP(V400,商品!$A$4:$D$67,4,FALSE),0),"")</f>
        <v/>
      </c>
      <c r="AW400">
        <f t="shared" si="116"/>
        <v>0</v>
      </c>
      <c r="AX400">
        <f t="shared" si="117"/>
        <v>0</v>
      </c>
      <c r="AY400">
        <f t="shared" si="118"/>
        <v>0</v>
      </c>
    </row>
    <row r="401" customHeight="1" spans="1:51">
      <c r="A401" s="5" t="s">
        <v>358</v>
      </c>
      <c r="C401" s="5">
        <v>2</v>
      </c>
      <c r="D401" s="1" t="s">
        <v>238</v>
      </c>
      <c r="E401" s="1" t="s">
        <v>224</v>
      </c>
      <c r="L401" s="5">
        <f>IFERROR(VLOOKUP($D401&amp;$C401,生产方式定位!$A$2:$E$38,2,FALSE)+VLOOKUP($E401&amp;$C401,生产方式定位!$F$3:$J$38,2,FALSE),0)</f>
        <v>1400</v>
      </c>
      <c r="S401" s="5">
        <f>IFERROR(VLOOKUP($D401&amp;$C401,生产方式定位!$A$2:$E$38,3,FALSE)+VLOOKUP($E401&amp;$C401,生产方式定位!$F$3:$J$38,3,FALSE),0)</f>
        <v>45</v>
      </c>
      <c r="X401" s="5">
        <f>IFERROR(VLOOKUP($D401&amp;$C401,生产方式定位!$A$2:$E$38,5,FALSE)+VLOOKUP($E401&amp;$C401,生产方式定位!$F$3:$J$38,5,FALSE),"错误")</f>
        <v>1688</v>
      </c>
      <c r="Y401" s="27" t="str">
        <f t="shared" si="102"/>
        <v/>
      </c>
      <c r="Z401" s="50" t="str">
        <f t="shared" si="105"/>
        <v/>
      </c>
      <c r="AA401" s="50" t="str">
        <f t="shared" si="103"/>
        <v/>
      </c>
      <c r="AB401" s="28" t="str">
        <f t="shared" si="106"/>
        <v>21%</v>
      </c>
      <c r="AC401" s="1">
        <f t="shared" si="107"/>
        <v>243</v>
      </c>
      <c r="AD401" s="51">
        <f t="shared" si="104"/>
        <v>2</v>
      </c>
      <c r="AE401" t="str">
        <f t="shared" si="108"/>
        <v/>
      </c>
      <c r="AF401" t="str">
        <f t="shared" si="109"/>
        <v/>
      </c>
      <c r="AG401" t="str">
        <f t="shared" si="110"/>
        <v/>
      </c>
      <c r="AH401" t="str">
        <f t="shared" si="111"/>
        <v/>
      </c>
      <c r="AI401" t="str">
        <f t="shared" si="112"/>
        <v/>
      </c>
      <c r="AJ401" t="str">
        <f t="shared" si="113"/>
        <v/>
      </c>
      <c r="AK401" t="str">
        <f t="shared" si="114"/>
        <v/>
      </c>
      <c r="AL401" t="str">
        <f t="shared" si="115"/>
        <v/>
      </c>
      <c r="AN401" t="str">
        <f>IFERROR(ROUND(L401*(G401/$AW401)/VLOOKUP(F401,商品!$A$4:$D$67,4,FALSE),0),"")</f>
        <v/>
      </c>
      <c r="AO401" t="str">
        <f>IFERROR(ROUND(L401*(I401/$AW401)/VLOOKUP(H401,商品!$A$4:$D$67,4,FALSE),0),"")</f>
        <v/>
      </c>
      <c r="AP401" t="str">
        <f>IFERROR(ROUND(L401*(K401/$AW401)/VLOOKUP(J401,商品!$A$4:$D$67,4,FALSE),0),"")</f>
        <v/>
      </c>
      <c r="AQ401" t="str">
        <f>IFERROR(ROUND(S401*(N401/$AX401)/VLOOKUP(M401,职业!$A$3:$E$16,4,FALSE),0),"")</f>
        <v/>
      </c>
      <c r="AR401" t="str">
        <f>IFERROR(ROUND(S401*(P401/$AX401)/VLOOKUP(O401,职业!$A$3:$E$16,4,FALSE),0),"")</f>
        <v/>
      </c>
      <c r="AS401" t="str">
        <f>IFERROR(ROUND(S401*(R401/$AX401)/VLOOKUP(Q401,职业!$A$3:$E$16,4,FALSE),0),"")</f>
        <v/>
      </c>
      <c r="AT401" t="str">
        <f>IFERROR(ROUND(X401*(U401/$AY401)/VLOOKUP(T401,商品!$A$4:$D$67,4,FALSE),0),"")</f>
        <v/>
      </c>
      <c r="AU401" t="str">
        <f>IFERROR(ROUND(X401*(W401/$AY401)/VLOOKUP(V401,商品!$A$4:$D$67,4,FALSE),0),"")</f>
        <v/>
      </c>
      <c r="AW401">
        <f t="shared" si="116"/>
        <v>0</v>
      </c>
      <c r="AX401">
        <f t="shared" si="117"/>
        <v>0</v>
      </c>
      <c r="AY401">
        <f t="shared" si="118"/>
        <v>0</v>
      </c>
    </row>
    <row r="402" customHeight="1" spans="1:51">
      <c r="A402" s="5" t="s">
        <v>358</v>
      </c>
      <c r="C402" s="5">
        <v>3</v>
      </c>
      <c r="D402" s="1" t="s">
        <v>238</v>
      </c>
      <c r="E402" s="1" t="s">
        <v>224</v>
      </c>
      <c r="L402" s="5">
        <f>IFERROR(VLOOKUP($D402&amp;$C402,生产方式定位!$A$2:$E$38,2,FALSE)+VLOOKUP($E402&amp;$C402,生产方式定位!$F$3:$J$38,2,FALSE),0)</f>
        <v>1800</v>
      </c>
      <c r="S402" s="5">
        <f>IFERROR(VLOOKUP($D402&amp;$C402,生产方式定位!$A$2:$E$38,3,FALSE)+VLOOKUP($E402&amp;$C402,生产方式定位!$F$3:$J$38,3,FALSE),0)</f>
        <v>30</v>
      </c>
      <c r="X402" s="5">
        <f>IFERROR(VLOOKUP($D402&amp;$C402,生产方式定位!$A$2:$E$38,5,FALSE)+VLOOKUP($E402&amp;$C402,生产方式定位!$F$3:$J$38,5,FALSE),"错误")</f>
        <v>2458</v>
      </c>
      <c r="Y402" s="27" t="str">
        <f t="shared" si="102"/>
        <v/>
      </c>
      <c r="Z402" s="50" t="str">
        <f t="shared" si="105"/>
        <v/>
      </c>
      <c r="AA402" s="50" t="str">
        <f t="shared" si="103"/>
        <v/>
      </c>
      <c r="AB402" s="28" t="str">
        <f t="shared" si="106"/>
        <v>37%</v>
      </c>
      <c r="AC402" s="1">
        <f t="shared" si="107"/>
        <v>628</v>
      </c>
      <c r="AD402" s="51">
        <f t="shared" si="104"/>
        <v>3</v>
      </c>
      <c r="AE402" t="str">
        <f t="shared" si="108"/>
        <v/>
      </c>
      <c r="AF402" t="str">
        <f t="shared" si="109"/>
        <v/>
      </c>
      <c r="AG402" t="str">
        <f t="shared" si="110"/>
        <v/>
      </c>
      <c r="AH402" t="str">
        <f t="shared" si="111"/>
        <v/>
      </c>
      <c r="AI402" t="str">
        <f t="shared" si="112"/>
        <v/>
      </c>
      <c r="AJ402" t="str">
        <f t="shared" si="113"/>
        <v/>
      </c>
      <c r="AK402" t="str">
        <f t="shared" si="114"/>
        <v/>
      </c>
      <c r="AL402" t="str">
        <f t="shared" si="115"/>
        <v/>
      </c>
      <c r="AN402" t="str">
        <f>IFERROR(ROUND(L402*(G402/$AW402)/VLOOKUP(F402,商品!$A$4:$D$67,4,FALSE),0),"")</f>
        <v/>
      </c>
      <c r="AO402" t="str">
        <f>IFERROR(ROUND(L402*(I402/$AW402)/VLOOKUP(H402,商品!$A$4:$D$67,4,FALSE),0),"")</f>
        <v/>
      </c>
      <c r="AP402" t="str">
        <f>IFERROR(ROUND(L402*(K402/$AW402)/VLOOKUP(J402,商品!$A$4:$D$67,4,FALSE),0),"")</f>
        <v/>
      </c>
      <c r="AQ402" t="str">
        <f>IFERROR(ROUND(S402*(N402/$AX402)/VLOOKUP(M402,职业!$A$3:$E$16,4,FALSE),0),"")</f>
        <v/>
      </c>
      <c r="AR402" t="str">
        <f>IFERROR(ROUND(S402*(P402/$AX402)/VLOOKUP(O402,职业!$A$3:$E$16,4,FALSE),0),"")</f>
        <v/>
      </c>
      <c r="AS402" t="str">
        <f>IFERROR(ROUND(S402*(R402/$AX402)/VLOOKUP(Q402,职业!$A$3:$E$16,4,FALSE),0),"")</f>
        <v/>
      </c>
      <c r="AT402" t="str">
        <f>IFERROR(ROUND(X402*(U402/$AY402)/VLOOKUP(T402,商品!$A$4:$D$67,4,FALSE),0),"")</f>
        <v/>
      </c>
      <c r="AU402" t="str">
        <f>IFERROR(ROUND(X402*(W402/$AY402)/VLOOKUP(V402,商品!$A$4:$D$67,4,FALSE),0),"")</f>
        <v/>
      </c>
      <c r="AW402">
        <f t="shared" si="116"/>
        <v>0</v>
      </c>
      <c r="AX402">
        <f t="shared" si="117"/>
        <v>0</v>
      </c>
      <c r="AY402">
        <f t="shared" si="118"/>
        <v>0</v>
      </c>
    </row>
    <row r="403" customHeight="1" spans="1:51">
      <c r="A403" s="5" t="s">
        <v>358</v>
      </c>
      <c r="C403" s="5">
        <v>4</v>
      </c>
      <c r="D403" s="1" t="s">
        <v>238</v>
      </c>
      <c r="E403" s="1" t="s">
        <v>224</v>
      </c>
      <c r="L403" s="5">
        <f>IFERROR(VLOOKUP($D403&amp;$C403,生产方式定位!$A$2:$E$38,2,FALSE)+VLOOKUP($E403&amp;$C403,生产方式定位!$F$3:$J$38,2,FALSE),0)</f>
        <v>2200</v>
      </c>
      <c r="S403" s="5">
        <f>IFERROR(VLOOKUP($D403&amp;$C403,生产方式定位!$A$2:$E$38,3,FALSE)+VLOOKUP($E403&amp;$C403,生产方式定位!$F$3:$J$38,3,FALSE),0)</f>
        <v>15</v>
      </c>
      <c r="X403" s="5">
        <f>IFERROR(VLOOKUP($D403&amp;$C403,生产方式定位!$A$2:$E$38,5,FALSE)+VLOOKUP($E403&amp;$C403,生产方式定位!$F$3:$J$38,5,FALSE),"错误")</f>
        <v>3470</v>
      </c>
      <c r="Y403" s="27" t="str">
        <f t="shared" si="102"/>
        <v/>
      </c>
      <c r="Z403" s="50" t="str">
        <f t="shared" si="105"/>
        <v/>
      </c>
      <c r="AA403" s="50" t="str">
        <f t="shared" si="103"/>
        <v/>
      </c>
      <c r="AB403" s="28" t="str">
        <f t="shared" si="106"/>
        <v>58%</v>
      </c>
      <c r="AC403" s="1">
        <f t="shared" si="107"/>
        <v>1255</v>
      </c>
      <c r="AD403" s="51">
        <f t="shared" si="104"/>
        <v>4</v>
      </c>
      <c r="AE403" t="str">
        <f t="shared" si="108"/>
        <v/>
      </c>
      <c r="AF403" t="str">
        <f t="shared" si="109"/>
        <v/>
      </c>
      <c r="AG403" t="str">
        <f t="shared" si="110"/>
        <v/>
      </c>
      <c r="AH403" t="str">
        <f t="shared" si="111"/>
        <v/>
      </c>
      <c r="AI403" t="str">
        <f t="shared" si="112"/>
        <v/>
      </c>
      <c r="AJ403" t="str">
        <f t="shared" si="113"/>
        <v/>
      </c>
      <c r="AK403" t="str">
        <f t="shared" si="114"/>
        <v/>
      </c>
      <c r="AL403" t="str">
        <f t="shared" si="115"/>
        <v/>
      </c>
      <c r="AN403" t="str">
        <f>IFERROR(ROUND(L403*(G403/$AW403)/VLOOKUP(F403,商品!$A$4:$D$67,4,FALSE),0),"")</f>
        <v/>
      </c>
      <c r="AO403" t="str">
        <f>IFERROR(ROUND(L403*(I403/$AW403)/VLOOKUP(H403,商品!$A$4:$D$67,4,FALSE),0),"")</f>
        <v/>
      </c>
      <c r="AP403" t="str">
        <f>IFERROR(ROUND(L403*(K403/$AW403)/VLOOKUP(J403,商品!$A$4:$D$67,4,FALSE),0),"")</f>
        <v/>
      </c>
      <c r="AQ403" t="str">
        <f>IFERROR(ROUND(S403*(N403/$AX403)/VLOOKUP(M403,职业!$A$3:$E$16,4,FALSE),0),"")</f>
        <v/>
      </c>
      <c r="AR403" t="str">
        <f>IFERROR(ROUND(S403*(P403/$AX403)/VLOOKUP(O403,职业!$A$3:$E$16,4,FALSE),0),"")</f>
        <v/>
      </c>
      <c r="AS403" t="str">
        <f>IFERROR(ROUND(S403*(R403/$AX403)/VLOOKUP(Q403,职业!$A$3:$E$16,4,FALSE),0),"")</f>
        <v/>
      </c>
      <c r="AT403" t="str">
        <f>IFERROR(ROUND(X403*(U403/$AY403)/VLOOKUP(T403,商品!$A$4:$D$67,4,FALSE),0),"")</f>
        <v/>
      </c>
      <c r="AU403" t="str">
        <f>IFERROR(ROUND(X403*(W403/$AY403)/VLOOKUP(V403,商品!$A$4:$D$67,4,FALSE),0),"")</f>
        <v/>
      </c>
      <c r="AW403">
        <f t="shared" si="116"/>
        <v>0</v>
      </c>
      <c r="AX403">
        <f t="shared" si="117"/>
        <v>0</v>
      </c>
      <c r="AY403">
        <f t="shared" si="118"/>
        <v>0</v>
      </c>
    </row>
    <row r="404" customHeight="1" spans="1:51">
      <c r="A404" s="5" t="s">
        <v>358</v>
      </c>
      <c r="C404" s="5">
        <v>5</v>
      </c>
      <c r="D404" s="1" t="s">
        <v>238</v>
      </c>
      <c r="E404" s="1" t="s">
        <v>224</v>
      </c>
      <c r="L404" s="5">
        <f>IFERROR(VLOOKUP($D404&amp;$C404,生产方式定位!$A$2:$E$38,2,FALSE)+VLOOKUP($E404&amp;$C404,生产方式定位!$F$3:$J$38,2,FALSE),0)</f>
        <v>2600</v>
      </c>
      <c r="S404" s="5">
        <f>IFERROR(VLOOKUP($D404&amp;$C404,生产方式定位!$A$2:$E$38,3,FALSE)+VLOOKUP($E404&amp;$C404,生产方式定位!$F$3:$J$38,3,FALSE),0)</f>
        <v>0</v>
      </c>
      <c r="X404" s="5">
        <f>IFERROR(VLOOKUP($D404&amp;$C404,生产方式定位!$A$2:$E$38,5,FALSE)+VLOOKUP($E404&amp;$C404,生产方式定位!$F$3:$J$38,5,FALSE),"错误")</f>
        <v>4890</v>
      </c>
      <c r="Y404" s="27" t="str">
        <f t="shared" si="102"/>
        <v/>
      </c>
      <c r="Z404" s="50" t="str">
        <f t="shared" si="105"/>
        <v/>
      </c>
      <c r="AA404" s="50" t="str">
        <f t="shared" si="103"/>
        <v/>
      </c>
      <c r="AB404" s="28" t="str">
        <f t="shared" si="106"/>
        <v>88%</v>
      </c>
      <c r="AC404" s="1">
        <f t="shared" si="107"/>
        <v>2290</v>
      </c>
      <c r="AD404" s="51">
        <f t="shared" si="104"/>
        <v>5</v>
      </c>
      <c r="AE404" t="str">
        <f t="shared" si="108"/>
        <v/>
      </c>
      <c r="AF404" t="str">
        <f t="shared" si="109"/>
        <v/>
      </c>
      <c r="AG404" t="str">
        <f t="shared" si="110"/>
        <v/>
      </c>
      <c r="AH404" t="str">
        <f t="shared" si="111"/>
        <v/>
      </c>
      <c r="AI404" t="str">
        <f t="shared" si="112"/>
        <v/>
      </c>
      <c r="AJ404" t="str">
        <f t="shared" si="113"/>
        <v/>
      </c>
      <c r="AK404" t="str">
        <f t="shared" si="114"/>
        <v/>
      </c>
      <c r="AL404" t="str">
        <f t="shared" si="115"/>
        <v/>
      </c>
      <c r="AN404" t="str">
        <f>IFERROR(ROUND(L404*(G404/$AW404)/VLOOKUP(F404,商品!$A$4:$D$67,4,FALSE),0),"")</f>
        <v/>
      </c>
      <c r="AO404" t="str">
        <f>IFERROR(ROUND(L404*(I404/$AW404)/VLOOKUP(H404,商品!$A$4:$D$67,4,FALSE),0),"")</f>
        <v/>
      </c>
      <c r="AP404" t="str">
        <f>IFERROR(ROUND(L404*(K404/$AW404)/VLOOKUP(J404,商品!$A$4:$D$67,4,FALSE),0),"")</f>
        <v/>
      </c>
      <c r="AQ404" t="str">
        <f>IFERROR(ROUND(S404*(N404/$AX404)/VLOOKUP(M404,职业!$A$3:$E$16,4,FALSE),0),"")</f>
        <v/>
      </c>
      <c r="AR404" t="str">
        <f>IFERROR(ROUND(S404*(P404/$AX404)/VLOOKUP(O404,职业!$A$3:$E$16,4,FALSE),0),"")</f>
        <v/>
      </c>
      <c r="AS404" t="str">
        <f>IFERROR(ROUND(S404*(R404/$AX404)/VLOOKUP(Q404,职业!$A$3:$E$16,4,FALSE),0),"")</f>
        <v/>
      </c>
      <c r="AT404" t="str">
        <f>IFERROR(ROUND(X404*(U404/$AY404)/VLOOKUP(T404,商品!$A$4:$D$67,4,FALSE),0),"")</f>
        <v/>
      </c>
      <c r="AU404" t="str">
        <f>IFERROR(ROUND(X404*(W404/$AY404)/VLOOKUP(V404,商品!$A$4:$D$67,4,FALSE),0),"")</f>
        <v/>
      </c>
      <c r="AW404">
        <f t="shared" si="116"/>
        <v>0</v>
      </c>
      <c r="AX404">
        <f t="shared" si="117"/>
        <v>0</v>
      </c>
      <c r="AY404">
        <f t="shared" si="118"/>
        <v>0</v>
      </c>
    </row>
    <row r="405" customHeight="1" spans="1:51">
      <c r="A405" s="18" t="s">
        <v>359</v>
      </c>
      <c r="C405" s="18">
        <v>1</v>
      </c>
      <c r="D405" s="1" t="s">
        <v>291</v>
      </c>
      <c r="E405" s="1" t="s">
        <v>225</v>
      </c>
      <c r="L405" s="18">
        <f>IFERROR(VLOOKUP($D405&amp;$C405,生产方式定位!$A$2:$E$38,2,FALSE)+VLOOKUP($E405&amp;$C405,生产方式定位!$F$3:$J$38,2,FALSE),0)</f>
        <v>0</v>
      </c>
      <c r="S405" s="18">
        <f>IFERROR(VLOOKUP($D405&amp;$C405,生产方式定位!$A$2:$E$38,3,FALSE)+VLOOKUP($E405&amp;$C405,生产方式定位!$F$3:$J$38,3,FALSE),0)</f>
        <v>100</v>
      </c>
      <c r="X405" s="18">
        <f>IFERROR(VLOOKUP($D405&amp;$C405,生产方式定位!$A$2:$E$38,5,FALSE)+VLOOKUP($E405&amp;$C405,生产方式定位!$F$3:$J$38,5,FALSE),"错误")</f>
        <v>100</v>
      </c>
      <c r="Y405" s="27" t="str">
        <f t="shared" si="102"/>
        <v/>
      </c>
      <c r="Z405" s="50" t="str">
        <f t="shared" si="105"/>
        <v/>
      </c>
      <c r="AA405" s="50" t="str">
        <f t="shared" si="103"/>
        <v/>
      </c>
      <c r="AB405" s="28" t="str">
        <f t="shared" si="106"/>
        <v/>
      </c>
      <c r="AC405" s="1" t="str">
        <f t="shared" si="107"/>
        <v/>
      </c>
      <c r="AD405" s="52">
        <f t="shared" si="104"/>
        <v>1</v>
      </c>
      <c r="AE405" t="str">
        <f t="shared" si="108"/>
        <v/>
      </c>
      <c r="AF405" t="str">
        <f t="shared" si="109"/>
        <v/>
      </c>
      <c r="AG405" t="str">
        <f t="shared" si="110"/>
        <v/>
      </c>
      <c r="AH405" t="str">
        <f t="shared" si="111"/>
        <v/>
      </c>
      <c r="AI405" t="str">
        <f t="shared" si="112"/>
        <v/>
      </c>
      <c r="AJ405" t="str">
        <f t="shared" si="113"/>
        <v/>
      </c>
      <c r="AK405" t="str">
        <f t="shared" si="114"/>
        <v/>
      </c>
      <c r="AL405" t="str">
        <f t="shared" si="115"/>
        <v/>
      </c>
      <c r="AN405" t="str">
        <f>IFERROR(ROUND(L405*(G405/$AW405)/VLOOKUP(F405,商品!$A$4:$D$67,4,FALSE),0),"")</f>
        <v/>
      </c>
      <c r="AO405" t="str">
        <f>IFERROR(ROUND(L405*(I405/$AW405)/VLOOKUP(H405,商品!$A$4:$D$67,4,FALSE),0),"")</f>
        <v/>
      </c>
      <c r="AP405" t="str">
        <f>IFERROR(ROUND(L405*(K405/$AW405)/VLOOKUP(J405,商品!$A$4:$D$67,4,FALSE),0),"")</f>
        <v/>
      </c>
      <c r="AQ405" t="str">
        <f>IFERROR(ROUND(S405*(N405/$AX405)/VLOOKUP(M405,职业!$A$3:$E$16,4,FALSE),0),"")</f>
        <v/>
      </c>
      <c r="AR405" t="str">
        <f>IFERROR(ROUND(S405*(P405/$AX405)/VLOOKUP(O405,职业!$A$3:$E$16,4,FALSE),0),"")</f>
        <v/>
      </c>
      <c r="AS405" t="str">
        <f>IFERROR(ROUND(S405*(R405/$AX405)/VLOOKUP(Q405,职业!$A$3:$E$16,4,FALSE),0),"")</f>
        <v/>
      </c>
      <c r="AT405" t="str">
        <f>IFERROR(ROUND(X405*(U405/$AY405)/VLOOKUP(T405,商品!$A$4:$D$67,4,FALSE),0),"")</f>
        <v/>
      </c>
      <c r="AU405" t="str">
        <f>IFERROR(ROUND(X405*(W405/$AY405)/VLOOKUP(V405,商品!$A$4:$D$67,4,FALSE),0),"")</f>
        <v/>
      </c>
      <c r="AW405">
        <f t="shared" si="116"/>
        <v>0</v>
      </c>
      <c r="AX405">
        <f t="shared" si="117"/>
        <v>0</v>
      </c>
      <c r="AY405">
        <f t="shared" si="118"/>
        <v>0</v>
      </c>
    </row>
    <row r="406" customHeight="1" spans="1:51">
      <c r="A406" s="18" t="s">
        <v>359</v>
      </c>
      <c r="C406" s="18">
        <v>2</v>
      </c>
      <c r="D406" s="1" t="s">
        <v>291</v>
      </c>
      <c r="E406" s="1" t="s">
        <v>225</v>
      </c>
      <c r="L406" s="18">
        <f>IFERROR(VLOOKUP($D406&amp;$C406,生产方式定位!$A$2:$E$38,2,FALSE)+VLOOKUP($E406&amp;$C406,生产方式定位!$F$3:$J$38,2,FALSE),0)</f>
        <v>0</v>
      </c>
      <c r="S406" s="18">
        <f>IFERROR(VLOOKUP($D406&amp;$C406,生产方式定位!$A$2:$E$38,3,FALSE)+VLOOKUP($E406&amp;$C406,生产方式定位!$F$3:$J$38,3,FALSE),0)</f>
        <v>100</v>
      </c>
      <c r="X406" s="18">
        <f>IFERROR(VLOOKUP($D406&amp;$C406,生产方式定位!$A$2:$E$38,5,FALSE)+VLOOKUP($E406&amp;$C406,生产方式定位!$F$3:$J$38,5,FALSE),"错误")</f>
        <v>100</v>
      </c>
      <c r="Y406" s="27" t="str">
        <f t="shared" si="102"/>
        <v/>
      </c>
      <c r="Z406" s="50" t="str">
        <f t="shared" si="105"/>
        <v/>
      </c>
      <c r="AA406" s="50" t="str">
        <f t="shared" si="103"/>
        <v/>
      </c>
      <c r="AB406" s="28" t="str">
        <f t="shared" si="106"/>
        <v/>
      </c>
      <c r="AC406" s="1" t="str">
        <f t="shared" si="107"/>
        <v/>
      </c>
      <c r="AD406" s="52">
        <f t="shared" si="104"/>
        <v>2</v>
      </c>
      <c r="AE406" t="str">
        <f t="shared" si="108"/>
        <v/>
      </c>
      <c r="AF406" t="str">
        <f t="shared" si="109"/>
        <v/>
      </c>
      <c r="AG406" t="str">
        <f t="shared" si="110"/>
        <v/>
      </c>
      <c r="AH406" t="str">
        <f t="shared" si="111"/>
        <v/>
      </c>
      <c r="AI406" t="str">
        <f t="shared" si="112"/>
        <v/>
      </c>
      <c r="AJ406" t="str">
        <f t="shared" si="113"/>
        <v/>
      </c>
      <c r="AK406" t="str">
        <f t="shared" si="114"/>
        <v/>
      </c>
      <c r="AL406" t="str">
        <f t="shared" si="115"/>
        <v/>
      </c>
      <c r="AN406" t="str">
        <f>IFERROR(ROUND(L406*(G406/$AW406)/VLOOKUP(F406,商品!$A$4:$D$67,4,FALSE),0),"")</f>
        <v/>
      </c>
      <c r="AO406" t="str">
        <f>IFERROR(ROUND(L406*(I406/$AW406)/VLOOKUP(H406,商品!$A$4:$D$67,4,FALSE),0),"")</f>
        <v/>
      </c>
      <c r="AP406" t="str">
        <f>IFERROR(ROUND(L406*(K406/$AW406)/VLOOKUP(J406,商品!$A$4:$D$67,4,FALSE),0),"")</f>
        <v/>
      </c>
      <c r="AQ406" t="str">
        <f>IFERROR(ROUND(S406*(N406/$AX406)/VLOOKUP(M406,职业!$A$3:$E$16,4,FALSE),0),"")</f>
        <v/>
      </c>
      <c r="AR406" t="str">
        <f>IFERROR(ROUND(S406*(P406/$AX406)/VLOOKUP(O406,职业!$A$3:$E$16,4,FALSE),0),"")</f>
        <v/>
      </c>
      <c r="AS406" t="str">
        <f>IFERROR(ROUND(S406*(R406/$AX406)/VLOOKUP(Q406,职业!$A$3:$E$16,4,FALSE),0),"")</f>
        <v/>
      </c>
      <c r="AT406" t="str">
        <f>IFERROR(ROUND(X406*(U406/$AY406)/VLOOKUP(T406,商品!$A$4:$D$67,4,FALSE),0),"")</f>
        <v/>
      </c>
      <c r="AU406" t="str">
        <f>IFERROR(ROUND(X406*(W406/$AY406)/VLOOKUP(V406,商品!$A$4:$D$67,4,FALSE),0),"")</f>
        <v/>
      </c>
      <c r="AW406">
        <f t="shared" si="116"/>
        <v>0</v>
      </c>
      <c r="AX406">
        <f t="shared" si="117"/>
        <v>0</v>
      </c>
      <c r="AY406">
        <f t="shared" si="118"/>
        <v>0</v>
      </c>
    </row>
    <row r="407" customHeight="1" spans="1:51">
      <c r="A407" s="18" t="s">
        <v>359</v>
      </c>
      <c r="C407" s="18">
        <v>3</v>
      </c>
      <c r="D407" s="1" t="s">
        <v>291</v>
      </c>
      <c r="E407" s="1" t="s">
        <v>225</v>
      </c>
      <c r="L407" s="18">
        <f>IFERROR(VLOOKUP($D407&amp;$C407,生产方式定位!$A$2:$E$38,2,FALSE)+VLOOKUP($E407&amp;$C407,生产方式定位!$F$3:$J$38,2,FALSE),0)</f>
        <v>0</v>
      </c>
      <c r="S407" s="18">
        <f>IFERROR(VLOOKUP($D407&amp;$C407,生产方式定位!$A$2:$E$38,3,FALSE)+VLOOKUP($E407&amp;$C407,生产方式定位!$F$3:$J$38,3,FALSE),0)</f>
        <v>100</v>
      </c>
      <c r="X407" s="18">
        <f>IFERROR(VLOOKUP($D407&amp;$C407,生产方式定位!$A$2:$E$38,5,FALSE)+VLOOKUP($E407&amp;$C407,生产方式定位!$F$3:$J$38,5,FALSE),"错误")</f>
        <v>100</v>
      </c>
      <c r="Y407" s="27" t="str">
        <f t="shared" si="102"/>
        <v/>
      </c>
      <c r="Z407" s="50" t="str">
        <f t="shared" si="105"/>
        <v/>
      </c>
      <c r="AA407" s="50" t="str">
        <f t="shared" si="103"/>
        <v/>
      </c>
      <c r="AB407" s="28" t="str">
        <f t="shared" si="106"/>
        <v/>
      </c>
      <c r="AC407" s="1" t="str">
        <f t="shared" si="107"/>
        <v/>
      </c>
      <c r="AD407" s="52">
        <f t="shared" si="104"/>
        <v>3</v>
      </c>
      <c r="AE407" t="str">
        <f t="shared" si="108"/>
        <v/>
      </c>
      <c r="AF407" t="str">
        <f t="shared" si="109"/>
        <v/>
      </c>
      <c r="AG407" t="str">
        <f t="shared" si="110"/>
        <v/>
      </c>
      <c r="AH407" t="str">
        <f t="shared" si="111"/>
        <v/>
      </c>
      <c r="AI407" t="str">
        <f t="shared" si="112"/>
        <v/>
      </c>
      <c r="AJ407" t="str">
        <f t="shared" si="113"/>
        <v/>
      </c>
      <c r="AK407" t="str">
        <f t="shared" si="114"/>
        <v/>
      </c>
      <c r="AL407" t="str">
        <f t="shared" si="115"/>
        <v/>
      </c>
      <c r="AN407" t="str">
        <f>IFERROR(ROUND(L407*(G407/$AW407)/VLOOKUP(F407,商品!$A$4:$D$67,4,FALSE),0),"")</f>
        <v/>
      </c>
      <c r="AO407" t="str">
        <f>IFERROR(ROUND(L407*(I407/$AW407)/VLOOKUP(H407,商品!$A$4:$D$67,4,FALSE),0),"")</f>
        <v/>
      </c>
      <c r="AP407" t="str">
        <f>IFERROR(ROUND(L407*(K407/$AW407)/VLOOKUP(J407,商品!$A$4:$D$67,4,FALSE),0),"")</f>
        <v/>
      </c>
      <c r="AQ407" t="str">
        <f>IFERROR(ROUND(S407*(N407/$AX407)/VLOOKUP(M407,职业!$A$3:$E$16,4,FALSE),0),"")</f>
        <v/>
      </c>
      <c r="AR407" t="str">
        <f>IFERROR(ROUND(S407*(P407/$AX407)/VLOOKUP(O407,职业!$A$3:$E$16,4,FALSE),0),"")</f>
        <v/>
      </c>
      <c r="AS407" t="str">
        <f>IFERROR(ROUND(S407*(R407/$AX407)/VLOOKUP(Q407,职业!$A$3:$E$16,4,FALSE),0),"")</f>
        <v/>
      </c>
      <c r="AT407" t="str">
        <f>IFERROR(ROUND(X407*(U407/$AY407)/VLOOKUP(T407,商品!$A$4:$D$67,4,FALSE),0),"")</f>
        <v/>
      </c>
      <c r="AU407" t="str">
        <f>IFERROR(ROUND(X407*(W407/$AY407)/VLOOKUP(V407,商品!$A$4:$D$67,4,FALSE),0),"")</f>
        <v/>
      </c>
      <c r="AW407">
        <f t="shared" si="116"/>
        <v>0</v>
      </c>
      <c r="AX407">
        <f t="shared" si="117"/>
        <v>0</v>
      </c>
      <c r="AY407">
        <f t="shared" si="118"/>
        <v>0</v>
      </c>
    </row>
    <row r="408" customHeight="1" spans="1:51">
      <c r="A408" s="18" t="s">
        <v>359</v>
      </c>
      <c r="C408" s="18">
        <v>4</v>
      </c>
      <c r="D408" s="1" t="s">
        <v>291</v>
      </c>
      <c r="E408" s="1" t="s">
        <v>225</v>
      </c>
      <c r="L408" s="18">
        <f>IFERROR(VLOOKUP($D408&amp;$C408,生产方式定位!$A$2:$E$38,2,FALSE)+VLOOKUP($E408&amp;$C408,生产方式定位!$F$3:$J$38,2,FALSE),0)</f>
        <v>0</v>
      </c>
      <c r="S408" s="18">
        <f>IFERROR(VLOOKUP($D408&amp;$C408,生产方式定位!$A$2:$E$38,3,FALSE)+VLOOKUP($E408&amp;$C408,生产方式定位!$F$3:$J$38,3,FALSE),0)</f>
        <v>100</v>
      </c>
      <c r="X408" s="18">
        <f>IFERROR(VLOOKUP($D408&amp;$C408,生产方式定位!$A$2:$E$38,5,FALSE)+VLOOKUP($E408&amp;$C408,生产方式定位!$F$3:$J$38,5,FALSE),"错误")</f>
        <v>100</v>
      </c>
      <c r="Y408" s="27" t="str">
        <f t="shared" si="102"/>
        <v/>
      </c>
      <c r="Z408" s="50" t="str">
        <f t="shared" si="105"/>
        <v/>
      </c>
      <c r="AA408" s="50" t="str">
        <f t="shared" si="103"/>
        <v/>
      </c>
      <c r="AB408" s="28" t="str">
        <f t="shared" si="106"/>
        <v/>
      </c>
      <c r="AC408" s="1" t="str">
        <f t="shared" si="107"/>
        <v/>
      </c>
      <c r="AD408" s="52">
        <f t="shared" si="104"/>
        <v>4</v>
      </c>
      <c r="AE408" t="str">
        <f t="shared" si="108"/>
        <v/>
      </c>
      <c r="AF408" t="str">
        <f t="shared" si="109"/>
        <v/>
      </c>
      <c r="AG408" t="str">
        <f t="shared" si="110"/>
        <v/>
      </c>
      <c r="AH408" t="str">
        <f t="shared" si="111"/>
        <v/>
      </c>
      <c r="AI408" t="str">
        <f t="shared" si="112"/>
        <v/>
      </c>
      <c r="AJ408" t="str">
        <f t="shared" si="113"/>
        <v/>
      </c>
      <c r="AK408" t="str">
        <f t="shared" si="114"/>
        <v/>
      </c>
      <c r="AL408" t="str">
        <f t="shared" si="115"/>
        <v/>
      </c>
      <c r="AN408" t="str">
        <f>IFERROR(ROUND(L408*(G408/$AW408)/VLOOKUP(F408,商品!$A$4:$D$67,4,FALSE),0),"")</f>
        <v/>
      </c>
      <c r="AO408" t="str">
        <f>IFERROR(ROUND(L408*(I408/$AW408)/VLOOKUP(H408,商品!$A$4:$D$67,4,FALSE),0),"")</f>
        <v/>
      </c>
      <c r="AP408" t="str">
        <f>IFERROR(ROUND(L408*(K408/$AW408)/VLOOKUP(J408,商品!$A$4:$D$67,4,FALSE),0),"")</f>
        <v/>
      </c>
      <c r="AQ408" t="str">
        <f>IFERROR(ROUND(S408*(N408/$AX408)/VLOOKUP(M408,职业!$A$3:$E$16,4,FALSE),0),"")</f>
        <v/>
      </c>
      <c r="AR408" t="str">
        <f>IFERROR(ROUND(S408*(P408/$AX408)/VLOOKUP(O408,职业!$A$3:$E$16,4,FALSE),0),"")</f>
        <v/>
      </c>
      <c r="AS408" t="str">
        <f>IFERROR(ROUND(S408*(R408/$AX408)/VLOOKUP(Q408,职业!$A$3:$E$16,4,FALSE),0),"")</f>
        <v/>
      </c>
      <c r="AT408" t="str">
        <f>IFERROR(ROUND(X408*(U408/$AY408)/VLOOKUP(T408,商品!$A$4:$D$67,4,FALSE),0),"")</f>
        <v/>
      </c>
      <c r="AU408" t="str">
        <f>IFERROR(ROUND(X408*(W408/$AY408)/VLOOKUP(V408,商品!$A$4:$D$67,4,FALSE),0),"")</f>
        <v/>
      </c>
      <c r="AW408">
        <f t="shared" si="116"/>
        <v>0</v>
      </c>
      <c r="AX408">
        <f t="shared" si="117"/>
        <v>0</v>
      </c>
      <c r="AY408">
        <f t="shared" si="118"/>
        <v>0</v>
      </c>
    </row>
    <row r="409" customHeight="1" spans="1:51">
      <c r="A409" s="18" t="s">
        <v>359</v>
      </c>
      <c r="C409" s="18">
        <v>5</v>
      </c>
      <c r="D409" s="1" t="s">
        <v>291</v>
      </c>
      <c r="E409" s="1" t="s">
        <v>225</v>
      </c>
      <c r="L409" s="18">
        <f>IFERROR(VLOOKUP($D409&amp;$C409,生产方式定位!$A$2:$E$38,2,FALSE)+VLOOKUP($E409&amp;$C409,生产方式定位!$F$3:$J$38,2,FALSE),0)</f>
        <v>0</v>
      </c>
      <c r="S409" s="18">
        <f>IFERROR(VLOOKUP($D409&amp;$C409,生产方式定位!$A$2:$E$38,3,FALSE)+VLOOKUP($E409&amp;$C409,生产方式定位!$F$3:$J$38,3,FALSE),0)</f>
        <v>100</v>
      </c>
      <c r="X409" s="18">
        <f>IFERROR(VLOOKUP($D409&amp;$C409,生产方式定位!$A$2:$E$38,5,FALSE)+VLOOKUP($E409&amp;$C409,生产方式定位!$F$3:$J$38,5,FALSE),"错误")</f>
        <v>100</v>
      </c>
      <c r="Y409" s="27" t="str">
        <f t="shared" si="102"/>
        <v/>
      </c>
      <c r="Z409" s="50" t="str">
        <f t="shared" si="105"/>
        <v/>
      </c>
      <c r="AA409" s="50" t="str">
        <f t="shared" si="103"/>
        <v/>
      </c>
      <c r="AB409" s="28" t="str">
        <f t="shared" si="106"/>
        <v/>
      </c>
      <c r="AC409" s="1" t="str">
        <f t="shared" si="107"/>
        <v/>
      </c>
      <c r="AD409" s="52">
        <f t="shared" si="104"/>
        <v>5</v>
      </c>
      <c r="AE409" t="str">
        <f t="shared" si="108"/>
        <v/>
      </c>
      <c r="AF409" t="str">
        <f t="shared" si="109"/>
        <v/>
      </c>
      <c r="AG409" t="str">
        <f t="shared" si="110"/>
        <v/>
      </c>
      <c r="AH409" t="str">
        <f t="shared" si="111"/>
        <v/>
      </c>
      <c r="AI409" t="str">
        <f t="shared" si="112"/>
        <v/>
      </c>
      <c r="AJ409" t="str">
        <f t="shared" si="113"/>
        <v/>
      </c>
      <c r="AK409" t="str">
        <f t="shared" si="114"/>
        <v/>
      </c>
      <c r="AL409" t="str">
        <f t="shared" si="115"/>
        <v/>
      </c>
      <c r="AN409" t="str">
        <f>IFERROR(ROUND(L409*(G409/$AW409)/VLOOKUP(F409,商品!$A$4:$D$67,4,FALSE),0),"")</f>
        <v/>
      </c>
      <c r="AO409" t="str">
        <f>IFERROR(ROUND(L409*(I409/$AW409)/VLOOKUP(H409,商品!$A$4:$D$67,4,FALSE),0),"")</f>
        <v/>
      </c>
      <c r="AP409" t="str">
        <f>IFERROR(ROUND(L409*(K409/$AW409)/VLOOKUP(J409,商品!$A$4:$D$67,4,FALSE),0),"")</f>
        <v/>
      </c>
      <c r="AQ409" t="str">
        <f>IFERROR(ROUND(S409*(N409/$AX409)/VLOOKUP(M409,职业!$A$3:$E$16,4,FALSE),0),"")</f>
        <v/>
      </c>
      <c r="AR409" t="str">
        <f>IFERROR(ROUND(S409*(P409/$AX409)/VLOOKUP(O409,职业!$A$3:$E$16,4,FALSE),0),"")</f>
        <v/>
      </c>
      <c r="AS409" t="str">
        <f>IFERROR(ROUND(S409*(R409/$AX409)/VLOOKUP(Q409,职业!$A$3:$E$16,4,FALSE),0),"")</f>
        <v/>
      </c>
      <c r="AT409" t="str">
        <f>IFERROR(ROUND(X409*(U409/$AY409)/VLOOKUP(T409,商品!$A$4:$D$67,4,FALSE),0),"")</f>
        <v/>
      </c>
      <c r="AU409" t="str">
        <f>IFERROR(ROUND(X409*(W409/$AY409)/VLOOKUP(V409,商品!$A$4:$D$67,4,FALSE),0),"")</f>
        <v/>
      </c>
      <c r="AW409">
        <f t="shared" si="116"/>
        <v>0</v>
      </c>
      <c r="AX409">
        <f t="shared" si="117"/>
        <v>0</v>
      </c>
      <c r="AY409">
        <f t="shared" si="118"/>
        <v>0</v>
      </c>
    </row>
    <row r="410" customHeight="1" spans="1:51">
      <c r="A410" s="18" t="s">
        <v>359</v>
      </c>
      <c r="C410" s="18">
        <v>6</v>
      </c>
      <c r="D410" s="1" t="s">
        <v>291</v>
      </c>
      <c r="E410" s="1" t="s">
        <v>225</v>
      </c>
      <c r="L410" s="18">
        <f>IFERROR(VLOOKUP($D410&amp;$C410,生产方式定位!$A$2:$E$38,2,FALSE)+VLOOKUP($E410&amp;$C410,生产方式定位!$F$3:$J$38,2,FALSE),0)</f>
        <v>0</v>
      </c>
      <c r="S410" s="18">
        <f>IFERROR(VLOOKUP($D410&amp;$C410,生产方式定位!$A$2:$E$38,3,FALSE)+VLOOKUP($E410&amp;$C410,生产方式定位!$F$3:$J$38,3,FALSE),0)</f>
        <v>100</v>
      </c>
      <c r="X410" s="18">
        <f>IFERROR(VLOOKUP($D410&amp;$C410,生产方式定位!$A$2:$E$38,5,FALSE)+VLOOKUP($E410&amp;$C410,生产方式定位!$F$3:$J$38,5,FALSE),"错误")</f>
        <v>100</v>
      </c>
      <c r="Y410" s="27" t="str">
        <f t="shared" si="102"/>
        <v/>
      </c>
      <c r="Z410" s="50" t="str">
        <f t="shared" si="105"/>
        <v/>
      </c>
      <c r="AA410" s="50" t="str">
        <f t="shared" si="103"/>
        <v/>
      </c>
      <c r="AB410" s="28" t="str">
        <f t="shared" si="106"/>
        <v/>
      </c>
      <c r="AC410" s="1" t="str">
        <f t="shared" si="107"/>
        <v/>
      </c>
      <c r="AD410" s="52">
        <f t="shared" si="104"/>
        <v>6</v>
      </c>
      <c r="AE410" t="str">
        <f t="shared" si="108"/>
        <v/>
      </c>
      <c r="AF410" t="str">
        <f t="shared" si="109"/>
        <v/>
      </c>
      <c r="AG410" t="str">
        <f t="shared" si="110"/>
        <v/>
      </c>
      <c r="AH410" t="str">
        <f t="shared" si="111"/>
        <v/>
      </c>
      <c r="AI410" t="str">
        <f t="shared" si="112"/>
        <v/>
      </c>
      <c r="AJ410" t="str">
        <f t="shared" si="113"/>
        <v/>
      </c>
      <c r="AK410" t="str">
        <f t="shared" si="114"/>
        <v/>
      </c>
      <c r="AL410" t="str">
        <f t="shared" si="115"/>
        <v/>
      </c>
      <c r="AN410" t="str">
        <f>IFERROR(ROUND(L410*(G410/$AW410)/VLOOKUP(F410,商品!$A$4:$D$67,4,FALSE),0),"")</f>
        <v/>
      </c>
      <c r="AO410" t="str">
        <f>IFERROR(ROUND(L410*(I410/$AW410)/VLOOKUP(H410,商品!$A$4:$D$67,4,FALSE),0),"")</f>
        <v/>
      </c>
      <c r="AP410" t="str">
        <f>IFERROR(ROUND(L410*(K410/$AW410)/VLOOKUP(J410,商品!$A$4:$D$67,4,FALSE),0),"")</f>
        <v/>
      </c>
      <c r="AQ410" t="str">
        <f>IFERROR(ROUND(S410*(N410/$AX410)/VLOOKUP(M410,职业!$A$3:$E$16,4,FALSE),0),"")</f>
        <v/>
      </c>
      <c r="AR410" t="str">
        <f>IFERROR(ROUND(S410*(P410/$AX410)/VLOOKUP(O410,职业!$A$3:$E$16,4,FALSE),0),"")</f>
        <v/>
      </c>
      <c r="AS410" t="str">
        <f>IFERROR(ROUND(S410*(R410/$AX410)/VLOOKUP(Q410,职业!$A$3:$E$16,4,FALSE),0),"")</f>
        <v/>
      </c>
      <c r="AT410" t="str">
        <f>IFERROR(ROUND(X410*(U410/$AY410)/VLOOKUP(T410,商品!$A$4:$D$67,4,FALSE),0),"")</f>
        <v/>
      </c>
      <c r="AU410" t="str">
        <f>IFERROR(ROUND(X410*(W410/$AY410)/VLOOKUP(V410,商品!$A$4:$D$67,4,FALSE),0),"")</f>
        <v/>
      </c>
      <c r="AW410">
        <f t="shared" si="116"/>
        <v>0</v>
      </c>
      <c r="AX410">
        <f t="shared" si="117"/>
        <v>0</v>
      </c>
      <c r="AY410">
        <f t="shared" si="118"/>
        <v>0</v>
      </c>
    </row>
    <row r="411" customHeight="1" spans="1:51">
      <c r="A411" s="18" t="s">
        <v>359</v>
      </c>
      <c r="C411" s="18">
        <v>7</v>
      </c>
      <c r="D411" s="1" t="s">
        <v>291</v>
      </c>
      <c r="E411" s="1" t="s">
        <v>225</v>
      </c>
      <c r="L411" s="18">
        <f>IFERROR(VLOOKUP($D411&amp;$C411,生产方式定位!$A$2:$E$38,2,FALSE)+VLOOKUP($E411&amp;$C411,生产方式定位!$F$3:$J$38,2,FALSE),0)</f>
        <v>0</v>
      </c>
      <c r="S411" s="18">
        <f>IFERROR(VLOOKUP($D411&amp;$C411,生产方式定位!$A$2:$E$38,3,FALSE)+VLOOKUP($E411&amp;$C411,生产方式定位!$F$3:$J$38,3,FALSE),0)</f>
        <v>100</v>
      </c>
      <c r="X411" s="18">
        <f>IFERROR(VLOOKUP($D411&amp;$C411,生产方式定位!$A$2:$E$38,5,FALSE)+VLOOKUP($E411&amp;$C411,生产方式定位!$F$3:$J$38,5,FALSE),"错误")</f>
        <v>100</v>
      </c>
      <c r="Y411" s="27" t="str">
        <f t="shared" si="102"/>
        <v/>
      </c>
      <c r="Z411" s="50" t="str">
        <f t="shared" si="105"/>
        <v/>
      </c>
      <c r="AA411" s="50" t="str">
        <f t="shared" si="103"/>
        <v/>
      </c>
      <c r="AB411" s="28" t="str">
        <f t="shared" si="106"/>
        <v/>
      </c>
      <c r="AC411" s="1" t="str">
        <f t="shared" si="107"/>
        <v/>
      </c>
      <c r="AD411" s="52">
        <f t="shared" si="104"/>
        <v>7</v>
      </c>
      <c r="AE411" t="str">
        <f t="shared" si="108"/>
        <v/>
      </c>
      <c r="AF411" t="str">
        <f t="shared" si="109"/>
        <v/>
      </c>
      <c r="AG411" t="str">
        <f t="shared" si="110"/>
        <v/>
      </c>
      <c r="AH411" t="str">
        <f t="shared" si="111"/>
        <v/>
      </c>
      <c r="AI411" t="str">
        <f t="shared" si="112"/>
        <v/>
      </c>
      <c r="AJ411" t="str">
        <f t="shared" si="113"/>
        <v/>
      </c>
      <c r="AK411" t="str">
        <f t="shared" si="114"/>
        <v/>
      </c>
      <c r="AL411" t="str">
        <f t="shared" si="115"/>
        <v/>
      </c>
      <c r="AN411" t="str">
        <f>IFERROR(ROUND(L411*(G411/$AW411)/VLOOKUP(F411,商品!$A$4:$D$67,4,FALSE),0),"")</f>
        <v/>
      </c>
      <c r="AO411" t="str">
        <f>IFERROR(ROUND(L411*(I411/$AW411)/VLOOKUP(H411,商品!$A$4:$D$67,4,FALSE),0),"")</f>
        <v/>
      </c>
      <c r="AP411" t="str">
        <f>IFERROR(ROUND(L411*(K411/$AW411)/VLOOKUP(J411,商品!$A$4:$D$67,4,FALSE),0),"")</f>
        <v/>
      </c>
      <c r="AQ411" t="str">
        <f>IFERROR(ROUND(S411*(N411/$AX411)/VLOOKUP(M411,职业!$A$3:$E$16,4,FALSE),0),"")</f>
        <v/>
      </c>
      <c r="AR411" t="str">
        <f>IFERROR(ROUND(S411*(P411/$AX411)/VLOOKUP(O411,职业!$A$3:$E$16,4,FALSE),0),"")</f>
        <v/>
      </c>
      <c r="AS411" t="str">
        <f>IFERROR(ROUND(S411*(R411/$AX411)/VLOOKUP(Q411,职业!$A$3:$E$16,4,FALSE),0),"")</f>
        <v/>
      </c>
      <c r="AT411" t="str">
        <f>IFERROR(ROUND(X411*(U411/$AY411)/VLOOKUP(T411,商品!$A$4:$D$67,4,FALSE),0),"")</f>
        <v/>
      </c>
      <c r="AU411" t="str">
        <f>IFERROR(ROUND(X411*(W411/$AY411)/VLOOKUP(V411,商品!$A$4:$D$67,4,FALSE),0),"")</f>
        <v/>
      </c>
      <c r="AW411">
        <f t="shared" si="116"/>
        <v>0</v>
      </c>
      <c r="AX411">
        <f t="shared" si="117"/>
        <v>0</v>
      </c>
      <c r="AY411">
        <f t="shared" si="118"/>
        <v>0</v>
      </c>
    </row>
    <row r="412" customHeight="1" spans="1:51">
      <c r="A412" s="18" t="s">
        <v>359</v>
      </c>
      <c r="C412" s="18">
        <v>8</v>
      </c>
      <c r="D412" s="1" t="s">
        <v>291</v>
      </c>
      <c r="E412" s="1" t="s">
        <v>225</v>
      </c>
      <c r="L412" s="18">
        <f>IFERROR(VLOOKUP($D412&amp;$C412,生产方式定位!$A$2:$E$38,2,FALSE)+VLOOKUP($E412&amp;$C412,生产方式定位!$F$3:$J$38,2,FALSE),0)</f>
        <v>0</v>
      </c>
      <c r="S412" s="18">
        <f>IFERROR(VLOOKUP($D412&amp;$C412,生产方式定位!$A$2:$E$38,3,FALSE)+VLOOKUP($E412&amp;$C412,生产方式定位!$F$3:$J$38,3,FALSE),0)</f>
        <v>100</v>
      </c>
      <c r="X412" s="18">
        <f>IFERROR(VLOOKUP($D412&amp;$C412,生产方式定位!$A$2:$E$38,5,FALSE)+VLOOKUP($E412&amp;$C412,生产方式定位!$F$3:$J$38,5,FALSE),"错误")</f>
        <v>100</v>
      </c>
      <c r="Y412" s="27" t="str">
        <f t="shared" si="102"/>
        <v/>
      </c>
      <c r="Z412" s="50" t="str">
        <f t="shared" si="105"/>
        <v/>
      </c>
      <c r="AA412" s="50" t="str">
        <f t="shared" si="103"/>
        <v/>
      </c>
      <c r="AB412" s="28" t="str">
        <f t="shared" si="106"/>
        <v/>
      </c>
      <c r="AC412" s="1" t="str">
        <f t="shared" si="107"/>
        <v/>
      </c>
      <c r="AD412" s="52">
        <f t="shared" si="104"/>
        <v>8</v>
      </c>
      <c r="AE412" t="str">
        <f t="shared" si="108"/>
        <v/>
      </c>
      <c r="AF412" t="str">
        <f t="shared" si="109"/>
        <v/>
      </c>
      <c r="AG412" t="str">
        <f t="shared" si="110"/>
        <v/>
      </c>
      <c r="AH412" t="str">
        <f t="shared" si="111"/>
        <v/>
      </c>
      <c r="AI412" t="str">
        <f t="shared" si="112"/>
        <v/>
      </c>
      <c r="AJ412" t="str">
        <f t="shared" si="113"/>
        <v/>
      </c>
      <c r="AK412" t="str">
        <f t="shared" si="114"/>
        <v/>
      </c>
      <c r="AL412" t="str">
        <f t="shared" si="115"/>
        <v/>
      </c>
      <c r="AN412" t="str">
        <f>IFERROR(ROUND(L412*(G412/$AW412)/VLOOKUP(F412,商品!$A$4:$D$67,4,FALSE),0),"")</f>
        <v/>
      </c>
      <c r="AO412" t="str">
        <f>IFERROR(ROUND(L412*(I412/$AW412)/VLOOKUP(H412,商品!$A$4:$D$67,4,FALSE),0),"")</f>
        <v/>
      </c>
      <c r="AP412" t="str">
        <f>IFERROR(ROUND(L412*(K412/$AW412)/VLOOKUP(J412,商品!$A$4:$D$67,4,FALSE),0),"")</f>
        <v/>
      </c>
      <c r="AQ412" t="str">
        <f>IFERROR(ROUND(S412*(N412/$AX412)/VLOOKUP(M412,职业!$A$3:$E$16,4,FALSE),0),"")</f>
        <v/>
      </c>
      <c r="AR412" t="str">
        <f>IFERROR(ROUND(S412*(P412/$AX412)/VLOOKUP(O412,职业!$A$3:$E$16,4,FALSE),0),"")</f>
        <v/>
      </c>
      <c r="AS412" t="str">
        <f>IFERROR(ROUND(S412*(R412/$AX412)/VLOOKUP(Q412,职业!$A$3:$E$16,4,FALSE),0),"")</f>
        <v/>
      </c>
      <c r="AT412" t="str">
        <f>IFERROR(ROUND(X412*(U412/$AY412)/VLOOKUP(T412,商品!$A$4:$D$67,4,FALSE),0),"")</f>
        <v/>
      </c>
      <c r="AU412" t="str">
        <f>IFERROR(ROUND(X412*(W412/$AY412)/VLOOKUP(V412,商品!$A$4:$D$67,4,FALSE),0),"")</f>
        <v/>
      </c>
      <c r="AW412">
        <f t="shared" si="116"/>
        <v>0</v>
      </c>
      <c r="AX412">
        <f t="shared" si="117"/>
        <v>0</v>
      </c>
      <c r="AY412">
        <f t="shared" si="118"/>
        <v>0</v>
      </c>
    </row>
    <row r="413" customHeight="1" spans="1:51">
      <c r="A413" s="5" t="s">
        <v>361</v>
      </c>
      <c r="C413" s="5">
        <v>1</v>
      </c>
      <c r="D413" s="1" t="s">
        <v>238</v>
      </c>
      <c r="E413" s="1" t="s">
        <v>222</v>
      </c>
      <c r="L413" s="5">
        <f>IFERROR(VLOOKUP($D413&amp;$C413,生产方式定位!$A$2:$E$38,2,FALSE)+VLOOKUP($E413&amp;$C413,生产方式定位!$F$3:$J$38,2,FALSE),0)</f>
        <v>1000</v>
      </c>
      <c r="S413" s="5">
        <f>IFERROR(VLOOKUP($D413&amp;$C413,生产方式定位!$A$2:$E$38,3,FALSE)+VLOOKUP($E413&amp;$C413,生产方式定位!$F$3:$J$38,3,FALSE),0)</f>
        <v>80</v>
      </c>
      <c r="X413" s="5">
        <f>IFERROR(VLOOKUP($D413&amp;$C413,生产方式定位!$A$2:$E$38,5,FALSE)+VLOOKUP($E413&amp;$C413,生产方式定位!$F$3:$J$38,5,FALSE),"错误")</f>
        <v>972</v>
      </c>
      <c r="Y413" s="27" t="str">
        <f t="shared" si="102"/>
        <v/>
      </c>
      <c r="Z413" s="50" t="str">
        <f t="shared" si="105"/>
        <v/>
      </c>
      <c r="AA413" s="50" t="str">
        <f t="shared" si="103"/>
        <v/>
      </c>
      <c r="AB413" s="28" t="str">
        <f t="shared" si="106"/>
        <v>-3%</v>
      </c>
      <c r="AC413" s="1">
        <f t="shared" si="107"/>
        <v>-108</v>
      </c>
      <c r="AD413" s="51">
        <f t="shared" si="104"/>
        <v>1</v>
      </c>
      <c r="AE413" t="str">
        <f t="shared" si="108"/>
        <v/>
      </c>
      <c r="AF413" t="str">
        <f t="shared" si="109"/>
        <v/>
      </c>
      <c r="AG413" t="str">
        <f t="shared" si="110"/>
        <v/>
      </c>
      <c r="AH413" t="str">
        <f t="shared" si="111"/>
        <v/>
      </c>
      <c r="AI413" t="str">
        <f t="shared" si="112"/>
        <v/>
      </c>
      <c r="AJ413" t="str">
        <f t="shared" si="113"/>
        <v/>
      </c>
      <c r="AK413" t="str">
        <f t="shared" si="114"/>
        <v/>
      </c>
      <c r="AL413" t="str">
        <f t="shared" si="115"/>
        <v/>
      </c>
      <c r="AN413" t="str">
        <f>IFERROR(ROUND(L413*(G413/$AW413)/VLOOKUP(F413,商品!$A$4:$D$67,4,FALSE),0),"")</f>
        <v/>
      </c>
      <c r="AO413" t="str">
        <f>IFERROR(ROUND(L413*(I413/$AW413)/VLOOKUP(H413,商品!$A$4:$D$67,4,FALSE),0),"")</f>
        <v/>
      </c>
      <c r="AP413" t="str">
        <f>IFERROR(ROUND(L413*(K413/$AW413)/VLOOKUP(J413,商品!$A$4:$D$67,4,FALSE),0),"")</f>
        <v/>
      </c>
      <c r="AQ413" t="str">
        <f>IFERROR(ROUND(S413*(N413/$AX413)/VLOOKUP(M413,职业!$A$3:$E$16,4,FALSE),0),"")</f>
        <v/>
      </c>
      <c r="AR413" t="str">
        <f>IFERROR(ROUND(S413*(P413/$AX413)/VLOOKUP(O413,职业!$A$3:$E$16,4,FALSE),0),"")</f>
        <v/>
      </c>
      <c r="AS413" t="str">
        <f>IFERROR(ROUND(S413*(R413/$AX413)/VLOOKUP(Q413,职业!$A$3:$E$16,4,FALSE),0),"")</f>
        <v/>
      </c>
      <c r="AT413" t="str">
        <f>IFERROR(ROUND(X413*(U413/$AY413)/VLOOKUP(T413,商品!$A$4:$D$67,4,FALSE),0),"")</f>
        <v/>
      </c>
      <c r="AU413" t="str">
        <f>IFERROR(ROUND(X413*(W413/$AY413)/VLOOKUP(V413,商品!$A$4:$D$67,4,FALSE),0),"")</f>
        <v/>
      </c>
      <c r="AW413">
        <f t="shared" si="116"/>
        <v>0</v>
      </c>
      <c r="AX413">
        <f t="shared" si="117"/>
        <v>0</v>
      </c>
      <c r="AY413">
        <f t="shared" si="118"/>
        <v>0</v>
      </c>
    </row>
    <row r="414" customHeight="1" spans="1:51">
      <c r="A414" s="5" t="s">
        <v>361</v>
      </c>
      <c r="C414" s="5">
        <v>2</v>
      </c>
      <c r="D414" s="1" t="s">
        <v>238</v>
      </c>
      <c r="E414" s="1" t="s">
        <v>222</v>
      </c>
      <c r="L414" s="5">
        <f>IFERROR(VLOOKUP($D414&amp;$C414,生产方式定位!$A$2:$E$38,2,FALSE)+VLOOKUP($E414&amp;$C414,生产方式定位!$F$3:$J$38,2,FALSE),0)</f>
        <v>1400</v>
      </c>
      <c r="S414" s="5">
        <f>IFERROR(VLOOKUP($D414&amp;$C414,生产方式定位!$A$2:$E$38,3,FALSE)+VLOOKUP($E414&amp;$C414,生产方式定位!$F$3:$J$38,3,FALSE),0)</f>
        <v>85</v>
      </c>
      <c r="X414" s="5">
        <f>IFERROR(VLOOKUP($D414&amp;$C414,生产方式定位!$A$2:$E$38,5,FALSE)+VLOOKUP($E414&amp;$C414,生产方式定位!$F$3:$J$38,5,FALSE),"错误")</f>
        <v>1732</v>
      </c>
      <c r="Y414" s="27" t="str">
        <f t="shared" si="102"/>
        <v/>
      </c>
      <c r="Z414" s="50" t="str">
        <f t="shared" si="105"/>
        <v/>
      </c>
      <c r="AA414" s="50" t="str">
        <f t="shared" si="103"/>
        <v/>
      </c>
      <c r="AB414" s="28" t="str">
        <f t="shared" si="106"/>
        <v>24%</v>
      </c>
      <c r="AC414" s="1">
        <f t="shared" si="107"/>
        <v>247</v>
      </c>
      <c r="AD414" s="51">
        <f t="shared" si="104"/>
        <v>2</v>
      </c>
      <c r="AE414" t="str">
        <f t="shared" si="108"/>
        <v/>
      </c>
      <c r="AF414" t="str">
        <f t="shared" si="109"/>
        <v/>
      </c>
      <c r="AG414" t="str">
        <f t="shared" si="110"/>
        <v/>
      </c>
      <c r="AH414" t="str">
        <f t="shared" si="111"/>
        <v/>
      </c>
      <c r="AI414" t="str">
        <f t="shared" si="112"/>
        <v/>
      </c>
      <c r="AJ414" t="str">
        <f t="shared" si="113"/>
        <v/>
      </c>
      <c r="AK414" t="str">
        <f t="shared" si="114"/>
        <v/>
      </c>
      <c r="AL414" t="str">
        <f t="shared" si="115"/>
        <v/>
      </c>
      <c r="AN414" t="str">
        <f>IFERROR(ROUND(L414*(G414/$AW414)/VLOOKUP(F414,商品!$A$4:$D$67,4,FALSE),0),"")</f>
        <v/>
      </c>
      <c r="AO414" t="str">
        <f>IFERROR(ROUND(L414*(I414/$AW414)/VLOOKUP(H414,商品!$A$4:$D$67,4,FALSE),0),"")</f>
        <v/>
      </c>
      <c r="AP414" t="str">
        <f>IFERROR(ROUND(L414*(K414/$AW414)/VLOOKUP(J414,商品!$A$4:$D$67,4,FALSE),0),"")</f>
        <v/>
      </c>
      <c r="AQ414" t="str">
        <f>IFERROR(ROUND(S414*(N414/$AX414)/VLOOKUP(M414,职业!$A$3:$E$16,4,FALSE),0),"")</f>
        <v/>
      </c>
      <c r="AR414" t="str">
        <f>IFERROR(ROUND(S414*(P414/$AX414)/VLOOKUP(O414,职业!$A$3:$E$16,4,FALSE),0),"")</f>
        <v/>
      </c>
      <c r="AS414" t="str">
        <f>IFERROR(ROUND(S414*(R414/$AX414)/VLOOKUP(Q414,职业!$A$3:$E$16,4,FALSE),0),"")</f>
        <v/>
      </c>
      <c r="AT414" t="str">
        <f>IFERROR(ROUND(X414*(U414/$AY414)/VLOOKUP(T414,商品!$A$4:$D$67,4,FALSE),0),"")</f>
        <v/>
      </c>
      <c r="AU414" t="str">
        <f>IFERROR(ROUND(X414*(W414/$AY414)/VLOOKUP(V414,商品!$A$4:$D$67,4,FALSE),0),"")</f>
        <v/>
      </c>
      <c r="AW414">
        <f t="shared" si="116"/>
        <v>0</v>
      </c>
      <c r="AX414">
        <f t="shared" si="117"/>
        <v>0</v>
      </c>
      <c r="AY414">
        <f t="shared" si="118"/>
        <v>0</v>
      </c>
    </row>
    <row r="415" customHeight="1" spans="1:51">
      <c r="A415" s="5" t="s">
        <v>361</v>
      </c>
      <c r="C415" s="5">
        <v>3</v>
      </c>
      <c r="D415" s="1" t="s">
        <v>238</v>
      </c>
      <c r="E415" s="1" t="s">
        <v>222</v>
      </c>
      <c r="L415" s="5">
        <f>IFERROR(VLOOKUP($D415&amp;$C415,生产方式定位!$A$2:$E$38,2,FALSE)+VLOOKUP($E415&amp;$C415,生产方式定位!$F$3:$J$38,2,FALSE),0)</f>
        <v>1425</v>
      </c>
      <c r="S415" s="5">
        <f>IFERROR(VLOOKUP($D415&amp;$C415,生产方式定位!$A$2:$E$38,3,FALSE)+VLOOKUP($E415&amp;$C415,生产方式定位!$F$3:$J$38,3,FALSE),0)</f>
        <v>90</v>
      </c>
      <c r="X415" s="5">
        <f>IFERROR(VLOOKUP($D415&amp;$C415,生产方式定位!$A$2:$E$38,5,FALSE)+VLOOKUP($E415&amp;$C415,生产方式定位!$F$3:$J$38,5,FALSE),"错误")</f>
        <v>2112</v>
      </c>
      <c r="Y415" s="27" t="str">
        <f t="shared" si="102"/>
        <v/>
      </c>
      <c r="Z415" s="50" t="str">
        <f t="shared" si="105"/>
        <v/>
      </c>
      <c r="AA415" s="50" t="str">
        <f t="shared" si="103"/>
        <v/>
      </c>
      <c r="AB415" s="28" t="str">
        <f t="shared" si="106"/>
        <v>48%</v>
      </c>
      <c r="AC415" s="1">
        <f t="shared" si="107"/>
        <v>597</v>
      </c>
      <c r="AD415" s="51">
        <f t="shared" si="104"/>
        <v>3</v>
      </c>
      <c r="AE415" t="str">
        <f t="shared" si="108"/>
        <v/>
      </c>
      <c r="AF415" t="str">
        <f t="shared" si="109"/>
        <v/>
      </c>
      <c r="AG415" t="str">
        <f t="shared" si="110"/>
        <v/>
      </c>
      <c r="AH415" t="str">
        <f t="shared" si="111"/>
        <v/>
      </c>
      <c r="AI415" t="str">
        <f t="shared" si="112"/>
        <v/>
      </c>
      <c r="AJ415" t="str">
        <f t="shared" si="113"/>
        <v/>
      </c>
      <c r="AK415" t="str">
        <f t="shared" si="114"/>
        <v/>
      </c>
      <c r="AL415" t="str">
        <f t="shared" si="115"/>
        <v/>
      </c>
      <c r="AN415" t="str">
        <f>IFERROR(ROUND(L415*(G415/$AW415)/VLOOKUP(F415,商品!$A$4:$D$67,4,FALSE),0),"")</f>
        <v/>
      </c>
      <c r="AO415" t="str">
        <f>IFERROR(ROUND(L415*(I415/$AW415)/VLOOKUP(H415,商品!$A$4:$D$67,4,FALSE),0),"")</f>
        <v/>
      </c>
      <c r="AP415" t="str">
        <f>IFERROR(ROUND(L415*(K415/$AW415)/VLOOKUP(J415,商品!$A$4:$D$67,4,FALSE),0),"")</f>
        <v/>
      </c>
      <c r="AQ415" t="str">
        <f>IFERROR(ROUND(S415*(N415/$AX415)/VLOOKUP(M415,职业!$A$3:$E$16,4,FALSE),0),"")</f>
        <v/>
      </c>
      <c r="AR415" t="str">
        <f>IFERROR(ROUND(S415*(P415/$AX415)/VLOOKUP(O415,职业!$A$3:$E$16,4,FALSE),0),"")</f>
        <v/>
      </c>
      <c r="AS415" t="str">
        <f>IFERROR(ROUND(S415*(R415/$AX415)/VLOOKUP(Q415,职业!$A$3:$E$16,4,FALSE),0),"")</f>
        <v/>
      </c>
      <c r="AT415" t="str">
        <f>IFERROR(ROUND(X415*(U415/$AY415)/VLOOKUP(T415,商品!$A$4:$D$67,4,FALSE),0),"")</f>
        <v/>
      </c>
      <c r="AU415" t="str">
        <f>IFERROR(ROUND(X415*(W415/$AY415)/VLOOKUP(V415,商品!$A$4:$D$67,4,FALSE),0),"")</f>
        <v/>
      </c>
      <c r="AW415">
        <f t="shared" si="116"/>
        <v>0</v>
      </c>
      <c r="AX415">
        <f t="shared" si="117"/>
        <v>0</v>
      </c>
      <c r="AY415">
        <f t="shared" si="118"/>
        <v>0</v>
      </c>
    </row>
    <row r="416" customHeight="1" spans="1:51">
      <c r="A416" s="5" t="s">
        <v>361</v>
      </c>
      <c r="C416" s="5">
        <v>4</v>
      </c>
      <c r="D416" s="1" t="s">
        <v>238</v>
      </c>
      <c r="E416" s="1" t="s">
        <v>222</v>
      </c>
      <c r="L416" s="5">
        <f>IFERROR(VLOOKUP($D416&amp;$C416,生产方式定位!$A$2:$E$38,2,FALSE)+VLOOKUP($E416&amp;$C416,生产方式定位!$F$3:$J$38,2,FALSE),0)</f>
        <v>1450</v>
      </c>
      <c r="S416" s="5">
        <f>IFERROR(VLOOKUP($D416&amp;$C416,生产方式定位!$A$2:$E$38,3,FALSE)+VLOOKUP($E416&amp;$C416,生产方式定位!$F$3:$J$38,3,FALSE),0)</f>
        <v>95</v>
      </c>
      <c r="X416" s="5">
        <f>IFERROR(VLOOKUP($D416&amp;$C416,生产方式定位!$A$2:$E$38,5,FALSE)+VLOOKUP($E416&amp;$C416,生产方式定位!$F$3:$J$38,5,FALSE),"错误")</f>
        <v>2733</v>
      </c>
      <c r="Y416" s="27" t="str">
        <f t="shared" si="102"/>
        <v/>
      </c>
      <c r="Z416" s="50" t="str">
        <f t="shared" si="105"/>
        <v/>
      </c>
      <c r="AA416" s="50" t="str">
        <f t="shared" si="103"/>
        <v/>
      </c>
      <c r="AB416" s="28" t="str">
        <f t="shared" si="106"/>
        <v>88%</v>
      </c>
      <c r="AC416" s="1">
        <f t="shared" si="107"/>
        <v>1188</v>
      </c>
      <c r="AD416" s="51">
        <f t="shared" si="104"/>
        <v>4</v>
      </c>
      <c r="AE416" t="str">
        <f t="shared" si="108"/>
        <v/>
      </c>
      <c r="AF416" t="str">
        <f t="shared" si="109"/>
        <v/>
      </c>
      <c r="AG416" t="str">
        <f t="shared" si="110"/>
        <v/>
      </c>
      <c r="AH416" t="str">
        <f t="shared" si="111"/>
        <v/>
      </c>
      <c r="AI416" t="str">
        <f t="shared" si="112"/>
        <v/>
      </c>
      <c r="AJ416" t="str">
        <f t="shared" si="113"/>
        <v/>
      </c>
      <c r="AK416" t="str">
        <f t="shared" si="114"/>
        <v/>
      </c>
      <c r="AL416" t="str">
        <f t="shared" si="115"/>
        <v/>
      </c>
      <c r="AN416" t="str">
        <f>IFERROR(ROUND(L416*(G416/$AW416)/VLOOKUP(F416,商品!$A$4:$D$67,4,FALSE),0),"")</f>
        <v/>
      </c>
      <c r="AO416" t="str">
        <f>IFERROR(ROUND(L416*(I416/$AW416)/VLOOKUP(H416,商品!$A$4:$D$67,4,FALSE),0),"")</f>
        <v/>
      </c>
      <c r="AP416" t="str">
        <f>IFERROR(ROUND(L416*(K416/$AW416)/VLOOKUP(J416,商品!$A$4:$D$67,4,FALSE),0),"")</f>
        <v/>
      </c>
      <c r="AQ416" t="str">
        <f>IFERROR(ROUND(S416*(N416/$AX416)/VLOOKUP(M416,职业!$A$3:$E$16,4,FALSE),0),"")</f>
        <v/>
      </c>
      <c r="AR416" t="str">
        <f>IFERROR(ROUND(S416*(P416/$AX416)/VLOOKUP(O416,职业!$A$3:$E$16,4,FALSE),0),"")</f>
        <v/>
      </c>
      <c r="AS416" t="str">
        <f>IFERROR(ROUND(S416*(R416/$AX416)/VLOOKUP(Q416,职业!$A$3:$E$16,4,FALSE),0),"")</f>
        <v/>
      </c>
      <c r="AT416" t="str">
        <f>IFERROR(ROUND(X416*(U416/$AY416)/VLOOKUP(T416,商品!$A$4:$D$67,4,FALSE),0),"")</f>
        <v/>
      </c>
      <c r="AU416" t="str">
        <f>IFERROR(ROUND(X416*(W416/$AY416)/VLOOKUP(V416,商品!$A$4:$D$67,4,FALSE),0),"")</f>
        <v/>
      </c>
      <c r="AW416">
        <f t="shared" si="116"/>
        <v>0</v>
      </c>
      <c r="AX416">
        <f t="shared" si="117"/>
        <v>0</v>
      </c>
      <c r="AY416">
        <f t="shared" si="118"/>
        <v>0</v>
      </c>
    </row>
    <row r="417" customHeight="1" spans="1:51">
      <c r="A417" s="5" t="s">
        <v>361</v>
      </c>
      <c r="C417" s="5">
        <v>5</v>
      </c>
      <c r="D417" s="1" t="s">
        <v>238</v>
      </c>
      <c r="E417" s="1" t="s">
        <v>222</v>
      </c>
      <c r="L417" s="5">
        <f>IFERROR(VLOOKUP($D417&amp;$C417,生产方式定位!$A$2:$E$38,2,FALSE)+VLOOKUP($E417&amp;$C417,生产方式定位!$F$3:$J$38,2,FALSE),0)</f>
        <v>1475</v>
      </c>
      <c r="S417" s="5">
        <f>IFERROR(VLOOKUP($D417&amp;$C417,生产方式定位!$A$2:$E$38,3,FALSE)+VLOOKUP($E417&amp;$C417,生产方式定位!$F$3:$J$38,3,FALSE),0)</f>
        <v>100</v>
      </c>
      <c r="X417" s="5">
        <f>IFERROR(VLOOKUP($D417&amp;$C417,生产方式定位!$A$2:$E$38,5,FALSE)+VLOOKUP($E417&amp;$C417,生产方式定位!$F$3:$J$38,5,FALSE),"错误")</f>
        <v>3763</v>
      </c>
      <c r="Y417" s="27" t="str">
        <f t="shared" si="102"/>
        <v/>
      </c>
      <c r="Z417" s="50" t="str">
        <f t="shared" si="105"/>
        <v/>
      </c>
      <c r="AA417" s="50" t="str">
        <f t="shared" si="103"/>
        <v/>
      </c>
      <c r="AB417" s="28" t="str">
        <f t="shared" si="106"/>
        <v>155%</v>
      </c>
      <c r="AC417" s="1">
        <f t="shared" si="107"/>
        <v>2188</v>
      </c>
      <c r="AD417" s="51">
        <f t="shared" si="104"/>
        <v>5</v>
      </c>
      <c r="AE417" t="str">
        <f t="shared" si="108"/>
        <v/>
      </c>
      <c r="AF417" t="str">
        <f t="shared" si="109"/>
        <v/>
      </c>
      <c r="AG417" t="str">
        <f t="shared" si="110"/>
        <v/>
      </c>
      <c r="AH417" t="str">
        <f t="shared" si="111"/>
        <v/>
      </c>
      <c r="AI417" t="str">
        <f t="shared" si="112"/>
        <v/>
      </c>
      <c r="AJ417" t="str">
        <f t="shared" si="113"/>
        <v/>
      </c>
      <c r="AK417" t="str">
        <f t="shared" si="114"/>
        <v/>
      </c>
      <c r="AL417" t="str">
        <f t="shared" si="115"/>
        <v/>
      </c>
      <c r="AN417" t="str">
        <f>IFERROR(ROUND(L417*(G417/$AW417)/VLOOKUP(F417,商品!$A$4:$D$67,4,FALSE),0),"")</f>
        <v/>
      </c>
      <c r="AO417" t="str">
        <f>IFERROR(ROUND(L417*(I417/$AW417)/VLOOKUP(H417,商品!$A$4:$D$67,4,FALSE),0),"")</f>
        <v/>
      </c>
      <c r="AP417" t="str">
        <f>IFERROR(ROUND(L417*(K417/$AW417)/VLOOKUP(J417,商品!$A$4:$D$67,4,FALSE),0),"")</f>
        <v/>
      </c>
      <c r="AQ417" t="str">
        <f>IFERROR(ROUND(S417*(N417/$AX417)/VLOOKUP(M417,职业!$A$3:$E$16,4,FALSE),0),"")</f>
        <v/>
      </c>
      <c r="AR417" t="str">
        <f>IFERROR(ROUND(S417*(P417/$AX417)/VLOOKUP(O417,职业!$A$3:$E$16,4,FALSE),0),"")</f>
        <v/>
      </c>
      <c r="AS417" t="str">
        <f>IFERROR(ROUND(S417*(R417/$AX417)/VLOOKUP(Q417,职业!$A$3:$E$16,4,FALSE),0),"")</f>
        <v/>
      </c>
      <c r="AT417" t="str">
        <f>IFERROR(ROUND(X417*(U417/$AY417)/VLOOKUP(T417,商品!$A$4:$D$67,4,FALSE),0),"")</f>
        <v/>
      </c>
      <c r="AU417" t="str">
        <f>IFERROR(ROUND(X417*(W417/$AY417)/VLOOKUP(V417,商品!$A$4:$D$67,4,FALSE),0),"")</f>
        <v/>
      </c>
      <c r="AW417">
        <f t="shared" si="116"/>
        <v>0</v>
      </c>
      <c r="AX417">
        <f t="shared" si="117"/>
        <v>0</v>
      </c>
      <c r="AY417">
        <f t="shared" si="118"/>
        <v>0</v>
      </c>
    </row>
    <row r="418" customHeight="1" spans="1:51">
      <c r="A418" s="18" t="s">
        <v>362</v>
      </c>
      <c r="C418" s="18">
        <v>1</v>
      </c>
      <c r="D418" s="1" t="s">
        <v>238</v>
      </c>
      <c r="E418" s="1" t="s">
        <v>224</v>
      </c>
      <c r="L418" s="18">
        <f>IFERROR(VLOOKUP($D418&amp;$C418,生产方式定位!$A$2:$E$38,2,FALSE)+VLOOKUP($E418&amp;$C418,生产方式定位!$F$3:$J$38,2,FALSE),0)</f>
        <v>1000</v>
      </c>
      <c r="S418" s="18">
        <f>IFERROR(VLOOKUP($D418&amp;$C418,生产方式定位!$A$2:$E$38,3,FALSE)+VLOOKUP($E418&amp;$C418,生产方式定位!$F$3:$J$38,3,FALSE),0)</f>
        <v>80</v>
      </c>
      <c r="X418" s="18">
        <f>IFERROR(VLOOKUP($D418&amp;$C418,生产方式定位!$A$2:$E$38,5,FALSE)+VLOOKUP($E418&amp;$C418,生产方式定位!$F$3:$J$38,5,FALSE),"错误")</f>
        <v>972</v>
      </c>
      <c r="Y418" s="27" t="str">
        <f t="shared" si="102"/>
        <v/>
      </c>
      <c r="Z418" s="50" t="str">
        <f t="shared" si="105"/>
        <v/>
      </c>
      <c r="AA418" s="50" t="str">
        <f t="shared" si="103"/>
        <v/>
      </c>
      <c r="AB418" s="28" t="str">
        <f t="shared" si="106"/>
        <v>-3%</v>
      </c>
      <c r="AC418" s="1">
        <f t="shared" si="107"/>
        <v>-108</v>
      </c>
      <c r="AD418" s="52">
        <f t="shared" si="104"/>
        <v>1</v>
      </c>
      <c r="AE418" t="str">
        <f t="shared" si="108"/>
        <v/>
      </c>
      <c r="AF418" t="str">
        <f t="shared" si="109"/>
        <v/>
      </c>
      <c r="AG418" t="str">
        <f t="shared" si="110"/>
        <v/>
      </c>
      <c r="AH418" t="str">
        <f t="shared" si="111"/>
        <v/>
      </c>
      <c r="AI418" t="str">
        <f t="shared" si="112"/>
        <v/>
      </c>
      <c r="AJ418" t="str">
        <f t="shared" si="113"/>
        <v/>
      </c>
      <c r="AK418" t="str">
        <f t="shared" si="114"/>
        <v/>
      </c>
      <c r="AL418" t="str">
        <f t="shared" si="115"/>
        <v/>
      </c>
      <c r="AN418" t="str">
        <f>IFERROR(ROUND(L418*(G418/$AW418)/VLOOKUP(F418,商品!$A$4:$D$67,4,FALSE),0),"")</f>
        <v/>
      </c>
      <c r="AO418" t="str">
        <f>IFERROR(ROUND(L418*(I418/$AW418)/VLOOKUP(H418,商品!$A$4:$D$67,4,FALSE),0),"")</f>
        <v/>
      </c>
      <c r="AP418" t="str">
        <f>IFERROR(ROUND(L418*(K418/$AW418)/VLOOKUP(J418,商品!$A$4:$D$67,4,FALSE),0),"")</f>
        <v/>
      </c>
      <c r="AQ418" t="str">
        <f>IFERROR(ROUND(S418*(N418/$AX418)/VLOOKUP(M418,职业!$A$3:$E$16,4,FALSE),0),"")</f>
        <v/>
      </c>
      <c r="AR418" t="str">
        <f>IFERROR(ROUND(S418*(P418/$AX418)/VLOOKUP(O418,职业!$A$3:$E$16,4,FALSE),0),"")</f>
        <v/>
      </c>
      <c r="AS418" t="str">
        <f>IFERROR(ROUND(S418*(R418/$AX418)/VLOOKUP(Q418,职业!$A$3:$E$16,4,FALSE),0),"")</f>
        <v/>
      </c>
      <c r="AT418" t="str">
        <f>IFERROR(ROUND(X418*(U418/$AY418)/VLOOKUP(T418,商品!$A$4:$D$67,4,FALSE),0),"")</f>
        <v/>
      </c>
      <c r="AU418" t="str">
        <f>IFERROR(ROUND(X418*(W418/$AY418)/VLOOKUP(V418,商品!$A$4:$D$67,4,FALSE),0),"")</f>
        <v/>
      </c>
      <c r="AW418">
        <f t="shared" si="116"/>
        <v>0</v>
      </c>
      <c r="AX418">
        <f t="shared" si="117"/>
        <v>0</v>
      </c>
      <c r="AY418">
        <f t="shared" si="118"/>
        <v>0</v>
      </c>
    </row>
    <row r="419" customHeight="1" spans="1:51">
      <c r="A419" s="18" t="s">
        <v>362</v>
      </c>
      <c r="C419" s="18">
        <v>2</v>
      </c>
      <c r="D419" s="1" t="s">
        <v>238</v>
      </c>
      <c r="E419" s="1" t="s">
        <v>224</v>
      </c>
      <c r="L419" s="18">
        <f>IFERROR(VLOOKUP($D419&amp;$C419,生产方式定位!$A$2:$E$38,2,FALSE)+VLOOKUP($E419&amp;$C419,生产方式定位!$F$3:$J$38,2,FALSE),0)</f>
        <v>1400</v>
      </c>
      <c r="S419" s="18">
        <f>IFERROR(VLOOKUP($D419&amp;$C419,生产方式定位!$A$2:$E$38,3,FALSE)+VLOOKUP($E419&amp;$C419,生产方式定位!$F$3:$J$38,3,FALSE),0)</f>
        <v>45</v>
      </c>
      <c r="X419" s="18">
        <f>IFERROR(VLOOKUP($D419&amp;$C419,生产方式定位!$A$2:$E$38,5,FALSE)+VLOOKUP($E419&amp;$C419,生产方式定位!$F$3:$J$38,5,FALSE),"错误")</f>
        <v>1688</v>
      </c>
      <c r="Y419" s="27" t="str">
        <f t="shared" si="102"/>
        <v/>
      </c>
      <c r="Z419" s="50" t="str">
        <f t="shared" si="105"/>
        <v/>
      </c>
      <c r="AA419" s="50" t="str">
        <f t="shared" si="103"/>
        <v/>
      </c>
      <c r="AB419" s="28" t="str">
        <f t="shared" si="106"/>
        <v>21%</v>
      </c>
      <c r="AC419" s="1">
        <f t="shared" si="107"/>
        <v>243</v>
      </c>
      <c r="AD419" s="52">
        <f t="shared" si="104"/>
        <v>2</v>
      </c>
      <c r="AE419" t="str">
        <f t="shared" si="108"/>
        <v/>
      </c>
      <c r="AF419" t="str">
        <f t="shared" si="109"/>
        <v/>
      </c>
      <c r="AG419" t="str">
        <f t="shared" si="110"/>
        <v/>
      </c>
      <c r="AH419" t="str">
        <f t="shared" si="111"/>
        <v/>
      </c>
      <c r="AI419" t="str">
        <f t="shared" si="112"/>
        <v/>
      </c>
      <c r="AJ419" t="str">
        <f t="shared" si="113"/>
        <v/>
      </c>
      <c r="AK419" t="str">
        <f t="shared" si="114"/>
        <v/>
      </c>
      <c r="AL419" t="str">
        <f t="shared" si="115"/>
        <v/>
      </c>
      <c r="AN419" t="str">
        <f>IFERROR(ROUND(L419*(G419/$AW419)/VLOOKUP(F419,商品!$A$4:$D$67,4,FALSE),0),"")</f>
        <v/>
      </c>
      <c r="AO419" t="str">
        <f>IFERROR(ROUND(L419*(I419/$AW419)/VLOOKUP(H419,商品!$A$4:$D$67,4,FALSE),0),"")</f>
        <v/>
      </c>
      <c r="AP419" t="str">
        <f>IFERROR(ROUND(L419*(K419/$AW419)/VLOOKUP(J419,商品!$A$4:$D$67,4,FALSE),0),"")</f>
        <v/>
      </c>
      <c r="AQ419" t="str">
        <f>IFERROR(ROUND(S419*(N419/$AX419)/VLOOKUP(M419,职业!$A$3:$E$16,4,FALSE),0),"")</f>
        <v/>
      </c>
      <c r="AR419" t="str">
        <f>IFERROR(ROUND(S419*(P419/$AX419)/VLOOKUP(O419,职业!$A$3:$E$16,4,FALSE),0),"")</f>
        <v/>
      </c>
      <c r="AS419" t="str">
        <f>IFERROR(ROUND(S419*(R419/$AX419)/VLOOKUP(Q419,职业!$A$3:$E$16,4,FALSE),0),"")</f>
        <v/>
      </c>
      <c r="AT419" t="str">
        <f>IFERROR(ROUND(X419*(U419/$AY419)/VLOOKUP(T419,商品!$A$4:$D$67,4,FALSE),0),"")</f>
        <v/>
      </c>
      <c r="AU419" t="str">
        <f>IFERROR(ROUND(X419*(W419/$AY419)/VLOOKUP(V419,商品!$A$4:$D$67,4,FALSE),0),"")</f>
        <v/>
      </c>
      <c r="AW419">
        <f t="shared" si="116"/>
        <v>0</v>
      </c>
      <c r="AX419">
        <f t="shared" si="117"/>
        <v>0</v>
      </c>
      <c r="AY419">
        <f t="shared" si="118"/>
        <v>0</v>
      </c>
    </row>
    <row r="420" customHeight="1" spans="1:51">
      <c r="A420" s="18" t="s">
        <v>362</v>
      </c>
      <c r="C420" s="18">
        <v>3</v>
      </c>
      <c r="D420" s="1" t="s">
        <v>238</v>
      </c>
      <c r="E420" s="1" t="s">
        <v>224</v>
      </c>
      <c r="L420" s="18">
        <f>IFERROR(VLOOKUP($D420&amp;$C420,生产方式定位!$A$2:$E$38,2,FALSE)+VLOOKUP($E420&amp;$C420,生产方式定位!$F$3:$J$38,2,FALSE),0)</f>
        <v>1800</v>
      </c>
      <c r="S420" s="18">
        <f>IFERROR(VLOOKUP($D420&amp;$C420,生产方式定位!$A$2:$E$38,3,FALSE)+VLOOKUP($E420&amp;$C420,生产方式定位!$F$3:$J$38,3,FALSE),0)</f>
        <v>30</v>
      </c>
      <c r="X420" s="18">
        <f>IFERROR(VLOOKUP($D420&amp;$C420,生产方式定位!$A$2:$E$38,5,FALSE)+VLOOKUP($E420&amp;$C420,生产方式定位!$F$3:$J$38,5,FALSE),"错误")</f>
        <v>2458</v>
      </c>
      <c r="Y420" s="27" t="str">
        <f t="shared" si="102"/>
        <v/>
      </c>
      <c r="Z420" s="50" t="str">
        <f t="shared" si="105"/>
        <v/>
      </c>
      <c r="AA420" s="50" t="str">
        <f t="shared" si="103"/>
        <v/>
      </c>
      <c r="AB420" s="28" t="str">
        <f t="shared" si="106"/>
        <v>37%</v>
      </c>
      <c r="AC420" s="1">
        <f t="shared" si="107"/>
        <v>628</v>
      </c>
      <c r="AD420" s="52">
        <f t="shared" si="104"/>
        <v>3</v>
      </c>
      <c r="AE420" t="str">
        <f t="shared" si="108"/>
        <v/>
      </c>
      <c r="AF420" t="str">
        <f t="shared" si="109"/>
        <v/>
      </c>
      <c r="AG420" t="str">
        <f t="shared" si="110"/>
        <v/>
      </c>
      <c r="AH420" t="str">
        <f t="shared" si="111"/>
        <v/>
      </c>
      <c r="AI420" t="str">
        <f t="shared" si="112"/>
        <v/>
      </c>
      <c r="AJ420" t="str">
        <f t="shared" si="113"/>
        <v/>
      </c>
      <c r="AK420" t="str">
        <f t="shared" si="114"/>
        <v/>
      </c>
      <c r="AL420" t="str">
        <f t="shared" si="115"/>
        <v/>
      </c>
      <c r="AN420" t="str">
        <f>IFERROR(ROUND(L420*(G420/$AW420)/VLOOKUP(F420,商品!$A$4:$D$67,4,FALSE),0),"")</f>
        <v/>
      </c>
      <c r="AO420" t="str">
        <f>IFERROR(ROUND(L420*(I420/$AW420)/VLOOKUP(H420,商品!$A$4:$D$67,4,FALSE),0),"")</f>
        <v/>
      </c>
      <c r="AP420" t="str">
        <f>IFERROR(ROUND(L420*(K420/$AW420)/VLOOKUP(J420,商品!$A$4:$D$67,4,FALSE),0),"")</f>
        <v/>
      </c>
      <c r="AQ420" t="str">
        <f>IFERROR(ROUND(S420*(N420/$AX420)/VLOOKUP(M420,职业!$A$3:$E$16,4,FALSE),0),"")</f>
        <v/>
      </c>
      <c r="AR420" t="str">
        <f>IFERROR(ROUND(S420*(P420/$AX420)/VLOOKUP(O420,职业!$A$3:$E$16,4,FALSE),0),"")</f>
        <v/>
      </c>
      <c r="AS420" t="str">
        <f>IFERROR(ROUND(S420*(R420/$AX420)/VLOOKUP(Q420,职业!$A$3:$E$16,4,FALSE),0),"")</f>
        <v/>
      </c>
      <c r="AT420" t="str">
        <f>IFERROR(ROUND(X420*(U420/$AY420)/VLOOKUP(T420,商品!$A$4:$D$67,4,FALSE),0),"")</f>
        <v/>
      </c>
      <c r="AU420" t="str">
        <f>IFERROR(ROUND(X420*(W420/$AY420)/VLOOKUP(V420,商品!$A$4:$D$67,4,FALSE),0),"")</f>
        <v/>
      </c>
      <c r="AW420">
        <f t="shared" si="116"/>
        <v>0</v>
      </c>
      <c r="AX420">
        <f t="shared" si="117"/>
        <v>0</v>
      </c>
      <c r="AY420">
        <f t="shared" si="118"/>
        <v>0</v>
      </c>
    </row>
    <row r="421" customHeight="1" spans="1:51">
      <c r="A421" s="18" t="s">
        <v>362</v>
      </c>
      <c r="C421" s="18">
        <v>4</v>
      </c>
      <c r="D421" s="1" t="s">
        <v>238</v>
      </c>
      <c r="E421" s="1" t="s">
        <v>224</v>
      </c>
      <c r="L421" s="18">
        <f>IFERROR(VLOOKUP($D421&amp;$C421,生产方式定位!$A$2:$E$38,2,FALSE)+VLOOKUP($E421&amp;$C421,生产方式定位!$F$3:$J$38,2,FALSE),0)</f>
        <v>2200</v>
      </c>
      <c r="S421" s="18">
        <f>IFERROR(VLOOKUP($D421&amp;$C421,生产方式定位!$A$2:$E$38,3,FALSE)+VLOOKUP($E421&amp;$C421,生产方式定位!$F$3:$J$38,3,FALSE),0)</f>
        <v>15</v>
      </c>
      <c r="X421" s="18">
        <f>IFERROR(VLOOKUP($D421&amp;$C421,生产方式定位!$A$2:$E$38,5,FALSE)+VLOOKUP($E421&amp;$C421,生产方式定位!$F$3:$J$38,5,FALSE),"错误")</f>
        <v>3470</v>
      </c>
      <c r="Y421" s="27" t="str">
        <f t="shared" si="102"/>
        <v/>
      </c>
      <c r="Z421" s="50" t="str">
        <f t="shared" si="105"/>
        <v/>
      </c>
      <c r="AA421" s="50" t="str">
        <f t="shared" si="103"/>
        <v/>
      </c>
      <c r="AB421" s="28" t="str">
        <f t="shared" si="106"/>
        <v>58%</v>
      </c>
      <c r="AC421" s="1">
        <f t="shared" si="107"/>
        <v>1255</v>
      </c>
      <c r="AD421" s="52">
        <f t="shared" si="104"/>
        <v>4</v>
      </c>
      <c r="AE421" t="str">
        <f t="shared" si="108"/>
        <v/>
      </c>
      <c r="AF421" t="str">
        <f t="shared" si="109"/>
        <v/>
      </c>
      <c r="AG421" t="str">
        <f t="shared" si="110"/>
        <v/>
      </c>
      <c r="AH421" t="str">
        <f t="shared" si="111"/>
        <v/>
      </c>
      <c r="AI421" t="str">
        <f t="shared" si="112"/>
        <v/>
      </c>
      <c r="AJ421" t="str">
        <f t="shared" si="113"/>
        <v/>
      </c>
      <c r="AK421" t="str">
        <f t="shared" si="114"/>
        <v/>
      </c>
      <c r="AL421" t="str">
        <f t="shared" si="115"/>
        <v/>
      </c>
      <c r="AN421" t="str">
        <f>IFERROR(ROUND(L421*(G421/$AW421)/VLOOKUP(F421,商品!$A$4:$D$67,4,FALSE),0),"")</f>
        <v/>
      </c>
      <c r="AO421" t="str">
        <f>IFERROR(ROUND(L421*(I421/$AW421)/VLOOKUP(H421,商品!$A$4:$D$67,4,FALSE),0),"")</f>
        <v/>
      </c>
      <c r="AP421" t="str">
        <f>IFERROR(ROUND(L421*(K421/$AW421)/VLOOKUP(J421,商品!$A$4:$D$67,4,FALSE),0),"")</f>
        <v/>
      </c>
      <c r="AQ421" t="str">
        <f>IFERROR(ROUND(S421*(N421/$AX421)/VLOOKUP(M421,职业!$A$3:$E$16,4,FALSE),0),"")</f>
        <v/>
      </c>
      <c r="AR421" t="str">
        <f>IFERROR(ROUND(S421*(P421/$AX421)/VLOOKUP(O421,职业!$A$3:$E$16,4,FALSE),0),"")</f>
        <v/>
      </c>
      <c r="AS421" t="str">
        <f>IFERROR(ROUND(S421*(R421/$AX421)/VLOOKUP(Q421,职业!$A$3:$E$16,4,FALSE),0),"")</f>
        <v/>
      </c>
      <c r="AT421" t="str">
        <f>IFERROR(ROUND(X421*(U421/$AY421)/VLOOKUP(T421,商品!$A$4:$D$67,4,FALSE),0),"")</f>
        <v/>
      </c>
      <c r="AU421" t="str">
        <f>IFERROR(ROUND(X421*(W421/$AY421)/VLOOKUP(V421,商品!$A$4:$D$67,4,FALSE),0),"")</f>
        <v/>
      </c>
      <c r="AW421">
        <f t="shared" si="116"/>
        <v>0</v>
      </c>
      <c r="AX421">
        <f t="shared" si="117"/>
        <v>0</v>
      </c>
      <c r="AY421">
        <f t="shared" si="118"/>
        <v>0</v>
      </c>
    </row>
    <row r="422" customHeight="1" spans="1:51">
      <c r="A422" s="18" t="s">
        <v>362</v>
      </c>
      <c r="C422" s="18">
        <v>5</v>
      </c>
      <c r="D422" s="1" t="s">
        <v>238</v>
      </c>
      <c r="E422" s="1" t="s">
        <v>224</v>
      </c>
      <c r="L422" s="18">
        <f>IFERROR(VLOOKUP($D422&amp;$C422,生产方式定位!$A$2:$E$38,2,FALSE)+VLOOKUP($E422&amp;$C422,生产方式定位!$F$3:$J$38,2,FALSE),0)</f>
        <v>2600</v>
      </c>
      <c r="S422" s="18">
        <f>IFERROR(VLOOKUP($D422&amp;$C422,生产方式定位!$A$2:$E$38,3,FALSE)+VLOOKUP($E422&amp;$C422,生产方式定位!$F$3:$J$38,3,FALSE),0)</f>
        <v>0</v>
      </c>
      <c r="X422" s="18">
        <f>IFERROR(VLOOKUP($D422&amp;$C422,生产方式定位!$A$2:$E$38,5,FALSE)+VLOOKUP($E422&amp;$C422,生产方式定位!$F$3:$J$38,5,FALSE),"错误")</f>
        <v>4890</v>
      </c>
      <c r="Y422" s="27" t="str">
        <f t="shared" si="102"/>
        <v/>
      </c>
      <c r="Z422" s="50" t="str">
        <f t="shared" si="105"/>
        <v/>
      </c>
      <c r="AA422" s="50" t="str">
        <f t="shared" si="103"/>
        <v/>
      </c>
      <c r="AB422" s="28" t="str">
        <f t="shared" si="106"/>
        <v>88%</v>
      </c>
      <c r="AC422" s="1">
        <f t="shared" si="107"/>
        <v>2290</v>
      </c>
      <c r="AD422" s="52">
        <f t="shared" si="104"/>
        <v>5</v>
      </c>
      <c r="AE422" t="str">
        <f t="shared" si="108"/>
        <v/>
      </c>
      <c r="AF422" t="str">
        <f t="shared" si="109"/>
        <v/>
      </c>
      <c r="AG422" t="str">
        <f t="shared" si="110"/>
        <v/>
      </c>
      <c r="AH422" t="str">
        <f t="shared" si="111"/>
        <v/>
      </c>
      <c r="AI422" t="str">
        <f t="shared" si="112"/>
        <v/>
      </c>
      <c r="AJ422" t="str">
        <f t="shared" si="113"/>
        <v/>
      </c>
      <c r="AK422" t="str">
        <f t="shared" si="114"/>
        <v/>
      </c>
      <c r="AL422" t="str">
        <f t="shared" si="115"/>
        <v/>
      </c>
      <c r="AN422" t="str">
        <f>IFERROR(ROUND(L422*(G422/$AW422)/VLOOKUP(F422,商品!$A$4:$D$67,4,FALSE),0),"")</f>
        <v/>
      </c>
      <c r="AO422" t="str">
        <f>IFERROR(ROUND(L422*(I422/$AW422)/VLOOKUP(H422,商品!$A$4:$D$67,4,FALSE),0),"")</f>
        <v/>
      </c>
      <c r="AP422" t="str">
        <f>IFERROR(ROUND(L422*(K422/$AW422)/VLOOKUP(J422,商品!$A$4:$D$67,4,FALSE),0),"")</f>
        <v/>
      </c>
      <c r="AQ422" t="str">
        <f>IFERROR(ROUND(S422*(N422/$AX422)/VLOOKUP(M422,职业!$A$3:$E$16,4,FALSE),0),"")</f>
        <v/>
      </c>
      <c r="AR422" t="str">
        <f>IFERROR(ROUND(S422*(P422/$AX422)/VLOOKUP(O422,职业!$A$3:$E$16,4,FALSE),0),"")</f>
        <v/>
      </c>
      <c r="AS422" t="str">
        <f>IFERROR(ROUND(S422*(R422/$AX422)/VLOOKUP(Q422,职业!$A$3:$E$16,4,FALSE),0),"")</f>
        <v/>
      </c>
      <c r="AT422" t="str">
        <f>IFERROR(ROUND(X422*(U422/$AY422)/VLOOKUP(T422,商品!$A$4:$D$67,4,FALSE),0),"")</f>
        <v/>
      </c>
      <c r="AU422" t="str">
        <f>IFERROR(ROUND(X422*(W422/$AY422)/VLOOKUP(V422,商品!$A$4:$D$67,4,FALSE),0),"")</f>
        <v/>
      </c>
      <c r="AW422">
        <f t="shared" si="116"/>
        <v>0</v>
      </c>
      <c r="AX422">
        <f t="shared" si="117"/>
        <v>0</v>
      </c>
      <c r="AY422">
        <f t="shared" si="118"/>
        <v>0</v>
      </c>
    </row>
    <row r="423" customHeight="1" spans="1:51">
      <c r="A423" s="5" t="s">
        <v>362</v>
      </c>
      <c r="C423" s="5">
        <v>1</v>
      </c>
      <c r="D423" s="1" t="s">
        <v>238</v>
      </c>
      <c r="E423" s="1" t="s">
        <v>224</v>
      </c>
      <c r="L423" s="5">
        <f>IFERROR(VLOOKUP($D423&amp;$C423,生产方式定位!$A$2:$E$38,2,FALSE)+VLOOKUP($E423&amp;$C423,生产方式定位!$F$3:$J$38,2,FALSE),0)</f>
        <v>1000</v>
      </c>
      <c r="S423" s="5">
        <f>IFERROR(VLOOKUP($D423&amp;$C423,生产方式定位!$A$2:$E$38,3,FALSE)+VLOOKUP($E423&amp;$C423,生产方式定位!$F$3:$J$38,3,FALSE),0)</f>
        <v>80</v>
      </c>
      <c r="X423" s="5">
        <f>IFERROR(VLOOKUP($D423&amp;$C423,生产方式定位!$A$2:$E$38,5,FALSE)+VLOOKUP($E423&amp;$C423,生产方式定位!$F$3:$J$38,5,FALSE),"错误")</f>
        <v>972</v>
      </c>
      <c r="Y423" s="27" t="str">
        <f t="shared" si="102"/>
        <v/>
      </c>
      <c r="Z423" s="50" t="str">
        <f t="shared" si="105"/>
        <v/>
      </c>
      <c r="AA423" s="50" t="str">
        <f t="shared" si="103"/>
        <v/>
      </c>
      <c r="AB423" s="28" t="str">
        <f t="shared" si="106"/>
        <v>-3%</v>
      </c>
      <c r="AC423" s="1">
        <f t="shared" si="107"/>
        <v>-108</v>
      </c>
      <c r="AD423" s="51">
        <f t="shared" si="104"/>
        <v>1</v>
      </c>
      <c r="AE423" t="str">
        <f t="shared" si="108"/>
        <v/>
      </c>
      <c r="AF423" t="str">
        <f t="shared" si="109"/>
        <v/>
      </c>
      <c r="AG423" t="str">
        <f t="shared" si="110"/>
        <v/>
      </c>
      <c r="AH423" t="str">
        <f t="shared" si="111"/>
        <v/>
      </c>
      <c r="AI423" t="str">
        <f t="shared" si="112"/>
        <v/>
      </c>
      <c r="AJ423" t="str">
        <f t="shared" si="113"/>
        <v/>
      </c>
      <c r="AK423" t="str">
        <f t="shared" si="114"/>
        <v/>
      </c>
      <c r="AL423" t="str">
        <f t="shared" si="115"/>
        <v/>
      </c>
      <c r="AN423" t="str">
        <f>IFERROR(ROUND(L423*(G423/$AW423)/VLOOKUP(F423,商品!$A$4:$D$67,4,FALSE),0),"")</f>
        <v/>
      </c>
      <c r="AO423" t="str">
        <f>IFERROR(ROUND(L423*(I423/$AW423)/VLOOKUP(H423,商品!$A$4:$D$67,4,FALSE),0),"")</f>
        <v/>
      </c>
      <c r="AP423" t="str">
        <f>IFERROR(ROUND(L423*(K423/$AW423)/VLOOKUP(J423,商品!$A$4:$D$67,4,FALSE),0),"")</f>
        <v/>
      </c>
      <c r="AQ423" t="str">
        <f>IFERROR(ROUND(S423*(N423/$AX423)/VLOOKUP(M423,职业!$A$3:$E$16,4,FALSE),0),"")</f>
        <v/>
      </c>
      <c r="AR423" t="str">
        <f>IFERROR(ROUND(S423*(P423/$AX423)/VLOOKUP(O423,职业!$A$3:$E$16,4,FALSE),0),"")</f>
        <v/>
      </c>
      <c r="AS423" t="str">
        <f>IFERROR(ROUND(S423*(R423/$AX423)/VLOOKUP(Q423,职业!$A$3:$E$16,4,FALSE),0),"")</f>
        <v/>
      </c>
      <c r="AT423" t="str">
        <f>IFERROR(ROUND(X423*(U423/$AY423)/VLOOKUP(T423,商品!$A$4:$D$67,4,FALSE),0),"")</f>
        <v/>
      </c>
      <c r="AU423" t="str">
        <f>IFERROR(ROUND(X423*(W423/$AY423)/VLOOKUP(V423,商品!$A$4:$D$67,4,FALSE),0),"")</f>
        <v/>
      </c>
      <c r="AW423">
        <f t="shared" si="116"/>
        <v>0</v>
      </c>
      <c r="AX423">
        <f t="shared" si="117"/>
        <v>0</v>
      </c>
      <c r="AY423">
        <f t="shared" si="118"/>
        <v>0</v>
      </c>
    </row>
    <row r="424" customHeight="1" spans="1:51">
      <c r="A424" s="5" t="s">
        <v>362</v>
      </c>
      <c r="C424" s="5">
        <v>2</v>
      </c>
      <c r="D424" s="1" t="s">
        <v>238</v>
      </c>
      <c r="E424" s="1" t="s">
        <v>224</v>
      </c>
      <c r="L424" s="5">
        <f>IFERROR(VLOOKUP($D424&amp;$C424,生产方式定位!$A$2:$E$38,2,FALSE)+VLOOKUP($E424&amp;$C424,生产方式定位!$F$3:$J$38,2,FALSE),0)</f>
        <v>1400</v>
      </c>
      <c r="S424" s="5">
        <f>IFERROR(VLOOKUP($D424&amp;$C424,生产方式定位!$A$2:$E$38,3,FALSE)+VLOOKUP($E424&amp;$C424,生产方式定位!$F$3:$J$38,3,FALSE),0)</f>
        <v>45</v>
      </c>
      <c r="X424" s="5">
        <f>IFERROR(VLOOKUP($D424&amp;$C424,生产方式定位!$A$2:$E$38,5,FALSE)+VLOOKUP($E424&amp;$C424,生产方式定位!$F$3:$J$38,5,FALSE),"错误")</f>
        <v>1688</v>
      </c>
      <c r="Y424" s="27" t="str">
        <f t="shared" si="102"/>
        <v/>
      </c>
      <c r="Z424" s="50" t="str">
        <f t="shared" si="105"/>
        <v/>
      </c>
      <c r="AA424" s="50" t="str">
        <f t="shared" si="103"/>
        <v/>
      </c>
      <c r="AB424" s="28" t="str">
        <f t="shared" si="106"/>
        <v>21%</v>
      </c>
      <c r="AC424" s="1">
        <f t="shared" si="107"/>
        <v>243</v>
      </c>
      <c r="AD424" s="51">
        <f t="shared" si="104"/>
        <v>2</v>
      </c>
      <c r="AE424" t="str">
        <f t="shared" si="108"/>
        <v/>
      </c>
      <c r="AF424" t="str">
        <f t="shared" si="109"/>
        <v/>
      </c>
      <c r="AG424" t="str">
        <f t="shared" si="110"/>
        <v/>
      </c>
      <c r="AH424" t="str">
        <f t="shared" si="111"/>
        <v/>
      </c>
      <c r="AI424" t="str">
        <f t="shared" si="112"/>
        <v/>
      </c>
      <c r="AJ424" t="str">
        <f t="shared" si="113"/>
        <v/>
      </c>
      <c r="AK424" t="str">
        <f t="shared" si="114"/>
        <v/>
      </c>
      <c r="AL424" t="str">
        <f t="shared" si="115"/>
        <v/>
      </c>
      <c r="AN424" t="str">
        <f>IFERROR(ROUND(L424*(G424/$AW424)/VLOOKUP(F424,商品!$A$4:$D$67,4,FALSE),0),"")</f>
        <v/>
      </c>
      <c r="AO424" t="str">
        <f>IFERROR(ROUND(L424*(I424/$AW424)/VLOOKUP(H424,商品!$A$4:$D$67,4,FALSE),0),"")</f>
        <v/>
      </c>
      <c r="AP424" t="str">
        <f>IFERROR(ROUND(L424*(K424/$AW424)/VLOOKUP(J424,商品!$A$4:$D$67,4,FALSE),0),"")</f>
        <v/>
      </c>
      <c r="AQ424" t="str">
        <f>IFERROR(ROUND(S424*(N424/$AX424)/VLOOKUP(M424,职业!$A$3:$E$16,4,FALSE),0),"")</f>
        <v/>
      </c>
      <c r="AR424" t="str">
        <f>IFERROR(ROUND(S424*(P424/$AX424)/VLOOKUP(O424,职业!$A$3:$E$16,4,FALSE),0),"")</f>
        <v/>
      </c>
      <c r="AS424" t="str">
        <f>IFERROR(ROUND(S424*(R424/$AX424)/VLOOKUP(Q424,职业!$A$3:$E$16,4,FALSE),0),"")</f>
        <v/>
      </c>
      <c r="AT424" t="str">
        <f>IFERROR(ROUND(X424*(U424/$AY424)/VLOOKUP(T424,商品!$A$4:$D$67,4,FALSE),0),"")</f>
        <v/>
      </c>
      <c r="AU424" t="str">
        <f>IFERROR(ROUND(X424*(W424/$AY424)/VLOOKUP(V424,商品!$A$4:$D$67,4,FALSE),0),"")</f>
        <v/>
      </c>
      <c r="AW424">
        <f t="shared" si="116"/>
        <v>0</v>
      </c>
      <c r="AX424">
        <f t="shared" si="117"/>
        <v>0</v>
      </c>
      <c r="AY424">
        <f t="shared" si="118"/>
        <v>0</v>
      </c>
    </row>
    <row r="425" customHeight="1" spans="1:51">
      <c r="A425" s="5" t="s">
        <v>362</v>
      </c>
      <c r="C425" s="5">
        <v>3</v>
      </c>
      <c r="D425" s="1" t="s">
        <v>238</v>
      </c>
      <c r="E425" s="1" t="s">
        <v>224</v>
      </c>
      <c r="L425" s="5">
        <f>IFERROR(VLOOKUP($D425&amp;$C425,生产方式定位!$A$2:$E$38,2,FALSE)+VLOOKUP($E425&amp;$C425,生产方式定位!$F$3:$J$38,2,FALSE),0)</f>
        <v>1800</v>
      </c>
      <c r="S425" s="5">
        <f>IFERROR(VLOOKUP($D425&amp;$C425,生产方式定位!$A$2:$E$38,3,FALSE)+VLOOKUP($E425&amp;$C425,生产方式定位!$F$3:$J$38,3,FALSE),0)</f>
        <v>30</v>
      </c>
      <c r="X425" s="5">
        <f>IFERROR(VLOOKUP($D425&amp;$C425,生产方式定位!$A$2:$E$38,5,FALSE)+VLOOKUP($E425&amp;$C425,生产方式定位!$F$3:$J$38,5,FALSE),"错误")</f>
        <v>2458</v>
      </c>
      <c r="Y425" s="27" t="str">
        <f t="shared" si="102"/>
        <v/>
      </c>
      <c r="Z425" s="50" t="str">
        <f t="shared" si="105"/>
        <v/>
      </c>
      <c r="AA425" s="50" t="str">
        <f t="shared" si="103"/>
        <v/>
      </c>
      <c r="AB425" s="28" t="str">
        <f t="shared" si="106"/>
        <v>37%</v>
      </c>
      <c r="AC425" s="1">
        <f t="shared" si="107"/>
        <v>628</v>
      </c>
      <c r="AD425" s="51">
        <f t="shared" si="104"/>
        <v>3</v>
      </c>
      <c r="AE425" t="str">
        <f t="shared" si="108"/>
        <v/>
      </c>
      <c r="AF425" t="str">
        <f t="shared" si="109"/>
        <v/>
      </c>
      <c r="AG425" t="str">
        <f t="shared" si="110"/>
        <v/>
      </c>
      <c r="AH425" t="str">
        <f t="shared" si="111"/>
        <v/>
      </c>
      <c r="AI425" t="str">
        <f t="shared" si="112"/>
        <v/>
      </c>
      <c r="AJ425" t="str">
        <f t="shared" si="113"/>
        <v/>
      </c>
      <c r="AK425" t="str">
        <f t="shared" si="114"/>
        <v/>
      </c>
      <c r="AL425" t="str">
        <f t="shared" si="115"/>
        <v/>
      </c>
      <c r="AN425" t="str">
        <f>IFERROR(ROUND(L425*(G425/$AW425)/VLOOKUP(F425,商品!$A$4:$D$67,4,FALSE),0),"")</f>
        <v/>
      </c>
      <c r="AO425" t="str">
        <f>IFERROR(ROUND(L425*(I425/$AW425)/VLOOKUP(H425,商品!$A$4:$D$67,4,FALSE),0),"")</f>
        <v/>
      </c>
      <c r="AP425" t="str">
        <f>IFERROR(ROUND(L425*(K425/$AW425)/VLOOKUP(J425,商品!$A$4:$D$67,4,FALSE),0),"")</f>
        <v/>
      </c>
      <c r="AQ425" t="str">
        <f>IFERROR(ROUND(S425*(N425/$AX425)/VLOOKUP(M425,职业!$A$3:$E$16,4,FALSE),0),"")</f>
        <v/>
      </c>
      <c r="AR425" t="str">
        <f>IFERROR(ROUND(S425*(P425/$AX425)/VLOOKUP(O425,职业!$A$3:$E$16,4,FALSE),0),"")</f>
        <v/>
      </c>
      <c r="AS425" t="str">
        <f>IFERROR(ROUND(S425*(R425/$AX425)/VLOOKUP(Q425,职业!$A$3:$E$16,4,FALSE),0),"")</f>
        <v/>
      </c>
      <c r="AT425" t="str">
        <f>IFERROR(ROUND(X425*(U425/$AY425)/VLOOKUP(T425,商品!$A$4:$D$67,4,FALSE),0),"")</f>
        <v/>
      </c>
      <c r="AU425" t="str">
        <f>IFERROR(ROUND(X425*(W425/$AY425)/VLOOKUP(V425,商品!$A$4:$D$67,4,FALSE),0),"")</f>
        <v/>
      </c>
      <c r="AW425">
        <f t="shared" si="116"/>
        <v>0</v>
      </c>
      <c r="AX425">
        <f t="shared" si="117"/>
        <v>0</v>
      </c>
      <c r="AY425">
        <f t="shared" si="118"/>
        <v>0</v>
      </c>
    </row>
    <row r="426" customHeight="1" spans="1:51">
      <c r="A426" s="5" t="s">
        <v>362</v>
      </c>
      <c r="C426" s="5">
        <v>4</v>
      </c>
      <c r="D426" s="1" t="s">
        <v>238</v>
      </c>
      <c r="E426" s="1" t="s">
        <v>224</v>
      </c>
      <c r="L426" s="5">
        <f>IFERROR(VLOOKUP($D426&amp;$C426,生产方式定位!$A$2:$E$38,2,FALSE)+VLOOKUP($E426&amp;$C426,生产方式定位!$F$3:$J$38,2,FALSE),0)</f>
        <v>2200</v>
      </c>
      <c r="S426" s="5">
        <f>IFERROR(VLOOKUP($D426&amp;$C426,生产方式定位!$A$2:$E$38,3,FALSE)+VLOOKUP($E426&amp;$C426,生产方式定位!$F$3:$J$38,3,FALSE),0)</f>
        <v>15</v>
      </c>
      <c r="X426" s="5">
        <f>IFERROR(VLOOKUP($D426&amp;$C426,生产方式定位!$A$2:$E$38,5,FALSE)+VLOOKUP($E426&amp;$C426,生产方式定位!$F$3:$J$38,5,FALSE),"错误")</f>
        <v>3470</v>
      </c>
      <c r="Y426" s="27" t="str">
        <f t="shared" si="102"/>
        <v/>
      </c>
      <c r="Z426" s="50" t="str">
        <f t="shared" si="105"/>
        <v/>
      </c>
      <c r="AA426" s="50" t="str">
        <f t="shared" si="103"/>
        <v/>
      </c>
      <c r="AB426" s="28" t="str">
        <f t="shared" si="106"/>
        <v>58%</v>
      </c>
      <c r="AC426" s="1">
        <f t="shared" si="107"/>
        <v>1255</v>
      </c>
      <c r="AD426" s="51">
        <f t="shared" si="104"/>
        <v>4</v>
      </c>
      <c r="AE426" t="str">
        <f t="shared" si="108"/>
        <v/>
      </c>
      <c r="AF426" t="str">
        <f t="shared" si="109"/>
        <v/>
      </c>
      <c r="AG426" t="str">
        <f t="shared" si="110"/>
        <v/>
      </c>
      <c r="AH426" t="str">
        <f t="shared" si="111"/>
        <v/>
      </c>
      <c r="AI426" t="str">
        <f t="shared" si="112"/>
        <v/>
      </c>
      <c r="AJ426" t="str">
        <f t="shared" si="113"/>
        <v/>
      </c>
      <c r="AK426" t="str">
        <f t="shared" si="114"/>
        <v/>
      </c>
      <c r="AL426" t="str">
        <f t="shared" si="115"/>
        <v/>
      </c>
      <c r="AN426" t="str">
        <f>IFERROR(ROUND(L426*(G426/$AW426)/VLOOKUP(F426,商品!$A$4:$D$67,4,FALSE),0),"")</f>
        <v/>
      </c>
      <c r="AO426" t="str">
        <f>IFERROR(ROUND(L426*(I426/$AW426)/VLOOKUP(H426,商品!$A$4:$D$67,4,FALSE),0),"")</f>
        <v/>
      </c>
      <c r="AP426" t="str">
        <f>IFERROR(ROUND(L426*(K426/$AW426)/VLOOKUP(J426,商品!$A$4:$D$67,4,FALSE),0),"")</f>
        <v/>
      </c>
      <c r="AQ426" t="str">
        <f>IFERROR(ROUND(S426*(N426/$AX426)/VLOOKUP(M426,职业!$A$3:$E$16,4,FALSE),0),"")</f>
        <v/>
      </c>
      <c r="AR426" t="str">
        <f>IFERROR(ROUND(S426*(P426/$AX426)/VLOOKUP(O426,职业!$A$3:$E$16,4,FALSE),0),"")</f>
        <v/>
      </c>
      <c r="AS426" t="str">
        <f>IFERROR(ROUND(S426*(R426/$AX426)/VLOOKUP(Q426,职业!$A$3:$E$16,4,FALSE),0),"")</f>
        <v/>
      </c>
      <c r="AT426" t="str">
        <f>IFERROR(ROUND(X426*(U426/$AY426)/VLOOKUP(T426,商品!$A$4:$D$67,4,FALSE),0),"")</f>
        <v/>
      </c>
      <c r="AU426" t="str">
        <f>IFERROR(ROUND(X426*(W426/$AY426)/VLOOKUP(V426,商品!$A$4:$D$67,4,FALSE),0),"")</f>
        <v/>
      </c>
      <c r="AW426">
        <f t="shared" si="116"/>
        <v>0</v>
      </c>
      <c r="AX426">
        <f t="shared" si="117"/>
        <v>0</v>
      </c>
      <c r="AY426">
        <f t="shared" si="118"/>
        <v>0</v>
      </c>
    </row>
    <row r="427" customHeight="1" spans="1:51">
      <c r="A427" s="5" t="s">
        <v>362</v>
      </c>
      <c r="C427" s="5">
        <v>5</v>
      </c>
      <c r="D427" s="1" t="s">
        <v>238</v>
      </c>
      <c r="E427" s="1" t="s">
        <v>224</v>
      </c>
      <c r="L427" s="5">
        <f>IFERROR(VLOOKUP($D427&amp;$C427,生产方式定位!$A$2:$E$38,2,FALSE)+VLOOKUP($E427&amp;$C427,生产方式定位!$F$3:$J$38,2,FALSE),0)</f>
        <v>2600</v>
      </c>
      <c r="S427" s="5">
        <f>IFERROR(VLOOKUP($D427&amp;$C427,生产方式定位!$A$2:$E$38,3,FALSE)+VLOOKUP($E427&amp;$C427,生产方式定位!$F$3:$J$38,3,FALSE),0)</f>
        <v>0</v>
      </c>
      <c r="X427" s="5">
        <f>IFERROR(VLOOKUP($D427&amp;$C427,生产方式定位!$A$2:$E$38,5,FALSE)+VLOOKUP($E427&amp;$C427,生产方式定位!$F$3:$J$38,5,FALSE),"错误")</f>
        <v>4890</v>
      </c>
      <c r="Y427" s="27" t="str">
        <f t="shared" si="102"/>
        <v/>
      </c>
      <c r="Z427" s="50" t="str">
        <f t="shared" si="105"/>
        <v/>
      </c>
      <c r="AA427" s="50" t="str">
        <f t="shared" si="103"/>
        <v/>
      </c>
      <c r="AB427" s="28" t="str">
        <f t="shared" si="106"/>
        <v>88%</v>
      </c>
      <c r="AC427" s="1">
        <f t="shared" si="107"/>
        <v>2290</v>
      </c>
      <c r="AD427" s="51">
        <f t="shared" si="104"/>
        <v>5</v>
      </c>
      <c r="AE427" t="str">
        <f t="shared" si="108"/>
        <v/>
      </c>
      <c r="AF427" t="str">
        <f t="shared" si="109"/>
        <v/>
      </c>
      <c r="AG427" t="str">
        <f t="shared" si="110"/>
        <v/>
      </c>
      <c r="AH427" t="str">
        <f t="shared" si="111"/>
        <v/>
      </c>
      <c r="AI427" t="str">
        <f t="shared" si="112"/>
        <v/>
      </c>
      <c r="AJ427" t="str">
        <f t="shared" si="113"/>
        <v/>
      </c>
      <c r="AK427" t="str">
        <f t="shared" si="114"/>
        <v/>
      </c>
      <c r="AL427" t="str">
        <f t="shared" si="115"/>
        <v/>
      </c>
      <c r="AN427" t="str">
        <f>IFERROR(ROUND(L427*(G427/$AW427)/VLOOKUP(F427,商品!$A$4:$D$67,4,FALSE),0),"")</f>
        <v/>
      </c>
      <c r="AO427" t="str">
        <f>IFERROR(ROUND(L427*(I427/$AW427)/VLOOKUP(H427,商品!$A$4:$D$67,4,FALSE),0),"")</f>
        <v/>
      </c>
      <c r="AP427" t="str">
        <f>IFERROR(ROUND(L427*(K427/$AW427)/VLOOKUP(J427,商品!$A$4:$D$67,4,FALSE),0),"")</f>
        <v/>
      </c>
      <c r="AQ427" t="str">
        <f>IFERROR(ROUND(S427*(N427/$AX427)/VLOOKUP(M427,职业!$A$3:$E$16,4,FALSE),0),"")</f>
        <v/>
      </c>
      <c r="AR427" t="str">
        <f>IFERROR(ROUND(S427*(P427/$AX427)/VLOOKUP(O427,职业!$A$3:$E$16,4,FALSE),0),"")</f>
        <v/>
      </c>
      <c r="AS427" t="str">
        <f>IFERROR(ROUND(S427*(R427/$AX427)/VLOOKUP(Q427,职业!$A$3:$E$16,4,FALSE),0),"")</f>
        <v/>
      </c>
      <c r="AT427" t="str">
        <f>IFERROR(ROUND(X427*(U427/$AY427)/VLOOKUP(T427,商品!$A$4:$D$67,4,FALSE),0),"")</f>
        <v/>
      </c>
      <c r="AU427" t="str">
        <f>IFERROR(ROUND(X427*(W427/$AY427)/VLOOKUP(V427,商品!$A$4:$D$67,4,FALSE),0),"")</f>
        <v/>
      </c>
      <c r="AW427">
        <f t="shared" si="116"/>
        <v>0</v>
      </c>
      <c r="AX427">
        <f t="shared" si="117"/>
        <v>0</v>
      </c>
      <c r="AY427">
        <f t="shared" si="118"/>
        <v>0</v>
      </c>
    </row>
    <row r="428" customHeight="1" spans="1:51">
      <c r="A428" s="18" t="s">
        <v>363</v>
      </c>
      <c r="C428" s="18">
        <v>1</v>
      </c>
      <c r="D428" s="1" t="s">
        <v>291</v>
      </c>
      <c r="E428" s="1" t="s">
        <v>225</v>
      </c>
      <c r="L428" s="18">
        <f>IFERROR(VLOOKUP($D428&amp;$C428,生产方式定位!$A$2:$E$38,2,FALSE)+VLOOKUP($E428&amp;$C428,生产方式定位!$F$3:$J$38,2,FALSE),0)</f>
        <v>0</v>
      </c>
      <c r="S428" s="18">
        <f>IFERROR(VLOOKUP($D428&amp;$C428,生产方式定位!$A$2:$E$38,3,FALSE)+VLOOKUP($E428&amp;$C428,生产方式定位!$F$3:$J$38,3,FALSE),0)</f>
        <v>100</v>
      </c>
      <c r="X428" s="18">
        <f>IFERROR(VLOOKUP($D428&amp;$C428,生产方式定位!$A$2:$E$38,5,FALSE)+VLOOKUP($E428&amp;$C428,生产方式定位!$F$3:$J$38,5,FALSE),"错误")</f>
        <v>100</v>
      </c>
      <c r="Y428" s="27" t="str">
        <f t="shared" si="102"/>
        <v/>
      </c>
      <c r="Z428" s="50" t="str">
        <f t="shared" si="105"/>
        <v/>
      </c>
      <c r="AA428" s="50" t="str">
        <f t="shared" si="103"/>
        <v/>
      </c>
      <c r="AB428" s="28" t="str">
        <f t="shared" si="106"/>
        <v/>
      </c>
      <c r="AC428" s="1" t="str">
        <f t="shared" si="107"/>
        <v/>
      </c>
      <c r="AD428" s="52">
        <f t="shared" si="104"/>
        <v>1</v>
      </c>
      <c r="AE428" t="str">
        <f t="shared" si="108"/>
        <v/>
      </c>
      <c r="AF428" t="str">
        <f t="shared" si="109"/>
        <v/>
      </c>
      <c r="AG428" t="str">
        <f t="shared" si="110"/>
        <v/>
      </c>
      <c r="AH428" t="str">
        <f t="shared" si="111"/>
        <v/>
      </c>
      <c r="AI428" t="str">
        <f t="shared" si="112"/>
        <v/>
      </c>
      <c r="AJ428" t="str">
        <f t="shared" si="113"/>
        <v/>
      </c>
      <c r="AK428" t="str">
        <f t="shared" si="114"/>
        <v/>
      </c>
      <c r="AL428" t="str">
        <f t="shared" si="115"/>
        <v/>
      </c>
      <c r="AN428" t="str">
        <f>IFERROR(ROUND(L428*(G428/$AW428)/VLOOKUP(F428,商品!$A$4:$D$67,4,FALSE),0),"")</f>
        <v/>
      </c>
      <c r="AO428" t="str">
        <f>IFERROR(ROUND(L428*(I428/$AW428)/VLOOKUP(H428,商品!$A$4:$D$67,4,FALSE),0),"")</f>
        <v/>
      </c>
      <c r="AP428" t="str">
        <f>IFERROR(ROUND(L428*(K428/$AW428)/VLOOKUP(J428,商品!$A$4:$D$67,4,FALSE),0),"")</f>
        <v/>
      </c>
      <c r="AQ428" t="str">
        <f>IFERROR(ROUND(S428*(N428/$AX428)/VLOOKUP(M428,职业!$A$3:$E$16,4,FALSE),0),"")</f>
        <v/>
      </c>
      <c r="AR428" t="str">
        <f>IFERROR(ROUND(S428*(P428/$AX428)/VLOOKUP(O428,职业!$A$3:$E$16,4,FALSE),0),"")</f>
        <v/>
      </c>
      <c r="AS428" t="str">
        <f>IFERROR(ROUND(S428*(R428/$AX428)/VLOOKUP(Q428,职业!$A$3:$E$16,4,FALSE),0),"")</f>
        <v/>
      </c>
      <c r="AT428" t="str">
        <f>IFERROR(ROUND(X428*(U428/$AY428)/VLOOKUP(T428,商品!$A$4:$D$67,4,FALSE),0),"")</f>
        <v/>
      </c>
      <c r="AU428" t="str">
        <f>IFERROR(ROUND(X428*(W428/$AY428)/VLOOKUP(V428,商品!$A$4:$D$67,4,FALSE),0),"")</f>
        <v/>
      </c>
      <c r="AW428">
        <f t="shared" si="116"/>
        <v>0</v>
      </c>
      <c r="AX428">
        <f t="shared" si="117"/>
        <v>0</v>
      </c>
      <c r="AY428">
        <f t="shared" si="118"/>
        <v>0</v>
      </c>
    </row>
    <row r="429" customHeight="1" spans="1:51">
      <c r="A429" s="18" t="s">
        <v>363</v>
      </c>
      <c r="C429" s="18">
        <v>2</v>
      </c>
      <c r="D429" s="1" t="s">
        <v>291</v>
      </c>
      <c r="E429" s="1" t="s">
        <v>225</v>
      </c>
      <c r="L429" s="18">
        <f>IFERROR(VLOOKUP($D429&amp;$C429,生产方式定位!$A$2:$E$38,2,FALSE)+VLOOKUP($E429&amp;$C429,生产方式定位!$F$3:$J$38,2,FALSE),0)</f>
        <v>0</v>
      </c>
      <c r="S429" s="18">
        <f>IFERROR(VLOOKUP($D429&amp;$C429,生产方式定位!$A$2:$E$38,3,FALSE)+VLOOKUP($E429&amp;$C429,生产方式定位!$F$3:$J$38,3,FALSE),0)</f>
        <v>100</v>
      </c>
      <c r="X429" s="18">
        <f>IFERROR(VLOOKUP($D429&amp;$C429,生产方式定位!$A$2:$E$38,5,FALSE)+VLOOKUP($E429&amp;$C429,生产方式定位!$F$3:$J$38,5,FALSE),"错误")</f>
        <v>100</v>
      </c>
      <c r="Y429" s="27" t="str">
        <f t="shared" si="102"/>
        <v/>
      </c>
      <c r="Z429" s="50" t="str">
        <f t="shared" si="105"/>
        <v/>
      </c>
      <c r="AA429" s="50" t="str">
        <f t="shared" si="103"/>
        <v/>
      </c>
      <c r="AB429" s="28" t="str">
        <f t="shared" si="106"/>
        <v/>
      </c>
      <c r="AC429" s="1" t="str">
        <f t="shared" si="107"/>
        <v/>
      </c>
      <c r="AD429" s="52">
        <f t="shared" si="104"/>
        <v>2</v>
      </c>
      <c r="AE429" t="str">
        <f t="shared" si="108"/>
        <v/>
      </c>
      <c r="AF429" t="str">
        <f t="shared" si="109"/>
        <v/>
      </c>
      <c r="AG429" t="str">
        <f t="shared" si="110"/>
        <v/>
      </c>
      <c r="AH429" t="str">
        <f t="shared" si="111"/>
        <v/>
      </c>
      <c r="AI429" t="str">
        <f t="shared" si="112"/>
        <v/>
      </c>
      <c r="AJ429" t="str">
        <f t="shared" si="113"/>
        <v/>
      </c>
      <c r="AK429" t="str">
        <f t="shared" si="114"/>
        <v/>
      </c>
      <c r="AL429" t="str">
        <f t="shared" si="115"/>
        <v/>
      </c>
      <c r="AN429" t="str">
        <f>IFERROR(ROUND(L429*(G429/$AW429)/VLOOKUP(F429,商品!$A$4:$D$67,4,FALSE),0),"")</f>
        <v/>
      </c>
      <c r="AO429" t="str">
        <f>IFERROR(ROUND(L429*(I429/$AW429)/VLOOKUP(H429,商品!$A$4:$D$67,4,FALSE),0),"")</f>
        <v/>
      </c>
      <c r="AP429" t="str">
        <f>IFERROR(ROUND(L429*(K429/$AW429)/VLOOKUP(J429,商品!$A$4:$D$67,4,FALSE),0),"")</f>
        <v/>
      </c>
      <c r="AQ429" t="str">
        <f>IFERROR(ROUND(S429*(N429/$AX429)/VLOOKUP(M429,职业!$A$3:$E$16,4,FALSE),0),"")</f>
        <v/>
      </c>
      <c r="AR429" t="str">
        <f>IFERROR(ROUND(S429*(P429/$AX429)/VLOOKUP(O429,职业!$A$3:$E$16,4,FALSE),0),"")</f>
        <v/>
      </c>
      <c r="AS429" t="str">
        <f>IFERROR(ROUND(S429*(R429/$AX429)/VLOOKUP(Q429,职业!$A$3:$E$16,4,FALSE),0),"")</f>
        <v/>
      </c>
      <c r="AT429" t="str">
        <f>IFERROR(ROUND(X429*(U429/$AY429)/VLOOKUP(T429,商品!$A$4:$D$67,4,FALSE),0),"")</f>
        <v/>
      </c>
      <c r="AU429" t="str">
        <f>IFERROR(ROUND(X429*(W429/$AY429)/VLOOKUP(V429,商品!$A$4:$D$67,4,FALSE),0),"")</f>
        <v/>
      </c>
      <c r="AW429">
        <f t="shared" si="116"/>
        <v>0</v>
      </c>
      <c r="AX429">
        <f t="shared" si="117"/>
        <v>0</v>
      </c>
      <c r="AY429">
        <f t="shared" si="118"/>
        <v>0</v>
      </c>
    </row>
    <row r="430" customHeight="1" spans="1:51">
      <c r="A430" s="18" t="s">
        <v>363</v>
      </c>
      <c r="C430" s="18">
        <v>3</v>
      </c>
      <c r="D430" s="1" t="s">
        <v>291</v>
      </c>
      <c r="E430" s="1" t="s">
        <v>225</v>
      </c>
      <c r="L430" s="18">
        <f>IFERROR(VLOOKUP($D430&amp;$C430,生产方式定位!$A$2:$E$38,2,FALSE)+VLOOKUP($E430&amp;$C430,生产方式定位!$F$3:$J$38,2,FALSE),0)</f>
        <v>0</v>
      </c>
      <c r="S430" s="18">
        <f>IFERROR(VLOOKUP($D430&amp;$C430,生产方式定位!$A$2:$E$38,3,FALSE)+VLOOKUP($E430&amp;$C430,生产方式定位!$F$3:$J$38,3,FALSE),0)</f>
        <v>100</v>
      </c>
      <c r="X430" s="18">
        <f>IFERROR(VLOOKUP($D430&amp;$C430,生产方式定位!$A$2:$E$38,5,FALSE)+VLOOKUP($E430&amp;$C430,生产方式定位!$F$3:$J$38,5,FALSE),"错误")</f>
        <v>100</v>
      </c>
      <c r="Y430" s="27" t="str">
        <f t="shared" si="102"/>
        <v/>
      </c>
      <c r="Z430" s="50" t="str">
        <f t="shared" si="105"/>
        <v/>
      </c>
      <c r="AA430" s="50" t="str">
        <f t="shared" si="103"/>
        <v/>
      </c>
      <c r="AB430" s="28" t="str">
        <f t="shared" si="106"/>
        <v/>
      </c>
      <c r="AC430" s="1" t="str">
        <f t="shared" si="107"/>
        <v/>
      </c>
      <c r="AD430" s="52">
        <f t="shared" si="104"/>
        <v>3</v>
      </c>
      <c r="AE430" t="str">
        <f t="shared" si="108"/>
        <v/>
      </c>
      <c r="AF430" t="str">
        <f t="shared" si="109"/>
        <v/>
      </c>
      <c r="AG430" t="str">
        <f t="shared" si="110"/>
        <v/>
      </c>
      <c r="AH430" t="str">
        <f t="shared" si="111"/>
        <v/>
      </c>
      <c r="AI430" t="str">
        <f t="shared" si="112"/>
        <v/>
      </c>
      <c r="AJ430" t="str">
        <f t="shared" si="113"/>
        <v/>
      </c>
      <c r="AK430" t="str">
        <f t="shared" si="114"/>
        <v/>
      </c>
      <c r="AL430" t="str">
        <f t="shared" si="115"/>
        <v/>
      </c>
      <c r="AN430" t="str">
        <f>IFERROR(ROUND(L430*(G430/$AW430)/VLOOKUP(F430,商品!$A$4:$D$67,4,FALSE),0),"")</f>
        <v/>
      </c>
      <c r="AO430" t="str">
        <f>IFERROR(ROUND(L430*(I430/$AW430)/VLOOKUP(H430,商品!$A$4:$D$67,4,FALSE),0),"")</f>
        <v/>
      </c>
      <c r="AP430" t="str">
        <f>IFERROR(ROUND(L430*(K430/$AW430)/VLOOKUP(J430,商品!$A$4:$D$67,4,FALSE),0),"")</f>
        <v/>
      </c>
      <c r="AQ430" t="str">
        <f>IFERROR(ROUND(S430*(N430/$AX430)/VLOOKUP(M430,职业!$A$3:$E$16,4,FALSE),0),"")</f>
        <v/>
      </c>
      <c r="AR430" t="str">
        <f>IFERROR(ROUND(S430*(P430/$AX430)/VLOOKUP(O430,职业!$A$3:$E$16,4,FALSE),0),"")</f>
        <v/>
      </c>
      <c r="AS430" t="str">
        <f>IFERROR(ROUND(S430*(R430/$AX430)/VLOOKUP(Q430,职业!$A$3:$E$16,4,FALSE),0),"")</f>
        <v/>
      </c>
      <c r="AT430" t="str">
        <f>IFERROR(ROUND(X430*(U430/$AY430)/VLOOKUP(T430,商品!$A$4:$D$67,4,FALSE),0),"")</f>
        <v/>
      </c>
      <c r="AU430" t="str">
        <f>IFERROR(ROUND(X430*(W430/$AY430)/VLOOKUP(V430,商品!$A$4:$D$67,4,FALSE),0),"")</f>
        <v/>
      </c>
      <c r="AW430">
        <f t="shared" si="116"/>
        <v>0</v>
      </c>
      <c r="AX430">
        <f t="shared" si="117"/>
        <v>0</v>
      </c>
      <c r="AY430">
        <f t="shared" si="118"/>
        <v>0</v>
      </c>
    </row>
    <row r="431" customHeight="1" spans="1:51">
      <c r="A431" s="18" t="s">
        <v>363</v>
      </c>
      <c r="C431" s="18">
        <v>4</v>
      </c>
      <c r="D431" s="1" t="s">
        <v>291</v>
      </c>
      <c r="E431" s="1" t="s">
        <v>225</v>
      </c>
      <c r="L431" s="18">
        <f>IFERROR(VLOOKUP($D431&amp;$C431,生产方式定位!$A$2:$E$38,2,FALSE)+VLOOKUP($E431&amp;$C431,生产方式定位!$F$3:$J$38,2,FALSE),0)</f>
        <v>0</v>
      </c>
      <c r="S431" s="18">
        <f>IFERROR(VLOOKUP($D431&amp;$C431,生产方式定位!$A$2:$E$38,3,FALSE)+VLOOKUP($E431&amp;$C431,生产方式定位!$F$3:$J$38,3,FALSE),0)</f>
        <v>100</v>
      </c>
      <c r="X431" s="18">
        <f>IFERROR(VLOOKUP($D431&amp;$C431,生产方式定位!$A$2:$E$38,5,FALSE)+VLOOKUP($E431&amp;$C431,生产方式定位!$F$3:$J$38,5,FALSE),"错误")</f>
        <v>100</v>
      </c>
      <c r="Y431" s="27" t="str">
        <f t="shared" si="102"/>
        <v/>
      </c>
      <c r="Z431" s="50" t="str">
        <f t="shared" si="105"/>
        <v/>
      </c>
      <c r="AA431" s="50" t="str">
        <f t="shared" si="103"/>
        <v/>
      </c>
      <c r="AB431" s="28" t="str">
        <f t="shared" si="106"/>
        <v/>
      </c>
      <c r="AC431" s="1" t="str">
        <f t="shared" si="107"/>
        <v/>
      </c>
      <c r="AD431" s="52">
        <f t="shared" si="104"/>
        <v>4</v>
      </c>
      <c r="AE431" t="str">
        <f t="shared" si="108"/>
        <v/>
      </c>
      <c r="AF431" t="str">
        <f t="shared" si="109"/>
        <v/>
      </c>
      <c r="AG431" t="str">
        <f t="shared" si="110"/>
        <v/>
      </c>
      <c r="AH431" t="str">
        <f t="shared" si="111"/>
        <v/>
      </c>
      <c r="AI431" t="str">
        <f t="shared" si="112"/>
        <v/>
      </c>
      <c r="AJ431" t="str">
        <f t="shared" si="113"/>
        <v/>
      </c>
      <c r="AK431" t="str">
        <f t="shared" si="114"/>
        <v/>
      </c>
      <c r="AL431" t="str">
        <f t="shared" si="115"/>
        <v/>
      </c>
      <c r="AN431" t="str">
        <f>IFERROR(ROUND(L431*(G431/$AW431)/VLOOKUP(F431,商品!$A$4:$D$67,4,FALSE),0),"")</f>
        <v/>
      </c>
      <c r="AO431" t="str">
        <f>IFERROR(ROUND(L431*(I431/$AW431)/VLOOKUP(H431,商品!$A$4:$D$67,4,FALSE),0),"")</f>
        <v/>
      </c>
      <c r="AP431" t="str">
        <f>IFERROR(ROUND(L431*(K431/$AW431)/VLOOKUP(J431,商品!$A$4:$D$67,4,FALSE),0),"")</f>
        <v/>
      </c>
      <c r="AQ431" t="str">
        <f>IFERROR(ROUND(S431*(N431/$AX431)/VLOOKUP(M431,职业!$A$3:$E$16,4,FALSE),0),"")</f>
        <v/>
      </c>
      <c r="AR431" t="str">
        <f>IFERROR(ROUND(S431*(P431/$AX431)/VLOOKUP(O431,职业!$A$3:$E$16,4,FALSE),0),"")</f>
        <v/>
      </c>
      <c r="AS431" t="str">
        <f>IFERROR(ROUND(S431*(R431/$AX431)/VLOOKUP(Q431,职业!$A$3:$E$16,4,FALSE),0),"")</f>
        <v/>
      </c>
      <c r="AT431" t="str">
        <f>IFERROR(ROUND(X431*(U431/$AY431)/VLOOKUP(T431,商品!$A$4:$D$67,4,FALSE),0),"")</f>
        <v/>
      </c>
      <c r="AU431" t="str">
        <f>IFERROR(ROUND(X431*(W431/$AY431)/VLOOKUP(V431,商品!$A$4:$D$67,4,FALSE),0),"")</f>
        <v/>
      </c>
      <c r="AW431">
        <f t="shared" si="116"/>
        <v>0</v>
      </c>
      <c r="AX431">
        <f t="shared" si="117"/>
        <v>0</v>
      </c>
      <c r="AY431">
        <f t="shared" si="118"/>
        <v>0</v>
      </c>
    </row>
    <row r="432" customHeight="1" spans="1:51">
      <c r="A432" s="18" t="s">
        <v>363</v>
      </c>
      <c r="C432" s="18">
        <v>5</v>
      </c>
      <c r="D432" s="1" t="s">
        <v>291</v>
      </c>
      <c r="E432" s="1" t="s">
        <v>225</v>
      </c>
      <c r="L432" s="18">
        <f>IFERROR(VLOOKUP($D432&amp;$C432,生产方式定位!$A$2:$E$38,2,FALSE)+VLOOKUP($E432&amp;$C432,生产方式定位!$F$3:$J$38,2,FALSE),0)</f>
        <v>0</v>
      </c>
      <c r="S432" s="18">
        <f>IFERROR(VLOOKUP($D432&amp;$C432,生产方式定位!$A$2:$E$38,3,FALSE)+VLOOKUP($E432&amp;$C432,生产方式定位!$F$3:$J$38,3,FALSE),0)</f>
        <v>100</v>
      </c>
      <c r="X432" s="18">
        <f>IFERROR(VLOOKUP($D432&amp;$C432,生产方式定位!$A$2:$E$38,5,FALSE)+VLOOKUP($E432&amp;$C432,生产方式定位!$F$3:$J$38,5,FALSE),"错误")</f>
        <v>100</v>
      </c>
      <c r="Y432" s="27" t="str">
        <f t="shared" si="102"/>
        <v/>
      </c>
      <c r="Z432" s="50" t="str">
        <f t="shared" si="105"/>
        <v/>
      </c>
      <c r="AA432" s="50" t="str">
        <f t="shared" si="103"/>
        <v/>
      </c>
      <c r="AB432" s="28" t="str">
        <f t="shared" si="106"/>
        <v/>
      </c>
      <c r="AC432" s="1" t="str">
        <f t="shared" si="107"/>
        <v/>
      </c>
      <c r="AD432" s="52">
        <f t="shared" si="104"/>
        <v>5</v>
      </c>
      <c r="AE432" t="str">
        <f t="shared" si="108"/>
        <v/>
      </c>
      <c r="AF432" t="str">
        <f t="shared" si="109"/>
        <v/>
      </c>
      <c r="AG432" t="str">
        <f t="shared" si="110"/>
        <v/>
      </c>
      <c r="AH432" t="str">
        <f t="shared" si="111"/>
        <v/>
      </c>
      <c r="AI432" t="str">
        <f t="shared" si="112"/>
        <v/>
      </c>
      <c r="AJ432" t="str">
        <f t="shared" si="113"/>
        <v/>
      </c>
      <c r="AK432" t="str">
        <f t="shared" si="114"/>
        <v/>
      </c>
      <c r="AL432" t="str">
        <f t="shared" si="115"/>
        <v/>
      </c>
      <c r="AN432" t="str">
        <f>IFERROR(ROUND(L432*(G432/$AW432)/VLOOKUP(F432,商品!$A$4:$D$67,4,FALSE),0),"")</f>
        <v/>
      </c>
      <c r="AO432" t="str">
        <f>IFERROR(ROUND(L432*(I432/$AW432)/VLOOKUP(H432,商品!$A$4:$D$67,4,FALSE),0),"")</f>
        <v/>
      </c>
      <c r="AP432" t="str">
        <f>IFERROR(ROUND(L432*(K432/$AW432)/VLOOKUP(J432,商品!$A$4:$D$67,4,FALSE),0),"")</f>
        <v/>
      </c>
      <c r="AQ432" t="str">
        <f>IFERROR(ROUND(S432*(N432/$AX432)/VLOOKUP(M432,职业!$A$3:$E$16,4,FALSE),0),"")</f>
        <v/>
      </c>
      <c r="AR432" t="str">
        <f>IFERROR(ROUND(S432*(P432/$AX432)/VLOOKUP(O432,职业!$A$3:$E$16,4,FALSE),0),"")</f>
        <v/>
      </c>
      <c r="AS432" t="str">
        <f>IFERROR(ROUND(S432*(R432/$AX432)/VLOOKUP(Q432,职业!$A$3:$E$16,4,FALSE),0),"")</f>
        <v/>
      </c>
      <c r="AT432" t="str">
        <f>IFERROR(ROUND(X432*(U432/$AY432)/VLOOKUP(T432,商品!$A$4:$D$67,4,FALSE),0),"")</f>
        <v/>
      </c>
      <c r="AU432" t="str">
        <f>IFERROR(ROUND(X432*(W432/$AY432)/VLOOKUP(V432,商品!$A$4:$D$67,4,FALSE),0),"")</f>
        <v/>
      </c>
      <c r="AW432">
        <f t="shared" si="116"/>
        <v>0</v>
      </c>
      <c r="AX432">
        <f t="shared" si="117"/>
        <v>0</v>
      </c>
      <c r="AY432">
        <f t="shared" si="118"/>
        <v>0</v>
      </c>
    </row>
    <row r="433" customHeight="1" spans="1:51">
      <c r="A433" s="18" t="s">
        <v>363</v>
      </c>
      <c r="C433" s="18">
        <v>6</v>
      </c>
      <c r="D433" s="1" t="s">
        <v>291</v>
      </c>
      <c r="E433" s="1" t="s">
        <v>225</v>
      </c>
      <c r="L433" s="18">
        <f>IFERROR(VLOOKUP($D433&amp;$C433,生产方式定位!$A$2:$E$38,2,FALSE)+VLOOKUP($E433&amp;$C433,生产方式定位!$F$3:$J$38,2,FALSE),0)</f>
        <v>0</v>
      </c>
      <c r="S433" s="18">
        <f>IFERROR(VLOOKUP($D433&amp;$C433,生产方式定位!$A$2:$E$38,3,FALSE)+VLOOKUP($E433&amp;$C433,生产方式定位!$F$3:$J$38,3,FALSE),0)</f>
        <v>100</v>
      </c>
      <c r="X433" s="18">
        <f>IFERROR(VLOOKUP($D433&amp;$C433,生产方式定位!$A$2:$E$38,5,FALSE)+VLOOKUP($E433&amp;$C433,生产方式定位!$F$3:$J$38,5,FALSE),"错误")</f>
        <v>100</v>
      </c>
      <c r="Y433" s="27" t="str">
        <f t="shared" si="102"/>
        <v/>
      </c>
      <c r="Z433" s="50" t="str">
        <f t="shared" si="105"/>
        <v/>
      </c>
      <c r="AA433" s="50" t="str">
        <f t="shared" si="103"/>
        <v/>
      </c>
      <c r="AB433" s="28" t="str">
        <f t="shared" si="106"/>
        <v/>
      </c>
      <c r="AC433" s="1" t="str">
        <f t="shared" si="107"/>
        <v/>
      </c>
      <c r="AD433" s="52">
        <f t="shared" si="104"/>
        <v>6</v>
      </c>
      <c r="AE433" t="str">
        <f t="shared" si="108"/>
        <v/>
      </c>
      <c r="AF433" t="str">
        <f t="shared" si="109"/>
        <v/>
      </c>
      <c r="AG433" t="str">
        <f t="shared" si="110"/>
        <v/>
      </c>
      <c r="AH433" t="str">
        <f t="shared" si="111"/>
        <v/>
      </c>
      <c r="AI433" t="str">
        <f t="shared" si="112"/>
        <v/>
      </c>
      <c r="AJ433" t="str">
        <f t="shared" si="113"/>
        <v/>
      </c>
      <c r="AK433" t="str">
        <f t="shared" si="114"/>
        <v/>
      </c>
      <c r="AL433" t="str">
        <f t="shared" si="115"/>
        <v/>
      </c>
      <c r="AN433" t="str">
        <f>IFERROR(ROUND(L433*(G433/$AW433)/VLOOKUP(F433,商品!$A$4:$D$67,4,FALSE),0),"")</f>
        <v/>
      </c>
      <c r="AO433" t="str">
        <f>IFERROR(ROUND(L433*(I433/$AW433)/VLOOKUP(H433,商品!$A$4:$D$67,4,FALSE),0),"")</f>
        <v/>
      </c>
      <c r="AP433" t="str">
        <f>IFERROR(ROUND(L433*(K433/$AW433)/VLOOKUP(J433,商品!$A$4:$D$67,4,FALSE),0),"")</f>
        <v/>
      </c>
      <c r="AQ433" t="str">
        <f>IFERROR(ROUND(S433*(N433/$AX433)/VLOOKUP(M433,职业!$A$3:$E$16,4,FALSE),0),"")</f>
        <v/>
      </c>
      <c r="AR433" t="str">
        <f>IFERROR(ROUND(S433*(P433/$AX433)/VLOOKUP(O433,职业!$A$3:$E$16,4,FALSE),0),"")</f>
        <v/>
      </c>
      <c r="AS433" t="str">
        <f>IFERROR(ROUND(S433*(R433/$AX433)/VLOOKUP(Q433,职业!$A$3:$E$16,4,FALSE),0),"")</f>
        <v/>
      </c>
      <c r="AT433" t="str">
        <f>IFERROR(ROUND(X433*(U433/$AY433)/VLOOKUP(T433,商品!$A$4:$D$67,4,FALSE),0),"")</f>
        <v/>
      </c>
      <c r="AU433" t="str">
        <f>IFERROR(ROUND(X433*(W433/$AY433)/VLOOKUP(V433,商品!$A$4:$D$67,4,FALSE),0),"")</f>
        <v/>
      </c>
      <c r="AW433">
        <f t="shared" si="116"/>
        <v>0</v>
      </c>
      <c r="AX433">
        <f t="shared" si="117"/>
        <v>0</v>
      </c>
      <c r="AY433">
        <f t="shared" si="118"/>
        <v>0</v>
      </c>
    </row>
    <row r="434" customHeight="1" spans="1:51">
      <c r="A434" s="18" t="s">
        <v>363</v>
      </c>
      <c r="C434" s="18">
        <v>7</v>
      </c>
      <c r="D434" s="1" t="s">
        <v>291</v>
      </c>
      <c r="E434" s="1" t="s">
        <v>225</v>
      </c>
      <c r="L434" s="18">
        <f>IFERROR(VLOOKUP($D434&amp;$C434,生产方式定位!$A$2:$E$38,2,FALSE)+VLOOKUP($E434&amp;$C434,生产方式定位!$F$3:$J$38,2,FALSE),0)</f>
        <v>0</v>
      </c>
      <c r="S434" s="18">
        <f>IFERROR(VLOOKUP($D434&amp;$C434,生产方式定位!$A$2:$E$38,3,FALSE)+VLOOKUP($E434&amp;$C434,生产方式定位!$F$3:$J$38,3,FALSE),0)</f>
        <v>100</v>
      </c>
      <c r="X434" s="18">
        <f>IFERROR(VLOOKUP($D434&amp;$C434,生产方式定位!$A$2:$E$38,5,FALSE)+VLOOKUP($E434&amp;$C434,生产方式定位!$F$3:$J$38,5,FALSE),"错误")</f>
        <v>100</v>
      </c>
      <c r="Y434" s="27" t="str">
        <f t="shared" si="102"/>
        <v/>
      </c>
      <c r="Z434" s="50" t="str">
        <f t="shared" si="105"/>
        <v/>
      </c>
      <c r="AA434" s="50" t="str">
        <f t="shared" si="103"/>
        <v/>
      </c>
      <c r="AB434" s="28" t="str">
        <f t="shared" si="106"/>
        <v/>
      </c>
      <c r="AC434" s="1" t="str">
        <f t="shared" si="107"/>
        <v/>
      </c>
      <c r="AD434" s="52">
        <f t="shared" si="104"/>
        <v>7</v>
      </c>
      <c r="AE434" t="str">
        <f t="shared" si="108"/>
        <v/>
      </c>
      <c r="AF434" t="str">
        <f t="shared" si="109"/>
        <v/>
      </c>
      <c r="AG434" t="str">
        <f t="shared" si="110"/>
        <v/>
      </c>
      <c r="AH434" t="str">
        <f t="shared" si="111"/>
        <v/>
      </c>
      <c r="AI434" t="str">
        <f t="shared" si="112"/>
        <v/>
      </c>
      <c r="AJ434" t="str">
        <f t="shared" si="113"/>
        <v/>
      </c>
      <c r="AK434" t="str">
        <f t="shared" si="114"/>
        <v/>
      </c>
      <c r="AL434" t="str">
        <f t="shared" si="115"/>
        <v/>
      </c>
      <c r="AN434" t="str">
        <f>IFERROR(ROUND(L434*(G434/$AW434)/VLOOKUP(F434,商品!$A$4:$D$67,4,FALSE),0),"")</f>
        <v/>
      </c>
      <c r="AO434" t="str">
        <f>IFERROR(ROUND(L434*(I434/$AW434)/VLOOKUP(H434,商品!$A$4:$D$67,4,FALSE),0),"")</f>
        <v/>
      </c>
      <c r="AP434" t="str">
        <f>IFERROR(ROUND(L434*(K434/$AW434)/VLOOKUP(J434,商品!$A$4:$D$67,4,FALSE),0),"")</f>
        <v/>
      </c>
      <c r="AQ434" t="str">
        <f>IFERROR(ROUND(S434*(N434/$AX434)/VLOOKUP(M434,职业!$A$3:$E$16,4,FALSE),0),"")</f>
        <v/>
      </c>
      <c r="AR434" t="str">
        <f>IFERROR(ROUND(S434*(P434/$AX434)/VLOOKUP(O434,职业!$A$3:$E$16,4,FALSE),0),"")</f>
        <v/>
      </c>
      <c r="AS434" t="str">
        <f>IFERROR(ROUND(S434*(R434/$AX434)/VLOOKUP(Q434,职业!$A$3:$E$16,4,FALSE),0),"")</f>
        <v/>
      </c>
      <c r="AT434" t="str">
        <f>IFERROR(ROUND(X434*(U434/$AY434)/VLOOKUP(T434,商品!$A$4:$D$67,4,FALSE),0),"")</f>
        <v/>
      </c>
      <c r="AU434" t="str">
        <f>IFERROR(ROUND(X434*(W434/$AY434)/VLOOKUP(V434,商品!$A$4:$D$67,4,FALSE),0),"")</f>
        <v/>
      </c>
      <c r="AW434">
        <f t="shared" si="116"/>
        <v>0</v>
      </c>
      <c r="AX434">
        <f t="shared" si="117"/>
        <v>0</v>
      </c>
      <c r="AY434">
        <f t="shared" si="118"/>
        <v>0</v>
      </c>
    </row>
    <row r="435" customHeight="1" spans="1:51">
      <c r="A435" s="18" t="s">
        <v>363</v>
      </c>
      <c r="C435" s="18">
        <v>8</v>
      </c>
      <c r="D435" s="1" t="s">
        <v>291</v>
      </c>
      <c r="E435" s="1" t="s">
        <v>225</v>
      </c>
      <c r="L435" s="18">
        <f>IFERROR(VLOOKUP($D435&amp;$C435,生产方式定位!$A$2:$E$38,2,FALSE)+VLOOKUP($E435&amp;$C435,生产方式定位!$F$3:$J$38,2,FALSE),0)</f>
        <v>0</v>
      </c>
      <c r="S435" s="18">
        <f>IFERROR(VLOOKUP($D435&amp;$C435,生产方式定位!$A$2:$E$38,3,FALSE)+VLOOKUP($E435&amp;$C435,生产方式定位!$F$3:$J$38,3,FALSE),0)</f>
        <v>100</v>
      </c>
      <c r="X435" s="18">
        <f>IFERROR(VLOOKUP($D435&amp;$C435,生产方式定位!$A$2:$E$38,5,FALSE)+VLOOKUP($E435&amp;$C435,生产方式定位!$F$3:$J$38,5,FALSE),"错误")</f>
        <v>100</v>
      </c>
      <c r="Y435" s="27" t="str">
        <f t="shared" si="102"/>
        <v/>
      </c>
      <c r="Z435" s="50" t="str">
        <f t="shared" si="105"/>
        <v/>
      </c>
      <c r="AA435" s="50" t="str">
        <f t="shared" si="103"/>
        <v/>
      </c>
      <c r="AB435" s="28" t="str">
        <f t="shared" si="106"/>
        <v/>
      </c>
      <c r="AC435" s="1" t="str">
        <f t="shared" si="107"/>
        <v/>
      </c>
      <c r="AD435" s="52">
        <f t="shared" si="104"/>
        <v>8</v>
      </c>
      <c r="AE435" t="str">
        <f t="shared" si="108"/>
        <v/>
      </c>
      <c r="AF435" t="str">
        <f t="shared" si="109"/>
        <v/>
      </c>
      <c r="AG435" t="str">
        <f t="shared" si="110"/>
        <v/>
      </c>
      <c r="AH435" t="str">
        <f t="shared" si="111"/>
        <v/>
      </c>
      <c r="AI435" t="str">
        <f t="shared" si="112"/>
        <v/>
      </c>
      <c r="AJ435" t="str">
        <f t="shared" si="113"/>
        <v/>
      </c>
      <c r="AK435" t="str">
        <f t="shared" si="114"/>
        <v/>
      </c>
      <c r="AL435" t="str">
        <f t="shared" si="115"/>
        <v/>
      </c>
      <c r="AN435" t="str">
        <f>IFERROR(ROUND(L435*(G435/$AW435)/VLOOKUP(F435,商品!$A$4:$D$67,4,FALSE),0),"")</f>
        <v/>
      </c>
      <c r="AO435" t="str">
        <f>IFERROR(ROUND(L435*(I435/$AW435)/VLOOKUP(H435,商品!$A$4:$D$67,4,FALSE),0),"")</f>
        <v/>
      </c>
      <c r="AP435" t="str">
        <f>IFERROR(ROUND(L435*(K435/$AW435)/VLOOKUP(J435,商品!$A$4:$D$67,4,FALSE),0),"")</f>
        <v/>
      </c>
      <c r="AQ435" t="str">
        <f>IFERROR(ROUND(S435*(N435/$AX435)/VLOOKUP(M435,职业!$A$3:$E$16,4,FALSE),0),"")</f>
        <v/>
      </c>
      <c r="AR435" t="str">
        <f>IFERROR(ROUND(S435*(P435/$AX435)/VLOOKUP(O435,职业!$A$3:$E$16,4,FALSE),0),"")</f>
        <v/>
      </c>
      <c r="AS435" t="str">
        <f>IFERROR(ROUND(S435*(R435/$AX435)/VLOOKUP(Q435,职业!$A$3:$E$16,4,FALSE),0),"")</f>
        <v/>
      </c>
      <c r="AT435" t="str">
        <f>IFERROR(ROUND(X435*(U435/$AY435)/VLOOKUP(T435,商品!$A$4:$D$67,4,FALSE),0),"")</f>
        <v/>
      </c>
      <c r="AU435" t="str">
        <f>IFERROR(ROUND(X435*(W435/$AY435)/VLOOKUP(V435,商品!$A$4:$D$67,4,FALSE),0),"")</f>
        <v/>
      </c>
      <c r="AW435">
        <f t="shared" si="116"/>
        <v>0</v>
      </c>
      <c r="AX435">
        <f t="shared" si="117"/>
        <v>0</v>
      </c>
      <c r="AY435">
        <f t="shared" si="118"/>
        <v>0</v>
      </c>
    </row>
    <row r="436" customHeight="1" spans="1:51">
      <c r="A436" s="5" t="s">
        <v>365</v>
      </c>
      <c r="C436" s="5">
        <v>1</v>
      </c>
      <c r="D436" s="1" t="s">
        <v>238</v>
      </c>
      <c r="E436" s="1" t="s">
        <v>222</v>
      </c>
      <c r="L436" s="5">
        <f>IFERROR(VLOOKUP($D436&amp;$C436,生产方式定位!$A$2:$E$38,2,FALSE)+VLOOKUP($E436&amp;$C436,生产方式定位!$F$3:$J$38,2,FALSE),0)</f>
        <v>1000</v>
      </c>
      <c r="S436" s="5">
        <f>IFERROR(VLOOKUP($D436&amp;$C436,生产方式定位!$A$2:$E$38,3,FALSE)+VLOOKUP($E436&amp;$C436,生产方式定位!$F$3:$J$38,3,FALSE),0)</f>
        <v>80</v>
      </c>
      <c r="X436" s="5">
        <f>IFERROR(VLOOKUP($D436&amp;$C436,生产方式定位!$A$2:$E$38,5,FALSE)+VLOOKUP($E436&amp;$C436,生产方式定位!$F$3:$J$38,5,FALSE),"错误")</f>
        <v>972</v>
      </c>
      <c r="Y436" s="27" t="str">
        <f t="shared" si="102"/>
        <v/>
      </c>
      <c r="Z436" s="50" t="str">
        <f t="shared" si="105"/>
        <v/>
      </c>
      <c r="AA436" s="50" t="str">
        <f t="shared" si="103"/>
        <v/>
      </c>
      <c r="AB436" s="28" t="str">
        <f t="shared" si="106"/>
        <v>-3%</v>
      </c>
      <c r="AC436" s="1">
        <f t="shared" si="107"/>
        <v>-108</v>
      </c>
      <c r="AD436" s="51">
        <f t="shared" si="104"/>
        <v>1</v>
      </c>
      <c r="AE436" t="str">
        <f t="shared" si="108"/>
        <v/>
      </c>
      <c r="AF436" t="str">
        <f t="shared" si="109"/>
        <v/>
      </c>
      <c r="AG436" t="str">
        <f t="shared" si="110"/>
        <v/>
      </c>
      <c r="AH436" t="str">
        <f t="shared" si="111"/>
        <v/>
      </c>
      <c r="AI436" t="str">
        <f t="shared" si="112"/>
        <v/>
      </c>
      <c r="AJ436" t="str">
        <f t="shared" si="113"/>
        <v/>
      </c>
      <c r="AK436" t="str">
        <f t="shared" si="114"/>
        <v/>
      </c>
      <c r="AL436" t="str">
        <f t="shared" si="115"/>
        <v/>
      </c>
      <c r="AN436" t="str">
        <f>IFERROR(ROUND(L436*(G436/$AW436)/VLOOKUP(F436,商品!$A$4:$D$67,4,FALSE),0),"")</f>
        <v/>
      </c>
      <c r="AO436" t="str">
        <f>IFERROR(ROUND(L436*(I436/$AW436)/VLOOKUP(H436,商品!$A$4:$D$67,4,FALSE),0),"")</f>
        <v/>
      </c>
      <c r="AP436" t="str">
        <f>IFERROR(ROUND(L436*(K436/$AW436)/VLOOKUP(J436,商品!$A$4:$D$67,4,FALSE),0),"")</f>
        <v/>
      </c>
      <c r="AQ436" t="str">
        <f>IFERROR(ROUND(S436*(N436/$AX436)/VLOOKUP(M436,职业!$A$3:$E$16,4,FALSE),0),"")</f>
        <v/>
      </c>
      <c r="AR436" t="str">
        <f>IFERROR(ROUND(S436*(P436/$AX436)/VLOOKUP(O436,职业!$A$3:$E$16,4,FALSE),0),"")</f>
        <v/>
      </c>
      <c r="AS436" t="str">
        <f>IFERROR(ROUND(S436*(R436/$AX436)/VLOOKUP(Q436,职业!$A$3:$E$16,4,FALSE),0),"")</f>
        <v/>
      </c>
      <c r="AT436" t="str">
        <f>IFERROR(ROUND(X436*(U436/$AY436)/VLOOKUP(T436,商品!$A$4:$D$67,4,FALSE),0),"")</f>
        <v/>
      </c>
      <c r="AU436" t="str">
        <f>IFERROR(ROUND(X436*(W436/$AY436)/VLOOKUP(V436,商品!$A$4:$D$67,4,FALSE),0),"")</f>
        <v/>
      </c>
      <c r="AW436">
        <f t="shared" si="116"/>
        <v>0</v>
      </c>
      <c r="AX436">
        <f t="shared" si="117"/>
        <v>0</v>
      </c>
      <c r="AY436">
        <f t="shared" si="118"/>
        <v>0</v>
      </c>
    </row>
    <row r="437" customHeight="1" spans="1:51">
      <c r="A437" s="5" t="s">
        <v>365</v>
      </c>
      <c r="C437" s="5">
        <v>2</v>
      </c>
      <c r="D437" s="1" t="s">
        <v>238</v>
      </c>
      <c r="E437" s="1" t="s">
        <v>222</v>
      </c>
      <c r="L437" s="5">
        <f>IFERROR(VLOOKUP($D437&amp;$C437,生产方式定位!$A$2:$E$38,2,FALSE)+VLOOKUP($E437&amp;$C437,生产方式定位!$F$3:$J$38,2,FALSE),0)</f>
        <v>1400</v>
      </c>
      <c r="S437" s="5">
        <f>IFERROR(VLOOKUP($D437&amp;$C437,生产方式定位!$A$2:$E$38,3,FALSE)+VLOOKUP($E437&amp;$C437,生产方式定位!$F$3:$J$38,3,FALSE),0)</f>
        <v>85</v>
      </c>
      <c r="X437" s="5">
        <f>IFERROR(VLOOKUP($D437&amp;$C437,生产方式定位!$A$2:$E$38,5,FALSE)+VLOOKUP($E437&amp;$C437,生产方式定位!$F$3:$J$38,5,FALSE),"错误")</f>
        <v>1732</v>
      </c>
      <c r="Y437" s="27" t="str">
        <f t="shared" si="102"/>
        <v/>
      </c>
      <c r="Z437" s="50" t="str">
        <f t="shared" si="105"/>
        <v/>
      </c>
      <c r="AA437" s="50" t="str">
        <f t="shared" si="103"/>
        <v/>
      </c>
      <c r="AB437" s="28" t="str">
        <f t="shared" si="106"/>
        <v>24%</v>
      </c>
      <c r="AC437" s="1">
        <f t="shared" si="107"/>
        <v>247</v>
      </c>
      <c r="AD437" s="51">
        <f t="shared" si="104"/>
        <v>2</v>
      </c>
      <c r="AE437" t="str">
        <f t="shared" si="108"/>
        <v/>
      </c>
      <c r="AF437" t="str">
        <f t="shared" si="109"/>
        <v/>
      </c>
      <c r="AG437" t="str">
        <f t="shared" si="110"/>
        <v/>
      </c>
      <c r="AH437" t="str">
        <f t="shared" si="111"/>
        <v/>
      </c>
      <c r="AI437" t="str">
        <f t="shared" si="112"/>
        <v/>
      </c>
      <c r="AJ437" t="str">
        <f t="shared" si="113"/>
        <v/>
      </c>
      <c r="AK437" t="str">
        <f t="shared" si="114"/>
        <v/>
      </c>
      <c r="AL437" t="str">
        <f t="shared" si="115"/>
        <v/>
      </c>
      <c r="AN437" t="str">
        <f>IFERROR(ROUND(L437*(G437/$AW437)/VLOOKUP(F437,商品!$A$4:$D$67,4,FALSE),0),"")</f>
        <v/>
      </c>
      <c r="AO437" t="str">
        <f>IFERROR(ROUND(L437*(I437/$AW437)/VLOOKUP(H437,商品!$A$4:$D$67,4,FALSE),0),"")</f>
        <v/>
      </c>
      <c r="AP437" t="str">
        <f>IFERROR(ROUND(L437*(K437/$AW437)/VLOOKUP(J437,商品!$A$4:$D$67,4,FALSE),0),"")</f>
        <v/>
      </c>
      <c r="AQ437" t="str">
        <f>IFERROR(ROUND(S437*(N437/$AX437)/VLOOKUP(M437,职业!$A$3:$E$16,4,FALSE),0),"")</f>
        <v/>
      </c>
      <c r="AR437" t="str">
        <f>IFERROR(ROUND(S437*(P437/$AX437)/VLOOKUP(O437,职业!$A$3:$E$16,4,FALSE),0),"")</f>
        <v/>
      </c>
      <c r="AS437" t="str">
        <f>IFERROR(ROUND(S437*(R437/$AX437)/VLOOKUP(Q437,职业!$A$3:$E$16,4,FALSE),0),"")</f>
        <v/>
      </c>
      <c r="AT437" t="str">
        <f>IFERROR(ROUND(X437*(U437/$AY437)/VLOOKUP(T437,商品!$A$4:$D$67,4,FALSE),0),"")</f>
        <v/>
      </c>
      <c r="AU437" t="str">
        <f>IFERROR(ROUND(X437*(W437/$AY437)/VLOOKUP(V437,商品!$A$4:$D$67,4,FALSE),0),"")</f>
        <v/>
      </c>
      <c r="AW437">
        <f t="shared" si="116"/>
        <v>0</v>
      </c>
      <c r="AX437">
        <f t="shared" si="117"/>
        <v>0</v>
      </c>
      <c r="AY437">
        <f t="shared" si="118"/>
        <v>0</v>
      </c>
    </row>
    <row r="438" customHeight="1" spans="1:51">
      <c r="A438" s="5" t="s">
        <v>365</v>
      </c>
      <c r="C438" s="5">
        <v>3</v>
      </c>
      <c r="D438" s="1" t="s">
        <v>238</v>
      </c>
      <c r="E438" s="1" t="s">
        <v>222</v>
      </c>
      <c r="L438" s="5">
        <f>IFERROR(VLOOKUP($D438&amp;$C438,生产方式定位!$A$2:$E$38,2,FALSE)+VLOOKUP($E438&amp;$C438,生产方式定位!$F$3:$J$38,2,FALSE),0)</f>
        <v>1425</v>
      </c>
      <c r="S438" s="5">
        <f>IFERROR(VLOOKUP($D438&amp;$C438,生产方式定位!$A$2:$E$38,3,FALSE)+VLOOKUP($E438&amp;$C438,生产方式定位!$F$3:$J$38,3,FALSE),0)</f>
        <v>90</v>
      </c>
      <c r="X438" s="5">
        <f>IFERROR(VLOOKUP($D438&amp;$C438,生产方式定位!$A$2:$E$38,5,FALSE)+VLOOKUP($E438&amp;$C438,生产方式定位!$F$3:$J$38,5,FALSE),"错误")</f>
        <v>2112</v>
      </c>
      <c r="Y438" s="27" t="str">
        <f t="shared" si="102"/>
        <v/>
      </c>
      <c r="Z438" s="50" t="str">
        <f t="shared" si="105"/>
        <v/>
      </c>
      <c r="AA438" s="50" t="str">
        <f t="shared" si="103"/>
        <v/>
      </c>
      <c r="AB438" s="28" t="str">
        <f t="shared" si="106"/>
        <v>48%</v>
      </c>
      <c r="AC438" s="1">
        <f t="shared" si="107"/>
        <v>597</v>
      </c>
      <c r="AD438" s="51">
        <f t="shared" si="104"/>
        <v>3</v>
      </c>
      <c r="AE438" t="str">
        <f t="shared" si="108"/>
        <v/>
      </c>
      <c r="AF438" t="str">
        <f t="shared" si="109"/>
        <v/>
      </c>
      <c r="AG438" t="str">
        <f t="shared" si="110"/>
        <v/>
      </c>
      <c r="AH438" t="str">
        <f t="shared" si="111"/>
        <v/>
      </c>
      <c r="AI438" t="str">
        <f t="shared" si="112"/>
        <v/>
      </c>
      <c r="AJ438" t="str">
        <f t="shared" si="113"/>
        <v/>
      </c>
      <c r="AK438" t="str">
        <f t="shared" si="114"/>
        <v/>
      </c>
      <c r="AL438" t="str">
        <f t="shared" si="115"/>
        <v/>
      </c>
      <c r="AN438" t="str">
        <f>IFERROR(ROUND(L438*(G438/$AW438)/VLOOKUP(F438,商品!$A$4:$D$67,4,FALSE),0),"")</f>
        <v/>
      </c>
      <c r="AO438" t="str">
        <f>IFERROR(ROUND(L438*(I438/$AW438)/VLOOKUP(H438,商品!$A$4:$D$67,4,FALSE),0),"")</f>
        <v/>
      </c>
      <c r="AP438" t="str">
        <f>IFERROR(ROUND(L438*(K438/$AW438)/VLOOKUP(J438,商品!$A$4:$D$67,4,FALSE),0),"")</f>
        <v/>
      </c>
      <c r="AQ438" t="str">
        <f>IFERROR(ROUND(S438*(N438/$AX438)/VLOOKUP(M438,职业!$A$3:$E$16,4,FALSE),0),"")</f>
        <v/>
      </c>
      <c r="AR438" t="str">
        <f>IFERROR(ROUND(S438*(P438/$AX438)/VLOOKUP(O438,职业!$A$3:$E$16,4,FALSE),0),"")</f>
        <v/>
      </c>
      <c r="AS438" t="str">
        <f>IFERROR(ROUND(S438*(R438/$AX438)/VLOOKUP(Q438,职业!$A$3:$E$16,4,FALSE),0),"")</f>
        <v/>
      </c>
      <c r="AT438" t="str">
        <f>IFERROR(ROUND(X438*(U438/$AY438)/VLOOKUP(T438,商品!$A$4:$D$67,4,FALSE),0),"")</f>
        <v/>
      </c>
      <c r="AU438" t="str">
        <f>IFERROR(ROUND(X438*(W438/$AY438)/VLOOKUP(V438,商品!$A$4:$D$67,4,FALSE),0),"")</f>
        <v/>
      </c>
      <c r="AW438">
        <f t="shared" si="116"/>
        <v>0</v>
      </c>
      <c r="AX438">
        <f t="shared" si="117"/>
        <v>0</v>
      </c>
      <c r="AY438">
        <f t="shared" si="118"/>
        <v>0</v>
      </c>
    </row>
    <row r="439" customHeight="1" spans="1:51">
      <c r="A439" s="5" t="s">
        <v>365</v>
      </c>
      <c r="C439" s="5">
        <v>4</v>
      </c>
      <c r="D439" s="1" t="s">
        <v>238</v>
      </c>
      <c r="E439" s="1" t="s">
        <v>222</v>
      </c>
      <c r="L439" s="5">
        <f>IFERROR(VLOOKUP($D439&amp;$C439,生产方式定位!$A$2:$E$38,2,FALSE)+VLOOKUP($E439&amp;$C439,生产方式定位!$F$3:$J$38,2,FALSE),0)</f>
        <v>1450</v>
      </c>
      <c r="S439" s="5">
        <f>IFERROR(VLOOKUP($D439&amp;$C439,生产方式定位!$A$2:$E$38,3,FALSE)+VLOOKUP($E439&amp;$C439,生产方式定位!$F$3:$J$38,3,FALSE),0)</f>
        <v>95</v>
      </c>
      <c r="X439" s="5">
        <f>IFERROR(VLOOKUP($D439&amp;$C439,生产方式定位!$A$2:$E$38,5,FALSE)+VLOOKUP($E439&amp;$C439,生产方式定位!$F$3:$J$38,5,FALSE),"错误")</f>
        <v>2733</v>
      </c>
      <c r="Y439" s="27" t="str">
        <f t="shared" si="102"/>
        <v/>
      </c>
      <c r="Z439" s="50" t="str">
        <f t="shared" si="105"/>
        <v/>
      </c>
      <c r="AA439" s="50" t="str">
        <f t="shared" si="103"/>
        <v/>
      </c>
      <c r="AB439" s="28" t="str">
        <f t="shared" si="106"/>
        <v>88%</v>
      </c>
      <c r="AC439" s="1">
        <f t="shared" si="107"/>
        <v>1188</v>
      </c>
      <c r="AD439" s="51">
        <f t="shared" si="104"/>
        <v>4</v>
      </c>
      <c r="AE439" t="str">
        <f t="shared" si="108"/>
        <v/>
      </c>
      <c r="AF439" t="str">
        <f t="shared" si="109"/>
        <v/>
      </c>
      <c r="AG439" t="str">
        <f t="shared" si="110"/>
        <v/>
      </c>
      <c r="AH439" t="str">
        <f t="shared" si="111"/>
        <v/>
      </c>
      <c r="AI439" t="str">
        <f t="shared" si="112"/>
        <v/>
      </c>
      <c r="AJ439" t="str">
        <f t="shared" si="113"/>
        <v/>
      </c>
      <c r="AK439" t="str">
        <f t="shared" si="114"/>
        <v/>
      </c>
      <c r="AL439" t="str">
        <f t="shared" si="115"/>
        <v/>
      </c>
      <c r="AN439" t="str">
        <f>IFERROR(ROUND(L439*(G439/$AW439)/VLOOKUP(F439,商品!$A$4:$D$67,4,FALSE),0),"")</f>
        <v/>
      </c>
      <c r="AO439" t="str">
        <f>IFERROR(ROUND(L439*(I439/$AW439)/VLOOKUP(H439,商品!$A$4:$D$67,4,FALSE),0),"")</f>
        <v/>
      </c>
      <c r="AP439" t="str">
        <f>IFERROR(ROUND(L439*(K439/$AW439)/VLOOKUP(J439,商品!$A$4:$D$67,4,FALSE),0),"")</f>
        <v/>
      </c>
      <c r="AQ439" t="str">
        <f>IFERROR(ROUND(S439*(N439/$AX439)/VLOOKUP(M439,职业!$A$3:$E$16,4,FALSE),0),"")</f>
        <v/>
      </c>
      <c r="AR439" t="str">
        <f>IFERROR(ROUND(S439*(P439/$AX439)/VLOOKUP(O439,职业!$A$3:$E$16,4,FALSE),0),"")</f>
        <v/>
      </c>
      <c r="AS439" t="str">
        <f>IFERROR(ROUND(S439*(R439/$AX439)/VLOOKUP(Q439,职业!$A$3:$E$16,4,FALSE),0),"")</f>
        <v/>
      </c>
      <c r="AT439" t="str">
        <f>IFERROR(ROUND(X439*(U439/$AY439)/VLOOKUP(T439,商品!$A$4:$D$67,4,FALSE),0),"")</f>
        <v/>
      </c>
      <c r="AU439" t="str">
        <f>IFERROR(ROUND(X439*(W439/$AY439)/VLOOKUP(V439,商品!$A$4:$D$67,4,FALSE),0),"")</f>
        <v/>
      </c>
      <c r="AW439">
        <f t="shared" si="116"/>
        <v>0</v>
      </c>
      <c r="AX439">
        <f t="shared" si="117"/>
        <v>0</v>
      </c>
      <c r="AY439">
        <f t="shared" si="118"/>
        <v>0</v>
      </c>
    </row>
    <row r="440" customHeight="1" spans="1:51">
      <c r="A440" s="5" t="s">
        <v>365</v>
      </c>
      <c r="C440" s="5">
        <v>5</v>
      </c>
      <c r="D440" s="1" t="s">
        <v>238</v>
      </c>
      <c r="E440" s="1" t="s">
        <v>222</v>
      </c>
      <c r="L440" s="5">
        <f>IFERROR(VLOOKUP($D440&amp;$C440,生产方式定位!$A$2:$E$38,2,FALSE)+VLOOKUP($E440&amp;$C440,生产方式定位!$F$3:$J$38,2,FALSE),0)</f>
        <v>1475</v>
      </c>
      <c r="S440" s="5">
        <f>IFERROR(VLOOKUP($D440&amp;$C440,生产方式定位!$A$2:$E$38,3,FALSE)+VLOOKUP($E440&amp;$C440,生产方式定位!$F$3:$J$38,3,FALSE),0)</f>
        <v>100</v>
      </c>
      <c r="X440" s="5">
        <f>IFERROR(VLOOKUP($D440&amp;$C440,生产方式定位!$A$2:$E$38,5,FALSE)+VLOOKUP($E440&amp;$C440,生产方式定位!$F$3:$J$38,5,FALSE),"错误")</f>
        <v>3763</v>
      </c>
      <c r="Y440" s="27" t="str">
        <f t="shared" si="102"/>
        <v/>
      </c>
      <c r="Z440" s="50" t="str">
        <f t="shared" si="105"/>
        <v/>
      </c>
      <c r="AA440" s="50" t="str">
        <f t="shared" si="103"/>
        <v/>
      </c>
      <c r="AB440" s="28" t="str">
        <f t="shared" si="106"/>
        <v>155%</v>
      </c>
      <c r="AC440" s="1">
        <f t="shared" si="107"/>
        <v>2188</v>
      </c>
      <c r="AD440" s="51">
        <f t="shared" si="104"/>
        <v>5</v>
      </c>
      <c r="AE440" t="str">
        <f t="shared" si="108"/>
        <v/>
      </c>
      <c r="AF440" t="str">
        <f t="shared" si="109"/>
        <v/>
      </c>
      <c r="AG440" t="str">
        <f t="shared" si="110"/>
        <v/>
      </c>
      <c r="AH440" t="str">
        <f t="shared" si="111"/>
        <v/>
      </c>
      <c r="AI440" t="str">
        <f t="shared" si="112"/>
        <v/>
      </c>
      <c r="AJ440" t="str">
        <f t="shared" si="113"/>
        <v/>
      </c>
      <c r="AK440" t="str">
        <f t="shared" si="114"/>
        <v/>
      </c>
      <c r="AL440" t="str">
        <f t="shared" si="115"/>
        <v/>
      </c>
      <c r="AN440" t="str">
        <f>IFERROR(ROUND(L440*(G440/$AW440)/VLOOKUP(F440,商品!$A$4:$D$67,4,FALSE),0),"")</f>
        <v/>
      </c>
      <c r="AO440" t="str">
        <f>IFERROR(ROUND(L440*(I440/$AW440)/VLOOKUP(H440,商品!$A$4:$D$67,4,FALSE),0),"")</f>
        <v/>
      </c>
      <c r="AP440" t="str">
        <f>IFERROR(ROUND(L440*(K440/$AW440)/VLOOKUP(J440,商品!$A$4:$D$67,4,FALSE),0),"")</f>
        <v/>
      </c>
      <c r="AQ440" t="str">
        <f>IFERROR(ROUND(S440*(N440/$AX440)/VLOOKUP(M440,职业!$A$3:$E$16,4,FALSE),0),"")</f>
        <v/>
      </c>
      <c r="AR440" t="str">
        <f>IFERROR(ROUND(S440*(P440/$AX440)/VLOOKUP(O440,职业!$A$3:$E$16,4,FALSE),0),"")</f>
        <v/>
      </c>
      <c r="AS440" t="str">
        <f>IFERROR(ROUND(S440*(R440/$AX440)/VLOOKUP(Q440,职业!$A$3:$E$16,4,FALSE),0),"")</f>
        <v/>
      </c>
      <c r="AT440" t="str">
        <f>IFERROR(ROUND(X440*(U440/$AY440)/VLOOKUP(T440,商品!$A$4:$D$67,4,FALSE),0),"")</f>
        <v/>
      </c>
      <c r="AU440" t="str">
        <f>IFERROR(ROUND(X440*(W440/$AY440)/VLOOKUP(V440,商品!$A$4:$D$67,4,FALSE),0),"")</f>
        <v/>
      </c>
      <c r="AW440">
        <f t="shared" si="116"/>
        <v>0</v>
      </c>
      <c r="AX440">
        <f t="shared" si="117"/>
        <v>0</v>
      </c>
      <c r="AY440">
        <f t="shared" si="118"/>
        <v>0</v>
      </c>
    </row>
    <row r="441" customHeight="1" spans="1:51">
      <c r="A441" s="18" t="s">
        <v>366</v>
      </c>
      <c r="C441" s="18">
        <v>1</v>
      </c>
      <c r="D441" s="1" t="s">
        <v>238</v>
      </c>
      <c r="E441" s="1" t="s">
        <v>223</v>
      </c>
      <c r="L441" s="18">
        <f>IFERROR(VLOOKUP($D441&amp;$C441,生产方式定位!$A$2:$E$38,2,FALSE)+VLOOKUP($E441&amp;$C441,生产方式定位!$F$3:$J$38,2,FALSE),0)</f>
        <v>1000</v>
      </c>
      <c r="S441" s="18">
        <f>IFERROR(VLOOKUP($D441&amp;$C441,生产方式定位!$A$2:$E$38,3,FALSE)+VLOOKUP($E441&amp;$C441,生产方式定位!$F$3:$J$38,3,FALSE),0)</f>
        <v>80</v>
      </c>
      <c r="X441" s="18">
        <f>IFERROR(VLOOKUP($D441&amp;$C441,生产方式定位!$A$2:$E$38,5,FALSE)+VLOOKUP($E441&amp;$C441,生产方式定位!$F$3:$J$38,5,FALSE),"错误")</f>
        <v>972</v>
      </c>
      <c r="Y441" s="27" t="str">
        <f t="shared" si="102"/>
        <v/>
      </c>
      <c r="Z441" s="50" t="str">
        <f t="shared" si="105"/>
        <v/>
      </c>
      <c r="AA441" s="50" t="str">
        <f t="shared" si="103"/>
        <v/>
      </c>
      <c r="AB441" s="28" t="str">
        <f t="shared" si="106"/>
        <v>-3%</v>
      </c>
      <c r="AC441" s="1">
        <f t="shared" si="107"/>
        <v>-108</v>
      </c>
      <c r="AD441" s="52">
        <f t="shared" si="104"/>
        <v>1</v>
      </c>
      <c r="AE441" t="str">
        <f t="shared" si="108"/>
        <v/>
      </c>
      <c r="AF441" t="str">
        <f t="shared" si="109"/>
        <v/>
      </c>
      <c r="AG441" t="str">
        <f t="shared" si="110"/>
        <v/>
      </c>
      <c r="AH441" t="str">
        <f t="shared" si="111"/>
        <v/>
      </c>
      <c r="AI441" t="str">
        <f t="shared" si="112"/>
        <v/>
      </c>
      <c r="AJ441" t="str">
        <f t="shared" si="113"/>
        <v/>
      </c>
      <c r="AK441" t="str">
        <f t="shared" si="114"/>
        <v/>
      </c>
      <c r="AL441" t="str">
        <f t="shared" si="115"/>
        <v/>
      </c>
      <c r="AN441" t="str">
        <f>IFERROR(ROUND(L441*(G441/$AW441)/VLOOKUP(F441,商品!$A$4:$D$67,4,FALSE),0),"")</f>
        <v/>
      </c>
      <c r="AO441" t="str">
        <f>IFERROR(ROUND(L441*(I441/$AW441)/VLOOKUP(H441,商品!$A$4:$D$67,4,FALSE),0),"")</f>
        <v/>
      </c>
      <c r="AP441" t="str">
        <f>IFERROR(ROUND(L441*(K441/$AW441)/VLOOKUP(J441,商品!$A$4:$D$67,4,FALSE),0),"")</f>
        <v/>
      </c>
      <c r="AQ441" t="str">
        <f>IFERROR(ROUND(S441*(N441/$AX441)/VLOOKUP(M441,职业!$A$3:$E$16,4,FALSE),0),"")</f>
        <v/>
      </c>
      <c r="AR441" t="str">
        <f>IFERROR(ROUND(S441*(P441/$AX441)/VLOOKUP(O441,职业!$A$3:$E$16,4,FALSE),0),"")</f>
        <v/>
      </c>
      <c r="AS441" t="str">
        <f>IFERROR(ROUND(S441*(R441/$AX441)/VLOOKUP(Q441,职业!$A$3:$E$16,4,FALSE),0),"")</f>
        <v/>
      </c>
      <c r="AT441" t="str">
        <f>IFERROR(ROUND(X441*(U441/$AY441)/VLOOKUP(T441,商品!$A$4:$D$67,4,FALSE),0),"")</f>
        <v/>
      </c>
      <c r="AU441" t="str">
        <f>IFERROR(ROUND(X441*(W441/$AY441)/VLOOKUP(V441,商品!$A$4:$D$67,4,FALSE),0),"")</f>
        <v/>
      </c>
      <c r="AW441">
        <f t="shared" si="116"/>
        <v>0</v>
      </c>
      <c r="AX441">
        <f t="shared" si="117"/>
        <v>0</v>
      </c>
      <c r="AY441">
        <f t="shared" si="118"/>
        <v>0</v>
      </c>
    </row>
    <row r="442" customHeight="1" spans="1:51">
      <c r="A442" s="18" t="s">
        <v>366</v>
      </c>
      <c r="C442" s="18">
        <v>2</v>
      </c>
      <c r="D442" s="1" t="s">
        <v>238</v>
      </c>
      <c r="E442" s="1" t="s">
        <v>223</v>
      </c>
      <c r="L442" s="18">
        <f>IFERROR(VLOOKUP($D442&amp;$C442,生产方式定位!$A$2:$E$38,2,FALSE)+VLOOKUP($E442&amp;$C442,生产方式定位!$F$3:$J$38,2,FALSE),0)</f>
        <v>1300</v>
      </c>
      <c r="S442" s="18">
        <f>IFERROR(VLOOKUP($D442&amp;$C442,生产方式定位!$A$2:$E$38,3,FALSE)+VLOOKUP($E442&amp;$C442,生产方式定位!$F$3:$J$38,3,FALSE),0)</f>
        <v>95</v>
      </c>
      <c r="X442" s="18">
        <f>IFERROR(VLOOKUP($D442&amp;$C442,生产方式定位!$A$2:$E$38,5,FALSE)+VLOOKUP($E442&amp;$C442,生产方式定位!$F$3:$J$38,5,FALSE),"错误")</f>
        <v>1633</v>
      </c>
      <c r="Y442" s="27" t="str">
        <f t="shared" si="102"/>
        <v/>
      </c>
      <c r="Z442" s="50" t="str">
        <f t="shared" si="105"/>
        <v/>
      </c>
      <c r="AA442" s="50" t="str">
        <f t="shared" si="103"/>
        <v/>
      </c>
      <c r="AB442" s="28" t="str">
        <f t="shared" si="106"/>
        <v>26%</v>
      </c>
      <c r="AC442" s="1">
        <f t="shared" si="107"/>
        <v>238</v>
      </c>
      <c r="AD442" s="52">
        <f t="shared" si="104"/>
        <v>2</v>
      </c>
      <c r="AE442" t="str">
        <f t="shared" si="108"/>
        <v/>
      </c>
      <c r="AF442" t="str">
        <f t="shared" si="109"/>
        <v/>
      </c>
      <c r="AG442" t="str">
        <f t="shared" si="110"/>
        <v/>
      </c>
      <c r="AH442" t="str">
        <f t="shared" si="111"/>
        <v/>
      </c>
      <c r="AI442" t="str">
        <f t="shared" si="112"/>
        <v/>
      </c>
      <c r="AJ442" t="str">
        <f t="shared" si="113"/>
        <v/>
      </c>
      <c r="AK442" t="str">
        <f t="shared" si="114"/>
        <v/>
      </c>
      <c r="AL442" t="str">
        <f t="shared" si="115"/>
        <v/>
      </c>
      <c r="AN442" t="str">
        <f>IFERROR(ROUND(L442*(G442/$AW442)/VLOOKUP(F442,商品!$A$4:$D$67,4,FALSE),0),"")</f>
        <v/>
      </c>
      <c r="AO442" t="str">
        <f>IFERROR(ROUND(L442*(I442/$AW442)/VLOOKUP(H442,商品!$A$4:$D$67,4,FALSE),0),"")</f>
        <v/>
      </c>
      <c r="AP442" t="str">
        <f>IFERROR(ROUND(L442*(K442/$AW442)/VLOOKUP(J442,商品!$A$4:$D$67,4,FALSE),0),"")</f>
        <v/>
      </c>
      <c r="AQ442" t="str">
        <f>IFERROR(ROUND(S442*(N442/$AX442)/VLOOKUP(M442,职业!$A$3:$E$16,4,FALSE),0),"")</f>
        <v/>
      </c>
      <c r="AR442" t="str">
        <f>IFERROR(ROUND(S442*(P442/$AX442)/VLOOKUP(O442,职业!$A$3:$E$16,4,FALSE),0),"")</f>
        <v/>
      </c>
      <c r="AS442" t="str">
        <f>IFERROR(ROUND(S442*(R442/$AX442)/VLOOKUP(Q442,职业!$A$3:$E$16,4,FALSE),0),"")</f>
        <v/>
      </c>
      <c r="AT442" t="str">
        <f>IFERROR(ROUND(X442*(U442/$AY442)/VLOOKUP(T442,商品!$A$4:$D$67,4,FALSE),0),"")</f>
        <v/>
      </c>
      <c r="AU442" t="str">
        <f>IFERROR(ROUND(X442*(W442/$AY442)/VLOOKUP(V442,商品!$A$4:$D$67,4,FALSE),0),"")</f>
        <v/>
      </c>
      <c r="AW442">
        <f t="shared" si="116"/>
        <v>0</v>
      </c>
      <c r="AX442">
        <f t="shared" si="117"/>
        <v>0</v>
      </c>
      <c r="AY442">
        <f t="shared" si="118"/>
        <v>0</v>
      </c>
    </row>
    <row r="443" customHeight="1" spans="1:51">
      <c r="A443" s="18" t="s">
        <v>366</v>
      </c>
      <c r="C443" s="18">
        <v>3</v>
      </c>
      <c r="D443" s="1" t="s">
        <v>238</v>
      </c>
      <c r="E443" s="1" t="s">
        <v>223</v>
      </c>
      <c r="L443" s="18">
        <f>IFERROR(VLOOKUP($D443&amp;$C443,生产方式定位!$A$2:$E$38,2,FALSE)+VLOOKUP($E443&amp;$C443,生产方式定位!$F$3:$J$38,2,FALSE),0)</f>
        <v>1300</v>
      </c>
      <c r="S443" s="18">
        <f>IFERROR(VLOOKUP($D443&amp;$C443,生产方式定位!$A$2:$E$38,3,FALSE)+VLOOKUP($E443&amp;$C443,生产方式定位!$F$3:$J$38,3,FALSE),0)</f>
        <v>105</v>
      </c>
      <c r="X443" s="18">
        <f>IFERROR(VLOOKUP($D443&amp;$C443,生产方式定位!$A$2:$E$38,5,FALSE)+VLOOKUP($E443&amp;$C443,生产方式定位!$F$3:$J$38,5,FALSE),"错误")</f>
        <v>1991</v>
      </c>
      <c r="Y443" s="27" t="str">
        <f t="shared" si="102"/>
        <v/>
      </c>
      <c r="Z443" s="50" t="str">
        <f t="shared" si="105"/>
        <v/>
      </c>
      <c r="AA443" s="50" t="str">
        <f t="shared" si="103"/>
        <v/>
      </c>
      <c r="AB443" s="28" t="str">
        <f t="shared" si="106"/>
        <v>53%</v>
      </c>
      <c r="AC443" s="1">
        <f t="shared" si="107"/>
        <v>586</v>
      </c>
      <c r="AD443" s="52">
        <f t="shared" si="104"/>
        <v>3</v>
      </c>
      <c r="AE443" t="str">
        <f t="shared" si="108"/>
        <v/>
      </c>
      <c r="AF443" t="str">
        <f t="shared" si="109"/>
        <v/>
      </c>
      <c r="AG443" t="str">
        <f t="shared" si="110"/>
        <v/>
      </c>
      <c r="AH443" t="str">
        <f t="shared" si="111"/>
        <v/>
      </c>
      <c r="AI443" t="str">
        <f t="shared" si="112"/>
        <v/>
      </c>
      <c r="AJ443" t="str">
        <f t="shared" si="113"/>
        <v/>
      </c>
      <c r="AK443" t="str">
        <f t="shared" si="114"/>
        <v/>
      </c>
      <c r="AL443" t="str">
        <f t="shared" si="115"/>
        <v/>
      </c>
      <c r="AN443" t="str">
        <f>IFERROR(ROUND(L443*(G443/$AW443)/VLOOKUP(F443,商品!$A$4:$D$67,4,FALSE),0),"")</f>
        <v/>
      </c>
      <c r="AO443" t="str">
        <f>IFERROR(ROUND(L443*(I443/$AW443)/VLOOKUP(H443,商品!$A$4:$D$67,4,FALSE),0),"")</f>
        <v/>
      </c>
      <c r="AP443" t="str">
        <f>IFERROR(ROUND(L443*(K443/$AW443)/VLOOKUP(J443,商品!$A$4:$D$67,4,FALSE),0),"")</f>
        <v/>
      </c>
      <c r="AQ443" t="str">
        <f>IFERROR(ROUND(S443*(N443/$AX443)/VLOOKUP(M443,职业!$A$3:$E$16,4,FALSE),0),"")</f>
        <v/>
      </c>
      <c r="AR443" t="str">
        <f>IFERROR(ROUND(S443*(P443/$AX443)/VLOOKUP(O443,职业!$A$3:$E$16,4,FALSE),0),"")</f>
        <v/>
      </c>
      <c r="AS443" t="str">
        <f>IFERROR(ROUND(S443*(R443/$AX443)/VLOOKUP(Q443,职业!$A$3:$E$16,4,FALSE),0),"")</f>
        <v/>
      </c>
      <c r="AT443" t="str">
        <f>IFERROR(ROUND(X443*(U443/$AY443)/VLOOKUP(T443,商品!$A$4:$D$67,4,FALSE),0),"")</f>
        <v/>
      </c>
      <c r="AU443" t="str">
        <f>IFERROR(ROUND(X443*(W443/$AY443)/VLOOKUP(V443,商品!$A$4:$D$67,4,FALSE),0),"")</f>
        <v/>
      </c>
      <c r="AW443">
        <f t="shared" si="116"/>
        <v>0</v>
      </c>
      <c r="AX443">
        <f t="shared" si="117"/>
        <v>0</v>
      </c>
      <c r="AY443">
        <f t="shared" si="118"/>
        <v>0</v>
      </c>
    </row>
    <row r="444" customHeight="1" spans="1:51">
      <c r="A444" s="18" t="s">
        <v>366</v>
      </c>
      <c r="C444" s="18">
        <v>4</v>
      </c>
      <c r="D444" s="1" t="s">
        <v>238</v>
      </c>
      <c r="E444" s="1" t="s">
        <v>223</v>
      </c>
      <c r="L444" s="18">
        <f>IFERROR(VLOOKUP($D444&amp;$C444,生产方式定位!$A$2:$E$38,2,FALSE)+VLOOKUP($E444&amp;$C444,生产方式定位!$F$3:$J$38,2,FALSE),0)</f>
        <v>1300</v>
      </c>
      <c r="S444" s="18">
        <f>IFERROR(VLOOKUP($D444&amp;$C444,生产方式定位!$A$2:$E$38,3,FALSE)+VLOOKUP($E444&amp;$C444,生产方式定位!$F$3:$J$38,3,FALSE),0)</f>
        <v>115</v>
      </c>
      <c r="X444" s="18">
        <f>IFERROR(VLOOKUP($D444&amp;$C444,生产方式定位!$A$2:$E$38,5,FALSE)+VLOOKUP($E444&amp;$C444,生产方式定位!$F$3:$J$38,5,FALSE),"错误")</f>
        <v>2590</v>
      </c>
      <c r="Y444" s="27" t="str">
        <f t="shared" si="102"/>
        <v/>
      </c>
      <c r="Z444" s="50" t="str">
        <f t="shared" si="105"/>
        <v/>
      </c>
      <c r="AA444" s="50" t="str">
        <f t="shared" si="103"/>
        <v/>
      </c>
      <c r="AB444" s="28" t="str">
        <f t="shared" si="106"/>
        <v>99%</v>
      </c>
      <c r="AC444" s="1">
        <f t="shared" si="107"/>
        <v>1175</v>
      </c>
      <c r="AD444" s="52">
        <f t="shared" si="104"/>
        <v>4</v>
      </c>
      <c r="AE444" t="str">
        <f t="shared" si="108"/>
        <v/>
      </c>
      <c r="AF444" t="str">
        <f t="shared" si="109"/>
        <v/>
      </c>
      <c r="AG444" t="str">
        <f t="shared" si="110"/>
        <v/>
      </c>
      <c r="AH444" t="str">
        <f t="shared" si="111"/>
        <v/>
      </c>
      <c r="AI444" t="str">
        <f t="shared" si="112"/>
        <v/>
      </c>
      <c r="AJ444" t="str">
        <f t="shared" si="113"/>
        <v/>
      </c>
      <c r="AK444" t="str">
        <f t="shared" si="114"/>
        <v/>
      </c>
      <c r="AL444" t="str">
        <f t="shared" si="115"/>
        <v/>
      </c>
      <c r="AN444" t="str">
        <f>IFERROR(ROUND(L444*(G444/$AW444)/VLOOKUP(F444,商品!$A$4:$D$67,4,FALSE),0),"")</f>
        <v/>
      </c>
      <c r="AO444" t="str">
        <f>IFERROR(ROUND(L444*(I444/$AW444)/VLOOKUP(H444,商品!$A$4:$D$67,4,FALSE),0),"")</f>
        <v/>
      </c>
      <c r="AP444" t="str">
        <f>IFERROR(ROUND(L444*(K444/$AW444)/VLOOKUP(J444,商品!$A$4:$D$67,4,FALSE),0),"")</f>
        <v/>
      </c>
      <c r="AQ444" t="str">
        <f>IFERROR(ROUND(S444*(N444/$AX444)/VLOOKUP(M444,职业!$A$3:$E$16,4,FALSE),0),"")</f>
        <v/>
      </c>
      <c r="AR444" t="str">
        <f>IFERROR(ROUND(S444*(P444/$AX444)/VLOOKUP(O444,职业!$A$3:$E$16,4,FALSE),0),"")</f>
        <v/>
      </c>
      <c r="AS444" t="str">
        <f>IFERROR(ROUND(S444*(R444/$AX444)/VLOOKUP(Q444,职业!$A$3:$E$16,4,FALSE),0),"")</f>
        <v/>
      </c>
      <c r="AT444" t="str">
        <f>IFERROR(ROUND(X444*(U444/$AY444)/VLOOKUP(T444,商品!$A$4:$D$67,4,FALSE),0),"")</f>
        <v/>
      </c>
      <c r="AU444" t="str">
        <f>IFERROR(ROUND(X444*(W444/$AY444)/VLOOKUP(V444,商品!$A$4:$D$67,4,FALSE),0),"")</f>
        <v/>
      </c>
      <c r="AW444">
        <f t="shared" si="116"/>
        <v>0</v>
      </c>
      <c r="AX444">
        <f t="shared" si="117"/>
        <v>0</v>
      </c>
      <c r="AY444">
        <f t="shared" si="118"/>
        <v>0</v>
      </c>
    </row>
    <row r="445" customHeight="1" spans="1:51">
      <c r="A445" s="18" t="s">
        <v>366</v>
      </c>
      <c r="C445" s="18">
        <v>5</v>
      </c>
      <c r="D445" s="1" t="s">
        <v>238</v>
      </c>
      <c r="E445" s="1" t="s">
        <v>223</v>
      </c>
      <c r="L445" s="18">
        <f>IFERROR(VLOOKUP($D445&amp;$C445,生产方式定位!$A$2:$E$38,2,FALSE)+VLOOKUP($E445&amp;$C445,生产方式定位!$F$3:$J$38,2,FALSE),0)</f>
        <v>1300</v>
      </c>
      <c r="S445" s="18">
        <f>IFERROR(VLOOKUP($D445&amp;$C445,生产方式定位!$A$2:$E$38,3,FALSE)+VLOOKUP($E445&amp;$C445,生产方式定位!$F$3:$J$38,3,FALSE),0)</f>
        <v>125</v>
      </c>
      <c r="X445" s="18">
        <f>IFERROR(VLOOKUP($D445&amp;$C445,生产方式定位!$A$2:$E$38,5,FALSE)+VLOOKUP($E445&amp;$C445,生产方式定位!$F$3:$J$38,5,FALSE),"错误")</f>
        <v>3598</v>
      </c>
      <c r="Y445" s="27" t="str">
        <f t="shared" si="102"/>
        <v/>
      </c>
      <c r="Z445" s="50" t="str">
        <f t="shared" si="105"/>
        <v/>
      </c>
      <c r="AA445" s="50" t="str">
        <f t="shared" si="103"/>
        <v/>
      </c>
      <c r="AB445" s="28" t="str">
        <f t="shared" si="106"/>
        <v>177%</v>
      </c>
      <c r="AC445" s="1">
        <f t="shared" si="107"/>
        <v>2173</v>
      </c>
      <c r="AD445" s="52">
        <f t="shared" si="104"/>
        <v>5</v>
      </c>
      <c r="AE445" t="str">
        <f t="shared" si="108"/>
        <v/>
      </c>
      <c r="AF445" t="str">
        <f t="shared" si="109"/>
        <v/>
      </c>
      <c r="AG445" t="str">
        <f t="shared" si="110"/>
        <v/>
      </c>
      <c r="AH445" t="str">
        <f t="shared" si="111"/>
        <v/>
      </c>
      <c r="AI445" t="str">
        <f t="shared" si="112"/>
        <v/>
      </c>
      <c r="AJ445" t="str">
        <f t="shared" si="113"/>
        <v/>
      </c>
      <c r="AK445" t="str">
        <f t="shared" si="114"/>
        <v/>
      </c>
      <c r="AL445" t="str">
        <f t="shared" si="115"/>
        <v/>
      </c>
      <c r="AN445" t="str">
        <f>IFERROR(ROUND(L445*(G445/$AW445)/VLOOKUP(F445,商品!$A$4:$D$67,4,FALSE),0),"")</f>
        <v/>
      </c>
      <c r="AO445" t="str">
        <f>IFERROR(ROUND(L445*(I445/$AW445)/VLOOKUP(H445,商品!$A$4:$D$67,4,FALSE),0),"")</f>
        <v/>
      </c>
      <c r="AP445" t="str">
        <f>IFERROR(ROUND(L445*(K445/$AW445)/VLOOKUP(J445,商品!$A$4:$D$67,4,FALSE),0),"")</f>
        <v/>
      </c>
      <c r="AQ445" t="str">
        <f>IFERROR(ROUND(S445*(N445/$AX445)/VLOOKUP(M445,职业!$A$3:$E$16,4,FALSE),0),"")</f>
        <v/>
      </c>
      <c r="AR445" t="str">
        <f>IFERROR(ROUND(S445*(P445/$AX445)/VLOOKUP(O445,职业!$A$3:$E$16,4,FALSE),0),"")</f>
        <v/>
      </c>
      <c r="AS445" t="str">
        <f>IFERROR(ROUND(S445*(R445/$AX445)/VLOOKUP(Q445,职业!$A$3:$E$16,4,FALSE),0),"")</f>
        <v/>
      </c>
      <c r="AT445" t="str">
        <f>IFERROR(ROUND(X445*(U445/$AY445)/VLOOKUP(T445,商品!$A$4:$D$67,4,FALSE),0),"")</f>
        <v/>
      </c>
      <c r="AU445" t="str">
        <f>IFERROR(ROUND(X445*(W445/$AY445)/VLOOKUP(V445,商品!$A$4:$D$67,4,FALSE),0),"")</f>
        <v/>
      </c>
      <c r="AW445">
        <f t="shared" si="116"/>
        <v>0</v>
      </c>
      <c r="AX445">
        <f t="shared" si="117"/>
        <v>0</v>
      </c>
      <c r="AY445">
        <f t="shared" si="118"/>
        <v>0</v>
      </c>
    </row>
    <row r="446" customHeight="1" spans="1:51">
      <c r="A446" s="5" t="s">
        <v>367</v>
      </c>
      <c r="C446" s="5">
        <v>1</v>
      </c>
      <c r="D446" s="1" t="s">
        <v>238</v>
      </c>
      <c r="E446" s="1" t="s">
        <v>224</v>
      </c>
      <c r="L446" s="5">
        <f>IFERROR(VLOOKUP($D446&amp;$C446,生产方式定位!$A$2:$E$38,2,FALSE)+VLOOKUP($E446&amp;$C446,生产方式定位!$F$3:$J$38,2,FALSE),0)</f>
        <v>1000</v>
      </c>
      <c r="S446" s="5">
        <f>IFERROR(VLOOKUP($D446&amp;$C446,生产方式定位!$A$2:$E$38,3,FALSE)+VLOOKUP($E446&amp;$C446,生产方式定位!$F$3:$J$38,3,FALSE),0)</f>
        <v>80</v>
      </c>
      <c r="X446" s="5">
        <f>IFERROR(VLOOKUP($D446&amp;$C446,生产方式定位!$A$2:$E$38,5,FALSE)+VLOOKUP($E446&amp;$C446,生产方式定位!$F$3:$J$38,5,FALSE),"错误")</f>
        <v>972</v>
      </c>
      <c r="Y446" s="27" t="str">
        <f t="shared" si="102"/>
        <v/>
      </c>
      <c r="Z446" s="50" t="str">
        <f t="shared" si="105"/>
        <v/>
      </c>
      <c r="AA446" s="50" t="str">
        <f t="shared" si="103"/>
        <v/>
      </c>
      <c r="AB446" s="28" t="str">
        <f t="shared" si="106"/>
        <v>-3%</v>
      </c>
      <c r="AC446" s="1">
        <f t="shared" si="107"/>
        <v>-108</v>
      </c>
      <c r="AD446" s="51">
        <f t="shared" si="104"/>
        <v>1</v>
      </c>
      <c r="AE446" t="str">
        <f t="shared" si="108"/>
        <v/>
      </c>
      <c r="AF446" t="str">
        <f t="shared" si="109"/>
        <v/>
      </c>
      <c r="AG446" t="str">
        <f t="shared" si="110"/>
        <v/>
      </c>
      <c r="AH446" t="str">
        <f t="shared" si="111"/>
        <v/>
      </c>
      <c r="AI446" t="str">
        <f t="shared" si="112"/>
        <v/>
      </c>
      <c r="AJ446" t="str">
        <f t="shared" si="113"/>
        <v/>
      </c>
      <c r="AK446" t="str">
        <f t="shared" si="114"/>
        <v/>
      </c>
      <c r="AL446" t="str">
        <f t="shared" si="115"/>
        <v/>
      </c>
      <c r="AN446" t="str">
        <f>IFERROR(ROUND(L446*(G446/$AW446)/VLOOKUP(F446,商品!$A$4:$D$67,4,FALSE),0),"")</f>
        <v/>
      </c>
      <c r="AO446" t="str">
        <f>IFERROR(ROUND(L446*(I446/$AW446)/VLOOKUP(H446,商品!$A$4:$D$67,4,FALSE),0),"")</f>
        <v/>
      </c>
      <c r="AP446" t="str">
        <f>IFERROR(ROUND(L446*(K446/$AW446)/VLOOKUP(J446,商品!$A$4:$D$67,4,FALSE),0),"")</f>
        <v/>
      </c>
      <c r="AQ446" t="str">
        <f>IFERROR(ROUND(S446*(N446/$AX446)/VLOOKUP(M446,职业!$A$3:$E$16,4,FALSE),0),"")</f>
        <v/>
      </c>
      <c r="AR446" t="str">
        <f>IFERROR(ROUND(S446*(P446/$AX446)/VLOOKUP(O446,职业!$A$3:$E$16,4,FALSE),0),"")</f>
        <v/>
      </c>
      <c r="AS446" t="str">
        <f>IFERROR(ROUND(S446*(R446/$AX446)/VLOOKUP(Q446,职业!$A$3:$E$16,4,FALSE),0),"")</f>
        <v/>
      </c>
      <c r="AT446" t="str">
        <f>IFERROR(ROUND(X446*(U446/$AY446)/VLOOKUP(T446,商品!$A$4:$D$67,4,FALSE),0),"")</f>
        <v/>
      </c>
      <c r="AU446" t="str">
        <f>IFERROR(ROUND(X446*(W446/$AY446)/VLOOKUP(V446,商品!$A$4:$D$67,4,FALSE),0),"")</f>
        <v/>
      </c>
      <c r="AW446">
        <f t="shared" si="116"/>
        <v>0</v>
      </c>
      <c r="AX446">
        <f t="shared" si="117"/>
        <v>0</v>
      </c>
      <c r="AY446">
        <f t="shared" si="118"/>
        <v>0</v>
      </c>
    </row>
    <row r="447" customHeight="1" spans="1:51">
      <c r="A447" s="5" t="s">
        <v>367</v>
      </c>
      <c r="C447" s="5">
        <v>2</v>
      </c>
      <c r="D447" s="1" t="s">
        <v>238</v>
      </c>
      <c r="E447" s="1" t="s">
        <v>224</v>
      </c>
      <c r="L447" s="5">
        <f>IFERROR(VLOOKUP($D447&amp;$C447,生产方式定位!$A$2:$E$38,2,FALSE)+VLOOKUP($E447&amp;$C447,生产方式定位!$F$3:$J$38,2,FALSE),0)</f>
        <v>1400</v>
      </c>
      <c r="S447" s="5">
        <f>IFERROR(VLOOKUP($D447&amp;$C447,生产方式定位!$A$2:$E$38,3,FALSE)+VLOOKUP($E447&amp;$C447,生产方式定位!$F$3:$J$38,3,FALSE),0)</f>
        <v>45</v>
      </c>
      <c r="X447" s="5">
        <f>IFERROR(VLOOKUP($D447&amp;$C447,生产方式定位!$A$2:$E$38,5,FALSE)+VLOOKUP($E447&amp;$C447,生产方式定位!$F$3:$J$38,5,FALSE),"错误")</f>
        <v>1688</v>
      </c>
      <c r="Y447" s="27" t="str">
        <f t="shared" si="102"/>
        <v/>
      </c>
      <c r="Z447" s="50" t="str">
        <f t="shared" si="105"/>
        <v/>
      </c>
      <c r="AA447" s="50" t="str">
        <f t="shared" si="103"/>
        <v/>
      </c>
      <c r="AB447" s="28" t="str">
        <f t="shared" si="106"/>
        <v>21%</v>
      </c>
      <c r="AC447" s="1">
        <f t="shared" si="107"/>
        <v>243</v>
      </c>
      <c r="AD447" s="51">
        <f t="shared" si="104"/>
        <v>2</v>
      </c>
      <c r="AE447" t="str">
        <f t="shared" si="108"/>
        <v/>
      </c>
      <c r="AF447" t="str">
        <f t="shared" si="109"/>
        <v/>
      </c>
      <c r="AG447" t="str">
        <f t="shared" si="110"/>
        <v/>
      </c>
      <c r="AH447" t="str">
        <f t="shared" si="111"/>
        <v/>
      </c>
      <c r="AI447" t="str">
        <f t="shared" si="112"/>
        <v/>
      </c>
      <c r="AJ447" t="str">
        <f t="shared" si="113"/>
        <v/>
      </c>
      <c r="AK447" t="str">
        <f t="shared" si="114"/>
        <v/>
      </c>
      <c r="AL447" t="str">
        <f t="shared" si="115"/>
        <v/>
      </c>
      <c r="AN447" t="str">
        <f>IFERROR(ROUND(L447*(G447/$AW447)/VLOOKUP(F447,商品!$A$4:$D$67,4,FALSE),0),"")</f>
        <v/>
      </c>
      <c r="AO447" t="str">
        <f>IFERROR(ROUND(L447*(I447/$AW447)/VLOOKUP(H447,商品!$A$4:$D$67,4,FALSE),0),"")</f>
        <v/>
      </c>
      <c r="AP447" t="str">
        <f>IFERROR(ROUND(L447*(K447/$AW447)/VLOOKUP(J447,商品!$A$4:$D$67,4,FALSE),0),"")</f>
        <v/>
      </c>
      <c r="AQ447" t="str">
        <f>IFERROR(ROUND(S447*(N447/$AX447)/VLOOKUP(M447,职业!$A$3:$E$16,4,FALSE),0),"")</f>
        <v/>
      </c>
      <c r="AR447" t="str">
        <f>IFERROR(ROUND(S447*(P447/$AX447)/VLOOKUP(O447,职业!$A$3:$E$16,4,FALSE),0),"")</f>
        <v/>
      </c>
      <c r="AS447" t="str">
        <f>IFERROR(ROUND(S447*(R447/$AX447)/VLOOKUP(Q447,职业!$A$3:$E$16,4,FALSE),0),"")</f>
        <v/>
      </c>
      <c r="AT447" t="str">
        <f>IFERROR(ROUND(X447*(U447/$AY447)/VLOOKUP(T447,商品!$A$4:$D$67,4,FALSE),0),"")</f>
        <v/>
      </c>
      <c r="AU447" t="str">
        <f>IFERROR(ROUND(X447*(W447/$AY447)/VLOOKUP(V447,商品!$A$4:$D$67,4,FALSE),0),"")</f>
        <v/>
      </c>
      <c r="AW447">
        <f t="shared" si="116"/>
        <v>0</v>
      </c>
      <c r="AX447">
        <f t="shared" si="117"/>
        <v>0</v>
      </c>
      <c r="AY447">
        <f t="shared" si="118"/>
        <v>0</v>
      </c>
    </row>
    <row r="448" customHeight="1" spans="1:51">
      <c r="A448" s="5" t="s">
        <v>367</v>
      </c>
      <c r="C448" s="5">
        <v>3</v>
      </c>
      <c r="D448" s="1" t="s">
        <v>238</v>
      </c>
      <c r="E448" s="1" t="s">
        <v>224</v>
      </c>
      <c r="L448" s="5">
        <f>IFERROR(VLOOKUP($D448&amp;$C448,生产方式定位!$A$2:$E$38,2,FALSE)+VLOOKUP($E448&amp;$C448,生产方式定位!$F$3:$J$38,2,FALSE),0)</f>
        <v>1800</v>
      </c>
      <c r="S448" s="5">
        <f>IFERROR(VLOOKUP($D448&amp;$C448,生产方式定位!$A$2:$E$38,3,FALSE)+VLOOKUP($E448&amp;$C448,生产方式定位!$F$3:$J$38,3,FALSE),0)</f>
        <v>30</v>
      </c>
      <c r="X448" s="5">
        <f>IFERROR(VLOOKUP($D448&amp;$C448,生产方式定位!$A$2:$E$38,5,FALSE)+VLOOKUP($E448&amp;$C448,生产方式定位!$F$3:$J$38,5,FALSE),"错误")</f>
        <v>2458</v>
      </c>
      <c r="Y448" s="27" t="str">
        <f t="shared" si="102"/>
        <v/>
      </c>
      <c r="Z448" s="50" t="str">
        <f t="shared" si="105"/>
        <v/>
      </c>
      <c r="AA448" s="50" t="str">
        <f t="shared" si="103"/>
        <v/>
      </c>
      <c r="AB448" s="28" t="str">
        <f t="shared" si="106"/>
        <v>37%</v>
      </c>
      <c r="AC448" s="1">
        <f t="shared" si="107"/>
        <v>628</v>
      </c>
      <c r="AD448" s="51">
        <f t="shared" si="104"/>
        <v>3</v>
      </c>
      <c r="AE448" t="str">
        <f t="shared" si="108"/>
        <v/>
      </c>
      <c r="AF448" t="str">
        <f t="shared" si="109"/>
        <v/>
      </c>
      <c r="AG448" t="str">
        <f t="shared" si="110"/>
        <v/>
      </c>
      <c r="AH448" t="str">
        <f t="shared" si="111"/>
        <v/>
      </c>
      <c r="AI448" t="str">
        <f t="shared" si="112"/>
        <v/>
      </c>
      <c r="AJ448" t="str">
        <f t="shared" si="113"/>
        <v/>
      </c>
      <c r="AK448" t="str">
        <f t="shared" si="114"/>
        <v/>
      </c>
      <c r="AL448" t="str">
        <f t="shared" si="115"/>
        <v/>
      </c>
      <c r="AN448" t="str">
        <f>IFERROR(ROUND(L448*(G448/$AW448)/VLOOKUP(F448,商品!$A$4:$D$67,4,FALSE),0),"")</f>
        <v/>
      </c>
      <c r="AO448" t="str">
        <f>IFERROR(ROUND(L448*(I448/$AW448)/VLOOKUP(H448,商品!$A$4:$D$67,4,FALSE),0),"")</f>
        <v/>
      </c>
      <c r="AP448" t="str">
        <f>IFERROR(ROUND(L448*(K448/$AW448)/VLOOKUP(J448,商品!$A$4:$D$67,4,FALSE),0),"")</f>
        <v/>
      </c>
      <c r="AQ448" t="str">
        <f>IFERROR(ROUND(S448*(N448/$AX448)/VLOOKUP(M448,职业!$A$3:$E$16,4,FALSE),0),"")</f>
        <v/>
      </c>
      <c r="AR448" t="str">
        <f>IFERROR(ROUND(S448*(P448/$AX448)/VLOOKUP(O448,职业!$A$3:$E$16,4,FALSE),0),"")</f>
        <v/>
      </c>
      <c r="AS448" t="str">
        <f>IFERROR(ROUND(S448*(R448/$AX448)/VLOOKUP(Q448,职业!$A$3:$E$16,4,FALSE),0),"")</f>
        <v/>
      </c>
      <c r="AT448" t="str">
        <f>IFERROR(ROUND(X448*(U448/$AY448)/VLOOKUP(T448,商品!$A$4:$D$67,4,FALSE),0),"")</f>
        <v/>
      </c>
      <c r="AU448" t="str">
        <f>IFERROR(ROUND(X448*(W448/$AY448)/VLOOKUP(V448,商品!$A$4:$D$67,4,FALSE),0),"")</f>
        <v/>
      </c>
      <c r="AW448">
        <f t="shared" si="116"/>
        <v>0</v>
      </c>
      <c r="AX448">
        <f t="shared" si="117"/>
        <v>0</v>
      </c>
      <c r="AY448">
        <f t="shared" si="118"/>
        <v>0</v>
      </c>
    </row>
    <row r="449" customHeight="1" spans="1:51">
      <c r="A449" s="5" t="s">
        <v>367</v>
      </c>
      <c r="C449" s="5">
        <v>4</v>
      </c>
      <c r="D449" s="1" t="s">
        <v>238</v>
      </c>
      <c r="E449" s="1" t="s">
        <v>224</v>
      </c>
      <c r="L449" s="5">
        <f>IFERROR(VLOOKUP($D449&amp;$C449,生产方式定位!$A$2:$E$38,2,FALSE)+VLOOKUP($E449&amp;$C449,生产方式定位!$F$3:$J$38,2,FALSE),0)</f>
        <v>2200</v>
      </c>
      <c r="S449" s="5">
        <f>IFERROR(VLOOKUP($D449&amp;$C449,生产方式定位!$A$2:$E$38,3,FALSE)+VLOOKUP($E449&amp;$C449,生产方式定位!$F$3:$J$38,3,FALSE),0)</f>
        <v>15</v>
      </c>
      <c r="X449" s="5">
        <f>IFERROR(VLOOKUP($D449&amp;$C449,生产方式定位!$A$2:$E$38,5,FALSE)+VLOOKUP($E449&amp;$C449,生产方式定位!$F$3:$J$38,5,FALSE),"错误")</f>
        <v>3470</v>
      </c>
      <c r="Y449" s="27" t="str">
        <f t="shared" si="102"/>
        <v/>
      </c>
      <c r="Z449" s="50" t="str">
        <f t="shared" si="105"/>
        <v/>
      </c>
      <c r="AA449" s="50" t="str">
        <f t="shared" si="103"/>
        <v/>
      </c>
      <c r="AB449" s="28" t="str">
        <f t="shared" si="106"/>
        <v>58%</v>
      </c>
      <c r="AC449" s="1">
        <f t="shared" si="107"/>
        <v>1255</v>
      </c>
      <c r="AD449" s="51">
        <f t="shared" si="104"/>
        <v>4</v>
      </c>
      <c r="AE449" t="str">
        <f t="shared" si="108"/>
        <v/>
      </c>
      <c r="AF449" t="str">
        <f t="shared" si="109"/>
        <v/>
      </c>
      <c r="AG449" t="str">
        <f t="shared" si="110"/>
        <v/>
      </c>
      <c r="AH449" t="str">
        <f t="shared" si="111"/>
        <v/>
      </c>
      <c r="AI449" t="str">
        <f t="shared" si="112"/>
        <v/>
      </c>
      <c r="AJ449" t="str">
        <f t="shared" si="113"/>
        <v/>
      </c>
      <c r="AK449" t="str">
        <f t="shared" si="114"/>
        <v/>
      </c>
      <c r="AL449" t="str">
        <f t="shared" si="115"/>
        <v/>
      </c>
      <c r="AN449" t="str">
        <f>IFERROR(ROUND(L449*(G449/$AW449)/VLOOKUP(F449,商品!$A$4:$D$67,4,FALSE),0),"")</f>
        <v/>
      </c>
      <c r="AO449" t="str">
        <f>IFERROR(ROUND(L449*(I449/$AW449)/VLOOKUP(H449,商品!$A$4:$D$67,4,FALSE),0),"")</f>
        <v/>
      </c>
      <c r="AP449" t="str">
        <f>IFERROR(ROUND(L449*(K449/$AW449)/VLOOKUP(J449,商品!$A$4:$D$67,4,FALSE),0),"")</f>
        <v/>
      </c>
      <c r="AQ449" t="str">
        <f>IFERROR(ROUND(S449*(N449/$AX449)/VLOOKUP(M449,职业!$A$3:$E$16,4,FALSE),0),"")</f>
        <v/>
      </c>
      <c r="AR449" t="str">
        <f>IFERROR(ROUND(S449*(P449/$AX449)/VLOOKUP(O449,职业!$A$3:$E$16,4,FALSE),0),"")</f>
        <v/>
      </c>
      <c r="AS449" t="str">
        <f>IFERROR(ROUND(S449*(R449/$AX449)/VLOOKUP(Q449,职业!$A$3:$E$16,4,FALSE),0),"")</f>
        <v/>
      </c>
      <c r="AT449" t="str">
        <f>IFERROR(ROUND(X449*(U449/$AY449)/VLOOKUP(T449,商品!$A$4:$D$67,4,FALSE),0),"")</f>
        <v/>
      </c>
      <c r="AU449" t="str">
        <f>IFERROR(ROUND(X449*(W449/$AY449)/VLOOKUP(V449,商品!$A$4:$D$67,4,FALSE),0),"")</f>
        <v/>
      </c>
      <c r="AW449">
        <f t="shared" si="116"/>
        <v>0</v>
      </c>
      <c r="AX449">
        <f t="shared" si="117"/>
        <v>0</v>
      </c>
      <c r="AY449">
        <f t="shared" si="118"/>
        <v>0</v>
      </c>
    </row>
    <row r="450" customHeight="1" spans="1:51">
      <c r="A450" s="5" t="s">
        <v>367</v>
      </c>
      <c r="C450" s="5">
        <v>5</v>
      </c>
      <c r="D450" s="1" t="s">
        <v>238</v>
      </c>
      <c r="E450" s="1" t="s">
        <v>224</v>
      </c>
      <c r="L450" s="5">
        <f>IFERROR(VLOOKUP($D450&amp;$C450,生产方式定位!$A$2:$E$38,2,FALSE)+VLOOKUP($E450&amp;$C450,生产方式定位!$F$3:$J$38,2,FALSE),0)</f>
        <v>2600</v>
      </c>
      <c r="S450" s="5">
        <f>IFERROR(VLOOKUP($D450&amp;$C450,生产方式定位!$A$2:$E$38,3,FALSE)+VLOOKUP($E450&amp;$C450,生产方式定位!$F$3:$J$38,3,FALSE),0)</f>
        <v>0</v>
      </c>
      <c r="X450" s="5">
        <f>IFERROR(VLOOKUP($D450&amp;$C450,生产方式定位!$A$2:$E$38,5,FALSE)+VLOOKUP($E450&amp;$C450,生产方式定位!$F$3:$J$38,5,FALSE),"错误")</f>
        <v>4890</v>
      </c>
      <c r="Y450" s="27" t="str">
        <f t="shared" si="102"/>
        <v/>
      </c>
      <c r="Z450" s="50" t="str">
        <f t="shared" si="105"/>
        <v/>
      </c>
      <c r="AA450" s="50" t="str">
        <f t="shared" si="103"/>
        <v/>
      </c>
      <c r="AB450" s="28" t="str">
        <f t="shared" si="106"/>
        <v>88%</v>
      </c>
      <c r="AC450" s="1">
        <f t="shared" si="107"/>
        <v>2290</v>
      </c>
      <c r="AD450" s="51">
        <f t="shared" si="104"/>
        <v>5</v>
      </c>
      <c r="AE450" t="str">
        <f t="shared" si="108"/>
        <v/>
      </c>
      <c r="AF450" t="str">
        <f t="shared" si="109"/>
        <v/>
      </c>
      <c r="AG450" t="str">
        <f t="shared" si="110"/>
        <v/>
      </c>
      <c r="AH450" t="str">
        <f t="shared" si="111"/>
        <v/>
      </c>
      <c r="AI450" t="str">
        <f t="shared" si="112"/>
        <v/>
      </c>
      <c r="AJ450" t="str">
        <f t="shared" si="113"/>
        <v/>
      </c>
      <c r="AK450" t="str">
        <f t="shared" si="114"/>
        <v/>
      </c>
      <c r="AL450" t="str">
        <f t="shared" si="115"/>
        <v/>
      </c>
      <c r="AN450" t="str">
        <f>IFERROR(ROUND(L450*(G450/$AW450)/VLOOKUP(F450,商品!$A$4:$D$67,4,FALSE),0),"")</f>
        <v/>
      </c>
      <c r="AO450" t="str">
        <f>IFERROR(ROUND(L450*(I450/$AW450)/VLOOKUP(H450,商品!$A$4:$D$67,4,FALSE),0),"")</f>
        <v/>
      </c>
      <c r="AP450" t="str">
        <f>IFERROR(ROUND(L450*(K450/$AW450)/VLOOKUP(J450,商品!$A$4:$D$67,4,FALSE),0),"")</f>
        <v/>
      </c>
      <c r="AQ450" t="str">
        <f>IFERROR(ROUND(S450*(N450/$AX450)/VLOOKUP(M450,职业!$A$3:$E$16,4,FALSE),0),"")</f>
        <v/>
      </c>
      <c r="AR450" t="str">
        <f>IFERROR(ROUND(S450*(P450/$AX450)/VLOOKUP(O450,职业!$A$3:$E$16,4,FALSE),0),"")</f>
        <v/>
      </c>
      <c r="AS450" t="str">
        <f>IFERROR(ROUND(S450*(R450/$AX450)/VLOOKUP(Q450,职业!$A$3:$E$16,4,FALSE),0),"")</f>
        <v/>
      </c>
      <c r="AT450" t="str">
        <f>IFERROR(ROUND(X450*(U450/$AY450)/VLOOKUP(T450,商品!$A$4:$D$67,4,FALSE),0),"")</f>
        <v/>
      </c>
      <c r="AU450" t="str">
        <f>IFERROR(ROUND(X450*(W450/$AY450)/VLOOKUP(V450,商品!$A$4:$D$67,4,FALSE),0),"")</f>
        <v/>
      </c>
      <c r="AW450">
        <f t="shared" si="116"/>
        <v>0</v>
      </c>
      <c r="AX450">
        <f t="shared" si="117"/>
        <v>0</v>
      </c>
      <c r="AY450">
        <f t="shared" si="118"/>
        <v>0</v>
      </c>
    </row>
    <row r="451" customHeight="1" spans="1:51">
      <c r="A451" s="18" t="s">
        <v>367</v>
      </c>
      <c r="C451" s="18">
        <v>1</v>
      </c>
      <c r="D451" s="1" t="s">
        <v>238</v>
      </c>
      <c r="E451" s="1" t="s">
        <v>224</v>
      </c>
      <c r="L451" s="18">
        <f>IFERROR(VLOOKUP($D451&amp;$C451,生产方式定位!$A$2:$E$38,2,FALSE)+VLOOKUP($E451&amp;$C451,生产方式定位!$F$3:$J$38,2,FALSE),0)</f>
        <v>1000</v>
      </c>
      <c r="S451" s="18">
        <f>IFERROR(VLOOKUP($D451&amp;$C451,生产方式定位!$A$2:$E$38,3,FALSE)+VLOOKUP($E451&amp;$C451,生产方式定位!$F$3:$J$38,3,FALSE),0)</f>
        <v>80</v>
      </c>
      <c r="X451" s="18">
        <f>IFERROR(VLOOKUP($D451&amp;$C451,生产方式定位!$A$2:$E$38,5,FALSE)+VLOOKUP($E451&amp;$C451,生产方式定位!$F$3:$J$38,5,FALSE),"错误")</f>
        <v>972</v>
      </c>
      <c r="Y451" s="27" t="str">
        <f t="shared" si="102"/>
        <v/>
      </c>
      <c r="Z451" s="50" t="str">
        <f t="shared" si="105"/>
        <v/>
      </c>
      <c r="AA451" s="50" t="str">
        <f t="shared" si="103"/>
        <v/>
      </c>
      <c r="AB451" s="28" t="str">
        <f t="shared" si="106"/>
        <v>-3%</v>
      </c>
      <c r="AC451" s="1">
        <f t="shared" si="107"/>
        <v>-108</v>
      </c>
      <c r="AD451" s="52">
        <f t="shared" si="104"/>
        <v>1</v>
      </c>
      <c r="AE451" t="str">
        <f t="shared" si="108"/>
        <v/>
      </c>
      <c r="AF451" t="str">
        <f t="shared" si="109"/>
        <v/>
      </c>
      <c r="AG451" t="str">
        <f t="shared" si="110"/>
        <v/>
      </c>
      <c r="AH451" t="str">
        <f t="shared" si="111"/>
        <v/>
      </c>
      <c r="AI451" t="str">
        <f t="shared" si="112"/>
        <v/>
      </c>
      <c r="AJ451" t="str">
        <f t="shared" si="113"/>
        <v/>
      </c>
      <c r="AK451" t="str">
        <f t="shared" si="114"/>
        <v/>
      </c>
      <c r="AL451" t="str">
        <f t="shared" si="115"/>
        <v/>
      </c>
      <c r="AN451" t="str">
        <f>IFERROR(ROUND(L451*(G451/$AW451)/VLOOKUP(F451,商品!$A$4:$D$67,4,FALSE),0),"")</f>
        <v/>
      </c>
      <c r="AO451" t="str">
        <f>IFERROR(ROUND(L451*(I451/$AW451)/VLOOKUP(H451,商品!$A$4:$D$67,4,FALSE),0),"")</f>
        <v/>
      </c>
      <c r="AP451" t="str">
        <f>IFERROR(ROUND(L451*(K451/$AW451)/VLOOKUP(J451,商品!$A$4:$D$67,4,FALSE),0),"")</f>
        <v/>
      </c>
      <c r="AQ451" t="str">
        <f>IFERROR(ROUND(S451*(N451/$AX451)/VLOOKUP(M451,职业!$A$3:$E$16,4,FALSE),0),"")</f>
        <v/>
      </c>
      <c r="AR451" t="str">
        <f>IFERROR(ROUND(S451*(P451/$AX451)/VLOOKUP(O451,职业!$A$3:$E$16,4,FALSE),0),"")</f>
        <v/>
      </c>
      <c r="AS451" t="str">
        <f>IFERROR(ROUND(S451*(R451/$AX451)/VLOOKUP(Q451,职业!$A$3:$E$16,4,FALSE),0),"")</f>
        <v/>
      </c>
      <c r="AT451" t="str">
        <f>IFERROR(ROUND(X451*(U451/$AY451)/VLOOKUP(T451,商品!$A$4:$D$67,4,FALSE),0),"")</f>
        <v/>
      </c>
      <c r="AU451" t="str">
        <f>IFERROR(ROUND(X451*(W451/$AY451)/VLOOKUP(V451,商品!$A$4:$D$67,4,FALSE),0),"")</f>
        <v/>
      </c>
      <c r="AW451">
        <f t="shared" si="116"/>
        <v>0</v>
      </c>
      <c r="AX451">
        <f t="shared" si="117"/>
        <v>0</v>
      </c>
      <c r="AY451">
        <f t="shared" si="118"/>
        <v>0</v>
      </c>
    </row>
    <row r="452" customHeight="1" spans="1:51">
      <c r="A452" s="18" t="s">
        <v>367</v>
      </c>
      <c r="C452" s="18">
        <v>2</v>
      </c>
      <c r="D452" s="1" t="s">
        <v>238</v>
      </c>
      <c r="E452" s="1" t="s">
        <v>224</v>
      </c>
      <c r="L452" s="18">
        <f>IFERROR(VLOOKUP($D452&amp;$C452,生产方式定位!$A$2:$E$38,2,FALSE)+VLOOKUP($E452&amp;$C452,生产方式定位!$F$3:$J$38,2,FALSE),0)</f>
        <v>1400</v>
      </c>
      <c r="S452" s="18">
        <f>IFERROR(VLOOKUP($D452&amp;$C452,生产方式定位!$A$2:$E$38,3,FALSE)+VLOOKUP($E452&amp;$C452,生产方式定位!$F$3:$J$38,3,FALSE),0)</f>
        <v>45</v>
      </c>
      <c r="X452" s="18">
        <f>IFERROR(VLOOKUP($D452&amp;$C452,生产方式定位!$A$2:$E$38,5,FALSE)+VLOOKUP($E452&amp;$C452,生产方式定位!$F$3:$J$38,5,FALSE),"错误")</f>
        <v>1688</v>
      </c>
      <c r="Y452" s="27" t="str">
        <f t="shared" si="102"/>
        <v/>
      </c>
      <c r="Z452" s="50" t="str">
        <f t="shared" si="105"/>
        <v/>
      </c>
      <c r="AA452" s="50" t="str">
        <f t="shared" si="103"/>
        <v/>
      </c>
      <c r="AB452" s="28" t="str">
        <f t="shared" si="106"/>
        <v>21%</v>
      </c>
      <c r="AC452" s="1">
        <f t="shared" si="107"/>
        <v>243</v>
      </c>
      <c r="AD452" s="52">
        <f t="shared" si="104"/>
        <v>2</v>
      </c>
      <c r="AE452" t="str">
        <f t="shared" si="108"/>
        <v/>
      </c>
      <c r="AF452" t="str">
        <f t="shared" si="109"/>
        <v/>
      </c>
      <c r="AG452" t="str">
        <f t="shared" si="110"/>
        <v/>
      </c>
      <c r="AH452" t="str">
        <f t="shared" si="111"/>
        <v/>
      </c>
      <c r="AI452" t="str">
        <f t="shared" si="112"/>
        <v/>
      </c>
      <c r="AJ452" t="str">
        <f t="shared" si="113"/>
        <v/>
      </c>
      <c r="AK452" t="str">
        <f t="shared" si="114"/>
        <v/>
      </c>
      <c r="AL452" t="str">
        <f t="shared" si="115"/>
        <v/>
      </c>
      <c r="AN452" t="str">
        <f>IFERROR(ROUND(L452*(G452/$AW452)/VLOOKUP(F452,商品!$A$4:$D$67,4,FALSE),0),"")</f>
        <v/>
      </c>
      <c r="AO452" t="str">
        <f>IFERROR(ROUND(L452*(I452/$AW452)/VLOOKUP(H452,商品!$A$4:$D$67,4,FALSE),0),"")</f>
        <v/>
      </c>
      <c r="AP452" t="str">
        <f>IFERROR(ROUND(L452*(K452/$AW452)/VLOOKUP(J452,商品!$A$4:$D$67,4,FALSE),0),"")</f>
        <v/>
      </c>
      <c r="AQ452" t="str">
        <f>IFERROR(ROUND(S452*(N452/$AX452)/VLOOKUP(M452,职业!$A$3:$E$16,4,FALSE),0),"")</f>
        <v/>
      </c>
      <c r="AR452" t="str">
        <f>IFERROR(ROUND(S452*(P452/$AX452)/VLOOKUP(O452,职业!$A$3:$E$16,4,FALSE),0),"")</f>
        <v/>
      </c>
      <c r="AS452" t="str">
        <f>IFERROR(ROUND(S452*(R452/$AX452)/VLOOKUP(Q452,职业!$A$3:$E$16,4,FALSE),0),"")</f>
        <v/>
      </c>
      <c r="AT452" t="str">
        <f>IFERROR(ROUND(X452*(U452/$AY452)/VLOOKUP(T452,商品!$A$4:$D$67,4,FALSE),0),"")</f>
        <v/>
      </c>
      <c r="AU452" t="str">
        <f>IFERROR(ROUND(X452*(W452/$AY452)/VLOOKUP(V452,商品!$A$4:$D$67,4,FALSE),0),"")</f>
        <v/>
      </c>
      <c r="AW452">
        <f t="shared" si="116"/>
        <v>0</v>
      </c>
      <c r="AX452">
        <f t="shared" si="117"/>
        <v>0</v>
      </c>
      <c r="AY452">
        <f t="shared" si="118"/>
        <v>0</v>
      </c>
    </row>
    <row r="453" customHeight="1" spans="1:51">
      <c r="A453" s="18" t="s">
        <v>367</v>
      </c>
      <c r="C453" s="18">
        <v>3</v>
      </c>
      <c r="D453" s="1" t="s">
        <v>238</v>
      </c>
      <c r="E453" s="1" t="s">
        <v>224</v>
      </c>
      <c r="L453" s="18">
        <f>IFERROR(VLOOKUP($D453&amp;$C453,生产方式定位!$A$2:$E$38,2,FALSE)+VLOOKUP($E453&amp;$C453,生产方式定位!$F$3:$J$38,2,FALSE),0)</f>
        <v>1800</v>
      </c>
      <c r="S453" s="18">
        <f>IFERROR(VLOOKUP($D453&amp;$C453,生产方式定位!$A$2:$E$38,3,FALSE)+VLOOKUP($E453&amp;$C453,生产方式定位!$F$3:$J$38,3,FALSE),0)</f>
        <v>30</v>
      </c>
      <c r="X453" s="18">
        <f>IFERROR(VLOOKUP($D453&amp;$C453,生产方式定位!$A$2:$E$38,5,FALSE)+VLOOKUP($E453&amp;$C453,生产方式定位!$F$3:$J$38,5,FALSE),"错误")</f>
        <v>2458</v>
      </c>
      <c r="Y453" s="27" t="str">
        <f t="shared" ref="Y453:Y516" si="119">IF(AE453="","",AE453)&amp;IF(AF453="","",","&amp;AF453)&amp;IF(AG453="","",","&amp;AG453)</f>
        <v/>
      </c>
      <c r="Z453" s="50" t="str">
        <f t="shared" si="105"/>
        <v/>
      </c>
      <c r="AA453" s="50" t="str">
        <f t="shared" ref="AA453:AA516" si="120">IF(AK453="","",AK453)&amp;IF(AL453="","",","&amp;AL453)</f>
        <v/>
      </c>
      <c r="AB453" s="28" t="str">
        <f t="shared" si="106"/>
        <v>37%</v>
      </c>
      <c r="AC453" s="1">
        <f t="shared" si="107"/>
        <v>628</v>
      </c>
      <c r="AD453" s="52">
        <f t="shared" ref="AD453:AD516" si="121">C453</f>
        <v>3</v>
      </c>
      <c r="AE453" t="str">
        <f t="shared" si="108"/>
        <v/>
      </c>
      <c r="AF453" t="str">
        <f t="shared" si="109"/>
        <v/>
      </c>
      <c r="AG453" t="str">
        <f t="shared" si="110"/>
        <v/>
      </c>
      <c r="AH453" t="str">
        <f t="shared" si="111"/>
        <v/>
      </c>
      <c r="AI453" t="str">
        <f t="shared" si="112"/>
        <v/>
      </c>
      <c r="AJ453" t="str">
        <f t="shared" si="113"/>
        <v/>
      </c>
      <c r="AK453" t="str">
        <f t="shared" si="114"/>
        <v/>
      </c>
      <c r="AL453" t="str">
        <f t="shared" si="115"/>
        <v/>
      </c>
      <c r="AN453" t="str">
        <f>IFERROR(ROUND(L453*(G453/$AW453)/VLOOKUP(F453,商品!$A$4:$D$67,4,FALSE),0),"")</f>
        <v/>
      </c>
      <c r="AO453" t="str">
        <f>IFERROR(ROUND(L453*(I453/$AW453)/VLOOKUP(H453,商品!$A$4:$D$67,4,FALSE),0),"")</f>
        <v/>
      </c>
      <c r="AP453" t="str">
        <f>IFERROR(ROUND(L453*(K453/$AW453)/VLOOKUP(J453,商品!$A$4:$D$67,4,FALSE),0),"")</f>
        <v/>
      </c>
      <c r="AQ453" t="str">
        <f>IFERROR(ROUND(S453*(N453/$AX453)/VLOOKUP(M453,职业!$A$3:$E$16,4,FALSE),0),"")</f>
        <v/>
      </c>
      <c r="AR453" t="str">
        <f>IFERROR(ROUND(S453*(P453/$AX453)/VLOOKUP(O453,职业!$A$3:$E$16,4,FALSE),0),"")</f>
        <v/>
      </c>
      <c r="AS453" t="str">
        <f>IFERROR(ROUND(S453*(R453/$AX453)/VLOOKUP(Q453,职业!$A$3:$E$16,4,FALSE),0),"")</f>
        <v/>
      </c>
      <c r="AT453" t="str">
        <f>IFERROR(ROUND(X453*(U453/$AY453)/VLOOKUP(T453,商品!$A$4:$D$67,4,FALSE),0),"")</f>
        <v/>
      </c>
      <c r="AU453" t="str">
        <f>IFERROR(ROUND(X453*(W453/$AY453)/VLOOKUP(V453,商品!$A$4:$D$67,4,FALSE),0),"")</f>
        <v/>
      </c>
      <c r="AW453">
        <f t="shared" si="116"/>
        <v>0</v>
      </c>
      <c r="AX453">
        <f t="shared" si="117"/>
        <v>0</v>
      </c>
      <c r="AY453">
        <f t="shared" si="118"/>
        <v>0</v>
      </c>
    </row>
    <row r="454" customHeight="1" spans="1:51">
      <c r="A454" s="18" t="s">
        <v>367</v>
      </c>
      <c r="C454" s="18">
        <v>4</v>
      </c>
      <c r="D454" s="1" t="s">
        <v>238</v>
      </c>
      <c r="E454" s="1" t="s">
        <v>224</v>
      </c>
      <c r="L454" s="18">
        <f>IFERROR(VLOOKUP($D454&amp;$C454,生产方式定位!$A$2:$E$38,2,FALSE)+VLOOKUP($E454&amp;$C454,生产方式定位!$F$3:$J$38,2,FALSE),0)</f>
        <v>2200</v>
      </c>
      <c r="S454" s="18">
        <f>IFERROR(VLOOKUP($D454&amp;$C454,生产方式定位!$A$2:$E$38,3,FALSE)+VLOOKUP($E454&amp;$C454,生产方式定位!$F$3:$J$38,3,FALSE),0)</f>
        <v>15</v>
      </c>
      <c r="X454" s="18">
        <f>IFERROR(VLOOKUP($D454&amp;$C454,生产方式定位!$A$2:$E$38,5,FALSE)+VLOOKUP($E454&amp;$C454,生产方式定位!$F$3:$J$38,5,FALSE),"错误")</f>
        <v>3470</v>
      </c>
      <c r="Y454" s="27" t="str">
        <f t="shared" si="119"/>
        <v/>
      </c>
      <c r="Z454" s="50" t="str">
        <f t="shared" ref="Z454:Z517" si="122">IF(AH454="","",AH454)&amp;IF(AI454="","",","&amp;AI454)&amp;IF(AJ454="","",","&amp;AJ454)</f>
        <v/>
      </c>
      <c r="AA454" s="50" t="str">
        <f t="shared" si="120"/>
        <v/>
      </c>
      <c r="AB454" s="28" t="str">
        <f t="shared" ref="AB454:AB517" si="123">IFERROR(ROUND(((X454/L454)-1)*100,0)&amp;"%","")</f>
        <v>58%</v>
      </c>
      <c r="AC454" s="1">
        <f t="shared" ref="AC454:AC517" si="124">IF(X454-S454-L454=0,"",X454-S454-L454)</f>
        <v>1255</v>
      </c>
      <c r="AD454" s="52">
        <f t="shared" si="121"/>
        <v>4</v>
      </c>
      <c r="AE454" t="str">
        <f t="shared" ref="AE454:AE517" si="125">IF(AN454="","",F454&amp;"*"&amp;AN454)</f>
        <v/>
      </c>
      <c r="AF454" t="str">
        <f t="shared" ref="AF454:AF517" si="126">IF(AO454="","",H454&amp;"*"&amp;AO454)</f>
        <v/>
      </c>
      <c r="AG454" t="str">
        <f t="shared" ref="AG454:AG517" si="127">IF(AP454="","",J454&amp;"*"&amp;AP454)</f>
        <v/>
      </c>
      <c r="AH454" t="str">
        <f t="shared" ref="AH454:AH517" si="128">IF(AQ454="","",M454&amp;"*"&amp;AQ454)</f>
        <v/>
      </c>
      <c r="AI454" t="str">
        <f t="shared" ref="AI454:AI517" si="129">IF(AR454="","",O454&amp;"*"&amp;AR454)</f>
        <v/>
      </c>
      <c r="AJ454" t="str">
        <f t="shared" ref="AJ454:AJ517" si="130">IF(AS454="","",Q454&amp;"*"&amp;AS454)</f>
        <v/>
      </c>
      <c r="AK454" t="str">
        <f t="shared" ref="AK454:AK517" si="131">IF(AT454="","",T454&amp;"*"&amp;AT454)</f>
        <v/>
      </c>
      <c r="AL454" t="str">
        <f t="shared" ref="AL454:AL517" si="132">IF(AU454="","",V454&amp;"*"&amp;AU454)</f>
        <v/>
      </c>
      <c r="AN454" t="str">
        <f>IFERROR(ROUND(L454*(G454/$AW454)/VLOOKUP(F454,商品!$A$4:$D$67,4,FALSE),0),"")</f>
        <v/>
      </c>
      <c r="AO454" t="str">
        <f>IFERROR(ROUND(L454*(I454/$AW454)/VLOOKUP(H454,商品!$A$4:$D$67,4,FALSE),0),"")</f>
        <v/>
      </c>
      <c r="AP454" t="str">
        <f>IFERROR(ROUND(L454*(K454/$AW454)/VLOOKUP(J454,商品!$A$4:$D$67,4,FALSE),0),"")</f>
        <v/>
      </c>
      <c r="AQ454" t="str">
        <f>IFERROR(ROUND(S454*(N454/$AX454)/VLOOKUP(M454,职业!$A$3:$E$16,4,FALSE),0),"")</f>
        <v/>
      </c>
      <c r="AR454" t="str">
        <f>IFERROR(ROUND(S454*(P454/$AX454)/VLOOKUP(O454,职业!$A$3:$E$16,4,FALSE),0),"")</f>
        <v/>
      </c>
      <c r="AS454" t="str">
        <f>IFERROR(ROUND(S454*(R454/$AX454)/VLOOKUP(Q454,职业!$A$3:$E$16,4,FALSE),0),"")</f>
        <v/>
      </c>
      <c r="AT454" t="str">
        <f>IFERROR(ROUND(X454*(U454/$AY454)/VLOOKUP(T454,商品!$A$4:$D$67,4,FALSE),0),"")</f>
        <v/>
      </c>
      <c r="AU454" t="str">
        <f>IFERROR(ROUND(X454*(W454/$AY454)/VLOOKUP(V454,商品!$A$4:$D$67,4,FALSE),0),"")</f>
        <v/>
      </c>
      <c r="AW454">
        <f t="shared" ref="AW454:AW517" si="133">G454+I454+K454</f>
        <v>0</v>
      </c>
      <c r="AX454">
        <f t="shared" ref="AX454:AX517" si="134">ABS(N454)+ABS(P454)+ABS(R454)</f>
        <v>0</v>
      </c>
      <c r="AY454">
        <f t="shared" ref="AY454:AY517" si="135">U454+W454</f>
        <v>0</v>
      </c>
    </row>
    <row r="455" customHeight="1" spans="1:51">
      <c r="A455" s="18" t="s">
        <v>367</v>
      </c>
      <c r="C455" s="18">
        <v>5</v>
      </c>
      <c r="D455" s="1" t="s">
        <v>238</v>
      </c>
      <c r="E455" s="1" t="s">
        <v>224</v>
      </c>
      <c r="L455" s="18">
        <f>IFERROR(VLOOKUP($D455&amp;$C455,生产方式定位!$A$2:$E$38,2,FALSE)+VLOOKUP($E455&amp;$C455,生产方式定位!$F$3:$J$38,2,FALSE),0)</f>
        <v>2600</v>
      </c>
      <c r="S455" s="18">
        <f>IFERROR(VLOOKUP($D455&amp;$C455,生产方式定位!$A$2:$E$38,3,FALSE)+VLOOKUP($E455&amp;$C455,生产方式定位!$F$3:$J$38,3,FALSE),0)</f>
        <v>0</v>
      </c>
      <c r="X455" s="18">
        <f>IFERROR(VLOOKUP($D455&amp;$C455,生产方式定位!$A$2:$E$38,5,FALSE)+VLOOKUP($E455&amp;$C455,生产方式定位!$F$3:$J$38,5,FALSE),"错误")</f>
        <v>4890</v>
      </c>
      <c r="Y455" s="27" t="str">
        <f t="shared" si="119"/>
        <v/>
      </c>
      <c r="Z455" s="50" t="str">
        <f t="shared" si="122"/>
        <v/>
      </c>
      <c r="AA455" s="50" t="str">
        <f t="shared" si="120"/>
        <v/>
      </c>
      <c r="AB455" s="28" t="str">
        <f t="shared" si="123"/>
        <v>88%</v>
      </c>
      <c r="AC455" s="1">
        <f t="shared" si="124"/>
        <v>2290</v>
      </c>
      <c r="AD455" s="52">
        <f t="shared" si="121"/>
        <v>5</v>
      </c>
      <c r="AE455" t="str">
        <f t="shared" si="125"/>
        <v/>
      </c>
      <c r="AF455" t="str">
        <f t="shared" si="126"/>
        <v/>
      </c>
      <c r="AG455" t="str">
        <f t="shared" si="127"/>
        <v/>
      </c>
      <c r="AH455" t="str">
        <f t="shared" si="128"/>
        <v/>
      </c>
      <c r="AI455" t="str">
        <f t="shared" si="129"/>
        <v/>
      </c>
      <c r="AJ455" t="str">
        <f t="shared" si="130"/>
        <v/>
      </c>
      <c r="AK455" t="str">
        <f t="shared" si="131"/>
        <v/>
      </c>
      <c r="AL455" t="str">
        <f t="shared" si="132"/>
        <v/>
      </c>
      <c r="AN455" t="str">
        <f>IFERROR(ROUND(L455*(G455/$AW455)/VLOOKUP(F455,商品!$A$4:$D$67,4,FALSE),0),"")</f>
        <v/>
      </c>
      <c r="AO455" t="str">
        <f>IFERROR(ROUND(L455*(I455/$AW455)/VLOOKUP(H455,商品!$A$4:$D$67,4,FALSE),0),"")</f>
        <v/>
      </c>
      <c r="AP455" t="str">
        <f>IFERROR(ROUND(L455*(K455/$AW455)/VLOOKUP(J455,商品!$A$4:$D$67,4,FALSE),0),"")</f>
        <v/>
      </c>
      <c r="AQ455" t="str">
        <f>IFERROR(ROUND(S455*(N455/$AX455)/VLOOKUP(M455,职业!$A$3:$E$16,4,FALSE),0),"")</f>
        <v/>
      </c>
      <c r="AR455" t="str">
        <f>IFERROR(ROUND(S455*(P455/$AX455)/VLOOKUP(O455,职业!$A$3:$E$16,4,FALSE),0),"")</f>
        <v/>
      </c>
      <c r="AS455" t="str">
        <f>IFERROR(ROUND(S455*(R455/$AX455)/VLOOKUP(Q455,职业!$A$3:$E$16,4,FALSE),0),"")</f>
        <v/>
      </c>
      <c r="AT455" t="str">
        <f>IFERROR(ROUND(X455*(U455/$AY455)/VLOOKUP(T455,商品!$A$4:$D$67,4,FALSE),0),"")</f>
        <v/>
      </c>
      <c r="AU455" t="str">
        <f>IFERROR(ROUND(X455*(W455/$AY455)/VLOOKUP(V455,商品!$A$4:$D$67,4,FALSE),0),"")</f>
        <v/>
      </c>
      <c r="AW455">
        <f t="shared" si="133"/>
        <v>0</v>
      </c>
      <c r="AX455">
        <f t="shared" si="134"/>
        <v>0</v>
      </c>
      <c r="AY455">
        <f t="shared" si="135"/>
        <v>0</v>
      </c>
    </row>
    <row r="456" customHeight="1" spans="1:51">
      <c r="A456" s="5" t="s">
        <v>368</v>
      </c>
      <c r="C456" s="5">
        <v>1</v>
      </c>
      <c r="D456" s="1" t="s">
        <v>291</v>
      </c>
      <c r="E456" s="1" t="s">
        <v>225</v>
      </c>
      <c r="L456" s="5">
        <f>IFERROR(VLOOKUP($D456&amp;$C456,生产方式定位!$A$2:$E$38,2,FALSE)+VLOOKUP($E456&amp;$C456,生产方式定位!$F$3:$J$38,2,FALSE),0)</f>
        <v>0</v>
      </c>
      <c r="S456" s="5">
        <f>IFERROR(VLOOKUP($D456&amp;$C456,生产方式定位!$A$2:$E$38,3,FALSE)+VLOOKUP($E456&amp;$C456,生产方式定位!$F$3:$J$38,3,FALSE),0)</f>
        <v>100</v>
      </c>
      <c r="X456" s="5">
        <f>IFERROR(VLOOKUP($D456&amp;$C456,生产方式定位!$A$2:$E$38,5,FALSE)+VLOOKUP($E456&amp;$C456,生产方式定位!$F$3:$J$38,5,FALSE),"错误")</f>
        <v>100</v>
      </c>
      <c r="Y456" s="27" t="str">
        <f t="shared" si="119"/>
        <v/>
      </c>
      <c r="Z456" s="50" t="str">
        <f t="shared" si="122"/>
        <v/>
      </c>
      <c r="AA456" s="50" t="str">
        <f t="shared" si="120"/>
        <v/>
      </c>
      <c r="AB456" s="28" t="str">
        <f t="shared" si="123"/>
        <v/>
      </c>
      <c r="AC456" s="1" t="str">
        <f t="shared" si="124"/>
        <v/>
      </c>
      <c r="AD456" s="51">
        <f t="shared" si="121"/>
        <v>1</v>
      </c>
      <c r="AE456" t="str">
        <f t="shared" si="125"/>
        <v/>
      </c>
      <c r="AF456" t="str">
        <f t="shared" si="126"/>
        <v/>
      </c>
      <c r="AG456" t="str">
        <f t="shared" si="127"/>
        <v/>
      </c>
      <c r="AH456" t="str">
        <f t="shared" si="128"/>
        <v/>
      </c>
      <c r="AI456" t="str">
        <f t="shared" si="129"/>
        <v/>
      </c>
      <c r="AJ456" t="str">
        <f t="shared" si="130"/>
        <v/>
      </c>
      <c r="AK456" t="str">
        <f t="shared" si="131"/>
        <v/>
      </c>
      <c r="AL456" t="str">
        <f t="shared" si="132"/>
        <v/>
      </c>
      <c r="AN456" t="str">
        <f>IFERROR(ROUND(L456*(G456/$AW456)/VLOOKUP(F456,商品!$A$4:$D$67,4,FALSE),0),"")</f>
        <v/>
      </c>
      <c r="AO456" t="str">
        <f>IFERROR(ROUND(L456*(I456/$AW456)/VLOOKUP(H456,商品!$A$4:$D$67,4,FALSE),0),"")</f>
        <v/>
      </c>
      <c r="AP456" t="str">
        <f>IFERROR(ROUND(L456*(K456/$AW456)/VLOOKUP(J456,商品!$A$4:$D$67,4,FALSE),0),"")</f>
        <v/>
      </c>
      <c r="AQ456" t="str">
        <f>IFERROR(ROUND(S456*(N456/$AX456)/VLOOKUP(M456,职业!$A$3:$E$16,4,FALSE),0),"")</f>
        <v/>
      </c>
      <c r="AR456" t="str">
        <f>IFERROR(ROUND(S456*(P456/$AX456)/VLOOKUP(O456,职业!$A$3:$E$16,4,FALSE),0),"")</f>
        <v/>
      </c>
      <c r="AS456" t="str">
        <f>IFERROR(ROUND(S456*(R456/$AX456)/VLOOKUP(Q456,职业!$A$3:$E$16,4,FALSE),0),"")</f>
        <v/>
      </c>
      <c r="AT456" t="str">
        <f>IFERROR(ROUND(X456*(U456/$AY456)/VLOOKUP(T456,商品!$A$4:$D$67,4,FALSE),0),"")</f>
        <v/>
      </c>
      <c r="AU456" t="str">
        <f>IFERROR(ROUND(X456*(W456/$AY456)/VLOOKUP(V456,商品!$A$4:$D$67,4,FALSE),0),"")</f>
        <v/>
      </c>
      <c r="AW456">
        <f t="shared" si="133"/>
        <v>0</v>
      </c>
      <c r="AX456">
        <f t="shared" si="134"/>
        <v>0</v>
      </c>
      <c r="AY456">
        <f t="shared" si="135"/>
        <v>0</v>
      </c>
    </row>
    <row r="457" customHeight="1" spans="1:51">
      <c r="A457" s="5" t="s">
        <v>368</v>
      </c>
      <c r="C457" s="5">
        <v>2</v>
      </c>
      <c r="D457" s="1" t="s">
        <v>291</v>
      </c>
      <c r="E457" s="1" t="s">
        <v>225</v>
      </c>
      <c r="L457" s="5">
        <f>IFERROR(VLOOKUP($D457&amp;$C457,生产方式定位!$A$2:$E$38,2,FALSE)+VLOOKUP($E457&amp;$C457,生产方式定位!$F$3:$J$38,2,FALSE),0)</f>
        <v>0</v>
      </c>
      <c r="S457" s="5">
        <f>IFERROR(VLOOKUP($D457&amp;$C457,生产方式定位!$A$2:$E$38,3,FALSE)+VLOOKUP($E457&amp;$C457,生产方式定位!$F$3:$J$38,3,FALSE),0)</f>
        <v>100</v>
      </c>
      <c r="X457" s="5">
        <f>IFERROR(VLOOKUP($D457&amp;$C457,生产方式定位!$A$2:$E$38,5,FALSE)+VLOOKUP($E457&amp;$C457,生产方式定位!$F$3:$J$38,5,FALSE),"错误")</f>
        <v>100</v>
      </c>
      <c r="Y457" s="27" t="str">
        <f t="shared" si="119"/>
        <v/>
      </c>
      <c r="Z457" s="50" t="str">
        <f t="shared" si="122"/>
        <v/>
      </c>
      <c r="AA457" s="50" t="str">
        <f t="shared" si="120"/>
        <v/>
      </c>
      <c r="AB457" s="28" t="str">
        <f t="shared" si="123"/>
        <v/>
      </c>
      <c r="AC457" s="1" t="str">
        <f t="shared" si="124"/>
        <v/>
      </c>
      <c r="AD457" s="51">
        <f t="shared" si="121"/>
        <v>2</v>
      </c>
      <c r="AE457" t="str">
        <f t="shared" si="125"/>
        <v/>
      </c>
      <c r="AF457" t="str">
        <f t="shared" si="126"/>
        <v/>
      </c>
      <c r="AG457" t="str">
        <f t="shared" si="127"/>
        <v/>
      </c>
      <c r="AH457" t="str">
        <f t="shared" si="128"/>
        <v/>
      </c>
      <c r="AI457" t="str">
        <f t="shared" si="129"/>
        <v/>
      </c>
      <c r="AJ457" t="str">
        <f t="shared" si="130"/>
        <v/>
      </c>
      <c r="AK457" t="str">
        <f t="shared" si="131"/>
        <v/>
      </c>
      <c r="AL457" t="str">
        <f t="shared" si="132"/>
        <v/>
      </c>
      <c r="AN457" t="str">
        <f>IFERROR(ROUND(L457*(G457/$AW457)/VLOOKUP(F457,商品!$A$4:$D$67,4,FALSE),0),"")</f>
        <v/>
      </c>
      <c r="AO457" t="str">
        <f>IFERROR(ROUND(L457*(I457/$AW457)/VLOOKUP(H457,商品!$A$4:$D$67,4,FALSE),0),"")</f>
        <v/>
      </c>
      <c r="AP457" t="str">
        <f>IFERROR(ROUND(L457*(K457/$AW457)/VLOOKUP(J457,商品!$A$4:$D$67,4,FALSE),0),"")</f>
        <v/>
      </c>
      <c r="AQ457" t="str">
        <f>IFERROR(ROUND(S457*(N457/$AX457)/VLOOKUP(M457,职业!$A$3:$E$16,4,FALSE),0),"")</f>
        <v/>
      </c>
      <c r="AR457" t="str">
        <f>IFERROR(ROUND(S457*(P457/$AX457)/VLOOKUP(O457,职业!$A$3:$E$16,4,FALSE),0),"")</f>
        <v/>
      </c>
      <c r="AS457" t="str">
        <f>IFERROR(ROUND(S457*(R457/$AX457)/VLOOKUP(Q457,职业!$A$3:$E$16,4,FALSE),0),"")</f>
        <v/>
      </c>
      <c r="AT457" t="str">
        <f>IFERROR(ROUND(X457*(U457/$AY457)/VLOOKUP(T457,商品!$A$4:$D$67,4,FALSE),0),"")</f>
        <v/>
      </c>
      <c r="AU457" t="str">
        <f>IFERROR(ROUND(X457*(W457/$AY457)/VLOOKUP(V457,商品!$A$4:$D$67,4,FALSE),0),"")</f>
        <v/>
      </c>
      <c r="AW457">
        <f t="shared" si="133"/>
        <v>0</v>
      </c>
      <c r="AX457">
        <f t="shared" si="134"/>
        <v>0</v>
      </c>
      <c r="AY457">
        <f t="shared" si="135"/>
        <v>0</v>
      </c>
    </row>
    <row r="458" customHeight="1" spans="1:51">
      <c r="A458" s="5" t="s">
        <v>368</v>
      </c>
      <c r="C458" s="5">
        <v>3</v>
      </c>
      <c r="D458" s="1" t="s">
        <v>291</v>
      </c>
      <c r="E458" s="1" t="s">
        <v>225</v>
      </c>
      <c r="L458" s="5">
        <f>IFERROR(VLOOKUP($D458&amp;$C458,生产方式定位!$A$2:$E$38,2,FALSE)+VLOOKUP($E458&amp;$C458,生产方式定位!$F$3:$J$38,2,FALSE),0)</f>
        <v>0</v>
      </c>
      <c r="S458" s="5">
        <f>IFERROR(VLOOKUP($D458&amp;$C458,生产方式定位!$A$2:$E$38,3,FALSE)+VLOOKUP($E458&amp;$C458,生产方式定位!$F$3:$J$38,3,FALSE),0)</f>
        <v>100</v>
      </c>
      <c r="X458" s="5">
        <f>IFERROR(VLOOKUP($D458&amp;$C458,生产方式定位!$A$2:$E$38,5,FALSE)+VLOOKUP($E458&amp;$C458,生产方式定位!$F$3:$J$38,5,FALSE),"错误")</f>
        <v>100</v>
      </c>
      <c r="Y458" s="27" t="str">
        <f t="shared" si="119"/>
        <v/>
      </c>
      <c r="Z458" s="50" t="str">
        <f t="shared" si="122"/>
        <v/>
      </c>
      <c r="AA458" s="50" t="str">
        <f t="shared" si="120"/>
        <v/>
      </c>
      <c r="AB458" s="28" t="str">
        <f t="shared" si="123"/>
        <v/>
      </c>
      <c r="AC458" s="1" t="str">
        <f t="shared" si="124"/>
        <v/>
      </c>
      <c r="AD458" s="51">
        <f t="shared" si="121"/>
        <v>3</v>
      </c>
      <c r="AE458" t="str">
        <f t="shared" si="125"/>
        <v/>
      </c>
      <c r="AF458" t="str">
        <f t="shared" si="126"/>
        <v/>
      </c>
      <c r="AG458" t="str">
        <f t="shared" si="127"/>
        <v/>
      </c>
      <c r="AH458" t="str">
        <f t="shared" si="128"/>
        <v/>
      </c>
      <c r="AI458" t="str">
        <f t="shared" si="129"/>
        <v/>
      </c>
      <c r="AJ458" t="str">
        <f t="shared" si="130"/>
        <v/>
      </c>
      <c r="AK458" t="str">
        <f t="shared" si="131"/>
        <v/>
      </c>
      <c r="AL458" t="str">
        <f t="shared" si="132"/>
        <v/>
      </c>
      <c r="AN458" t="str">
        <f>IFERROR(ROUND(L458*(G458/$AW458)/VLOOKUP(F458,商品!$A$4:$D$67,4,FALSE),0),"")</f>
        <v/>
      </c>
      <c r="AO458" t="str">
        <f>IFERROR(ROUND(L458*(I458/$AW458)/VLOOKUP(H458,商品!$A$4:$D$67,4,FALSE),0),"")</f>
        <v/>
      </c>
      <c r="AP458" t="str">
        <f>IFERROR(ROUND(L458*(K458/$AW458)/VLOOKUP(J458,商品!$A$4:$D$67,4,FALSE),0),"")</f>
        <v/>
      </c>
      <c r="AQ458" t="str">
        <f>IFERROR(ROUND(S458*(N458/$AX458)/VLOOKUP(M458,职业!$A$3:$E$16,4,FALSE),0),"")</f>
        <v/>
      </c>
      <c r="AR458" t="str">
        <f>IFERROR(ROUND(S458*(P458/$AX458)/VLOOKUP(O458,职业!$A$3:$E$16,4,FALSE),0),"")</f>
        <v/>
      </c>
      <c r="AS458" t="str">
        <f>IFERROR(ROUND(S458*(R458/$AX458)/VLOOKUP(Q458,职业!$A$3:$E$16,4,FALSE),0),"")</f>
        <v/>
      </c>
      <c r="AT458" t="str">
        <f>IFERROR(ROUND(X458*(U458/$AY458)/VLOOKUP(T458,商品!$A$4:$D$67,4,FALSE),0),"")</f>
        <v/>
      </c>
      <c r="AU458" t="str">
        <f>IFERROR(ROUND(X458*(W458/$AY458)/VLOOKUP(V458,商品!$A$4:$D$67,4,FALSE),0),"")</f>
        <v/>
      </c>
      <c r="AW458">
        <f t="shared" si="133"/>
        <v>0</v>
      </c>
      <c r="AX458">
        <f t="shared" si="134"/>
        <v>0</v>
      </c>
      <c r="AY458">
        <f t="shared" si="135"/>
        <v>0</v>
      </c>
    </row>
    <row r="459" customHeight="1" spans="1:51">
      <c r="A459" s="5" t="s">
        <v>368</v>
      </c>
      <c r="C459" s="5">
        <v>4</v>
      </c>
      <c r="D459" s="1" t="s">
        <v>291</v>
      </c>
      <c r="E459" s="1" t="s">
        <v>225</v>
      </c>
      <c r="L459" s="5">
        <f>IFERROR(VLOOKUP($D459&amp;$C459,生产方式定位!$A$2:$E$38,2,FALSE)+VLOOKUP($E459&amp;$C459,生产方式定位!$F$3:$J$38,2,FALSE),0)</f>
        <v>0</v>
      </c>
      <c r="S459" s="5">
        <f>IFERROR(VLOOKUP($D459&amp;$C459,生产方式定位!$A$2:$E$38,3,FALSE)+VLOOKUP($E459&amp;$C459,生产方式定位!$F$3:$J$38,3,FALSE),0)</f>
        <v>100</v>
      </c>
      <c r="X459" s="5">
        <f>IFERROR(VLOOKUP($D459&amp;$C459,生产方式定位!$A$2:$E$38,5,FALSE)+VLOOKUP($E459&amp;$C459,生产方式定位!$F$3:$J$38,5,FALSE),"错误")</f>
        <v>100</v>
      </c>
      <c r="Y459" s="27" t="str">
        <f t="shared" si="119"/>
        <v/>
      </c>
      <c r="Z459" s="50" t="str">
        <f t="shared" si="122"/>
        <v/>
      </c>
      <c r="AA459" s="50" t="str">
        <f t="shared" si="120"/>
        <v/>
      </c>
      <c r="AB459" s="28" t="str">
        <f t="shared" si="123"/>
        <v/>
      </c>
      <c r="AC459" s="1" t="str">
        <f t="shared" si="124"/>
        <v/>
      </c>
      <c r="AD459" s="51">
        <f t="shared" si="121"/>
        <v>4</v>
      </c>
      <c r="AE459" t="str">
        <f t="shared" si="125"/>
        <v/>
      </c>
      <c r="AF459" t="str">
        <f t="shared" si="126"/>
        <v/>
      </c>
      <c r="AG459" t="str">
        <f t="shared" si="127"/>
        <v/>
      </c>
      <c r="AH459" t="str">
        <f t="shared" si="128"/>
        <v/>
      </c>
      <c r="AI459" t="str">
        <f t="shared" si="129"/>
        <v/>
      </c>
      <c r="AJ459" t="str">
        <f t="shared" si="130"/>
        <v/>
      </c>
      <c r="AK459" t="str">
        <f t="shared" si="131"/>
        <v/>
      </c>
      <c r="AL459" t="str">
        <f t="shared" si="132"/>
        <v/>
      </c>
      <c r="AN459" t="str">
        <f>IFERROR(ROUND(L459*(G459/$AW459)/VLOOKUP(F459,商品!$A$4:$D$67,4,FALSE),0),"")</f>
        <v/>
      </c>
      <c r="AO459" t="str">
        <f>IFERROR(ROUND(L459*(I459/$AW459)/VLOOKUP(H459,商品!$A$4:$D$67,4,FALSE),0),"")</f>
        <v/>
      </c>
      <c r="AP459" t="str">
        <f>IFERROR(ROUND(L459*(K459/$AW459)/VLOOKUP(J459,商品!$A$4:$D$67,4,FALSE),0),"")</f>
        <v/>
      </c>
      <c r="AQ459" t="str">
        <f>IFERROR(ROUND(S459*(N459/$AX459)/VLOOKUP(M459,职业!$A$3:$E$16,4,FALSE),0),"")</f>
        <v/>
      </c>
      <c r="AR459" t="str">
        <f>IFERROR(ROUND(S459*(P459/$AX459)/VLOOKUP(O459,职业!$A$3:$E$16,4,FALSE),0),"")</f>
        <v/>
      </c>
      <c r="AS459" t="str">
        <f>IFERROR(ROUND(S459*(R459/$AX459)/VLOOKUP(Q459,职业!$A$3:$E$16,4,FALSE),0),"")</f>
        <v/>
      </c>
      <c r="AT459" t="str">
        <f>IFERROR(ROUND(X459*(U459/$AY459)/VLOOKUP(T459,商品!$A$4:$D$67,4,FALSE),0),"")</f>
        <v/>
      </c>
      <c r="AU459" t="str">
        <f>IFERROR(ROUND(X459*(W459/$AY459)/VLOOKUP(V459,商品!$A$4:$D$67,4,FALSE),0),"")</f>
        <v/>
      </c>
      <c r="AW459">
        <f t="shared" si="133"/>
        <v>0</v>
      </c>
      <c r="AX459">
        <f t="shared" si="134"/>
        <v>0</v>
      </c>
      <c r="AY459">
        <f t="shared" si="135"/>
        <v>0</v>
      </c>
    </row>
    <row r="460" customHeight="1" spans="1:51">
      <c r="A460" s="5" t="s">
        <v>368</v>
      </c>
      <c r="C460" s="5">
        <v>5</v>
      </c>
      <c r="D460" s="1" t="s">
        <v>291</v>
      </c>
      <c r="E460" s="1" t="s">
        <v>225</v>
      </c>
      <c r="L460" s="5">
        <f>IFERROR(VLOOKUP($D460&amp;$C460,生产方式定位!$A$2:$E$38,2,FALSE)+VLOOKUP($E460&amp;$C460,生产方式定位!$F$3:$J$38,2,FALSE),0)</f>
        <v>0</v>
      </c>
      <c r="S460" s="5">
        <f>IFERROR(VLOOKUP($D460&amp;$C460,生产方式定位!$A$2:$E$38,3,FALSE)+VLOOKUP($E460&amp;$C460,生产方式定位!$F$3:$J$38,3,FALSE),0)</f>
        <v>100</v>
      </c>
      <c r="X460" s="5">
        <f>IFERROR(VLOOKUP($D460&amp;$C460,生产方式定位!$A$2:$E$38,5,FALSE)+VLOOKUP($E460&amp;$C460,生产方式定位!$F$3:$J$38,5,FALSE),"错误")</f>
        <v>100</v>
      </c>
      <c r="Y460" s="27" t="str">
        <f t="shared" si="119"/>
        <v/>
      </c>
      <c r="Z460" s="50" t="str">
        <f t="shared" si="122"/>
        <v/>
      </c>
      <c r="AA460" s="50" t="str">
        <f t="shared" si="120"/>
        <v/>
      </c>
      <c r="AB460" s="28" t="str">
        <f t="shared" si="123"/>
        <v/>
      </c>
      <c r="AC460" s="1" t="str">
        <f t="shared" si="124"/>
        <v/>
      </c>
      <c r="AD460" s="51">
        <f t="shared" si="121"/>
        <v>5</v>
      </c>
      <c r="AE460" t="str">
        <f t="shared" si="125"/>
        <v/>
      </c>
      <c r="AF460" t="str">
        <f t="shared" si="126"/>
        <v/>
      </c>
      <c r="AG460" t="str">
        <f t="shared" si="127"/>
        <v/>
      </c>
      <c r="AH460" t="str">
        <f t="shared" si="128"/>
        <v/>
      </c>
      <c r="AI460" t="str">
        <f t="shared" si="129"/>
        <v/>
      </c>
      <c r="AJ460" t="str">
        <f t="shared" si="130"/>
        <v/>
      </c>
      <c r="AK460" t="str">
        <f t="shared" si="131"/>
        <v/>
      </c>
      <c r="AL460" t="str">
        <f t="shared" si="132"/>
        <v/>
      </c>
      <c r="AN460" t="str">
        <f>IFERROR(ROUND(L460*(G460/$AW460)/VLOOKUP(F460,商品!$A$4:$D$67,4,FALSE),0),"")</f>
        <v/>
      </c>
      <c r="AO460" t="str">
        <f>IFERROR(ROUND(L460*(I460/$AW460)/VLOOKUP(H460,商品!$A$4:$D$67,4,FALSE),0),"")</f>
        <v/>
      </c>
      <c r="AP460" t="str">
        <f>IFERROR(ROUND(L460*(K460/$AW460)/VLOOKUP(J460,商品!$A$4:$D$67,4,FALSE),0),"")</f>
        <v/>
      </c>
      <c r="AQ460" t="str">
        <f>IFERROR(ROUND(S460*(N460/$AX460)/VLOOKUP(M460,职业!$A$3:$E$16,4,FALSE),0),"")</f>
        <v/>
      </c>
      <c r="AR460" t="str">
        <f>IFERROR(ROUND(S460*(P460/$AX460)/VLOOKUP(O460,职业!$A$3:$E$16,4,FALSE),0),"")</f>
        <v/>
      </c>
      <c r="AS460" t="str">
        <f>IFERROR(ROUND(S460*(R460/$AX460)/VLOOKUP(Q460,职业!$A$3:$E$16,4,FALSE),0),"")</f>
        <v/>
      </c>
      <c r="AT460" t="str">
        <f>IFERROR(ROUND(X460*(U460/$AY460)/VLOOKUP(T460,商品!$A$4:$D$67,4,FALSE),0),"")</f>
        <v/>
      </c>
      <c r="AU460" t="str">
        <f>IFERROR(ROUND(X460*(W460/$AY460)/VLOOKUP(V460,商品!$A$4:$D$67,4,FALSE),0),"")</f>
        <v/>
      </c>
      <c r="AW460">
        <f t="shared" si="133"/>
        <v>0</v>
      </c>
      <c r="AX460">
        <f t="shared" si="134"/>
        <v>0</v>
      </c>
      <c r="AY460">
        <f t="shared" si="135"/>
        <v>0</v>
      </c>
    </row>
    <row r="461" customHeight="1" spans="1:51">
      <c r="A461" s="5" t="s">
        <v>368</v>
      </c>
      <c r="C461" s="5">
        <v>6</v>
      </c>
      <c r="D461" s="1" t="s">
        <v>291</v>
      </c>
      <c r="E461" s="1" t="s">
        <v>225</v>
      </c>
      <c r="L461" s="5">
        <f>IFERROR(VLOOKUP($D461&amp;$C461,生产方式定位!$A$2:$E$38,2,FALSE)+VLOOKUP($E461&amp;$C461,生产方式定位!$F$3:$J$38,2,FALSE),0)</f>
        <v>0</v>
      </c>
      <c r="S461" s="5">
        <f>IFERROR(VLOOKUP($D461&amp;$C461,生产方式定位!$A$2:$E$38,3,FALSE)+VLOOKUP($E461&amp;$C461,生产方式定位!$F$3:$J$38,3,FALSE),0)</f>
        <v>100</v>
      </c>
      <c r="X461" s="5">
        <f>IFERROR(VLOOKUP($D461&amp;$C461,生产方式定位!$A$2:$E$38,5,FALSE)+VLOOKUP($E461&amp;$C461,生产方式定位!$F$3:$J$38,5,FALSE),"错误")</f>
        <v>100</v>
      </c>
      <c r="Y461" s="27" t="str">
        <f t="shared" si="119"/>
        <v/>
      </c>
      <c r="Z461" s="50" t="str">
        <f t="shared" si="122"/>
        <v/>
      </c>
      <c r="AA461" s="50" t="str">
        <f t="shared" si="120"/>
        <v/>
      </c>
      <c r="AB461" s="28" t="str">
        <f t="shared" si="123"/>
        <v/>
      </c>
      <c r="AC461" s="1" t="str">
        <f t="shared" si="124"/>
        <v/>
      </c>
      <c r="AD461" s="51">
        <f t="shared" si="121"/>
        <v>6</v>
      </c>
      <c r="AE461" t="str">
        <f t="shared" si="125"/>
        <v/>
      </c>
      <c r="AF461" t="str">
        <f t="shared" si="126"/>
        <v/>
      </c>
      <c r="AG461" t="str">
        <f t="shared" si="127"/>
        <v/>
      </c>
      <c r="AH461" t="str">
        <f t="shared" si="128"/>
        <v/>
      </c>
      <c r="AI461" t="str">
        <f t="shared" si="129"/>
        <v/>
      </c>
      <c r="AJ461" t="str">
        <f t="shared" si="130"/>
        <v/>
      </c>
      <c r="AK461" t="str">
        <f t="shared" si="131"/>
        <v/>
      </c>
      <c r="AL461" t="str">
        <f t="shared" si="132"/>
        <v/>
      </c>
      <c r="AN461" t="str">
        <f>IFERROR(ROUND(L461*(G461/$AW461)/VLOOKUP(F461,商品!$A$4:$D$67,4,FALSE),0),"")</f>
        <v/>
      </c>
      <c r="AO461" t="str">
        <f>IFERROR(ROUND(L461*(I461/$AW461)/VLOOKUP(H461,商品!$A$4:$D$67,4,FALSE),0),"")</f>
        <v/>
      </c>
      <c r="AP461" t="str">
        <f>IFERROR(ROUND(L461*(K461/$AW461)/VLOOKUP(J461,商品!$A$4:$D$67,4,FALSE),0),"")</f>
        <v/>
      </c>
      <c r="AQ461" t="str">
        <f>IFERROR(ROUND(S461*(N461/$AX461)/VLOOKUP(M461,职业!$A$3:$E$16,4,FALSE),0),"")</f>
        <v/>
      </c>
      <c r="AR461" t="str">
        <f>IFERROR(ROUND(S461*(P461/$AX461)/VLOOKUP(O461,职业!$A$3:$E$16,4,FALSE),0),"")</f>
        <v/>
      </c>
      <c r="AS461" t="str">
        <f>IFERROR(ROUND(S461*(R461/$AX461)/VLOOKUP(Q461,职业!$A$3:$E$16,4,FALSE),0),"")</f>
        <v/>
      </c>
      <c r="AT461" t="str">
        <f>IFERROR(ROUND(X461*(U461/$AY461)/VLOOKUP(T461,商品!$A$4:$D$67,4,FALSE),0),"")</f>
        <v/>
      </c>
      <c r="AU461" t="str">
        <f>IFERROR(ROUND(X461*(W461/$AY461)/VLOOKUP(V461,商品!$A$4:$D$67,4,FALSE),0),"")</f>
        <v/>
      </c>
      <c r="AW461">
        <f t="shared" si="133"/>
        <v>0</v>
      </c>
      <c r="AX461">
        <f t="shared" si="134"/>
        <v>0</v>
      </c>
      <c r="AY461">
        <f t="shared" si="135"/>
        <v>0</v>
      </c>
    </row>
    <row r="462" customHeight="1" spans="1:51">
      <c r="A462" s="5" t="s">
        <v>368</v>
      </c>
      <c r="C462" s="5">
        <v>7</v>
      </c>
      <c r="D462" s="1" t="s">
        <v>291</v>
      </c>
      <c r="E462" s="1" t="s">
        <v>225</v>
      </c>
      <c r="L462" s="5">
        <f>IFERROR(VLOOKUP($D462&amp;$C462,生产方式定位!$A$2:$E$38,2,FALSE)+VLOOKUP($E462&amp;$C462,生产方式定位!$F$3:$J$38,2,FALSE),0)</f>
        <v>0</v>
      </c>
      <c r="S462" s="5">
        <f>IFERROR(VLOOKUP($D462&amp;$C462,生产方式定位!$A$2:$E$38,3,FALSE)+VLOOKUP($E462&amp;$C462,生产方式定位!$F$3:$J$38,3,FALSE),0)</f>
        <v>100</v>
      </c>
      <c r="X462" s="5">
        <f>IFERROR(VLOOKUP($D462&amp;$C462,生产方式定位!$A$2:$E$38,5,FALSE)+VLOOKUP($E462&amp;$C462,生产方式定位!$F$3:$J$38,5,FALSE),"错误")</f>
        <v>100</v>
      </c>
      <c r="Y462" s="27" t="str">
        <f t="shared" si="119"/>
        <v/>
      </c>
      <c r="Z462" s="50" t="str">
        <f t="shared" si="122"/>
        <v/>
      </c>
      <c r="AA462" s="50" t="str">
        <f t="shared" si="120"/>
        <v/>
      </c>
      <c r="AB462" s="28" t="str">
        <f t="shared" si="123"/>
        <v/>
      </c>
      <c r="AC462" s="1" t="str">
        <f t="shared" si="124"/>
        <v/>
      </c>
      <c r="AD462" s="51">
        <f t="shared" si="121"/>
        <v>7</v>
      </c>
      <c r="AE462" t="str">
        <f t="shared" si="125"/>
        <v/>
      </c>
      <c r="AF462" t="str">
        <f t="shared" si="126"/>
        <v/>
      </c>
      <c r="AG462" t="str">
        <f t="shared" si="127"/>
        <v/>
      </c>
      <c r="AH462" t="str">
        <f t="shared" si="128"/>
        <v/>
      </c>
      <c r="AI462" t="str">
        <f t="shared" si="129"/>
        <v/>
      </c>
      <c r="AJ462" t="str">
        <f t="shared" si="130"/>
        <v/>
      </c>
      <c r="AK462" t="str">
        <f t="shared" si="131"/>
        <v/>
      </c>
      <c r="AL462" t="str">
        <f t="shared" si="132"/>
        <v/>
      </c>
      <c r="AN462" t="str">
        <f>IFERROR(ROUND(L462*(G462/$AW462)/VLOOKUP(F462,商品!$A$4:$D$67,4,FALSE),0),"")</f>
        <v/>
      </c>
      <c r="AO462" t="str">
        <f>IFERROR(ROUND(L462*(I462/$AW462)/VLOOKUP(H462,商品!$A$4:$D$67,4,FALSE),0),"")</f>
        <v/>
      </c>
      <c r="AP462" t="str">
        <f>IFERROR(ROUND(L462*(K462/$AW462)/VLOOKUP(J462,商品!$A$4:$D$67,4,FALSE),0),"")</f>
        <v/>
      </c>
      <c r="AQ462" t="str">
        <f>IFERROR(ROUND(S462*(N462/$AX462)/VLOOKUP(M462,职业!$A$3:$E$16,4,FALSE),0),"")</f>
        <v/>
      </c>
      <c r="AR462" t="str">
        <f>IFERROR(ROUND(S462*(P462/$AX462)/VLOOKUP(O462,职业!$A$3:$E$16,4,FALSE),0),"")</f>
        <v/>
      </c>
      <c r="AS462" t="str">
        <f>IFERROR(ROUND(S462*(R462/$AX462)/VLOOKUP(Q462,职业!$A$3:$E$16,4,FALSE),0),"")</f>
        <v/>
      </c>
      <c r="AT462" t="str">
        <f>IFERROR(ROUND(X462*(U462/$AY462)/VLOOKUP(T462,商品!$A$4:$D$67,4,FALSE),0),"")</f>
        <v/>
      </c>
      <c r="AU462" t="str">
        <f>IFERROR(ROUND(X462*(W462/$AY462)/VLOOKUP(V462,商品!$A$4:$D$67,4,FALSE),0),"")</f>
        <v/>
      </c>
      <c r="AW462">
        <f t="shared" si="133"/>
        <v>0</v>
      </c>
      <c r="AX462">
        <f t="shared" si="134"/>
        <v>0</v>
      </c>
      <c r="AY462">
        <f t="shared" si="135"/>
        <v>0</v>
      </c>
    </row>
    <row r="463" customHeight="1" spans="1:51">
      <c r="A463" s="5" t="s">
        <v>368</v>
      </c>
      <c r="C463" s="5">
        <v>8</v>
      </c>
      <c r="D463" s="1" t="s">
        <v>291</v>
      </c>
      <c r="E463" s="1" t="s">
        <v>225</v>
      </c>
      <c r="L463" s="5">
        <f>IFERROR(VLOOKUP($D463&amp;$C463,生产方式定位!$A$2:$E$38,2,FALSE)+VLOOKUP($E463&amp;$C463,生产方式定位!$F$3:$J$38,2,FALSE),0)</f>
        <v>0</v>
      </c>
      <c r="S463" s="5">
        <f>IFERROR(VLOOKUP($D463&amp;$C463,生产方式定位!$A$2:$E$38,3,FALSE)+VLOOKUP($E463&amp;$C463,生产方式定位!$F$3:$J$38,3,FALSE),0)</f>
        <v>100</v>
      </c>
      <c r="X463" s="5">
        <f>IFERROR(VLOOKUP($D463&amp;$C463,生产方式定位!$A$2:$E$38,5,FALSE)+VLOOKUP($E463&amp;$C463,生产方式定位!$F$3:$J$38,5,FALSE),"错误")</f>
        <v>100</v>
      </c>
      <c r="Y463" s="27" t="str">
        <f t="shared" si="119"/>
        <v/>
      </c>
      <c r="Z463" s="50" t="str">
        <f t="shared" si="122"/>
        <v/>
      </c>
      <c r="AA463" s="50" t="str">
        <f t="shared" si="120"/>
        <v/>
      </c>
      <c r="AB463" s="28" t="str">
        <f t="shared" si="123"/>
        <v/>
      </c>
      <c r="AC463" s="1" t="str">
        <f t="shared" si="124"/>
        <v/>
      </c>
      <c r="AD463" s="51">
        <f t="shared" si="121"/>
        <v>8</v>
      </c>
      <c r="AE463" t="str">
        <f t="shared" si="125"/>
        <v/>
      </c>
      <c r="AF463" t="str">
        <f t="shared" si="126"/>
        <v/>
      </c>
      <c r="AG463" t="str">
        <f t="shared" si="127"/>
        <v/>
      </c>
      <c r="AH463" t="str">
        <f t="shared" si="128"/>
        <v/>
      </c>
      <c r="AI463" t="str">
        <f t="shared" si="129"/>
        <v/>
      </c>
      <c r="AJ463" t="str">
        <f t="shared" si="130"/>
        <v/>
      </c>
      <c r="AK463" t="str">
        <f t="shared" si="131"/>
        <v/>
      </c>
      <c r="AL463" t="str">
        <f t="shared" si="132"/>
        <v/>
      </c>
      <c r="AN463" t="str">
        <f>IFERROR(ROUND(L463*(G463/$AW463)/VLOOKUP(F463,商品!$A$4:$D$67,4,FALSE),0),"")</f>
        <v/>
      </c>
      <c r="AO463" t="str">
        <f>IFERROR(ROUND(L463*(I463/$AW463)/VLOOKUP(H463,商品!$A$4:$D$67,4,FALSE),0),"")</f>
        <v/>
      </c>
      <c r="AP463" t="str">
        <f>IFERROR(ROUND(L463*(K463/$AW463)/VLOOKUP(J463,商品!$A$4:$D$67,4,FALSE),0),"")</f>
        <v/>
      </c>
      <c r="AQ463" t="str">
        <f>IFERROR(ROUND(S463*(N463/$AX463)/VLOOKUP(M463,职业!$A$3:$E$16,4,FALSE),0),"")</f>
        <v/>
      </c>
      <c r="AR463" t="str">
        <f>IFERROR(ROUND(S463*(P463/$AX463)/VLOOKUP(O463,职业!$A$3:$E$16,4,FALSE),0),"")</f>
        <v/>
      </c>
      <c r="AS463" t="str">
        <f>IFERROR(ROUND(S463*(R463/$AX463)/VLOOKUP(Q463,职业!$A$3:$E$16,4,FALSE),0),"")</f>
        <v/>
      </c>
      <c r="AT463" t="str">
        <f>IFERROR(ROUND(X463*(U463/$AY463)/VLOOKUP(T463,商品!$A$4:$D$67,4,FALSE),0),"")</f>
        <v/>
      </c>
      <c r="AU463" t="str">
        <f>IFERROR(ROUND(X463*(W463/$AY463)/VLOOKUP(V463,商品!$A$4:$D$67,4,FALSE),0),"")</f>
        <v/>
      </c>
      <c r="AW463">
        <f t="shared" si="133"/>
        <v>0</v>
      </c>
      <c r="AX463">
        <f t="shared" si="134"/>
        <v>0</v>
      </c>
      <c r="AY463">
        <f t="shared" si="135"/>
        <v>0</v>
      </c>
    </row>
    <row r="464" customHeight="1" spans="1:51">
      <c r="A464" s="18" t="s">
        <v>370</v>
      </c>
      <c r="C464" s="18">
        <v>1</v>
      </c>
      <c r="D464" s="1" t="s">
        <v>238</v>
      </c>
      <c r="E464" s="1" t="s">
        <v>222</v>
      </c>
      <c r="L464" s="18">
        <f>IFERROR(VLOOKUP($D464&amp;$C464,生产方式定位!$A$2:$E$38,2,FALSE)+VLOOKUP($E464&amp;$C464,生产方式定位!$F$3:$J$38,2,FALSE),0)</f>
        <v>1000</v>
      </c>
      <c r="S464" s="18">
        <f>IFERROR(VLOOKUP($D464&amp;$C464,生产方式定位!$A$2:$E$38,3,FALSE)+VLOOKUP($E464&amp;$C464,生产方式定位!$F$3:$J$38,3,FALSE),0)</f>
        <v>80</v>
      </c>
      <c r="X464" s="18">
        <f>IFERROR(VLOOKUP($D464&amp;$C464,生产方式定位!$A$2:$E$38,5,FALSE)+VLOOKUP($E464&amp;$C464,生产方式定位!$F$3:$J$38,5,FALSE),"错误")</f>
        <v>972</v>
      </c>
      <c r="Y464" s="27" t="str">
        <f t="shared" si="119"/>
        <v/>
      </c>
      <c r="Z464" s="50" t="str">
        <f t="shared" si="122"/>
        <v/>
      </c>
      <c r="AA464" s="50" t="str">
        <f t="shared" si="120"/>
        <v/>
      </c>
      <c r="AB464" s="28" t="str">
        <f t="shared" si="123"/>
        <v>-3%</v>
      </c>
      <c r="AC464" s="1">
        <f t="shared" si="124"/>
        <v>-108</v>
      </c>
      <c r="AD464" s="52">
        <f t="shared" si="121"/>
        <v>1</v>
      </c>
      <c r="AE464" t="str">
        <f t="shared" si="125"/>
        <v/>
      </c>
      <c r="AF464" t="str">
        <f t="shared" si="126"/>
        <v/>
      </c>
      <c r="AG464" t="str">
        <f t="shared" si="127"/>
        <v/>
      </c>
      <c r="AH464" t="str">
        <f t="shared" si="128"/>
        <v/>
      </c>
      <c r="AI464" t="str">
        <f t="shared" si="129"/>
        <v/>
      </c>
      <c r="AJ464" t="str">
        <f t="shared" si="130"/>
        <v/>
      </c>
      <c r="AK464" t="str">
        <f t="shared" si="131"/>
        <v/>
      </c>
      <c r="AL464" t="str">
        <f t="shared" si="132"/>
        <v/>
      </c>
      <c r="AN464" t="str">
        <f>IFERROR(ROUND(L464*(G464/$AW464)/VLOOKUP(F464,商品!$A$4:$D$67,4,FALSE),0),"")</f>
        <v/>
      </c>
      <c r="AO464" t="str">
        <f>IFERROR(ROUND(L464*(I464/$AW464)/VLOOKUP(H464,商品!$A$4:$D$67,4,FALSE),0),"")</f>
        <v/>
      </c>
      <c r="AP464" t="str">
        <f>IFERROR(ROUND(L464*(K464/$AW464)/VLOOKUP(J464,商品!$A$4:$D$67,4,FALSE),0),"")</f>
        <v/>
      </c>
      <c r="AQ464" t="str">
        <f>IFERROR(ROUND(S464*(N464/$AX464)/VLOOKUP(M464,职业!$A$3:$E$16,4,FALSE),0),"")</f>
        <v/>
      </c>
      <c r="AR464" t="str">
        <f>IFERROR(ROUND(S464*(P464/$AX464)/VLOOKUP(O464,职业!$A$3:$E$16,4,FALSE),0),"")</f>
        <v/>
      </c>
      <c r="AS464" t="str">
        <f>IFERROR(ROUND(S464*(R464/$AX464)/VLOOKUP(Q464,职业!$A$3:$E$16,4,FALSE),0),"")</f>
        <v/>
      </c>
      <c r="AT464" t="str">
        <f>IFERROR(ROUND(X464*(U464/$AY464)/VLOOKUP(T464,商品!$A$4:$D$67,4,FALSE),0),"")</f>
        <v/>
      </c>
      <c r="AU464" t="str">
        <f>IFERROR(ROUND(X464*(W464/$AY464)/VLOOKUP(V464,商品!$A$4:$D$67,4,FALSE),0),"")</f>
        <v/>
      </c>
      <c r="AW464">
        <f t="shared" si="133"/>
        <v>0</v>
      </c>
      <c r="AX464">
        <f t="shared" si="134"/>
        <v>0</v>
      </c>
      <c r="AY464">
        <f t="shared" si="135"/>
        <v>0</v>
      </c>
    </row>
    <row r="465" customHeight="1" spans="1:51">
      <c r="A465" s="18" t="s">
        <v>370</v>
      </c>
      <c r="C465" s="18">
        <v>2</v>
      </c>
      <c r="D465" s="1" t="s">
        <v>238</v>
      </c>
      <c r="E465" s="1" t="s">
        <v>222</v>
      </c>
      <c r="L465" s="18">
        <f>IFERROR(VLOOKUP($D465&amp;$C465,生产方式定位!$A$2:$E$38,2,FALSE)+VLOOKUP($E465&amp;$C465,生产方式定位!$F$3:$J$38,2,FALSE),0)</f>
        <v>1400</v>
      </c>
      <c r="S465" s="18">
        <f>IFERROR(VLOOKUP($D465&amp;$C465,生产方式定位!$A$2:$E$38,3,FALSE)+VLOOKUP($E465&amp;$C465,生产方式定位!$F$3:$J$38,3,FALSE),0)</f>
        <v>85</v>
      </c>
      <c r="X465" s="18">
        <f>IFERROR(VLOOKUP($D465&amp;$C465,生产方式定位!$A$2:$E$38,5,FALSE)+VLOOKUP($E465&amp;$C465,生产方式定位!$F$3:$J$38,5,FALSE),"错误")</f>
        <v>1732</v>
      </c>
      <c r="Y465" s="27" t="str">
        <f t="shared" si="119"/>
        <v/>
      </c>
      <c r="Z465" s="50" t="str">
        <f t="shared" si="122"/>
        <v/>
      </c>
      <c r="AA465" s="50" t="str">
        <f t="shared" si="120"/>
        <v/>
      </c>
      <c r="AB465" s="28" t="str">
        <f t="shared" si="123"/>
        <v>24%</v>
      </c>
      <c r="AC465" s="1">
        <f t="shared" si="124"/>
        <v>247</v>
      </c>
      <c r="AD465" s="52">
        <f t="shared" si="121"/>
        <v>2</v>
      </c>
      <c r="AE465" t="str">
        <f t="shared" si="125"/>
        <v/>
      </c>
      <c r="AF465" t="str">
        <f t="shared" si="126"/>
        <v/>
      </c>
      <c r="AG465" t="str">
        <f t="shared" si="127"/>
        <v/>
      </c>
      <c r="AH465" t="str">
        <f t="shared" si="128"/>
        <v/>
      </c>
      <c r="AI465" t="str">
        <f t="shared" si="129"/>
        <v/>
      </c>
      <c r="AJ465" t="str">
        <f t="shared" si="130"/>
        <v/>
      </c>
      <c r="AK465" t="str">
        <f t="shared" si="131"/>
        <v/>
      </c>
      <c r="AL465" t="str">
        <f t="shared" si="132"/>
        <v/>
      </c>
      <c r="AN465" t="str">
        <f>IFERROR(ROUND(L465*(G465/$AW465)/VLOOKUP(F465,商品!$A$4:$D$67,4,FALSE),0),"")</f>
        <v/>
      </c>
      <c r="AO465" t="str">
        <f>IFERROR(ROUND(L465*(I465/$AW465)/VLOOKUP(H465,商品!$A$4:$D$67,4,FALSE),0),"")</f>
        <v/>
      </c>
      <c r="AP465" t="str">
        <f>IFERROR(ROUND(L465*(K465/$AW465)/VLOOKUP(J465,商品!$A$4:$D$67,4,FALSE),0),"")</f>
        <v/>
      </c>
      <c r="AQ465" t="str">
        <f>IFERROR(ROUND(S465*(N465/$AX465)/VLOOKUP(M465,职业!$A$3:$E$16,4,FALSE),0),"")</f>
        <v/>
      </c>
      <c r="AR465" t="str">
        <f>IFERROR(ROUND(S465*(P465/$AX465)/VLOOKUP(O465,职业!$A$3:$E$16,4,FALSE),0),"")</f>
        <v/>
      </c>
      <c r="AS465" t="str">
        <f>IFERROR(ROUND(S465*(R465/$AX465)/VLOOKUP(Q465,职业!$A$3:$E$16,4,FALSE),0),"")</f>
        <v/>
      </c>
      <c r="AT465" t="str">
        <f>IFERROR(ROUND(X465*(U465/$AY465)/VLOOKUP(T465,商品!$A$4:$D$67,4,FALSE),0),"")</f>
        <v/>
      </c>
      <c r="AU465" t="str">
        <f>IFERROR(ROUND(X465*(W465/$AY465)/VLOOKUP(V465,商品!$A$4:$D$67,4,FALSE),0),"")</f>
        <v/>
      </c>
      <c r="AW465">
        <f t="shared" si="133"/>
        <v>0</v>
      </c>
      <c r="AX465">
        <f t="shared" si="134"/>
        <v>0</v>
      </c>
      <c r="AY465">
        <f t="shared" si="135"/>
        <v>0</v>
      </c>
    </row>
    <row r="466" customHeight="1" spans="1:51">
      <c r="A466" s="18" t="s">
        <v>370</v>
      </c>
      <c r="C466" s="18">
        <v>3</v>
      </c>
      <c r="D466" s="1" t="s">
        <v>238</v>
      </c>
      <c r="E466" s="1" t="s">
        <v>222</v>
      </c>
      <c r="L466" s="18">
        <f>IFERROR(VLOOKUP($D466&amp;$C466,生产方式定位!$A$2:$E$38,2,FALSE)+VLOOKUP($E466&amp;$C466,生产方式定位!$F$3:$J$38,2,FALSE),0)</f>
        <v>1425</v>
      </c>
      <c r="S466" s="18">
        <f>IFERROR(VLOOKUP($D466&amp;$C466,生产方式定位!$A$2:$E$38,3,FALSE)+VLOOKUP($E466&amp;$C466,生产方式定位!$F$3:$J$38,3,FALSE),0)</f>
        <v>90</v>
      </c>
      <c r="X466" s="18">
        <f>IFERROR(VLOOKUP($D466&amp;$C466,生产方式定位!$A$2:$E$38,5,FALSE)+VLOOKUP($E466&amp;$C466,生产方式定位!$F$3:$J$38,5,FALSE),"错误")</f>
        <v>2112</v>
      </c>
      <c r="Y466" s="27" t="str">
        <f t="shared" si="119"/>
        <v/>
      </c>
      <c r="Z466" s="50" t="str">
        <f t="shared" si="122"/>
        <v/>
      </c>
      <c r="AA466" s="50" t="str">
        <f t="shared" si="120"/>
        <v/>
      </c>
      <c r="AB466" s="28" t="str">
        <f t="shared" si="123"/>
        <v>48%</v>
      </c>
      <c r="AC466" s="1">
        <f t="shared" si="124"/>
        <v>597</v>
      </c>
      <c r="AD466" s="52">
        <f t="shared" si="121"/>
        <v>3</v>
      </c>
      <c r="AE466" t="str">
        <f t="shared" si="125"/>
        <v/>
      </c>
      <c r="AF466" t="str">
        <f t="shared" si="126"/>
        <v/>
      </c>
      <c r="AG466" t="str">
        <f t="shared" si="127"/>
        <v/>
      </c>
      <c r="AH466" t="str">
        <f t="shared" si="128"/>
        <v/>
      </c>
      <c r="AI466" t="str">
        <f t="shared" si="129"/>
        <v/>
      </c>
      <c r="AJ466" t="str">
        <f t="shared" si="130"/>
        <v/>
      </c>
      <c r="AK466" t="str">
        <f t="shared" si="131"/>
        <v/>
      </c>
      <c r="AL466" t="str">
        <f t="shared" si="132"/>
        <v/>
      </c>
      <c r="AN466" t="str">
        <f>IFERROR(ROUND(L466*(G466/$AW466)/VLOOKUP(F466,商品!$A$4:$D$67,4,FALSE),0),"")</f>
        <v/>
      </c>
      <c r="AO466" t="str">
        <f>IFERROR(ROUND(L466*(I466/$AW466)/VLOOKUP(H466,商品!$A$4:$D$67,4,FALSE),0),"")</f>
        <v/>
      </c>
      <c r="AP466" t="str">
        <f>IFERROR(ROUND(L466*(K466/$AW466)/VLOOKUP(J466,商品!$A$4:$D$67,4,FALSE),0),"")</f>
        <v/>
      </c>
      <c r="AQ466" t="str">
        <f>IFERROR(ROUND(S466*(N466/$AX466)/VLOOKUP(M466,职业!$A$3:$E$16,4,FALSE),0),"")</f>
        <v/>
      </c>
      <c r="AR466" t="str">
        <f>IFERROR(ROUND(S466*(P466/$AX466)/VLOOKUP(O466,职业!$A$3:$E$16,4,FALSE),0),"")</f>
        <v/>
      </c>
      <c r="AS466" t="str">
        <f>IFERROR(ROUND(S466*(R466/$AX466)/VLOOKUP(Q466,职业!$A$3:$E$16,4,FALSE),0),"")</f>
        <v/>
      </c>
      <c r="AT466" t="str">
        <f>IFERROR(ROUND(X466*(U466/$AY466)/VLOOKUP(T466,商品!$A$4:$D$67,4,FALSE),0),"")</f>
        <v/>
      </c>
      <c r="AU466" t="str">
        <f>IFERROR(ROUND(X466*(W466/$AY466)/VLOOKUP(V466,商品!$A$4:$D$67,4,FALSE),0),"")</f>
        <v/>
      </c>
      <c r="AW466">
        <f t="shared" si="133"/>
        <v>0</v>
      </c>
      <c r="AX466">
        <f t="shared" si="134"/>
        <v>0</v>
      </c>
      <c r="AY466">
        <f t="shared" si="135"/>
        <v>0</v>
      </c>
    </row>
    <row r="467" customHeight="1" spans="1:51">
      <c r="A467" s="18" t="s">
        <v>370</v>
      </c>
      <c r="C467" s="18">
        <v>4</v>
      </c>
      <c r="D467" s="1" t="s">
        <v>238</v>
      </c>
      <c r="E467" s="1" t="s">
        <v>222</v>
      </c>
      <c r="L467" s="18">
        <f>IFERROR(VLOOKUP($D467&amp;$C467,生产方式定位!$A$2:$E$38,2,FALSE)+VLOOKUP($E467&amp;$C467,生产方式定位!$F$3:$J$38,2,FALSE),0)</f>
        <v>1450</v>
      </c>
      <c r="S467" s="18">
        <f>IFERROR(VLOOKUP($D467&amp;$C467,生产方式定位!$A$2:$E$38,3,FALSE)+VLOOKUP($E467&amp;$C467,生产方式定位!$F$3:$J$38,3,FALSE),0)</f>
        <v>95</v>
      </c>
      <c r="X467" s="18">
        <f>IFERROR(VLOOKUP($D467&amp;$C467,生产方式定位!$A$2:$E$38,5,FALSE)+VLOOKUP($E467&amp;$C467,生产方式定位!$F$3:$J$38,5,FALSE),"错误")</f>
        <v>2733</v>
      </c>
      <c r="Y467" s="27" t="str">
        <f t="shared" si="119"/>
        <v/>
      </c>
      <c r="Z467" s="50" t="str">
        <f t="shared" si="122"/>
        <v/>
      </c>
      <c r="AA467" s="50" t="str">
        <f t="shared" si="120"/>
        <v/>
      </c>
      <c r="AB467" s="28" t="str">
        <f t="shared" si="123"/>
        <v>88%</v>
      </c>
      <c r="AC467" s="1">
        <f t="shared" si="124"/>
        <v>1188</v>
      </c>
      <c r="AD467" s="52">
        <f t="shared" si="121"/>
        <v>4</v>
      </c>
      <c r="AE467" t="str">
        <f t="shared" si="125"/>
        <v/>
      </c>
      <c r="AF467" t="str">
        <f t="shared" si="126"/>
        <v/>
      </c>
      <c r="AG467" t="str">
        <f t="shared" si="127"/>
        <v/>
      </c>
      <c r="AH467" t="str">
        <f t="shared" si="128"/>
        <v/>
      </c>
      <c r="AI467" t="str">
        <f t="shared" si="129"/>
        <v/>
      </c>
      <c r="AJ467" t="str">
        <f t="shared" si="130"/>
        <v/>
      </c>
      <c r="AK467" t="str">
        <f t="shared" si="131"/>
        <v/>
      </c>
      <c r="AL467" t="str">
        <f t="shared" si="132"/>
        <v/>
      </c>
      <c r="AN467" t="str">
        <f>IFERROR(ROUND(L467*(G467/$AW467)/VLOOKUP(F467,商品!$A$4:$D$67,4,FALSE),0),"")</f>
        <v/>
      </c>
      <c r="AO467" t="str">
        <f>IFERROR(ROUND(L467*(I467/$AW467)/VLOOKUP(H467,商品!$A$4:$D$67,4,FALSE),0),"")</f>
        <v/>
      </c>
      <c r="AP467" t="str">
        <f>IFERROR(ROUND(L467*(K467/$AW467)/VLOOKUP(J467,商品!$A$4:$D$67,4,FALSE),0),"")</f>
        <v/>
      </c>
      <c r="AQ467" t="str">
        <f>IFERROR(ROUND(S467*(N467/$AX467)/VLOOKUP(M467,职业!$A$3:$E$16,4,FALSE),0),"")</f>
        <v/>
      </c>
      <c r="AR467" t="str">
        <f>IFERROR(ROUND(S467*(P467/$AX467)/VLOOKUP(O467,职业!$A$3:$E$16,4,FALSE),0),"")</f>
        <v/>
      </c>
      <c r="AS467" t="str">
        <f>IFERROR(ROUND(S467*(R467/$AX467)/VLOOKUP(Q467,职业!$A$3:$E$16,4,FALSE),0),"")</f>
        <v/>
      </c>
      <c r="AT467" t="str">
        <f>IFERROR(ROUND(X467*(U467/$AY467)/VLOOKUP(T467,商品!$A$4:$D$67,4,FALSE),0),"")</f>
        <v/>
      </c>
      <c r="AU467" t="str">
        <f>IFERROR(ROUND(X467*(W467/$AY467)/VLOOKUP(V467,商品!$A$4:$D$67,4,FALSE),0),"")</f>
        <v/>
      </c>
      <c r="AW467">
        <f t="shared" si="133"/>
        <v>0</v>
      </c>
      <c r="AX467">
        <f t="shared" si="134"/>
        <v>0</v>
      </c>
      <c r="AY467">
        <f t="shared" si="135"/>
        <v>0</v>
      </c>
    </row>
    <row r="468" customHeight="1" spans="1:51">
      <c r="A468" s="18" t="s">
        <v>370</v>
      </c>
      <c r="C468" s="18">
        <v>5</v>
      </c>
      <c r="D468" s="1" t="s">
        <v>238</v>
      </c>
      <c r="E468" s="1" t="s">
        <v>222</v>
      </c>
      <c r="L468" s="18">
        <f>IFERROR(VLOOKUP($D468&amp;$C468,生产方式定位!$A$2:$E$38,2,FALSE)+VLOOKUP($E468&amp;$C468,生产方式定位!$F$3:$J$38,2,FALSE),0)</f>
        <v>1475</v>
      </c>
      <c r="S468" s="18">
        <f>IFERROR(VLOOKUP($D468&amp;$C468,生产方式定位!$A$2:$E$38,3,FALSE)+VLOOKUP($E468&amp;$C468,生产方式定位!$F$3:$J$38,3,FALSE),0)</f>
        <v>100</v>
      </c>
      <c r="X468" s="18">
        <f>IFERROR(VLOOKUP($D468&amp;$C468,生产方式定位!$A$2:$E$38,5,FALSE)+VLOOKUP($E468&amp;$C468,生产方式定位!$F$3:$J$38,5,FALSE),"错误")</f>
        <v>3763</v>
      </c>
      <c r="Y468" s="27" t="str">
        <f t="shared" si="119"/>
        <v/>
      </c>
      <c r="Z468" s="50" t="str">
        <f t="shared" si="122"/>
        <v/>
      </c>
      <c r="AA468" s="50" t="str">
        <f t="shared" si="120"/>
        <v/>
      </c>
      <c r="AB468" s="28" t="str">
        <f t="shared" si="123"/>
        <v>155%</v>
      </c>
      <c r="AC468" s="1">
        <f t="shared" si="124"/>
        <v>2188</v>
      </c>
      <c r="AD468" s="52">
        <f t="shared" si="121"/>
        <v>5</v>
      </c>
      <c r="AE468" t="str">
        <f t="shared" si="125"/>
        <v/>
      </c>
      <c r="AF468" t="str">
        <f t="shared" si="126"/>
        <v/>
      </c>
      <c r="AG468" t="str">
        <f t="shared" si="127"/>
        <v/>
      </c>
      <c r="AH468" t="str">
        <f t="shared" si="128"/>
        <v/>
      </c>
      <c r="AI468" t="str">
        <f t="shared" si="129"/>
        <v/>
      </c>
      <c r="AJ468" t="str">
        <f t="shared" si="130"/>
        <v/>
      </c>
      <c r="AK468" t="str">
        <f t="shared" si="131"/>
        <v/>
      </c>
      <c r="AL468" t="str">
        <f t="shared" si="132"/>
        <v/>
      </c>
      <c r="AN468" t="str">
        <f>IFERROR(ROUND(L468*(G468/$AW468)/VLOOKUP(F468,商品!$A$4:$D$67,4,FALSE),0),"")</f>
        <v/>
      </c>
      <c r="AO468" t="str">
        <f>IFERROR(ROUND(L468*(I468/$AW468)/VLOOKUP(H468,商品!$A$4:$D$67,4,FALSE),0),"")</f>
        <v/>
      </c>
      <c r="AP468" t="str">
        <f>IFERROR(ROUND(L468*(K468/$AW468)/VLOOKUP(J468,商品!$A$4:$D$67,4,FALSE),0),"")</f>
        <v/>
      </c>
      <c r="AQ468" t="str">
        <f>IFERROR(ROUND(S468*(N468/$AX468)/VLOOKUP(M468,职业!$A$3:$E$16,4,FALSE),0),"")</f>
        <v/>
      </c>
      <c r="AR468" t="str">
        <f>IFERROR(ROUND(S468*(P468/$AX468)/VLOOKUP(O468,职业!$A$3:$E$16,4,FALSE),0),"")</f>
        <v/>
      </c>
      <c r="AS468" t="str">
        <f>IFERROR(ROUND(S468*(R468/$AX468)/VLOOKUP(Q468,职业!$A$3:$E$16,4,FALSE),0),"")</f>
        <v/>
      </c>
      <c r="AT468" t="str">
        <f>IFERROR(ROUND(X468*(U468/$AY468)/VLOOKUP(T468,商品!$A$4:$D$67,4,FALSE),0),"")</f>
        <v/>
      </c>
      <c r="AU468" t="str">
        <f>IFERROR(ROUND(X468*(W468/$AY468)/VLOOKUP(V468,商品!$A$4:$D$67,4,FALSE),0),"")</f>
        <v/>
      </c>
      <c r="AW468">
        <f t="shared" si="133"/>
        <v>0</v>
      </c>
      <c r="AX468">
        <f t="shared" si="134"/>
        <v>0</v>
      </c>
      <c r="AY468">
        <f t="shared" si="135"/>
        <v>0</v>
      </c>
    </row>
    <row r="469" customHeight="1" spans="1:51">
      <c r="A469" s="5" t="s">
        <v>371</v>
      </c>
      <c r="C469" s="5">
        <v>1</v>
      </c>
      <c r="D469" s="1" t="s">
        <v>238</v>
      </c>
      <c r="E469" s="1" t="s">
        <v>223</v>
      </c>
      <c r="L469" s="5">
        <f>IFERROR(VLOOKUP($D469&amp;$C469,生产方式定位!$A$2:$E$38,2,FALSE)+VLOOKUP($E469&amp;$C469,生产方式定位!$F$3:$J$38,2,FALSE),0)</f>
        <v>1000</v>
      </c>
      <c r="S469" s="5">
        <f>IFERROR(VLOOKUP($D469&amp;$C469,生产方式定位!$A$2:$E$38,3,FALSE)+VLOOKUP($E469&amp;$C469,生产方式定位!$F$3:$J$38,3,FALSE),0)</f>
        <v>80</v>
      </c>
      <c r="X469" s="5">
        <f>IFERROR(VLOOKUP($D469&amp;$C469,生产方式定位!$A$2:$E$38,5,FALSE)+VLOOKUP($E469&amp;$C469,生产方式定位!$F$3:$J$38,5,FALSE),"错误")</f>
        <v>972</v>
      </c>
      <c r="Y469" s="27" t="str">
        <f t="shared" si="119"/>
        <v/>
      </c>
      <c r="Z469" s="50" t="str">
        <f t="shared" si="122"/>
        <v/>
      </c>
      <c r="AA469" s="50" t="str">
        <f t="shared" si="120"/>
        <v/>
      </c>
      <c r="AB469" s="28" t="str">
        <f t="shared" si="123"/>
        <v>-3%</v>
      </c>
      <c r="AC469" s="1">
        <f t="shared" si="124"/>
        <v>-108</v>
      </c>
      <c r="AD469" s="51">
        <f t="shared" si="121"/>
        <v>1</v>
      </c>
      <c r="AE469" t="str">
        <f t="shared" si="125"/>
        <v/>
      </c>
      <c r="AF469" t="str">
        <f t="shared" si="126"/>
        <v/>
      </c>
      <c r="AG469" t="str">
        <f t="shared" si="127"/>
        <v/>
      </c>
      <c r="AH469" t="str">
        <f t="shared" si="128"/>
        <v/>
      </c>
      <c r="AI469" t="str">
        <f t="shared" si="129"/>
        <v/>
      </c>
      <c r="AJ469" t="str">
        <f t="shared" si="130"/>
        <v/>
      </c>
      <c r="AK469" t="str">
        <f t="shared" si="131"/>
        <v/>
      </c>
      <c r="AL469" t="str">
        <f t="shared" si="132"/>
        <v/>
      </c>
      <c r="AN469" t="str">
        <f>IFERROR(ROUND(L469*(G469/$AW469)/VLOOKUP(F469,商品!$A$4:$D$67,4,FALSE),0),"")</f>
        <v/>
      </c>
      <c r="AO469" t="str">
        <f>IFERROR(ROUND(L469*(I469/$AW469)/VLOOKUP(H469,商品!$A$4:$D$67,4,FALSE),0),"")</f>
        <v/>
      </c>
      <c r="AP469" t="str">
        <f>IFERROR(ROUND(L469*(K469/$AW469)/VLOOKUP(J469,商品!$A$4:$D$67,4,FALSE),0),"")</f>
        <v/>
      </c>
      <c r="AQ469" t="str">
        <f>IFERROR(ROUND(S469*(N469/$AX469)/VLOOKUP(M469,职业!$A$3:$E$16,4,FALSE),0),"")</f>
        <v/>
      </c>
      <c r="AR469" t="str">
        <f>IFERROR(ROUND(S469*(P469/$AX469)/VLOOKUP(O469,职业!$A$3:$E$16,4,FALSE),0),"")</f>
        <v/>
      </c>
      <c r="AS469" t="str">
        <f>IFERROR(ROUND(S469*(R469/$AX469)/VLOOKUP(Q469,职业!$A$3:$E$16,4,FALSE),0),"")</f>
        <v/>
      </c>
      <c r="AT469" t="str">
        <f>IFERROR(ROUND(X469*(U469/$AY469)/VLOOKUP(T469,商品!$A$4:$D$67,4,FALSE),0),"")</f>
        <v/>
      </c>
      <c r="AU469" t="str">
        <f>IFERROR(ROUND(X469*(W469/$AY469)/VLOOKUP(V469,商品!$A$4:$D$67,4,FALSE),0),"")</f>
        <v/>
      </c>
      <c r="AW469">
        <f t="shared" si="133"/>
        <v>0</v>
      </c>
      <c r="AX469">
        <f t="shared" si="134"/>
        <v>0</v>
      </c>
      <c r="AY469">
        <f t="shared" si="135"/>
        <v>0</v>
      </c>
    </row>
    <row r="470" customHeight="1" spans="1:51">
      <c r="A470" s="5" t="s">
        <v>371</v>
      </c>
      <c r="C470" s="5">
        <v>2</v>
      </c>
      <c r="D470" s="1" t="s">
        <v>238</v>
      </c>
      <c r="E470" s="1" t="s">
        <v>223</v>
      </c>
      <c r="L470" s="5">
        <f>IFERROR(VLOOKUP($D470&amp;$C470,生产方式定位!$A$2:$E$38,2,FALSE)+VLOOKUP($E470&amp;$C470,生产方式定位!$F$3:$J$38,2,FALSE),0)</f>
        <v>1300</v>
      </c>
      <c r="S470" s="5">
        <f>IFERROR(VLOOKUP($D470&amp;$C470,生产方式定位!$A$2:$E$38,3,FALSE)+VLOOKUP($E470&amp;$C470,生产方式定位!$F$3:$J$38,3,FALSE),0)</f>
        <v>95</v>
      </c>
      <c r="X470" s="5">
        <f>IFERROR(VLOOKUP($D470&amp;$C470,生产方式定位!$A$2:$E$38,5,FALSE)+VLOOKUP($E470&amp;$C470,生产方式定位!$F$3:$J$38,5,FALSE),"错误")</f>
        <v>1633</v>
      </c>
      <c r="Y470" s="27" t="str">
        <f t="shared" si="119"/>
        <v/>
      </c>
      <c r="Z470" s="50" t="str">
        <f t="shared" si="122"/>
        <v/>
      </c>
      <c r="AA470" s="50" t="str">
        <f t="shared" si="120"/>
        <v/>
      </c>
      <c r="AB470" s="28" t="str">
        <f t="shared" si="123"/>
        <v>26%</v>
      </c>
      <c r="AC470" s="1">
        <f t="shared" si="124"/>
        <v>238</v>
      </c>
      <c r="AD470" s="51">
        <f t="shared" si="121"/>
        <v>2</v>
      </c>
      <c r="AE470" t="str">
        <f t="shared" si="125"/>
        <v/>
      </c>
      <c r="AF470" t="str">
        <f t="shared" si="126"/>
        <v/>
      </c>
      <c r="AG470" t="str">
        <f t="shared" si="127"/>
        <v/>
      </c>
      <c r="AH470" t="str">
        <f t="shared" si="128"/>
        <v/>
      </c>
      <c r="AI470" t="str">
        <f t="shared" si="129"/>
        <v/>
      </c>
      <c r="AJ470" t="str">
        <f t="shared" si="130"/>
        <v/>
      </c>
      <c r="AK470" t="str">
        <f t="shared" si="131"/>
        <v/>
      </c>
      <c r="AL470" t="str">
        <f t="shared" si="132"/>
        <v/>
      </c>
      <c r="AN470" t="str">
        <f>IFERROR(ROUND(L470*(G470/$AW470)/VLOOKUP(F470,商品!$A$4:$D$67,4,FALSE),0),"")</f>
        <v/>
      </c>
      <c r="AO470" t="str">
        <f>IFERROR(ROUND(L470*(I470/$AW470)/VLOOKUP(H470,商品!$A$4:$D$67,4,FALSE),0),"")</f>
        <v/>
      </c>
      <c r="AP470" t="str">
        <f>IFERROR(ROUND(L470*(K470/$AW470)/VLOOKUP(J470,商品!$A$4:$D$67,4,FALSE),0),"")</f>
        <v/>
      </c>
      <c r="AQ470" t="str">
        <f>IFERROR(ROUND(S470*(N470/$AX470)/VLOOKUP(M470,职业!$A$3:$E$16,4,FALSE),0),"")</f>
        <v/>
      </c>
      <c r="AR470" t="str">
        <f>IFERROR(ROUND(S470*(P470/$AX470)/VLOOKUP(O470,职业!$A$3:$E$16,4,FALSE),0),"")</f>
        <v/>
      </c>
      <c r="AS470" t="str">
        <f>IFERROR(ROUND(S470*(R470/$AX470)/VLOOKUP(Q470,职业!$A$3:$E$16,4,FALSE),0),"")</f>
        <v/>
      </c>
      <c r="AT470" t="str">
        <f>IFERROR(ROUND(X470*(U470/$AY470)/VLOOKUP(T470,商品!$A$4:$D$67,4,FALSE),0),"")</f>
        <v/>
      </c>
      <c r="AU470" t="str">
        <f>IFERROR(ROUND(X470*(W470/$AY470)/VLOOKUP(V470,商品!$A$4:$D$67,4,FALSE),0),"")</f>
        <v/>
      </c>
      <c r="AW470">
        <f t="shared" si="133"/>
        <v>0</v>
      </c>
      <c r="AX470">
        <f t="shared" si="134"/>
        <v>0</v>
      </c>
      <c r="AY470">
        <f t="shared" si="135"/>
        <v>0</v>
      </c>
    </row>
    <row r="471" customHeight="1" spans="1:51">
      <c r="A471" s="5" t="s">
        <v>371</v>
      </c>
      <c r="C471" s="5">
        <v>3</v>
      </c>
      <c r="D471" s="1" t="s">
        <v>238</v>
      </c>
      <c r="E471" s="1" t="s">
        <v>223</v>
      </c>
      <c r="L471" s="5">
        <f>IFERROR(VLOOKUP($D471&amp;$C471,生产方式定位!$A$2:$E$38,2,FALSE)+VLOOKUP($E471&amp;$C471,生产方式定位!$F$3:$J$38,2,FALSE),0)</f>
        <v>1300</v>
      </c>
      <c r="S471" s="5">
        <f>IFERROR(VLOOKUP($D471&amp;$C471,生产方式定位!$A$2:$E$38,3,FALSE)+VLOOKUP($E471&amp;$C471,生产方式定位!$F$3:$J$38,3,FALSE),0)</f>
        <v>105</v>
      </c>
      <c r="X471" s="5">
        <f>IFERROR(VLOOKUP($D471&amp;$C471,生产方式定位!$A$2:$E$38,5,FALSE)+VLOOKUP($E471&amp;$C471,生产方式定位!$F$3:$J$38,5,FALSE),"错误")</f>
        <v>1991</v>
      </c>
      <c r="Y471" s="27" t="str">
        <f t="shared" si="119"/>
        <v/>
      </c>
      <c r="Z471" s="50" t="str">
        <f t="shared" si="122"/>
        <v/>
      </c>
      <c r="AA471" s="50" t="str">
        <f t="shared" si="120"/>
        <v/>
      </c>
      <c r="AB471" s="28" t="str">
        <f t="shared" si="123"/>
        <v>53%</v>
      </c>
      <c r="AC471" s="1">
        <f t="shared" si="124"/>
        <v>586</v>
      </c>
      <c r="AD471" s="51">
        <f t="shared" si="121"/>
        <v>3</v>
      </c>
      <c r="AE471" t="str">
        <f t="shared" si="125"/>
        <v/>
      </c>
      <c r="AF471" t="str">
        <f t="shared" si="126"/>
        <v/>
      </c>
      <c r="AG471" t="str">
        <f t="shared" si="127"/>
        <v/>
      </c>
      <c r="AH471" t="str">
        <f t="shared" si="128"/>
        <v/>
      </c>
      <c r="AI471" t="str">
        <f t="shared" si="129"/>
        <v/>
      </c>
      <c r="AJ471" t="str">
        <f t="shared" si="130"/>
        <v/>
      </c>
      <c r="AK471" t="str">
        <f t="shared" si="131"/>
        <v/>
      </c>
      <c r="AL471" t="str">
        <f t="shared" si="132"/>
        <v/>
      </c>
      <c r="AN471" t="str">
        <f>IFERROR(ROUND(L471*(G471/$AW471)/VLOOKUP(F471,商品!$A$4:$D$67,4,FALSE),0),"")</f>
        <v/>
      </c>
      <c r="AO471" t="str">
        <f>IFERROR(ROUND(L471*(I471/$AW471)/VLOOKUP(H471,商品!$A$4:$D$67,4,FALSE),0),"")</f>
        <v/>
      </c>
      <c r="AP471" t="str">
        <f>IFERROR(ROUND(L471*(K471/$AW471)/VLOOKUP(J471,商品!$A$4:$D$67,4,FALSE),0),"")</f>
        <v/>
      </c>
      <c r="AQ471" t="str">
        <f>IFERROR(ROUND(S471*(N471/$AX471)/VLOOKUP(M471,职业!$A$3:$E$16,4,FALSE),0),"")</f>
        <v/>
      </c>
      <c r="AR471" t="str">
        <f>IFERROR(ROUND(S471*(P471/$AX471)/VLOOKUP(O471,职业!$A$3:$E$16,4,FALSE),0),"")</f>
        <v/>
      </c>
      <c r="AS471" t="str">
        <f>IFERROR(ROUND(S471*(R471/$AX471)/VLOOKUP(Q471,职业!$A$3:$E$16,4,FALSE),0),"")</f>
        <v/>
      </c>
      <c r="AT471" t="str">
        <f>IFERROR(ROUND(X471*(U471/$AY471)/VLOOKUP(T471,商品!$A$4:$D$67,4,FALSE),0),"")</f>
        <v/>
      </c>
      <c r="AU471" t="str">
        <f>IFERROR(ROUND(X471*(W471/$AY471)/VLOOKUP(V471,商品!$A$4:$D$67,4,FALSE),0),"")</f>
        <v/>
      </c>
      <c r="AW471">
        <f t="shared" si="133"/>
        <v>0</v>
      </c>
      <c r="AX471">
        <f t="shared" si="134"/>
        <v>0</v>
      </c>
      <c r="AY471">
        <f t="shared" si="135"/>
        <v>0</v>
      </c>
    </row>
    <row r="472" customHeight="1" spans="1:51">
      <c r="A472" s="5" t="s">
        <v>371</v>
      </c>
      <c r="C472" s="5">
        <v>4</v>
      </c>
      <c r="D472" s="1" t="s">
        <v>238</v>
      </c>
      <c r="E472" s="1" t="s">
        <v>223</v>
      </c>
      <c r="L472" s="5">
        <f>IFERROR(VLOOKUP($D472&amp;$C472,生产方式定位!$A$2:$E$38,2,FALSE)+VLOOKUP($E472&amp;$C472,生产方式定位!$F$3:$J$38,2,FALSE),0)</f>
        <v>1300</v>
      </c>
      <c r="S472" s="5">
        <f>IFERROR(VLOOKUP($D472&amp;$C472,生产方式定位!$A$2:$E$38,3,FALSE)+VLOOKUP($E472&amp;$C472,生产方式定位!$F$3:$J$38,3,FALSE),0)</f>
        <v>115</v>
      </c>
      <c r="X472" s="5">
        <f>IFERROR(VLOOKUP($D472&amp;$C472,生产方式定位!$A$2:$E$38,5,FALSE)+VLOOKUP($E472&amp;$C472,生产方式定位!$F$3:$J$38,5,FALSE),"错误")</f>
        <v>2590</v>
      </c>
      <c r="Y472" s="27" t="str">
        <f t="shared" si="119"/>
        <v/>
      </c>
      <c r="Z472" s="50" t="str">
        <f t="shared" si="122"/>
        <v/>
      </c>
      <c r="AA472" s="50" t="str">
        <f t="shared" si="120"/>
        <v/>
      </c>
      <c r="AB472" s="28" t="str">
        <f t="shared" si="123"/>
        <v>99%</v>
      </c>
      <c r="AC472" s="1">
        <f t="shared" si="124"/>
        <v>1175</v>
      </c>
      <c r="AD472" s="51">
        <f t="shared" si="121"/>
        <v>4</v>
      </c>
      <c r="AE472" t="str">
        <f t="shared" si="125"/>
        <v/>
      </c>
      <c r="AF472" t="str">
        <f t="shared" si="126"/>
        <v/>
      </c>
      <c r="AG472" t="str">
        <f t="shared" si="127"/>
        <v/>
      </c>
      <c r="AH472" t="str">
        <f t="shared" si="128"/>
        <v/>
      </c>
      <c r="AI472" t="str">
        <f t="shared" si="129"/>
        <v/>
      </c>
      <c r="AJ472" t="str">
        <f t="shared" si="130"/>
        <v/>
      </c>
      <c r="AK472" t="str">
        <f t="shared" si="131"/>
        <v/>
      </c>
      <c r="AL472" t="str">
        <f t="shared" si="132"/>
        <v/>
      </c>
      <c r="AN472" t="str">
        <f>IFERROR(ROUND(L472*(G472/$AW472)/VLOOKUP(F472,商品!$A$4:$D$67,4,FALSE),0),"")</f>
        <v/>
      </c>
      <c r="AO472" t="str">
        <f>IFERROR(ROUND(L472*(I472/$AW472)/VLOOKUP(H472,商品!$A$4:$D$67,4,FALSE),0),"")</f>
        <v/>
      </c>
      <c r="AP472" t="str">
        <f>IFERROR(ROUND(L472*(K472/$AW472)/VLOOKUP(J472,商品!$A$4:$D$67,4,FALSE),0),"")</f>
        <v/>
      </c>
      <c r="AQ472" t="str">
        <f>IFERROR(ROUND(S472*(N472/$AX472)/VLOOKUP(M472,职业!$A$3:$E$16,4,FALSE),0),"")</f>
        <v/>
      </c>
      <c r="AR472" t="str">
        <f>IFERROR(ROUND(S472*(P472/$AX472)/VLOOKUP(O472,职业!$A$3:$E$16,4,FALSE),0),"")</f>
        <v/>
      </c>
      <c r="AS472" t="str">
        <f>IFERROR(ROUND(S472*(R472/$AX472)/VLOOKUP(Q472,职业!$A$3:$E$16,4,FALSE),0),"")</f>
        <v/>
      </c>
      <c r="AT472" t="str">
        <f>IFERROR(ROUND(X472*(U472/$AY472)/VLOOKUP(T472,商品!$A$4:$D$67,4,FALSE),0),"")</f>
        <v/>
      </c>
      <c r="AU472" t="str">
        <f>IFERROR(ROUND(X472*(W472/$AY472)/VLOOKUP(V472,商品!$A$4:$D$67,4,FALSE),0),"")</f>
        <v/>
      </c>
      <c r="AW472">
        <f t="shared" si="133"/>
        <v>0</v>
      </c>
      <c r="AX472">
        <f t="shared" si="134"/>
        <v>0</v>
      </c>
      <c r="AY472">
        <f t="shared" si="135"/>
        <v>0</v>
      </c>
    </row>
    <row r="473" customHeight="1" spans="1:51">
      <c r="A473" s="5" t="s">
        <v>371</v>
      </c>
      <c r="C473" s="5">
        <v>5</v>
      </c>
      <c r="D473" s="1" t="s">
        <v>238</v>
      </c>
      <c r="E473" s="1" t="s">
        <v>223</v>
      </c>
      <c r="L473" s="5">
        <f>IFERROR(VLOOKUP($D473&amp;$C473,生产方式定位!$A$2:$E$38,2,FALSE)+VLOOKUP($E473&amp;$C473,生产方式定位!$F$3:$J$38,2,FALSE),0)</f>
        <v>1300</v>
      </c>
      <c r="S473" s="5">
        <f>IFERROR(VLOOKUP($D473&amp;$C473,生产方式定位!$A$2:$E$38,3,FALSE)+VLOOKUP($E473&amp;$C473,生产方式定位!$F$3:$J$38,3,FALSE),0)</f>
        <v>125</v>
      </c>
      <c r="X473" s="5">
        <f>IFERROR(VLOOKUP($D473&amp;$C473,生产方式定位!$A$2:$E$38,5,FALSE)+VLOOKUP($E473&amp;$C473,生产方式定位!$F$3:$J$38,5,FALSE),"错误")</f>
        <v>3598</v>
      </c>
      <c r="Y473" s="27" t="str">
        <f t="shared" si="119"/>
        <v/>
      </c>
      <c r="Z473" s="50" t="str">
        <f t="shared" si="122"/>
        <v/>
      </c>
      <c r="AA473" s="50" t="str">
        <f t="shared" si="120"/>
        <v/>
      </c>
      <c r="AB473" s="28" t="str">
        <f t="shared" si="123"/>
        <v>177%</v>
      </c>
      <c r="AC473" s="1">
        <f t="shared" si="124"/>
        <v>2173</v>
      </c>
      <c r="AD473" s="51">
        <f t="shared" si="121"/>
        <v>5</v>
      </c>
      <c r="AE473" t="str">
        <f t="shared" si="125"/>
        <v/>
      </c>
      <c r="AF473" t="str">
        <f t="shared" si="126"/>
        <v/>
      </c>
      <c r="AG473" t="str">
        <f t="shared" si="127"/>
        <v/>
      </c>
      <c r="AH473" t="str">
        <f t="shared" si="128"/>
        <v/>
      </c>
      <c r="AI473" t="str">
        <f t="shared" si="129"/>
        <v/>
      </c>
      <c r="AJ473" t="str">
        <f t="shared" si="130"/>
        <v/>
      </c>
      <c r="AK473" t="str">
        <f t="shared" si="131"/>
        <v/>
      </c>
      <c r="AL473" t="str">
        <f t="shared" si="132"/>
        <v/>
      </c>
      <c r="AN473" t="str">
        <f>IFERROR(ROUND(L473*(G473/$AW473)/VLOOKUP(F473,商品!$A$4:$D$67,4,FALSE),0),"")</f>
        <v/>
      </c>
      <c r="AO473" t="str">
        <f>IFERROR(ROUND(L473*(I473/$AW473)/VLOOKUP(H473,商品!$A$4:$D$67,4,FALSE),0),"")</f>
        <v/>
      </c>
      <c r="AP473" t="str">
        <f>IFERROR(ROUND(L473*(K473/$AW473)/VLOOKUP(J473,商品!$A$4:$D$67,4,FALSE),0),"")</f>
        <v/>
      </c>
      <c r="AQ473" t="str">
        <f>IFERROR(ROUND(S473*(N473/$AX473)/VLOOKUP(M473,职业!$A$3:$E$16,4,FALSE),0),"")</f>
        <v/>
      </c>
      <c r="AR473" t="str">
        <f>IFERROR(ROUND(S473*(P473/$AX473)/VLOOKUP(O473,职业!$A$3:$E$16,4,FALSE),0),"")</f>
        <v/>
      </c>
      <c r="AS473" t="str">
        <f>IFERROR(ROUND(S473*(R473/$AX473)/VLOOKUP(Q473,职业!$A$3:$E$16,4,FALSE),0),"")</f>
        <v/>
      </c>
      <c r="AT473" t="str">
        <f>IFERROR(ROUND(X473*(U473/$AY473)/VLOOKUP(T473,商品!$A$4:$D$67,4,FALSE),0),"")</f>
        <v/>
      </c>
      <c r="AU473" t="str">
        <f>IFERROR(ROUND(X473*(W473/$AY473)/VLOOKUP(V473,商品!$A$4:$D$67,4,FALSE),0),"")</f>
        <v/>
      </c>
      <c r="AW473">
        <f t="shared" si="133"/>
        <v>0</v>
      </c>
      <c r="AX473">
        <f t="shared" si="134"/>
        <v>0</v>
      </c>
      <c r="AY473">
        <f t="shared" si="135"/>
        <v>0</v>
      </c>
    </row>
    <row r="474" customHeight="1" spans="1:51">
      <c r="A474" s="18" t="s">
        <v>372</v>
      </c>
      <c r="C474" s="18">
        <v>1</v>
      </c>
      <c r="D474" s="1" t="s">
        <v>238</v>
      </c>
      <c r="E474" s="1" t="s">
        <v>224</v>
      </c>
      <c r="L474" s="18">
        <f>IFERROR(VLOOKUP($D474&amp;$C474,生产方式定位!$A$2:$E$38,2,FALSE)+VLOOKUP($E474&amp;$C474,生产方式定位!$F$3:$J$38,2,FALSE),0)</f>
        <v>1000</v>
      </c>
      <c r="S474" s="18">
        <f>IFERROR(VLOOKUP($D474&amp;$C474,生产方式定位!$A$2:$E$38,3,FALSE)+VLOOKUP($E474&amp;$C474,生产方式定位!$F$3:$J$38,3,FALSE),0)</f>
        <v>80</v>
      </c>
      <c r="X474" s="18">
        <f>IFERROR(VLOOKUP($D474&amp;$C474,生产方式定位!$A$2:$E$38,5,FALSE)+VLOOKUP($E474&amp;$C474,生产方式定位!$F$3:$J$38,5,FALSE),"错误")</f>
        <v>972</v>
      </c>
      <c r="Y474" s="27" t="str">
        <f t="shared" si="119"/>
        <v/>
      </c>
      <c r="Z474" s="50" t="str">
        <f t="shared" si="122"/>
        <v/>
      </c>
      <c r="AA474" s="50" t="str">
        <f t="shared" si="120"/>
        <v/>
      </c>
      <c r="AB474" s="28" t="str">
        <f t="shared" si="123"/>
        <v>-3%</v>
      </c>
      <c r="AC474" s="1">
        <f t="shared" si="124"/>
        <v>-108</v>
      </c>
      <c r="AD474" s="52">
        <f t="shared" si="121"/>
        <v>1</v>
      </c>
      <c r="AE474" t="str">
        <f t="shared" si="125"/>
        <v/>
      </c>
      <c r="AF474" t="str">
        <f t="shared" si="126"/>
        <v/>
      </c>
      <c r="AG474" t="str">
        <f t="shared" si="127"/>
        <v/>
      </c>
      <c r="AH474" t="str">
        <f t="shared" si="128"/>
        <v/>
      </c>
      <c r="AI474" t="str">
        <f t="shared" si="129"/>
        <v/>
      </c>
      <c r="AJ474" t="str">
        <f t="shared" si="130"/>
        <v/>
      </c>
      <c r="AK474" t="str">
        <f t="shared" si="131"/>
        <v/>
      </c>
      <c r="AL474" t="str">
        <f t="shared" si="132"/>
        <v/>
      </c>
      <c r="AN474" t="str">
        <f>IFERROR(ROUND(L474*(G474/$AW474)/VLOOKUP(F474,商品!$A$4:$D$67,4,FALSE),0),"")</f>
        <v/>
      </c>
      <c r="AO474" t="str">
        <f>IFERROR(ROUND(L474*(I474/$AW474)/VLOOKUP(H474,商品!$A$4:$D$67,4,FALSE),0),"")</f>
        <v/>
      </c>
      <c r="AP474" t="str">
        <f>IFERROR(ROUND(L474*(K474/$AW474)/VLOOKUP(J474,商品!$A$4:$D$67,4,FALSE),0),"")</f>
        <v/>
      </c>
      <c r="AQ474" t="str">
        <f>IFERROR(ROUND(S474*(N474/$AX474)/VLOOKUP(M474,职业!$A$3:$E$16,4,FALSE),0),"")</f>
        <v/>
      </c>
      <c r="AR474" t="str">
        <f>IFERROR(ROUND(S474*(P474/$AX474)/VLOOKUP(O474,职业!$A$3:$E$16,4,FALSE),0),"")</f>
        <v/>
      </c>
      <c r="AS474" t="str">
        <f>IFERROR(ROUND(S474*(R474/$AX474)/VLOOKUP(Q474,职业!$A$3:$E$16,4,FALSE),0),"")</f>
        <v/>
      </c>
      <c r="AT474" t="str">
        <f>IFERROR(ROUND(X474*(U474/$AY474)/VLOOKUP(T474,商品!$A$4:$D$67,4,FALSE),0),"")</f>
        <v/>
      </c>
      <c r="AU474" t="str">
        <f>IFERROR(ROUND(X474*(W474/$AY474)/VLOOKUP(V474,商品!$A$4:$D$67,4,FALSE),0),"")</f>
        <v/>
      </c>
      <c r="AW474">
        <f t="shared" si="133"/>
        <v>0</v>
      </c>
      <c r="AX474">
        <f t="shared" si="134"/>
        <v>0</v>
      </c>
      <c r="AY474">
        <f t="shared" si="135"/>
        <v>0</v>
      </c>
    </row>
    <row r="475" customHeight="1" spans="1:51">
      <c r="A475" s="18" t="s">
        <v>372</v>
      </c>
      <c r="C475" s="18">
        <v>2</v>
      </c>
      <c r="D475" s="1" t="s">
        <v>238</v>
      </c>
      <c r="E475" s="1" t="s">
        <v>224</v>
      </c>
      <c r="L475" s="18">
        <f>IFERROR(VLOOKUP($D475&amp;$C475,生产方式定位!$A$2:$E$38,2,FALSE)+VLOOKUP($E475&amp;$C475,生产方式定位!$F$3:$J$38,2,FALSE),0)</f>
        <v>1400</v>
      </c>
      <c r="S475" s="18">
        <f>IFERROR(VLOOKUP($D475&amp;$C475,生产方式定位!$A$2:$E$38,3,FALSE)+VLOOKUP($E475&amp;$C475,生产方式定位!$F$3:$J$38,3,FALSE),0)</f>
        <v>45</v>
      </c>
      <c r="X475" s="18">
        <f>IFERROR(VLOOKUP($D475&amp;$C475,生产方式定位!$A$2:$E$38,5,FALSE)+VLOOKUP($E475&amp;$C475,生产方式定位!$F$3:$J$38,5,FALSE),"错误")</f>
        <v>1688</v>
      </c>
      <c r="Y475" s="27" t="str">
        <f t="shared" si="119"/>
        <v/>
      </c>
      <c r="Z475" s="50" t="str">
        <f t="shared" si="122"/>
        <v/>
      </c>
      <c r="AA475" s="50" t="str">
        <f t="shared" si="120"/>
        <v/>
      </c>
      <c r="AB475" s="28" t="str">
        <f t="shared" si="123"/>
        <v>21%</v>
      </c>
      <c r="AC475" s="1">
        <f t="shared" si="124"/>
        <v>243</v>
      </c>
      <c r="AD475" s="52">
        <f t="shared" si="121"/>
        <v>2</v>
      </c>
      <c r="AE475" t="str">
        <f t="shared" si="125"/>
        <v/>
      </c>
      <c r="AF475" t="str">
        <f t="shared" si="126"/>
        <v/>
      </c>
      <c r="AG475" t="str">
        <f t="shared" si="127"/>
        <v/>
      </c>
      <c r="AH475" t="str">
        <f t="shared" si="128"/>
        <v/>
      </c>
      <c r="AI475" t="str">
        <f t="shared" si="129"/>
        <v/>
      </c>
      <c r="AJ475" t="str">
        <f t="shared" si="130"/>
        <v/>
      </c>
      <c r="AK475" t="str">
        <f t="shared" si="131"/>
        <v/>
      </c>
      <c r="AL475" t="str">
        <f t="shared" si="132"/>
        <v/>
      </c>
      <c r="AN475" t="str">
        <f>IFERROR(ROUND(L475*(G475/$AW475)/VLOOKUP(F475,商品!$A$4:$D$67,4,FALSE),0),"")</f>
        <v/>
      </c>
      <c r="AO475" t="str">
        <f>IFERROR(ROUND(L475*(I475/$AW475)/VLOOKUP(H475,商品!$A$4:$D$67,4,FALSE),0),"")</f>
        <v/>
      </c>
      <c r="AP475" t="str">
        <f>IFERROR(ROUND(L475*(K475/$AW475)/VLOOKUP(J475,商品!$A$4:$D$67,4,FALSE),0),"")</f>
        <v/>
      </c>
      <c r="AQ475" t="str">
        <f>IFERROR(ROUND(S475*(N475/$AX475)/VLOOKUP(M475,职业!$A$3:$E$16,4,FALSE),0),"")</f>
        <v/>
      </c>
      <c r="AR475" t="str">
        <f>IFERROR(ROUND(S475*(P475/$AX475)/VLOOKUP(O475,职业!$A$3:$E$16,4,FALSE),0),"")</f>
        <v/>
      </c>
      <c r="AS475" t="str">
        <f>IFERROR(ROUND(S475*(R475/$AX475)/VLOOKUP(Q475,职业!$A$3:$E$16,4,FALSE),0),"")</f>
        <v/>
      </c>
      <c r="AT475" t="str">
        <f>IFERROR(ROUND(X475*(U475/$AY475)/VLOOKUP(T475,商品!$A$4:$D$67,4,FALSE),0),"")</f>
        <v/>
      </c>
      <c r="AU475" t="str">
        <f>IFERROR(ROUND(X475*(W475/$AY475)/VLOOKUP(V475,商品!$A$4:$D$67,4,FALSE),0),"")</f>
        <v/>
      </c>
      <c r="AW475">
        <f t="shared" si="133"/>
        <v>0</v>
      </c>
      <c r="AX475">
        <f t="shared" si="134"/>
        <v>0</v>
      </c>
      <c r="AY475">
        <f t="shared" si="135"/>
        <v>0</v>
      </c>
    </row>
    <row r="476" customHeight="1" spans="1:51">
      <c r="A476" s="18" t="s">
        <v>372</v>
      </c>
      <c r="C476" s="18">
        <v>3</v>
      </c>
      <c r="D476" s="1" t="s">
        <v>238</v>
      </c>
      <c r="E476" s="1" t="s">
        <v>224</v>
      </c>
      <c r="L476" s="18">
        <f>IFERROR(VLOOKUP($D476&amp;$C476,生产方式定位!$A$2:$E$38,2,FALSE)+VLOOKUP($E476&amp;$C476,生产方式定位!$F$3:$J$38,2,FALSE),0)</f>
        <v>1800</v>
      </c>
      <c r="S476" s="18">
        <f>IFERROR(VLOOKUP($D476&amp;$C476,生产方式定位!$A$2:$E$38,3,FALSE)+VLOOKUP($E476&amp;$C476,生产方式定位!$F$3:$J$38,3,FALSE),0)</f>
        <v>30</v>
      </c>
      <c r="X476" s="18">
        <f>IFERROR(VLOOKUP($D476&amp;$C476,生产方式定位!$A$2:$E$38,5,FALSE)+VLOOKUP($E476&amp;$C476,生产方式定位!$F$3:$J$38,5,FALSE),"错误")</f>
        <v>2458</v>
      </c>
      <c r="Y476" s="27" t="str">
        <f t="shared" si="119"/>
        <v/>
      </c>
      <c r="Z476" s="50" t="str">
        <f t="shared" si="122"/>
        <v/>
      </c>
      <c r="AA476" s="50" t="str">
        <f t="shared" si="120"/>
        <v/>
      </c>
      <c r="AB476" s="28" t="str">
        <f t="shared" si="123"/>
        <v>37%</v>
      </c>
      <c r="AC476" s="1">
        <f t="shared" si="124"/>
        <v>628</v>
      </c>
      <c r="AD476" s="52">
        <f t="shared" si="121"/>
        <v>3</v>
      </c>
      <c r="AE476" t="str">
        <f t="shared" si="125"/>
        <v/>
      </c>
      <c r="AF476" t="str">
        <f t="shared" si="126"/>
        <v/>
      </c>
      <c r="AG476" t="str">
        <f t="shared" si="127"/>
        <v/>
      </c>
      <c r="AH476" t="str">
        <f t="shared" si="128"/>
        <v/>
      </c>
      <c r="AI476" t="str">
        <f t="shared" si="129"/>
        <v/>
      </c>
      <c r="AJ476" t="str">
        <f t="shared" si="130"/>
        <v/>
      </c>
      <c r="AK476" t="str">
        <f t="shared" si="131"/>
        <v/>
      </c>
      <c r="AL476" t="str">
        <f t="shared" si="132"/>
        <v/>
      </c>
      <c r="AN476" t="str">
        <f>IFERROR(ROUND(L476*(G476/$AW476)/VLOOKUP(F476,商品!$A$4:$D$67,4,FALSE),0),"")</f>
        <v/>
      </c>
      <c r="AO476" t="str">
        <f>IFERROR(ROUND(L476*(I476/$AW476)/VLOOKUP(H476,商品!$A$4:$D$67,4,FALSE),0),"")</f>
        <v/>
      </c>
      <c r="AP476" t="str">
        <f>IFERROR(ROUND(L476*(K476/$AW476)/VLOOKUP(J476,商品!$A$4:$D$67,4,FALSE),0),"")</f>
        <v/>
      </c>
      <c r="AQ476" t="str">
        <f>IFERROR(ROUND(S476*(N476/$AX476)/VLOOKUP(M476,职业!$A$3:$E$16,4,FALSE),0),"")</f>
        <v/>
      </c>
      <c r="AR476" t="str">
        <f>IFERROR(ROUND(S476*(P476/$AX476)/VLOOKUP(O476,职业!$A$3:$E$16,4,FALSE),0),"")</f>
        <v/>
      </c>
      <c r="AS476" t="str">
        <f>IFERROR(ROUND(S476*(R476/$AX476)/VLOOKUP(Q476,职业!$A$3:$E$16,4,FALSE),0),"")</f>
        <v/>
      </c>
      <c r="AT476" t="str">
        <f>IFERROR(ROUND(X476*(U476/$AY476)/VLOOKUP(T476,商品!$A$4:$D$67,4,FALSE),0),"")</f>
        <v/>
      </c>
      <c r="AU476" t="str">
        <f>IFERROR(ROUND(X476*(W476/$AY476)/VLOOKUP(V476,商品!$A$4:$D$67,4,FALSE),0),"")</f>
        <v/>
      </c>
      <c r="AW476">
        <f t="shared" si="133"/>
        <v>0</v>
      </c>
      <c r="AX476">
        <f t="shared" si="134"/>
        <v>0</v>
      </c>
      <c r="AY476">
        <f t="shared" si="135"/>
        <v>0</v>
      </c>
    </row>
    <row r="477" customHeight="1" spans="1:51">
      <c r="A477" s="18" t="s">
        <v>372</v>
      </c>
      <c r="C477" s="18">
        <v>4</v>
      </c>
      <c r="D477" s="1" t="s">
        <v>238</v>
      </c>
      <c r="E477" s="1" t="s">
        <v>224</v>
      </c>
      <c r="L477" s="18">
        <f>IFERROR(VLOOKUP($D477&amp;$C477,生产方式定位!$A$2:$E$38,2,FALSE)+VLOOKUP($E477&amp;$C477,生产方式定位!$F$3:$J$38,2,FALSE),0)</f>
        <v>2200</v>
      </c>
      <c r="S477" s="18">
        <f>IFERROR(VLOOKUP($D477&amp;$C477,生产方式定位!$A$2:$E$38,3,FALSE)+VLOOKUP($E477&amp;$C477,生产方式定位!$F$3:$J$38,3,FALSE),0)</f>
        <v>15</v>
      </c>
      <c r="X477" s="18">
        <f>IFERROR(VLOOKUP($D477&amp;$C477,生产方式定位!$A$2:$E$38,5,FALSE)+VLOOKUP($E477&amp;$C477,生产方式定位!$F$3:$J$38,5,FALSE),"错误")</f>
        <v>3470</v>
      </c>
      <c r="Y477" s="27" t="str">
        <f t="shared" si="119"/>
        <v/>
      </c>
      <c r="Z477" s="50" t="str">
        <f t="shared" si="122"/>
        <v/>
      </c>
      <c r="AA477" s="50" t="str">
        <f t="shared" si="120"/>
        <v/>
      </c>
      <c r="AB477" s="28" t="str">
        <f t="shared" si="123"/>
        <v>58%</v>
      </c>
      <c r="AC477" s="1">
        <f t="shared" si="124"/>
        <v>1255</v>
      </c>
      <c r="AD477" s="52">
        <f t="shared" si="121"/>
        <v>4</v>
      </c>
      <c r="AE477" t="str">
        <f t="shared" si="125"/>
        <v/>
      </c>
      <c r="AF477" t="str">
        <f t="shared" si="126"/>
        <v/>
      </c>
      <c r="AG477" t="str">
        <f t="shared" si="127"/>
        <v/>
      </c>
      <c r="AH477" t="str">
        <f t="shared" si="128"/>
        <v/>
      </c>
      <c r="AI477" t="str">
        <f t="shared" si="129"/>
        <v/>
      </c>
      <c r="AJ477" t="str">
        <f t="shared" si="130"/>
        <v/>
      </c>
      <c r="AK477" t="str">
        <f t="shared" si="131"/>
        <v/>
      </c>
      <c r="AL477" t="str">
        <f t="shared" si="132"/>
        <v/>
      </c>
      <c r="AN477" t="str">
        <f>IFERROR(ROUND(L477*(G477/$AW477)/VLOOKUP(F477,商品!$A$4:$D$67,4,FALSE),0),"")</f>
        <v/>
      </c>
      <c r="AO477" t="str">
        <f>IFERROR(ROUND(L477*(I477/$AW477)/VLOOKUP(H477,商品!$A$4:$D$67,4,FALSE),0),"")</f>
        <v/>
      </c>
      <c r="AP477" t="str">
        <f>IFERROR(ROUND(L477*(K477/$AW477)/VLOOKUP(J477,商品!$A$4:$D$67,4,FALSE),0),"")</f>
        <v/>
      </c>
      <c r="AQ477" t="str">
        <f>IFERROR(ROUND(S477*(N477/$AX477)/VLOOKUP(M477,职业!$A$3:$E$16,4,FALSE),0),"")</f>
        <v/>
      </c>
      <c r="AR477" t="str">
        <f>IFERROR(ROUND(S477*(P477/$AX477)/VLOOKUP(O477,职业!$A$3:$E$16,4,FALSE),0),"")</f>
        <v/>
      </c>
      <c r="AS477" t="str">
        <f>IFERROR(ROUND(S477*(R477/$AX477)/VLOOKUP(Q477,职业!$A$3:$E$16,4,FALSE),0),"")</f>
        <v/>
      </c>
      <c r="AT477" t="str">
        <f>IFERROR(ROUND(X477*(U477/$AY477)/VLOOKUP(T477,商品!$A$4:$D$67,4,FALSE),0),"")</f>
        <v/>
      </c>
      <c r="AU477" t="str">
        <f>IFERROR(ROUND(X477*(W477/$AY477)/VLOOKUP(V477,商品!$A$4:$D$67,4,FALSE),0),"")</f>
        <v/>
      </c>
      <c r="AW477">
        <f t="shared" si="133"/>
        <v>0</v>
      </c>
      <c r="AX477">
        <f t="shared" si="134"/>
        <v>0</v>
      </c>
      <c r="AY477">
        <f t="shared" si="135"/>
        <v>0</v>
      </c>
    </row>
    <row r="478" customHeight="1" spans="1:51">
      <c r="A478" s="18" t="s">
        <v>372</v>
      </c>
      <c r="C478" s="18">
        <v>5</v>
      </c>
      <c r="D478" s="1" t="s">
        <v>238</v>
      </c>
      <c r="E478" s="1" t="s">
        <v>224</v>
      </c>
      <c r="L478" s="18">
        <f>IFERROR(VLOOKUP($D478&amp;$C478,生产方式定位!$A$2:$E$38,2,FALSE)+VLOOKUP($E478&amp;$C478,生产方式定位!$F$3:$J$38,2,FALSE),0)</f>
        <v>2600</v>
      </c>
      <c r="S478" s="18">
        <f>IFERROR(VLOOKUP($D478&amp;$C478,生产方式定位!$A$2:$E$38,3,FALSE)+VLOOKUP($E478&amp;$C478,生产方式定位!$F$3:$J$38,3,FALSE),0)</f>
        <v>0</v>
      </c>
      <c r="X478" s="18">
        <f>IFERROR(VLOOKUP($D478&amp;$C478,生产方式定位!$A$2:$E$38,5,FALSE)+VLOOKUP($E478&amp;$C478,生产方式定位!$F$3:$J$38,5,FALSE),"错误")</f>
        <v>4890</v>
      </c>
      <c r="Y478" s="27" t="str">
        <f t="shared" si="119"/>
        <v/>
      </c>
      <c r="Z478" s="50" t="str">
        <f t="shared" si="122"/>
        <v/>
      </c>
      <c r="AA478" s="50" t="str">
        <f t="shared" si="120"/>
        <v/>
      </c>
      <c r="AB478" s="28" t="str">
        <f t="shared" si="123"/>
        <v>88%</v>
      </c>
      <c r="AC478" s="1">
        <f t="shared" si="124"/>
        <v>2290</v>
      </c>
      <c r="AD478" s="52">
        <f t="shared" si="121"/>
        <v>5</v>
      </c>
      <c r="AE478" t="str">
        <f t="shared" si="125"/>
        <v/>
      </c>
      <c r="AF478" t="str">
        <f t="shared" si="126"/>
        <v/>
      </c>
      <c r="AG478" t="str">
        <f t="shared" si="127"/>
        <v/>
      </c>
      <c r="AH478" t="str">
        <f t="shared" si="128"/>
        <v/>
      </c>
      <c r="AI478" t="str">
        <f t="shared" si="129"/>
        <v/>
      </c>
      <c r="AJ478" t="str">
        <f t="shared" si="130"/>
        <v/>
      </c>
      <c r="AK478" t="str">
        <f t="shared" si="131"/>
        <v/>
      </c>
      <c r="AL478" t="str">
        <f t="shared" si="132"/>
        <v/>
      </c>
      <c r="AN478" t="str">
        <f>IFERROR(ROUND(L478*(G478/$AW478)/VLOOKUP(F478,商品!$A$4:$D$67,4,FALSE),0),"")</f>
        <v/>
      </c>
      <c r="AO478" t="str">
        <f>IFERROR(ROUND(L478*(I478/$AW478)/VLOOKUP(H478,商品!$A$4:$D$67,4,FALSE),0),"")</f>
        <v/>
      </c>
      <c r="AP478" t="str">
        <f>IFERROR(ROUND(L478*(K478/$AW478)/VLOOKUP(J478,商品!$A$4:$D$67,4,FALSE),0),"")</f>
        <v/>
      </c>
      <c r="AQ478" t="str">
        <f>IFERROR(ROUND(S478*(N478/$AX478)/VLOOKUP(M478,职业!$A$3:$E$16,4,FALSE),0),"")</f>
        <v/>
      </c>
      <c r="AR478" t="str">
        <f>IFERROR(ROUND(S478*(P478/$AX478)/VLOOKUP(O478,职业!$A$3:$E$16,4,FALSE),0),"")</f>
        <v/>
      </c>
      <c r="AS478" t="str">
        <f>IFERROR(ROUND(S478*(R478/$AX478)/VLOOKUP(Q478,职业!$A$3:$E$16,4,FALSE),0),"")</f>
        <v/>
      </c>
      <c r="AT478" t="str">
        <f>IFERROR(ROUND(X478*(U478/$AY478)/VLOOKUP(T478,商品!$A$4:$D$67,4,FALSE),0),"")</f>
        <v/>
      </c>
      <c r="AU478" t="str">
        <f>IFERROR(ROUND(X478*(W478/$AY478)/VLOOKUP(V478,商品!$A$4:$D$67,4,FALSE),0),"")</f>
        <v/>
      </c>
      <c r="AW478">
        <f t="shared" si="133"/>
        <v>0</v>
      </c>
      <c r="AX478">
        <f t="shared" si="134"/>
        <v>0</v>
      </c>
      <c r="AY478">
        <f t="shared" si="135"/>
        <v>0</v>
      </c>
    </row>
    <row r="479" customHeight="1" spans="1:51">
      <c r="A479" s="5" t="s">
        <v>372</v>
      </c>
      <c r="C479" s="5">
        <v>1</v>
      </c>
      <c r="D479" s="1" t="s">
        <v>238</v>
      </c>
      <c r="E479" s="1" t="s">
        <v>224</v>
      </c>
      <c r="L479" s="5">
        <f>IFERROR(VLOOKUP($D479&amp;$C479,生产方式定位!$A$2:$E$38,2,FALSE)+VLOOKUP($E479&amp;$C479,生产方式定位!$F$3:$J$38,2,FALSE),0)</f>
        <v>1000</v>
      </c>
      <c r="S479" s="5">
        <f>IFERROR(VLOOKUP($D479&amp;$C479,生产方式定位!$A$2:$E$38,3,FALSE)+VLOOKUP($E479&amp;$C479,生产方式定位!$F$3:$J$38,3,FALSE),0)</f>
        <v>80</v>
      </c>
      <c r="X479" s="5">
        <f>IFERROR(VLOOKUP($D479&amp;$C479,生产方式定位!$A$2:$E$38,5,FALSE)+VLOOKUP($E479&amp;$C479,生产方式定位!$F$3:$J$38,5,FALSE),"错误")</f>
        <v>972</v>
      </c>
      <c r="Y479" s="27" t="str">
        <f t="shared" si="119"/>
        <v/>
      </c>
      <c r="Z479" s="50" t="str">
        <f t="shared" si="122"/>
        <v/>
      </c>
      <c r="AA479" s="50" t="str">
        <f t="shared" si="120"/>
        <v/>
      </c>
      <c r="AB479" s="28" t="str">
        <f t="shared" si="123"/>
        <v>-3%</v>
      </c>
      <c r="AC479" s="1">
        <f t="shared" si="124"/>
        <v>-108</v>
      </c>
      <c r="AD479" s="51">
        <f t="shared" si="121"/>
        <v>1</v>
      </c>
      <c r="AE479" t="str">
        <f t="shared" si="125"/>
        <v/>
      </c>
      <c r="AF479" t="str">
        <f t="shared" si="126"/>
        <v/>
      </c>
      <c r="AG479" t="str">
        <f t="shared" si="127"/>
        <v/>
      </c>
      <c r="AH479" t="str">
        <f t="shared" si="128"/>
        <v/>
      </c>
      <c r="AI479" t="str">
        <f t="shared" si="129"/>
        <v/>
      </c>
      <c r="AJ479" t="str">
        <f t="shared" si="130"/>
        <v/>
      </c>
      <c r="AK479" t="str">
        <f t="shared" si="131"/>
        <v/>
      </c>
      <c r="AL479" t="str">
        <f t="shared" si="132"/>
        <v/>
      </c>
      <c r="AN479" t="str">
        <f>IFERROR(ROUND(L479*(G479/$AW479)/VLOOKUP(F479,商品!$A$4:$D$67,4,FALSE),0),"")</f>
        <v/>
      </c>
      <c r="AO479" t="str">
        <f>IFERROR(ROUND(L479*(I479/$AW479)/VLOOKUP(H479,商品!$A$4:$D$67,4,FALSE),0),"")</f>
        <v/>
      </c>
      <c r="AP479" t="str">
        <f>IFERROR(ROUND(L479*(K479/$AW479)/VLOOKUP(J479,商品!$A$4:$D$67,4,FALSE),0),"")</f>
        <v/>
      </c>
      <c r="AQ479" t="str">
        <f>IFERROR(ROUND(S479*(N479/$AX479)/VLOOKUP(M479,职业!$A$3:$E$16,4,FALSE),0),"")</f>
        <v/>
      </c>
      <c r="AR479" t="str">
        <f>IFERROR(ROUND(S479*(P479/$AX479)/VLOOKUP(O479,职业!$A$3:$E$16,4,FALSE),0),"")</f>
        <v/>
      </c>
      <c r="AS479" t="str">
        <f>IFERROR(ROUND(S479*(R479/$AX479)/VLOOKUP(Q479,职业!$A$3:$E$16,4,FALSE),0),"")</f>
        <v/>
      </c>
      <c r="AT479" t="str">
        <f>IFERROR(ROUND(X479*(U479/$AY479)/VLOOKUP(T479,商品!$A$4:$D$67,4,FALSE),0),"")</f>
        <v/>
      </c>
      <c r="AU479" t="str">
        <f>IFERROR(ROUND(X479*(W479/$AY479)/VLOOKUP(V479,商品!$A$4:$D$67,4,FALSE),0),"")</f>
        <v/>
      </c>
      <c r="AW479">
        <f t="shared" si="133"/>
        <v>0</v>
      </c>
      <c r="AX479">
        <f t="shared" si="134"/>
        <v>0</v>
      </c>
      <c r="AY479">
        <f t="shared" si="135"/>
        <v>0</v>
      </c>
    </row>
    <row r="480" customHeight="1" spans="1:51">
      <c r="A480" s="5" t="s">
        <v>372</v>
      </c>
      <c r="C480" s="5">
        <v>2</v>
      </c>
      <c r="D480" s="1" t="s">
        <v>238</v>
      </c>
      <c r="E480" s="1" t="s">
        <v>224</v>
      </c>
      <c r="L480" s="5">
        <f>IFERROR(VLOOKUP($D480&amp;$C480,生产方式定位!$A$2:$E$38,2,FALSE)+VLOOKUP($E480&amp;$C480,生产方式定位!$F$3:$J$38,2,FALSE),0)</f>
        <v>1400</v>
      </c>
      <c r="S480" s="5">
        <f>IFERROR(VLOOKUP($D480&amp;$C480,生产方式定位!$A$2:$E$38,3,FALSE)+VLOOKUP($E480&amp;$C480,生产方式定位!$F$3:$J$38,3,FALSE),0)</f>
        <v>45</v>
      </c>
      <c r="X480" s="5">
        <f>IFERROR(VLOOKUP($D480&amp;$C480,生产方式定位!$A$2:$E$38,5,FALSE)+VLOOKUP($E480&amp;$C480,生产方式定位!$F$3:$J$38,5,FALSE),"错误")</f>
        <v>1688</v>
      </c>
      <c r="Y480" s="27" t="str">
        <f t="shared" si="119"/>
        <v/>
      </c>
      <c r="Z480" s="50" t="str">
        <f t="shared" si="122"/>
        <v/>
      </c>
      <c r="AA480" s="50" t="str">
        <f t="shared" si="120"/>
        <v/>
      </c>
      <c r="AB480" s="28" t="str">
        <f t="shared" si="123"/>
        <v>21%</v>
      </c>
      <c r="AC480" s="1">
        <f t="shared" si="124"/>
        <v>243</v>
      </c>
      <c r="AD480" s="51">
        <f t="shared" si="121"/>
        <v>2</v>
      </c>
      <c r="AE480" t="str">
        <f t="shared" si="125"/>
        <v/>
      </c>
      <c r="AF480" t="str">
        <f t="shared" si="126"/>
        <v/>
      </c>
      <c r="AG480" t="str">
        <f t="shared" si="127"/>
        <v/>
      </c>
      <c r="AH480" t="str">
        <f t="shared" si="128"/>
        <v/>
      </c>
      <c r="AI480" t="str">
        <f t="shared" si="129"/>
        <v/>
      </c>
      <c r="AJ480" t="str">
        <f t="shared" si="130"/>
        <v/>
      </c>
      <c r="AK480" t="str">
        <f t="shared" si="131"/>
        <v/>
      </c>
      <c r="AL480" t="str">
        <f t="shared" si="132"/>
        <v/>
      </c>
      <c r="AN480" t="str">
        <f>IFERROR(ROUND(L480*(G480/$AW480)/VLOOKUP(F480,商品!$A$4:$D$67,4,FALSE),0),"")</f>
        <v/>
      </c>
      <c r="AO480" t="str">
        <f>IFERROR(ROUND(L480*(I480/$AW480)/VLOOKUP(H480,商品!$A$4:$D$67,4,FALSE),0),"")</f>
        <v/>
      </c>
      <c r="AP480" t="str">
        <f>IFERROR(ROUND(L480*(K480/$AW480)/VLOOKUP(J480,商品!$A$4:$D$67,4,FALSE),0),"")</f>
        <v/>
      </c>
      <c r="AQ480" t="str">
        <f>IFERROR(ROUND(S480*(N480/$AX480)/VLOOKUP(M480,职业!$A$3:$E$16,4,FALSE),0),"")</f>
        <v/>
      </c>
      <c r="AR480" t="str">
        <f>IFERROR(ROUND(S480*(P480/$AX480)/VLOOKUP(O480,职业!$A$3:$E$16,4,FALSE),0),"")</f>
        <v/>
      </c>
      <c r="AS480" t="str">
        <f>IFERROR(ROUND(S480*(R480/$AX480)/VLOOKUP(Q480,职业!$A$3:$E$16,4,FALSE),0),"")</f>
        <v/>
      </c>
      <c r="AT480" t="str">
        <f>IFERROR(ROUND(X480*(U480/$AY480)/VLOOKUP(T480,商品!$A$4:$D$67,4,FALSE),0),"")</f>
        <v/>
      </c>
      <c r="AU480" t="str">
        <f>IFERROR(ROUND(X480*(W480/$AY480)/VLOOKUP(V480,商品!$A$4:$D$67,4,FALSE),0),"")</f>
        <v/>
      </c>
      <c r="AW480">
        <f t="shared" si="133"/>
        <v>0</v>
      </c>
      <c r="AX480">
        <f t="shared" si="134"/>
        <v>0</v>
      </c>
      <c r="AY480">
        <f t="shared" si="135"/>
        <v>0</v>
      </c>
    </row>
    <row r="481" customHeight="1" spans="1:51">
      <c r="A481" s="5" t="s">
        <v>372</v>
      </c>
      <c r="C481" s="5">
        <v>3</v>
      </c>
      <c r="D481" s="1" t="s">
        <v>238</v>
      </c>
      <c r="E481" s="1" t="s">
        <v>224</v>
      </c>
      <c r="L481" s="5">
        <f>IFERROR(VLOOKUP($D481&amp;$C481,生产方式定位!$A$2:$E$38,2,FALSE)+VLOOKUP($E481&amp;$C481,生产方式定位!$F$3:$J$38,2,FALSE),0)</f>
        <v>1800</v>
      </c>
      <c r="S481" s="5">
        <f>IFERROR(VLOOKUP($D481&amp;$C481,生产方式定位!$A$2:$E$38,3,FALSE)+VLOOKUP($E481&amp;$C481,生产方式定位!$F$3:$J$38,3,FALSE),0)</f>
        <v>30</v>
      </c>
      <c r="X481" s="5">
        <f>IFERROR(VLOOKUP($D481&amp;$C481,生产方式定位!$A$2:$E$38,5,FALSE)+VLOOKUP($E481&amp;$C481,生产方式定位!$F$3:$J$38,5,FALSE),"错误")</f>
        <v>2458</v>
      </c>
      <c r="Y481" s="27" t="str">
        <f t="shared" si="119"/>
        <v/>
      </c>
      <c r="Z481" s="50" t="str">
        <f t="shared" si="122"/>
        <v/>
      </c>
      <c r="AA481" s="50" t="str">
        <f t="shared" si="120"/>
        <v/>
      </c>
      <c r="AB481" s="28" t="str">
        <f t="shared" si="123"/>
        <v>37%</v>
      </c>
      <c r="AC481" s="1">
        <f t="shared" si="124"/>
        <v>628</v>
      </c>
      <c r="AD481" s="51">
        <f t="shared" si="121"/>
        <v>3</v>
      </c>
      <c r="AE481" t="str">
        <f t="shared" si="125"/>
        <v/>
      </c>
      <c r="AF481" t="str">
        <f t="shared" si="126"/>
        <v/>
      </c>
      <c r="AG481" t="str">
        <f t="shared" si="127"/>
        <v/>
      </c>
      <c r="AH481" t="str">
        <f t="shared" si="128"/>
        <v/>
      </c>
      <c r="AI481" t="str">
        <f t="shared" si="129"/>
        <v/>
      </c>
      <c r="AJ481" t="str">
        <f t="shared" si="130"/>
        <v/>
      </c>
      <c r="AK481" t="str">
        <f t="shared" si="131"/>
        <v/>
      </c>
      <c r="AL481" t="str">
        <f t="shared" si="132"/>
        <v/>
      </c>
      <c r="AN481" t="str">
        <f>IFERROR(ROUND(L481*(G481/$AW481)/VLOOKUP(F481,商品!$A$4:$D$67,4,FALSE),0),"")</f>
        <v/>
      </c>
      <c r="AO481" t="str">
        <f>IFERROR(ROUND(L481*(I481/$AW481)/VLOOKUP(H481,商品!$A$4:$D$67,4,FALSE),0),"")</f>
        <v/>
      </c>
      <c r="AP481" t="str">
        <f>IFERROR(ROUND(L481*(K481/$AW481)/VLOOKUP(J481,商品!$A$4:$D$67,4,FALSE),0),"")</f>
        <v/>
      </c>
      <c r="AQ481" t="str">
        <f>IFERROR(ROUND(S481*(N481/$AX481)/VLOOKUP(M481,职业!$A$3:$E$16,4,FALSE),0),"")</f>
        <v/>
      </c>
      <c r="AR481" t="str">
        <f>IFERROR(ROUND(S481*(P481/$AX481)/VLOOKUP(O481,职业!$A$3:$E$16,4,FALSE),0),"")</f>
        <v/>
      </c>
      <c r="AS481" t="str">
        <f>IFERROR(ROUND(S481*(R481/$AX481)/VLOOKUP(Q481,职业!$A$3:$E$16,4,FALSE),0),"")</f>
        <v/>
      </c>
      <c r="AT481" t="str">
        <f>IFERROR(ROUND(X481*(U481/$AY481)/VLOOKUP(T481,商品!$A$4:$D$67,4,FALSE),0),"")</f>
        <v/>
      </c>
      <c r="AU481" t="str">
        <f>IFERROR(ROUND(X481*(W481/$AY481)/VLOOKUP(V481,商品!$A$4:$D$67,4,FALSE),0),"")</f>
        <v/>
      </c>
      <c r="AW481">
        <f t="shared" si="133"/>
        <v>0</v>
      </c>
      <c r="AX481">
        <f t="shared" si="134"/>
        <v>0</v>
      </c>
      <c r="AY481">
        <f t="shared" si="135"/>
        <v>0</v>
      </c>
    </row>
    <row r="482" customHeight="1" spans="1:51">
      <c r="A482" s="5" t="s">
        <v>372</v>
      </c>
      <c r="C482" s="5">
        <v>4</v>
      </c>
      <c r="D482" s="1" t="s">
        <v>238</v>
      </c>
      <c r="E482" s="1" t="s">
        <v>224</v>
      </c>
      <c r="L482" s="5">
        <f>IFERROR(VLOOKUP($D482&amp;$C482,生产方式定位!$A$2:$E$38,2,FALSE)+VLOOKUP($E482&amp;$C482,生产方式定位!$F$3:$J$38,2,FALSE),0)</f>
        <v>2200</v>
      </c>
      <c r="S482" s="5">
        <f>IFERROR(VLOOKUP($D482&amp;$C482,生产方式定位!$A$2:$E$38,3,FALSE)+VLOOKUP($E482&amp;$C482,生产方式定位!$F$3:$J$38,3,FALSE),0)</f>
        <v>15</v>
      </c>
      <c r="X482" s="5">
        <f>IFERROR(VLOOKUP($D482&amp;$C482,生产方式定位!$A$2:$E$38,5,FALSE)+VLOOKUP($E482&amp;$C482,生产方式定位!$F$3:$J$38,5,FALSE),"错误")</f>
        <v>3470</v>
      </c>
      <c r="Y482" s="27" t="str">
        <f t="shared" si="119"/>
        <v/>
      </c>
      <c r="Z482" s="50" t="str">
        <f t="shared" si="122"/>
        <v/>
      </c>
      <c r="AA482" s="50" t="str">
        <f t="shared" si="120"/>
        <v/>
      </c>
      <c r="AB482" s="28" t="str">
        <f t="shared" si="123"/>
        <v>58%</v>
      </c>
      <c r="AC482" s="1">
        <f t="shared" si="124"/>
        <v>1255</v>
      </c>
      <c r="AD482" s="51">
        <f t="shared" si="121"/>
        <v>4</v>
      </c>
      <c r="AE482" t="str">
        <f t="shared" si="125"/>
        <v/>
      </c>
      <c r="AF482" t="str">
        <f t="shared" si="126"/>
        <v/>
      </c>
      <c r="AG482" t="str">
        <f t="shared" si="127"/>
        <v/>
      </c>
      <c r="AH482" t="str">
        <f t="shared" si="128"/>
        <v/>
      </c>
      <c r="AI482" t="str">
        <f t="shared" si="129"/>
        <v/>
      </c>
      <c r="AJ482" t="str">
        <f t="shared" si="130"/>
        <v/>
      </c>
      <c r="AK482" t="str">
        <f t="shared" si="131"/>
        <v/>
      </c>
      <c r="AL482" t="str">
        <f t="shared" si="132"/>
        <v/>
      </c>
      <c r="AN482" t="str">
        <f>IFERROR(ROUND(L482*(G482/$AW482)/VLOOKUP(F482,商品!$A$4:$D$67,4,FALSE),0),"")</f>
        <v/>
      </c>
      <c r="AO482" t="str">
        <f>IFERROR(ROUND(L482*(I482/$AW482)/VLOOKUP(H482,商品!$A$4:$D$67,4,FALSE),0),"")</f>
        <v/>
      </c>
      <c r="AP482" t="str">
        <f>IFERROR(ROUND(L482*(K482/$AW482)/VLOOKUP(J482,商品!$A$4:$D$67,4,FALSE),0),"")</f>
        <v/>
      </c>
      <c r="AQ482" t="str">
        <f>IFERROR(ROUND(S482*(N482/$AX482)/VLOOKUP(M482,职业!$A$3:$E$16,4,FALSE),0),"")</f>
        <v/>
      </c>
      <c r="AR482" t="str">
        <f>IFERROR(ROUND(S482*(P482/$AX482)/VLOOKUP(O482,职业!$A$3:$E$16,4,FALSE),0),"")</f>
        <v/>
      </c>
      <c r="AS482" t="str">
        <f>IFERROR(ROUND(S482*(R482/$AX482)/VLOOKUP(Q482,职业!$A$3:$E$16,4,FALSE),0),"")</f>
        <v/>
      </c>
      <c r="AT482" t="str">
        <f>IFERROR(ROUND(X482*(U482/$AY482)/VLOOKUP(T482,商品!$A$4:$D$67,4,FALSE),0),"")</f>
        <v/>
      </c>
      <c r="AU482" t="str">
        <f>IFERROR(ROUND(X482*(W482/$AY482)/VLOOKUP(V482,商品!$A$4:$D$67,4,FALSE),0),"")</f>
        <v/>
      </c>
      <c r="AW482">
        <f t="shared" si="133"/>
        <v>0</v>
      </c>
      <c r="AX482">
        <f t="shared" si="134"/>
        <v>0</v>
      </c>
      <c r="AY482">
        <f t="shared" si="135"/>
        <v>0</v>
      </c>
    </row>
    <row r="483" customHeight="1" spans="1:51">
      <c r="A483" s="5" t="s">
        <v>372</v>
      </c>
      <c r="C483" s="5">
        <v>5</v>
      </c>
      <c r="D483" s="1" t="s">
        <v>238</v>
      </c>
      <c r="E483" s="1" t="s">
        <v>224</v>
      </c>
      <c r="L483" s="5">
        <f>IFERROR(VLOOKUP($D483&amp;$C483,生产方式定位!$A$2:$E$38,2,FALSE)+VLOOKUP($E483&amp;$C483,生产方式定位!$F$3:$J$38,2,FALSE),0)</f>
        <v>2600</v>
      </c>
      <c r="S483" s="5">
        <f>IFERROR(VLOOKUP($D483&amp;$C483,生产方式定位!$A$2:$E$38,3,FALSE)+VLOOKUP($E483&amp;$C483,生产方式定位!$F$3:$J$38,3,FALSE),0)</f>
        <v>0</v>
      </c>
      <c r="X483" s="5">
        <f>IFERROR(VLOOKUP($D483&amp;$C483,生产方式定位!$A$2:$E$38,5,FALSE)+VLOOKUP($E483&amp;$C483,生产方式定位!$F$3:$J$38,5,FALSE),"错误")</f>
        <v>4890</v>
      </c>
      <c r="Y483" s="27" t="str">
        <f t="shared" si="119"/>
        <v/>
      </c>
      <c r="Z483" s="50" t="str">
        <f t="shared" si="122"/>
        <v/>
      </c>
      <c r="AA483" s="50" t="str">
        <f t="shared" si="120"/>
        <v/>
      </c>
      <c r="AB483" s="28" t="str">
        <f t="shared" si="123"/>
        <v>88%</v>
      </c>
      <c r="AC483" s="1">
        <f t="shared" si="124"/>
        <v>2290</v>
      </c>
      <c r="AD483" s="51">
        <f t="shared" si="121"/>
        <v>5</v>
      </c>
      <c r="AE483" t="str">
        <f t="shared" si="125"/>
        <v/>
      </c>
      <c r="AF483" t="str">
        <f t="shared" si="126"/>
        <v/>
      </c>
      <c r="AG483" t="str">
        <f t="shared" si="127"/>
        <v/>
      </c>
      <c r="AH483" t="str">
        <f t="shared" si="128"/>
        <v/>
      </c>
      <c r="AI483" t="str">
        <f t="shared" si="129"/>
        <v/>
      </c>
      <c r="AJ483" t="str">
        <f t="shared" si="130"/>
        <v/>
      </c>
      <c r="AK483" t="str">
        <f t="shared" si="131"/>
        <v/>
      </c>
      <c r="AL483" t="str">
        <f t="shared" si="132"/>
        <v/>
      </c>
      <c r="AN483" t="str">
        <f>IFERROR(ROUND(L483*(G483/$AW483)/VLOOKUP(F483,商品!$A$4:$D$67,4,FALSE),0),"")</f>
        <v/>
      </c>
      <c r="AO483" t="str">
        <f>IFERROR(ROUND(L483*(I483/$AW483)/VLOOKUP(H483,商品!$A$4:$D$67,4,FALSE),0),"")</f>
        <v/>
      </c>
      <c r="AP483" t="str">
        <f>IFERROR(ROUND(L483*(K483/$AW483)/VLOOKUP(J483,商品!$A$4:$D$67,4,FALSE),0),"")</f>
        <v/>
      </c>
      <c r="AQ483" t="str">
        <f>IFERROR(ROUND(S483*(N483/$AX483)/VLOOKUP(M483,职业!$A$3:$E$16,4,FALSE),0),"")</f>
        <v/>
      </c>
      <c r="AR483" t="str">
        <f>IFERROR(ROUND(S483*(P483/$AX483)/VLOOKUP(O483,职业!$A$3:$E$16,4,FALSE),0),"")</f>
        <v/>
      </c>
      <c r="AS483" t="str">
        <f>IFERROR(ROUND(S483*(R483/$AX483)/VLOOKUP(Q483,职业!$A$3:$E$16,4,FALSE),0),"")</f>
        <v/>
      </c>
      <c r="AT483" t="str">
        <f>IFERROR(ROUND(X483*(U483/$AY483)/VLOOKUP(T483,商品!$A$4:$D$67,4,FALSE),0),"")</f>
        <v/>
      </c>
      <c r="AU483" t="str">
        <f>IFERROR(ROUND(X483*(W483/$AY483)/VLOOKUP(V483,商品!$A$4:$D$67,4,FALSE),0),"")</f>
        <v/>
      </c>
      <c r="AW483">
        <f t="shared" si="133"/>
        <v>0</v>
      </c>
      <c r="AX483">
        <f t="shared" si="134"/>
        <v>0</v>
      </c>
      <c r="AY483">
        <f t="shared" si="135"/>
        <v>0</v>
      </c>
    </row>
    <row r="484" customHeight="1" spans="1:51">
      <c r="A484" s="18" t="s">
        <v>373</v>
      </c>
      <c r="C484" s="18">
        <v>1</v>
      </c>
      <c r="D484" s="1" t="s">
        <v>291</v>
      </c>
      <c r="E484" s="1" t="s">
        <v>225</v>
      </c>
      <c r="L484" s="18">
        <f>IFERROR(VLOOKUP($D484&amp;$C484,生产方式定位!$A$2:$E$38,2,FALSE)+VLOOKUP($E484&amp;$C484,生产方式定位!$F$3:$J$38,2,FALSE),0)</f>
        <v>0</v>
      </c>
      <c r="S484" s="18">
        <f>IFERROR(VLOOKUP($D484&amp;$C484,生产方式定位!$A$2:$E$38,3,FALSE)+VLOOKUP($E484&amp;$C484,生产方式定位!$F$3:$J$38,3,FALSE),0)</f>
        <v>100</v>
      </c>
      <c r="X484" s="18">
        <f>IFERROR(VLOOKUP($D484&amp;$C484,生产方式定位!$A$2:$E$38,5,FALSE)+VLOOKUP($E484&amp;$C484,生产方式定位!$F$3:$J$38,5,FALSE),"错误")</f>
        <v>100</v>
      </c>
      <c r="Y484" s="27" t="str">
        <f t="shared" si="119"/>
        <v/>
      </c>
      <c r="Z484" s="50" t="str">
        <f t="shared" si="122"/>
        <v/>
      </c>
      <c r="AA484" s="50" t="str">
        <f t="shared" si="120"/>
        <v/>
      </c>
      <c r="AB484" s="28" t="str">
        <f t="shared" si="123"/>
        <v/>
      </c>
      <c r="AC484" s="1" t="str">
        <f t="shared" si="124"/>
        <v/>
      </c>
      <c r="AD484" s="52">
        <f t="shared" si="121"/>
        <v>1</v>
      </c>
      <c r="AE484" t="str">
        <f t="shared" si="125"/>
        <v/>
      </c>
      <c r="AF484" t="str">
        <f t="shared" si="126"/>
        <v/>
      </c>
      <c r="AG484" t="str">
        <f t="shared" si="127"/>
        <v/>
      </c>
      <c r="AH484" t="str">
        <f t="shared" si="128"/>
        <v/>
      </c>
      <c r="AI484" t="str">
        <f t="shared" si="129"/>
        <v/>
      </c>
      <c r="AJ484" t="str">
        <f t="shared" si="130"/>
        <v/>
      </c>
      <c r="AK484" t="str">
        <f t="shared" si="131"/>
        <v/>
      </c>
      <c r="AL484" t="str">
        <f t="shared" si="132"/>
        <v/>
      </c>
      <c r="AN484" t="str">
        <f>IFERROR(ROUND(L484*(G484/$AW484)/VLOOKUP(F484,商品!$A$4:$D$67,4,FALSE),0),"")</f>
        <v/>
      </c>
      <c r="AO484" t="str">
        <f>IFERROR(ROUND(L484*(I484/$AW484)/VLOOKUP(H484,商品!$A$4:$D$67,4,FALSE),0),"")</f>
        <v/>
      </c>
      <c r="AP484" t="str">
        <f>IFERROR(ROUND(L484*(K484/$AW484)/VLOOKUP(J484,商品!$A$4:$D$67,4,FALSE),0),"")</f>
        <v/>
      </c>
      <c r="AQ484" t="str">
        <f>IFERROR(ROUND(S484*(N484/$AX484)/VLOOKUP(M484,职业!$A$3:$E$16,4,FALSE),0),"")</f>
        <v/>
      </c>
      <c r="AR484" t="str">
        <f>IFERROR(ROUND(S484*(P484/$AX484)/VLOOKUP(O484,职业!$A$3:$E$16,4,FALSE),0),"")</f>
        <v/>
      </c>
      <c r="AS484" t="str">
        <f>IFERROR(ROUND(S484*(R484/$AX484)/VLOOKUP(Q484,职业!$A$3:$E$16,4,FALSE),0),"")</f>
        <v/>
      </c>
      <c r="AT484" t="str">
        <f>IFERROR(ROUND(X484*(U484/$AY484)/VLOOKUP(T484,商品!$A$4:$D$67,4,FALSE),0),"")</f>
        <v/>
      </c>
      <c r="AU484" t="str">
        <f>IFERROR(ROUND(X484*(W484/$AY484)/VLOOKUP(V484,商品!$A$4:$D$67,4,FALSE),0),"")</f>
        <v/>
      </c>
      <c r="AW484">
        <f t="shared" si="133"/>
        <v>0</v>
      </c>
      <c r="AX484">
        <f t="shared" si="134"/>
        <v>0</v>
      </c>
      <c r="AY484">
        <f t="shared" si="135"/>
        <v>0</v>
      </c>
    </row>
    <row r="485" customHeight="1" spans="1:51">
      <c r="A485" s="18" t="s">
        <v>373</v>
      </c>
      <c r="C485" s="18">
        <v>2</v>
      </c>
      <c r="D485" s="1" t="s">
        <v>291</v>
      </c>
      <c r="E485" s="1" t="s">
        <v>225</v>
      </c>
      <c r="L485" s="18">
        <f>IFERROR(VLOOKUP($D485&amp;$C485,生产方式定位!$A$2:$E$38,2,FALSE)+VLOOKUP($E485&amp;$C485,生产方式定位!$F$3:$J$38,2,FALSE),0)</f>
        <v>0</v>
      </c>
      <c r="S485" s="18">
        <f>IFERROR(VLOOKUP($D485&amp;$C485,生产方式定位!$A$2:$E$38,3,FALSE)+VLOOKUP($E485&amp;$C485,生产方式定位!$F$3:$J$38,3,FALSE),0)</f>
        <v>100</v>
      </c>
      <c r="X485" s="18">
        <f>IFERROR(VLOOKUP($D485&amp;$C485,生产方式定位!$A$2:$E$38,5,FALSE)+VLOOKUP($E485&amp;$C485,生产方式定位!$F$3:$J$38,5,FALSE),"错误")</f>
        <v>100</v>
      </c>
      <c r="Y485" s="27" t="str">
        <f t="shared" si="119"/>
        <v/>
      </c>
      <c r="Z485" s="50" t="str">
        <f t="shared" si="122"/>
        <v/>
      </c>
      <c r="AA485" s="50" t="str">
        <f t="shared" si="120"/>
        <v/>
      </c>
      <c r="AB485" s="28" t="str">
        <f t="shared" si="123"/>
        <v/>
      </c>
      <c r="AC485" s="1" t="str">
        <f t="shared" si="124"/>
        <v/>
      </c>
      <c r="AD485" s="52">
        <f t="shared" si="121"/>
        <v>2</v>
      </c>
      <c r="AE485" t="str">
        <f t="shared" si="125"/>
        <v/>
      </c>
      <c r="AF485" t="str">
        <f t="shared" si="126"/>
        <v/>
      </c>
      <c r="AG485" t="str">
        <f t="shared" si="127"/>
        <v/>
      </c>
      <c r="AH485" t="str">
        <f t="shared" si="128"/>
        <v/>
      </c>
      <c r="AI485" t="str">
        <f t="shared" si="129"/>
        <v/>
      </c>
      <c r="AJ485" t="str">
        <f t="shared" si="130"/>
        <v/>
      </c>
      <c r="AK485" t="str">
        <f t="shared" si="131"/>
        <v/>
      </c>
      <c r="AL485" t="str">
        <f t="shared" si="132"/>
        <v/>
      </c>
      <c r="AN485" t="str">
        <f>IFERROR(ROUND(L485*(G485/$AW485)/VLOOKUP(F485,商品!$A$4:$D$67,4,FALSE),0),"")</f>
        <v/>
      </c>
      <c r="AO485" t="str">
        <f>IFERROR(ROUND(L485*(I485/$AW485)/VLOOKUP(H485,商品!$A$4:$D$67,4,FALSE),0),"")</f>
        <v/>
      </c>
      <c r="AP485" t="str">
        <f>IFERROR(ROUND(L485*(K485/$AW485)/VLOOKUP(J485,商品!$A$4:$D$67,4,FALSE),0),"")</f>
        <v/>
      </c>
      <c r="AQ485" t="str">
        <f>IFERROR(ROUND(S485*(N485/$AX485)/VLOOKUP(M485,职业!$A$3:$E$16,4,FALSE),0),"")</f>
        <v/>
      </c>
      <c r="AR485" t="str">
        <f>IFERROR(ROUND(S485*(P485/$AX485)/VLOOKUP(O485,职业!$A$3:$E$16,4,FALSE),0),"")</f>
        <v/>
      </c>
      <c r="AS485" t="str">
        <f>IFERROR(ROUND(S485*(R485/$AX485)/VLOOKUP(Q485,职业!$A$3:$E$16,4,FALSE),0),"")</f>
        <v/>
      </c>
      <c r="AT485" t="str">
        <f>IFERROR(ROUND(X485*(U485/$AY485)/VLOOKUP(T485,商品!$A$4:$D$67,4,FALSE),0),"")</f>
        <v/>
      </c>
      <c r="AU485" t="str">
        <f>IFERROR(ROUND(X485*(W485/$AY485)/VLOOKUP(V485,商品!$A$4:$D$67,4,FALSE),0),"")</f>
        <v/>
      </c>
      <c r="AW485">
        <f t="shared" si="133"/>
        <v>0</v>
      </c>
      <c r="AX485">
        <f t="shared" si="134"/>
        <v>0</v>
      </c>
      <c r="AY485">
        <f t="shared" si="135"/>
        <v>0</v>
      </c>
    </row>
    <row r="486" customHeight="1" spans="1:51">
      <c r="A486" s="18" t="s">
        <v>373</v>
      </c>
      <c r="C486" s="18">
        <v>3</v>
      </c>
      <c r="D486" s="1" t="s">
        <v>291</v>
      </c>
      <c r="E486" s="1" t="s">
        <v>225</v>
      </c>
      <c r="L486" s="18">
        <f>IFERROR(VLOOKUP($D486&amp;$C486,生产方式定位!$A$2:$E$38,2,FALSE)+VLOOKUP($E486&amp;$C486,生产方式定位!$F$3:$J$38,2,FALSE),0)</f>
        <v>0</v>
      </c>
      <c r="S486" s="18">
        <f>IFERROR(VLOOKUP($D486&amp;$C486,生产方式定位!$A$2:$E$38,3,FALSE)+VLOOKUP($E486&amp;$C486,生产方式定位!$F$3:$J$38,3,FALSE),0)</f>
        <v>100</v>
      </c>
      <c r="X486" s="18">
        <f>IFERROR(VLOOKUP($D486&amp;$C486,生产方式定位!$A$2:$E$38,5,FALSE)+VLOOKUP($E486&amp;$C486,生产方式定位!$F$3:$J$38,5,FALSE),"错误")</f>
        <v>100</v>
      </c>
      <c r="Y486" s="27" t="str">
        <f t="shared" si="119"/>
        <v/>
      </c>
      <c r="Z486" s="50" t="str">
        <f t="shared" si="122"/>
        <v/>
      </c>
      <c r="AA486" s="50" t="str">
        <f t="shared" si="120"/>
        <v/>
      </c>
      <c r="AB486" s="28" t="str">
        <f t="shared" si="123"/>
        <v/>
      </c>
      <c r="AC486" s="1" t="str">
        <f t="shared" si="124"/>
        <v/>
      </c>
      <c r="AD486" s="52">
        <f t="shared" si="121"/>
        <v>3</v>
      </c>
      <c r="AE486" t="str">
        <f t="shared" si="125"/>
        <v/>
      </c>
      <c r="AF486" t="str">
        <f t="shared" si="126"/>
        <v/>
      </c>
      <c r="AG486" t="str">
        <f t="shared" si="127"/>
        <v/>
      </c>
      <c r="AH486" t="str">
        <f t="shared" si="128"/>
        <v/>
      </c>
      <c r="AI486" t="str">
        <f t="shared" si="129"/>
        <v/>
      </c>
      <c r="AJ486" t="str">
        <f t="shared" si="130"/>
        <v/>
      </c>
      <c r="AK486" t="str">
        <f t="shared" si="131"/>
        <v/>
      </c>
      <c r="AL486" t="str">
        <f t="shared" si="132"/>
        <v/>
      </c>
      <c r="AN486" t="str">
        <f>IFERROR(ROUND(L486*(G486/$AW486)/VLOOKUP(F486,商品!$A$4:$D$67,4,FALSE),0),"")</f>
        <v/>
      </c>
      <c r="AO486" t="str">
        <f>IFERROR(ROUND(L486*(I486/$AW486)/VLOOKUP(H486,商品!$A$4:$D$67,4,FALSE),0),"")</f>
        <v/>
      </c>
      <c r="AP486" t="str">
        <f>IFERROR(ROUND(L486*(K486/$AW486)/VLOOKUP(J486,商品!$A$4:$D$67,4,FALSE),0),"")</f>
        <v/>
      </c>
      <c r="AQ486" t="str">
        <f>IFERROR(ROUND(S486*(N486/$AX486)/VLOOKUP(M486,职业!$A$3:$E$16,4,FALSE),0),"")</f>
        <v/>
      </c>
      <c r="AR486" t="str">
        <f>IFERROR(ROUND(S486*(P486/$AX486)/VLOOKUP(O486,职业!$A$3:$E$16,4,FALSE),0),"")</f>
        <v/>
      </c>
      <c r="AS486" t="str">
        <f>IFERROR(ROUND(S486*(R486/$AX486)/VLOOKUP(Q486,职业!$A$3:$E$16,4,FALSE),0),"")</f>
        <v/>
      </c>
      <c r="AT486" t="str">
        <f>IFERROR(ROUND(X486*(U486/$AY486)/VLOOKUP(T486,商品!$A$4:$D$67,4,FALSE),0),"")</f>
        <v/>
      </c>
      <c r="AU486" t="str">
        <f>IFERROR(ROUND(X486*(W486/$AY486)/VLOOKUP(V486,商品!$A$4:$D$67,4,FALSE),0),"")</f>
        <v/>
      </c>
      <c r="AW486">
        <f t="shared" si="133"/>
        <v>0</v>
      </c>
      <c r="AX486">
        <f t="shared" si="134"/>
        <v>0</v>
      </c>
      <c r="AY486">
        <f t="shared" si="135"/>
        <v>0</v>
      </c>
    </row>
    <row r="487" customHeight="1" spans="1:51">
      <c r="A487" s="18" t="s">
        <v>373</v>
      </c>
      <c r="C487" s="18">
        <v>4</v>
      </c>
      <c r="D487" s="1" t="s">
        <v>291</v>
      </c>
      <c r="E487" s="1" t="s">
        <v>225</v>
      </c>
      <c r="L487" s="18">
        <f>IFERROR(VLOOKUP($D487&amp;$C487,生产方式定位!$A$2:$E$38,2,FALSE)+VLOOKUP($E487&amp;$C487,生产方式定位!$F$3:$J$38,2,FALSE),0)</f>
        <v>0</v>
      </c>
      <c r="S487" s="18">
        <f>IFERROR(VLOOKUP($D487&amp;$C487,生产方式定位!$A$2:$E$38,3,FALSE)+VLOOKUP($E487&amp;$C487,生产方式定位!$F$3:$J$38,3,FALSE),0)</f>
        <v>100</v>
      </c>
      <c r="X487" s="18">
        <f>IFERROR(VLOOKUP($D487&amp;$C487,生产方式定位!$A$2:$E$38,5,FALSE)+VLOOKUP($E487&amp;$C487,生产方式定位!$F$3:$J$38,5,FALSE),"错误")</f>
        <v>100</v>
      </c>
      <c r="Y487" s="27" t="str">
        <f t="shared" si="119"/>
        <v/>
      </c>
      <c r="Z487" s="50" t="str">
        <f t="shared" si="122"/>
        <v/>
      </c>
      <c r="AA487" s="50" t="str">
        <f t="shared" si="120"/>
        <v/>
      </c>
      <c r="AB487" s="28" t="str">
        <f t="shared" si="123"/>
        <v/>
      </c>
      <c r="AC487" s="1" t="str">
        <f t="shared" si="124"/>
        <v/>
      </c>
      <c r="AD487" s="52">
        <f t="shared" si="121"/>
        <v>4</v>
      </c>
      <c r="AE487" t="str">
        <f t="shared" si="125"/>
        <v/>
      </c>
      <c r="AF487" t="str">
        <f t="shared" si="126"/>
        <v/>
      </c>
      <c r="AG487" t="str">
        <f t="shared" si="127"/>
        <v/>
      </c>
      <c r="AH487" t="str">
        <f t="shared" si="128"/>
        <v/>
      </c>
      <c r="AI487" t="str">
        <f t="shared" si="129"/>
        <v/>
      </c>
      <c r="AJ487" t="str">
        <f t="shared" si="130"/>
        <v/>
      </c>
      <c r="AK487" t="str">
        <f t="shared" si="131"/>
        <v/>
      </c>
      <c r="AL487" t="str">
        <f t="shared" si="132"/>
        <v/>
      </c>
      <c r="AN487" t="str">
        <f>IFERROR(ROUND(L487*(G487/$AW487)/VLOOKUP(F487,商品!$A$4:$D$67,4,FALSE),0),"")</f>
        <v/>
      </c>
      <c r="AO487" t="str">
        <f>IFERROR(ROUND(L487*(I487/$AW487)/VLOOKUP(H487,商品!$A$4:$D$67,4,FALSE),0),"")</f>
        <v/>
      </c>
      <c r="AP487" t="str">
        <f>IFERROR(ROUND(L487*(K487/$AW487)/VLOOKUP(J487,商品!$A$4:$D$67,4,FALSE),0),"")</f>
        <v/>
      </c>
      <c r="AQ487" t="str">
        <f>IFERROR(ROUND(S487*(N487/$AX487)/VLOOKUP(M487,职业!$A$3:$E$16,4,FALSE),0),"")</f>
        <v/>
      </c>
      <c r="AR487" t="str">
        <f>IFERROR(ROUND(S487*(P487/$AX487)/VLOOKUP(O487,职业!$A$3:$E$16,4,FALSE),0),"")</f>
        <v/>
      </c>
      <c r="AS487" t="str">
        <f>IFERROR(ROUND(S487*(R487/$AX487)/VLOOKUP(Q487,职业!$A$3:$E$16,4,FALSE),0),"")</f>
        <v/>
      </c>
      <c r="AT487" t="str">
        <f>IFERROR(ROUND(X487*(U487/$AY487)/VLOOKUP(T487,商品!$A$4:$D$67,4,FALSE),0),"")</f>
        <v/>
      </c>
      <c r="AU487" t="str">
        <f>IFERROR(ROUND(X487*(W487/$AY487)/VLOOKUP(V487,商品!$A$4:$D$67,4,FALSE),0),"")</f>
        <v/>
      </c>
      <c r="AW487">
        <f t="shared" si="133"/>
        <v>0</v>
      </c>
      <c r="AX487">
        <f t="shared" si="134"/>
        <v>0</v>
      </c>
      <c r="AY487">
        <f t="shared" si="135"/>
        <v>0</v>
      </c>
    </row>
    <row r="488" customHeight="1" spans="1:51">
      <c r="A488" s="18" t="s">
        <v>373</v>
      </c>
      <c r="C488" s="18">
        <v>5</v>
      </c>
      <c r="D488" s="1" t="s">
        <v>291</v>
      </c>
      <c r="E488" s="1" t="s">
        <v>225</v>
      </c>
      <c r="L488" s="18">
        <f>IFERROR(VLOOKUP($D488&amp;$C488,生产方式定位!$A$2:$E$38,2,FALSE)+VLOOKUP($E488&amp;$C488,生产方式定位!$F$3:$J$38,2,FALSE),0)</f>
        <v>0</v>
      </c>
      <c r="S488" s="18">
        <f>IFERROR(VLOOKUP($D488&amp;$C488,生产方式定位!$A$2:$E$38,3,FALSE)+VLOOKUP($E488&amp;$C488,生产方式定位!$F$3:$J$38,3,FALSE),0)</f>
        <v>100</v>
      </c>
      <c r="X488" s="18">
        <f>IFERROR(VLOOKUP($D488&amp;$C488,生产方式定位!$A$2:$E$38,5,FALSE)+VLOOKUP($E488&amp;$C488,生产方式定位!$F$3:$J$38,5,FALSE),"错误")</f>
        <v>100</v>
      </c>
      <c r="Y488" s="27" t="str">
        <f t="shared" si="119"/>
        <v/>
      </c>
      <c r="Z488" s="50" t="str">
        <f t="shared" si="122"/>
        <v/>
      </c>
      <c r="AA488" s="50" t="str">
        <f t="shared" si="120"/>
        <v/>
      </c>
      <c r="AB488" s="28" t="str">
        <f t="shared" si="123"/>
        <v/>
      </c>
      <c r="AC488" s="1" t="str">
        <f t="shared" si="124"/>
        <v/>
      </c>
      <c r="AD488" s="52">
        <f t="shared" si="121"/>
        <v>5</v>
      </c>
      <c r="AE488" t="str">
        <f t="shared" si="125"/>
        <v/>
      </c>
      <c r="AF488" t="str">
        <f t="shared" si="126"/>
        <v/>
      </c>
      <c r="AG488" t="str">
        <f t="shared" si="127"/>
        <v/>
      </c>
      <c r="AH488" t="str">
        <f t="shared" si="128"/>
        <v/>
      </c>
      <c r="AI488" t="str">
        <f t="shared" si="129"/>
        <v/>
      </c>
      <c r="AJ488" t="str">
        <f t="shared" si="130"/>
        <v/>
      </c>
      <c r="AK488" t="str">
        <f t="shared" si="131"/>
        <v/>
      </c>
      <c r="AL488" t="str">
        <f t="shared" si="132"/>
        <v/>
      </c>
      <c r="AN488" t="str">
        <f>IFERROR(ROUND(L488*(G488/$AW488)/VLOOKUP(F488,商品!$A$4:$D$67,4,FALSE),0),"")</f>
        <v/>
      </c>
      <c r="AO488" t="str">
        <f>IFERROR(ROUND(L488*(I488/$AW488)/VLOOKUP(H488,商品!$A$4:$D$67,4,FALSE),0),"")</f>
        <v/>
      </c>
      <c r="AP488" t="str">
        <f>IFERROR(ROUND(L488*(K488/$AW488)/VLOOKUP(J488,商品!$A$4:$D$67,4,FALSE),0),"")</f>
        <v/>
      </c>
      <c r="AQ488" t="str">
        <f>IFERROR(ROUND(S488*(N488/$AX488)/VLOOKUP(M488,职业!$A$3:$E$16,4,FALSE),0),"")</f>
        <v/>
      </c>
      <c r="AR488" t="str">
        <f>IFERROR(ROUND(S488*(P488/$AX488)/VLOOKUP(O488,职业!$A$3:$E$16,4,FALSE),0),"")</f>
        <v/>
      </c>
      <c r="AS488" t="str">
        <f>IFERROR(ROUND(S488*(R488/$AX488)/VLOOKUP(Q488,职业!$A$3:$E$16,4,FALSE),0),"")</f>
        <v/>
      </c>
      <c r="AT488" t="str">
        <f>IFERROR(ROUND(X488*(U488/$AY488)/VLOOKUP(T488,商品!$A$4:$D$67,4,FALSE),0),"")</f>
        <v/>
      </c>
      <c r="AU488" t="str">
        <f>IFERROR(ROUND(X488*(W488/$AY488)/VLOOKUP(V488,商品!$A$4:$D$67,4,FALSE),0),"")</f>
        <v/>
      </c>
      <c r="AW488">
        <f t="shared" si="133"/>
        <v>0</v>
      </c>
      <c r="AX488">
        <f t="shared" si="134"/>
        <v>0</v>
      </c>
      <c r="AY488">
        <f t="shared" si="135"/>
        <v>0</v>
      </c>
    </row>
    <row r="489" customHeight="1" spans="1:51">
      <c r="A489" s="18" t="s">
        <v>373</v>
      </c>
      <c r="C489" s="18">
        <v>6</v>
      </c>
      <c r="D489" s="1" t="s">
        <v>291</v>
      </c>
      <c r="E489" s="1" t="s">
        <v>225</v>
      </c>
      <c r="L489" s="18">
        <f>IFERROR(VLOOKUP($D489&amp;$C489,生产方式定位!$A$2:$E$38,2,FALSE)+VLOOKUP($E489&amp;$C489,生产方式定位!$F$3:$J$38,2,FALSE),0)</f>
        <v>0</v>
      </c>
      <c r="S489" s="18">
        <f>IFERROR(VLOOKUP($D489&amp;$C489,生产方式定位!$A$2:$E$38,3,FALSE)+VLOOKUP($E489&amp;$C489,生产方式定位!$F$3:$J$38,3,FALSE),0)</f>
        <v>100</v>
      </c>
      <c r="X489" s="18">
        <f>IFERROR(VLOOKUP($D489&amp;$C489,生产方式定位!$A$2:$E$38,5,FALSE)+VLOOKUP($E489&amp;$C489,生产方式定位!$F$3:$J$38,5,FALSE),"错误")</f>
        <v>100</v>
      </c>
      <c r="Y489" s="27" t="str">
        <f t="shared" si="119"/>
        <v/>
      </c>
      <c r="Z489" s="50" t="str">
        <f t="shared" si="122"/>
        <v/>
      </c>
      <c r="AA489" s="50" t="str">
        <f t="shared" si="120"/>
        <v/>
      </c>
      <c r="AB489" s="28" t="str">
        <f t="shared" si="123"/>
        <v/>
      </c>
      <c r="AC489" s="1" t="str">
        <f t="shared" si="124"/>
        <v/>
      </c>
      <c r="AD489" s="52">
        <f t="shared" si="121"/>
        <v>6</v>
      </c>
      <c r="AE489" t="str">
        <f t="shared" si="125"/>
        <v/>
      </c>
      <c r="AF489" t="str">
        <f t="shared" si="126"/>
        <v/>
      </c>
      <c r="AG489" t="str">
        <f t="shared" si="127"/>
        <v/>
      </c>
      <c r="AH489" t="str">
        <f t="shared" si="128"/>
        <v/>
      </c>
      <c r="AI489" t="str">
        <f t="shared" si="129"/>
        <v/>
      </c>
      <c r="AJ489" t="str">
        <f t="shared" si="130"/>
        <v/>
      </c>
      <c r="AK489" t="str">
        <f t="shared" si="131"/>
        <v/>
      </c>
      <c r="AL489" t="str">
        <f t="shared" si="132"/>
        <v/>
      </c>
      <c r="AN489" t="str">
        <f>IFERROR(ROUND(L489*(G489/$AW489)/VLOOKUP(F489,商品!$A$4:$D$67,4,FALSE),0),"")</f>
        <v/>
      </c>
      <c r="AO489" t="str">
        <f>IFERROR(ROUND(L489*(I489/$AW489)/VLOOKUP(H489,商品!$A$4:$D$67,4,FALSE),0),"")</f>
        <v/>
      </c>
      <c r="AP489" t="str">
        <f>IFERROR(ROUND(L489*(K489/$AW489)/VLOOKUP(J489,商品!$A$4:$D$67,4,FALSE),0),"")</f>
        <v/>
      </c>
      <c r="AQ489" t="str">
        <f>IFERROR(ROUND(S489*(N489/$AX489)/VLOOKUP(M489,职业!$A$3:$E$16,4,FALSE),0),"")</f>
        <v/>
      </c>
      <c r="AR489" t="str">
        <f>IFERROR(ROUND(S489*(P489/$AX489)/VLOOKUP(O489,职业!$A$3:$E$16,4,FALSE),0),"")</f>
        <v/>
      </c>
      <c r="AS489" t="str">
        <f>IFERROR(ROUND(S489*(R489/$AX489)/VLOOKUP(Q489,职业!$A$3:$E$16,4,FALSE),0),"")</f>
        <v/>
      </c>
      <c r="AT489" t="str">
        <f>IFERROR(ROUND(X489*(U489/$AY489)/VLOOKUP(T489,商品!$A$4:$D$67,4,FALSE),0),"")</f>
        <v/>
      </c>
      <c r="AU489" t="str">
        <f>IFERROR(ROUND(X489*(W489/$AY489)/VLOOKUP(V489,商品!$A$4:$D$67,4,FALSE),0),"")</f>
        <v/>
      </c>
      <c r="AW489">
        <f t="shared" si="133"/>
        <v>0</v>
      </c>
      <c r="AX489">
        <f t="shared" si="134"/>
        <v>0</v>
      </c>
      <c r="AY489">
        <f t="shared" si="135"/>
        <v>0</v>
      </c>
    </row>
    <row r="490" customHeight="1" spans="1:51">
      <c r="A490" s="18" t="s">
        <v>373</v>
      </c>
      <c r="C490" s="18">
        <v>7</v>
      </c>
      <c r="D490" s="1" t="s">
        <v>291</v>
      </c>
      <c r="E490" s="1" t="s">
        <v>225</v>
      </c>
      <c r="L490" s="18">
        <f>IFERROR(VLOOKUP($D490&amp;$C490,生产方式定位!$A$2:$E$38,2,FALSE)+VLOOKUP($E490&amp;$C490,生产方式定位!$F$3:$J$38,2,FALSE),0)</f>
        <v>0</v>
      </c>
      <c r="S490" s="18">
        <f>IFERROR(VLOOKUP($D490&amp;$C490,生产方式定位!$A$2:$E$38,3,FALSE)+VLOOKUP($E490&amp;$C490,生产方式定位!$F$3:$J$38,3,FALSE),0)</f>
        <v>100</v>
      </c>
      <c r="X490" s="18">
        <f>IFERROR(VLOOKUP($D490&amp;$C490,生产方式定位!$A$2:$E$38,5,FALSE)+VLOOKUP($E490&amp;$C490,生产方式定位!$F$3:$J$38,5,FALSE),"错误")</f>
        <v>100</v>
      </c>
      <c r="Y490" s="27" t="str">
        <f t="shared" si="119"/>
        <v/>
      </c>
      <c r="Z490" s="50" t="str">
        <f t="shared" si="122"/>
        <v/>
      </c>
      <c r="AA490" s="50" t="str">
        <f t="shared" si="120"/>
        <v/>
      </c>
      <c r="AB490" s="28" t="str">
        <f t="shared" si="123"/>
        <v/>
      </c>
      <c r="AC490" s="1" t="str">
        <f t="shared" si="124"/>
        <v/>
      </c>
      <c r="AD490" s="52">
        <f t="shared" si="121"/>
        <v>7</v>
      </c>
      <c r="AE490" t="str">
        <f t="shared" si="125"/>
        <v/>
      </c>
      <c r="AF490" t="str">
        <f t="shared" si="126"/>
        <v/>
      </c>
      <c r="AG490" t="str">
        <f t="shared" si="127"/>
        <v/>
      </c>
      <c r="AH490" t="str">
        <f t="shared" si="128"/>
        <v/>
      </c>
      <c r="AI490" t="str">
        <f t="shared" si="129"/>
        <v/>
      </c>
      <c r="AJ490" t="str">
        <f t="shared" si="130"/>
        <v/>
      </c>
      <c r="AK490" t="str">
        <f t="shared" si="131"/>
        <v/>
      </c>
      <c r="AL490" t="str">
        <f t="shared" si="132"/>
        <v/>
      </c>
      <c r="AN490" t="str">
        <f>IFERROR(ROUND(L490*(G490/$AW490)/VLOOKUP(F490,商品!$A$4:$D$67,4,FALSE),0),"")</f>
        <v/>
      </c>
      <c r="AO490" t="str">
        <f>IFERROR(ROUND(L490*(I490/$AW490)/VLOOKUP(H490,商品!$A$4:$D$67,4,FALSE),0),"")</f>
        <v/>
      </c>
      <c r="AP490" t="str">
        <f>IFERROR(ROUND(L490*(K490/$AW490)/VLOOKUP(J490,商品!$A$4:$D$67,4,FALSE),0),"")</f>
        <v/>
      </c>
      <c r="AQ490" t="str">
        <f>IFERROR(ROUND(S490*(N490/$AX490)/VLOOKUP(M490,职业!$A$3:$E$16,4,FALSE),0),"")</f>
        <v/>
      </c>
      <c r="AR490" t="str">
        <f>IFERROR(ROUND(S490*(P490/$AX490)/VLOOKUP(O490,职业!$A$3:$E$16,4,FALSE),0),"")</f>
        <v/>
      </c>
      <c r="AS490" t="str">
        <f>IFERROR(ROUND(S490*(R490/$AX490)/VLOOKUP(Q490,职业!$A$3:$E$16,4,FALSE),0),"")</f>
        <v/>
      </c>
      <c r="AT490" t="str">
        <f>IFERROR(ROUND(X490*(U490/$AY490)/VLOOKUP(T490,商品!$A$4:$D$67,4,FALSE),0),"")</f>
        <v/>
      </c>
      <c r="AU490" t="str">
        <f>IFERROR(ROUND(X490*(W490/$AY490)/VLOOKUP(V490,商品!$A$4:$D$67,4,FALSE),0),"")</f>
        <v/>
      </c>
      <c r="AW490">
        <f t="shared" si="133"/>
        <v>0</v>
      </c>
      <c r="AX490">
        <f t="shared" si="134"/>
        <v>0</v>
      </c>
      <c r="AY490">
        <f t="shared" si="135"/>
        <v>0</v>
      </c>
    </row>
    <row r="491" customHeight="1" spans="1:51">
      <c r="A491" s="18" t="s">
        <v>373</v>
      </c>
      <c r="C491" s="18">
        <v>8</v>
      </c>
      <c r="D491" s="1" t="s">
        <v>291</v>
      </c>
      <c r="E491" s="1" t="s">
        <v>225</v>
      </c>
      <c r="L491" s="18">
        <f>IFERROR(VLOOKUP($D491&amp;$C491,生产方式定位!$A$2:$E$38,2,FALSE)+VLOOKUP($E491&amp;$C491,生产方式定位!$F$3:$J$38,2,FALSE),0)</f>
        <v>0</v>
      </c>
      <c r="S491" s="18">
        <f>IFERROR(VLOOKUP($D491&amp;$C491,生产方式定位!$A$2:$E$38,3,FALSE)+VLOOKUP($E491&amp;$C491,生产方式定位!$F$3:$J$38,3,FALSE),0)</f>
        <v>100</v>
      </c>
      <c r="X491" s="18">
        <f>IFERROR(VLOOKUP($D491&amp;$C491,生产方式定位!$A$2:$E$38,5,FALSE)+VLOOKUP($E491&amp;$C491,生产方式定位!$F$3:$J$38,5,FALSE),"错误")</f>
        <v>100</v>
      </c>
      <c r="Y491" s="27" t="str">
        <f t="shared" si="119"/>
        <v/>
      </c>
      <c r="Z491" s="50" t="str">
        <f t="shared" si="122"/>
        <v/>
      </c>
      <c r="AA491" s="50" t="str">
        <f t="shared" si="120"/>
        <v/>
      </c>
      <c r="AB491" s="28" t="str">
        <f t="shared" si="123"/>
        <v/>
      </c>
      <c r="AC491" s="1" t="str">
        <f t="shared" si="124"/>
        <v/>
      </c>
      <c r="AD491" s="52">
        <f t="shared" si="121"/>
        <v>8</v>
      </c>
      <c r="AE491" t="str">
        <f t="shared" si="125"/>
        <v/>
      </c>
      <c r="AF491" t="str">
        <f t="shared" si="126"/>
        <v/>
      </c>
      <c r="AG491" t="str">
        <f t="shared" si="127"/>
        <v/>
      </c>
      <c r="AH491" t="str">
        <f t="shared" si="128"/>
        <v/>
      </c>
      <c r="AI491" t="str">
        <f t="shared" si="129"/>
        <v/>
      </c>
      <c r="AJ491" t="str">
        <f t="shared" si="130"/>
        <v/>
      </c>
      <c r="AK491" t="str">
        <f t="shared" si="131"/>
        <v/>
      </c>
      <c r="AL491" t="str">
        <f t="shared" si="132"/>
        <v/>
      </c>
      <c r="AN491" t="str">
        <f>IFERROR(ROUND(L491*(G491/$AW491)/VLOOKUP(F491,商品!$A$4:$D$67,4,FALSE),0),"")</f>
        <v/>
      </c>
      <c r="AO491" t="str">
        <f>IFERROR(ROUND(L491*(I491/$AW491)/VLOOKUP(H491,商品!$A$4:$D$67,4,FALSE),0),"")</f>
        <v/>
      </c>
      <c r="AP491" t="str">
        <f>IFERROR(ROUND(L491*(K491/$AW491)/VLOOKUP(J491,商品!$A$4:$D$67,4,FALSE),0),"")</f>
        <v/>
      </c>
      <c r="AQ491" t="str">
        <f>IFERROR(ROUND(S491*(N491/$AX491)/VLOOKUP(M491,职业!$A$3:$E$16,4,FALSE),0),"")</f>
        <v/>
      </c>
      <c r="AR491" t="str">
        <f>IFERROR(ROUND(S491*(P491/$AX491)/VLOOKUP(O491,职业!$A$3:$E$16,4,FALSE),0),"")</f>
        <v/>
      </c>
      <c r="AS491" t="str">
        <f>IFERROR(ROUND(S491*(R491/$AX491)/VLOOKUP(Q491,职业!$A$3:$E$16,4,FALSE),0),"")</f>
        <v/>
      </c>
      <c r="AT491" t="str">
        <f>IFERROR(ROUND(X491*(U491/$AY491)/VLOOKUP(T491,商品!$A$4:$D$67,4,FALSE),0),"")</f>
        <v/>
      </c>
      <c r="AU491" t="str">
        <f>IFERROR(ROUND(X491*(W491/$AY491)/VLOOKUP(V491,商品!$A$4:$D$67,4,FALSE),0),"")</f>
        <v/>
      </c>
      <c r="AW491">
        <f t="shared" si="133"/>
        <v>0</v>
      </c>
      <c r="AX491">
        <f t="shared" si="134"/>
        <v>0</v>
      </c>
      <c r="AY491">
        <f t="shared" si="135"/>
        <v>0</v>
      </c>
    </row>
    <row r="492" customHeight="1" spans="1:51">
      <c r="A492" s="5" t="s">
        <v>375</v>
      </c>
      <c r="C492" s="5">
        <v>1</v>
      </c>
      <c r="D492" s="1" t="s">
        <v>247</v>
      </c>
      <c r="E492" s="1" t="s">
        <v>222</v>
      </c>
      <c r="L492" s="5">
        <f>IFERROR(VLOOKUP($D492&amp;$C492,生产方式定位!$A$2:$E$38,2,FALSE)+VLOOKUP($E492&amp;$C492,生产方式定位!$F$3:$J$38,2,FALSE),0)</f>
        <v>3000</v>
      </c>
      <c r="S492" s="5">
        <f>IFERROR(VLOOKUP($D492&amp;$C492,生产方式定位!$A$2:$E$38,3,FALSE)+VLOOKUP($E492&amp;$C492,生产方式定位!$F$3:$J$38,3,FALSE),0)</f>
        <v>100</v>
      </c>
      <c r="X492" s="5">
        <f>IFERROR(VLOOKUP($D492&amp;$C492,生产方式定位!$A$2:$E$38,5,FALSE)+VLOOKUP($E492&amp;$C492,生产方式定位!$F$3:$J$38,5,FALSE),"错误")</f>
        <v>3410</v>
      </c>
      <c r="Y492" s="27" t="str">
        <f t="shared" si="119"/>
        <v/>
      </c>
      <c r="Z492" s="50" t="str">
        <f t="shared" si="122"/>
        <v/>
      </c>
      <c r="AA492" s="50" t="str">
        <f t="shared" si="120"/>
        <v/>
      </c>
      <c r="AB492" s="28" t="str">
        <f t="shared" si="123"/>
        <v>14%</v>
      </c>
      <c r="AC492" s="1">
        <f t="shared" si="124"/>
        <v>310</v>
      </c>
      <c r="AD492" s="51">
        <f t="shared" si="121"/>
        <v>1</v>
      </c>
      <c r="AE492" t="str">
        <f t="shared" si="125"/>
        <v/>
      </c>
      <c r="AF492" t="str">
        <f t="shared" si="126"/>
        <v/>
      </c>
      <c r="AG492" t="str">
        <f t="shared" si="127"/>
        <v/>
      </c>
      <c r="AH492" t="str">
        <f t="shared" si="128"/>
        <v/>
      </c>
      <c r="AI492" t="str">
        <f t="shared" si="129"/>
        <v/>
      </c>
      <c r="AJ492" t="str">
        <f t="shared" si="130"/>
        <v/>
      </c>
      <c r="AK492" t="str">
        <f t="shared" si="131"/>
        <v/>
      </c>
      <c r="AL492" t="str">
        <f t="shared" si="132"/>
        <v/>
      </c>
      <c r="AN492" t="str">
        <f>IFERROR(ROUND(L492*(G492/$AW492)/VLOOKUP(F492,商品!$A$4:$D$67,4,FALSE),0),"")</f>
        <v/>
      </c>
      <c r="AO492" t="str">
        <f>IFERROR(ROUND(L492*(I492/$AW492)/VLOOKUP(H492,商品!$A$4:$D$67,4,FALSE),0),"")</f>
        <v/>
      </c>
      <c r="AP492" t="str">
        <f>IFERROR(ROUND(L492*(K492/$AW492)/VLOOKUP(J492,商品!$A$4:$D$67,4,FALSE),0),"")</f>
        <v/>
      </c>
      <c r="AQ492" t="str">
        <f>IFERROR(ROUND(S492*(N492/$AX492)/VLOOKUP(M492,职业!$A$3:$E$16,4,FALSE),0),"")</f>
        <v/>
      </c>
      <c r="AR492" t="str">
        <f>IFERROR(ROUND(S492*(P492/$AX492)/VLOOKUP(O492,职业!$A$3:$E$16,4,FALSE),0),"")</f>
        <v/>
      </c>
      <c r="AS492" t="str">
        <f>IFERROR(ROUND(S492*(R492/$AX492)/VLOOKUP(Q492,职业!$A$3:$E$16,4,FALSE),0),"")</f>
        <v/>
      </c>
      <c r="AT492" t="str">
        <f>IFERROR(ROUND(X492*(U492/$AY492)/VLOOKUP(T492,商品!$A$4:$D$67,4,FALSE),0),"")</f>
        <v/>
      </c>
      <c r="AU492" t="str">
        <f>IFERROR(ROUND(X492*(W492/$AY492)/VLOOKUP(V492,商品!$A$4:$D$67,4,FALSE),0),"")</f>
        <v/>
      </c>
      <c r="AW492">
        <f t="shared" si="133"/>
        <v>0</v>
      </c>
      <c r="AX492">
        <f t="shared" si="134"/>
        <v>0</v>
      </c>
      <c r="AY492">
        <f t="shared" si="135"/>
        <v>0</v>
      </c>
    </row>
    <row r="493" customHeight="1" spans="1:51">
      <c r="A493" s="5" t="s">
        <v>375</v>
      </c>
      <c r="C493" s="5">
        <v>2</v>
      </c>
      <c r="D493" s="1" t="s">
        <v>247</v>
      </c>
      <c r="E493" s="1" t="s">
        <v>222</v>
      </c>
      <c r="L493" s="5">
        <f>IFERROR(VLOOKUP($D493&amp;$C493,生产方式定位!$A$2:$E$38,2,FALSE)+VLOOKUP($E493&amp;$C493,生产方式定位!$F$3:$J$38,2,FALSE),0)</f>
        <v>4500</v>
      </c>
      <c r="S493" s="5">
        <f>IFERROR(VLOOKUP($D493&amp;$C493,生产方式定位!$A$2:$E$38,3,FALSE)+VLOOKUP($E493&amp;$C493,生产方式定位!$F$3:$J$38,3,FALSE),0)</f>
        <v>90</v>
      </c>
      <c r="X493" s="5">
        <f>IFERROR(VLOOKUP($D493&amp;$C493,生产方式定位!$A$2:$E$38,5,FALSE)+VLOOKUP($E493&amp;$C493,生产方式定位!$F$3:$J$38,5,FALSE),"错误")</f>
        <v>5049</v>
      </c>
      <c r="Y493" s="27" t="str">
        <f t="shared" si="119"/>
        <v/>
      </c>
      <c r="Z493" s="50" t="str">
        <f t="shared" si="122"/>
        <v/>
      </c>
      <c r="AA493" s="50" t="str">
        <f t="shared" si="120"/>
        <v/>
      </c>
      <c r="AB493" s="28" t="str">
        <f t="shared" si="123"/>
        <v>12%</v>
      </c>
      <c r="AC493" s="1">
        <f t="shared" si="124"/>
        <v>459</v>
      </c>
      <c r="AD493" s="51">
        <f t="shared" si="121"/>
        <v>2</v>
      </c>
      <c r="AE493" t="str">
        <f t="shared" si="125"/>
        <v/>
      </c>
      <c r="AF493" t="str">
        <f t="shared" si="126"/>
        <v/>
      </c>
      <c r="AG493" t="str">
        <f t="shared" si="127"/>
        <v/>
      </c>
      <c r="AH493" t="str">
        <f t="shared" si="128"/>
        <v/>
      </c>
      <c r="AI493" t="str">
        <f t="shared" si="129"/>
        <v/>
      </c>
      <c r="AJ493" t="str">
        <f t="shared" si="130"/>
        <v/>
      </c>
      <c r="AK493" t="str">
        <f t="shared" si="131"/>
        <v/>
      </c>
      <c r="AL493" t="str">
        <f t="shared" si="132"/>
        <v/>
      </c>
      <c r="AN493" t="str">
        <f>IFERROR(ROUND(L493*(G493/$AW493)/VLOOKUP(F493,商品!$A$4:$D$67,4,FALSE),0),"")</f>
        <v/>
      </c>
      <c r="AO493" t="str">
        <f>IFERROR(ROUND(L493*(I493/$AW493)/VLOOKUP(H493,商品!$A$4:$D$67,4,FALSE),0),"")</f>
        <v/>
      </c>
      <c r="AP493" t="str">
        <f>IFERROR(ROUND(L493*(K493/$AW493)/VLOOKUP(J493,商品!$A$4:$D$67,4,FALSE),0),"")</f>
        <v/>
      </c>
      <c r="AQ493" t="str">
        <f>IFERROR(ROUND(S493*(N493/$AX493)/VLOOKUP(M493,职业!$A$3:$E$16,4,FALSE),0),"")</f>
        <v/>
      </c>
      <c r="AR493" t="str">
        <f>IFERROR(ROUND(S493*(P493/$AX493)/VLOOKUP(O493,职业!$A$3:$E$16,4,FALSE),0),"")</f>
        <v/>
      </c>
      <c r="AS493" t="str">
        <f>IFERROR(ROUND(S493*(R493/$AX493)/VLOOKUP(Q493,职业!$A$3:$E$16,4,FALSE),0),"")</f>
        <v/>
      </c>
      <c r="AT493" t="str">
        <f>IFERROR(ROUND(X493*(U493/$AY493)/VLOOKUP(T493,商品!$A$4:$D$67,4,FALSE),0),"")</f>
        <v/>
      </c>
      <c r="AU493" t="str">
        <f>IFERROR(ROUND(X493*(W493/$AY493)/VLOOKUP(V493,商品!$A$4:$D$67,4,FALSE),0),"")</f>
        <v/>
      </c>
      <c r="AW493">
        <f t="shared" si="133"/>
        <v>0</v>
      </c>
      <c r="AX493">
        <f t="shared" si="134"/>
        <v>0</v>
      </c>
      <c r="AY493">
        <f t="shared" si="135"/>
        <v>0</v>
      </c>
    </row>
    <row r="494" customHeight="1" spans="1:51">
      <c r="A494" s="5" t="s">
        <v>375</v>
      </c>
      <c r="C494" s="5">
        <v>3</v>
      </c>
      <c r="D494" s="1" t="s">
        <v>247</v>
      </c>
      <c r="E494" s="1" t="s">
        <v>222</v>
      </c>
      <c r="L494" s="5">
        <f>IFERROR(VLOOKUP($D494&amp;$C494,生产方式定位!$A$2:$E$38,2,FALSE)+VLOOKUP($E494&amp;$C494,生产方式定位!$F$3:$J$38,2,FALSE),0)</f>
        <v>5625</v>
      </c>
      <c r="S494" s="5">
        <f>IFERROR(VLOOKUP($D494&amp;$C494,生产方式定位!$A$2:$E$38,3,FALSE)+VLOOKUP($E494&amp;$C494,生产方式定位!$F$3:$J$38,3,FALSE),0)</f>
        <v>80</v>
      </c>
      <c r="X494" s="5">
        <f>IFERROR(VLOOKUP($D494&amp;$C494,生产方式定位!$A$2:$E$38,5,FALSE)+VLOOKUP($E494&amp;$C494,生产方式定位!$F$3:$J$38,5,FALSE),"错误")</f>
        <v>6276</v>
      </c>
      <c r="Y494" s="27" t="str">
        <f t="shared" si="119"/>
        <v/>
      </c>
      <c r="Z494" s="50" t="str">
        <f t="shared" si="122"/>
        <v/>
      </c>
      <c r="AA494" s="50" t="str">
        <f t="shared" si="120"/>
        <v/>
      </c>
      <c r="AB494" s="28" t="str">
        <f t="shared" si="123"/>
        <v>12%</v>
      </c>
      <c r="AC494" s="1">
        <f t="shared" si="124"/>
        <v>571</v>
      </c>
      <c r="AD494" s="51">
        <f t="shared" si="121"/>
        <v>3</v>
      </c>
      <c r="AE494" t="str">
        <f t="shared" si="125"/>
        <v/>
      </c>
      <c r="AF494" t="str">
        <f t="shared" si="126"/>
        <v/>
      </c>
      <c r="AG494" t="str">
        <f t="shared" si="127"/>
        <v/>
      </c>
      <c r="AH494" t="str">
        <f t="shared" si="128"/>
        <v/>
      </c>
      <c r="AI494" t="str">
        <f t="shared" si="129"/>
        <v/>
      </c>
      <c r="AJ494" t="str">
        <f t="shared" si="130"/>
        <v/>
      </c>
      <c r="AK494" t="str">
        <f t="shared" si="131"/>
        <v/>
      </c>
      <c r="AL494" t="str">
        <f t="shared" si="132"/>
        <v/>
      </c>
      <c r="AN494" t="str">
        <f>IFERROR(ROUND(L494*(G494/$AW494)/VLOOKUP(F494,商品!$A$4:$D$67,4,FALSE),0),"")</f>
        <v/>
      </c>
      <c r="AO494" t="str">
        <f>IFERROR(ROUND(L494*(I494/$AW494)/VLOOKUP(H494,商品!$A$4:$D$67,4,FALSE),0),"")</f>
        <v/>
      </c>
      <c r="AP494" t="str">
        <f>IFERROR(ROUND(L494*(K494/$AW494)/VLOOKUP(J494,商品!$A$4:$D$67,4,FALSE),0),"")</f>
        <v/>
      </c>
      <c r="AQ494" t="str">
        <f>IFERROR(ROUND(S494*(N494/$AX494)/VLOOKUP(M494,职业!$A$3:$E$16,4,FALSE),0),"")</f>
        <v/>
      </c>
      <c r="AR494" t="str">
        <f>IFERROR(ROUND(S494*(P494/$AX494)/VLOOKUP(O494,职业!$A$3:$E$16,4,FALSE),0),"")</f>
        <v/>
      </c>
      <c r="AS494" t="str">
        <f>IFERROR(ROUND(S494*(R494/$AX494)/VLOOKUP(Q494,职业!$A$3:$E$16,4,FALSE),0),"")</f>
        <v/>
      </c>
      <c r="AT494" t="str">
        <f>IFERROR(ROUND(X494*(U494/$AY494)/VLOOKUP(T494,商品!$A$4:$D$67,4,FALSE),0),"")</f>
        <v/>
      </c>
      <c r="AU494" t="str">
        <f>IFERROR(ROUND(X494*(W494/$AY494)/VLOOKUP(V494,商品!$A$4:$D$67,4,FALSE),0),"")</f>
        <v/>
      </c>
      <c r="AW494">
        <f t="shared" si="133"/>
        <v>0</v>
      </c>
      <c r="AX494">
        <f t="shared" si="134"/>
        <v>0</v>
      </c>
      <c r="AY494">
        <f t="shared" si="135"/>
        <v>0</v>
      </c>
    </row>
    <row r="495" customHeight="1" spans="1:51">
      <c r="A495" s="5" t="s">
        <v>375</v>
      </c>
      <c r="C495" s="5">
        <v>4</v>
      </c>
      <c r="D495" s="1" t="s">
        <v>247</v>
      </c>
      <c r="E495" s="1" t="s">
        <v>222</v>
      </c>
      <c r="L495" s="5">
        <f>IFERROR(VLOOKUP($D495&amp;$C495,生产方式定位!$A$2:$E$38,2,FALSE)+VLOOKUP($E495&amp;$C495,生产方式定位!$F$3:$J$38,2,FALSE),0)</f>
        <v>6750</v>
      </c>
      <c r="S495" s="5">
        <f>IFERROR(VLOOKUP($D495&amp;$C495,生产方式定位!$A$2:$E$38,3,FALSE)+VLOOKUP($E495&amp;$C495,生产方式定位!$F$3:$J$38,3,FALSE),0)</f>
        <v>70</v>
      </c>
      <c r="X495" s="5">
        <f>IFERROR(VLOOKUP($D495&amp;$C495,生产方式定位!$A$2:$E$38,5,FALSE)+VLOOKUP($E495&amp;$C495,生产方式定位!$F$3:$J$38,5,FALSE),"错误")</f>
        <v>7502</v>
      </c>
      <c r="Y495" s="27" t="str">
        <f t="shared" si="119"/>
        <v/>
      </c>
      <c r="Z495" s="50" t="str">
        <f t="shared" si="122"/>
        <v/>
      </c>
      <c r="AA495" s="50" t="str">
        <f t="shared" si="120"/>
        <v/>
      </c>
      <c r="AB495" s="28" t="str">
        <f t="shared" si="123"/>
        <v>11%</v>
      </c>
      <c r="AC495" s="1">
        <f t="shared" si="124"/>
        <v>682</v>
      </c>
      <c r="AD495" s="51">
        <f t="shared" si="121"/>
        <v>4</v>
      </c>
      <c r="AE495" t="str">
        <f t="shared" si="125"/>
        <v/>
      </c>
      <c r="AF495" t="str">
        <f t="shared" si="126"/>
        <v/>
      </c>
      <c r="AG495" t="str">
        <f t="shared" si="127"/>
        <v/>
      </c>
      <c r="AH495" t="str">
        <f t="shared" si="128"/>
        <v/>
      </c>
      <c r="AI495" t="str">
        <f t="shared" si="129"/>
        <v/>
      </c>
      <c r="AJ495" t="str">
        <f t="shared" si="130"/>
        <v/>
      </c>
      <c r="AK495" t="str">
        <f t="shared" si="131"/>
        <v/>
      </c>
      <c r="AL495" t="str">
        <f t="shared" si="132"/>
        <v/>
      </c>
      <c r="AN495" t="str">
        <f>IFERROR(ROUND(L495*(G495/$AW495)/VLOOKUP(F495,商品!$A$4:$D$67,4,FALSE),0),"")</f>
        <v/>
      </c>
      <c r="AO495" t="str">
        <f>IFERROR(ROUND(L495*(I495/$AW495)/VLOOKUP(H495,商品!$A$4:$D$67,4,FALSE),0),"")</f>
        <v/>
      </c>
      <c r="AP495" t="str">
        <f>IFERROR(ROUND(L495*(K495/$AW495)/VLOOKUP(J495,商品!$A$4:$D$67,4,FALSE),0),"")</f>
        <v/>
      </c>
      <c r="AQ495" t="str">
        <f>IFERROR(ROUND(S495*(N495/$AX495)/VLOOKUP(M495,职业!$A$3:$E$16,4,FALSE),0),"")</f>
        <v/>
      </c>
      <c r="AR495" t="str">
        <f>IFERROR(ROUND(S495*(P495/$AX495)/VLOOKUP(O495,职业!$A$3:$E$16,4,FALSE),0),"")</f>
        <v/>
      </c>
      <c r="AS495" t="str">
        <f>IFERROR(ROUND(S495*(R495/$AX495)/VLOOKUP(Q495,职业!$A$3:$E$16,4,FALSE),0),"")</f>
        <v/>
      </c>
      <c r="AT495" t="str">
        <f>IFERROR(ROUND(X495*(U495/$AY495)/VLOOKUP(T495,商品!$A$4:$D$67,4,FALSE),0),"")</f>
        <v/>
      </c>
      <c r="AU495" t="str">
        <f>IFERROR(ROUND(X495*(W495/$AY495)/VLOOKUP(V495,商品!$A$4:$D$67,4,FALSE),0),"")</f>
        <v/>
      </c>
      <c r="AW495">
        <f t="shared" si="133"/>
        <v>0</v>
      </c>
      <c r="AX495">
        <f t="shared" si="134"/>
        <v>0</v>
      </c>
      <c r="AY495">
        <f t="shared" si="135"/>
        <v>0</v>
      </c>
    </row>
    <row r="496" customHeight="1" spans="1:51">
      <c r="A496" s="5" t="s">
        <v>375</v>
      </c>
      <c r="C496" s="5">
        <v>5</v>
      </c>
      <c r="D496" s="1" t="s">
        <v>247</v>
      </c>
      <c r="E496" s="1" t="s">
        <v>222</v>
      </c>
      <c r="L496" s="5">
        <f>IFERROR(VLOOKUP($D496&amp;$C496,生产方式定位!$A$2:$E$38,2,FALSE)+VLOOKUP($E496&amp;$C496,生产方式定位!$F$3:$J$38,2,FALSE),0)</f>
        <v>7875</v>
      </c>
      <c r="S496" s="5">
        <f>IFERROR(VLOOKUP($D496&amp;$C496,生产方式定位!$A$2:$E$38,3,FALSE)+VLOOKUP($E496&amp;$C496,生产方式定位!$F$3:$J$38,3,FALSE),0)</f>
        <v>60</v>
      </c>
      <c r="X496" s="5">
        <f>IFERROR(VLOOKUP($D496&amp;$C496,生产方式定位!$A$2:$E$38,5,FALSE)+VLOOKUP($E496&amp;$C496,生产方式定位!$F$3:$J$38,5,FALSE),"错误")</f>
        <v>8729</v>
      </c>
      <c r="Y496" s="27" t="str">
        <f t="shared" si="119"/>
        <v/>
      </c>
      <c r="Z496" s="50" t="str">
        <f t="shared" si="122"/>
        <v/>
      </c>
      <c r="AA496" s="50" t="str">
        <f t="shared" si="120"/>
        <v/>
      </c>
      <c r="AB496" s="28" t="str">
        <f t="shared" si="123"/>
        <v>11%</v>
      </c>
      <c r="AC496" s="1">
        <f t="shared" si="124"/>
        <v>794</v>
      </c>
      <c r="AD496" s="51">
        <f t="shared" si="121"/>
        <v>5</v>
      </c>
      <c r="AE496" t="str">
        <f t="shared" si="125"/>
        <v/>
      </c>
      <c r="AF496" t="str">
        <f t="shared" si="126"/>
        <v/>
      </c>
      <c r="AG496" t="str">
        <f t="shared" si="127"/>
        <v/>
      </c>
      <c r="AH496" t="str">
        <f t="shared" si="128"/>
        <v/>
      </c>
      <c r="AI496" t="str">
        <f t="shared" si="129"/>
        <v/>
      </c>
      <c r="AJ496" t="str">
        <f t="shared" si="130"/>
        <v/>
      </c>
      <c r="AK496" t="str">
        <f t="shared" si="131"/>
        <v/>
      </c>
      <c r="AL496" t="str">
        <f t="shared" si="132"/>
        <v/>
      </c>
      <c r="AN496" t="str">
        <f>IFERROR(ROUND(L496*(G496/$AW496)/VLOOKUP(F496,商品!$A$4:$D$67,4,FALSE),0),"")</f>
        <v/>
      </c>
      <c r="AO496" t="str">
        <f>IFERROR(ROUND(L496*(I496/$AW496)/VLOOKUP(H496,商品!$A$4:$D$67,4,FALSE),0),"")</f>
        <v/>
      </c>
      <c r="AP496" t="str">
        <f>IFERROR(ROUND(L496*(K496/$AW496)/VLOOKUP(J496,商品!$A$4:$D$67,4,FALSE),0),"")</f>
        <v/>
      </c>
      <c r="AQ496" t="str">
        <f>IFERROR(ROUND(S496*(N496/$AX496)/VLOOKUP(M496,职业!$A$3:$E$16,4,FALSE),0),"")</f>
        <v/>
      </c>
      <c r="AR496" t="str">
        <f>IFERROR(ROUND(S496*(P496/$AX496)/VLOOKUP(O496,职业!$A$3:$E$16,4,FALSE),0),"")</f>
        <v/>
      </c>
      <c r="AS496" t="str">
        <f>IFERROR(ROUND(S496*(R496/$AX496)/VLOOKUP(Q496,职业!$A$3:$E$16,4,FALSE),0),"")</f>
        <v/>
      </c>
      <c r="AT496" t="str">
        <f>IFERROR(ROUND(X496*(U496/$AY496)/VLOOKUP(T496,商品!$A$4:$D$67,4,FALSE),0),"")</f>
        <v/>
      </c>
      <c r="AU496" t="str">
        <f>IFERROR(ROUND(X496*(W496/$AY496)/VLOOKUP(V496,商品!$A$4:$D$67,4,FALSE),0),"")</f>
        <v/>
      </c>
      <c r="AW496">
        <f t="shared" si="133"/>
        <v>0</v>
      </c>
      <c r="AX496">
        <f t="shared" si="134"/>
        <v>0</v>
      </c>
      <c r="AY496">
        <f t="shared" si="135"/>
        <v>0</v>
      </c>
    </row>
    <row r="497" customHeight="1" spans="1:51">
      <c r="A497" s="18" t="s">
        <v>376</v>
      </c>
      <c r="C497" s="18">
        <v>1</v>
      </c>
      <c r="D497" s="1" t="s">
        <v>291</v>
      </c>
      <c r="E497" s="1" t="s">
        <v>225</v>
      </c>
      <c r="L497" s="18">
        <f>IFERROR(VLOOKUP($D497&amp;$C497,生产方式定位!$A$2:$E$38,2,FALSE)+VLOOKUP($E497&amp;$C497,生产方式定位!$F$3:$J$38,2,FALSE),0)</f>
        <v>0</v>
      </c>
      <c r="S497" s="18">
        <f>IFERROR(VLOOKUP($D497&amp;$C497,生产方式定位!$A$2:$E$38,3,FALSE)+VLOOKUP($E497&amp;$C497,生产方式定位!$F$3:$J$38,3,FALSE),0)</f>
        <v>100</v>
      </c>
      <c r="X497" s="18">
        <f>IFERROR(VLOOKUP($D497&amp;$C497,生产方式定位!$A$2:$E$38,5,FALSE)+VLOOKUP($E497&amp;$C497,生产方式定位!$F$3:$J$38,5,FALSE),"错误")</f>
        <v>100</v>
      </c>
      <c r="Y497" s="27" t="str">
        <f t="shared" si="119"/>
        <v/>
      </c>
      <c r="Z497" s="50" t="str">
        <f t="shared" si="122"/>
        <v/>
      </c>
      <c r="AA497" s="50" t="str">
        <f t="shared" si="120"/>
        <v/>
      </c>
      <c r="AB497" s="28" t="str">
        <f t="shared" si="123"/>
        <v/>
      </c>
      <c r="AC497" s="1" t="str">
        <f t="shared" si="124"/>
        <v/>
      </c>
      <c r="AD497" s="52">
        <f t="shared" si="121"/>
        <v>1</v>
      </c>
      <c r="AE497" t="str">
        <f t="shared" si="125"/>
        <v/>
      </c>
      <c r="AF497" t="str">
        <f t="shared" si="126"/>
        <v/>
      </c>
      <c r="AG497" t="str">
        <f t="shared" si="127"/>
        <v/>
      </c>
      <c r="AH497" t="str">
        <f t="shared" si="128"/>
        <v/>
      </c>
      <c r="AI497" t="str">
        <f t="shared" si="129"/>
        <v/>
      </c>
      <c r="AJ497" t="str">
        <f t="shared" si="130"/>
        <v/>
      </c>
      <c r="AK497" t="str">
        <f t="shared" si="131"/>
        <v/>
      </c>
      <c r="AL497" t="str">
        <f t="shared" si="132"/>
        <v/>
      </c>
      <c r="AN497" t="str">
        <f>IFERROR(ROUND(L497*(G497/$AW497)/VLOOKUP(F497,商品!$A$4:$D$67,4,FALSE),0),"")</f>
        <v/>
      </c>
      <c r="AO497" t="str">
        <f>IFERROR(ROUND(L497*(I497/$AW497)/VLOOKUP(H497,商品!$A$4:$D$67,4,FALSE),0),"")</f>
        <v/>
      </c>
      <c r="AP497" t="str">
        <f>IFERROR(ROUND(L497*(K497/$AW497)/VLOOKUP(J497,商品!$A$4:$D$67,4,FALSE),0),"")</f>
        <v/>
      </c>
      <c r="AQ497" t="str">
        <f>IFERROR(ROUND(S497*(N497/$AX497)/VLOOKUP(M497,职业!$A$3:$E$16,4,FALSE),0),"")</f>
        <v/>
      </c>
      <c r="AR497" t="str">
        <f>IFERROR(ROUND(S497*(P497/$AX497)/VLOOKUP(O497,职业!$A$3:$E$16,4,FALSE),0),"")</f>
        <v/>
      </c>
      <c r="AS497" t="str">
        <f>IFERROR(ROUND(S497*(R497/$AX497)/VLOOKUP(Q497,职业!$A$3:$E$16,4,FALSE),0),"")</f>
        <v/>
      </c>
      <c r="AT497" t="str">
        <f>IFERROR(ROUND(X497*(U497/$AY497)/VLOOKUP(T497,商品!$A$4:$D$67,4,FALSE),0),"")</f>
        <v/>
      </c>
      <c r="AU497" t="str">
        <f>IFERROR(ROUND(X497*(W497/$AY497)/VLOOKUP(V497,商品!$A$4:$D$67,4,FALSE),0),"")</f>
        <v/>
      </c>
      <c r="AW497">
        <f t="shared" si="133"/>
        <v>0</v>
      </c>
      <c r="AX497">
        <f t="shared" si="134"/>
        <v>0</v>
      </c>
      <c r="AY497">
        <f t="shared" si="135"/>
        <v>0</v>
      </c>
    </row>
    <row r="498" customHeight="1" spans="1:51">
      <c r="A498" s="18" t="s">
        <v>376</v>
      </c>
      <c r="C498" s="18">
        <v>2</v>
      </c>
      <c r="D498" s="1" t="s">
        <v>291</v>
      </c>
      <c r="E498" s="1" t="s">
        <v>225</v>
      </c>
      <c r="L498" s="18">
        <f>IFERROR(VLOOKUP($D498&amp;$C498,生产方式定位!$A$2:$E$38,2,FALSE)+VLOOKUP($E498&amp;$C498,生产方式定位!$F$3:$J$38,2,FALSE),0)</f>
        <v>0</v>
      </c>
      <c r="S498" s="18">
        <f>IFERROR(VLOOKUP($D498&amp;$C498,生产方式定位!$A$2:$E$38,3,FALSE)+VLOOKUP($E498&amp;$C498,生产方式定位!$F$3:$J$38,3,FALSE),0)</f>
        <v>100</v>
      </c>
      <c r="X498" s="18">
        <f>IFERROR(VLOOKUP($D498&amp;$C498,生产方式定位!$A$2:$E$38,5,FALSE)+VLOOKUP($E498&amp;$C498,生产方式定位!$F$3:$J$38,5,FALSE),"错误")</f>
        <v>100</v>
      </c>
      <c r="Y498" s="27" t="str">
        <f t="shared" si="119"/>
        <v/>
      </c>
      <c r="Z498" s="50" t="str">
        <f t="shared" si="122"/>
        <v/>
      </c>
      <c r="AA498" s="50" t="str">
        <f t="shared" si="120"/>
        <v/>
      </c>
      <c r="AB498" s="28" t="str">
        <f t="shared" si="123"/>
        <v/>
      </c>
      <c r="AC498" s="1" t="str">
        <f t="shared" si="124"/>
        <v/>
      </c>
      <c r="AD498" s="52">
        <f t="shared" si="121"/>
        <v>2</v>
      </c>
      <c r="AE498" t="str">
        <f t="shared" si="125"/>
        <v/>
      </c>
      <c r="AF498" t="str">
        <f t="shared" si="126"/>
        <v/>
      </c>
      <c r="AG498" t="str">
        <f t="shared" si="127"/>
        <v/>
      </c>
      <c r="AH498" t="str">
        <f t="shared" si="128"/>
        <v/>
      </c>
      <c r="AI498" t="str">
        <f t="shared" si="129"/>
        <v/>
      </c>
      <c r="AJ498" t="str">
        <f t="shared" si="130"/>
        <v/>
      </c>
      <c r="AK498" t="str">
        <f t="shared" si="131"/>
        <v/>
      </c>
      <c r="AL498" t="str">
        <f t="shared" si="132"/>
        <v/>
      </c>
      <c r="AN498" t="str">
        <f>IFERROR(ROUND(L498*(G498/$AW498)/VLOOKUP(F498,商品!$A$4:$D$67,4,FALSE),0),"")</f>
        <v/>
      </c>
      <c r="AO498" t="str">
        <f>IFERROR(ROUND(L498*(I498/$AW498)/VLOOKUP(H498,商品!$A$4:$D$67,4,FALSE),0),"")</f>
        <v/>
      </c>
      <c r="AP498" t="str">
        <f>IFERROR(ROUND(L498*(K498/$AW498)/VLOOKUP(J498,商品!$A$4:$D$67,4,FALSE),0),"")</f>
        <v/>
      </c>
      <c r="AQ498" t="str">
        <f>IFERROR(ROUND(S498*(N498/$AX498)/VLOOKUP(M498,职业!$A$3:$E$16,4,FALSE),0),"")</f>
        <v/>
      </c>
      <c r="AR498" t="str">
        <f>IFERROR(ROUND(S498*(P498/$AX498)/VLOOKUP(O498,职业!$A$3:$E$16,4,FALSE),0),"")</f>
        <v/>
      </c>
      <c r="AS498" t="str">
        <f>IFERROR(ROUND(S498*(R498/$AX498)/VLOOKUP(Q498,职业!$A$3:$E$16,4,FALSE),0),"")</f>
        <v/>
      </c>
      <c r="AT498" t="str">
        <f>IFERROR(ROUND(X498*(U498/$AY498)/VLOOKUP(T498,商品!$A$4:$D$67,4,FALSE),0),"")</f>
        <v/>
      </c>
      <c r="AU498" t="str">
        <f>IFERROR(ROUND(X498*(W498/$AY498)/VLOOKUP(V498,商品!$A$4:$D$67,4,FALSE),0),"")</f>
        <v/>
      </c>
      <c r="AW498">
        <f t="shared" si="133"/>
        <v>0</v>
      </c>
      <c r="AX498">
        <f t="shared" si="134"/>
        <v>0</v>
      </c>
      <c r="AY498">
        <f t="shared" si="135"/>
        <v>0</v>
      </c>
    </row>
    <row r="499" customHeight="1" spans="1:51">
      <c r="A499" s="18" t="s">
        <v>376</v>
      </c>
      <c r="C499" s="18">
        <v>3</v>
      </c>
      <c r="D499" s="1" t="s">
        <v>291</v>
      </c>
      <c r="E499" s="1" t="s">
        <v>225</v>
      </c>
      <c r="L499" s="18">
        <f>IFERROR(VLOOKUP($D499&amp;$C499,生产方式定位!$A$2:$E$38,2,FALSE)+VLOOKUP($E499&amp;$C499,生产方式定位!$F$3:$J$38,2,FALSE),0)</f>
        <v>0</v>
      </c>
      <c r="S499" s="18">
        <f>IFERROR(VLOOKUP($D499&amp;$C499,生产方式定位!$A$2:$E$38,3,FALSE)+VLOOKUP($E499&amp;$C499,生产方式定位!$F$3:$J$38,3,FALSE),0)</f>
        <v>100</v>
      </c>
      <c r="X499" s="18">
        <f>IFERROR(VLOOKUP($D499&amp;$C499,生产方式定位!$A$2:$E$38,5,FALSE)+VLOOKUP($E499&amp;$C499,生产方式定位!$F$3:$J$38,5,FALSE),"错误")</f>
        <v>100</v>
      </c>
      <c r="Y499" s="27" t="str">
        <f t="shared" si="119"/>
        <v/>
      </c>
      <c r="Z499" s="50" t="str">
        <f t="shared" si="122"/>
        <v/>
      </c>
      <c r="AA499" s="50" t="str">
        <f t="shared" si="120"/>
        <v/>
      </c>
      <c r="AB499" s="28" t="str">
        <f t="shared" si="123"/>
        <v/>
      </c>
      <c r="AC499" s="1" t="str">
        <f t="shared" si="124"/>
        <v/>
      </c>
      <c r="AD499" s="52">
        <f t="shared" si="121"/>
        <v>3</v>
      </c>
      <c r="AE499" t="str">
        <f t="shared" si="125"/>
        <v/>
      </c>
      <c r="AF499" t="str">
        <f t="shared" si="126"/>
        <v/>
      </c>
      <c r="AG499" t="str">
        <f t="shared" si="127"/>
        <v/>
      </c>
      <c r="AH499" t="str">
        <f t="shared" si="128"/>
        <v/>
      </c>
      <c r="AI499" t="str">
        <f t="shared" si="129"/>
        <v/>
      </c>
      <c r="AJ499" t="str">
        <f t="shared" si="130"/>
        <v/>
      </c>
      <c r="AK499" t="str">
        <f t="shared" si="131"/>
        <v/>
      </c>
      <c r="AL499" t="str">
        <f t="shared" si="132"/>
        <v/>
      </c>
      <c r="AN499" t="str">
        <f>IFERROR(ROUND(L499*(G499/$AW499)/VLOOKUP(F499,商品!$A$4:$D$67,4,FALSE),0),"")</f>
        <v/>
      </c>
      <c r="AO499" t="str">
        <f>IFERROR(ROUND(L499*(I499/$AW499)/VLOOKUP(H499,商品!$A$4:$D$67,4,FALSE),0),"")</f>
        <v/>
      </c>
      <c r="AP499" t="str">
        <f>IFERROR(ROUND(L499*(K499/$AW499)/VLOOKUP(J499,商品!$A$4:$D$67,4,FALSE),0),"")</f>
        <v/>
      </c>
      <c r="AQ499" t="str">
        <f>IFERROR(ROUND(S499*(N499/$AX499)/VLOOKUP(M499,职业!$A$3:$E$16,4,FALSE),0),"")</f>
        <v/>
      </c>
      <c r="AR499" t="str">
        <f>IFERROR(ROUND(S499*(P499/$AX499)/VLOOKUP(O499,职业!$A$3:$E$16,4,FALSE),0),"")</f>
        <v/>
      </c>
      <c r="AS499" t="str">
        <f>IFERROR(ROUND(S499*(R499/$AX499)/VLOOKUP(Q499,职业!$A$3:$E$16,4,FALSE),0),"")</f>
        <v/>
      </c>
      <c r="AT499" t="str">
        <f>IFERROR(ROUND(X499*(U499/$AY499)/VLOOKUP(T499,商品!$A$4:$D$67,4,FALSE),0),"")</f>
        <v/>
      </c>
      <c r="AU499" t="str">
        <f>IFERROR(ROUND(X499*(W499/$AY499)/VLOOKUP(V499,商品!$A$4:$D$67,4,FALSE),0),"")</f>
        <v/>
      </c>
      <c r="AW499">
        <f t="shared" si="133"/>
        <v>0</v>
      </c>
      <c r="AX499">
        <f t="shared" si="134"/>
        <v>0</v>
      </c>
      <c r="AY499">
        <f t="shared" si="135"/>
        <v>0</v>
      </c>
    </row>
    <row r="500" customHeight="1" spans="1:51">
      <c r="A500" s="18" t="s">
        <v>376</v>
      </c>
      <c r="C500" s="18">
        <v>4</v>
      </c>
      <c r="D500" s="1" t="s">
        <v>291</v>
      </c>
      <c r="E500" s="1" t="s">
        <v>225</v>
      </c>
      <c r="L500" s="18">
        <f>IFERROR(VLOOKUP($D500&amp;$C500,生产方式定位!$A$2:$E$38,2,FALSE)+VLOOKUP($E500&amp;$C500,生产方式定位!$F$3:$J$38,2,FALSE),0)</f>
        <v>0</v>
      </c>
      <c r="S500" s="18">
        <f>IFERROR(VLOOKUP($D500&amp;$C500,生产方式定位!$A$2:$E$38,3,FALSE)+VLOOKUP($E500&amp;$C500,生产方式定位!$F$3:$J$38,3,FALSE),0)</f>
        <v>100</v>
      </c>
      <c r="X500" s="18">
        <f>IFERROR(VLOOKUP($D500&amp;$C500,生产方式定位!$A$2:$E$38,5,FALSE)+VLOOKUP($E500&amp;$C500,生产方式定位!$F$3:$J$38,5,FALSE),"错误")</f>
        <v>100</v>
      </c>
      <c r="Y500" s="27" t="str">
        <f t="shared" si="119"/>
        <v/>
      </c>
      <c r="Z500" s="50" t="str">
        <f t="shared" si="122"/>
        <v/>
      </c>
      <c r="AA500" s="50" t="str">
        <f t="shared" si="120"/>
        <v/>
      </c>
      <c r="AB500" s="28" t="str">
        <f t="shared" si="123"/>
        <v/>
      </c>
      <c r="AC500" s="1" t="str">
        <f t="shared" si="124"/>
        <v/>
      </c>
      <c r="AD500" s="52">
        <f t="shared" si="121"/>
        <v>4</v>
      </c>
      <c r="AE500" t="str">
        <f t="shared" si="125"/>
        <v/>
      </c>
      <c r="AF500" t="str">
        <f t="shared" si="126"/>
        <v/>
      </c>
      <c r="AG500" t="str">
        <f t="shared" si="127"/>
        <v/>
      </c>
      <c r="AH500" t="str">
        <f t="shared" si="128"/>
        <v/>
      </c>
      <c r="AI500" t="str">
        <f t="shared" si="129"/>
        <v/>
      </c>
      <c r="AJ500" t="str">
        <f t="shared" si="130"/>
        <v/>
      </c>
      <c r="AK500" t="str">
        <f t="shared" si="131"/>
        <v/>
      </c>
      <c r="AL500" t="str">
        <f t="shared" si="132"/>
        <v/>
      </c>
      <c r="AN500" t="str">
        <f>IFERROR(ROUND(L500*(G500/$AW500)/VLOOKUP(F500,商品!$A$4:$D$67,4,FALSE),0),"")</f>
        <v/>
      </c>
      <c r="AO500" t="str">
        <f>IFERROR(ROUND(L500*(I500/$AW500)/VLOOKUP(H500,商品!$A$4:$D$67,4,FALSE),0),"")</f>
        <v/>
      </c>
      <c r="AP500" t="str">
        <f>IFERROR(ROUND(L500*(K500/$AW500)/VLOOKUP(J500,商品!$A$4:$D$67,4,FALSE),0),"")</f>
        <v/>
      </c>
      <c r="AQ500" t="str">
        <f>IFERROR(ROUND(S500*(N500/$AX500)/VLOOKUP(M500,职业!$A$3:$E$16,4,FALSE),0),"")</f>
        <v/>
      </c>
      <c r="AR500" t="str">
        <f>IFERROR(ROUND(S500*(P500/$AX500)/VLOOKUP(O500,职业!$A$3:$E$16,4,FALSE),0),"")</f>
        <v/>
      </c>
      <c r="AS500" t="str">
        <f>IFERROR(ROUND(S500*(R500/$AX500)/VLOOKUP(Q500,职业!$A$3:$E$16,4,FALSE),0),"")</f>
        <v/>
      </c>
      <c r="AT500" t="str">
        <f>IFERROR(ROUND(X500*(U500/$AY500)/VLOOKUP(T500,商品!$A$4:$D$67,4,FALSE),0),"")</f>
        <v/>
      </c>
      <c r="AU500" t="str">
        <f>IFERROR(ROUND(X500*(W500/$AY500)/VLOOKUP(V500,商品!$A$4:$D$67,4,FALSE),0),"")</f>
        <v/>
      </c>
      <c r="AW500">
        <f t="shared" si="133"/>
        <v>0</v>
      </c>
      <c r="AX500">
        <f t="shared" si="134"/>
        <v>0</v>
      </c>
      <c r="AY500">
        <f t="shared" si="135"/>
        <v>0</v>
      </c>
    </row>
    <row r="501" customHeight="1" spans="1:51">
      <c r="A501" s="18" t="s">
        <v>376</v>
      </c>
      <c r="C501" s="18">
        <v>5</v>
      </c>
      <c r="D501" s="1" t="s">
        <v>291</v>
      </c>
      <c r="E501" s="1" t="s">
        <v>225</v>
      </c>
      <c r="L501" s="18">
        <f>IFERROR(VLOOKUP($D501&amp;$C501,生产方式定位!$A$2:$E$38,2,FALSE)+VLOOKUP($E501&amp;$C501,生产方式定位!$F$3:$J$38,2,FALSE),0)</f>
        <v>0</v>
      </c>
      <c r="S501" s="18">
        <f>IFERROR(VLOOKUP($D501&amp;$C501,生产方式定位!$A$2:$E$38,3,FALSE)+VLOOKUP($E501&amp;$C501,生产方式定位!$F$3:$J$38,3,FALSE),0)</f>
        <v>100</v>
      </c>
      <c r="X501" s="18">
        <f>IFERROR(VLOOKUP($D501&amp;$C501,生产方式定位!$A$2:$E$38,5,FALSE)+VLOOKUP($E501&amp;$C501,生产方式定位!$F$3:$J$38,5,FALSE),"错误")</f>
        <v>100</v>
      </c>
      <c r="Y501" s="27" t="str">
        <f t="shared" si="119"/>
        <v/>
      </c>
      <c r="Z501" s="50" t="str">
        <f t="shared" si="122"/>
        <v/>
      </c>
      <c r="AA501" s="50" t="str">
        <f t="shared" si="120"/>
        <v/>
      </c>
      <c r="AB501" s="28" t="str">
        <f t="shared" si="123"/>
        <v/>
      </c>
      <c r="AC501" s="1" t="str">
        <f t="shared" si="124"/>
        <v/>
      </c>
      <c r="AD501" s="52">
        <f t="shared" si="121"/>
        <v>5</v>
      </c>
      <c r="AE501" t="str">
        <f t="shared" si="125"/>
        <v/>
      </c>
      <c r="AF501" t="str">
        <f t="shared" si="126"/>
        <v/>
      </c>
      <c r="AG501" t="str">
        <f t="shared" si="127"/>
        <v/>
      </c>
      <c r="AH501" t="str">
        <f t="shared" si="128"/>
        <v/>
      </c>
      <c r="AI501" t="str">
        <f t="shared" si="129"/>
        <v/>
      </c>
      <c r="AJ501" t="str">
        <f t="shared" si="130"/>
        <v/>
      </c>
      <c r="AK501" t="str">
        <f t="shared" si="131"/>
        <v/>
      </c>
      <c r="AL501" t="str">
        <f t="shared" si="132"/>
        <v/>
      </c>
      <c r="AN501" t="str">
        <f>IFERROR(ROUND(L501*(G501/$AW501)/VLOOKUP(F501,商品!$A$4:$D$67,4,FALSE),0),"")</f>
        <v/>
      </c>
      <c r="AO501" t="str">
        <f>IFERROR(ROUND(L501*(I501/$AW501)/VLOOKUP(H501,商品!$A$4:$D$67,4,FALSE),0),"")</f>
        <v/>
      </c>
      <c r="AP501" t="str">
        <f>IFERROR(ROUND(L501*(K501/$AW501)/VLOOKUP(J501,商品!$A$4:$D$67,4,FALSE),0),"")</f>
        <v/>
      </c>
      <c r="AQ501" t="str">
        <f>IFERROR(ROUND(S501*(N501/$AX501)/VLOOKUP(M501,职业!$A$3:$E$16,4,FALSE),0),"")</f>
        <v/>
      </c>
      <c r="AR501" t="str">
        <f>IFERROR(ROUND(S501*(P501/$AX501)/VLOOKUP(O501,职业!$A$3:$E$16,4,FALSE),0),"")</f>
        <v/>
      </c>
      <c r="AS501" t="str">
        <f>IFERROR(ROUND(S501*(R501/$AX501)/VLOOKUP(Q501,职业!$A$3:$E$16,4,FALSE),0),"")</f>
        <v/>
      </c>
      <c r="AT501" t="str">
        <f>IFERROR(ROUND(X501*(U501/$AY501)/VLOOKUP(T501,商品!$A$4:$D$67,4,FALSE),0),"")</f>
        <v/>
      </c>
      <c r="AU501" t="str">
        <f>IFERROR(ROUND(X501*(W501/$AY501)/VLOOKUP(V501,商品!$A$4:$D$67,4,FALSE),0),"")</f>
        <v/>
      </c>
      <c r="AW501">
        <f t="shared" si="133"/>
        <v>0</v>
      </c>
      <c r="AX501">
        <f t="shared" si="134"/>
        <v>0</v>
      </c>
      <c r="AY501">
        <f t="shared" si="135"/>
        <v>0</v>
      </c>
    </row>
    <row r="502" customHeight="1" spans="1:51">
      <c r="A502" s="5" t="s">
        <v>378</v>
      </c>
      <c r="C502" s="5">
        <v>1</v>
      </c>
      <c r="D502" s="1" t="s">
        <v>247</v>
      </c>
      <c r="E502" s="1" t="s">
        <v>222</v>
      </c>
      <c r="L502" s="5">
        <f>IFERROR(VLOOKUP($D502&amp;$C502,生产方式定位!$A$2:$E$38,2,FALSE)+VLOOKUP($E502&amp;$C502,生产方式定位!$F$3:$J$38,2,FALSE),0)</f>
        <v>3000</v>
      </c>
      <c r="S502" s="5">
        <f>IFERROR(VLOOKUP($D502&amp;$C502,生产方式定位!$A$2:$E$38,3,FALSE)+VLOOKUP($E502&amp;$C502,生产方式定位!$F$3:$J$38,3,FALSE),0)</f>
        <v>100</v>
      </c>
      <c r="X502" s="5">
        <f>IFERROR(VLOOKUP($D502&amp;$C502,生产方式定位!$A$2:$E$38,5,FALSE)+VLOOKUP($E502&amp;$C502,生产方式定位!$F$3:$J$38,5,FALSE),"错误")</f>
        <v>3410</v>
      </c>
      <c r="Y502" s="27" t="str">
        <f t="shared" si="119"/>
        <v/>
      </c>
      <c r="Z502" s="50" t="str">
        <f t="shared" si="122"/>
        <v/>
      </c>
      <c r="AA502" s="50" t="str">
        <f t="shared" si="120"/>
        <v/>
      </c>
      <c r="AB502" s="28" t="str">
        <f t="shared" si="123"/>
        <v>14%</v>
      </c>
      <c r="AC502" s="1">
        <f t="shared" si="124"/>
        <v>310</v>
      </c>
      <c r="AD502" s="51">
        <f t="shared" si="121"/>
        <v>1</v>
      </c>
      <c r="AE502" t="str">
        <f t="shared" si="125"/>
        <v/>
      </c>
      <c r="AF502" t="str">
        <f t="shared" si="126"/>
        <v/>
      </c>
      <c r="AG502" t="str">
        <f t="shared" si="127"/>
        <v/>
      </c>
      <c r="AH502" t="str">
        <f t="shared" si="128"/>
        <v/>
      </c>
      <c r="AI502" t="str">
        <f t="shared" si="129"/>
        <v/>
      </c>
      <c r="AJ502" t="str">
        <f t="shared" si="130"/>
        <v/>
      </c>
      <c r="AK502" t="str">
        <f t="shared" si="131"/>
        <v/>
      </c>
      <c r="AL502" t="str">
        <f t="shared" si="132"/>
        <v/>
      </c>
      <c r="AN502" t="str">
        <f>IFERROR(ROUND(L502*(G502/$AW502)/VLOOKUP(F502,商品!$A$4:$D$67,4,FALSE),0),"")</f>
        <v/>
      </c>
      <c r="AO502" t="str">
        <f>IFERROR(ROUND(L502*(I502/$AW502)/VLOOKUP(H502,商品!$A$4:$D$67,4,FALSE),0),"")</f>
        <v/>
      </c>
      <c r="AP502" t="str">
        <f>IFERROR(ROUND(L502*(K502/$AW502)/VLOOKUP(J502,商品!$A$4:$D$67,4,FALSE),0),"")</f>
        <v/>
      </c>
      <c r="AQ502" t="str">
        <f>IFERROR(ROUND(S502*(N502/$AX502)/VLOOKUP(M502,职业!$A$3:$E$16,4,FALSE),0),"")</f>
        <v/>
      </c>
      <c r="AR502" t="str">
        <f>IFERROR(ROUND(S502*(P502/$AX502)/VLOOKUP(O502,职业!$A$3:$E$16,4,FALSE),0),"")</f>
        <v/>
      </c>
      <c r="AS502" t="str">
        <f>IFERROR(ROUND(S502*(R502/$AX502)/VLOOKUP(Q502,职业!$A$3:$E$16,4,FALSE),0),"")</f>
        <v/>
      </c>
      <c r="AT502" t="str">
        <f>IFERROR(ROUND(X502*(U502/$AY502)/VLOOKUP(T502,商品!$A$4:$D$67,4,FALSE),0),"")</f>
        <v/>
      </c>
      <c r="AU502" t="str">
        <f>IFERROR(ROUND(X502*(W502/$AY502)/VLOOKUP(V502,商品!$A$4:$D$67,4,FALSE),0),"")</f>
        <v/>
      </c>
      <c r="AW502">
        <f t="shared" si="133"/>
        <v>0</v>
      </c>
      <c r="AX502">
        <f t="shared" si="134"/>
        <v>0</v>
      </c>
      <c r="AY502">
        <f t="shared" si="135"/>
        <v>0</v>
      </c>
    </row>
    <row r="503" customHeight="1" spans="1:51">
      <c r="A503" s="5" t="s">
        <v>378</v>
      </c>
      <c r="C503" s="5">
        <v>2</v>
      </c>
      <c r="D503" s="1" t="s">
        <v>247</v>
      </c>
      <c r="E503" s="1" t="s">
        <v>222</v>
      </c>
      <c r="L503" s="5">
        <f>IFERROR(VLOOKUP($D503&amp;$C503,生产方式定位!$A$2:$E$38,2,FALSE)+VLOOKUP($E503&amp;$C503,生产方式定位!$F$3:$J$38,2,FALSE),0)</f>
        <v>4500</v>
      </c>
      <c r="S503" s="5">
        <f>IFERROR(VLOOKUP($D503&amp;$C503,生产方式定位!$A$2:$E$38,3,FALSE)+VLOOKUP($E503&amp;$C503,生产方式定位!$F$3:$J$38,3,FALSE),0)</f>
        <v>90</v>
      </c>
      <c r="X503" s="5">
        <f>IFERROR(VLOOKUP($D503&amp;$C503,生产方式定位!$A$2:$E$38,5,FALSE)+VLOOKUP($E503&amp;$C503,生产方式定位!$F$3:$J$38,5,FALSE),"错误")</f>
        <v>5049</v>
      </c>
      <c r="Y503" s="27" t="str">
        <f t="shared" si="119"/>
        <v/>
      </c>
      <c r="Z503" s="50" t="str">
        <f t="shared" si="122"/>
        <v/>
      </c>
      <c r="AA503" s="50" t="str">
        <f t="shared" si="120"/>
        <v/>
      </c>
      <c r="AB503" s="28" t="str">
        <f t="shared" si="123"/>
        <v>12%</v>
      </c>
      <c r="AC503" s="1">
        <f t="shared" si="124"/>
        <v>459</v>
      </c>
      <c r="AD503" s="51">
        <f t="shared" si="121"/>
        <v>2</v>
      </c>
      <c r="AE503" t="str">
        <f t="shared" si="125"/>
        <v/>
      </c>
      <c r="AF503" t="str">
        <f t="shared" si="126"/>
        <v/>
      </c>
      <c r="AG503" t="str">
        <f t="shared" si="127"/>
        <v/>
      </c>
      <c r="AH503" t="str">
        <f t="shared" si="128"/>
        <v/>
      </c>
      <c r="AI503" t="str">
        <f t="shared" si="129"/>
        <v/>
      </c>
      <c r="AJ503" t="str">
        <f t="shared" si="130"/>
        <v/>
      </c>
      <c r="AK503" t="str">
        <f t="shared" si="131"/>
        <v/>
      </c>
      <c r="AL503" t="str">
        <f t="shared" si="132"/>
        <v/>
      </c>
      <c r="AN503" t="str">
        <f>IFERROR(ROUND(L503*(G503/$AW503)/VLOOKUP(F503,商品!$A$4:$D$67,4,FALSE),0),"")</f>
        <v/>
      </c>
      <c r="AO503" t="str">
        <f>IFERROR(ROUND(L503*(I503/$AW503)/VLOOKUP(H503,商品!$A$4:$D$67,4,FALSE),0),"")</f>
        <v/>
      </c>
      <c r="AP503" t="str">
        <f>IFERROR(ROUND(L503*(K503/$AW503)/VLOOKUP(J503,商品!$A$4:$D$67,4,FALSE),0),"")</f>
        <v/>
      </c>
      <c r="AQ503" t="str">
        <f>IFERROR(ROUND(S503*(N503/$AX503)/VLOOKUP(M503,职业!$A$3:$E$16,4,FALSE),0),"")</f>
        <v/>
      </c>
      <c r="AR503" t="str">
        <f>IFERROR(ROUND(S503*(P503/$AX503)/VLOOKUP(O503,职业!$A$3:$E$16,4,FALSE),0),"")</f>
        <v/>
      </c>
      <c r="AS503" t="str">
        <f>IFERROR(ROUND(S503*(R503/$AX503)/VLOOKUP(Q503,职业!$A$3:$E$16,4,FALSE),0),"")</f>
        <v/>
      </c>
      <c r="AT503" t="str">
        <f>IFERROR(ROUND(X503*(U503/$AY503)/VLOOKUP(T503,商品!$A$4:$D$67,4,FALSE),0),"")</f>
        <v/>
      </c>
      <c r="AU503" t="str">
        <f>IFERROR(ROUND(X503*(W503/$AY503)/VLOOKUP(V503,商品!$A$4:$D$67,4,FALSE),0),"")</f>
        <v/>
      </c>
      <c r="AW503">
        <f t="shared" si="133"/>
        <v>0</v>
      </c>
      <c r="AX503">
        <f t="shared" si="134"/>
        <v>0</v>
      </c>
      <c r="AY503">
        <f t="shared" si="135"/>
        <v>0</v>
      </c>
    </row>
    <row r="504" customHeight="1" spans="1:51">
      <c r="A504" s="5" t="s">
        <v>378</v>
      </c>
      <c r="C504" s="5">
        <v>3</v>
      </c>
      <c r="D504" s="1" t="s">
        <v>247</v>
      </c>
      <c r="E504" s="1" t="s">
        <v>222</v>
      </c>
      <c r="L504" s="5">
        <f>IFERROR(VLOOKUP($D504&amp;$C504,生产方式定位!$A$2:$E$38,2,FALSE)+VLOOKUP($E504&amp;$C504,生产方式定位!$F$3:$J$38,2,FALSE),0)</f>
        <v>5625</v>
      </c>
      <c r="S504" s="5">
        <f>IFERROR(VLOOKUP($D504&amp;$C504,生产方式定位!$A$2:$E$38,3,FALSE)+VLOOKUP($E504&amp;$C504,生产方式定位!$F$3:$J$38,3,FALSE),0)</f>
        <v>80</v>
      </c>
      <c r="X504" s="5">
        <f>IFERROR(VLOOKUP($D504&amp;$C504,生产方式定位!$A$2:$E$38,5,FALSE)+VLOOKUP($E504&amp;$C504,生产方式定位!$F$3:$J$38,5,FALSE),"错误")</f>
        <v>6276</v>
      </c>
      <c r="Y504" s="27" t="str">
        <f t="shared" si="119"/>
        <v/>
      </c>
      <c r="Z504" s="50" t="str">
        <f t="shared" si="122"/>
        <v/>
      </c>
      <c r="AA504" s="50" t="str">
        <f t="shared" si="120"/>
        <v/>
      </c>
      <c r="AB504" s="28" t="str">
        <f t="shared" si="123"/>
        <v>12%</v>
      </c>
      <c r="AC504" s="1">
        <f t="shared" si="124"/>
        <v>571</v>
      </c>
      <c r="AD504" s="51">
        <f t="shared" si="121"/>
        <v>3</v>
      </c>
      <c r="AE504" t="str">
        <f t="shared" si="125"/>
        <v/>
      </c>
      <c r="AF504" t="str">
        <f t="shared" si="126"/>
        <v/>
      </c>
      <c r="AG504" t="str">
        <f t="shared" si="127"/>
        <v/>
      </c>
      <c r="AH504" t="str">
        <f t="shared" si="128"/>
        <v/>
      </c>
      <c r="AI504" t="str">
        <f t="shared" si="129"/>
        <v/>
      </c>
      <c r="AJ504" t="str">
        <f t="shared" si="130"/>
        <v/>
      </c>
      <c r="AK504" t="str">
        <f t="shared" si="131"/>
        <v/>
      </c>
      <c r="AL504" t="str">
        <f t="shared" si="132"/>
        <v/>
      </c>
      <c r="AN504" t="str">
        <f>IFERROR(ROUND(L504*(G504/$AW504)/VLOOKUP(F504,商品!$A$4:$D$67,4,FALSE),0),"")</f>
        <v/>
      </c>
      <c r="AO504" t="str">
        <f>IFERROR(ROUND(L504*(I504/$AW504)/VLOOKUP(H504,商品!$A$4:$D$67,4,FALSE),0),"")</f>
        <v/>
      </c>
      <c r="AP504" t="str">
        <f>IFERROR(ROUND(L504*(K504/$AW504)/VLOOKUP(J504,商品!$A$4:$D$67,4,FALSE),0),"")</f>
        <v/>
      </c>
      <c r="AQ504" t="str">
        <f>IFERROR(ROUND(S504*(N504/$AX504)/VLOOKUP(M504,职业!$A$3:$E$16,4,FALSE),0),"")</f>
        <v/>
      </c>
      <c r="AR504" t="str">
        <f>IFERROR(ROUND(S504*(P504/$AX504)/VLOOKUP(O504,职业!$A$3:$E$16,4,FALSE),0),"")</f>
        <v/>
      </c>
      <c r="AS504" t="str">
        <f>IFERROR(ROUND(S504*(R504/$AX504)/VLOOKUP(Q504,职业!$A$3:$E$16,4,FALSE),0),"")</f>
        <v/>
      </c>
      <c r="AT504" t="str">
        <f>IFERROR(ROUND(X504*(U504/$AY504)/VLOOKUP(T504,商品!$A$4:$D$67,4,FALSE),0),"")</f>
        <v/>
      </c>
      <c r="AU504" t="str">
        <f>IFERROR(ROUND(X504*(W504/$AY504)/VLOOKUP(V504,商品!$A$4:$D$67,4,FALSE),0),"")</f>
        <v/>
      </c>
      <c r="AW504">
        <f t="shared" si="133"/>
        <v>0</v>
      </c>
      <c r="AX504">
        <f t="shared" si="134"/>
        <v>0</v>
      </c>
      <c r="AY504">
        <f t="shared" si="135"/>
        <v>0</v>
      </c>
    </row>
    <row r="505" customHeight="1" spans="1:51">
      <c r="A505" s="5" t="s">
        <v>378</v>
      </c>
      <c r="C505" s="5">
        <v>4</v>
      </c>
      <c r="D505" s="1" t="s">
        <v>247</v>
      </c>
      <c r="E505" s="1" t="s">
        <v>222</v>
      </c>
      <c r="L505" s="5">
        <f>IFERROR(VLOOKUP($D505&amp;$C505,生产方式定位!$A$2:$E$38,2,FALSE)+VLOOKUP($E505&amp;$C505,生产方式定位!$F$3:$J$38,2,FALSE),0)</f>
        <v>6750</v>
      </c>
      <c r="S505" s="5">
        <f>IFERROR(VLOOKUP($D505&amp;$C505,生产方式定位!$A$2:$E$38,3,FALSE)+VLOOKUP($E505&amp;$C505,生产方式定位!$F$3:$J$38,3,FALSE),0)</f>
        <v>70</v>
      </c>
      <c r="X505" s="5">
        <f>IFERROR(VLOOKUP($D505&amp;$C505,生产方式定位!$A$2:$E$38,5,FALSE)+VLOOKUP($E505&amp;$C505,生产方式定位!$F$3:$J$38,5,FALSE),"错误")</f>
        <v>7502</v>
      </c>
      <c r="Y505" s="27" t="str">
        <f t="shared" si="119"/>
        <v/>
      </c>
      <c r="Z505" s="50" t="str">
        <f t="shared" si="122"/>
        <v/>
      </c>
      <c r="AA505" s="50" t="str">
        <f t="shared" si="120"/>
        <v/>
      </c>
      <c r="AB505" s="28" t="str">
        <f t="shared" si="123"/>
        <v>11%</v>
      </c>
      <c r="AC505" s="1">
        <f t="shared" si="124"/>
        <v>682</v>
      </c>
      <c r="AD505" s="51">
        <f t="shared" si="121"/>
        <v>4</v>
      </c>
      <c r="AE505" t="str">
        <f t="shared" si="125"/>
        <v/>
      </c>
      <c r="AF505" t="str">
        <f t="shared" si="126"/>
        <v/>
      </c>
      <c r="AG505" t="str">
        <f t="shared" si="127"/>
        <v/>
      </c>
      <c r="AH505" t="str">
        <f t="shared" si="128"/>
        <v/>
      </c>
      <c r="AI505" t="str">
        <f t="shared" si="129"/>
        <v/>
      </c>
      <c r="AJ505" t="str">
        <f t="shared" si="130"/>
        <v/>
      </c>
      <c r="AK505" t="str">
        <f t="shared" si="131"/>
        <v/>
      </c>
      <c r="AL505" t="str">
        <f t="shared" si="132"/>
        <v/>
      </c>
      <c r="AN505" t="str">
        <f>IFERROR(ROUND(L505*(G505/$AW505)/VLOOKUP(F505,商品!$A$4:$D$67,4,FALSE),0),"")</f>
        <v/>
      </c>
      <c r="AO505" t="str">
        <f>IFERROR(ROUND(L505*(I505/$AW505)/VLOOKUP(H505,商品!$A$4:$D$67,4,FALSE),0),"")</f>
        <v/>
      </c>
      <c r="AP505" t="str">
        <f>IFERROR(ROUND(L505*(K505/$AW505)/VLOOKUP(J505,商品!$A$4:$D$67,4,FALSE),0),"")</f>
        <v/>
      </c>
      <c r="AQ505" t="str">
        <f>IFERROR(ROUND(S505*(N505/$AX505)/VLOOKUP(M505,职业!$A$3:$E$16,4,FALSE),0),"")</f>
        <v/>
      </c>
      <c r="AR505" t="str">
        <f>IFERROR(ROUND(S505*(P505/$AX505)/VLOOKUP(O505,职业!$A$3:$E$16,4,FALSE),0),"")</f>
        <v/>
      </c>
      <c r="AS505" t="str">
        <f>IFERROR(ROUND(S505*(R505/$AX505)/VLOOKUP(Q505,职业!$A$3:$E$16,4,FALSE),0),"")</f>
        <v/>
      </c>
      <c r="AT505" t="str">
        <f>IFERROR(ROUND(X505*(U505/$AY505)/VLOOKUP(T505,商品!$A$4:$D$67,4,FALSE),0),"")</f>
        <v/>
      </c>
      <c r="AU505" t="str">
        <f>IFERROR(ROUND(X505*(W505/$AY505)/VLOOKUP(V505,商品!$A$4:$D$67,4,FALSE),0),"")</f>
        <v/>
      </c>
      <c r="AW505">
        <f t="shared" si="133"/>
        <v>0</v>
      </c>
      <c r="AX505">
        <f t="shared" si="134"/>
        <v>0</v>
      </c>
      <c r="AY505">
        <f t="shared" si="135"/>
        <v>0</v>
      </c>
    </row>
    <row r="506" customHeight="1" spans="1:51">
      <c r="A506" s="5" t="s">
        <v>378</v>
      </c>
      <c r="C506" s="5">
        <v>5</v>
      </c>
      <c r="D506" s="1" t="s">
        <v>247</v>
      </c>
      <c r="E506" s="1" t="s">
        <v>222</v>
      </c>
      <c r="L506" s="5">
        <f>IFERROR(VLOOKUP($D506&amp;$C506,生产方式定位!$A$2:$E$38,2,FALSE)+VLOOKUP($E506&amp;$C506,生产方式定位!$F$3:$J$38,2,FALSE),0)</f>
        <v>7875</v>
      </c>
      <c r="S506" s="5">
        <f>IFERROR(VLOOKUP($D506&amp;$C506,生产方式定位!$A$2:$E$38,3,FALSE)+VLOOKUP($E506&amp;$C506,生产方式定位!$F$3:$J$38,3,FALSE),0)</f>
        <v>60</v>
      </c>
      <c r="X506" s="5">
        <f>IFERROR(VLOOKUP($D506&amp;$C506,生产方式定位!$A$2:$E$38,5,FALSE)+VLOOKUP($E506&amp;$C506,生产方式定位!$F$3:$J$38,5,FALSE),"错误")</f>
        <v>8729</v>
      </c>
      <c r="Y506" s="27" t="str">
        <f t="shared" si="119"/>
        <v/>
      </c>
      <c r="Z506" s="50" t="str">
        <f t="shared" si="122"/>
        <v/>
      </c>
      <c r="AA506" s="50" t="str">
        <f t="shared" si="120"/>
        <v/>
      </c>
      <c r="AB506" s="28" t="str">
        <f t="shared" si="123"/>
        <v>11%</v>
      </c>
      <c r="AC506" s="1">
        <f t="shared" si="124"/>
        <v>794</v>
      </c>
      <c r="AD506" s="51">
        <f t="shared" si="121"/>
        <v>5</v>
      </c>
      <c r="AE506" t="str">
        <f t="shared" si="125"/>
        <v/>
      </c>
      <c r="AF506" t="str">
        <f t="shared" si="126"/>
        <v/>
      </c>
      <c r="AG506" t="str">
        <f t="shared" si="127"/>
        <v/>
      </c>
      <c r="AH506" t="str">
        <f t="shared" si="128"/>
        <v/>
      </c>
      <c r="AI506" t="str">
        <f t="shared" si="129"/>
        <v/>
      </c>
      <c r="AJ506" t="str">
        <f t="shared" si="130"/>
        <v/>
      </c>
      <c r="AK506" t="str">
        <f t="shared" si="131"/>
        <v/>
      </c>
      <c r="AL506" t="str">
        <f t="shared" si="132"/>
        <v/>
      </c>
      <c r="AN506" t="str">
        <f>IFERROR(ROUND(L506*(G506/$AW506)/VLOOKUP(F506,商品!$A$4:$D$67,4,FALSE),0),"")</f>
        <v/>
      </c>
      <c r="AO506" t="str">
        <f>IFERROR(ROUND(L506*(I506/$AW506)/VLOOKUP(H506,商品!$A$4:$D$67,4,FALSE),0),"")</f>
        <v/>
      </c>
      <c r="AP506" t="str">
        <f>IFERROR(ROUND(L506*(K506/$AW506)/VLOOKUP(J506,商品!$A$4:$D$67,4,FALSE),0),"")</f>
        <v/>
      </c>
      <c r="AQ506" t="str">
        <f>IFERROR(ROUND(S506*(N506/$AX506)/VLOOKUP(M506,职业!$A$3:$E$16,4,FALSE),0),"")</f>
        <v/>
      </c>
      <c r="AR506" t="str">
        <f>IFERROR(ROUND(S506*(P506/$AX506)/VLOOKUP(O506,职业!$A$3:$E$16,4,FALSE),0),"")</f>
        <v/>
      </c>
      <c r="AS506" t="str">
        <f>IFERROR(ROUND(S506*(R506/$AX506)/VLOOKUP(Q506,职业!$A$3:$E$16,4,FALSE),0),"")</f>
        <v/>
      </c>
      <c r="AT506" t="str">
        <f>IFERROR(ROUND(X506*(U506/$AY506)/VLOOKUP(T506,商品!$A$4:$D$67,4,FALSE),0),"")</f>
        <v/>
      </c>
      <c r="AU506" t="str">
        <f>IFERROR(ROUND(X506*(W506/$AY506)/VLOOKUP(V506,商品!$A$4:$D$67,4,FALSE),0),"")</f>
        <v/>
      </c>
      <c r="AW506">
        <f t="shared" si="133"/>
        <v>0</v>
      </c>
      <c r="AX506">
        <f t="shared" si="134"/>
        <v>0</v>
      </c>
      <c r="AY506">
        <f t="shared" si="135"/>
        <v>0</v>
      </c>
    </row>
    <row r="507" customHeight="1" spans="1:51">
      <c r="A507" s="18" t="s">
        <v>379</v>
      </c>
      <c r="C507" s="18">
        <v>1</v>
      </c>
      <c r="D507" s="1" t="s">
        <v>291</v>
      </c>
      <c r="E507" s="1" t="s">
        <v>225</v>
      </c>
      <c r="L507" s="18">
        <f>IFERROR(VLOOKUP($D507&amp;$C507,生产方式定位!$A$2:$E$38,2,FALSE)+VLOOKUP($E507&amp;$C507,生产方式定位!$F$3:$J$38,2,FALSE),0)</f>
        <v>0</v>
      </c>
      <c r="S507" s="18">
        <f>IFERROR(VLOOKUP($D507&amp;$C507,生产方式定位!$A$2:$E$38,3,FALSE)+VLOOKUP($E507&amp;$C507,生产方式定位!$F$3:$J$38,3,FALSE),0)</f>
        <v>100</v>
      </c>
      <c r="X507" s="18">
        <f>IFERROR(VLOOKUP($D507&amp;$C507,生产方式定位!$A$2:$E$38,5,FALSE)+VLOOKUP($E507&amp;$C507,生产方式定位!$F$3:$J$38,5,FALSE),"错误")</f>
        <v>100</v>
      </c>
      <c r="Y507" s="27" t="str">
        <f t="shared" si="119"/>
        <v/>
      </c>
      <c r="Z507" s="50" t="str">
        <f t="shared" si="122"/>
        <v/>
      </c>
      <c r="AA507" s="50" t="str">
        <f t="shared" si="120"/>
        <v/>
      </c>
      <c r="AB507" s="28" t="str">
        <f t="shared" si="123"/>
        <v/>
      </c>
      <c r="AC507" s="1" t="str">
        <f t="shared" si="124"/>
        <v/>
      </c>
      <c r="AD507" s="52">
        <f t="shared" si="121"/>
        <v>1</v>
      </c>
      <c r="AE507" t="str">
        <f t="shared" si="125"/>
        <v/>
      </c>
      <c r="AF507" t="str">
        <f t="shared" si="126"/>
        <v/>
      </c>
      <c r="AG507" t="str">
        <f t="shared" si="127"/>
        <v/>
      </c>
      <c r="AH507" t="str">
        <f t="shared" si="128"/>
        <v/>
      </c>
      <c r="AI507" t="str">
        <f t="shared" si="129"/>
        <v/>
      </c>
      <c r="AJ507" t="str">
        <f t="shared" si="130"/>
        <v/>
      </c>
      <c r="AK507" t="str">
        <f t="shared" si="131"/>
        <v/>
      </c>
      <c r="AL507" t="str">
        <f t="shared" si="132"/>
        <v/>
      </c>
      <c r="AN507" t="str">
        <f>IFERROR(ROUND(L507*(G507/$AW507)/VLOOKUP(F507,商品!$A$4:$D$67,4,FALSE),0),"")</f>
        <v/>
      </c>
      <c r="AO507" t="str">
        <f>IFERROR(ROUND(L507*(I507/$AW507)/VLOOKUP(H507,商品!$A$4:$D$67,4,FALSE),0),"")</f>
        <v/>
      </c>
      <c r="AP507" t="str">
        <f>IFERROR(ROUND(L507*(K507/$AW507)/VLOOKUP(J507,商品!$A$4:$D$67,4,FALSE),0),"")</f>
        <v/>
      </c>
      <c r="AQ507" t="str">
        <f>IFERROR(ROUND(S507*(N507/$AX507)/VLOOKUP(M507,职业!$A$3:$E$16,4,FALSE),0),"")</f>
        <v/>
      </c>
      <c r="AR507" t="str">
        <f>IFERROR(ROUND(S507*(P507/$AX507)/VLOOKUP(O507,职业!$A$3:$E$16,4,FALSE),0),"")</f>
        <v/>
      </c>
      <c r="AS507" t="str">
        <f>IFERROR(ROUND(S507*(R507/$AX507)/VLOOKUP(Q507,职业!$A$3:$E$16,4,FALSE),0),"")</f>
        <v/>
      </c>
      <c r="AT507" t="str">
        <f>IFERROR(ROUND(X507*(U507/$AY507)/VLOOKUP(T507,商品!$A$4:$D$67,4,FALSE),0),"")</f>
        <v/>
      </c>
      <c r="AU507" t="str">
        <f>IFERROR(ROUND(X507*(W507/$AY507)/VLOOKUP(V507,商品!$A$4:$D$67,4,FALSE),0),"")</f>
        <v/>
      </c>
      <c r="AW507">
        <f t="shared" si="133"/>
        <v>0</v>
      </c>
      <c r="AX507">
        <f t="shared" si="134"/>
        <v>0</v>
      </c>
      <c r="AY507">
        <f t="shared" si="135"/>
        <v>0</v>
      </c>
    </row>
    <row r="508" customHeight="1" spans="1:51">
      <c r="A508" s="18" t="s">
        <v>379</v>
      </c>
      <c r="C508" s="18">
        <v>2</v>
      </c>
      <c r="D508" s="1" t="s">
        <v>291</v>
      </c>
      <c r="E508" s="1" t="s">
        <v>225</v>
      </c>
      <c r="L508" s="18">
        <f>IFERROR(VLOOKUP($D508&amp;$C508,生产方式定位!$A$2:$E$38,2,FALSE)+VLOOKUP($E508&amp;$C508,生产方式定位!$F$3:$J$38,2,FALSE),0)</f>
        <v>0</v>
      </c>
      <c r="S508" s="18">
        <f>IFERROR(VLOOKUP($D508&amp;$C508,生产方式定位!$A$2:$E$38,3,FALSE)+VLOOKUP($E508&amp;$C508,生产方式定位!$F$3:$J$38,3,FALSE),0)</f>
        <v>100</v>
      </c>
      <c r="X508" s="18">
        <f>IFERROR(VLOOKUP($D508&amp;$C508,生产方式定位!$A$2:$E$38,5,FALSE)+VLOOKUP($E508&amp;$C508,生产方式定位!$F$3:$J$38,5,FALSE),"错误")</f>
        <v>100</v>
      </c>
      <c r="Y508" s="27" t="str">
        <f t="shared" si="119"/>
        <v/>
      </c>
      <c r="Z508" s="50" t="str">
        <f t="shared" si="122"/>
        <v/>
      </c>
      <c r="AA508" s="50" t="str">
        <f t="shared" si="120"/>
        <v/>
      </c>
      <c r="AB508" s="28" t="str">
        <f t="shared" si="123"/>
        <v/>
      </c>
      <c r="AC508" s="1" t="str">
        <f t="shared" si="124"/>
        <v/>
      </c>
      <c r="AD508" s="52">
        <f t="shared" si="121"/>
        <v>2</v>
      </c>
      <c r="AE508" t="str">
        <f t="shared" si="125"/>
        <v/>
      </c>
      <c r="AF508" t="str">
        <f t="shared" si="126"/>
        <v/>
      </c>
      <c r="AG508" t="str">
        <f t="shared" si="127"/>
        <v/>
      </c>
      <c r="AH508" t="str">
        <f t="shared" si="128"/>
        <v/>
      </c>
      <c r="AI508" t="str">
        <f t="shared" si="129"/>
        <v/>
      </c>
      <c r="AJ508" t="str">
        <f t="shared" si="130"/>
        <v/>
      </c>
      <c r="AK508" t="str">
        <f t="shared" si="131"/>
        <v/>
      </c>
      <c r="AL508" t="str">
        <f t="shared" si="132"/>
        <v/>
      </c>
      <c r="AN508" t="str">
        <f>IFERROR(ROUND(L508*(G508/$AW508)/VLOOKUP(F508,商品!$A$4:$D$67,4,FALSE),0),"")</f>
        <v/>
      </c>
      <c r="AO508" t="str">
        <f>IFERROR(ROUND(L508*(I508/$AW508)/VLOOKUP(H508,商品!$A$4:$D$67,4,FALSE),0),"")</f>
        <v/>
      </c>
      <c r="AP508" t="str">
        <f>IFERROR(ROUND(L508*(K508/$AW508)/VLOOKUP(J508,商品!$A$4:$D$67,4,FALSE),0),"")</f>
        <v/>
      </c>
      <c r="AQ508" t="str">
        <f>IFERROR(ROUND(S508*(N508/$AX508)/VLOOKUP(M508,职业!$A$3:$E$16,4,FALSE),0),"")</f>
        <v/>
      </c>
      <c r="AR508" t="str">
        <f>IFERROR(ROUND(S508*(P508/$AX508)/VLOOKUP(O508,职业!$A$3:$E$16,4,FALSE),0),"")</f>
        <v/>
      </c>
      <c r="AS508" t="str">
        <f>IFERROR(ROUND(S508*(R508/$AX508)/VLOOKUP(Q508,职业!$A$3:$E$16,4,FALSE),0),"")</f>
        <v/>
      </c>
      <c r="AT508" t="str">
        <f>IFERROR(ROUND(X508*(U508/$AY508)/VLOOKUP(T508,商品!$A$4:$D$67,4,FALSE),0),"")</f>
        <v/>
      </c>
      <c r="AU508" t="str">
        <f>IFERROR(ROUND(X508*(W508/$AY508)/VLOOKUP(V508,商品!$A$4:$D$67,4,FALSE),0),"")</f>
        <v/>
      </c>
      <c r="AW508">
        <f t="shared" si="133"/>
        <v>0</v>
      </c>
      <c r="AX508">
        <f t="shared" si="134"/>
        <v>0</v>
      </c>
      <c r="AY508">
        <f t="shared" si="135"/>
        <v>0</v>
      </c>
    </row>
    <row r="509" customHeight="1" spans="1:51">
      <c r="A509" s="18" t="s">
        <v>379</v>
      </c>
      <c r="C509" s="18">
        <v>3</v>
      </c>
      <c r="D509" s="1" t="s">
        <v>291</v>
      </c>
      <c r="E509" s="1" t="s">
        <v>225</v>
      </c>
      <c r="L509" s="18">
        <f>IFERROR(VLOOKUP($D509&amp;$C509,生产方式定位!$A$2:$E$38,2,FALSE)+VLOOKUP($E509&amp;$C509,生产方式定位!$F$3:$J$38,2,FALSE),0)</f>
        <v>0</v>
      </c>
      <c r="S509" s="18">
        <f>IFERROR(VLOOKUP($D509&amp;$C509,生产方式定位!$A$2:$E$38,3,FALSE)+VLOOKUP($E509&amp;$C509,生产方式定位!$F$3:$J$38,3,FALSE),0)</f>
        <v>100</v>
      </c>
      <c r="X509" s="18">
        <f>IFERROR(VLOOKUP($D509&amp;$C509,生产方式定位!$A$2:$E$38,5,FALSE)+VLOOKUP($E509&amp;$C509,生产方式定位!$F$3:$J$38,5,FALSE),"错误")</f>
        <v>100</v>
      </c>
      <c r="Y509" s="27" t="str">
        <f t="shared" si="119"/>
        <v/>
      </c>
      <c r="Z509" s="50" t="str">
        <f t="shared" si="122"/>
        <v/>
      </c>
      <c r="AA509" s="50" t="str">
        <f t="shared" si="120"/>
        <v/>
      </c>
      <c r="AB509" s="28" t="str">
        <f t="shared" si="123"/>
        <v/>
      </c>
      <c r="AC509" s="1" t="str">
        <f t="shared" si="124"/>
        <v/>
      </c>
      <c r="AD509" s="52">
        <f t="shared" si="121"/>
        <v>3</v>
      </c>
      <c r="AE509" t="str">
        <f t="shared" si="125"/>
        <v/>
      </c>
      <c r="AF509" t="str">
        <f t="shared" si="126"/>
        <v/>
      </c>
      <c r="AG509" t="str">
        <f t="shared" si="127"/>
        <v/>
      </c>
      <c r="AH509" t="str">
        <f t="shared" si="128"/>
        <v/>
      </c>
      <c r="AI509" t="str">
        <f t="shared" si="129"/>
        <v/>
      </c>
      <c r="AJ509" t="str">
        <f t="shared" si="130"/>
        <v/>
      </c>
      <c r="AK509" t="str">
        <f t="shared" si="131"/>
        <v/>
      </c>
      <c r="AL509" t="str">
        <f t="shared" si="132"/>
        <v/>
      </c>
      <c r="AN509" t="str">
        <f>IFERROR(ROUND(L509*(G509/$AW509)/VLOOKUP(F509,商品!$A$4:$D$67,4,FALSE),0),"")</f>
        <v/>
      </c>
      <c r="AO509" t="str">
        <f>IFERROR(ROUND(L509*(I509/$AW509)/VLOOKUP(H509,商品!$A$4:$D$67,4,FALSE),0),"")</f>
        <v/>
      </c>
      <c r="AP509" t="str">
        <f>IFERROR(ROUND(L509*(K509/$AW509)/VLOOKUP(J509,商品!$A$4:$D$67,4,FALSE),0),"")</f>
        <v/>
      </c>
      <c r="AQ509" t="str">
        <f>IFERROR(ROUND(S509*(N509/$AX509)/VLOOKUP(M509,职业!$A$3:$E$16,4,FALSE),0),"")</f>
        <v/>
      </c>
      <c r="AR509" t="str">
        <f>IFERROR(ROUND(S509*(P509/$AX509)/VLOOKUP(O509,职业!$A$3:$E$16,4,FALSE),0),"")</f>
        <v/>
      </c>
      <c r="AS509" t="str">
        <f>IFERROR(ROUND(S509*(R509/$AX509)/VLOOKUP(Q509,职业!$A$3:$E$16,4,FALSE),0),"")</f>
        <v/>
      </c>
      <c r="AT509" t="str">
        <f>IFERROR(ROUND(X509*(U509/$AY509)/VLOOKUP(T509,商品!$A$4:$D$67,4,FALSE),0),"")</f>
        <v/>
      </c>
      <c r="AU509" t="str">
        <f>IFERROR(ROUND(X509*(W509/$AY509)/VLOOKUP(V509,商品!$A$4:$D$67,4,FALSE),0),"")</f>
        <v/>
      </c>
      <c r="AW509">
        <f t="shared" si="133"/>
        <v>0</v>
      </c>
      <c r="AX509">
        <f t="shared" si="134"/>
        <v>0</v>
      </c>
      <c r="AY509">
        <f t="shared" si="135"/>
        <v>0</v>
      </c>
    </row>
    <row r="510" customHeight="1" spans="1:51">
      <c r="A510" s="18" t="s">
        <v>379</v>
      </c>
      <c r="C510" s="18">
        <v>4</v>
      </c>
      <c r="D510" s="1" t="s">
        <v>291</v>
      </c>
      <c r="E510" s="1" t="s">
        <v>225</v>
      </c>
      <c r="L510" s="18">
        <f>IFERROR(VLOOKUP($D510&amp;$C510,生产方式定位!$A$2:$E$38,2,FALSE)+VLOOKUP($E510&amp;$C510,生产方式定位!$F$3:$J$38,2,FALSE),0)</f>
        <v>0</v>
      </c>
      <c r="S510" s="18">
        <f>IFERROR(VLOOKUP($D510&amp;$C510,生产方式定位!$A$2:$E$38,3,FALSE)+VLOOKUP($E510&amp;$C510,生产方式定位!$F$3:$J$38,3,FALSE),0)</f>
        <v>100</v>
      </c>
      <c r="X510" s="18">
        <f>IFERROR(VLOOKUP($D510&amp;$C510,生产方式定位!$A$2:$E$38,5,FALSE)+VLOOKUP($E510&amp;$C510,生产方式定位!$F$3:$J$38,5,FALSE),"错误")</f>
        <v>100</v>
      </c>
      <c r="Y510" s="27" t="str">
        <f t="shared" si="119"/>
        <v/>
      </c>
      <c r="Z510" s="50" t="str">
        <f t="shared" si="122"/>
        <v/>
      </c>
      <c r="AA510" s="50" t="str">
        <f t="shared" si="120"/>
        <v/>
      </c>
      <c r="AB510" s="28" t="str">
        <f t="shared" si="123"/>
        <v/>
      </c>
      <c r="AC510" s="1" t="str">
        <f t="shared" si="124"/>
        <v/>
      </c>
      <c r="AD510" s="52">
        <f t="shared" si="121"/>
        <v>4</v>
      </c>
      <c r="AE510" t="str">
        <f t="shared" si="125"/>
        <v/>
      </c>
      <c r="AF510" t="str">
        <f t="shared" si="126"/>
        <v/>
      </c>
      <c r="AG510" t="str">
        <f t="shared" si="127"/>
        <v/>
      </c>
      <c r="AH510" t="str">
        <f t="shared" si="128"/>
        <v/>
      </c>
      <c r="AI510" t="str">
        <f t="shared" si="129"/>
        <v/>
      </c>
      <c r="AJ510" t="str">
        <f t="shared" si="130"/>
        <v/>
      </c>
      <c r="AK510" t="str">
        <f t="shared" si="131"/>
        <v/>
      </c>
      <c r="AL510" t="str">
        <f t="shared" si="132"/>
        <v/>
      </c>
      <c r="AN510" t="str">
        <f>IFERROR(ROUND(L510*(G510/$AW510)/VLOOKUP(F510,商品!$A$4:$D$67,4,FALSE),0),"")</f>
        <v/>
      </c>
      <c r="AO510" t="str">
        <f>IFERROR(ROUND(L510*(I510/$AW510)/VLOOKUP(H510,商品!$A$4:$D$67,4,FALSE),0),"")</f>
        <v/>
      </c>
      <c r="AP510" t="str">
        <f>IFERROR(ROUND(L510*(K510/$AW510)/VLOOKUP(J510,商品!$A$4:$D$67,4,FALSE),0),"")</f>
        <v/>
      </c>
      <c r="AQ510" t="str">
        <f>IFERROR(ROUND(S510*(N510/$AX510)/VLOOKUP(M510,职业!$A$3:$E$16,4,FALSE),0),"")</f>
        <v/>
      </c>
      <c r="AR510" t="str">
        <f>IFERROR(ROUND(S510*(P510/$AX510)/VLOOKUP(O510,职业!$A$3:$E$16,4,FALSE),0),"")</f>
        <v/>
      </c>
      <c r="AS510" t="str">
        <f>IFERROR(ROUND(S510*(R510/$AX510)/VLOOKUP(Q510,职业!$A$3:$E$16,4,FALSE),0),"")</f>
        <v/>
      </c>
      <c r="AT510" t="str">
        <f>IFERROR(ROUND(X510*(U510/$AY510)/VLOOKUP(T510,商品!$A$4:$D$67,4,FALSE),0),"")</f>
        <v/>
      </c>
      <c r="AU510" t="str">
        <f>IFERROR(ROUND(X510*(W510/$AY510)/VLOOKUP(V510,商品!$A$4:$D$67,4,FALSE),0),"")</f>
        <v/>
      </c>
      <c r="AW510">
        <f t="shared" si="133"/>
        <v>0</v>
      </c>
      <c r="AX510">
        <f t="shared" si="134"/>
        <v>0</v>
      </c>
      <c r="AY510">
        <f t="shared" si="135"/>
        <v>0</v>
      </c>
    </row>
    <row r="511" customHeight="1" spans="1:51">
      <c r="A511" s="18" t="s">
        <v>379</v>
      </c>
      <c r="C511" s="18">
        <v>5</v>
      </c>
      <c r="D511" s="1" t="s">
        <v>291</v>
      </c>
      <c r="E511" s="1" t="s">
        <v>225</v>
      </c>
      <c r="L511" s="18">
        <f>IFERROR(VLOOKUP($D511&amp;$C511,生产方式定位!$A$2:$E$38,2,FALSE)+VLOOKUP($E511&amp;$C511,生产方式定位!$F$3:$J$38,2,FALSE),0)</f>
        <v>0</v>
      </c>
      <c r="S511" s="18">
        <f>IFERROR(VLOOKUP($D511&amp;$C511,生产方式定位!$A$2:$E$38,3,FALSE)+VLOOKUP($E511&amp;$C511,生产方式定位!$F$3:$J$38,3,FALSE),0)</f>
        <v>100</v>
      </c>
      <c r="X511" s="18">
        <f>IFERROR(VLOOKUP($D511&amp;$C511,生产方式定位!$A$2:$E$38,5,FALSE)+VLOOKUP($E511&amp;$C511,生产方式定位!$F$3:$J$38,5,FALSE),"错误")</f>
        <v>100</v>
      </c>
      <c r="Y511" s="27" t="str">
        <f t="shared" si="119"/>
        <v/>
      </c>
      <c r="Z511" s="50" t="str">
        <f t="shared" si="122"/>
        <v/>
      </c>
      <c r="AA511" s="50" t="str">
        <f t="shared" si="120"/>
        <v/>
      </c>
      <c r="AB511" s="28" t="str">
        <f t="shared" si="123"/>
        <v/>
      </c>
      <c r="AC511" s="1" t="str">
        <f t="shared" si="124"/>
        <v/>
      </c>
      <c r="AD511" s="52">
        <f t="shared" si="121"/>
        <v>5</v>
      </c>
      <c r="AE511" t="str">
        <f t="shared" si="125"/>
        <v/>
      </c>
      <c r="AF511" t="str">
        <f t="shared" si="126"/>
        <v/>
      </c>
      <c r="AG511" t="str">
        <f t="shared" si="127"/>
        <v/>
      </c>
      <c r="AH511" t="str">
        <f t="shared" si="128"/>
        <v/>
      </c>
      <c r="AI511" t="str">
        <f t="shared" si="129"/>
        <v/>
      </c>
      <c r="AJ511" t="str">
        <f t="shared" si="130"/>
        <v/>
      </c>
      <c r="AK511" t="str">
        <f t="shared" si="131"/>
        <v/>
      </c>
      <c r="AL511" t="str">
        <f t="shared" si="132"/>
        <v/>
      </c>
      <c r="AN511" t="str">
        <f>IFERROR(ROUND(L511*(G511/$AW511)/VLOOKUP(F511,商品!$A$4:$D$67,4,FALSE),0),"")</f>
        <v/>
      </c>
      <c r="AO511" t="str">
        <f>IFERROR(ROUND(L511*(I511/$AW511)/VLOOKUP(H511,商品!$A$4:$D$67,4,FALSE),0),"")</f>
        <v/>
      </c>
      <c r="AP511" t="str">
        <f>IFERROR(ROUND(L511*(K511/$AW511)/VLOOKUP(J511,商品!$A$4:$D$67,4,FALSE),0),"")</f>
        <v/>
      </c>
      <c r="AQ511" t="str">
        <f>IFERROR(ROUND(S511*(N511/$AX511)/VLOOKUP(M511,职业!$A$3:$E$16,4,FALSE),0),"")</f>
        <v/>
      </c>
      <c r="AR511" t="str">
        <f>IFERROR(ROUND(S511*(P511/$AX511)/VLOOKUP(O511,职业!$A$3:$E$16,4,FALSE),0),"")</f>
        <v/>
      </c>
      <c r="AS511" t="str">
        <f>IFERROR(ROUND(S511*(R511/$AX511)/VLOOKUP(Q511,职业!$A$3:$E$16,4,FALSE),0),"")</f>
        <v/>
      </c>
      <c r="AT511" t="str">
        <f>IFERROR(ROUND(X511*(U511/$AY511)/VLOOKUP(T511,商品!$A$4:$D$67,4,FALSE),0),"")</f>
        <v/>
      </c>
      <c r="AU511" t="str">
        <f>IFERROR(ROUND(X511*(W511/$AY511)/VLOOKUP(V511,商品!$A$4:$D$67,4,FALSE),0),"")</f>
        <v/>
      </c>
      <c r="AW511">
        <f t="shared" si="133"/>
        <v>0</v>
      </c>
      <c r="AX511">
        <f t="shared" si="134"/>
        <v>0</v>
      </c>
      <c r="AY511">
        <f t="shared" si="135"/>
        <v>0</v>
      </c>
    </row>
    <row r="512" customHeight="1" spans="1:51">
      <c r="A512" s="5" t="s">
        <v>381</v>
      </c>
      <c r="C512" s="5">
        <v>1</v>
      </c>
      <c r="D512" s="1" t="s">
        <v>247</v>
      </c>
      <c r="E512" s="1" t="s">
        <v>222</v>
      </c>
      <c r="L512" s="5">
        <f>IFERROR(VLOOKUP($D512&amp;$C512,生产方式定位!$A$2:$E$38,2,FALSE)+VLOOKUP($E512&amp;$C512,生产方式定位!$F$3:$J$38,2,FALSE),0)</f>
        <v>3000</v>
      </c>
      <c r="S512" s="5">
        <f>IFERROR(VLOOKUP($D512&amp;$C512,生产方式定位!$A$2:$E$38,3,FALSE)+VLOOKUP($E512&amp;$C512,生产方式定位!$F$3:$J$38,3,FALSE),0)</f>
        <v>100</v>
      </c>
      <c r="X512" s="5">
        <f>IFERROR(VLOOKUP($D512&amp;$C512,生产方式定位!$A$2:$E$38,5,FALSE)+VLOOKUP($E512&amp;$C512,生产方式定位!$F$3:$J$38,5,FALSE),"错误")</f>
        <v>3410</v>
      </c>
      <c r="Y512" s="27" t="str">
        <f t="shared" si="119"/>
        <v/>
      </c>
      <c r="Z512" s="50" t="str">
        <f t="shared" si="122"/>
        <v/>
      </c>
      <c r="AA512" s="50" t="str">
        <f t="shared" si="120"/>
        <v/>
      </c>
      <c r="AB512" s="28" t="str">
        <f t="shared" si="123"/>
        <v>14%</v>
      </c>
      <c r="AC512" s="1">
        <f t="shared" si="124"/>
        <v>310</v>
      </c>
      <c r="AD512" s="51">
        <f t="shared" si="121"/>
        <v>1</v>
      </c>
      <c r="AE512" t="str">
        <f t="shared" si="125"/>
        <v/>
      </c>
      <c r="AF512" t="str">
        <f t="shared" si="126"/>
        <v/>
      </c>
      <c r="AG512" t="str">
        <f t="shared" si="127"/>
        <v/>
      </c>
      <c r="AH512" t="str">
        <f t="shared" si="128"/>
        <v/>
      </c>
      <c r="AI512" t="str">
        <f t="shared" si="129"/>
        <v/>
      </c>
      <c r="AJ512" t="str">
        <f t="shared" si="130"/>
        <v/>
      </c>
      <c r="AK512" t="str">
        <f t="shared" si="131"/>
        <v/>
      </c>
      <c r="AL512" t="str">
        <f t="shared" si="132"/>
        <v/>
      </c>
      <c r="AN512" t="str">
        <f>IFERROR(ROUND(L512*(G512/$AW512)/VLOOKUP(F512,商品!$A$4:$D$67,4,FALSE),0),"")</f>
        <v/>
      </c>
      <c r="AO512" t="str">
        <f>IFERROR(ROUND(L512*(I512/$AW512)/VLOOKUP(H512,商品!$A$4:$D$67,4,FALSE),0),"")</f>
        <v/>
      </c>
      <c r="AP512" t="str">
        <f>IFERROR(ROUND(L512*(K512/$AW512)/VLOOKUP(J512,商品!$A$4:$D$67,4,FALSE),0),"")</f>
        <v/>
      </c>
      <c r="AQ512" t="str">
        <f>IFERROR(ROUND(S512*(N512/$AX512)/VLOOKUP(M512,职业!$A$3:$E$16,4,FALSE),0),"")</f>
        <v/>
      </c>
      <c r="AR512" t="str">
        <f>IFERROR(ROUND(S512*(P512/$AX512)/VLOOKUP(O512,职业!$A$3:$E$16,4,FALSE),0),"")</f>
        <v/>
      </c>
      <c r="AS512" t="str">
        <f>IFERROR(ROUND(S512*(R512/$AX512)/VLOOKUP(Q512,职业!$A$3:$E$16,4,FALSE),0),"")</f>
        <v/>
      </c>
      <c r="AT512" t="str">
        <f>IFERROR(ROUND(X512*(U512/$AY512)/VLOOKUP(T512,商品!$A$4:$D$67,4,FALSE),0),"")</f>
        <v/>
      </c>
      <c r="AU512" t="str">
        <f>IFERROR(ROUND(X512*(W512/$AY512)/VLOOKUP(V512,商品!$A$4:$D$67,4,FALSE),0),"")</f>
        <v/>
      </c>
      <c r="AW512">
        <f t="shared" si="133"/>
        <v>0</v>
      </c>
      <c r="AX512">
        <f t="shared" si="134"/>
        <v>0</v>
      </c>
      <c r="AY512">
        <f t="shared" si="135"/>
        <v>0</v>
      </c>
    </row>
    <row r="513" customHeight="1" spans="1:51">
      <c r="A513" s="5" t="s">
        <v>381</v>
      </c>
      <c r="C513" s="5">
        <v>2</v>
      </c>
      <c r="D513" s="1" t="s">
        <v>247</v>
      </c>
      <c r="E513" s="1" t="s">
        <v>222</v>
      </c>
      <c r="L513" s="5">
        <f>IFERROR(VLOOKUP($D513&amp;$C513,生产方式定位!$A$2:$E$38,2,FALSE)+VLOOKUP($E513&amp;$C513,生产方式定位!$F$3:$J$38,2,FALSE),0)</f>
        <v>4500</v>
      </c>
      <c r="S513" s="5">
        <f>IFERROR(VLOOKUP($D513&amp;$C513,生产方式定位!$A$2:$E$38,3,FALSE)+VLOOKUP($E513&amp;$C513,生产方式定位!$F$3:$J$38,3,FALSE),0)</f>
        <v>90</v>
      </c>
      <c r="X513" s="5">
        <f>IFERROR(VLOOKUP($D513&amp;$C513,生产方式定位!$A$2:$E$38,5,FALSE)+VLOOKUP($E513&amp;$C513,生产方式定位!$F$3:$J$38,5,FALSE),"错误")</f>
        <v>5049</v>
      </c>
      <c r="Y513" s="27" t="str">
        <f t="shared" si="119"/>
        <v/>
      </c>
      <c r="Z513" s="50" t="str">
        <f t="shared" si="122"/>
        <v/>
      </c>
      <c r="AA513" s="50" t="str">
        <f t="shared" si="120"/>
        <v/>
      </c>
      <c r="AB513" s="28" t="str">
        <f t="shared" si="123"/>
        <v>12%</v>
      </c>
      <c r="AC513" s="1">
        <f t="shared" si="124"/>
        <v>459</v>
      </c>
      <c r="AD513" s="51">
        <f t="shared" si="121"/>
        <v>2</v>
      </c>
      <c r="AE513" t="str">
        <f t="shared" si="125"/>
        <v/>
      </c>
      <c r="AF513" t="str">
        <f t="shared" si="126"/>
        <v/>
      </c>
      <c r="AG513" t="str">
        <f t="shared" si="127"/>
        <v/>
      </c>
      <c r="AH513" t="str">
        <f t="shared" si="128"/>
        <v/>
      </c>
      <c r="AI513" t="str">
        <f t="shared" si="129"/>
        <v/>
      </c>
      <c r="AJ513" t="str">
        <f t="shared" si="130"/>
        <v/>
      </c>
      <c r="AK513" t="str">
        <f t="shared" si="131"/>
        <v/>
      </c>
      <c r="AL513" t="str">
        <f t="shared" si="132"/>
        <v/>
      </c>
      <c r="AN513" t="str">
        <f>IFERROR(ROUND(L513*(G513/$AW513)/VLOOKUP(F513,商品!$A$4:$D$67,4,FALSE),0),"")</f>
        <v/>
      </c>
      <c r="AO513" t="str">
        <f>IFERROR(ROUND(L513*(I513/$AW513)/VLOOKUP(H513,商品!$A$4:$D$67,4,FALSE),0),"")</f>
        <v/>
      </c>
      <c r="AP513" t="str">
        <f>IFERROR(ROUND(L513*(K513/$AW513)/VLOOKUP(J513,商品!$A$4:$D$67,4,FALSE),0),"")</f>
        <v/>
      </c>
      <c r="AQ513" t="str">
        <f>IFERROR(ROUND(S513*(N513/$AX513)/VLOOKUP(M513,职业!$A$3:$E$16,4,FALSE),0),"")</f>
        <v/>
      </c>
      <c r="AR513" t="str">
        <f>IFERROR(ROUND(S513*(P513/$AX513)/VLOOKUP(O513,职业!$A$3:$E$16,4,FALSE),0),"")</f>
        <v/>
      </c>
      <c r="AS513" t="str">
        <f>IFERROR(ROUND(S513*(R513/$AX513)/VLOOKUP(Q513,职业!$A$3:$E$16,4,FALSE),0),"")</f>
        <v/>
      </c>
      <c r="AT513" t="str">
        <f>IFERROR(ROUND(X513*(U513/$AY513)/VLOOKUP(T513,商品!$A$4:$D$67,4,FALSE),0),"")</f>
        <v/>
      </c>
      <c r="AU513" t="str">
        <f>IFERROR(ROUND(X513*(W513/$AY513)/VLOOKUP(V513,商品!$A$4:$D$67,4,FALSE),0),"")</f>
        <v/>
      </c>
      <c r="AW513">
        <f t="shared" si="133"/>
        <v>0</v>
      </c>
      <c r="AX513">
        <f t="shared" si="134"/>
        <v>0</v>
      </c>
      <c r="AY513">
        <f t="shared" si="135"/>
        <v>0</v>
      </c>
    </row>
    <row r="514" customHeight="1" spans="1:51">
      <c r="A514" s="5" t="s">
        <v>381</v>
      </c>
      <c r="C514" s="5">
        <v>3</v>
      </c>
      <c r="D514" s="1" t="s">
        <v>247</v>
      </c>
      <c r="E514" s="1" t="s">
        <v>222</v>
      </c>
      <c r="L514" s="5">
        <f>IFERROR(VLOOKUP($D514&amp;$C514,生产方式定位!$A$2:$E$38,2,FALSE)+VLOOKUP($E514&amp;$C514,生产方式定位!$F$3:$J$38,2,FALSE),0)</f>
        <v>5625</v>
      </c>
      <c r="S514" s="5">
        <f>IFERROR(VLOOKUP($D514&amp;$C514,生产方式定位!$A$2:$E$38,3,FALSE)+VLOOKUP($E514&amp;$C514,生产方式定位!$F$3:$J$38,3,FALSE),0)</f>
        <v>80</v>
      </c>
      <c r="X514" s="5">
        <f>IFERROR(VLOOKUP($D514&amp;$C514,生产方式定位!$A$2:$E$38,5,FALSE)+VLOOKUP($E514&amp;$C514,生产方式定位!$F$3:$J$38,5,FALSE),"错误")</f>
        <v>6276</v>
      </c>
      <c r="Y514" s="27" t="str">
        <f t="shared" si="119"/>
        <v/>
      </c>
      <c r="Z514" s="50" t="str">
        <f t="shared" si="122"/>
        <v/>
      </c>
      <c r="AA514" s="50" t="str">
        <f t="shared" si="120"/>
        <v/>
      </c>
      <c r="AB514" s="28" t="str">
        <f t="shared" si="123"/>
        <v>12%</v>
      </c>
      <c r="AC514" s="1">
        <f t="shared" si="124"/>
        <v>571</v>
      </c>
      <c r="AD514" s="51">
        <f t="shared" si="121"/>
        <v>3</v>
      </c>
      <c r="AE514" t="str">
        <f t="shared" si="125"/>
        <v/>
      </c>
      <c r="AF514" t="str">
        <f t="shared" si="126"/>
        <v/>
      </c>
      <c r="AG514" t="str">
        <f t="shared" si="127"/>
        <v/>
      </c>
      <c r="AH514" t="str">
        <f t="shared" si="128"/>
        <v/>
      </c>
      <c r="AI514" t="str">
        <f t="shared" si="129"/>
        <v/>
      </c>
      <c r="AJ514" t="str">
        <f t="shared" si="130"/>
        <v/>
      </c>
      <c r="AK514" t="str">
        <f t="shared" si="131"/>
        <v/>
      </c>
      <c r="AL514" t="str">
        <f t="shared" si="132"/>
        <v/>
      </c>
      <c r="AN514" t="str">
        <f>IFERROR(ROUND(L514*(G514/$AW514)/VLOOKUP(F514,商品!$A$4:$D$67,4,FALSE),0),"")</f>
        <v/>
      </c>
      <c r="AO514" t="str">
        <f>IFERROR(ROUND(L514*(I514/$AW514)/VLOOKUP(H514,商品!$A$4:$D$67,4,FALSE),0),"")</f>
        <v/>
      </c>
      <c r="AP514" t="str">
        <f>IFERROR(ROUND(L514*(K514/$AW514)/VLOOKUP(J514,商品!$A$4:$D$67,4,FALSE),0),"")</f>
        <v/>
      </c>
      <c r="AQ514" t="str">
        <f>IFERROR(ROUND(S514*(N514/$AX514)/VLOOKUP(M514,职业!$A$3:$E$16,4,FALSE),0),"")</f>
        <v/>
      </c>
      <c r="AR514" t="str">
        <f>IFERROR(ROUND(S514*(P514/$AX514)/VLOOKUP(O514,职业!$A$3:$E$16,4,FALSE),0),"")</f>
        <v/>
      </c>
      <c r="AS514" t="str">
        <f>IFERROR(ROUND(S514*(R514/$AX514)/VLOOKUP(Q514,职业!$A$3:$E$16,4,FALSE),0),"")</f>
        <v/>
      </c>
      <c r="AT514" t="str">
        <f>IFERROR(ROUND(X514*(U514/$AY514)/VLOOKUP(T514,商品!$A$4:$D$67,4,FALSE),0),"")</f>
        <v/>
      </c>
      <c r="AU514" t="str">
        <f>IFERROR(ROUND(X514*(W514/$AY514)/VLOOKUP(V514,商品!$A$4:$D$67,4,FALSE),0),"")</f>
        <v/>
      </c>
      <c r="AW514">
        <f t="shared" si="133"/>
        <v>0</v>
      </c>
      <c r="AX514">
        <f t="shared" si="134"/>
        <v>0</v>
      </c>
      <c r="AY514">
        <f t="shared" si="135"/>
        <v>0</v>
      </c>
    </row>
    <row r="515" customHeight="1" spans="1:51">
      <c r="A515" s="5" t="s">
        <v>381</v>
      </c>
      <c r="C515" s="5">
        <v>4</v>
      </c>
      <c r="D515" s="1" t="s">
        <v>247</v>
      </c>
      <c r="E515" s="1" t="s">
        <v>222</v>
      </c>
      <c r="L515" s="5">
        <f>IFERROR(VLOOKUP($D515&amp;$C515,生产方式定位!$A$2:$E$38,2,FALSE)+VLOOKUP($E515&amp;$C515,生产方式定位!$F$3:$J$38,2,FALSE),0)</f>
        <v>6750</v>
      </c>
      <c r="S515" s="5">
        <f>IFERROR(VLOOKUP($D515&amp;$C515,生产方式定位!$A$2:$E$38,3,FALSE)+VLOOKUP($E515&amp;$C515,生产方式定位!$F$3:$J$38,3,FALSE),0)</f>
        <v>70</v>
      </c>
      <c r="X515" s="5">
        <f>IFERROR(VLOOKUP($D515&amp;$C515,生产方式定位!$A$2:$E$38,5,FALSE)+VLOOKUP($E515&amp;$C515,生产方式定位!$F$3:$J$38,5,FALSE),"错误")</f>
        <v>7502</v>
      </c>
      <c r="Y515" s="27" t="str">
        <f t="shared" si="119"/>
        <v/>
      </c>
      <c r="Z515" s="50" t="str">
        <f t="shared" si="122"/>
        <v/>
      </c>
      <c r="AA515" s="50" t="str">
        <f t="shared" si="120"/>
        <v/>
      </c>
      <c r="AB515" s="28" t="str">
        <f t="shared" si="123"/>
        <v>11%</v>
      </c>
      <c r="AC515" s="1">
        <f t="shared" si="124"/>
        <v>682</v>
      </c>
      <c r="AD515" s="51">
        <f t="shared" si="121"/>
        <v>4</v>
      </c>
      <c r="AE515" t="str">
        <f t="shared" si="125"/>
        <v/>
      </c>
      <c r="AF515" t="str">
        <f t="shared" si="126"/>
        <v/>
      </c>
      <c r="AG515" t="str">
        <f t="shared" si="127"/>
        <v/>
      </c>
      <c r="AH515" t="str">
        <f t="shared" si="128"/>
        <v/>
      </c>
      <c r="AI515" t="str">
        <f t="shared" si="129"/>
        <v/>
      </c>
      <c r="AJ515" t="str">
        <f t="shared" si="130"/>
        <v/>
      </c>
      <c r="AK515" t="str">
        <f t="shared" si="131"/>
        <v/>
      </c>
      <c r="AL515" t="str">
        <f t="shared" si="132"/>
        <v/>
      </c>
      <c r="AN515" t="str">
        <f>IFERROR(ROUND(L515*(G515/$AW515)/VLOOKUP(F515,商品!$A$4:$D$67,4,FALSE),0),"")</f>
        <v/>
      </c>
      <c r="AO515" t="str">
        <f>IFERROR(ROUND(L515*(I515/$AW515)/VLOOKUP(H515,商品!$A$4:$D$67,4,FALSE),0),"")</f>
        <v/>
      </c>
      <c r="AP515" t="str">
        <f>IFERROR(ROUND(L515*(K515/$AW515)/VLOOKUP(J515,商品!$A$4:$D$67,4,FALSE),0),"")</f>
        <v/>
      </c>
      <c r="AQ515" t="str">
        <f>IFERROR(ROUND(S515*(N515/$AX515)/VLOOKUP(M515,职业!$A$3:$E$16,4,FALSE),0),"")</f>
        <v/>
      </c>
      <c r="AR515" t="str">
        <f>IFERROR(ROUND(S515*(P515/$AX515)/VLOOKUP(O515,职业!$A$3:$E$16,4,FALSE),0),"")</f>
        <v/>
      </c>
      <c r="AS515" t="str">
        <f>IFERROR(ROUND(S515*(R515/$AX515)/VLOOKUP(Q515,职业!$A$3:$E$16,4,FALSE),0),"")</f>
        <v/>
      </c>
      <c r="AT515" t="str">
        <f>IFERROR(ROUND(X515*(U515/$AY515)/VLOOKUP(T515,商品!$A$4:$D$67,4,FALSE),0),"")</f>
        <v/>
      </c>
      <c r="AU515" t="str">
        <f>IFERROR(ROUND(X515*(W515/$AY515)/VLOOKUP(V515,商品!$A$4:$D$67,4,FALSE),0),"")</f>
        <v/>
      </c>
      <c r="AW515">
        <f t="shared" si="133"/>
        <v>0</v>
      </c>
      <c r="AX515">
        <f t="shared" si="134"/>
        <v>0</v>
      </c>
      <c r="AY515">
        <f t="shared" si="135"/>
        <v>0</v>
      </c>
    </row>
    <row r="516" customHeight="1" spans="1:51">
      <c r="A516" s="5" t="s">
        <v>381</v>
      </c>
      <c r="C516" s="5">
        <v>5</v>
      </c>
      <c r="D516" s="1" t="s">
        <v>247</v>
      </c>
      <c r="E516" s="1" t="s">
        <v>222</v>
      </c>
      <c r="L516" s="5">
        <f>IFERROR(VLOOKUP($D516&amp;$C516,生产方式定位!$A$2:$E$38,2,FALSE)+VLOOKUP($E516&amp;$C516,生产方式定位!$F$3:$J$38,2,FALSE),0)</f>
        <v>7875</v>
      </c>
      <c r="S516" s="5">
        <f>IFERROR(VLOOKUP($D516&amp;$C516,生产方式定位!$A$2:$E$38,3,FALSE)+VLOOKUP($E516&amp;$C516,生产方式定位!$F$3:$J$38,3,FALSE),0)</f>
        <v>60</v>
      </c>
      <c r="X516" s="5">
        <f>IFERROR(VLOOKUP($D516&amp;$C516,生产方式定位!$A$2:$E$38,5,FALSE)+VLOOKUP($E516&amp;$C516,生产方式定位!$F$3:$J$38,5,FALSE),"错误")</f>
        <v>8729</v>
      </c>
      <c r="Y516" s="27" t="str">
        <f t="shared" si="119"/>
        <v/>
      </c>
      <c r="Z516" s="50" t="str">
        <f t="shared" si="122"/>
        <v/>
      </c>
      <c r="AA516" s="50" t="str">
        <f t="shared" si="120"/>
        <v/>
      </c>
      <c r="AB516" s="28" t="str">
        <f t="shared" si="123"/>
        <v>11%</v>
      </c>
      <c r="AC516" s="1">
        <f t="shared" si="124"/>
        <v>794</v>
      </c>
      <c r="AD516" s="51">
        <f t="shared" si="121"/>
        <v>5</v>
      </c>
      <c r="AE516" t="str">
        <f t="shared" si="125"/>
        <v/>
      </c>
      <c r="AF516" t="str">
        <f t="shared" si="126"/>
        <v/>
      </c>
      <c r="AG516" t="str">
        <f t="shared" si="127"/>
        <v/>
      </c>
      <c r="AH516" t="str">
        <f t="shared" si="128"/>
        <v/>
      </c>
      <c r="AI516" t="str">
        <f t="shared" si="129"/>
        <v/>
      </c>
      <c r="AJ516" t="str">
        <f t="shared" si="130"/>
        <v/>
      </c>
      <c r="AK516" t="str">
        <f t="shared" si="131"/>
        <v/>
      </c>
      <c r="AL516" t="str">
        <f t="shared" si="132"/>
        <v/>
      </c>
      <c r="AN516" t="str">
        <f>IFERROR(ROUND(L516*(G516/$AW516)/VLOOKUP(F516,商品!$A$4:$D$67,4,FALSE),0),"")</f>
        <v/>
      </c>
      <c r="AO516" t="str">
        <f>IFERROR(ROUND(L516*(I516/$AW516)/VLOOKUP(H516,商品!$A$4:$D$67,4,FALSE),0),"")</f>
        <v/>
      </c>
      <c r="AP516" t="str">
        <f>IFERROR(ROUND(L516*(K516/$AW516)/VLOOKUP(J516,商品!$A$4:$D$67,4,FALSE),0),"")</f>
        <v/>
      </c>
      <c r="AQ516" t="str">
        <f>IFERROR(ROUND(S516*(N516/$AX516)/VLOOKUP(M516,职业!$A$3:$E$16,4,FALSE),0),"")</f>
        <v/>
      </c>
      <c r="AR516" t="str">
        <f>IFERROR(ROUND(S516*(P516/$AX516)/VLOOKUP(O516,职业!$A$3:$E$16,4,FALSE),0),"")</f>
        <v/>
      </c>
      <c r="AS516" t="str">
        <f>IFERROR(ROUND(S516*(R516/$AX516)/VLOOKUP(Q516,职业!$A$3:$E$16,4,FALSE),0),"")</f>
        <v/>
      </c>
      <c r="AT516" t="str">
        <f>IFERROR(ROUND(X516*(U516/$AY516)/VLOOKUP(T516,商品!$A$4:$D$67,4,FALSE),0),"")</f>
        <v/>
      </c>
      <c r="AU516" t="str">
        <f>IFERROR(ROUND(X516*(W516/$AY516)/VLOOKUP(V516,商品!$A$4:$D$67,4,FALSE),0),"")</f>
        <v/>
      </c>
      <c r="AW516">
        <f t="shared" si="133"/>
        <v>0</v>
      </c>
      <c r="AX516">
        <f t="shared" si="134"/>
        <v>0</v>
      </c>
      <c r="AY516">
        <f t="shared" si="135"/>
        <v>0</v>
      </c>
    </row>
    <row r="517" customHeight="1" spans="1:51">
      <c r="A517" s="18" t="s">
        <v>382</v>
      </c>
      <c r="C517" s="18">
        <v>1</v>
      </c>
      <c r="D517" s="1" t="s">
        <v>291</v>
      </c>
      <c r="E517" s="1" t="s">
        <v>225</v>
      </c>
      <c r="L517" s="18">
        <f>IFERROR(VLOOKUP($D517&amp;$C517,生产方式定位!$A$2:$E$38,2,FALSE)+VLOOKUP($E517&amp;$C517,生产方式定位!$F$3:$J$38,2,FALSE),0)</f>
        <v>0</v>
      </c>
      <c r="S517" s="18">
        <f>IFERROR(VLOOKUP($D517&amp;$C517,生产方式定位!$A$2:$E$38,3,FALSE)+VLOOKUP($E517&amp;$C517,生产方式定位!$F$3:$J$38,3,FALSE),0)</f>
        <v>100</v>
      </c>
      <c r="X517" s="18">
        <f>IFERROR(VLOOKUP($D517&amp;$C517,生产方式定位!$A$2:$E$38,5,FALSE)+VLOOKUP($E517&amp;$C517,生产方式定位!$F$3:$J$38,5,FALSE),"错误")</f>
        <v>100</v>
      </c>
      <c r="Y517" s="27" t="str">
        <f t="shared" ref="Y517:Y580" si="136">IF(AE517="","",AE517)&amp;IF(AF517="","",","&amp;AF517)&amp;IF(AG517="","",","&amp;AG517)</f>
        <v/>
      </c>
      <c r="Z517" s="50" t="str">
        <f t="shared" si="122"/>
        <v/>
      </c>
      <c r="AA517" s="50" t="str">
        <f t="shared" ref="AA517:AA580" si="137">IF(AK517="","",AK517)&amp;IF(AL517="","",","&amp;AL517)</f>
        <v/>
      </c>
      <c r="AB517" s="28" t="str">
        <f t="shared" si="123"/>
        <v/>
      </c>
      <c r="AC517" s="1" t="str">
        <f t="shared" si="124"/>
        <v/>
      </c>
      <c r="AD517" s="52">
        <f t="shared" ref="AD517:AD580" si="138">C517</f>
        <v>1</v>
      </c>
      <c r="AE517" t="str">
        <f t="shared" si="125"/>
        <v/>
      </c>
      <c r="AF517" t="str">
        <f t="shared" si="126"/>
        <v/>
      </c>
      <c r="AG517" t="str">
        <f t="shared" si="127"/>
        <v/>
      </c>
      <c r="AH517" t="str">
        <f t="shared" si="128"/>
        <v/>
      </c>
      <c r="AI517" t="str">
        <f t="shared" si="129"/>
        <v/>
      </c>
      <c r="AJ517" t="str">
        <f t="shared" si="130"/>
        <v/>
      </c>
      <c r="AK517" t="str">
        <f t="shared" si="131"/>
        <v/>
      </c>
      <c r="AL517" t="str">
        <f t="shared" si="132"/>
        <v/>
      </c>
      <c r="AN517" t="str">
        <f>IFERROR(ROUND(L517*(G517/$AW517)/VLOOKUP(F517,商品!$A$4:$D$67,4,FALSE),0),"")</f>
        <v/>
      </c>
      <c r="AO517" t="str">
        <f>IFERROR(ROUND(L517*(I517/$AW517)/VLOOKUP(H517,商品!$A$4:$D$67,4,FALSE),0),"")</f>
        <v/>
      </c>
      <c r="AP517" t="str">
        <f>IFERROR(ROUND(L517*(K517/$AW517)/VLOOKUP(J517,商品!$A$4:$D$67,4,FALSE),0),"")</f>
        <v/>
      </c>
      <c r="AQ517" t="str">
        <f>IFERROR(ROUND(S517*(N517/$AX517)/VLOOKUP(M517,职业!$A$3:$E$16,4,FALSE),0),"")</f>
        <v/>
      </c>
      <c r="AR517" t="str">
        <f>IFERROR(ROUND(S517*(P517/$AX517)/VLOOKUP(O517,职业!$A$3:$E$16,4,FALSE),0),"")</f>
        <v/>
      </c>
      <c r="AS517" t="str">
        <f>IFERROR(ROUND(S517*(R517/$AX517)/VLOOKUP(Q517,职业!$A$3:$E$16,4,FALSE),0),"")</f>
        <v/>
      </c>
      <c r="AT517" t="str">
        <f>IFERROR(ROUND(X517*(U517/$AY517)/VLOOKUP(T517,商品!$A$4:$D$67,4,FALSE),0),"")</f>
        <v/>
      </c>
      <c r="AU517" t="str">
        <f>IFERROR(ROUND(X517*(W517/$AY517)/VLOOKUP(V517,商品!$A$4:$D$67,4,FALSE),0),"")</f>
        <v/>
      </c>
      <c r="AW517">
        <f t="shared" si="133"/>
        <v>0</v>
      </c>
      <c r="AX517">
        <f t="shared" si="134"/>
        <v>0</v>
      </c>
      <c r="AY517">
        <f t="shared" si="135"/>
        <v>0</v>
      </c>
    </row>
    <row r="518" customHeight="1" spans="1:51">
      <c r="A518" s="18" t="s">
        <v>382</v>
      </c>
      <c r="C518" s="18">
        <v>2</v>
      </c>
      <c r="D518" s="1" t="s">
        <v>291</v>
      </c>
      <c r="E518" s="1" t="s">
        <v>225</v>
      </c>
      <c r="L518" s="18">
        <f>IFERROR(VLOOKUP($D518&amp;$C518,生产方式定位!$A$2:$E$38,2,FALSE)+VLOOKUP($E518&amp;$C518,生产方式定位!$F$3:$J$38,2,FALSE),0)</f>
        <v>0</v>
      </c>
      <c r="S518" s="18">
        <f>IFERROR(VLOOKUP($D518&amp;$C518,生产方式定位!$A$2:$E$38,3,FALSE)+VLOOKUP($E518&amp;$C518,生产方式定位!$F$3:$J$38,3,FALSE),0)</f>
        <v>100</v>
      </c>
      <c r="X518" s="18">
        <f>IFERROR(VLOOKUP($D518&amp;$C518,生产方式定位!$A$2:$E$38,5,FALSE)+VLOOKUP($E518&amp;$C518,生产方式定位!$F$3:$J$38,5,FALSE),"错误")</f>
        <v>100</v>
      </c>
      <c r="Y518" s="27" t="str">
        <f t="shared" si="136"/>
        <v/>
      </c>
      <c r="Z518" s="50" t="str">
        <f t="shared" ref="Z518:Z581" si="139">IF(AH518="","",AH518)&amp;IF(AI518="","",","&amp;AI518)&amp;IF(AJ518="","",","&amp;AJ518)</f>
        <v/>
      </c>
      <c r="AA518" s="50" t="str">
        <f t="shared" si="137"/>
        <v/>
      </c>
      <c r="AB518" s="28" t="str">
        <f t="shared" ref="AB518:AB581" si="140">IFERROR(ROUND(((X518/L518)-1)*100,0)&amp;"%","")</f>
        <v/>
      </c>
      <c r="AC518" s="1" t="str">
        <f t="shared" ref="AC518:AC581" si="141">IF(X518-S518-L518=0,"",X518-S518-L518)</f>
        <v/>
      </c>
      <c r="AD518" s="52">
        <f t="shared" si="138"/>
        <v>2</v>
      </c>
      <c r="AE518" t="str">
        <f t="shared" ref="AE518:AE581" si="142">IF(AN518="","",F518&amp;"*"&amp;AN518)</f>
        <v/>
      </c>
      <c r="AF518" t="str">
        <f t="shared" ref="AF518:AF581" si="143">IF(AO518="","",H518&amp;"*"&amp;AO518)</f>
        <v/>
      </c>
      <c r="AG518" t="str">
        <f t="shared" ref="AG518:AG581" si="144">IF(AP518="","",J518&amp;"*"&amp;AP518)</f>
        <v/>
      </c>
      <c r="AH518" t="str">
        <f t="shared" ref="AH518:AH581" si="145">IF(AQ518="","",M518&amp;"*"&amp;AQ518)</f>
        <v/>
      </c>
      <c r="AI518" t="str">
        <f t="shared" ref="AI518:AI581" si="146">IF(AR518="","",O518&amp;"*"&amp;AR518)</f>
        <v/>
      </c>
      <c r="AJ518" t="str">
        <f t="shared" ref="AJ518:AJ581" si="147">IF(AS518="","",Q518&amp;"*"&amp;AS518)</f>
        <v/>
      </c>
      <c r="AK518" t="str">
        <f t="shared" ref="AK518:AK581" si="148">IF(AT518="","",T518&amp;"*"&amp;AT518)</f>
        <v/>
      </c>
      <c r="AL518" t="str">
        <f t="shared" ref="AL518:AL581" si="149">IF(AU518="","",V518&amp;"*"&amp;AU518)</f>
        <v/>
      </c>
      <c r="AN518" t="str">
        <f>IFERROR(ROUND(L518*(G518/$AW518)/VLOOKUP(F518,商品!$A$4:$D$67,4,FALSE),0),"")</f>
        <v/>
      </c>
      <c r="AO518" t="str">
        <f>IFERROR(ROUND(L518*(I518/$AW518)/VLOOKUP(H518,商品!$A$4:$D$67,4,FALSE),0),"")</f>
        <v/>
      </c>
      <c r="AP518" t="str">
        <f>IFERROR(ROUND(L518*(K518/$AW518)/VLOOKUP(J518,商品!$A$4:$D$67,4,FALSE),0),"")</f>
        <v/>
      </c>
      <c r="AQ518" t="str">
        <f>IFERROR(ROUND(S518*(N518/$AX518)/VLOOKUP(M518,职业!$A$3:$E$16,4,FALSE),0),"")</f>
        <v/>
      </c>
      <c r="AR518" t="str">
        <f>IFERROR(ROUND(S518*(P518/$AX518)/VLOOKUP(O518,职业!$A$3:$E$16,4,FALSE),0),"")</f>
        <v/>
      </c>
      <c r="AS518" t="str">
        <f>IFERROR(ROUND(S518*(R518/$AX518)/VLOOKUP(Q518,职业!$A$3:$E$16,4,FALSE),0),"")</f>
        <v/>
      </c>
      <c r="AT518" t="str">
        <f>IFERROR(ROUND(X518*(U518/$AY518)/VLOOKUP(T518,商品!$A$4:$D$67,4,FALSE),0),"")</f>
        <v/>
      </c>
      <c r="AU518" t="str">
        <f>IFERROR(ROUND(X518*(W518/$AY518)/VLOOKUP(V518,商品!$A$4:$D$67,4,FALSE),0),"")</f>
        <v/>
      </c>
      <c r="AW518">
        <f t="shared" ref="AW518:AW581" si="150">G518+I518+K518</f>
        <v>0</v>
      </c>
      <c r="AX518">
        <f t="shared" ref="AX518:AX581" si="151">ABS(N518)+ABS(P518)+ABS(R518)</f>
        <v>0</v>
      </c>
      <c r="AY518">
        <f t="shared" ref="AY518:AY581" si="152">U518+W518</f>
        <v>0</v>
      </c>
    </row>
    <row r="519" customHeight="1" spans="1:51">
      <c r="A519" s="18" t="s">
        <v>382</v>
      </c>
      <c r="C519" s="18">
        <v>3</v>
      </c>
      <c r="D519" s="1" t="s">
        <v>291</v>
      </c>
      <c r="E519" s="1" t="s">
        <v>225</v>
      </c>
      <c r="L519" s="18">
        <f>IFERROR(VLOOKUP($D519&amp;$C519,生产方式定位!$A$2:$E$38,2,FALSE)+VLOOKUP($E519&amp;$C519,生产方式定位!$F$3:$J$38,2,FALSE),0)</f>
        <v>0</v>
      </c>
      <c r="S519" s="18">
        <f>IFERROR(VLOOKUP($D519&amp;$C519,生产方式定位!$A$2:$E$38,3,FALSE)+VLOOKUP($E519&amp;$C519,生产方式定位!$F$3:$J$38,3,FALSE),0)</f>
        <v>100</v>
      </c>
      <c r="X519" s="18">
        <f>IFERROR(VLOOKUP($D519&amp;$C519,生产方式定位!$A$2:$E$38,5,FALSE)+VLOOKUP($E519&amp;$C519,生产方式定位!$F$3:$J$38,5,FALSE),"错误")</f>
        <v>100</v>
      </c>
      <c r="Y519" s="27" t="str">
        <f t="shared" si="136"/>
        <v/>
      </c>
      <c r="Z519" s="50" t="str">
        <f t="shared" si="139"/>
        <v/>
      </c>
      <c r="AA519" s="50" t="str">
        <f t="shared" si="137"/>
        <v/>
      </c>
      <c r="AB519" s="28" t="str">
        <f t="shared" si="140"/>
        <v/>
      </c>
      <c r="AC519" s="1" t="str">
        <f t="shared" si="141"/>
        <v/>
      </c>
      <c r="AD519" s="52">
        <f t="shared" si="138"/>
        <v>3</v>
      </c>
      <c r="AE519" t="str">
        <f t="shared" si="142"/>
        <v/>
      </c>
      <c r="AF519" t="str">
        <f t="shared" si="143"/>
        <v/>
      </c>
      <c r="AG519" t="str">
        <f t="shared" si="144"/>
        <v/>
      </c>
      <c r="AH519" t="str">
        <f t="shared" si="145"/>
        <v/>
      </c>
      <c r="AI519" t="str">
        <f t="shared" si="146"/>
        <v/>
      </c>
      <c r="AJ519" t="str">
        <f t="shared" si="147"/>
        <v/>
      </c>
      <c r="AK519" t="str">
        <f t="shared" si="148"/>
        <v/>
      </c>
      <c r="AL519" t="str">
        <f t="shared" si="149"/>
        <v/>
      </c>
      <c r="AN519" t="str">
        <f>IFERROR(ROUND(L519*(G519/$AW519)/VLOOKUP(F519,商品!$A$4:$D$67,4,FALSE),0),"")</f>
        <v/>
      </c>
      <c r="AO519" t="str">
        <f>IFERROR(ROUND(L519*(I519/$AW519)/VLOOKUP(H519,商品!$A$4:$D$67,4,FALSE),0),"")</f>
        <v/>
      </c>
      <c r="AP519" t="str">
        <f>IFERROR(ROUND(L519*(K519/$AW519)/VLOOKUP(J519,商品!$A$4:$D$67,4,FALSE),0),"")</f>
        <v/>
      </c>
      <c r="AQ519" t="str">
        <f>IFERROR(ROUND(S519*(N519/$AX519)/VLOOKUP(M519,职业!$A$3:$E$16,4,FALSE),0),"")</f>
        <v/>
      </c>
      <c r="AR519" t="str">
        <f>IFERROR(ROUND(S519*(P519/$AX519)/VLOOKUP(O519,职业!$A$3:$E$16,4,FALSE),0),"")</f>
        <v/>
      </c>
      <c r="AS519" t="str">
        <f>IFERROR(ROUND(S519*(R519/$AX519)/VLOOKUP(Q519,职业!$A$3:$E$16,4,FALSE),0),"")</f>
        <v/>
      </c>
      <c r="AT519" t="str">
        <f>IFERROR(ROUND(X519*(U519/$AY519)/VLOOKUP(T519,商品!$A$4:$D$67,4,FALSE),0),"")</f>
        <v/>
      </c>
      <c r="AU519" t="str">
        <f>IFERROR(ROUND(X519*(W519/$AY519)/VLOOKUP(V519,商品!$A$4:$D$67,4,FALSE),0),"")</f>
        <v/>
      </c>
      <c r="AW519">
        <f t="shared" si="150"/>
        <v>0</v>
      </c>
      <c r="AX519">
        <f t="shared" si="151"/>
        <v>0</v>
      </c>
      <c r="AY519">
        <f t="shared" si="152"/>
        <v>0</v>
      </c>
    </row>
    <row r="520" customHeight="1" spans="1:51">
      <c r="A520" s="18" t="s">
        <v>382</v>
      </c>
      <c r="C520" s="18">
        <v>4</v>
      </c>
      <c r="D520" s="1" t="s">
        <v>291</v>
      </c>
      <c r="E520" s="1" t="s">
        <v>225</v>
      </c>
      <c r="L520" s="18">
        <f>IFERROR(VLOOKUP($D520&amp;$C520,生产方式定位!$A$2:$E$38,2,FALSE)+VLOOKUP($E520&amp;$C520,生产方式定位!$F$3:$J$38,2,FALSE),0)</f>
        <v>0</v>
      </c>
      <c r="S520" s="18">
        <f>IFERROR(VLOOKUP($D520&amp;$C520,生产方式定位!$A$2:$E$38,3,FALSE)+VLOOKUP($E520&amp;$C520,生产方式定位!$F$3:$J$38,3,FALSE),0)</f>
        <v>100</v>
      </c>
      <c r="X520" s="18">
        <f>IFERROR(VLOOKUP($D520&amp;$C520,生产方式定位!$A$2:$E$38,5,FALSE)+VLOOKUP($E520&amp;$C520,生产方式定位!$F$3:$J$38,5,FALSE),"错误")</f>
        <v>100</v>
      </c>
      <c r="Y520" s="27" t="str">
        <f t="shared" si="136"/>
        <v/>
      </c>
      <c r="Z520" s="50" t="str">
        <f t="shared" si="139"/>
        <v/>
      </c>
      <c r="AA520" s="50" t="str">
        <f t="shared" si="137"/>
        <v/>
      </c>
      <c r="AB520" s="28" t="str">
        <f t="shared" si="140"/>
        <v/>
      </c>
      <c r="AC520" s="1" t="str">
        <f t="shared" si="141"/>
        <v/>
      </c>
      <c r="AD520" s="52">
        <f t="shared" si="138"/>
        <v>4</v>
      </c>
      <c r="AE520" t="str">
        <f t="shared" si="142"/>
        <v/>
      </c>
      <c r="AF520" t="str">
        <f t="shared" si="143"/>
        <v/>
      </c>
      <c r="AG520" t="str">
        <f t="shared" si="144"/>
        <v/>
      </c>
      <c r="AH520" t="str">
        <f t="shared" si="145"/>
        <v/>
      </c>
      <c r="AI520" t="str">
        <f t="shared" si="146"/>
        <v/>
      </c>
      <c r="AJ520" t="str">
        <f t="shared" si="147"/>
        <v/>
      </c>
      <c r="AK520" t="str">
        <f t="shared" si="148"/>
        <v/>
      </c>
      <c r="AL520" t="str">
        <f t="shared" si="149"/>
        <v/>
      </c>
      <c r="AN520" t="str">
        <f>IFERROR(ROUND(L520*(G520/$AW520)/VLOOKUP(F520,商品!$A$4:$D$67,4,FALSE),0),"")</f>
        <v/>
      </c>
      <c r="AO520" t="str">
        <f>IFERROR(ROUND(L520*(I520/$AW520)/VLOOKUP(H520,商品!$A$4:$D$67,4,FALSE),0),"")</f>
        <v/>
      </c>
      <c r="AP520" t="str">
        <f>IFERROR(ROUND(L520*(K520/$AW520)/VLOOKUP(J520,商品!$A$4:$D$67,4,FALSE),0),"")</f>
        <v/>
      </c>
      <c r="AQ520" t="str">
        <f>IFERROR(ROUND(S520*(N520/$AX520)/VLOOKUP(M520,职业!$A$3:$E$16,4,FALSE),0),"")</f>
        <v/>
      </c>
      <c r="AR520" t="str">
        <f>IFERROR(ROUND(S520*(P520/$AX520)/VLOOKUP(O520,职业!$A$3:$E$16,4,FALSE),0),"")</f>
        <v/>
      </c>
      <c r="AS520" t="str">
        <f>IFERROR(ROUND(S520*(R520/$AX520)/VLOOKUP(Q520,职业!$A$3:$E$16,4,FALSE),0),"")</f>
        <v/>
      </c>
      <c r="AT520" t="str">
        <f>IFERROR(ROUND(X520*(U520/$AY520)/VLOOKUP(T520,商品!$A$4:$D$67,4,FALSE),0),"")</f>
        <v/>
      </c>
      <c r="AU520" t="str">
        <f>IFERROR(ROUND(X520*(W520/$AY520)/VLOOKUP(V520,商品!$A$4:$D$67,4,FALSE),0),"")</f>
        <v/>
      </c>
      <c r="AW520">
        <f t="shared" si="150"/>
        <v>0</v>
      </c>
      <c r="AX520">
        <f t="shared" si="151"/>
        <v>0</v>
      </c>
      <c r="AY520">
        <f t="shared" si="152"/>
        <v>0</v>
      </c>
    </row>
    <row r="521" customHeight="1" spans="1:51">
      <c r="A521" s="18" t="s">
        <v>382</v>
      </c>
      <c r="C521" s="18">
        <v>5</v>
      </c>
      <c r="D521" s="1" t="s">
        <v>291</v>
      </c>
      <c r="E521" s="1" t="s">
        <v>225</v>
      </c>
      <c r="L521" s="18">
        <f>IFERROR(VLOOKUP($D521&amp;$C521,生产方式定位!$A$2:$E$38,2,FALSE)+VLOOKUP($E521&amp;$C521,生产方式定位!$F$3:$J$38,2,FALSE),0)</f>
        <v>0</v>
      </c>
      <c r="S521" s="18">
        <f>IFERROR(VLOOKUP($D521&amp;$C521,生产方式定位!$A$2:$E$38,3,FALSE)+VLOOKUP($E521&amp;$C521,生产方式定位!$F$3:$J$38,3,FALSE),0)</f>
        <v>100</v>
      </c>
      <c r="X521" s="18">
        <f>IFERROR(VLOOKUP($D521&amp;$C521,生产方式定位!$A$2:$E$38,5,FALSE)+VLOOKUP($E521&amp;$C521,生产方式定位!$F$3:$J$38,5,FALSE),"错误")</f>
        <v>100</v>
      </c>
      <c r="Y521" s="27" t="str">
        <f t="shared" si="136"/>
        <v/>
      </c>
      <c r="Z521" s="50" t="str">
        <f t="shared" si="139"/>
        <v/>
      </c>
      <c r="AA521" s="50" t="str">
        <f t="shared" si="137"/>
        <v/>
      </c>
      <c r="AB521" s="28" t="str">
        <f t="shared" si="140"/>
        <v/>
      </c>
      <c r="AC521" s="1" t="str">
        <f t="shared" si="141"/>
        <v/>
      </c>
      <c r="AD521" s="52">
        <f t="shared" si="138"/>
        <v>5</v>
      </c>
      <c r="AE521" t="str">
        <f t="shared" si="142"/>
        <v/>
      </c>
      <c r="AF521" t="str">
        <f t="shared" si="143"/>
        <v/>
      </c>
      <c r="AG521" t="str">
        <f t="shared" si="144"/>
        <v/>
      </c>
      <c r="AH521" t="str">
        <f t="shared" si="145"/>
        <v/>
      </c>
      <c r="AI521" t="str">
        <f t="shared" si="146"/>
        <v/>
      </c>
      <c r="AJ521" t="str">
        <f t="shared" si="147"/>
        <v/>
      </c>
      <c r="AK521" t="str">
        <f t="shared" si="148"/>
        <v/>
      </c>
      <c r="AL521" t="str">
        <f t="shared" si="149"/>
        <v/>
      </c>
      <c r="AN521" t="str">
        <f>IFERROR(ROUND(L521*(G521/$AW521)/VLOOKUP(F521,商品!$A$4:$D$67,4,FALSE),0),"")</f>
        <v/>
      </c>
      <c r="AO521" t="str">
        <f>IFERROR(ROUND(L521*(I521/$AW521)/VLOOKUP(H521,商品!$A$4:$D$67,4,FALSE),0),"")</f>
        <v/>
      </c>
      <c r="AP521" t="str">
        <f>IFERROR(ROUND(L521*(K521/$AW521)/VLOOKUP(J521,商品!$A$4:$D$67,4,FALSE),0),"")</f>
        <v/>
      </c>
      <c r="AQ521" t="str">
        <f>IFERROR(ROUND(S521*(N521/$AX521)/VLOOKUP(M521,职业!$A$3:$E$16,4,FALSE),0),"")</f>
        <v/>
      </c>
      <c r="AR521" t="str">
        <f>IFERROR(ROUND(S521*(P521/$AX521)/VLOOKUP(O521,职业!$A$3:$E$16,4,FALSE),0),"")</f>
        <v/>
      </c>
      <c r="AS521" t="str">
        <f>IFERROR(ROUND(S521*(R521/$AX521)/VLOOKUP(Q521,职业!$A$3:$E$16,4,FALSE),0),"")</f>
        <v/>
      </c>
      <c r="AT521" t="str">
        <f>IFERROR(ROUND(X521*(U521/$AY521)/VLOOKUP(T521,商品!$A$4:$D$67,4,FALSE),0),"")</f>
        <v/>
      </c>
      <c r="AU521" t="str">
        <f>IFERROR(ROUND(X521*(W521/$AY521)/VLOOKUP(V521,商品!$A$4:$D$67,4,FALSE),0),"")</f>
        <v/>
      </c>
      <c r="AW521">
        <f t="shared" si="150"/>
        <v>0</v>
      </c>
      <c r="AX521">
        <f t="shared" si="151"/>
        <v>0</v>
      </c>
      <c r="AY521">
        <f t="shared" si="152"/>
        <v>0</v>
      </c>
    </row>
    <row r="522" customHeight="1" spans="1:51">
      <c r="A522" s="5" t="s">
        <v>384</v>
      </c>
      <c r="C522" s="5">
        <v>1</v>
      </c>
      <c r="D522" s="1" t="s">
        <v>247</v>
      </c>
      <c r="E522" s="1" t="s">
        <v>222</v>
      </c>
      <c r="L522" s="5">
        <f>IFERROR(VLOOKUP($D522&amp;$C522,生产方式定位!$A$2:$E$38,2,FALSE)+VLOOKUP($E522&amp;$C522,生产方式定位!$F$3:$J$38,2,FALSE),0)</f>
        <v>3000</v>
      </c>
      <c r="S522" s="5">
        <f>IFERROR(VLOOKUP($D522&amp;$C522,生产方式定位!$A$2:$E$38,3,FALSE)+VLOOKUP($E522&amp;$C522,生产方式定位!$F$3:$J$38,3,FALSE),0)</f>
        <v>100</v>
      </c>
      <c r="X522" s="5">
        <f>IFERROR(VLOOKUP($D522&amp;$C522,生产方式定位!$A$2:$E$38,5,FALSE)+VLOOKUP($E522&amp;$C522,生产方式定位!$F$3:$J$38,5,FALSE),"错误")</f>
        <v>3410</v>
      </c>
      <c r="Y522" s="27" t="str">
        <f t="shared" si="136"/>
        <v/>
      </c>
      <c r="Z522" s="50" t="str">
        <f t="shared" si="139"/>
        <v/>
      </c>
      <c r="AA522" s="50" t="str">
        <f t="shared" si="137"/>
        <v/>
      </c>
      <c r="AB522" s="28" t="str">
        <f t="shared" si="140"/>
        <v>14%</v>
      </c>
      <c r="AC522" s="1">
        <f t="shared" si="141"/>
        <v>310</v>
      </c>
      <c r="AD522" s="51">
        <f t="shared" si="138"/>
        <v>1</v>
      </c>
      <c r="AE522" t="str">
        <f t="shared" si="142"/>
        <v/>
      </c>
      <c r="AF522" t="str">
        <f t="shared" si="143"/>
        <v/>
      </c>
      <c r="AG522" t="str">
        <f t="shared" si="144"/>
        <v/>
      </c>
      <c r="AH522" t="str">
        <f t="shared" si="145"/>
        <v/>
      </c>
      <c r="AI522" t="str">
        <f t="shared" si="146"/>
        <v/>
      </c>
      <c r="AJ522" t="str">
        <f t="shared" si="147"/>
        <v/>
      </c>
      <c r="AK522" t="str">
        <f t="shared" si="148"/>
        <v/>
      </c>
      <c r="AL522" t="str">
        <f t="shared" si="149"/>
        <v/>
      </c>
      <c r="AN522" t="str">
        <f>IFERROR(ROUND(L522*(G522/$AW522)/VLOOKUP(F522,商品!$A$4:$D$67,4,FALSE),0),"")</f>
        <v/>
      </c>
      <c r="AO522" t="str">
        <f>IFERROR(ROUND(L522*(I522/$AW522)/VLOOKUP(H522,商品!$A$4:$D$67,4,FALSE),0),"")</f>
        <v/>
      </c>
      <c r="AP522" t="str">
        <f>IFERROR(ROUND(L522*(K522/$AW522)/VLOOKUP(J522,商品!$A$4:$D$67,4,FALSE),0),"")</f>
        <v/>
      </c>
      <c r="AQ522" t="str">
        <f>IFERROR(ROUND(S522*(N522/$AX522)/VLOOKUP(M522,职业!$A$3:$E$16,4,FALSE),0),"")</f>
        <v/>
      </c>
      <c r="AR522" t="str">
        <f>IFERROR(ROUND(S522*(P522/$AX522)/VLOOKUP(O522,职业!$A$3:$E$16,4,FALSE),0),"")</f>
        <v/>
      </c>
      <c r="AS522" t="str">
        <f>IFERROR(ROUND(S522*(R522/$AX522)/VLOOKUP(Q522,职业!$A$3:$E$16,4,FALSE),0),"")</f>
        <v/>
      </c>
      <c r="AT522" t="str">
        <f>IFERROR(ROUND(X522*(U522/$AY522)/VLOOKUP(T522,商品!$A$4:$D$67,4,FALSE),0),"")</f>
        <v/>
      </c>
      <c r="AU522" t="str">
        <f>IFERROR(ROUND(X522*(W522/$AY522)/VLOOKUP(V522,商品!$A$4:$D$67,4,FALSE),0),"")</f>
        <v/>
      </c>
      <c r="AW522">
        <f t="shared" si="150"/>
        <v>0</v>
      </c>
      <c r="AX522">
        <f t="shared" si="151"/>
        <v>0</v>
      </c>
      <c r="AY522">
        <f t="shared" si="152"/>
        <v>0</v>
      </c>
    </row>
    <row r="523" customHeight="1" spans="1:51">
      <c r="A523" s="5" t="s">
        <v>384</v>
      </c>
      <c r="C523" s="5">
        <v>2</v>
      </c>
      <c r="D523" s="1" t="s">
        <v>247</v>
      </c>
      <c r="E523" s="1" t="s">
        <v>222</v>
      </c>
      <c r="L523" s="5">
        <f>IFERROR(VLOOKUP($D523&amp;$C523,生产方式定位!$A$2:$E$38,2,FALSE)+VLOOKUP($E523&amp;$C523,生产方式定位!$F$3:$J$38,2,FALSE),0)</f>
        <v>4500</v>
      </c>
      <c r="S523" s="5">
        <f>IFERROR(VLOOKUP($D523&amp;$C523,生产方式定位!$A$2:$E$38,3,FALSE)+VLOOKUP($E523&amp;$C523,生产方式定位!$F$3:$J$38,3,FALSE),0)</f>
        <v>90</v>
      </c>
      <c r="X523" s="5">
        <f>IFERROR(VLOOKUP($D523&amp;$C523,生产方式定位!$A$2:$E$38,5,FALSE)+VLOOKUP($E523&amp;$C523,生产方式定位!$F$3:$J$38,5,FALSE),"错误")</f>
        <v>5049</v>
      </c>
      <c r="Y523" s="27" t="str">
        <f t="shared" si="136"/>
        <v/>
      </c>
      <c r="Z523" s="50" t="str">
        <f t="shared" si="139"/>
        <v/>
      </c>
      <c r="AA523" s="50" t="str">
        <f t="shared" si="137"/>
        <v/>
      </c>
      <c r="AB523" s="28" t="str">
        <f t="shared" si="140"/>
        <v>12%</v>
      </c>
      <c r="AC523" s="1">
        <f t="shared" si="141"/>
        <v>459</v>
      </c>
      <c r="AD523" s="51">
        <f t="shared" si="138"/>
        <v>2</v>
      </c>
      <c r="AE523" t="str">
        <f t="shared" si="142"/>
        <v/>
      </c>
      <c r="AF523" t="str">
        <f t="shared" si="143"/>
        <v/>
      </c>
      <c r="AG523" t="str">
        <f t="shared" si="144"/>
        <v/>
      </c>
      <c r="AH523" t="str">
        <f t="shared" si="145"/>
        <v/>
      </c>
      <c r="AI523" t="str">
        <f t="shared" si="146"/>
        <v/>
      </c>
      <c r="AJ523" t="str">
        <f t="shared" si="147"/>
        <v/>
      </c>
      <c r="AK523" t="str">
        <f t="shared" si="148"/>
        <v/>
      </c>
      <c r="AL523" t="str">
        <f t="shared" si="149"/>
        <v/>
      </c>
      <c r="AN523" t="str">
        <f>IFERROR(ROUND(L523*(G523/$AW523)/VLOOKUP(F523,商品!$A$4:$D$67,4,FALSE),0),"")</f>
        <v/>
      </c>
      <c r="AO523" t="str">
        <f>IFERROR(ROUND(L523*(I523/$AW523)/VLOOKUP(H523,商品!$A$4:$D$67,4,FALSE),0),"")</f>
        <v/>
      </c>
      <c r="AP523" t="str">
        <f>IFERROR(ROUND(L523*(K523/$AW523)/VLOOKUP(J523,商品!$A$4:$D$67,4,FALSE),0),"")</f>
        <v/>
      </c>
      <c r="AQ523" t="str">
        <f>IFERROR(ROUND(S523*(N523/$AX523)/VLOOKUP(M523,职业!$A$3:$E$16,4,FALSE),0),"")</f>
        <v/>
      </c>
      <c r="AR523" t="str">
        <f>IFERROR(ROUND(S523*(P523/$AX523)/VLOOKUP(O523,职业!$A$3:$E$16,4,FALSE),0),"")</f>
        <v/>
      </c>
      <c r="AS523" t="str">
        <f>IFERROR(ROUND(S523*(R523/$AX523)/VLOOKUP(Q523,职业!$A$3:$E$16,4,FALSE),0),"")</f>
        <v/>
      </c>
      <c r="AT523" t="str">
        <f>IFERROR(ROUND(X523*(U523/$AY523)/VLOOKUP(T523,商品!$A$4:$D$67,4,FALSE),0),"")</f>
        <v/>
      </c>
      <c r="AU523" t="str">
        <f>IFERROR(ROUND(X523*(W523/$AY523)/VLOOKUP(V523,商品!$A$4:$D$67,4,FALSE),0),"")</f>
        <v/>
      </c>
      <c r="AW523">
        <f t="shared" si="150"/>
        <v>0</v>
      </c>
      <c r="AX523">
        <f t="shared" si="151"/>
        <v>0</v>
      </c>
      <c r="AY523">
        <f t="shared" si="152"/>
        <v>0</v>
      </c>
    </row>
    <row r="524" customHeight="1" spans="1:51">
      <c r="A524" s="5" t="s">
        <v>384</v>
      </c>
      <c r="C524" s="5">
        <v>3</v>
      </c>
      <c r="D524" s="1" t="s">
        <v>247</v>
      </c>
      <c r="E524" s="1" t="s">
        <v>222</v>
      </c>
      <c r="L524" s="5">
        <f>IFERROR(VLOOKUP($D524&amp;$C524,生产方式定位!$A$2:$E$38,2,FALSE)+VLOOKUP($E524&amp;$C524,生产方式定位!$F$3:$J$38,2,FALSE),0)</f>
        <v>5625</v>
      </c>
      <c r="S524" s="5">
        <f>IFERROR(VLOOKUP($D524&amp;$C524,生产方式定位!$A$2:$E$38,3,FALSE)+VLOOKUP($E524&amp;$C524,生产方式定位!$F$3:$J$38,3,FALSE),0)</f>
        <v>80</v>
      </c>
      <c r="X524" s="5">
        <f>IFERROR(VLOOKUP($D524&amp;$C524,生产方式定位!$A$2:$E$38,5,FALSE)+VLOOKUP($E524&amp;$C524,生产方式定位!$F$3:$J$38,5,FALSE),"错误")</f>
        <v>6276</v>
      </c>
      <c r="Y524" s="27" t="str">
        <f t="shared" si="136"/>
        <v/>
      </c>
      <c r="Z524" s="50" t="str">
        <f t="shared" si="139"/>
        <v/>
      </c>
      <c r="AA524" s="50" t="str">
        <f t="shared" si="137"/>
        <v/>
      </c>
      <c r="AB524" s="28" t="str">
        <f t="shared" si="140"/>
        <v>12%</v>
      </c>
      <c r="AC524" s="1">
        <f t="shared" si="141"/>
        <v>571</v>
      </c>
      <c r="AD524" s="51">
        <f t="shared" si="138"/>
        <v>3</v>
      </c>
      <c r="AE524" t="str">
        <f t="shared" si="142"/>
        <v/>
      </c>
      <c r="AF524" t="str">
        <f t="shared" si="143"/>
        <v/>
      </c>
      <c r="AG524" t="str">
        <f t="shared" si="144"/>
        <v/>
      </c>
      <c r="AH524" t="str">
        <f t="shared" si="145"/>
        <v/>
      </c>
      <c r="AI524" t="str">
        <f t="shared" si="146"/>
        <v/>
      </c>
      <c r="AJ524" t="str">
        <f t="shared" si="147"/>
        <v/>
      </c>
      <c r="AK524" t="str">
        <f t="shared" si="148"/>
        <v/>
      </c>
      <c r="AL524" t="str">
        <f t="shared" si="149"/>
        <v/>
      </c>
      <c r="AN524" t="str">
        <f>IFERROR(ROUND(L524*(G524/$AW524)/VLOOKUP(F524,商品!$A$4:$D$67,4,FALSE),0),"")</f>
        <v/>
      </c>
      <c r="AO524" t="str">
        <f>IFERROR(ROUND(L524*(I524/$AW524)/VLOOKUP(H524,商品!$A$4:$D$67,4,FALSE),0),"")</f>
        <v/>
      </c>
      <c r="AP524" t="str">
        <f>IFERROR(ROUND(L524*(K524/$AW524)/VLOOKUP(J524,商品!$A$4:$D$67,4,FALSE),0),"")</f>
        <v/>
      </c>
      <c r="AQ524" t="str">
        <f>IFERROR(ROUND(S524*(N524/$AX524)/VLOOKUP(M524,职业!$A$3:$E$16,4,FALSE),0),"")</f>
        <v/>
      </c>
      <c r="AR524" t="str">
        <f>IFERROR(ROUND(S524*(P524/$AX524)/VLOOKUP(O524,职业!$A$3:$E$16,4,FALSE),0),"")</f>
        <v/>
      </c>
      <c r="AS524" t="str">
        <f>IFERROR(ROUND(S524*(R524/$AX524)/VLOOKUP(Q524,职业!$A$3:$E$16,4,FALSE),0),"")</f>
        <v/>
      </c>
      <c r="AT524" t="str">
        <f>IFERROR(ROUND(X524*(U524/$AY524)/VLOOKUP(T524,商品!$A$4:$D$67,4,FALSE),0),"")</f>
        <v/>
      </c>
      <c r="AU524" t="str">
        <f>IFERROR(ROUND(X524*(W524/$AY524)/VLOOKUP(V524,商品!$A$4:$D$67,4,FALSE),0),"")</f>
        <v/>
      </c>
      <c r="AW524">
        <f t="shared" si="150"/>
        <v>0</v>
      </c>
      <c r="AX524">
        <f t="shared" si="151"/>
        <v>0</v>
      </c>
      <c r="AY524">
        <f t="shared" si="152"/>
        <v>0</v>
      </c>
    </row>
    <row r="525" customHeight="1" spans="1:51">
      <c r="A525" s="5" t="s">
        <v>384</v>
      </c>
      <c r="C525" s="5">
        <v>4</v>
      </c>
      <c r="D525" s="1" t="s">
        <v>247</v>
      </c>
      <c r="E525" s="1" t="s">
        <v>222</v>
      </c>
      <c r="L525" s="5">
        <f>IFERROR(VLOOKUP($D525&amp;$C525,生产方式定位!$A$2:$E$38,2,FALSE)+VLOOKUP($E525&amp;$C525,生产方式定位!$F$3:$J$38,2,FALSE),0)</f>
        <v>6750</v>
      </c>
      <c r="S525" s="5">
        <f>IFERROR(VLOOKUP($D525&amp;$C525,生产方式定位!$A$2:$E$38,3,FALSE)+VLOOKUP($E525&amp;$C525,生产方式定位!$F$3:$J$38,3,FALSE),0)</f>
        <v>70</v>
      </c>
      <c r="X525" s="5">
        <f>IFERROR(VLOOKUP($D525&amp;$C525,生产方式定位!$A$2:$E$38,5,FALSE)+VLOOKUP($E525&amp;$C525,生产方式定位!$F$3:$J$38,5,FALSE),"错误")</f>
        <v>7502</v>
      </c>
      <c r="Y525" s="27" t="str">
        <f t="shared" si="136"/>
        <v/>
      </c>
      <c r="Z525" s="50" t="str">
        <f t="shared" si="139"/>
        <v/>
      </c>
      <c r="AA525" s="50" t="str">
        <f t="shared" si="137"/>
        <v/>
      </c>
      <c r="AB525" s="28" t="str">
        <f t="shared" si="140"/>
        <v>11%</v>
      </c>
      <c r="AC525" s="1">
        <f t="shared" si="141"/>
        <v>682</v>
      </c>
      <c r="AD525" s="51">
        <f t="shared" si="138"/>
        <v>4</v>
      </c>
      <c r="AE525" t="str">
        <f t="shared" si="142"/>
        <v/>
      </c>
      <c r="AF525" t="str">
        <f t="shared" si="143"/>
        <v/>
      </c>
      <c r="AG525" t="str">
        <f t="shared" si="144"/>
        <v/>
      </c>
      <c r="AH525" t="str">
        <f t="shared" si="145"/>
        <v/>
      </c>
      <c r="AI525" t="str">
        <f t="shared" si="146"/>
        <v/>
      </c>
      <c r="AJ525" t="str">
        <f t="shared" si="147"/>
        <v/>
      </c>
      <c r="AK525" t="str">
        <f t="shared" si="148"/>
        <v/>
      </c>
      <c r="AL525" t="str">
        <f t="shared" si="149"/>
        <v/>
      </c>
      <c r="AN525" t="str">
        <f>IFERROR(ROUND(L525*(G525/$AW525)/VLOOKUP(F525,商品!$A$4:$D$67,4,FALSE),0),"")</f>
        <v/>
      </c>
      <c r="AO525" t="str">
        <f>IFERROR(ROUND(L525*(I525/$AW525)/VLOOKUP(H525,商品!$A$4:$D$67,4,FALSE),0),"")</f>
        <v/>
      </c>
      <c r="AP525" t="str">
        <f>IFERROR(ROUND(L525*(K525/$AW525)/VLOOKUP(J525,商品!$A$4:$D$67,4,FALSE),0),"")</f>
        <v/>
      </c>
      <c r="AQ525" t="str">
        <f>IFERROR(ROUND(S525*(N525/$AX525)/VLOOKUP(M525,职业!$A$3:$E$16,4,FALSE),0),"")</f>
        <v/>
      </c>
      <c r="AR525" t="str">
        <f>IFERROR(ROUND(S525*(P525/$AX525)/VLOOKUP(O525,职业!$A$3:$E$16,4,FALSE),0),"")</f>
        <v/>
      </c>
      <c r="AS525" t="str">
        <f>IFERROR(ROUND(S525*(R525/$AX525)/VLOOKUP(Q525,职业!$A$3:$E$16,4,FALSE),0),"")</f>
        <v/>
      </c>
      <c r="AT525" t="str">
        <f>IFERROR(ROUND(X525*(U525/$AY525)/VLOOKUP(T525,商品!$A$4:$D$67,4,FALSE),0),"")</f>
        <v/>
      </c>
      <c r="AU525" t="str">
        <f>IFERROR(ROUND(X525*(W525/$AY525)/VLOOKUP(V525,商品!$A$4:$D$67,4,FALSE),0),"")</f>
        <v/>
      </c>
      <c r="AW525">
        <f t="shared" si="150"/>
        <v>0</v>
      </c>
      <c r="AX525">
        <f t="shared" si="151"/>
        <v>0</v>
      </c>
      <c r="AY525">
        <f t="shared" si="152"/>
        <v>0</v>
      </c>
    </row>
    <row r="526" customHeight="1" spans="1:51">
      <c r="A526" s="5" t="s">
        <v>384</v>
      </c>
      <c r="C526" s="5">
        <v>5</v>
      </c>
      <c r="D526" s="1" t="s">
        <v>247</v>
      </c>
      <c r="E526" s="1" t="s">
        <v>222</v>
      </c>
      <c r="L526" s="5">
        <f>IFERROR(VLOOKUP($D526&amp;$C526,生产方式定位!$A$2:$E$38,2,FALSE)+VLOOKUP($E526&amp;$C526,生产方式定位!$F$3:$J$38,2,FALSE),0)</f>
        <v>7875</v>
      </c>
      <c r="S526" s="5">
        <f>IFERROR(VLOOKUP($D526&amp;$C526,生产方式定位!$A$2:$E$38,3,FALSE)+VLOOKUP($E526&amp;$C526,生产方式定位!$F$3:$J$38,3,FALSE),0)</f>
        <v>60</v>
      </c>
      <c r="X526" s="5">
        <f>IFERROR(VLOOKUP($D526&amp;$C526,生产方式定位!$A$2:$E$38,5,FALSE)+VLOOKUP($E526&amp;$C526,生产方式定位!$F$3:$J$38,5,FALSE),"错误")</f>
        <v>8729</v>
      </c>
      <c r="Y526" s="27" t="str">
        <f t="shared" si="136"/>
        <v/>
      </c>
      <c r="Z526" s="50" t="str">
        <f t="shared" si="139"/>
        <v/>
      </c>
      <c r="AA526" s="50" t="str">
        <f t="shared" si="137"/>
        <v/>
      </c>
      <c r="AB526" s="28" t="str">
        <f t="shared" si="140"/>
        <v>11%</v>
      </c>
      <c r="AC526" s="1">
        <f t="shared" si="141"/>
        <v>794</v>
      </c>
      <c r="AD526" s="51">
        <f t="shared" si="138"/>
        <v>5</v>
      </c>
      <c r="AE526" t="str">
        <f t="shared" si="142"/>
        <v/>
      </c>
      <c r="AF526" t="str">
        <f t="shared" si="143"/>
        <v/>
      </c>
      <c r="AG526" t="str">
        <f t="shared" si="144"/>
        <v/>
      </c>
      <c r="AH526" t="str">
        <f t="shared" si="145"/>
        <v/>
      </c>
      <c r="AI526" t="str">
        <f t="shared" si="146"/>
        <v/>
      </c>
      <c r="AJ526" t="str">
        <f t="shared" si="147"/>
        <v/>
      </c>
      <c r="AK526" t="str">
        <f t="shared" si="148"/>
        <v/>
      </c>
      <c r="AL526" t="str">
        <f t="shared" si="149"/>
        <v/>
      </c>
      <c r="AN526" t="str">
        <f>IFERROR(ROUND(L526*(G526/$AW526)/VLOOKUP(F526,商品!$A$4:$D$67,4,FALSE),0),"")</f>
        <v/>
      </c>
      <c r="AO526" t="str">
        <f>IFERROR(ROUND(L526*(I526/$AW526)/VLOOKUP(H526,商品!$A$4:$D$67,4,FALSE),0),"")</f>
        <v/>
      </c>
      <c r="AP526" t="str">
        <f>IFERROR(ROUND(L526*(K526/$AW526)/VLOOKUP(J526,商品!$A$4:$D$67,4,FALSE),0),"")</f>
        <v/>
      </c>
      <c r="AQ526" t="str">
        <f>IFERROR(ROUND(S526*(N526/$AX526)/VLOOKUP(M526,职业!$A$3:$E$16,4,FALSE),0),"")</f>
        <v/>
      </c>
      <c r="AR526" t="str">
        <f>IFERROR(ROUND(S526*(P526/$AX526)/VLOOKUP(O526,职业!$A$3:$E$16,4,FALSE),0),"")</f>
        <v/>
      </c>
      <c r="AS526" t="str">
        <f>IFERROR(ROUND(S526*(R526/$AX526)/VLOOKUP(Q526,职业!$A$3:$E$16,4,FALSE),0),"")</f>
        <v/>
      </c>
      <c r="AT526" t="str">
        <f>IFERROR(ROUND(X526*(U526/$AY526)/VLOOKUP(T526,商品!$A$4:$D$67,4,FALSE),0),"")</f>
        <v/>
      </c>
      <c r="AU526" t="str">
        <f>IFERROR(ROUND(X526*(W526/$AY526)/VLOOKUP(V526,商品!$A$4:$D$67,4,FALSE),0),"")</f>
        <v/>
      </c>
      <c r="AW526">
        <f t="shared" si="150"/>
        <v>0</v>
      </c>
      <c r="AX526">
        <f t="shared" si="151"/>
        <v>0</v>
      </c>
      <c r="AY526">
        <f t="shared" si="152"/>
        <v>0</v>
      </c>
    </row>
    <row r="527" customHeight="1" spans="1:51">
      <c r="A527" s="18" t="s">
        <v>385</v>
      </c>
      <c r="C527" s="18">
        <v>1</v>
      </c>
      <c r="D527" s="1" t="s">
        <v>291</v>
      </c>
      <c r="E527" s="1" t="s">
        <v>225</v>
      </c>
      <c r="L527" s="18">
        <f>IFERROR(VLOOKUP($D527&amp;$C527,生产方式定位!$A$2:$E$38,2,FALSE)+VLOOKUP($E527&amp;$C527,生产方式定位!$F$3:$J$38,2,FALSE),0)</f>
        <v>0</v>
      </c>
      <c r="S527" s="18">
        <f>IFERROR(VLOOKUP($D527&amp;$C527,生产方式定位!$A$2:$E$38,3,FALSE)+VLOOKUP($E527&amp;$C527,生产方式定位!$F$3:$J$38,3,FALSE),0)</f>
        <v>100</v>
      </c>
      <c r="X527" s="18">
        <f>IFERROR(VLOOKUP($D527&amp;$C527,生产方式定位!$A$2:$E$38,5,FALSE)+VLOOKUP($E527&amp;$C527,生产方式定位!$F$3:$J$38,5,FALSE),"错误")</f>
        <v>100</v>
      </c>
      <c r="Y527" s="27" t="str">
        <f t="shared" si="136"/>
        <v/>
      </c>
      <c r="Z527" s="50" t="str">
        <f t="shared" si="139"/>
        <v/>
      </c>
      <c r="AA527" s="50" t="str">
        <f t="shared" si="137"/>
        <v/>
      </c>
      <c r="AB527" s="28" t="str">
        <f t="shared" si="140"/>
        <v/>
      </c>
      <c r="AC527" s="1" t="str">
        <f t="shared" si="141"/>
        <v/>
      </c>
      <c r="AD527" s="52">
        <f t="shared" si="138"/>
        <v>1</v>
      </c>
      <c r="AE527" t="str">
        <f t="shared" si="142"/>
        <v/>
      </c>
      <c r="AF527" t="str">
        <f t="shared" si="143"/>
        <v/>
      </c>
      <c r="AG527" t="str">
        <f t="shared" si="144"/>
        <v/>
      </c>
      <c r="AH527" t="str">
        <f t="shared" si="145"/>
        <v/>
      </c>
      <c r="AI527" t="str">
        <f t="shared" si="146"/>
        <v/>
      </c>
      <c r="AJ527" t="str">
        <f t="shared" si="147"/>
        <v/>
      </c>
      <c r="AK527" t="str">
        <f t="shared" si="148"/>
        <v/>
      </c>
      <c r="AL527" t="str">
        <f t="shared" si="149"/>
        <v/>
      </c>
      <c r="AN527" t="str">
        <f>IFERROR(ROUND(L527*(G527/$AW527)/VLOOKUP(F527,商品!$A$4:$D$67,4,FALSE),0),"")</f>
        <v/>
      </c>
      <c r="AO527" t="str">
        <f>IFERROR(ROUND(L527*(I527/$AW527)/VLOOKUP(H527,商品!$A$4:$D$67,4,FALSE),0),"")</f>
        <v/>
      </c>
      <c r="AP527" t="str">
        <f>IFERROR(ROUND(L527*(K527/$AW527)/VLOOKUP(J527,商品!$A$4:$D$67,4,FALSE),0),"")</f>
        <v/>
      </c>
      <c r="AQ527" t="str">
        <f>IFERROR(ROUND(S527*(N527/$AX527)/VLOOKUP(M527,职业!$A$3:$E$16,4,FALSE),0),"")</f>
        <v/>
      </c>
      <c r="AR527" t="str">
        <f>IFERROR(ROUND(S527*(P527/$AX527)/VLOOKUP(O527,职业!$A$3:$E$16,4,FALSE),0),"")</f>
        <v/>
      </c>
      <c r="AS527" t="str">
        <f>IFERROR(ROUND(S527*(R527/$AX527)/VLOOKUP(Q527,职业!$A$3:$E$16,4,FALSE),0),"")</f>
        <v/>
      </c>
      <c r="AT527" t="str">
        <f>IFERROR(ROUND(X527*(U527/$AY527)/VLOOKUP(T527,商品!$A$4:$D$67,4,FALSE),0),"")</f>
        <v/>
      </c>
      <c r="AU527" t="str">
        <f>IFERROR(ROUND(X527*(W527/$AY527)/VLOOKUP(V527,商品!$A$4:$D$67,4,FALSE),0),"")</f>
        <v/>
      </c>
      <c r="AW527">
        <f t="shared" si="150"/>
        <v>0</v>
      </c>
      <c r="AX527">
        <f t="shared" si="151"/>
        <v>0</v>
      </c>
      <c r="AY527">
        <f t="shared" si="152"/>
        <v>0</v>
      </c>
    </row>
    <row r="528" customHeight="1" spans="1:51">
      <c r="A528" s="18" t="s">
        <v>385</v>
      </c>
      <c r="C528" s="18">
        <v>2</v>
      </c>
      <c r="D528" s="1" t="s">
        <v>291</v>
      </c>
      <c r="E528" s="1" t="s">
        <v>225</v>
      </c>
      <c r="L528" s="18">
        <f>IFERROR(VLOOKUP($D528&amp;$C528,生产方式定位!$A$2:$E$38,2,FALSE)+VLOOKUP($E528&amp;$C528,生产方式定位!$F$3:$J$38,2,FALSE),0)</f>
        <v>0</v>
      </c>
      <c r="S528" s="18">
        <f>IFERROR(VLOOKUP($D528&amp;$C528,生产方式定位!$A$2:$E$38,3,FALSE)+VLOOKUP($E528&amp;$C528,生产方式定位!$F$3:$J$38,3,FALSE),0)</f>
        <v>100</v>
      </c>
      <c r="X528" s="18">
        <f>IFERROR(VLOOKUP($D528&amp;$C528,生产方式定位!$A$2:$E$38,5,FALSE)+VLOOKUP($E528&amp;$C528,生产方式定位!$F$3:$J$38,5,FALSE),"错误")</f>
        <v>100</v>
      </c>
      <c r="Y528" s="27" t="str">
        <f t="shared" si="136"/>
        <v/>
      </c>
      <c r="Z528" s="50" t="str">
        <f t="shared" si="139"/>
        <v/>
      </c>
      <c r="AA528" s="50" t="str">
        <f t="shared" si="137"/>
        <v/>
      </c>
      <c r="AB528" s="28" t="str">
        <f t="shared" si="140"/>
        <v/>
      </c>
      <c r="AC528" s="1" t="str">
        <f t="shared" si="141"/>
        <v/>
      </c>
      <c r="AD528" s="52">
        <f t="shared" si="138"/>
        <v>2</v>
      </c>
      <c r="AE528" t="str">
        <f t="shared" si="142"/>
        <v/>
      </c>
      <c r="AF528" t="str">
        <f t="shared" si="143"/>
        <v/>
      </c>
      <c r="AG528" t="str">
        <f t="shared" si="144"/>
        <v/>
      </c>
      <c r="AH528" t="str">
        <f t="shared" si="145"/>
        <v/>
      </c>
      <c r="AI528" t="str">
        <f t="shared" si="146"/>
        <v/>
      </c>
      <c r="AJ528" t="str">
        <f t="shared" si="147"/>
        <v/>
      </c>
      <c r="AK528" t="str">
        <f t="shared" si="148"/>
        <v/>
      </c>
      <c r="AL528" t="str">
        <f t="shared" si="149"/>
        <v/>
      </c>
      <c r="AN528" t="str">
        <f>IFERROR(ROUND(L528*(G528/$AW528)/VLOOKUP(F528,商品!$A$4:$D$67,4,FALSE),0),"")</f>
        <v/>
      </c>
      <c r="AO528" t="str">
        <f>IFERROR(ROUND(L528*(I528/$AW528)/VLOOKUP(H528,商品!$A$4:$D$67,4,FALSE),0),"")</f>
        <v/>
      </c>
      <c r="AP528" t="str">
        <f>IFERROR(ROUND(L528*(K528/$AW528)/VLOOKUP(J528,商品!$A$4:$D$67,4,FALSE),0),"")</f>
        <v/>
      </c>
      <c r="AQ528" t="str">
        <f>IFERROR(ROUND(S528*(N528/$AX528)/VLOOKUP(M528,职业!$A$3:$E$16,4,FALSE),0),"")</f>
        <v/>
      </c>
      <c r="AR528" t="str">
        <f>IFERROR(ROUND(S528*(P528/$AX528)/VLOOKUP(O528,职业!$A$3:$E$16,4,FALSE),0),"")</f>
        <v/>
      </c>
      <c r="AS528" t="str">
        <f>IFERROR(ROUND(S528*(R528/$AX528)/VLOOKUP(Q528,职业!$A$3:$E$16,4,FALSE),0),"")</f>
        <v/>
      </c>
      <c r="AT528" t="str">
        <f>IFERROR(ROUND(X528*(U528/$AY528)/VLOOKUP(T528,商品!$A$4:$D$67,4,FALSE),0),"")</f>
        <v/>
      </c>
      <c r="AU528" t="str">
        <f>IFERROR(ROUND(X528*(W528/$AY528)/VLOOKUP(V528,商品!$A$4:$D$67,4,FALSE),0),"")</f>
        <v/>
      </c>
      <c r="AW528">
        <f t="shared" si="150"/>
        <v>0</v>
      </c>
      <c r="AX528">
        <f t="shared" si="151"/>
        <v>0</v>
      </c>
      <c r="AY528">
        <f t="shared" si="152"/>
        <v>0</v>
      </c>
    </row>
    <row r="529" customHeight="1" spans="1:51">
      <c r="A529" s="18" t="s">
        <v>385</v>
      </c>
      <c r="C529" s="18">
        <v>3</v>
      </c>
      <c r="D529" s="1" t="s">
        <v>291</v>
      </c>
      <c r="E529" s="1" t="s">
        <v>225</v>
      </c>
      <c r="L529" s="18">
        <f>IFERROR(VLOOKUP($D529&amp;$C529,生产方式定位!$A$2:$E$38,2,FALSE)+VLOOKUP($E529&amp;$C529,生产方式定位!$F$3:$J$38,2,FALSE),0)</f>
        <v>0</v>
      </c>
      <c r="S529" s="18">
        <f>IFERROR(VLOOKUP($D529&amp;$C529,生产方式定位!$A$2:$E$38,3,FALSE)+VLOOKUP($E529&amp;$C529,生产方式定位!$F$3:$J$38,3,FALSE),0)</f>
        <v>100</v>
      </c>
      <c r="X529" s="18">
        <f>IFERROR(VLOOKUP($D529&amp;$C529,生产方式定位!$A$2:$E$38,5,FALSE)+VLOOKUP($E529&amp;$C529,生产方式定位!$F$3:$J$38,5,FALSE),"错误")</f>
        <v>100</v>
      </c>
      <c r="Y529" s="27" t="str">
        <f t="shared" si="136"/>
        <v/>
      </c>
      <c r="Z529" s="50" t="str">
        <f t="shared" si="139"/>
        <v/>
      </c>
      <c r="AA529" s="50" t="str">
        <f t="shared" si="137"/>
        <v/>
      </c>
      <c r="AB529" s="28" t="str">
        <f t="shared" si="140"/>
        <v/>
      </c>
      <c r="AC529" s="1" t="str">
        <f t="shared" si="141"/>
        <v/>
      </c>
      <c r="AD529" s="52">
        <f t="shared" si="138"/>
        <v>3</v>
      </c>
      <c r="AE529" t="str">
        <f t="shared" si="142"/>
        <v/>
      </c>
      <c r="AF529" t="str">
        <f t="shared" si="143"/>
        <v/>
      </c>
      <c r="AG529" t="str">
        <f t="shared" si="144"/>
        <v/>
      </c>
      <c r="AH529" t="str">
        <f t="shared" si="145"/>
        <v/>
      </c>
      <c r="AI529" t="str">
        <f t="shared" si="146"/>
        <v/>
      </c>
      <c r="AJ529" t="str">
        <f t="shared" si="147"/>
        <v/>
      </c>
      <c r="AK529" t="str">
        <f t="shared" si="148"/>
        <v/>
      </c>
      <c r="AL529" t="str">
        <f t="shared" si="149"/>
        <v/>
      </c>
      <c r="AN529" t="str">
        <f>IFERROR(ROUND(L529*(G529/$AW529)/VLOOKUP(F529,商品!$A$4:$D$67,4,FALSE),0),"")</f>
        <v/>
      </c>
      <c r="AO529" t="str">
        <f>IFERROR(ROUND(L529*(I529/$AW529)/VLOOKUP(H529,商品!$A$4:$D$67,4,FALSE),0),"")</f>
        <v/>
      </c>
      <c r="AP529" t="str">
        <f>IFERROR(ROUND(L529*(K529/$AW529)/VLOOKUP(J529,商品!$A$4:$D$67,4,FALSE),0),"")</f>
        <v/>
      </c>
      <c r="AQ529" t="str">
        <f>IFERROR(ROUND(S529*(N529/$AX529)/VLOOKUP(M529,职业!$A$3:$E$16,4,FALSE),0),"")</f>
        <v/>
      </c>
      <c r="AR529" t="str">
        <f>IFERROR(ROUND(S529*(P529/$AX529)/VLOOKUP(O529,职业!$A$3:$E$16,4,FALSE),0),"")</f>
        <v/>
      </c>
      <c r="AS529" t="str">
        <f>IFERROR(ROUND(S529*(R529/$AX529)/VLOOKUP(Q529,职业!$A$3:$E$16,4,FALSE),0),"")</f>
        <v/>
      </c>
      <c r="AT529" t="str">
        <f>IFERROR(ROUND(X529*(U529/$AY529)/VLOOKUP(T529,商品!$A$4:$D$67,4,FALSE),0),"")</f>
        <v/>
      </c>
      <c r="AU529" t="str">
        <f>IFERROR(ROUND(X529*(W529/$AY529)/VLOOKUP(V529,商品!$A$4:$D$67,4,FALSE),0),"")</f>
        <v/>
      </c>
      <c r="AW529">
        <f t="shared" si="150"/>
        <v>0</v>
      </c>
      <c r="AX529">
        <f t="shared" si="151"/>
        <v>0</v>
      </c>
      <c r="AY529">
        <f t="shared" si="152"/>
        <v>0</v>
      </c>
    </row>
    <row r="530" customHeight="1" spans="1:51">
      <c r="A530" s="18" t="s">
        <v>385</v>
      </c>
      <c r="C530" s="18">
        <v>4</v>
      </c>
      <c r="D530" s="1" t="s">
        <v>291</v>
      </c>
      <c r="E530" s="1" t="s">
        <v>225</v>
      </c>
      <c r="L530" s="18">
        <f>IFERROR(VLOOKUP($D530&amp;$C530,生产方式定位!$A$2:$E$38,2,FALSE)+VLOOKUP($E530&amp;$C530,生产方式定位!$F$3:$J$38,2,FALSE),0)</f>
        <v>0</v>
      </c>
      <c r="S530" s="18">
        <f>IFERROR(VLOOKUP($D530&amp;$C530,生产方式定位!$A$2:$E$38,3,FALSE)+VLOOKUP($E530&amp;$C530,生产方式定位!$F$3:$J$38,3,FALSE),0)</f>
        <v>100</v>
      </c>
      <c r="X530" s="18">
        <f>IFERROR(VLOOKUP($D530&amp;$C530,生产方式定位!$A$2:$E$38,5,FALSE)+VLOOKUP($E530&amp;$C530,生产方式定位!$F$3:$J$38,5,FALSE),"错误")</f>
        <v>100</v>
      </c>
      <c r="Y530" s="27" t="str">
        <f t="shared" si="136"/>
        <v/>
      </c>
      <c r="Z530" s="50" t="str">
        <f t="shared" si="139"/>
        <v/>
      </c>
      <c r="AA530" s="50" t="str">
        <f t="shared" si="137"/>
        <v/>
      </c>
      <c r="AB530" s="28" t="str">
        <f t="shared" si="140"/>
        <v/>
      </c>
      <c r="AC530" s="1" t="str">
        <f t="shared" si="141"/>
        <v/>
      </c>
      <c r="AD530" s="52">
        <f t="shared" si="138"/>
        <v>4</v>
      </c>
      <c r="AE530" t="str">
        <f t="shared" si="142"/>
        <v/>
      </c>
      <c r="AF530" t="str">
        <f t="shared" si="143"/>
        <v/>
      </c>
      <c r="AG530" t="str">
        <f t="shared" si="144"/>
        <v/>
      </c>
      <c r="AH530" t="str">
        <f t="shared" si="145"/>
        <v/>
      </c>
      <c r="AI530" t="str">
        <f t="shared" si="146"/>
        <v/>
      </c>
      <c r="AJ530" t="str">
        <f t="shared" si="147"/>
        <v/>
      </c>
      <c r="AK530" t="str">
        <f t="shared" si="148"/>
        <v/>
      </c>
      <c r="AL530" t="str">
        <f t="shared" si="149"/>
        <v/>
      </c>
      <c r="AN530" t="str">
        <f>IFERROR(ROUND(L530*(G530/$AW530)/VLOOKUP(F530,商品!$A$4:$D$67,4,FALSE),0),"")</f>
        <v/>
      </c>
      <c r="AO530" t="str">
        <f>IFERROR(ROUND(L530*(I530/$AW530)/VLOOKUP(H530,商品!$A$4:$D$67,4,FALSE),0),"")</f>
        <v/>
      </c>
      <c r="AP530" t="str">
        <f>IFERROR(ROUND(L530*(K530/$AW530)/VLOOKUP(J530,商品!$A$4:$D$67,4,FALSE),0),"")</f>
        <v/>
      </c>
      <c r="AQ530" t="str">
        <f>IFERROR(ROUND(S530*(N530/$AX530)/VLOOKUP(M530,职业!$A$3:$E$16,4,FALSE),0),"")</f>
        <v/>
      </c>
      <c r="AR530" t="str">
        <f>IFERROR(ROUND(S530*(P530/$AX530)/VLOOKUP(O530,职业!$A$3:$E$16,4,FALSE),0),"")</f>
        <v/>
      </c>
      <c r="AS530" t="str">
        <f>IFERROR(ROUND(S530*(R530/$AX530)/VLOOKUP(Q530,职业!$A$3:$E$16,4,FALSE),0),"")</f>
        <v/>
      </c>
      <c r="AT530" t="str">
        <f>IFERROR(ROUND(X530*(U530/$AY530)/VLOOKUP(T530,商品!$A$4:$D$67,4,FALSE),0),"")</f>
        <v/>
      </c>
      <c r="AU530" t="str">
        <f>IFERROR(ROUND(X530*(W530/$AY530)/VLOOKUP(V530,商品!$A$4:$D$67,4,FALSE),0),"")</f>
        <v/>
      </c>
      <c r="AW530">
        <f t="shared" si="150"/>
        <v>0</v>
      </c>
      <c r="AX530">
        <f t="shared" si="151"/>
        <v>0</v>
      </c>
      <c r="AY530">
        <f t="shared" si="152"/>
        <v>0</v>
      </c>
    </row>
    <row r="531" customHeight="1" spans="1:51">
      <c r="A531" s="18" t="s">
        <v>385</v>
      </c>
      <c r="C531" s="18">
        <v>5</v>
      </c>
      <c r="D531" s="1" t="s">
        <v>291</v>
      </c>
      <c r="E531" s="1" t="s">
        <v>225</v>
      </c>
      <c r="L531" s="18">
        <f>IFERROR(VLOOKUP($D531&amp;$C531,生产方式定位!$A$2:$E$38,2,FALSE)+VLOOKUP($E531&amp;$C531,生产方式定位!$F$3:$J$38,2,FALSE),0)</f>
        <v>0</v>
      </c>
      <c r="S531" s="18">
        <f>IFERROR(VLOOKUP($D531&amp;$C531,生产方式定位!$A$2:$E$38,3,FALSE)+VLOOKUP($E531&amp;$C531,生产方式定位!$F$3:$J$38,3,FALSE),0)</f>
        <v>100</v>
      </c>
      <c r="X531" s="18">
        <f>IFERROR(VLOOKUP($D531&amp;$C531,生产方式定位!$A$2:$E$38,5,FALSE)+VLOOKUP($E531&amp;$C531,生产方式定位!$F$3:$J$38,5,FALSE),"错误")</f>
        <v>100</v>
      </c>
      <c r="Y531" s="27" t="str">
        <f t="shared" si="136"/>
        <v/>
      </c>
      <c r="Z531" s="50" t="str">
        <f t="shared" si="139"/>
        <v/>
      </c>
      <c r="AA531" s="50" t="str">
        <f t="shared" si="137"/>
        <v/>
      </c>
      <c r="AB531" s="28" t="str">
        <f t="shared" si="140"/>
        <v/>
      </c>
      <c r="AC531" s="1" t="str">
        <f t="shared" si="141"/>
        <v/>
      </c>
      <c r="AD531" s="52">
        <f t="shared" si="138"/>
        <v>5</v>
      </c>
      <c r="AE531" t="str">
        <f t="shared" si="142"/>
        <v/>
      </c>
      <c r="AF531" t="str">
        <f t="shared" si="143"/>
        <v/>
      </c>
      <c r="AG531" t="str">
        <f t="shared" si="144"/>
        <v/>
      </c>
      <c r="AH531" t="str">
        <f t="shared" si="145"/>
        <v/>
      </c>
      <c r="AI531" t="str">
        <f t="shared" si="146"/>
        <v/>
      </c>
      <c r="AJ531" t="str">
        <f t="shared" si="147"/>
        <v/>
      </c>
      <c r="AK531" t="str">
        <f t="shared" si="148"/>
        <v/>
      </c>
      <c r="AL531" t="str">
        <f t="shared" si="149"/>
        <v/>
      </c>
      <c r="AN531" t="str">
        <f>IFERROR(ROUND(L531*(G531/$AW531)/VLOOKUP(F531,商品!$A$4:$D$67,4,FALSE),0),"")</f>
        <v/>
      </c>
      <c r="AO531" t="str">
        <f>IFERROR(ROUND(L531*(I531/$AW531)/VLOOKUP(H531,商品!$A$4:$D$67,4,FALSE),0),"")</f>
        <v/>
      </c>
      <c r="AP531" t="str">
        <f>IFERROR(ROUND(L531*(K531/$AW531)/VLOOKUP(J531,商品!$A$4:$D$67,4,FALSE),0),"")</f>
        <v/>
      </c>
      <c r="AQ531" t="str">
        <f>IFERROR(ROUND(S531*(N531/$AX531)/VLOOKUP(M531,职业!$A$3:$E$16,4,FALSE),0),"")</f>
        <v/>
      </c>
      <c r="AR531" t="str">
        <f>IFERROR(ROUND(S531*(P531/$AX531)/VLOOKUP(O531,职业!$A$3:$E$16,4,FALSE),0),"")</f>
        <v/>
      </c>
      <c r="AS531" t="str">
        <f>IFERROR(ROUND(S531*(R531/$AX531)/VLOOKUP(Q531,职业!$A$3:$E$16,4,FALSE),0),"")</f>
        <v/>
      </c>
      <c r="AT531" t="str">
        <f>IFERROR(ROUND(X531*(U531/$AY531)/VLOOKUP(T531,商品!$A$4:$D$67,4,FALSE),0),"")</f>
        <v/>
      </c>
      <c r="AU531" t="str">
        <f>IFERROR(ROUND(X531*(W531/$AY531)/VLOOKUP(V531,商品!$A$4:$D$67,4,FALSE),0),"")</f>
        <v/>
      </c>
      <c r="AW531">
        <f t="shared" si="150"/>
        <v>0</v>
      </c>
      <c r="AX531">
        <f t="shared" si="151"/>
        <v>0</v>
      </c>
      <c r="AY531">
        <f t="shared" si="152"/>
        <v>0</v>
      </c>
    </row>
    <row r="532" customHeight="1" spans="1:51">
      <c r="A532" s="18" t="s">
        <v>385</v>
      </c>
      <c r="C532" s="18">
        <v>6</v>
      </c>
      <c r="D532" s="1" t="s">
        <v>291</v>
      </c>
      <c r="E532" s="1" t="s">
        <v>225</v>
      </c>
      <c r="L532" s="18">
        <f>IFERROR(VLOOKUP($D532&amp;$C532,生产方式定位!$A$2:$E$38,2,FALSE)+VLOOKUP($E532&amp;$C532,生产方式定位!$F$3:$J$38,2,FALSE),0)</f>
        <v>0</v>
      </c>
      <c r="S532" s="18">
        <f>IFERROR(VLOOKUP($D532&amp;$C532,生产方式定位!$A$2:$E$38,3,FALSE)+VLOOKUP($E532&amp;$C532,生产方式定位!$F$3:$J$38,3,FALSE),0)</f>
        <v>100</v>
      </c>
      <c r="X532" s="18">
        <f>IFERROR(VLOOKUP($D532&amp;$C532,生产方式定位!$A$2:$E$38,5,FALSE)+VLOOKUP($E532&amp;$C532,生产方式定位!$F$3:$J$38,5,FALSE),"错误")</f>
        <v>100</v>
      </c>
      <c r="Y532" s="27" t="str">
        <f t="shared" si="136"/>
        <v/>
      </c>
      <c r="Z532" s="50" t="str">
        <f t="shared" si="139"/>
        <v/>
      </c>
      <c r="AA532" s="50" t="str">
        <f t="shared" si="137"/>
        <v/>
      </c>
      <c r="AB532" s="28" t="str">
        <f t="shared" si="140"/>
        <v/>
      </c>
      <c r="AC532" s="1" t="str">
        <f t="shared" si="141"/>
        <v/>
      </c>
      <c r="AD532" s="52">
        <f t="shared" si="138"/>
        <v>6</v>
      </c>
      <c r="AE532" t="str">
        <f t="shared" si="142"/>
        <v/>
      </c>
      <c r="AF532" t="str">
        <f t="shared" si="143"/>
        <v/>
      </c>
      <c r="AG532" t="str">
        <f t="shared" si="144"/>
        <v/>
      </c>
      <c r="AH532" t="str">
        <f t="shared" si="145"/>
        <v/>
      </c>
      <c r="AI532" t="str">
        <f t="shared" si="146"/>
        <v/>
      </c>
      <c r="AJ532" t="str">
        <f t="shared" si="147"/>
        <v/>
      </c>
      <c r="AK532" t="str">
        <f t="shared" si="148"/>
        <v/>
      </c>
      <c r="AL532" t="str">
        <f t="shared" si="149"/>
        <v/>
      </c>
      <c r="AN532" t="str">
        <f>IFERROR(ROUND(L532*(G532/$AW532)/VLOOKUP(F532,商品!$A$4:$D$67,4,FALSE),0),"")</f>
        <v/>
      </c>
      <c r="AO532" t="str">
        <f>IFERROR(ROUND(L532*(I532/$AW532)/VLOOKUP(H532,商品!$A$4:$D$67,4,FALSE),0),"")</f>
        <v/>
      </c>
      <c r="AP532" t="str">
        <f>IFERROR(ROUND(L532*(K532/$AW532)/VLOOKUP(J532,商品!$A$4:$D$67,4,FALSE),0),"")</f>
        <v/>
      </c>
      <c r="AQ532" t="str">
        <f>IFERROR(ROUND(S532*(N532/$AX532)/VLOOKUP(M532,职业!$A$3:$E$16,4,FALSE),0),"")</f>
        <v/>
      </c>
      <c r="AR532" t="str">
        <f>IFERROR(ROUND(S532*(P532/$AX532)/VLOOKUP(O532,职业!$A$3:$E$16,4,FALSE),0),"")</f>
        <v/>
      </c>
      <c r="AS532" t="str">
        <f>IFERROR(ROUND(S532*(R532/$AX532)/VLOOKUP(Q532,职业!$A$3:$E$16,4,FALSE),0),"")</f>
        <v/>
      </c>
      <c r="AT532" t="str">
        <f>IFERROR(ROUND(X532*(U532/$AY532)/VLOOKUP(T532,商品!$A$4:$D$67,4,FALSE),0),"")</f>
        <v/>
      </c>
      <c r="AU532" t="str">
        <f>IFERROR(ROUND(X532*(W532/$AY532)/VLOOKUP(V532,商品!$A$4:$D$67,4,FALSE),0),"")</f>
        <v/>
      </c>
      <c r="AW532">
        <f t="shared" si="150"/>
        <v>0</v>
      </c>
      <c r="AX532">
        <f t="shared" si="151"/>
        <v>0</v>
      </c>
      <c r="AY532">
        <f t="shared" si="152"/>
        <v>0</v>
      </c>
    </row>
    <row r="533" customHeight="1" spans="1:51">
      <c r="A533" s="18" t="s">
        <v>385</v>
      </c>
      <c r="C533" s="18">
        <v>7</v>
      </c>
      <c r="D533" s="1" t="s">
        <v>291</v>
      </c>
      <c r="E533" s="1" t="s">
        <v>225</v>
      </c>
      <c r="L533" s="18">
        <f>IFERROR(VLOOKUP($D533&amp;$C533,生产方式定位!$A$2:$E$38,2,FALSE)+VLOOKUP($E533&amp;$C533,生产方式定位!$F$3:$J$38,2,FALSE),0)</f>
        <v>0</v>
      </c>
      <c r="S533" s="18">
        <f>IFERROR(VLOOKUP($D533&amp;$C533,生产方式定位!$A$2:$E$38,3,FALSE)+VLOOKUP($E533&amp;$C533,生产方式定位!$F$3:$J$38,3,FALSE),0)</f>
        <v>100</v>
      </c>
      <c r="X533" s="18">
        <f>IFERROR(VLOOKUP($D533&amp;$C533,生产方式定位!$A$2:$E$38,5,FALSE)+VLOOKUP($E533&amp;$C533,生产方式定位!$F$3:$J$38,5,FALSE),"错误")</f>
        <v>100</v>
      </c>
      <c r="Y533" s="27" t="str">
        <f t="shared" si="136"/>
        <v/>
      </c>
      <c r="Z533" s="50" t="str">
        <f t="shared" si="139"/>
        <v/>
      </c>
      <c r="AA533" s="50" t="str">
        <f t="shared" si="137"/>
        <v/>
      </c>
      <c r="AB533" s="28" t="str">
        <f t="shared" si="140"/>
        <v/>
      </c>
      <c r="AC533" s="1" t="str">
        <f t="shared" si="141"/>
        <v/>
      </c>
      <c r="AD533" s="52">
        <f t="shared" si="138"/>
        <v>7</v>
      </c>
      <c r="AE533" t="str">
        <f t="shared" si="142"/>
        <v/>
      </c>
      <c r="AF533" t="str">
        <f t="shared" si="143"/>
        <v/>
      </c>
      <c r="AG533" t="str">
        <f t="shared" si="144"/>
        <v/>
      </c>
      <c r="AH533" t="str">
        <f t="shared" si="145"/>
        <v/>
      </c>
      <c r="AI533" t="str">
        <f t="shared" si="146"/>
        <v/>
      </c>
      <c r="AJ533" t="str">
        <f t="shared" si="147"/>
        <v/>
      </c>
      <c r="AK533" t="str">
        <f t="shared" si="148"/>
        <v/>
      </c>
      <c r="AL533" t="str">
        <f t="shared" si="149"/>
        <v/>
      </c>
      <c r="AN533" t="str">
        <f>IFERROR(ROUND(L533*(G533/$AW533)/VLOOKUP(F533,商品!$A$4:$D$67,4,FALSE),0),"")</f>
        <v/>
      </c>
      <c r="AO533" t="str">
        <f>IFERROR(ROUND(L533*(I533/$AW533)/VLOOKUP(H533,商品!$A$4:$D$67,4,FALSE),0),"")</f>
        <v/>
      </c>
      <c r="AP533" t="str">
        <f>IFERROR(ROUND(L533*(K533/$AW533)/VLOOKUP(J533,商品!$A$4:$D$67,4,FALSE),0),"")</f>
        <v/>
      </c>
      <c r="AQ533" t="str">
        <f>IFERROR(ROUND(S533*(N533/$AX533)/VLOOKUP(M533,职业!$A$3:$E$16,4,FALSE),0),"")</f>
        <v/>
      </c>
      <c r="AR533" t="str">
        <f>IFERROR(ROUND(S533*(P533/$AX533)/VLOOKUP(O533,职业!$A$3:$E$16,4,FALSE),0),"")</f>
        <v/>
      </c>
      <c r="AS533" t="str">
        <f>IFERROR(ROUND(S533*(R533/$AX533)/VLOOKUP(Q533,职业!$A$3:$E$16,4,FALSE),0),"")</f>
        <v/>
      </c>
      <c r="AT533" t="str">
        <f>IFERROR(ROUND(X533*(U533/$AY533)/VLOOKUP(T533,商品!$A$4:$D$67,4,FALSE),0),"")</f>
        <v/>
      </c>
      <c r="AU533" t="str">
        <f>IFERROR(ROUND(X533*(W533/$AY533)/VLOOKUP(V533,商品!$A$4:$D$67,4,FALSE),0),"")</f>
        <v/>
      </c>
      <c r="AW533">
        <f t="shared" si="150"/>
        <v>0</v>
      </c>
      <c r="AX533">
        <f t="shared" si="151"/>
        <v>0</v>
      </c>
      <c r="AY533">
        <f t="shared" si="152"/>
        <v>0</v>
      </c>
    </row>
    <row r="534" customHeight="1" spans="1:51">
      <c r="A534" s="18" t="s">
        <v>385</v>
      </c>
      <c r="C534" s="18">
        <v>8</v>
      </c>
      <c r="D534" s="1" t="s">
        <v>291</v>
      </c>
      <c r="E534" s="1" t="s">
        <v>225</v>
      </c>
      <c r="L534" s="18">
        <f>IFERROR(VLOOKUP($D534&amp;$C534,生产方式定位!$A$2:$E$38,2,FALSE)+VLOOKUP($E534&amp;$C534,生产方式定位!$F$3:$J$38,2,FALSE),0)</f>
        <v>0</v>
      </c>
      <c r="S534" s="18">
        <f>IFERROR(VLOOKUP($D534&amp;$C534,生产方式定位!$A$2:$E$38,3,FALSE)+VLOOKUP($E534&amp;$C534,生产方式定位!$F$3:$J$38,3,FALSE),0)</f>
        <v>100</v>
      </c>
      <c r="X534" s="18">
        <f>IFERROR(VLOOKUP($D534&amp;$C534,生产方式定位!$A$2:$E$38,5,FALSE)+VLOOKUP($E534&amp;$C534,生产方式定位!$F$3:$J$38,5,FALSE),"错误")</f>
        <v>100</v>
      </c>
      <c r="Y534" s="27" t="str">
        <f t="shared" si="136"/>
        <v/>
      </c>
      <c r="Z534" s="50" t="str">
        <f t="shared" si="139"/>
        <v/>
      </c>
      <c r="AA534" s="50" t="str">
        <f t="shared" si="137"/>
        <v/>
      </c>
      <c r="AB534" s="28" t="str">
        <f t="shared" si="140"/>
        <v/>
      </c>
      <c r="AC534" s="1" t="str">
        <f t="shared" si="141"/>
        <v/>
      </c>
      <c r="AD534" s="52">
        <f t="shared" si="138"/>
        <v>8</v>
      </c>
      <c r="AE534" t="str">
        <f t="shared" si="142"/>
        <v/>
      </c>
      <c r="AF534" t="str">
        <f t="shared" si="143"/>
        <v/>
      </c>
      <c r="AG534" t="str">
        <f t="shared" si="144"/>
        <v/>
      </c>
      <c r="AH534" t="str">
        <f t="shared" si="145"/>
        <v/>
      </c>
      <c r="AI534" t="str">
        <f t="shared" si="146"/>
        <v/>
      </c>
      <c r="AJ534" t="str">
        <f t="shared" si="147"/>
        <v/>
      </c>
      <c r="AK534" t="str">
        <f t="shared" si="148"/>
        <v/>
      </c>
      <c r="AL534" t="str">
        <f t="shared" si="149"/>
        <v/>
      </c>
      <c r="AN534" t="str">
        <f>IFERROR(ROUND(L534*(G534/$AW534)/VLOOKUP(F534,商品!$A$4:$D$67,4,FALSE),0),"")</f>
        <v/>
      </c>
      <c r="AO534" t="str">
        <f>IFERROR(ROUND(L534*(I534/$AW534)/VLOOKUP(H534,商品!$A$4:$D$67,4,FALSE),0),"")</f>
        <v/>
      </c>
      <c r="AP534" t="str">
        <f>IFERROR(ROUND(L534*(K534/$AW534)/VLOOKUP(J534,商品!$A$4:$D$67,4,FALSE),0),"")</f>
        <v/>
      </c>
      <c r="AQ534" t="str">
        <f>IFERROR(ROUND(S534*(N534/$AX534)/VLOOKUP(M534,职业!$A$3:$E$16,4,FALSE),0),"")</f>
        <v/>
      </c>
      <c r="AR534" t="str">
        <f>IFERROR(ROUND(S534*(P534/$AX534)/VLOOKUP(O534,职业!$A$3:$E$16,4,FALSE),0),"")</f>
        <v/>
      </c>
      <c r="AS534" t="str">
        <f>IFERROR(ROUND(S534*(R534/$AX534)/VLOOKUP(Q534,职业!$A$3:$E$16,4,FALSE),0),"")</f>
        <v/>
      </c>
      <c r="AT534" t="str">
        <f>IFERROR(ROUND(X534*(U534/$AY534)/VLOOKUP(T534,商品!$A$4:$D$67,4,FALSE),0),"")</f>
        <v/>
      </c>
      <c r="AU534" t="str">
        <f>IFERROR(ROUND(X534*(W534/$AY534)/VLOOKUP(V534,商品!$A$4:$D$67,4,FALSE),0),"")</f>
        <v/>
      </c>
      <c r="AW534">
        <f t="shared" si="150"/>
        <v>0</v>
      </c>
      <c r="AX534">
        <f t="shared" si="151"/>
        <v>0</v>
      </c>
      <c r="AY534">
        <f t="shared" si="152"/>
        <v>0</v>
      </c>
    </row>
    <row r="535" customHeight="1" spans="1:51">
      <c r="A535" s="5" t="s">
        <v>385</v>
      </c>
      <c r="C535" s="5">
        <v>1</v>
      </c>
      <c r="D535" s="1" t="s">
        <v>291</v>
      </c>
      <c r="E535" s="1" t="s">
        <v>225</v>
      </c>
      <c r="L535" s="5">
        <f>IFERROR(VLOOKUP($D535&amp;$C535,生产方式定位!$A$2:$E$38,2,FALSE)+VLOOKUP($E535&amp;$C535,生产方式定位!$F$3:$J$38,2,FALSE),0)</f>
        <v>0</v>
      </c>
      <c r="S535" s="5">
        <f>IFERROR(VLOOKUP($D535&amp;$C535,生产方式定位!$A$2:$E$38,3,FALSE)+VLOOKUP($E535&amp;$C535,生产方式定位!$F$3:$J$38,3,FALSE),0)</f>
        <v>100</v>
      </c>
      <c r="X535" s="5">
        <f>IFERROR(VLOOKUP($D535&amp;$C535,生产方式定位!$A$2:$E$38,5,FALSE)+VLOOKUP($E535&amp;$C535,生产方式定位!$F$3:$J$38,5,FALSE),"错误")</f>
        <v>100</v>
      </c>
      <c r="Y535" s="27" t="str">
        <f t="shared" si="136"/>
        <v/>
      </c>
      <c r="Z535" s="50" t="str">
        <f t="shared" si="139"/>
        <v/>
      </c>
      <c r="AA535" s="50" t="str">
        <f t="shared" si="137"/>
        <v/>
      </c>
      <c r="AB535" s="28" t="str">
        <f t="shared" si="140"/>
        <v/>
      </c>
      <c r="AC535" s="1" t="str">
        <f t="shared" si="141"/>
        <v/>
      </c>
      <c r="AD535" s="51">
        <f t="shared" si="138"/>
        <v>1</v>
      </c>
      <c r="AE535" t="str">
        <f t="shared" si="142"/>
        <v/>
      </c>
      <c r="AF535" t="str">
        <f t="shared" si="143"/>
        <v/>
      </c>
      <c r="AG535" t="str">
        <f t="shared" si="144"/>
        <v/>
      </c>
      <c r="AH535" t="str">
        <f t="shared" si="145"/>
        <v/>
      </c>
      <c r="AI535" t="str">
        <f t="shared" si="146"/>
        <v/>
      </c>
      <c r="AJ535" t="str">
        <f t="shared" si="147"/>
        <v/>
      </c>
      <c r="AK535" t="str">
        <f t="shared" si="148"/>
        <v/>
      </c>
      <c r="AL535" t="str">
        <f t="shared" si="149"/>
        <v/>
      </c>
      <c r="AN535" t="str">
        <f>IFERROR(ROUND(L535*(G535/$AW535)/VLOOKUP(F535,商品!$A$4:$D$67,4,FALSE),0),"")</f>
        <v/>
      </c>
      <c r="AO535" t="str">
        <f>IFERROR(ROUND(L535*(I535/$AW535)/VLOOKUP(H535,商品!$A$4:$D$67,4,FALSE),0),"")</f>
        <v/>
      </c>
      <c r="AP535" t="str">
        <f>IFERROR(ROUND(L535*(K535/$AW535)/VLOOKUP(J535,商品!$A$4:$D$67,4,FALSE),0),"")</f>
        <v/>
      </c>
      <c r="AQ535" t="str">
        <f>IFERROR(ROUND(S535*(N535/$AX535)/VLOOKUP(M535,职业!$A$3:$E$16,4,FALSE),0),"")</f>
        <v/>
      </c>
      <c r="AR535" t="str">
        <f>IFERROR(ROUND(S535*(P535/$AX535)/VLOOKUP(O535,职业!$A$3:$E$16,4,FALSE),0),"")</f>
        <v/>
      </c>
      <c r="AS535" t="str">
        <f>IFERROR(ROUND(S535*(R535/$AX535)/VLOOKUP(Q535,职业!$A$3:$E$16,4,FALSE),0),"")</f>
        <v/>
      </c>
      <c r="AT535" t="str">
        <f>IFERROR(ROUND(X535*(U535/$AY535)/VLOOKUP(T535,商品!$A$4:$D$67,4,FALSE),0),"")</f>
        <v/>
      </c>
      <c r="AU535" t="str">
        <f>IFERROR(ROUND(X535*(W535/$AY535)/VLOOKUP(V535,商品!$A$4:$D$67,4,FALSE),0),"")</f>
        <v/>
      </c>
      <c r="AW535">
        <f t="shared" si="150"/>
        <v>0</v>
      </c>
      <c r="AX535">
        <f t="shared" si="151"/>
        <v>0</v>
      </c>
      <c r="AY535">
        <f t="shared" si="152"/>
        <v>0</v>
      </c>
    </row>
    <row r="536" customHeight="1" spans="1:51">
      <c r="A536" s="5" t="s">
        <v>385</v>
      </c>
      <c r="C536" s="5">
        <v>2</v>
      </c>
      <c r="D536" s="1" t="s">
        <v>291</v>
      </c>
      <c r="E536" s="1" t="s">
        <v>225</v>
      </c>
      <c r="L536" s="5">
        <f>IFERROR(VLOOKUP($D536&amp;$C536,生产方式定位!$A$2:$E$38,2,FALSE)+VLOOKUP($E536&amp;$C536,生产方式定位!$F$3:$J$38,2,FALSE),0)</f>
        <v>0</v>
      </c>
      <c r="S536" s="5">
        <f>IFERROR(VLOOKUP($D536&amp;$C536,生产方式定位!$A$2:$E$38,3,FALSE)+VLOOKUP($E536&amp;$C536,生产方式定位!$F$3:$J$38,3,FALSE),0)</f>
        <v>100</v>
      </c>
      <c r="X536" s="5">
        <f>IFERROR(VLOOKUP($D536&amp;$C536,生产方式定位!$A$2:$E$38,5,FALSE)+VLOOKUP($E536&amp;$C536,生产方式定位!$F$3:$J$38,5,FALSE),"错误")</f>
        <v>100</v>
      </c>
      <c r="Y536" s="27" t="str">
        <f t="shared" si="136"/>
        <v/>
      </c>
      <c r="Z536" s="50" t="str">
        <f t="shared" si="139"/>
        <v/>
      </c>
      <c r="AA536" s="50" t="str">
        <f t="shared" si="137"/>
        <v/>
      </c>
      <c r="AB536" s="28" t="str">
        <f t="shared" si="140"/>
        <v/>
      </c>
      <c r="AC536" s="1" t="str">
        <f t="shared" si="141"/>
        <v/>
      </c>
      <c r="AD536" s="51">
        <f t="shared" si="138"/>
        <v>2</v>
      </c>
      <c r="AE536" t="str">
        <f t="shared" si="142"/>
        <v/>
      </c>
      <c r="AF536" t="str">
        <f t="shared" si="143"/>
        <v/>
      </c>
      <c r="AG536" t="str">
        <f t="shared" si="144"/>
        <v/>
      </c>
      <c r="AH536" t="str">
        <f t="shared" si="145"/>
        <v/>
      </c>
      <c r="AI536" t="str">
        <f t="shared" si="146"/>
        <v/>
      </c>
      <c r="AJ536" t="str">
        <f t="shared" si="147"/>
        <v/>
      </c>
      <c r="AK536" t="str">
        <f t="shared" si="148"/>
        <v/>
      </c>
      <c r="AL536" t="str">
        <f t="shared" si="149"/>
        <v/>
      </c>
      <c r="AN536" t="str">
        <f>IFERROR(ROUND(L536*(G536/$AW536)/VLOOKUP(F536,商品!$A$4:$D$67,4,FALSE),0),"")</f>
        <v/>
      </c>
      <c r="AO536" t="str">
        <f>IFERROR(ROUND(L536*(I536/$AW536)/VLOOKUP(H536,商品!$A$4:$D$67,4,FALSE),0),"")</f>
        <v/>
      </c>
      <c r="AP536" t="str">
        <f>IFERROR(ROUND(L536*(K536/$AW536)/VLOOKUP(J536,商品!$A$4:$D$67,4,FALSE),0),"")</f>
        <v/>
      </c>
      <c r="AQ536" t="str">
        <f>IFERROR(ROUND(S536*(N536/$AX536)/VLOOKUP(M536,职业!$A$3:$E$16,4,FALSE),0),"")</f>
        <v/>
      </c>
      <c r="AR536" t="str">
        <f>IFERROR(ROUND(S536*(P536/$AX536)/VLOOKUP(O536,职业!$A$3:$E$16,4,FALSE),0),"")</f>
        <v/>
      </c>
      <c r="AS536" t="str">
        <f>IFERROR(ROUND(S536*(R536/$AX536)/VLOOKUP(Q536,职业!$A$3:$E$16,4,FALSE),0),"")</f>
        <v/>
      </c>
      <c r="AT536" t="str">
        <f>IFERROR(ROUND(X536*(U536/$AY536)/VLOOKUP(T536,商品!$A$4:$D$67,4,FALSE),0),"")</f>
        <v/>
      </c>
      <c r="AU536" t="str">
        <f>IFERROR(ROUND(X536*(W536/$AY536)/VLOOKUP(V536,商品!$A$4:$D$67,4,FALSE),0),"")</f>
        <v/>
      </c>
      <c r="AW536">
        <f t="shared" si="150"/>
        <v>0</v>
      </c>
      <c r="AX536">
        <f t="shared" si="151"/>
        <v>0</v>
      </c>
      <c r="AY536">
        <f t="shared" si="152"/>
        <v>0</v>
      </c>
    </row>
    <row r="537" customHeight="1" spans="1:51">
      <c r="A537" s="5" t="s">
        <v>385</v>
      </c>
      <c r="C537" s="5">
        <v>3</v>
      </c>
      <c r="D537" s="1" t="s">
        <v>291</v>
      </c>
      <c r="E537" s="1" t="s">
        <v>225</v>
      </c>
      <c r="L537" s="5">
        <f>IFERROR(VLOOKUP($D537&amp;$C537,生产方式定位!$A$2:$E$38,2,FALSE)+VLOOKUP($E537&amp;$C537,生产方式定位!$F$3:$J$38,2,FALSE),0)</f>
        <v>0</v>
      </c>
      <c r="S537" s="5">
        <f>IFERROR(VLOOKUP($D537&amp;$C537,生产方式定位!$A$2:$E$38,3,FALSE)+VLOOKUP($E537&amp;$C537,生产方式定位!$F$3:$J$38,3,FALSE),0)</f>
        <v>100</v>
      </c>
      <c r="X537" s="5">
        <f>IFERROR(VLOOKUP($D537&amp;$C537,生产方式定位!$A$2:$E$38,5,FALSE)+VLOOKUP($E537&amp;$C537,生产方式定位!$F$3:$J$38,5,FALSE),"错误")</f>
        <v>100</v>
      </c>
      <c r="Y537" s="27" t="str">
        <f t="shared" si="136"/>
        <v/>
      </c>
      <c r="Z537" s="50" t="str">
        <f t="shared" si="139"/>
        <v/>
      </c>
      <c r="AA537" s="50" t="str">
        <f t="shared" si="137"/>
        <v/>
      </c>
      <c r="AB537" s="28" t="str">
        <f t="shared" si="140"/>
        <v/>
      </c>
      <c r="AC537" s="1" t="str">
        <f t="shared" si="141"/>
        <v/>
      </c>
      <c r="AD537" s="51">
        <f t="shared" si="138"/>
        <v>3</v>
      </c>
      <c r="AE537" t="str">
        <f t="shared" si="142"/>
        <v/>
      </c>
      <c r="AF537" t="str">
        <f t="shared" si="143"/>
        <v/>
      </c>
      <c r="AG537" t="str">
        <f t="shared" si="144"/>
        <v/>
      </c>
      <c r="AH537" t="str">
        <f t="shared" si="145"/>
        <v/>
      </c>
      <c r="AI537" t="str">
        <f t="shared" si="146"/>
        <v/>
      </c>
      <c r="AJ537" t="str">
        <f t="shared" si="147"/>
        <v/>
      </c>
      <c r="AK537" t="str">
        <f t="shared" si="148"/>
        <v/>
      </c>
      <c r="AL537" t="str">
        <f t="shared" si="149"/>
        <v/>
      </c>
      <c r="AN537" t="str">
        <f>IFERROR(ROUND(L537*(G537/$AW537)/VLOOKUP(F537,商品!$A$4:$D$67,4,FALSE),0),"")</f>
        <v/>
      </c>
      <c r="AO537" t="str">
        <f>IFERROR(ROUND(L537*(I537/$AW537)/VLOOKUP(H537,商品!$A$4:$D$67,4,FALSE),0),"")</f>
        <v/>
      </c>
      <c r="AP537" t="str">
        <f>IFERROR(ROUND(L537*(K537/$AW537)/VLOOKUP(J537,商品!$A$4:$D$67,4,FALSE),0),"")</f>
        <v/>
      </c>
      <c r="AQ537" t="str">
        <f>IFERROR(ROUND(S537*(N537/$AX537)/VLOOKUP(M537,职业!$A$3:$E$16,4,FALSE),0),"")</f>
        <v/>
      </c>
      <c r="AR537" t="str">
        <f>IFERROR(ROUND(S537*(P537/$AX537)/VLOOKUP(O537,职业!$A$3:$E$16,4,FALSE),0),"")</f>
        <v/>
      </c>
      <c r="AS537" t="str">
        <f>IFERROR(ROUND(S537*(R537/$AX537)/VLOOKUP(Q537,职业!$A$3:$E$16,4,FALSE),0),"")</f>
        <v/>
      </c>
      <c r="AT537" t="str">
        <f>IFERROR(ROUND(X537*(U537/$AY537)/VLOOKUP(T537,商品!$A$4:$D$67,4,FALSE),0),"")</f>
        <v/>
      </c>
      <c r="AU537" t="str">
        <f>IFERROR(ROUND(X537*(W537/$AY537)/VLOOKUP(V537,商品!$A$4:$D$67,4,FALSE),0),"")</f>
        <v/>
      </c>
      <c r="AW537">
        <f t="shared" si="150"/>
        <v>0</v>
      </c>
      <c r="AX537">
        <f t="shared" si="151"/>
        <v>0</v>
      </c>
      <c r="AY537">
        <f t="shared" si="152"/>
        <v>0</v>
      </c>
    </row>
    <row r="538" customHeight="1" spans="1:51">
      <c r="A538" s="5" t="s">
        <v>385</v>
      </c>
      <c r="C538" s="5">
        <v>4</v>
      </c>
      <c r="D538" s="1" t="s">
        <v>291</v>
      </c>
      <c r="E538" s="1" t="s">
        <v>225</v>
      </c>
      <c r="L538" s="5">
        <f>IFERROR(VLOOKUP($D538&amp;$C538,生产方式定位!$A$2:$E$38,2,FALSE)+VLOOKUP($E538&amp;$C538,生产方式定位!$F$3:$J$38,2,FALSE),0)</f>
        <v>0</v>
      </c>
      <c r="S538" s="5">
        <f>IFERROR(VLOOKUP($D538&amp;$C538,生产方式定位!$A$2:$E$38,3,FALSE)+VLOOKUP($E538&amp;$C538,生产方式定位!$F$3:$J$38,3,FALSE),0)</f>
        <v>100</v>
      </c>
      <c r="X538" s="5">
        <f>IFERROR(VLOOKUP($D538&amp;$C538,生产方式定位!$A$2:$E$38,5,FALSE)+VLOOKUP($E538&amp;$C538,生产方式定位!$F$3:$J$38,5,FALSE),"错误")</f>
        <v>100</v>
      </c>
      <c r="Y538" s="27" t="str">
        <f t="shared" si="136"/>
        <v/>
      </c>
      <c r="Z538" s="50" t="str">
        <f t="shared" si="139"/>
        <v/>
      </c>
      <c r="AA538" s="50" t="str">
        <f t="shared" si="137"/>
        <v/>
      </c>
      <c r="AB538" s="28" t="str">
        <f t="shared" si="140"/>
        <v/>
      </c>
      <c r="AC538" s="1" t="str">
        <f t="shared" si="141"/>
        <v/>
      </c>
      <c r="AD538" s="51">
        <f t="shared" si="138"/>
        <v>4</v>
      </c>
      <c r="AE538" t="str">
        <f t="shared" si="142"/>
        <v/>
      </c>
      <c r="AF538" t="str">
        <f t="shared" si="143"/>
        <v/>
      </c>
      <c r="AG538" t="str">
        <f t="shared" si="144"/>
        <v/>
      </c>
      <c r="AH538" t="str">
        <f t="shared" si="145"/>
        <v/>
      </c>
      <c r="AI538" t="str">
        <f t="shared" si="146"/>
        <v/>
      </c>
      <c r="AJ538" t="str">
        <f t="shared" si="147"/>
        <v/>
      </c>
      <c r="AK538" t="str">
        <f t="shared" si="148"/>
        <v/>
      </c>
      <c r="AL538" t="str">
        <f t="shared" si="149"/>
        <v/>
      </c>
      <c r="AN538" t="str">
        <f>IFERROR(ROUND(L538*(G538/$AW538)/VLOOKUP(F538,商品!$A$4:$D$67,4,FALSE),0),"")</f>
        <v/>
      </c>
      <c r="AO538" t="str">
        <f>IFERROR(ROUND(L538*(I538/$AW538)/VLOOKUP(H538,商品!$A$4:$D$67,4,FALSE),0),"")</f>
        <v/>
      </c>
      <c r="AP538" t="str">
        <f>IFERROR(ROUND(L538*(K538/$AW538)/VLOOKUP(J538,商品!$A$4:$D$67,4,FALSE),0),"")</f>
        <v/>
      </c>
      <c r="AQ538" t="str">
        <f>IFERROR(ROUND(S538*(N538/$AX538)/VLOOKUP(M538,职业!$A$3:$E$16,4,FALSE),0),"")</f>
        <v/>
      </c>
      <c r="AR538" t="str">
        <f>IFERROR(ROUND(S538*(P538/$AX538)/VLOOKUP(O538,职业!$A$3:$E$16,4,FALSE),0),"")</f>
        <v/>
      </c>
      <c r="AS538" t="str">
        <f>IFERROR(ROUND(S538*(R538/$AX538)/VLOOKUP(Q538,职业!$A$3:$E$16,4,FALSE),0),"")</f>
        <v/>
      </c>
      <c r="AT538" t="str">
        <f>IFERROR(ROUND(X538*(U538/$AY538)/VLOOKUP(T538,商品!$A$4:$D$67,4,FALSE),0),"")</f>
        <v/>
      </c>
      <c r="AU538" t="str">
        <f>IFERROR(ROUND(X538*(W538/$AY538)/VLOOKUP(V538,商品!$A$4:$D$67,4,FALSE),0),"")</f>
        <v/>
      </c>
      <c r="AW538">
        <f t="shared" si="150"/>
        <v>0</v>
      </c>
      <c r="AX538">
        <f t="shared" si="151"/>
        <v>0</v>
      </c>
      <c r="AY538">
        <f t="shared" si="152"/>
        <v>0</v>
      </c>
    </row>
    <row r="539" customHeight="1" spans="1:51">
      <c r="A539" s="5" t="s">
        <v>385</v>
      </c>
      <c r="C539" s="5">
        <v>5</v>
      </c>
      <c r="D539" s="1" t="s">
        <v>291</v>
      </c>
      <c r="E539" s="1" t="s">
        <v>225</v>
      </c>
      <c r="L539" s="5">
        <f>IFERROR(VLOOKUP($D539&amp;$C539,生产方式定位!$A$2:$E$38,2,FALSE)+VLOOKUP($E539&amp;$C539,生产方式定位!$F$3:$J$38,2,FALSE),0)</f>
        <v>0</v>
      </c>
      <c r="S539" s="5">
        <f>IFERROR(VLOOKUP($D539&amp;$C539,生产方式定位!$A$2:$E$38,3,FALSE)+VLOOKUP($E539&amp;$C539,生产方式定位!$F$3:$J$38,3,FALSE),0)</f>
        <v>100</v>
      </c>
      <c r="X539" s="5">
        <f>IFERROR(VLOOKUP($D539&amp;$C539,生产方式定位!$A$2:$E$38,5,FALSE)+VLOOKUP($E539&amp;$C539,生产方式定位!$F$3:$J$38,5,FALSE),"错误")</f>
        <v>100</v>
      </c>
      <c r="Y539" s="27" t="str">
        <f t="shared" si="136"/>
        <v/>
      </c>
      <c r="Z539" s="50" t="str">
        <f t="shared" si="139"/>
        <v/>
      </c>
      <c r="AA539" s="50" t="str">
        <f t="shared" si="137"/>
        <v/>
      </c>
      <c r="AB539" s="28" t="str">
        <f t="shared" si="140"/>
        <v/>
      </c>
      <c r="AC539" s="1" t="str">
        <f t="shared" si="141"/>
        <v/>
      </c>
      <c r="AD539" s="51">
        <f t="shared" si="138"/>
        <v>5</v>
      </c>
      <c r="AE539" t="str">
        <f t="shared" si="142"/>
        <v/>
      </c>
      <c r="AF539" t="str">
        <f t="shared" si="143"/>
        <v/>
      </c>
      <c r="AG539" t="str">
        <f t="shared" si="144"/>
        <v/>
      </c>
      <c r="AH539" t="str">
        <f t="shared" si="145"/>
        <v/>
      </c>
      <c r="AI539" t="str">
        <f t="shared" si="146"/>
        <v/>
      </c>
      <c r="AJ539" t="str">
        <f t="shared" si="147"/>
        <v/>
      </c>
      <c r="AK539" t="str">
        <f t="shared" si="148"/>
        <v/>
      </c>
      <c r="AL539" t="str">
        <f t="shared" si="149"/>
        <v/>
      </c>
      <c r="AN539" t="str">
        <f>IFERROR(ROUND(L539*(G539/$AW539)/VLOOKUP(F539,商品!$A$4:$D$67,4,FALSE),0),"")</f>
        <v/>
      </c>
      <c r="AO539" t="str">
        <f>IFERROR(ROUND(L539*(I539/$AW539)/VLOOKUP(H539,商品!$A$4:$D$67,4,FALSE),0),"")</f>
        <v/>
      </c>
      <c r="AP539" t="str">
        <f>IFERROR(ROUND(L539*(K539/$AW539)/VLOOKUP(J539,商品!$A$4:$D$67,4,FALSE),0),"")</f>
        <v/>
      </c>
      <c r="AQ539" t="str">
        <f>IFERROR(ROUND(S539*(N539/$AX539)/VLOOKUP(M539,职业!$A$3:$E$16,4,FALSE),0),"")</f>
        <v/>
      </c>
      <c r="AR539" t="str">
        <f>IFERROR(ROUND(S539*(P539/$AX539)/VLOOKUP(O539,职业!$A$3:$E$16,4,FALSE),0),"")</f>
        <v/>
      </c>
      <c r="AS539" t="str">
        <f>IFERROR(ROUND(S539*(R539/$AX539)/VLOOKUP(Q539,职业!$A$3:$E$16,4,FALSE),0),"")</f>
        <v/>
      </c>
      <c r="AT539" t="str">
        <f>IFERROR(ROUND(X539*(U539/$AY539)/VLOOKUP(T539,商品!$A$4:$D$67,4,FALSE),0),"")</f>
        <v/>
      </c>
      <c r="AU539" t="str">
        <f>IFERROR(ROUND(X539*(W539/$AY539)/VLOOKUP(V539,商品!$A$4:$D$67,4,FALSE),0),"")</f>
        <v/>
      </c>
      <c r="AW539">
        <f t="shared" si="150"/>
        <v>0</v>
      </c>
      <c r="AX539">
        <f t="shared" si="151"/>
        <v>0</v>
      </c>
      <c r="AY539">
        <f t="shared" si="152"/>
        <v>0</v>
      </c>
    </row>
    <row r="540" customHeight="1" spans="1:51">
      <c r="A540" s="5" t="s">
        <v>385</v>
      </c>
      <c r="C540" s="5">
        <v>6</v>
      </c>
      <c r="D540" s="1" t="s">
        <v>291</v>
      </c>
      <c r="E540" s="1" t="s">
        <v>225</v>
      </c>
      <c r="L540" s="5">
        <f>IFERROR(VLOOKUP($D540&amp;$C540,生产方式定位!$A$2:$E$38,2,FALSE)+VLOOKUP($E540&amp;$C540,生产方式定位!$F$3:$J$38,2,FALSE),0)</f>
        <v>0</v>
      </c>
      <c r="S540" s="5">
        <f>IFERROR(VLOOKUP($D540&amp;$C540,生产方式定位!$A$2:$E$38,3,FALSE)+VLOOKUP($E540&amp;$C540,生产方式定位!$F$3:$J$38,3,FALSE),0)</f>
        <v>100</v>
      </c>
      <c r="X540" s="5">
        <f>IFERROR(VLOOKUP($D540&amp;$C540,生产方式定位!$A$2:$E$38,5,FALSE)+VLOOKUP($E540&amp;$C540,生产方式定位!$F$3:$J$38,5,FALSE),"错误")</f>
        <v>100</v>
      </c>
      <c r="Y540" s="27" t="str">
        <f t="shared" si="136"/>
        <v/>
      </c>
      <c r="Z540" s="50" t="str">
        <f t="shared" si="139"/>
        <v/>
      </c>
      <c r="AA540" s="50" t="str">
        <f t="shared" si="137"/>
        <v/>
      </c>
      <c r="AB540" s="28" t="str">
        <f t="shared" si="140"/>
        <v/>
      </c>
      <c r="AC540" s="1" t="str">
        <f t="shared" si="141"/>
        <v/>
      </c>
      <c r="AD540" s="51">
        <f t="shared" si="138"/>
        <v>6</v>
      </c>
      <c r="AE540" t="str">
        <f t="shared" si="142"/>
        <v/>
      </c>
      <c r="AF540" t="str">
        <f t="shared" si="143"/>
        <v/>
      </c>
      <c r="AG540" t="str">
        <f t="shared" si="144"/>
        <v/>
      </c>
      <c r="AH540" t="str">
        <f t="shared" si="145"/>
        <v/>
      </c>
      <c r="AI540" t="str">
        <f t="shared" si="146"/>
        <v/>
      </c>
      <c r="AJ540" t="str">
        <f t="shared" si="147"/>
        <v/>
      </c>
      <c r="AK540" t="str">
        <f t="shared" si="148"/>
        <v/>
      </c>
      <c r="AL540" t="str">
        <f t="shared" si="149"/>
        <v/>
      </c>
      <c r="AN540" t="str">
        <f>IFERROR(ROUND(L540*(G540/$AW540)/VLOOKUP(F540,商品!$A$4:$D$67,4,FALSE),0),"")</f>
        <v/>
      </c>
      <c r="AO540" t="str">
        <f>IFERROR(ROUND(L540*(I540/$AW540)/VLOOKUP(H540,商品!$A$4:$D$67,4,FALSE),0),"")</f>
        <v/>
      </c>
      <c r="AP540" t="str">
        <f>IFERROR(ROUND(L540*(K540/$AW540)/VLOOKUP(J540,商品!$A$4:$D$67,4,FALSE),0),"")</f>
        <v/>
      </c>
      <c r="AQ540" t="str">
        <f>IFERROR(ROUND(S540*(N540/$AX540)/VLOOKUP(M540,职业!$A$3:$E$16,4,FALSE),0),"")</f>
        <v/>
      </c>
      <c r="AR540" t="str">
        <f>IFERROR(ROUND(S540*(P540/$AX540)/VLOOKUP(O540,职业!$A$3:$E$16,4,FALSE),0),"")</f>
        <v/>
      </c>
      <c r="AS540" t="str">
        <f>IFERROR(ROUND(S540*(R540/$AX540)/VLOOKUP(Q540,职业!$A$3:$E$16,4,FALSE),0),"")</f>
        <v/>
      </c>
      <c r="AT540" t="str">
        <f>IFERROR(ROUND(X540*(U540/$AY540)/VLOOKUP(T540,商品!$A$4:$D$67,4,FALSE),0),"")</f>
        <v/>
      </c>
      <c r="AU540" t="str">
        <f>IFERROR(ROUND(X540*(W540/$AY540)/VLOOKUP(V540,商品!$A$4:$D$67,4,FALSE),0),"")</f>
        <v/>
      </c>
      <c r="AW540">
        <f t="shared" si="150"/>
        <v>0</v>
      </c>
      <c r="AX540">
        <f t="shared" si="151"/>
        <v>0</v>
      </c>
      <c r="AY540">
        <f t="shared" si="152"/>
        <v>0</v>
      </c>
    </row>
    <row r="541" customHeight="1" spans="1:51">
      <c r="A541" s="5" t="s">
        <v>385</v>
      </c>
      <c r="C541" s="5">
        <v>7</v>
      </c>
      <c r="D541" s="1" t="s">
        <v>291</v>
      </c>
      <c r="E541" s="1" t="s">
        <v>225</v>
      </c>
      <c r="L541" s="5">
        <f>IFERROR(VLOOKUP($D541&amp;$C541,生产方式定位!$A$2:$E$38,2,FALSE)+VLOOKUP($E541&amp;$C541,生产方式定位!$F$3:$J$38,2,FALSE),0)</f>
        <v>0</v>
      </c>
      <c r="S541" s="5">
        <f>IFERROR(VLOOKUP($D541&amp;$C541,生产方式定位!$A$2:$E$38,3,FALSE)+VLOOKUP($E541&amp;$C541,生产方式定位!$F$3:$J$38,3,FALSE),0)</f>
        <v>100</v>
      </c>
      <c r="X541" s="5">
        <f>IFERROR(VLOOKUP($D541&amp;$C541,生产方式定位!$A$2:$E$38,5,FALSE)+VLOOKUP($E541&amp;$C541,生产方式定位!$F$3:$J$38,5,FALSE),"错误")</f>
        <v>100</v>
      </c>
      <c r="Y541" s="27" t="str">
        <f t="shared" si="136"/>
        <v/>
      </c>
      <c r="Z541" s="50" t="str">
        <f t="shared" si="139"/>
        <v/>
      </c>
      <c r="AA541" s="50" t="str">
        <f t="shared" si="137"/>
        <v/>
      </c>
      <c r="AB541" s="28" t="str">
        <f t="shared" si="140"/>
        <v/>
      </c>
      <c r="AC541" s="1" t="str">
        <f t="shared" si="141"/>
        <v/>
      </c>
      <c r="AD541" s="51">
        <f t="shared" si="138"/>
        <v>7</v>
      </c>
      <c r="AE541" t="str">
        <f t="shared" si="142"/>
        <v/>
      </c>
      <c r="AF541" t="str">
        <f t="shared" si="143"/>
        <v/>
      </c>
      <c r="AG541" t="str">
        <f t="shared" si="144"/>
        <v/>
      </c>
      <c r="AH541" t="str">
        <f t="shared" si="145"/>
        <v/>
      </c>
      <c r="AI541" t="str">
        <f t="shared" si="146"/>
        <v/>
      </c>
      <c r="AJ541" t="str">
        <f t="shared" si="147"/>
        <v/>
      </c>
      <c r="AK541" t="str">
        <f t="shared" si="148"/>
        <v/>
      </c>
      <c r="AL541" t="str">
        <f t="shared" si="149"/>
        <v/>
      </c>
      <c r="AN541" t="str">
        <f>IFERROR(ROUND(L541*(G541/$AW541)/VLOOKUP(F541,商品!$A$4:$D$67,4,FALSE),0),"")</f>
        <v/>
      </c>
      <c r="AO541" t="str">
        <f>IFERROR(ROUND(L541*(I541/$AW541)/VLOOKUP(H541,商品!$A$4:$D$67,4,FALSE),0),"")</f>
        <v/>
      </c>
      <c r="AP541" t="str">
        <f>IFERROR(ROUND(L541*(K541/$AW541)/VLOOKUP(J541,商品!$A$4:$D$67,4,FALSE),0),"")</f>
        <v/>
      </c>
      <c r="AQ541" t="str">
        <f>IFERROR(ROUND(S541*(N541/$AX541)/VLOOKUP(M541,职业!$A$3:$E$16,4,FALSE),0),"")</f>
        <v/>
      </c>
      <c r="AR541" t="str">
        <f>IFERROR(ROUND(S541*(P541/$AX541)/VLOOKUP(O541,职业!$A$3:$E$16,4,FALSE),0),"")</f>
        <v/>
      </c>
      <c r="AS541" t="str">
        <f>IFERROR(ROUND(S541*(R541/$AX541)/VLOOKUP(Q541,职业!$A$3:$E$16,4,FALSE),0),"")</f>
        <v/>
      </c>
      <c r="AT541" t="str">
        <f>IFERROR(ROUND(X541*(U541/$AY541)/VLOOKUP(T541,商品!$A$4:$D$67,4,FALSE),0),"")</f>
        <v/>
      </c>
      <c r="AU541" t="str">
        <f>IFERROR(ROUND(X541*(W541/$AY541)/VLOOKUP(V541,商品!$A$4:$D$67,4,FALSE),0),"")</f>
        <v/>
      </c>
      <c r="AW541">
        <f t="shared" si="150"/>
        <v>0</v>
      </c>
      <c r="AX541">
        <f t="shared" si="151"/>
        <v>0</v>
      </c>
      <c r="AY541">
        <f t="shared" si="152"/>
        <v>0</v>
      </c>
    </row>
    <row r="542" customHeight="1" spans="1:51">
      <c r="A542" s="5" t="s">
        <v>385</v>
      </c>
      <c r="C542" s="5">
        <v>8</v>
      </c>
      <c r="D542" s="1" t="s">
        <v>291</v>
      </c>
      <c r="E542" s="1" t="s">
        <v>225</v>
      </c>
      <c r="L542" s="5">
        <f>IFERROR(VLOOKUP($D542&amp;$C542,生产方式定位!$A$2:$E$38,2,FALSE)+VLOOKUP($E542&amp;$C542,生产方式定位!$F$3:$J$38,2,FALSE),0)</f>
        <v>0</v>
      </c>
      <c r="S542" s="5">
        <f>IFERROR(VLOOKUP($D542&amp;$C542,生产方式定位!$A$2:$E$38,3,FALSE)+VLOOKUP($E542&amp;$C542,生产方式定位!$F$3:$J$38,3,FALSE),0)</f>
        <v>100</v>
      </c>
      <c r="X542" s="5">
        <f>IFERROR(VLOOKUP($D542&amp;$C542,生产方式定位!$A$2:$E$38,5,FALSE)+VLOOKUP($E542&amp;$C542,生产方式定位!$F$3:$J$38,5,FALSE),"错误")</f>
        <v>100</v>
      </c>
      <c r="Y542" s="27" t="str">
        <f t="shared" si="136"/>
        <v/>
      </c>
      <c r="Z542" s="50" t="str">
        <f t="shared" si="139"/>
        <v/>
      </c>
      <c r="AA542" s="50" t="str">
        <f t="shared" si="137"/>
        <v/>
      </c>
      <c r="AB542" s="28" t="str">
        <f t="shared" si="140"/>
        <v/>
      </c>
      <c r="AC542" s="1" t="str">
        <f t="shared" si="141"/>
        <v/>
      </c>
      <c r="AD542" s="51">
        <f t="shared" si="138"/>
        <v>8</v>
      </c>
      <c r="AE542" t="str">
        <f t="shared" si="142"/>
        <v/>
      </c>
      <c r="AF542" t="str">
        <f t="shared" si="143"/>
        <v/>
      </c>
      <c r="AG542" t="str">
        <f t="shared" si="144"/>
        <v/>
      </c>
      <c r="AH542" t="str">
        <f t="shared" si="145"/>
        <v/>
      </c>
      <c r="AI542" t="str">
        <f t="shared" si="146"/>
        <v/>
      </c>
      <c r="AJ542" t="str">
        <f t="shared" si="147"/>
        <v/>
      </c>
      <c r="AK542" t="str">
        <f t="shared" si="148"/>
        <v/>
      </c>
      <c r="AL542" t="str">
        <f t="shared" si="149"/>
        <v/>
      </c>
      <c r="AN542" t="str">
        <f>IFERROR(ROUND(L542*(G542/$AW542)/VLOOKUP(F542,商品!$A$4:$D$67,4,FALSE),0),"")</f>
        <v/>
      </c>
      <c r="AO542" t="str">
        <f>IFERROR(ROUND(L542*(I542/$AW542)/VLOOKUP(H542,商品!$A$4:$D$67,4,FALSE),0),"")</f>
        <v/>
      </c>
      <c r="AP542" t="str">
        <f>IFERROR(ROUND(L542*(K542/$AW542)/VLOOKUP(J542,商品!$A$4:$D$67,4,FALSE),0),"")</f>
        <v/>
      </c>
      <c r="AQ542" t="str">
        <f>IFERROR(ROUND(S542*(N542/$AX542)/VLOOKUP(M542,职业!$A$3:$E$16,4,FALSE),0),"")</f>
        <v/>
      </c>
      <c r="AR542" t="str">
        <f>IFERROR(ROUND(S542*(P542/$AX542)/VLOOKUP(O542,职业!$A$3:$E$16,4,FALSE),0),"")</f>
        <v/>
      </c>
      <c r="AS542" t="str">
        <f>IFERROR(ROUND(S542*(R542/$AX542)/VLOOKUP(Q542,职业!$A$3:$E$16,4,FALSE),0),"")</f>
        <v/>
      </c>
      <c r="AT542" t="str">
        <f>IFERROR(ROUND(X542*(U542/$AY542)/VLOOKUP(T542,商品!$A$4:$D$67,4,FALSE),0),"")</f>
        <v/>
      </c>
      <c r="AU542" t="str">
        <f>IFERROR(ROUND(X542*(W542/$AY542)/VLOOKUP(V542,商品!$A$4:$D$67,4,FALSE),0),"")</f>
        <v/>
      </c>
      <c r="AW542">
        <f t="shared" si="150"/>
        <v>0</v>
      </c>
      <c r="AX542">
        <f t="shared" si="151"/>
        <v>0</v>
      </c>
      <c r="AY542">
        <f t="shared" si="152"/>
        <v>0</v>
      </c>
    </row>
    <row r="543" customHeight="1" spans="1:51">
      <c r="A543" s="18" t="s">
        <v>387</v>
      </c>
      <c r="C543" s="18">
        <v>1</v>
      </c>
      <c r="D543" s="1" t="s">
        <v>247</v>
      </c>
      <c r="E543" s="1" t="s">
        <v>222</v>
      </c>
      <c r="L543" s="18">
        <f>IFERROR(VLOOKUP($D543&amp;$C543,生产方式定位!$A$2:$E$38,2,FALSE)+VLOOKUP($E543&amp;$C543,生产方式定位!$F$3:$J$38,2,FALSE),0)</f>
        <v>3000</v>
      </c>
      <c r="S543" s="18">
        <f>IFERROR(VLOOKUP($D543&amp;$C543,生产方式定位!$A$2:$E$38,3,FALSE)+VLOOKUP($E543&amp;$C543,生产方式定位!$F$3:$J$38,3,FALSE),0)</f>
        <v>100</v>
      </c>
      <c r="X543" s="18">
        <f>IFERROR(VLOOKUP($D543&amp;$C543,生产方式定位!$A$2:$E$38,5,FALSE)+VLOOKUP($E543&amp;$C543,生产方式定位!$F$3:$J$38,5,FALSE),"错误")</f>
        <v>3410</v>
      </c>
      <c r="Y543" s="27" t="str">
        <f t="shared" si="136"/>
        <v/>
      </c>
      <c r="Z543" s="50" t="str">
        <f t="shared" si="139"/>
        <v/>
      </c>
      <c r="AA543" s="50" t="str">
        <f t="shared" si="137"/>
        <v/>
      </c>
      <c r="AB543" s="28" t="str">
        <f t="shared" si="140"/>
        <v>14%</v>
      </c>
      <c r="AC543" s="1">
        <f t="shared" si="141"/>
        <v>310</v>
      </c>
      <c r="AD543" s="52">
        <f t="shared" si="138"/>
        <v>1</v>
      </c>
      <c r="AE543" t="str">
        <f t="shared" si="142"/>
        <v/>
      </c>
      <c r="AF543" t="str">
        <f t="shared" si="143"/>
        <v/>
      </c>
      <c r="AG543" t="str">
        <f t="shared" si="144"/>
        <v/>
      </c>
      <c r="AH543" t="str">
        <f t="shared" si="145"/>
        <v/>
      </c>
      <c r="AI543" t="str">
        <f t="shared" si="146"/>
        <v/>
      </c>
      <c r="AJ543" t="str">
        <f t="shared" si="147"/>
        <v/>
      </c>
      <c r="AK543" t="str">
        <f t="shared" si="148"/>
        <v/>
      </c>
      <c r="AL543" t="str">
        <f t="shared" si="149"/>
        <v/>
      </c>
      <c r="AN543" t="str">
        <f>IFERROR(ROUND(L543*(G543/$AW543)/VLOOKUP(F543,商品!$A$4:$D$67,4,FALSE),0),"")</f>
        <v/>
      </c>
      <c r="AO543" t="str">
        <f>IFERROR(ROUND(L543*(I543/$AW543)/VLOOKUP(H543,商品!$A$4:$D$67,4,FALSE),0),"")</f>
        <v/>
      </c>
      <c r="AP543" t="str">
        <f>IFERROR(ROUND(L543*(K543/$AW543)/VLOOKUP(J543,商品!$A$4:$D$67,4,FALSE),0),"")</f>
        <v/>
      </c>
      <c r="AQ543" t="str">
        <f>IFERROR(ROUND(S543*(N543/$AX543)/VLOOKUP(M543,职业!$A$3:$E$16,4,FALSE),0),"")</f>
        <v/>
      </c>
      <c r="AR543" t="str">
        <f>IFERROR(ROUND(S543*(P543/$AX543)/VLOOKUP(O543,职业!$A$3:$E$16,4,FALSE),0),"")</f>
        <v/>
      </c>
      <c r="AS543" t="str">
        <f>IFERROR(ROUND(S543*(R543/$AX543)/VLOOKUP(Q543,职业!$A$3:$E$16,4,FALSE),0),"")</f>
        <v/>
      </c>
      <c r="AT543" t="str">
        <f>IFERROR(ROUND(X543*(U543/$AY543)/VLOOKUP(T543,商品!$A$4:$D$67,4,FALSE),0),"")</f>
        <v/>
      </c>
      <c r="AU543" t="str">
        <f>IFERROR(ROUND(X543*(W543/$AY543)/VLOOKUP(V543,商品!$A$4:$D$67,4,FALSE),0),"")</f>
        <v/>
      </c>
      <c r="AW543">
        <f t="shared" si="150"/>
        <v>0</v>
      </c>
      <c r="AX543">
        <f t="shared" si="151"/>
        <v>0</v>
      </c>
      <c r="AY543">
        <f t="shared" si="152"/>
        <v>0</v>
      </c>
    </row>
    <row r="544" customHeight="1" spans="1:51">
      <c r="A544" s="18" t="s">
        <v>387</v>
      </c>
      <c r="C544" s="18">
        <v>2</v>
      </c>
      <c r="D544" s="1" t="s">
        <v>247</v>
      </c>
      <c r="E544" s="1" t="s">
        <v>222</v>
      </c>
      <c r="L544" s="18">
        <f>IFERROR(VLOOKUP($D544&amp;$C544,生产方式定位!$A$2:$E$38,2,FALSE)+VLOOKUP($E544&amp;$C544,生产方式定位!$F$3:$J$38,2,FALSE),0)</f>
        <v>4500</v>
      </c>
      <c r="S544" s="18">
        <f>IFERROR(VLOOKUP($D544&amp;$C544,生产方式定位!$A$2:$E$38,3,FALSE)+VLOOKUP($E544&amp;$C544,生产方式定位!$F$3:$J$38,3,FALSE),0)</f>
        <v>90</v>
      </c>
      <c r="X544" s="18">
        <f>IFERROR(VLOOKUP($D544&amp;$C544,生产方式定位!$A$2:$E$38,5,FALSE)+VLOOKUP($E544&amp;$C544,生产方式定位!$F$3:$J$38,5,FALSE),"错误")</f>
        <v>5049</v>
      </c>
      <c r="Y544" s="27" t="str">
        <f t="shared" si="136"/>
        <v/>
      </c>
      <c r="Z544" s="50" t="str">
        <f t="shared" si="139"/>
        <v/>
      </c>
      <c r="AA544" s="50" t="str">
        <f t="shared" si="137"/>
        <v/>
      </c>
      <c r="AB544" s="28" t="str">
        <f t="shared" si="140"/>
        <v>12%</v>
      </c>
      <c r="AC544" s="1">
        <f t="shared" si="141"/>
        <v>459</v>
      </c>
      <c r="AD544" s="52">
        <f t="shared" si="138"/>
        <v>2</v>
      </c>
      <c r="AE544" t="str">
        <f t="shared" si="142"/>
        <v/>
      </c>
      <c r="AF544" t="str">
        <f t="shared" si="143"/>
        <v/>
      </c>
      <c r="AG544" t="str">
        <f t="shared" si="144"/>
        <v/>
      </c>
      <c r="AH544" t="str">
        <f t="shared" si="145"/>
        <v/>
      </c>
      <c r="AI544" t="str">
        <f t="shared" si="146"/>
        <v/>
      </c>
      <c r="AJ544" t="str">
        <f t="shared" si="147"/>
        <v/>
      </c>
      <c r="AK544" t="str">
        <f t="shared" si="148"/>
        <v/>
      </c>
      <c r="AL544" t="str">
        <f t="shared" si="149"/>
        <v/>
      </c>
      <c r="AN544" t="str">
        <f>IFERROR(ROUND(L544*(G544/$AW544)/VLOOKUP(F544,商品!$A$4:$D$67,4,FALSE),0),"")</f>
        <v/>
      </c>
      <c r="AO544" t="str">
        <f>IFERROR(ROUND(L544*(I544/$AW544)/VLOOKUP(H544,商品!$A$4:$D$67,4,FALSE),0),"")</f>
        <v/>
      </c>
      <c r="AP544" t="str">
        <f>IFERROR(ROUND(L544*(K544/$AW544)/VLOOKUP(J544,商品!$A$4:$D$67,4,FALSE),0),"")</f>
        <v/>
      </c>
      <c r="AQ544" t="str">
        <f>IFERROR(ROUND(S544*(N544/$AX544)/VLOOKUP(M544,职业!$A$3:$E$16,4,FALSE),0),"")</f>
        <v/>
      </c>
      <c r="AR544" t="str">
        <f>IFERROR(ROUND(S544*(P544/$AX544)/VLOOKUP(O544,职业!$A$3:$E$16,4,FALSE),0),"")</f>
        <v/>
      </c>
      <c r="AS544" t="str">
        <f>IFERROR(ROUND(S544*(R544/$AX544)/VLOOKUP(Q544,职业!$A$3:$E$16,4,FALSE),0),"")</f>
        <v/>
      </c>
      <c r="AT544" t="str">
        <f>IFERROR(ROUND(X544*(U544/$AY544)/VLOOKUP(T544,商品!$A$4:$D$67,4,FALSE),0),"")</f>
        <v/>
      </c>
      <c r="AU544" t="str">
        <f>IFERROR(ROUND(X544*(W544/$AY544)/VLOOKUP(V544,商品!$A$4:$D$67,4,FALSE),0),"")</f>
        <v/>
      </c>
      <c r="AW544">
        <f t="shared" si="150"/>
        <v>0</v>
      </c>
      <c r="AX544">
        <f t="shared" si="151"/>
        <v>0</v>
      </c>
      <c r="AY544">
        <f t="shared" si="152"/>
        <v>0</v>
      </c>
    </row>
    <row r="545" customHeight="1" spans="1:51">
      <c r="A545" s="18" t="s">
        <v>387</v>
      </c>
      <c r="C545" s="18">
        <v>3</v>
      </c>
      <c r="D545" s="1" t="s">
        <v>247</v>
      </c>
      <c r="E545" s="1" t="s">
        <v>222</v>
      </c>
      <c r="L545" s="18">
        <f>IFERROR(VLOOKUP($D545&amp;$C545,生产方式定位!$A$2:$E$38,2,FALSE)+VLOOKUP($E545&amp;$C545,生产方式定位!$F$3:$J$38,2,FALSE),0)</f>
        <v>5625</v>
      </c>
      <c r="S545" s="18">
        <f>IFERROR(VLOOKUP($D545&amp;$C545,生产方式定位!$A$2:$E$38,3,FALSE)+VLOOKUP($E545&amp;$C545,生产方式定位!$F$3:$J$38,3,FALSE),0)</f>
        <v>80</v>
      </c>
      <c r="X545" s="18">
        <f>IFERROR(VLOOKUP($D545&amp;$C545,生产方式定位!$A$2:$E$38,5,FALSE)+VLOOKUP($E545&amp;$C545,生产方式定位!$F$3:$J$38,5,FALSE),"错误")</f>
        <v>6276</v>
      </c>
      <c r="Y545" s="27" t="str">
        <f t="shared" si="136"/>
        <v/>
      </c>
      <c r="Z545" s="50" t="str">
        <f t="shared" si="139"/>
        <v/>
      </c>
      <c r="AA545" s="50" t="str">
        <f t="shared" si="137"/>
        <v/>
      </c>
      <c r="AB545" s="28" t="str">
        <f t="shared" si="140"/>
        <v>12%</v>
      </c>
      <c r="AC545" s="1">
        <f t="shared" si="141"/>
        <v>571</v>
      </c>
      <c r="AD545" s="52">
        <f t="shared" si="138"/>
        <v>3</v>
      </c>
      <c r="AE545" t="str">
        <f t="shared" si="142"/>
        <v/>
      </c>
      <c r="AF545" t="str">
        <f t="shared" si="143"/>
        <v/>
      </c>
      <c r="AG545" t="str">
        <f t="shared" si="144"/>
        <v/>
      </c>
      <c r="AH545" t="str">
        <f t="shared" si="145"/>
        <v/>
      </c>
      <c r="AI545" t="str">
        <f t="shared" si="146"/>
        <v/>
      </c>
      <c r="AJ545" t="str">
        <f t="shared" si="147"/>
        <v/>
      </c>
      <c r="AK545" t="str">
        <f t="shared" si="148"/>
        <v/>
      </c>
      <c r="AL545" t="str">
        <f t="shared" si="149"/>
        <v/>
      </c>
      <c r="AN545" t="str">
        <f>IFERROR(ROUND(L545*(G545/$AW545)/VLOOKUP(F545,商品!$A$4:$D$67,4,FALSE),0),"")</f>
        <v/>
      </c>
      <c r="AO545" t="str">
        <f>IFERROR(ROUND(L545*(I545/$AW545)/VLOOKUP(H545,商品!$A$4:$D$67,4,FALSE),0),"")</f>
        <v/>
      </c>
      <c r="AP545" t="str">
        <f>IFERROR(ROUND(L545*(K545/$AW545)/VLOOKUP(J545,商品!$A$4:$D$67,4,FALSE),0),"")</f>
        <v/>
      </c>
      <c r="AQ545" t="str">
        <f>IFERROR(ROUND(S545*(N545/$AX545)/VLOOKUP(M545,职业!$A$3:$E$16,4,FALSE),0),"")</f>
        <v/>
      </c>
      <c r="AR545" t="str">
        <f>IFERROR(ROUND(S545*(P545/$AX545)/VLOOKUP(O545,职业!$A$3:$E$16,4,FALSE),0),"")</f>
        <v/>
      </c>
      <c r="AS545" t="str">
        <f>IFERROR(ROUND(S545*(R545/$AX545)/VLOOKUP(Q545,职业!$A$3:$E$16,4,FALSE),0),"")</f>
        <v/>
      </c>
      <c r="AT545" t="str">
        <f>IFERROR(ROUND(X545*(U545/$AY545)/VLOOKUP(T545,商品!$A$4:$D$67,4,FALSE),0),"")</f>
        <v/>
      </c>
      <c r="AU545" t="str">
        <f>IFERROR(ROUND(X545*(W545/$AY545)/VLOOKUP(V545,商品!$A$4:$D$67,4,FALSE),0),"")</f>
        <v/>
      </c>
      <c r="AW545">
        <f t="shared" si="150"/>
        <v>0</v>
      </c>
      <c r="AX545">
        <f t="shared" si="151"/>
        <v>0</v>
      </c>
      <c r="AY545">
        <f t="shared" si="152"/>
        <v>0</v>
      </c>
    </row>
    <row r="546" customHeight="1" spans="1:51">
      <c r="A546" s="18" t="s">
        <v>387</v>
      </c>
      <c r="C546" s="18">
        <v>4</v>
      </c>
      <c r="D546" s="1" t="s">
        <v>247</v>
      </c>
      <c r="E546" s="1" t="s">
        <v>222</v>
      </c>
      <c r="L546" s="18">
        <f>IFERROR(VLOOKUP($D546&amp;$C546,生产方式定位!$A$2:$E$38,2,FALSE)+VLOOKUP($E546&amp;$C546,生产方式定位!$F$3:$J$38,2,FALSE),0)</f>
        <v>6750</v>
      </c>
      <c r="S546" s="18">
        <f>IFERROR(VLOOKUP($D546&amp;$C546,生产方式定位!$A$2:$E$38,3,FALSE)+VLOOKUP($E546&amp;$C546,生产方式定位!$F$3:$J$38,3,FALSE),0)</f>
        <v>70</v>
      </c>
      <c r="X546" s="18">
        <f>IFERROR(VLOOKUP($D546&amp;$C546,生产方式定位!$A$2:$E$38,5,FALSE)+VLOOKUP($E546&amp;$C546,生产方式定位!$F$3:$J$38,5,FALSE),"错误")</f>
        <v>7502</v>
      </c>
      <c r="Y546" s="27" t="str">
        <f t="shared" si="136"/>
        <v/>
      </c>
      <c r="Z546" s="50" t="str">
        <f t="shared" si="139"/>
        <v/>
      </c>
      <c r="AA546" s="50" t="str">
        <f t="shared" si="137"/>
        <v/>
      </c>
      <c r="AB546" s="28" t="str">
        <f t="shared" si="140"/>
        <v>11%</v>
      </c>
      <c r="AC546" s="1">
        <f t="shared" si="141"/>
        <v>682</v>
      </c>
      <c r="AD546" s="52">
        <f t="shared" si="138"/>
        <v>4</v>
      </c>
      <c r="AE546" t="str">
        <f t="shared" si="142"/>
        <v/>
      </c>
      <c r="AF546" t="str">
        <f t="shared" si="143"/>
        <v/>
      </c>
      <c r="AG546" t="str">
        <f t="shared" si="144"/>
        <v/>
      </c>
      <c r="AH546" t="str">
        <f t="shared" si="145"/>
        <v/>
      </c>
      <c r="AI546" t="str">
        <f t="shared" si="146"/>
        <v/>
      </c>
      <c r="AJ546" t="str">
        <f t="shared" si="147"/>
        <v/>
      </c>
      <c r="AK546" t="str">
        <f t="shared" si="148"/>
        <v/>
      </c>
      <c r="AL546" t="str">
        <f t="shared" si="149"/>
        <v/>
      </c>
      <c r="AN546" t="str">
        <f>IFERROR(ROUND(L546*(G546/$AW546)/VLOOKUP(F546,商品!$A$4:$D$67,4,FALSE),0),"")</f>
        <v/>
      </c>
      <c r="AO546" t="str">
        <f>IFERROR(ROUND(L546*(I546/$AW546)/VLOOKUP(H546,商品!$A$4:$D$67,4,FALSE),0),"")</f>
        <v/>
      </c>
      <c r="AP546" t="str">
        <f>IFERROR(ROUND(L546*(K546/$AW546)/VLOOKUP(J546,商品!$A$4:$D$67,4,FALSE),0),"")</f>
        <v/>
      </c>
      <c r="AQ546" t="str">
        <f>IFERROR(ROUND(S546*(N546/$AX546)/VLOOKUP(M546,职业!$A$3:$E$16,4,FALSE),0),"")</f>
        <v/>
      </c>
      <c r="AR546" t="str">
        <f>IFERROR(ROUND(S546*(P546/$AX546)/VLOOKUP(O546,职业!$A$3:$E$16,4,FALSE),0),"")</f>
        <v/>
      </c>
      <c r="AS546" t="str">
        <f>IFERROR(ROUND(S546*(R546/$AX546)/VLOOKUP(Q546,职业!$A$3:$E$16,4,FALSE),0),"")</f>
        <v/>
      </c>
      <c r="AT546" t="str">
        <f>IFERROR(ROUND(X546*(U546/$AY546)/VLOOKUP(T546,商品!$A$4:$D$67,4,FALSE),0),"")</f>
        <v/>
      </c>
      <c r="AU546" t="str">
        <f>IFERROR(ROUND(X546*(W546/$AY546)/VLOOKUP(V546,商品!$A$4:$D$67,4,FALSE),0),"")</f>
        <v/>
      </c>
      <c r="AW546">
        <f t="shared" si="150"/>
        <v>0</v>
      </c>
      <c r="AX546">
        <f t="shared" si="151"/>
        <v>0</v>
      </c>
      <c r="AY546">
        <f t="shared" si="152"/>
        <v>0</v>
      </c>
    </row>
    <row r="547" customHeight="1" spans="1:51">
      <c r="A547" s="18" t="s">
        <v>387</v>
      </c>
      <c r="C547" s="18">
        <v>5</v>
      </c>
      <c r="D547" s="1" t="s">
        <v>247</v>
      </c>
      <c r="E547" s="1" t="s">
        <v>222</v>
      </c>
      <c r="L547" s="18">
        <f>IFERROR(VLOOKUP($D547&amp;$C547,生产方式定位!$A$2:$E$38,2,FALSE)+VLOOKUP($E547&amp;$C547,生产方式定位!$F$3:$J$38,2,FALSE),0)</f>
        <v>7875</v>
      </c>
      <c r="S547" s="18">
        <f>IFERROR(VLOOKUP($D547&amp;$C547,生产方式定位!$A$2:$E$38,3,FALSE)+VLOOKUP($E547&amp;$C547,生产方式定位!$F$3:$J$38,3,FALSE),0)</f>
        <v>60</v>
      </c>
      <c r="X547" s="18">
        <f>IFERROR(VLOOKUP($D547&amp;$C547,生产方式定位!$A$2:$E$38,5,FALSE)+VLOOKUP($E547&amp;$C547,生产方式定位!$F$3:$J$38,5,FALSE),"错误")</f>
        <v>8729</v>
      </c>
      <c r="Y547" s="27" t="str">
        <f t="shared" si="136"/>
        <v/>
      </c>
      <c r="Z547" s="50" t="str">
        <f t="shared" si="139"/>
        <v/>
      </c>
      <c r="AA547" s="50" t="str">
        <f t="shared" si="137"/>
        <v/>
      </c>
      <c r="AB547" s="28" t="str">
        <f t="shared" si="140"/>
        <v>11%</v>
      </c>
      <c r="AC547" s="1">
        <f t="shared" si="141"/>
        <v>794</v>
      </c>
      <c r="AD547" s="52">
        <f t="shared" si="138"/>
        <v>5</v>
      </c>
      <c r="AE547" t="str">
        <f t="shared" si="142"/>
        <v/>
      </c>
      <c r="AF547" t="str">
        <f t="shared" si="143"/>
        <v/>
      </c>
      <c r="AG547" t="str">
        <f t="shared" si="144"/>
        <v/>
      </c>
      <c r="AH547" t="str">
        <f t="shared" si="145"/>
        <v/>
      </c>
      <c r="AI547" t="str">
        <f t="shared" si="146"/>
        <v/>
      </c>
      <c r="AJ547" t="str">
        <f t="shared" si="147"/>
        <v/>
      </c>
      <c r="AK547" t="str">
        <f t="shared" si="148"/>
        <v/>
      </c>
      <c r="AL547" t="str">
        <f t="shared" si="149"/>
        <v/>
      </c>
      <c r="AN547" t="str">
        <f>IFERROR(ROUND(L547*(G547/$AW547)/VLOOKUP(F547,商品!$A$4:$D$67,4,FALSE),0),"")</f>
        <v/>
      </c>
      <c r="AO547" t="str">
        <f>IFERROR(ROUND(L547*(I547/$AW547)/VLOOKUP(H547,商品!$A$4:$D$67,4,FALSE),0),"")</f>
        <v/>
      </c>
      <c r="AP547" t="str">
        <f>IFERROR(ROUND(L547*(K547/$AW547)/VLOOKUP(J547,商品!$A$4:$D$67,4,FALSE),0),"")</f>
        <v/>
      </c>
      <c r="AQ547" t="str">
        <f>IFERROR(ROUND(S547*(N547/$AX547)/VLOOKUP(M547,职业!$A$3:$E$16,4,FALSE),0),"")</f>
        <v/>
      </c>
      <c r="AR547" t="str">
        <f>IFERROR(ROUND(S547*(P547/$AX547)/VLOOKUP(O547,职业!$A$3:$E$16,4,FALSE),0),"")</f>
        <v/>
      </c>
      <c r="AS547" t="str">
        <f>IFERROR(ROUND(S547*(R547/$AX547)/VLOOKUP(Q547,职业!$A$3:$E$16,4,FALSE),0),"")</f>
        <v/>
      </c>
      <c r="AT547" t="str">
        <f>IFERROR(ROUND(X547*(U547/$AY547)/VLOOKUP(T547,商品!$A$4:$D$67,4,FALSE),0),"")</f>
        <v/>
      </c>
      <c r="AU547" t="str">
        <f>IFERROR(ROUND(X547*(W547/$AY547)/VLOOKUP(V547,商品!$A$4:$D$67,4,FALSE),0),"")</f>
        <v/>
      </c>
      <c r="AW547">
        <f t="shared" si="150"/>
        <v>0</v>
      </c>
      <c r="AX547">
        <f t="shared" si="151"/>
        <v>0</v>
      </c>
      <c r="AY547">
        <f t="shared" si="152"/>
        <v>0</v>
      </c>
    </row>
    <row r="548" customHeight="1" spans="1:51">
      <c r="A548" s="5" t="s">
        <v>387</v>
      </c>
      <c r="C548" s="5">
        <v>1</v>
      </c>
      <c r="D548" s="1" t="s">
        <v>247</v>
      </c>
      <c r="E548" s="1" t="s">
        <v>222</v>
      </c>
      <c r="L548" s="5">
        <f>IFERROR(VLOOKUP($D548&amp;$C548,生产方式定位!$A$2:$E$38,2,FALSE)+VLOOKUP($E548&amp;$C548,生产方式定位!$F$3:$J$38,2,FALSE),0)</f>
        <v>3000</v>
      </c>
      <c r="S548" s="5">
        <f>IFERROR(VLOOKUP($D548&amp;$C548,生产方式定位!$A$2:$E$38,3,FALSE)+VLOOKUP($E548&amp;$C548,生产方式定位!$F$3:$J$38,3,FALSE),0)</f>
        <v>100</v>
      </c>
      <c r="X548" s="5">
        <f>IFERROR(VLOOKUP($D548&amp;$C548,生产方式定位!$A$2:$E$38,5,FALSE)+VLOOKUP($E548&amp;$C548,生产方式定位!$F$3:$J$38,5,FALSE),"错误")</f>
        <v>3410</v>
      </c>
      <c r="Y548" s="27" t="str">
        <f t="shared" si="136"/>
        <v/>
      </c>
      <c r="Z548" s="50" t="str">
        <f t="shared" si="139"/>
        <v/>
      </c>
      <c r="AA548" s="50" t="str">
        <f t="shared" si="137"/>
        <v/>
      </c>
      <c r="AB548" s="28" t="str">
        <f t="shared" si="140"/>
        <v>14%</v>
      </c>
      <c r="AC548" s="1">
        <f t="shared" si="141"/>
        <v>310</v>
      </c>
      <c r="AD548" s="51">
        <f t="shared" si="138"/>
        <v>1</v>
      </c>
      <c r="AE548" t="str">
        <f t="shared" si="142"/>
        <v/>
      </c>
      <c r="AF548" t="str">
        <f t="shared" si="143"/>
        <v/>
      </c>
      <c r="AG548" t="str">
        <f t="shared" si="144"/>
        <v/>
      </c>
      <c r="AH548" t="str">
        <f t="shared" si="145"/>
        <v/>
      </c>
      <c r="AI548" t="str">
        <f t="shared" si="146"/>
        <v/>
      </c>
      <c r="AJ548" t="str">
        <f t="shared" si="147"/>
        <v/>
      </c>
      <c r="AK548" t="str">
        <f t="shared" si="148"/>
        <v/>
      </c>
      <c r="AL548" t="str">
        <f t="shared" si="149"/>
        <v/>
      </c>
      <c r="AN548" t="str">
        <f>IFERROR(ROUND(L548*(G548/$AW548)/VLOOKUP(F548,商品!$A$4:$D$67,4,FALSE),0),"")</f>
        <v/>
      </c>
      <c r="AO548" t="str">
        <f>IFERROR(ROUND(L548*(I548/$AW548)/VLOOKUP(H548,商品!$A$4:$D$67,4,FALSE),0),"")</f>
        <v/>
      </c>
      <c r="AP548" t="str">
        <f>IFERROR(ROUND(L548*(K548/$AW548)/VLOOKUP(J548,商品!$A$4:$D$67,4,FALSE),0),"")</f>
        <v/>
      </c>
      <c r="AQ548" t="str">
        <f>IFERROR(ROUND(S548*(N548/$AX548)/VLOOKUP(M548,职业!$A$3:$E$16,4,FALSE),0),"")</f>
        <v/>
      </c>
      <c r="AR548" t="str">
        <f>IFERROR(ROUND(S548*(P548/$AX548)/VLOOKUP(O548,职业!$A$3:$E$16,4,FALSE),0),"")</f>
        <v/>
      </c>
      <c r="AS548" t="str">
        <f>IFERROR(ROUND(S548*(R548/$AX548)/VLOOKUP(Q548,职业!$A$3:$E$16,4,FALSE),0),"")</f>
        <v/>
      </c>
      <c r="AT548" t="str">
        <f>IFERROR(ROUND(X548*(U548/$AY548)/VLOOKUP(T548,商品!$A$4:$D$67,4,FALSE),0),"")</f>
        <v/>
      </c>
      <c r="AU548" t="str">
        <f>IFERROR(ROUND(X548*(W548/$AY548)/VLOOKUP(V548,商品!$A$4:$D$67,4,FALSE),0),"")</f>
        <v/>
      </c>
      <c r="AW548">
        <f t="shared" si="150"/>
        <v>0</v>
      </c>
      <c r="AX548">
        <f t="shared" si="151"/>
        <v>0</v>
      </c>
      <c r="AY548">
        <f t="shared" si="152"/>
        <v>0</v>
      </c>
    </row>
    <row r="549" customHeight="1" spans="1:51">
      <c r="A549" s="5" t="s">
        <v>387</v>
      </c>
      <c r="C549" s="5">
        <v>2</v>
      </c>
      <c r="D549" s="1" t="s">
        <v>247</v>
      </c>
      <c r="E549" s="1" t="s">
        <v>222</v>
      </c>
      <c r="L549" s="5">
        <f>IFERROR(VLOOKUP($D549&amp;$C549,生产方式定位!$A$2:$E$38,2,FALSE)+VLOOKUP($E549&amp;$C549,生产方式定位!$F$3:$J$38,2,FALSE),0)</f>
        <v>4500</v>
      </c>
      <c r="S549" s="5">
        <f>IFERROR(VLOOKUP($D549&amp;$C549,生产方式定位!$A$2:$E$38,3,FALSE)+VLOOKUP($E549&amp;$C549,生产方式定位!$F$3:$J$38,3,FALSE),0)</f>
        <v>90</v>
      </c>
      <c r="X549" s="5">
        <f>IFERROR(VLOOKUP($D549&amp;$C549,生产方式定位!$A$2:$E$38,5,FALSE)+VLOOKUP($E549&amp;$C549,生产方式定位!$F$3:$J$38,5,FALSE),"错误")</f>
        <v>5049</v>
      </c>
      <c r="Y549" s="27" t="str">
        <f t="shared" si="136"/>
        <v/>
      </c>
      <c r="Z549" s="50" t="str">
        <f t="shared" si="139"/>
        <v/>
      </c>
      <c r="AA549" s="50" t="str">
        <f t="shared" si="137"/>
        <v/>
      </c>
      <c r="AB549" s="28" t="str">
        <f t="shared" si="140"/>
        <v>12%</v>
      </c>
      <c r="AC549" s="1">
        <f t="shared" si="141"/>
        <v>459</v>
      </c>
      <c r="AD549" s="51">
        <f t="shared" si="138"/>
        <v>2</v>
      </c>
      <c r="AE549" t="str">
        <f t="shared" si="142"/>
        <v/>
      </c>
      <c r="AF549" t="str">
        <f t="shared" si="143"/>
        <v/>
      </c>
      <c r="AG549" t="str">
        <f t="shared" si="144"/>
        <v/>
      </c>
      <c r="AH549" t="str">
        <f t="shared" si="145"/>
        <v/>
      </c>
      <c r="AI549" t="str">
        <f t="shared" si="146"/>
        <v/>
      </c>
      <c r="AJ549" t="str">
        <f t="shared" si="147"/>
        <v/>
      </c>
      <c r="AK549" t="str">
        <f t="shared" si="148"/>
        <v/>
      </c>
      <c r="AL549" t="str">
        <f t="shared" si="149"/>
        <v/>
      </c>
      <c r="AN549" t="str">
        <f>IFERROR(ROUND(L549*(G549/$AW549)/VLOOKUP(F549,商品!$A$4:$D$67,4,FALSE),0),"")</f>
        <v/>
      </c>
      <c r="AO549" t="str">
        <f>IFERROR(ROUND(L549*(I549/$AW549)/VLOOKUP(H549,商品!$A$4:$D$67,4,FALSE),0),"")</f>
        <v/>
      </c>
      <c r="AP549" t="str">
        <f>IFERROR(ROUND(L549*(K549/$AW549)/VLOOKUP(J549,商品!$A$4:$D$67,4,FALSE),0),"")</f>
        <v/>
      </c>
      <c r="AQ549" t="str">
        <f>IFERROR(ROUND(S549*(N549/$AX549)/VLOOKUP(M549,职业!$A$3:$E$16,4,FALSE),0),"")</f>
        <v/>
      </c>
      <c r="AR549" t="str">
        <f>IFERROR(ROUND(S549*(P549/$AX549)/VLOOKUP(O549,职业!$A$3:$E$16,4,FALSE),0),"")</f>
        <v/>
      </c>
      <c r="AS549" t="str">
        <f>IFERROR(ROUND(S549*(R549/$AX549)/VLOOKUP(Q549,职业!$A$3:$E$16,4,FALSE),0),"")</f>
        <v/>
      </c>
      <c r="AT549" t="str">
        <f>IFERROR(ROUND(X549*(U549/$AY549)/VLOOKUP(T549,商品!$A$4:$D$67,4,FALSE),0),"")</f>
        <v/>
      </c>
      <c r="AU549" t="str">
        <f>IFERROR(ROUND(X549*(W549/$AY549)/VLOOKUP(V549,商品!$A$4:$D$67,4,FALSE),0),"")</f>
        <v/>
      </c>
      <c r="AW549">
        <f t="shared" si="150"/>
        <v>0</v>
      </c>
      <c r="AX549">
        <f t="shared" si="151"/>
        <v>0</v>
      </c>
      <c r="AY549">
        <f t="shared" si="152"/>
        <v>0</v>
      </c>
    </row>
    <row r="550" customHeight="1" spans="1:51">
      <c r="A550" s="5" t="s">
        <v>387</v>
      </c>
      <c r="C550" s="5">
        <v>3</v>
      </c>
      <c r="D550" s="1" t="s">
        <v>247</v>
      </c>
      <c r="E550" s="1" t="s">
        <v>222</v>
      </c>
      <c r="L550" s="5">
        <f>IFERROR(VLOOKUP($D550&amp;$C550,生产方式定位!$A$2:$E$38,2,FALSE)+VLOOKUP($E550&amp;$C550,生产方式定位!$F$3:$J$38,2,FALSE),0)</f>
        <v>5625</v>
      </c>
      <c r="S550" s="5">
        <f>IFERROR(VLOOKUP($D550&amp;$C550,生产方式定位!$A$2:$E$38,3,FALSE)+VLOOKUP($E550&amp;$C550,生产方式定位!$F$3:$J$38,3,FALSE),0)</f>
        <v>80</v>
      </c>
      <c r="X550" s="5">
        <f>IFERROR(VLOOKUP($D550&amp;$C550,生产方式定位!$A$2:$E$38,5,FALSE)+VLOOKUP($E550&amp;$C550,生产方式定位!$F$3:$J$38,5,FALSE),"错误")</f>
        <v>6276</v>
      </c>
      <c r="Y550" s="27" t="str">
        <f t="shared" si="136"/>
        <v/>
      </c>
      <c r="Z550" s="50" t="str">
        <f t="shared" si="139"/>
        <v/>
      </c>
      <c r="AA550" s="50" t="str">
        <f t="shared" si="137"/>
        <v/>
      </c>
      <c r="AB550" s="28" t="str">
        <f t="shared" si="140"/>
        <v>12%</v>
      </c>
      <c r="AC550" s="1">
        <f t="shared" si="141"/>
        <v>571</v>
      </c>
      <c r="AD550" s="51">
        <f t="shared" si="138"/>
        <v>3</v>
      </c>
      <c r="AE550" t="str">
        <f t="shared" si="142"/>
        <v/>
      </c>
      <c r="AF550" t="str">
        <f t="shared" si="143"/>
        <v/>
      </c>
      <c r="AG550" t="str">
        <f t="shared" si="144"/>
        <v/>
      </c>
      <c r="AH550" t="str">
        <f t="shared" si="145"/>
        <v/>
      </c>
      <c r="AI550" t="str">
        <f t="shared" si="146"/>
        <v/>
      </c>
      <c r="AJ550" t="str">
        <f t="shared" si="147"/>
        <v/>
      </c>
      <c r="AK550" t="str">
        <f t="shared" si="148"/>
        <v/>
      </c>
      <c r="AL550" t="str">
        <f t="shared" si="149"/>
        <v/>
      </c>
      <c r="AN550" t="str">
        <f>IFERROR(ROUND(L550*(G550/$AW550)/VLOOKUP(F550,商品!$A$4:$D$67,4,FALSE),0),"")</f>
        <v/>
      </c>
      <c r="AO550" t="str">
        <f>IFERROR(ROUND(L550*(I550/$AW550)/VLOOKUP(H550,商品!$A$4:$D$67,4,FALSE),0),"")</f>
        <v/>
      </c>
      <c r="AP550" t="str">
        <f>IFERROR(ROUND(L550*(K550/$AW550)/VLOOKUP(J550,商品!$A$4:$D$67,4,FALSE),0),"")</f>
        <v/>
      </c>
      <c r="AQ550" t="str">
        <f>IFERROR(ROUND(S550*(N550/$AX550)/VLOOKUP(M550,职业!$A$3:$E$16,4,FALSE),0),"")</f>
        <v/>
      </c>
      <c r="AR550" t="str">
        <f>IFERROR(ROUND(S550*(P550/$AX550)/VLOOKUP(O550,职业!$A$3:$E$16,4,FALSE),0),"")</f>
        <v/>
      </c>
      <c r="AS550" t="str">
        <f>IFERROR(ROUND(S550*(R550/$AX550)/VLOOKUP(Q550,职业!$A$3:$E$16,4,FALSE),0),"")</f>
        <v/>
      </c>
      <c r="AT550" t="str">
        <f>IFERROR(ROUND(X550*(U550/$AY550)/VLOOKUP(T550,商品!$A$4:$D$67,4,FALSE),0),"")</f>
        <v/>
      </c>
      <c r="AU550" t="str">
        <f>IFERROR(ROUND(X550*(W550/$AY550)/VLOOKUP(V550,商品!$A$4:$D$67,4,FALSE),0),"")</f>
        <v/>
      </c>
      <c r="AW550">
        <f t="shared" si="150"/>
        <v>0</v>
      </c>
      <c r="AX550">
        <f t="shared" si="151"/>
        <v>0</v>
      </c>
      <c r="AY550">
        <f t="shared" si="152"/>
        <v>0</v>
      </c>
    </row>
    <row r="551" customHeight="1" spans="1:51">
      <c r="A551" s="5" t="s">
        <v>387</v>
      </c>
      <c r="C551" s="5">
        <v>4</v>
      </c>
      <c r="D551" s="1" t="s">
        <v>247</v>
      </c>
      <c r="E551" s="1" t="s">
        <v>222</v>
      </c>
      <c r="L551" s="5">
        <f>IFERROR(VLOOKUP($D551&amp;$C551,生产方式定位!$A$2:$E$38,2,FALSE)+VLOOKUP($E551&amp;$C551,生产方式定位!$F$3:$J$38,2,FALSE),0)</f>
        <v>6750</v>
      </c>
      <c r="S551" s="5">
        <f>IFERROR(VLOOKUP($D551&amp;$C551,生产方式定位!$A$2:$E$38,3,FALSE)+VLOOKUP($E551&amp;$C551,生产方式定位!$F$3:$J$38,3,FALSE),0)</f>
        <v>70</v>
      </c>
      <c r="X551" s="5">
        <f>IFERROR(VLOOKUP($D551&amp;$C551,生产方式定位!$A$2:$E$38,5,FALSE)+VLOOKUP($E551&amp;$C551,生产方式定位!$F$3:$J$38,5,FALSE),"错误")</f>
        <v>7502</v>
      </c>
      <c r="Y551" s="27" t="str">
        <f t="shared" si="136"/>
        <v/>
      </c>
      <c r="Z551" s="50" t="str">
        <f t="shared" si="139"/>
        <v/>
      </c>
      <c r="AA551" s="50" t="str">
        <f t="shared" si="137"/>
        <v/>
      </c>
      <c r="AB551" s="28" t="str">
        <f t="shared" si="140"/>
        <v>11%</v>
      </c>
      <c r="AC551" s="1">
        <f t="shared" si="141"/>
        <v>682</v>
      </c>
      <c r="AD551" s="51">
        <f t="shared" si="138"/>
        <v>4</v>
      </c>
      <c r="AE551" t="str">
        <f t="shared" si="142"/>
        <v/>
      </c>
      <c r="AF551" t="str">
        <f t="shared" si="143"/>
        <v/>
      </c>
      <c r="AG551" t="str">
        <f t="shared" si="144"/>
        <v/>
      </c>
      <c r="AH551" t="str">
        <f t="shared" si="145"/>
        <v/>
      </c>
      <c r="AI551" t="str">
        <f t="shared" si="146"/>
        <v/>
      </c>
      <c r="AJ551" t="str">
        <f t="shared" si="147"/>
        <v/>
      </c>
      <c r="AK551" t="str">
        <f t="shared" si="148"/>
        <v/>
      </c>
      <c r="AL551" t="str">
        <f t="shared" si="149"/>
        <v/>
      </c>
      <c r="AN551" t="str">
        <f>IFERROR(ROUND(L551*(G551/$AW551)/VLOOKUP(F551,商品!$A$4:$D$67,4,FALSE),0),"")</f>
        <v/>
      </c>
      <c r="AO551" t="str">
        <f>IFERROR(ROUND(L551*(I551/$AW551)/VLOOKUP(H551,商品!$A$4:$D$67,4,FALSE),0),"")</f>
        <v/>
      </c>
      <c r="AP551" t="str">
        <f>IFERROR(ROUND(L551*(K551/$AW551)/VLOOKUP(J551,商品!$A$4:$D$67,4,FALSE),0),"")</f>
        <v/>
      </c>
      <c r="AQ551" t="str">
        <f>IFERROR(ROUND(S551*(N551/$AX551)/VLOOKUP(M551,职业!$A$3:$E$16,4,FALSE),0),"")</f>
        <v/>
      </c>
      <c r="AR551" t="str">
        <f>IFERROR(ROUND(S551*(P551/$AX551)/VLOOKUP(O551,职业!$A$3:$E$16,4,FALSE),0),"")</f>
        <v/>
      </c>
      <c r="AS551" t="str">
        <f>IFERROR(ROUND(S551*(R551/$AX551)/VLOOKUP(Q551,职业!$A$3:$E$16,4,FALSE),0),"")</f>
        <v/>
      </c>
      <c r="AT551" t="str">
        <f>IFERROR(ROUND(X551*(U551/$AY551)/VLOOKUP(T551,商品!$A$4:$D$67,4,FALSE),0),"")</f>
        <v/>
      </c>
      <c r="AU551" t="str">
        <f>IFERROR(ROUND(X551*(W551/$AY551)/VLOOKUP(V551,商品!$A$4:$D$67,4,FALSE),0),"")</f>
        <v/>
      </c>
      <c r="AW551">
        <f t="shared" si="150"/>
        <v>0</v>
      </c>
      <c r="AX551">
        <f t="shared" si="151"/>
        <v>0</v>
      </c>
      <c r="AY551">
        <f t="shared" si="152"/>
        <v>0</v>
      </c>
    </row>
    <row r="552" customHeight="1" spans="1:51">
      <c r="A552" s="5" t="s">
        <v>387</v>
      </c>
      <c r="C552" s="5">
        <v>5</v>
      </c>
      <c r="D552" s="1" t="s">
        <v>247</v>
      </c>
      <c r="E552" s="1" t="s">
        <v>222</v>
      </c>
      <c r="L552" s="5">
        <f>IFERROR(VLOOKUP($D552&amp;$C552,生产方式定位!$A$2:$E$38,2,FALSE)+VLOOKUP($E552&amp;$C552,生产方式定位!$F$3:$J$38,2,FALSE),0)</f>
        <v>7875</v>
      </c>
      <c r="S552" s="5">
        <f>IFERROR(VLOOKUP($D552&amp;$C552,生产方式定位!$A$2:$E$38,3,FALSE)+VLOOKUP($E552&amp;$C552,生产方式定位!$F$3:$J$38,3,FALSE),0)</f>
        <v>60</v>
      </c>
      <c r="X552" s="5">
        <f>IFERROR(VLOOKUP($D552&amp;$C552,生产方式定位!$A$2:$E$38,5,FALSE)+VLOOKUP($E552&amp;$C552,生产方式定位!$F$3:$J$38,5,FALSE),"错误")</f>
        <v>8729</v>
      </c>
      <c r="Y552" s="27" t="str">
        <f t="shared" si="136"/>
        <v/>
      </c>
      <c r="Z552" s="50" t="str">
        <f t="shared" si="139"/>
        <v/>
      </c>
      <c r="AA552" s="50" t="str">
        <f t="shared" si="137"/>
        <v/>
      </c>
      <c r="AB552" s="28" t="str">
        <f t="shared" si="140"/>
        <v>11%</v>
      </c>
      <c r="AC552" s="1">
        <f t="shared" si="141"/>
        <v>794</v>
      </c>
      <c r="AD552" s="51">
        <f t="shared" si="138"/>
        <v>5</v>
      </c>
      <c r="AE552" t="str">
        <f t="shared" si="142"/>
        <v/>
      </c>
      <c r="AF552" t="str">
        <f t="shared" si="143"/>
        <v/>
      </c>
      <c r="AG552" t="str">
        <f t="shared" si="144"/>
        <v/>
      </c>
      <c r="AH552" t="str">
        <f t="shared" si="145"/>
        <v/>
      </c>
      <c r="AI552" t="str">
        <f t="shared" si="146"/>
        <v/>
      </c>
      <c r="AJ552" t="str">
        <f t="shared" si="147"/>
        <v/>
      </c>
      <c r="AK552" t="str">
        <f t="shared" si="148"/>
        <v/>
      </c>
      <c r="AL552" t="str">
        <f t="shared" si="149"/>
        <v/>
      </c>
      <c r="AN552" t="str">
        <f>IFERROR(ROUND(L552*(G552/$AW552)/VLOOKUP(F552,商品!$A$4:$D$67,4,FALSE),0),"")</f>
        <v/>
      </c>
      <c r="AO552" t="str">
        <f>IFERROR(ROUND(L552*(I552/$AW552)/VLOOKUP(H552,商品!$A$4:$D$67,4,FALSE),0),"")</f>
        <v/>
      </c>
      <c r="AP552" t="str">
        <f>IFERROR(ROUND(L552*(K552/$AW552)/VLOOKUP(J552,商品!$A$4:$D$67,4,FALSE),0),"")</f>
        <v/>
      </c>
      <c r="AQ552" t="str">
        <f>IFERROR(ROUND(S552*(N552/$AX552)/VLOOKUP(M552,职业!$A$3:$E$16,4,FALSE),0),"")</f>
        <v/>
      </c>
      <c r="AR552" t="str">
        <f>IFERROR(ROUND(S552*(P552/$AX552)/VLOOKUP(O552,职业!$A$3:$E$16,4,FALSE),0),"")</f>
        <v/>
      </c>
      <c r="AS552" t="str">
        <f>IFERROR(ROUND(S552*(R552/$AX552)/VLOOKUP(Q552,职业!$A$3:$E$16,4,FALSE),0),"")</f>
        <v/>
      </c>
      <c r="AT552" t="str">
        <f>IFERROR(ROUND(X552*(U552/$AY552)/VLOOKUP(T552,商品!$A$4:$D$67,4,FALSE),0),"")</f>
        <v/>
      </c>
      <c r="AU552" t="str">
        <f>IFERROR(ROUND(X552*(W552/$AY552)/VLOOKUP(V552,商品!$A$4:$D$67,4,FALSE),0),"")</f>
        <v/>
      </c>
      <c r="AW552">
        <f t="shared" si="150"/>
        <v>0</v>
      </c>
      <c r="AX552">
        <f t="shared" si="151"/>
        <v>0</v>
      </c>
      <c r="AY552">
        <f t="shared" si="152"/>
        <v>0</v>
      </c>
    </row>
    <row r="553" customHeight="1" spans="1:51">
      <c r="A553" s="18" t="s">
        <v>388</v>
      </c>
      <c r="C553" s="18">
        <v>1</v>
      </c>
      <c r="D553" s="1" t="s">
        <v>247</v>
      </c>
      <c r="E553" s="1" t="s">
        <v>255</v>
      </c>
      <c r="L553" s="18">
        <f>IFERROR(VLOOKUP($D553&amp;$C553,生产方式定位!$A$2:$E$38,2,FALSE)+VLOOKUP($E553&amp;$C553,生产方式定位!$F$3:$J$38,2,FALSE),0)</f>
        <v>0</v>
      </c>
      <c r="S553" s="18">
        <f>IFERROR(VLOOKUP($D553&amp;$C553,生产方式定位!$A$2:$E$38,3,FALSE)+VLOOKUP($E553&amp;$C553,生产方式定位!$F$3:$J$38,3,FALSE),0)</f>
        <v>0</v>
      </c>
      <c r="X553" s="18" t="str">
        <f>IFERROR(VLOOKUP($D553&amp;$C553,生产方式定位!$A$2:$E$38,5,FALSE)+VLOOKUP($E553&amp;$C553,生产方式定位!$F$3:$J$38,5,FALSE),"错误")</f>
        <v>错误</v>
      </c>
      <c r="Y553" s="27" t="str">
        <f t="shared" si="136"/>
        <v/>
      </c>
      <c r="Z553" s="50" t="str">
        <f t="shared" si="139"/>
        <v/>
      </c>
      <c r="AA553" s="50" t="str">
        <f t="shared" si="137"/>
        <v/>
      </c>
      <c r="AB553" s="28" t="str">
        <f t="shared" si="140"/>
        <v/>
      </c>
      <c r="AC553" s="1" t="e">
        <f t="shared" si="141"/>
        <v>#VALUE!</v>
      </c>
      <c r="AD553" s="52">
        <f t="shared" si="138"/>
        <v>1</v>
      </c>
      <c r="AE553" t="str">
        <f t="shared" si="142"/>
        <v/>
      </c>
      <c r="AF553" t="str">
        <f t="shared" si="143"/>
        <v/>
      </c>
      <c r="AG553" t="str">
        <f t="shared" si="144"/>
        <v/>
      </c>
      <c r="AH553" t="str">
        <f t="shared" si="145"/>
        <v/>
      </c>
      <c r="AI553" t="str">
        <f t="shared" si="146"/>
        <v/>
      </c>
      <c r="AJ553" t="str">
        <f t="shared" si="147"/>
        <v/>
      </c>
      <c r="AK553" t="str">
        <f t="shared" si="148"/>
        <v/>
      </c>
      <c r="AL553" t="str">
        <f t="shared" si="149"/>
        <v/>
      </c>
      <c r="AN553" t="str">
        <f>IFERROR(ROUND(L553*(G553/$AW553)/VLOOKUP(F553,商品!$A$4:$D$67,4,FALSE),0),"")</f>
        <v/>
      </c>
      <c r="AO553" t="str">
        <f>IFERROR(ROUND(L553*(I553/$AW553)/VLOOKUP(H553,商品!$A$4:$D$67,4,FALSE),0),"")</f>
        <v/>
      </c>
      <c r="AP553" t="str">
        <f>IFERROR(ROUND(L553*(K553/$AW553)/VLOOKUP(J553,商品!$A$4:$D$67,4,FALSE),0),"")</f>
        <v/>
      </c>
      <c r="AQ553" t="str">
        <f>IFERROR(ROUND(S553*(N553/$AX553)/VLOOKUP(M553,职业!$A$3:$E$16,4,FALSE),0),"")</f>
        <v/>
      </c>
      <c r="AR553" t="str">
        <f>IFERROR(ROUND(S553*(P553/$AX553)/VLOOKUP(O553,职业!$A$3:$E$16,4,FALSE),0),"")</f>
        <v/>
      </c>
      <c r="AS553" t="str">
        <f>IFERROR(ROUND(S553*(R553/$AX553)/VLOOKUP(Q553,职业!$A$3:$E$16,4,FALSE),0),"")</f>
        <v/>
      </c>
      <c r="AT553" t="str">
        <f>IFERROR(ROUND(X553*(U553/$AY553)/VLOOKUP(T553,商品!$A$4:$D$67,4,FALSE),0),"")</f>
        <v/>
      </c>
      <c r="AU553" t="str">
        <f>IFERROR(ROUND(X553*(W553/$AY553)/VLOOKUP(V553,商品!$A$4:$D$67,4,FALSE),0),"")</f>
        <v/>
      </c>
      <c r="AW553">
        <f t="shared" si="150"/>
        <v>0</v>
      </c>
      <c r="AX553">
        <f t="shared" si="151"/>
        <v>0</v>
      </c>
      <c r="AY553">
        <f t="shared" si="152"/>
        <v>0</v>
      </c>
    </row>
    <row r="554" customHeight="1" spans="1:51">
      <c r="A554" s="18" t="s">
        <v>388</v>
      </c>
      <c r="C554" s="18">
        <v>2</v>
      </c>
      <c r="D554" s="1" t="s">
        <v>247</v>
      </c>
      <c r="E554" s="1" t="s">
        <v>255</v>
      </c>
      <c r="L554" s="18">
        <f>IFERROR(VLOOKUP($D554&amp;$C554,生产方式定位!$A$2:$E$38,2,FALSE)+VLOOKUP($E554&amp;$C554,生产方式定位!$F$3:$J$38,2,FALSE),0)</f>
        <v>0</v>
      </c>
      <c r="S554" s="18">
        <f>IFERROR(VLOOKUP($D554&amp;$C554,生产方式定位!$A$2:$E$38,3,FALSE)+VLOOKUP($E554&amp;$C554,生产方式定位!$F$3:$J$38,3,FALSE),0)</f>
        <v>0</v>
      </c>
      <c r="X554" s="18" t="str">
        <f>IFERROR(VLOOKUP($D554&amp;$C554,生产方式定位!$A$2:$E$38,5,FALSE)+VLOOKUP($E554&amp;$C554,生产方式定位!$F$3:$J$38,5,FALSE),"错误")</f>
        <v>错误</v>
      </c>
      <c r="Y554" s="27" t="str">
        <f t="shared" si="136"/>
        <v/>
      </c>
      <c r="Z554" s="50" t="str">
        <f t="shared" si="139"/>
        <v/>
      </c>
      <c r="AA554" s="50" t="str">
        <f t="shared" si="137"/>
        <v/>
      </c>
      <c r="AB554" s="28" t="str">
        <f t="shared" si="140"/>
        <v/>
      </c>
      <c r="AC554" s="1" t="e">
        <f t="shared" si="141"/>
        <v>#VALUE!</v>
      </c>
      <c r="AD554" s="52">
        <f t="shared" si="138"/>
        <v>2</v>
      </c>
      <c r="AE554" t="str">
        <f t="shared" si="142"/>
        <v/>
      </c>
      <c r="AF554" t="str">
        <f t="shared" si="143"/>
        <v/>
      </c>
      <c r="AG554" t="str">
        <f t="shared" si="144"/>
        <v/>
      </c>
      <c r="AH554" t="str">
        <f t="shared" si="145"/>
        <v/>
      </c>
      <c r="AI554" t="str">
        <f t="shared" si="146"/>
        <v/>
      </c>
      <c r="AJ554" t="str">
        <f t="shared" si="147"/>
        <v/>
      </c>
      <c r="AK554" t="str">
        <f t="shared" si="148"/>
        <v/>
      </c>
      <c r="AL554" t="str">
        <f t="shared" si="149"/>
        <v/>
      </c>
      <c r="AN554" t="str">
        <f>IFERROR(ROUND(L554*(G554/$AW554)/VLOOKUP(F554,商品!$A$4:$D$67,4,FALSE),0),"")</f>
        <v/>
      </c>
      <c r="AO554" t="str">
        <f>IFERROR(ROUND(L554*(I554/$AW554)/VLOOKUP(H554,商品!$A$4:$D$67,4,FALSE),0),"")</f>
        <v/>
      </c>
      <c r="AP554" t="str">
        <f>IFERROR(ROUND(L554*(K554/$AW554)/VLOOKUP(J554,商品!$A$4:$D$67,4,FALSE),0),"")</f>
        <v/>
      </c>
      <c r="AQ554" t="str">
        <f>IFERROR(ROUND(S554*(N554/$AX554)/VLOOKUP(M554,职业!$A$3:$E$16,4,FALSE),0),"")</f>
        <v/>
      </c>
      <c r="AR554" t="str">
        <f>IFERROR(ROUND(S554*(P554/$AX554)/VLOOKUP(O554,职业!$A$3:$E$16,4,FALSE),0),"")</f>
        <v/>
      </c>
      <c r="AS554" t="str">
        <f>IFERROR(ROUND(S554*(R554/$AX554)/VLOOKUP(Q554,职业!$A$3:$E$16,4,FALSE),0),"")</f>
        <v/>
      </c>
      <c r="AT554" t="str">
        <f>IFERROR(ROUND(X554*(U554/$AY554)/VLOOKUP(T554,商品!$A$4:$D$67,4,FALSE),0),"")</f>
        <v/>
      </c>
      <c r="AU554" t="str">
        <f>IFERROR(ROUND(X554*(W554/$AY554)/VLOOKUP(V554,商品!$A$4:$D$67,4,FALSE),0),"")</f>
        <v/>
      </c>
      <c r="AW554">
        <f t="shared" si="150"/>
        <v>0</v>
      </c>
      <c r="AX554">
        <f t="shared" si="151"/>
        <v>0</v>
      </c>
      <c r="AY554">
        <f t="shared" si="152"/>
        <v>0</v>
      </c>
    </row>
    <row r="555" customHeight="1" spans="1:51">
      <c r="A555" s="18" t="s">
        <v>388</v>
      </c>
      <c r="C555" s="18">
        <v>3</v>
      </c>
      <c r="D555" s="1" t="s">
        <v>247</v>
      </c>
      <c r="E555" s="1" t="s">
        <v>255</v>
      </c>
      <c r="L555" s="18">
        <f>IFERROR(VLOOKUP($D555&amp;$C555,生产方式定位!$A$2:$E$38,2,FALSE)+VLOOKUP($E555&amp;$C555,生产方式定位!$F$3:$J$38,2,FALSE),0)</f>
        <v>0</v>
      </c>
      <c r="S555" s="18">
        <f>IFERROR(VLOOKUP($D555&amp;$C555,生产方式定位!$A$2:$E$38,3,FALSE)+VLOOKUP($E555&amp;$C555,生产方式定位!$F$3:$J$38,3,FALSE),0)</f>
        <v>0</v>
      </c>
      <c r="X555" s="18" t="str">
        <f>IFERROR(VLOOKUP($D555&amp;$C555,生产方式定位!$A$2:$E$38,5,FALSE)+VLOOKUP($E555&amp;$C555,生产方式定位!$F$3:$J$38,5,FALSE),"错误")</f>
        <v>错误</v>
      </c>
      <c r="Y555" s="27" t="str">
        <f t="shared" si="136"/>
        <v/>
      </c>
      <c r="Z555" s="50" t="str">
        <f t="shared" si="139"/>
        <v/>
      </c>
      <c r="AA555" s="50" t="str">
        <f t="shared" si="137"/>
        <v/>
      </c>
      <c r="AB555" s="28" t="str">
        <f t="shared" si="140"/>
        <v/>
      </c>
      <c r="AC555" s="1" t="e">
        <f t="shared" si="141"/>
        <v>#VALUE!</v>
      </c>
      <c r="AD555" s="52">
        <f t="shared" si="138"/>
        <v>3</v>
      </c>
      <c r="AE555" t="str">
        <f t="shared" si="142"/>
        <v/>
      </c>
      <c r="AF555" t="str">
        <f t="shared" si="143"/>
        <v/>
      </c>
      <c r="AG555" t="str">
        <f t="shared" si="144"/>
        <v/>
      </c>
      <c r="AH555" t="str">
        <f t="shared" si="145"/>
        <v/>
      </c>
      <c r="AI555" t="str">
        <f t="shared" si="146"/>
        <v/>
      </c>
      <c r="AJ555" t="str">
        <f t="shared" si="147"/>
        <v/>
      </c>
      <c r="AK555" t="str">
        <f t="shared" si="148"/>
        <v/>
      </c>
      <c r="AL555" t="str">
        <f t="shared" si="149"/>
        <v/>
      </c>
      <c r="AN555" t="str">
        <f>IFERROR(ROUND(L555*(G555/$AW555)/VLOOKUP(F555,商品!$A$4:$D$67,4,FALSE),0),"")</f>
        <v/>
      </c>
      <c r="AO555" t="str">
        <f>IFERROR(ROUND(L555*(I555/$AW555)/VLOOKUP(H555,商品!$A$4:$D$67,4,FALSE),0),"")</f>
        <v/>
      </c>
      <c r="AP555" t="str">
        <f>IFERROR(ROUND(L555*(K555/$AW555)/VLOOKUP(J555,商品!$A$4:$D$67,4,FALSE),0),"")</f>
        <v/>
      </c>
      <c r="AQ555" t="str">
        <f>IFERROR(ROUND(S555*(N555/$AX555)/VLOOKUP(M555,职业!$A$3:$E$16,4,FALSE),0),"")</f>
        <v/>
      </c>
      <c r="AR555" t="str">
        <f>IFERROR(ROUND(S555*(P555/$AX555)/VLOOKUP(O555,职业!$A$3:$E$16,4,FALSE),0),"")</f>
        <v/>
      </c>
      <c r="AS555" t="str">
        <f>IFERROR(ROUND(S555*(R555/$AX555)/VLOOKUP(Q555,职业!$A$3:$E$16,4,FALSE),0),"")</f>
        <v/>
      </c>
      <c r="AT555" t="str">
        <f>IFERROR(ROUND(X555*(U555/$AY555)/VLOOKUP(T555,商品!$A$4:$D$67,4,FALSE),0),"")</f>
        <v/>
      </c>
      <c r="AU555" t="str">
        <f>IFERROR(ROUND(X555*(W555/$AY555)/VLOOKUP(V555,商品!$A$4:$D$67,4,FALSE),0),"")</f>
        <v/>
      </c>
      <c r="AW555">
        <f t="shared" si="150"/>
        <v>0</v>
      </c>
      <c r="AX555">
        <f t="shared" si="151"/>
        <v>0</v>
      </c>
      <c r="AY555">
        <f t="shared" si="152"/>
        <v>0</v>
      </c>
    </row>
    <row r="556" customHeight="1" spans="1:51">
      <c r="A556" s="18" t="s">
        <v>388</v>
      </c>
      <c r="C556" s="18">
        <v>4</v>
      </c>
      <c r="D556" s="1" t="s">
        <v>247</v>
      </c>
      <c r="E556" s="1" t="s">
        <v>255</v>
      </c>
      <c r="L556" s="18">
        <f>IFERROR(VLOOKUP($D556&amp;$C556,生产方式定位!$A$2:$E$38,2,FALSE)+VLOOKUP($E556&amp;$C556,生产方式定位!$F$3:$J$38,2,FALSE),0)</f>
        <v>0</v>
      </c>
      <c r="S556" s="18">
        <f>IFERROR(VLOOKUP($D556&amp;$C556,生产方式定位!$A$2:$E$38,3,FALSE)+VLOOKUP($E556&amp;$C556,生产方式定位!$F$3:$J$38,3,FALSE),0)</f>
        <v>0</v>
      </c>
      <c r="X556" s="18" t="str">
        <f>IFERROR(VLOOKUP($D556&amp;$C556,生产方式定位!$A$2:$E$38,5,FALSE)+VLOOKUP($E556&amp;$C556,生产方式定位!$F$3:$J$38,5,FALSE),"错误")</f>
        <v>错误</v>
      </c>
      <c r="Y556" s="27" t="str">
        <f t="shared" si="136"/>
        <v/>
      </c>
      <c r="Z556" s="50" t="str">
        <f t="shared" si="139"/>
        <v/>
      </c>
      <c r="AA556" s="50" t="str">
        <f t="shared" si="137"/>
        <v/>
      </c>
      <c r="AB556" s="28" t="str">
        <f t="shared" si="140"/>
        <v/>
      </c>
      <c r="AC556" s="1" t="e">
        <f t="shared" si="141"/>
        <v>#VALUE!</v>
      </c>
      <c r="AD556" s="52">
        <f t="shared" si="138"/>
        <v>4</v>
      </c>
      <c r="AE556" t="str">
        <f t="shared" si="142"/>
        <v/>
      </c>
      <c r="AF556" t="str">
        <f t="shared" si="143"/>
        <v/>
      </c>
      <c r="AG556" t="str">
        <f t="shared" si="144"/>
        <v/>
      </c>
      <c r="AH556" t="str">
        <f t="shared" si="145"/>
        <v/>
      </c>
      <c r="AI556" t="str">
        <f t="shared" si="146"/>
        <v/>
      </c>
      <c r="AJ556" t="str">
        <f t="shared" si="147"/>
        <v/>
      </c>
      <c r="AK556" t="str">
        <f t="shared" si="148"/>
        <v/>
      </c>
      <c r="AL556" t="str">
        <f t="shared" si="149"/>
        <v/>
      </c>
      <c r="AN556" t="str">
        <f>IFERROR(ROUND(L556*(G556/$AW556)/VLOOKUP(F556,商品!$A$4:$D$67,4,FALSE),0),"")</f>
        <v/>
      </c>
      <c r="AO556" t="str">
        <f>IFERROR(ROUND(L556*(I556/$AW556)/VLOOKUP(H556,商品!$A$4:$D$67,4,FALSE),0),"")</f>
        <v/>
      </c>
      <c r="AP556" t="str">
        <f>IFERROR(ROUND(L556*(K556/$AW556)/VLOOKUP(J556,商品!$A$4:$D$67,4,FALSE),0),"")</f>
        <v/>
      </c>
      <c r="AQ556" t="str">
        <f>IFERROR(ROUND(S556*(N556/$AX556)/VLOOKUP(M556,职业!$A$3:$E$16,4,FALSE),0),"")</f>
        <v/>
      </c>
      <c r="AR556" t="str">
        <f>IFERROR(ROUND(S556*(P556/$AX556)/VLOOKUP(O556,职业!$A$3:$E$16,4,FALSE),0),"")</f>
        <v/>
      </c>
      <c r="AS556" t="str">
        <f>IFERROR(ROUND(S556*(R556/$AX556)/VLOOKUP(Q556,职业!$A$3:$E$16,4,FALSE),0),"")</f>
        <v/>
      </c>
      <c r="AT556" t="str">
        <f>IFERROR(ROUND(X556*(U556/$AY556)/VLOOKUP(T556,商品!$A$4:$D$67,4,FALSE),0),"")</f>
        <v/>
      </c>
      <c r="AU556" t="str">
        <f>IFERROR(ROUND(X556*(W556/$AY556)/VLOOKUP(V556,商品!$A$4:$D$67,4,FALSE),0),"")</f>
        <v/>
      </c>
      <c r="AW556">
        <f t="shared" si="150"/>
        <v>0</v>
      </c>
      <c r="AX556">
        <f t="shared" si="151"/>
        <v>0</v>
      </c>
      <c r="AY556">
        <f t="shared" si="152"/>
        <v>0</v>
      </c>
    </row>
    <row r="557" customHeight="1" spans="1:51">
      <c r="A557" s="18" t="s">
        <v>388</v>
      </c>
      <c r="C557" s="18">
        <v>5</v>
      </c>
      <c r="D557" s="1" t="s">
        <v>247</v>
      </c>
      <c r="E557" s="1" t="s">
        <v>255</v>
      </c>
      <c r="L557" s="18">
        <f>IFERROR(VLOOKUP($D557&amp;$C557,生产方式定位!$A$2:$E$38,2,FALSE)+VLOOKUP($E557&amp;$C557,生产方式定位!$F$3:$J$38,2,FALSE),0)</f>
        <v>0</v>
      </c>
      <c r="S557" s="18">
        <f>IFERROR(VLOOKUP($D557&amp;$C557,生产方式定位!$A$2:$E$38,3,FALSE)+VLOOKUP($E557&amp;$C557,生产方式定位!$F$3:$J$38,3,FALSE),0)</f>
        <v>0</v>
      </c>
      <c r="X557" s="18" t="str">
        <f>IFERROR(VLOOKUP($D557&amp;$C557,生产方式定位!$A$2:$E$38,5,FALSE)+VLOOKUP($E557&amp;$C557,生产方式定位!$F$3:$J$38,5,FALSE),"错误")</f>
        <v>错误</v>
      </c>
      <c r="Y557" s="27" t="str">
        <f t="shared" si="136"/>
        <v/>
      </c>
      <c r="Z557" s="50" t="str">
        <f t="shared" si="139"/>
        <v/>
      </c>
      <c r="AA557" s="50" t="str">
        <f t="shared" si="137"/>
        <v/>
      </c>
      <c r="AB557" s="28" t="str">
        <f t="shared" si="140"/>
        <v/>
      </c>
      <c r="AC557" s="1" t="e">
        <f t="shared" si="141"/>
        <v>#VALUE!</v>
      </c>
      <c r="AD557" s="52">
        <f t="shared" si="138"/>
        <v>5</v>
      </c>
      <c r="AE557" t="str">
        <f t="shared" si="142"/>
        <v/>
      </c>
      <c r="AF557" t="str">
        <f t="shared" si="143"/>
        <v/>
      </c>
      <c r="AG557" t="str">
        <f t="shared" si="144"/>
        <v/>
      </c>
      <c r="AH557" t="str">
        <f t="shared" si="145"/>
        <v/>
      </c>
      <c r="AI557" t="str">
        <f t="shared" si="146"/>
        <v/>
      </c>
      <c r="AJ557" t="str">
        <f t="shared" si="147"/>
        <v/>
      </c>
      <c r="AK557" t="str">
        <f t="shared" si="148"/>
        <v/>
      </c>
      <c r="AL557" t="str">
        <f t="shared" si="149"/>
        <v/>
      </c>
      <c r="AN557" t="str">
        <f>IFERROR(ROUND(L557*(G557/$AW557)/VLOOKUP(F557,商品!$A$4:$D$67,4,FALSE),0),"")</f>
        <v/>
      </c>
      <c r="AO557" t="str">
        <f>IFERROR(ROUND(L557*(I557/$AW557)/VLOOKUP(H557,商品!$A$4:$D$67,4,FALSE),0),"")</f>
        <v/>
      </c>
      <c r="AP557" t="str">
        <f>IFERROR(ROUND(L557*(K557/$AW557)/VLOOKUP(J557,商品!$A$4:$D$67,4,FALSE),0),"")</f>
        <v/>
      </c>
      <c r="AQ557" t="str">
        <f>IFERROR(ROUND(S557*(N557/$AX557)/VLOOKUP(M557,职业!$A$3:$E$16,4,FALSE),0),"")</f>
        <v/>
      </c>
      <c r="AR557" t="str">
        <f>IFERROR(ROUND(S557*(P557/$AX557)/VLOOKUP(O557,职业!$A$3:$E$16,4,FALSE),0),"")</f>
        <v/>
      </c>
      <c r="AS557" t="str">
        <f>IFERROR(ROUND(S557*(R557/$AX557)/VLOOKUP(Q557,职业!$A$3:$E$16,4,FALSE),0),"")</f>
        <v/>
      </c>
      <c r="AT557" t="str">
        <f>IFERROR(ROUND(X557*(U557/$AY557)/VLOOKUP(T557,商品!$A$4:$D$67,4,FALSE),0),"")</f>
        <v/>
      </c>
      <c r="AU557" t="str">
        <f>IFERROR(ROUND(X557*(W557/$AY557)/VLOOKUP(V557,商品!$A$4:$D$67,4,FALSE),0),"")</f>
        <v/>
      </c>
      <c r="AW557">
        <f t="shared" si="150"/>
        <v>0</v>
      </c>
      <c r="AX557">
        <f t="shared" si="151"/>
        <v>0</v>
      </c>
      <c r="AY557">
        <f t="shared" si="152"/>
        <v>0</v>
      </c>
    </row>
    <row r="558" customHeight="1" spans="1:51">
      <c r="A558" s="5" t="s">
        <v>389</v>
      </c>
      <c r="C558" s="5">
        <v>1</v>
      </c>
      <c r="D558" s="1" t="s">
        <v>291</v>
      </c>
      <c r="E558" s="1" t="s">
        <v>225</v>
      </c>
      <c r="L558" s="5">
        <f>IFERROR(VLOOKUP($D558&amp;$C558,生产方式定位!$A$2:$E$38,2,FALSE)+VLOOKUP($E558&amp;$C558,生产方式定位!$F$3:$J$38,2,FALSE),0)</f>
        <v>0</v>
      </c>
      <c r="S558" s="5">
        <f>IFERROR(VLOOKUP($D558&amp;$C558,生产方式定位!$A$2:$E$38,3,FALSE)+VLOOKUP($E558&amp;$C558,生产方式定位!$F$3:$J$38,3,FALSE),0)</f>
        <v>100</v>
      </c>
      <c r="X558" s="5">
        <f>IFERROR(VLOOKUP($D558&amp;$C558,生产方式定位!$A$2:$E$38,5,FALSE)+VLOOKUP($E558&amp;$C558,生产方式定位!$F$3:$J$38,5,FALSE),"错误")</f>
        <v>100</v>
      </c>
      <c r="Y558" s="27" t="str">
        <f t="shared" si="136"/>
        <v/>
      </c>
      <c r="Z558" s="50" t="str">
        <f t="shared" si="139"/>
        <v/>
      </c>
      <c r="AA558" s="50" t="str">
        <f t="shared" si="137"/>
        <v/>
      </c>
      <c r="AB558" s="28" t="str">
        <f t="shared" si="140"/>
        <v/>
      </c>
      <c r="AC558" s="1" t="str">
        <f t="shared" si="141"/>
        <v/>
      </c>
      <c r="AD558" s="51">
        <f t="shared" si="138"/>
        <v>1</v>
      </c>
      <c r="AE558" t="str">
        <f t="shared" si="142"/>
        <v/>
      </c>
      <c r="AF558" t="str">
        <f t="shared" si="143"/>
        <v/>
      </c>
      <c r="AG558" t="str">
        <f t="shared" si="144"/>
        <v/>
      </c>
      <c r="AH558" t="str">
        <f t="shared" si="145"/>
        <v/>
      </c>
      <c r="AI558" t="str">
        <f t="shared" si="146"/>
        <v/>
      </c>
      <c r="AJ558" t="str">
        <f t="shared" si="147"/>
        <v/>
      </c>
      <c r="AK558" t="str">
        <f t="shared" si="148"/>
        <v/>
      </c>
      <c r="AL558" t="str">
        <f t="shared" si="149"/>
        <v/>
      </c>
      <c r="AN558" t="str">
        <f>IFERROR(ROUND(L558*(G558/$AW558)/VLOOKUP(F558,商品!$A$4:$D$67,4,FALSE),0),"")</f>
        <v/>
      </c>
      <c r="AO558" t="str">
        <f>IFERROR(ROUND(L558*(I558/$AW558)/VLOOKUP(H558,商品!$A$4:$D$67,4,FALSE),0),"")</f>
        <v/>
      </c>
      <c r="AP558" t="str">
        <f>IFERROR(ROUND(L558*(K558/$AW558)/VLOOKUP(J558,商品!$A$4:$D$67,4,FALSE),0),"")</f>
        <v/>
      </c>
      <c r="AQ558" t="str">
        <f>IFERROR(ROUND(S558*(N558/$AX558)/VLOOKUP(M558,职业!$A$3:$E$16,4,FALSE),0),"")</f>
        <v/>
      </c>
      <c r="AR558" t="str">
        <f>IFERROR(ROUND(S558*(P558/$AX558)/VLOOKUP(O558,职业!$A$3:$E$16,4,FALSE),0),"")</f>
        <v/>
      </c>
      <c r="AS558" t="str">
        <f>IFERROR(ROUND(S558*(R558/$AX558)/VLOOKUP(Q558,职业!$A$3:$E$16,4,FALSE),0),"")</f>
        <v/>
      </c>
      <c r="AT558" t="str">
        <f>IFERROR(ROUND(X558*(U558/$AY558)/VLOOKUP(T558,商品!$A$4:$D$67,4,FALSE),0),"")</f>
        <v/>
      </c>
      <c r="AU558" t="str">
        <f>IFERROR(ROUND(X558*(W558/$AY558)/VLOOKUP(V558,商品!$A$4:$D$67,4,FALSE),0),"")</f>
        <v/>
      </c>
      <c r="AW558">
        <f t="shared" si="150"/>
        <v>0</v>
      </c>
      <c r="AX558">
        <f t="shared" si="151"/>
        <v>0</v>
      </c>
      <c r="AY558">
        <f t="shared" si="152"/>
        <v>0</v>
      </c>
    </row>
    <row r="559" customHeight="1" spans="1:51">
      <c r="A559" s="5" t="s">
        <v>389</v>
      </c>
      <c r="C559" s="5">
        <v>2</v>
      </c>
      <c r="D559" s="1" t="s">
        <v>291</v>
      </c>
      <c r="E559" s="1" t="s">
        <v>225</v>
      </c>
      <c r="L559" s="5">
        <f>IFERROR(VLOOKUP($D559&amp;$C559,生产方式定位!$A$2:$E$38,2,FALSE)+VLOOKUP($E559&amp;$C559,生产方式定位!$F$3:$J$38,2,FALSE),0)</f>
        <v>0</v>
      </c>
      <c r="S559" s="5">
        <f>IFERROR(VLOOKUP($D559&amp;$C559,生产方式定位!$A$2:$E$38,3,FALSE)+VLOOKUP($E559&amp;$C559,生产方式定位!$F$3:$J$38,3,FALSE),0)</f>
        <v>100</v>
      </c>
      <c r="X559" s="5">
        <f>IFERROR(VLOOKUP($D559&amp;$C559,生产方式定位!$A$2:$E$38,5,FALSE)+VLOOKUP($E559&amp;$C559,生产方式定位!$F$3:$J$38,5,FALSE),"错误")</f>
        <v>100</v>
      </c>
      <c r="Y559" s="27" t="str">
        <f t="shared" si="136"/>
        <v/>
      </c>
      <c r="Z559" s="50" t="str">
        <f t="shared" si="139"/>
        <v/>
      </c>
      <c r="AA559" s="50" t="str">
        <f t="shared" si="137"/>
        <v/>
      </c>
      <c r="AB559" s="28" t="str">
        <f t="shared" si="140"/>
        <v/>
      </c>
      <c r="AC559" s="1" t="str">
        <f t="shared" si="141"/>
        <v/>
      </c>
      <c r="AD559" s="51">
        <f t="shared" si="138"/>
        <v>2</v>
      </c>
      <c r="AE559" t="str">
        <f t="shared" si="142"/>
        <v/>
      </c>
      <c r="AF559" t="str">
        <f t="shared" si="143"/>
        <v/>
      </c>
      <c r="AG559" t="str">
        <f t="shared" si="144"/>
        <v/>
      </c>
      <c r="AH559" t="str">
        <f t="shared" si="145"/>
        <v/>
      </c>
      <c r="AI559" t="str">
        <f t="shared" si="146"/>
        <v/>
      </c>
      <c r="AJ559" t="str">
        <f t="shared" si="147"/>
        <v/>
      </c>
      <c r="AK559" t="str">
        <f t="shared" si="148"/>
        <v/>
      </c>
      <c r="AL559" t="str">
        <f t="shared" si="149"/>
        <v/>
      </c>
      <c r="AN559" t="str">
        <f>IFERROR(ROUND(L559*(G559/$AW559)/VLOOKUP(F559,商品!$A$4:$D$67,4,FALSE),0),"")</f>
        <v/>
      </c>
      <c r="AO559" t="str">
        <f>IFERROR(ROUND(L559*(I559/$AW559)/VLOOKUP(H559,商品!$A$4:$D$67,4,FALSE),0),"")</f>
        <v/>
      </c>
      <c r="AP559" t="str">
        <f>IFERROR(ROUND(L559*(K559/$AW559)/VLOOKUP(J559,商品!$A$4:$D$67,4,FALSE),0),"")</f>
        <v/>
      </c>
      <c r="AQ559" t="str">
        <f>IFERROR(ROUND(S559*(N559/$AX559)/VLOOKUP(M559,职业!$A$3:$E$16,4,FALSE),0),"")</f>
        <v/>
      </c>
      <c r="AR559" t="str">
        <f>IFERROR(ROUND(S559*(P559/$AX559)/VLOOKUP(O559,职业!$A$3:$E$16,4,FALSE),0),"")</f>
        <v/>
      </c>
      <c r="AS559" t="str">
        <f>IFERROR(ROUND(S559*(R559/$AX559)/VLOOKUP(Q559,职业!$A$3:$E$16,4,FALSE),0),"")</f>
        <v/>
      </c>
      <c r="AT559" t="str">
        <f>IFERROR(ROUND(X559*(U559/$AY559)/VLOOKUP(T559,商品!$A$4:$D$67,4,FALSE),0),"")</f>
        <v/>
      </c>
      <c r="AU559" t="str">
        <f>IFERROR(ROUND(X559*(W559/$AY559)/VLOOKUP(V559,商品!$A$4:$D$67,4,FALSE),0),"")</f>
        <v/>
      </c>
      <c r="AW559">
        <f t="shared" si="150"/>
        <v>0</v>
      </c>
      <c r="AX559">
        <f t="shared" si="151"/>
        <v>0</v>
      </c>
      <c r="AY559">
        <f t="shared" si="152"/>
        <v>0</v>
      </c>
    </row>
    <row r="560" customHeight="1" spans="1:51">
      <c r="A560" s="5" t="s">
        <v>389</v>
      </c>
      <c r="C560" s="5">
        <v>3</v>
      </c>
      <c r="D560" s="1" t="s">
        <v>291</v>
      </c>
      <c r="E560" s="1" t="s">
        <v>225</v>
      </c>
      <c r="L560" s="5">
        <f>IFERROR(VLOOKUP($D560&amp;$C560,生产方式定位!$A$2:$E$38,2,FALSE)+VLOOKUP($E560&amp;$C560,生产方式定位!$F$3:$J$38,2,FALSE),0)</f>
        <v>0</v>
      </c>
      <c r="S560" s="5">
        <f>IFERROR(VLOOKUP($D560&amp;$C560,生产方式定位!$A$2:$E$38,3,FALSE)+VLOOKUP($E560&amp;$C560,生产方式定位!$F$3:$J$38,3,FALSE),0)</f>
        <v>100</v>
      </c>
      <c r="X560" s="5">
        <f>IFERROR(VLOOKUP($D560&amp;$C560,生产方式定位!$A$2:$E$38,5,FALSE)+VLOOKUP($E560&amp;$C560,生产方式定位!$F$3:$J$38,5,FALSE),"错误")</f>
        <v>100</v>
      </c>
      <c r="Y560" s="27" t="str">
        <f t="shared" si="136"/>
        <v/>
      </c>
      <c r="Z560" s="50" t="str">
        <f t="shared" si="139"/>
        <v/>
      </c>
      <c r="AA560" s="50" t="str">
        <f t="shared" si="137"/>
        <v/>
      </c>
      <c r="AB560" s="28" t="str">
        <f t="shared" si="140"/>
        <v/>
      </c>
      <c r="AC560" s="1" t="str">
        <f t="shared" si="141"/>
        <v/>
      </c>
      <c r="AD560" s="51">
        <f t="shared" si="138"/>
        <v>3</v>
      </c>
      <c r="AE560" t="str">
        <f t="shared" si="142"/>
        <v/>
      </c>
      <c r="AF560" t="str">
        <f t="shared" si="143"/>
        <v/>
      </c>
      <c r="AG560" t="str">
        <f t="shared" si="144"/>
        <v/>
      </c>
      <c r="AH560" t="str">
        <f t="shared" si="145"/>
        <v/>
      </c>
      <c r="AI560" t="str">
        <f t="shared" si="146"/>
        <v/>
      </c>
      <c r="AJ560" t="str">
        <f t="shared" si="147"/>
        <v/>
      </c>
      <c r="AK560" t="str">
        <f t="shared" si="148"/>
        <v/>
      </c>
      <c r="AL560" t="str">
        <f t="shared" si="149"/>
        <v/>
      </c>
      <c r="AN560" t="str">
        <f>IFERROR(ROUND(L560*(G560/$AW560)/VLOOKUP(F560,商品!$A$4:$D$67,4,FALSE),0),"")</f>
        <v/>
      </c>
      <c r="AO560" t="str">
        <f>IFERROR(ROUND(L560*(I560/$AW560)/VLOOKUP(H560,商品!$A$4:$D$67,4,FALSE),0),"")</f>
        <v/>
      </c>
      <c r="AP560" t="str">
        <f>IFERROR(ROUND(L560*(K560/$AW560)/VLOOKUP(J560,商品!$A$4:$D$67,4,FALSE),0),"")</f>
        <v/>
      </c>
      <c r="AQ560" t="str">
        <f>IFERROR(ROUND(S560*(N560/$AX560)/VLOOKUP(M560,职业!$A$3:$E$16,4,FALSE),0),"")</f>
        <v/>
      </c>
      <c r="AR560" t="str">
        <f>IFERROR(ROUND(S560*(P560/$AX560)/VLOOKUP(O560,职业!$A$3:$E$16,4,FALSE),0),"")</f>
        <v/>
      </c>
      <c r="AS560" t="str">
        <f>IFERROR(ROUND(S560*(R560/$AX560)/VLOOKUP(Q560,职业!$A$3:$E$16,4,FALSE),0),"")</f>
        <v/>
      </c>
      <c r="AT560" t="str">
        <f>IFERROR(ROUND(X560*(U560/$AY560)/VLOOKUP(T560,商品!$A$4:$D$67,4,FALSE),0),"")</f>
        <v/>
      </c>
      <c r="AU560" t="str">
        <f>IFERROR(ROUND(X560*(W560/$AY560)/VLOOKUP(V560,商品!$A$4:$D$67,4,FALSE),0),"")</f>
        <v/>
      </c>
      <c r="AW560">
        <f t="shared" si="150"/>
        <v>0</v>
      </c>
      <c r="AX560">
        <f t="shared" si="151"/>
        <v>0</v>
      </c>
      <c r="AY560">
        <f t="shared" si="152"/>
        <v>0</v>
      </c>
    </row>
    <row r="561" customHeight="1" spans="1:51">
      <c r="A561" s="5" t="s">
        <v>389</v>
      </c>
      <c r="C561" s="5">
        <v>4</v>
      </c>
      <c r="D561" s="1" t="s">
        <v>291</v>
      </c>
      <c r="E561" s="1" t="s">
        <v>225</v>
      </c>
      <c r="L561" s="5">
        <f>IFERROR(VLOOKUP($D561&amp;$C561,生产方式定位!$A$2:$E$38,2,FALSE)+VLOOKUP($E561&amp;$C561,生产方式定位!$F$3:$J$38,2,FALSE),0)</f>
        <v>0</v>
      </c>
      <c r="S561" s="5">
        <f>IFERROR(VLOOKUP($D561&amp;$C561,生产方式定位!$A$2:$E$38,3,FALSE)+VLOOKUP($E561&amp;$C561,生产方式定位!$F$3:$J$38,3,FALSE),0)</f>
        <v>100</v>
      </c>
      <c r="X561" s="5">
        <f>IFERROR(VLOOKUP($D561&amp;$C561,生产方式定位!$A$2:$E$38,5,FALSE)+VLOOKUP($E561&amp;$C561,生产方式定位!$F$3:$J$38,5,FALSE),"错误")</f>
        <v>100</v>
      </c>
      <c r="Y561" s="27" t="str">
        <f t="shared" si="136"/>
        <v/>
      </c>
      <c r="Z561" s="50" t="str">
        <f t="shared" si="139"/>
        <v/>
      </c>
      <c r="AA561" s="50" t="str">
        <f t="shared" si="137"/>
        <v/>
      </c>
      <c r="AB561" s="28" t="str">
        <f t="shared" si="140"/>
        <v/>
      </c>
      <c r="AC561" s="1" t="str">
        <f t="shared" si="141"/>
        <v/>
      </c>
      <c r="AD561" s="51">
        <f t="shared" si="138"/>
        <v>4</v>
      </c>
      <c r="AE561" t="str">
        <f t="shared" si="142"/>
        <v/>
      </c>
      <c r="AF561" t="str">
        <f t="shared" si="143"/>
        <v/>
      </c>
      <c r="AG561" t="str">
        <f t="shared" si="144"/>
        <v/>
      </c>
      <c r="AH561" t="str">
        <f t="shared" si="145"/>
        <v/>
      </c>
      <c r="AI561" t="str">
        <f t="shared" si="146"/>
        <v/>
      </c>
      <c r="AJ561" t="str">
        <f t="shared" si="147"/>
        <v/>
      </c>
      <c r="AK561" t="str">
        <f t="shared" si="148"/>
        <v/>
      </c>
      <c r="AL561" t="str">
        <f t="shared" si="149"/>
        <v/>
      </c>
      <c r="AN561" t="str">
        <f>IFERROR(ROUND(L561*(G561/$AW561)/VLOOKUP(F561,商品!$A$4:$D$67,4,FALSE),0),"")</f>
        <v/>
      </c>
      <c r="AO561" t="str">
        <f>IFERROR(ROUND(L561*(I561/$AW561)/VLOOKUP(H561,商品!$A$4:$D$67,4,FALSE),0),"")</f>
        <v/>
      </c>
      <c r="AP561" t="str">
        <f>IFERROR(ROUND(L561*(K561/$AW561)/VLOOKUP(J561,商品!$A$4:$D$67,4,FALSE),0),"")</f>
        <v/>
      </c>
      <c r="AQ561" t="str">
        <f>IFERROR(ROUND(S561*(N561/$AX561)/VLOOKUP(M561,职业!$A$3:$E$16,4,FALSE),0),"")</f>
        <v/>
      </c>
      <c r="AR561" t="str">
        <f>IFERROR(ROUND(S561*(P561/$AX561)/VLOOKUP(O561,职业!$A$3:$E$16,4,FALSE),0),"")</f>
        <v/>
      </c>
      <c r="AS561" t="str">
        <f>IFERROR(ROUND(S561*(R561/$AX561)/VLOOKUP(Q561,职业!$A$3:$E$16,4,FALSE),0),"")</f>
        <v/>
      </c>
      <c r="AT561" t="str">
        <f>IFERROR(ROUND(X561*(U561/$AY561)/VLOOKUP(T561,商品!$A$4:$D$67,4,FALSE),0),"")</f>
        <v/>
      </c>
      <c r="AU561" t="str">
        <f>IFERROR(ROUND(X561*(W561/$AY561)/VLOOKUP(V561,商品!$A$4:$D$67,4,FALSE),0),"")</f>
        <v/>
      </c>
      <c r="AW561">
        <f t="shared" si="150"/>
        <v>0</v>
      </c>
      <c r="AX561">
        <f t="shared" si="151"/>
        <v>0</v>
      </c>
      <c r="AY561">
        <f t="shared" si="152"/>
        <v>0</v>
      </c>
    </row>
    <row r="562" customHeight="1" spans="1:51">
      <c r="A562" s="5" t="s">
        <v>389</v>
      </c>
      <c r="C562" s="5">
        <v>5</v>
      </c>
      <c r="D562" s="1" t="s">
        <v>291</v>
      </c>
      <c r="E562" s="1" t="s">
        <v>225</v>
      </c>
      <c r="L562" s="5">
        <f>IFERROR(VLOOKUP($D562&amp;$C562,生产方式定位!$A$2:$E$38,2,FALSE)+VLOOKUP($E562&amp;$C562,生产方式定位!$F$3:$J$38,2,FALSE),0)</f>
        <v>0</v>
      </c>
      <c r="S562" s="5">
        <f>IFERROR(VLOOKUP($D562&amp;$C562,生产方式定位!$A$2:$E$38,3,FALSE)+VLOOKUP($E562&amp;$C562,生产方式定位!$F$3:$J$38,3,FALSE),0)</f>
        <v>100</v>
      </c>
      <c r="X562" s="5">
        <f>IFERROR(VLOOKUP($D562&amp;$C562,生产方式定位!$A$2:$E$38,5,FALSE)+VLOOKUP($E562&amp;$C562,生产方式定位!$F$3:$J$38,5,FALSE),"错误")</f>
        <v>100</v>
      </c>
      <c r="Y562" s="27" t="str">
        <f t="shared" si="136"/>
        <v/>
      </c>
      <c r="Z562" s="50" t="str">
        <f t="shared" si="139"/>
        <v/>
      </c>
      <c r="AA562" s="50" t="str">
        <f t="shared" si="137"/>
        <v/>
      </c>
      <c r="AB562" s="28" t="str">
        <f t="shared" si="140"/>
        <v/>
      </c>
      <c r="AC562" s="1" t="str">
        <f t="shared" si="141"/>
        <v/>
      </c>
      <c r="AD562" s="51">
        <f t="shared" si="138"/>
        <v>5</v>
      </c>
      <c r="AE562" t="str">
        <f t="shared" si="142"/>
        <v/>
      </c>
      <c r="AF562" t="str">
        <f t="shared" si="143"/>
        <v/>
      </c>
      <c r="AG562" t="str">
        <f t="shared" si="144"/>
        <v/>
      </c>
      <c r="AH562" t="str">
        <f t="shared" si="145"/>
        <v/>
      </c>
      <c r="AI562" t="str">
        <f t="shared" si="146"/>
        <v/>
      </c>
      <c r="AJ562" t="str">
        <f t="shared" si="147"/>
        <v/>
      </c>
      <c r="AK562" t="str">
        <f t="shared" si="148"/>
        <v/>
      </c>
      <c r="AL562" t="str">
        <f t="shared" si="149"/>
        <v/>
      </c>
      <c r="AN562" t="str">
        <f>IFERROR(ROUND(L562*(G562/$AW562)/VLOOKUP(F562,商品!$A$4:$D$67,4,FALSE),0),"")</f>
        <v/>
      </c>
      <c r="AO562" t="str">
        <f>IFERROR(ROUND(L562*(I562/$AW562)/VLOOKUP(H562,商品!$A$4:$D$67,4,FALSE),0),"")</f>
        <v/>
      </c>
      <c r="AP562" t="str">
        <f>IFERROR(ROUND(L562*(K562/$AW562)/VLOOKUP(J562,商品!$A$4:$D$67,4,FALSE),0),"")</f>
        <v/>
      </c>
      <c r="AQ562" t="str">
        <f>IFERROR(ROUND(S562*(N562/$AX562)/VLOOKUP(M562,职业!$A$3:$E$16,4,FALSE),0),"")</f>
        <v/>
      </c>
      <c r="AR562" t="str">
        <f>IFERROR(ROUND(S562*(P562/$AX562)/VLOOKUP(O562,职业!$A$3:$E$16,4,FALSE),0),"")</f>
        <v/>
      </c>
      <c r="AS562" t="str">
        <f>IFERROR(ROUND(S562*(R562/$AX562)/VLOOKUP(Q562,职业!$A$3:$E$16,4,FALSE),0),"")</f>
        <v/>
      </c>
      <c r="AT562" t="str">
        <f>IFERROR(ROUND(X562*(U562/$AY562)/VLOOKUP(T562,商品!$A$4:$D$67,4,FALSE),0),"")</f>
        <v/>
      </c>
      <c r="AU562" t="str">
        <f>IFERROR(ROUND(X562*(W562/$AY562)/VLOOKUP(V562,商品!$A$4:$D$67,4,FALSE),0),"")</f>
        <v/>
      </c>
      <c r="AW562">
        <f t="shared" si="150"/>
        <v>0</v>
      </c>
      <c r="AX562">
        <f t="shared" si="151"/>
        <v>0</v>
      </c>
      <c r="AY562">
        <f t="shared" si="152"/>
        <v>0</v>
      </c>
    </row>
    <row r="563" customHeight="1" spans="1:51">
      <c r="A563" s="5" t="s">
        <v>389</v>
      </c>
      <c r="C563" s="5">
        <v>6</v>
      </c>
      <c r="D563" s="1" t="s">
        <v>291</v>
      </c>
      <c r="E563" s="1" t="s">
        <v>225</v>
      </c>
      <c r="L563" s="5">
        <f>IFERROR(VLOOKUP($D563&amp;$C563,生产方式定位!$A$2:$E$38,2,FALSE)+VLOOKUP($E563&amp;$C563,生产方式定位!$F$3:$J$38,2,FALSE),0)</f>
        <v>0</v>
      </c>
      <c r="S563" s="5">
        <f>IFERROR(VLOOKUP($D563&amp;$C563,生产方式定位!$A$2:$E$38,3,FALSE)+VLOOKUP($E563&amp;$C563,生产方式定位!$F$3:$J$38,3,FALSE),0)</f>
        <v>100</v>
      </c>
      <c r="X563" s="5">
        <f>IFERROR(VLOOKUP($D563&amp;$C563,生产方式定位!$A$2:$E$38,5,FALSE)+VLOOKUP($E563&amp;$C563,生产方式定位!$F$3:$J$38,5,FALSE),"错误")</f>
        <v>100</v>
      </c>
      <c r="Y563" s="27" t="str">
        <f t="shared" si="136"/>
        <v/>
      </c>
      <c r="Z563" s="50" t="str">
        <f t="shared" si="139"/>
        <v/>
      </c>
      <c r="AA563" s="50" t="str">
        <f t="shared" si="137"/>
        <v/>
      </c>
      <c r="AB563" s="28" t="str">
        <f t="shared" si="140"/>
        <v/>
      </c>
      <c r="AC563" s="1" t="str">
        <f t="shared" si="141"/>
        <v/>
      </c>
      <c r="AD563" s="51">
        <f t="shared" si="138"/>
        <v>6</v>
      </c>
      <c r="AE563" t="str">
        <f t="shared" si="142"/>
        <v/>
      </c>
      <c r="AF563" t="str">
        <f t="shared" si="143"/>
        <v/>
      </c>
      <c r="AG563" t="str">
        <f t="shared" si="144"/>
        <v/>
      </c>
      <c r="AH563" t="str">
        <f t="shared" si="145"/>
        <v/>
      </c>
      <c r="AI563" t="str">
        <f t="shared" si="146"/>
        <v/>
      </c>
      <c r="AJ563" t="str">
        <f t="shared" si="147"/>
        <v/>
      </c>
      <c r="AK563" t="str">
        <f t="shared" si="148"/>
        <v/>
      </c>
      <c r="AL563" t="str">
        <f t="shared" si="149"/>
        <v/>
      </c>
      <c r="AN563" t="str">
        <f>IFERROR(ROUND(L563*(G563/$AW563)/VLOOKUP(F563,商品!$A$4:$D$67,4,FALSE),0),"")</f>
        <v/>
      </c>
      <c r="AO563" t="str">
        <f>IFERROR(ROUND(L563*(I563/$AW563)/VLOOKUP(H563,商品!$A$4:$D$67,4,FALSE),0),"")</f>
        <v/>
      </c>
      <c r="AP563" t="str">
        <f>IFERROR(ROUND(L563*(K563/$AW563)/VLOOKUP(J563,商品!$A$4:$D$67,4,FALSE),0),"")</f>
        <v/>
      </c>
      <c r="AQ563" t="str">
        <f>IFERROR(ROUND(S563*(N563/$AX563)/VLOOKUP(M563,职业!$A$3:$E$16,4,FALSE),0),"")</f>
        <v/>
      </c>
      <c r="AR563" t="str">
        <f>IFERROR(ROUND(S563*(P563/$AX563)/VLOOKUP(O563,职业!$A$3:$E$16,4,FALSE),0),"")</f>
        <v/>
      </c>
      <c r="AS563" t="str">
        <f>IFERROR(ROUND(S563*(R563/$AX563)/VLOOKUP(Q563,职业!$A$3:$E$16,4,FALSE),0),"")</f>
        <v/>
      </c>
      <c r="AT563" t="str">
        <f>IFERROR(ROUND(X563*(U563/$AY563)/VLOOKUP(T563,商品!$A$4:$D$67,4,FALSE),0),"")</f>
        <v/>
      </c>
      <c r="AU563" t="str">
        <f>IFERROR(ROUND(X563*(W563/$AY563)/VLOOKUP(V563,商品!$A$4:$D$67,4,FALSE),0),"")</f>
        <v/>
      </c>
      <c r="AW563">
        <f t="shared" si="150"/>
        <v>0</v>
      </c>
      <c r="AX563">
        <f t="shared" si="151"/>
        <v>0</v>
      </c>
      <c r="AY563">
        <f t="shared" si="152"/>
        <v>0</v>
      </c>
    </row>
    <row r="564" customHeight="1" spans="1:51">
      <c r="A564" s="5" t="s">
        <v>389</v>
      </c>
      <c r="C564" s="5">
        <v>7</v>
      </c>
      <c r="D564" s="1" t="s">
        <v>291</v>
      </c>
      <c r="E564" s="1" t="s">
        <v>225</v>
      </c>
      <c r="L564" s="5">
        <f>IFERROR(VLOOKUP($D564&amp;$C564,生产方式定位!$A$2:$E$38,2,FALSE)+VLOOKUP($E564&amp;$C564,生产方式定位!$F$3:$J$38,2,FALSE),0)</f>
        <v>0</v>
      </c>
      <c r="S564" s="5">
        <f>IFERROR(VLOOKUP($D564&amp;$C564,生产方式定位!$A$2:$E$38,3,FALSE)+VLOOKUP($E564&amp;$C564,生产方式定位!$F$3:$J$38,3,FALSE),0)</f>
        <v>100</v>
      </c>
      <c r="X564" s="5">
        <f>IFERROR(VLOOKUP($D564&amp;$C564,生产方式定位!$A$2:$E$38,5,FALSE)+VLOOKUP($E564&amp;$C564,生产方式定位!$F$3:$J$38,5,FALSE),"错误")</f>
        <v>100</v>
      </c>
      <c r="Y564" s="27" t="str">
        <f t="shared" si="136"/>
        <v/>
      </c>
      <c r="Z564" s="50" t="str">
        <f t="shared" si="139"/>
        <v/>
      </c>
      <c r="AA564" s="50" t="str">
        <f t="shared" si="137"/>
        <v/>
      </c>
      <c r="AB564" s="28" t="str">
        <f t="shared" si="140"/>
        <v/>
      </c>
      <c r="AC564" s="1" t="str">
        <f t="shared" si="141"/>
        <v/>
      </c>
      <c r="AD564" s="51">
        <f t="shared" si="138"/>
        <v>7</v>
      </c>
      <c r="AE564" t="str">
        <f t="shared" si="142"/>
        <v/>
      </c>
      <c r="AF564" t="str">
        <f t="shared" si="143"/>
        <v/>
      </c>
      <c r="AG564" t="str">
        <f t="shared" si="144"/>
        <v/>
      </c>
      <c r="AH564" t="str">
        <f t="shared" si="145"/>
        <v/>
      </c>
      <c r="AI564" t="str">
        <f t="shared" si="146"/>
        <v/>
      </c>
      <c r="AJ564" t="str">
        <f t="shared" si="147"/>
        <v/>
      </c>
      <c r="AK564" t="str">
        <f t="shared" si="148"/>
        <v/>
      </c>
      <c r="AL564" t="str">
        <f t="shared" si="149"/>
        <v/>
      </c>
      <c r="AN564" t="str">
        <f>IFERROR(ROUND(L564*(G564/$AW564)/VLOOKUP(F564,商品!$A$4:$D$67,4,FALSE),0),"")</f>
        <v/>
      </c>
      <c r="AO564" t="str">
        <f>IFERROR(ROUND(L564*(I564/$AW564)/VLOOKUP(H564,商品!$A$4:$D$67,4,FALSE),0),"")</f>
        <v/>
      </c>
      <c r="AP564" t="str">
        <f>IFERROR(ROUND(L564*(K564/$AW564)/VLOOKUP(J564,商品!$A$4:$D$67,4,FALSE),0),"")</f>
        <v/>
      </c>
      <c r="AQ564" t="str">
        <f>IFERROR(ROUND(S564*(N564/$AX564)/VLOOKUP(M564,职业!$A$3:$E$16,4,FALSE),0),"")</f>
        <v/>
      </c>
      <c r="AR564" t="str">
        <f>IFERROR(ROUND(S564*(P564/$AX564)/VLOOKUP(O564,职业!$A$3:$E$16,4,FALSE),0),"")</f>
        <v/>
      </c>
      <c r="AS564" t="str">
        <f>IFERROR(ROUND(S564*(R564/$AX564)/VLOOKUP(Q564,职业!$A$3:$E$16,4,FALSE),0),"")</f>
        <v/>
      </c>
      <c r="AT564" t="str">
        <f>IFERROR(ROUND(X564*(U564/$AY564)/VLOOKUP(T564,商品!$A$4:$D$67,4,FALSE),0),"")</f>
        <v/>
      </c>
      <c r="AU564" t="str">
        <f>IFERROR(ROUND(X564*(W564/$AY564)/VLOOKUP(V564,商品!$A$4:$D$67,4,FALSE),0),"")</f>
        <v/>
      </c>
      <c r="AW564">
        <f t="shared" si="150"/>
        <v>0</v>
      </c>
      <c r="AX564">
        <f t="shared" si="151"/>
        <v>0</v>
      </c>
      <c r="AY564">
        <f t="shared" si="152"/>
        <v>0</v>
      </c>
    </row>
    <row r="565" customHeight="1" spans="1:51">
      <c r="A565" s="5" t="s">
        <v>389</v>
      </c>
      <c r="C565" s="5">
        <v>8</v>
      </c>
      <c r="D565" s="1" t="s">
        <v>291</v>
      </c>
      <c r="E565" s="1" t="s">
        <v>225</v>
      </c>
      <c r="L565" s="5">
        <f>IFERROR(VLOOKUP($D565&amp;$C565,生产方式定位!$A$2:$E$38,2,FALSE)+VLOOKUP($E565&amp;$C565,生产方式定位!$F$3:$J$38,2,FALSE),0)</f>
        <v>0</v>
      </c>
      <c r="S565" s="5">
        <f>IFERROR(VLOOKUP($D565&amp;$C565,生产方式定位!$A$2:$E$38,3,FALSE)+VLOOKUP($E565&amp;$C565,生产方式定位!$F$3:$J$38,3,FALSE),0)</f>
        <v>100</v>
      </c>
      <c r="X565" s="5">
        <f>IFERROR(VLOOKUP($D565&amp;$C565,生产方式定位!$A$2:$E$38,5,FALSE)+VLOOKUP($E565&amp;$C565,生产方式定位!$F$3:$J$38,5,FALSE),"错误")</f>
        <v>100</v>
      </c>
      <c r="Y565" s="27" t="str">
        <f t="shared" si="136"/>
        <v/>
      </c>
      <c r="Z565" s="50" t="str">
        <f t="shared" si="139"/>
        <v/>
      </c>
      <c r="AA565" s="50" t="str">
        <f t="shared" si="137"/>
        <v/>
      </c>
      <c r="AB565" s="28" t="str">
        <f t="shared" si="140"/>
        <v/>
      </c>
      <c r="AC565" s="1" t="str">
        <f t="shared" si="141"/>
        <v/>
      </c>
      <c r="AD565" s="51">
        <f t="shared" si="138"/>
        <v>8</v>
      </c>
      <c r="AE565" t="str">
        <f t="shared" si="142"/>
        <v/>
      </c>
      <c r="AF565" t="str">
        <f t="shared" si="143"/>
        <v/>
      </c>
      <c r="AG565" t="str">
        <f t="shared" si="144"/>
        <v/>
      </c>
      <c r="AH565" t="str">
        <f t="shared" si="145"/>
        <v/>
      </c>
      <c r="AI565" t="str">
        <f t="shared" si="146"/>
        <v/>
      </c>
      <c r="AJ565" t="str">
        <f t="shared" si="147"/>
        <v/>
      </c>
      <c r="AK565" t="str">
        <f t="shared" si="148"/>
        <v/>
      </c>
      <c r="AL565" t="str">
        <f t="shared" si="149"/>
        <v/>
      </c>
      <c r="AN565" t="str">
        <f>IFERROR(ROUND(L565*(G565/$AW565)/VLOOKUP(F565,商品!$A$4:$D$67,4,FALSE),0),"")</f>
        <v/>
      </c>
      <c r="AO565" t="str">
        <f>IFERROR(ROUND(L565*(I565/$AW565)/VLOOKUP(H565,商品!$A$4:$D$67,4,FALSE),0),"")</f>
        <v/>
      </c>
      <c r="AP565" t="str">
        <f>IFERROR(ROUND(L565*(K565/$AW565)/VLOOKUP(J565,商品!$A$4:$D$67,4,FALSE),0),"")</f>
        <v/>
      </c>
      <c r="AQ565" t="str">
        <f>IFERROR(ROUND(S565*(N565/$AX565)/VLOOKUP(M565,职业!$A$3:$E$16,4,FALSE),0),"")</f>
        <v/>
      </c>
      <c r="AR565" t="str">
        <f>IFERROR(ROUND(S565*(P565/$AX565)/VLOOKUP(O565,职业!$A$3:$E$16,4,FALSE),0),"")</f>
        <v/>
      </c>
      <c r="AS565" t="str">
        <f>IFERROR(ROUND(S565*(R565/$AX565)/VLOOKUP(Q565,职业!$A$3:$E$16,4,FALSE),0),"")</f>
        <v/>
      </c>
      <c r="AT565" t="str">
        <f>IFERROR(ROUND(X565*(U565/$AY565)/VLOOKUP(T565,商品!$A$4:$D$67,4,FALSE),0),"")</f>
        <v/>
      </c>
      <c r="AU565" t="str">
        <f>IFERROR(ROUND(X565*(W565/$AY565)/VLOOKUP(V565,商品!$A$4:$D$67,4,FALSE),0),"")</f>
        <v/>
      </c>
      <c r="AW565">
        <f t="shared" si="150"/>
        <v>0</v>
      </c>
      <c r="AX565">
        <f t="shared" si="151"/>
        <v>0</v>
      </c>
      <c r="AY565">
        <f t="shared" si="152"/>
        <v>0</v>
      </c>
    </row>
    <row r="566" customHeight="1" spans="1:51">
      <c r="A566" s="18" t="s">
        <v>391</v>
      </c>
      <c r="C566" s="18">
        <v>1</v>
      </c>
      <c r="D566" s="1" t="s">
        <v>247</v>
      </c>
      <c r="E566" s="1" t="s">
        <v>222</v>
      </c>
      <c r="L566" s="18">
        <f>IFERROR(VLOOKUP($D566&amp;$C566,生产方式定位!$A$2:$E$38,2,FALSE)+VLOOKUP($E566&amp;$C566,生产方式定位!$F$3:$J$38,2,FALSE),0)</f>
        <v>3000</v>
      </c>
      <c r="S566" s="18">
        <f>IFERROR(VLOOKUP($D566&amp;$C566,生产方式定位!$A$2:$E$38,3,FALSE)+VLOOKUP($E566&amp;$C566,生产方式定位!$F$3:$J$38,3,FALSE),0)</f>
        <v>100</v>
      </c>
      <c r="X566" s="18">
        <f>IFERROR(VLOOKUP($D566&amp;$C566,生产方式定位!$A$2:$E$38,5,FALSE)+VLOOKUP($E566&amp;$C566,生产方式定位!$F$3:$J$38,5,FALSE),"错误")</f>
        <v>3410</v>
      </c>
      <c r="Y566" s="27" t="str">
        <f t="shared" si="136"/>
        <v/>
      </c>
      <c r="Z566" s="50" t="str">
        <f t="shared" si="139"/>
        <v/>
      </c>
      <c r="AA566" s="50" t="str">
        <f t="shared" si="137"/>
        <v/>
      </c>
      <c r="AB566" s="28" t="str">
        <f t="shared" si="140"/>
        <v>14%</v>
      </c>
      <c r="AC566" s="1">
        <f t="shared" si="141"/>
        <v>310</v>
      </c>
      <c r="AD566" s="52">
        <f t="shared" si="138"/>
        <v>1</v>
      </c>
      <c r="AE566" t="str">
        <f t="shared" si="142"/>
        <v/>
      </c>
      <c r="AF566" t="str">
        <f t="shared" si="143"/>
        <v/>
      </c>
      <c r="AG566" t="str">
        <f t="shared" si="144"/>
        <v/>
      </c>
      <c r="AH566" t="str">
        <f t="shared" si="145"/>
        <v/>
      </c>
      <c r="AI566" t="str">
        <f t="shared" si="146"/>
        <v/>
      </c>
      <c r="AJ566" t="str">
        <f t="shared" si="147"/>
        <v/>
      </c>
      <c r="AK566" t="str">
        <f t="shared" si="148"/>
        <v/>
      </c>
      <c r="AL566" t="str">
        <f t="shared" si="149"/>
        <v/>
      </c>
      <c r="AN566" t="str">
        <f>IFERROR(ROUND(L566*(G566/$AW566)/VLOOKUP(F566,商品!$A$4:$D$67,4,FALSE),0),"")</f>
        <v/>
      </c>
      <c r="AO566" t="str">
        <f>IFERROR(ROUND(L566*(I566/$AW566)/VLOOKUP(H566,商品!$A$4:$D$67,4,FALSE),0),"")</f>
        <v/>
      </c>
      <c r="AP566" t="str">
        <f>IFERROR(ROUND(L566*(K566/$AW566)/VLOOKUP(J566,商品!$A$4:$D$67,4,FALSE),0),"")</f>
        <v/>
      </c>
      <c r="AQ566" t="str">
        <f>IFERROR(ROUND(S566*(N566/$AX566)/VLOOKUP(M566,职业!$A$3:$E$16,4,FALSE),0),"")</f>
        <v/>
      </c>
      <c r="AR566" t="str">
        <f>IFERROR(ROUND(S566*(P566/$AX566)/VLOOKUP(O566,职业!$A$3:$E$16,4,FALSE),0),"")</f>
        <v/>
      </c>
      <c r="AS566" t="str">
        <f>IFERROR(ROUND(S566*(R566/$AX566)/VLOOKUP(Q566,职业!$A$3:$E$16,4,FALSE),0),"")</f>
        <v/>
      </c>
      <c r="AT566" t="str">
        <f>IFERROR(ROUND(X566*(U566/$AY566)/VLOOKUP(T566,商品!$A$4:$D$67,4,FALSE),0),"")</f>
        <v/>
      </c>
      <c r="AU566" t="str">
        <f>IFERROR(ROUND(X566*(W566/$AY566)/VLOOKUP(V566,商品!$A$4:$D$67,4,FALSE),0),"")</f>
        <v/>
      </c>
      <c r="AW566">
        <f t="shared" si="150"/>
        <v>0</v>
      </c>
      <c r="AX566">
        <f t="shared" si="151"/>
        <v>0</v>
      </c>
      <c r="AY566">
        <f t="shared" si="152"/>
        <v>0</v>
      </c>
    </row>
    <row r="567" customHeight="1" spans="1:51">
      <c r="A567" s="18" t="s">
        <v>391</v>
      </c>
      <c r="C567" s="18">
        <v>2</v>
      </c>
      <c r="D567" s="1" t="s">
        <v>247</v>
      </c>
      <c r="E567" s="1" t="s">
        <v>222</v>
      </c>
      <c r="L567" s="18">
        <f>IFERROR(VLOOKUP($D567&amp;$C567,生产方式定位!$A$2:$E$38,2,FALSE)+VLOOKUP($E567&amp;$C567,生产方式定位!$F$3:$J$38,2,FALSE),0)</f>
        <v>4500</v>
      </c>
      <c r="S567" s="18">
        <f>IFERROR(VLOOKUP($D567&amp;$C567,生产方式定位!$A$2:$E$38,3,FALSE)+VLOOKUP($E567&amp;$C567,生产方式定位!$F$3:$J$38,3,FALSE),0)</f>
        <v>90</v>
      </c>
      <c r="X567" s="18">
        <f>IFERROR(VLOOKUP($D567&amp;$C567,生产方式定位!$A$2:$E$38,5,FALSE)+VLOOKUP($E567&amp;$C567,生产方式定位!$F$3:$J$38,5,FALSE),"错误")</f>
        <v>5049</v>
      </c>
      <c r="Y567" s="27" t="str">
        <f t="shared" si="136"/>
        <v/>
      </c>
      <c r="Z567" s="50" t="str">
        <f t="shared" si="139"/>
        <v/>
      </c>
      <c r="AA567" s="50" t="str">
        <f t="shared" si="137"/>
        <v/>
      </c>
      <c r="AB567" s="28" t="str">
        <f t="shared" si="140"/>
        <v>12%</v>
      </c>
      <c r="AC567" s="1">
        <f t="shared" si="141"/>
        <v>459</v>
      </c>
      <c r="AD567" s="52">
        <f t="shared" si="138"/>
        <v>2</v>
      </c>
      <c r="AE567" t="str">
        <f t="shared" si="142"/>
        <v/>
      </c>
      <c r="AF567" t="str">
        <f t="shared" si="143"/>
        <v/>
      </c>
      <c r="AG567" t="str">
        <f t="shared" si="144"/>
        <v/>
      </c>
      <c r="AH567" t="str">
        <f t="shared" si="145"/>
        <v/>
      </c>
      <c r="AI567" t="str">
        <f t="shared" si="146"/>
        <v/>
      </c>
      <c r="AJ567" t="str">
        <f t="shared" si="147"/>
        <v/>
      </c>
      <c r="AK567" t="str">
        <f t="shared" si="148"/>
        <v/>
      </c>
      <c r="AL567" t="str">
        <f t="shared" si="149"/>
        <v/>
      </c>
      <c r="AN567" t="str">
        <f>IFERROR(ROUND(L567*(G567/$AW567)/VLOOKUP(F567,商品!$A$4:$D$67,4,FALSE),0),"")</f>
        <v/>
      </c>
      <c r="AO567" t="str">
        <f>IFERROR(ROUND(L567*(I567/$AW567)/VLOOKUP(H567,商品!$A$4:$D$67,4,FALSE),0),"")</f>
        <v/>
      </c>
      <c r="AP567" t="str">
        <f>IFERROR(ROUND(L567*(K567/$AW567)/VLOOKUP(J567,商品!$A$4:$D$67,4,FALSE),0),"")</f>
        <v/>
      </c>
      <c r="AQ567" t="str">
        <f>IFERROR(ROUND(S567*(N567/$AX567)/VLOOKUP(M567,职业!$A$3:$E$16,4,FALSE),0),"")</f>
        <v/>
      </c>
      <c r="AR567" t="str">
        <f>IFERROR(ROUND(S567*(P567/$AX567)/VLOOKUP(O567,职业!$A$3:$E$16,4,FALSE),0),"")</f>
        <v/>
      </c>
      <c r="AS567" t="str">
        <f>IFERROR(ROUND(S567*(R567/$AX567)/VLOOKUP(Q567,职业!$A$3:$E$16,4,FALSE),0),"")</f>
        <v/>
      </c>
      <c r="AT567" t="str">
        <f>IFERROR(ROUND(X567*(U567/$AY567)/VLOOKUP(T567,商品!$A$4:$D$67,4,FALSE),0),"")</f>
        <v/>
      </c>
      <c r="AU567" t="str">
        <f>IFERROR(ROUND(X567*(W567/$AY567)/VLOOKUP(V567,商品!$A$4:$D$67,4,FALSE),0),"")</f>
        <v/>
      </c>
      <c r="AW567">
        <f t="shared" si="150"/>
        <v>0</v>
      </c>
      <c r="AX567">
        <f t="shared" si="151"/>
        <v>0</v>
      </c>
      <c r="AY567">
        <f t="shared" si="152"/>
        <v>0</v>
      </c>
    </row>
    <row r="568" customHeight="1" spans="1:51">
      <c r="A568" s="18" t="s">
        <v>391</v>
      </c>
      <c r="C568" s="18">
        <v>3</v>
      </c>
      <c r="D568" s="1" t="s">
        <v>247</v>
      </c>
      <c r="E568" s="1" t="s">
        <v>222</v>
      </c>
      <c r="L568" s="18">
        <f>IFERROR(VLOOKUP($D568&amp;$C568,生产方式定位!$A$2:$E$38,2,FALSE)+VLOOKUP($E568&amp;$C568,生产方式定位!$F$3:$J$38,2,FALSE),0)</f>
        <v>5625</v>
      </c>
      <c r="S568" s="18">
        <f>IFERROR(VLOOKUP($D568&amp;$C568,生产方式定位!$A$2:$E$38,3,FALSE)+VLOOKUP($E568&amp;$C568,生产方式定位!$F$3:$J$38,3,FALSE),0)</f>
        <v>80</v>
      </c>
      <c r="X568" s="18">
        <f>IFERROR(VLOOKUP($D568&amp;$C568,生产方式定位!$A$2:$E$38,5,FALSE)+VLOOKUP($E568&amp;$C568,生产方式定位!$F$3:$J$38,5,FALSE),"错误")</f>
        <v>6276</v>
      </c>
      <c r="Y568" s="27" t="str">
        <f t="shared" si="136"/>
        <v/>
      </c>
      <c r="Z568" s="50" t="str">
        <f t="shared" si="139"/>
        <v/>
      </c>
      <c r="AA568" s="50" t="str">
        <f t="shared" si="137"/>
        <v/>
      </c>
      <c r="AB568" s="28" t="str">
        <f t="shared" si="140"/>
        <v>12%</v>
      </c>
      <c r="AC568" s="1">
        <f t="shared" si="141"/>
        <v>571</v>
      </c>
      <c r="AD568" s="52">
        <f t="shared" si="138"/>
        <v>3</v>
      </c>
      <c r="AE568" t="str">
        <f t="shared" si="142"/>
        <v/>
      </c>
      <c r="AF568" t="str">
        <f t="shared" si="143"/>
        <v/>
      </c>
      <c r="AG568" t="str">
        <f t="shared" si="144"/>
        <v/>
      </c>
      <c r="AH568" t="str">
        <f t="shared" si="145"/>
        <v/>
      </c>
      <c r="AI568" t="str">
        <f t="shared" si="146"/>
        <v/>
      </c>
      <c r="AJ568" t="str">
        <f t="shared" si="147"/>
        <v/>
      </c>
      <c r="AK568" t="str">
        <f t="shared" si="148"/>
        <v/>
      </c>
      <c r="AL568" t="str">
        <f t="shared" si="149"/>
        <v/>
      </c>
      <c r="AN568" t="str">
        <f>IFERROR(ROUND(L568*(G568/$AW568)/VLOOKUP(F568,商品!$A$4:$D$67,4,FALSE),0),"")</f>
        <v/>
      </c>
      <c r="AO568" t="str">
        <f>IFERROR(ROUND(L568*(I568/$AW568)/VLOOKUP(H568,商品!$A$4:$D$67,4,FALSE),0),"")</f>
        <v/>
      </c>
      <c r="AP568" t="str">
        <f>IFERROR(ROUND(L568*(K568/$AW568)/VLOOKUP(J568,商品!$A$4:$D$67,4,FALSE),0),"")</f>
        <v/>
      </c>
      <c r="AQ568" t="str">
        <f>IFERROR(ROUND(S568*(N568/$AX568)/VLOOKUP(M568,职业!$A$3:$E$16,4,FALSE),0),"")</f>
        <v/>
      </c>
      <c r="AR568" t="str">
        <f>IFERROR(ROUND(S568*(P568/$AX568)/VLOOKUP(O568,职业!$A$3:$E$16,4,FALSE),0),"")</f>
        <v/>
      </c>
      <c r="AS568" t="str">
        <f>IFERROR(ROUND(S568*(R568/$AX568)/VLOOKUP(Q568,职业!$A$3:$E$16,4,FALSE),0),"")</f>
        <v/>
      </c>
      <c r="AT568" t="str">
        <f>IFERROR(ROUND(X568*(U568/$AY568)/VLOOKUP(T568,商品!$A$4:$D$67,4,FALSE),0),"")</f>
        <v/>
      </c>
      <c r="AU568" t="str">
        <f>IFERROR(ROUND(X568*(W568/$AY568)/VLOOKUP(V568,商品!$A$4:$D$67,4,FALSE),0),"")</f>
        <v/>
      </c>
      <c r="AW568">
        <f t="shared" si="150"/>
        <v>0</v>
      </c>
      <c r="AX568">
        <f t="shared" si="151"/>
        <v>0</v>
      </c>
      <c r="AY568">
        <f t="shared" si="152"/>
        <v>0</v>
      </c>
    </row>
    <row r="569" customHeight="1" spans="1:51">
      <c r="A569" s="18" t="s">
        <v>391</v>
      </c>
      <c r="C569" s="18">
        <v>4</v>
      </c>
      <c r="D569" s="1" t="s">
        <v>247</v>
      </c>
      <c r="E569" s="1" t="s">
        <v>222</v>
      </c>
      <c r="L569" s="18">
        <f>IFERROR(VLOOKUP($D569&amp;$C569,生产方式定位!$A$2:$E$38,2,FALSE)+VLOOKUP($E569&amp;$C569,生产方式定位!$F$3:$J$38,2,FALSE),0)</f>
        <v>6750</v>
      </c>
      <c r="S569" s="18">
        <f>IFERROR(VLOOKUP($D569&amp;$C569,生产方式定位!$A$2:$E$38,3,FALSE)+VLOOKUP($E569&amp;$C569,生产方式定位!$F$3:$J$38,3,FALSE),0)</f>
        <v>70</v>
      </c>
      <c r="X569" s="18">
        <f>IFERROR(VLOOKUP($D569&amp;$C569,生产方式定位!$A$2:$E$38,5,FALSE)+VLOOKUP($E569&amp;$C569,生产方式定位!$F$3:$J$38,5,FALSE),"错误")</f>
        <v>7502</v>
      </c>
      <c r="Y569" s="27" t="str">
        <f t="shared" si="136"/>
        <v/>
      </c>
      <c r="Z569" s="50" t="str">
        <f t="shared" si="139"/>
        <v/>
      </c>
      <c r="AA569" s="50" t="str">
        <f t="shared" si="137"/>
        <v/>
      </c>
      <c r="AB569" s="28" t="str">
        <f t="shared" si="140"/>
        <v>11%</v>
      </c>
      <c r="AC569" s="1">
        <f t="shared" si="141"/>
        <v>682</v>
      </c>
      <c r="AD569" s="52">
        <f t="shared" si="138"/>
        <v>4</v>
      </c>
      <c r="AE569" t="str">
        <f t="shared" si="142"/>
        <v/>
      </c>
      <c r="AF569" t="str">
        <f t="shared" si="143"/>
        <v/>
      </c>
      <c r="AG569" t="str">
        <f t="shared" si="144"/>
        <v/>
      </c>
      <c r="AH569" t="str">
        <f t="shared" si="145"/>
        <v/>
      </c>
      <c r="AI569" t="str">
        <f t="shared" si="146"/>
        <v/>
      </c>
      <c r="AJ569" t="str">
        <f t="shared" si="147"/>
        <v/>
      </c>
      <c r="AK569" t="str">
        <f t="shared" si="148"/>
        <v/>
      </c>
      <c r="AL569" t="str">
        <f t="shared" si="149"/>
        <v/>
      </c>
      <c r="AN569" t="str">
        <f>IFERROR(ROUND(L569*(G569/$AW569)/VLOOKUP(F569,商品!$A$4:$D$67,4,FALSE),0),"")</f>
        <v/>
      </c>
      <c r="AO569" t="str">
        <f>IFERROR(ROUND(L569*(I569/$AW569)/VLOOKUP(H569,商品!$A$4:$D$67,4,FALSE),0),"")</f>
        <v/>
      </c>
      <c r="AP569" t="str">
        <f>IFERROR(ROUND(L569*(K569/$AW569)/VLOOKUP(J569,商品!$A$4:$D$67,4,FALSE),0),"")</f>
        <v/>
      </c>
      <c r="AQ569" t="str">
        <f>IFERROR(ROUND(S569*(N569/$AX569)/VLOOKUP(M569,职业!$A$3:$E$16,4,FALSE),0),"")</f>
        <v/>
      </c>
      <c r="AR569" t="str">
        <f>IFERROR(ROUND(S569*(P569/$AX569)/VLOOKUP(O569,职业!$A$3:$E$16,4,FALSE),0),"")</f>
        <v/>
      </c>
      <c r="AS569" t="str">
        <f>IFERROR(ROUND(S569*(R569/$AX569)/VLOOKUP(Q569,职业!$A$3:$E$16,4,FALSE),0),"")</f>
        <v/>
      </c>
      <c r="AT569" t="str">
        <f>IFERROR(ROUND(X569*(U569/$AY569)/VLOOKUP(T569,商品!$A$4:$D$67,4,FALSE),0),"")</f>
        <v/>
      </c>
      <c r="AU569" t="str">
        <f>IFERROR(ROUND(X569*(W569/$AY569)/VLOOKUP(V569,商品!$A$4:$D$67,4,FALSE),0),"")</f>
        <v/>
      </c>
      <c r="AW569">
        <f t="shared" si="150"/>
        <v>0</v>
      </c>
      <c r="AX569">
        <f t="shared" si="151"/>
        <v>0</v>
      </c>
      <c r="AY569">
        <f t="shared" si="152"/>
        <v>0</v>
      </c>
    </row>
    <row r="570" customHeight="1" spans="1:51">
      <c r="A570" s="18" t="s">
        <v>391</v>
      </c>
      <c r="C570" s="18">
        <v>5</v>
      </c>
      <c r="D570" s="1" t="s">
        <v>247</v>
      </c>
      <c r="E570" s="1" t="s">
        <v>222</v>
      </c>
      <c r="L570" s="18">
        <f>IFERROR(VLOOKUP($D570&amp;$C570,生产方式定位!$A$2:$E$38,2,FALSE)+VLOOKUP($E570&amp;$C570,生产方式定位!$F$3:$J$38,2,FALSE),0)</f>
        <v>7875</v>
      </c>
      <c r="S570" s="18">
        <f>IFERROR(VLOOKUP($D570&amp;$C570,生产方式定位!$A$2:$E$38,3,FALSE)+VLOOKUP($E570&amp;$C570,生产方式定位!$F$3:$J$38,3,FALSE),0)</f>
        <v>60</v>
      </c>
      <c r="X570" s="18">
        <f>IFERROR(VLOOKUP($D570&amp;$C570,生产方式定位!$A$2:$E$38,5,FALSE)+VLOOKUP($E570&amp;$C570,生产方式定位!$F$3:$J$38,5,FALSE),"错误")</f>
        <v>8729</v>
      </c>
      <c r="Y570" s="27" t="str">
        <f t="shared" si="136"/>
        <v/>
      </c>
      <c r="Z570" s="50" t="str">
        <f t="shared" si="139"/>
        <v/>
      </c>
      <c r="AA570" s="50" t="str">
        <f t="shared" si="137"/>
        <v/>
      </c>
      <c r="AB570" s="28" t="str">
        <f t="shared" si="140"/>
        <v>11%</v>
      </c>
      <c r="AC570" s="1">
        <f t="shared" si="141"/>
        <v>794</v>
      </c>
      <c r="AD570" s="52">
        <f t="shared" si="138"/>
        <v>5</v>
      </c>
      <c r="AE570" t="str">
        <f t="shared" si="142"/>
        <v/>
      </c>
      <c r="AF570" t="str">
        <f t="shared" si="143"/>
        <v/>
      </c>
      <c r="AG570" t="str">
        <f t="shared" si="144"/>
        <v/>
      </c>
      <c r="AH570" t="str">
        <f t="shared" si="145"/>
        <v/>
      </c>
      <c r="AI570" t="str">
        <f t="shared" si="146"/>
        <v/>
      </c>
      <c r="AJ570" t="str">
        <f t="shared" si="147"/>
        <v/>
      </c>
      <c r="AK570" t="str">
        <f t="shared" si="148"/>
        <v/>
      </c>
      <c r="AL570" t="str">
        <f t="shared" si="149"/>
        <v/>
      </c>
      <c r="AN570" t="str">
        <f>IFERROR(ROUND(L570*(G570/$AW570)/VLOOKUP(F570,商品!$A$4:$D$67,4,FALSE),0),"")</f>
        <v/>
      </c>
      <c r="AO570" t="str">
        <f>IFERROR(ROUND(L570*(I570/$AW570)/VLOOKUP(H570,商品!$A$4:$D$67,4,FALSE),0),"")</f>
        <v/>
      </c>
      <c r="AP570" t="str">
        <f>IFERROR(ROUND(L570*(K570/$AW570)/VLOOKUP(J570,商品!$A$4:$D$67,4,FALSE),0),"")</f>
        <v/>
      </c>
      <c r="AQ570" t="str">
        <f>IFERROR(ROUND(S570*(N570/$AX570)/VLOOKUP(M570,职业!$A$3:$E$16,4,FALSE),0),"")</f>
        <v/>
      </c>
      <c r="AR570" t="str">
        <f>IFERROR(ROUND(S570*(P570/$AX570)/VLOOKUP(O570,职业!$A$3:$E$16,4,FALSE),0),"")</f>
        <v/>
      </c>
      <c r="AS570" t="str">
        <f>IFERROR(ROUND(S570*(R570/$AX570)/VLOOKUP(Q570,职业!$A$3:$E$16,4,FALSE),0),"")</f>
        <v/>
      </c>
      <c r="AT570" t="str">
        <f>IFERROR(ROUND(X570*(U570/$AY570)/VLOOKUP(T570,商品!$A$4:$D$67,4,FALSE),0),"")</f>
        <v/>
      </c>
      <c r="AU570" t="str">
        <f>IFERROR(ROUND(X570*(W570/$AY570)/VLOOKUP(V570,商品!$A$4:$D$67,4,FALSE),0),"")</f>
        <v/>
      </c>
      <c r="AW570">
        <f t="shared" si="150"/>
        <v>0</v>
      </c>
      <c r="AX570">
        <f t="shared" si="151"/>
        <v>0</v>
      </c>
      <c r="AY570">
        <f t="shared" si="152"/>
        <v>0</v>
      </c>
    </row>
    <row r="571" customHeight="1" spans="1:51">
      <c r="A571" s="5" t="s">
        <v>393</v>
      </c>
      <c r="C571" s="5">
        <v>1</v>
      </c>
      <c r="D571" s="1" t="s">
        <v>238</v>
      </c>
      <c r="E571" s="1" t="s">
        <v>222</v>
      </c>
      <c r="L571" s="5">
        <f>IFERROR(VLOOKUP($D571&amp;$C571,生产方式定位!$A$2:$E$38,2,FALSE)+VLOOKUP($E571&amp;$C571,生产方式定位!$F$3:$J$38,2,FALSE),0)</f>
        <v>1000</v>
      </c>
      <c r="S571" s="5">
        <f>IFERROR(VLOOKUP($D571&amp;$C571,生产方式定位!$A$2:$E$38,3,FALSE)+VLOOKUP($E571&amp;$C571,生产方式定位!$F$3:$J$38,3,FALSE),0)</f>
        <v>80</v>
      </c>
      <c r="X571" s="5">
        <f>IFERROR(VLOOKUP($D571&amp;$C571,生产方式定位!$A$2:$E$38,5,FALSE)+VLOOKUP($E571&amp;$C571,生产方式定位!$F$3:$J$38,5,FALSE),"错误")</f>
        <v>972</v>
      </c>
      <c r="Y571" s="27" t="str">
        <f t="shared" si="136"/>
        <v/>
      </c>
      <c r="Z571" s="50" t="str">
        <f t="shared" si="139"/>
        <v/>
      </c>
      <c r="AA571" s="50" t="str">
        <f t="shared" si="137"/>
        <v/>
      </c>
      <c r="AB571" s="28" t="str">
        <f t="shared" si="140"/>
        <v>-3%</v>
      </c>
      <c r="AC571" s="1">
        <f t="shared" si="141"/>
        <v>-108</v>
      </c>
      <c r="AD571" s="51">
        <f t="shared" si="138"/>
        <v>1</v>
      </c>
      <c r="AE571" t="str">
        <f t="shared" si="142"/>
        <v/>
      </c>
      <c r="AF571" t="str">
        <f t="shared" si="143"/>
        <v/>
      </c>
      <c r="AG571" t="str">
        <f t="shared" si="144"/>
        <v/>
      </c>
      <c r="AH571" t="str">
        <f t="shared" si="145"/>
        <v/>
      </c>
      <c r="AI571" t="str">
        <f t="shared" si="146"/>
        <v/>
      </c>
      <c r="AJ571" t="str">
        <f t="shared" si="147"/>
        <v/>
      </c>
      <c r="AK571" t="str">
        <f t="shared" si="148"/>
        <v/>
      </c>
      <c r="AL571" t="str">
        <f t="shared" si="149"/>
        <v/>
      </c>
      <c r="AN571" t="str">
        <f>IFERROR(ROUND(L571*(G571/$AW571)/VLOOKUP(F571,商品!$A$4:$D$67,4,FALSE),0),"")</f>
        <v/>
      </c>
      <c r="AO571" t="str">
        <f>IFERROR(ROUND(L571*(I571/$AW571)/VLOOKUP(H571,商品!$A$4:$D$67,4,FALSE),0),"")</f>
        <v/>
      </c>
      <c r="AP571" t="str">
        <f>IFERROR(ROUND(L571*(K571/$AW571)/VLOOKUP(J571,商品!$A$4:$D$67,4,FALSE),0),"")</f>
        <v/>
      </c>
      <c r="AQ571" t="str">
        <f>IFERROR(ROUND(S571*(N571/$AX571)/VLOOKUP(M571,职业!$A$3:$E$16,4,FALSE),0),"")</f>
        <v/>
      </c>
      <c r="AR571" t="str">
        <f>IFERROR(ROUND(S571*(P571/$AX571)/VLOOKUP(O571,职业!$A$3:$E$16,4,FALSE),0),"")</f>
        <v/>
      </c>
      <c r="AS571" t="str">
        <f>IFERROR(ROUND(S571*(R571/$AX571)/VLOOKUP(Q571,职业!$A$3:$E$16,4,FALSE),0),"")</f>
        <v/>
      </c>
      <c r="AT571" t="str">
        <f>IFERROR(ROUND(X571*(U571/$AY571)/VLOOKUP(T571,商品!$A$4:$D$67,4,FALSE),0),"")</f>
        <v/>
      </c>
      <c r="AU571" t="str">
        <f>IFERROR(ROUND(X571*(W571/$AY571)/VLOOKUP(V571,商品!$A$4:$D$67,4,FALSE),0),"")</f>
        <v/>
      </c>
      <c r="AW571">
        <f t="shared" si="150"/>
        <v>0</v>
      </c>
      <c r="AX571">
        <f t="shared" si="151"/>
        <v>0</v>
      </c>
      <c r="AY571">
        <f t="shared" si="152"/>
        <v>0</v>
      </c>
    </row>
    <row r="572" customHeight="1" spans="1:51">
      <c r="A572" s="5" t="s">
        <v>393</v>
      </c>
      <c r="C572" s="5">
        <v>2</v>
      </c>
      <c r="D572" s="1" t="s">
        <v>238</v>
      </c>
      <c r="E572" s="1" t="s">
        <v>222</v>
      </c>
      <c r="L572" s="5">
        <f>IFERROR(VLOOKUP($D572&amp;$C572,生产方式定位!$A$2:$E$38,2,FALSE)+VLOOKUP($E572&amp;$C572,生产方式定位!$F$3:$J$38,2,FALSE),0)</f>
        <v>1400</v>
      </c>
      <c r="S572" s="5">
        <f>IFERROR(VLOOKUP($D572&amp;$C572,生产方式定位!$A$2:$E$38,3,FALSE)+VLOOKUP($E572&amp;$C572,生产方式定位!$F$3:$J$38,3,FALSE),0)</f>
        <v>85</v>
      </c>
      <c r="X572" s="5">
        <f>IFERROR(VLOOKUP($D572&amp;$C572,生产方式定位!$A$2:$E$38,5,FALSE)+VLOOKUP($E572&amp;$C572,生产方式定位!$F$3:$J$38,5,FALSE),"错误")</f>
        <v>1732</v>
      </c>
      <c r="Y572" s="27" t="str">
        <f t="shared" si="136"/>
        <v/>
      </c>
      <c r="Z572" s="50" t="str">
        <f t="shared" si="139"/>
        <v/>
      </c>
      <c r="AA572" s="50" t="str">
        <f t="shared" si="137"/>
        <v/>
      </c>
      <c r="AB572" s="28" t="str">
        <f t="shared" si="140"/>
        <v>24%</v>
      </c>
      <c r="AC572" s="1">
        <f t="shared" si="141"/>
        <v>247</v>
      </c>
      <c r="AD572" s="51">
        <f t="shared" si="138"/>
        <v>2</v>
      </c>
      <c r="AE572" t="str">
        <f t="shared" si="142"/>
        <v/>
      </c>
      <c r="AF572" t="str">
        <f t="shared" si="143"/>
        <v/>
      </c>
      <c r="AG572" t="str">
        <f t="shared" si="144"/>
        <v/>
      </c>
      <c r="AH572" t="str">
        <f t="shared" si="145"/>
        <v/>
      </c>
      <c r="AI572" t="str">
        <f t="shared" si="146"/>
        <v/>
      </c>
      <c r="AJ572" t="str">
        <f t="shared" si="147"/>
        <v/>
      </c>
      <c r="AK572" t="str">
        <f t="shared" si="148"/>
        <v/>
      </c>
      <c r="AL572" t="str">
        <f t="shared" si="149"/>
        <v/>
      </c>
      <c r="AN572" t="str">
        <f>IFERROR(ROUND(L572*(G572/$AW572)/VLOOKUP(F572,商品!$A$4:$D$67,4,FALSE),0),"")</f>
        <v/>
      </c>
      <c r="AO572" t="str">
        <f>IFERROR(ROUND(L572*(I572/$AW572)/VLOOKUP(H572,商品!$A$4:$D$67,4,FALSE),0),"")</f>
        <v/>
      </c>
      <c r="AP572" t="str">
        <f>IFERROR(ROUND(L572*(K572/$AW572)/VLOOKUP(J572,商品!$A$4:$D$67,4,FALSE),0),"")</f>
        <v/>
      </c>
      <c r="AQ572" t="str">
        <f>IFERROR(ROUND(S572*(N572/$AX572)/VLOOKUP(M572,职业!$A$3:$E$16,4,FALSE),0),"")</f>
        <v/>
      </c>
      <c r="AR572" t="str">
        <f>IFERROR(ROUND(S572*(P572/$AX572)/VLOOKUP(O572,职业!$A$3:$E$16,4,FALSE),0),"")</f>
        <v/>
      </c>
      <c r="AS572" t="str">
        <f>IFERROR(ROUND(S572*(R572/$AX572)/VLOOKUP(Q572,职业!$A$3:$E$16,4,FALSE),0),"")</f>
        <v/>
      </c>
      <c r="AT572" t="str">
        <f>IFERROR(ROUND(X572*(U572/$AY572)/VLOOKUP(T572,商品!$A$4:$D$67,4,FALSE),0),"")</f>
        <v/>
      </c>
      <c r="AU572" t="str">
        <f>IFERROR(ROUND(X572*(W572/$AY572)/VLOOKUP(V572,商品!$A$4:$D$67,4,FALSE),0),"")</f>
        <v/>
      </c>
      <c r="AW572">
        <f t="shared" si="150"/>
        <v>0</v>
      </c>
      <c r="AX572">
        <f t="shared" si="151"/>
        <v>0</v>
      </c>
      <c r="AY572">
        <f t="shared" si="152"/>
        <v>0</v>
      </c>
    </row>
    <row r="573" customHeight="1" spans="1:51">
      <c r="A573" s="5" t="s">
        <v>393</v>
      </c>
      <c r="C573" s="5">
        <v>3</v>
      </c>
      <c r="D573" s="1" t="s">
        <v>238</v>
      </c>
      <c r="E573" s="1" t="s">
        <v>222</v>
      </c>
      <c r="L573" s="5">
        <f>IFERROR(VLOOKUP($D573&amp;$C573,生产方式定位!$A$2:$E$38,2,FALSE)+VLOOKUP($E573&amp;$C573,生产方式定位!$F$3:$J$38,2,FALSE),0)</f>
        <v>1425</v>
      </c>
      <c r="S573" s="5">
        <f>IFERROR(VLOOKUP($D573&amp;$C573,生产方式定位!$A$2:$E$38,3,FALSE)+VLOOKUP($E573&amp;$C573,生产方式定位!$F$3:$J$38,3,FALSE),0)</f>
        <v>90</v>
      </c>
      <c r="X573" s="5">
        <f>IFERROR(VLOOKUP($D573&amp;$C573,生产方式定位!$A$2:$E$38,5,FALSE)+VLOOKUP($E573&amp;$C573,生产方式定位!$F$3:$J$38,5,FALSE),"错误")</f>
        <v>2112</v>
      </c>
      <c r="Y573" s="27" t="str">
        <f t="shared" si="136"/>
        <v/>
      </c>
      <c r="Z573" s="50" t="str">
        <f t="shared" si="139"/>
        <v/>
      </c>
      <c r="AA573" s="50" t="str">
        <f t="shared" si="137"/>
        <v/>
      </c>
      <c r="AB573" s="28" t="str">
        <f t="shared" si="140"/>
        <v>48%</v>
      </c>
      <c r="AC573" s="1">
        <f t="shared" si="141"/>
        <v>597</v>
      </c>
      <c r="AD573" s="51">
        <f t="shared" si="138"/>
        <v>3</v>
      </c>
      <c r="AE573" t="str">
        <f t="shared" si="142"/>
        <v/>
      </c>
      <c r="AF573" t="str">
        <f t="shared" si="143"/>
        <v/>
      </c>
      <c r="AG573" t="str">
        <f t="shared" si="144"/>
        <v/>
      </c>
      <c r="AH573" t="str">
        <f t="shared" si="145"/>
        <v/>
      </c>
      <c r="AI573" t="str">
        <f t="shared" si="146"/>
        <v/>
      </c>
      <c r="AJ573" t="str">
        <f t="shared" si="147"/>
        <v/>
      </c>
      <c r="AK573" t="str">
        <f t="shared" si="148"/>
        <v/>
      </c>
      <c r="AL573" t="str">
        <f t="shared" si="149"/>
        <v/>
      </c>
      <c r="AN573" t="str">
        <f>IFERROR(ROUND(L573*(G573/$AW573)/VLOOKUP(F573,商品!$A$4:$D$67,4,FALSE),0),"")</f>
        <v/>
      </c>
      <c r="AO573" t="str">
        <f>IFERROR(ROUND(L573*(I573/$AW573)/VLOOKUP(H573,商品!$A$4:$D$67,4,FALSE),0),"")</f>
        <v/>
      </c>
      <c r="AP573" t="str">
        <f>IFERROR(ROUND(L573*(K573/$AW573)/VLOOKUP(J573,商品!$A$4:$D$67,4,FALSE),0),"")</f>
        <v/>
      </c>
      <c r="AQ573" t="str">
        <f>IFERROR(ROUND(S573*(N573/$AX573)/VLOOKUP(M573,职业!$A$3:$E$16,4,FALSE),0),"")</f>
        <v/>
      </c>
      <c r="AR573" t="str">
        <f>IFERROR(ROUND(S573*(P573/$AX573)/VLOOKUP(O573,职业!$A$3:$E$16,4,FALSE),0),"")</f>
        <v/>
      </c>
      <c r="AS573" t="str">
        <f>IFERROR(ROUND(S573*(R573/$AX573)/VLOOKUP(Q573,职业!$A$3:$E$16,4,FALSE),0),"")</f>
        <v/>
      </c>
      <c r="AT573" t="str">
        <f>IFERROR(ROUND(X573*(U573/$AY573)/VLOOKUP(T573,商品!$A$4:$D$67,4,FALSE),0),"")</f>
        <v/>
      </c>
      <c r="AU573" t="str">
        <f>IFERROR(ROUND(X573*(W573/$AY573)/VLOOKUP(V573,商品!$A$4:$D$67,4,FALSE),0),"")</f>
        <v/>
      </c>
      <c r="AW573">
        <f t="shared" si="150"/>
        <v>0</v>
      </c>
      <c r="AX573">
        <f t="shared" si="151"/>
        <v>0</v>
      </c>
      <c r="AY573">
        <f t="shared" si="152"/>
        <v>0</v>
      </c>
    </row>
    <row r="574" customHeight="1" spans="1:51">
      <c r="A574" s="5" t="s">
        <v>393</v>
      </c>
      <c r="C574" s="5">
        <v>4</v>
      </c>
      <c r="D574" s="1" t="s">
        <v>238</v>
      </c>
      <c r="E574" s="1" t="s">
        <v>222</v>
      </c>
      <c r="L574" s="5">
        <f>IFERROR(VLOOKUP($D574&amp;$C574,生产方式定位!$A$2:$E$38,2,FALSE)+VLOOKUP($E574&amp;$C574,生产方式定位!$F$3:$J$38,2,FALSE),0)</f>
        <v>1450</v>
      </c>
      <c r="S574" s="5">
        <f>IFERROR(VLOOKUP($D574&amp;$C574,生产方式定位!$A$2:$E$38,3,FALSE)+VLOOKUP($E574&amp;$C574,生产方式定位!$F$3:$J$38,3,FALSE),0)</f>
        <v>95</v>
      </c>
      <c r="X574" s="5">
        <f>IFERROR(VLOOKUP($D574&amp;$C574,生产方式定位!$A$2:$E$38,5,FALSE)+VLOOKUP($E574&amp;$C574,生产方式定位!$F$3:$J$38,5,FALSE),"错误")</f>
        <v>2733</v>
      </c>
      <c r="Y574" s="27" t="str">
        <f t="shared" si="136"/>
        <v/>
      </c>
      <c r="Z574" s="50" t="str">
        <f t="shared" si="139"/>
        <v/>
      </c>
      <c r="AA574" s="50" t="str">
        <f t="shared" si="137"/>
        <v/>
      </c>
      <c r="AB574" s="28" t="str">
        <f t="shared" si="140"/>
        <v>88%</v>
      </c>
      <c r="AC574" s="1">
        <f t="shared" si="141"/>
        <v>1188</v>
      </c>
      <c r="AD574" s="51">
        <f t="shared" si="138"/>
        <v>4</v>
      </c>
      <c r="AE574" t="str">
        <f t="shared" si="142"/>
        <v/>
      </c>
      <c r="AF574" t="str">
        <f t="shared" si="143"/>
        <v/>
      </c>
      <c r="AG574" t="str">
        <f t="shared" si="144"/>
        <v/>
      </c>
      <c r="AH574" t="str">
        <f t="shared" si="145"/>
        <v/>
      </c>
      <c r="AI574" t="str">
        <f t="shared" si="146"/>
        <v/>
      </c>
      <c r="AJ574" t="str">
        <f t="shared" si="147"/>
        <v/>
      </c>
      <c r="AK574" t="str">
        <f t="shared" si="148"/>
        <v/>
      </c>
      <c r="AL574" t="str">
        <f t="shared" si="149"/>
        <v/>
      </c>
      <c r="AN574" t="str">
        <f>IFERROR(ROUND(L574*(G574/$AW574)/VLOOKUP(F574,商品!$A$4:$D$67,4,FALSE),0),"")</f>
        <v/>
      </c>
      <c r="AO574" t="str">
        <f>IFERROR(ROUND(L574*(I574/$AW574)/VLOOKUP(H574,商品!$A$4:$D$67,4,FALSE),0),"")</f>
        <v/>
      </c>
      <c r="AP574" t="str">
        <f>IFERROR(ROUND(L574*(K574/$AW574)/VLOOKUP(J574,商品!$A$4:$D$67,4,FALSE),0),"")</f>
        <v/>
      </c>
      <c r="AQ574" t="str">
        <f>IFERROR(ROUND(S574*(N574/$AX574)/VLOOKUP(M574,职业!$A$3:$E$16,4,FALSE),0),"")</f>
        <v/>
      </c>
      <c r="AR574" t="str">
        <f>IFERROR(ROUND(S574*(P574/$AX574)/VLOOKUP(O574,职业!$A$3:$E$16,4,FALSE),0),"")</f>
        <v/>
      </c>
      <c r="AS574" t="str">
        <f>IFERROR(ROUND(S574*(R574/$AX574)/VLOOKUP(Q574,职业!$A$3:$E$16,4,FALSE),0),"")</f>
        <v/>
      </c>
      <c r="AT574" t="str">
        <f>IFERROR(ROUND(X574*(U574/$AY574)/VLOOKUP(T574,商品!$A$4:$D$67,4,FALSE),0),"")</f>
        <v/>
      </c>
      <c r="AU574" t="str">
        <f>IFERROR(ROUND(X574*(W574/$AY574)/VLOOKUP(V574,商品!$A$4:$D$67,4,FALSE),0),"")</f>
        <v/>
      </c>
      <c r="AW574">
        <f t="shared" si="150"/>
        <v>0</v>
      </c>
      <c r="AX574">
        <f t="shared" si="151"/>
        <v>0</v>
      </c>
      <c r="AY574">
        <f t="shared" si="152"/>
        <v>0</v>
      </c>
    </row>
    <row r="575" customHeight="1" spans="1:51">
      <c r="A575" s="5" t="s">
        <v>393</v>
      </c>
      <c r="C575" s="5">
        <v>5</v>
      </c>
      <c r="D575" s="1" t="s">
        <v>238</v>
      </c>
      <c r="E575" s="1" t="s">
        <v>222</v>
      </c>
      <c r="L575" s="5">
        <f>IFERROR(VLOOKUP($D575&amp;$C575,生产方式定位!$A$2:$E$38,2,FALSE)+VLOOKUP($E575&amp;$C575,生产方式定位!$F$3:$J$38,2,FALSE),0)</f>
        <v>1475</v>
      </c>
      <c r="S575" s="5">
        <f>IFERROR(VLOOKUP($D575&amp;$C575,生产方式定位!$A$2:$E$38,3,FALSE)+VLOOKUP($E575&amp;$C575,生产方式定位!$F$3:$J$38,3,FALSE),0)</f>
        <v>100</v>
      </c>
      <c r="X575" s="5">
        <f>IFERROR(VLOOKUP($D575&amp;$C575,生产方式定位!$A$2:$E$38,5,FALSE)+VLOOKUP($E575&amp;$C575,生产方式定位!$F$3:$J$38,5,FALSE),"错误")</f>
        <v>3763</v>
      </c>
      <c r="Y575" s="27" t="str">
        <f t="shared" si="136"/>
        <v/>
      </c>
      <c r="Z575" s="50" t="str">
        <f t="shared" si="139"/>
        <v/>
      </c>
      <c r="AA575" s="50" t="str">
        <f t="shared" si="137"/>
        <v/>
      </c>
      <c r="AB575" s="28" t="str">
        <f t="shared" si="140"/>
        <v>155%</v>
      </c>
      <c r="AC575" s="1">
        <f t="shared" si="141"/>
        <v>2188</v>
      </c>
      <c r="AD575" s="51">
        <f t="shared" si="138"/>
        <v>5</v>
      </c>
      <c r="AE575" t="str">
        <f t="shared" si="142"/>
        <v/>
      </c>
      <c r="AF575" t="str">
        <f t="shared" si="143"/>
        <v/>
      </c>
      <c r="AG575" t="str">
        <f t="shared" si="144"/>
        <v/>
      </c>
      <c r="AH575" t="str">
        <f t="shared" si="145"/>
        <v/>
      </c>
      <c r="AI575" t="str">
        <f t="shared" si="146"/>
        <v/>
      </c>
      <c r="AJ575" t="str">
        <f t="shared" si="147"/>
        <v/>
      </c>
      <c r="AK575" t="str">
        <f t="shared" si="148"/>
        <v/>
      </c>
      <c r="AL575" t="str">
        <f t="shared" si="149"/>
        <v/>
      </c>
      <c r="AN575" t="str">
        <f>IFERROR(ROUND(L575*(G575/$AW575)/VLOOKUP(F575,商品!$A$4:$D$67,4,FALSE),0),"")</f>
        <v/>
      </c>
      <c r="AO575" t="str">
        <f>IFERROR(ROUND(L575*(I575/$AW575)/VLOOKUP(H575,商品!$A$4:$D$67,4,FALSE),0),"")</f>
        <v/>
      </c>
      <c r="AP575" t="str">
        <f>IFERROR(ROUND(L575*(K575/$AW575)/VLOOKUP(J575,商品!$A$4:$D$67,4,FALSE),0),"")</f>
        <v/>
      </c>
      <c r="AQ575" t="str">
        <f>IFERROR(ROUND(S575*(N575/$AX575)/VLOOKUP(M575,职业!$A$3:$E$16,4,FALSE),0),"")</f>
        <v/>
      </c>
      <c r="AR575" t="str">
        <f>IFERROR(ROUND(S575*(P575/$AX575)/VLOOKUP(O575,职业!$A$3:$E$16,4,FALSE),0),"")</f>
        <v/>
      </c>
      <c r="AS575" t="str">
        <f>IFERROR(ROUND(S575*(R575/$AX575)/VLOOKUP(Q575,职业!$A$3:$E$16,4,FALSE),0),"")</f>
        <v/>
      </c>
      <c r="AT575" t="str">
        <f>IFERROR(ROUND(X575*(U575/$AY575)/VLOOKUP(T575,商品!$A$4:$D$67,4,FALSE),0),"")</f>
        <v/>
      </c>
      <c r="AU575" t="str">
        <f>IFERROR(ROUND(X575*(W575/$AY575)/VLOOKUP(V575,商品!$A$4:$D$67,4,FALSE),0),"")</f>
        <v/>
      </c>
      <c r="AW575">
        <f t="shared" si="150"/>
        <v>0</v>
      </c>
      <c r="AX575">
        <f t="shared" si="151"/>
        <v>0</v>
      </c>
      <c r="AY575">
        <f t="shared" si="152"/>
        <v>0</v>
      </c>
    </row>
    <row r="576" customHeight="1" spans="1:51">
      <c r="A576" s="18" t="s">
        <v>394</v>
      </c>
      <c r="C576" s="18">
        <v>1</v>
      </c>
      <c r="D576" s="1" t="s">
        <v>291</v>
      </c>
      <c r="E576" s="1" t="s">
        <v>225</v>
      </c>
      <c r="L576" s="18">
        <f>IFERROR(VLOOKUP($D576&amp;$C576,生产方式定位!$A$2:$E$38,2,FALSE)+VLOOKUP($E576&amp;$C576,生产方式定位!$F$3:$J$38,2,FALSE),0)</f>
        <v>0</v>
      </c>
      <c r="S576" s="18">
        <f>IFERROR(VLOOKUP($D576&amp;$C576,生产方式定位!$A$2:$E$38,3,FALSE)+VLOOKUP($E576&amp;$C576,生产方式定位!$F$3:$J$38,3,FALSE),0)</f>
        <v>100</v>
      </c>
      <c r="X576" s="18">
        <f>IFERROR(VLOOKUP($D576&amp;$C576,生产方式定位!$A$2:$E$38,5,FALSE)+VLOOKUP($E576&amp;$C576,生产方式定位!$F$3:$J$38,5,FALSE),"错误")</f>
        <v>100</v>
      </c>
      <c r="Y576" s="27" t="str">
        <f t="shared" si="136"/>
        <v/>
      </c>
      <c r="Z576" s="50" t="str">
        <f t="shared" si="139"/>
        <v/>
      </c>
      <c r="AA576" s="50" t="str">
        <f t="shared" si="137"/>
        <v/>
      </c>
      <c r="AB576" s="28" t="str">
        <f t="shared" si="140"/>
        <v/>
      </c>
      <c r="AC576" s="1" t="str">
        <f t="shared" si="141"/>
        <v/>
      </c>
      <c r="AD576" s="52">
        <f t="shared" si="138"/>
        <v>1</v>
      </c>
      <c r="AE576" t="str">
        <f t="shared" si="142"/>
        <v/>
      </c>
      <c r="AF576" t="str">
        <f t="shared" si="143"/>
        <v/>
      </c>
      <c r="AG576" t="str">
        <f t="shared" si="144"/>
        <v/>
      </c>
      <c r="AH576" t="str">
        <f t="shared" si="145"/>
        <v/>
      </c>
      <c r="AI576" t="str">
        <f t="shared" si="146"/>
        <v/>
      </c>
      <c r="AJ576" t="str">
        <f t="shared" si="147"/>
        <v/>
      </c>
      <c r="AK576" t="str">
        <f t="shared" si="148"/>
        <v/>
      </c>
      <c r="AL576" t="str">
        <f t="shared" si="149"/>
        <v/>
      </c>
      <c r="AN576" t="str">
        <f>IFERROR(ROUND(L576*(G576/$AW576)/VLOOKUP(F576,商品!$A$4:$D$67,4,FALSE),0),"")</f>
        <v/>
      </c>
      <c r="AO576" t="str">
        <f>IFERROR(ROUND(L576*(I576/$AW576)/VLOOKUP(H576,商品!$A$4:$D$67,4,FALSE),0),"")</f>
        <v/>
      </c>
      <c r="AP576" t="str">
        <f>IFERROR(ROUND(L576*(K576/$AW576)/VLOOKUP(J576,商品!$A$4:$D$67,4,FALSE),0),"")</f>
        <v/>
      </c>
      <c r="AQ576" t="str">
        <f>IFERROR(ROUND(S576*(N576/$AX576)/VLOOKUP(M576,职业!$A$3:$E$16,4,FALSE),0),"")</f>
        <v/>
      </c>
      <c r="AR576" t="str">
        <f>IFERROR(ROUND(S576*(P576/$AX576)/VLOOKUP(O576,职业!$A$3:$E$16,4,FALSE),0),"")</f>
        <v/>
      </c>
      <c r="AS576" t="str">
        <f>IFERROR(ROUND(S576*(R576/$AX576)/VLOOKUP(Q576,职业!$A$3:$E$16,4,FALSE),0),"")</f>
        <v/>
      </c>
      <c r="AT576" t="str">
        <f>IFERROR(ROUND(X576*(U576/$AY576)/VLOOKUP(T576,商品!$A$4:$D$67,4,FALSE),0),"")</f>
        <v/>
      </c>
      <c r="AU576" t="str">
        <f>IFERROR(ROUND(X576*(W576/$AY576)/VLOOKUP(V576,商品!$A$4:$D$67,4,FALSE),0),"")</f>
        <v/>
      </c>
      <c r="AW576">
        <f t="shared" si="150"/>
        <v>0</v>
      </c>
      <c r="AX576">
        <f t="shared" si="151"/>
        <v>0</v>
      </c>
      <c r="AY576">
        <f t="shared" si="152"/>
        <v>0</v>
      </c>
    </row>
    <row r="577" customHeight="1" spans="1:51">
      <c r="A577" s="18" t="s">
        <v>394</v>
      </c>
      <c r="C577" s="18">
        <v>2</v>
      </c>
      <c r="D577" s="1" t="s">
        <v>291</v>
      </c>
      <c r="E577" s="1" t="s">
        <v>225</v>
      </c>
      <c r="L577" s="18">
        <f>IFERROR(VLOOKUP($D577&amp;$C577,生产方式定位!$A$2:$E$38,2,FALSE)+VLOOKUP($E577&amp;$C577,生产方式定位!$F$3:$J$38,2,FALSE),0)</f>
        <v>0</v>
      </c>
      <c r="S577" s="18">
        <f>IFERROR(VLOOKUP($D577&amp;$C577,生产方式定位!$A$2:$E$38,3,FALSE)+VLOOKUP($E577&amp;$C577,生产方式定位!$F$3:$J$38,3,FALSE),0)</f>
        <v>100</v>
      </c>
      <c r="X577" s="18">
        <f>IFERROR(VLOOKUP($D577&amp;$C577,生产方式定位!$A$2:$E$38,5,FALSE)+VLOOKUP($E577&amp;$C577,生产方式定位!$F$3:$J$38,5,FALSE),"错误")</f>
        <v>100</v>
      </c>
      <c r="Y577" s="27" t="str">
        <f t="shared" si="136"/>
        <v/>
      </c>
      <c r="Z577" s="50" t="str">
        <f t="shared" si="139"/>
        <v/>
      </c>
      <c r="AA577" s="50" t="str">
        <f t="shared" si="137"/>
        <v/>
      </c>
      <c r="AB577" s="28" t="str">
        <f t="shared" si="140"/>
        <v/>
      </c>
      <c r="AC577" s="1" t="str">
        <f t="shared" si="141"/>
        <v/>
      </c>
      <c r="AD577" s="52">
        <f t="shared" si="138"/>
        <v>2</v>
      </c>
      <c r="AE577" t="str">
        <f t="shared" si="142"/>
        <v/>
      </c>
      <c r="AF577" t="str">
        <f t="shared" si="143"/>
        <v/>
      </c>
      <c r="AG577" t="str">
        <f t="shared" si="144"/>
        <v/>
      </c>
      <c r="AH577" t="str">
        <f t="shared" si="145"/>
        <v/>
      </c>
      <c r="AI577" t="str">
        <f t="shared" si="146"/>
        <v/>
      </c>
      <c r="AJ577" t="str">
        <f t="shared" si="147"/>
        <v/>
      </c>
      <c r="AK577" t="str">
        <f t="shared" si="148"/>
        <v/>
      </c>
      <c r="AL577" t="str">
        <f t="shared" si="149"/>
        <v/>
      </c>
      <c r="AN577" t="str">
        <f>IFERROR(ROUND(L577*(G577/$AW577)/VLOOKUP(F577,商品!$A$4:$D$67,4,FALSE),0),"")</f>
        <v/>
      </c>
      <c r="AO577" t="str">
        <f>IFERROR(ROUND(L577*(I577/$AW577)/VLOOKUP(H577,商品!$A$4:$D$67,4,FALSE),0),"")</f>
        <v/>
      </c>
      <c r="AP577" t="str">
        <f>IFERROR(ROUND(L577*(K577/$AW577)/VLOOKUP(J577,商品!$A$4:$D$67,4,FALSE),0),"")</f>
        <v/>
      </c>
      <c r="AQ577" t="str">
        <f>IFERROR(ROUND(S577*(N577/$AX577)/VLOOKUP(M577,职业!$A$3:$E$16,4,FALSE),0),"")</f>
        <v/>
      </c>
      <c r="AR577" t="str">
        <f>IFERROR(ROUND(S577*(P577/$AX577)/VLOOKUP(O577,职业!$A$3:$E$16,4,FALSE),0),"")</f>
        <v/>
      </c>
      <c r="AS577" t="str">
        <f>IFERROR(ROUND(S577*(R577/$AX577)/VLOOKUP(Q577,职业!$A$3:$E$16,4,FALSE),0),"")</f>
        <v/>
      </c>
      <c r="AT577" t="str">
        <f>IFERROR(ROUND(X577*(U577/$AY577)/VLOOKUP(T577,商品!$A$4:$D$67,4,FALSE),0),"")</f>
        <v/>
      </c>
      <c r="AU577" t="str">
        <f>IFERROR(ROUND(X577*(W577/$AY577)/VLOOKUP(V577,商品!$A$4:$D$67,4,FALSE),0),"")</f>
        <v/>
      </c>
      <c r="AW577">
        <f t="shared" si="150"/>
        <v>0</v>
      </c>
      <c r="AX577">
        <f t="shared" si="151"/>
        <v>0</v>
      </c>
      <c r="AY577">
        <f t="shared" si="152"/>
        <v>0</v>
      </c>
    </row>
    <row r="578" customHeight="1" spans="1:51">
      <c r="A578" s="18" t="s">
        <v>394</v>
      </c>
      <c r="C578" s="18">
        <v>3</v>
      </c>
      <c r="D578" s="1" t="s">
        <v>291</v>
      </c>
      <c r="E578" s="1" t="s">
        <v>225</v>
      </c>
      <c r="L578" s="18">
        <f>IFERROR(VLOOKUP($D578&amp;$C578,生产方式定位!$A$2:$E$38,2,FALSE)+VLOOKUP($E578&amp;$C578,生产方式定位!$F$3:$J$38,2,FALSE),0)</f>
        <v>0</v>
      </c>
      <c r="S578" s="18">
        <f>IFERROR(VLOOKUP($D578&amp;$C578,生产方式定位!$A$2:$E$38,3,FALSE)+VLOOKUP($E578&amp;$C578,生产方式定位!$F$3:$J$38,3,FALSE),0)</f>
        <v>100</v>
      </c>
      <c r="X578" s="18">
        <f>IFERROR(VLOOKUP($D578&amp;$C578,生产方式定位!$A$2:$E$38,5,FALSE)+VLOOKUP($E578&amp;$C578,生产方式定位!$F$3:$J$38,5,FALSE),"错误")</f>
        <v>100</v>
      </c>
      <c r="Y578" s="27" t="str">
        <f t="shared" si="136"/>
        <v/>
      </c>
      <c r="Z578" s="50" t="str">
        <f t="shared" si="139"/>
        <v/>
      </c>
      <c r="AA578" s="50" t="str">
        <f t="shared" si="137"/>
        <v/>
      </c>
      <c r="AB578" s="28" t="str">
        <f t="shared" si="140"/>
        <v/>
      </c>
      <c r="AC578" s="1" t="str">
        <f t="shared" si="141"/>
        <v/>
      </c>
      <c r="AD578" s="52">
        <f t="shared" si="138"/>
        <v>3</v>
      </c>
      <c r="AE578" t="str">
        <f t="shared" si="142"/>
        <v/>
      </c>
      <c r="AF578" t="str">
        <f t="shared" si="143"/>
        <v/>
      </c>
      <c r="AG578" t="str">
        <f t="shared" si="144"/>
        <v/>
      </c>
      <c r="AH578" t="str">
        <f t="shared" si="145"/>
        <v/>
      </c>
      <c r="AI578" t="str">
        <f t="shared" si="146"/>
        <v/>
      </c>
      <c r="AJ578" t="str">
        <f t="shared" si="147"/>
        <v/>
      </c>
      <c r="AK578" t="str">
        <f t="shared" si="148"/>
        <v/>
      </c>
      <c r="AL578" t="str">
        <f t="shared" si="149"/>
        <v/>
      </c>
      <c r="AN578" t="str">
        <f>IFERROR(ROUND(L578*(G578/$AW578)/VLOOKUP(F578,商品!$A$4:$D$67,4,FALSE),0),"")</f>
        <v/>
      </c>
      <c r="AO578" t="str">
        <f>IFERROR(ROUND(L578*(I578/$AW578)/VLOOKUP(H578,商品!$A$4:$D$67,4,FALSE),0),"")</f>
        <v/>
      </c>
      <c r="AP578" t="str">
        <f>IFERROR(ROUND(L578*(K578/$AW578)/VLOOKUP(J578,商品!$A$4:$D$67,4,FALSE),0),"")</f>
        <v/>
      </c>
      <c r="AQ578" t="str">
        <f>IFERROR(ROUND(S578*(N578/$AX578)/VLOOKUP(M578,职业!$A$3:$E$16,4,FALSE),0),"")</f>
        <v/>
      </c>
      <c r="AR578" t="str">
        <f>IFERROR(ROUND(S578*(P578/$AX578)/VLOOKUP(O578,职业!$A$3:$E$16,4,FALSE),0),"")</f>
        <v/>
      </c>
      <c r="AS578" t="str">
        <f>IFERROR(ROUND(S578*(R578/$AX578)/VLOOKUP(Q578,职业!$A$3:$E$16,4,FALSE),0),"")</f>
        <v/>
      </c>
      <c r="AT578" t="str">
        <f>IFERROR(ROUND(X578*(U578/$AY578)/VLOOKUP(T578,商品!$A$4:$D$67,4,FALSE),0),"")</f>
        <v/>
      </c>
      <c r="AU578" t="str">
        <f>IFERROR(ROUND(X578*(W578/$AY578)/VLOOKUP(V578,商品!$A$4:$D$67,4,FALSE),0),"")</f>
        <v/>
      </c>
      <c r="AW578">
        <f t="shared" si="150"/>
        <v>0</v>
      </c>
      <c r="AX578">
        <f t="shared" si="151"/>
        <v>0</v>
      </c>
      <c r="AY578">
        <f t="shared" si="152"/>
        <v>0</v>
      </c>
    </row>
    <row r="579" customHeight="1" spans="1:51">
      <c r="A579" s="18" t="s">
        <v>394</v>
      </c>
      <c r="C579" s="18">
        <v>4</v>
      </c>
      <c r="D579" s="1" t="s">
        <v>291</v>
      </c>
      <c r="E579" s="1" t="s">
        <v>225</v>
      </c>
      <c r="L579" s="18">
        <f>IFERROR(VLOOKUP($D579&amp;$C579,生产方式定位!$A$2:$E$38,2,FALSE)+VLOOKUP($E579&amp;$C579,生产方式定位!$F$3:$J$38,2,FALSE),0)</f>
        <v>0</v>
      </c>
      <c r="S579" s="18">
        <f>IFERROR(VLOOKUP($D579&amp;$C579,生产方式定位!$A$2:$E$38,3,FALSE)+VLOOKUP($E579&amp;$C579,生产方式定位!$F$3:$J$38,3,FALSE),0)</f>
        <v>100</v>
      </c>
      <c r="X579" s="18">
        <f>IFERROR(VLOOKUP($D579&amp;$C579,生产方式定位!$A$2:$E$38,5,FALSE)+VLOOKUP($E579&amp;$C579,生产方式定位!$F$3:$J$38,5,FALSE),"错误")</f>
        <v>100</v>
      </c>
      <c r="Y579" s="27" t="str">
        <f t="shared" si="136"/>
        <v/>
      </c>
      <c r="Z579" s="50" t="str">
        <f t="shared" si="139"/>
        <v/>
      </c>
      <c r="AA579" s="50" t="str">
        <f t="shared" si="137"/>
        <v/>
      </c>
      <c r="AB579" s="28" t="str">
        <f t="shared" si="140"/>
        <v/>
      </c>
      <c r="AC579" s="1" t="str">
        <f t="shared" si="141"/>
        <v/>
      </c>
      <c r="AD579" s="52">
        <f t="shared" si="138"/>
        <v>4</v>
      </c>
      <c r="AE579" t="str">
        <f t="shared" si="142"/>
        <v/>
      </c>
      <c r="AF579" t="str">
        <f t="shared" si="143"/>
        <v/>
      </c>
      <c r="AG579" t="str">
        <f t="shared" si="144"/>
        <v/>
      </c>
      <c r="AH579" t="str">
        <f t="shared" si="145"/>
        <v/>
      </c>
      <c r="AI579" t="str">
        <f t="shared" si="146"/>
        <v/>
      </c>
      <c r="AJ579" t="str">
        <f t="shared" si="147"/>
        <v/>
      </c>
      <c r="AK579" t="str">
        <f t="shared" si="148"/>
        <v/>
      </c>
      <c r="AL579" t="str">
        <f t="shared" si="149"/>
        <v/>
      </c>
      <c r="AN579" t="str">
        <f>IFERROR(ROUND(L579*(G579/$AW579)/VLOOKUP(F579,商品!$A$4:$D$67,4,FALSE),0),"")</f>
        <v/>
      </c>
      <c r="AO579" t="str">
        <f>IFERROR(ROUND(L579*(I579/$AW579)/VLOOKUP(H579,商品!$A$4:$D$67,4,FALSE),0),"")</f>
        <v/>
      </c>
      <c r="AP579" t="str">
        <f>IFERROR(ROUND(L579*(K579/$AW579)/VLOOKUP(J579,商品!$A$4:$D$67,4,FALSE),0),"")</f>
        <v/>
      </c>
      <c r="AQ579" t="str">
        <f>IFERROR(ROUND(S579*(N579/$AX579)/VLOOKUP(M579,职业!$A$3:$E$16,4,FALSE),0),"")</f>
        <v/>
      </c>
      <c r="AR579" t="str">
        <f>IFERROR(ROUND(S579*(P579/$AX579)/VLOOKUP(O579,职业!$A$3:$E$16,4,FALSE),0),"")</f>
        <v/>
      </c>
      <c r="AS579" t="str">
        <f>IFERROR(ROUND(S579*(R579/$AX579)/VLOOKUP(Q579,职业!$A$3:$E$16,4,FALSE),0),"")</f>
        <v/>
      </c>
      <c r="AT579" t="str">
        <f>IFERROR(ROUND(X579*(U579/$AY579)/VLOOKUP(T579,商品!$A$4:$D$67,4,FALSE),0),"")</f>
        <v/>
      </c>
      <c r="AU579" t="str">
        <f>IFERROR(ROUND(X579*(W579/$AY579)/VLOOKUP(V579,商品!$A$4:$D$67,4,FALSE),0),"")</f>
        <v/>
      </c>
      <c r="AW579">
        <f t="shared" si="150"/>
        <v>0</v>
      </c>
      <c r="AX579">
        <f t="shared" si="151"/>
        <v>0</v>
      </c>
      <c r="AY579">
        <f t="shared" si="152"/>
        <v>0</v>
      </c>
    </row>
    <row r="580" customHeight="1" spans="1:51">
      <c r="A580" s="18" t="s">
        <v>394</v>
      </c>
      <c r="C580" s="18">
        <v>5</v>
      </c>
      <c r="D580" s="1" t="s">
        <v>291</v>
      </c>
      <c r="E580" s="1" t="s">
        <v>225</v>
      </c>
      <c r="L580" s="18">
        <f>IFERROR(VLOOKUP($D580&amp;$C580,生产方式定位!$A$2:$E$38,2,FALSE)+VLOOKUP($E580&amp;$C580,生产方式定位!$F$3:$J$38,2,FALSE),0)</f>
        <v>0</v>
      </c>
      <c r="S580" s="18">
        <f>IFERROR(VLOOKUP($D580&amp;$C580,生产方式定位!$A$2:$E$38,3,FALSE)+VLOOKUP($E580&amp;$C580,生产方式定位!$F$3:$J$38,3,FALSE),0)</f>
        <v>100</v>
      </c>
      <c r="X580" s="18">
        <f>IFERROR(VLOOKUP($D580&amp;$C580,生产方式定位!$A$2:$E$38,5,FALSE)+VLOOKUP($E580&amp;$C580,生产方式定位!$F$3:$J$38,5,FALSE),"错误")</f>
        <v>100</v>
      </c>
      <c r="Y580" s="27" t="str">
        <f t="shared" si="136"/>
        <v/>
      </c>
      <c r="Z580" s="50" t="str">
        <f t="shared" si="139"/>
        <v/>
      </c>
      <c r="AA580" s="50" t="str">
        <f t="shared" si="137"/>
        <v/>
      </c>
      <c r="AB580" s="28" t="str">
        <f t="shared" si="140"/>
        <v/>
      </c>
      <c r="AC580" s="1" t="str">
        <f t="shared" si="141"/>
        <v/>
      </c>
      <c r="AD580" s="52">
        <f t="shared" si="138"/>
        <v>5</v>
      </c>
      <c r="AE580" t="str">
        <f t="shared" si="142"/>
        <v/>
      </c>
      <c r="AF580" t="str">
        <f t="shared" si="143"/>
        <v/>
      </c>
      <c r="AG580" t="str">
        <f t="shared" si="144"/>
        <v/>
      </c>
      <c r="AH580" t="str">
        <f t="shared" si="145"/>
        <v/>
      </c>
      <c r="AI580" t="str">
        <f t="shared" si="146"/>
        <v/>
      </c>
      <c r="AJ580" t="str">
        <f t="shared" si="147"/>
        <v/>
      </c>
      <c r="AK580" t="str">
        <f t="shared" si="148"/>
        <v/>
      </c>
      <c r="AL580" t="str">
        <f t="shared" si="149"/>
        <v/>
      </c>
      <c r="AN580" t="str">
        <f>IFERROR(ROUND(L580*(G580/$AW580)/VLOOKUP(F580,商品!$A$4:$D$67,4,FALSE),0),"")</f>
        <v/>
      </c>
      <c r="AO580" t="str">
        <f>IFERROR(ROUND(L580*(I580/$AW580)/VLOOKUP(H580,商品!$A$4:$D$67,4,FALSE),0),"")</f>
        <v/>
      </c>
      <c r="AP580" t="str">
        <f>IFERROR(ROUND(L580*(K580/$AW580)/VLOOKUP(J580,商品!$A$4:$D$67,4,FALSE),0),"")</f>
        <v/>
      </c>
      <c r="AQ580" t="str">
        <f>IFERROR(ROUND(S580*(N580/$AX580)/VLOOKUP(M580,职业!$A$3:$E$16,4,FALSE),0),"")</f>
        <v/>
      </c>
      <c r="AR580" t="str">
        <f>IFERROR(ROUND(S580*(P580/$AX580)/VLOOKUP(O580,职业!$A$3:$E$16,4,FALSE),0),"")</f>
        <v/>
      </c>
      <c r="AS580" t="str">
        <f>IFERROR(ROUND(S580*(R580/$AX580)/VLOOKUP(Q580,职业!$A$3:$E$16,4,FALSE),0),"")</f>
        <v/>
      </c>
      <c r="AT580" t="str">
        <f>IFERROR(ROUND(X580*(U580/$AY580)/VLOOKUP(T580,商品!$A$4:$D$67,4,FALSE),0),"")</f>
        <v/>
      </c>
      <c r="AU580" t="str">
        <f>IFERROR(ROUND(X580*(W580/$AY580)/VLOOKUP(V580,商品!$A$4:$D$67,4,FALSE),0),"")</f>
        <v/>
      </c>
      <c r="AW580">
        <f t="shared" si="150"/>
        <v>0</v>
      </c>
      <c r="AX580">
        <f t="shared" si="151"/>
        <v>0</v>
      </c>
      <c r="AY580">
        <f t="shared" si="152"/>
        <v>0</v>
      </c>
    </row>
    <row r="581" customHeight="1" spans="1:51">
      <c r="A581" s="18" t="s">
        <v>394</v>
      </c>
      <c r="C581" s="18">
        <v>6</v>
      </c>
      <c r="D581" s="1" t="s">
        <v>291</v>
      </c>
      <c r="E581" s="1" t="s">
        <v>225</v>
      </c>
      <c r="L581" s="18">
        <f>IFERROR(VLOOKUP($D581&amp;$C581,生产方式定位!$A$2:$E$38,2,FALSE)+VLOOKUP($E581&amp;$C581,生产方式定位!$F$3:$J$38,2,FALSE),0)</f>
        <v>0</v>
      </c>
      <c r="S581" s="18">
        <f>IFERROR(VLOOKUP($D581&amp;$C581,生产方式定位!$A$2:$E$38,3,FALSE)+VLOOKUP($E581&amp;$C581,生产方式定位!$F$3:$J$38,3,FALSE),0)</f>
        <v>100</v>
      </c>
      <c r="X581" s="18">
        <f>IFERROR(VLOOKUP($D581&amp;$C581,生产方式定位!$A$2:$E$38,5,FALSE)+VLOOKUP($E581&amp;$C581,生产方式定位!$F$3:$J$38,5,FALSE),"错误")</f>
        <v>100</v>
      </c>
      <c r="Y581" s="27" t="str">
        <f t="shared" ref="Y581:Y644" si="153">IF(AE581="","",AE581)&amp;IF(AF581="","",","&amp;AF581)&amp;IF(AG581="","",","&amp;AG581)</f>
        <v/>
      </c>
      <c r="Z581" s="50" t="str">
        <f t="shared" si="139"/>
        <v/>
      </c>
      <c r="AA581" s="50" t="str">
        <f t="shared" ref="AA581:AA644" si="154">IF(AK581="","",AK581)&amp;IF(AL581="","",","&amp;AL581)</f>
        <v/>
      </c>
      <c r="AB581" s="28" t="str">
        <f t="shared" si="140"/>
        <v/>
      </c>
      <c r="AC581" s="1" t="str">
        <f t="shared" si="141"/>
        <v/>
      </c>
      <c r="AD581" s="52">
        <f t="shared" ref="AD581:AD644" si="155">C581</f>
        <v>6</v>
      </c>
      <c r="AE581" t="str">
        <f t="shared" si="142"/>
        <v/>
      </c>
      <c r="AF581" t="str">
        <f t="shared" si="143"/>
        <v/>
      </c>
      <c r="AG581" t="str">
        <f t="shared" si="144"/>
        <v/>
      </c>
      <c r="AH581" t="str">
        <f t="shared" si="145"/>
        <v/>
      </c>
      <c r="AI581" t="str">
        <f t="shared" si="146"/>
        <v/>
      </c>
      <c r="AJ581" t="str">
        <f t="shared" si="147"/>
        <v/>
      </c>
      <c r="AK581" t="str">
        <f t="shared" si="148"/>
        <v/>
      </c>
      <c r="AL581" t="str">
        <f t="shared" si="149"/>
        <v/>
      </c>
      <c r="AN581" t="str">
        <f>IFERROR(ROUND(L581*(G581/$AW581)/VLOOKUP(F581,商品!$A$4:$D$67,4,FALSE),0),"")</f>
        <v/>
      </c>
      <c r="AO581" t="str">
        <f>IFERROR(ROUND(L581*(I581/$AW581)/VLOOKUP(H581,商品!$A$4:$D$67,4,FALSE),0),"")</f>
        <v/>
      </c>
      <c r="AP581" t="str">
        <f>IFERROR(ROUND(L581*(K581/$AW581)/VLOOKUP(J581,商品!$A$4:$D$67,4,FALSE),0),"")</f>
        <v/>
      </c>
      <c r="AQ581" t="str">
        <f>IFERROR(ROUND(S581*(N581/$AX581)/VLOOKUP(M581,职业!$A$3:$E$16,4,FALSE),0),"")</f>
        <v/>
      </c>
      <c r="AR581" t="str">
        <f>IFERROR(ROUND(S581*(P581/$AX581)/VLOOKUP(O581,职业!$A$3:$E$16,4,FALSE),0),"")</f>
        <v/>
      </c>
      <c r="AS581" t="str">
        <f>IFERROR(ROUND(S581*(R581/$AX581)/VLOOKUP(Q581,职业!$A$3:$E$16,4,FALSE),0),"")</f>
        <v/>
      </c>
      <c r="AT581" t="str">
        <f>IFERROR(ROUND(X581*(U581/$AY581)/VLOOKUP(T581,商品!$A$4:$D$67,4,FALSE),0),"")</f>
        <v/>
      </c>
      <c r="AU581" t="str">
        <f>IFERROR(ROUND(X581*(W581/$AY581)/VLOOKUP(V581,商品!$A$4:$D$67,4,FALSE),0),"")</f>
        <v/>
      </c>
      <c r="AW581">
        <f t="shared" si="150"/>
        <v>0</v>
      </c>
      <c r="AX581">
        <f t="shared" si="151"/>
        <v>0</v>
      </c>
      <c r="AY581">
        <f t="shared" si="152"/>
        <v>0</v>
      </c>
    </row>
    <row r="582" customHeight="1" spans="1:51">
      <c r="A582" s="18" t="s">
        <v>394</v>
      </c>
      <c r="C582" s="18">
        <v>7</v>
      </c>
      <c r="D582" s="1" t="s">
        <v>291</v>
      </c>
      <c r="E582" s="1" t="s">
        <v>225</v>
      </c>
      <c r="L582" s="18">
        <f>IFERROR(VLOOKUP($D582&amp;$C582,生产方式定位!$A$2:$E$38,2,FALSE)+VLOOKUP($E582&amp;$C582,生产方式定位!$F$3:$J$38,2,FALSE),0)</f>
        <v>0</v>
      </c>
      <c r="S582" s="18">
        <f>IFERROR(VLOOKUP($D582&amp;$C582,生产方式定位!$A$2:$E$38,3,FALSE)+VLOOKUP($E582&amp;$C582,生产方式定位!$F$3:$J$38,3,FALSE),0)</f>
        <v>100</v>
      </c>
      <c r="X582" s="18">
        <f>IFERROR(VLOOKUP($D582&amp;$C582,生产方式定位!$A$2:$E$38,5,FALSE)+VLOOKUP($E582&amp;$C582,生产方式定位!$F$3:$J$38,5,FALSE),"错误")</f>
        <v>100</v>
      </c>
      <c r="Y582" s="27" t="str">
        <f t="shared" si="153"/>
        <v/>
      </c>
      <c r="Z582" s="50" t="str">
        <f t="shared" ref="Z582:Z645" si="156">IF(AH582="","",AH582)&amp;IF(AI582="","",","&amp;AI582)&amp;IF(AJ582="","",","&amp;AJ582)</f>
        <v/>
      </c>
      <c r="AA582" s="50" t="str">
        <f t="shared" si="154"/>
        <v/>
      </c>
      <c r="AB582" s="28" t="str">
        <f t="shared" ref="AB582:AB645" si="157">IFERROR(ROUND(((X582/L582)-1)*100,0)&amp;"%","")</f>
        <v/>
      </c>
      <c r="AC582" s="1" t="str">
        <f t="shared" ref="AC582:AC645" si="158">IF(X582-S582-L582=0,"",X582-S582-L582)</f>
        <v/>
      </c>
      <c r="AD582" s="52">
        <f t="shared" si="155"/>
        <v>7</v>
      </c>
      <c r="AE582" t="str">
        <f t="shared" ref="AE582:AE645" si="159">IF(AN582="","",F582&amp;"*"&amp;AN582)</f>
        <v/>
      </c>
      <c r="AF582" t="str">
        <f t="shared" ref="AF582:AF645" si="160">IF(AO582="","",H582&amp;"*"&amp;AO582)</f>
        <v/>
      </c>
      <c r="AG582" t="str">
        <f t="shared" ref="AG582:AG645" si="161">IF(AP582="","",J582&amp;"*"&amp;AP582)</f>
        <v/>
      </c>
      <c r="AH582" t="str">
        <f t="shared" ref="AH582:AH645" si="162">IF(AQ582="","",M582&amp;"*"&amp;AQ582)</f>
        <v/>
      </c>
      <c r="AI582" t="str">
        <f t="shared" ref="AI582:AI645" si="163">IF(AR582="","",O582&amp;"*"&amp;AR582)</f>
        <v/>
      </c>
      <c r="AJ582" t="str">
        <f t="shared" ref="AJ582:AJ645" si="164">IF(AS582="","",Q582&amp;"*"&amp;AS582)</f>
        <v/>
      </c>
      <c r="AK582" t="str">
        <f t="shared" ref="AK582:AK645" si="165">IF(AT582="","",T582&amp;"*"&amp;AT582)</f>
        <v/>
      </c>
      <c r="AL582" t="str">
        <f t="shared" ref="AL582:AL645" si="166">IF(AU582="","",V582&amp;"*"&amp;AU582)</f>
        <v/>
      </c>
      <c r="AN582" t="str">
        <f>IFERROR(ROUND(L582*(G582/$AW582)/VLOOKUP(F582,商品!$A$4:$D$67,4,FALSE),0),"")</f>
        <v/>
      </c>
      <c r="AO582" t="str">
        <f>IFERROR(ROUND(L582*(I582/$AW582)/VLOOKUP(H582,商品!$A$4:$D$67,4,FALSE),0),"")</f>
        <v/>
      </c>
      <c r="AP582" t="str">
        <f>IFERROR(ROUND(L582*(K582/$AW582)/VLOOKUP(J582,商品!$A$4:$D$67,4,FALSE),0),"")</f>
        <v/>
      </c>
      <c r="AQ582" t="str">
        <f>IFERROR(ROUND(S582*(N582/$AX582)/VLOOKUP(M582,职业!$A$3:$E$16,4,FALSE),0),"")</f>
        <v/>
      </c>
      <c r="AR582" t="str">
        <f>IFERROR(ROUND(S582*(P582/$AX582)/VLOOKUP(O582,职业!$A$3:$E$16,4,FALSE),0),"")</f>
        <v/>
      </c>
      <c r="AS582" t="str">
        <f>IFERROR(ROUND(S582*(R582/$AX582)/VLOOKUP(Q582,职业!$A$3:$E$16,4,FALSE),0),"")</f>
        <v/>
      </c>
      <c r="AT582" t="str">
        <f>IFERROR(ROUND(X582*(U582/$AY582)/VLOOKUP(T582,商品!$A$4:$D$67,4,FALSE),0),"")</f>
        <v/>
      </c>
      <c r="AU582" t="str">
        <f>IFERROR(ROUND(X582*(W582/$AY582)/VLOOKUP(V582,商品!$A$4:$D$67,4,FALSE),0),"")</f>
        <v/>
      </c>
      <c r="AW582">
        <f t="shared" ref="AW582:AW645" si="167">G582+I582+K582</f>
        <v>0</v>
      </c>
      <c r="AX582">
        <f t="shared" ref="AX582:AX645" si="168">ABS(N582)+ABS(P582)+ABS(R582)</f>
        <v>0</v>
      </c>
      <c r="AY582">
        <f t="shared" ref="AY582:AY645" si="169">U582+W582</f>
        <v>0</v>
      </c>
    </row>
    <row r="583" customHeight="1" spans="1:51">
      <c r="A583" s="18" t="s">
        <v>394</v>
      </c>
      <c r="C583" s="18">
        <v>8</v>
      </c>
      <c r="D583" s="1" t="s">
        <v>291</v>
      </c>
      <c r="E583" s="1" t="s">
        <v>225</v>
      </c>
      <c r="L583" s="18">
        <f>IFERROR(VLOOKUP($D583&amp;$C583,生产方式定位!$A$2:$E$38,2,FALSE)+VLOOKUP($E583&amp;$C583,生产方式定位!$F$3:$J$38,2,FALSE),0)</f>
        <v>0</v>
      </c>
      <c r="S583" s="18">
        <f>IFERROR(VLOOKUP($D583&amp;$C583,生产方式定位!$A$2:$E$38,3,FALSE)+VLOOKUP($E583&amp;$C583,生产方式定位!$F$3:$J$38,3,FALSE),0)</f>
        <v>100</v>
      </c>
      <c r="X583" s="18">
        <f>IFERROR(VLOOKUP($D583&amp;$C583,生产方式定位!$A$2:$E$38,5,FALSE)+VLOOKUP($E583&amp;$C583,生产方式定位!$F$3:$J$38,5,FALSE),"错误")</f>
        <v>100</v>
      </c>
      <c r="Y583" s="27" t="str">
        <f t="shared" si="153"/>
        <v/>
      </c>
      <c r="Z583" s="50" t="str">
        <f t="shared" si="156"/>
        <v/>
      </c>
      <c r="AA583" s="50" t="str">
        <f t="shared" si="154"/>
        <v/>
      </c>
      <c r="AB583" s="28" t="str">
        <f t="shared" si="157"/>
        <v/>
      </c>
      <c r="AC583" s="1" t="str">
        <f t="shared" si="158"/>
        <v/>
      </c>
      <c r="AD583" s="52">
        <f t="shared" si="155"/>
        <v>8</v>
      </c>
      <c r="AE583" t="str">
        <f t="shared" si="159"/>
        <v/>
      </c>
      <c r="AF583" t="str">
        <f t="shared" si="160"/>
        <v/>
      </c>
      <c r="AG583" t="str">
        <f t="shared" si="161"/>
        <v/>
      </c>
      <c r="AH583" t="str">
        <f t="shared" si="162"/>
        <v/>
      </c>
      <c r="AI583" t="str">
        <f t="shared" si="163"/>
        <v/>
      </c>
      <c r="AJ583" t="str">
        <f t="shared" si="164"/>
        <v/>
      </c>
      <c r="AK583" t="str">
        <f t="shared" si="165"/>
        <v/>
      </c>
      <c r="AL583" t="str">
        <f t="shared" si="166"/>
        <v/>
      </c>
      <c r="AN583" t="str">
        <f>IFERROR(ROUND(L583*(G583/$AW583)/VLOOKUP(F583,商品!$A$4:$D$67,4,FALSE),0),"")</f>
        <v/>
      </c>
      <c r="AO583" t="str">
        <f>IFERROR(ROUND(L583*(I583/$AW583)/VLOOKUP(H583,商品!$A$4:$D$67,4,FALSE),0),"")</f>
        <v/>
      </c>
      <c r="AP583" t="str">
        <f>IFERROR(ROUND(L583*(K583/$AW583)/VLOOKUP(J583,商品!$A$4:$D$67,4,FALSE),0),"")</f>
        <v/>
      </c>
      <c r="AQ583" t="str">
        <f>IFERROR(ROUND(S583*(N583/$AX583)/VLOOKUP(M583,职业!$A$3:$E$16,4,FALSE),0),"")</f>
        <v/>
      </c>
      <c r="AR583" t="str">
        <f>IFERROR(ROUND(S583*(P583/$AX583)/VLOOKUP(O583,职业!$A$3:$E$16,4,FALSE),0),"")</f>
        <v/>
      </c>
      <c r="AS583" t="str">
        <f>IFERROR(ROUND(S583*(R583/$AX583)/VLOOKUP(Q583,职业!$A$3:$E$16,4,FALSE),0),"")</f>
        <v/>
      </c>
      <c r="AT583" t="str">
        <f>IFERROR(ROUND(X583*(U583/$AY583)/VLOOKUP(T583,商品!$A$4:$D$67,4,FALSE),0),"")</f>
        <v/>
      </c>
      <c r="AU583" t="str">
        <f>IFERROR(ROUND(X583*(W583/$AY583)/VLOOKUP(V583,商品!$A$4:$D$67,4,FALSE),0),"")</f>
        <v/>
      </c>
      <c r="AW583">
        <f t="shared" si="167"/>
        <v>0</v>
      </c>
      <c r="AX583">
        <f t="shared" si="168"/>
        <v>0</v>
      </c>
      <c r="AY583">
        <f t="shared" si="169"/>
        <v>0</v>
      </c>
    </row>
    <row r="584" customHeight="1" spans="1:51">
      <c r="A584" s="5" t="s">
        <v>396</v>
      </c>
      <c r="C584" s="5">
        <v>1</v>
      </c>
      <c r="D584" s="1" t="s">
        <v>238</v>
      </c>
      <c r="E584" s="1" t="s">
        <v>222</v>
      </c>
      <c r="L584" s="5">
        <f>IFERROR(VLOOKUP($D584&amp;$C584,生产方式定位!$A$2:$E$38,2,FALSE)+VLOOKUP($E584&amp;$C584,生产方式定位!$F$3:$J$38,2,FALSE),0)</f>
        <v>1000</v>
      </c>
      <c r="S584" s="5">
        <f>IFERROR(VLOOKUP($D584&amp;$C584,生产方式定位!$A$2:$E$38,3,FALSE)+VLOOKUP($E584&amp;$C584,生产方式定位!$F$3:$J$38,3,FALSE),0)</f>
        <v>80</v>
      </c>
      <c r="X584" s="5">
        <f>IFERROR(VLOOKUP($D584&amp;$C584,生产方式定位!$A$2:$E$38,5,FALSE)+VLOOKUP($E584&amp;$C584,生产方式定位!$F$3:$J$38,5,FALSE),"错误")</f>
        <v>972</v>
      </c>
      <c r="Y584" s="27" t="str">
        <f t="shared" si="153"/>
        <v/>
      </c>
      <c r="Z584" s="50" t="str">
        <f t="shared" si="156"/>
        <v/>
      </c>
      <c r="AA584" s="50" t="str">
        <f t="shared" si="154"/>
        <v/>
      </c>
      <c r="AB584" s="28" t="str">
        <f t="shared" si="157"/>
        <v>-3%</v>
      </c>
      <c r="AC584" s="1">
        <f t="shared" si="158"/>
        <v>-108</v>
      </c>
      <c r="AD584" s="51">
        <f t="shared" si="155"/>
        <v>1</v>
      </c>
      <c r="AE584" t="str">
        <f t="shared" si="159"/>
        <v/>
      </c>
      <c r="AF584" t="str">
        <f t="shared" si="160"/>
        <v/>
      </c>
      <c r="AG584" t="str">
        <f t="shared" si="161"/>
        <v/>
      </c>
      <c r="AH584" t="str">
        <f t="shared" si="162"/>
        <v/>
      </c>
      <c r="AI584" t="str">
        <f t="shared" si="163"/>
        <v/>
      </c>
      <c r="AJ584" t="str">
        <f t="shared" si="164"/>
        <v/>
      </c>
      <c r="AK584" t="str">
        <f t="shared" si="165"/>
        <v/>
      </c>
      <c r="AL584" t="str">
        <f t="shared" si="166"/>
        <v/>
      </c>
      <c r="AN584" t="str">
        <f>IFERROR(ROUND(L584*(G584/$AW584)/VLOOKUP(F584,商品!$A$4:$D$67,4,FALSE),0),"")</f>
        <v/>
      </c>
      <c r="AO584" t="str">
        <f>IFERROR(ROUND(L584*(I584/$AW584)/VLOOKUP(H584,商品!$A$4:$D$67,4,FALSE),0),"")</f>
        <v/>
      </c>
      <c r="AP584" t="str">
        <f>IFERROR(ROUND(L584*(K584/$AW584)/VLOOKUP(J584,商品!$A$4:$D$67,4,FALSE),0),"")</f>
        <v/>
      </c>
      <c r="AQ584" t="str">
        <f>IFERROR(ROUND(S584*(N584/$AX584)/VLOOKUP(M584,职业!$A$3:$E$16,4,FALSE),0),"")</f>
        <v/>
      </c>
      <c r="AR584" t="str">
        <f>IFERROR(ROUND(S584*(P584/$AX584)/VLOOKUP(O584,职业!$A$3:$E$16,4,FALSE),0),"")</f>
        <v/>
      </c>
      <c r="AS584" t="str">
        <f>IFERROR(ROUND(S584*(R584/$AX584)/VLOOKUP(Q584,职业!$A$3:$E$16,4,FALSE),0),"")</f>
        <v/>
      </c>
      <c r="AT584" t="str">
        <f>IFERROR(ROUND(X584*(U584/$AY584)/VLOOKUP(T584,商品!$A$4:$D$67,4,FALSE),0),"")</f>
        <v/>
      </c>
      <c r="AU584" t="str">
        <f>IFERROR(ROUND(X584*(W584/$AY584)/VLOOKUP(V584,商品!$A$4:$D$67,4,FALSE),0),"")</f>
        <v/>
      </c>
      <c r="AW584">
        <f t="shared" si="167"/>
        <v>0</v>
      </c>
      <c r="AX584">
        <f t="shared" si="168"/>
        <v>0</v>
      </c>
      <c r="AY584">
        <f t="shared" si="169"/>
        <v>0</v>
      </c>
    </row>
    <row r="585" customHeight="1" spans="1:51">
      <c r="A585" s="5" t="s">
        <v>396</v>
      </c>
      <c r="C585" s="5">
        <v>2</v>
      </c>
      <c r="D585" s="1" t="s">
        <v>238</v>
      </c>
      <c r="E585" s="1" t="s">
        <v>222</v>
      </c>
      <c r="L585" s="5">
        <f>IFERROR(VLOOKUP($D585&amp;$C585,生产方式定位!$A$2:$E$38,2,FALSE)+VLOOKUP($E585&amp;$C585,生产方式定位!$F$3:$J$38,2,FALSE),0)</f>
        <v>1400</v>
      </c>
      <c r="S585" s="5">
        <f>IFERROR(VLOOKUP($D585&amp;$C585,生产方式定位!$A$2:$E$38,3,FALSE)+VLOOKUP($E585&amp;$C585,生产方式定位!$F$3:$J$38,3,FALSE),0)</f>
        <v>85</v>
      </c>
      <c r="X585" s="5">
        <f>IFERROR(VLOOKUP($D585&amp;$C585,生产方式定位!$A$2:$E$38,5,FALSE)+VLOOKUP($E585&amp;$C585,生产方式定位!$F$3:$J$38,5,FALSE),"错误")</f>
        <v>1732</v>
      </c>
      <c r="Y585" s="27" t="str">
        <f t="shared" si="153"/>
        <v/>
      </c>
      <c r="Z585" s="50" t="str">
        <f t="shared" si="156"/>
        <v/>
      </c>
      <c r="AA585" s="50" t="str">
        <f t="shared" si="154"/>
        <v/>
      </c>
      <c r="AB585" s="28" t="str">
        <f t="shared" si="157"/>
        <v>24%</v>
      </c>
      <c r="AC585" s="1">
        <f t="shared" si="158"/>
        <v>247</v>
      </c>
      <c r="AD585" s="51">
        <f t="shared" si="155"/>
        <v>2</v>
      </c>
      <c r="AE585" t="str">
        <f t="shared" si="159"/>
        <v/>
      </c>
      <c r="AF585" t="str">
        <f t="shared" si="160"/>
        <v/>
      </c>
      <c r="AG585" t="str">
        <f t="shared" si="161"/>
        <v/>
      </c>
      <c r="AH585" t="str">
        <f t="shared" si="162"/>
        <v/>
      </c>
      <c r="AI585" t="str">
        <f t="shared" si="163"/>
        <v/>
      </c>
      <c r="AJ585" t="str">
        <f t="shared" si="164"/>
        <v/>
      </c>
      <c r="AK585" t="str">
        <f t="shared" si="165"/>
        <v/>
      </c>
      <c r="AL585" t="str">
        <f t="shared" si="166"/>
        <v/>
      </c>
      <c r="AN585" t="str">
        <f>IFERROR(ROUND(L585*(G585/$AW585)/VLOOKUP(F585,商品!$A$4:$D$67,4,FALSE),0),"")</f>
        <v/>
      </c>
      <c r="AO585" t="str">
        <f>IFERROR(ROUND(L585*(I585/$AW585)/VLOOKUP(H585,商品!$A$4:$D$67,4,FALSE),0),"")</f>
        <v/>
      </c>
      <c r="AP585" t="str">
        <f>IFERROR(ROUND(L585*(K585/$AW585)/VLOOKUP(J585,商品!$A$4:$D$67,4,FALSE),0),"")</f>
        <v/>
      </c>
      <c r="AQ585" t="str">
        <f>IFERROR(ROUND(S585*(N585/$AX585)/VLOOKUP(M585,职业!$A$3:$E$16,4,FALSE),0),"")</f>
        <v/>
      </c>
      <c r="AR585" t="str">
        <f>IFERROR(ROUND(S585*(P585/$AX585)/VLOOKUP(O585,职业!$A$3:$E$16,4,FALSE),0),"")</f>
        <v/>
      </c>
      <c r="AS585" t="str">
        <f>IFERROR(ROUND(S585*(R585/$AX585)/VLOOKUP(Q585,职业!$A$3:$E$16,4,FALSE),0),"")</f>
        <v/>
      </c>
      <c r="AT585" t="str">
        <f>IFERROR(ROUND(X585*(U585/$AY585)/VLOOKUP(T585,商品!$A$4:$D$67,4,FALSE),0),"")</f>
        <v/>
      </c>
      <c r="AU585" t="str">
        <f>IFERROR(ROUND(X585*(W585/$AY585)/VLOOKUP(V585,商品!$A$4:$D$67,4,FALSE),0),"")</f>
        <v/>
      </c>
      <c r="AW585">
        <f t="shared" si="167"/>
        <v>0</v>
      </c>
      <c r="AX585">
        <f t="shared" si="168"/>
        <v>0</v>
      </c>
      <c r="AY585">
        <f t="shared" si="169"/>
        <v>0</v>
      </c>
    </row>
    <row r="586" customHeight="1" spans="1:51">
      <c r="A586" s="5" t="s">
        <v>396</v>
      </c>
      <c r="C586" s="5">
        <v>3</v>
      </c>
      <c r="D586" s="1" t="s">
        <v>238</v>
      </c>
      <c r="E586" s="1" t="s">
        <v>222</v>
      </c>
      <c r="L586" s="5">
        <f>IFERROR(VLOOKUP($D586&amp;$C586,生产方式定位!$A$2:$E$38,2,FALSE)+VLOOKUP($E586&amp;$C586,生产方式定位!$F$3:$J$38,2,FALSE),0)</f>
        <v>1425</v>
      </c>
      <c r="S586" s="5">
        <f>IFERROR(VLOOKUP($D586&amp;$C586,生产方式定位!$A$2:$E$38,3,FALSE)+VLOOKUP($E586&amp;$C586,生产方式定位!$F$3:$J$38,3,FALSE),0)</f>
        <v>90</v>
      </c>
      <c r="X586" s="5">
        <f>IFERROR(VLOOKUP($D586&amp;$C586,生产方式定位!$A$2:$E$38,5,FALSE)+VLOOKUP($E586&amp;$C586,生产方式定位!$F$3:$J$38,5,FALSE),"错误")</f>
        <v>2112</v>
      </c>
      <c r="Y586" s="27" t="str">
        <f t="shared" si="153"/>
        <v/>
      </c>
      <c r="Z586" s="50" t="str">
        <f t="shared" si="156"/>
        <v/>
      </c>
      <c r="AA586" s="50" t="str">
        <f t="shared" si="154"/>
        <v/>
      </c>
      <c r="AB586" s="28" t="str">
        <f t="shared" si="157"/>
        <v>48%</v>
      </c>
      <c r="AC586" s="1">
        <f t="shared" si="158"/>
        <v>597</v>
      </c>
      <c r="AD586" s="51">
        <f t="shared" si="155"/>
        <v>3</v>
      </c>
      <c r="AE586" t="str">
        <f t="shared" si="159"/>
        <v/>
      </c>
      <c r="AF586" t="str">
        <f t="shared" si="160"/>
        <v/>
      </c>
      <c r="AG586" t="str">
        <f t="shared" si="161"/>
        <v/>
      </c>
      <c r="AH586" t="str">
        <f t="shared" si="162"/>
        <v/>
      </c>
      <c r="AI586" t="str">
        <f t="shared" si="163"/>
        <v/>
      </c>
      <c r="AJ586" t="str">
        <f t="shared" si="164"/>
        <v/>
      </c>
      <c r="AK586" t="str">
        <f t="shared" si="165"/>
        <v/>
      </c>
      <c r="AL586" t="str">
        <f t="shared" si="166"/>
        <v/>
      </c>
      <c r="AN586" t="str">
        <f>IFERROR(ROUND(L586*(G586/$AW586)/VLOOKUP(F586,商品!$A$4:$D$67,4,FALSE),0),"")</f>
        <v/>
      </c>
      <c r="AO586" t="str">
        <f>IFERROR(ROUND(L586*(I586/$AW586)/VLOOKUP(H586,商品!$A$4:$D$67,4,FALSE),0),"")</f>
        <v/>
      </c>
      <c r="AP586" t="str">
        <f>IFERROR(ROUND(L586*(K586/$AW586)/VLOOKUP(J586,商品!$A$4:$D$67,4,FALSE),0),"")</f>
        <v/>
      </c>
      <c r="AQ586" t="str">
        <f>IFERROR(ROUND(S586*(N586/$AX586)/VLOOKUP(M586,职业!$A$3:$E$16,4,FALSE),0),"")</f>
        <v/>
      </c>
      <c r="AR586" t="str">
        <f>IFERROR(ROUND(S586*(P586/$AX586)/VLOOKUP(O586,职业!$A$3:$E$16,4,FALSE),0),"")</f>
        <v/>
      </c>
      <c r="AS586" t="str">
        <f>IFERROR(ROUND(S586*(R586/$AX586)/VLOOKUP(Q586,职业!$A$3:$E$16,4,FALSE),0),"")</f>
        <v/>
      </c>
      <c r="AT586" t="str">
        <f>IFERROR(ROUND(X586*(U586/$AY586)/VLOOKUP(T586,商品!$A$4:$D$67,4,FALSE),0),"")</f>
        <v/>
      </c>
      <c r="AU586" t="str">
        <f>IFERROR(ROUND(X586*(W586/$AY586)/VLOOKUP(V586,商品!$A$4:$D$67,4,FALSE),0),"")</f>
        <v/>
      </c>
      <c r="AW586">
        <f t="shared" si="167"/>
        <v>0</v>
      </c>
      <c r="AX586">
        <f t="shared" si="168"/>
        <v>0</v>
      </c>
      <c r="AY586">
        <f t="shared" si="169"/>
        <v>0</v>
      </c>
    </row>
    <row r="587" customHeight="1" spans="1:51">
      <c r="A587" s="5" t="s">
        <v>396</v>
      </c>
      <c r="C587" s="5">
        <v>4</v>
      </c>
      <c r="D587" s="1" t="s">
        <v>238</v>
      </c>
      <c r="E587" s="1" t="s">
        <v>222</v>
      </c>
      <c r="L587" s="5">
        <f>IFERROR(VLOOKUP($D587&amp;$C587,生产方式定位!$A$2:$E$38,2,FALSE)+VLOOKUP($E587&amp;$C587,生产方式定位!$F$3:$J$38,2,FALSE),0)</f>
        <v>1450</v>
      </c>
      <c r="S587" s="5">
        <f>IFERROR(VLOOKUP($D587&amp;$C587,生产方式定位!$A$2:$E$38,3,FALSE)+VLOOKUP($E587&amp;$C587,生产方式定位!$F$3:$J$38,3,FALSE),0)</f>
        <v>95</v>
      </c>
      <c r="X587" s="5">
        <f>IFERROR(VLOOKUP($D587&amp;$C587,生产方式定位!$A$2:$E$38,5,FALSE)+VLOOKUP($E587&amp;$C587,生产方式定位!$F$3:$J$38,5,FALSE),"错误")</f>
        <v>2733</v>
      </c>
      <c r="Y587" s="27" t="str">
        <f t="shared" si="153"/>
        <v/>
      </c>
      <c r="Z587" s="50" t="str">
        <f t="shared" si="156"/>
        <v/>
      </c>
      <c r="AA587" s="50" t="str">
        <f t="shared" si="154"/>
        <v/>
      </c>
      <c r="AB587" s="28" t="str">
        <f t="shared" si="157"/>
        <v>88%</v>
      </c>
      <c r="AC587" s="1">
        <f t="shared" si="158"/>
        <v>1188</v>
      </c>
      <c r="AD587" s="51">
        <f t="shared" si="155"/>
        <v>4</v>
      </c>
      <c r="AE587" t="str">
        <f t="shared" si="159"/>
        <v/>
      </c>
      <c r="AF587" t="str">
        <f t="shared" si="160"/>
        <v/>
      </c>
      <c r="AG587" t="str">
        <f t="shared" si="161"/>
        <v/>
      </c>
      <c r="AH587" t="str">
        <f t="shared" si="162"/>
        <v/>
      </c>
      <c r="AI587" t="str">
        <f t="shared" si="163"/>
        <v/>
      </c>
      <c r="AJ587" t="str">
        <f t="shared" si="164"/>
        <v/>
      </c>
      <c r="AK587" t="str">
        <f t="shared" si="165"/>
        <v/>
      </c>
      <c r="AL587" t="str">
        <f t="shared" si="166"/>
        <v/>
      </c>
      <c r="AN587" t="str">
        <f>IFERROR(ROUND(L587*(G587/$AW587)/VLOOKUP(F587,商品!$A$4:$D$67,4,FALSE),0),"")</f>
        <v/>
      </c>
      <c r="AO587" t="str">
        <f>IFERROR(ROUND(L587*(I587/$AW587)/VLOOKUP(H587,商品!$A$4:$D$67,4,FALSE),0),"")</f>
        <v/>
      </c>
      <c r="AP587" t="str">
        <f>IFERROR(ROUND(L587*(K587/$AW587)/VLOOKUP(J587,商品!$A$4:$D$67,4,FALSE),0),"")</f>
        <v/>
      </c>
      <c r="AQ587" t="str">
        <f>IFERROR(ROUND(S587*(N587/$AX587)/VLOOKUP(M587,职业!$A$3:$E$16,4,FALSE),0),"")</f>
        <v/>
      </c>
      <c r="AR587" t="str">
        <f>IFERROR(ROUND(S587*(P587/$AX587)/VLOOKUP(O587,职业!$A$3:$E$16,4,FALSE),0),"")</f>
        <v/>
      </c>
      <c r="AS587" t="str">
        <f>IFERROR(ROUND(S587*(R587/$AX587)/VLOOKUP(Q587,职业!$A$3:$E$16,4,FALSE),0),"")</f>
        <v/>
      </c>
      <c r="AT587" t="str">
        <f>IFERROR(ROUND(X587*(U587/$AY587)/VLOOKUP(T587,商品!$A$4:$D$67,4,FALSE),0),"")</f>
        <v/>
      </c>
      <c r="AU587" t="str">
        <f>IFERROR(ROUND(X587*(W587/$AY587)/VLOOKUP(V587,商品!$A$4:$D$67,4,FALSE),0),"")</f>
        <v/>
      </c>
      <c r="AW587">
        <f t="shared" si="167"/>
        <v>0</v>
      </c>
      <c r="AX587">
        <f t="shared" si="168"/>
        <v>0</v>
      </c>
      <c r="AY587">
        <f t="shared" si="169"/>
        <v>0</v>
      </c>
    </row>
    <row r="588" customHeight="1" spans="1:51">
      <c r="A588" s="5" t="s">
        <v>396</v>
      </c>
      <c r="C588" s="5">
        <v>5</v>
      </c>
      <c r="D588" s="1" t="s">
        <v>238</v>
      </c>
      <c r="E588" s="1" t="s">
        <v>222</v>
      </c>
      <c r="L588" s="5">
        <f>IFERROR(VLOOKUP($D588&amp;$C588,生产方式定位!$A$2:$E$38,2,FALSE)+VLOOKUP($E588&amp;$C588,生产方式定位!$F$3:$J$38,2,FALSE),0)</f>
        <v>1475</v>
      </c>
      <c r="S588" s="5">
        <f>IFERROR(VLOOKUP($D588&amp;$C588,生产方式定位!$A$2:$E$38,3,FALSE)+VLOOKUP($E588&amp;$C588,生产方式定位!$F$3:$J$38,3,FALSE),0)</f>
        <v>100</v>
      </c>
      <c r="X588" s="5">
        <f>IFERROR(VLOOKUP($D588&amp;$C588,生产方式定位!$A$2:$E$38,5,FALSE)+VLOOKUP($E588&amp;$C588,生产方式定位!$F$3:$J$38,5,FALSE),"错误")</f>
        <v>3763</v>
      </c>
      <c r="Y588" s="27" t="str">
        <f t="shared" si="153"/>
        <v/>
      </c>
      <c r="Z588" s="50" t="str">
        <f t="shared" si="156"/>
        <v/>
      </c>
      <c r="AA588" s="50" t="str">
        <f t="shared" si="154"/>
        <v/>
      </c>
      <c r="AB588" s="28" t="str">
        <f t="shared" si="157"/>
        <v>155%</v>
      </c>
      <c r="AC588" s="1">
        <f t="shared" si="158"/>
        <v>2188</v>
      </c>
      <c r="AD588" s="51">
        <f t="shared" si="155"/>
        <v>5</v>
      </c>
      <c r="AE588" t="str">
        <f t="shared" si="159"/>
        <v/>
      </c>
      <c r="AF588" t="str">
        <f t="shared" si="160"/>
        <v/>
      </c>
      <c r="AG588" t="str">
        <f t="shared" si="161"/>
        <v/>
      </c>
      <c r="AH588" t="str">
        <f t="shared" si="162"/>
        <v/>
      </c>
      <c r="AI588" t="str">
        <f t="shared" si="163"/>
        <v/>
      </c>
      <c r="AJ588" t="str">
        <f t="shared" si="164"/>
        <v/>
      </c>
      <c r="AK588" t="str">
        <f t="shared" si="165"/>
        <v/>
      </c>
      <c r="AL588" t="str">
        <f t="shared" si="166"/>
        <v/>
      </c>
      <c r="AN588" t="str">
        <f>IFERROR(ROUND(L588*(G588/$AW588)/VLOOKUP(F588,商品!$A$4:$D$67,4,FALSE),0),"")</f>
        <v/>
      </c>
      <c r="AO588" t="str">
        <f>IFERROR(ROUND(L588*(I588/$AW588)/VLOOKUP(H588,商品!$A$4:$D$67,4,FALSE),0),"")</f>
        <v/>
      </c>
      <c r="AP588" t="str">
        <f>IFERROR(ROUND(L588*(K588/$AW588)/VLOOKUP(J588,商品!$A$4:$D$67,4,FALSE),0),"")</f>
        <v/>
      </c>
      <c r="AQ588" t="str">
        <f>IFERROR(ROUND(S588*(N588/$AX588)/VLOOKUP(M588,职业!$A$3:$E$16,4,FALSE),0),"")</f>
        <v/>
      </c>
      <c r="AR588" t="str">
        <f>IFERROR(ROUND(S588*(P588/$AX588)/VLOOKUP(O588,职业!$A$3:$E$16,4,FALSE),0),"")</f>
        <v/>
      </c>
      <c r="AS588" t="str">
        <f>IFERROR(ROUND(S588*(R588/$AX588)/VLOOKUP(Q588,职业!$A$3:$E$16,4,FALSE),0),"")</f>
        <v/>
      </c>
      <c r="AT588" t="str">
        <f>IFERROR(ROUND(X588*(U588/$AY588)/VLOOKUP(T588,商品!$A$4:$D$67,4,FALSE),0),"")</f>
        <v/>
      </c>
      <c r="AU588" t="str">
        <f>IFERROR(ROUND(X588*(W588/$AY588)/VLOOKUP(V588,商品!$A$4:$D$67,4,FALSE),0),"")</f>
        <v/>
      </c>
      <c r="AW588">
        <f t="shared" si="167"/>
        <v>0</v>
      </c>
      <c r="AX588">
        <f t="shared" si="168"/>
        <v>0</v>
      </c>
      <c r="AY588">
        <f t="shared" si="169"/>
        <v>0</v>
      </c>
    </row>
    <row r="589" customHeight="1" spans="1:51">
      <c r="A589" s="18" t="s">
        <v>397</v>
      </c>
      <c r="C589" s="18">
        <v>1</v>
      </c>
      <c r="D589" s="1" t="s">
        <v>291</v>
      </c>
      <c r="E589" s="1" t="s">
        <v>225</v>
      </c>
      <c r="L589" s="18">
        <f>IFERROR(VLOOKUP($D589&amp;$C589,生产方式定位!$A$2:$E$38,2,FALSE)+VLOOKUP($E589&amp;$C589,生产方式定位!$F$3:$J$38,2,FALSE),0)</f>
        <v>0</v>
      </c>
      <c r="S589" s="18">
        <f>IFERROR(VLOOKUP($D589&amp;$C589,生产方式定位!$A$2:$E$38,3,FALSE)+VLOOKUP($E589&amp;$C589,生产方式定位!$F$3:$J$38,3,FALSE),0)</f>
        <v>100</v>
      </c>
      <c r="X589" s="18">
        <f>IFERROR(VLOOKUP($D589&amp;$C589,生产方式定位!$A$2:$E$38,5,FALSE)+VLOOKUP($E589&amp;$C589,生产方式定位!$F$3:$J$38,5,FALSE),"错误")</f>
        <v>100</v>
      </c>
      <c r="Y589" s="27" t="str">
        <f t="shared" si="153"/>
        <v/>
      </c>
      <c r="Z589" s="50" t="str">
        <f t="shared" si="156"/>
        <v/>
      </c>
      <c r="AA589" s="50" t="str">
        <f t="shared" si="154"/>
        <v/>
      </c>
      <c r="AB589" s="28" t="str">
        <f t="shared" si="157"/>
        <v/>
      </c>
      <c r="AC589" s="1" t="str">
        <f t="shared" si="158"/>
        <v/>
      </c>
      <c r="AD589" s="52">
        <f t="shared" si="155"/>
        <v>1</v>
      </c>
      <c r="AE589" t="str">
        <f t="shared" si="159"/>
        <v/>
      </c>
      <c r="AF589" t="str">
        <f t="shared" si="160"/>
        <v/>
      </c>
      <c r="AG589" t="str">
        <f t="shared" si="161"/>
        <v/>
      </c>
      <c r="AH589" t="str">
        <f t="shared" si="162"/>
        <v/>
      </c>
      <c r="AI589" t="str">
        <f t="shared" si="163"/>
        <v/>
      </c>
      <c r="AJ589" t="str">
        <f t="shared" si="164"/>
        <v/>
      </c>
      <c r="AK589" t="str">
        <f t="shared" si="165"/>
        <v/>
      </c>
      <c r="AL589" t="str">
        <f t="shared" si="166"/>
        <v/>
      </c>
      <c r="AN589" t="str">
        <f>IFERROR(ROUND(L589*(G589/$AW589)/VLOOKUP(F589,商品!$A$4:$D$67,4,FALSE),0),"")</f>
        <v/>
      </c>
      <c r="AO589" t="str">
        <f>IFERROR(ROUND(L589*(I589/$AW589)/VLOOKUP(H589,商品!$A$4:$D$67,4,FALSE),0),"")</f>
        <v/>
      </c>
      <c r="AP589" t="str">
        <f>IFERROR(ROUND(L589*(K589/$AW589)/VLOOKUP(J589,商品!$A$4:$D$67,4,FALSE),0),"")</f>
        <v/>
      </c>
      <c r="AQ589" t="str">
        <f>IFERROR(ROUND(S589*(N589/$AX589)/VLOOKUP(M589,职业!$A$3:$E$16,4,FALSE),0),"")</f>
        <v/>
      </c>
      <c r="AR589" t="str">
        <f>IFERROR(ROUND(S589*(P589/$AX589)/VLOOKUP(O589,职业!$A$3:$E$16,4,FALSE),0),"")</f>
        <v/>
      </c>
      <c r="AS589" t="str">
        <f>IFERROR(ROUND(S589*(R589/$AX589)/VLOOKUP(Q589,职业!$A$3:$E$16,4,FALSE),0),"")</f>
        <v/>
      </c>
      <c r="AT589" t="str">
        <f>IFERROR(ROUND(X589*(U589/$AY589)/VLOOKUP(T589,商品!$A$4:$D$67,4,FALSE),0),"")</f>
        <v/>
      </c>
      <c r="AU589" t="str">
        <f>IFERROR(ROUND(X589*(W589/$AY589)/VLOOKUP(V589,商品!$A$4:$D$67,4,FALSE),0),"")</f>
        <v/>
      </c>
      <c r="AW589">
        <f t="shared" si="167"/>
        <v>0</v>
      </c>
      <c r="AX589">
        <f t="shared" si="168"/>
        <v>0</v>
      </c>
      <c r="AY589">
        <f t="shared" si="169"/>
        <v>0</v>
      </c>
    </row>
    <row r="590" customHeight="1" spans="1:51">
      <c r="A590" s="18" t="s">
        <v>397</v>
      </c>
      <c r="C590" s="18">
        <v>2</v>
      </c>
      <c r="D590" s="1" t="s">
        <v>291</v>
      </c>
      <c r="E590" s="1" t="s">
        <v>225</v>
      </c>
      <c r="L590" s="18">
        <f>IFERROR(VLOOKUP($D590&amp;$C590,生产方式定位!$A$2:$E$38,2,FALSE)+VLOOKUP($E590&amp;$C590,生产方式定位!$F$3:$J$38,2,FALSE),0)</f>
        <v>0</v>
      </c>
      <c r="S590" s="18">
        <f>IFERROR(VLOOKUP($D590&amp;$C590,生产方式定位!$A$2:$E$38,3,FALSE)+VLOOKUP($E590&amp;$C590,生产方式定位!$F$3:$J$38,3,FALSE),0)</f>
        <v>100</v>
      </c>
      <c r="X590" s="18">
        <f>IFERROR(VLOOKUP($D590&amp;$C590,生产方式定位!$A$2:$E$38,5,FALSE)+VLOOKUP($E590&amp;$C590,生产方式定位!$F$3:$J$38,5,FALSE),"错误")</f>
        <v>100</v>
      </c>
      <c r="Y590" s="27" t="str">
        <f t="shared" si="153"/>
        <v/>
      </c>
      <c r="Z590" s="50" t="str">
        <f t="shared" si="156"/>
        <v/>
      </c>
      <c r="AA590" s="50" t="str">
        <f t="shared" si="154"/>
        <v/>
      </c>
      <c r="AB590" s="28" t="str">
        <f t="shared" si="157"/>
        <v/>
      </c>
      <c r="AC590" s="1" t="str">
        <f t="shared" si="158"/>
        <v/>
      </c>
      <c r="AD590" s="52">
        <f t="shared" si="155"/>
        <v>2</v>
      </c>
      <c r="AE590" t="str">
        <f t="shared" si="159"/>
        <v/>
      </c>
      <c r="AF590" t="str">
        <f t="shared" si="160"/>
        <v/>
      </c>
      <c r="AG590" t="str">
        <f t="shared" si="161"/>
        <v/>
      </c>
      <c r="AH590" t="str">
        <f t="shared" si="162"/>
        <v/>
      </c>
      <c r="AI590" t="str">
        <f t="shared" si="163"/>
        <v/>
      </c>
      <c r="AJ590" t="str">
        <f t="shared" si="164"/>
        <v/>
      </c>
      <c r="AK590" t="str">
        <f t="shared" si="165"/>
        <v/>
      </c>
      <c r="AL590" t="str">
        <f t="shared" si="166"/>
        <v/>
      </c>
      <c r="AN590" t="str">
        <f>IFERROR(ROUND(L590*(G590/$AW590)/VLOOKUP(F590,商品!$A$4:$D$67,4,FALSE),0),"")</f>
        <v/>
      </c>
      <c r="AO590" t="str">
        <f>IFERROR(ROUND(L590*(I590/$AW590)/VLOOKUP(H590,商品!$A$4:$D$67,4,FALSE),0),"")</f>
        <v/>
      </c>
      <c r="AP590" t="str">
        <f>IFERROR(ROUND(L590*(K590/$AW590)/VLOOKUP(J590,商品!$A$4:$D$67,4,FALSE),0),"")</f>
        <v/>
      </c>
      <c r="AQ590" t="str">
        <f>IFERROR(ROUND(S590*(N590/$AX590)/VLOOKUP(M590,职业!$A$3:$E$16,4,FALSE),0),"")</f>
        <v/>
      </c>
      <c r="AR590" t="str">
        <f>IFERROR(ROUND(S590*(P590/$AX590)/VLOOKUP(O590,职业!$A$3:$E$16,4,FALSE),0),"")</f>
        <v/>
      </c>
      <c r="AS590" t="str">
        <f>IFERROR(ROUND(S590*(R590/$AX590)/VLOOKUP(Q590,职业!$A$3:$E$16,4,FALSE),0),"")</f>
        <v/>
      </c>
      <c r="AT590" t="str">
        <f>IFERROR(ROUND(X590*(U590/$AY590)/VLOOKUP(T590,商品!$A$4:$D$67,4,FALSE),0),"")</f>
        <v/>
      </c>
      <c r="AU590" t="str">
        <f>IFERROR(ROUND(X590*(W590/$AY590)/VLOOKUP(V590,商品!$A$4:$D$67,4,FALSE),0),"")</f>
        <v/>
      </c>
      <c r="AW590">
        <f t="shared" si="167"/>
        <v>0</v>
      </c>
      <c r="AX590">
        <f t="shared" si="168"/>
        <v>0</v>
      </c>
      <c r="AY590">
        <f t="shared" si="169"/>
        <v>0</v>
      </c>
    </row>
    <row r="591" customHeight="1" spans="1:51">
      <c r="A591" s="18" t="s">
        <v>397</v>
      </c>
      <c r="C591" s="18">
        <v>3</v>
      </c>
      <c r="D591" s="1" t="s">
        <v>291</v>
      </c>
      <c r="E591" s="1" t="s">
        <v>225</v>
      </c>
      <c r="L591" s="18">
        <f>IFERROR(VLOOKUP($D591&amp;$C591,生产方式定位!$A$2:$E$38,2,FALSE)+VLOOKUP($E591&amp;$C591,生产方式定位!$F$3:$J$38,2,FALSE),0)</f>
        <v>0</v>
      </c>
      <c r="S591" s="18">
        <f>IFERROR(VLOOKUP($D591&amp;$C591,生产方式定位!$A$2:$E$38,3,FALSE)+VLOOKUP($E591&amp;$C591,生产方式定位!$F$3:$J$38,3,FALSE),0)</f>
        <v>100</v>
      </c>
      <c r="X591" s="18">
        <f>IFERROR(VLOOKUP($D591&amp;$C591,生产方式定位!$A$2:$E$38,5,FALSE)+VLOOKUP($E591&amp;$C591,生产方式定位!$F$3:$J$38,5,FALSE),"错误")</f>
        <v>100</v>
      </c>
      <c r="Y591" s="27" t="str">
        <f t="shared" si="153"/>
        <v/>
      </c>
      <c r="Z591" s="50" t="str">
        <f t="shared" si="156"/>
        <v/>
      </c>
      <c r="AA591" s="50" t="str">
        <f t="shared" si="154"/>
        <v/>
      </c>
      <c r="AB591" s="28" t="str">
        <f t="shared" si="157"/>
        <v/>
      </c>
      <c r="AC591" s="1" t="str">
        <f t="shared" si="158"/>
        <v/>
      </c>
      <c r="AD591" s="52">
        <f t="shared" si="155"/>
        <v>3</v>
      </c>
      <c r="AE591" t="str">
        <f t="shared" si="159"/>
        <v/>
      </c>
      <c r="AF591" t="str">
        <f t="shared" si="160"/>
        <v/>
      </c>
      <c r="AG591" t="str">
        <f t="shared" si="161"/>
        <v/>
      </c>
      <c r="AH591" t="str">
        <f t="shared" si="162"/>
        <v/>
      </c>
      <c r="AI591" t="str">
        <f t="shared" si="163"/>
        <v/>
      </c>
      <c r="AJ591" t="str">
        <f t="shared" si="164"/>
        <v/>
      </c>
      <c r="AK591" t="str">
        <f t="shared" si="165"/>
        <v/>
      </c>
      <c r="AL591" t="str">
        <f t="shared" si="166"/>
        <v/>
      </c>
      <c r="AN591" t="str">
        <f>IFERROR(ROUND(L591*(G591/$AW591)/VLOOKUP(F591,商品!$A$4:$D$67,4,FALSE),0),"")</f>
        <v/>
      </c>
      <c r="AO591" t="str">
        <f>IFERROR(ROUND(L591*(I591/$AW591)/VLOOKUP(H591,商品!$A$4:$D$67,4,FALSE),0),"")</f>
        <v/>
      </c>
      <c r="AP591" t="str">
        <f>IFERROR(ROUND(L591*(K591/$AW591)/VLOOKUP(J591,商品!$A$4:$D$67,4,FALSE),0),"")</f>
        <v/>
      </c>
      <c r="AQ591" t="str">
        <f>IFERROR(ROUND(S591*(N591/$AX591)/VLOOKUP(M591,职业!$A$3:$E$16,4,FALSE),0),"")</f>
        <v/>
      </c>
      <c r="AR591" t="str">
        <f>IFERROR(ROUND(S591*(P591/$AX591)/VLOOKUP(O591,职业!$A$3:$E$16,4,FALSE),0),"")</f>
        <v/>
      </c>
      <c r="AS591" t="str">
        <f>IFERROR(ROUND(S591*(R591/$AX591)/VLOOKUP(Q591,职业!$A$3:$E$16,4,FALSE),0),"")</f>
        <v/>
      </c>
      <c r="AT591" t="str">
        <f>IFERROR(ROUND(X591*(U591/$AY591)/VLOOKUP(T591,商品!$A$4:$D$67,4,FALSE),0),"")</f>
        <v/>
      </c>
      <c r="AU591" t="str">
        <f>IFERROR(ROUND(X591*(W591/$AY591)/VLOOKUP(V591,商品!$A$4:$D$67,4,FALSE),0),"")</f>
        <v/>
      </c>
      <c r="AW591">
        <f t="shared" si="167"/>
        <v>0</v>
      </c>
      <c r="AX591">
        <f t="shared" si="168"/>
        <v>0</v>
      </c>
      <c r="AY591">
        <f t="shared" si="169"/>
        <v>0</v>
      </c>
    </row>
    <row r="592" customHeight="1" spans="1:51">
      <c r="A592" s="18" t="s">
        <v>397</v>
      </c>
      <c r="C592" s="18">
        <v>4</v>
      </c>
      <c r="D592" s="1" t="s">
        <v>291</v>
      </c>
      <c r="E592" s="1" t="s">
        <v>225</v>
      </c>
      <c r="L592" s="18">
        <f>IFERROR(VLOOKUP($D592&amp;$C592,生产方式定位!$A$2:$E$38,2,FALSE)+VLOOKUP($E592&amp;$C592,生产方式定位!$F$3:$J$38,2,FALSE),0)</f>
        <v>0</v>
      </c>
      <c r="S592" s="18">
        <f>IFERROR(VLOOKUP($D592&amp;$C592,生产方式定位!$A$2:$E$38,3,FALSE)+VLOOKUP($E592&amp;$C592,生产方式定位!$F$3:$J$38,3,FALSE),0)</f>
        <v>100</v>
      </c>
      <c r="X592" s="18">
        <f>IFERROR(VLOOKUP($D592&amp;$C592,生产方式定位!$A$2:$E$38,5,FALSE)+VLOOKUP($E592&amp;$C592,生产方式定位!$F$3:$J$38,5,FALSE),"错误")</f>
        <v>100</v>
      </c>
      <c r="Y592" s="27" t="str">
        <f t="shared" si="153"/>
        <v/>
      </c>
      <c r="Z592" s="50" t="str">
        <f t="shared" si="156"/>
        <v/>
      </c>
      <c r="AA592" s="50" t="str">
        <f t="shared" si="154"/>
        <v/>
      </c>
      <c r="AB592" s="28" t="str">
        <f t="shared" si="157"/>
        <v/>
      </c>
      <c r="AC592" s="1" t="str">
        <f t="shared" si="158"/>
        <v/>
      </c>
      <c r="AD592" s="52">
        <f t="shared" si="155"/>
        <v>4</v>
      </c>
      <c r="AE592" t="str">
        <f t="shared" si="159"/>
        <v/>
      </c>
      <c r="AF592" t="str">
        <f t="shared" si="160"/>
        <v/>
      </c>
      <c r="AG592" t="str">
        <f t="shared" si="161"/>
        <v/>
      </c>
      <c r="AH592" t="str">
        <f t="shared" si="162"/>
        <v/>
      </c>
      <c r="AI592" t="str">
        <f t="shared" si="163"/>
        <v/>
      </c>
      <c r="AJ592" t="str">
        <f t="shared" si="164"/>
        <v/>
      </c>
      <c r="AK592" t="str">
        <f t="shared" si="165"/>
        <v/>
      </c>
      <c r="AL592" t="str">
        <f t="shared" si="166"/>
        <v/>
      </c>
      <c r="AN592" t="str">
        <f>IFERROR(ROUND(L592*(G592/$AW592)/VLOOKUP(F592,商品!$A$4:$D$67,4,FALSE),0),"")</f>
        <v/>
      </c>
      <c r="AO592" t="str">
        <f>IFERROR(ROUND(L592*(I592/$AW592)/VLOOKUP(H592,商品!$A$4:$D$67,4,FALSE),0),"")</f>
        <v/>
      </c>
      <c r="AP592" t="str">
        <f>IFERROR(ROUND(L592*(K592/$AW592)/VLOOKUP(J592,商品!$A$4:$D$67,4,FALSE),0),"")</f>
        <v/>
      </c>
      <c r="AQ592" t="str">
        <f>IFERROR(ROUND(S592*(N592/$AX592)/VLOOKUP(M592,职业!$A$3:$E$16,4,FALSE),0),"")</f>
        <v/>
      </c>
      <c r="AR592" t="str">
        <f>IFERROR(ROUND(S592*(P592/$AX592)/VLOOKUP(O592,职业!$A$3:$E$16,4,FALSE),0),"")</f>
        <v/>
      </c>
      <c r="AS592" t="str">
        <f>IFERROR(ROUND(S592*(R592/$AX592)/VLOOKUP(Q592,职业!$A$3:$E$16,4,FALSE),0),"")</f>
        <v/>
      </c>
      <c r="AT592" t="str">
        <f>IFERROR(ROUND(X592*(U592/$AY592)/VLOOKUP(T592,商品!$A$4:$D$67,4,FALSE),0),"")</f>
        <v/>
      </c>
      <c r="AU592" t="str">
        <f>IFERROR(ROUND(X592*(W592/$AY592)/VLOOKUP(V592,商品!$A$4:$D$67,4,FALSE),0),"")</f>
        <v/>
      </c>
      <c r="AW592">
        <f t="shared" si="167"/>
        <v>0</v>
      </c>
      <c r="AX592">
        <f t="shared" si="168"/>
        <v>0</v>
      </c>
      <c r="AY592">
        <f t="shared" si="169"/>
        <v>0</v>
      </c>
    </row>
    <row r="593" customHeight="1" spans="1:51">
      <c r="A593" s="18" t="s">
        <v>397</v>
      </c>
      <c r="C593" s="18">
        <v>5</v>
      </c>
      <c r="D593" s="1" t="s">
        <v>291</v>
      </c>
      <c r="E593" s="1" t="s">
        <v>225</v>
      </c>
      <c r="L593" s="18">
        <f>IFERROR(VLOOKUP($D593&amp;$C593,生产方式定位!$A$2:$E$38,2,FALSE)+VLOOKUP($E593&amp;$C593,生产方式定位!$F$3:$J$38,2,FALSE),0)</f>
        <v>0</v>
      </c>
      <c r="S593" s="18">
        <f>IFERROR(VLOOKUP($D593&amp;$C593,生产方式定位!$A$2:$E$38,3,FALSE)+VLOOKUP($E593&amp;$C593,生产方式定位!$F$3:$J$38,3,FALSE),0)</f>
        <v>100</v>
      </c>
      <c r="X593" s="18">
        <f>IFERROR(VLOOKUP($D593&amp;$C593,生产方式定位!$A$2:$E$38,5,FALSE)+VLOOKUP($E593&amp;$C593,生产方式定位!$F$3:$J$38,5,FALSE),"错误")</f>
        <v>100</v>
      </c>
      <c r="Y593" s="27" t="str">
        <f t="shared" si="153"/>
        <v/>
      </c>
      <c r="Z593" s="50" t="str">
        <f t="shared" si="156"/>
        <v/>
      </c>
      <c r="AA593" s="50" t="str">
        <f t="shared" si="154"/>
        <v/>
      </c>
      <c r="AB593" s="28" t="str">
        <f t="shared" si="157"/>
        <v/>
      </c>
      <c r="AC593" s="1" t="str">
        <f t="shared" si="158"/>
        <v/>
      </c>
      <c r="AD593" s="52">
        <f t="shared" si="155"/>
        <v>5</v>
      </c>
      <c r="AE593" t="str">
        <f t="shared" si="159"/>
        <v/>
      </c>
      <c r="AF593" t="str">
        <f t="shared" si="160"/>
        <v/>
      </c>
      <c r="AG593" t="str">
        <f t="shared" si="161"/>
        <v/>
      </c>
      <c r="AH593" t="str">
        <f t="shared" si="162"/>
        <v/>
      </c>
      <c r="AI593" t="str">
        <f t="shared" si="163"/>
        <v/>
      </c>
      <c r="AJ593" t="str">
        <f t="shared" si="164"/>
        <v/>
      </c>
      <c r="AK593" t="str">
        <f t="shared" si="165"/>
        <v/>
      </c>
      <c r="AL593" t="str">
        <f t="shared" si="166"/>
        <v/>
      </c>
      <c r="AN593" t="str">
        <f>IFERROR(ROUND(L593*(G593/$AW593)/VLOOKUP(F593,商品!$A$4:$D$67,4,FALSE),0),"")</f>
        <v/>
      </c>
      <c r="AO593" t="str">
        <f>IFERROR(ROUND(L593*(I593/$AW593)/VLOOKUP(H593,商品!$A$4:$D$67,4,FALSE),0),"")</f>
        <v/>
      </c>
      <c r="AP593" t="str">
        <f>IFERROR(ROUND(L593*(K593/$AW593)/VLOOKUP(J593,商品!$A$4:$D$67,4,FALSE),0),"")</f>
        <v/>
      </c>
      <c r="AQ593" t="str">
        <f>IFERROR(ROUND(S593*(N593/$AX593)/VLOOKUP(M593,职业!$A$3:$E$16,4,FALSE),0),"")</f>
        <v/>
      </c>
      <c r="AR593" t="str">
        <f>IFERROR(ROUND(S593*(P593/$AX593)/VLOOKUP(O593,职业!$A$3:$E$16,4,FALSE),0),"")</f>
        <v/>
      </c>
      <c r="AS593" t="str">
        <f>IFERROR(ROUND(S593*(R593/$AX593)/VLOOKUP(Q593,职业!$A$3:$E$16,4,FALSE),0),"")</f>
        <v/>
      </c>
      <c r="AT593" t="str">
        <f>IFERROR(ROUND(X593*(U593/$AY593)/VLOOKUP(T593,商品!$A$4:$D$67,4,FALSE),0),"")</f>
        <v/>
      </c>
      <c r="AU593" t="str">
        <f>IFERROR(ROUND(X593*(W593/$AY593)/VLOOKUP(V593,商品!$A$4:$D$67,4,FALSE),0),"")</f>
        <v/>
      </c>
      <c r="AW593">
        <f t="shared" si="167"/>
        <v>0</v>
      </c>
      <c r="AX593">
        <f t="shared" si="168"/>
        <v>0</v>
      </c>
      <c r="AY593">
        <f t="shared" si="169"/>
        <v>0</v>
      </c>
    </row>
    <row r="594" customHeight="1" spans="1:51">
      <c r="A594" s="18" t="s">
        <v>397</v>
      </c>
      <c r="C594" s="18">
        <v>6</v>
      </c>
      <c r="D594" s="1" t="s">
        <v>291</v>
      </c>
      <c r="E594" s="1" t="s">
        <v>225</v>
      </c>
      <c r="L594" s="18">
        <f>IFERROR(VLOOKUP($D594&amp;$C594,生产方式定位!$A$2:$E$38,2,FALSE)+VLOOKUP($E594&amp;$C594,生产方式定位!$F$3:$J$38,2,FALSE),0)</f>
        <v>0</v>
      </c>
      <c r="S594" s="18">
        <f>IFERROR(VLOOKUP($D594&amp;$C594,生产方式定位!$A$2:$E$38,3,FALSE)+VLOOKUP($E594&amp;$C594,生产方式定位!$F$3:$J$38,3,FALSE),0)</f>
        <v>100</v>
      </c>
      <c r="X594" s="18">
        <f>IFERROR(VLOOKUP($D594&amp;$C594,生产方式定位!$A$2:$E$38,5,FALSE)+VLOOKUP($E594&amp;$C594,生产方式定位!$F$3:$J$38,5,FALSE),"错误")</f>
        <v>100</v>
      </c>
      <c r="Y594" s="27" t="str">
        <f t="shared" si="153"/>
        <v/>
      </c>
      <c r="Z594" s="50" t="str">
        <f t="shared" si="156"/>
        <v/>
      </c>
      <c r="AA594" s="50" t="str">
        <f t="shared" si="154"/>
        <v/>
      </c>
      <c r="AB594" s="28" t="str">
        <f t="shared" si="157"/>
        <v/>
      </c>
      <c r="AC594" s="1" t="str">
        <f t="shared" si="158"/>
        <v/>
      </c>
      <c r="AD594" s="52">
        <f t="shared" si="155"/>
        <v>6</v>
      </c>
      <c r="AE594" t="str">
        <f t="shared" si="159"/>
        <v/>
      </c>
      <c r="AF594" t="str">
        <f t="shared" si="160"/>
        <v/>
      </c>
      <c r="AG594" t="str">
        <f t="shared" si="161"/>
        <v/>
      </c>
      <c r="AH594" t="str">
        <f t="shared" si="162"/>
        <v/>
      </c>
      <c r="AI594" t="str">
        <f t="shared" si="163"/>
        <v/>
      </c>
      <c r="AJ594" t="str">
        <f t="shared" si="164"/>
        <v/>
      </c>
      <c r="AK594" t="str">
        <f t="shared" si="165"/>
        <v/>
      </c>
      <c r="AL594" t="str">
        <f t="shared" si="166"/>
        <v/>
      </c>
      <c r="AN594" t="str">
        <f>IFERROR(ROUND(L594*(G594/$AW594)/VLOOKUP(F594,商品!$A$4:$D$67,4,FALSE),0),"")</f>
        <v/>
      </c>
      <c r="AO594" t="str">
        <f>IFERROR(ROUND(L594*(I594/$AW594)/VLOOKUP(H594,商品!$A$4:$D$67,4,FALSE),0),"")</f>
        <v/>
      </c>
      <c r="AP594" t="str">
        <f>IFERROR(ROUND(L594*(K594/$AW594)/VLOOKUP(J594,商品!$A$4:$D$67,4,FALSE),0),"")</f>
        <v/>
      </c>
      <c r="AQ594" t="str">
        <f>IFERROR(ROUND(S594*(N594/$AX594)/VLOOKUP(M594,职业!$A$3:$E$16,4,FALSE),0),"")</f>
        <v/>
      </c>
      <c r="AR594" t="str">
        <f>IFERROR(ROUND(S594*(P594/$AX594)/VLOOKUP(O594,职业!$A$3:$E$16,4,FALSE),0),"")</f>
        <v/>
      </c>
      <c r="AS594" t="str">
        <f>IFERROR(ROUND(S594*(R594/$AX594)/VLOOKUP(Q594,职业!$A$3:$E$16,4,FALSE),0),"")</f>
        <v/>
      </c>
      <c r="AT594" t="str">
        <f>IFERROR(ROUND(X594*(U594/$AY594)/VLOOKUP(T594,商品!$A$4:$D$67,4,FALSE),0),"")</f>
        <v/>
      </c>
      <c r="AU594" t="str">
        <f>IFERROR(ROUND(X594*(W594/$AY594)/VLOOKUP(V594,商品!$A$4:$D$67,4,FALSE),0),"")</f>
        <v/>
      </c>
      <c r="AW594">
        <f t="shared" si="167"/>
        <v>0</v>
      </c>
      <c r="AX594">
        <f t="shared" si="168"/>
        <v>0</v>
      </c>
      <c r="AY594">
        <f t="shared" si="169"/>
        <v>0</v>
      </c>
    </row>
    <row r="595" customHeight="1" spans="1:51">
      <c r="A595" s="18" t="s">
        <v>397</v>
      </c>
      <c r="C595" s="18">
        <v>7</v>
      </c>
      <c r="D595" s="1" t="s">
        <v>291</v>
      </c>
      <c r="E595" s="1" t="s">
        <v>225</v>
      </c>
      <c r="L595" s="18">
        <f>IFERROR(VLOOKUP($D595&amp;$C595,生产方式定位!$A$2:$E$38,2,FALSE)+VLOOKUP($E595&amp;$C595,生产方式定位!$F$3:$J$38,2,FALSE),0)</f>
        <v>0</v>
      </c>
      <c r="S595" s="18">
        <f>IFERROR(VLOOKUP($D595&amp;$C595,生产方式定位!$A$2:$E$38,3,FALSE)+VLOOKUP($E595&amp;$C595,生产方式定位!$F$3:$J$38,3,FALSE),0)</f>
        <v>100</v>
      </c>
      <c r="X595" s="18">
        <f>IFERROR(VLOOKUP($D595&amp;$C595,生产方式定位!$A$2:$E$38,5,FALSE)+VLOOKUP($E595&amp;$C595,生产方式定位!$F$3:$J$38,5,FALSE),"错误")</f>
        <v>100</v>
      </c>
      <c r="Y595" s="27" t="str">
        <f t="shared" si="153"/>
        <v/>
      </c>
      <c r="Z595" s="50" t="str">
        <f t="shared" si="156"/>
        <v/>
      </c>
      <c r="AA595" s="50" t="str">
        <f t="shared" si="154"/>
        <v/>
      </c>
      <c r="AB595" s="28" t="str">
        <f t="shared" si="157"/>
        <v/>
      </c>
      <c r="AC595" s="1" t="str">
        <f t="shared" si="158"/>
        <v/>
      </c>
      <c r="AD595" s="52">
        <f t="shared" si="155"/>
        <v>7</v>
      </c>
      <c r="AE595" t="str">
        <f t="shared" si="159"/>
        <v/>
      </c>
      <c r="AF595" t="str">
        <f t="shared" si="160"/>
        <v/>
      </c>
      <c r="AG595" t="str">
        <f t="shared" si="161"/>
        <v/>
      </c>
      <c r="AH595" t="str">
        <f t="shared" si="162"/>
        <v/>
      </c>
      <c r="AI595" t="str">
        <f t="shared" si="163"/>
        <v/>
      </c>
      <c r="AJ595" t="str">
        <f t="shared" si="164"/>
        <v/>
      </c>
      <c r="AK595" t="str">
        <f t="shared" si="165"/>
        <v/>
      </c>
      <c r="AL595" t="str">
        <f t="shared" si="166"/>
        <v/>
      </c>
      <c r="AN595" t="str">
        <f>IFERROR(ROUND(L595*(G595/$AW595)/VLOOKUP(F595,商品!$A$4:$D$67,4,FALSE),0),"")</f>
        <v/>
      </c>
      <c r="AO595" t="str">
        <f>IFERROR(ROUND(L595*(I595/$AW595)/VLOOKUP(H595,商品!$A$4:$D$67,4,FALSE),0),"")</f>
        <v/>
      </c>
      <c r="AP595" t="str">
        <f>IFERROR(ROUND(L595*(K595/$AW595)/VLOOKUP(J595,商品!$A$4:$D$67,4,FALSE),0),"")</f>
        <v/>
      </c>
      <c r="AQ595" t="str">
        <f>IFERROR(ROUND(S595*(N595/$AX595)/VLOOKUP(M595,职业!$A$3:$E$16,4,FALSE),0),"")</f>
        <v/>
      </c>
      <c r="AR595" t="str">
        <f>IFERROR(ROUND(S595*(P595/$AX595)/VLOOKUP(O595,职业!$A$3:$E$16,4,FALSE),0),"")</f>
        <v/>
      </c>
      <c r="AS595" t="str">
        <f>IFERROR(ROUND(S595*(R595/$AX595)/VLOOKUP(Q595,职业!$A$3:$E$16,4,FALSE),0),"")</f>
        <v/>
      </c>
      <c r="AT595" t="str">
        <f>IFERROR(ROUND(X595*(U595/$AY595)/VLOOKUP(T595,商品!$A$4:$D$67,4,FALSE),0),"")</f>
        <v/>
      </c>
      <c r="AU595" t="str">
        <f>IFERROR(ROUND(X595*(W595/$AY595)/VLOOKUP(V595,商品!$A$4:$D$67,4,FALSE),0),"")</f>
        <v/>
      </c>
      <c r="AW595">
        <f t="shared" si="167"/>
        <v>0</v>
      </c>
      <c r="AX595">
        <f t="shared" si="168"/>
        <v>0</v>
      </c>
      <c r="AY595">
        <f t="shared" si="169"/>
        <v>0</v>
      </c>
    </row>
    <row r="596" customHeight="1" spans="1:51">
      <c r="A596" s="18" t="s">
        <v>397</v>
      </c>
      <c r="C596" s="18">
        <v>8</v>
      </c>
      <c r="D596" s="1" t="s">
        <v>291</v>
      </c>
      <c r="E596" s="1" t="s">
        <v>225</v>
      </c>
      <c r="L596" s="18">
        <f>IFERROR(VLOOKUP($D596&amp;$C596,生产方式定位!$A$2:$E$38,2,FALSE)+VLOOKUP($E596&amp;$C596,生产方式定位!$F$3:$J$38,2,FALSE),0)</f>
        <v>0</v>
      </c>
      <c r="S596" s="18">
        <f>IFERROR(VLOOKUP($D596&amp;$C596,生产方式定位!$A$2:$E$38,3,FALSE)+VLOOKUP($E596&amp;$C596,生产方式定位!$F$3:$J$38,3,FALSE),0)</f>
        <v>100</v>
      </c>
      <c r="X596" s="18">
        <f>IFERROR(VLOOKUP($D596&amp;$C596,生产方式定位!$A$2:$E$38,5,FALSE)+VLOOKUP($E596&amp;$C596,生产方式定位!$F$3:$J$38,5,FALSE),"错误")</f>
        <v>100</v>
      </c>
      <c r="Y596" s="27" t="str">
        <f t="shared" si="153"/>
        <v/>
      </c>
      <c r="Z596" s="50" t="str">
        <f t="shared" si="156"/>
        <v/>
      </c>
      <c r="AA596" s="50" t="str">
        <f t="shared" si="154"/>
        <v/>
      </c>
      <c r="AB596" s="28" t="str">
        <f t="shared" si="157"/>
        <v/>
      </c>
      <c r="AC596" s="1" t="str">
        <f t="shared" si="158"/>
        <v/>
      </c>
      <c r="AD596" s="52">
        <f t="shared" si="155"/>
        <v>8</v>
      </c>
      <c r="AE596" t="str">
        <f t="shared" si="159"/>
        <v/>
      </c>
      <c r="AF596" t="str">
        <f t="shared" si="160"/>
        <v/>
      </c>
      <c r="AG596" t="str">
        <f t="shared" si="161"/>
        <v/>
      </c>
      <c r="AH596" t="str">
        <f t="shared" si="162"/>
        <v/>
      </c>
      <c r="AI596" t="str">
        <f t="shared" si="163"/>
        <v/>
      </c>
      <c r="AJ596" t="str">
        <f t="shared" si="164"/>
        <v/>
      </c>
      <c r="AK596" t="str">
        <f t="shared" si="165"/>
        <v/>
      </c>
      <c r="AL596" t="str">
        <f t="shared" si="166"/>
        <v/>
      </c>
      <c r="AN596" t="str">
        <f>IFERROR(ROUND(L596*(G596/$AW596)/VLOOKUP(F596,商品!$A$4:$D$67,4,FALSE),0),"")</f>
        <v/>
      </c>
      <c r="AO596" t="str">
        <f>IFERROR(ROUND(L596*(I596/$AW596)/VLOOKUP(H596,商品!$A$4:$D$67,4,FALSE),0),"")</f>
        <v/>
      </c>
      <c r="AP596" t="str">
        <f>IFERROR(ROUND(L596*(K596/$AW596)/VLOOKUP(J596,商品!$A$4:$D$67,4,FALSE),0),"")</f>
        <v/>
      </c>
      <c r="AQ596" t="str">
        <f>IFERROR(ROUND(S596*(N596/$AX596)/VLOOKUP(M596,职业!$A$3:$E$16,4,FALSE),0),"")</f>
        <v/>
      </c>
      <c r="AR596" t="str">
        <f>IFERROR(ROUND(S596*(P596/$AX596)/VLOOKUP(O596,职业!$A$3:$E$16,4,FALSE),0),"")</f>
        <v/>
      </c>
      <c r="AS596" t="str">
        <f>IFERROR(ROUND(S596*(R596/$AX596)/VLOOKUP(Q596,职业!$A$3:$E$16,4,FALSE),0),"")</f>
        <v/>
      </c>
      <c r="AT596" t="str">
        <f>IFERROR(ROUND(X596*(U596/$AY596)/VLOOKUP(T596,商品!$A$4:$D$67,4,FALSE),0),"")</f>
        <v/>
      </c>
      <c r="AU596" t="str">
        <f>IFERROR(ROUND(X596*(W596/$AY596)/VLOOKUP(V596,商品!$A$4:$D$67,4,FALSE),0),"")</f>
        <v/>
      </c>
      <c r="AW596">
        <f t="shared" si="167"/>
        <v>0</v>
      </c>
      <c r="AX596">
        <f t="shared" si="168"/>
        <v>0</v>
      </c>
      <c r="AY596">
        <f t="shared" si="169"/>
        <v>0</v>
      </c>
    </row>
    <row r="597" customHeight="1" spans="1:51">
      <c r="A597" s="5" t="s">
        <v>397</v>
      </c>
      <c r="C597" s="5">
        <v>1</v>
      </c>
      <c r="D597" s="1" t="s">
        <v>291</v>
      </c>
      <c r="E597" s="1" t="s">
        <v>225</v>
      </c>
      <c r="L597" s="5">
        <f>IFERROR(VLOOKUP($D597&amp;$C597,生产方式定位!$A$2:$E$38,2,FALSE)+VLOOKUP($E597&amp;$C597,生产方式定位!$F$3:$J$38,2,FALSE),0)</f>
        <v>0</v>
      </c>
      <c r="S597" s="5">
        <f>IFERROR(VLOOKUP($D597&amp;$C597,生产方式定位!$A$2:$E$38,3,FALSE)+VLOOKUP($E597&amp;$C597,生产方式定位!$F$3:$J$38,3,FALSE),0)</f>
        <v>100</v>
      </c>
      <c r="X597" s="5">
        <f>IFERROR(VLOOKUP($D597&amp;$C597,生产方式定位!$A$2:$E$38,5,FALSE)+VLOOKUP($E597&amp;$C597,生产方式定位!$F$3:$J$38,5,FALSE),"错误")</f>
        <v>100</v>
      </c>
      <c r="Y597" s="27" t="str">
        <f t="shared" si="153"/>
        <v/>
      </c>
      <c r="Z597" s="50" t="str">
        <f t="shared" si="156"/>
        <v/>
      </c>
      <c r="AA597" s="50" t="str">
        <f t="shared" si="154"/>
        <v/>
      </c>
      <c r="AB597" s="28" t="str">
        <f t="shared" si="157"/>
        <v/>
      </c>
      <c r="AC597" s="1" t="str">
        <f t="shared" si="158"/>
        <v/>
      </c>
      <c r="AD597" s="51">
        <f t="shared" si="155"/>
        <v>1</v>
      </c>
      <c r="AE597" t="str">
        <f t="shared" si="159"/>
        <v/>
      </c>
      <c r="AF597" t="str">
        <f t="shared" si="160"/>
        <v/>
      </c>
      <c r="AG597" t="str">
        <f t="shared" si="161"/>
        <v/>
      </c>
      <c r="AH597" t="str">
        <f t="shared" si="162"/>
        <v/>
      </c>
      <c r="AI597" t="str">
        <f t="shared" si="163"/>
        <v/>
      </c>
      <c r="AJ597" t="str">
        <f t="shared" si="164"/>
        <v/>
      </c>
      <c r="AK597" t="str">
        <f t="shared" si="165"/>
        <v/>
      </c>
      <c r="AL597" t="str">
        <f t="shared" si="166"/>
        <v/>
      </c>
      <c r="AN597" t="str">
        <f>IFERROR(ROUND(L597*(G597/$AW597)/VLOOKUP(F597,商品!$A$4:$D$67,4,FALSE),0),"")</f>
        <v/>
      </c>
      <c r="AO597" t="str">
        <f>IFERROR(ROUND(L597*(I597/$AW597)/VLOOKUP(H597,商品!$A$4:$D$67,4,FALSE),0),"")</f>
        <v/>
      </c>
      <c r="AP597" t="str">
        <f>IFERROR(ROUND(L597*(K597/$AW597)/VLOOKUP(J597,商品!$A$4:$D$67,4,FALSE),0),"")</f>
        <v/>
      </c>
      <c r="AQ597" t="str">
        <f>IFERROR(ROUND(S597*(N597/$AX597)/VLOOKUP(M597,职业!$A$3:$E$16,4,FALSE),0),"")</f>
        <v/>
      </c>
      <c r="AR597" t="str">
        <f>IFERROR(ROUND(S597*(P597/$AX597)/VLOOKUP(O597,职业!$A$3:$E$16,4,FALSE),0),"")</f>
        <v/>
      </c>
      <c r="AS597" t="str">
        <f>IFERROR(ROUND(S597*(R597/$AX597)/VLOOKUP(Q597,职业!$A$3:$E$16,4,FALSE),0),"")</f>
        <v/>
      </c>
      <c r="AT597" t="str">
        <f>IFERROR(ROUND(X597*(U597/$AY597)/VLOOKUP(T597,商品!$A$4:$D$67,4,FALSE),0),"")</f>
        <v/>
      </c>
      <c r="AU597" t="str">
        <f>IFERROR(ROUND(X597*(W597/$AY597)/VLOOKUP(V597,商品!$A$4:$D$67,4,FALSE),0),"")</f>
        <v/>
      </c>
      <c r="AW597">
        <f t="shared" si="167"/>
        <v>0</v>
      </c>
      <c r="AX597">
        <f t="shared" si="168"/>
        <v>0</v>
      </c>
      <c r="AY597">
        <f t="shared" si="169"/>
        <v>0</v>
      </c>
    </row>
    <row r="598" customHeight="1" spans="1:51">
      <c r="A598" s="5" t="s">
        <v>397</v>
      </c>
      <c r="C598" s="5">
        <v>2</v>
      </c>
      <c r="D598" s="1" t="s">
        <v>291</v>
      </c>
      <c r="E598" s="1" t="s">
        <v>225</v>
      </c>
      <c r="L598" s="5">
        <f>IFERROR(VLOOKUP($D598&amp;$C598,生产方式定位!$A$2:$E$38,2,FALSE)+VLOOKUP($E598&amp;$C598,生产方式定位!$F$3:$J$38,2,FALSE),0)</f>
        <v>0</v>
      </c>
      <c r="S598" s="5">
        <f>IFERROR(VLOOKUP($D598&amp;$C598,生产方式定位!$A$2:$E$38,3,FALSE)+VLOOKUP($E598&amp;$C598,生产方式定位!$F$3:$J$38,3,FALSE),0)</f>
        <v>100</v>
      </c>
      <c r="X598" s="5">
        <f>IFERROR(VLOOKUP($D598&amp;$C598,生产方式定位!$A$2:$E$38,5,FALSE)+VLOOKUP($E598&amp;$C598,生产方式定位!$F$3:$J$38,5,FALSE),"错误")</f>
        <v>100</v>
      </c>
      <c r="Y598" s="27" t="str">
        <f t="shared" si="153"/>
        <v/>
      </c>
      <c r="Z598" s="50" t="str">
        <f t="shared" si="156"/>
        <v/>
      </c>
      <c r="AA598" s="50" t="str">
        <f t="shared" si="154"/>
        <v/>
      </c>
      <c r="AB598" s="28" t="str">
        <f t="shared" si="157"/>
        <v/>
      </c>
      <c r="AC598" s="1" t="str">
        <f t="shared" si="158"/>
        <v/>
      </c>
      <c r="AD598" s="51">
        <f t="shared" si="155"/>
        <v>2</v>
      </c>
      <c r="AE598" t="str">
        <f t="shared" si="159"/>
        <v/>
      </c>
      <c r="AF598" t="str">
        <f t="shared" si="160"/>
        <v/>
      </c>
      <c r="AG598" t="str">
        <f t="shared" si="161"/>
        <v/>
      </c>
      <c r="AH598" t="str">
        <f t="shared" si="162"/>
        <v/>
      </c>
      <c r="AI598" t="str">
        <f t="shared" si="163"/>
        <v/>
      </c>
      <c r="AJ598" t="str">
        <f t="shared" si="164"/>
        <v/>
      </c>
      <c r="AK598" t="str">
        <f t="shared" si="165"/>
        <v/>
      </c>
      <c r="AL598" t="str">
        <f t="shared" si="166"/>
        <v/>
      </c>
      <c r="AN598" t="str">
        <f>IFERROR(ROUND(L598*(G598/$AW598)/VLOOKUP(F598,商品!$A$4:$D$67,4,FALSE),0),"")</f>
        <v/>
      </c>
      <c r="AO598" t="str">
        <f>IFERROR(ROUND(L598*(I598/$AW598)/VLOOKUP(H598,商品!$A$4:$D$67,4,FALSE),0),"")</f>
        <v/>
      </c>
      <c r="AP598" t="str">
        <f>IFERROR(ROUND(L598*(K598/$AW598)/VLOOKUP(J598,商品!$A$4:$D$67,4,FALSE),0),"")</f>
        <v/>
      </c>
      <c r="AQ598" t="str">
        <f>IFERROR(ROUND(S598*(N598/$AX598)/VLOOKUP(M598,职业!$A$3:$E$16,4,FALSE),0),"")</f>
        <v/>
      </c>
      <c r="AR598" t="str">
        <f>IFERROR(ROUND(S598*(P598/$AX598)/VLOOKUP(O598,职业!$A$3:$E$16,4,FALSE),0),"")</f>
        <v/>
      </c>
      <c r="AS598" t="str">
        <f>IFERROR(ROUND(S598*(R598/$AX598)/VLOOKUP(Q598,职业!$A$3:$E$16,4,FALSE),0),"")</f>
        <v/>
      </c>
      <c r="AT598" t="str">
        <f>IFERROR(ROUND(X598*(U598/$AY598)/VLOOKUP(T598,商品!$A$4:$D$67,4,FALSE),0),"")</f>
        <v/>
      </c>
      <c r="AU598" t="str">
        <f>IFERROR(ROUND(X598*(W598/$AY598)/VLOOKUP(V598,商品!$A$4:$D$67,4,FALSE),0),"")</f>
        <v/>
      </c>
      <c r="AW598">
        <f t="shared" si="167"/>
        <v>0</v>
      </c>
      <c r="AX598">
        <f t="shared" si="168"/>
        <v>0</v>
      </c>
      <c r="AY598">
        <f t="shared" si="169"/>
        <v>0</v>
      </c>
    </row>
    <row r="599" customHeight="1" spans="1:51">
      <c r="A599" s="5" t="s">
        <v>397</v>
      </c>
      <c r="C599" s="5">
        <v>3</v>
      </c>
      <c r="D599" s="1" t="s">
        <v>291</v>
      </c>
      <c r="E599" s="1" t="s">
        <v>225</v>
      </c>
      <c r="L599" s="5">
        <f>IFERROR(VLOOKUP($D599&amp;$C599,生产方式定位!$A$2:$E$38,2,FALSE)+VLOOKUP($E599&amp;$C599,生产方式定位!$F$3:$J$38,2,FALSE),0)</f>
        <v>0</v>
      </c>
      <c r="S599" s="5">
        <f>IFERROR(VLOOKUP($D599&amp;$C599,生产方式定位!$A$2:$E$38,3,FALSE)+VLOOKUP($E599&amp;$C599,生产方式定位!$F$3:$J$38,3,FALSE),0)</f>
        <v>100</v>
      </c>
      <c r="X599" s="5">
        <f>IFERROR(VLOOKUP($D599&amp;$C599,生产方式定位!$A$2:$E$38,5,FALSE)+VLOOKUP($E599&amp;$C599,生产方式定位!$F$3:$J$38,5,FALSE),"错误")</f>
        <v>100</v>
      </c>
      <c r="Y599" s="27" t="str">
        <f t="shared" si="153"/>
        <v/>
      </c>
      <c r="Z599" s="50" t="str">
        <f t="shared" si="156"/>
        <v/>
      </c>
      <c r="AA599" s="50" t="str">
        <f t="shared" si="154"/>
        <v/>
      </c>
      <c r="AB599" s="28" t="str">
        <f t="shared" si="157"/>
        <v/>
      </c>
      <c r="AC599" s="1" t="str">
        <f t="shared" si="158"/>
        <v/>
      </c>
      <c r="AD599" s="51">
        <f t="shared" si="155"/>
        <v>3</v>
      </c>
      <c r="AE599" t="str">
        <f t="shared" si="159"/>
        <v/>
      </c>
      <c r="AF599" t="str">
        <f t="shared" si="160"/>
        <v/>
      </c>
      <c r="AG599" t="str">
        <f t="shared" si="161"/>
        <v/>
      </c>
      <c r="AH599" t="str">
        <f t="shared" si="162"/>
        <v/>
      </c>
      <c r="AI599" t="str">
        <f t="shared" si="163"/>
        <v/>
      </c>
      <c r="AJ599" t="str">
        <f t="shared" si="164"/>
        <v/>
      </c>
      <c r="AK599" t="str">
        <f t="shared" si="165"/>
        <v/>
      </c>
      <c r="AL599" t="str">
        <f t="shared" si="166"/>
        <v/>
      </c>
      <c r="AN599" t="str">
        <f>IFERROR(ROUND(L599*(G599/$AW599)/VLOOKUP(F599,商品!$A$4:$D$67,4,FALSE),0),"")</f>
        <v/>
      </c>
      <c r="AO599" t="str">
        <f>IFERROR(ROUND(L599*(I599/$AW599)/VLOOKUP(H599,商品!$A$4:$D$67,4,FALSE),0),"")</f>
        <v/>
      </c>
      <c r="AP599" t="str">
        <f>IFERROR(ROUND(L599*(K599/$AW599)/VLOOKUP(J599,商品!$A$4:$D$67,4,FALSE),0),"")</f>
        <v/>
      </c>
      <c r="AQ599" t="str">
        <f>IFERROR(ROUND(S599*(N599/$AX599)/VLOOKUP(M599,职业!$A$3:$E$16,4,FALSE),0),"")</f>
        <v/>
      </c>
      <c r="AR599" t="str">
        <f>IFERROR(ROUND(S599*(P599/$AX599)/VLOOKUP(O599,职业!$A$3:$E$16,4,FALSE),0),"")</f>
        <v/>
      </c>
      <c r="AS599" t="str">
        <f>IFERROR(ROUND(S599*(R599/$AX599)/VLOOKUP(Q599,职业!$A$3:$E$16,4,FALSE),0),"")</f>
        <v/>
      </c>
      <c r="AT599" t="str">
        <f>IFERROR(ROUND(X599*(U599/$AY599)/VLOOKUP(T599,商品!$A$4:$D$67,4,FALSE),0),"")</f>
        <v/>
      </c>
      <c r="AU599" t="str">
        <f>IFERROR(ROUND(X599*(W599/$AY599)/VLOOKUP(V599,商品!$A$4:$D$67,4,FALSE),0),"")</f>
        <v/>
      </c>
      <c r="AW599">
        <f t="shared" si="167"/>
        <v>0</v>
      </c>
      <c r="AX599">
        <f t="shared" si="168"/>
        <v>0</v>
      </c>
      <c r="AY599">
        <f t="shared" si="169"/>
        <v>0</v>
      </c>
    </row>
    <row r="600" customHeight="1" spans="1:51">
      <c r="A600" s="5" t="s">
        <v>397</v>
      </c>
      <c r="C600" s="5">
        <v>4</v>
      </c>
      <c r="D600" s="1" t="s">
        <v>291</v>
      </c>
      <c r="E600" s="1" t="s">
        <v>225</v>
      </c>
      <c r="L600" s="5">
        <f>IFERROR(VLOOKUP($D600&amp;$C600,生产方式定位!$A$2:$E$38,2,FALSE)+VLOOKUP($E600&amp;$C600,生产方式定位!$F$3:$J$38,2,FALSE),0)</f>
        <v>0</v>
      </c>
      <c r="S600" s="5">
        <f>IFERROR(VLOOKUP($D600&amp;$C600,生产方式定位!$A$2:$E$38,3,FALSE)+VLOOKUP($E600&amp;$C600,生产方式定位!$F$3:$J$38,3,FALSE),0)</f>
        <v>100</v>
      </c>
      <c r="X600" s="5">
        <f>IFERROR(VLOOKUP($D600&amp;$C600,生产方式定位!$A$2:$E$38,5,FALSE)+VLOOKUP($E600&amp;$C600,生产方式定位!$F$3:$J$38,5,FALSE),"错误")</f>
        <v>100</v>
      </c>
      <c r="Y600" s="27" t="str">
        <f t="shared" si="153"/>
        <v/>
      </c>
      <c r="Z600" s="50" t="str">
        <f t="shared" si="156"/>
        <v/>
      </c>
      <c r="AA600" s="50" t="str">
        <f t="shared" si="154"/>
        <v/>
      </c>
      <c r="AB600" s="28" t="str">
        <f t="shared" si="157"/>
        <v/>
      </c>
      <c r="AC600" s="1" t="str">
        <f t="shared" si="158"/>
        <v/>
      </c>
      <c r="AD600" s="51">
        <f t="shared" si="155"/>
        <v>4</v>
      </c>
      <c r="AE600" t="str">
        <f t="shared" si="159"/>
        <v/>
      </c>
      <c r="AF600" t="str">
        <f t="shared" si="160"/>
        <v/>
      </c>
      <c r="AG600" t="str">
        <f t="shared" si="161"/>
        <v/>
      </c>
      <c r="AH600" t="str">
        <f t="shared" si="162"/>
        <v/>
      </c>
      <c r="AI600" t="str">
        <f t="shared" si="163"/>
        <v/>
      </c>
      <c r="AJ600" t="str">
        <f t="shared" si="164"/>
        <v/>
      </c>
      <c r="AK600" t="str">
        <f t="shared" si="165"/>
        <v/>
      </c>
      <c r="AL600" t="str">
        <f t="shared" si="166"/>
        <v/>
      </c>
      <c r="AN600" t="str">
        <f>IFERROR(ROUND(L600*(G600/$AW600)/VLOOKUP(F600,商品!$A$4:$D$67,4,FALSE),0),"")</f>
        <v/>
      </c>
      <c r="AO600" t="str">
        <f>IFERROR(ROUND(L600*(I600/$AW600)/VLOOKUP(H600,商品!$A$4:$D$67,4,FALSE),0),"")</f>
        <v/>
      </c>
      <c r="AP600" t="str">
        <f>IFERROR(ROUND(L600*(K600/$AW600)/VLOOKUP(J600,商品!$A$4:$D$67,4,FALSE),0),"")</f>
        <v/>
      </c>
      <c r="AQ600" t="str">
        <f>IFERROR(ROUND(S600*(N600/$AX600)/VLOOKUP(M600,职业!$A$3:$E$16,4,FALSE),0),"")</f>
        <v/>
      </c>
      <c r="AR600" t="str">
        <f>IFERROR(ROUND(S600*(P600/$AX600)/VLOOKUP(O600,职业!$A$3:$E$16,4,FALSE),0),"")</f>
        <v/>
      </c>
      <c r="AS600" t="str">
        <f>IFERROR(ROUND(S600*(R600/$AX600)/VLOOKUP(Q600,职业!$A$3:$E$16,4,FALSE),0),"")</f>
        <v/>
      </c>
      <c r="AT600" t="str">
        <f>IFERROR(ROUND(X600*(U600/$AY600)/VLOOKUP(T600,商品!$A$4:$D$67,4,FALSE),0),"")</f>
        <v/>
      </c>
      <c r="AU600" t="str">
        <f>IFERROR(ROUND(X600*(W600/$AY600)/VLOOKUP(V600,商品!$A$4:$D$67,4,FALSE),0),"")</f>
        <v/>
      </c>
      <c r="AW600">
        <f t="shared" si="167"/>
        <v>0</v>
      </c>
      <c r="AX600">
        <f t="shared" si="168"/>
        <v>0</v>
      </c>
      <c r="AY600">
        <f t="shared" si="169"/>
        <v>0</v>
      </c>
    </row>
    <row r="601" customHeight="1" spans="1:51">
      <c r="A601" s="5" t="s">
        <v>397</v>
      </c>
      <c r="C601" s="5">
        <v>5</v>
      </c>
      <c r="D601" s="1" t="s">
        <v>291</v>
      </c>
      <c r="E601" s="1" t="s">
        <v>225</v>
      </c>
      <c r="L601" s="5">
        <f>IFERROR(VLOOKUP($D601&amp;$C601,生产方式定位!$A$2:$E$38,2,FALSE)+VLOOKUP($E601&amp;$C601,生产方式定位!$F$3:$J$38,2,FALSE),0)</f>
        <v>0</v>
      </c>
      <c r="S601" s="5">
        <f>IFERROR(VLOOKUP($D601&amp;$C601,生产方式定位!$A$2:$E$38,3,FALSE)+VLOOKUP($E601&amp;$C601,生产方式定位!$F$3:$J$38,3,FALSE),0)</f>
        <v>100</v>
      </c>
      <c r="X601" s="5">
        <f>IFERROR(VLOOKUP($D601&amp;$C601,生产方式定位!$A$2:$E$38,5,FALSE)+VLOOKUP($E601&amp;$C601,生产方式定位!$F$3:$J$38,5,FALSE),"错误")</f>
        <v>100</v>
      </c>
      <c r="Y601" s="27" t="str">
        <f t="shared" si="153"/>
        <v/>
      </c>
      <c r="Z601" s="50" t="str">
        <f t="shared" si="156"/>
        <v/>
      </c>
      <c r="AA601" s="50" t="str">
        <f t="shared" si="154"/>
        <v/>
      </c>
      <c r="AB601" s="28" t="str">
        <f t="shared" si="157"/>
        <v/>
      </c>
      <c r="AC601" s="1" t="str">
        <f t="shared" si="158"/>
        <v/>
      </c>
      <c r="AD601" s="51">
        <f t="shared" si="155"/>
        <v>5</v>
      </c>
      <c r="AE601" t="str">
        <f t="shared" si="159"/>
        <v/>
      </c>
      <c r="AF601" t="str">
        <f t="shared" si="160"/>
        <v/>
      </c>
      <c r="AG601" t="str">
        <f t="shared" si="161"/>
        <v/>
      </c>
      <c r="AH601" t="str">
        <f t="shared" si="162"/>
        <v/>
      </c>
      <c r="AI601" t="str">
        <f t="shared" si="163"/>
        <v/>
      </c>
      <c r="AJ601" t="str">
        <f t="shared" si="164"/>
        <v/>
      </c>
      <c r="AK601" t="str">
        <f t="shared" si="165"/>
        <v/>
      </c>
      <c r="AL601" t="str">
        <f t="shared" si="166"/>
        <v/>
      </c>
      <c r="AN601" t="str">
        <f>IFERROR(ROUND(L601*(G601/$AW601)/VLOOKUP(F601,商品!$A$4:$D$67,4,FALSE),0),"")</f>
        <v/>
      </c>
      <c r="AO601" t="str">
        <f>IFERROR(ROUND(L601*(I601/$AW601)/VLOOKUP(H601,商品!$A$4:$D$67,4,FALSE),0),"")</f>
        <v/>
      </c>
      <c r="AP601" t="str">
        <f>IFERROR(ROUND(L601*(K601/$AW601)/VLOOKUP(J601,商品!$A$4:$D$67,4,FALSE),0),"")</f>
        <v/>
      </c>
      <c r="AQ601" t="str">
        <f>IFERROR(ROUND(S601*(N601/$AX601)/VLOOKUP(M601,职业!$A$3:$E$16,4,FALSE),0),"")</f>
        <v/>
      </c>
      <c r="AR601" t="str">
        <f>IFERROR(ROUND(S601*(P601/$AX601)/VLOOKUP(O601,职业!$A$3:$E$16,4,FALSE),0),"")</f>
        <v/>
      </c>
      <c r="AS601" t="str">
        <f>IFERROR(ROUND(S601*(R601/$AX601)/VLOOKUP(Q601,职业!$A$3:$E$16,4,FALSE),0),"")</f>
        <v/>
      </c>
      <c r="AT601" t="str">
        <f>IFERROR(ROUND(X601*(U601/$AY601)/VLOOKUP(T601,商品!$A$4:$D$67,4,FALSE),0),"")</f>
        <v/>
      </c>
      <c r="AU601" t="str">
        <f>IFERROR(ROUND(X601*(W601/$AY601)/VLOOKUP(V601,商品!$A$4:$D$67,4,FALSE),0),"")</f>
        <v/>
      </c>
      <c r="AW601">
        <f t="shared" si="167"/>
        <v>0</v>
      </c>
      <c r="AX601">
        <f t="shared" si="168"/>
        <v>0</v>
      </c>
      <c r="AY601">
        <f t="shared" si="169"/>
        <v>0</v>
      </c>
    </row>
    <row r="602" customHeight="1" spans="1:51">
      <c r="A602" s="5" t="s">
        <v>397</v>
      </c>
      <c r="C602" s="5">
        <v>6</v>
      </c>
      <c r="D602" s="1" t="s">
        <v>291</v>
      </c>
      <c r="E602" s="1" t="s">
        <v>225</v>
      </c>
      <c r="L602" s="5">
        <f>IFERROR(VLOOKUP($D602&amp;$C602,生产方式定位!$A$2:$E$38,2,FALSE)+VLOOKUP($E602&amp;$C602,生产方式定位!$F$3:$J$38,2,FALSE),0)</f>
        <v>0</v>
      </c>
      <c r="S602" s="5">
        <f>IFERROR(VLOOKUP($D602&amp;$C602,生产方式定位!$A$2:$E$38,3,FALSE)+VLOOKUP($E602&amp;$C602,生产方式定位!$F$3:$J$38,3,FALSE),0)</f>
        <v>100</v>
      </c>
      <c r="X602" s="5">
        <f>IFERROR(VLOOKUP($D602&amp;$C602,生产方式定位!$A$2:$E$38,5,FALSE)+VLOOKUP($E602&amp;$C602,生产方式定位!$F$3:$J$38,5,FALSE),"错误")</f>
        <v>100</v>
      </c>
      <c r="Y602" s="27" t="str">
        <f t="shared" si="153"/>
        <v/>
      </c>
      <c r="Z602" s="50" t="str">
        <f t="shared" si="156"/>
        <v/>
      </c>
      <c r="AA602" s="50" t="str">
        <f t="shared" si="154"/>
        <v/>
      </c>
      <c r="AB602" s="28" t="str">
        <f t="shared" si="157"/>
        <v/>
      </c>
      <c r="AC602" s="1" t="str">
        <f t="shared" si="158"/>
        <v/>
      </c>
      <c r="AD602" s="51">
        <f t="shared" si="155"/>
        <v>6</v>
      </c>
      <c r="AE602" t="str">
        <f t="shared" si="159"/>
        <v/>
      </c>
      <c r="AF602" t="str">
        <f t="shared" si="160"/>
        <v/>
      </c>
      <c r="AG602" t="str">
        <f t="shared" si="161"/>
        <v/>
      </c>
      <c r="AH602" t="str">
        <f t="shared" si="162"/>
        <v/>
      </c>
      <c r="AI602" t="str">
        <f t="shared" si="163"/>
        <v/>
      </c>
      <c r="AJ602" t="str">
        <f t="shared" si="164"/>
        <v/>
      </c>
      <c r="AK602" t="str">
        <f t="shared" si="165"/>
        <v/>
      </c>
      <c r="AL602" t="str">
        <f t="shared" si="166"/>
        <v/>
      </c>
      <c r="AN602" t="str">
        <f>IFERROR(ROUND(L602*(G602/$AW602)/VLOOKUP(F602,商品!$A$4:$D$67,4,FALSE),0),"")</f>
        <v/>
      </c>
      <c r="AO602" t="str">
        <f>IFERROR(ROUND(L602*(I602/$AW602)/VLOOKUP(H602,商品!$A$4:$D$67,4,FALSE),0),"")</f>
        <v/>
      </c>
      <c r="AP602" t="str">
        <f>IFERROR(ROUND(L602*(K602/$AW602)/VLOOKUP(J602,商品!$A$4:$D$67,4,FALSE),0),"")</f>
        <v/>
      </c>
      <c r="AQ602" t="str">
        <f>IFERROR(ROUND(S602*(N602/$AX602)/VLOOKUP(M602,职业!$A$3:$E$16,4,FALSE),0),"")</f>
        <v/>
      </c>
      <c r="AR602" t="str">
        <f>IFERROR(ROUND(S602*(P602/$AX602)/VLOOKUP(O602,职业!$A$3:$E$16,4,FALSE),0),"")</f>
        <v/>
      </c>
      <c r="AS602" t="str">
        <f>IFERROR(ROUND(S602*(R602/$AX602)/VLOOKUP(Q602,职业!$A$3:$E$16,4,FALSE),0),"")</f>
        <v/>
      </c>
      <c r="AT602" t="str">
        <f>IFERROR(ROUND(X602*(U602/$AY602)/VLOOKUP(T602,商品!$A$4:$D$67,4,FALSE),0),"")</f>
        <v/>
      </c>
      <c r="AU602" t="str">
        <f>IFERROR(ROUND(X602*(W602/$AY602)/VLOOKUP(V602,商品!$A$4:$D$67,4,FALSE),0),"")</f>
        <v/>
      </c>
      <c r="AW602">
        <f t="shared" si="167"/>
        <v>0</v>
      </c>
      <c r="AX602">
        <f t="shared" si="168"/>
        <v>0</v>
      </c>
      <c r="AY602">
        <f t="shared" si="169"/>
        <v>0</v>
      </c>
    </row>
    <row r="603" customHeight="1" spans="1:51">
      <c r="A603" s="5" t="s">
        <v>397</v>
      </c>
      <c r="C603" s="5">
        <v>7</v>
      </c>
      <c r="D603" s="1" t="s">
        <v>291</v>
      </c>
      <c r="E603" s="1" t="s">
        <v>225</v>
      </c>
      <c r="L603" s="5">
        <f>IFERROR(VLOOKUP($D603&amp;$C603,生产方式定位!$A$2:$E$38,2,FALSE)+VLOOKUP($E603&amp;$C603,生产方式定位!$F$3:$J$38,2,FALSE),0)</f>
        <v>0</v>
      </c>
      <c r="S603" s="5">
        <f>IFERROR(VLOOKUP($D603&amp;$C603,生产方式定位!$A$2:$E$38,3,FALSE)+VLOOKUP($E603&amp;$C603,生产方式定位!$F$3:$J$38,3,FALSE),0)</f>
        <v>100</v>
      </c>
      <c r="X603" s="5">
        <f>IFERROR(VLOOKUP($D603&amp;$C603,生产方式定位!$A$2:$E$38,5,FALSE)+VLOOKUP($E603&amp;$C603,生产方式定位!$F$3:$J$38,5,FALSE),"错误")</f>
        <v>100</v>
      </c>
      <c r="Y603" s="27" t="str">
        <f t="shared" si="153"/>
        <v/>
      </c>
      <c r="Z603" s="50" t="str">
        <f t="shared" si="156"/>
        <v/>
      </c>
      <c r="AA603" s="50" t="str">
        <f t="shared" si="154"/>
        <v/>
      </c>
      <c r="AB603" s="28" t="str">
        <f t="shared" si="157"/>
        <v/>
      </c>
      <c r="AC603" s="1" t="str">
        <f t="shared" si="158"/>
        <v/>
      </c>
      <c r="AD603" s="51">
        <f t="shared" si="155"/>
        <v>7</v>
      </c>
      <c r="AE603" t="str">
        <f t="shared" si="159"/>
        <v/>
      </c>
      <c r="AF603" t="str">
        <f t="shared" si="160"/>
        <v/>
      </c>
      <c r="AG603" t="str">
        <f t="shared" si="161"/>
        <v/>
      </c>
      <c r="AH603" t="str">
        <f t="shared" si="162"/>
        <v/>
      </c>
      <c r="AI603" t="str">
        <f t="shared" si="163"/>
        <v/>
      </c>
      <c r="AJ603" t="str">
        <f t="shared" si="164"/>
        <v/>
      </c>
      <c r="AK603" t="str">
        <f t="shared" si="165"/>
        <v/>
      </c>
      <c r="AL603" t="str">
        <f t="shared" si="166"/>
        <v/>
      </c>
      <c r="AN603" t="str">
        <f>IFERROR(ROUND(L603*(G603/$AW603)/VLOOKUP(F603,商品!$A$4:$D$67,4,FALSE),0),"")</f>
        <v/>
      </c>
      <c r="AO603" t="str">
        <f>IFERROR(ROUND(L603*(I603/$AW603)/VLOOKUP(H603,商品!$A$4:$D$67,4,FALSE),0),"")</f>
        <v/>
      </c>
      <c r="AP603" t="str">
        <f>IFERROR(ROUND(L603*(K603/$AW603)/VLOOKUP(J603,商品!$A$4:$D$67,4,FALSE),0),"")</f>
        <v/>
      </c>
      <c r="AQ603" t="str">
        <f>IFERROR(ROUND(S603*(N603/$AX603)/VLOOKUP(M603,职业!$A$3:$E$16,4,FALSE),0),"")</f>
        <v/>
      </c>
      <c r="AR603" t="str">
        <f>IFERROR(ROUND(S603*(P603/$AX603)/VLOOKUP(O603,职业!$A$3:$E$16,4,FALSE),0),"")</f>
        <v/>
      </c>
      <c r="AS603" t="str">
        <f>IFERROR(ROUND(S603*(R603/$AX603)/VLOOKUP(Q603,职业!$A$3:$E$16,4,FALSE),0),"")</f>
        <v/>
      </c>
      <c r="AT603" t="str">
        <f>IFERROR(ROUND(X603*(U603/$AY603)/VLOOKUP(T603,商品!$A$4:$D$67,4,FALSE),0),"")</f>
        <v/>
      </c>
      <c r="AU603" t="str">
        <f>IFERROR(ROUND(X603*(W603/$AY603)/VLOOKUP(V603,商品!$A$4:$D$67,4,FALSE),0),"")</f>
        <v/>
      </c>
      <c r="AW603">
        <f t="shared" si="167"/>
        <v>0</v>
      </c>
      <c r="AX603">
        <f t="shared" si="168"/>
        <v>0</v>
      </c>
      <c r="AY603">
        <f t="shared" si="169"/>
        <v>0</v>
      </c>
    </row>
    <row r="604" customHeight="1" spans="1:51">
      <c r="A604" s="5" t="s">
        <v>397</v>
      </c>
      <c r="C604" s="5">
        <v>8</v>
      </c>
      <c r="D604" s="1" t="s">
        <v>291</v>
      </c>
      <c r="E604" s="1" t="s">
        <v>225</v>
      </c>
      <c r="L604" s="5">
        <f>IFERROR(VLOOKUP($D604&amp;$C604,生产方式定位!$A$2:$E$38,2,FALSE)+VLOOKUP($E604&amp;$C604,生产方式定位!$F$3:$J$38,2,FALSE),0)</f>
        <v>0</v>
      </c>
      <c r="S604" s="5">
        <f>IFERROR(VLOOKUP($D604&amp;$C604,生产方式定位!$A$2:$E$38,3,FALSE)+VLOOKUP($E604&amp;$C604,生产方式定位!$F$3:$J$38,3,FALSE),0)</f>
        <v>100</v>
      </c>
      <c r="X604" s="5">
        <f>IFERROR(VLOOKUP($D604&amp;$C604,生产方式定位!$A$2:$E$38,5,FALSE)+VLOOKUP($E604&amp;$C604,生产方式定位!$F$3:$J$38,5,FALSE),"错误")</f>
        <v>100</v>
      </c>
      <c r="Y604" s="27" t="str">
        <f t="shared" si="153"/>
        <v/>
      </c>
      <c r="Z604" s="50" t="str">
        <f t="shared" si="156"/>
        <v/>
      </c>
      <c r="AA604" s="50" t="str">
        <f t="shared" si="154"/>
        <v/>
      </c>
      <c r="AB604" s="28" t="str">
        <f t="shared" si="157"/>
        <v/>
      </c>
      <c r="AC604" s="1" t="str">
        <f t="shared" si="158"/>
        <v/>
      </c>
      <c r="AD604" s="51">
        <f t="shared" si="155"/>
        <v>8</v>
      </c>
      <c r="AE604" t="str">
        <f t="shared" si="159"/>
        <v/>
      </c>
      <c r="AF604" t="str">
        <f t="shared" si="160"/>
        <v/>
      </c>
      <c r="AG604" t="str">
        <f t="shared" si="161"/>
        <v/>
      </c>
      <c r="AH604" t="str">
        <f t="shared" si="162"/>
        <v/>
      </c>
      <c r="AI604" t="str">
        <f t="shared" si="163"/>
        <v/>
      </c>
      <c r="AJ604" t="str">
        <f t="shared" si="164"/>
        <v/>
      </c>
      <c r="AK604" t="str">
        <f t="shared" si="165"/>
        <v/>
      </c>
      <c r="AL604" t="str">
        <f t="shared" si="166"/>
        <v/>
      </c>
      <c r="AN604" t="str">
        <f>IFERROR(ROUND(L604*(G604/$AW604)/VLOOKUP(F604,商品!$A$4:$D$67,4,FALSE),0),"")</f>
        <v/>
      </c>
      <c r="AO604" t="str">
        <f>IFERROR(ROUND(L604*(I604/$AW604)/VLOOKUP(H604,商品!$A$4:$D$67,4,FALSE),0),"")</f>
        <v/>
      </c>
      <c r="AP604" t="str">
        <f>IFERROR(ROUND(L604*(K604/$AW604)/VLOOKUP(J604,商品!$A$4:$D$67,4,FALSE),0),"")</f>
        <v/>
      </c>
      <c r="AQ604" t="str">
        <f>IFERROR(ROUND(S604*(N604/$AX604)/VLOOKUP(M604,职业!$A$3:$E$16,4,FALSE),0),"")</f>
        <v/>
      </c>
      <c r="AR604" t="str">
        <f>IFERROR(ROUND(S604*(P604/$AX604)/VLOOKUP(O604,职业!$A$3:$E$16,4,FALSE),0),"")</f>
        <v/>
      </c>
      <c r="AS604" t="str">
        <f>IFERROR(ROUND(S604*(R604/$AX604)/VLOOKUP(Q604,职业!$A$3:$E$16,4,FALSE),0),"")</f>
        <v/>
      </c>
      <c r="AT604" t="str">
        <f>IFERROR(ROUND(X604*(U604/$AY604)/VLOOKUP(T604,商品!$A$4:$D$67,4,FALSE),0),"")</f>
        <v/>
      </c>
      <c r="AU604" t="str">
        <f>IFERROR(ROUND(X604*(W604/$AY604)/VLOOKUP(V604,商品!$A$4:$D$67,4,FALSE),0),"")</f>
        <v/>
      </c>
      <c r="AW604">
        <f t="shared" si="167"/>
        <v>0</v>
      </c>
      <c r="AX604">
        <f t="shared" si="168"/>
        <v>0</v>
      </c>
      <c r="AY604">
        <f t="shared" si="169"/>
        <v>0</v>
      </c>
    </row>
    <row r="605" customHeight="1" spans="1:51">
      <c r="A605" s="18" t="s">
        <v>399</v>
      </c>
      <c r="C605" s="18">
        <v>1</v>
      </c>
      <c r="D605" s="1" t="s">
        <v>238</v>
      </c>
      <c r="E605" s="1" t="s">
        <v>222</v>
      </c>
      <c r="L605" s="18">
        <f>IFERROR(VLOOKUP($D605&amp;$C605,生产方式定位!$A$2:$E$38,2,FALSE)+VLOOKUP($E605&amp;$C605,生产方式定位!$F$3:$J$38,2,FALSE),0)</f>
        <v>1000</v>
      </c>
      <c r="S605" s="18">
        <f>IFERROR(VLOOKUP($D605&amp;$C605,生产方式定位!$A$2:$E$38,3,FALSE)+VLOOKUP($E605&amp;$C605,生产方式定位!$F$3:$J$38,3,FALSE),0)</f>
        <v>80</v>
      </c>
      <c r="X605" s="18">
        <f>IFERROR(VLOOKUP($D605&amp;$C605,生产方式定位!$A$2:$E$38,5,FALSE)+VLOOKUP($E605&amp;$C605,生产方式定位!$F$3:$J$38,5,FALSE),"错误")</f>
        <v>972</v>
      </c>
      <c r="Y605" s="27" t="str">
        <f t="shared" si="153"/>
        <v/>
      </c>
      <c r="Z605" s="50" t="str">
        <f t="shared" si="156"/>
        <v/>
      </c>
      <c r="AA605" s="50" t="str">
        <f t="shared" si="154"/>
        <v/>
      </c>
      <c r="AB605" s="28" t="str">
        <f t="shared" si="157"/>
        <v>-3%</v>
      </c>
      <c r="AC605" s="1">
        <f t="shared" si="158"/>
        <v>-108</v>
      </c>
      <c r="AD605" s="52">
        <f t="shared" si="155"/>
        <v>1</v>
      </c>
      <c r="AE605" t="str">
        <f t="shared" si="159"/>
        <v/>
      </c>
      <c r="AF605" t="str">
        <f t="shared" si="160"/>
        <v/>
      </c>
      <c r="AG605" t="str">
        <f t="shared" si="161"/>
        <v/>
      </c>
      <c r="AH605" t="str">
        <f t="shared" si="162"/>
        <v/>
      </c>
      <c r="AI605" t="str">
        <f t="shared" si="163"/>
        <v/>
      </c>
      <c r="AJ605" t="str">
        <f t="shared" si="164"/>
        <v/>
      </c>
      <c r="AK605" t="str">
        <f t="shared" si="165"/>
        <v/>
      </c>
      <c r="AL605" t="str">
        <f t="shared" si="166"/>
        <v/>
      </c>
      <c r="AN605" t="str">
        <f>IFERROR(ROUND(L605*(G605/$AW605)/VLOOKUP(F605,商品!$A$4:$D$67,4,FALSE),0),"")</f>
        <v/>
      </c>
      <c r="AO605" t="str">
        <f>IFERROR(ROUND(L605*(I605/$AW605)/VLOOKUP(H605,商品!$A$4:$D$67,4,FALSE),0),"")</f>
        <v/>
      </c>
      <c r="AP605" t="str">
        <f>IFERROR(ROUND(L605*(K605/$AW605)/VLOOKUP(J605,商品!$A$4:$D$67,4,FALSE),0),"")</f>
        <v/>
      </c>
      <c r="AQ605" t="str">
        <f>IFERROR(ROUND(S605*(N605/$AX605)/VLOOKUP(M605,职业!$A$3:$E$16,4,FALSE),0),"")</f>
        <v/>
      </c>
      <c r="AR605" t="str">
        <f>IFERROR(ROUND(S605*(P605/$AX605)/VLOOKUP(O605,职业!$A$3:$E$16,4,FALSE),0),"")</f>
        <v/>
      </c>
      <c r="AS605" t="str">
        <f>IFERROR(ROUND(S605*(R605/$AX605)/VLOOKUP(Q605,职业!$A$3:$E$16,4,FALSE),0),"")</f>
        <v/>
      </c>
      <c r="AT605" t="str">
        <f>IFERROR(ROUND(X605*(U605/$AY605)/VLOOKUP(T605,商品!$A$4:$D$67,4,FALSE),0),"")</f>
        <v/>
      </c>
      <c r="AU605" t="str">
        <f>IFERROR(ROUND(X605*(W605/$AY605)/VLOOKUP(V605,商品!$A$4:$D$67,4,FALSE),0),"")</f>
        <v/>
      </c>
      <c r="AW605">
        <f t="shared" si="167"/>
        <v>0</v>
      </c>
      <c r="AX605">
        <f t="shared" si="168"/>
        <v>0</v>
      </c>
      <c r="AY605">
        <f t="shared" si="169"/>
        <v>0</v>
      </c>
    </row>
    <row r="606" customHeight="1" spans="1:51">
      <c r="A606" s="18" t="s">
        <v>399</v>
      </c>
      <c r="C606" s="18">
        <v>2</v>
      </c>
      <c r="D606" s="1" t="s">
        <v>238</v>
      </c>
      <c r="E606" s="1" t="s">
        <v>222</v>
      </c>
      <c r="L606" s="18">
        <f>IFERROR(VLOOKUP($D606&amp;$C606,生产方式定位!$A$2:$E$38,2,FALSE)+VLOOKUP($E606&amp;$C606,生产方式定位!$F$3:$J$38,2,FALSE),0)</f>
        <v>1400</v>
      </c>
      <c r="S606" s="18">
        <f>IFERROR(VLOOKUP($D606&amp;$C606,生产方式定位!$A$2:$E$38,3,FALSE)+VLOOKUP($E606&amp;$C606,生产方式定位!$F$3:$J$38,3,FALSE),0)</f>
        <v>85</v>
      </c>
      <c r="X606" s="18">
        <f>IFERROR(VLOOKUP($D606&amp;$C606,生产方式定位!$A$2:$E$38,5,FALSE)+VLOOKUP($E606&amp;$C606,生产方式定位!$F$3:$J$38,5,FALSE),"错误")</f>
        <v>1732</v>
      </c>
      <c r="Y606" s="27" t="str">
        <f t="shared" si="153"/>
        <v/>
      </c>
      <c r="Z606" s="50" t="str">
        <f t="shared" si="156"/>
        <v/>
      </c>
      <c r="AA606" s="50" t="str">
        <f t="shared" si="154"/>
        <v/>
      </c>
      <c r="AB606" s="28" t="str">
        <f t="shared" si="157"/>
        <v>24%</v>
      </c>
      <c r="AC606" s="1">
        <f t="shared" si="158"/>
        <v>247</v>
      </c>
      <c r="AD606" s="52">
        <f t="shared" si="155"/>
        <v>2</v>
      </c>
      <c r="AE606" t="str">
        <f t="shared" si="159"/>
        <v/>
      </c>
      <c r="AF606" t="str">
        <f t="shared" si="160"/>
        <v/>
      </c>
      <c r="AG606" t="str">
        <f t="shared" si="161"/>
        <v/>
      </c>
      <c r="AH606" t="str">
        <f t="shared" si="162"/>
        <v/>
      </c>
      <c r="AI606" t="str">
        <f t="shared" si="163"/>
        <v/>
      </c>
      <c r="AJ606" t="str">
        <f t="shared" si="164"/>
        <v/>
      </c>
      <c r="AK606" t="str">
        <f t="shared" si="165"/>
        <v/>
      </c>
      <c r="AL606" t="str">
        <f t="shared" si="166"/>
        <v/>
      </c>
      <c r="AN606" t="str">
        <f>IFERROR(ROUND(L606*(G606/$AW606)/VLOOKUP(F606,商品!$A$4:$D$67,4,FALSE),0),"")</f>
        <v/>
      </c>
      <c r="AO606" t="str">
        <f>IFERROR(ROUND(L606*(I606/$AW606)/VLOOKUP(H606,商品!$A$4:$D$67,4,FALSE),0),"")</f>
        <v/>
      </c>
      <c r="AP606" t="str">
        <f>IFERROR(ROUND(L606*(K606/$AW606)/VLOOKUP(J606,商品!$A$4:$D$67,4,FALSE),0),"")</f>
        <v/>
      </c>
      <c r="AQ606" t="str">
        <f>IFERROR(ROUND(S606*(N606/$AX606)/VLOOKUP(M606,职业!$A$3:$E$16,4,FALSE),0),"")</f>
        <v/>
      </c>
      <c r="AR606" t="str">
        <f>IFERROR(ROUND(S606*(P606/$AX606)/VLOOKUP(O606,职业!$A$3:$E$16,4,FALSE),0),"")</f>
        <v/>
      </c>
      <c r="AS606" t="str">
        <f>IFERROR(ROUND(S606*(R606/$AX606)/VLOOKUP(Q606,职业!$A$3:$E$16,4,FALSE),0),"")</f>
        <v/>
      </c>
      <c r="AT606" t="str">
        <f>IFERROR(ROUND(X606*(U606/$AY606)/VLOOKUP(T606,商品!$A$4:$D$67,4,FALSE),0),"")</f>
        <v/>
      </c>
      <c r="AU606" t="str">
        <f>IFERROR(ROUND(X606*(W606/$AY606)/VLOOKUP(V606,商品!$A$4:$D$67,4,FALSE),0),"")</f>
        <v/>
      </c>
      <c r="AW606">
        <f t="shared" si="167"/>
        <v>0</v>
      </c>
      <c r="AX606">
        <f t="shared" si="168"/>
        <v>0</v>
      </c>
      <c r="AY606">
        <f t="shared" si="169"/>
        <v>0</v>
      </c>
    </row>
    <row r="607" customHeight="1" spans="1:51">
      <c r="A607" s="18" t="s">
        <v>399</v>
      </c>
      <c r="C607" s="18">
        <v>3</v>
      </c>
      <c r="D607" s="1" t="s">
        <v>238</v>
      </c>
      <c r="E607" s="1" t="s">
        <v>222</v>
      </c>
      <c r="L607" s="18">
        <f>IFERROR(VLOOKUP($D607&amp;$C607,生产方式定位!$A$2:$E$38,2,FALSE)+VLOOKUP($E607&amp;$C607,生产方式定位!$F$3:$J$38,2,FALSE),0)</f>
        <v>1425</v>
      </c>
      <c r="S607" s="18">
        <f>IFERROR(VLOOKUP($D607&amp;$C607,生产方式定位!$A$2:$E$38,3,FALSE)+VLOOKUP($E607&amp;$C607,生产方式定位!$F$3:$J$38,3,FALSE),0)</f>
        <v>90</v>
      </c>
      <c r="X607" s="18">
        <f>IFERROR(VLOOKUP($D607&amp;$C607,生产方式定位!$A$2:$E$38,5,FALSE)+VLOOKUP($E607&amp;$C607,生产方式定位!$F$3:$J$38,5,FALSE),"错误")</f>
        <v>2112</v>
      </c>
      <c r="Y607" s="27" t="str">
        <f t="shared" si="153"/>
        <v/>
      </c>
      <c r="Z607" s="50" t="str">
        <f t="shared" si="156"/>
        <v/>
      </c>
      <c r="AA607" s="50" t="str">
        <f t="shared" si="154"/>
        <v/>
      </c>
      <c r="AB607" s="28" t="str">
        <f t="shared" si="157"/>
        <v>48%</v>
      </c>
      <c r="AC607" s="1">
        <f t="shared" si="158"/>
        <v>597</v>
      </c>
      <c r="AD607" s="52">
        <f t="shared" si="155"/>
        <v>3</v>
      </c>
      <c r="AE607" t="str">
        <f t="shared" si="159"/>
        <v/>
      </c>
      <c r="AF607" t="str">
        <f t="shared" si="160"/>
        <v/>
      </c>
      <c r="AG607" t="str">
        <f t="shared" si="161"/>
        <v/>
      </c>
      <c r="AH607" t="str">
        <f t="shared" si="162"/>
        <v/>
      </c>
      <c r="AI607" t="str">
        <f t="shared" si="163"/>
        <v/>
      </c>
      <c r="AJ607" t="str">
        <f t="shared" si="164"/>
        <v/>
      </c>
      <c r="AK607" t="str">
        <f t="shared" si="165"/>
        <v/>
      </c>
      <c r="AL607" t="str">
        <f t="shared" si="166"/>
        <v/>
      </c>
      <c r="AN607" t="str">
        <f>IFERROR(ROUND(L607*(G607/$AW607)/VLOOKUP(F607,商品!$A$4:$D$67,4,FALSE),0),"")</f>
        <v/>
      </c>
      <c r="AO607" t="str">
        <f>IFERROR(ROUND(L607*(I607/$AW607)/VLOOKUP(H607,商品!$A$4:$D$67,4,FALSE),0),"")</f>
        <v/>
      </c>
      <c r="AP607" t="str">
        <f>IFERROR(ROUND(L607*(K607/$AW607)/VLOOKUP(J607,商品!$A$4:$D$67,4,FALSE),0),"")</f>
        <v/>
      </c>
      <c r="AQ607" t="str">
        <f>IFERROR(ROUND(S607*(N607/$AX607)/VLOOKUP(M607,职业!$A$3:$E$16,4,FALSE),0),"")</f>
        <v/>
      </c>
      <c r="AR607" t="str">
        <f>IFERROR(ROUND(S607*(P607/$AX607)/VLOOKUP(O607,职业!$A$3:$E$16,4,FALSE),0),"")</f>
        <v/>
      </c>
      <c r="AS607" t="str">
        <f>IFERROR(ROUND(S607*(R607/$AX607)/VLOOKUP(Q607,职业!$A$3:$E$16,4,FALSE),0),"")</f>
        <v/>
      </c>
      <c r="AT607" t="str">
        <f>IFERROR(ROUND(X607*(U607/$AY607)/VLOOKUP(T607,商品!$A$4:$D$67,4,FALSE),0),"")</f>
        <v/>
      </c>
      <c r="AU607" t="str">
        <f>IFERROR(ROUND(X607*(W607/$AY607)/VLOOKUP(V607,商品!$A$4:$D$67,4,FALSE),0),"")</f>
        <v/>
      </c>
      <c r="AW607">
        <f t="shared" si="167"/>
        <v>0</v>
      </c>
      <c r="AX607">
        <f t="shared" si="168"/>
        <v>0</v>
      </c>
      <c r="AY607">
        <f t="shared" si="169"/>
        <v>0</v>
      </c>
    </row>
    <row r="608" customHeight="1" spans="1:51">
      <c r="A608" s="18" t="s">
        <v>399</v>
      </c>
      <c r="C608" s="18">
        <v>4</v>
      </c>
      <c r="D608" s="1" t="s">
        <v>238</v>
      </c>
      <c r="E608" s="1" t="s">
        <v>222</v>
      </c>
      <c r="L608" s="18">
        <f>IFERROR(VLOOKUP($D608&amp;$C608,生产方式定位!$A$2:$E$38,2,FALSE)+VLOOKUP($E608&amp;$C608,生产方式定位!$F$3:$J$38,2,FALSE),0)</f>
        <v>1450</v>
      </c>
      <c r="S608" s="18">
        <f>IFERROR(VLOOKUP($D608&amp;$C608,生产方式定位!$A$2:$E$38,3,FALSE)+VLOOKUP($E608&amp;$C608,生产方式定位!$F$3:$J$38,3,FALSE),0)</f>
        <v>95</v>
      </c>
      <c r="X608" s="18">
        <f>IFERROR(VLOOKUP($D608&amp;$C608,生产方式定位!$A$2:$E$38,5,FALSE)+VLOOKUP($E608&amp;$C608,生产方式定位!$F$3:$J$38,5,FALSE),"错误")</f>
        <v>2733</v>
      </c>
      <c r="Y608" s="27" t="str">
        <f t="shared" si="153"/>
        <v/>
      </c>
      <c r="Z608" s="50" t="str">
        <f t="shared" si="156"/>
        <v/>
      </c>
      <c r="AA608" s="50" t="str">
        <f t="shared" si="154"/>
        <v/>
      </c>
      <c r="AB608" s="28" t="str">
        <f t="shared" si="157"/>
        <v>88%</v>
      </c>
      <c r="AC608" s="1">
        <f t="shared" si="158"/>
        <v>1188</v>
      </c>
      <c r="AD608" s="52">
        <f t="shared" si="155"/>
        <v>4</v>
      </c>
      <c r="AE608" t="str">
        <f t="shared" si="159"/>
        <v/>
      </c>
      <c r="AF608" t="str">
        <f t="shared" si="160"/>
        <v/>
      </c>
      <c r="AG608" t="str">
        <f t="shared" si="161"/>
        <v/>
      </c>
      <c r="AH608" t="str">
        <f t="shared" si="162"/>
        <v/>
      </c>
      <c r="AI608" t="str">
        <f t="shared" si="163"/>
        <v/>
      </c>
      <c r="AJ608" t="str">
        <f t="shared" si="164"/>
        <v/>
      </c>
      <c r="AK608" t="str">
        <f t="shared" si="165"/>
        <v/>
      </c>
      <c r="AL608" t="str">
        <f t="shared" si="166"/>
        <v/>
      </c>
      <c r="AN608" t="str">
        <f>IFERROR(ROUND(L608*(G608/$AW608)/VLOOKUP(F608,商品!$A$4:$D$67,4,FALSE),0),"")</f>
        <v/>
      </c>
      <c r="AO608" t="str">
        <f>IFERROR(ROUND(L608*(I608/$AW608)/VLOOKUP(H608,商品!$A$4:$D$67,4,FALSE),0),"")</f>
        <v/>
      </c>
      <c r="AP608" t="str">
        <f>IFERROR(ROUND(L608*(K608/$AW608)/VLOOKUP(J608,商品!$A$4:$D$67,4,FALSE),0),"")</f>
        <v/>
      </c>
      <c r="AQ608" t="str">
        <f>IFERROR(ROUND(S608*(N608/$AX608)/VLOOKUP(M608,职业!$A$3:$E$16,4,FALSE),0),"")</f>
        <v/>
      </c>
      <c r="AR608" t="str">
        <f>IFERROR(ROUND(S608*(P608/$AX608)/VLOOKUP(O608,职业!$A$3:$E$16,4,FALSE),0),"")</f>
        <v/>
      </c>
      <c r="AS608" t="str">
        <f>IFERROR(ROUND(S608*(R608/$AX608)/VLOOKUP(Q608,职业!$A$3:$E$16,4,FALSE),0),"")</f>
        <v/>
      </c>
      <c r="AT608" t="str">
        <f>IFERROR(ROUND(X608*(U608/$AY608)/VLOOKUP(T608,商品!$A$4:$D$67,4,FALSE),0),"")</f>
        <v/>
      </c>
      <c r="AU608" t="str">
        <f>IFERROR(ROUND(X608*(W608/$AY608)/VLOOKUP(V608,商品!$A$4:$D$67,4,FALSE),0),"")</f>
        <v/>
      </c>
      <c r="AW608">
        <f t="shared" si="167"/>
        <v>0</v>
      </c>
      <c r="AX608">
        <f t="shared" si="168"/>
        <v>0</v>
      </c>
      <c r="AY608">
        <f t="shared" si="169"/>
        <v>0</v>
      </c>
    </row>
    <row r="609" customHeight="1" spans="1:51">
      <c r="A609" s="18" t="s">
        <v>399</v>
      </c>
      <c r="C609" s="18">
        <v>5</v>
      </c>
      <c r="D609" s="1" t="s">
        <v>238</v>
      </c>
      <c r="E609" s="1" t="s">
        <v>222</v>
      </c>
      <c r="L609" s="18">
        <f>IFERROR(VLOOKUP($D609&amp;$C609,生产方式定位!$A$2:$E$38,2,FALSE)+VLOOKUP($E609&amp;$C609,生产方式定位!$F$3:$J$38,2,FALSE),0)</f>
        <v>1475</v>
      </c>
      <c r="S609" s="18">
        <f>IFERROR(VLOOKUP($D609&amp;$C609,生产方式定位!$A$2:$E$38,3,FALSE)+VLOOKUP($E609&amp;$C609,生产方式定位!$F$3:$J$38,3,FALSE),0)</f>
        <v>100</v>
      </c>
      <c r="X609" s="18">
        <f>IFERROR(VLOOKUP($D609&amp;$C609,生产方式定位!$A$2:$E$38,5,FALSE)+VLOOKUP($E609&amp;$C609,生产方式定位!$F$3:$J$38,5,FALSE),"错误")</f>
        <v>3763</v>
      </c>
      <c r="Y609" s="27" t="str">
        <f t="shared" si="153"/>
        <v/>
      </c>
      <c r="Z609" s="50" t="str">
        <f t="shared" si="156"/>
        <v/>
      </c>
      <c r="AA609" s="50" t="str">
        <f t="shared" si="154"/>
        <v/>
      </c>
      <c r="AB609" s="28" t="str">
        <f t="shared" si="157"/>
        <v>155%</v>
      </c>
      <c r="AC609" s="1">
        <f t="shared" si="158"/>
        <v>2188</v>
      </c>
      <c r="AD609" s="52">
        <f t="shared" si="155"/>
        <v>5</v>
      </c>
      <c r="AE609" t="str">
        <f t="shared" si="159"/>
        <v/>
      </c>
      <c r="AF609" t="str">
        <f t="shared" si="160"/>
        <v/>
      </c>
      <c r="AG609" t="str">
        <f t="shared" si="161"/>
        <v/>
      </c>
      <c r="AH609" t="str">
        <f t="shared" si="162"/>
        <v/>
      </c>
      <c r="AI609" t="str">
        <f t="shared" si="163"/>
        <v/>
      </c>
      <c r="AJ609" t="str">
        <f t="shared" si="164"/>
        <v/>
      </c>
      <c r="AK609" t="str">
        <f t="shared" si="165"/>
        <v/>
      </c>
      <c r="AL609" t="str">
        <f t="shared" si="166"/>
        <v/>
      </c>
      <c r="AN609" t="str">
        <f>IFERROR(ROUND(L609*(G609/$AW609)/VLOOKUP(F609,商品!$A$4:$D$67,4,FALSE),0),"")</f>
        <v/>
      </c>
      <c r="AO609" t="str">
        <f>IFERROR(ROUND(L609*(I609/$AW609)/VLOOKUP(H609,商品!$A$4:$D$67,4,FALSE),0),"")</f>
        <v/>
      </c>
      <c r="AP609" t="str">
        <f>IFERROR(ROUND(L609*(K609/$AW609)/VLOOKUP(J609,商品!$A$4:$D$67,4,FALSE),0),"")</f>
        <v/>
      </c>
      <c r="AQ609" t="str">
        <f>IFERROR(ROUND(S609*(N609/$AX609)/VLOOKUP(M609,职业!$A$3:$E$16,4,FALSE),0),"")</f>
        <v/>
      </c>
      <c r="AR609" t="str">
        <f>IFERROR(ROUND(S609*(P609/$AX609)/VLOOKUP(O609,职业!$A$3:$E$16,4,FALSE),0),"")</f>
        <v/>
      </c>
      <c r="AS609" t="str">
        <f>IFERROR(ROUND(S609*(R609/$AX609)/VLOOKUP(Q609,职业!$A$3:$E$16,4,FALSE),0),"")</f>
        <v/>
      </c>
      <c r="AT609" t="str">
        <f>IFERROR(ROUND(X609*(U609/$AY609)/VLOOKUP(T609,商品!$A$4:$D$67,4,FALSE),0),"")</f>
        <v/>
      </c>
      <c r="AU609" t="str">
        <f>IFERROR(ROUND(X609*(W609/$AY609)/VLOOKUP(V609,商品!$A$4:$D$67,4,FALSE),0),"")</f>
        <v/>
      </c>
      <c r="AW609">
        <f t="shared" si="167"/>
        <v>0</v>
      </c>
      <c r="AX609">
        <f t="shared" si="168"/>
        <v>0</v>
      </c>
      <c r="AY609">
        <f t="shared" si="169"/>
        <v>0</v>
      </c>
    </row>
    <row r="610" customHeight="1" spans="1:51">
      <c r="A610" s="5" t="s">
        <v>400</v>
      </c>
      <c r="C610" s="5">
        <v>1</v>
      </c>
      <c r="D610" s="1" t="s">
        <v>291</v>
      </c>
      <c r="E610" s="1" t="s">
        <v>225</v>
      </c>
      <c r="L610" s="5">
        <f>IFERROR(VLOOKUP($D610&amp;$C610,生产方式定位!$A$2:$E$38,2,FALSE)+VLOOKUP($E610&amp;$C610,生产方式定位!$F$3:$J$38,2,FALSE),0)</f>
        <v>0</v>
      </c>
      <c r="S610" s="5">
        <f>IFERROR(VLOOKUP($D610&amp;$C610,生产方式定位!$A$2:$E$38,3,FALSE)+VLOOKUP($E610&amp;$C610,生产方式定位!$F$3:$J$38,3,FALSE),0)</f>
        <v>100</v>
      </c>
      <c r="X610" s="5">
        <f>IFERROR(VLOOKUP($D610&amp;$C610,生产方式定位!$A$2:$E$38,5,FALSE)+VLOOKUP($E610&amp;$C610,生产方式定位!$F$3:$J$38,5,FALSE),"错误")</f>
        <v>100</v>
      </c>
      <c r="Y610" s="27" t="str">
        <f t="shared" si="153"/>
        <v/>
      </c>
      <c r="Z610" s="50" t="str">
        <f t="shared" si="156"/>
        <v/>
      </c>
      <c r="AA610" s="50" t="str">
        <f t="shared" si="154"/>
        <v/>
      </c>
      <c r="AB610" s="28" t="str">
        <f t="shared" si="157"/>
        <v/>
      </c>
      <c r="AC610" s="1" t="str">
        <f t="shared" si="158"/>
        <v/>
      </c>
      <c r="AD610" s="51">
        <f t="shared" si="155"/>
        <v>1</v>
      </c>
      <c r="AE610" t="str">
        <f t="shared" si="159"/>
        <v/>
      </c>
      <c r="AF610" t="str">
        <f t="shared" si="160"/>
        <v/>
      </c>
      <c r="AG610" t="str">
        <f t="shared" si="161"/>
        <v/>
      </c>
      <c r="AH610" t="str">
        <f t="shared" si="162"/>
        <v/>
      </c>
      <c r="AI610" t="str">
        <f t="shared" si="163"/>
        <v/>
      </c>
      <c r="AJ610" t="str">
        <f t="shared" si="164"/>
        <v/>
      </c>
      <c r="AK610" t="str">
        <f t="shared" si="165"/>
        <v/>
      </c>
      <c r="AL610" t="str">
        <f t="shared" si="166"/>
        <v/>
      </c>
      <c r="AN610" t="str">
        <f>IFERROR(ROUND(L610*(G610/$AW610)/VLOOKUP(F610,商品!$A$4:$D$67,4,FALSE),0),"")</f>
        <v/>
      </c>
      <c r="AO610" t="str">
        <f>IFERROR(ROUND(L610*(I610/$AW610)/VLOOKUP(H610,商品!$A$4:$D$67,4,FALSE),0),"")</f>
        <v/>
      </c>
      <c r="AP610" t="str">
        <f>IFERROR(ROUND(L610*(K610/$AW610)/VLOOKUP(J610,商品!$A$4:$D$67,4,FALSE),0),"")</f>
        <v/>
      </c>
      <c r="AQ610" t="str">
        <f>IFERROR(ROUND(S610*(N610/$AX610)/VLOOKUP(M610,职业!$A$3:$E$16,4,FALSE),0),"")</f>
        <v/>
      </c>
      <c r="AR610" t="str">
        <f>IFERROR(ROUND(S610*(P610/$AX610)/VLOOKUP(O610,职业!$A$3:$E$16,4,FALSE),0),"")</f>
        <v/>
      </c>
      <c r="AS610" t="str">
        <f>IFERROR(ROUND(S610*(R610/$AX610)/VLOOKUP(Q610,职业!$A$3:$E$16,4,FALSE),0),"")</f>
        <v/>
      </c>
      <c r="AT610" t="str">
        <f>IFERROR(ROUND(X610*(U610/$AY610)/VLOOKUP(T610,商品!$A$4:$D$67,4,FALSE),0),"")</f>
        <v/>
      </c>
      <c r="AU610" t="str">
        <f>IFERROR(ROUND(X610*(W610/$AY610)/VLOOKUP(V610,商品!$A$4:$D$67,4,FALSE),0),"")</f>
        <v/>
      </c>
      <c r="AW610">
        <f t="shared" si="167"/>
        <v>0</v>
      </c>
      <c r="AX610">
        <f t="shared" si="168"/>
        <v>0</v>
      </c>
      <c r="AY610">
        <f t="shared" si="169"/>
        <v>0</v>
      </c>
    </row>
    <row r="611" customHeight="1" spans="1:51">
      <c r="A611" s="5" t="s">
        <v>400</v>
      </c>
      <c r="C611" s="5">
        <v>2</v>
      </c>
      <c r="D611" s="1" t="s">
        <v>291</v>
      </c>
      <c r="E611" s="1" t="s">
        <v>225</v>
      </c>
      <c r="L611" s="5">
        <f>IFERROR(VLOOKUP($D611&amp;$C611,生产方式定位!$A$2:$E$38,2,FALSE)+VLOOKUP($E611&amp;$C611,生产方式定位!$F$3:$J$38,2,FALSE),0)</f>
        <v>0</v>
      </c>
      <c r="S611" s="5">
        <f>IFERROR(VLOOKUP($D611&amp;$C611,生产方式定位!$A$2:$E$38,3,FALSE)+VLOOKUP($E611&amp;$C611,生产方式定位!$F$3:$J$38,3,FALSE),0)</f>
        <v>100</v>
      </c>
      <c r="X611" s="5">
        <f>IFERROR(VLOOKUP($D611&amp;$C611,生产方式定位!$A$2:$E$38,5,FALSE)+VLOOKUP($E611&amp;$C611,生产方式定位!$F$3:$J$38,5,FALSE),"错误")</f>
        <v>100</v>
      </c>
      <c r="Y611" s="27" t="str">
        <f t="shared" si="153"/>
        <v/>
      </c>
      <c r="Z611" s="50" t="str">
        <f t="shared" si="156"/>
        <v/>
      </c>
      <c r="AA611" s="50" t="str">
        <f t="shared" si="154"/>
        <v/>
      </c>
      <c r="AB611" s="28" t="str">
        <f t="shared" si="157"/>
        <v/>
      </c>
      <c r="AC611" s="1" t="str">
        <f t="shared" si="158"/>
        <v/>
      </c>
      <c r="AD611" s="51">
        <f t="shared" si="155"/>
        <v>2</v>
      </c>
      <c r="AE611" t="str">
        <f t="shared" si="159"/>
        <v/>
      </c>
      <c r="AF611" t="str">
        <f t="shared" si="160"/>
        <v/>
      </c>
      <c r="AG611" t="str">
        <f t="shared" si="161"/>
        <v/>
      </c>
      <c r="AH611" t="str">
        <f t="shared" si="162"/>
        <v/>
      </c>
      <c r="AI611" t="str">
        <f t="shared" si="163"/>
        <v/>
      </c>
      <c r="AJ611" t="str">
        <f t="shared" si="164"/>
        <v/>
      </c>
      <c r="AK611" t="str">
        <f t="shared" si="165"/>
        <v/>
      </c>
      <c r="AL611" t="str">
        <f t="shared" si="166"/>
        <v/>
      </c>
      <c r="AN611" t="str">
        <f>IFERROR(ROUND(L611*(G611/$AW611)/VLOOKUP(F611,商品!$A$4:$D$67,4,FALSE),0),"")</f>
        <v/>
      </c>
      <c r="AO611" t="str">
        <f>IFERROR(ROUND(L611*(I611/$AW611)/VLOOKUP(H611,商品!$A$4:$D$67,4,FALSE),0),"")</f>
        <v/>
      </c>
      <c r="AP611" t="str">
        <f>IFERROR(ROUND(L611*(K611/$AW611)/VLOOKUP(J611,商品!$A$4:$D$67,4,FALSE),0),"")</f>
        <v/>
      </c>
      <c r="AQ611" t="str">
        <f>IFERROR(ROUND(S611*(N611/$AX611)/VLOOKUP(M611,职业!$A$3:$E$16,4,FALSE),0),"")</f>
        <v/>
      </c>
      <c r="AR611" t="str">
        <f>IFERROR(ROUND(S611*(P611/$AX611)/VLOOKUP(O611,职业!$A$3:$E$16,4,FALSE),0),"")</f>
        <v/>
      </c>
      <c r="AS611" t="str">
        <f>IFERROR(ROUND(S611*(R611/$AX611)/VLOOKUP(Q611,职业!$A$3:$E$16,4,FALSE),0),"")</f>
        <v/>
      </c>
      <c r="AT611" t="str">
        <f>IFERROR(ROUND(X611*(U611/$AY611)/VLOOKUP(T611,商品!$A$4:$D$67,4,FALSE),0),"")</f>
        <v/>
      </c>
      <c r="AU611" t="str">
        <f>IFERROR(ROUND(X611*(W611/$AY611)/VLOOKUP(V611,商品!$A$4:$D$67,4,FALSE),0),"")</f>
        <v/>
      </c>
      <c r="AW611">
        <f t="shared" si="167"/>
        <v>0</v>
      </c>
      <c r="AX611">
        <f t="shared" si="168"/>
        <v>0</v>
      </c>
      <c r="AY611">
        <f t="shared" si="169"/>
        <v>0</v>
      </c>
    </row>
    <row r="612" customHeight="1" spans="1:51">
      <c r="A612" s="5" t="s">
        <v>400</v>
      </c>
      <c r="C612" s="5">
        <v>3</v>
      </c>
      <c r="D612" s="1" t="s">
        <v>291</v>
      </c>
      <c r="E612" s="1" t="s">
        <v>225</v>
      </c>
      <c r="L612" s="5">
        <f>IFERROR(VLOOKUP($D612&amp;$C612,生产方式定位!$A$2:$E$38,2,FALSE)+VLOOKUP($E612&amp;$C612,生产方式定位!$F$3:$J$38,2,FALSE),0)</f>
        <v>0</v>
      </c>
      <c r="S612" s="5">
        <f>IFERROR(VLOOKUP($D612&amp;$C612,生产方式定位!$A$2:$E$38,3,FALSE)+VLOOKUP($E612&amp;$C612,生产方式定位!$F$3:$J$38,3,FALSE),0)</f>
        <v>100</v>
      </c>
      <c r="X612" s="5">
        <f>IFERROR(VLOOKUP($D612&amp;$C612,生产方式定位!$A$2:$E$38,5,FALSE)+VLOOKUP($E612&amp;$C612,生产方式定位!$F$3:$J$38,5,FALSE),"错误")</f>
        <v>100</v>
      </c>
      <c r="Y612" s="27" t="str">
        <f t="shared" si="153"/>
        <v/>
      </c>
      <c r="Z612" s="50" t="str">
        <f t="shared" si="156"/>
        <v/>
      </c>
      <c r="AA612" s="50" t="str">
        <f t="shared" si="154"/>
        <v/>
      </c>
      <c r="AB612" s="28" t="str">
        <f t="shared" si="157"/>
        <v/>
      </c>
      <c r="AC612" s="1" t="str">
        <f t="shared" si="158"/>
        <v/>
      </c>
      <c r="AD612" s="51">
        <f t="shared" si="155"/>
        <v>3</v>
      </c>
      <c r="AE612" t="str">
        <f t="shared" si="159"/>
        <v/>
      </c>
      <c r="AF612" t="str">
        <f t="shared" si="160"/>
        <v/>
      </c>
      <c r="AG612" t="str">
        <f t="shared" si="161"/>
        <v/>
      </c>
      <c r="AH612" t="str">
        <f t="shared" si="162"/>
        <v/>
      </c>
      <c r="AI612" t="str">
        <f t="shared" si="163"/>
        <v/>
      </c>
      <c r="AJ612" t="str">
        <f t="shared" si="164"/>
        <v/>
      </c>
      <c r="AK612" t="str">
        <f t="shared" si="165"/>
        <v/>
      </c>
      <c r="AL612" t="str">
        <f t="shared" si="166"/>
        <v/>
      </c>
      <c r="AN612" t="str">
        <f>IFERROR(ROUND(L612*(G612/$AW612)/VLOOKUP(F612,商品!$A$4:$D$67,4,FALSE),0),"")</f>
        <v/>
      </c>
      <c r="AO612" t="str">
        <f>IFERROR(ROUND(L612*(I612/$AW612)/VLOOKUP(H612,商品!$A$4:$D$67,4,FALSE),0),"")</f>
        <v/>
      </c>
      <c r="AP612" t="str">
        <f>IFERROR(ROUND(L612*(K612/$AW612)/VLOOKUP(J612,商品!$A$4:$D$67,4,FALSE),0),"")</f>
        <v/>
      </c>
      <c r="AQ612" t="str">
        <f>IFERROR(ROUND(S612*(N612/$AX612)/VLOOKUP(M612,职业!$A$3:$E$16,4,FALSE),0),"")</f>
        <v/>
      </c>
      <c r="AR612" t="str">
        <f>IFERROR(ROUND(S612*(P612/$AX612)/VLOOKUP(O612,职业!$A$3:$E$16,4,FALSE),0),"")</f>
        <v/>
      </c>
      <c r="AS612" t="str">
        <f>IFERROR(ROUND(S612*(R612/$AX612)/VLOOKUP(Q612,职业!$A$3:$E$16,4,FALSE),0),"")</f>
        <v/>
      </c>
      <c r="AT612" t="str">
        <f>IFERROR(ROUND(X612*(U612/$AY612)/VLOOKUP(T612,商品!$A$4:$D$67,4,FALSE),0),"")</f>
        <v/>
      </c>
      <c r="AU612" t="str">
        <f>IFERROR(ROUND(X612*(W612/$AY612)/VLOOKUP(V612,商品!$A$4:$D$67,4,FALSE),0),"")</f>
        <v/>
      </c>
      <c r="AW612">
        <f t="shared" si="167"/>
        <v>0</v>
      </c>
      <c r="AX612">
        <f t="shared" si="168"/>
        <v>0</v>
      </c>
      <c r="AY612">
        <f t="shared" si="169"/>
        <v>0</v>
      </c>
    </row>
    <row r="613" customHeight="1" spans="1:51">
      <c r="A613" s="5" t="s">
        <v>400</v>
      </c>
      <c r="C613" s="5">
        <v>4</v>
      </c>
      <c r="D613" s="1" t="s">
        <v>291</v>
      </c>
      <c r="E613" s="1" t="s">
        <v>225</v>
      </c>
      <c r="L613" s="5">
        <f>IFERROR(VLOOKUP($D613&amp;$C613,生产方式定位!$A$2:$E$38,2,FALSE)+VLOOKUP($E613&amp;$C613,生产方式定位!$F$3:$J$38,2,FALSE),0)</f>
        <v>0</v>
      </c>
      <c r="S613" s="5">
        <f>IFERROR(VLOOKUP($D613&amp;$C613,生产方式定位!$A$2:$E$38,3,FALSE)+VLOOKUP($E613&amp;$C613,生产方式定位!$F$3:$J$38,3,FALSE),0)</f>
        <v>100</v>
      </c>
      <c r="X613" s="5">
        <f>IFERROR(VLOOKUP($D613&amp;$C613,生产方式定位!$A$2:$E$38,5,FALSE)+VLOOKUP($E613&amp;$C613,生产方式定位!$F$3:$J$38,5,FALSE),"错误")</f>
        <v>100</v>
      </c>
      <c r="Y613" s="27" t="str">
        <f t="shared" si="153"/>
        <v/>
      </c>
      <c r="Z613" s="50" t="str">
        <f t="shared" si="156"/>
        <v/>
      </c>
      <c r="AA613" s="50" t="str">
        <f t="shared" si="154"/>
        <v/>
      </c>
      <c r="AB613" s="28" t="str">
        <f t="shared" si="157"/>
        <v/>
      </c>
      <c r="AC613" s="1" t="str">
        <f t="shared" si="158"/>
        <v/>
      </c>
      <c r="AD613" s="51">
        <f t="shared" si="155"/>
        <v>4</v>
      </c>
      <c r="AE613" t="str">
        <f t="shared" si="159"/>
        <v/>
      </c>
      <c r="AF613" t="str">
        <f t="shared" si="160"/>
        <v/>
      </c>
      <c r="AG613" t="str">
        <f t="shared" si="161"/>
        <v/>
      </c>
      <c r="AH613" t="str">
        <f t="shared" si="162"/>
        <v/>
      </c>
      <c r="AI613" t="str">
        <f t="shared" si="163"/>
        <v/>
      </c>
      <c r="AJ613" t="str">
        <f t="shared" si="164"/>
        <v/>
      </c>
      <c r="AK613" t="str">
        <f t="shared" si="165"/>
        <v/>
      </c>
      <c r="AL613" t="str">
        <f t="shared" si="166"/>
        <v/>
      </c>
      <c r="AN613" t="str">
        <f>IFERROR(ROUND(L613*(G613/$AW613)/VLOOKUP(F613,商品!$A$4:$D$67,4,FALSE),0),"")</f>
        <v/>
      </c>
      <c r="AO613" t="str">
        <f>IFERROR(ROUND(L613*(I613/$AW613)/VLOOKUP(H613,商品!$A$4:$D$67,4,FALSE),0),"")</f>
        <v/>
      </c>
      <c r="AP613" t="str">
        <f>IFERROR(ROUND(L613*(K613/$AW613)/VLOOKUP(J613,商品!$A$4:$D$67,4,FALSE),0),"")</f>
        <v/>
      </c>
      <c r="AQ613" t="str">
        <f>IFERROR(ROUND(S613*(N613/$AX613)/VLOOKUP(M613,职业!$A$3:$E$16,4,FALSE),0),"")</f>
        <v/>
      </c>
      <c r="AR613" t="str">
        <f>IFERROR(ROUND(S613*(P613/$AX613)/VLOOKUP(O613,职业!$A$3:$E$16,4,FALSE),0),"")</f>
        <v/>
      </c>
      <c r="AS613" t="str">
        <f>IFERROR(ROUND(S613*(R613/$AX613)/VLOOKUP(Q613,职业!$A$3:$E$16,4,FALSE),0),"")</f>
        <v/>
      </c>
      <c r="AT613" t="str">
        <f>IFERROR(ROUND(X613*(U613/$AY613)/VLOOKUP(T613,商品!$A$4:$D$67,4,FALSE),0),"")</f>
        <v/>
      </c>
      <c r="AU613" t="str">
        <f>IFERROR(ROUND(X613*(W613/$AY613)/VLOOKUP(V613,商品!$A$4:$D$67,4,FALSE),0),"")</f>
        <v/>
      </c>
      <c r="AW613">
        <f t="shared" si="167"/>
        <v>0</v>
      </c>
      <c r="AX613">
        <f t="shared" si="168"/>
        <v>0</v>
      </c>
      <c r="AY613">
        <f t="shared" si="169"/>
        <v>0</v>
      </c>
    </row>
    <row r="614" customHeight="1" spans="1:51">
      <c r="A614" s="5" t="s">
        <v>400</v>
      </c>
      <c r="C614" s="5">
        <v>5</v>
      </c>
      <c r="D614" s="1" t="s">
        <v>291</v>
      </c>
      <c r="E614" s="1" t="s">
        <v>225</v>
      </c>
      <c r="L614" s="5">
        <f>IFERROR(VLOOKUP($D614&amp;$C614,生产方式定位!$A$2:$E$38,2,FALSE)+VLOOKUP($E614&amp;$C614,生产方式定位!$F$3:$J$38,2,FALSE),0)</f>
        <v>0</v>
      </c>
      <c r="S614" s="5">
        <f>IFERROR(VLOOKUP($D614&amp;$C614,生产方式定位!$A$2:$E$38,3,FALSE)+VLOOKUP($E614&amp;$C614,生产方式定位!$F$3:$J$38,3,FALSE),0)</f>
        <v>100</v>
      </c>
      <c r="X614" s="5">
        <f>IFERROR(VLOOKUP($D614&amp;$C614,生产方式定位!$A$2:$E$38,5,FALSE)+VLOOKUP($E614&amp;$C614,生产方式定位!$F$3:$J$38,5,FALSE),"错误")</f>
        <v>100</v>
      </c>
      <c r="Y614" s="27" t="str">
        <f t="shared" si="153"/>
        <v/>
      </c>
      <c r="Z614" s="50" t="str">
        <f t="shared" si="156"/>
        <v/>
      </c>
      <c r="AA614" s="50" t="str">
        <f t="shared" si="154"/>
        <v/>
      </c>
      <c r="AB614" s="28" t="str">
        <f t="shared" si="157"/>
        <v/>
      </c>
      <c r="AC614" s="1" t="str">
        <f t="shared" si="158"/>
        <v/>
      </c>
      <c r="AD614" s="51">
        <f t="shared" si="155"/>
        <v>5</v>
      </c>
      <c r="AE614" t="str">
        <f t="shared" si="159"/>
        <v/>
      </c>
      <c r="AF614" t="str">
        <f t="shared" si="160"/>
        <v/>
      </c>
      <c r="AG614" t="str">
        <f t="shared" si="161"/>
        <v/>
      </c>
      <c r="AH614" t="str">
        <f t="shared" si="162"/>
        <v/>
      </c>
      <c r="AI614" t="str">
        <f t="shared" si="163"/>
        <v/>
      </c>
      <c r="AJ614" t="str">
        <f t="shared" si="164"/>
        <v/>
      </c>
      <c r="AK614" t="str">
        <f t="shared" si="165"/>
        <v/>
      </c>
      <c r="AL614" t="str">
        <f t="shared" si="166"/>
        <v/>
      </c>
      <c r="AN614" t="str">
        <f>IFERROR(ROUND(L614*(G614/$AW614)/VLOOKUP(F614,商品!$A$4:$D$67,4,FALSE),0),"")</f>
        <v/>
      </c>
      <c r="AO614" t="str">
        <f>IFERROR(ROUND(L614*(I614/$AW614)/VLOOKUP(H614,商品!$A$4:$D$67,4,FALSE),0),"")</f>
        <v/>
      </c>
      <c r="AP614" t="str">
        <f>IFERROR(ROUND(L614*(K614/$AW614)/VLOOKUP(J614,商品!$A$4:$D$67,4,FALSE),0),"")</f>
        <v/>
      </c>
      <c r="AQ614" t="str">
        <f>IFERROR(ROUND(S614*(N614/$AX614)/VLOOKUP(M614,职业!$A$3:$E$16,4,FALSE),0),"")</f>
        <v/>
      </c>
      <c r="AR614" t="str">
        <f>IFERROR(ROUND(S614*(P614/$AX614)/VLOOKUP(O614,职业!$A$3:$E$16,4,FALSE),0),"")</f>
        <v/>
      </c>
      <c r="AS614" t="str">
        <f>IFERROR(ROUND(S614*(R614/$AX614)/VLOOKUP(Q614,职业!$A$3:$E$16,4,FALSE),0),"")</f>
        <v/>
      </c>
      <c r="AT614" t="str">
        <f>IFERROR(ROUND(X614*(U614/$AY614)/VLOOKUP(T614,商品!$A$4:$D$67,4,FALSE),0),"")</f>
        <v/>
      </c>
      <c r="AU614" t="str">
        <f>IFERROR(ROUND(X614*(W614/$AY614)/VLOOKUP(V614,商品!$A$4:$D$67,4,FALSE),0),"")</f>
        <v/>
      </c>
      <c r="AW614">
        <f t="shared" si="167"/>
        <v>0</v>
      </c>
      <c r="AX614">
        <f t="shared" si="168"/>
        <v>0</v>
      </c>
      <c r="AY614">
        <f t="shared" si="169"/>
        <v>0</v>
      </c>
    </row>
    <row r="615" customHeight="1" spans="1:51">
      <c r="A615" s="5" t="s">
        <v>400</v>
      </c>
      <c r="C615" s="5">
        <v>6</v>
      </c>
      <c r="D615" s="1" t="s">
        <v>291</v>
      </c>
      <c r="E615" s="1" t="s">
        <v>225</v>
      </c>
      <c r="L615" s="5">
        <f>IFERROR(VLOOKUP($D615&amp;$C615,生产方式定位!$A$2:$E$38,2,FALSE)+VLOOKUP($E615&amp;$C615,生产方式定位!$F$3:$J$38,2,FALSE),0)</f>
        <v>0</v>
      </c>
      <c r="S615" s="5">
        <f>IFERROR(VLOOKUP($D615&amp;$C615,生产方式定位!$A$2:$E$38,3,FALSE)+VLOOKUP($E615&amp;$C615,生产方式定位!$F$3:$J$38,3,FALSE),0)</f>
        <v>100</v>
      </c>
      <c r="X615" s="5">
        <f>IFERROR(VLOOKUP($D615&amp;$C615,生产方式定位!$A$2:$E$38,5,FALSE)+VLOOKUP($E615&amp;$C615,生产方式定位!$F$3:$J$38,5,FALSE),"错误")</f>
        <v>100</v>
      </c>
      <c r="Y615" s="27" t="str">
        <f t="shared" si="153"/>
        <v/>
      </c>
      <c r="Z615" s="50" t="str">
        <f t="shared" si="156"/>
        <v/>
      </c>
      <c r="AA615" s="50" t="str">
        <f t="shared" si="154"/>
        <v/>
      </c>
      <c r="AB615" s="28" t="str">
        <f t="shared" si="157"/>
        <v/>
      </c>
      <c r="AC615" s="1" t="str">
        <f t="shared" si="158"/>
        <v/>
      </c>
      <c r="AD615" s="51">
        <f t="shared" si="155"/>
        <v>6</v>
      </c>
      <c r="AE615" t="str">
        <f t="shared" si="159"/>
        <v/>
      </c>
      <c r="AF615" t="str">
        <f t="shared" si="160"/>
        <v/>
      </c>
      <c r="AG615" t="str">
        <f t="shared" si="161"/>
        <v/>
      </c>
      <c r="AH615" t="str">
        <f t="shared" si="162"/>
        <v/>
      </c>
      <c r="AI615" t="str">
        <f t="shared" si="163"/>
        <v/>
      </c>
      <c r="AJ615" t="str">
        <f t="shared" si="164"/>
        <v/>
      </c>
      <c r="AK615" t="str">
        <f t="shared" si="165"/>
        <v/>
      </c>
      <c r="AL615" t="str">
        <f t="shared" si="166"/>
        <v/>
      </c>
      <c r="AN615" t="str">
        <f>IFERROR(ROUND(L615*(G615/$AW615)/VLOOKUP(F615,商品!$A$4:$D$67,4,FALSE),0),"")</f>
        <v/>
      </c>
      <c r="AO615" t="str">
        <f>IFERROR(ROUND(L615*(I615/$AW615)/VLOOKUP(H615,商品!$A$4:$D$67,4,FALSE),0),"")</f>
        <v/>
      </c>
      <c r="AP615" t="str">
        <f>IFERROR(ROUND(L615*(K615/$AW615)/VLOOKUP(J615,商品!$A$4:$D$67,4,FALSE),0),"")</f>
        <v/>
      </c>
      <c r="AQ615" t="str">
        <f>IFERROR(ROUND(S615*(N615/$AX615)/VLOOKUP(M615,职业!$A$3:$E$16,4,FALSE),0),"")</f>
        <v/>
      </c>
      <c r="AR615" t="str">
        <f>IFERROR(ROUND(S615*(P615/$AX615)/VLOOKUP(O615,职业!$A$3:$E$16,4,FALSE),0),"")</f>
        <v/>
      </c>
      <c r="AS615" t="str">
        <f>IFERROR(ROUND(S615*(R615/$AX615)/VLOOKUP(Q615,职业!$A$3:$E$16,4,FALSE),0),"")</f>
        <v/>
      </c>
      <c r="AT615" t="str">
        <f>IFERROR(ROUND(X615*(U615/$AY615)/VLOOKUP(T615,商品!$A$4:$D$67,4,FALSE),0),"")</f>
        <v/>
      </c>
      <c r="AU615" t="str">
        <f>IFERROR(ROUND(X615*(W615/$AY615)/VLOOKUP(V615,商品!$A$4:$D$67,4,FALSE),0),"")</f>
        <v/>
      </c>
      <c r="AW615">
        <f t="shared" si="167"/>
        <v>0</v>
      </c>
      <c r="AX615">
        <f t="shared" si="168"/>
        <v>0</v>
      </c>
      <c r="AY615">
        <f t="shared" si="169"/>
        <v>0</v>
      </c>
    </row>
    <row r="616" customHeight="1" spans="1:51">
      <c r="A616" s="5" t="s">
        <v>400</v>
      </c>
      <c r="C616" s="5">
        <v>7</v>
      </c>
      <c r="D616" s="1" t="s">
        <v>291</v>
      </c>
      <c r="E616" s="1" t="s">
        <v>225</v>
      </c>
      <c r="L616" s="5">
        <f>IFERROR(VLOOKUP($D616&amp;$C616,生产方式定位!$A$2:$E$38,2,FALSE)+VLOOKUP($E616&amp;$C616,生产方式定位!$F$3:$J$38,2,FALSE),0)</f>
        <v>0</v>
      </c>
      <c r="S616" s="5">
        <f>IFERROR(VLOOKUP($D616&amp;$C616,生产方式定位!$A$2:$E$38,3,FALSE)+VLOOKUP($E616&amp;$C616,生产方式定位!$F$3:$J$38,3,FALSE),0)</f>
        <v>100</v>
      </c>
      <c r="X616" s="5">
        <f>IFERROR(VLOOKUP($D616&amp;$C616,生产方式定位!$A$2:$E$38,5,FALSE)+VLOOKUP($E616&amp;$C616,生产方式定位!$F$3:$J$38,5,FALSE),"错误")</f>
        <v>100</v>
      </c>
      <c r="Y616" s="27" t="str">
        <f t="shared" si="153"/>
        <v/>
      </c>
      <c r="Z616" s="50" t="str">
        <f t="shared" si="156"/>
        <v/>
      </c>
      <c r="AA616" s="50" t="str">
        <f t="shared" si="154"/>
        <v/>
      </c>
      <c r="AB616" s="28" t="str">
        <f t="shared" si="157"/>
        <v/>
      </c>
      <c r="AC616" s="1" t="str">
        <f t="shared" si="158"/>
        <v/>
      </c>
      <c r="AD616" s="51">
        <f t="shared" si="155"/>
        <v>7</v>
      </c>
      <c r="AE616" t="str">
        <f t="shared" si="159"/>
        <v/>
      </c>
      <c r="AF616" t="str">
        <f t="shared" si="160"/>
        <v/>
      </c>
      <c r="AG616" t="str">
        <f t="shared" si="161"/>
        <v/>
      </c>
      <c r="AH616" t="str">
        <f t="shared" si="162"/>
        <v/>
      </c>
      <c r="AI616" t="str">
        <f t="shared" si="163"/>
        <v/>
      </c>
      <c r="AJ616" t="str">
        <f t="shared" si="164"/>
        <v/>
      </c>
      <c r="AK616" t="str">
        <f t="shared" si="165"/>
        <v/>
      </c>
      <c r="AL616" t="str">
        <f t="shared" si="166"/>
        <v/>
      </c>
      <c r="AN616" t="str">
        <f>IFERROR(ROUND(L616*(G616/$AW616)/VLOOKUP(F616,商品!$A$4:$D$67,4,FALSE),0),"")</f>
        <v/>
      </c>
      <c r="AO616" t="str">
        <f>IFERROR(ROUND(L616*(I616/$AW616)/VLOOKUP(H616,商品!$A$4:$D$67,4,FALSE),0),"")</f>
        <v/>
      </c>
      <c r="AP616" t="str">
        <f>IFERROR(ROUND(L616*(K616/$AW616)/VLOOKUP(J616,商品!$A$4:$D$67,4,FALSE),0),"")</f>
        <v/>
      </c>
      <c r="AQ616" t="str">
        <f>IFERROR(ROUND(S616*(N616/$AX616)/VLOOKUP(M616,职业!$A$3:$E$16,4,FALSE),0),"")</f>
        <v/>
      </c>
      <c r="AR616" t="str">
        <f>IFERROR(ROUND(S616*(P616/$AX616)/VLOOKUP(O616,职业!$A$3:$E$16,4,FALSE),0),"")</f>
        <v/>
      </c>
      <c r="AS616" t="str">
        <f>IFERROR(ROUND(S616*(R616/$AX616)/VLOOKUP(Q616,职业!$A$3:$E$16,4,FALSE),0),"")</f>
        <v/>
      </c>
      <c r="AT616" t="str">
        <f>IFERROR(ROUND(X616*(U616/$AY616)/VLOOKUP(T616,商品!$A$4:$D$67,4,FALSE),0),"")</f>
        <v/>
      </c>
      <c r="AU616" t="str">
        <f>IFERROR(ROUND(X616*(W616/$AY616)/VLOOKUP(V616,商品!$A$4:$D$67,4,FALSE),0),"")</f>
        <v/>
      </c>
      <c r="AW616">
        <f t="shared" si="167"/>
        <v>0</v>
      </c>
      <c r="AX616">
        <f t="shared" si="168"/>
        <v>0</v>
      </c>
      <c r="AY616">
        <f t="shared" si="169"/>
        <v>0</v>
      </c>
    </row>
    <row r="617" customHeight="1" spans="1:51">
      <c r="A617" s="5" t="s">
        <v>400</v>
      </c>
      <c r="C617" s="5">
        <v>8</v>
      </c>
      <c r="D617" s="1" t="s">
        <v>291</v>
      </c>
      <c r="E617" s="1" t="s">
        <v>225</v>
      </c>
      <c r="L617" s="5">
        <f>IFERROR(VLOOKUP($D617&amp;$C617,生产方式定位!$A$2:$E$38,2,FALSE)+VLOOKUP($E617&amp;$C617,生产方式定位!$F$3:$J$38,2,FALSE),0)</f>
        <v>0</v>
      </c>
      <c r="S617" s="5">
        <f>IFERROR(VLOOKUP($D617&amp;$C617,生产方式定位!$A$2:$E$38,3,FALSE)+VLOOKUP($E617&amp;$C617,生产方式定位!$F$3:$J$38,3,FALSE),0)</f>
        <v>100</v>
      </c>
      <c r="X617" s="5">
        <f>IFERROR(VLOOKUP($D617&amp;$C617,生产方式定位!$A$2:$E$38,5,FALSE)+VLOOKUP($E617&amp;$C617,生产方式定位!$F$3:$J$38,5,FALSE),"错误")</f>
        <v>100</v>
      </c>
      <c r="Y617" s="27" t="str">
        <f t="shared" si="153"/>
        <v/>
      </c>
      <c r="Z617" s="50" t="str">
        <f t="shared" si="156"/>
        <v/>
      </c>
      <c r="AA617" s="50" t="str">
        <f t="shared" si="154"/>
        <v/>
      </c>
      <c r="AB617" s="28" t="str">
        <f t="shared" si="157"/>
        <v/>
      </c>
      <c r="AC617" s="1" t="str">
        <f t="shared" si="158"/>
        <v/>
      </c>
      <c r="AD617" s="51">
        <f t="shared" si="155"/>
        <v>8</v>
      </c>
      <c r="AE617" t="str">
        <f t="shared" si="159"/>
        <v/>
      </c>
      <c r="AF617" t="str">
        <f t="shared" si="160"/>
        <v/>
      </c>
      <c r="AG617" t="str">
        <f t="shared" si="161"/>
        <v/>
      </c>
      <c r="AH617" t="str">
        <f t="shared" si="162"/>
        <v/>
      </c>
      <c r="AI617" t="str">
        <f t="shared" si="163"/>
        <v/>
      </c>
      <c r="AJ617" t="str">
        <f t="shared" si="164"/>
        <v/>
      </c>
      <c r="AK617" t="str">
        <f t="shared" si="165"/>
        <v/>
      </c>
      <c r="AL617" t="str">
        <f t="shared" si="166"/>
        <v/>
      </c>
      <c r="AN617" t="str">
        <f>IFERROR(ROUND(L617*(G617/$AW617)/VLOOKUP(F617,商品!$A$4:$D$67,4,FALSE),0),"")</f>
        <v/>
      </c>
      <c r="AO617" t="str">
        <f>IFERROR(ROUND(L617*(I617/$AW617)/VLOOKUP(H617,商品!$A$4:$D$67,4,FALSE),0),"")</f>
        <v/>
      </c>
      <c r="AP617" t="str">
        <f>IFERROR(ROUND(L617*(K617/$AW617)/VLOOKUP(J617,商品!$A$4:$D$67,4,FALSE),0),"")</f>
        <v/>
      </c>
      <c r="AQ617" t="str">
        <f>IFERROR(ROUND(S617*(N617/$AX617)/VLOOKUP(M617,职业!$A$3:$E$16,4,FALSE),0),"")</f>
        <v/>
      </c>
      <c r="AR617" t="str">
        <f>IFERROR(ROUND(S617*(P617/$AX617)/VLOOKUP(O617,职业!$A$3:$E$16,4,FALSE),0),"")</f>
        <v/>
      </c>
      <c r="AS617" t="str">
        <f>IFERROR(ROUND(S617*(R617/$AX617)/VLOOKUP(Q617,职业!$A$3:$E$16,4,FALSE),0),"")</f>
        <v/>
      </c>
      <c r="AT617" t="str">
        <f>IFERROR(ROUND(X617*(U617/$AY617)/VLOOKUP(T617,商品!$A$4:$D$67,4,FALSE),0),"")</f>
        <v/>
      </c>
      <c r="AU617" t="str">
        <f>IFERROR(ROUND(X617*(W617/$AY617)/VLOOKUP(V617,商品!$A$4:$D$67,4,FALSE),0),"")</f>
        <v/>
      </c>
      <c r="AW617">
        <f t="shared" si="167"/>
        <v>0</v>
      </c>
      <c r="AX617">
        <f t="shared" si="168"/>
        <v>0</v>
      </c>
      <c r="AY617">
        <f t="shared" si="169"/>
        <v>0</v>
      </c>
    </row>
    <row r="618" customHeight="1" spans="1:51">
      <c r="A618" s="18" t="s">
        <v>400</v>
      </c>
      <c r="C618" s="18">
        <v>1</v>
      </c>
      <c r="D618" s="1" t="s">
        <v>291</v>
      </c>
      <c r="E618" s="1" t="s">
        <v>225</v>
      </c>
      <c r="L618" s="18">
        <f>IFERROR(VLOOKUP($D618&amp;$C618,生产方式定位!$A$2:$E$38,2,FALSE)+VLOOKUP($E618&amp;$C618,生产方式定位!$F$3:$J$38,2,FALSE),0)</f>
        <v>0</v>
      </c>
      <c r="S618" s="18">
        <f>IFERROR(VLOOKUP($D618&amp;$C618,生产方式定位!$A$2:$E$38,3,FALSE)+VLOOKUP($E618&amp;$C618,生产方式定位!$F$3:$J$38,3,FALSE),0)</f>
        <v>100</v>
      </c>
      <c r="X618" s="18">
        <f>IFERROR(VLOOKUP($D618&amp;$C618,生产方式定位!$A$2:$E$38,5,FALSE)+VLOOKUP($E618&amp;$C618,生产方式定位!$F$3:$J$38,5,FALSE),"错误")</f>
        <v>100</v>
      </c>
      <c r="Y618" s="27" t="str">
        <f t="shared" si="153"/>
        <v/>
      </c>
      <c r="Z618" s="50" t="str">
        <f t="shared" si="156"/>
        <v/>
      </c>
      <c r="AA618" s="50" t="str">
        <f t="shared" si="154"/>
        <v/>
      </c>
      <c r="AB618" s="28" t="str">
        <f t="shared" si="157"/>
        <v/>
      </c>
      <c r="AC618" s="1" t="str">
        <f t="shared" si="158"/>
        <v/>
      </c>
      <c r="AD618" s="52">
        <f t="shared" si="155"/>
        <v>1</v>
      </c>
      <c r="AE618" t="str">
        <f t="shared" si="159"/>
        <v/>
      </c>
      <c r="AF618" t="str">
        <f t="shared" si="160"/>
        <v/>
      </c>
      <c r="AG618" t="str">
        <f t="shared" si="161"/>
        <v/>
      </c>
      <c r="AH618" t="str">
        <f t="shared" si="162"/>
        <v/>
      </c>
      <c r="AI618" t="str">
        <f t="shared" si="163"/>
        <v/>
      </c>
      <c r="AJ618" t="str">
        <f t="shared" si="164"/>
        <v/>
      </c>
      <c r="AK618" t="str">
        <f t="shared" si="165"/>
        <v/>
      </c>
      <c r="AL618" t="str">
        <f t="shared" si="166"/>
        <v/>
      </c>
      <c r="AN618" t="str">
        <f>IFERROR(ROUND(L618*(G618/$AW618)/VLOOKUP(F618,商品!$A$4:$D$67,4,FALSE),0),"")</f>
        <v/>
      </c>
      <c r="AO618" t="str">
        <f>IFERROR(ROUND(L618*(I618/$AW618)/VLOOKUP(H618,商品!$A$4:$D$67,4,FALSE),0),"")</f>
        <v/>
      </c>
      <c r="AP618" t="str">
        <f>IFERROR(ROUND(L618*(K618/$AW618)/VLOOKUP(J618,商品!$A$4:$D$67,4,FALSE),0),"")</f>
        <v/>
      </c>
      <c r="AQ618" t="str">
        <f>IFERROR(ROUND(S618*(N618/$AX618)/VLOOKUP(M618,职业!$A$3:$E$16,4,FALSE),0),"")</f>
        <v/>
      </c>
      <c r="AR618" t="str">
        <f>IFERROR(ROUND(S618*(P618/$AX618)/VLOOKUP(O618,职业!$A$3:$E$16,4,FALSE),0),"")</f>
        <v/>
      </c>
      <c r="AS618" t="str">
        <f>IFERROR(ROUND(S618*(R618/$AX618)/VLOOKUP(Q618,职业!$A$3:$E$16,4,FALSE),0),"")</f>
        <v/>
      </c>
      <c r="AT618" t="str">
        <f>IFERROR(ROUND(X618*(U618/$AY618)/VLOOKUP(T618,商品!$A$4:$D$67,4,FALSE),0),"")</f>
        <v/>
      </c>
      <c r="AU618" t="str">
        <f>IFERROR(ROUND(X618*(W618/$AY618)/VLOOKUP(V618,商品!$A$4:$D$67,4,FALSE),0),"")</f>
        <v/>
      </c>
      <c r="AW618">
        <f t="shared" si="167"/>
        <v>0</v>
      </c>
      <c r="AX618">
        <f t="shared" si="168"/>
        <v>0</v>
      </c>
      <c r="AY618">
        <f t="shared" si="169"/>
        <v>0</v>
      </c>
    </row>
    <row r="619" customHeight="1" spans="1:51">
      <c r="A619" s="18" t="s">
        <v>400</v>
      </c>
      <c r="C619" s="18">
        <v>2</v>
      </c>
      <c r="D619" s="1" t="s">
        <v>291</v>
      </c>
      <c r="E619" s="1" t="s">
        <v>225</v>
      </c>
      <c r="L619" s="18">
        <f>IFERROR(VLOOKUP($D619&amp;$C619,生产方式定位!$A$2:$E$38,2,FALSE)+VLOOKUP($E619&amp;$C619,生产方式定位!$F$3:$J$38,2,FALSE),0)</f>
        <v>0</v>
      </c>
      <c r="S619" s="18">
        <f>IFERROR(VLOOKUP($D619&amp;$C619,生产方式定位!$A$2:$E$38,3,FALSE)+VLOOKUP($E619&amp;$C619,生产方式定位!$F$3:$J$38,3,FALSE),0)</f>
        <v>100</v>
      </c>
      <c r="X619" s="18">
        <f>IFERROR(VLOOKUP($D619&amp;$C619,生产方式定位!$A$2:$E$38,5,FALSE)+VLOOKUP($E619&amp;$C619,生产方式定位!$F$3:$J$38,5,FALSE),"错误")</f>
        <v>100</v>
      </c>
      <c r="Y619" s="27" t="str">
        <f t="shared" si="153"/>
        <v/>
      </c>
      <c r="Z619" s="50" t="str">
        <f t="shared" si="156"/>
        <v/>
      </c>
      <c r="AA619" s="50" t="str">
        <f t="shared" si="154"/>
        <v/>
      </c>
      <c r="AB619" s="28" t="str">
        <f t="shared" si="157"/>
        <v/>
      </c>
      <c r="AC619" s="1" t="str">
        <f t="shared" si="158"/>
        <v/>
      </c>
      <c r="AD619" s="52">
        <f t="shared" si="155"/>
        <v>2</v>
      </c>
      <c r="AE619" t="str">
        <f t="shared" si="159"/>
        <v/>
      </c>
      <c r="AF619" t="str">
        <f t="shared" si="160"/>
        <v/>
      </c>
      <c r="AG619" t="str">
        <f t="shared" si="161"/>
        <v/>
      </c>
      <c r="AH619" t="str">
        <f t="shared" si="162"/>
        <v/>
      </c>
      <c r="AI619" t="str">
        <f t="shared" si="163"/>
        <v/>
      </c>
      <c r="AJ619" t="str">
        <f t="shared" si="164"/>
        <v/>
      </c>
      <c r="AK619" t="str">
        <f t="shared" si="165"/>
        <v/>
      </c>
      <c r="AL619" t="str">
        <f t="shared" si="166"/>
        <v/>
      </c>
      <c r="AN619" t="str">
        <f>IFERROR(ROUND(L619*(G619/$AW619)/VLOOKUP(F619,商品!$A$4:$D$67,4,FALSE),0),"")</f>
        <v/>
      </c>
      <c r="AO619" t="str">
        <f>IFERROR(ROUND(L619*(I619/$AW619)/VLOOKUP(H619,商品!$A$4:$D$67,4,FALSE),0),"")</f>
        <v/>
      </c>
      <c r="AP619" t="str">
        <f>IFERROR(ROUND(L619*(K619/$AW619)/VLOOKUP(J619,商品!$A$4:$D$67,4,FALSE),0),"")</f>
        <v/>
      </c>
      <c r="AQ619" t="str">
        <f>IFERROR(ROUND(S619*(N619/$AX619)/VLOOKUP(M619,职业!$A$3:$E$16,4,FALSE),0),"")</f>
        <v/>
      </c>
      <c r="AR619" t="str">
        <f>IFERROR(ROUND(S619*(P619/$AX619)/VLOOKUP(O619,职业!$A$3:$E$16,4,FALSE),0),"")</f>
        <v/>
      </c>
      <c r="AS619" t="str">
        <f>IFERROR(ROUND(S619*(R619/$AX619)/VLOOKUP(Q619,职业!$A$3:$E$16,4,FALSE),0),"")</f>
        <v/>
      </c>
      <c r="AT619" t="str">
        <f>IFERROR(ROUND(X619*(U619/$AY619)/VLOOKUP(T619,商品!$A$4:$D$67,4,FALSE),0),"")</f>
        <v/>
      </c>
      <c r="AU619" t="str">
        <f>IFERROR(ROUND(X619*(W619/$AY619)/VLOOKUP(V619,商品!$A$4:$D$67,4,FALSE),0),"")</f>
        <v/>
      </c>
      <c r="AW619">
        <f t="shared" si="167"/>
        <v>0</v>
      </c>
      <c r="AX619">
        <f t="shared" si="168"/>
        <v>0</v>
      </c>
      <c r="AY619">
        <f t="shared" si="169"/>
        <v>0</v>
      </c>
    </row>
    <row r="620" customHeight="1" spans="1:51">
      <c r="A620" s="18" t="s">
        <v>400</v>
      </c>
      <c r="C620" s="18">
        <v>3</v>
      </c>
      <c r="D620" s="1" t="s">
        <v>291</v>
      </c>
      <c r="E620" s="1" t="s">
        <v>225</v>
      </c>
      <c r="L620" s="18">
        <f>IFERROR(VLOOKUP($D620&amp;$C620,生产方式定位!$A$2:$E$38,2,FALSE)+VLOOKUP($E620&amp;$C620,生产方式定位!$F$3:$J$38,2,FALSE),0)</f>
        <v>0</v>
      </c>
      <c r="S620" s="18">
        <f>IFERROR(VLOOKUP($D620&amp;$C620,生产方式定位!$A$2:$E$38,3,FALSE)+VLOOKUP($E620&amp;$C620,生产方式定位!$F$3:$J$38,3,FALSE),0)</f>
        <v>100</v>
      </c>
      <c r="X620" s="18">
        <f>IFERROR(VLOOKUP($D620&amp;$C620,生产方式定位!$A$2:$E$38,5,FALSE)+VLOOKUP($E620&amp;$C620,生产方式定位!$F$3:$J$38,5,FALSE),"错误")</f>
        <v>100</v>
      </c>
      <c r="Y620" s="27" t="str">
        <f t="shared" si="153"/>
        <v/>
      </c>
      <c r="Z620" s="50" t="str">
        <f t="shared" si="156"/>
        <v/>
      </c>
      <c r="AA620" s="50" t="str">
        <f t="shared" si="154"/>
        <v/>
      </c>
      <c r="AB620" s="28" t="str">
        <f t="shared" si="157"/>
        <v/>
      </c>
      <c r="AC620" s="1" t="str">
        <f t="shared" si="158"/>
        <v/>
      </c>
      <c r="AD620" s="52">
        <f t="shared" si="155"/>
        <v>3</v>
      </c>
      <c r="AE620" t="str">
        <f t="shared" si="159"/>
        <v/>
      </c>
      <c r="AF620" t="str">
        <f t="shared" si="160"/>
        <v/>
      </c>
      <c r="AG620" t="str">
        <f t="shared" si="161"/>
        <v/>
      </c>
      <c r="AH620" t="str">
        <f t="shared" si="162"/>
        <v/>
      </c>
      <c r="AI620" t="str">
        <f t="shared" si="163"/>
        <v/>
      </c>
      <c r="AJ620" t="str">
        <f t="shared" si="164"/>
        <v/>
      </c>
      <c r="AK620" t="str">
        <f t="shared" si="165"/>
        <v/>
      </c>
      <c r="AL620" t="str">
        <f t="shared" si="166"/>
        <v/>
      </c>
      <c r="AN620" t="str">
        <f>IFERROR(ROUND(L620*(G620/$AW620)/VLOOKUP(F620,商品!$A$4:$D$67,4,FALSE),0),"")</f>
        <v/>
      </c>
      <c r="AO620" t="str">
        <f>IFERROR(ROUND(L620*(I620/$AW620)/VLOOKUP(H620,商品!$A$4:$D$67,4,FALSE),0),"")</f>
        <v/>
      </c>
      <c r="AP620" t="str">
        <f>IFERROR(ROUND(L620*(K620/$AW620)/VLOOKUP(J620,商品!$A$4:$D$67,4,FALSE),0),"")</f>
        <v/>
      </c>
      <c r="AQ620" t="str">
        <f>IFERROR(ROUND(S620*(N620/$AX620)/VLOOKUP(M620,职业!$A$3:$E$16,4,FALSE),0),"")</f>
        <v/>
      </c>
      <c r="AR620" t="str">
        <f>IFERROR(ROUND(S620*(P620/$AX620)/VLOOKUP(O620,职业!$A$3:$E$16,4,FALSE),0),"")</f>
        <v/>
      </c>
      <c r="AS620" t="str">
        <f>IFERROR(ROUND(S620*(R620/$AX620)/VLOOKUP(Q620,职业!$A$3:$E$16,4,FALSE),0),"")</f>
        <v/>
      </c>
      <c r="AT620" t="str">
        <f>IFERROR(ROUND(X620*(U620/$AY620)/VLOOKUP(T620,商品!$A$4:$D$67,4,FALSE),0),"")</f>
        <v/>
      </c>
      <c r="AU620" t="str">
        <f>IFERROR(ROUND(X620*(W620/$AY620)/VLOOKUP(V620,商品!$A$4:$D$67,4,FALSE),0),"")</f>
        <v/>
      </c>
      <c r="AW620">
        <f t="shared" si="167"/>
        <v>0</v>
      </c>
      <c r="AX620">
        <f t="shared" si="168"/>
        <v>0</v>
      </c>
      <c r="AY620">
        <f t="shared" si="169"/>
        <v>0</v>
      </c>
    </row>
    <row r="621" customHeight="1" spans="1:51">
      <c r="A621" s="18" t="s">
        <v>400</v>
      </c>
      <c r="C621" s="18">
        <v>4</v>
      </c>
      <c r="D621" s="1" t="s">
        <v>291</v>
      </c>
      <c r="E621" s="1" t="s">
        <v>225</v>
      </c>
      <c r="L621" s="18">
        <f>IFERROR(VLOOKUP($D621&amp;$C621,生产方式定位!$A$2:$E$38,2,FALSE)+VLOOKUP($E621&amp;$C621,生产方式定位!$F$3:$J$38,2,FALSE),0)</f>
        <v>0</v>
      </c>
      <c r="S621" s="18">
        <f>IFERROR(VLOOKUP($D621&amp;$C621,生产方式定位!$A$2:$E$38,3,FALSE)+VLOOKUP($E621&amp;$C621,生产方式定位!$F$3:$J$38,3,FALSE),0)</f>
        <v>100</v>
      </c>
      <c r="X621" s="18">
        <f>IFERROR(VLOOKUP($D621&amp;$C621,生产方式定位!$A$2:$E$38,5,FALSE)+VLOOKUP($E621&amp;$C621,生产方式定位!$F$3:$J$38,5,FALSE),"错误")</f>
        <v>100</v>
      </c>
      <c r="Y621" s="27" t="str">
        <f t="shared" si="153"/>
        <v/>
      </c>
      <c r="Z621" s="50" t="str">
        <f t="shared" si="156"/>
        <v/>
      </c>
      <c r="AA621" s="50" t="str">
        <f t="shared" si="154"/>
        <v/>
      </c>
      <c r="AB621" s="28" t="str">
        <f t="shared" si="157"/>
        <v/>
      </c>
      <c r="AC621" s="1" t="str">
        <f t="shared" si="158"/>
        <v/>
      </c>
      <c r="AD621" s="52">
        <f t="shared" si="155"/>
        <v>4</v>
      </c>
      <c r="AE621" t="str">
        <f t="shared" si="159"/>
        <v/>
      </c>
      <c r="AF621" t="str">
        <f t="shared" si="160"/>
        <v/>
      </c>
      <c r="AG621" t="str">
        <f t="shared" si="161"/>
        <v/>
      </c>
      <c r="AH621" t="str">
        <f t="shared" si="162"/>
        <v/>
      </c>
      <c r="AI621" t="str">
        <f t="shared" si="163"/>
        <v/>
      </c>
      <c r="AJ621" t="str">
        <f t="shared" si="164"/>
        <v/>
      </c>
      <c r="AK621" t="str">
        <f t="shared" si="165"/>
        <v/>
      </c>
      <c r="AL621" t="str">
        <f t="shared" si="166"/>
        <v/>
      </c>
      <c r="AN621" t="str">
        <f>IFERROR(ROUND(L621*(G621/$AW621)/VLOOKUP(F621,商品!$A$4:$D$67,4,FALSE),0),"")</f>
        <v/>
      </c>
      <c r="AO621" t="str">
        <f>IFERROR(ROUND(L621*(I621/$AW621)/VLOOKUP(H621,商品!$A$4:$D$67,4,FALSE),0),"")</f>
        <v/>
      </c>
      <c r="AP621" t="str">
        <f>IFERROR(ROUND(L621*(K621/$AW621)/VLOOKUP(J621,商品!$A$4:$D$67,4,FALSE),0),"")</f>
        <v/>
      </c>
      <c r="AQ621" t="str">
        <f>IFERROR(ROUND(S621*(N621/$AX621)/VLOOKUP(M621,职业!$A$3:$E$16,4,FALSE),0),"")</f>
        <v/>
      </c>
      <c r="AR621" t="str">
        <f>IFERROR(ROUND(S621*(P621/$AX621)/VLOOKUP(O621,职业!$A$3:$E$16,4,FALSE),0),"")</f>
        <v/>
      </c>
      <c r="AS621" t="str">
        <f>IFERROR(ROUND(S621*(R621/$AX621)/VLOOKUP(Q621,职业!$A$3:$E$16,4,FALSE),0),"")</f>
        <v/>
      </c>
      <c r="AT621" t="str">
        <f>IFERROR(ROUND(X621*(U621/$AY621)/VLOOKUP(T621,商品!$A$4:$D$67,4,FALSE),0),"")</f>
        <v/>
      </c>
      <c r="AU621" t="str">
        <f>IFERROR(ROUND(X621*(W621/$AY621)/VLOOKUP(V621,商品!$A$4:$D$67,4,FALSE),0),"")</f>
        <v/>
      </c>
      <c r="AW621">
        <f t="shared" si="167"/>
        <v>0</v>
      </c>
      <c r="AX621">
        <f t="shared" si="168"/>
        <v>0</v>
      </c>
      <c r="AY621">
        <f t="shared" si="169"/>
        <v>0</v>
      </c>
    </row>
    <row r="622" customHeight="1" spans="1:51">
      <c r="A622" s="18" t="s">
        <v>400</v>
      </c>
      <c r="C622" s="18">
        <v>5</v>
      </c>
      <c r="D622" s="1" t="s">
        <v>291</v>
      </c>
      <c r="E622" s="1" t="s">
        <v>225</v>
      </c>
      <c r="L622" s="18">
        <f>IFERROR(VLOOKUP($D622&amp;$C622,生产方式定位!$A$2:$E$38,2,FALSE)+VLOOKUP($E622&amp;$C622,生产方式定位!$F$3:$J$38,2,FALSE),0)</f>
        <v>0</v>
      </c>
      <c r="S622" s="18">
        <f>IFERROR(VLOOKUP($D622&amp;$C622,生产方式定位!$A$2:$E$38,3,FALSE)+VLOOKUP($E622&amp;$C622,生产方式定位!$F$3:$J$38,3,FALSE),0)</f>
        <v>100</v>
      </c>
      <c r="X622" s="18">
        <f>IFERROR(VLOOKUP($D622&amp;$C622,生产方式定位!$A$2:$E$38,5,FALSE)+VLOOKUP($E622&amp;$C622,生产方式定位!$F$3:$J$38,5,FALSE),"错误")</f>
        <v>100</v>
      </c>
      <c r="Y622" s="27" t="str">
        <f t="shared" si="153"/>
        <v/>
      </c>
      <c r="Z622" s="50" t="str">
        <f t="shared" si="156"/>
        <v/>
      </c>
      <c r="AA622" s="50" t="str">
        <f t="shared" si="154"/>
        <v/>
      </c>
      <c r="AB622" s="28" t="str">
        <f t="shared" si="157"/>
        <v/>
      </c>
      <c r="AC622" s="1" t="str">
        <f t="shared" si="158"/>
        <v/>
      </c>
      <c r="AD622" s="52">
        <f t="shared" si="155"/>
        <v>5</v>
      </c>
      <c r="AE622" t="str">
        <f t="shared" si="159"/>
        <v/>
      </c>
      <c r="AF622" t="str">
        <f t="shared" si="160"/>
        <v/>
      </c>
      <c r="AG622" t="str">
        <f t="shared" si="161"/>
        <v/>
      </c>
      <c r="AH622" t="str">
        <f t="shared" si="162"/>
        <v/>
      </c>
      <c r="AI622" t="str">
        <f t="shared" si="163"/>
        <v/>
      </c>
      <c r="AJ622" t="str">
        <f t="shared" si="164"/>
        <v/>
      </c>
      <c r="AK622" t="str">
        <f t="shared" si="165"/>
        <v/>
      </c>
      <c r="AL622" t="str">
        <f t="shared" si="166"/>
        <v/>
      </c>
      <c r="AN622" t="str">
        <f>IFERROR(ROUND(L622*(G622/$AW622)/VLOOKUP(F622,商品!$A$4:$D$67,4,FALSE),0),"")</f>
        <v/>
      </c>
      <c r="AO622" t="str">
        <f>IFERROR(ROUND(L622*(I622/$AW622)/VLOOKUP(H622,商品!$A$4:$D$67,4,FALSE),0),"")</f>
        <v/>
      </c>
      <c r="AP622" t="str">
        <f>IFERROR(ROUND(L622*(K622/$AW622)/VLOOKUP(J622,商品!$A$4:$D$67,4,FALSE),0),"")</f>
        <v/>
      </c>
      <c r="AQ622" t="str">
        <f>IFERROR(ROUND(S622*(N622/$AX622)/VLOOKUP(M622,职业!$A$3:$E$16,4,FALSE),0),"")</f>
        <v/>
      </c>
      <c r="AR622" t="str">
        <f>IFERROR(ROUND(S622*(P622/$AX622)/VLOOKUP(O622,职业!$A$3:$E$16,4,FALSE),0),"")</f>
        <v/>
      </c>
      <c r="AS622" t="str">
        <f>IFERROR(ROUND(S622*(R622/$AX622)/VLOOKUP(Q622,职业!$A$3:$E$16,4,FALSE),0),"")</f>
        <v/>
      </c>
      <c r="AT622" t="str">
        <f>IFERROR(ROUND(X622*(U622/$AY622)/VLOOKUP(T622,商品!$A$4:$D$67,4,FALSE),0),"")</f>
        <v/>
      </c>
      <c r="AU622" t="str">
        <f>IFERROR(ROUND(X622*(W622/$AY622)/VLOOKUP(V622,商品!$A$4:$D$67,4,FALSE),0),"")</f>
        <v/>
      </c>
      <c r="AW622">
        <f t="shared" si="167"/>
        <v>0</v>
      </c>
      <c r="AX622">
        <f t="shared" si="168"/>
        <v>0</v>
      </c>
      <c r="AY622">
        <f t="shared" si="169"/>
        <v>0</v>
      </c>
    </row>
    <row r="623" customHeight="1" spans="1:51">
      <c r="A623" s="18" t="s">
        <v>400</v>
      </c>
      <c r="C623" s="18">
        <v>6</v>
      </c>
      <c r="D623" s="1" t="s">
        <v>291</v>
      </c>
      <c r="E623" s="1" t="s">
        <v>225</v>
      </c>
      <c r="L623" s="18">
        <f>IFERROR(VLOOKUP($D623&amp;$C623,生产方式定位!$A$2:$E$38,2,FALSE)+VLOOKUP($E623&amp;$C623,生产方式定位!$F$3:$J$38,2,FALSE),0)</f>
        <v>0</v>
      </c>
      <c r="S623" s="18">
        <f>IFERROR(VLOOKUP($D623&amp;$C623,生产方式定位!$A$2:$E$38,3,FALSE)+VLOOKUP($E623&amp;$C623,生产方式定位!$F$3:$J$38,3,FALSE),0)</f>
        <v>100</v>
      </c>
      <c r="X623" s="18">
        <f>IFERROR(VLOOKUP($D623&amp;$C623,生产方式定位!$A$2:$E$38,5,FALSE)+VLOOKUP($E623&amp;$C623,生产方式定位!$F$3:$J$38,5,FALSE),"错误")</f>
        <v>100</v>
      </c>
      <c r="Y623" s="27" t="str">
        <f t="shared" si="153"/>
        <v/>
      </c>
      <c r="Z623" s="50" t="str">
        <f t="shared" si="156"/>
        <v/>
      </c>
      <c r="AA623" s="50" t="str">
        <f t="shared" si="154"/>
        <v/>
      </c>
      <c r="AB623" s="28" t="str">
        <f t="shared" si="157"/>
        <v/>
      </c>
      <c r="AC623" s="1" t="str">
        <f t="shared" si="158"/>
        <v/>
      </c>
      <c r="AD623" s="52">
        <f t="shared" si="155"/>
        <v>6</v>
      </c>
      <c r="AE623" t="str">
        <f t="shared" si="159"/>
        <v/>
      </c>
      <c r="AF623" t="str">
        <f t="shared" si="160"/>
        <v/>
      </c>
      <c r="AG623" t="str">
        <f t="shared" si="161"/>
        <v/>
      </c>
      <c r="AH623" t="str">
        <f t="shared" si="162"/>
        <v/>
      </c>
      <c r="AI623" t="str">
        <f t="shared" si="163"/>
        <v/>
      </c>
      <c r="AJ623" t="str">
        <f t="shared" si="164"/>
        <v/>
      </c>
      <c r="AK623" t="str">
        <f t="shared" si="165"/>
        <v/>
      </c>
      <c r="AL623" t="str">
        <f t="shared" si="166"/>
        <v/>
      </c>
      <c r="AN623" t="str">
        <f>IFERROR(ROUND(L623*(G623/$AW623)/VLOOKUP(F623,商品!$A$4:$D$67,4,FALSE),0),"")</f>
        <v/>
      </c>
      <c r="AO623" t="str">
        <f>IFERROR(ROUND(L623*(I623/$AW623)/VLOOKUP(H623,商品!$A$4:$D$67,4,FALSE),0),"")</f>
        <v/>
      </c>
      <c r="AP623" t="str">
        <f>IFERROR(ROUND(L623*(K623/$AW623)/VLOOKUP(J623,商品!$A$4:$D$67,4,FALSE),0),"")</f>
        <v/>
      </c>
      <c r="AQ623" t="str">
        <f>IFERROR(ROUND(S623*(N623/$AX623)/VLOOKUP(M623,职业!$A$3:$E$16,4,FALSE),0),"")</f>
        <v/>
      </c>
      <c r="AR623" t="str">
        <f>IFERROR(ROUND(S623*(P623/$AX623)/VLOOKUP(O623,职业!$A$3:$E$16,4,FALSE),0),"")</f>
        <v/>
      </c>
      <c r="AS623" t="str">
        <f>IFERROR(ROUND(S623*(R623/$AX623)/VLOOKUP(Q623,职业!$A$3:$E$16,4,FALSE),0),"")</f>
        <v/>
      </c>
      <c r="AT623" t="str">
        <f>IFERROR(ROUND(X623*(U623/$AY623)/VLOOKUP(T623,商品!$A$4:$D$67,4,FALSE),0),"")</f>
        <v/>
      </c>
      <c r="AU623" t="str">
        <f>IFERROR(ROUND(X623*(W623/$AY623)/VLOOKUP(V623,商品!$A$4:$D$67,4,FALSE),0),"")</f>
        <v/>
      </c>
      <c r="AW623">
        <f t="shared" si="167"/>
        <v>0</v>
      </c>
      <c r="AX623">
        <f t="shared" si="168"/>
        <v>0</v>
      </c>
      <c r="AY623">
        <f t="shared" si="169"/>
        <v>0</v>
      </c>
    </row>
    <row r="624" customHeight="1" spans="1:51">
      <c r="A624" s="18" t="s">
        <v>400</v>
      </c>
      <c r="C624" s="18">
        <v>7</v>
      </c>
      <c r="D624" s="1" t="s">
        <v>291</v>
      </c>
      <c r="E624" s="1" t="s">
        <v>225</v>
      </c>
      <c r="L624" s="18">
        <f>IFERROR(VLOOKUP($D624&amp;$C624,生产方式定位!$A$2:$E$38,2,FALSE)+VLOOKUP($E624&amp;$C624,生产方式定位!$F$3:$J$38,2,FALSE),0)</f>
        <v>0</v>
      </c>
      <c r="S624" s="18">
        <f>IFERROR(VLOOKUP($D624&amp;$C624,生产方式定位!$A$2:$E$38,3,FALSE)+VLOOKUP($E624&amp;$C624,生产方式定位!$F$3:$J$38,3,FALSE),0)</f>
        <v>100</v>
      </c>
      <c r="X624" s="18">
        <f>IFERROR(VLOOKUP($D624&amp;$C624,生产方式定位!$A$2:$E$38,5,FALSE)+VLOOKUP($E624&amp;$C624,生产方式定位!$F$3:$J$38,5,FALSE),"错误")</f>
        <v>100</v>
      </c>
      <c r="Y624" s="27" t="str">
        <f t="shared" si="153"/>
        <v/>
      </c>
      <c r="Z624" s="50" t="str">
        <f t="shared" si="156"/>
        <v/>
      </c>
      <c r="AA624" s="50" t="str">
        <f t="shared" si="154"/>
        <v/>
      </c>
      <c r="AB624" s="28" t="str">
        <f t="shared" si="157"/>
        <v/>
      </c>
      <c r="AC624" s="1" t="str">
        <f t="shared" si="158"/>
        <v/>
      </c>
      <c r="AD624" s="52">
        <f t="shared" si="155"/>
        <v>7</v>
      </c>
      <c r="AE624" t="str">
        <f t="shared" si="159"/>
        <v/>
      </c>
      <c r="AF624" t="str">
        <f t="shared" si="160"/>
        <v/>
      </c>
      <c r="AG624" t="str">
        <f t="shared" si="161"/>
        <v/>
      </c>
      <c r="AH624" t="str">
        <f t="shared" si="162"/>
        <v/>
      </c>
      <c r="AI624" t="str">
        <f t="shared" si="163"/>
        <v/>
      </c>
      <c r="AJ624" t="str">
        <f t="shared" si="164"/>
        <v/>
      </c>
      <c r="AK624" t="str">
        <f t="shared" si="165"/>
        <v/>
      </c>
      <c r="AL624" t="str">
        <f t="shared" si="166"/>
        <v/>
      </c>
      <c r="AN624" t="str">
        <f>IFERROR(ROUND(L624*(G624/$AW624)/VLOOKUP(F624,商品!$A$4:$D$67,4,FALSE),0),"")</f>
        <v/>
      </c>
      <c r="AO624" t="str">
        <f>IFERROR(ROUND(L624*(I624/$AW624)/VLOOKUP(H624,商品!$A$4:$D$67,4,FALSE),0),"")</f>
        <v/>
      </c>
      <c r="AP624" t="str">
        <f>IFERROR(ROUND(L624*(K624/$AW624)/VLOOKUP(J624,商品!$A$4:$D$67,4,FALSE),0),"")</f>
        <v/>
      </c>
      <c r="AQ624" t="str">
        <f>IFERROR(ROUND(S624*(N624/$AX624)/VLOOKUP(M624,职业!$A$3:$E$16,4,FALSE),0),"")</f>
        <v/>
      </c>
      <c r="AR624" t="str">
        <f>IFERROR(ROUND(S624*(P624/$AX624)/VLOOKUP(O624,职业!$A$3:$E$16,4,FALSE),0),"")</f>
        <v/>
      </c>
      <c r="AS624" t="str">
        <f>IFERROR(ROUND(S624*(R624/$AX624)/VLOOKUP(Q624,职业!$A$3:$E$16,4,FALSE),0),"")</f>
        <v/>
      </c>
      <c r="AT624" t="str">
        <f>IFERROR(ROUND(X624*(U624/$AY624)/VLOOKUP(T624,商品!$A$4:$D$67,4,FALSE),0),"")</f>
        <v/>
      </c>
      <c r="AU624" t="str">
        <f>IFERROR(ROUND(X624*(W624/$AY624)/VLOOKUP(V624,商品!$A$4:$D$67,4,FALSE),0),"")</f>
        <v/>
      </c>
      <c r="AW624">
        <f t="shared" si="167"/>
        <v>0</v>
      </c>
      <c r="AX624">
        <f t="shared" si="168"/>
        <v>0</v>
      </c>
      <c r="AY624">
        <f t="shared" si="169"/>
        <v>0</v>
      </c>
    </row>
    <row r="625" customHeight="1" spans="1:51">
      <c r="A625" s="18" t="s">
        <v>400</v>
      </c>
      <c r="C625" s="18">
        <v>8</v>
      </c>
      <c r="D625" s="1" t="s">
        <v>291</v>
      </c>
      <c r="E625" s="1" t="s">
        <v>225</v>
      </c>
      <c r="L625" s="18">
        <f>IFERROR(VLOOKUP($D625&amp;$C625,生产方式定位!$A$2:$E$38,2,FALSE)+VLOOKUP($E625&amp;$C625,生产方式定位!$F$3:$J$38,2,FALSE),0)</f>
        <v>0</v>
      </c>
      <c r="S625" s="18">
        <f>IFERROR(VLOOKUP($D625&amp;$C625,生产方式定位!$A$2:$E$38,3,FALSE)+VLOOKUP($E625&amp;$C625,生产方式定位!$F$3:$J$38,3,FALSE),0)</f>
        <v>100</v>
      </c>
      <c r="X625" s="18">
        <f>IFERROR(VLOOKUP($D625&amp;$C625,生产方式定位!$A$2:$E$38,5,FALSE)+VLOOKUP($E625&amp;$C625,生产方式定位!$F$3:$J$38,5,FALSE),"错误")</f>
        <v>100</v>
      </c>
      <c r="Y625" s="27" t="str">
        <f t="shared" si="153"/>
        <v/>
      </c>
      <c r="Z625" s="50" t="str">
        <f t="shared" si="156"/>
        <v/>
      </c>
      <c r="AA625" s="50" t="str">
        <f t="shared" si="154"/>
        <v/>
      </c>
      <c r="AB625" s="28" t="str">
        <f t="shared" si="157"/>
        <v/>
      </c>
      <c r="AC625" s="1" t="str">
        <f t="shared" si="158"/>
        <v/>
      </c>
      <c r="AD625" s="52">
        <f t="shared" si="155"/>
        <v>8</v>
      </c>
      <c r="AE625" t="str">
        <f t="shared" si="159"/>
        <v/>
      </c>
      <c r="AF625" t="str">
        <f t="shared" si="160"/>
        <v/>
      </c>
      <c r="AG625" t="str">
        <f t="shared" si="161"/>
        <v/>
      </c>
      <c r="AH625" t="str">
        <f t="shared" si="162"/>
        <v/>
      </c>
      <c r="AI625" t="str">
        <f t="shared" si="163"/>
        <v/>
      </c>
      <c r="AJ625" t="str">
        <f t="shared" si="164"/>
        <v/>
      </c>
      <c r="AK625" t="str">
        <f t="shared" si="165"/>
        <v/>
      </c>
      <c r="AL625" t="str">
        <f t="shared" si="166"/>
        <v/>
      </c>
      <c r="AN625" t="str">
        <f>IFERROR(ROUND(L625*(G625/$AW625)/VLOOKUP(F625,商品!$A$4:$D$67,4,FALSE),0),"")</f>
        <v/>
      </c>
      <c r="AO625" t="str">
        <f>IFERROR(ROUND(L625*(I625/$AW625)/VLOOKUP(H625,商品!$A$4:$D$67,4,FALSE),0),"")</f>
        <v/>
      </c>
      <c r="AP625" t="str">
        <f>IFERROR(ROUND(L625*(K625/$AW625)/VLOOKUP(J625,商品!$A$4:$D$67,4,FALSE),0),"")</f>
        <v/>
      </c>
      <c r="AQ625" t="str">
        <f>IFERROR(ROUND(S625*(N625/$AX625)/VLOOKUP(M625,职业!$A$3:$E$16,4,FALSE),0),"")</f>
        <v/>
      </c>
      <c r="AR625" t="str">
        <f>IFERROR(ROUND(S625*(P625/$AX625)/VLOOKUP(O625,职业!$A$3:$E$16,4,FALSE),0),"")</f>
        <v/>
      </c>
      <c r="AS625" t="str">
        <f>IFERROR(ROUND(S625*(R625/$AX625)/VLOOKUP(Q625,职业!$A$3:$E$16,4,FALSE),0),"")</f>
        <v/>
      </c>
      <c r="AT625" t="str">
        <f>IFERROR(ROUND(X625*(U625/$AY625)/VLOOKUP(T625,商品!$A$4:$D$67,4,FALSE),0),"")</f>
        <v/>
      </c>
      <c r="AU625" t="str">
        <f>IFERROR(ROUND(X625*(W625/$AY625)/VLOOKUP(V625,商品!$A$4:$D$67,4,FALSE),0),"")</f>
        <v/>
      </c>
      <c r="AW625">
        <f t="shared" si="167"/>
        <v>0</v>
      </c>
      <c r="AX625">
        <f t="shared" si="168"/>
        <v>0</v>
      </c>
      <c r="AY625">
        <f t="shared" si="169"/>
        <v>0</v>
      </c>
    </row>
    <row r="626" customHeight="1" spans="1:51">
      <c r="A626" s="5" t="s">
        <v>402</v>
      </c>
      <c r="C626" s="5">
        <v>1</v>
      </c>
      <c r="D626" s="1" t="s">
        <v>260</v>
      </c>
      <c r="E626" s="1" t="s">
        <v>222</v>
      </c>
      <c r="L626" s="5">
        <f>IFERROR(VLOOKUP($D626&amp;$C626,生产方式定位!$A$2:$E$38,2,FALSE)+VLOOKUP($E626&amp;$C626,生产方式定位!$F$3:$J$38,2,FALSE),0)</f>
        <v>0</v>
      </c>
      <c r="S626" s="5">
        <f>IFERROR(VLOOKUP($D626&amp;$C626,生产方式定位!$A$2:$E$38,3,FALSE)+VLOOKUP($E626&amp;$C626,生产方式定位!$F$3:$J$38,3,FALSE),0)</f>
        <v>70</v>
      </c>
      <c r="X626" s="5">
        <f>IFERROR(VLOOKUP($D626&amp;$C626,生产方式定位!$A$2:$E$38,5,FALSE)+VLOOKUP($E626&amp;$C626,生产方式定位!$F$3:$J$38,5,FALSE),"错误")</f>
        <v>350</v>
      </c>
      <c r="Y626" s="27" t="str">
        <f t="shared" si="153"/>
        <v/>
      </c>
      <c r="Z626" s="50" t="str">
        <f t="shared" si="156"/>
        <v/>
      </c>
      <c r="AA626" s="50" t="str">
        <f t="shared" si="154"/>
        <v/>
      </c>
      <c r="AB626" s="28" t="str">
        <f t="shared" si="157"/>
        <v/>
      </c>
      <c r="AC626" s="1">
        <f t="shared" si="158"/>
        <v>280</v>
      </c>
      <c r="AD626" s="51">
        <f t="shared" si="155"/>
        <v>1</v>
      </c>
      <c r="AE626" t="str">
        <f t="shared" si="159"/>
        <v/>
      </c>
      <c r="AF626" t="str">
        <f t="shared" si="160"/>
        <v/>
      </c>
      <c r="AG626" t="str">
        <f t="shared" si="161"/>
        <v/>
      </c>
      <c r="AH626" t="str">
        <f t="shared" si="162"/>
        <v/>
      </c>
      <c r="AI626" t="str">
        <f t="shared" si="163"/>
        <v/>
      </c>
      <c r="AJ626" t="str">
        <f t="shared" si="164"/>
        <v/>
      </c>
      <c r="AK626" t="str">
        <f t="shared" si="165"/>
        <v/>
      </c>
      <c r="AL626" t="str">
        <f t="shared" si="166"/>
        <v/>
      </c>
      <c r="AN626" t="str">
        <f>IFERROR(ROUND(L626*(G626/$AW626)/VLOOKUP(F626,商品!$A$4:$D$67,4,FALSE),0),"")</f>
        <v/>
      </c>
      <c r="AO626" t="str">
        <f>IFERROR(ROUND(L626*(I626/$AW626)/VLOOKUP(H626,商品!$A$4:$D$67,4,FALSE),0),"")</f>
        <v/>
      </c>
      <c r="AP626" t="str">
        <f>IFERROR(ROUND(L626*(K626/$AW626)/VLOOKUP(J626,商品!$A$4:$D$67,4,FALSE),0),"")</f>
        <v/>
      </c>
      <c r="AQ626" t="str">
        <f>IFERROR(ROUND(S626*(N626/$AX626)/VLOOKUP(M626,职业!$A$3:$E$16,4,FALSE),0),"")</f>
        <v/>
      </c>
      <c r="AR626" t="str">
        <f>IFERROR(ROUND(S626*(P626/$AX626)/VLOOKUP(O626,职业!$A$3:$E$16,4,FALSE),0),"")</f>
        <v/>
      </c>
      <c r="AS626" t="str">
        <f>IFERROR(ROUND(S626*(R626/$AX626)/VLOOKUP(Q626,职业!$A$3:$E$16,4,FALSE),0),"")</f>
        <v/>
      </c>
      <c r="AT626" t="str">
        <f>IFERROR(ROUND(X626*(U626/$AY626)/VLOOKUP(T626,商品!$A$4:$D$67,4,FALSE),0),"")</f>
        <v/>
      </c>
      <c r="AU626" t="str">
        <f>IFERROR(ROUND(X626*(W626/$AY626)/VLOOKUP(V626,商品!$A$4:$D$67,4,FALSE),0),"")</f>
        <v/>
      </c>
      <c r="AW626">
        <f t="shared" si="167"/>
        <v>0</v>
      </c>
      <c r="AX626">
        <f t="shared" si="168"/>
        <v>0</v>
      </c>
      <c r="AY626">
        <f t="shared" si="169"/>
        <v>0</v>
      </c>
    </row>
    <row r="627" customHeight="1" spans="1:51">
      <c r="A627" s="5" t="s">
        <v>402</v>
      </c>
      <c r="C627" s="5">
        <v>2</v>
      </c>
      <c r="D627" s="1" t="s">
        <v>260</v>
      </c>
      <c r="E627" s="1" t="s">
        <v>222</v>
      </c>
      <c r="L627" s="5">
        <f>IFERROR(VLOOKUP($D627&amp;$C627,生产方式定位!$A$2:$E$38,2,FALSE)+VLOOKUP($E627&amp;$C627,生产方式定位!$F$3:$J$38,2,FALSE),0)</f>
        <v>1000</v>
      </c>
      <c r="S627" s="5">
        <f>IFERROR(VLOOKUP($D627&amp;$C627,生产方式定位!$A$2:$E$38,3,FALSE)+VLOOKUP($E627&amp;$C627,生产方式定位!$F$3:$J$38,3,FALSE),0)</f>
        <v>90</v>
      </c>
      <c r="X627" s="5">
        <f>IFERROR(VLOOKUP($D627&amp;$C627,生产方式定位!$A$2:$E$38,5,FALSE)+VLOOKUP($E627&amp;$C627,生产方式定位!$F$3:$J$38,5,FALSE),"错误")</f>
        <v>1140</v>
      </c>
      <c r="Y627" s="27" t="str">
        <f t="shared" si="153"/>
        <v/>
      </c>
      <c r="Z627" s="50" t="str">
        <f t="shared" si="156"/>
        <v/>
      </c>
      <c r="AA627" s="50" t="str">
        <f t="shared" si="154"/>
        <v/>
      </c>
      <c r="AB627" s="28" t="str">
        <f t="shared" si="157"/>
        <v>14%</v>
      </c>
      <c r="AC627" s="1">
        <f t="shared" si="158"/>
        <v>50</v>
      </c>
      <c r="AD627" s="51">
        <f t="shared" si="155"/>
        <v>2</v>
      </c>
      <c r="AE627" t="str">
        <f t="shared" si="159"/>
        <v/>
      </c>
      <c r="AF627" t="str">
        <f t="shared" si="160"/>
        <v/>
      </c>
      <c r="AG627" t="str">
        <f t="shared" si="161"/>
        <v/>
      </c>
      <c r="AH627" t="str">
        <f t="shared" si="162"/>
        <v/>
      </c>
      <c r="AI627" t="str">
        <f t="shared" si="163"/>
        <v/>
      </c>
      <c r="AJ627" t="str">
        <f t="shared" si="164"/>
        <v/>
      </c>
      <c r="AK627" t="str">
        <f t="shared" si="165"/>
        <v/>
      </c>
      <c r="AL627" t="str">
        <f t="shared" si="166"/>
        <v/>
      </c>
      <c r="AN627" t="str">
        <f>IFERROR(ROUND(L627*(G627/$AW627)/VLOOKUP(F627,商品!$A$4:$D$67,4,FALSE),0),"")</f>
        <v/>
      </c>
      <c r="AO627" t="str">
        <f>IFERROR(ROUND(L627*(I627/$AW627)/VLOOKUP(H627,商品!$A$4:$D$67,4,FALSE),0),"")</f>
        <v/>
      </c>
      <c r="AP627" t="str">
        <f>IFERROR(ROUND(L627*(K627/$AW627)/VLOOKUP(J627,商品!$A$4:$D$67,4,FALSE),0),"")</f>
        <v/>
      </c>
      <c r="AQ627" t="str">
        <f>IFERROR(ROUND(S627*(N627/$AX627)/VLOOKUP(M627,职业!$A$3:$E$16,4,FALSE),0),"")</f>
        <v/>
      </c>
      <c r="AR627" t="str">
        <f>IFERROR(ROUND(S627*(P627/$AX627)/VLOOKUP(O627,职业!$A$3:$E$16,4,FALSE),0),"")</f>
        <v/>
      </c>
      <c r="AS627" t="str">
        <f>IFERROR(ROUND(S627*(R627/$AX627)/VLOOKUP(Q627,职业!$A$3:$E$16,4,FALSE),0),"")</f>
        <v/>
      </c>
      <c r="AT627" t="str">
        <f>IFERROR(ROUND(X627*(U627/$AY627)/VLOOKUP(T627,商品!$A$4:$D$67,4,FALSE),0),"")</f>
        <v/>
      </c>
      <c r="AU627" t="str">
        <f>IFERROR(ROUND(X627*(W627/$AY627)/VLOOKUP(V627,商品!$A$4:$D$67,4,FALSE),0),"")</f>
        <v/>
      </c>
      <c r="AW627">
        <f t="shared" si="167"/>
        <v>0</v>
      </c>
      <c r="AX627">
        <f t="shared" si="168"/>
        <v>0</v>
      </c>
      <c r="AY627">
        <f t="shared" si="169"/>
        <v>0</v>
      </c>
    </row>
    <row r="628" customHeight="1" spans="1:51">
      <c r="A628" s="5" t="s">
        <v>402</v>
      </c>
      <c r="C628" s="5">
        <v>3</v>
      </c>
      <c r="D628" s="1" t="s">
        <v>260</v>
      </c>
      <c r="E628" s="1" t="s">
        <v>222</v>
      </c>
      <c r="L628" s="5">
        <f>IFERROR(VLOOKUP($D628&amp;$C628,生产方式定位!$A$2:$E$38,2,FALSE)+VLOOKUP($E628&amp;$C628,生产方式定位!$F$3:$J$38,2,FALSE),0)</f>
        <v>1625</v>
      </c>
      <c r="S628" s="5">
        <f>IFERROR(VLOOKUP($D628&amp;$C628,生产方式定位!$A$2:$E$38,3,FALSE)+VLOOKUP($E628&amp;$C628,生产方式定位!$F$3:$J$38,3,FALSE),0)</f>
        <v>80</v>
      </c>
      <c r="X628" s="5">
        <f>IFERROR(VLOOKUP($D628&amp;$C628,生产方式定位!$A$2:$E$38,5,FALSE)+VLOOKUP($E628&amp;$C628,生产方式定位!$F$3:$J$38,5,FALSE),"错误")</f>
        <v>1768</v>
      </c>
      <c r="Y628" s="27" t="str">
        <f t="shared" si="153"/>
        <v/>
      </c>
      <c r="Z628" s="50" t="str">
        <f t="shared" si="156"/>
        <v/>
      </c>
      <c r="AA628" s="50" t="str">
        <f t="shared" si="154"/>
        <v/>
      </c>
      <c r="AB628" s="28" t="str">
        <f t="shared" si="157"/>
        <v>9%</v>
      </c>
      <c r="AC628" s="1">
        <f t="shared" si="158"/>
        <v>63</v>
      </c>
      <c r="AD628" s="51">
        <f t="shared" si="155"/>
        <v>3</v>
      </c>
      <c r="AE628" t="str">
        <f t="shared" si="159"/>
        <v/>
      </c>
      <c r="AF628" t="str">
        <f t="shared" si="160"/>
        <v/>
      </c>
      <c r="AG628" t="str">
        <f t="shared" si="161"/>
        <v/>
      </c>
      <c r="AH628" t="str">
        <f t="shared" si="162"/>
        <v/>
      </c>
      <c r="AI628" t="str">
        <f t="shared" si="163"/>
        <v/>
      </c>
      <c r="AJ628" t="str">
        <f t="shared" si="164"/>
        <v/>
      </c>
      <c r="AK628" t="str">
        <f t="shared" si="165"/>
        <v/>
      </c>
      <c r="AL628" t="str">
        <f t="shared" si="166"/>
        <v/>
      </c>
      <c r="AN628" t="str">
        <f>IFERROR(ROUND(L628*(G628/$AW628)/VLOOKUP(F628,商品!$A$4:$D$67,4,FALSE),0),"")</f>
        <v/>
      </c>
      <c r="AO628" t="str">
        <f>IFERROR(ROUND(L628*(I628/$AW628)/VLOOKUP(H628,商品!$A$4:$D$67,4,FALSE),0),"")</f>
        <v/>
      </c>
      <c r="AP628" t="str">
        <f>IFERROR(ROUND(L628*(K628/$AW628)/VLOOKUP(J628,商品!$A$4:$D$67,4,FALSE),0),"")</f>
        <v/>
      </c>
      <c r="AQ628" t="str">
        <f>IFERROR(ROUND(S628*(N628/$AX628)/VLOOKUP(M628,职业!$A$3:$E$16,4,FALSE),0),"")</f>
        <v/>
      </c>
      <c r="AR628" t="str">
        <f>IFERROR(ROUND(S628*(P628/$AX628)/VLOOKUP(O628,职业!$A$3:$E$16,4,FALSE),0),"")</f>
        <v/>
      </c>
      <c r="AS628" t="str">
        <f>IFERROR(ROUND(S628*(R628/$AX628)/VLOOKUP(Q628,职业!$A$3:$E$16,4,FALSE),0),"")</f>
        <v/>
      </c>
      <c r="AT628" t="str">
        <f>IFERROR(ROUND(X628*(U628/$AY628)/VLOOKUP(T628,商品!$A$4:$D$67,4,FALSE),0),"")</f>
        <v/>
      </c>
      <c r="AU628" t="str">
        <f>IFERROR(ROUND(X628*(W628/$AY628)/VLOOKUP(V628,商品!$A$4:$D$67,4,FALSE),0),"")</f>
        <v/>
      </c>
      <c r="AW628">
        <f t="shared" si="167"/>
        <v>0</v>
      </c>
      <c r="AX628">
        <f t="shared" si="168"/>
        <v>0</v>
      </c>
      <c r="AY628">
        <f t="shared" si="169"/>
        <v>0</v>
      </c>
    </row>
    <row r="629" customHeight="1" spans="1:51">
      <c r="A629" s="5" t="s">
        <v>402</v>
      </c>
      <c r="C629" s="5">
        <v>4</v>
      </c>
      <c r="D629" s="1" t="s">
        <v>260</v>
      </c>
      <c r="E629" s="1" t="s">
        <v>222</v>
      </c>
      <c r="L629" s="5">
        <f>IFERROR(VLOOKUP($D629&amp;$C629,生产方式定位!$A$2:$E$38,2,FALSE)+VLOOKUP($E629&amp;$C629,生产方式定位!$F$3:$J$38,2,FALSE),0)</f>
        <v>2250</v>
      </c>
      <c r="S629" s="5">
        <f>IFERROR(VLOOKUP($D629&amp;$C629,生产方式定位!$A$2:$E$38,3,FALSE)+VLOOKUP($E629&amp;$C629,生产方式定位!$F$3:$J$38,3,FALSE),0)</f>
        <v>70</v>
      </c>
      <c r="X629" s="5">
        <f>IFERROR(VLOOKUP($D629&amp;$C629,生产方式定位!$A$2:$E$38,5,FALSE)+VLOOKUP($E629&amp;$C629,生产方式定位!$F$3:$J$38,5,FALSE),"错误")</f>
        <v>2395</v>
      </c>
      <c r="Y629" s="27" t="str">
        <f t="shared" si="153"/>
        <v/>
      </c>
      <c r="Z629" s="50" t="str">
        <f t="shared" si="156"/>
        <v/>
      </c>
      <c r="AA629" s="50" t="str">
        <f t="shared" si="154"/>
        <v/>
      </c>
      <c r="AB629" s="28" t="str">
        <f t="shared" si="157"/>
        <v>6%</v>
      </c>
      <c r="AC629" s="1">
        <f t="shared" si="158"/>
        <v>75</v>
      </c>
      <c r="AD629" s="51">
        <f t="shared" si="155"/>
        <v>4</v>
      </c>
      <c r="AE629" t="str">
        <f t="shared" si="159"/>
        <v/>
      </c>
      <c r="AF629" t="str">
        <f t="shared" si="160"/>
        <v/>
      </c>
      <c r="AG629" t="str">
        <f t="shared" si="161"/>
        <v/>
      </c>
      <c r="AH629" t="str">
        <f t="shared" si="162"/>
        <v/>
      </c>
      <c r="AI629" t="str">
        <f t="shared" si="163"/>
        <v/>
      </c>
      <c r="AJ629" t="str">
        <f t="shared" si="164"/>
        <v/>
      </c>
      <c r="AK629" t="str">
        <f t="shared" si="165"/>
        <v/>
      </c>
      <c r="AL629" t="str">
        <f t="shared" si="166"/>
        <v/>
      </c>
      <c r="AN629" t="str">
        <f>IFERROR(ROUND(L629*(G629/$AW629)/VLOOKUP(F629,商品!$A$4:$D$67,4,FALSE),0),"")</f>
        <v/>
      </c>
      <c r="AO629" t="str">
        <f>IFERROR(ROUND(L629*(I629/$AW629)/VLOOKUP(H629,商品!$A$4:$D$67,4,FALSE),0),"")</f>
        <v/>
      </c>
      <c r="AP629" t="str">
        <f>IFERROR(ROUND(L629*(K629/$AW629)/VLOOKUP(J629,商品!$A$4:$D$67,4,FALSE),0),"")</f>
        <v/>
      </c>
      <c r="AQ629" t="str">
        <f>IFERROR(ROUND(S629*(N629/$AX629)/VLOOKUP(M629,职业!$A$3:$E$16,4,FALSE),0),"")</f>
        <v/>
      </c>
      <c r="AR629" t="str">
        <f>IFERROR(ROUND(S629*(P629/$AX629)/VLOOKUP(O629,职业!$A$3:$E$16,4,FALSE),0),"")</f>
        <v/>
      </c>
      <c r="AS629" t="str">
        <f>IFERROR(ROUND(S629*(R629/$AX629)/VLOOKUP(Q629,职业!$A$3:$E$16,4,FALSE),0),"")</f>
        <v/>
      </c>
      <c r="AT629" t="str">
        <f>IFERROR(ROUND(X629*(U629/$AY629)/VLOOKUP(T629,商品!$A$4:$D$67,4,FALSE),0),"")</f>
        <v/>
      </c>
      <c r="AU629" t="str">
        <f>IFERROR(ROUND(X629*(W629/$AY629)/VLOOKUP(V629,商品!$A$4:$D$67,4,FALSE),0),"")</f>
        <v/>
      </c>
      <c r="AW629">
        <f t="shared" si="167"/>
        <v>0</v>
      </c>
      <c r="AX629">
        <f t="shared" si="168"/>
        <v>0</v>
      </c>
      <c r="AY629">
        <f t="shared" si="169"/>
        <v>0</v>
      </c>
    </row>
    <row r="630" customHeight="1" spans="1:51">
      <c r="A630" s="5" t="s">
        <v>402</v>
      </c>
      <c r="C630" s="5">
        <v>5</v>
      </c>
      <c r="D630" s="1" t="s">
        <v>260</v>
      </c>
      <c r="E630" s="1" t="s">
        <v>222</v>
      </c>
      <c r="L630" s="5">
        <f>IFERROR(VLOOKUP($D630&amp;$C630,生产方式定位!$A$2:$E$38,2,FALSE)+VLOOKUP($E630&amp;$C630,生产方式定位!$F$3:$J$38,2,FALSE),0)</f>
        <v>2875</v>
      </c>
      <c r="S630" s="5">
        <f>IFERROR(VLOOKUP($D630&amp;$C630,生产方式定位!$A$2:$E$38,3,FALSE)+VLOOKUP($E630&amp;$C630,生产方式定位!$F$3:$J$38,3,FALSE),0)</f>
        <v>60</v>
      </c>
      <c r="X630" s="5">
        <f>IFERROR(VLOOKUP($D630&amp;$C630,生产方式定位!$A$2:$E$38,5,FALSE)+VLOOKUP($E630&amp;$C630,生产方式定位!$F$3:$J$38,5,FALSE),"错误")</f>
        <v>3023</v>
      </c>
      <c r="Y630" s="27" t="str">
        <f t="shared" si="153"/>
        <v/>
      </c>
      <c r="Z630" s="50" t="str">
        <f t="shared" si="156"/>
        <v/>
      </c>
      <c r="AA630" s="50" t="str">
        <f t="shared" si="154"/>
        <v/>
      </c>
      <c r="AB630" s="28" t="str">
        <f t="shared" si="157"/>
        <v>5%</v>
      </c>
      <c r="AC630" s="1">
        <f t="shared" si="158"/>
        <v>88</v>
      </c>
      <c r="AD630" s="51">
        <f t="shared" si="155"/>
        <v>5</v>
      </c>
      <c r="AE630" t="str">
        <f t="shared" si="159"/>
        <v/>
      </c>
      <c r="AF630" t="str">
        <f t="shared" si="160"/>
        <v/>
      </c>
      <c r="AG630" t="str">
        <f t="shared" si="161"/>
        <v/>
      </c>
      <c r="AH630" t="str">
        <f t="shared" si="162"/>
        <v/>
      </c>
      <c r="AI630" t="str">
        <f t="shared" si="163"/>
        <v/>
      </c>
      <c r="AJ630" t="str">
        <f t="shared" si="164"/>
        <v/>
      </c>
      <c r="AK630" t="str">
        <f t="shared" si="165"/>
        <v/>
      </c>
      <c r="AL630" t="str">
        <f t="shared" si="166"/>
        <v/>
      </c>
      <c r="AN630" t="str">
        <f>IFERROR(ROUND(L630*(G630/$AW630)/VLOOKUP(F630,商品!$A$4:$D$67,4,FALSE),0),"")</f>
        <v/>
      </c>
      <c r="AO630" t="str">
        <f>IFERROR(ROUND(L630*(I630/$AW630)/VLOOKUP(H630,商品!$A$4:$D$67,4,FALSE),0),"")</f>
        <v/>
      </c>
      <c r="AP630" t="str">
        <f>IFERROR(ROUND(L630*(K630/$AW630)/VLOOKUP(J630,商品!$A$4:$D$67,4,FALSE),0),"")</f>
        <v/>
      </c>
      <c r="AQ630" t="str">
        <f>IFERROR(ROUND(S630*(N630/$AX630)/VLOOKUP(M630,职业!$A$3:$E$16,4,FALSE),0),"")</f>
        <v/>
      </c>
      <c r="AR630" t="str">
        <f>IFERROR(ROUND(S630*(P630/$AX630)/VLOOKUP(O630,职业!$A$3:$E$16,4,FALSE),0),"")</f>
        <v/>
      </c>
      <c r="AS630" t="str">
        <f>IFERROR(ROUND(S630*(R630/$AX630)/VLOOKUP(Q630,职业!$A$3:$E$16,4,FALSE),0),"")</f>
        <v/>
      </c>
      <c r="AT630" t="str">
        <f>IFERROR(ROUND(X630*(U630/$AY630)/VLOOKUP(T630,商品!$A$4:$D$67,4,FALSE),0),"")</f>
        <v/>
      </c>
      <c r="AU630" t="str">
        <f>IFERROR(ROUND(X630*(W630/$AY630)/VLOOKUP(V630,商品!$A$4:$D$67,4,FALSE),0),"")</f>
        <v/>
      </c>
      <c r="AW630">
        <f t="shared" si="167"/>
        <v>0</v>
      </c>
      <c r="AX630">
        <f t="shared" si="168"/>
        <v>0</v>
      </c>
      <c r="AY630">
        <f t="shared" si="169"/>
        <v>0</v>
      </c>
    </row>
    <row r="631" customHeight="1" spans="1:51">
      <c r="A631" s="18" t="s">
        <v>403</v>
      </c>
      <c r="C631" s="18">
        <v>1</v>
      </c>
      <c r="D631" s="1" t="s">
        <v>260</v>
      </c>
      <c r="E631" s="1" t="s">
        <v>223</v>
      </c>
      <c r="L631" s="18">
        <f>IFERROR(VLOOKUP($D631&amp;$C631,生产方式定位!$A$2:$E$38,2,FALSE)+VLOOKUP($E631&amp;$C631,生产方式定位!$F$3:$J$38,2,FALSE),0)</f>
        <v>0</v>
      </c>
      <c r="S631" s="18">
        <f>IFERROR(VLOOKUP($D631&amp;$C631,生产方式定位!$A$2:$E$38,3,FALSE)+VLOOKUP($E631&amp;$C631,生产方式定位!$F$3:$J$38,3,FALSE),0)</f>
        <v>70</v>
      </c>
      <c r="X631" s="18">
        <f>IFERROR(VLOOKUP($D631&amp;$C631,生产方式定位!$A$2:$E$38,5,FALSE)+VLOOKUP($E631&amp;$C631,生产方式定位!$F$3:$J$38,5,FALSE),"错误")</f>
        <v>350</v>
      </c>
      <c r="Y631" s="27" t="str">
        <f t="shared" si="153"/>
        <v/>
      </c>
      <c r="Z631" s="50" t="str">
        <f t="shared" si="156"/>
        <v/>
      </c>
      <c r="AA631" s="50" t="str">
        <f t="shared" si="154"/>
        <v/>
      </c>
      <c r="AB631" s="28" t="str">
        <f t="shared" si="157"/>
        <v/>
      </c>
      <c r="AC631" s="1">
        <f t="shared" si="158"/>
        <v>280</v>
      </c>
      <c r="AD631" s="52">
        <f t="shared" si="155"/>
        <v>1</v>
      </c>
      <c r="AE631" t="str">
        <f t="shared" si="159"/>
        <v/>
      </c>
      <c r="AF631" t="str">
        <f t="shared" si="160"/>
        <v/>
      </c>
      <c r="AG631" t="str">
        <f t="shared" si="161"/>
        <v/>
      </c>
      <c r="AH631" t="str">
        <f t="shared" si="162"/>
        <v/>
      </c>
      <c r="AI631" t="str">
        <f t="shared" si="163"/>
        <v/>
      </c>
      <c r="AJ631" t="str">
        <f t="shared" si="164"/>
        <v/>
      </c>
      <c r="AK631" t="str">
        <f t="shared" si="165"/>
        <v/>
      </c>
      <c r="AL631" t="str">
        <f t="shared" si="166"/>
        <v/>
      </c>
      <c r="AN631" t="str">
        <f>IFERROR(ROUND(L631*(G631/$AW631)/VLOOKUP(F631,商品!$A$4:$D$67,4,FALSE),0),"")</f>
        <v/>
      </c>
      <c r="AO631" t="str">
        <f>IFERROR(ROUND(L631*(I631/$AW631)/VLOOKUP(H631,商品!$A$4:$D$67,4,FALSE),0),"")</f>
        <v/>
      </c>
      <c r="AP631" t="str">
        <f>IFERROR(ROUND(L631*(K631/$AW631)/VLOOKUP(J631,商品!$A$4:$D$67,4,FALSE),0),"")</f>
        <v/>
      </c>
      <c r="AQ631" t="str">
        <f>IFERROR(ROUND(S631*(N631/$AX631)/VLOOKUP(M631,职业!$A$3:$E$16,4,FALSE),0),"")</f>
        <v/>
      </c>
      <c r="AR631" t="str">
        <f>IFERROR(ROUND(S631*(P631/$AX631)/VLOOKUP(O631,职业!$A$3:$E$16,4,FALSE),0),"")</f>
        <v/>
      </c>
      <c r="AS631" t="str">
        <f>IFERROR(ROUND(S631*(R631/$AX631)/VLOOKUP(Q631,职业!$A$3:$E$16,4,FALSE),0),"")</f>
        <v/>
      </c>
      <c r="AT631" t="str">
        <f>IFERROR(ROUND(X631*(U631/$AY631)/VLOOKUP(T631,商品!$A$4:$D$67,4,FALSE),0),"")</f>
        <v/>
      </c>
      <c r="AU631" t="str">
        <f>IFERROR(ROUND(X631*(W631/$AY631)/VLOOKUP(V631,商品!$A$4:$D$67,4,FALSE),0),"")</f>
        <v/>
      </c>
      <c r="AW631">
        <f t="shared" si="167"/>
        <v>0</v>
      </c>
      <c r="AX631">
        <f t="shared" si="168"/>
        <v>0</v>
      </c>
      <c r="AY631">
        <f t="shared" si="169"/>
        <v>0</v>
      </c>
    </row>
    <row r="632" customHeight="1" spans="1:51">
      <c r="A632" s="18" t="s">
        <v>403</v>
      </c>
      <c r="C632" s="18">
        <v>2</v>
      </c>
      <c r="D632" s="1" t="s">
        <v>260</v>
      </c>
      <c r="E632" s="1" t="s">
        <v>223</v>
      </c>
      <c r="L632" s="18">
        <f>IFERROR(VLOOKUP($D632&amp;$C632,生产方式定位!$A$2:$E$38,2,FALSE)+VLOOKUP($E632&amp;$C632,生产方式定位!$F$3:$J$38,2,FALSE),0)</f>
        <v>900</v>
      </c>
      <c r="S632" s="18">
        <f>IFERROR(VLOOKUP($D632&amp;$C632,生产方式定位!$A$2:$E$38,3,FALSE)+VLOOKUP($E632&amp;$C632,生产方式定位!$F$3:$J$38,3,FALSE),0)</f>
        <v>100</v>
      </c>
      <c r="X632" s="18">
        <f>IFERROR(VLOOKUP($D632&amp;$C632,生产方式定位!$A$2:$E$38,5,FALSE)+VLOOKUP($E632&amp;$C632,生产方式定位!$F$3:$J$38,5,FALSE),"错误")</f>
        <v>1041</v>
      </c>
      <c r="Y632" s="27" t="str">
        <f t="shared" si="153"/>
        <v/>
      </c>
      <c r="Z632" s="50" t="str">
        <f t="shared" si="156"/>
        <v/>
      </c>
      <c r="AA632" s="50" t="str">
        <f t="shared" si="154"/>
        <v/>
      </c>
      <c r="AB632" s="28" t="str">
        <f t="shared" si="157"/>
        <v>16%</v>
      </c>
      <c r="AC632" s="1">
        <f t="shared" si="158"/>
        <v>41</v>
      </c>
      <c r="AD632" s="52">
        <f t="shared" si="155"/>
        <v>2</v>
      </c>
      <c r="AE632" t="str">
        <f t="shared" si="159"/>
        <v/>
      </c>
      <c r="AF632" t="str">
        <f t="shared" si="160"/>
        <v/>
      </c>
      <c r="AG632" t="str">
        <f t="shared" si="161"/>
        <v/>
      </c>
      <c r="AH632" t="str">
        <f t="shared" si="162"/>
        <v/>
      </c>
      <c r="AI632" t="str">
        <f t="shared" si="163"/>
        <v/>
      </c>
      <c r="AJ632" t="str">
        <f t="shared" si="164"/>
        <v/>
      </c>
      <c r="AK632" t="str">
        <f t="shared" si="165"/>
        <v/>
      </c>
      <c r="AL632" t="str">
        <f t="shared" si="166"/>
        <v/>
      </c>
      <c r="AN632" t="str">
        <f>IFERROR(ROUND(L632*(G632/$AW632)/VLOOKUP(F632,商品!$A$4:$D$67,4,FALSE),0),"")</f>
        <v/>
      </c>
      <c r="AO632" t="str">
        <f>IFERROR(ROUND(L632*(I632/$AW632)/VLOOKUP(H632,商品!$A$4:$D$67,4,FALSE),0),"")</f>
        <v/>
      </c>
      <c r="AP632" t="str">
        <f>IFERROR(ROUND(L632*(K632/$AW632)/VLOOKUP(J632,商品!$A$4:$D$67,4,FALSE),0),"")</f>
        <v/>
      </c>
      <c r="AQ632" t="str">
        <f>IFERROR(ROUND(S632*(N632/$AX632)/VLOOKUP(M632,职业!$A$3:$E$16,4,FALSE),0),"")</f>
        <v/>
      </c>
      <c r="AR632" t="str">
        <f>IFERROR(ROUND(S632*(P632/$AX632)/VLOOKUP(O632,职业!$A$3:$E$16,4,FALSE),0),"")</f>
        <v/>
      </c>
      <c r="AS632" t="str">
        <f>IFERROR(ROUND(S632*(R632/$AX632)/VLOOKUP(Q632,职业!$A$3:$E$16,4,FALSE),0),"")</f>
        <v/>
      </c>
      <c r="AT632" t="str">
        <f>IFERROR(ROUND(X632*(U632/$AY632)/VLOOKUP(T632,商品!$A$4:$D$67,4,FALSE),0),"")</f>
        <v/>
      </c>
      <c r="AU632" t="str">
        <f>IFERROR(ROUND(X632*(W632/$AY632)/VLOOKUP(V632,商品!$A$4:$D$67,4,FALSE),0),"")</f>
        <v/>
      </c>
      <c r="AW632">
        <f t="shared" si="167"/>
        <v>0</v>
      </c>
      <c r="AX632">
        <f t="shared" si="168"/>
        <v>0</v>
      </c>
      <c r="AY632">
        <f t="shared" si="169"/>
        <v>0</v>
      </c>
    </row>
    <row r="633" customHeight="1" spans="1:51">
      <c r="A633" s="18" t="s">
        <v>403</v>
      </c>
      <c r="C633" s="18">
        <v>3</v>
      </c>
      <c r="D633" s="1" t="s">
        <v>260</v>
      </c>
      <c r="E633" s="1" t="s">
        <v>223</v>
      </c>
      <c r="L633" s="18">
        <f>IFERROR(VLOOKUP($D633&amp;$C633,生产方式定位!$A$2:$E$38,2,FALSE)+VLOOKUP($E633&amp;$C633,生产方式定位!$F$3:$J$38,2,FALSE),0)</f>
        <v>1500</v>
      </c>
      <c r="S633" s="18">
        <f>IFERROR(VLOOKUP($D633&amp;$C633,生产方式定位!$A$2:$E$38,3,FALSE)+VLOOKUP($E633&amp;$C633,生产方式定位!$F$3:$J$38,3,FALSE),0)</f>
        <v>95</v>
      </c>
      <c r="X633" s="18">
        <f>IFERROR(VLOOKUP($D633&amp;$C633,生产方式定位!$A$2:$E$38,5,FALSE)+VLOOKUP($E633&amp;$C633,生产方式定位!$F$3:$J$38,5,FALSE),"错误")</f>
        <v>1647</v>
      </c>
      <c r="Y633" s="27" t="str">
        <f t="shared" si="153"/>
        <v/>
      </c>
      <c r="Z633" s="50" t="str">
        <f t="shared" si="156"/>
        <v/>
      </c>
      <c r="AA633" s="50" t="str">
        <f t="shared" si="154"/>
        <v/>
      </c>
      <c r="AB633" s="28" t="str">
        <f t="shared" si="157"/>
        <v>10%</v>
      </c>
      <c r="AC633" s="1">
        <f t="shared" si="158"/>
        <v>52</v>
      </c>
      <c r="AD633" s="52">
        <f t="shared" si="155"/>
        <v>3</v>
      </c>
      <c r="AE633" t="str">
        <f t="shared" si="159"/>
        <v/>
      </c>
      <c r="AF633" t="str">
        <f t="shared" si="160"/>
        <v/>
      </c>
      <c r="AG633" t="str">
        <f t="shared" si="161"/>
        <v/>
      </c>
      <c r="AH633" t="str">
        <f t="shared" si="162"/>
        <v/>
      </c>
      <c r="AI633" t="str">
        <f t="shared" si="163"/>
        <v/>
      </c>
      <c r="AJ633" t="str">
        <f t="shared" si="164"/>
        <v/>
      </c>
      <c r="AK633" t="str">
        <f t="shared" si="165"/>
        <v/>
      </c>
      <c r="AL633" t="str">
        <f t="shared" si="166"/>
        <v/>
      </c>
      <c r="AN633" t="str">
        <f>IFERROR(ROUND(L633*(G633/$AW633)/VLOOKUP(F633,商品!$A$4:$D$67,4,FALSE),0),"")</f>
        <v/>
      </c>
      <c r="AO633" t="str">
        <f>IFERROR(ROUND(L633*(I633/$AW633)/VLOOKUP(H633,商品!$A$4:$D$67,4,FALSE),0),"")</f>
        <v/>
      </c>
      <c r="AP633" t="str">
        <f>IFERROR(ROUND(L633*(K633/$AW633)/VLOOKUP(J633,商品!$A$4:$D$67,4,FALSE),0),"")</f>
        <v/>
      </c>
      <c r="AQ633" t="str">
        <f>IFERROR(ROUND(S633*(N633/$AX633)/VLOOKUP(M633,职业!$A$3:$E$16,4,FALSE),0),"")</f>
        <v/>
      </c>
      <c r="AR633" t="str">
        <f>IFERROR(ROUND(S633*(P633/$AX633)/VLOOKUP(O633,职业!$A$3:$E$16,4,FALSE),0),"")</f>
        <v/>
      </c>
      <c r="AS633" t="str">
        <f>IFERROR(ROUND(S633*(R633/$AX633)/VLOOKUP(Q633,职业!$A$3:$E$16,4,FALSE),0),"")</f>
        <v/>
      </c>
      <c r="AT633" t="str">
        <f>IFERROR(ROUND(X633*(U633/$AY633)/VLOOKUP(T633,商品!$A$4:$D$67,4,FALSE),0),"")</f>
        <v/>
      </c>
      <c r="AU633" t="str">
        <f>IFERROR(ROUND(X633*(W633/$AY633)/VLOOKUP(V633,商品!$A$4:$D$67,4,FALSE),0),"")</f>
        <v/>
      </c>
      <c r="AW633">
        <f t="shared" si="167"/>
        <v>0</v>
      </c>
      <c r="AX633">
        <f t="shared" si="168"/>
        <v>0</v>
      </c>
      <c r="AY633">
        <f t="shared" si="169"/>
        <v>0</v>
      </c>
    </row>
    <row r="634" customHeight="1" spans="1:51">
      <c r="A634" s="18" t="s">
        <v>403</v>
      </c>
      <c r="C634" s="18">
        <v>4</v>
      </c>
      <c r="D634" s="1" t="s">
        <v>260</v>
      </c>
      <c r="E634" s="1" t="s">
        <v>223</v>
      </c>
      <c r="L634" s="18">
        <f>IFERROR(VLOOKUP($D634&amp;$C634,生产方式定位!$A$2:$E$38,2,FALSE)+VLOOKUP($E634&amp;$C634,生产方式定位!$F$3:$J$38,2,FALSE),0)</f>
        <v>2100</v>
      </c>
      <c r="S634" s="18">
        <f>IFERROR(VLOOKUP($D634&amp;$C634,生产方式定位!$A$2:$E$38,3,FALSE)+VLOOKUP($E634&amp;$C634,生产方式定位!$F$3:$J$38,3,FALSE),0)</f>
        <v>90</v>
      </c>
      <c r="X634" s="18">
        <f>IFERROR(VLOOKUP($D634&amp;$C634,生产方式定位!$A$2:$E$38,5,FALSE)+VLOOKUP($E634&amp;$C634,生产方式定位!$F$3:$J$38,5,FALSE),"错误")</f>
        <v>2252</v>
      </c>
      <c r="Y634" s="27" t="str">
        <f t="shared" si="153"/>
        <v/>
      </c>
      <c r="Z634" s="50" t="str">
        <f t="shared" si="156"/>
        <v/>
      </c>
      <c r="AA634" s="50" t="str">
        <f t="shared" si="154"/>
        <v/>
      </c>
      <c r="AB634" s="28" t="str">
        <f t="shared" si="157"/>
        <v>7%</v>
      </c>
      <c r="AC634" s="1">
        <f t="shared" si="158"/>
        <v>62</v>
      </c>
      <c r="AD634" s="52">
        <f t="shared" si="155"/>
        <v>4</v>
      </c>
      <c r="AE634" t="str">
        <f t="shared" si="159"/>
        <v/>
      </c>
      <c r="AF634" t="str">
        <f t="shared" si="160"/>
        <v/>
      </c>
      <c r="AG634" t="str">
        <f t="shared" si="161"/>
        <v/>
      </c>
      <c r="AH634" t="str">
        <f t="shared" si="162"/>
        <v/>
      </c>
      <c r="AI634" t="str">
        <f t="shared" si="163"/>
        <v/>
      </c>
      <c r="AJ634" t="str">
        <f t="shared" si="164"/>
        <v/>
      </c>
      <c r="AK634" t="str">
        <f t="shared" si="165"/>
        <v/>
      </c>
      <c r="AL634" t="str">
        <f t="shared" si="166"/>
        <v/>
      </c>
      <c r="AN634" t="str">
        <f>IFERROR(ROUND(L634*(G634/$AW634)/VLOOKUP(F634,商品!$A$4:$D$67,4,FALSE),0),"")</f>
        <v/>
      </c>
      <c r="AO634" t="str">
        <f>IFERROR(ROUND(L634*(I634/$AW634)/VLOOKUP(H634,商品!$A$4:$D$67,4,FALSE),0),"")</f>
        <v/>
      </c>
      <c r="AP634" t="str">
        <f>IFERROR(ROUND(L634*(K634/$AW634)/VLOOKUP(J634,商品!$A$4:$D$67,4,FALSE),0),"")</f>
        <v/>
      </c>
      <c r="AQ634" t="str">
        <f>IFERROR(ROUND(S634*(N634/$AX634)/VLOOKUP(M634,职业!$A$3:$E$16,4,FALSE),0),"")</f>
        <v/>
      </c>
      <c r="AR634" t="str">
        <f>IFERROR(ROUND(S634*(P634/$AX634)/VLOOKUP(O634,职业!$A$3:$E$16,4,FALSE),0),"")</f>
        <v/>
      </c>
      <c r="AS634" t="str">
        <f>IFERROR(ROUND(S634*(R634/$AX634)/VLOOKUP(Q634,职业!$A$3:$E$16,4,FALSE),0),"")</f>
        <v/>
      </c>
      <c r="AT634" t="str">
        <f>IFERROR(ROUND(X634*(U634/$AY634)/VLOOKUP(T634,商品!$A$4:$D$67,4,FALSE),0),"")</f>
        <v/>
      </c>
      <c r="AU634" t="str">
        <f>IFERROR(ROUND(X634*(W634/$AY634)/VLOOKUP(V634,商品!$A$4:$D$67,4,FALSE),0),"")</f>
        <v/>
      </c>
      <c r="AW634">
        <f t="shared" si="167"/>
        <v>0</v>
      </c>
      <c r="AX634">
        <f t="shared" si="168"/>
        <v>0</v>
      </c>
      <c r="AY634">
        <f t="shared" si="169"/>
        <v>0</v>
      </c>
    </row>
    <row r="635" customHeight="1" spans="1:51">
      <c r="A635" s="18" t="s">
        <v>403</v>
      </c>
      <c r="C635" s="18">
        <v>5</v>
      </c>
      <c r="D635" s="1" t="s">
        <v>260</v>
      </c>
      <c r="E635" s="1" t="s">
        <v>223</v>
      </c>
      <c r="L635" s="18">
        <f>IFERROR(VLOOKUP($D635&amp;$C635,生产方式定位!$A$2:$E$38,2,FALSE)+VLOOKUP($E635&amp;$C635,生产方式定位!$F$3:$J$38,2,FALSE),0)</f>
        <v>2700</v>
      </c>
      <c r="S635" s="18">
        <f>IFERROR(VLOOKUP($D635&amp;$C635,生产方式定位!$A$2:$E$38,3,FALSE)+VLOOKUP($E635&amp;$C635,生产方式定位!$F$3:$J$38,3,FALSE),0)</f>
        <v>85</v>
      </c>
      <c r="X635" s="18">
        <f>IFERROR(VLOOKUP($D635&amp;$C635,生产方式定位!$A$2:$E$38,5,FALSE)+VLOOKUP($E635&amp;$C635,生产方式定位!$F$3:$J$38,5,FALSE),"错误")</f>
        <v>2858</v>
      </c>
      <c r="Y635" s="27" t="str">
        <f t="shared" si="153"/>
        <v/>
      </c>
      <c r="Z635" s="50" t="str">
        <f t="shared" si="156"/>
        <v/>
      </c>
      <c r="AA635" s="50" t="str">
        <f t="shared" si="154"/>
        <v/>
      </c>
      <c r="AB635" s="28" t="str">
        <f t="shared" si="157"/>
        <v>6%</v>
      </c>
      <c r="AC635" s="1">
        <f t="shared" si="158"/>
        <v>73</v>
      </c>
      <c r="AD635" s="52">
        <f t="shared" si="155"/>
        <v>5</v>
      </c>
      <c r="AE635" t="str">
        <f t="shared" si="159"/>
        <v/>
      </c>
      <c r="AF635" t="str">
        <f t="shared" si="160"/>
        <v/>
      </c>
      <c r="AG635" t="str">
        <f t="shared" si="161"/>
        <v/>
      </c>
      <c r="AH635" t="str">
        <f t="shared" si="162"/>
        <v/>
      </c>
      <c r="AI635" t="str">
        <f t="shared" si="163"/>
        <v/>
      </c>
      <c r="AJ635" t="str">
        <f t="shared" si="164"/>
        <v/>
      </c>
      <c r="AK635" t="str">
        <f t="shared" si="165"/>
        <v/>
      </c>
      <c r="AL635" t="str">
        <f t="shared" si="166"/>
        <v/>
      </c>
      <c r="AN635" t="str">
        <f>IFERROR(ROUND(L635*(G635/$AW635)/VLOOKUP(F635,商品!$A$4:$D$67,4,FALSE),0),"")</f>
        <v/>
      </c>
      <c r="AO635" t="str">
        <f>IFERROR(ROUND(L635*(I635/$AW635)/VLOOKUP(H635,商品!$A$4:$D$67,4,FALSE),0),"")</f>
        <v/>
      </c>
      <c r="AP635" t="str">
        <f>IFERROR(ROUND(L635*(K635/$AW635)/VLOOKUP(J635,商品!$A$4:$D$67,4,FALSE),0),"")</f>
        <v/>
      </c>
      <c r="AQ635" t="str">
        <f>IFERROR(ROUND(S635*(N635/$AX635)/VLOOKUP(M635,职业!$A$3:$E$16,4,FALSE),0),"")</f>
        <v/>
      </c>
      <c r="AR635" t="str">
        <f>IFERROR(ROUND(S635*(P635/$AX635)/VLOOKUP(O635,职业!$A$3:$E$16,4,FALSE),0),"")</f>
        <v/>
      </c>
      <c r="AS635" t="str">
        <f>IFERROR(ROUND(S635*(R635/$AX635)/VLOOKUP(Q635,职业!$A$3:$E$16,4,FALSE),0),"")</f>
        <v/>
      </c>
      <c r="AT635" t="str">
        <f>IFERROR(ROUND(X635*(U635/$AY635)/VLOOKUP(T635,商品!$A$4:$D$67,4,FALSE),0),"")</f>
        <v/>
      </c>
      <c r="AU635" t="str">
        <f>IFERROR(ROUND(X635*(W635/$AY635)/VLOOKUP(V635,商品!$A$4:$D$67,4,FALSE),0),"")</f>
        <v/>
      </c>
      <c r="AW635">
        <f t="shared" si="167"/>
        <v>0</v>
      </c>
      <c r="AX635">
        <f t="shared" si="168"/>
        <v>0</v>
      </c>
      <c r="AY635">
        <f t="shared" si="169"/>
        <v>0</v>
      </c>
    </row>
    <row r="636" customHeight="1" spans="1:51">
      <c r="A636" s="5" t="s">
        <v>404</v>
      </c>
      <c r="C636" s="5">
        <v>1</v>
      </c>
      <c r="D636" s="1" t="s">
        <v>260</v>
      </c>
      <c r="E636" s="1" t="s">
        <v>224</v>
      </c>
      <c r="L636" s="5">
        <f>IFERROR(VLOOKUP($D636&amp;$C636,生产方式定位!$A$2:$E$38,2,FALSE)+VLOOKUP($E636&amp;$C636,生产方式定位!$F$3:$J$38,2,FALSE),0)</f>
        <v>0</v>
      </c>
      <c r="S636" s="5">
        <f>IFERROR(VLOOKUP($D636&amp;$C636,生产方式定位!$A$2:$E$38,3,FALSE)+VLOOKUP($E636&amp;$C636,生产方式定位!$F$3:$J$38,3,FALSE),0)</f>
        <v>70</v>
      </c>
      <c r="X636" s="5">
        <f>IFERROR(VLOOKUP($D636&amp;$C636,生产方式定位!$A$2:$E$38,5,FALSE)+VLOOKUP($E636&amp;$C636,生产方式定位!$F$3:$J$38,5,FALSE),"错误")</f>
        <v>350</v>
      </c>
      <c r="Y636" s="27" t="str">
        <f t="shared" si="153"/>
        <v/>
      </c>
      <c r="Z636" s="50" t="str">
        <f t="shared" si="156"/>
        <v/>
      </c>
      <c r="AA636" s="50" t="str">
        <f t="shared" si="154"/>
        <v/>
      </c>
      <c r="AB636" s="28" t="str">
        <f t="shared" si="157"/>
        <v/>
      </c>
      <c r="AC636" s="1">
        <f t="shared" si="158"/>
        <v>280</v>
      </c>
      <c r="AD636" s="51">
        <f t="shared" si="155"/>
        <v>1</v>
      </c>
      <c r="AE636" t="str">
        <f t="shared" si="159"/>
        <v/>
      </c>
      <c r="AF636" t="str">
        <f t="shared" si="160"/>
        <v/>
      </c>
      <c r="AG636" t="str">
        <f t="shared" si="161"/>
        <v/>
      </c>
      <c r="AH636" t="str">
        <f t="shared" si="162"/>
        <v/>
      </c>
      <c r="AI636" t="str">
        <f t="shared" si="163"/>
        <v/>
      </c>
      <c r="AJ636" t="str">
        <f t="shared" si="164"/>
        <v/>
      </c>
      <c r="AK636" t="str">
        <f t="shared" si="165"/>
        <v/>
      </c>
      <c r="AL636" t="str">
        <f t="shared" si="166"/>
        <v/>
      </c>
      <c r="AN636" t="str">
        <f>IFERROR(ROUND(L636*(G636/$AW636)/VLOOKUP(F636,商品!$A$4:$D$67,4,FALSE),0),"")</f>
        <v/>
      </c>
      <c r="AO636" t="str">
        <f>IFERROR(ROUND(L636*(I636/$AW636)/VLOOKUP(H636,商品!$A$4:$D$67,4,FALSE),0),"")</f>
        <v/>
      </c>
      <c r="AP636" t="str">
        <f>IFERROR(ROUND(L636*(K636/$AW636)/VLOOKUP(J636,商品!$A$4:$D$67,4,FALSE),0),"")</f>
        <v/>
      </c>
      <c r="AQ636" t="str">
        <f>IFERROR(ROUND(S636*(N636/$AX636)/VLOOKUP(M636,职业!$A$3:$E$16,4,FALSE),0),"")</f>
        <v/>
      </c>
      <c r="AR636" t="str">
        <f>IFERROR(ROUND(S636*(P636/$AX636)/VLOOKUP(O636,职业!$A$3:$E$16,4,FALSE),0),"")</f>
        <v/>
      </c>
      <c r="AS636" t="str">
        <f>IFERROR(ROUND(S636*(R636/$AX636)/VLOOKUP(Q636,职业!$A$3:$E$16,4,FALSE),0),"")</f>
        <v/>
      </c>
      <c r="AT636" t="str">
        <f>IFERROR(ROUND(X636*(U636/$AY636)/VLOOKUP(T636,商品!$A$4:$D$67,4,FALSE),0),"")</f>
        <v/>
      </c>
      <c r="AU636" t="str">
        <f>IFERROR(ROUND(X636*(W636/$AY636)/VLOOKUP(V636,商品!$A$4:$D$67,4,FALSE),0),"")</f>
        <v/>
      </c>
      <c r="AW636">
        <f t="shared" si="167"/>
        <v>0</v>
      </c>
      <c r="AX636">
        <f t="shared" si="168"/>
        <v>0</v>
      </c>
      <c r="AY636">
        <f t="shared" si="169"/>
        <v>0</v>
      </c>
    </row>
    <row r="637" customHeight="1" spans="1:51">
      <c r="A637" s="5" t="s">
        <v>404</v>
      </c>
      <c r="C637" s="5">
        <v>2</v>
      </c>
      <c r="D637" s="1" t="s">
        <v>260</v>
      </c>
      <c r="E637" s="1" t="s">
        <v>224</v>
      </c>
      <c r="L637" s="5">
        <f>IFERROR(VLOOKUP($D637&amp;$C637,生产方式定位!$A$2:$E$38,2,FALSE)+VLOOKUP($E637&amp;$C637,生产方式定位!$F$3:$J$38,2,FALSE),0)</f>
        <v>1000</v>
      </c>
      <c r="S637" s="5">
        <f>IFERROR(VLOOKUP($D637&amp;$C637,生产方式定位!$A$2:$E$38,3,FALSE)+VLOOKUP($E637&amp;$C637,生产方式定位!$F$3:$J$38,3,FALSE),0)</f>
        <v>50</v>
      </c>
      <c r="X637" s="5">
        <f>IFERROR(VLOOKUP($D637&amp;$C637,生产方式定位!$A$2:$E$38,5,FALSE)+VLOOKUP($E637&amp;$C637,生产方式定位!$F$3:$J$38,5,FALSE),"错误")</f>
        <v>1096</v>
      </c>
      <c r="Y637" s="27" t="str">
        <f t="shared" si="153"/>
        <v/>
      </c>
      <c r="Z637" s="50" t="str">
        <f t="shared" si="156"/>
        <v/>
      </c>
      <c r="AA637" s="50" t="str">
        <f t="shared" si="154"/>
        <v/>
      </c>
      <c r="AB637" s="28" t="str">
        <f t="shared" si="157"/>
        <v>10%</v>
      </c>
      <c r="AC637" s="1">
        <f t="shared" si="158"/>
        <v>46</v>
      </c>
      <c r="AD637" s="51">
        <f t="shared" si="155"/>
        <v>2</v>
      </c>
      <c r="AE637" t="str">
        <f t="shared" si="159"/>
        <v/>
      </c>
      <c r="AF637" t="str">
        <f t="shared" si="160"/>
        <v/>
      </c>
      <c r="AG637" t="str">
        <f t="shared" si="161"/>
        <v/>
      </c>
      <c r="AH637" t="str">
        <f t="shared" si="162"/>
        <v/>
      </c>
      <c r="AI637" t="str">
        <f t="shared" si="163"/>
        <v/>
      </c>
      <c r="AJ637" t="str">
        <f t="shared" si="164"/>
        <v/>
      </c>
      <c r="AK637" t="str">
        <f t="shared" si="165"/>
        <v/>
      </c>
      <c r="AL637" t="str">
        <f t="shared" si="166"/>
        <v/>
      </c>
      <c r="AN637" t="str">
        <f>IFERROR(ROUND(L637*(G637/$AW637)/VLOOKUP(F637,商品!$A$4:$D$67,4,FALSE),0),"")</f>
        <v/>
      </c>
      <c r="AO637" t="str">
        <f>IFERROR(ROUND(L637*(I637/$AW637)/VLOOKUP(H637,商品!$A$4:$D$67,4,FALSE),0),"")</f>
        <v/>
      </c>
      <c r="AP637" t="str">
        <f>IFERROR(ROUND(L637*(K637/$AW637)/VLOOKUP(J637,商品!$A$4:$D$67,4,FALSE),0),"")</f>
        <v/>
      </c>
      <c r="AQ637" t="str">
        <f>IFERROR(ROUND(S637*(N637/$AX637)/VLOOKUP(M637,职业!$A$3:$E$16,4,FALSE),0),"")</f>
        <v/>
      </c>
      <c r="AR637" t="str">
        <f>IFERROR(ROUND(S637*(P637/$AX637)/VLOOKUP(O637,职业!$A$3:$E$16,4,FALSE),0),"")</f>
        <v/>
      </c>
      <c r="AS637" t="str">
        <f>IFERROR(ROUND(S637*(R637/$AX637)/VLOOKUP(Q637,职业!$A$3:$E$16,4,FALSE),0),"")</f>
        <v/>
      </c>
      <c r="AT637" t="str">
        <f>IFERROR(ROUND(X637*(U637/$AY637)/VLOOKUP(T637,商品!$A$4:$D$67,4,FALSE),0),"")</f>
        <v/>
      </c>
      <c r="AU637" t="str">
        <f>IFERROR(ROUND(X637*(W637/$AY637)/VLOOKUP(V637,商品!$A$4:$D$67,4,FALSE),0),"")</f>
        <v/>
      </c>
      <c r="AW637">
        <f t="shared" si="167"/>
        <v>0</v>
      </c>
      <c r="AX637">
        <f t="shared" si="168"/>
        <v>0</v>
      </c>
      <c r="AY637">
        <f t="shared" si="169"/>
        <v>0</v>
      </c>
    </row>
    <row r="638" customHeight="1" spans="1:51">
      <c r="A638" s="5" t="s">
        <v>404</v>
      </c>
      <c r="C638" s="5">
        <v>3</v>
      </c>
      <c r="D638" s="1" t="s">
        <v>260</v>
      </c>
      <c r="E638" s="1" t="s">
        <v>224</v>
      </c>
      <c r="L638" s="5">
        <f>IFERROR(VLOOKUP($D638&amp;$C638,生产方式定位!$A$2:$E$38,2,FALSE)+VLOOKUP($E638&amp;$C638,生产方式定位!$F$3:$J$38,2,FALSE),0)</f>
        <v>2000</v>
      </c>
      <c r="S638" s="5">
        <f>IFERROR(VLOOKUP($D638&amp;$C638,生产方式定位!$A$2:$E$38,3,FALSE)+VLOOKUP($E638&amp;$C638,生产方式定位!$F$3:$J$38,3,FALSE),0)</f>
        <v>20</v>
      </c>
      <c r="X638" s="5">
        <f>IFERROR(VLOOKUP($D638&amp;$C638,生产方式定位!$A$2:$E$38,5,FALSE)+VLOOKUP($E638&amp;$C638,生产方式定位!$F$3:$J$38,5,FALSE),"错误")</f>
        <v>2114</v>
      </c>
      <c r="Y638" s="27" t="str">
        <f t="shared" si="153"/>
        <v/>
      </c>
      <c r="Z638" s="50" t="str">
        <f t="shared" si="156"/>
        <v/>
      </c>
      <c r="AA638" s="50" t="str">
        <f t="shared" si="154"/>
        <v/>
      </c>
      <c r="AB638" s="28" t="str">
        <f t="shared" si="157"/>
        <v>6%</v>
      </c>
      <c r="AC638" s="1">
        <f t="shared" si="158"/>
        <v>94</v>
      </c>
      <c r="AD638" s="51">
        <f t="shared" si="155"/>
        <v>3</v>
      </c>
      <c r="AE638" t="str">
        <f t="shared" si="159"/>
        <v/>
      </c>
      <c r="AF638" t="str">
        <f t="shared" si="160"/>
        <v/>
      </c>
      <c r="AG638" t="str">
        <f t="shared" si="161"/>
        <v/>
      </c>
      <c r="AH638" t="str">
        <f t="shared" si="162"/>
        <v/>
      </c>
      <c r="AI638" t="str">
        <f t="shared" si="163"/>
        <v/>
      </c>
      <c r="AJ638" t="str">
        <f t="shared" si="164"/>
        <v/>
      </c>
      <c r="AK638" t="str">
        <f t="shared" si="165"/>
        <v/>
      </c>
      <c r="AL638" t="str">
        <f t="shared" si="166"/>
        <v/>
      </c>
      <c r="AN638" t="str">
        <f>IFERROR(ROUND(L638*(G638/$AW638)/VLOOKUP(F638,商品!$A$4:$D$67,4,FALSE),0),"")</f>
        <v/>
      </c>
      <c r="AO638" t="str">
        <f>IFERROR(ROUND(L638*(I638/$AW638)/VLOOKUP(H638,商品!$A$4:$D$67,4,FALSE),0),"")</f>
        <v/>
      </c>
      <c r="AP638" t="str">
        <f>IFERROR(ROUND(L638*(K638/$AW638)/VLOOKUP(J638,商品!$A$4:$D$67,4,FALSE),0),"")</f>
        <v/>
      </c>
      <c r="AQ638" t="str">
        <f>IFERROR(ROUND(S638*(N638/$AX638)/VLOOKUP(M638,职业!$A$3:$E$16,4,FALSE),0),"")</f>
        <v/>
      </c>
      <c r="AR638" t="str">
        <f>IFERROR(ROUND(S638*(P638/$AX638)/VLOOKUP(O638,职业!$A$3:$E$16,4,FALSE),0),"")</f>
        <v/>
      </c>
      <c r="AS638" t="str">
        <f>IFERROR(ROUND(S638*(R638/$AX638)/VLOOKUP(Q638,职业!$A$3:$E$16,4,FALSE),0),"")</f>
        <v/>
      </c>
      <c r="AT638" t="str">
        <f>IFERROR(ROUND(X638*(U638/$AY638)/VLOOKUP(T638,商品!$A$4:$D$67,4,FALSE),0),"")</f>
        <v/>
      </c>
      <c r="AU638" t="str">
        <f>IFERROR(ROUND(X638*(W638/$AY638)/VLOOKUP(V638,商品!$A$4:$D$67,4,FALSE),0),"")</f>
        <v/>
      </c>
      <c r="AW638">
        <f t="shared" si="167"/>
        <v>0</v>
      </c>
      <c r="AX638">
        <f t="shared" si="168"/>
        <v>0</v>
      </c>
      <c r="AY638">
        <f t="shared" si="169"/>
        <v>0</v>
      </c>
    </row>
    <row r="639" customHeight="1" spans="1:51">
      <c r="A639" s="5" t="s">
        <v>404</v>
      </c>
      <c r="C639" s="5">
        <v>4</v>
      </c>
      <c r="D639" s="1" t="s">
        <v>260</v>
      </c>
      <c r="E639" s="1" t="s">
        <v>224</v>
      </c>
      <c r="L639" s="5">
        <f>IFERROR(VLOOKUP($D639&amp;$C639,生产方式定位!$A$2:$E$38,2,FALSE)+VLOOKUP($E639&amp;$C639,生产方式定位!$F$3:$J$38,2,FALSE),0)</f>
        <v>3000</v>
      </c>
      <c r="S639" s="5">
        <f>IFERROR(VLOOKUP($D639&amp;$C639,生产方式定位!$A$2:$E$38,3,FALSE)+VLOOKUP($E639&amp;$C639,生产方式定位!$F$3:$J$38,3,FALSE),0)</f>
        <v>-10</v>
      </c>
      <c r="X639" s="5">
        <f>IFERROR(VLOOKUP($D639&amp;$C639,生产方式定位!$A$2:$E$38,5,FALSE)+VLOOKUP($E639&amp;$C639,生产方式定位!$F$3:$J$38,5,FALSE),"错误")</f>
        <v>3132</v>
      </c>
      <c r="Y639" s="27" t="str">
        <f t="shared" si="153"/>
        <v/>
      </c>
      <c r="Z639" s="50" t="str">
        <f t="shared" si="156"/>
        <v/>
      </c>
      <c r="AA639" s="50" t="str">
        <f t="shared" si="154"/>
        <v/>
      </c>
      <c r="AB639" s="28" t="str">
        <f t="shared" si="157"/>
        <v>4%</v>
      </c>
      <c r="AC639" s="1">
        <f t="shared" si="158"/>
        <v>142</v>
      </c>
      <c r="AD639" s="51">
        <f t="shared" si="155"/>
        <v>4</v>
      </c>
      <c r="AE639" t="str">
        <f t="shared" si="159"/>
        <v/>
      </c>
      <c r="AF639" t="str">
        <f t="shared" si="160"/>
        <v/>
      </c>
      <c r="AG639" t="str">
        <f t="shared" si="161"/>
        <v/>
      </c>
      <c r="AH639" t="str">
        <f t="shared" si="162"/>
        <v/>
      </c>
      <c r="AI639" t="str">
        <f t="shared" si="163"/>
        <v/>
      </c>
      <c r="AJ639" t="str">
        <f t="shared" si="164"/>
        <v/>
      </c>
      <c r="AK639" t="str">
        <f t="shared" si="165"/>
        <v/>
      </c>
      <c r="AL639" t="str">
        <f t="shared" si="166"/>
        <v/>
      </c>
      <c r="AN639" t="str">
        <f>IFERROR(ROUND(L639*(G639/$AW639)/VLOOKUP(F639,商品!$A$4:$D$67,4,FALSE),0),"")</f>
        <v/>
      </c>
      <c r="AO639" t="str">
        <f>IFERROR(ROUND(L639*(I639/$AW639)/VLOOKUP(H639,商品!$A$4:$D$67,4,FALSE),0),"")</f>
        <v/>
      </c>
      <c r="AP639" t="str">
        <f>IFERROR(ROUND(L639*(K639/$AW639)/VLOOKUP(J639,商品!$A$4:$D$67,4,FALSE),0),"")</f>
        <v/>
      </c>
      <c r="AQ639" t="str">
        <f>IFERROR(ROUND(S639*(N639/$AX639)/VLOOKUP(M639,职业!$A$3:$E$16,4,FALSE),0),"")</f>
        <v/>
      </c>
      <c r="AR639" t="str">
        <f>IFERROR(ROUND(S639*(P639/$AX639)/VLOOKUP(O639,职业!$A$3:$E$16,4,FALSE),0),"")</f>
        <v/>
      </c>
      <c r="AS639" t="str">
        <f>IFERROR(ROUND(S639*(R639/$AX639)/VLOOKUP(Q639,职业!$A$3:$E$16,4,FALSE),0),"")</f>
        <v/>
      </c>
      <c r="AT639" t="str">
        <f>IFERROR(ROUND(X639*(U639/$AY639)/VLOOKUP(T639,商品!$A$4:$D$67,4,FALSE),0),"")</f>
        <v/>
      </c>
      <c r="AU639" t="str">
        <f>IFERROR(ROUND(X639*(W639/$AY639)/VLOOKUP(V639,商品!$A$4:$D$67,4,FALSE),0),"")</f>
        <v/>
      </c>
      <c r="AW639">
        <f t="shared" si="167"/>
        <v>0</v>
      </c>
      <c r="AX639">
        <f t="shared" si="168"/>
        <v>0</v>
      </c>
      <c r="AY639">
        <f t="shared" si="169"/>
        <v>0</v>
      </c>
    </row>
    <row r="640" customHeight="1" spans="1:51">
      <c r="A640" s="5" t="s">
        <v>404</v>
      </c>
      <c r="C640" s="5">
        <v>5</v>
      </c>
      <c r="D640" s="1" t="s">
        <v>260</v>
      </c>
      <c r="E640" s="1" t="s">
        <v>224</v>
      </c>
      <c r="L640" s="5">
        <f>IFERROR(VLOOKUP($D640&amp;$C640,生产方式定位!$A$2:$E$38,2,FALSE)+VLOOKUP($E640&amp;$C640,生产方式定位!$F$3:$J$38,2,FALSE),0)</f>
        <v>4000</v>
      </c>
      <c r="S640" s="5">
        <f>IFERROR(VLOOKUP($D640&amp;$C640,生产方式定位!$A$2:$E$38,3,FALSE)+VLOOKUP($E640&amp;$C640,生产方式定位!$F$3:$J$38,3,FALSE),0)</f>
        <v>-40</v>
      </c>
      <c r="X640" s="5">
        <f>IFERROR(VLOOKUP($D640&amp;$C640,生产方式定位!$A$2:$E$38,5,FALSE)+VLOOKUP($E640&amp;$C640,生产方式定位!$F$3:$J$38,5,FALSE),"错误")</f>
        <v>4150</v>
      </c>
      <c r="Y640" s="27" t="str">
        <f t="shared" si="153"/>
        <v/>
      </c>
      <c r="Z640" s="50" t="str">
        <f t="shared" si="156"/>
        <v/>
      </c>
      <c r="AA640" s="50" t="str">
        <f t="shared" si="154"/>
        <v/>
      </c>
      <c r="AB640" s="28" t="str">
        <f t="shared" si="157"/>
        <v>4%</v>
      </c>
      <c r="AC640" s="1">
        <f t="shared" si="158"/>
        <v>190</v>
      </c>
      <c r="AD640" s="51">
        <f t="shared" si="155"/>
        <v>5</v>
      </c>
      <c r="AE640" t="str">
        <f t="shared" si="159"/>
        <v/>
      </c>
      <c r="AF640" t="str">
        <f t="shared" si="160"/>
        <v/>
      </c>
      <c r="AG640" t="str">
        <f t="shared" si="161"/>
        <v/>
      </c>
      <c r="AH640" t="str">
        <f t="shared" si="162"/>
        <v/>
      </c>
      <c r="AI640" t="str">
        <f t="shared" si="163"/>
        <v/>
      </c>
      <c r="AJ640" t="str">
        <f t="shared" si="164"/>
        <v/>
      </c>
      <c r="AK640" t="str">
        <f t="shared" si="165"/>
        <v/>
      </c>
      <c r="AL640" t="str">
        <f t="shared" si="166"/>
        <v/>
      </c>
      <c r="AN640" t="str">
        <f>IFERROR(ROUND(L640*(G640/$AW640)/VLOOKUP(F640,商品!$A$4:$D$67,4,FALSE),0),"")</f>
        <v/>
      </c>
      <c r="AO640" t="str">
        <f>IFERROR(ROUND(L640*(I640/$AW640)/VLOOKUP(H640,商品!$A$4:$D$67,4,FALSE),0),"")</f>
        <v/>
      </c>
      <c r="AP640" t="str">
        <f>IFERROR(ROUND(L640*(K640/$AW640)/VLOOKUP(J640,商品!$A$4:$D$67,4,FALSE),0),"")</f>
        <v/>
      </c>
      <c r="AQ640" t="str">
        <f>IFERROR(ROUND(S640*(N640/$AX640)/VLOOKUP(M640,职业!$A$3:$E$16,4,FALSE),0),"")</f>
        <v/>
      </c>
      <c r="AR640" t="str">
        <f>IFERROR(ROUND(S640*(P640/$AX640)/VLOOKUP(O640,职业!$A$3:$E$16,4,FALSE),0),"")</f>
        <v/>
      </c>
      <c r="AS640" t="str">
        <f>IFERROR(ROUND(S640*(R640/$AX640)/VLOOKUP(Q640,职业!$A$3:$E$16,4,FALSE),0),"")</f>
        <v/>
      </c>
      <c r="AT640" t="str">
        <f>IFERROR(ROUND(X640*(U640/$AY640)/VLOOKUP(T640,商品!$A$4:$D$67,4,FALSE),0),"")</f>
        <v/>
      </c>
      <c r="AU640" t="str">
        <f>IFERROR(ROUND(X640*(W640/$AY640)/VLOOKUP(V640,商品!$A$4:$D$67,4,FALSE),0),"")</f>
        <v/>
      </c>
      <c r="AW640">
        <f t="shared" si="167"/>
        <v>0</v>
      </c>
      <c r="AX640">
        <f t="shared" si="168"/>
        <v>0</v>
      </c>
      <c r="AY640">
        <f t="shared" si="169"/>
        <v>0</v>
      </c>
    </row>
    <row r="641" customHeight="1" spans="1:51">
      <c r="A641" s="18" t="s">
        <v>404</v>
      </c>
      <c r="C641" s="18">
        <v>1</v>
      </c>
      <c r="D641" s="1" t="s">
        <v>260</v>
      </c>
      <c r="E641" s="1" t="s">
        <v>224</v>
      </c>
      <c r="L641" s="18">
        <f>IFERROR(VLOOKUP($D641&amp;$C641,生产方式定位!$A$2:$E$38,2,FALSE)+VLOOKUP($E641&amp;$C641,生产方式定位!$F$3:$J$38,2,FALSE),0)</f>
        <v>0</v>
      </c>
      <c r="S641" s="18">
        <f>IFERROR(VLOOKUP($D641&amp;$C641,生产方式定位!$A$2:$E$38,3,FALSE)+VLOOKUP($E641&amp;$C641,生产方式定位!$F$3:$J$38,3,FALSE),0)</f>
        <v>70</v>
      </c>
      <c r="X641" s="18">
        <f>IFERROR(VLOOKUP($D641&amp;$C641,生产方式定位!$A$2:$E$38,5,FALSE)+VLOOKUP($E641&amp;$C641,生产方式定位!$F$3:$J$38,5,FALSE),"错误")</f>
        <v>350</v>
      </c>
      <c r="Y641" s="27" t="str">
        <f t="shared" si="153"/>
        <v/>
      </c>
      <c r="Z641" s="50" t="str">
        <f t="shared" si="156"/>
        <v/>
      </c>
      <c r="AA641" s="50" t="str">
        <f t="shared" si="154"/>
        <v/>
      </c>
      <c r="AB641" s="28" t="str">
        <f t="shared" si="157"/>
        <v/>
      </c>
      <c r="AC641" s="1">
        <f t="shared" si="158"/>
        <v>280</v>
      </c>
      <c r="AD641" s="52">
        <f t="shared" si="155"/>
        <v>1</v>
      </c>
      <c r="AE641" t="str">
        <f t="shared" si="159"/>
        <v/>
      </c>
      <c r="AF641" t="str">
        <f t="shared" si="160"/>
        <v/>
      </c>
      <c r="AG641" t="str">
        <f t="shared" si="161"/>
        <v/>
      </c>
      <c r="AH641" t="str">
        <f t="shared" si="162"/>
        <v/>
      </c>
      <c r="AI641" t="str">
        <f t="shared" si="163"/>
        <v/>
      </c>
      <c r="AJ641" t="str">
        <f t="shared" si="164"/>
        <v/>
      </c>
      <c r="AK641" t="str">
        <f t="shared" si="165"/>
        <v/>
      </c>
      <c r="AL641" t="str">
        <f t="shared" si="166"/>
        <v/>
      </c>
      <c r="AN641" t="str">
        <f>IFERROR(ROUND(L641*(G641/$AW641)/VLOOKUP(F641,商品!$A$4:$D$67,4,FALSE),0),"")</f>
        <v/>
      </c>
      <c r="AO641" t="str">
        <f>IFERROR(ROUND(L641*(I641/$AW641)/VLOOKUP(H641,商品!$A$4:$D$67,4,FALSE),0),"")</f>
        <v/>
      </c>
      <c r="AP641" t="str">
        <f>IFERROR(ROUND(L641*(K641/$AW641)/VLOOKUP(J641,商品!$A$4:$D$67,4,FALSE),0),"")</f>
        <v/>
      </c>
      <c r="AQ641" t="str">
        <f>IFERROR(ROUND(S641*(N641/$AX641)/VLOOKUP(M641,职业!$A$3:$E$16,4,FALSE),0),"")</f>
        <v/>
      </c>
      <c r="AR641" t="str">
        <f>IFERROR(ROUND(S641*(P641/$AX641)/VLOOKUP(O641,职业!$A$3:$E$16,4,FALSE),0),"")</f>
        <v/>
      </c>
      <c r="AS641" t="str">
        <f>IFERROR(ROUND(S641*(R641/$AX641)/VLOOKUP(Q641,职业!$A$3:$E$16,4,FALSE),0),"")</f>
        <v/>
      </c>
      <c r="AT641" t="str">
        <f>IFERROR(ROUND(X641*(U641/$AY641)/VLOOKUP(T641,商品!$A$4:$D$67,4,FALSE),0),"")</f>
        <v/>
      </c>
      <c r="AU641" t="str">
        <f>IFERROR(ROUND(X641*(W641/$AY641)/VLOOKUP(V641,商品!$A$4:$D$67,4,FALSE),0),"")</f>
        <v/>
      </c>
      <c r="AW641">
        <f t="shared" si="167"/>
        <v>0</v>
      </c>
      <c r="AX641">
        <f t="shared" si="168"/>
        <v>0</v>
      </c>
      <c r="AY641">
        <f t="shared" si="169"/>
        <v>0</v>
      </c>
    </row>
    <row r="642" customHeight="1" spans="1:51">
      <c r="A642" s="18" t="s">
        <v>404</v>
      </c>
      <c r="C642" s="18">
        <v>2</v>
      </c>
      <c r="D642" s="1" t="s">
        <v>260</v>
      </c>
      <c r="E642" s="1" t="s">
        <v>224</v>
      </c>
      <c r="L642" s="18">
        <f>IFERROR(VLOOKUP($D642&amp;$C642,生产方式定位!$A$2:$E$38,2,FALSE)+VLOOKUP($E642&amp;$C642,生产方式定位!$F$3:$J$38,2,FALSE),0)</f>
        <v>1000</v>
      </c>
      <c r="S642" s="18">
        <f>IFERROR(VLOOKUP($D642&amp;$C642,生产方式定位!$A$2:$E$38,3,FALSE)+VLOOKUP($E642&amp;$C642,生产方式定位!$F$3:$J$38,3,FALSE),0)</f>
        <v>50</v>
      </c>
      <c r="X642" s="18">
        <f>IFERROR(VLOOKUP($D642&amp;$C642,生产方式定位!$A$2:$E$38,5,FALSE)+VLOOKUP($E642&amp;$C642,生产方式定位!$F$3:$J$38,5,FALSE),"错误")</f>
        <v>1096</v>
      </c>
      <c r="Y642" s="27" t="str">
        <f t="shared" si="153"/>
        <v/>
      </c>
      <c r="Z642" s="50" t="str">
        <f t="shared" si="156"/>
        <v/>
      </c>
      <c r="AA642" s="50" t="str">
        <f t="shared" si="154"/>
        <v/>
      </c>
      <c r="AB642" s="28" t="str">
        <f t="shared" si="157"/>
        <v>10%</v>
      </c>
      <c r="AC642" s="1">
        <f t="shared" si="158"/>
        <v>46</v>
      </c>
      <c r="AD642" s="52">
        <f t="shared" si="155"/>
        <v>2</v>
      </c>
      <c r="AE642" t="str">
        <f t="shared" si="159"/>
        <v/>
      </c>
      <c r="AF642" t="str">
        <f t="shared" si="160"/>
        <v/>
      </c>
      <c r="AG642" t="str">
        <f t="shared" si="161"/>
        <v/>
      </c>
      <c r="AH642" t="str">
        <f t="shared" si="162"/>
        <v/>
      </c>
      <c r="AI642" t="str">
        <f t="shared" si="163"/>
        <v/>
      </c>
      <c r="AJ642" t="str">
        <f t="shared" si="164"/>
        <v/>
      </c>
      <c r="AK642" t="str">
        <f t="shared" si="165"/>
        <v/>
      </c>
      <c r="AL642" t="str">
        <f t="shared" si="166"/>
        <v/>
      </c>
      <c r="AN642" t="str">
        <f>IFERROR(ROUND(L642*(G642/$AW642)/VLOOKUP(F642,商品!$A$4:$D$67,4,FALSE),0),"")</f>
        <v/>
      </c>
      <c r="AO642" t="str">
        <f>IFERROR(ROUND(L642*(I642/$AW642)/VLOOKUP(H642,商品!$A$4:$D$67,4,FALSE),0),"")</f>
        <v/>
      </c>
      <c r="AP642" t="str">
        <f>IFERROR(ROUND(L642*(K642/$AW642)/VLOOKUP(J642,商品!$A$4:$D$67,4,FALSE),0),"")</f>
        <v/>
      </c>
      <c r="AQ642" t="str">
        <f>IFERROR(ROUND(S642*(N642/$AX642)/VLOOKUP(M642,职业!$A$3:$E$16,4,FALSE),0),"")</f>
        <v/>
      </c>
      <c r="AR642" t="str">
        <f>IFERROR(ROUND(S642*(P642/$AX642)/VLOOKUP(O642,职业!$A$3:$E$16,4,FALSE),0),"")</f>
        <v/>
      </c>
      <c r="AS642" t="str">
        <f>IFERROR(ROUND(S642*(R642/$AX642)/VLOOKUP(Q642,职业!$A$3:$E$16,4,FALSE),0),"")</f>
        <v/>
      </c>
      <c r="AT642" t="str">
        <f>IFERROR(ROUND(X642*(U642/$AY642)/VLOOKUP(T642,商品!$A$4:$D$67,4,FALSE),0),"")</f>
        <v/>
      </c>
      <c r="AU642" t="str">
        <f>IFERROR(ROUND(X642*(W642/$AY642)/VLOOKUP(V642,商品!$A$4:$D$67,4,FALSE),0),"")</f>
        <v/>
      </c>
      <c r="AW642">
        <f t="shared" si="167"/>
        <v>0</v>
      </c>
      <c r="AX642">
        <f t="shared" si="168"/>
        <v>0</v>
      </c>
      <c r="AY642">
        <f t="shared" si="169"/>
        <v>0</v>
      </c>
    </row>
    <row r="643" customHeight="1" spans="1:51">
      <c r="A643" s="18" t="s">
        <v>404</v>
      </c>
      <c r="C643" s="18">
        <v>3</v>
      </c>
      <c r="D643" s="1" t="s">
        <v>260</v>
      </c>
      <c r="E643" s="1" t="s">
        <v>224</v>
      </c>
      <c r="L643" s="18">
        <f>IFERROR(VLOOKUP($D643&amp;$C643,生产方式定位!$A$2:$E$38,2,FALSE)+VLOOKUP($E643&amp;$C643,生产方式定位!$F$3:$J$38,2,FALSE),0)</f>
        <v>2000</v>
      </c>
      <c r="S643" s="18">
        <f>IFERROR(VLOOKUP($D643&amp;$C643,生产方式定位!$A$2:$E$38,3,FALSE)+VLOOKUP($E643&amp;$C643,生产方式定位!$F$3:$J$38,3,FALSE),0)</f>
        <v>20</v>
      </c>
      <c r="X643" s="18">
        <f>IFERROR(VLOOKUP($D643&amp;$C643,生产方式定位!$A$2:$E$38,5,FALSE)+VLOOKUP($E643&amp;$C643,生产方式定位!$F$3:$J$38,5,FALSE),"错误")</f>
        <v>2114</v>
      </c>
      <c r="Y643" s="27" t="str">
        <f t="shared" si="153"/>
        <v/>
      </c>
      <c r="Z643" s="50" t="str">
        <f t="shared" si="156"/>
        <v/>
      </c>
      <c r="AA643" s="50" t="str">
        <f t="shared" si="154"/>
        <v/>
      </c>
      <c r="AB643" s="28" t="str">
        <f t="shared" si="157"/>
        <v>6%</v>
      </c>
      <c r="AC643" s="1">
        <f t="shared" si="158"/>
        <v>94</v>
      </c>
      <c r="AD643" s="52">
        <f t="shared" si="155"/>
        <v>3</v>
      </c>
      <c r="AE643" t="str">
        <f t="shared" si="159"/>
        <v/>
      </c>
      <c r="AF643" t="str">
        <f t="shared" si="160"/>
        <v/>
      </c>
      <c r="AG643" t="str">
        <f t="shared" si="161"/>
        <v/>
      </c>
      <c r="AH643" t="str">
        <f t="shared" si="162"/>
        <v/>
      </c>
      <c r="AI643" t="str">
        <f t="shared" si="163"/>
        <v/>
      </c>
      <c r="AJ643" t="str">
        <f t="shared" si="164"/>
        <v/>
      </c>
      <c r="AK643" t="str">
        <f t="shared" si="165"/>
        <v/>
      </c>
      <c r="AL643" t="str">
        <f t="shared" si="166"/>
        <v/>
      </c>
      <c r="AN643" t="str">
        <f>IFERROR(ROUND(L643*(G643/$AW643)/VLOOKUP(F643,商品!$A$4:$D$67,4,FALSE),0),"")</f>
        <v/>
      </c>
      <c r="AO643" t="str">
        <f>IFERROR(ROUND(L643*(I643/$AW643)/VLOOKUP(H643,商品!$A$4:$D$67,4,FALSE),0),"")</f>
        <v/>
      </c>
      <c r="AP643" t="str">
        <f>IFERROR(ROUND(L643*(K643/$AW643)/VLOOKUP(J643,商品!$A$4:$D$67,4,FALSE),0),"")</f>
        <v/>
      </c>
      <c r="AQ643" t="str">
        <f>IFERROR(ROUND(S643*(N643/$AX643)/VLOOKUP(M643,职业!$A$3:$E$16,4,FALSE),0),"")</f>
        <v/>
      </c>
      <c r="AR643" t="str">
        <f>IFERROR(ROUND(S643*(P643/$AX643)/VLOOKUP(O643,职业!$A$3:$E$16,4,FALSE),0),"")</f>
        <v/>
      </c>
      <c r="AS643" t="str">
        <f>IFERROR(ROUND(S643*(R643/$AX643)/VLOOKUP(Q643,职业!$A$3:$E$16,4,FALSE),0),"")</f>
        <v/>
      </c>
      <c r="AT643" t="str">
        <f>IFERROR(ROUND(X643*(U643/$AY643)/VLOOKUP(T643,商品!$A$4:$D$67,4,FALSE),0),"")</f>
        <v/>
      </c>
      <c r="AU643" t="str">
        <f>IFERROR(ROUND(X643*(W643/$AY643)/VLOOKUP(V643,商品!$A$4:$D$67,4,FALSE),0),"")</f>
        <v/>
      </c>
      <c r="AW643">
        <f t="shared" si="167"/>
        <v>0</v>
      </c>
      <c r="AX643">
        <f t="shared" si="168"/>
        <v>0</v>
      </c>
      <c r="AY643">
        <f t="shared" si="169"/>
        <v>0</v>
      </c>
    </row>
    <row r="644" customHeight="1" spans="1:51">
      <c r="A644" s="18" t="s">
        <v>404</v>
      </c>
      <c r="C644" s="18">
        <v>4</v>
      </c>
      <c r="D644" s="1" t="s">
        <v>260</v>
      </c>
      <c r="E644" s="1" t="s">
        <v>224</v>
      </c>
      <c r="L644" s="18">
        <f>IFERROR(VLOOKUP($D644&amp;$C644,生产方式定位!$A$2:$E$38,2,FALSE)+VLOOKUP($E644&amp;$C644,生产方式定位!$F$3:$J$38,2,FALSE),0)</f>
        <v>3000</v>
      </c>
      <c r="S644" s="18">
        <f>IFERROR(VLOOKUP($D644&amp;$C644,生产方式定位!$A$2:$E$38,3,FALSE)+VLOOKUP($E644&amp;$C644,生产方式定位!$F$3:$J$38,3,FALSE),0)</f>
        <v>-10</v>
      </c>
      <c r="X644" s="18">
        <f>IFERROR(VLOOKUP($D644&amp;$C644,生产方式定位!$A$2:$E$38,5,FALSE)+VLOOKUP($E644&amp;$C644,生产方式定位!$F$3:$J$38,5,FALSE),"错误")</f>
        <v>3132</v>
      </c>
      <c r="Y644" s="27" t="str">
        <f t="shared" si="153"/>
        <v/>
      </c>
      <c r="Z644" s="50" t="str">
        <f t="shared" si="156"/>
        <v/>
      </c>
      <c r="AA644" s="50" t="str">
        <f t="shared" si="154"/>
        <v/>
      </c>
      <c r="AB644" s="28" t="str">
        <f t="shared" si="157"/>
        <v>4%</v>
      </c>
      <c r="AC644" s="1">
        <f t="shared" si="158"/>
        <v>142</v>
      </c>
      <c r="AD644" s="52">
        <f t="shared" si="155"/>
        <v>4</v>
      </c>
      <c r="AE644" t="str">
        <f t="shared" si="159"/>
        <v/>
      </c>
      <c r="AF644" t="str">
        <f t="shared" si="160"/>
        <v/>
      </c>
      <c r="AG644" t="str">
        <f t="shared" si="161"/>
        <v/>
      </c>
      <c r="AH644" t="str">
        <f t="shared" si="162"/>
        <v/>
      </c>
      <c r="AI644" t="str">
        <f t="shared" si="163"/>
        <v/>
      </c>
      <c r="AJ644" t="str">
        <f t="shared" si="164"/>
        <v/>
      </c>
      <c r="AK644" t="str">
        <f t="shared" si="165"/>
        <v/>
      </c>
      <c r="AL644" t="str">
        <f t="shared" si="166"/>
        <v/>
      </c>
      <c r="AN644" t="str">
        <f>IFERROR(ROUND(L644*(G644/$AW644)/VLOOKUP(F644,商品!$A$4:$D$67,4,FALSE),0),"")</f>
        <v/>
      </c>
      <c r="AO644" t="str">
        <f>IFERROR(ROUND(L644*(I644/$AW644)/VLOOKUP(H644,商品!$A$4:$D$67,4,FALSE),0),"")</f>
        <v/>
      </c>
      <c r="AP644" t="str">
        <f>IFERROR(ROUND(L644*(K644/$AW644)/VLOOKUP(J644,商品!$A$4:$D$67,4,FALSE),0),"")</f>
        <v/>
      </c>
      <c r="AQ644" t="str">
        <f>IFERROR(ROUND(S644*(N644/$AX644)/VLOOKUP(M644,职业!$A$3:$E$16,4,FALSE),0),"")</f>
        <v/>
      </c>
      <c r="AR644" t="str">
        <f>IFERROR(ROUND(S644*(P644/$AX644)/VLOOKUP(O644,职业!$A$3:$E$16,4,FALSE),0),"")</f>
        <v/>
      </c>
      <c r="AS644" t="str">
        <f>IFERROR(ROUND(S644*(R644/$AX644)/VLOOKUP(Q644,职业!$A$3:$E$16,4,FALSE),0),"")</f>
        <v/>
      </c>
      <c r="AT644" t="str">
        <f>IFERROR(ROUND(X644*(U644/$AY644)/VLOOKUP(T644,商品!$A$4:$D$67,4,FALSE),0),"")</f>
        <v/>
      </c>
      <c r="AU644" t="str">
        <f>IFERROR(ROUND(X644*(W644/$AY644)/VLOOKUP(V644,商品!$A$4:$D$67,4,FALSE),0),"")</f>
        <v/>
      </c>
      <c r="AW644">
        <f t="shared" si="167"/>
        <v>0</v>
      </c>
      <c r="AX644">
        <f t="shared" si="168"/>
        <v>0</v>
      </c>
      <c r="AY644">
        <f t="shared" si="169"/>
        <v>0</v>
      </c>
    </row>
    <row r="645" customHeight="1" spans="1:51">
      <c r="A645" s="18" t="s">
        <v>404</v>
      </c>
      <c r="C645" s="18">
        <v>5</v>
      </c>
      <c r="D645" s="1" t="s">
        <v>260</v>
      </c>
      <c r="E645" s="1" t="s">
        <v>224</v>
      </c>
      <c r="L645" s="18">
        <f>IFERROR(VLOOKUP($D645&amp;$C645,生产方式定位!$A$2:$E$38,2,FALSE)+VLOOKUP($E645&amp;$C645,生产方式定位!$F$3:$J$38,2,FALSE),0)</f>
        <v>4000</v>
      </c>
      <c r="S645" s="18">
        <f>IFERROR(VLOOKUP($D645&amp;$C645,生产方式定位!$A$2:$E$38,3,FALSE)+VLOOKUP($E645&amp;$C645,生产方式定位!$F$3:$J$38,3,FALSE),0)</f>
        <v>-40</v>
      </c>
      <c r="X645" s="18">
        <f>IFERROR(VLOOKUP($D645&amp;$C645,生产方式定位!$A$2:$E$38,5,FALSE)+VLOOKUP($E645&amp;$C645,生产方式定位!$F$3:$J$38,5,FALSE),"错误")</f>
        <v>4150</v>
      </c>
      <c r="Y645" s="27" t="str">
        <f t="shared" ref="Y645:Y708" si="170">IF(AE645="","",AE645)&amp;IF(AF645="","",","&amp;AF645)&amp;IF(AG645="","",","&amp;AG645)</f>
        <v/>
      </c>
      <c r="Z645" s="50" t="str">
        <f t="shared" si="156"/>
        <v/>
      </c>
      <c r="AA645" s="50" t="str">
        <f t="shared" ref="AA645:AA708" si="171">IF(AK645="","",AK645)&amp;IF(AL645="","",","&amp;AL645)</f>
        <v/>
      </c>
      <c r="AB645" s="28" t="str">
        <f t="shared" si="157"/>
        <v>4%</v>
      </c>
      <c r="AC645" s="1">
        <f t="shared" si="158"/>
        <v>190</v>
      </c>
      <c r="AD645" s="52">
        <f t="shared" ref="AD645:AD708" si="172">C645</f>
        <v>5</v>
      </c>
      <c r="AE645" t="str">
        <f t="shared" si="159"/>
        <v/>
      </c>
      <c r="AF645" t="str">
        <f t="shared" si="160"/>
        <v/>
      </c>
      <c r="AG645" t="str">
        <f t="shared" si="161"/>
        <v/>
      </c>
      <c r="AH645" t="str">
        <f t="shared" si="162"/>
        <v/>
      </c>
      <c r="AI645" t="str">
        <f t="shared" si="163"/>
        <v/>
      </c>
      <c r="AJ645" t="str">
        <f t="shared" si="164"/>
        <v/>
      </c>
      <c r="AK645" t="str">
        <f t="shared" si="165"/>
        <v/>
      </c>
      <c r="AL645" t="str">
        <f t="shared" si="166"/>
        <v/>
      </c>
      <c r="AN645" t="str">
        <f>IFERROR(ROUND(L645*(G645/$AW645)/VLOOKUP(F645,商品!$A$4:$D$67,4,FALSE),0),"")</f>
        <v/>
      </c>
      <c r="AO645" t="str">
        <f>IFERROR(ROUND(L645*(I645/$AW645)/VLOOKUP(H645,商品!$A$4:$D$67,4,FALSE),0),"")</f>
        <v/>
      </c>
      <c r="AP645" t="str">
        <f>IFERROR(ROUND(L645*(K645/$AW645)/VLOOKUP(J645,商品!$A$4:$D$67,4,FALSE),0),"")</f>
        <v/>
      </c>
      <c r="AQ645" t="str">
        <f>IFERROR(ROUND(S645*(N645/$AX645)/VLOOKUP(M645,职业!$A$3:$E$16,4,FALSE),0),"")</f>
        <v/>
      </c>
      <c r="AR645" t="str">
        <f>IFERROR(ROUND(S645*(P645/$AX645)/VLOOKUP(O645,职业!$A$3:$E$16,4,FALSE),0),"")</f>
        <v/>
      </c>
      <c r="AS645" t="str">
        <f>IFERROR(ROUND(S645*(R645/$AX645)/VLOOKUP(Q645,职业!$A$3:$E$16,4,FALSE),0),"")</f>
        <v/>
      </c>
      <c r="AT645" t="str">
        <f>IFERROR(ROUND(X645*(U645/$AY645)/VLOOKUP(T645,商品!$A$4:$D$67,4,FALSE),0),"")</f>
        <v/>
      </c>
      <c r="AU645" t="str">
        <f>IFERROR(ROUND(X645*(W645/$AY645)/VLOOKUP(V645,商品!$A$4:$D$67,4,FALSE),0),"")</f>
        <v/>
      </c>
      <c r="AW645">
        <f t="shared" si="167"/>
        <v>0</v>
      </c>
      <c r="AX645">
        <f t="shared" si="168"/>
        <v>0</v>
      </c>
      <c r="AY645">
        <f t="shared" si="169"/>
        <v>0</v>
      </c>
    </row>
    <row r="646" customHeight="1" spans="1:51">
      <c r="A646" s="5" t="s">
        <v>405</v>
      </c>
      <c r="C646" s="5">
        <v>1</v>
      </c>
      <c r="D646" s="1" t="s">
        <v>291</v>
      </c>
      <c r="E646" s="1" t="s">
        <v>225</v>
      </c>
      <c r="L646" s="5">
        <f>IFERROR(VLOOKUP($D646&amp;$C646,生产方式定位!$A$2:$E$38,2,FALSE)+VLOOKUP($E646&amp;$C646,生产方式定位!$F$3:$J$38,2,FALSE),0)</f>
        <v>0</v>
      </c>
      <c r="S646" s="5">
        <f>IFERROR(VLOOKUP($D646&amp;$C646,生产方式定位!$A$2:$E$38,3,FALSE)+VLOOKUP($E646&amp;$C646,生产方式定位!$F$3:$J$38,3,FALSE),0)</f>
        <v>100</v>
      </c>
      <c r="X646" s="5">
        <f>IFERROR(VLOOKUP($D646&amp;$C646,生产方式定位!$A$2:$E$38,5,FALSE)+VLOOKUP($E646&amp;$C646,生产方式定位!$F$3:$J$38,5,FALSE),"错误")</f>
        <v>100</v>
      </c>
      <c r="Y646" s="27" t="str">
        <f t="shared" si="170"/>
        <v/>
      </c>
      <c r="Z646" s="50" t="str">
        <f t="shared" ref="Z646:Z709" si="173">IF(AH646="","",AH646)&amp;IF(AI646="","",","&amp;AI646)&amp;IF(AJ646="","",","&amp;AJ646)</f>
        <v/>
      </c>
      <c r="AA646" s="50" t="str">
        <f t="shared" si="171"/>
        <v/>
      </c>
      <c r="AB646" s="28" t="str">
        <f t="shared" ref="AB646:AB709" si="174">IFERROR(ROUND(((X646/L646)-1)*100,0)&amp;"%","")</f>
        <v/>
      </c>
      <c r="AC646" s="1" t="str">
        <f t="shared" ref="AC646:AC709" si="175">IF(X646-S646-L646=0,"",X646-S646-L646)</f>
        <v/>
      </c>
      <c r="AD646" s="51">
        <f t="shared" si="172"/>
        <v>1</v>
      </c>
      <c r="AE646" t="str">
        <f t="shared" ref="AE646:AE709" si="176">IF(AN646="","",F646&amp;"*"&amp;AN646)</f>
        <v/>
      </c>
      <c r="AF646" t="str">
        <f t="shared" ref="AF646:AF709" si="177">IF(AO646="","",H646&amp;"*"&amp;AO646)</f>
        <v/>
      </c>
      <c r="AG646" t="str">
        <f t="shared" ref="AG646:AG709" si="178">IF(AP646="","",J646&amp;"*"&amp;AP646)</f>
        <v/>
      </c>
      <c r="AH646" t="str">
        <f t="shared" ref="AH646:AH709" si="179">IF(AQ646="","",M646&amp;"*"&amp;AQ646)</f>
        <v/>
      </c>
      <c r="AI646" t="str">
        <f t="shared" ref="AI646:AI709" si="180">IF(AR646="","",O646&amp;"*"&amp;AR646)</f>
        <v/>
      </c>
      <c r="AJ646" t="str">
        <f t="shared" ref="AJ646:AJ709" si="181">IF(AS646="","",Q646&amp;"*"&amp;AS646)</f>
        <v/>
      </c>
      <c r="AK646" t="str">
        <f t="shared" ref="AK646:AK709" si="182">IF(AT646="","",T646&amp;"*"&amp;AT646)</f>
        <v/>
      </c>
      <c r="AL646" t="str">
        <f t="shared" ref="AL646:AL709" si="183">IF(AU646="","",V646&amp;"*"&amp;AU646)</f>
        <v/>
      </c>
      <c r="AN646" t="str">
        <f>IFERROR(ROUND(L646*(G646/$AW646)/VLOOKUP(F646,商品!$A$4:$D$67,4,FALSE),0),"")</f>
        <v/>
      </c>
      <c r="AO646" t="str">
        <f>IFERROR(ROUND(L646*(I646/$AW646)/VLOOKUP(H646,商品!$A$4:$D$67,4,FALSE),0),"")</f>
        <v/>
      </c>
      <c r="AP646" t="str">
        <f>IFERROR(ROUND(L646*(K646/$AW646)/VLOOKUP(J646,商品!$A$4:$D$67,4,FALSE),0),"")</f>
        <v/>
      </c>
      <c r="AQ646" t="str">
        <f>IFERROR(ROUND(S646*(N646/$AX646)/VLOOKUP(M646,职业!$A$3:$E$16,4,FALSE),0),"")</f>
        <v/>
      </c>
      <c r="AR646" t="str">
        <f>IFERROR(ROUND(S646*(P646/$AX646)/VLOOKUP(O646,职业!$A$3:$E$16,4,FALSE),0),"")</f>
        <v/>
      </c>
      <c r="AS646" t="str">
        <f>IFERROR(ROUND(S646*(R646/$AX646)/VLOOKUP(Q646,职业!$A$3:$E$16,4,FALSE),0),"")</f>
        <v/>
      </c>
      <c r="AT646" t="str">
        <f>IFERROR(ROUND(X646*(U646/$AY646)/VLOOKUP(T646,商品!$A$4:$D$67,4,FALSE),0),"")</f>
        <v/>
      </c>
      <c r="AU646" t="str">
        <f>IFERROR(ROUND(X646*(W646/$AY646)/VLOOKUP(V646,商品!$A$4:$D$67,4,FALSE),0),"")</f>
        <v/>
      </c>
      <c r="AW646">
        <f t="shared" ref="AW646:AW709" si="184">G646+I646+K646</f>
        <v>0</v>
      </c>
      <c r="AX646">
        <f t="shared" ref="AX646:AX709" si="185">ABS(N646)+ABS(P646)+ABS(R646)</f>
        <v>0</v>
      </c>
      <c r="AY646">
        <f t="shared" ref="AY646:AY709" si="186">U646+W646</f>
        <v>0</v>
      </c>
    </row>
    <row r="647" customHeight="1" spans="1:51">
      <c r="A647" s="5" t="s">
        <v>405</v>
      </c>
      <c r="C647" s="5">
        <v>2</v>
      </c>
      <c r="D647" s="1" t="s">
        <v>291</v>
      </c>
      <c r="E647" s="1" t="s">
        <v>225</v>
      </c>
      <c r="L647" s="5">
        <f>IFERROR(VLOOKUP($D647&amp;$C647,生产方式定位!$A$2:$E$38,2,FALSE)+VLOOKUP($E647&amp;$C647,生产方式定位!$F$3:$J$38,2,FALSE),0)</f>
        <v>0</v>
      </c>
      <c r="S647" s="5">
        <f>IFERROR(VLOOKUP($D647&amp;$C647,生产方式定位!$A$2:$E$38,3,FALSE)+VLOOKUP($E647&amp;$C647,生产方式定位!$F$3:$J$38,3,FALSE),0)</f>
        <v>100</v>
      </c>
      <c r="X647" s="5">
        <f>IFERROR(VLOOKUP($D647&amp;$C647,生产方式定位!$A$2:$E$38,5,FALSE)+VLOOKUP($E647&amp;$C647,生产方式定位!$F$3:$J$38,5,FALSE),"错误")</f>
        <v>100</v>
      </c>
      <c r="Y647" s="27" t="str">
        <f t="shared" si="170"/>
        <v/>
      </c>
      <c r="Z647" s="50" t="str">
        <f t="shared" si="173"/>
        <v/>
      </c>
      <c r="AA647" s="50" t="str">
        <f t="shared" si="171"/>
        <v/>
      </c>
      <c r="AB647" s="28" t="str">
        <f t="shared" si="174"/>
        <v/>
      </c>
      <c r="AC647" s="1" t="str">
        <f t="shared" si="175"/>
        <v/>
      </c>
      <c r="AD647" s="51">
        <f t="shared" si="172"/>
        <v>2</v>
      </c>
      <c r="AE647" t="str">
        <f t="shared" si="176"/>
        <v/>
      </c>
      <c r="AF647" t="str">
        <f t="shared" si="177"/>
        <v/>
      </c>
      <c r="AG647" t="str">
        <f t="shared" si="178"/>
        <v/>
      </c>
      <c r="AH647" t="str">
        <f t="shared" si="179"/>
        <v/>
      </c>
      <c r="AI647" t="str">
        <f t="shared" si="180"/>
        <v/>
      </c>
      <c r="AJ647" t="str">
        <f t="shared" si="181"/>
        <v/>
      </c>
      <c r="AK647" t="str">
        <f t="shared" si="182"/>
        <v/>
      </c>
      <c r="AL647" t="str">
        <f t="shared" si="183"/>
        <v/>
      </c>
      <c r="AN647" t="str">
        <f>IFERROR(ROUND(L647*(G647/$AW647)/VLOOKUP(F647,商品!$A$4:$D$67,4,FALSE),0),"")</f>
        <v/>
      </c>
      <c r="AO647" t="str">
        <f>IFERROR(ROUND(L647*(I647/$AW647)/VLOOKUP(H647,商品!$A$4:$D$67,4,FALSE),0),"")</f>
        <v/>
      </c>
      <c r="AP647" t="str">
        <f>IFERROR(ROUND(L647*(K647/$AW647)/VLOOKUP(J647,商品!$A$4:$D$67,4,FALSE),0),"")</f>
        <v/>
      </c>
      <c r="AQ647" t="str">
        <f>IFERROR(ROUND(S647*(N647/$AX647)/VLOOKUP(M647,职业!$A$3:$E$16,4,FALSE),0),"")</f>
        <v/>
      </c>
      <c r="AR647" t="str">
        <f>IFERROR(ROUND(S647*(P647/$AX647)/VLOOKUP(O647,职业!$A$3:$E$16,4,FALSE),0),"")</f>
        <v/>
      </c>
      <c r="AS647" t="str">
        <f>IFERROR(ROUND(S647*(R647/$AX647)/VLOOKUP(Q647,职业!$A$3:$E$16,4,FALSE),0),"")</f>
        <v/>
      </c>
      <c r="AT647" t="str">
        <f>IFERROR(ROUND(X647*(U647/$AY647)/VLOOKUP(T647,商品!$A$4:$D$67,4,FALSE),0),"")</f>
        <v/>
      </c>
      <c r="AU647" t="str">
        <f>IFERROR(ROUND(X647*(W647/$AY647)/VLOOKUP(V647,商品!$A$4:$D$67,4,FALSE),0),"")</f>
        <v/>
      </c>
      <c r="AW647">
        <f t="shared" si="184"/>
        <v>0</v>
      </c>
      <c r="AX647">
        <f t="shared" si="185"/>
        <v>0</v>
      </c>
      <c r="AY647">
        <f t="shared" si="186"/>
        <v>0</v>
      </c>
    </row>
    <row r="648" customHeight="1" spans="1:51">
      <c r="A648" s="5" t="s">
        <v>405</v>
      </c>
      <c r="C648" s="5">
        <v>3</v>
      </c>
      <c r="D648" s="1" t="s">
        <v>291</v>
      </c>
      <c r="E648" s="1" t="s">
        <v>225</v>
      </c>
      <c r="L648" s="5">
        <f>IFERROR(VLOOKUP($D648&amp;$C648,生产方式定位!$A$2:$E$38,2,FALSE)+VLOOKUP($E648&amp;$C648,生产方式定位!$F$3:$J$38,2,FALSE),0)</f>
        <v>0</v>
      </c>
      <c r="S648" s="5">
        <f>IFERROR(VLOOKUP($D648&amp;$C648,生产方式定位!$A$2:$E$38,3,FALSE)+VLOOKUP($E648&amp;$C648,生产方式定位!$F$3:$J$38,3,FALSE),0)</f>
        <v>100</v>
      </c>
      <c r="X648" s="5">
        <f>IFERROR(VLOOKUP($D648&amp;$C648,生产方式定位!$A$2:$E$38,5,FALSE)+VLOOKUP($E648&amp;$C648,生产方式定位!$F$3:$J$38,5,FALSE),"错误")</f>
        <v>100</v>
      </c>
      <c r="Y648" s="27" t="str">
        <f t="shared" si="170"/>
        <v/>
      </c>
      <c r="Z648" s="50" t="str">
        <f t="shared" si="173"/>
        <v/>
      </c>
      <c r="AA648" s="50" t="str">
        <f t="shared" si="171"/>
        <v/>
      </c>
      <c r="AB648" s="28" t="str">
        <f t="shared" si="174"/>
        <v/>
      </c>
      <c r="AC648" s="1" t="str">
        <f t="shared" si="175"/>
        <v/>
      </c>
      <c r="AD648" s="51">
        <f t="shared" si="172"/>
        <v>3</v>
      </c>
      <c r="AE648" t="str">
        <f t="shared" si="176"/>
        <v/>
      </c>
      <c r="AF648" t="str">
        <f t="shared" si="177"/>
        <v/>
      </c>
      <c r="AG648" t="str">
        <f t="shared" si="178"/>
        <v/>
      </c>
      <c r="AH648" t="str">
        <f t="shared" si="179"/>
        <v/>
      </c>
      <c r="AI648" t="str">
        <f t="shared" si="180"/>
        <v/>
      </c>
      <c r="AJ648" t="str">
        <f t="shared" si="181"/>
        <v/>
      </c>
      <c r="AK648" t="str">
        <f t="shared" si="182"/>
        <v/>
      </c>
      <c r="AL648" t="str">
        <f t="shared" si="183"/>
        <v/>
      </c>
      <c r="AN648" t="str">
        <f>IFERROR(ROUND(L648*(G648/$AW648)/VLOOKUP(F648,商品!$A$4:$D$67,4,FALSE),0),"")</f>
        <v/>
      </c>
      <c r="AO648" t="str">
        <f>IFERROR(ROUND(L648*(I648/$AW648)/VLOOKUP(H648,商品!$A$4:$D$67,4,FALSE),0),"")</f>
        <v/>
      </c>
      <c r="AP648" t="str">
        <f>IFERROR(ROUND(L648*(K648/$AW648)/VLOOKUP(J648,商品!$A$4:$D$67,4,FALSE),0),"")</f>
        <v/>
      </c>
      <c r="AQ648" t="str">
        <f>IFERROR(ROUND(S648*(N648/$AX648)/VLOOKUP(M648,职业!$A$3:$E$16,4,FALSE),0),"")</f>
        <v/>
      </c>
      <c r="AR648" t="str">
        <f>IFERROR(ROUND(S648*(P648/$AX648)/VLOOKUP(O648,职业!$A$3:$E$16,4,FALSE),0),"")</f>
        <v/>
      </c>
      <c r="AS648" t="str">
        <f>IFERROR(ROUND(S648*(R648/$AX648)/VLOOKUP(Q648,职业!$A$3:$E$16,4,FALSE),0),"")</f>
        <v/>
      </c>
      <c r="AT648" t="str">
        <f>IFERROR(ROUND(X648*(U648/$AY648)/VLOOKUP(T648,商品!$A$4:$D$67,4,FALSE),0),"")</f>
        <v/>
      </c>
      <c r="AU648" t="str">
        <f>IFERROR(ROUND(X648*(W648/$AY648)/VLOOKUP(V648,商品!$A$4:$D$67,4,FALSE),0),"")</f>
        <v/>
      </c>
      <c r="AW648">
        <f t="shared" si="184"/>
        <v>0</v>
      </c>
      <c r="AX648">
        <f t="shared" si="185"/>
        <v>0</v>
      </c>
      <c r="AY648">
        <f t="shared" si="186"/>
        <v>0</v>
      </c>
    </row>
    <row r="649" customHeight="1" spans="1:51">
      <c r="A649" s="5" t="s">
        <v>405</v>
      </c>
      <c r="C649" s="5">
        <v>4</v>
      </c>
      <c r="D649" s="1" t="s">
        <v>291</v>
      </c>
      <c r="E649" s="1" t="s">
        <v>225</v>
      </c>
      <c r="L649" s="5">
        <f>IFERROR(VLOOKUP($D649&amp;$C649,生产方式定位!$A$2:$E$38,2,FALSE)+VLOOKUP($E649&amp;$C649,生产方式定位!$F$3:$J$38,2,FALSE),0)</f>
        <v>0</v>
      </c>
      <c r="S649" s="5">
        <f>IFERROR(VLOOKUP($D649&amp;$C649,生产方式定位!$A$2:$E$38,3,FALSE)+VLOOKUP($E649&amp;$C649,生产方式定位!$F$3:$J$38,3,FALSE),0)</f>
        <v>100</v>
      </c>
      <c r="X649" s="5">
        <f>IFERROR(VLOOKUP($D649&amp;$C649,生产方式定位!$A$2:$E$38,5,FALSE)+VLOOKUP($E649&amp;$C649,生产方式定位!$F$3:$J$38,5,FALSE),"错误")</f>
        <v>100</v>
      </c>
      <c r="Y649" s="27" t="str">
        <f t="shared" si="170"/>
        <v/>
      </c>
      <c r="Z649" s="50" t="str">
        <f t="shared" si="173"/>
        <v/>
      </c>
      <c r="AA649" s="50" t="str">
        <f t="shared" si="171"/>
        <v/>
      </c>
      <c r="AB649" s="28" t="str">
        <f t="shared" si="174"/>
        <v/>
      </c>
      <c r="AC649" s="1" t="str">
        <f t="shared" si="175"/>
        <v/>
      </c>
      <c r="AD649" s="51">
        <f t="shared" si="172"/>
        <v>4</v>
      </c>
      <c r="AE649" t="str">
        <f t="shared" si="176"/>
        <v/>
      </c>
      <c r="AF649" t="str">
        <f t="shared" si="177"/>
        <v/>
      </c>
      <c r="AG649" t="str">
        <f t="shared" si="178"/>
        <v/>
      </c>
      <c r="AH649" t="str">
        <f t="shared" si="179"/>
        <v/>
      </c>
      <c r="AI649" t="str">
        <f t="shared" si="180"/>
        <v/>
      </c>
      <c r="AJ649" t="str">
        <f t="shared" si="181"/>
        <v/>
      </c>
      <c r="AK649" t="str">
        <f t="shared" si="182"/>
        <v/>
      </c>
      <c r="AL649" t="str">
        <f t="shared" si="183"/>
        <v/>
      </c>
      <c r="AN649" t="str">
        <f>IFERROR(ROUND(L649*(G649/$AW649)/VLOOKUP(F649,商品!$A$4:$D$67,4,FALSE),0),"")</f>
        <v/>
      </c>
      <c r="AO649" t="str">
        <f>IFERROR(ROUND(L649*(I649/$AW649)/VLOOKUP(H649,商品!$A$4:$D$67,4,FALSE),0),"")</f>
        <v/>
      </c>
      <c r="AP649" t="str">
        <f>IFERROR(ROUND(L649*(K649/$AW649)/VLOOKUP(J649,商品!$A$4:$D$67,4,FALSE),0),"")</f>
        <v/>
      </c>
      <c r="AQ649" t="str">
        <f>IFERROR(ROUND(S649*(N649/$AX649)/VLOOKUP(M649,职业!$A$3:$E$16,4,FALSE),0),"")</f>
        <v/>
      </c>
      <c r="AR649" t="str">
        <f>IFERROR(ROUND(S649*(P649/$AX649)/VLOOKUP(O649,职业!$A$3:$E$16,4,FALSE),0),"")</f>
        <v/>
      </c>
      <c r="AS649" t="str">
        <f>IFERROR(ROUND(S649*(R649/$AX649)/VLOOKUP(Q649,职业!$A$3:$E$16,4,FALSE),0),"")</f>
        <v/>
      </c>
      <c r="AT649" t="str">
        <f>IFERROR(ROUND(X649*(U649/$AY649)/VLOOKUP(T649,商品!$A$4:$D$67,4,FALSE),0),"")</f>
        <v/>
      </c>
      <c r="AU649" t="str">
        <f>IFERROR(ROUND(X649*(W649/$AY649)/VLOOKUP(V649,商品!$A$4:$D$67,4,FALSE),0),"")</f>
        <v/>
      </c>
      <c r="AW649">
        <f t="shared" si="184"/>
        <v>0</v>
      </c>
      <c r="AX649">
        <f t="shared" si="185"/>
        <v>0</v>
      </c>
      <c r="AY649">
        <f t="shared" si="186"/>
        <v>0</v>
      </c>
    </row>
    <row r="650" customHeight="1" spans="1:51">
      <c r="A650" s="5" t="s">
        <v>405</v>
      </c>
      <c r="C650" s="5">
        <v>5</v>
      </c>
      <c r="D650" s="1" t="s">
        <v>291</v>
      </c>
      <c r="E650" s="1" t="s">
        <v>225</v>
      </c>
      <c r="L650" s="5">
        <f>IFERROR(VLOOKUP($D650&amp;$C650,生产方式定位!$A$2:$E$38,2,FALSE)+VLOOKUP($E650&amp;$C650,生产方式定位!$F$3:$J$38,2,FALSE),0)</f>
        <v>0</v>
      </c>
      <c r="S650" s="5">
        <f>IFERROR(VLOOKUP($D650&amp;$C650,生产方式定位!$A$2:$E$38,3,FALSE)+VLOOKUP($E650&amp;$C650,生产方式定位!$F$3:$J$38,3,FALSE),0)</f>
        <v>100</v>
      </c>
      <c r="X650" s="5">
        <f>IFERROR(VLOOKUP($D650&amp;$C650,生产方式定位!$A$2:$E$38,5,FALSE)+VLOOKUP($E650&amp;$C650,生产方式定位!$F$3:$J$38,5,FALSE),"错误")</f>
        <v>100</v>
      </c>
      <c r="Y650" s="27" t="str">
        <f t="shared" si="170"/>
        <v/>
      </c>
      <c r="Z650" s="50" t="str">
        <f t="shared" si="173"/>
        <v/>
      </c>
      <c r="AA650" s="50" t="str">
        <f t="shared" si="171"/>
        <v/>
      </c>
      <c r="AB650" s="28" t="str">
        <f t="shared" si="174"/>
        <v/>
      </c>
      <c r="AC650" s="1" t="str">
        <f t="shared" si="175"/>
        <v/>
      </c>
      <c r="AD650" s="51">
        <f t="shared" si="172"/>
        <v>5</v>
      </c>
      <c r="AE650" t="str">
        <f t="shared" si="176"/>
        <v/>
      </c>
      <c r="AF650" t="str">
        <f t="shared" si="177"/>
        <v/>
      </c>
      <c r="AG650" t="str">
        <f t="shared" si="178"/>
        <v/>
      </c>
      <c r="AH650" t="str">
        <f t="shared" si="179"/>
        <v/>
      </c>
      <c r="AI650" t="str">
        <f t="shared" si="180"/>
        <v/>
      </c>
      <c r="AJ650" t="str">
        <f t="shared" si="181"/>
        <v/>
      </c>
      <c r="AK650" t="str">
        <f t="shared" si="182"/>
        <v/>
      </c>
      <c r="AL650" t="str">
        <f t="shared" si="183"/>
        <v/>
      </c>
      <c r="AN650" t="str">
        <f>IFERROR(ROUND(L650*(G650/$AW650)/VLOOKUP(F650,商品!$A$4:$D$67,4,FALSE),0),"")</f>
        <v/>
      </c>
      <c r="AO650" t="str">
        <f>IFERROR(ROUND(L650*(I650/$AW650)/VLOOKUP(H650,商品!$A$4:$D$67,4,FALSE),0),"")</f>
        <v/>
      </c>
      <c r="AP650" t="str">
        <f>IFERROR(ROUND(L650*(K650/$AW650)/VLOOKUP(J650,商品!$A$4:$D$67,4,FALSE),0),"")</f>
        <v/>
      </c>
      <c r="AQ650" t="str">
        <f>IFERROR(ROUND(S650*(N650/$AX650)/VLOOKUP(M650,职业!$A$3:$E$16,4,FALSE),0),"")</f>
        <v/>
      </c>
      <c r="AR650" t="str">
        <f>IFERROR(ROUND(S650*(P650/$AX650)/VLOOKUP(O650,职业!$A$3:$E$16,4,FALSE),0),"")</f>
        <v/>
      </c>
      <c r="AS650" t="str">
        <f>IFERROR(ROUND(S650*(R650/$AX650)/VLOOKUP(Q650,职业!$A$3:$E$16,4,FALSE),0),"")</f>
        <v/>
      </c>
      <c r="AT650" t="str">
        <f>IFERROR(ROUND(X650*(U650/$AY650)/VLOOKUP(T650,商品!$A$4:$D$67,4,FALSE),0),"")</f>
        <v/>
      </c>
      <c r="AU650" t="str">
        <f>IFERROR(ROUND(X650*(W650/$AY650)/VLOOKUP(V650,商品!$A$4:$D$67,4,FALSE),0),"")</f>
        <v/>
      </c>
      <c r="AW650">
        <f t="shared" si="184"/>
        <v>0</v>
      </c>
      <c r="AX650">
        <f t="shared" si="185"/>
        <v>0</v>
      </c>
      <c r="AY650">
        <f t="shared" si="186"/>
        <v>0</v>
      </c>
    </row>
    <row r="651" customHeight="1" spans="1:51">
      <c r="A651" s="5" t="s">
        <v>405</v>
      </c>
      <c r="C651" s="5">
        <v>6</v>
      </c>
      <c r="D651" s="1" t="s">
        <v>291</v>
      </c>
      <c r="E651" s="1" t="s">
        <v>225</v>
      </c>
      <c r="L651" s="5">
        <f>IFERROR(VLOOKUP($D651&amp;$C651,生产方式定位!$A$2:$E$38,2,FALSE)+VLOOKUP($E651&amp;$C651,生产方式定位!$F$3:$J$38,2,FALSE),0)</f>
        <v>0</v>
      </c>
      <c r="S651" s="5">
        <f>IFERROR(VLOOKUP($D651&amp;$C651,生产方式定位!$A$2:$E$38,3,FALSE)+VLOOKUP($E651&amp;$C651,生产方式定位!$F$3:$J$38,3,FALSE),0)</f>
        <v>100</v>
      </c>
      <c r="X651" s="5">
        <f>IFERROR(VLOOKUP($D651&amp;$C651,生产方式定位!$A$2:$E$38,5,FALSE)+VLOOKUP($E651&amp;$C651,生产方式定位!$F$3:$J$38,5,FALSE),"错误")</f>
        <v>100</v>
      </c>
      <c r="Y651" s="27" t="str">
        <f t="shared" si="170"/>
        <v/>
      </c>
      <c r="Z651" s="50" t="str">
        <f t="shared" si="173"/>
        <v/>
      </c>
      <c r="AA651" s="50" t="str">
        <f t="shared" si="171"/>
        <v/>
      </c>
      <c r="AB651" s="28" t="str">
        <f t="shared" si="174"/>
        <v/>
      </c>
      <c r="AC651" s="1" t="str">
        <f t="shared" si="175"/>
        <v/>
      </c>
      <c r="AD651" s="51">
        <f t="shared" si="172"/>
        <v>6</v>
      </c>
      <c r="AE651" t="str">
        <f t="shared" si="176"/>
        <v/>
      </c>
      <c r="AF651" t="str">
        <f t="shared" si="177"/>
        <v/>
      </c>
      <c r="AG651" t="str">
        <f t="shared" si="178"/>
        <v/>
      </c>
      <c r="AH651" t="str">
        <f t="shared" si="179"/>
        <v/>
      </c>
      <c r="AI651" t="str">
        <f t="shared" si="180"/>
        <v/>
      </c>
      <c r="AJ651" t="str">
        <f t="shared" si="181"/>
        <v/>
      </c>
      <c r="AK651" t="str">
        <f t="shared" si="182"/>
        <v/>
      </c>
      <c r="AL651" t="str">
        <f t="shared" si="183"/>
        <v/>
      </c>
      <c r="AN651" t="str">
        <f>IFERROR(ROUND(L651*(G651/$AW651)/VLOOKUP(F651,商品!$A$4:$D$67,4,FALSE),0),"")</f>
        <v/>
      </c>
      <c r="AO651" t="str">
        <f>IFERROR(ROUND(L651*(I651/$AW651)/VLOOKUP(H651,商品!$A$4:$D$67,4,FALSE),0),"")</f>
        <v/>
      </c>
      <c r="AP651" t="str">
        <f>IFERROR(ROUND(L651*(K651/$AW651)/VLOOKUP(J651,商品!$A$4:$D$67,4,FALSE),0),"")</f>
        <v/>
      </c>
      <c r="AQ651" t="str">
        <f>IFERROR(ROUND(S651*(N651/$AX651)/VLOOKUP(M651,职业!$A$3:$E$16,4,FALSE),0),"")</f>
        <v/>
      </c>
      <c r="AR651" t="str">
        <f>IFERROR(ROUND(S651*(P651/$AX651)/VLOOKUP(O651,职业!$A$3:$E$16,4,FALSE),0),"")</f>
        <v/>
      </c>
      <c r="AS651" t="str">
        <f>IFERROR(ROUND(S651*(R651/$AX651)/VLOOKUP(Q651,职业!$A$3:$E$16,4,FALSE),0),"")</f>
        <v/>
      </c>
      <c r="AT651" t="str">
        <f>IFERROR(ROUND(X651*(U651/$AY651)/VLOOKUP(T651,商品!$A$4:$D$67,4,FALSE),0),"")</f>
        <v/>
      </c>
      <c r="AU651" t="str">
        <f>IFERROR(ROUND(X651*(W651/$AY651)/VLOOKUP(V651,商品!$A$4:$D$67,4,FALSE),0),"")</f>
        <v/>
      </c>
      <c r="AW651">
        <f t="shared" si="184"/>
        <v>0</v>
      </c>
      <c r="AX651">
        <f t="shared" si="185"/>
        <v>0</v>
      </c>
      <c r="AY651">
        <f t="shared" si="186"/>
        <v>0</v>
      </c>
    </row>
    <row r="652" customHeight="1" spans="1:51">
      <c r="A652" s="5" t="s">
        <v>405</v>
      </c>
      <c r="C652" s="5">
        <v>7</v>
      </c>
      <c r="D652" s="1" t="s">
        <v>291</v>
      </c>
      <c r="E652" s="1" t="s">
        <v>225</v>
      </c>
      <c r="L652" s="5">
        <f>IFERROR(VLOOKUP($D652&amp;$C652,生产方式定位!$A$2:$E$38,2,FALSE)+VLOOKUP($E652&amp;$C652,生产方式定位!$F$3:$J$38,2,FALSE),0)</f>
        <v>0</v>
      </c>
      <c r="S652" s="5">
        <f>IFERROR(VLOOKUP($D652&amp;$C652,生产方式定位!$A$2:$E$38,3,FALSE)+VLOOKUP($E652&amp;$C652,生产方式定位!$F$3:$J$38,3,FALSE),0)</f>
        <v>100</v>
      </c>
      <c r="X652" s="5">
        <f>IFERROR(VLOOKUP($D652&amp;$C652,生产方式定位!$A$2:$E$38,5,FALSE)+VLOOKUP($E652&amp;$C652,生产方式定位!$F$3:$J$38,5,FALSE),"错误")</f>
        <v>100</v>
      </c>
      <c r="Y652" s="27" t="str">
        <f t="shared" si="170"/>
        <v/>
      </c>
      <c r="Z652" s="50" t="str">
        <f t="shared" si="173"/>
        <v/>
      </c>
      <c r="AA652" s="50" t="str">
        <f t="shared" si="171"/>
        <v/>
      </c>
      <c r="AB652" s="28" t="str">
        <f t="shared" si="174"/>
        <v/>
      </c>
      <c r="AC652" s="1" t="str">
        <f t="shared" si="175"/>
        <v/>
      </c>
      <c r="AD652" s="51">
        <f t="shared" si="172"/>
        <v>7</v>
      </c>
      <c r="AE652" t="str">
        <f t="shared" si="176"/>
        <v/>
      </c>
      <c r="AF652" t="str">
        <f t="shared" si="177"/>
        <v/>
      </c>
      <c r="AG652" t="str">
        <f t="shared" si="178"/>
        <v/>
      </c>
      <c r="AH652" t="str">
        <f t="shared" si="179"/>
        <v/>
      </c>
      <c r="AI652" t="str">
        <f t="shared" si="180"/>
        <v/>
      </c>
      <c r="AJ652" t="str">
        <f t="shared" si="181"/>
        <v/>
      </c>
      <c r="AK652" t="str">
        <f t="shared" si="182"/>
        <v/>
      </c>
      <c r="AL652" t="str">
        <f t="shared" si="183"/>
        <v/>
      </c>
      <c r="AN652" t="str">
        <f>IFERROR(ROUND(L652*(G652/$AW652)/VLOOKUP(F652,商品!$A$4:$D$67,4,FALSE),0),"")</f>
        <v/>
      </c>
      <c r="AO652" t="str">
        <f>IFERROR(ROUND(L652*(I652/$AW652)/VLOOKUP(H652,商品!$A$4:$D$67,4,FALSE),0),"")</f>
        <v/>
      </c>
      <c r="AP652" t="str">
        <f>IFERROR(ROUND(L652*(K652/$AW652)/VLOOKUP(J652,商品!$A$4:$D$67,4,FALSE),0),"")</f>
        <v/>
      </c>
      <c r="AQ652" t="str">
        <f>IFERROR(ROUND(S652*(N652/$AX652)/VLOOKUP(M652,职业!$A$3:$E$16,4,FALSE),0),"")</f>
        <v/>
      </c>
      <c r="AR652" t="str">
        <f>IFERROR(ROUND(S652*(P652/$AX652)/VLOOKUP(O652,职业!$A$3:$E$16,4,FALSE),0),"")</f>
        <v/>
      </c>
      <c r="AS652" t="str">
        <f>IFERROR(ROUND(S652*(R652/$AX652)/VLOOKUP(Q652,职业!$A$3:$E$16,4,FALSE),0),"")</f>
        <v/>
      </c>
      <c r="AT652" t="str">
        <f>IFERROR(ROUND(X652*(U652/$AY652)/VLOOKUP(T652,商品!$A$4:$D$67,4,FALSE),0),"")</f>
        <v/>
      </c>
      <c r="AU652" t="str">
        <f>IFERROR(ROUND(X652*(W652/$AY652)/VLOOKUP(V652,商品!$A$4:$D$67,4,FALSE),0),"")</f>
        <v/>
      </c>
      <c r="AW652">
        <f t="shared" si="184"/>
        <v>0</v>
      </c>
      <c r="AX652">
        <f t="shared" si="185"/>
        <v>0</v>
      </c>
      <c r="AY652">
        <f t="shared" si="186"/>
        <v>0</v>
      </c>
    </row>
    <row r="653" customHeight="1" spans="1:51">
      <c r="A653" s="5" t="s">
        <v>405</v>
      </c>
      <c r="C653" s="5">
        <v>8</v>
      </c>
      <c r="D653" s="1" t="s">
        <v>291</v>
      </c>
      <c r="E653" s="1" t="s">
        <v>225</v>
      </c>
      <c r="L653" s="5">
        <f>IFERROR(VLOOKUP($D653&amp;$C653,生产方式定位!$A$2:$E$38,2,FALSE)+VLOOKUP($E653&amp;$C653,生产方式定位!$F$3:$J$38,2,FALSE),0)</f>
        <v>0</v>
      </c>
      <c r="S653" s="5">
        <f>IFERROR(VLOOKUP($D653&amp;$C653,生产方式定位!$A$2:$E$38,3,FALSE)+VLOOKUP($E653&amp;$C653,生产方式定位!$F$3:$J$38,3,FALSE),0)</f>
        <v>100</v>
      </c>
      <c r="X653" s="5">
        <f>IFERROR(VLOOKUP($D653&amp;$C653,生产方式定位!$A$2:$E$38,5,FALSE)+VLOOKUP($E653&amp;$C653,生产方式定位!$F$3:$J$38,5,FALSE),"错误")</f>
        <v>100</v>
      </c>
      <c r="Y653" s="27" t="str">
        <f t="shared" si="170"/>
        <v/>
      </c>
      <c r="Z653" s="50" t="str">
        <f t="shared" si="173"/>
        <v/>
      </c>
      <c r="AA653" s="50" t="str">
        <f t="shared" si="171"/>
        <v/>
      </c>
      <c r="AB653" s="28" t="str">
        <f t="shared" si="174"/>
        <v/>
      </c>
      <c r="AC653" s="1" t="str">
        <f t="shared" si="175"/>
        <v/>
      </c>
      <c r="AD653" s="51">
        <f t="shared" si="172"/>
        <v>8</v>
      </c>
      <c r="AE653" t="str">
        <f t="shared" si="176"/>
        <v/>
      </c>
      <c r="AF653" t="str">
        <f t="shared" si="177"/>
        <v/>
      </c>
      <c r="AG653" t="str">
        <f t="shared" si="178"/>
        <v/>
      </c>
      <c r="AH653" t="str">
        <f t="shared" si="179"/>
        <v/>
      </c>
      <c r="AI653" t="str">
        <f t="shared" si="180"/>
        <v/>
      </c>
      <c r="AJ653" t="str">
        <f t="shared" si="181"/>
        <v/>
      </c>
      <c r="AK653" t="str">
        <f t="shared" si="182"/>
        <v/>
      </c>
      <c r="AL653" t="str">
        <f t="shared" si="183"/>
        <v/>
      </c>
      <c r="AN653" t="str">
        <f>IFERROR(ROUND(L653*(G653/$AW653)/VLOOKUP(F653,商品!$A$4:$D$67,4,FALSE),0),"")</f>
        <v/>
      </c>
      <c r="AO653" t="str">
        <f>IFERROR(ROUND(L653*(I653/$AW653)/VLOOKUP(H653,商品!$A$4:$D$67,4,FALSE),0),"")</f>
        <v/>
      </c>
      <c r="AP653" t="str">
        <f>IFERROR(ROUND(L653*(K653/$AW653)/VLOOKUP(J653,商品!$A$4:$D$67,4,FALSE),0),"")</f>
        <v/>
      </c>
      <c r="AQ653" t="str">
        <f>IFERROR(ROUND(S653*(N653/$AX653)/VLOOKUP(M653,职业!$A$3:$E$16,4,FALSE),0),"")</f>
        <v/>
      </c>
      <c r="AR653" t="str">
        <f>IFERROR(ROUND(S653*(P653/$AX653)/VLOOKUP(O653,职业!$A$3:$E$16,4,FALSE),0),"")</f>
        <v/>
      </c>
      <c r="AS653" t="str">
        <f>IFERROR(ROUND(S653*(R653/$AX653)/VLOOKUP(Q653,职业!$A$3:$E$16,4,FALSE),0),"")</f>
        <v/>
      </c>
      <c r="AT653" t="str">
        <f>IFERROR(ROUND(X653*(U653/$AY653)/VLOOKUP(T653,商品!$A$4:$D$67,4,FALSE),0),"")</f>
        <v/>
      </c>
      <c r="AU653" t="str">
        <f>IFERROR(ROUND(X653*(W653/$AY653)/VLOOKUP(V653,商品!$A$4:$D$67,4,FALSE),0),"")</f>
        <v/>
      </c>
      <c r="AW653">
        <f t="shared" si="184"/>
        <v>0</v>
      </c>
      <c r="AX653">
        <f t="shared" si="185"/>
        <v>0</v>
      </c>
      <c r="AY653">
        <f t="shared" si="186"/>
        <v>0</v>
      </c>
    </row>
    <row r="654" customHeight="1" spans="1:51">
      <c r="A654" s="18" t="s">
        <v>407</v>
      </c>
      <c r="C654" s="18">
        <v>1</v>
      </c>
      <c r="D654" s="1" t="s">
        <v>260</v>
      </c>
      <c r="E654" s="1" t="s">
        <v>222</v>
      </c>
      <c r="L654" s="18">
        <f>IFERROR(VLOOKUP($D654&amp;$C654,生产方式定位!$A$2:$E$38,2,FALSE)+VLOOKUP($E654&amp;$C654,生产方式定位!$F$3:$J$38,2,FALSE),0)</f>
        <v>0</v>
      </c>
      <c r="S654" s="18">
        <f>IFERROR(VLOOKUP($D654&amp;$C654,生产方式定位!$A$2:$E$38,3,FALSE)+VLOOKUP($E654&amp;$C654,生产方式定位!$F$3:$J$38,3,FALSE),0)</f>
        <v>70</v>
      </c>
      <c r="X654" s="18">
        <f>IFERROR(VLOOKUP($D654&amp;$C654,生产方式定位!$A$2:$E$38,5,FALSE)+VLOOKUP($E654&amp;$C654,生产方式定位!$F$3:$J$38,5,FALSE),"错误")</f>
        <v>350</v>
      </c>
      <c r="Y654" s="27" t="str">
        <f t="shared" si="170"/>
        <v/>
      </c>
      <c r="Z654" s="50" t="str">
        <f t="shared" si="173"/>
        <v/>
      </c>
      <c r="AA654" s="50" t="str">
        <f t="shared" si="171"/>
        <v/>
      </c>
      <c r="AB654" s="28" t="str">
        <f t="shared" si="174"/>
        <v/>
      </c>
      <c r="AC654" s="1">
        <f t="shared" si="175"/>
        <v>280</v>
      </c>
      <c r="AD654" s="52">
        <f t="shared" si="172"/>
        <v>1</v>
      </c>
      <c r="AE654" t="str">
        <f t="shared" si="176"/>
        <v/>
      </c>
      <c r="AF654" t="str">
        <f t="shared" si="177"/>
        <v/>
      </c>
      <c r="AG654" t="str">
        <f t="shared" si="178"/>
        <v/>
      </c>
      <c r="AH654" t="str">
        <f t="shared" si="179"/>
        <v/>
      </c>
      <c r="AI654" t="str">
        <f t="shared" si="180"/>
        <v/>
      </c>
      <c r="AJ654" t="str">
        <f t="shared" si="181"/>
        <v/>
      </c>
      <c r="AK654" t="str">
        <f t="shared" si="182"/>
        <v/>
      </c>
      <c r="AL654" t="str">
        <f t="shared" si="183"/>
        <v/>
      </c>
      <c r="AN654" t="str">
        <f>IFERROR(ROUND(L654*(G654/$AW654)/VLOOKUP(F654,商品!$A$4:$D$67,4,FALSE),0),"")</f>
        <v/>
      </c>
      <c r="AO654" t="str">
        <f>IFERROR(ROUND(L654*(I654/$AW654)/VLOOKUP(H654,商品!$A$4:$D$67,4,FALSE),0),"")</f>
        <v/>
      </c>
      <c r="AP654" t="str">
        <f>IFERROR(ROUND(L654*(K654/$AW654)/VLOOKUP(J654,商品!$A$4:$D$67,4,FALSE),0),"")</f>
        <v/>
      </c>
      <c r="AQ654" t="str">
        <f>IFERROR(ROUND(S654*(N654/$AX654)/VLOOKUP(M654,职业!$A$3:$E$16,4,FALSE),0),"")</f>
        <v/>
      </c>
      <c r="AR654" t="str">
        <f>IFERROR(ROUND(S654*(P654/$AX654)/VLOOKUP(O654,职业!$A$3:$E$16,4,FALSE),0),"")</f>
        <v/>
      </c>
      <c r="AS654" t="str">
        <f>IFERROR(ROUND(S654*(R654/$AX654)/VLOOKUP(Q654,职业!$A$3:$E$16,4,FALSE),0),"")</f>
        <v/>
      </c>
      <c r="AT654" t="str">
        <f>IFERROR(ROUND(X654*(U654/$AY654)/VLOOKUP(T654,商品!$A$4:$D$67,4,FALSE),0),"")</f>
        <v/>
      </c>
      <c r="AU654" t="str">
        <f>IFERROR(ROUND(X654*(W654/$AY654)/VLOOKUP(V654,商品!$A$4:$D$67,4,FALSE),0),"")</f>
        <v/>
      </c>
      <c r="AW654">
        <f t="shared" si="184"/>
        <v>0</v>
      </c>
      <c r="AX654">
        <f t="shared" si="185"/>
        <v>0</v>
      </c>
      <c r="AY654">
        <f t="shared" si="186"/>
        <v>0</v>
      </c>
    </row>
    <row r="655" customHeight="1" spans="1:51">
      <c r="A655" s="18" t="s">
        <v>407</v>
      </c>
      <c r="C655" s="18">
        <v>2</v>
      </c>
      <c r="D655" s="1" t="s">
        <v>260</v>
      </c>
      <c r="E655" s="1" t="s">
        <v>222</v>
      </c>
      <c r="L655" s="18">
        <f>IFERROR(VLOOKUP($D655&amp;$C655,生产方式定位!$A$2:$E$38,2,FALSE)+VLOOKUP($E655&amp;$C655,生产方式定位!$F$3:$J$38,2,FALSE),0)</f>
        <v>1000</v>
      </c>
      <c r="S655" s="18">
        <f>IFERROR(VLOOKUP($D655&amp;$C655,生产方式定位!$A$2:$E$38,3,FALSE)+VLOOKUP($E655&amp;$C655,生产方式定位!$F$3:$J$38,3,FALSE),0)</f>
        <v>90</v>
      </c>
      <c r="X655" s="18">
        <f>IFERROR(VLOOKUP($D655&amp;$C655,生产方式定位!$A$2:$E$38,5,FALSE)+VLOOKUP($E655&amp;$C655,生产方式定位!$F$3:$J$38,5,FALSE),"错误")</f>
        <v>1140</v>
      </c>
      <c r="Y655" s="27" t="str">
        <f t="shared" si="170"/>
        <v/>
      </c>
      <c r="Z655" s="50" t="str">
        <f t="shared" si="173"/>
        <v/>
      </c>
      <c r="AA655" s="50" t="str">
        <f t="shared" si="171"/>
        <v/>
      </c>
      <c r="AB655" s="28" t="str">
        <f t="shared" si="174"/>
        <v>14%</v>
      </c>
      <c r="AC655" s="1">
        <f t="shared" si="175"/>
        <v>50</v>
      </c>
      <c r="AD655" s="52">
        <f t="shared" si="172"/>
        <v>2</v>
      </c>
      <c r="AE655" t="str">
        <f t="shared" si="176"/>
        <v/>
      </c>
      <c r="AF655" t="str">
        <f t="shared" si="177"/>
        <v/>
      </c>
      <c r="AG655" t="str">
        <f t="shared" si="178"/>
        <v/>
      </c>
      <c r="AH655" t="str">
        <f t="shared" si="179"/>
        <v/>
      </c>
      <c r="AI655" t="str">
        <f t="shared" si="180"/>
        <v/>
      </c>
      <c r="AJ655" t="str">
        <f t="shared" si="181"/>
        <v/>
      </c>
      <c r="AK655" t="str">
        <f t="shared" si="182"/>
        <v/>
      </c>
      <c r="AL655" t="str">
        <f t="shared" si="183"/>
        <v/>
      </c>
      <c r="AN655" t="str">
        <f>IFERROR(ROUND(L655*(G655/$AW655)/VLOOKUP(F655,商品!$A$4:$D$67,4,FALSE),0),"")</f>
        <v/>
      </c>
      <c r="AO655" t="str">
        <f>IFERROR(ROUND(L655*(I655/$AW655)/VLOOKUP(H655,商品!$A$4:$D$67,4,FALSE),0),"")</f>
        <v/>
      </c>
      <c r="AP655" t="str">
        <f>IFERROR(ROUND(L655*(K655/$AW655)/VLOOKUP(J655,商品!$A$4:$D$67,4,FALSE),0),"")</f>
        <v/>
      </c>
      <c r="AQ655" t="str">
        <f>IFERROR(ROUND(S655*(N655/$AX655)/VLOOKUP(M655,职业!$A$3:$E$16,4,FALSE),0),"")</f>
        <v/>
      </c>
      <c r="AR655" t="str">
        <f>IFERROR(ROUND(S655*(P655/$AX655)/VLOOKUP(O655,职业!$A$3:$E$16,4,FALSE),0),"")</f>
        <v/>
      </c>
      <c r="AS655" t="str">
        <f>IFERROR(ROUND(S655*(R655/$AX655)/VLOOKUP(Q655,职业!$A$3:$E$16,4,FALSE),0),"")</f>
        <v/>
      </c>
      <c r="AT655" t="str">
        <f>IFERROR(ROUND(X655*(U655/$AY655)/VLOOKUP(T655,商品!$A$4:$D$67,4,FALSE),0),"")</f>
        <v/>
      </c>
      <c r="AU655" t="str">
        <f>IFERROR(ROUND(X655*(W655/$AY655)/VLOOKUP(V655,商品!$A$4:$D$67,4,FALSE),0),"")</f>
        <v/>
      </c>
      <c r="AW655">
        <f t="shared" si="184"/>
        <v>0</v>
      </c>
      <c r="AX655">
        <f t="shared" si="185"/>
        <v>0</v>
      </c>
      <c r="AY655">
        <f t="shared" si="186"/>
        <v>0</v>
      </c>
    </row>
    <row r="656" customHeight="1" spans="1:51">
      <c r="A656" s="18" t="s">
        <v>407</v>
      </c>
      <c r="C656" s="18">
        <v>3</v>
      </c>
      <c r="D656" s="1" t="s">
        <v>260</v>
      </c>
      <c r="E656" s="1" t="s">
        <v>222</v>
      </c>
      <c r="L656" s="18">
        <f>IFERROR(VLOOKUP($D656&amp;$C656,生产方式定位!$A$2:$E$38,2,FALSE)+VLOOKUP($E656&amp;$C656,生产方式定位!$F$3:$J$38,2,FALSE),0)</f>
        <v>1625</v>
      </c>
      <c r="S656" s="18">
        <f>IFERROR(VLOOKUP($D656&amp;$C656,生产方式定位!$A$2:$E$38,3,FALSE)+VLOOKUP($E656&amp;$C656,生产方式定位!$F$3:$J$38,3,FALSE),0)</f>
        <v>80</v>
      </c>
      <c r="X656" s="18">
        <f>IFERROR(VLOOKUP($D656&amp;$C656,生产方式定位!$A$2:$E$38,5,FALSE)+VLOOKUP($E656&amp;$C656,生产方式定位!$F$3:$J$38,5,FALSE),"错误")</f>
        <v>1768</v>
      </c>
      <c r="Y656" s="27" t="str">
        <f t="shared" si="170"/>
        <v/>
      </c>
      <c r="Z656" s="50" t="str">
        <f t="shared" si="173"/>
        <v/>
      </c>
      <c r="AA656" s="50" t="str">
        <f t="shared" si="171"/>
        <v/>
      </c>
      <c r="AB656" s="28" t="str">
        <f t="shared" si="174"/>
        <v>9%</v>
      </c>
      <c r="AC656" s="1">
        <f t="shared" si="175"/>
        <v>63</v>
      </c>
      <c r="AD656" s="52">
        <f t="shared" si="172"/>
        <v>3</v>
      </c>
      <c r="AE656" t="str">
        <f t="shared" si="176"/>
        <v/>
      </c>
      <c r="AF656" t="str">
        <f t="shared" si="177"/>
        <v/>
      </c>
      <c r="AG656" t="str">
        <f t="shared" si="178"/>
        <v/>
      </c>
      <c r="AH656" t="str">
        <f t="shared" si="179"/>
        <v/>
      </c>
      <c r="AI656" t="str">
        <f t="shared" si="180"/>
        <v/>
      </c>
      <c r="AJ656" t="str">
        <f t="shared" si="181"/>
        <v/>
      </c>
      <c r="AK656" t="str">
        <f t="shared" si="182"/>
        <v/>
      </c>
      <c r="AL656" t="str">
        <f t="shared" si="183"/>
        <v/>
      </c>
      <c r="AN656" t="str">
        <f>IFERROR(ROUND(L656*(G656/$AW656)/VLOOKUP(F656,商品!$A$4:$D$67,4,FALSE),0),"")</f>
        <v/>
      </c>
      <c r="AO656" t="str">
        <f>IFERROR(ROUND(L656*(I656/$AW656)/VLOOKUP(H656,商品!$A$4:$D$67,4,FALSE),0),"")</f>
        <v/>
      </c>
      <c r="AP656" t="str">
        <f>IFERROR(ROUND(L656*(K656/$AW656)/VLOOKUP(J656,商品!$A$4:$D$67,4,FALSE),0),"")</f>
        <v/>
      </c>
      <c r="AQ656" t="str">
        <f>IFERROR(ROUND(S656*(N656/$AX656)/VLOOKUP(M656,职业!$A$3:$E$16,4,FALSE),0),"")</f>
        <v/>
      </c>
      <c r="AR656" t="str">
        <f>IFERROR(ROUND(S656*(P656/$AX656)/VLOOKUP(O656,职业!$A$3:$E$16,4,FALSE),0),"")</f>
        <v/>
      </c>
      <c r="AS656" t="str">
        <f>IFERROR(ROUND(S656*(R656/$AX656)/VLOOKUP(Q656,职业!$A$3:$E$16,4,FALSE),0),"")</f>
        <v/>
      </c>
      <c r="AT656" t="str">
        <f>IFERROR(ROUND(X656*(U656/$AY656)/VLOOKUP(T656,商品!$A$4:$D$67,4,FALSE),0),"")</f>
        <v/>
      </c>
      <c r="AU656" t="str">
        <f>IFERROR(ROUND(X656*(W656/$AY656)/VLOOKUP(V656,商品!$A$4:$D$67,4,FALSE),0),"")</f>
        <v/>
      </c>
      <c r="AW656">
        <f t="shared" si="184"/>
        <v>0</v>
      </c>
      <c r="AX656">
        <f t="shared" si="185"/>
        <v>0</v>
      </c>
      <c r="AY656">
        <f t="shared" si="186"/>
        <v>0</v>
      </c>
    </row>
    <row r="657" customHeight="1" spans="1:51">
      <c r="A657" s="18" t="s">
        <v>407</v>
      </c>
      <c r="C657" s="18">
        <v>4</v>
      </c>
      <c r="D657" s="1" t="s">
        <v>260</v>
      </c>
      <c r="E657" s="1" t="s">
        <v>222</v>
      </c>
      <c r="L657" s="18">
        <f>IFERROR(VLOOKUP($D657&amp;$C657,生产方式定位!$A$2:$E$38,2,FALSE)+VLOOKUP($E657&amp;$C657,生产方式定位!$F$3:$J$38,2,FALSE),0)</f>
        <v>2250</v>
      </c>
      <c r="S657" s="18">
        <f>IFERROR(VLOOKUP($D657&amp;$C657,生产方式定位!$A$2:$E$38,3,FALSE)+VLOOKUP($E657&amp;$C657,生产方式定位!$F$3:$J$38,3,FALSE),0)</f>
        <v>70</v>
      </c>
      <c r="X657" s="18">
        <f>IFERROR(VLOOKUP($D657&amp;$C657,生产方式定位!$A$2:$E$38,5,FALSE)+VLOOKUP($E657&amp;$C657,生产方式定位!$F$3:$J$38,5,FALSE),"错误")</f>
        <v>2395</v>
      </c>
      <c r="Y657" s="27" t="str">
        <f t="shared" si="170"/>
        <v/>
      </c>
      <c r="Z657" s="50" t="str">
        <f t="shared" si="173"/>
        <v/>
      </c>
      <c r="AA657" s="50" t="str">
        <f t="shared" si="171"/>
        <v/>
      </c>
      <c r="AB657" s="28" t="str">
        <f t="shared" si="174"/>
        <v>6%</v>
      </c>
      <c r="AC657" s="1">
        <f t="shared" si="175"/>
        <v>75</v>
      </c>
      <c r="AD657" s="52">
        <f t="shared" si="172"/>
        <v>4</v>
      </c>
      <c r="AE657" t="str">
        <f t="shared" si="176"/>
        <v/>
      </c>
      <c r="AF657" t="str">
        <f t="shared" si="177"/>
        <v/>
      </c>
      <c r="AG657" t="str">
        <f t="shared" si="178"/>
        <v/>
      </c>
      <c r="AH657" t="str">
        <f t="shared" si="179"/>
        <v/>
      </c>
      <c r="AI657" t="str">
        <f t="shared" si="180"/>
        <v/>
      </c>
      <c r="AJ657" t="str">
        <f t="shared" si="181"/>
        <v/>
      </c>
      <c r="AK657" t="str">
        <f t="shared" si="182"/>
        <v/>
      </c>
      <c r="AL657" t="str">
        <f t="shared" si="183"/>
        <v/>
      </c>
      <c r="AN657" t="str">
        <f>IFERROR(ROUND(L657*(G657/$AW657)/VLOOKUP(F657,商品!$A$4:$D$67,4,FALSE),0),"")</f>
        <v/>
      </c>
      <c r="AO657" t="str">
        <f>IFERROR(ROUND(L657*(I657/$AW657)/VLOOKUP(H657,商品!$A$4:$D$67,4,FALSE),0),"")</f>
        <v/>
      </c>
      <c r="AP657" t="str">
        <f>IFERROR(ROUND(L657*(K657/$AW657)/VLOOKUP(J657,商品!$A$4:$D$67,4,FALSE),0),"")</f>
        <v/>
      </c>
      <c r="AQ657" t="str">
        <f>IFERROR(ROUND(S657*(N657/$AX657)/VLOOKUP(M657,职业!$A$3:$E$16,4,FALSE),0),"")</f>
        <v/>
      </c>
      <c r="AR657" t="str">
        <f>IFERROR(ROUND(S657*(P657/$AX657)/VLOOKUP(O657,职业!$A$3:$E$16,4,FALSE),0),"")</f>
        <v/>
      </c>
      <c r="AS657" t="str">
        <f>IFERROR(ROUND(S657*(R657/$AX657)/VLOOKUP(Q657,职业!$A$3:$E$16,4,FALSE),0),"")</f>
        <v/>
      </c>
      <c r="AT657" t="str">
        <f>IFERROR(ROUND(X657*(U657/$AY657)/VLOOKUP(T657,商品!$A$4:$D$67,4,FALSE),0),"")</f>
        <v/>
      </c>
      <c r="AU657" t="str">
        <f>IFERROR(ROUND(X657*(W657/$AY657)/VLOOKUP(V657,商品!$A$4:$D$67,4,FALSE),0),"")</f>
        <v/>
      </c>
      <c r="AW657">
        <f t="shared" si="184"/>
        <v>0</v>
      </c>
      <c r="AX657">
        <f t="shared" si="185"/>
        <v>0</v>
      </c>
      <c r="AY657">
        <f t="shared" si="186"/>
        <v>0</v>
      </c>
    </row>
    <row r="658" customHeight="1" spans="1:51">
      <c r="A658" s="18" t="s">
        <v>407</v>
      </c>
      <c r="C658" s="18">
        <v>5</v>
      </c>
      <c r="D658" s="1" t="s">
        <v>260</v>
      </c>
      <c r="E658" s="1" t="s">
        <v>222</v>
      </c>
      <c r="L658" s="18">
        <f>IFERROR(VLOOKUP($D658&amp;$C658,生产方式定位!$A$2:$E$38,2,FALSE)+VLOOKUP($E658&amp;$C658,生产方式定位!$F$3:$J$38,2,FALSE),0)</f>
        <v>2875</v>
      </c>
      <c r="S658" s="18">
        <f>IFERROR(VLOOKUP($D658&amp;$C658,生产方式定位!$A$2:$E$38,3,FALSE)+VLOOKUP($E658&amp;$C658,生产方式定位!$F$3:$J$38,3,FALSE),0)</f>
        <v>60</v>
      </c>
      <c r="X658" s="18">
        <f>IFERROR(VLOOKUP($D658&amp;$C658,生产方式定位!$A$2:$E$38,5,FALSE)+VLOOKUP($E658&amp;$C658,生产方式定位!$F$3:$J$38,5,FALSE),"错误")</f>
        <v>3023</v>
      </c>
      <c r="Y658" s="27" t="str">
        <f t="shared" si="170"/>
        <v/>
      </c>
      <c r="Z658" s="50" t="str">
        <f t="shared" si="173"/>
        <v/>
      </c>
      <c r="AA658" s="50" t="str">
        <f t="shared" si="171"/>
        <v/>
      </c>
      <c r="AB658" s="28" t="str">
        <f t="shared" si="174"/>
        <v>5%</v>
      </c>
      <c r="AC658" s="1">
        <f t="shared" si="175"/>
        <v>88</v>
      </c>
      <c r="AD658" s="52">
        <f t="shared" si="172"/>
        <v>5</v>
      </c>
      <c r="AE658" t="str">
        <f t="shared" si="176"/>
        <v/>
      </c>
      <c r="AF658" t="str">
        <f t="shared" si="177"/>
        <v/>
      </c>
      <c r="AG658" t="str">
        <f t="shared" si="178"/>
        <v/>
      </c>
      <c r="AH658" t="str">
        <f t="shared" si="179"/>
        <v/>
      </c>
      <c r="AI658" t="str">
        <f t="shared" si="180"/>
        <v/>
      </c>
      <c r="AJ658" t="str">
        <f t="shared" si="181"/>
        <v/>
      </c>
      <c r="AK658" t="str">
        <f t="shared" si="182"/>
        <v/>
      </c>
      <c r="AL658" t="str">
        <f t="shared" si="183"/>
        <v/>
      </c>
      <c r="AN658" t="str">
        <f>IFERROR(ROUND(L658*(G658/$AW658)/VLOOKUP(F658,商品!$A$4:$D$67,4,FALSE),0),"")</f>
        <v/>
      </c>
      <c r="AO658" t="str">
        <f>IFERROR(ROUND(L658*(I658/$AW658)/VLOOKUP(H658,商品!$A$4:$D$67,4,FALSE),0),"")</f>
        <v/>
      </c>
      <c r="AP658" t="str">
        <f>IFERROR(ROUND(L658*(K658/$AW658)/VLOOKUP(J658,商品!$A$4:$D$67,4,FALSE),0),"")</f>
        <v/>
      </c>
      <c r="AQ658" t="str">
        <f>IFERROR(ROUND(S658*(N658/$AX658)/VLOOKUP(M658,职业!$A$3:$E$16,4,FALSE),0),"")</f>
        <v/>
      </c>
      <c r="AR658" t="str">
        <f>IFERROR(ROUND(S658*(P658/$AX658)/VLOOKUP(O658,职业!$A$3:$E$16,4,FALSE),0),"")</f>
        <v/>
      </c>
      <c r="AS658" t="str">
        <f>IFERROR(ROUND(S658*(R658/$AX658)/VLOOKUP(Q658,职业!$A$3:$E$16,4,FALSE),0),"")</f>
        <v/>
      </c>
      <c r="AT658" t="str">
        <f>IFERROR(ROUND(X658*(U658/$AY658)/VLOOKUP(T658,商品!$A$4:$D$67,4,FALSE),0),"")</f>
        <v/>
      </c>
      <c r="AU658" t="str">
        <f>IFERROR(ROUND(X658*(W658/$AY658)/VLOOKUP(V658,商品!$A$4:$D$67,4,FALSE),0),"")</f>
        <v/>
      </c>
      <c r="AW658">
        <f t="shared" si="184"/>
        <v>0</v>
      </c>
      <c r="AX658">
        <f t="shared" si="185"/>
        <v>0</v>
      </c>
      <c r="AY658">
        <f t="shared" si="186"/>
        <v>0</v>
      </c>
    </row>
    <row r="659" customHeight="1" spans="1:51">
      <c r="A659" s="5" t="s">
        <v>408</v>
      </c>
      <c r="C659" s="5">
        <v>1</v>
      </c>
      <c r="D659" s="1" t="s">
        <v>260</v>
      </c>
      <c r="E659" s="1" t="s">
        <v>223</v>
      </c>
      <c r="L659" s="5">
        <f>IFERROR(VLOOKUP($D659&amp;$C659,生产方式定位!$A$2:$E$38,2,FALSE)+VLOOKUP($E659&amp;$C659,生产方式定位!$F$3:$J$38,2,FALSE),0)</f>
        <v>0</v>
      </c>
      <c r="S659" s="5">
        <f>IFERROR(VLOOKUP($D659&amp;$C659,生产方式定位!$A$2:$E$38,3,FALSE)+VLOOKUP($E659&amp;$C659,生产方式定位!$F$3:$J$38,3,FALSE),0)</f>
        <v>70</v>
      </c>
      <c r="X659" s="5">
        <f>IFERROR(VLOOKUP($D659&amp;$C659,生产方式定位!$A$2:$E$38,5,FALSE)+VLOOKUP($E659&amp;$C659,生产方式定位!$F$3:$J$38,5,FALSE),"错误")</f>
        <v>350</v>
      </c>
      <c r="Y659" s="27" t="str">
        <f t="shared" si="170"/>
        <v/>
      </c>
      <c r="Z659" s="50" t="str">
        <f t="shared" si="173"/>
        <v/>
      </c>
      <c r="AA659" s="50" t="str">
        <f t="shared" si="171"/>
        <v/>
      </c>
      <c r="AB659" s="28" t="str">
        <f t="shared" si="174"/>
        <v/>
      </c>
      <c r="AC659" s="1">
        <f t="shared" si="175"/>
        <v>280</v>
      </c>
      <c r="AD659" s="51">
        <f t="shared" si="172"/>
        <v>1</v>
      </c>
      <c r="AE659" t="str">
        <f t="shared" si="176"/>
        <v/>
      </c>
      <c r="AF659" t="str">
        <f t="shared" si="177"/>
        <v/>
      </c>
      <c r="AG659" t="str">
        <f t="shared" si="178"/>
        <v/>
      </c>
      <c r="AH659" t="str">
        <f t="shared" si="179"/>
        <v/>
      </c>
      <c r="AI659" t="str">
        <f t="shared" si="180"/>
        <v/>
      </c>
      <c r="AJ659" t="str">
        <f t="shared" si="181"/>
        <v/>
      </c>
      <c r="AK659" t="str">
        <f t="shared" si="182"/>
        <v/>
      </c>
      <c r="AL659" t="str">
        <f t="shared" si="183"/>
        <v/>
      </c>
      <c r="AN659" t="str">
        <f>IFERROR(ROUND(L659*(G659/$AW659)/VLOOKUP(F659,商品!$A$4:$D$67,4,FALSE),0),"")</f>
        <v/>
      </c>
      <c r="AO659" t="str">
        <f>IFERROR(ROUND(L659*(I659/$AW659)/VLOOKUP(H659,商品!$A$4:$D$67,4,FALSE),0),"")</f>
        <v/>
      </c>
      <c r="AP659" t="str">
        <f>IFERROR(ROUND(L659*(K659/$AW659)/VLOOKUP(J659,商品!$A$4:$D$67,4,FALSE),0),"")</f>
        <v/>
      </c>
      <c r="AQ659" t="str">
        <f>IFERROR(ROUND(S659*(N659/$AX659)/VLOOKUP(M659,职业!$A$3:$E$16,4,FALSE),0),"")</f>
        <v/>
      </c>
      <c r="AR659" t="str">
        <f>IFERROR(ROUND(S659*(P659/$AX659)/VLOOKUP(O659,职业!$A$3:$E$16,4,FALSE),0),"")</f>
        <v/>
      </c>
      <c r="AS659" t="str">
        <f>IFERROR(ROUND(S659*(R659/$AX659)/VLOOKUP(Q659,职业!$A$3:$E$16,4,FALSE),0),"")</f>
        <v/>
      </c>
      <c r="AT659" t="str">
        <f>IFERROR(ROUND(X659*(U659/$AY659)/VLOOKUP(T659,商品!$A$4:$D$67,4,FALSE),0),"")</f>
        <v/>
      </c>
      <c r="AU659" t="str">
        <f>IFERROR(ROUND(X659*(W659/$AY659)/VLOOKUP(V659,商品!$A$4:$D$67,4,FALSE),0),"")</f>
        <v/>
      </c>
      <c r="AW659">
        <f t="shared" si="184"/>
        <v>0</v>
      </c>
      <c r="AX659">
        <f t="shared" si="185"/>
        <v>0</v>
      </c>
      <c r="AY659">
        <f t="shared" si="186"/>
        <v>0</v>
      </c>
    </row>
    <row r="660" customHeight="1" spans="1:51">
      <c r="A660" s="5" t="s">
        <v>408</v>
      </c>
      <c r="C660" s="5">
        <v>2</v>
      </c>
      <c r="D660" s="1" t="s">
        <v>260</v>
      </c>
      <c r="E660" s="1" t="s">
        <v>223</v>
      </c>
      <c r="L660" s="5">
        <f>IFERROR(VLOOKUP($D660&amp;$C660,生产方式定位!$A$2:$E$38,2,FALSE)+VLOOKUP($E660&amp;$C660,生产方式定位!$F$3:$J$38,2,FALSE),0)</f>
        <v>900</v>
      </c>
      <c r="S660" s="5">
        <f>IFERROR(VLOOKUP($D660&amp;$C660,生产方式定位!$A$2:$E$38,3,FALSE)+VLOOKUP($E660&amp;$C660,生产方式定位!$F$3:$J$38,3,FALSE),0)</f>
        <v>100</v>
      </c>
      <c r="X660" s="5">
        <f>IFERROR(VLOOKUP($D660&amp;$C660,生产方式定位!$A$2:$E$38,5,FALSE)+VLOOKUP($E660&amp;$C660,生产方式定位!$F$3:$J$38,5,FALSE),"错误")</f>
        <v>1041</v>
      </c>
      <c r="Y660" s="27" t="str">
        <f t="shared" si="170"/>
        <v/>
      </c>
      <c r="Z660" s="50" t="str">
        <f t="shared" si="173"/>
        <v/>
      </c>
      <c r="AA660" s="50" t="str">
        <f t="shared" si="171"/>
        <v/>
      </c>
      <c r="AB660" s="28" t="str">
        <f t="shared" si="174"/>
        <v>16%</v>
      </c>
      <c r="AC660" s="1">
        <f t="shared" si="175"/>
        <v>41</v>
      </c>
      <c r="AD660" s="51">
        <f t="shared" si="172"/>
        <v>2</v>
      </c>
      <c r="AE660" t="str">
        <f t="shared" si="176"/>
        <v/>
      </c>
      <c r="AF660" t="str">
        <f t="shared" si="177"/>
        <v/>
      </c>
      <c r="AG660" t="str">
        <f t="shared" si="178"/>
        <v/>
      </c>
      <c r="AH660" t="str">
        <f t="shared" si="179"/>
        <v/>
      </c>
      <c r="AI660" t="str">
        <f t="shared" si="180"/>
        <v/>
      </c>
      <c r="AJ660" t="str">
        <f t="shared" si="181"/>
        <v/>
      </c>
      <c r="AK660" t="str">
        <f t="shared" si="182"/>
        <v/>
      </c>
      <c r="AL660" t="str">
        <f t="shared" si="183"/>
        <v/>
      </c>
      <c r="AN660" t="str">
        <f>IFERROR(ROUND(L660*(G660/$AW660)/VLOOKUP(F660,商品!$A$4:$D$67,4,FALSE),0),"")</f>
        <v/>
      </c>
      <c r="AO660" t="str">
        <f>IFERROR(ROUND(L660*(I660/$AW660)/VLOOKUP(H660,商品!$A$4:$D$67,4,FALSE),0),"")</f>
        <v/>
      </c>
      <c r="AP660" t="str">
        <f>IFERROR(ROUND(L660*(K660/$AW660)/VLOOKUP(J660,商品!$A$4:$D$67,4,FALSE),0),"")</f>
        <v/>
      </c>
      <c r="AQ660" t="str">
        <f>IFERROR(ROUND(S660*(N660/$AX660)/VLOOKUP(M660,职业!$A$3:$E$16,4,FALSE),0),"")</f>
        <v/>
      </c>
      <c r="AR660" t="str">
        <f>IFERROR(ROUND(S660*(P660/$AX660)/VLOOKUP(O660,职业!$A$3:$E$16,4,FALSE),0),"")</f>
        <v/>
      </c>
      <c r="AS660" t="str">
        <f>IFERROR(ROUND(S660*(R660/$AX660)/VLOOKUP(Q660,职业!$A$3:$E$16,4,FALSE),0),"")</f>
        <v/>
      </c>
      <c r="AT660" t="str">
        <f>IFERROR(ROUND(X660*(U660/$AY660)/VLOOKUP(T660,商品!$A$4:$D$67,4,FALSE),0),"")</f>
        <v/>
      </c>
      <c r="AU660" t="str">
        <f>IFERROR(ROUND(X660*(W660/$AY660)/VLOOKUP(V660,商品!$A$4:$D$67,4,FALSE),0),"")</f>
        <v/>
      </c>
      <c r="AW660">
        <f t="shared" si="184"/>
        <v>0</v>
      </c>
      <c r="AX660">
        <f t="shared" si="185"/>
        <v>0</v>
      </c>
      <c r="AY660">
        <f t="shared" si="186"/>
        <v>0</v>
      </c>
    </row>
    <row r="661" customHeight="1" spans="1:51">
      <c r="A661" s="5" t="s">
        <v>408</v>
      </c>
      <c r="C661" s="5">
        <v>3</v>
      </c>
      <c r="D661" s="1" t="s">
        <v>260</v>
      </c>
      <c r="E661" s="1" t="s">
        <v>223</v>
      </c>
      <c r="L661" s="5">
        <f>IFERROR(VLOOKUP($D661&amp;$C661,生产方式定位!$A$2:$E$38,2,FALSE)+VLOOKUP($E661&amp;$C661,生产方式定位!$F$3:$J$38,2,FALSE),0)</f>
        <v>1500</v>
      </c>
      <c r="S661" s="5">
        <f>IFERROR(VLOOKUP($D661&amp;$C661,生产方式定位!$A$2:$E$38,3,FALSE)+VLOOKUP($E661&amp;$C661,生产方式定位!$F$3:$J$38,3,FALSE),0)</f>
        <v>95</v>
      </c>
      <c r="X661" s="5">
        <f>IFERROR(VLOOKUP($D661&amp;$C661,生产方式定位!$A$2:$E$38,5,FALSE)+VLOOKUP($E661&amp;$C661,生产方式定位!$F$3:$J$38,5,FALSE),"错误")</f>
        <v>1647</v>
      </c>
      <c r="Y661" s="27" t="str">
        <f t="shared" si="170"/>
        <v/>
      </c>
      <c r="Z661" s="50" t="str">
        <f t="shared" si="173"/>
        <v/>
      </c>
      <c r="AA661" s="50" t="str">
        <f t="shared" si="171"/>
        <v/>
      </c>
      <c r="AB661" s="28" t="str">
        <f t="shared" si="174"/>
        <v>10%</v>
      </c>
      <c r="AC661" s="1">
        <f t="shared" si="175"/>
        <v>52</v>
      </c>
      <c r="AD661" s="51">
        <f t="shared" si="172"/>
        <v>3</v>
      </c>
      <c r="AE661" t="str">
        <f t="shared" si="176"/>
        <v/>
      </c>
      <c r="AF661" t="str">
        <f t="shared" si="177"/>
        <v/>
      </c>
      <c r="AG661" t="str">
        <f t="shared" si="178"/>
        <v/>
      </c>
      <c r="AH661" t="str">
        <f t="shared" si="179"/>
        <v/>
      </c>
      <c r="AI661" t="str">
        <f t="shared" si="180"/>
        <v/>
      </c>
      <c r="AJ661" t="str">
        <f t="shared" si="181"/>
        <v/>
      </c>
      <c r="AK661" t="str">
        <f t="shared" si="182"/>
        <v/>
      </c>
      <c r="AL661" t="str">
        <f t="shared" si="183"/>
        <v/>
      </c>
      <c r="AN661" t="str">
        <f>IFERROR(ROUND(L661*(G661/$AW661)/VLOOKUP(F661,商品!$A$4:$D$67,4,FALSE),0),"")</f>
        <v/>
      </c>
      <c r="AO661" t="str">
        <f>IFERROR(ROUND(L661*(I661/$AW661)/VLOOKUP(H661,商品!$A$4:$D$67,4,FALSE),0),"")</f>
        <v/>
      </c>
      <c r="AP661" t="str">
        <f>IFERROR(ROUND(L661*(K661/$AW661)/VLOOKUP(J661,商品!$A$4:$D$67,4,FALSE),0),"")</f>
        <v/>
      </c>
      <c r="AQ661" t="str">
        <f>IFERROR(ROUND(S661*(N661/$AX661)/VLOOKUP(M661,职业!$A$3:$E$16,4,FALSE),0),"")</f>
        <v/>
      </c>
      <c r="AR661" t="str">
        <f>IFERROR(ROUND(S661*(P661/$AX661)/VLOOKUP(O661,职业!$A$3:$E$16,4,FALSE),0),"")</f>
        <v/>
      </c>
      <c r="AS661" t="str">
        <f>IFERROR(ROUND(S661*(R661/$AX661)/VLOOKUP(Q661,职业!$A$3:$E$16,4,FALSE),0),"")</f>
        <v/>
      </c>
      <c r="AT661" t="str">
        <f>IFERROR(ROUND(X661*(U661/$AY661)/VLOOKUP(T661,商品!$A$4:$D$67,4,FALSE),0),"")</f>
        <v/>
      </c>
      <c r="AU661" t="str">
        <f>IFERROR(ROUND(X661*(W661/$AY661)/VLOOKUP(V661,商品!$A$4:$D$67,4,FALSE),0),"")</f>
        <v/>
      </c>
      <c r="AW661">
        <f t="shared" si="184"/>
        <v>0</v>
      </c>
      <c r="AX661">
        <f t="shared" si="185"/>
        <v>0</v>
      </c>
      <c r="AY661">
        <f t="shared" si="186"/>
        <v>0</v>
      </c>
    </row>
    <row r="662" customHeight="1" spans="1:51">
      <c r="A662" s="5" t="s">
        <v>408</v>
      </c>
      <c r="C662" s="5">
        <v>4</v>
      </c>
      <c r="D662" s="1" t="s">
        <v>260</v>
      </c>
      <c r="E662" s="1" t="s">
        <v>223</v>
      </c>
      <c r="L662" s="5">
        <f>IFERROR(VLOOKUP($D662&amp;$C662,生产方式定位!$A$2:$E$38,2,FALSE)+VLOOKUP($E662&amp;$C662,生产方式定位!$F$3:$J$38,2,FALSE),0)</f>
        <v>2100</v>
      </c>
      <c r="S662" s="5">
        <f>IFERROR(VLOOKUP($D662&amp;$C662,生产方式定位!$A$2:$E$38,3,FALSE)+VLOOKUP($E662&amp;$C662,生产方式定位!$F$3:$J$38,3,FALSE),0)</f>
        <v>90</v>
      </c>
      <c r="X662" s="5">
        <f>IFERROR(VLOOKUP($D662&amp;$C662,生产方式定位!$A$2:$E$38,5,FALSE)+VLOOKUP($E662&amp;$C662,生产方式定位!$F$3:$J$38,5,FALSE),"错误")</f>
        <v>2252</v>
      </c>
      <c r="Y662" s="27" t="str">
        <f t="shared" si="170"/>
        <v/>
      </c>
      <c r="Z662" s="50" t="str">
        <f t="shared" si="173"/>
        <v/>
      </c>
      <c r="AA662" s="50" t="str">
        <f t="shared" si="171"/>
        <v/>
      </c>
      <c r="AB662" s="28" t="str">
        <f t="shared" si="174"/>
        <v>7%</v>
      </c>
      <c r="AC662" s="1">
        <f t="shared" si="175"/>
        <v>62</v>
      </c>
      <c r="AD662" s="51">
        <f t="shared" si="172"/>
        <v>4</v>
      </c>
      <c r="AE662" t="str">
        <f t="shared" si="176"/>
        <v/>
      </c>
      <c r="AF662" t="str">
        <f t="shared" si="177"/>
        <v/>
      </c>
      <c r="AG662" t="str">
        <f t="shared" si="178"/>
        <v/>
      </c>
      <c r="AH662" t="str">
        <f t="shared" si="179"/>
        <v/>
      </c>
      <c r="AI662" t="str">
        <f t="shared" si="180"/>
        <v/>
      </c>
      <c r="AJ662" t="str">
        <f t="shared" si="181"/>
        <v/>
      </c>
      <c r="AK662" t="str">
        <f t="shared" si="182"/>
        <v/>
      </c>
      <c r="AL662" t="str">
        <f t="shared" si="183"/>
        <v/>
      </c>
      <c r="AN662" t="str">
        <f>IFERROR(ROUND(L662*(G662/$AW662)/VLOOKUP(F662,商品!$A$4:$D$67,4,FALSE),0),"")</f>
        <v/>
      </c>
      <c r="AO662" t="str">
        <f>IFERROR(ROUND(L662*(I662/$AW662)/VLOOKUP(H662,商品!$A$4:$D$67,4,FALSE),0),"")</f>
        <v/>
      </c>
      <c r="AP662" t="str">
        <f>IFERROR(ROUND(L662*(K662/$AW662)/VLOOKUP(J662,商品!$A$4:$D$67,4,FALSE),0),"")</f>
        <v/>
      </c>
      <c r="AQ662" t="str">
        <f>IFERROR(ROUND(S662*(N662/$AX662)/VLOOKUP(M662,职业!$A$3:$E$16,4,FALSE),0),"")</f>
        <v/>
      </c>
      <c r="AR662" t="str">
        <f>IFERROR(ROUND(S662*(P662/$AX662)/VLOOKUP(O662,职业!$A$3:$E$16,4,FALSE),0),"")</f>
        <v/>
      </c>
      <c r="AS662" t="str">
        <f>IFERROR(ROUND(S662*(R662/$AX662)/VLOOKUP(Q662,职业!$A$3:$E$16,4,FALSE),0),"")</f>
        <v/>
      </c>
      <c r="AT662" t="str">
        <f>IFERROR(ROUND(X662*(U662/$AY662)/VLOOKUP(T662,商品!$A$4:$D$67,4,FALSE),0),"")</f>
        <v/>
      </c>
      <c r="AU662" t="str">
        <f>IFERROR(ROUND(X662*(W662/$AY662)/VLOOKUP(V662,商品!$A$4:$D$67,4,FALSE),0),"")</f>
        <v/>
      </c>
      <c r="AW662">
        <f t="shared" si="184"/>
        <v>0</v>
      </c>
      <c r="AX662">
        <f t="shared" si="185"/>
        <v>0</v>
      </c>
      <c r="AY662">
        <f t="shared" si="186"/>
        <v>0</v>
      </c>
    </row>
    <row r="663" customHeight="1" spans="1:51">
      <c r="A663" s="5" t="s">
        <v>408</v>
      </c>
      <c r="C663" s="5">
        <v>5</v>
      </c>
      <c r="D663" s="1" t="s">
        <v>260</v>
      </c>
      <c r="E663" s="1" t="s">
        <v>223</v>
      </c>
      <c r="L663" s="5">
        <f>IFERROR(VLOOKUP($D663&amp;$C663,生产方式定位!$A$2:$E$38,2,FALSE)+VLOOKUP($E663&amp;$C663,生产方式定位!$F$3:$J$38,2,FALSE),0)</f>
        <v>2700</v>
      </c>
      <c r="S663" s="5">
        <f>IFERROR(VLOOKUP($D663&amp;$C663,生产方式定位!$A$2:$E$38,3,FALSE)+VLOOKUP($E663&amp;$C663,生产方式定位!$F$3:$J$38,3,FALSE),0)</f>
        <v>85</v>
      </c>
      <c r="X663" s="5">
        <f>IFERROR(VLOOKUP($D663&amp;$C663,生产方式定位!$A$2:$E$38,5,FALSE)+VLOOKUP($E663&amp;$C663,生产方式定位!$F$3:$J$38,5,FALSE),"错误")</f>
        <v>2858</v>
      </c>
      <c r="Y663" s="27" t="str">
        <f t="shared" si="170"/>
        <v/>
      </c>
      <c r="Z663" s="50" t="str">
        <f t="shared" si="173"/>
        <v/>
      </c>
      <c r="AA663" s="50" t="str">
        <f t="shared" si="171"/>
        <v/>
      </c>
      <c r="AB663" s="28" t="str">
        <f t="shared" si="174"/>
        <v>6%</v>
      </c>
      <c r="AC663" s="1">
        <f t="shared" si="175"/>
        <v>73</v>
      </c>
      <c r="AD663" s="51">
        <f t="shared" si="172"/>
        <v>5</v>
      </c>
      <c r="AE663" t="str">
        <f t="shared" si="176"/>
        <v/>
      </c>
      <c r="AF663" t="str">
        <f t="shared" si="177"/>
        <v/>
      </c>
      <c r="AG663" t="str">
        <f t="shared" si="178"/>
        <v/>
      </c>
      <c r="AH663" t="str">
        <f t="shared" si="179"/>
        <v/>
      </c>
      <c r="AI663" t="str">
        <f t="shared" si="180"/>
        <v/>
      </c>
      <c r="AJ663" t="str">
        <f t="shared" si="181"/>
        <v/>
      </c>
      <c r="AK663" t="str">
        <f t="shared" si="182"/>
        <v/>
      </c>
      <c r="AL663" t="str">
        <f t="shared" si="183"/>
        <v/>
      </c>
      <c r="AN663" t="str">
        <f>IFERROR(ROUND(L663*(G663/$AW663)/VLOOKUP(F663,商品!$A$4:$D$67,4,FALSE),0),"")</f>
        <v/>
      </c>
      <c r="AO663" t="str">
        <f>IFERROR(ROUND(L663*(I663/$AW663)/VLOOKUP(H663,商品!$A$4:$D$67,4,FALSE),0),"")</f>
        <v/>
      </c>
      <c r="AP663" t="str">
        <f>IFERROR(ROUND(L663*(K663/$AW663)/VLOOKUP(J663,商品!$A$4:$D$67,4,FALSE),0),"")</f>
        <v/>
      </c>
      <c r="AQ663" t="str">
        <f>IFERROR(ROUND(S663*(N663/$AX663)/VLOOKUP(M663,职业!$A$3:$E$16,4,FALSE),0),"")</f>
        <v/>
      </c>
      <c r="AR663" t="str">
        <f>IFERROR(ROUND(S663*(P663/$AX663)/VLOOKUP(O663,职业!$A$3:$E$16,4,FALSE),0),"")</f>
        <v/>
      </c>
      <c r="AS663" t="str">
        <f>IFERROR(ROUND(S663*(R663/$AX663)/VLOOKUP(Q663,职业!$A$3:$E$16,4,FALSE),0),"")</f>
        <v/>
      </c>
      <c r="AT663" t="str">
        <f>IFERROR(ROUND(X663*(U663/$AY663)/VLOOKUP(T663,商品!$A$4:$D$67,4,FALSE),0),"")</f>
        <v/>
      </c>
      <c r="AU663" t="str">
        <f>IFERROR(ROUND(X663*(W663/$AY663)/VLOOKUP(V663,商品!$A$4:$D$67,4,FALSE),0),"")</f>
        <v/>
      </c>
      <c r="AW663">
        <f t="shared" si="184"/>
        <v>0</v>
      </c>
      <c r="AX663">
        <f t="shared" si="185"/>
        <v>0</v>
      </c>
      <c r="AY663">
        <f t="shared" si="186"/>
        <v>0</v>
      </c>
    </row>
    <row r="664" customHeight="1" spans="1:51">
      <c r="A664" s="18" t="s">
        <v>409</v>
      </c>
      <c r="C664" s="18">
        <v>1</v>
      </c>
      <c r="D664" s="1" t="s">
        <v>260</v>
      </c>
      <c r="E664" s="1" t="s">
        <v>224</v>
      </c>
      <c r="L664" s="18">
        <f>IFERROR(VLOOKUP($D664&amp;$C664,生产方式定位!$A$2:$E$38,2,FALSE)+VLOOKUP($E664&amp;$C664,生产方式定位!$F$3:$J$38,2,FALSE),0)</f>
        <v>0</v>
      </c>
      <c r="S664" s="18">
        <f>IFERROR(VLOOKUP($D664&amp;$C664,生产方式定位!$A$2:$E$38,3,FALSE)+VLOOKUP($E664&amp;$C664,生产方式定位!$F$3:$J$38,3,FALSE),0)</f>
        <v>70</v>
      </c>
      <c r="X664" s="18">
        <f>IFERROR(VLOOKUP($D664&amp;$C664,生产方式定位!$A$2:$E$38,5,FALSE)+VLOOKUP($E664&amp;$C664,生产方式定位!$F$3:$J$38,5,FALSE),"错误")</f>
        <v>350</v>
      </c>
      <c r="Y664" s="27" t="str">
        <f t="shared" si="170"/>
        <v/>
      </c>
      <c r="Z664" s="50" t="str">
        <f t="shared" si="173"/>
        <v/>
      </c>
      <c r="AA664" s="50" t="str">
        <f t="shared" si="171"/>
        <v/>
      </c>
      <c r="AB664" s="28" t="str">
        <f t="shared" si="174"/>
        <v/>
      </c>
      <c r="AC664" s="1">
        <f t="shared" si="175"/>
        <v>280</v>
      </c>
      <c r="AD664" s="52">
        <f t="shared" si="172"/>
        <v>1</v>
      </c>
      <c r="AE664" t="str">
        <f t="shared" si="176"/>
        <v/>
      </c>
      <c r="AF664" t="str">
        <f t="shared" si="177"/>
        <v/>
      </c>
      <c r="AG664" t="str">
        <f t="shared" si="178"/>
        <v/>
      </c>
      <c r="AH664" t="str">
        <f t="shared" si="179"/>
        <v/>
      </c>
      <c r="AI664" t="str">
        <f t="shared" si="180"/>
        <v/>
      </c>
      <c r="AJ664" t="str">
        <f t="shared" si="181"/>
        <v/>
      </c>
      <c r="AK664" t="str">
        <f t="shared" si="182"/>
        <v/>
      </c>
      <c r="AL664" t="str">
        <f t="shared" si="183"/>
        <v/>
      </c>
      <c r="AN664" t="str">
        <f>IFERROR(ROUND(L664*(G664/$AW664)/VLOOKUP(F664,商品!$A$4:$D$67,4,FALSE),0),"")</f>
        <v/>
      </c>
      <c r="AO664" t="str">
        <f>IFERROR(ROUND(L664*(I664/$AW664)/VLOOKUP(H664,商品!$A$4:$D$67,4,FALSE),0),"")</f>
        <v/>
      </c>
      <c r="AP664" t="str">
        <f>IFERROR(ROUND(L664*(K664/$AW664)/VLOOKUP(J664,商品!$A$4:$D$67,4,FALSE),0),"")</f>
        <v/>
      </c>
      <c r="AQ664" t="str">
        <f>IFERROR(ROUND(S664*(N664/$AX664)/VLOOKUP(M664,职业!$A$3:$E$16,4,FALSE),0),"")</f>
        <v/>
      </c>
      <c r="AR664" t="str">
        <f>IFERROR(ROUND(S664*(P664/$AX664)/VLOOKUP(O664,职业!$A$3:$E$16,4,FALSE),0),"")</f>
        <v/>
      </c>
      <c r="AS664" t="str">
        <f>IFERROR(ROUND(S664*(R664/$AX664)/VLOOKUP(Q664,职业!$A$3:$E$16,4,FALSE),0),"")</f>
        <v/>
      </c>
      <c r="AT664" t="str">
        <f>IFERROR(ROUND(X664*(U664/$AY664)/VLOOKUP(T664,商品!$A$4:$D$67,4,FALSE),0),"")</f>
        <v/>
      </c>
      <c r="AU664" t="str">
        <f>IFERROR(ROUND(X664*(W664/$AY664)/VLOOKUP(V664,商品!$A$4:$D$67,4,FALSE),0),"")</f>
        <v/>
      </c>
      <c r="AW664">
        <f t="shared" si="184"/>
        <v>0</v>
      </c>
      <c r="AX664">
        <f t="shared" si="185"/>
        <v>0</v>
      </c>
      <c r="AY664">
        <f t="shared" si="186"/>
        <v>0</v>
      </c>
    </row>
    <row r="665" customHeight="1" spans="1:51">
      <c r="A665" s="18" t="s">
        <v>409</v>
      </c>
      <c r="C665" s="18">
        <v>2</v>
      </c>
      <c r="D665" s="1" t="s">
        <v>260</v>
      </c>
      <c r="E665" s="1" t="s">
        <v>224</v>
      </c>
      <c r="L665" s="18">
        <f>IFERROR(VLOOKUP($D665&amp;$C665,生产方式定位!$A$2:$E$38,2,FALSE)+VLOOKUP($E665&amp;$C665,生产方式定位!$F$3:$J$38,2,FALSE),0)</f>
        <v>1000</v>
      </c>
      <c r="S665" s="18">
        <f>IFERROR(VLOOKUP($D665&amp;$C665,生产方式定位!$A$2:$E$38,3,FALSE)+VLOOKUP($E665&amp;$C665,生产方式定位!$F$3:$J$38,3,FALSE),0)</f>
        <v>50</v>
      </c>
      <c r="X665" s="18">
        <f>IFERROR(VLOOKUP($D665&amp;$C665,生产方式定位!$A$2:$E$38,5,FALSE)+VLOOKUP($E665&amp;$C665,生产方式定位!$F$3:$J$38,5,FALSE),"错误")</f>
        <v>1096</v>
      </c>
      <c r="Y665" s="27" t="str">
        <f t="shared" si="170"/>
        <v/>
      </c>
      <c r="Z665" s="50" t="str">
        <f t="shared" si="173"/>
        <v/>
      </c>
      <c r="AA665" s="50" t="str">
        <f t="shared" si="171"/>
        <v/>
      </c>
      <c r="AB665" s="28" t="str">
        <f t="shared" si="174"/>
        <v>10%</v>
      </c>
      <c r="AC665" s="1">
        <f t="shared" si="175"/>
        <v>46</v>
      </c>
      <c r="AD665" s="52">
        <f t="shared" si="172"/>
        <v>2</v>
      </c>
      <c r="AE665" t="str">
        <f t="shared" si="176"/>
        <v/>
      </c>
      <c r="AF665" t="str">
        <f t="shared" si="177"/>
        <v/>
      </c>
      <c r="AG665" t="str">
        <f t="shared" si="178"/>
        <v/>
      </c>
      <c r="AH665" t="str">
        <f t="shared" si="179"/>
        <v/>
      </c>
      <c r="AI665" t="str">
        <f t="shared" si="180"/>
        <v/>
      </c>
      <c r="AJ665" t="str">
        <f t="shared" si="181"/>
        <v/>
      </c>
      <c r="AK665" t="str">
        <f t="shared" si="182"/>
        <v/>
      </c>
      <c r="AL665" t="str">
        <f t="shared" si="183"/>
        <v/>
      </c>
      <c r="AN665" t="str">
        <f>IFERROR(ROUND(L665*(G665/$AW665)/VLOOKUP(F665,商品!$A$4:$D$67,4,FALSE),0),"")</f>
        <v/>
      </c>
      <c r="AO665" t="str">
        <f>IFERROR(ROUND(L665*(I665/$AW665)/VLOOKUP(H665,商品!$A$4:$D$67,4,FALSE),0),"")</f>
        <v/>
      </c>
      <c r="AP665" t="str">
        <f>IFERROR(ROUND(L665*(K665/$AW665)/VLOOKUP(J665,商品!$A$4:$D$67,4,FALSE),0),"")</f>
        <v/>
      </c>
      <c r="AQ665" t="str">
        <f>IFERROR(ROUND(S665*(N665/$AX665)/VLOOKUP(M665,职业!$A$3:$E$16,4,FALSE),0),"")</f>
        <v/>
      </c>
      <c r="AR665" t="str">
        <f>IFERROR(ROUND(S665*(P665/$AX665)/VLOOKUP(O665,职业!$A$3:$E$16,4,FALSE),0),"")</f>
        <v/>
      </c>
      <c r="AS665" t="str">
        <f>IFERROR(ROUND(S665*(R665/$AX665)/VLOOKUP(Q665,职业!$A$3:$E$16,4,FALSE),0),"")</f>
        <v/>
      </c>
      <c r="AT665" t="str">
        <f>IFERROR(ROUND(X665*(U665/$AY665)/VLOOKUP(T665,商品!$A$4:$D$67,4,FALSE),0),"")</f>
        <v/>
      </c>
      <c r="AU665" t="str">
        <f>IFERROR(ROUND(X665*(W665/$AY665)/VLOOKUP(V665,商品!$A$4:$D$67,4,FALSE),0),"")</f>
        <v/>
      </c>
      <c r="AW665">
        <f t="shared" si="184"/>
        <v>0</v>
      </c>
      <c r="AX665">
        <f t="shared" si="185"/>
        <v>0</v>
      </c>
      <c r="AY665">
        <f t="shared" si="186"/>
        <v>0</v>
      </c>
    </row>
    <row r="666" customHeight="1" spans="1:51">
      <c r="A666" s="18" t="s">
        <v>409</v>
      </c>
      <c r="C666" s="18">
        <v>3</v>
      </c>
      <c r="D666" s="1" t="s">
        <v>260</v>
      </c>
      <c r="E666" s="1" t="s">
        <v>224</v>
      </c>
      <c r="L666" s="18">
        <f>IFERROR(VLOOKUP($D666&amp;$C666,生产方式定位!$A$2:$E$38,2,FALSE)+VLOOKUP($E666&amp;$C666,生产方式定位!$F$3:$J$38,2,FALSE),0)</f>
        <v>2000</v>
      </c>
      <c r="S666" s="18">
        <f>IFERROR(VLOOKUP($D666&amp;$C666,生产方式定位!$A$2:$E$38,3,FALSE)+VLOOKUP($E666&amp;$C666,生产方式定位!$F$3:$J$38,3,FALSE),0)</f>
        <v>20</v>
      </c>
      <c r="X666" s="18">
        <f>IFERROR(VLOOKUP($D666&amp;$C666,生产方式定位!$A$2:$E$38,5,FALSE)+VLOOKUP($E666&amp;$C666,生产方式定位!$F$3:$J$38,5,FALSE),"错误")</f>
        <v>2114</v>
      </c>
      <c r="Y666" s="27" t="str">
        <f t="shared" si="170"/>
        <v/>
      </c>
      <c r="Z666" s="50" t="str">
        <f t="shared" si="173"/>
        <v/>
      </c>
      <c r="AA666" s="50" t="str">
        <f t="shared" si="171"/>
        <v/>
      </c>
      <c r="AB666" s="28" t="str">
        <f t="shared" si="174"/>
        <v>6%</v>
      </c>
      <c r="AC666" s="1">
        <f t="shared" si="175"/>
        <v>94</v>
      </c>
      <c r="AD666" s="52">
        <f t="shared" si="172"/>
        <v>3</v>
      </c>
      <c r="AE666" t="str">
        <f t="shared" si="176"/>
        <v/>
      </c>
      <c r="AF666" t="str">
        <f t="shared" si="177"/>
        <v/>
      </c>
      <c r="AG666" t="str">
        <f t="shared" si="178"/>
        <v/>
      </c>
      <c r="AH666" t="str">
        <f t="shared" si="179"/>
        <v/>
      </c>
      <c r="AI666" t="str">
        <f t="shared" si="180"/>
        <v/>
      </c>
      <c r="AJ666" t="str">
        <f t="shared" si="181"/>
        <v/>
      </c>
      <c r="AK666" t="str">
        <f t="shared" si="182"/>
        <v/>
      </c>
      <c r="AL666" t="str">
        <f t="shared" si="183"/>
        <v/>
      </c>
      <c r="AN666" t="str">
        <f>IFERROR(ROUND(L666*(G666/$AW666)/VLOOKUP(F666,商品!$A$4:$D$67,4,FALSE),0),"")</f>
        <v/>
      </c>
      <c r="AO666" t="str">
        <f>IFERROR(ROUND(L666*(I666/$AW666)/VLOOKUP(H666,商品!$A$4:$D$67,4,FALSE),0),"")</f>
        <v/>
      </c>
      <c r="AP666" t="str">
        <f>IFERROR(ROUND(L666*(K666/$AW666)/VLOOKUP(J666,商品!$A$4:$D$67,4,FALSE),0),"")</f>
        <v/>
      </c>
      <c r="AQ666" t="str">
        <f>IFERROR(ROUND(S666*(N666/$AX666)/VLOOKUP(M666,职业!$A$3:$E$16,4,FALSE),0),"")</f>
        <v/>
      </c>
      <c r="AR666" t="str">
        <f>IFERROR(ROUND(S666*(P666/$AX666)/VLOOKUP(O666,职业!$A$3:$E$16,4,FALSE),0),"")</f>
        <v/>
      </c>
      <c r="AS666" t="str">
        <f>IFERROR(ROUND(S666*(R666/$AX666)/VLOOKUP(Q666,职业!$A$3:$E$16,4,FALSE),0),"")</f>
        <v/>
      </c>
      <c r="AT666" t="str">
        <f>IFERROR(ROUND(X666*(U666/$AY666)/VLOOKUP(T666,商品!$A$4:$D$67,4,FALSE),0),"")</f>
        <v/>
      </c>
      <c r="AU666" t="str">
        <f>IFERROR(ROUND(X666*(W666/$AY666)/VLOOKUP(V666,商品!$A$4:$D$67,4,FALSE),0),"")</f>
        <v/>
      </c>
      <c r="AW666">
        <f t="shared" si="184"/>
        <v>0</v>
      </c>
      <c r="AX666">
        <f t="shared" si="185"/>
        <v>0</v>
      </c>
      <c r="AY666">
        <f t="shared" si="186"/>
        <v>0</v>
      </c>
    </row>
    <row r="667" customHeight="1" spans="1:51">
      <c r="A667" s="18" t="s">
        <v>409</v>
      </c>
      <c r="C667" s="18">
        <v>4</v>
      </c>
      <c r="D667" s="1" t="s">
        <v>260</v>
      </c>
      <c r="E667" s="1" t="s">
        <v>224</v>
      </c>
      <c r="L667" s="18">
        <f>IFERROR(VLOOKUP($D667&amp;$C667,生产方式定位!$A$2:$E$38,2,FALSE)+VLOOKUP($E667&amp;$C667,生产方式定位!$F$3:$J$38,2,FALSE),0)</f>
        <v>3000</v>
      </c>
      <c r="S667" s="18">
        <f>IFERROR(VLOOKUP($D667&amp;$C667,生产方式定位!$A$2:$E$38,3,FALSE)+VLOOKUP($E667&amp;$C667,生产方式定位!$F$3:$J$38,3,FALSE),0)</f>
        <v>-10</v>
      </c>
      <c r="X667" s="18">
        <f>IFERROR(VLOOKUP($D667&amp;$C667,生产方式定位!$A$2:$E$38,5,FALSE)+VLOOKUP($E667&amp;$C667,生产方式定位!$F$3:$J$38,5,FALSE),"错误")</f>
        <v>3132</v>
      </c>
      <c r="Y667" s="27" t="str">
        <f t="shared" si="170"/>
        <v/>
      </c>
      <c r="Z667" s="50" t="str">
        <f t="shared" si="173"/>
        <v/>
      </c>
      <c r="AA667" s="50" t="str">
        <f t="shared" si="171"/>
        <v/>
      </c>
      <c r="AB667" s="28" t="str">
        <f t="shared" si="174"/>
        <v>4%</v>
      </c>
      <c r="AC667" s="1">
        <f t="shared" si="175"/>
        <v>142</v>
      </c>
      <c r="AD667" s="52">
        <f t="shared" si="172"/>
        <v>4</v>
      </c>
      <c r="AE667" t="str">
        <f t="shared" si="176"/>
        <v/>
      </c>
      <c r="AF667" t="str">
        <f t="shared" si="177"/>
        <v/>
      </c>
      <c r="AG667" t="str">
        <f t="shared" si="178"/>
        <v/>
      </c>
      <c r="AH667" t="str">
        <f t="shared" si="179"/>
        <v/>
      </c>
      <c r="AI667" t="str">
        <f t="shared" si="180"/>
        <v/>
      </c>
      <c r="AJ667" t="str">
        <f t="shared" si="181"/>
        <v/>
      </c>
      <c r="AK667" t="str">
        <f t="shared" si="182"/>
        <v/>
      </c>
      <c r="AL667" t="str">
        <f t="shared" si="183"/>
        <v/>
      </c>
      <c r="AN667" t="str">
        <f>IFERROR(ROUND(L667*(G667/$AW667)/VLOOKUP(F667,商品!$A$4:$D$67,4,FALSE),0),"")</f>
        <v/>
      </c>
      <c r="AO667" t="str">
        <f>IFERROR(ROUND(L667*(I667/$AW667)/VLOOKUP(H667,商品!$A$4:$D$67,4,FALSE),0),"")</f>
        <v/>
      </c>
      <c r="AP667" t="str">
        <f>IFERROR(ROUND(L667*(K667/$AW667)/VLOOKUP(J667,商品!$A$4:$D$67,4,FALSE),0),"")</f>
        <v/>
      </c>
      <c r="AQ667" t="str">
        <f>IFERROR(ROUND(S667*(N667/$AX667)/VLOOKUP(M667,职业!$A$3:$E$16,4,FALSE),0),"")</f>
        <v/>
      </c>
      <c r="AR667" t="str">
        <f>IFERROR(ROUND(S667*(P667/$AX667)/VLOOKUP(O667,职业!$A$3:$E$16,4,FALSE),0),"")</f>
        <v/>
      </c>
      <c r="AS667" t="str">
        <f>IFERROR(ROUND(S667*(R667/$AX667)/VLOOKUP(Q667,职业!$A$3:$E$16,4,FALSE),0),"")</f>
        <v/>
      </c>
      <c r="AT667" t="str">
        <f>IFERROR(ROUND(X667*(U667/$AY667)/VLOOKUP(T667,商品!$A$4:$D$67,4,FALSE),0),"")</f>
        <v/>
      </c>
      <c r="AU667" t="str">
        <f>IFERROR(ROUND(X667*(W667/$AY667)/VLOOKUP(V667,商品!$A$4:$D$67,4,FALSE),0),"")</f>
        <v/>
      </c>
      <c r="AW667">
        <f t="shared" si="184"/>
        <v>0</v>
      </c>
      <c r="AX667">
        <f t="shared" si="185"/>
        <v>0</v>
      </c>
      <c r="AY667">
        <f t="shared" si="186"/>
        <v>0</v>
      </c>
    </row>
    <row r="668" customHeight="1" spans="1:51">
      <c r="A668" s="18" t="s">
        <v>409</v>
      </c>
      <c r="C668" s="18">
        <v>5</v>
      </c>
      <c r="D668" s="1" t="s">
        <v>260</v>
      </c>
      <c r="E668" s="1" t="s">
        <v>224</v>
      </c>
      <c r="L668" s="18">
        <f>IFERROR(VLOOKUP($D668&amp;$C668,生产方式定位!$A$2:$E$38,2,FALSE)+VLOOKUP($E668&amp;$C668,生产方式定位!$F$3:$J$38,2,FALSE),0)</f>
        <v>4000</v>
      </c>
      <c r="S668" s="18">
        <f>IFERROR(VLOOKUP($D668&amp;$C668,生产方式定位!$A$2:$E$38,3,FALSE)+VLOOKUP($E668&amp;$C668,生产方式定位!$F$3:$J$38,3,FALSE),0)</f>
        <v>-40</v>
      </c>
      <c r="X668" s="18">
        <f>IFERROR(VLOOKUP($D668&amp;$C668,生产方式定位!$A$2:$E$38,5,FALSE)+VLOOKUP($E668&amp;$C668,生产方式定位!$F$3:$J$38,5,FALSE),"错误")</f>
        <v>4150</v>
      </c>
      <c r="Y668" s="27" t="str">
        <f t="shared" si="170"/>
        <v/>
      </c>
      <c r="Z668" s="50" t="str">
        <f t="shared" si="173"/>
        <v/>
      </c>
      <c r="AA668" s="50" t="str">
        <f t="shared" si="171"/>
        <v/>
      </c>
      <c r="AB668" s="28" t="str">
        <f t="shared" si="174"/>
        <v>4%</v>
      </c>
      <c r="AC668" s="1">
        <f t="shared" si="175"/>
        <v>190</v>
      </c>
      <c r="AD668" s="52">
        <f t="shared" si="172"/>
        <v>5</v>
      </c>
      <c r="AE668" t="str">
        <f t="shared" si="176"/>
        <v/>
      </c>
      <c r="AF668" t="str">
        <f t="shared" si="177"/>
        <v/>
      </c>
      <c r="AG668" t="str">
        <f t="shared" si="178"/>
        <v/>
      </c>
      <c r="AH668" t="str">
        <f t="shared" si="179"/>
        <v/>
      </c>
      <c r="AI668" t="str">
        <f t="shared" si="180"/>
        <v/>
      </c>
      <c r="AJ668" t="str">
        <f t="shared" si="181"/>
        <v/>
      </c>
      <c r="AK668" t="str">
        <f t="shared" si="182"/>
        <v/>
      </c>
      <c r="AL668" t="str">
        <f t="shared" si="183"/>
        <v/>
      </c>
      <c r="AN668" t="str">
        <f>IFERROR(ROUND(L668*(G668/$AW668)/VLOOKUP(F668,商品!$A$4:$D$67,4,FALSE),0),"")</f>
        <v/>
      </c>
      <c r="AO668" t="str">
        <f>IFERROR(ROUND(L668*(I668/$AW668)/VLOOKUP(H668,商品!$A$4:$D$67,4,FALSE),0),"")</f>
        <v/>
      </c>
      <c r="AP668" t="str">
        <f>IFERROR(ROUND(L668*(K668/$AW668)/VLOOKUP(J668,商品!$A$4:$D$67,4,FALSE),0),"")</f>
        <v/>
      </c>
      <c r="AQ668" t="str">
        <f>IFERROR(ROUND(S668*(N668/$AX668)/VLOOKUP(M668,职业!$A$3:$E$16,4,FALSE),0),"")</f>
        <v/>
      </c>
      <c r="AR668" t="str">
        <f>IFERROR(ROUND(S668*(P668/$AX668)/VLOOKUP(O668,职业!$A$3:$E$16,4,FALSE),0),"")</f>
        <v/>
      </c>
      <c r="AS668" t="str">
        <f>IFERROR(ROUND(S668*(R668/$AX668)/VLOOKUP(Q668,职业!$A$3:$E$16,4,FALSE),0),"")</f>
        <v/>
      </c>
      <c r="AT668" t="str">
        <f>IFERROR(ROUND(X668*(U668/$AY668)/VLOOKUP(T668,商品!$A$4:$D$67,4,FALSE),0),"")</f>
        <v/>
      </c>
      <c r="AU668" t="str">
        <f>IFERROR(ROUND(X668*(W668/$AY668)/VLOOKUP(V668,商品!$A$4:$D$67,4,FALSE),0),"")</f>
        <v/>
      </c>
      <c r="AW668">
        <f t="shared" si="184"/>
        <v>0</v>
      </c>
      <c r="AX668">
        <f t="shared" si="185"/>
        <v>0</v>
      </c>
      <c r="AY668">
        <f t="shared" si="186"/>
        <v>0</v>
      </c>
    </row>
    <row r="669" customHeight="1" spans="1:51">
      <c r="A669" s="5" t="s">
        <v>409</v>
      </c>
      <c r="C669" s="5">
        <v>1</v>
      </c>
      <c r="D669" s="1" t="s">
        <v>260</v>
      </c>
      <c r="E669" s="1" t="s">
        <v>224</v>
      </c>
      <c r="L669" s="5">
        <f>IFERROR(VLOOKUP($D669&amp;$C669,生产方式定位!$A$2:$E$38,2,FALSE)+VLOOKUP($E669&amp;$C669,生产方式定位!$F$3:$J$38,2,FALSE),0)</f>
        <v>0</v>
      </c>
      <c r="S669" s="5">
        <f>IFERROR(VLOOKUP($D669&amp;$C669,生产方式定位!$A$2:$E$38,3,FALSE)+VLOOKUP($E669&amp;$C669,生产方式定位!$F$3:$J$38,3,FALSE),0)</f>
        <v>70</v>
      </c>
      <c r="X669" s="5">
        <f>IFERROR(VLOOKUP($D669&amp;$C669,生产方式定位!$A$2:$E$38,5,FALSE)+VLOOKUP($E669&amp;$C669,生产方式定位!$F$3:$J$38,5,FALSE),"错误")</f>
        <v>350</v>
      </c>
      <c r="Y669" s="27" t="str">
        <f t="shared" si="170"/>
        <v/>
      </c>
      <c r="Z669" s="50" t="str">
        <f t="shared" si="173"/>
        <v/>
      </c>
      <c r="AA669" s="50" t="str">
        <f t="shared" si="171"/>
        <v/>
      </c>
      <c r="AB669" s="28" t="str">
        <f t="shared" si="174"/>
        <v/>
      </c>
      <c r="AC669" s="1">
        <f t="shared" si="175"/>
        <v>280</v>
      </c>
      <c r="AD669" s="51">
        <f t="shared" si="172"/>
        <v>1</v>
      </c>
      <c r="AE669" t="str">
        <f t="shared" si="176"/>
        <v/>
      </c>
      <c r="AF669" t="str">
        <f t="shared" si="177"/>
        <v/>
      </c>
      <c r="AG669" t="str">
        <f t="shared" si="178"/>
        <v/>
      </c>
      <c r="AH669" t="str">
        <f t="shared" si="179"/>
        <v/>
      </c>
      <c r="AI669" t="str">
        <f t="shared" si="180"/>
        <v/>
      </c>
      <c r="AJ669" t="str">
        <f t="shared" si="181"/>
        <v/>
      </c>
      <c r="AK669" t="str">
        <f t="shared" si="182"/>
        <v/>
      </c>
      <c r="AL669" t="str">
        <f t="shared" si="183"/>
        <v/>
      </c>
      <c r="AN669" t="str">
        <f>IFERROR(ROUND(L669*(G669/$AW669)/VLOOKUP(F669,商品!$A$4:$D$67,4,FALSE),0),"")</f>
        <v/>
      </c>
      <c r="AO669" t="str">
        <f>IFERROR(ROUND(L669*(I669/$AW669)/VLOOKUP(H669,商品!$A$4:$D$67,4,FALSE),0),"")</f>
        <v/>
      </c>
      <c r="AP669" t="str">
        <f>IFERROR(ROUND(L669*(K669/$AW669)/VLOOKUP(J669,商品!$A$4:$D$67,4,FALSE),0),"")</f>
        <v/>
      </c>
      <c r="AQ669" t="str">
        <f>IFERROR(ROUND(S669*(N669/$AX669)/VLOOKUP(M669,职业!$A$3:$E$16,4,FALSE),0),"")</f>
        <v/>
      </c>
      <c r="AR669" t="str">
        <f>IFERROR(ROUND(S669*(P669/$AX669)/VLOOKUP(O669,职业!$A$3:$E$16,4,FALSE),0),"")</f>
        <v/>
      </c>
      <c r="AS669" t="str">
        <f>IFERROR(ROUND(S669*(R669/$AX669)/VLOOKUP(Q669,职业!$A$3:$E$16,4,FALSE),0),"")</f>
        <v/>
      </c>
      <c r="AT669" t="str">
        <f>IFERROR(ROUND(X669*(U669/$AY669)/VLOOKUP(T669,商品!$A$4:$D$67,4,FALSE),0),"")</f>
        <v/>
      </c>
      <c r="AU669" t="str">
        <f>IFERROR(ROUND(X669*(W669/$AY669)/VLOOKUP(V669,商品!$A$4:$D$67,4,FALSE),0),"")</f>
        <v/>
      </c>
      <c r="AW669">
        <f t="shared" si="184"/>
        <v>0</v>
      </c>
      <c r="AX669">
        <f t="shared" si="185"/>
        <v>0</v>
      </c>
      <c r="AY669">
        <f t="shared" si="186"/>
        <v>0</v>
      </c>
    </row>
    <row r="670" customHeight="1" spans="1:51">
      <c r="A670" s="5" t="s">
        <v>409</v>
      </c>
      <c r="C670" s="5">
        <v>2</v>
      </c>
      <c r="D670" s="1" t="s">
        <v>260</v>
      </c>
      <c r="E670" s="1" t="s">
        <v>224</v>
      </c>
      <c r="L670" s="5">
        <f>IFERROR(VLOOKUP($D670&amp;$C670,生产方式定位!$A$2:$E$38,2,FALSE)+VLOOKUP($E670&amp;$C670,生产方式定位!$F$3:$J$38,2,FALSE),0)</f>
        <v>1000</v>
      </c>
      <c r="S670" s="5">
        <f>IFERROR(VLOOKUP($D670&amp;$C670,生产方式定位!$A$2:$E$38,3,FALSE)+VLOOKUP($E670&amp;$C670,生产方式定位!$F$3:$J$38,3,FALSE),0)</f>
        <v>50</v>
      </c>
      <c r="X670" s="5">
        <f>IFERROR(VLOOKUP($D670&amp;$C670,生产方式定位!$A$2:$E$38,5,FALSE)+VLOOKUP($E670&amp;$C670,生产方式定位!$F$3:$J$38,5,FALSE),"错误")</f>
        <v>1096</v>
      </c>
      <c r="Y670" s="27" t="str">
        <f t="shared" si="170"/>
        <v/>
      </c>
      <c r="Z670" s="50" t="str">
        <f t="shared" si="173"/>
        <v/>
      </c>
      <c r="AA670" s="50" t="str">
        <f t="shared" si="171"/>
        <v/>
      </c>
      <c r="AB670" s="28" t="str">
        <f t="shared" si="174"/>
        <v>10%</v>
      </c>
      <c r="AC670" s="1">
        <f t="shared" si="175"/>
        <v>46</v>
      </c>
      <c r="AD670" s="51">
        <f t="shared" si="172"/>
        <v>2</v>
      </c>
      <c r="AE670" t="str">
        <f t="shared" si="176"/>
        <v/>
      </c>
      <c r="AF670" t="str">
        <f t="shared" si="177"/>
        <v/>
      </c>
      <c r="AG670" t="str">
        <f t="shared" si="178"/>
        <v/>
      </c>
      <c r="AH670" t="str">
        <f t="shared" si="179"/>
        <v/>
      </c>
      <c r="AI670" t="str">
        <f t="shared" si="180"/>
        <v/>
      </c>
      <c r="AJ670" t="str">
        <f t="shared" si="181"/>
        <v/>
      </c>
      <c r="AK670" t="str">
        <f t="shared" si="182"/>
        <v/>
      </c>
      <c r="AL670" t="str">
        <f t="shared" si="183"/>
        <v/>
      </c>
      <c r="AN670" t="str">
        <f>IFERROR(ROUND(L670*(G670/$AW670)/VLOOKUP(F670,商品!$A$4:$D$67,4,FALSE),0),"")</f>
        <v/>
      </c>
      <c r="AO670" t="str">
        <f>IFERROR(ROUND(L670*(I670/$AW670)/VLOOKUP(H670,商品!$A$4:$D$67,4,FALSE),0),"")</f>
        <v/>
      </c>
      <c r="AP670" t="str">
        <f>IFERROR(ROUND(L670*(K670/$AW670)/VLOOKUP(J670,商品!$A$4:$D$67,4,FALSE),0),"")</f>
        <v/>
      </c>
      <c r="AQ670" t="str">
        <f>IFERROR(ROUND(S670*(N670/$AX670)/VLOOKUP(M670,职业!$A$3:$E$16,4,FALSE),0),"")</f>
        <v/>
      </c>
      <c r="AR670" t="str">
        <f>IFERROR(ROUND(S670*(P670/$AX670)/VLOOKUP(O670,职业!$A$3:$E$16,4,FALSE),0),"")</f>
        <v/>
      </c>
      <c r="AS670" t="str">
        <f>IFERROR(ROUND(S670*(R670/$AX670)/VLOOKUP(Q670,职业!$A$3:$E$16,4,FALSE),0),"")</f>
        <v/>
      </c>
      <c r="AT670" t="str">
        <f>IFERROR(ROUND(X670*(U670/$AY670)/VLOOKUP(T670,商品!$A$4:$D$67,4,FALSE),0),"")</f>
        <v/>
      </c>
      <c r="AU670" t="str">
        <f>IFERROR(ROUND(X670*(W670/$AY670)/VLOOKUP(V670,商品!$A$4:$D$67,4,FALSE),0),"")</f>
        <v/>
      </c>
      <c r="AW670">
        <f t="shared" si="184"/>
        <v>0</v>
      </c>
      <c r="AX670">
        <f t="shared" si="185"/>
        <v>0</v>
      </c>
      <c r="AY670">
        <f t="shared" si="186"/>
        <v>0</v>
      </c>
    </row>
    <row r="671" customHeight="1" spans="1:51">
      <c r="A671" s="5" t="s">
        <v>409</v>
      </c>
      <c r="C671" s="5">
        <v>3</v>
      </c>
      <c r="D671" s="1" t="s">
        <v>260</v>
      </c>
      <c r="E671" s="1" t="s">
        <v>224</v>
      </c>
      <c r="L671" s="5">
        <f>IFERROR(VLOOKUP($D671&amp;$C671,生产方式定位!$A$2:$E$38,2,FALSE)+VLOOKUP($E671&amp;$C671,生产方式定位!$F$3:$J$38,2,FALSE),0)</f>
        <v>2000</v>
      </c>
      <c r="S671" s="5">
        <f>IFERROR(VLOOKUP($D671&amp;$C671,生产方式定位!$A$2:$E$38,3,FALSE)+VLOOKUP($E671&amp;$C671,生产方式定位!$F$3:$J$38,3,FALSE),0)</f>
        <v>20</v>
      </c>
      <c r="X671" s="5">
        <f>IFERROR(VLOOKUP($D671&amp;$C671,生产方式定位!$A$2:$E$38,5,FALSE)+VLOOKUP($E671&amp;$C671,生产方式定位!$F$3:$J$38,5,FALSE),"错误")</f>
        <v>2114</v>
      </c>
      <c r="Y671" s="27" t="str">
        <f t="shared" si="170"/>
        <v/>
      </c>
      <c r="Z671" s="50" t="str">
        <f t="shared" si="173"/>
        <v/>
      </c>
      <c r="AA671" s="50" t="str">
        <f t="shared" si="171"/>
        <v/>
      </c>
      <c r="AB671" s="28" t="str">
        <f t="shared" si="174"/>
        <v>6%</v>
      </c>
      <c r="AC671" s="1">
        <f t="shared" si="175"/>
        <v>94</v>
      </c>
      <c r="AD671" s="51">
        <f t="shared" si="172"/>
        <v>3</v>
      </c>
      <c r="AE671" t="str">
        <f t="shared" si="176"/>
        <v/>
      </c>
      <c r="AF671" t="str">
        <f t="shared" si="177"/>
        <v/>
      </c>
      <c r="AG671" t="str">
        <f t="shared" si="178"/>
        <v/>
      </c>
      <c r="AH671" t="str">
        <f t="shared" si="179"/>
        <v/>
      </c>
      <c r="AI671" t="str">
        <f t="shared" si="180"/>
        <v/>
      </c>
      <c r="AJ671" t="str">
        <f t="shared" si="181"/>
        <v/>
      </c>
      <c r="AK671" t="str">
        <f t="shared" si="182"/>
        <v/>
      </c>
      <c r="AL671" t="str">
        <f t="shared" si="183"/>
        <v/>
      </c>
      <c r="AN671" t="str">
        <f>IFERROR(ROUND(L671*(G671/$AW671)/VLOOKUP(F671,商品!$A$4:$D$67,4,FALSE),0),"")</f>
        <v/>
      </c>
      <c r="AO671" t="str">
        <f>IFERROR(ROUND(L671*(I671/$AW671)/VLOOKUP(H671,商品!$A$4:$D$67,4,FALSE),0),"")</f>
        <v/>
      </c>
      <c r="AP671" t="str">
        <f>IFERROR(ROUND(L671*(K671/$AW671)/VLOOKUP(J671,商品!$A$4:$D$67,4,FALSE),0),"")</f>
        <v/>
      </c>
      <c r="AQ671" t="str">
        <f>IFERROR(ROUND(S671*(N671/$AX671)/VLOOKUP(M671,职业!$A$3:$E$16,4,FALSE),0),"")</f>
        <v/>
      </c>
      <c r="AR671" t="str">
        <f>IFERROR(ROUND(S671*(P671/$AX671)/VLOOKUP(O671,职业!$A$3:$E$16,4,FALSE),0),"")</f>
        <v/>
      </c>
      <c r="AS671" t="str">
        <f>IFERROR(ROUND(S671*(R671/$AX671)/VLOOKUP(Q671,职业!$A$3:$E$16,4,FALSE),0),"")</f>
        <v/>
      </c>
      <c r="AT671" t="str">
        <f>IFERROR(ROUND(X671*(U671/$AY671)/VLOOKUP(T671,商品!$A$4:$D$67,4,FALSE),0),"")</f>
        <v/>
      </c>
      <c r="AU671" t="str">
        <f>IFERROR(ROUND(X671*(W671/$AY671)/VLOOKUP(V671,商品!$A$4:$D$67,4,FALSE),0),"")</f>
        <v/>
      </c>
      <c r="AW671">
        <f t="shared" si="184"/>
        <v>0</v>
      </c>
      <c r="AX671">
        <f t="shared" si="185"/>
        <v>0</v>
      </c>
      <c r="AY671">
        <f t="shared" si="186"/>
        <v>0</v>
      </c>
    </row>
    <row r="672" customHeight="1" spans="1:51">
      <c r="A672" s="5" t="s">
        <v>409</v>
      </c>
      <c r="C672" s="5">
        <v>4</v>
      </c>
      <c r="D672" s="1" t="s">
        <v>260</v>
      </c>
      <c r="E672" s="1" t="s">
        <v>224</v>
      </c>
      <c r="L672" s="5">
        <f>IFERROR(VLOOKUP($D672&amp;$C672,生产方式定位!$A$2:$E$38,2,FALSE)+VLOOKUP($E672&amp;$C672,生产方式定位!$F$3:$J$38,2,FALSE),0)</f>
        <v>3000</v>
      </c>
      <c r="S672" s="5">
        <f>IFERROR(VLOOKUP($D672&amp;$C672,生产方式定位!$A$2:$E$38,3,FALSE)+VLOOKUP($E672&amp;$C672,生产方式定位!$F$3:$J$38,3,FALSE),0)</f>
        <v>-10</v>
      </c>
      <c r="X672" s="5">
        <f>IFERROR(VLOOKUP($D672&amp;$C672,生产方式定位!$A$2:$E$38,5,FALSE)+VLOOKUP($E672&amp;$C672,生产方式定位!$F$3:$J$38,5,FALSE),"错误")</f>
        <v>3132</v>
      </c>
      <c r="Y672" s="27" t="str">
        <f t="shared" si="170"/>
        <v/>
      </c>
      <c r="Z672" s="50" t="str">
        <f t="shared" si="173"/>
        <v/>
      </c>
      <c r="AA672" s="50" t="str">
        <f t="shared" si="171"/>
        <v/>
      </c>
      <c r="AB672" s="28" t="str">
        <f t="shared" si="174"/>
        <v>4%</v>
      </c>
      <c r="AC672" s="1">
        <f t="shared" si="175"/>
        <v>142</v>
      </c>
      <c r="AD672" s="51">
        <f t="shared" si="172"/>
        <v>4</v>
      </c>
      <c r="AE672" t="str">
        <f t="shared" si="176"/>
        <v/>
      </c>
      <c r="AF672" t="str">
        <f t="shared" si="177"/>
        <v/>
      </c>
      <c r="AG672" t="str">
        <f t="shared" si="178"/>
        <v/>
      </c>
      <c r="AH672" t="str">
        <f t="shared" si="179"/>
        <v/>
      </c>
      <c r="AI672" t="str">
        <f t="shared" si="180"/>
        <v/>
      </c>
      <c r="AJ672" t="str">
        <f t="shared" si="181"/>
        <v/>
      </c>
      <c r="AK672" t="str">
        <f t="shared" si="182"/>
        <v/>
      </c>
      <c r="AL672" t="str">
        <f t="shared" si="183"/>
        <v/>
      </c>
      <c r="AN672" t="str">
        <f>IFERROR(ROUND(L672*(G672/$AW672)/VLOOKUP(F672,商品!$A$4:$D$67,4,FALSE),0),"")</f>
        <v/>
      </c>
      <c r="AO672" t="str">
        <f>IFERROR(ROUND(L672*(I672/$AW672)/VLOOKUP(H672,商品!$A$4:$D$67,4,FALSE),0),"")</f>
        <v/>
      </c>
      <c r="AP672" t="str">
        <f>IFERROR(ROUND(L672*(K672/$AW672)/VLOOKUP(J672,商品!$A$4:$D$67,4,FALSE),0),"")</f>
        <v/>
      </c>
      <c r="AQ672" t="str">
        <f>IFERROR(ROUND(S672*(N672/$AX672)/VLOOKUP(M672,职业!$A$3:$E$16,4,FALSE),0),"")</f>
        <v/>
      </c>
      <c r="AR672" t="str">
        <f>IFERROR(ROUND(S672*(P672/$AX672)/VLOOKUP(O672,职业!$A$3:$E$16,4,FALSE),0),"")</f>
        <v/>
      </c>
      <c r="AS672" t="str">
        <f>IFERROR(ROUND(S672*(R672/$AX672)/VLOOKUP(Q672,职业!$A$3:$E$16,4,FALSE),0),"")</f>
        <v/>
      </c>
      <c r="AT672" t="str">
        <f>IFERROR(ROUND(X672*(U672/$AY672)/VLOOKUP(T672,商品!$A$4:$D$67,4,FALSE),0),"")</f>
        <v/>
      </c>
      <c r="AU672" t="str">
        <f>IFERROR(ROUND(X672*(W672/$AY672)/VLOOKUP(V672,商品!$A$4:$D$67,4,FALSE),0),"")</f>
        <v/>
      </c>
      <c r="AW672">
        <f t="shared" si="184"/>
        <v>0</v>
      </c>
      <c r="AX672">
        <f t="shared" si="185"/>
        <v>0</v>
      </c>
      <c r="AY672">
        <f t="shared" si="186"/>
        <v>0</v>
      </c>
    </row>
    <row r="673" customHeight="1" spans="1:51">
      <c r="A673" s="5" t="s">
        <v>409</v>
      </c>
      <c r="C673" s="5">
        <v>5</v>
      </c>
      <c r="D673" s="1" t="s">
        <v>260</v>
      </c>
      <c r="E673" s="1" t="s">
        <v>224</v>
      </c>
      <c r="L673" s="5">
        <f>IFERROR(VLOOKUP($D673&amp;$C673,生产方式定位!$A$2:$E$38,2,FALSE)+VLOOKUP($E673&amp;$C673,生产方式定位!$F$3:$J$38,2,FALSE),0)</f>
        <v>4000</v>
      </c>
      <c r="S673" s="5">
        <f>IFERROR(VLOOKUP($D673&amp;$C673,生产方式定位!$A$2:$E$38,3,FALSE)+VLOOKUP($E673&amp;$C673,生产方式定位!$F$3:$J$38,3,FALSE),0)</f>
        <v>-40</v>
      </c>
      <c r="X673" s="5">
        <f>IFERROR(VLOOKUP($D673&amp;$C673,生产方式定位!$A$2:$E$38,5,FALSE)+VLOOKUP($E673&amp;$C673,生产方式定位!$F$3:$J$38,5,FALSE),"错误")</f>
        <v>4150</v>
      </c>
      <c r="Y673" s="27" t="str">
        <f t="shared" si="170"/>
        <v/>
      </c>
      <c r="Z673" s="50" t="str">
        <f t="shared" si="173"/>
        <v/>
      </c>
      <c r="AA673" s="50" t="str">
        <f t="shared" si="171"/>
        <v/>
      </c>
      <c r="AB673" s="28" t="str">
        <f t="shared" si="174"/>
        <v>4%</v>
      </c>
      <c r="AC673" s="1">
        <f t="shared" si="175"/>
        <v>190</v>
      </c>
      <c r="AD673" s="51">
        <f t="shared" si="172"/>
        <v>5</v>
      </c>
      <c r="AE673" t="str">
        <f t="shared" si="176"/>
        <v/>
      </c>
      <c r="AF673" t="str">
        <f t="shared" si="177"/>
        <v/>
      </c>
      <c r="AG673" t="str">
        <f t="shared" si="178"/>
        <v/>
      </c>
      <c r="AH673" t="str">
        <f t="shared" si="179"/>
        <v/>
      </c>
      <c r="AI673" t="str">
        <f t="shared" si="180"/>
        <v/>
      </c>
      <c r="AJ673" t="str">
        <f t="shared" si="181"/>
        <v/>
      </c>
      <c r="AK673" t="str">
        <f t="shared" si="182"/>
        <v/>
      </c>
      <c r="AL673" t="str">
        <f t="shared" si="183"/>
        <v/>
      </c>
      <c r="AN673" t="str">
        <f>IFERROR(ROUND(L673*(G673/$AW673)/VLOOKUP(F673,商品!$A$4:$D$67,4,FALSE),0),"")</f>
        <v/>
      </c>
      <c r="AO673" t="str">
        <f>IFERROR(ROUND(L673*(I673/$AW673)/VLOOKUP(H673,商品!$A$4:$D$67,4,FALSE),0),"")</f>
        <v/>
      </c>
      <c r="AP673" t="str">
        <f>IFERROR(ROUND(L673*(K673/$AW673)/VLOOKUP(J673,商品!$A$4:$D$67,4,FALSE),0),"")</f>
        <v/>
      </c>
      <c r="AQ673" t="str">
        <f>IFERROR(ROUND(S673*(N673/$AX673)/VLOOKUP(M673,职业!$A$3:$E$16,4,FALSE),0),"")</f>
        <v/>
      </c>
      <c r="AR673" t="str">
        <f>IFERROR(ROUND(S673*(P673/$AX673)/VLOOKUP(O673,职业!$A$3:$E$16,4,FALSE),0),"")</f>
        <v/>
      </c>
      <c r="AS673" t="str">
        <f>IFERROR(ROUND(S673*(R673/$AX673)/VLOOKUP(Q673,职业!$A$3:$E$16,4,FALSE),0),"")</f>
        <v/>
      </c>
      <c r="AT673" t="str">
        <f>IFERROR(ROUND(X673*(U673/$AY673)/VLOOKUP(T673,商品!$A$4:$D$67,4,FALSE),0),"")</f>
        <v/>
      </c>
      <c r="AU673" t="str">
        <f>IFERROR(ROUND(X673*(W673/$AY673)/VLOOKUP(V673,商品!$A$4:$D$67,4,FALSE),0),"")</f>
        <v/>
      </c>
      <c r="AW673">
        <f t="shared" si="184"/>
        <v>0</v>
      </c>
      <c r="AX673">
        <f t="shared" si="185"/>
        <v>0</v>
      </c>
      <c r="AY673">
        <f t="shared" si="186"/>
        <v>0</v>
      </c>
    </row>
    <row r="674" customHeight="1" spans="1:51">
      <c r="A674" s="18" t="s">
        <v>410</v>
      </c>
      <c r="C674" s="18">
        <v>1</v>
      </c>
      <c r="D674" s="1" t="s">
        <v>291</v>
      </c>
      <c r="E674" s="1" t="s">
        <v>225</v>
      </c>
      <c r="L674" s="18">
        <f>IFERROR(VLOOKUP($D674&amp;$C674,生产方式定位!$A$2:$E$38,2,FALSE)+VLOOKUP($E674&amp;$C674,生产方式定位!$F$3:$J$38,2,FALSE),0)</f>
        <v>0</v>
      </c>
      <c r="S674" s="18">
        <f>IFERROR(VLOOKUP($D674&amp;$C674,生产方式定位!$A$2:$E$38,3,FALSE)+VLOOKUP($E674&amp;$C674,生产方式定位!$F$3:$J$38,3,FALSE),0)</f>
        <v>100</v>
      </c>
      <c r="X674" s="18">
        <f>IFERROR(VLOOKUP($D674&amp;$C674,生产方式定位!$A$2:$E$38,5,FALSE)+VLOOKUP($E674&amp;$C674,生产方式定位!$F$3:$J$38,5,FALSE),"错误")</f>
        <v>100</v>
      </c>
      <c r="Y674" s="27" t="str">
        <f t="shared" si="170"/>
        <v/>
      </c>
      <c r="Z674" s="50" t="str">
        <f t="shared" si="173"/>
        <v/>
      </c>
      <c r="AA674" s="50" t="str">
        <f t="shared" si="171"/>
        <v/>
      </c>
      <c r="AB674" s="28" t="str">
        <f t="shared" si="174"/>
        <v/>
      </c>
      <c r="AC674" s="1" t="str">
        <f t="shared" si="175"/>
        <v/>
      </c>
      <c r="AD674" s="52">
        <f t="shared" si="172"/>
        <v>1</v>
      </c>
      <c r="AE674" t="str">
        <f t="shared" si="176"/>
        <v/>
      </c>
      <c r="AF674" t="str">
        <f t="shared" si="177"/>
        <v/>
      </c>
      <c r="AG674" t="str">
        <f t="shared" si="178"/>
        <v/>
      </c>
      <c r="AH674" t="str">
        <f t="shared" si="179"/>
        <v/>
      </c>
      <c r="AI674" t="str">
        <f t="shared" si="180"/>
        <v/>
      </c>
      <c r="AJ674" t="str">
        <f t="shared" si="181"/>
        <v/>
      </c>
      <c r="AK674" t="str">
        <f t="shared" si="182"/>
        <v/>
      </c>
      <c r="AL674" t="str">
        <f t="shared" si="183"/>
        <v/>
      </c>
      <c r="AN674" t="str">
        <f>IFERROR(ROUND(L674*(G674/$AW674)/VLOOKUP(F674,商品!$A$4:$D$67,4,FALSE),0),"")</f>
        <v/>
      </c>
      <c r="AO674" t="str">
        <f>IFERROR(ROUND(L674*(I674/$AW674)/VLOOKUP(H674,商品!$A$4:$D$67,4,FALSE),0),"")</f>
        <v/>
      </c>
      <c r="AP674" t="str">
        <f>IFERROR(ROUND(L674*(K674/$AW674)/VLOOKUP(J674,商品!$A$4:$D$67,4,FALSE),0),"")</f>
        <v/>
      </c>
      <c r="AQ674" t="str">
        <f>IFERROR(ROUND(S674*(N674/$AX674)/VLOOKUP(M674,职业!$A$3:$E$16,4,FALSE),0),"")</f>
        <v/>
      </c>
      <c r="AR674" t="str">
        <f>IFERROR(ROUND(S674*(P674/$AX674)/VLOOKUP(O674,职业!$A$3:$E$16,4,FALSE),0),"")</f>
        <v/>
      </c>
      <c r="AS674" t="str">
        <f>IFERROR(ROUND(S674*(R674/$AX674)/VLOOKUP(Q674,职业!$A$3:$E$16,4,FALSE),0),"")</f>
        <v/>
      </c>
      <c r="AT674" t="str">
        <f>IFERROR(ROUND(X674*(U674/$AY674)/VLOOKUP(T674,商品!$A$4:$D$67,4,FALSE),0),"")</f>
        <v/>
      </c>
      <c r="AU674" t="str">
        <f>IFERROR(ROUND(X674*(W674/$AY674)/VLOOKUP(V674,商品!$A$4:$D$67,4,FALSE),0),"")</f>
        <v/>
      </c>
      <c r="AW674">
        <f t="shared" si="184"/>
        <v>0</v>
      </c>
      <c r="AX674">
        <f t="shared" si="185"/>
        <v>0</v>
      </c>
      <c r="AY674">
        <f t="shared" si="186"/>
        <v>0</v>
      </c>
    </row>
    <row r="675" customHeight="1" spans="1:51">
      <c r="A675" s="18" t="s">
        <v>410</v>
      </c>
      <c r="C675" s="18">
        <v>2</v>
      </c>
      <c r="D675" s="1" t="s">
        <v>291</v>
      </c>
      <c r="E675" s="1" t="s">
        <v>225</v>
      </c>
      <c r="L675" s="18">
        <f>IFERROR(VLOOKUP($D675&amp;$C675,生产方式定位!$A$2:$E$38,2,FALSE)+VLOOKUP($E675&amp;$C675,生产方式定位!$F$3:$J$38,2,FALSE),0)</f>
        <v>0</v>
      </c>
      <c r="S675" s="18">
        <f>IFERROR(VLOOKUP($D675&amp;$C675,生产方式定位!$A$2:$E$38,3,FALSE)+VLOOKUP($E675&amp;$C675,生产方式定位!$F$3:$J$38,3,FALSE),0)</f>
        <v>100</v>
      </c>
      <c r="X675" s="18">
        <f>IFERROR(VLOOKUP($D675&amp;$C675,生产方式定位!$A$2:$E$38,5,FALSE)+VLOOKUP($E675&amp;$C675,生产方式定位!$F$3:$J$38,5,FALSE),"错误")</f>
        <v>100</v>
      </c>
      <c r="Y675" s="27" t="str">
        <f t="shared" si="170"/>
        <v/>
      </c>
      <c r="Z675" s="50" t="str">
        <f t="shared" si="173"/>
        <v/>
      </c>
      <c r="AA675" s="50" t="str">
        <f t="shared" si="171"/>
        <v/>
      </c>
      <c r="AB675" s="28" t="str">
        <f t="shared" si="174"/>
        <v/>
      </c>
      <c r="AC675" s="1" t="str">
        <f t="shared" si="175"/>
        <v/>
      </c>
      <c r="AD675" s="52">
        <f t="shared" si="172"/>
        <v>2</v>
      </c>
      <c r="AE675" t="str">
        <f t="shared" si="176"/>
        <v/>
      </c>
      <c r="AF675" t="str">
        <f t="shared" si="177"/>
        <v/>
      </c>
      <c r="AG675" t="str">
        <f t="shared" si="178"/>
        <v/>
      </c>
      <c r="AH675" t="str">
        <f t="shared" si="179"/>
        <v/>
      </c>
      <c r="AI675" t="str">
        <f t="shared" si="180"/>
        <v/>
      </c>
      <c r="AJ675" t="str">
        <f t="shared" si="181"/>
        <v/>
      </c>
      <c r="AK675" t="str">
        <f t="shared" si="182"/>
        <v/>
      </c>
      <c r="AL675" t="str">
        <f t="shared" si="183"/>
        <v/>
      </c>
      <c r="AN675" t="str">
        <f>IFERROR(ROUND(L675*(G675/$AW675)/VLOOKUP(F675,商品!$A$4:$D$67,4,FALSE),0),"")</f>
        <v/>
      </c>
      <c r="AO675" t="str">
        <f>IFERROR(ROUND(L675*(I675/$AW675)/VLOOKUP(H675,商品!$A$4:$D$67,4,FALSE),0),"")</f>
        <v/>
      </c>
      <c r="AP675" t="str">
        <f>IFERROR(ROUND(L675*(K675/$AW675)/VLOOKUP(J675,商品!$A$4:$D$67,4,FALSE),0),"")</f>
        <v/>
      </c>
      <c r="AQ675" t="str">
        <f>IFERROR(ROUND(S675*(N675/$AX675)/VLOOKUP(M675,职业!$A$3:$E$16,4,FALSE),0),"")</f>
        <v/>
      </c>
      <c r="AR675" t="str">
        <f>IFERROR(ROUND(S675*(P675/$AX675)/VLOOKUP(O675,职业!$A$3:$E$16,4,FALSE),0),"")</f>
        <v/>
      </c>
      <c r="AS675" t="str">
        <f>IFERROR(ROUND(S675*(R675/$AX675)/VLOOKUP(Q675,职业!$A$3:$E$16,4,FALSE),0),"")</f>
        <v/>
      </c>
      <c r="AT675" t="str">
        <f>IFERROR(ROUND(X675*(U675/$AY675)/VLOOKUP(T675,商品!$A$4:$D$67,4,FALSE),0),"")</f>
        <v/>
      </c>
      <c r="AU675" t="str">
        <f>IFERROR(ROUND(X675*(W675/$AY675)/VLOOKUP(V675,商品!$A$4:$D$67,4,FALSE),0),"")</f>
        <v/>
      </c>
      <c r="AW675">
        <f t="shared" si="184"/>
        <v>0</v>
      </c>
      <c r="AX675">
        <f t="shared" si="185"/>
        <v>0</v>
      </c>
      <c r="AY675">
        <f t="shared" si="186"/>
        <v>0</v>
      </c>
    </row>
    <row r="676" customHeight="1" spans="1:51">
      <c r="A676" s="18" t="s">
        <v>410</v>
      </c>
      <c r="C676" s="18">
        <v>3</v>
      </c>
      <c r="D676" s="1" t="s">
        <v>291</v>
      </c>
      <c r="E676" s="1" t="s">
        <v>225</v>
      </c>
      <c r="L676" s="18">
        <f>IFERROR(VLOOKUP($D676&amp;$C676,生产方式定位!$A$2:$E$38,2,FALSE)+VLOOKUP($E676&amp;$C676,生产方式定位!$F$3:$J$38,2,FALSE),0)</f>
        <v>0</v>
      </c>
      <c r="S676" s="18">
        <f>IFERROR(VLOOKUP($D676&amp;$C676,生产方式定位!$A$2:$E$38,3,FALSE)+VLOOKUP($E676&amp;$C676,生产方式定位!$F$3:$J$38,3,FALSE),0)</f>
        <v>100</v>
      </c>
      <c r="X676" s="18">
        <f>IFERROR(VLOOKUP($D676&amp;$C676,生产方式定位!$A$2:$E$38,5,FALSE)+VLOOKUP($E676&amp;$C676,生产方式定位!$F$3:$J$38,5,FALSE),"错误")</f>
        <v>100</v>
      </c>
      <c r="Y676" s="27" t="str">
        <f t="shared" si="170"/>
        <v/>
      </c>
      <c r="Z676" s="50" t="str">
        <f t="shared" si="173"/>
        <v/>
      </c>
      <c r="AA676" s="50" t="str">
        <f t="shared" si="171"/>
        <v/>
      </c>
      <c r="AB676" s="28" t="str">
        <f t="shared" si="174"/>
        <v/>
      </c>
      <c r="AC676" s="1" t="str">
        <f t="shared" si="175"/>
        <v/>
      </c>
      <c r="AD676" s="52">
        <f t="shared" si="172"/>
        <v>3</v>
      </c>
      <c r="AE676" t="str">
        <f t="shared" si="176"/>
        <v/>
      </c>
      <c r="AF676" t="str">
        <f t="shared" si="177"/>
        <v/>
      </c>
      <c r="AG676" t="str">
        <f t="shared" si="178"/>
        <v/>
      </c>
      <c r="AH676" t="str">
        <f t="shared" si="179"/>
        <v/>
      </c>
      <c r="AI676" t="str">
        <f t="shared" si="180"/>
        <v/>
      </c>
      <c r="AJ676" t="str">
        <f t="shared" si="181"/>
        <v/>
      </c>
      <c r="AK676" t="str">
        <f t="shared" si="182"/>
        <v/>
      </c>
      <c r="AL676" t="str">
        <f t="shared" si="183"/>
        <v/>
      </c>
      <c r="AN676" t="str">
        <f>IFERROR(ROUND(L676*(G676/$AW676)/VLOOKUP(F676,商品!$A$4:$D$67,4,FALSE),0),"")</f>
        <v/>
      </c>
      <c r="AO676" t="str">
        <f>IFERROR(ROUND(L676*(I676/$AW676)/VLOOKUP(H676,商品!$A$4:$D$67,4,FALSE),0),"")</f>
        <v/>
      </c>
      <c r="AP676" t="str">
        <f>IFERROR(ROUND(L676*(K676/$AW676)/VLOOKUP(J676,商品!$A$4:$D$67,4,FALSE),0),"")</f>
        <v/>
      </c>
      <c r="AQ676" t="str">
        <f>IFERROR(ROUND(S676*(N676/$AX676)/VLOOKUP(M676,职业!$A$3:$E$16,4,FALSE),0),"")</f>
        <v/>
      </c>
      <c r="AR676" t="str">
        <f>IFERROR(ROUND(S676*(P676/$AX676)/VLOOKUP(O676,职业!$A$3:$E$16,4,FALSE),0),"")</f>
        <v/>
      </c>
      <c r="AS676" t="str">
        <f>IFERROR(ROUND(S676*(R676/$AX676)/VLOOKUP(Q676,职业!$A$3:$E$16,4,FALSE),0),"")</f>
        <v/>
      </c>
      <c r="AT676" t="str">
        <f>IFERROR(ROUND(X676*(U676/$AY676)/VLOOKUP(T676,商品!$A$4:$D$67,4,FALSE),0),"")</f>
        <v/>
      </c>
      <c r="AU676" t="str">
        <f>IFERROR(ROUND(X676*(W676/$AY676)/VLOOKUP(V676,商品!$A$4:$D$67,4,FALSE),0),"")</f>
        <v/>
      </c>
      <c r="AW676">
        <f t="shared" si="184"/>
        <v>0</v>
      </c>
      <c r="AX676">
        <f t="shared" si="185"/>
        <v>0</v>
      </c>
      <c r="AY676">
        <f t="shared" si="186"/>
        <v>0</v>
      </c>
    </row>
    <row r="677" customHeight="1" spans="1:51">
      <c r="A677" s="18" t="s">
        <v>410</v>
      </c>
      <c r="C677" s="18">
        <v>4</v>
      </c>
      <c r="D677" s="1" t="s">
        <v>291</v>
      </c>
      <c r="E677" s="1" t="s">
        <v>225</v>
      </c>
      <c r="L677" s="18">
        <f>IFERROR(VLOOKUP($D677&amp;$C677,生产方式定位!$A$2:$E$38,2,FALSE)+VLOOKUP($E677&amp;$C677,生产方式定位!$F$3:$J$38,2,FALSE),0)</f>
        <v>0</v>
      </c>
      <c r="S677" s="18">
        <f>IFERROR(VLOOKUP($D677&amp;$C677,生产方式定位!$A$2:$E$38,3,FALSE)+VLOOKUP($E677&amp;$C677,生产方式定位!$F$3:$J$38,3,FALSE),0)</f>
        <v>100</v>
      </c>
      <c r="X677" s="18">
        <f>IFERROR(VLOOKUP($D677&amp;$C677,生产方式定位!$A$2:$E$38,5,FALSE)+VLOOKUP($E677&amp;$C677,生产方式定位!$F$3:$J$38,5,FALSE),"错误")</f>
        <v>100</v>
      </c>
      <c r="Y677" s="27" t="str">
        <f t="shared" si="170"/>
        <v/>
      </c>
      <c r="Z677" s="50" t="str">
        <f t="shared" si="173"/>
        <v/>
      </c>
      <c r="AA677" s="50" t="str">
        <f t="shared" si="171"/>
        <v/>
      </c>
      <c r="AB677" s="28" t="str">
        <f t="shared" si="174"/>
        <v/>
      </c>
      <c r="AC677" s="1" t="str">
        <f t="shared" si="175"/>
        <v/>
      </c>
      <c r="AD677" s="52">
        <f t="shared" si="172"/>
        <v>4</v>
      </c>
      <c r="AE677" t="str">
        <f t="shared" si="176"/>
        <v/>
      </c>
      <c r="AF677" t="str">
        <f t="shared" si="177"/>
        <v/>
      </c>
      <c r="AG677" t="str">
        <f t="shared" si="178"/>
        <v/>
      </c>
      <c r="AH677" t="str">
        <f t="shared" si="179"/>
        <v/>
      </c>
      <c r="AI677" t="str">
        <f t="shared" si="180"/>
        <v/>
      </c>
      <c r="AJ677" t="str">
        <f t="shared" si="181"/>
        <v/>
      </c>
      <c r="AK677" t="str">
        <f t="shared" si="182"/>
        <v/>
      </c>
      <c r="AL677" t="str">
        <f t="shared" si="183"/>
        <v/>
      </c>
      <c r="AN677" t="str">
        <f>IFERROR(ROUND(L677*(G677/$AW677)/VLOOKUP(F677,商品!$A$4:$D$67,4,FALSE),0),"")</f>
        <v/>
      </c>
      <c r="AO677" t="str">
        <f>IFERROR(ROUND(L677*(I677/$AW677)/VLOOKUP(H677,商品!$A$4:$D$67,4,FALSE),0),"")</f>
        <v/>
      </c>
      <c r="AP677" t="str">
        <f>IFERROR(ROUND(L677*(K677/$AW677)/VLOOKUP(J677,商品!$A$4:$D$67,4,FALSE),0),"")</f>
        <v/>
      </c>
      <c r="AQ677" t="str">
        <f>IFERROR(ROUND(S677*(N677/$AX677)/VLOOKUP(M677,职业!$A$3:$E$16,4,FALSE),0),"")</f>
        <v/>
      </c>
      <c r="AR677" t="str">
        <f>IFERROR(ROUND(S677*(P677/$AX677)/VLOOKUP(O677,职业!$A$3:$E$16,4,FALSE),0),"")</f>
        <v/>
      </c>
      <c r="AS677" t="str">
        <f>IFERROR(ROUND(S677*(R677/$AX677)/VLOOKUP(Q677,职业!$A$3:$E$16,4,FALSE),0),"")</f>
        <v/>
      </c>
      <c r="AT677" t="str">
        <f>IFERROR(ROUND(X677*(U677/$AY677)/VLOOKUP(T677,商品!$A$4:$D$67,4,FALSE),0),"")</f>
        <v/>
      </c>
      <c r="AU677" t="str">
        <f>IFERROR(ROUND(X677*(W677/$AY677)/VLOOKUP(V677,商品!$A$4:$D$67,4,FALSE),0),"")</f>
        <v/>
      </c>
      <c r="AW677">
        <f t="shared" si="184"/>
        <v>0</v>
      </c>
      <c r="AX677">
        <f t="shared" si="185"/>
        <v>0</v>
      </c>
      <c r="AY677">
        <f t="shared" si="186"/>
        <v>0</v>
      </c>
    </row>
    <row r="678" customHeight="1" spans="1:51">
      <c r="A678" s="18" t="s">
        <v>410</v>
      </c>
      <c r="C678" s="18">
        <v>5</v>
      </c>
      <c r="D678" s="1" t="s">
        <v>291</v>
      </c>
      <c r="E678" s="1" t="s">
        <v>225</v>
      </c>
      <c r="L678" s="18">
        <f>IFERROR(VLOOKUP($D678&amp;$C678,生产方式定位!$A$2:$E$38,2,FALSE)+VLOOKUP($E678&amp;$C678,生产方式定位!$F$3:$J$38,2,FALSE),0)</f>
        <v>0</v>
      </c>
      <c r="S678" s="18">
        <f>IFERROR(VLOOKUP($D678&amp;$C678,生产方式定位!$A$2:$E$38,3,FALSE)+VLOOKUP($E678&amp;$C678,生产方式定位!$F$3:$J$38,3,FALSE),0)</f>
        <v>100</v>
      </c>
      <c r="X678" s="18">
        <f>IFERROR(VLOOKUP($D678&amp;$C678,生产方式定位!$A$2:$E$38,5,FALSE)+VLOOKUP($E678&amp;$C678,生产方式定位!$F$3:$J$38,5,FALSE),"错误")</f>
        <v>100</v>
      </c>
      <c r="Y678" s="27" t="str">
        <f t="shared" si="170"/>
        <v/>
      </c>
      <c r="Z678" s="50" t="str">
        <f t="shared" si="173"/>
        <v/>
      </c>
      <c r="AA678" s="50" t="str">
        <f t="shared" si="171"/>
        <v/>
      </c>
      <c r="AB678" s="28" t="str">
        <f t="shared" si="174"/>
        <v/>
      </c>
      <c r="AC678" s="1" t="str">
        <f t="shared" si="175"/>
        <v/>
      </c>
      <c r="AD678" s="52">
        <f t="shared" si="172"/>
        <v>5</v>
      </c>
      <c r="AE678" t="str">
        <f t="shared" si="176"/>
        <v/>
      </c>
      <c r="AF678" t="str">
        <f t="shared" si="177"/>
        <v/>
      </c>
      <c r="AG678" t="str">
        <f t="shared" si="178"/>
        <v/>
      </c>
      <c r="AH678" t="str">
        <f t="shared" si="179"/>
        <v/>
      </c>
      <c r="AI678" t="str">
        <f t="shared" si="180"/>
        <v/>
      </c>
      <c r="AJ678" t="str">
        <f t="shared" si="181"/>
        <v/>
      </c>
      <c r="AK678" t="str">
        <f t="shared" si="182"/>
        <v/>
      </c>
      <c r="AL678" t="str">
        <f t="shared" si="183"/>
        <v/>
      </c>
      <c r="AN678" t="str">
        <f>IFERROR(ROUND(L678*(G678/$AW678)/VLOOKUP(F678,商品!$A$4:$D$67,4,FALSE),0),"")</f>
        <v/>
      </c>
      <c r="AO678" t="str">
        <f>IFERROR(ROUND(L678*(I678/$AW678)/VLOOKUP(H678,商品!$A$4:$D$67,4,FALSE),0),"")</f>
        <v/>
      </c>
      <c r="AP678" t="str">
        <f>IFERROR(ROUND(L678*(K678/$AW678)/VLOOKUP(J678,商品!$A$4:$D$67,4,FALSE),0),"")</f>
        <v/>
      </c>
      <c r="AQ678" t="str">
        <f>IFERROR(ROUND(S678*(N678/$AX678)/VLOOKUP(M678,职业!$A$3:$E$16,4,FALSE),0),"")</f>
        <v/>
      </c>
      <c r="AR678" t="str">
        <f>IFERROR(ROUND(S678*(P678/$AX678)/VLOOKUP(O678,职业!$A$3:$E$16,4,FALSE),0),"")</f>
        <v/>
      </c>
      <c r="AS678" t="str">
        <f>IFERROR(ROUND(S678*(R678/$AX678)/VLOOKUP(Q678,职业!$A$3:$E$16,4,FALSE),0),"")</f>
        <v/>
      </c>
      <c r="AT678" t="str">
        <f>IFERROR(ROUND(X678*(U678/$AY678)/VLOOKUP(T678,商品!$A$4:$D$67,4,FALSE),0),"")</f>
        <v/>
      </c>
      <c r="AU678" t="str">
        <f>IFERROR(ROUND(X678*(W678/$AY678)/VLOOKUP(V678,商品!$A$4:$D$67,4,FALSE),0),"")</f>
        <v/>
      </c>
      <c r="AW678">
        <f t="shared" si="184"/>
        <v>0</v>
      </c>
      <c r="AX678">
        <f t="shared" si="185"/>
        <v>0</v>
      </c>
      <c r="AY678">
        <f t="shared" si="186"/>
        <v>0</v>
      </c>
    </row>
    <row r="679" customHeight="1" spans="1:51">
      <c r="A679" s="18" t="s">
        <v>410</v>
      </c>
      <c r="C679" s="18">
        <v>6</v>
      </c>
      <c r="D679" s="1" t="s">
        <v>291</v>
      </c>
      <c r="E679" s="1" t="s">
        <v>225</v>
      </c>
      <c r="L679" s="18">
        <f>IFERROR(VLOOKUP($D679&amp;$C679,生产方式定位!$A$2:$E$38,2,FALSE)+VLOOKUP($E679&amp;$C679,生产方式定位!$F$3:$J$38,2,FALSE),0)</f>
        <v>0</v>
      </c>
      <c r="S679" s="18">
        <f>IFERROR(VLOOKUP($D679&amp;$C679,生产方式定位!$A$2:$E$38,3,FALSE)+VLOOKUP($E679&amp;$C679,生产方式定位!$F$3:$J$38,3,FALSE),0)</f>
        <v>100</v>
      </c>
      <c r="X679" s="18">
        <f>IFERROR(VLOOKUP($D679&amp;$C679,生产方式定位!$A$2:$E$38,5,FALSE)+VLOOKUP($E679&amp;$C679,生产方式定位!$F$3:$J$38,5,FALSE),"错误")</f>
        <v>100</v>
      </c>
      <c r="Y679" s="27" t="str">
        <f t="shared" si="170"/>
        <v/>
      </c>
      <c r="Z679" s="50" t="str">
        <f t="shared" si="173"/>
        <v/>
      </c>
      <c r="AA679" s="50" t="str">
        <f t="shared" si="171"/>
        <v/>
      </c>
      <c r="AB679" s="28" t="str">
        <f t="shared" si="174"/>
        <v/>
      </c>
      <c r="AC679" s="1" t="str">
        <f t="shared" si="175"/>
        <v/>
      </c>
      <c r="AD679" s="52">
        <f t="shared" si="172"/>
        <v>6</v>
      </c>
      <c r="AE679" t="str">
        <f t="shared" si="176"/>
        <v/>
      </c>
      <c r="AF679" t="str">
        <f t="shared" si="177"/>
        <v/>
      </c>
      <c r="AG679" t="str">
        <f t="shared" si="178"/>
        <v/>
      </c>
      <c r="AH679" t="str">
        <f t="shared" si="179"/>
        <v/>
      </c>
      <c r="AI679" t="str">
        <f t="shared" si="180"/>
        <v/>
      </c>
      <c r="AJ679" t="str">
        <f t="shared" si="181"/>
        <v/>
      </c>
      <c r="AK679" t="str">
        <f t="shared" si="182"/>
        <v/>
      </c>
      <c r="AL679" t="str">
        <f t="shared" si="183"/>
        <v/>
      </c>
      <c r="AN679" t="str">
        <f>IFERROR(ROUND(L679*(G679/$AW679)/VLOOKUP(F679,商品!$A$4:$D$67,4,FALSE),0),"")</f>
        <v/>
      </c>
      <c r="AO679" t="str">
        <f>IFERROR(ROUND(L679*(I679/$AW679)/VLOOKUP(H679,商品!$A$4:$D$67,4,FALSE),0),"")</f>
        <v/>
      </c>
      <c r="AP679" t="str">
        <f>IFERROR(ROUND(L679*(K679/$AW679)/VLOOKUP(J679,商品!$A$4:$D$67,4,FALSE),0),"")</f>
        <v/>
      </c>
      <c r="AQ679" t="str">
        <f>IFERROR(ROUND(S679*(N679/$AX679)/VLOOKUP(M679,职业!$A$3:$E$16,4,FALSE),0),"")</f>
        <v/>
      </c>
      <c r="AR679" t="str">
        <f>IFERROR(ROUND(S679*(P679/$AX679)/VLOOKUP(O679,职业!$A$3:$E$16,4,FALSE),0),"")</f>
        <v/>
      </c>
      <c r="AS679" t="str">
        <f>IFERROR(ROUND(S679*(R679/$AX679)/VLOOKUP(Q679,职业!$A$3:$E$16,4,FALSE),0),"")</f>
        <v/>
      </c>
      <c r="AT679" t="str">
        <f>IFERROR(ROUND(X679*(U679/$AY679)/VLOOKUP(T679,商品!$A$4:$D$67,4,FALSE),0),"")</f>
        <v/>
      </c>
      <c r="AU679" t="str">
        <f>IFERROR(ROUND(X679*(W679/$AY679)/VLOOKUP(V679,商品!$A$4:$D$67,4,FALSE),0),"")</f>
        <v/>
      </c>
      <c r="AW679">
        <f t="shared" si="184"/>
        <v>0</v>
      </c>
      <c r="AX679">
        <f t="shared" si="185"/>
        <v>0</v>
      </c>
      <c r="AY679">
        <f t="shared" si="186"/>
        <v>0</v>
      </c>
    </row>
    <row r="680" customHeight="1" spans="1:51">
      <c r="A680" s="18" t="s">
        <v>410</v>
      </c>
      <c r="C680" s="18">
        <v>7</v>
      </c>
      <c r="D680" s="1" t="s">
        <v>291</v>
      </c>
      <c r="E680" s="1" t="s">
        <v>225</v>
      </c>
      <c r="L680" s="18">
        <f>IFERROR(VLOOKUP($D680&amp;$C680,生产方式定位!$A$2:$E$38,2,FALSE)+VLOOKUP($E680&amp;$C680,生产方式定位!$F$3:$J$38,2,FALSE),0)</f>
        <v>0</v>
      </c>
      <c r="S680" s="18">
        <f>IFERROR(VLOOKUP($D680&amp;$C680,生产方式定位!$A$2:$E$38,3,FALSE)+VLOOKUP($E680&amp;$C680,生产方式定位!$F$3:$J$38,3,FALSE),0)</f>
        <v>100</v>
      </c>
      <c r="X680" s="18">
        <f>IFERROR(VLOOKUP($D680&amp;$C680,生产方式定位!$A$2:$E$38,5,FALSE)+VLOOKUP($E680&amp;$C680,生产方式定位!$F$3:$J$38,5,FALSE),"错误")</f>
        <v>100</v>
      </c>
      <c r="Y680" s="27" t="str">
        <f t="shared" si="170"/>
        <v/>
      </c>
      <c r="Z680" s="50" t="str">
        <f t="shared" si="173"/>
        <v/>
      </c>
      <c r="AA680" s="50" t="str">
        <f t="shared" si="171"/>
        <v/>
      </c>
      <c r="AB680" s="28" t="str">
        <f t="shared" si="174"/>
        <v/>
      </c>
      <c r="AC680" s="1" t="str">
        <f t="shared" si="175"/>
        <v/>
      </c>
      <c r="AD680" s="52">
        <f t="shared" si="172"/>
        <v>7</v>
      </c>
      <c r="AE680" t="str">
        <f t="shared" si="176"/>
        <v/>
      </c>
      <c r="AF680" t="str">
        <f t="shared" si="177"/>
        <v/>
      </c>
      <c r="AG680" t="str">
        <f t="shared" si="178"/>
        <v/>
      </c>
      <c r="AH680" t="str">
        <f t="shared" si="179"/>
        <v/>
      </c>
      <c r="AI680" t="str">
        <f t="shared" si="180"/>
        <v/>
      </c>
      <c r="AJ680" t="str">
        <f t="shared" si="181"/>
        <v/>
      </c>
      <c r="AK680" t="str">
        <f t="shared" si="182"/>
        <v/>
      </c>
      <c r="AL680" t="str">
        <f t="shared" si="183"/>
        <v/>
      </c>
      <c r="AN680" t="str">
        <f>IFERROR(ROUND(L680*(G680/$AW680)/VLOOKUP(F680,商品!$A$4:$D$67,4,FALSE),0),"")</f>
        <v/>
      </c>
      <c r="AO680" t="str">
        <f>IFERROR(ROUND(L680*(I680/$AW680)/VLOOKUP(H680,商品!$A$4:$D$67,4,FALSE),0),"")</f>
        <v/>
      </c>
      <c r="AP680" t="str">
        <f>IFERROR(ROUND(L680*(K680/$AW680)/VLOOKUP(J680,商品!$A$4:$D$67,4,FALSE),0),"")</f>
        <v/>
      </c>
      <c r="AQ680" t="str">
        <f>IFERROR(ROUND(S680*(N680/$AX680)/VLOOKUP(M680,职业!$A$3:$E$16,4,FALSE),0),"")</f>
        <v/>
      </c>
      <c r="AR680" t="str">
        <f>IFERROR(ROUND(S680*(P680/$AX680)/VLOOKUP(O680,职业!$A$3:$E$16,4,FALSE),0),"")</f>
        <v/>
      </c>
      <c r="AS680" t="str">
        <f>IFERROR(ROUND(S680*(R680/$AX680)/VLOOKUP(Q680,职业!$A$3:$E$16,4,FALSE),0),"")</f>
        <v/>
      </c>
      <c r="AT680" t="str">
        <f>IFERROR(ROUND(X680*(U680/$AY680)/VLOOKUP(T680,商品!$A$4:$D$67,4,FALSE),0),"")</f>
        <v/>
      </c>
      <c r="AU680" t="str">
        <f>IFERROR(ROUND(X680*(W680/$AY680)/VLOOKUP(V680,商品!$A$4:$D$67,4,FALSE),0),"")</f>
        <v/>
      </c>
      <c r="AW680">
        <f t="shared" si="184"/>
        <v>0</v>
      </c>
      <c r="AX680">
        <f t="shared" si="185"/>
        <v>0</v>
      </c>
      <c r="AY680">
        <f t="shared" si="186"/>
        <v>0</v>
      </c>
    </row>
    <row r="681" customHeight="1" spans="1:51">
      <c r="A681" s="18" t="s">
        <v>410</v>
      </c>
      <c r="C681" s="18">
        <v>8</v>
      </c>
      <c r="D681" s="1" t="s">
        <v>291</v>
      </c>
      <c r="E681" s="1" t="s">
        <v>225</v>
      </c>
      <c r="L681" s="18">
        <f>IFERROR(VLOOKUP($D681&amp;$C681,生产方式定位!$A$2:$E$38,2,FALSE)+VLOOKUP($E681&amp;$C681,生产方式定位!$F$3:$J$38,2,FALSE),0)</f>
        <v>0</v>
      </c>
      <c r="S681" s="18">
        <f>IFERROR(VLOOKUP($D681&amp;$C681,生产方式定位!$A$2:$E$38,3,FALSE)+VLOOKUP($E681&amp;$C681,生产方式定位!$F$3:$J$38,3,FALSE),0)</f>
        <v>100</v>
      </c>
      <c r="X681" s="18">
        <f>IFERROR(VLOOKUP($D681&amp;$C681,生产方式定位!$A$2:$E$38,5,FALSE)+VLOOKUP($E681&amp;$C681,生产方式定位!$F$3:$J$38,5,FALSE),"错误")</f>
        <v>100</v>
      </c>
      <c r="Y681" s="27" t="str">
        <f t="shared" si="170"/>
        <v/>
      </c>
      <c r="Z681" s="50" t="str">
        <f t="shared" si="173"/>
        <v/>
      </c>
      <c r="AA681" s="50" t="str">
        <f t="shared" si="171"/>
        <v/>
      </c>
      <c r="AB681" s="28" t="str">
        <f t="shared" si="174"/>
        <v/>
      </c>
      <c r="AC681" s="1" t="str">
        <f t="shared" si="175"/>
        <v/>
      </c>
      <c r="AD681" s="52">
        <f t="shared" si="172"/>
        <v>8</v>
      </c>
      <c r="AE681" t="str">
        <f t="shared" si="176"/>
        <v/>
      </c>
      <c r="AF681" t="str">
        <f t="shared" si="177"/>
        <v/>
      </c>
      <c r="AG681" t="str">
        <f t="shared" si="178"/>
        <v/>
      </c>
      <c r="AH681" t="str">
        <f t="shared" si="179"/>
        <v/>
      </c>
      <c r="AI681" t="str">
        <f t="shared" si="180"/>
        <v/>
      </c>
      <c r="AJ681" t="str">
        <f t="shared" si="181"/>
        <v/>
      </c>
      <c r="AK681" t="str">
        <f t="shared" si="182"/>
        <v/>
      </c>
      <c r="AL681" t="str">
        <f t="shared" si="183"/>
        <v/>
      </c>
      <c r="AN681" t="str">
        <f>IFERROR(ROUND(L681*(G681/$AW681)/VLOOKUP(F681,商品!$A$4:$D$67,4,FALSE),0),"")</f>
        <v/>
      </c>
      <c r="AO681" t="str">
        <f>IFERROR(ROUND(L681*(I681/$AW681)/VLOOKUP(H681,商品!$A$4:$D$67,4,FALSE),0),"")</f>
        <v/>
      </c>
      <c r="AP681" t="str">
        <f>IFERROR(ROUND(L681*(K681/$AW681)/VLOOKUP(J681,商品!$A$4:$D$67,4,FALSE),0),"")</f>
        <v/>
      </c>
      <c r="AQ681" t="str">
        <f>IFERROR(ROUND(S681*(N681/$AX681)/VLOOKUP(M681,职业!$A$3:$E$16,4,FALSE),0),"")</f>
        <v/>
      </c>
      <c r="AR681" t="str">
        <f>IFERROR(ROUND(S681*(P681/$AX681)/VLOOKUP(O681,职业!$A$3:$E$16,4,FALSE),0),"")</f>
        <v/>
      </c>
      <c r="AS681" t="str">
        <f>IFERROR(ROUND(S681*(R681/$AX681)/VLOOKUP(Q681,职业!$A$3:$E$16,4,FALSE),0),"")</f>
        <v/>
      </c>
      <c r="AT681" t="str">
        <f>IFERROR(ROUND(X681*(U681/$AY681)/VLOOKUP(T681,商品!$A$4:$D$67,4,FALSE),0),"")</f>
        <v/>
      </c>
      <c r="AU681" t="str">
        <f>IFERROR(ROUND(X681*(W681/$AY681)/VLOOKUP(V681,商品!$A$4:$D$67,4,FALSE),0),"")</f>
        <v/>
      </c>
      <c r="AW681">
        <f t="shared" si="184"/>
        <v>0</v>
      </c>
      <c r="AX681">
        <f t="shared" si="185"/>
        <v>0</v>
      </c>
      <c r="AY681">
        <f t="shared" si="186"/>
        <v>0</v>
      </c>
    </row>
    <row r="682" customHeight="1" spans="1:51">
      <c r="A682" s="5" t="s">
        <v>412</v>
      </c>
      <c r="C682" s="5">
        <v>1</v>
      </c>
      <c r="D682" s="1" t="s">
        <v>260</v>
      </c>
      <c r="E682" s="1" t="s">
        <v>222</v>
      </c>
      <c r="L682" s="5">
        <f>IFERROR(VLOOKUP($D682&amp;$C682,生产方式定位!$A$2:$E$38,2,FALSE)+VLOOKUP($E682&amp;$C682,生产方式定位!$F$3:$J$38,2,FALSE),0)</f>
        <v>0</v>
      </c>
      <c r="S682" s="5">
        <f>IFERROR(VLOOKUP($D682&amp;$C682,生产方式定位!$A$2:$E$38,3,FALSE)+VLOOKUP($E682&amp;$C682,生产方式定位!$F$3:$J$38,3,FALSE),0)</f>
        <v>70</v>
      </c>
      <c r="X682" s="5">
        <f>IFERROR(VLOOKUP($D682&amp;$C682,生产方式定位!$A$2:$E$38,5,FALSE)+VLOOKUP($E682&amp;$C682,生产方式定位!$F$3:$J$38,5,FALSE),"错误")</f>
        <v>350</v>
      </c>
      <c r="Y682" s="27" t="str">
        <f t="shared" si="170"/>
        <v/>
      </c>
      <c r="Z682" s="50" t="str">
        <f t="shared" si="173"/>
        <v/>
      </c>
      <c r="AA682" s="50" t="str">
        <f t="shared" si="171"/>
        <v/>
      </c>
      <c r="AB682" s="28" t="str">
        <f t="shared" si="174"/>
        <v/>
      </c>
      <c r="AC682" s="1">
        <f t="shared" si="175"/>
        <v>280</v>
      </c>
      <c r="AD682" s="51">
        <f t="shared" si="172"/>
        <v>1</v>
      </c>
      <c r="AE682" t="str">
        <f t="shared" si="176"/>
        <v/>
      </c>
      <c r="AF682" t="str">
        <f t="shared" si="177"/>
        <v/>
      </c>
      <c r="AG682" t="str">
        <f t="shared" si="178"/>
        <v/>
      </c>
      <c r="AH682" t="str">
        <f t="shared" si="179"/>
        <v/>
      </c>
      <c r="AI682" t="str">
        <f t="shared" si="180"/>
        <v/>
      </c>
      <c r="AJ682" t="str">
        <f t="shared" si="181"/>
        <v/>
      </c>
      <c r="AK682" t="str">
        <f t="shared" si="182"/>
        <v/>
      </c>
      <c r="AL682" t="str">
        <f t="shared" si="183"/>
        <v/>
      </c>
      <c r="AN682" t="str">
        <f>IFERROR(ROUND(L682*(G682/$AW682)/VLOOKUP(F682,商品!$A$4:$D$67,4,FALSE),0),"")</f>
        <v/>
      </c>
      <c r="AO682" t="str">
        <f>IFERROR(ROUND(L682*(I682/$AW682)/VLOOKUP(H682,商品!$A$4:$D$67,4,FALSE),0),"")</f>
        <v/>
      </c>
      <c r="AP682" t="str">
        <f>IFERROR(ROUND(L682*(K682/$AW682)/VLOOKUP(J682,商品!$A$4:$D$67,4,FALSE),0),"")</f>
        <v/>
      </c>
      <c r="AQ682" t="str">
        <f>IFERROR(ROUND(S682*(N682/$AX682)/VLOOKUP(M682,职业!$A$3:$E$16,4,FALSE),0),"")</f>
        <v/>
      </c>
      <c r="AR682" t="str">
        <f>IFERROR(ROUND(S682*(P682/$AX682)/VLOOKUP(O682,职业!$A$3:$E$16,4,FALSE),0),"")</f>
        <v/>
      </c>
      <c r="AS682" t="str">
        <f>IFERROR(ROUND(S682*(R682/$AX682)/VLOOKUP(Q682,职业!$A$3:$E$16,4,FALSE),0),"")</f>
        <v/>
      </c>
      <c r="AT682" t="str">
        <f>IFERROR(ROUND(X682*(U682/$AY682)/VLOOKUP(T682,商品!$A$4:$D$67,4,FALSE),0),"")</f>
        <v/>
      </c>
      <c r="AU682" t="str">
        <f>IFERROR(ROUND(X682*(W682/$AY682)/VLOOKUP(V682,商品!$A$4:$D$67,4,FALSE),0),"")</f>
        <v/>
      </c>
      <c r="AW682">
        <f t="shared" si="184"/>
        <v>0</v>
      </c>
      <c r="AX682">
        <f t="shared" si="185"/>
        <v>0</v>
      </c>
      <c r="AY682">
        <f t="shared" si="186"/>
        <v>0</v>
      </c>
    </row>
    <row r="683" customHeight="1" spans="1:51">
      <c r="A683" s="5" t="s">
        <v>412</v>
      </c>
      <c r="C683" s="5">
        <v>2</v>
      </c>
      <c r="D683" s="1" t="s">
        <v>260</v>
      </c>
      <c r="E683" s="1" t="s">
        <v>222</v>
      </c>
      <c r="L683" s="5">
        <f>IFERROR(VLOOKUP($D683&amp;$C683,生产方式定位!$A$2:$E$38,2,FALSE)+VLOOKUP($E683&amp;$C683,生产方式定位!$F$3:$J$38,2,FALSE),0)</f>
        <v>1000</v>
      </c>
      <c r="S683" s="5">
        <f>IFERROR(VLOOKUP($D683&amp;$C683,生产方式定位!$A$2:$E$38,3,FALSE)+VLOOKUP($E683&amp;$C683,生产方式定位!$F$3:$J$38,3,FALSE),0)</f>
        <v>90</v>
      </c>
      <c r="X683" s="5">
        <f>IFERROR(VLOOKUP($D683&amp;$C683,生产方式定位!$A$2:$E$38,5,FALSE)+VLOOKUP($E683&amp;$C683,生产方式定位!$F$3:$J$38,5,FALSE),"错误")</f>
        <v>1140</v>
      </c>
      <c r="Y683" s="27" t="str">
        <f t="shared" si="170"/>
        <v/>
      </c>
      <c r="Z683" s="50" t="str">
        <f t="shared" si="173"/>
        <v/>
      </c>
      <c r="AA683" s="50" t="str">
        <f t="shared" si="171"/>
        <v/>
      </c>
      <c r="AB683" s="28" t="str">
        <f t="shared" si="174"/>
        <v>14%</v>
      </c>
      <c r="AC683" s="1">
        <f t="shared" si="175"/>
        <v>50</v>
      </c>
      <c r="AD683" s="51">
        <f t="shared" si="172"/>
        <v>2</v>
      </c>
      <c r="AE683" t="str">
        <f t="shared" si="176"/>
        <v/>
      </c>
      <c r="AF683" t="str">
        <f t="shared" si="177"/>
        <v/>
      </c>
      <c r="AG683" t="str">
        <f t="shared" si="178"/>
        <v/>
      </c>
      <c r="AH683" t="str">
        <f t="shared" si="179"/>
        <v/>
      </c>
      <c r="AI683" t="str">
        <f t="shared" si="180"/>
        <v/>
      </c>
      <c r="AJ683" t="str">
        <f t="shared" si="181"/>
        <v/>
      </c>
      <c r="AK683" t="str">
        <f t="shared" si="182"/>
        <v/>
      </c>
      <c r="AL683" t="str">
        <f t="shared" si="183"/>
        <v/>
      </c>
      <c r="AN683" t="str">
        <f>IFERROR(ROUND(L683*(G683/$AW683)/VLOOKUP(F683,商品!$A$4:$D$67,4,FALSE),0),"")</f>
        <v/>
      </c>
      <c r="AO683" t="str">
        <f>IFERROR(ROUND(L683*(I683/$AW683)/VLOOKUP(H683,商品!$A$4:$D$67,4,FALSE),0),"")</f>
        <v/>
      </c>
      <c r="AP683" t="str">
        <f>IFERROR(ROUND(L683*(K683/$AW683)/VLOOKUP(J683,商品!$A$4:$D$67,4,FALSE),0),"")</f>
        <v/>
      </c>
      <c r="AQ683" t="str">
        <f>IFERROR(ROUND(S683*(N683/$AX683)/VLOOKUP(M683,职业!$A$3:$E$16,4,FALSE),0),"")</f>
        <v/>
      </c>
      <c r="AR683" t="str">
        <f>IFERROR(ROUND(S683*(P683/$AX683)/VLOOKUP(O683,职业!$A$3:$E$16,4,FALSE),0),"")</f>
        <v/>
      </c>
      <c r="AS683" t="str">
        <f>IFERROR(ROUND(S683*(R683/$AX683)/VLOOKUP(Q683,职业!$A$3:$E$16,4,FALSE),0),"")</f>
        <v/>
      </c>
      <c r="AT683" t="str">
        <f>IFERROR(ROUND(X683*(U683/$AY683)/VLOOKUP(T683,商品!$A$4:$D$67,4,FALSE),0),"")</f>
        <v/>
      </c>
      <c r="AU683" t="str">
        <f>IFERROR(ROUND(X683*(W683/$AY683)/VLOOKUP(V683,商品!$A$4:$D$67,4,FALSE),0),"")</f>
        <v/>
      </c>
      <c r="AW683">
        <f t="shared" si="184"/>
        <v>0</v>
      </c>
      <c r="AX683">
        <f t="shared" si="185"/>
        <v>0</v>
      </c>
      <c r="AY683">
        <f t="shared" si="186"/>
        <v>0</v>
      </c>
    </row>
    <row r="684" customHeight="1" spans="1:51">
      <c r="A684" s="5" t="s">
        <v>412</v>
      </c>
      <c r="C684" s="5">
        <v>3</v>
      </c>
      <c r="D684" s="1" t="s">
        <v>260</v>
      </c>
      <c r="E684" s="1" t="s">
        <v>222</v>
      </c>
      <c r="L684" s="5">
        <f>IFERROR(VLOOKUP($D684&amp;$C684,生产方式定位!$A$2:$E$38,2,FALSE)+VLOOKUP($E684&amp;$C684,生产方式定位!$F$3:$J$38,2,FALSE),0)</f>
        <v>1625</v>
      </c>
      <c r="S684" s="5">
        <f>IFERROR(VLOOKUP($D684&amp;$C684,生产方式定位!$A$2:$E$38,3,FALSE)+VLOOKUP($E684&amp;$C684,生产方式定位!$F$3:$J$38,3,FALSE),0)</f>
        <v>80</v>
      </c>
      <c r="X684" s="5">
        <f>IFERROR(VLOOKUP($D684&amp;$C684,生产方式定位!$A$2:$E$38,5,FALSE)+VLOOKUP($E684&amp;$C684,生产方式定位!$F$3:$J$38,5,FALSE),"错误")</f>
        <v>1768</v>
      </c>
      <c r="Y684" s="27" t="str">
        <f t="shared" si="170"/>
        <v/>
      </c>
      <c r="Z684" s="50" t="str">
        <f t="shared" si="173"/>
        <v/>
      </c>
      <c r="AA684" s="50" t="str">
        <f t="shared" si="171"/>
        <v/>
      </c>
      <c r="AB684" s="28" t="str">
        <f t="shared" si="174"/>
        <v>9%</v>
      </c>
      <c r="AC684" s="1">
        <f t="shared" si="175"/>
        <v>63</v>
      </c>
      <c r="AD684" s="51">
        <f t="shared" si="172"/>
        <v>3</v>
      </c>
      <c r="AE684" t="str">
        <f t="shared" si="176"/>
        <v/>
      </c>
      <c r="AF684" t="str">
        <f t="shared" si="177"/>
        <v/>
      </c>
      <c r="AG684" t="str">
        <f t="shared" si="178"/>
        <v/>
      </c>
      <c r="AH684" t="str">
        <f t="shared" si="179"/>
        <v/>
      </c>
      <c r="AI684" t="str">
        <f t="shared" si="180"/>
        <v/>
      </c>
      <c r="AJ684" t="str">
        <f t="shared" si="181"/>
        <v/>
      </c>
      <c r="AK684" t="str">
        <f t="shared" si="182"/>
        <v/>
      </c>
      <c r="AL684" t="str">
        <f t="shared" si="183"/>
        <v/>
      </c>
      <c r="AN684" t="str">
        <f>IFERROR(ROUND(L684*(G684/$AW684)/VLOOKUP(F684,商品!$A$4:$D$67,4,FALSE),0),"")</f>
        <v/>
      </c>
      <c r="AO684" t="str">
        <f>IFERROR(ROUND(L684*(I684/$AW684)/VLOOKUP(H684,商品!$A$4:$D$67,4,FALSE),0),"")</f>
        <v/>
      </c>
      <c r="AP684" t="str">
        <f>IFERROR(ROUND(L684*(K684/$AW684)/VLOOKUP(J684,商品!$A$4:$D$67,4,FALSE),0),"")</f>
        <v/>
      </c>
      <c r="AQ684" t="str">
        <f>IFERROR(ROUND(S684*(N684/$AX684)/VLOOKUP(M684,职业!$A$3:$E$16,4,FALSE),0),"")</f>
        <v/>
      </c>
      <c r="AR684" t="str">
        <f>IFERROR(ROUND(S684*(P684/$AX684)/VLOOKUP(O684,职业!$A$3:$E$16,4,FALSE),0),"")</f>
        <v/>
      </c>
      <c r="AS684" t="str">
        <f>IFERROR(ROUND(S684*(R684/$AX684)/VLOOKUP(Q684,职业!$A$3:$E$16,4,FALSE),0),"")</f>
        <v/>
      </c>
      <c r="AT684" t="str">
        <f>IFERROR(ROUND(X684*(U684/$AY684)/VLOOKUP(T684,商品!$A$4:$D$67,4,FALSE),0),"")</f>
        <v/>
      </c>
      <c r="AU684" t="str">
        <f>IFERROR(ROUND(X684*(W684/$AY684)/VLOOKUP(V684,商品!$A$4:$D$67,4,FALSE),0),"")</f>
        <v/>
      </c>
      <c r="AW684">
        <f t="shared" si="184"/>
        <v>0</v>
      </c>
      <c r="AX684">
        <f t="shared" si="185"/>
        <v>0</v>
      </c>
      <c r="AY684">
        <f t="shared" si="186"/>
        <v>0</v>
      </c>
    </row>
    <row r="685" customHeight="1" spans="1:51">
      <c r="A685" s="5" t="s">
        <v>412</v>
      </c>
      <c r="C685" s="5">
        <v>4</v>
      </c>
      <c r="D685" s="1" t="s">
        <v>260</v>
      </c>
      <c r="E685" s="1" t="s">
        <v>222</v>
      </c>
      <c r="L685" s="5">
        <f>IFERROR(VLOOKUP($D685&amp;$C685,生产方式定位!$A$2:$E$38,2,FALSE)+VLOOKUP($E685&amp;$C685,生产方式定位!$F$3:$J$38,2,FALSE),0)</f>
        <v>2250</v>
      </c>
      <c r="S685" s="5">
        <f>IFERROR(VLOOKUP($D685&amp;$C685,生产方式定位!$A$2:$E$38,3,FALSE)+VLOOKUP($E685&amp;$C685,生产方式定位!$F$3:$J$38,3,FALSE),0)</f>
        <v>70</v>
      </c>
      <c r="X685" s="5">
        <f>IFERROR(VLOOKUP($D685&amp;$C685,生产方式定位!$A$2:$E$38,5,FALSE)+VLOOKUP($E685&amp;$C685,生产方式定位!$F$3:$J$38,5,FALSE),"错误")</f>
        <v>2395</v>
      </c>
      <c r="Y685" s="27" t="str">
        <f t="shared" si="170"/>
        <v/>
      </c>
      <c r="Z685" s="50" t="str">
        <f t="shared" si="173"/>
        <v/>
      </c>
      <c r="AA685" s="50" t="str">
        <f t="shared" si="171"/>
        <v/>
      </c>
      <c r="AB685" s="28" t="str">
        <f t="shared" si="174"/>
        <v>6%</v>
      </c>
      <c r="AC685" s="1">
        <f t="shared" si="175"/>
        <v>75</v>
      </c>
      <c r="AD685" s="51">
        <f t="shared" si="172"/>
        <v>4</v>
      </c>
      <c r="AE685" t="str">
        <f t="shared" si="176"/>
        <v/>
      </c>
      <c r="AF685" t="str">
        <f t="shared" si="177"/>
        <v/>
      </c>
      <c r="AG685" t="str">
        <f t="shared" si="178"/>
        <v/>
      </c>
      <c r="AH685" t="str">
        <f t="shared" si="179"/>
        <v/>
      </c>
      <c r="AI685" t="str">
        <f t="shared" si="180"/>
        <v/>
      </c>
      <c r="AJ685" t="str">
        <f t="shared" si="181"/>
        <v/>
      </c>
      <c r="AK685" t="str">
        <f t="shared" si="182"/>
        <v/>
      </c>
      <c r="AL685" t="str">
        <f t="shared" si="183"/>
        <v/>
      </c>
      <c r="AN685" t="str">
        <f>IFERROR(ROUND(L685*(G685/$AW685)/VLOOKUP(F685,商品!$A$4:$D$67,4,FALSE),0),"")</f>
        <v/>
      </c>
      <c r="AO685" t="str">
        <f>IFERROR(ROUND(L685*(I685/$AW685)/VLOOKUP(H685,商品!$A$4:$D$67,4,FALSE),0),"")</f>
        <v/>
      </c>
      <c r="AP685" t="str">
        <f>IFERROR(ROUND(L685*(K685/$AW685)/VLOOKUP(J685,商品!$A$4:$D$67,4,FALSE),0),"")</f>
        <v/>
      </c>
      <c r="AQ685" t="str">
        <f>IFERROR(ROUND(S685*(N685/$AX685)/VLOOKUP(M685,职业!$A$3:$E$16,4,FALSE),0),"")</f>
        <v/>
      </c>
      <c r="AR685" t="str">
        <f>IFERROR(ROUND(S685*(P685/$AX685)/VLOOKUP(O685,职业!$A$3:$E$16,4,FALSE),0),"")</f>
        <v/>
      </c>
      <c r="AS685" t="str">
        <f>IFERROR(ROUND(S685*(R685/$AX685)/VLOOKUP(Q685,职业!$A$3:$E$16,4,FALSE),0),"")</f>
        <v/>
      </c>
      <c r="AT685" t="str">
        <f>IFERROR(ROUND(X685*(U685/$AY685)/VLOOKUP(T685,商品!$A$4:$D$67,4,FALSE),0),"")</f>
        <v/>
      </c>
      <c r="AU685" t="str">
        <f>IFERROR(ROUND(X685*(W685/$AY685)/VLOOKUP(V685,商品!$A$4:$D$67,4,FALSE),0),"")</f>
        <v/>
      </c>
      <c r="AW685">
        <f t="shared" si="184"/>
        <v>0</v>
      </c>
      <c r="AX685">
        <f t="shared" si="185"/>
        <v>0</v>
      </c>
      <c r="AY685">
        <f t="shared" si="186"/>
        <v>0</v>
      </c>
    </row>
    <row r="686" customHeight="1" spans="1:51">
      <c r="A686" s="5" t="s">
        <v>412</v>
      </c>
      <c r="C686" s="5">
        <v>5</v>
      </c>
      <c r="D686" s="1" t="s">
        <v>260</v>
      </c>
      <c r="E686" s="1" t="s">
        <v>222</v>
      </c>
      <c r="L686" s="5">
        <f>IFERROR(VLOOKUP($D686&amp;$C686,生产方式定位!$A$2:$E$38,2,FALSE)+VLOOKUP($E686&amp;$C686,生产方式定位!$F$3:$J$38,2,FALSE),0)</f>
        <v>2875</v>
      </c>
      <c r="S686" s="5">
        <f>IFERROR(VLOOKUP($D686&amp;$C686,生产方式定位!$A$2:$E$38,3,FALSE)+VLOOKUP($E686&amp;$C686,生产方式定位!$F$3:$J$38,3,FALSE),0)</f>
        <v>60</v>
      </c>
      <c r="X686" s="5">
        <f>IFERROR(VLOOKUP($D686&amp;$C686,生产方式定位!$A$2:$E$38,5,FALSE)+VLOOKUP($E686&amp;$C686,生产方式定位!$F$3:$J$38,5,FALSE),"错误")</f>
        <v>3023</v>
      </c>
      <c r="Y686" s="27" t="str">
        <f t="shared" si="170"/>
        <v/>
      </c>
      <c r="Z686" s="50" t="str">
        <f t="shared" si="173"/>
        <v/>
      </c>
      <c r="AA686" s="50" t="str">
        <f t="shared" si="171"/>
        <v/>
      </c>
      <c r="AB686" s="28" t="str">
        <f t="shared" si="174"/>
        <v>5%</v>
      </c>
      <c r="AC686" s="1">
        <f t="shared" si="175"/>
        <v>88</v>
      </c>
      <c r="AD686" s="51">
        <f t="shared" si="172"/>
        <v>5</v>
      </c>
      <c r="AE686" t="str">
        <f t="shared" si="176"/>
        <v/>
      </c>
      <c r="AF686" t="str">
        <f t="shared" si="177"/>
        <v/>
      </c>
      <c r="AG686" t="str">
        <f t="shared" si="178"/>
        <v/>
      </c>
      <c r="AH686" t="str">
        <f t="shared" si="179"/>
        <v/>
      </c>
      <c r="AI686" t="str">
        <f t="shared" si="180"/>
        <v/>
      </c>
      <c r="AJ686" t="str">
        <f t="shared" si="181"/>
        <v/>
      </c>
      <c r="AK686" t="str">
        <f t="shared" si="182"/>
        <v/>
      </c>
      <c r="AL686" t="str">
        <f t="shared" si="183"/>
        <v/>
      </c>
      <c r="AN686" t="str">
        <f>IFERROR(ROUND(L686*(G686/$AW686)/VLOOKUP(F686,商品!$A$4:$D$67,4,FALSE),0),"")</f>
        <v/>
      </c>
      <c r="AO686" t="str">
        <f>IFERROR(ROUND(L686*(I686/$AW686)/VLOOKUP(H686,商品!$A$4:$D$67,4,FALSE),0),"")</f>
        <v/>
      </c>
      <c r="AP686" t="str">
        <f>IFERROR(ROUND(L686*(K686/$AW686)/VLOOKUP(J686,商品!$A$4:$D$67,4,FALSE),0),"")</f>
        <v/>
      </c>
      <c r="AQ686" t="str">
        <f>IFERROR(ROUND(S686*(N686/$AX686)/VLOOKUP(M686,职业!$A$3:$E$16,4,FALSE),0),"")</f>
        <v/>
      </c>
      <c r="AR686" t="str">
        <f>IFERROR(ROUND(S686*(P686/$AX686)/VLOOKUP(O686,职业!$A$3:$E$16,4,FALSE),0),"")</f>
        <v/>
      </c>
      <c r="AS686" t="str">
        <f>IFERROR(ROUND(S686*(R686/$AX686)/VLOOKUP(Q686,职业!$A$3:$E$16,4,FALSE),0),"")</f>
        <v/>
      </c>
      <c r="AT686" t="str">
        <f>IFERROR(ROUND(X686*(U686/$AY686)/VLOOKUP(T686,商品!$A$4:$D$67,4,FALSE),0),"")</f>
        <v/>
      </c>
      <c r="AU686" t="str">
        <f>IFERROR(ROUND(X686*(W686/$AY686)/VLOOKUP(V686,商品!$A$4:$D$67,4,FALSE),0),"")</f>
        <v/>
      </c>
      <c r="AW686">
        <f t="shared" si="184"/>
        <v>0</v>
      </c>
      <c r="AX686">
        <f t="shared" si="185"/>
        <v>0</v>
      </c>
      <c r="AY686">
        <f t="shared" si="186"/>
        <v>0</v>
      </c>
    </row>
    <row r="687" customHeight="1" spans="1:51">
      <c r="A687" s="18" t="s">
        <v>413</v>
      </c>
      <c r="C687" s="18">
        <v>1</v>
      </c>
      <c r="D687" s="1" t="s">
        <v>260</v>
      </c>
      <c r="E687" s="1" t="s">
        <v>223</v>
      </c>
      <c r="L687" s="18">
        <f>IFERROR(VLOOKUP($D687&amp;$C687,生产方式定位!$A$2:$E$38,2,FALSE)+VLOOKUP($E687&amp;$C687,生产方式定位!$F$3:$J$38,2,FALSE),0)</f>
        <v>0</v>
      </c>
      <c r="S687" s="18">
        <f>IFERROR(VLOOKUP($D687&amp;$C687,生产方式定位!$A$2:$E$38,3,FALSE)+VLOOKUP($E687&amp;$C687,生产方式定位!$F$3:$J$38,3,FALSE),0)</f>
        <v>70</v>
      </c>
      <c r="X687" s="18">
        <f>IFERROR(VLOOKUP($D687&amp;$C687,生产方式定位!$A$2:$E$38,5,FALSE)+VLOOKUP($E687&amp;$C687,生产方式定位!$F$3:$J$38,5,FALSE),"错误")</f>
        <v>350</v>
      </c>
      <c r="Y687" s="27" t="str">
        <f t="shared" si="170"/>
        <v/>
      </c>
      <c r="Z687" s="50" t="str">
        <f t="shared" si="173"/>
        <v/>
      </c>
      <c r="AA687" s="50" t="str">
        <f t="shared" si="171"/>
        <v/>
      </c>
      <c r="AB687" s="28" t="str">
        <f t="shared" si="174"/>
        <v/>
      </c>
      <c r="AC687" s="1">
        <f t="shared" si="175"/>
        <v>280</v>
      </c>
      <c r="AD687" s="52">
        <f t="shared" si="172"/>
        <v>1</v>
      </c>
      <c r="AE687" t="str">
        <f t="shared" si="176"/>
        <v/>
      </c>
      <c r="AF687" t="str">
        <f t="shared" si="177"/>
        <v/>
      </c>
      <c r="AG687" t="str">
        <f t="shared" si="178"/>
        <v/>
      </c>
      <c r="AH687" t="str">
        <f t="shared" si="179"/>
        <v/>
      </c>
      <c r="AI687" t="str">
        <f t="shared" si="180"/>
        <v/>
      </c>
      <c r="AJ687" t="str">
        <f t="shared" si="181"/>
        <v/>
      </c>
      <c r="AK687" t="str">
        <f t="shared" si="182"/>
        <v/>
      </c>
      <c r="AL687" t="str">
        <f t="shared" si="183"/>
        <v/>
      </c>
      <c r="AN687" t="str">
        <f>IFERROR(ROUND(L687*(G687/$AW687)/VLOOKUP(F687,商品!$A$4:$D$67,4,FALSE),0),"")</f>
        <v/>
      </c>
      <c r="AO687" t="str">
        <f>IFERROR(ROUND(L687*(I687/$AW687)/VLOOKUP(H687,商品!$A$4:$D$67,4,FALSE),0),"")</f>
        <v/>
      </c>
      <c r="AP687" t="str">
        <f>IFERROR(ROUND(L687*(K687/$AW687)/VLOOKUP(J687,商品!$A$4:$D$67,4,FALSE),0),"")</f>
        <v/>
      </c>
      <c r="AQ687" t="str">
        <f>IFERROR(ROUND(S687*(N687/$AX687)/VLOOKUP(M687,职业!$A$3:$E$16,4,FALSE),0),"")</f>
        <v/>
      </c>
      <c r="AR687" t="str">
        <f>IFERROR(ROUND(S687*(P687/$AX687)/VLOOKUP(O687,职业!$A$3:$E$16,4,FALSE),0),"")</f>
        <v/>
      </c>
      <c r="AS687" t="str">
        <f>IFERROR(ROUND(S687*(R687/$AX687)/VLOOKUP(Q687,职业!$A$3:$E$16,4,FALSE),0),"")</f>
        <v/>
      </c>
      <c r="AT687" t="str">
        <f>IFERROR(ROUND(X687*(U687/$AY687)/VLOOKUP(T687,商品!$A$4:$D$67,4,FALSE),0),"")</f>
        <v/>
      </c>
      <c r="AU687" t="str">
        <f>IFERROR(ROUND(X687*(W687/$AY687)/VLOOKUP(V687,商品!$A$4:$D$67,4,FALSE),0),"")</f>
        <v/>
      </c>
      <c r="AW687">
        <f t="shared" si="184"/>
        <v>0</v>
      </c>
      <c r="AX687">
        <f t="shared" si="185"/>
        <v>0</v>
      </c>
      <c r="AY687">
        <f t="shared" si="186"/>
        <v>0</v>
      </c>
    </row>
    <row r="688" customHeight="1" spans="1:51">
      <c r="A688" s="18" t="s">
        <v>413</v>
      </c>
      <c r="C688" s="18">
        <v>2</v>
      </c>
      <c r="D688" s="1" t="s">
        <v>260</v>
      </c>
      <c r="E688" s="1" t="s">
        <v>223</v>
      </c>
      <c r="L688" s="18">
        <f>IFERROR(VLOOKUP($D688&amp;$C688,生产方式定位!$A$2:$E$38,2,FALSE)+VLOOKUP($E688&amp;$C688,生产方式定位!$F$3:$J$38,2,FALSE),0)</f>
        <v>900</v>
      </c>
      <c r="S688" s="18">
        <f>IFERROR(VLOOKUP($D688&amp;$C688,生产方式定位!$A$2:$E$38,3,FALSE)+VLOOKUP($E688&amp;$C688,生产方式定位!$F$3:$J$38,3,FALSE),0)</f>
        <v>100</v>
      </c>
      <c r="X688" s="18">
        <f>IFERROR(VLOOKUP($D688&amp;$C688,生产方式定位!$A$2:$E$38,5,FALSE)+VLOOKUP($E688&amp;$C688,生产方式定位!$F$3:$J$38,5,FALSE),"错误")</f>
        <v>1041</v>
      </c>
      <c r="Y688" s="27" t="str">
        <f t="shared" si="170"/>
        <v/>
      </c>
      <c r="Z688" s="50" t="str">
        <f t="shared" si="173"/>
        <v/>
      </c>
      <c r="AA688" s="50" t="str">
        <f t="shared" si="171"/>
        <v/>
      </c>
      <c r="AB688" s="28" t="str">
        <f t="shared" si="174"/>
        <v>16%</v>
      </c>
      <c r="AC688" s="1">
        <f t="shared" si="175"/>
        <v>41</v>
      </c>
      <c r="AD688" s="52">
        <f t="shared" si="172"/>
        <v>2</v>
      </c>
      <c r="AE688" t="str">
        <f t="shared" si="176"/>
        <v/>
      </c>
      <c r="AF688" t="str">
        <f t="shared" si="177"/>
        <v/>
      </c>
      <c r="AG688" t="str">
        <f t="shared" si="178"/>
        <v/>
      </c>
      <c r="AH688" t="str">
        <f t="shared" si="179"/>
        <v/>
      </c>
      <c r="AI688" t="str">
        <f t="shared" si="180"/>
        <v/>
      </c>
      <c r="AJ688" t="str">
        <f t="shared" si="181"/>
        <v/>
      </c>
      <c r="AK688" t="str">
        <f t="shared" si="182"/>
        <v/>
      </c>
      <c r="AL688" t="str">
        <f t="shared" si="183"/>
        <v/>
      </c>
      <c r="AN688" t="str">
        <f>IFERROR(ROUND(L688*(G688/$AW688)/VLOOKUP(F688,商品!$A$4:$D$67,4,FALSE),0),"")</f>
        <v/>
      </c>
      <c r="AO688" t="str">
        <f>IFERROR(ROUND(L688*(I688/$AW688)/VLOOKUP(H688,商品!$A$4:$D$67,4,FALSE),0),"")</f>
        <v/>
      </c>
      <c r="AP688" t="str">
        <f>IFERROR(ROUND(L688*(K688/$AW688)/VLOOKUP(J688,商品!$A$4:$D$67,4,FALSE),0),"")</f>
        <v/>
      </c>
      <c r="AQ688" t="str">
        <f>IFERROR(ROUND(S688*(N688/$AX688)/VLOOKUP(M688,职业!$A$3:$E$16,4,FALSE),0),"")</f>
        <v/>
      </c>
      <c r="AR688" t="str">
        <f>IFERROR(ROUND(S688*(P688/$AX688)/VLOOKUP(O688,职业!$A$3:$E$16,4,FALSE),0),"")</f>
        <v/>
      </c>
      <c r="AS688" t="str">
        <f>IFERROR(ROUND(S688*(R688/$AX688)/VLOOKUP(Q688,职业!$A$3:$E$16,4,FALSE),0),"")</f>
        <v/>
      </c>
      <c r="AT688" t="str">
        <f>IFERROR(ROUND(X688*(U688/$AY688)/VLOOKUP(T688,商品!$A$4:$D$67,4,FALSE),0),"")</f>
        <v/>
      </c>
      <c r="AU688" t="str">
        <f>IFERROR(ROUND(X688*(W688/$AY688)/VLOOKUP(V688,商品!$A$4:$D$67,4,FALSE),0),"")</f>
        <v/>
      </c>
      <c r="AW688">
        <f t="shared" si="184"/>
        <v>0</v>
      </c>
      <c r="AX688">
        <f t="shared" si="185"/>
        <v>0</v>
      </c>
      <c r="AY688">
        <f t="shared" si="186"/>
        <v>0</v>
      </c>
    </row>
    <row r="689" customHeight="1" spans="1:51">
      <c r="A689" s="18" t="s">
        <v>413</v>
      </c>
      <c r="C689" s="18">
        <v>3</v>
      </c>
      <c r="D689" s="1" t="s">
        <v>260</v>
      </c>
      <c r="E689" s="1" t="s">
        <v>223</v>
      </c>
      <c r="L689" s="18">
        <f>IFERROR(VLOOKUP($D689&amp;$C689,生产方式定位!$A$2:$E$38,2,FALSE)+VLOOKUP($E689&amp;$C689,生产方式定位!$F$3:$J$38,2,FALSE),0)</f>
        <v>1500</v>
      </c>
      <c r="S689" s="18">
        <f>IFERROR(VLOOKUP($D689&amp;$C689,生产方式定位!$A$2:$E$38,3,FALSE)+VLOOKUP($E689&amp;$C689,生产方式定位!$F$3:$J$38,3,FALSE),0)</f>
        <v>95</v>
      </c>
      <c r="X689" s="18">
        <f>IFERROR(VLOOKUP($D689&amp;$C689,生产方式定位!$A$2:$E$38,5,FALSE)+VLOOKUP($E689&amp;$C689,生产方式定位!$F$3:$J$38,5,FALSE),"错误")</f>
        <v>1647</v>
      </c>
      <c r="Y689" s="27" t="str">
        <f t="shared" si="170"/>
        <v/>
      </c>
      <c r="Z689" s="50" t="str">
        <f t="shared" si="173"/>
        <v/>
      </c>
      <c r="AA689" s="50" t="str">
        <f t="shared" si="171"/>
        <v/>
      </c>
      <c r="AB689" s="28" t="str">
        <f t="shared" si="174"/>
        <v>10%</v>
      </c>
      <c r="AC689" s="1">
        <f t="shared" si="175"/>
        <v>52</v>
      </c>
      <c r="AD689" s="52">
        <f t="shared" si="172"/>
        <v>3</v>
      </c>
      <c r="AE689" t="str">
        <f t="shared" si="176"/>
        <v/>
      </c>
      <c r="AF689" t="str">
        <f t="shared" si="177"/>
        <v/>
      </c>
      <c r="AG689" t="str">
        <f t="shared" si="178"/>
        <v/>
      </c>
      <c r="AH689" t="str">
        <f t="shared" si="179"/>
        <v/>
      </c>
      <c r="AI689" t="str">
        <f t="shared" si="180"/>
        <v/>
      </c>
      <c r="AJ689" t="str">
        <f t="shared" si="181"/>
        <v/>
      </c>
      <c r="AK689" t="str">
        <f t="shared" si="182"/>
        <v/>
      </c>
      <c r="AL689" t="str">
        <f t="shared" si="183"/>
        <v/>
      </c>
      <c r="AN689" t="str">
        <f>IFERROR(ROUND(L689*(G689/$AW689)/VLOOKUP(F689,商品!$A$4:$D$67,4,FALSE),0),"")</f>
        <v/>
      </c>
      <c r="AO689" t="str">
        <f>IFERROR(ROUND(L689*(I689/$AW689)/VLOOKUP(H689,商品!$A$4:$D$67,4,FALSE),0),"")</f>
        <v/>
      </c>
      <c r="AP689" t="str">
        <f>IFERROR(ROUND(L689*(K689/$AW689)/VLOOKUP(J689,商品!$A$4:$D$67,4,FALSE),0),"")</f>
        <v/>
      </c>
      <c r="AQ689" t="str">
        <f>IFERROR(ROUND(S689*(N689/$AX689)/VLOOKUP(M689,职业!$A$3:$E$16,4,FALSE),0),"")</f>
        <v/>
      </c>
      <c r="AR689" t="str">
        <f>IFERROR(ROUND(S689*(P689/$AX689)/VLOOKUP(O689,职业!$A$3:$E$16,4,FALSE),0),"")</f>
        <v/>
      </c>
      <c r="AS689" t="str">
        <f>IFERROR(ROUND(S689*(R689/$AX689)/VLOOKUP(Q689,职业!$A$3:$E$16,4,FALSE),0),"")</f>
        <v/>
      </c>
      <c r="AT689" t="str">
        <f>IFERROR(ROUND(X689*(U689/$AY689)/VLOOKUP(T689,商品!$A$4:$D$67,4,FALSE),0),"")</f>
        <v/>
      </c>
      <c r="AU689" t="str">
        <f>IFERROR(ROUND(X689*(W689/$AY689)/VLOOKUP(V689,商品!$A$4:$D$67,4,FALSE),0),"")</f>
        <v/>
      </c>
      <c r="AW689">
        <f t="shared" si="184"/>
        <v>0</v>
      </c>
      <c r="AX689">
        <f t="shared" si="185"/>
        <v>0</v>
      </c>
      <c r="AY689">
        <f t="shared" si="186"/>
        <v>0</v>
      </c>
    </row>
    <row r="690" customHeight="1" spans="1:51">
      <c r="A690" s="18" t="s">
        <v>413</v>
      </c>
      <c r="C690" s="18">
        <v>4</v>
      </c>
      <c r="D690" s="1" t="s">
        <v>260</v>
      </c>
      <c r="E690" s="1" t="s">
        <v>223</v>
      </c>
      <c r="L690" s="18">
        <f>IFERROR(VLOOKUP($D690&amp;$C690,生产方式定位!$A$2:$E$38,2,FALSE)+VLOOKUP($E690&amp;$C690,生产方式定位!$F$3:$J$38,2,FALSE),0)</f>
        <v>2100</v>
      </c>
      <c r="S690" s="18">
        <f>IFERROR(VLOOKUP($D690&amp;$C690,生产方式定位!$A$2:$E$38,3,FALSE)+VLOOKUP($E690&amp;$C690,生产方式定位!$F$3:$J$38,3,FALSE),0)</f>
        <v>90</v>
      </c>
      <c r="X690" s="18">
        <f>IFERROR(VLOOKUP($D690&amp;$C690,生产方式定位!$A$2:$E$38,5,FALSE)+VLOOKUP($E690&amp;$C690,生产方式定位!$F$3:$J$38,5,FALSE),"错误")</f>
        <v>2252</v>
      </c>
      <c r="Y690" s="27" t="str">
        <f t="shared" si="170"/>
        <v/>
      </c>
      <c r="Z690" s="50" t="str">
        <f t="shared" si="173"/>
        <v/>
      </c>
      <c r="AA690" s="50" t="str">
        <f t="shared" si="171"/>
        <v/>
      </c>
      <c r="AB690" s="28" t="str">
        <f t="shared" si="174"/>
        <v>7%</v>
      </c>
      <c r="AC690" s="1">
        <f t="shared" si="175"/>
        <v>62</v>
      </c>
      <c r="AD690" s="52">
        <f t="shared" si="172"/>
        <v>4</v>
      </c>
      <c r="AE690" t="str">
        <f t="shared" si="176"/>
        <v/>
      </c>
      <c r="AF690" t="str">
        <f t="shared" si="177"/>
        <v/>
      </c>
      <c r="AG690" t="str">
        <f t="shared" si="178"/>
        <v/>
      </c>
      <c r="AH690" t="str">
        <f t="shared" si="179"/>
        <v/>
      </c>
      <c r="AI690" t="str">
        <f t="shared" si="180"/>
        <v/>
      </c>
      <c r="AJ690" t="str">
        <f t="shared" si="181"/>
        <v/>
      </c>
      <c r="AK690" t="str">
        <f t="shared" si="182"/>
        <v/>
      </c>
      <c r="AL690" t="str">
        <f t="shared" si="183"/>
        <v/>
      </c>
      <c r="AN690" t="str">
        <f>IFERROR(ROUND(L690*(G690/$AW690)/VLOOKUP(F690,商品!$A$4:$D$67,4,FALSE),0),"")</f>
        <v/>
      </c>
      <c r="AO690" t="str">
        <f>IFERROR(ROUND(L690*(I690/$AW690)/VLOOKUP(H690,商品!$A$4:$D$67,4,FALSE),0),"")</f>
        <v/>
      </c>
      <c r="AP690" t="str">
        <f>IFERROR(ROUND(L690*(K690/$AW690)/VLOOKUP(J690,商品!$A$4:$D$67,4,FALSE),0),"")</f>
        <v/>
      </c>
      <c r="AQ690" t="str">
        <f>IFERROR(ROUND(S690*(N690/$AX690)/VLOOKUP(M690,职业!$A$3:$E$16,4,FALSE),0),"")</f>
        <v/>
      </c>
      <c r="AR690" t="str">
        <f>IFERROR(ROUND(S690*(P690/$AX690)/VLOOKUP(O690,职业!$A$3:$E$16,4,FALSE),0),"")</f>
        <v/>
      </c>
      <c r="AS690" t="str">
        <f>IFERROR(ROUND(S690*(R690/$AX690)/VLOOKUP(Q690,职业!$A$3:$E$16,4,FALSE),0),"")</f>
        <v/>
      </c>
      <c r="AT690" t="str">
        <f>IFERROR(ROUND(X690*(U690/$AY690)/VLOOKUP(T690,商品!$A$4:$D$67,4,FALSE),0),"")</f>
        <v/>
      </c>
      <c r="AU690" t="str">
        <f>IFERROR(ROUND(X690*(W690/$AY690)/VLOOKUP(V690,商品!$A$4:$D$67,4,FALSE),0),"")</f>
        <v/>
      </c>
      <c r="AW690">
        <f t="shared" si="184"/>
        <v>0</v>
      </c>
      <c r="AX690">
        <f t="shared" si="185"/>
        <v>0</v>
      </c>
      <c r="AY690">
        <f t="shared" si="186"/>
        <v>0</v>
      </c>
    </row>
    <row r="691" customHeight="1" spans="1:51">
      <c r="A691" s="18" t="s">
        <v>413</v>
      </c>
      <c r="C691" s="18">
        <v>5</v>
      </c>
      <c r="D691" s="1" t="s">
        <v>260</v>
      </c>
      <c r="E691" s="1" t="s">
        <v>223</v>
      </c>
      <c r="L691" s="18">
        <f>IFERROR(VLOOKUP($D691&amp;$C691,生产方式定位!$A$2:$E$38,2,FALSE)+VLOOKUP($E691&amp;$C691,生产方式定位!$F$3:$J$38,2,FALSE),0)</f>
        <v>2700</v>
      </c>
      <c r="S691" s="18">
        <f>IFERROR(VLOOKUP($D691&amp;$C691,生产方式定位!$A$2:$E$38,3,FALSE)+VLOOKUP($E691&amp;$C691,生产方式定位!$F$3:$J$38,3,FALSE),0)</f>
        <v>85</v>
      </c>
      <c r="X691" s="18">
        <f>IFERROR(VLOOKUP($D691&amp;$C691,生产方式定位!$A$2:$E$38,5,FALSE)+VLOOKUP($E691&amp;$C691,生产方式定位!$F$3:$J$38,5,FALSE),"错误")</f>
        <v>2858</v>
      </c>
      <c r="Y691" s="27" t="str">
        <f t="shared" si="170"/>
        <v/>
      </c>
      <c r="Z691" s="50" t="str">
        <f t="shared" si="173"/>
        <v/>
      </c>
      <c r="AA691" s="50" t="str">
        <f t="shared" si="171"/>
        <v/>
      </c>
      <c r="AB691" s="28" t="str">
        <f t="shared" si="174"/>
        <v>6%</v>
      </c>
      <c r="AC691" s="1">
        <f t="shared" si="175"/>
        <v>73</v>
      </c>
      <c r="AD691" s="52">
        <f t="shared" si="172"/>
        <v>5</v>
      </c>
      <c r="AE691" t="str">
        <f t="shared" si="176"/>
        <v/>
      </c>
      <c r="AF691" t="str">
        <f t="shared" si="177"/>
        <v/>
      </c>
      <c r="AG691" t="str">
        <f t="shared" si="178"/>
        <v/>
      </c>
      <c r="AH691" t="str">
        <f t="shared" si="179"/>
        <v/>
      </c>
      <c r="AI691" t="str">
        <f t="shared" si="180"/>
        <v/>
      </c>
      <c r="AJ691" t="str">
        <f t="shared" si="181"/>
        <v/>
      </c>
      <c r="AK691" t="str">
        <f t="shared" si="182"/>
        <v/>
      </c>
      <c r="AL691" t="str">
        <f t="shared" si="183"/>
        <v/>
      </c>
      <c r="AN691" t="str">
        <f>IFERROR(ROUND(L691*(G691/$AW691)/VLOOKUP(F691,商品!$A$4:$D$67,4,FALSE),0),"")</f>
        <v/>
      </c>
      <c r="AO691" t="str">
        <f>IFERROR(ROUND(L691*(I691/$AW691)/VLOOKUP(H691,商品!$A$4:$D$67,4,FALSE),0),"")</f>
        <v/>
      </c>
      <c r="AP691" t="str">
        <f>IFERROR(ROUND(L691*(K691/$AW691)/VLOOKUP(J691,商品!$A$4:$D$67,4,FALSE),0),"")</f>
        <v/>
      </c>
      <c r="AQ691" t="str">
        <f>IFERROR(ROUND(S691*(N691/$AX691)/VLOOKUP(M691,职业!$A$3:$E$16,4,FALSE),0),"")</f>
        <v/>
      </c>
      <c r="AR691" t="str">
        <f>IFERROR(ROUND(S691*(P691/$AX691)/VLOOKUP(O691,职业!$A$3:$E$16,4,FALSE),0),"")</f>
        <v/>
      </c>
      <c r="AS691" t="str">
        <f>IFERROR(ROUND(S691*(R691/$AX691)/VLOOKUP(Q691,职业!$A$3:$E$16,4,FALSE),0),"")</f>
        <v/>
      </c>
      <c r="AT691" t="str">
        <f>IFERROR(ROUND(X691*(U691/$AY691)/VLOOKUP(T691,商品!$A$4:$D$67,4,FALSE),0),"")</f>
        <v/>
      </c>
      <c r="AU691" t="str">
        <f>IFERROR(ROUND(X691*(W691/$AY691)/VLOOKUP(V691,商品!$A$4:$D$67,4,FALSE),0),"")</f>
        <v/>
      </c>
      <c r="AW691">
        <f t="shared" si="184"/>
        <v>0</v>
      </c>
      <c r="AX691">
        <f t="shared" si="185"/>
        <v>0</v>
      </c>
      <c r="AY691">
        <f t="shared" si="186"/>
        <v>0</v>
      </c>
    </row>
    <row r="692" customHeight="1" spans="1:51">
      <c r="A692" s="5" t="s">
        <v>414</v>
      </c>
      <c r="C692" s="5">
        <v>1</v>
      </c>
      <c r="D692" s="1" t="s">
        <v>260</v>
      </c>
      <c r="E692" s="1" t="s">
        <v>224</v>
      </c>
      <c r="L692" s="5">
        <f>IFERROR(VLOOKUP($D692&amp;$C692,生产方式定位!$A$2:$E$38,2,FALSE)+VLOOKUP($E692&amp;$C692,生产方式定位!$F$3:$J$38,2,FALSE),0)</f>
        <v>0</v>
      </c>
      <c r="S692" s="5">
        <f>IFERROR(VLOOKUP($D692&amp;$C692,生产方式定位!$A$2:$E$38,3,FALSE)+VLOOKUP($E692&amp;$C692,生产方式定位!$F$3:$J$38,3,FALSE),0)</f>
        <v>70</v>
      </c>
      <c r="X692" s="5">
        <f>IFERROR(VLOOKUP($D692&amp;$C692,生产方式定位!$A$2:$E$38,5,FALSE)+VLOOKUP($E692&amp;$C692,生产方式定位!$F$3:$J$38,5,FALSE),"错误")</f>
        <v>350</v>
      </c>
      <c r="Y692" s="27" t="str">
        <f t="shared" si="170"/>
        <v/>
      </c>
      <c r="Z692" s="50" t="str">
        <f t="shared" si="173"/>
        <v/>
      </c>
      <c r="AA692" s="50" t="str">
        <f t="shared" si="171"/>
        <v/>
      </c>
      <c r="AB692" s="28" t="str">
        <f t="shared" si="174"/>
        <v/>
      </c>
      <c r="AC692" s="1">
        <f t="shared" si="175"/>
        <v>280</v>
      </c>
      <c r="AD692" s="51">
        <f t="shared" si="172"/>
        <v>1</v>
      </c>
      <c r="AE692" t="str">
        <f t="shared" si="176"/>
        <v/>
      </c>
      <c r="AF692" t="str">
        <f t="shared" si="177"/>
        <v/>
      </c>
      <c r="AG692" t="str">
        <f t="shared" si="178"/>
        <v/>
      </c>
      <c r="AH692" t="str">
        <f t="shared" si="179"/>
        <v/>
      </c>
      <c r="AI692" t="str">
        <f t="shared" si="180"/>
        <v/>
      </c>
      <c r="AJ692" t="str">
        <f t="shared" si="181"/>
        <v/>
      </c>
      <c r="AK692" t="str">
        <f t="shared" si="182"/>
        <v/>
      </c>
      <c r="AL692" t="str">
        <f t="shared" si="183"/>
        <v/>
      </c>
      <c r="AN692" t="str">
        <f>IFERROR(ROUND(L692*(G692/$AW692)/VLOOKUP(F692,商品!$A$4:$D$67,4,FALSE),0),"")</f>
        <v/>
      </c>
      <c r="AO692" t="str">
        <f>IFERROR(ROUND(L692*(I692/$AW692)/VLOOKUP(H692,商品!$A$4:$D$67,4,FALSE),0),"")</f>
        <v/>
      </c>
      <c r="AP692" t="str">
        <f>IFERROR(ROUND(L692*(K692/$AW692)/VLOOKUP(J692,商品!$A$4:$D$67,4,FALSE),0),"")</f>
        <v/>
      </c>
      <c r="AQ692" t="str">
        <f>IFERROR(ROUND(S692*(N692/$AX692)/VLOOKUP(M692,职业!$A$3:$E$16,4,FALSE),0),"")</f>
        <v/>
      </c>
      <c r="AR692" t="str">
        <f>IFERROR(ROUND(S692*(P692/$AX692)/VLOOKUP(O692,职业!$A$3:$E$16,4,FALSE),0),"")</f>
        <v/>
      </c>
      <c r="AS692" t="str">
        <f>IFERROR(ROUND(S692*(R692/$AX692)/VLOOKUP(Q692,职业!$A$3:$E$16,4,FALSE),0),"")</f>
        <v/>
      </c>
      <c r="AT692" t="str">
        <f>IFERROR(ROUND(X692*(U692/$AY692)/VLOOKUP(T692,商品!$A$4:$D$67,4,FALSE),0),"")</f>
        <v/>
      </c>
      <c r="AU692" t="str">
        <f>IFERROR(ROUND(X692*(W692/$AY692)/VLOOKUP(V692,商品!$A$4:$D$67,4,FALSE),0),"")</f>
        <v/>
      </c>
      <c r="AW692">
        <f t="shared" si="184"/>
        <v>0</v>
      </c>
      <c r="AX692">
        <f t="shared" si="185"/>
        <v>0</v>
      </c>
      <c r="AY692">
        <f t="shared" si="186"/>
        <v>0</v>
      </c>
    </row>
    <row r="693" customHeight="1" spans="1:51">
      <c r="A693" s="5" t="s">
        <v>414</v>
      </c>
      <c r="C693" s="5">
        <v>2</v>
      </c>
      <c r="D693" s="1" t="s">
        <v>260</v>
      </c>
      <c r="E693" s="1" t="s">
        <v>224</v>
      </c>
      <c r="L693" s="5">
        <f>IFERROR(VLOOKUP($D693&amp;$C693,生产方式定位!$A$2:$E$38,2,FALSE)+VLOOKUP($E693&amp;$C693,生产方式定位!$F$3:$J$38,2,FALSE),0)</f>
        <v>1000</v>
      </c>
      <c r="S693" s="5">
        <f>IFERROR(VLOOKUP($D693&amp;$C693,生产方式定位!$A$2:$E$38,3,FALSE)+VLOOKUP($E693&amp;$C693,生产方式定位!$F$3:$J$38,3,FALSE),0)</f>
        <v>50</v>
      </c>
      <c r="X693" s="5">
        <f>IFERROR(VLOOKUP($D693&amp;$C693,生产方式定位!$A$2:$E$38,5,FALSE)+VLOOKUP($E693&amp;$C693,生产方式定位!$F$3:$J$38,5,FALSE),"错误")</f>
        <v>1096</v>
      </c>
      <c r="Y693" s="27" t="str">
        <f t="shared" si="170"/>
        <v/>
      </c>
      <c r="Z693" s="50" t="str">
        <f t="shared" si="173"/>
        <v/>
      </c>
      <c r="AA693" s="50" t="str">
        <f t="shared" si="171"/>
        <v/>
      </c>
      <c r="AB693" s="28" t="str">
        <f t="shared" si="174"/>
        <v>10%</v>
      </c>
      <c r="AC693" s="1">
        <f t="shared" si="175"/>
        <v>46</v>
      </c>
      <c r="AD693" s="51">
        <f t="shared" si="172"/>
        <v>2</v>
      </c>
      <c r="AE693" t="str">
        <f t="shared" si="176"/>
        <v/>
      </c>
      <c r="AF693" t="str">
        <f t="shared" si="177"/>
        <v/>
      </c>
      <c r="AG693" t="str">
        <f t="shared" si="178"/>
        <v/>
      </c>
      <c r="AH693" t="str">
        <f t="shared" si="179"/>
        <v/>
      </c>
      <c r="AI693" t="str">
        <f t="shared" si="180"/>
        <v/>
      </c>
      <c r="AJ693" t="str">
        <f t="shared" si="181"/>
        <v/>
      </c>
      <c r="AK693" t="str">
        <f t="shared" si="182"/>
        <v/>
      </c>
      <c r="AL693" t="str">
        <f t="shared" si="183"/>
        <v/>
      </c>
      <c r="AN693" t="str">
        <f>IFERROR(ROUND(L693*(G693/$AW693)/VLOOKUP(F693,商品!$A$4:$D$67,4,FALSE),0),"")</f>
        <v/>
      </c>
      <c r="AO693" t="str">
        <f>IFERROR(ROUND(L693*(I693/$AW693)/VLOOKUP(H693,商品!$A$4:$D$67,4,FALSE),0),"")</f>
        <v/>
      </c>
      <c r="AP693" t="str">
        <f>IFERROR(ROUND(L693*(K693/$AW693)/VLOOKUP(J693,商品!$A$4:$D$67,4,FALSE),0),"")</f>
        <v/>
      </c>
      <c r="AQ693" t="str">
        <f>IFERROR(ROUND(S693*(N693/$AX693)/VLOOKUP(M693,职业!$A$3:$E$16,4,FALSE),0),"")</f>
        <v/>
      </c>
      <c r="AR693" t="str">
        <f>IFERROR(ROUND(S693*(P693/$AX693)/VLOOKUP(O693,职业!$A$3:$E$16,4,FALSE),0),"")</f>
        <v/>
      </c>
      <c r="AS693" t="str">
        <f>IFERROR(ROUND(S693*(R693/$AX693)/VLOOKUP(Q693,职业!$A$3:$E$16,4,FALSE),0),"")</f>
        <v/>
      </c>
      <c r="AT693" t="str">
        <f>IFERROR(ROUND(X693*(U693/$AY693)/VLOOKUP(T693,商品!$A$4:$D$67,4,FALSE),0),"")</f>
        <v/>
      </c>
      <c r="AU693" t="str">
        <f>IFERROR(ROUND(X693*(W693/$AY693)/VLOOKUP(V693,商品!$A$4:$D$67,4,FALSE),0),"")</f>
        <v/>
      </c>
      <c r="AW693">
        <f t="shared" si="184"/>
        <v>0</v>
      </c>
      <c r="AX693">
        <f t="shared" si="185"/>
        <v>0</v>
      </c>
      <c r="AY693">
        <f t="shared" si="186"/>
        <v>0</v>
      </c>
    </row>
    <row r="694" customHeight="1" spans="1:51">
      <c r="A694" s="5" t="s">
        <v>414</v>
      </c>
      <c r="C694" s="5">
        <v>3</v>
      </c>
      <c r="D694" s="1" t="s">
        <v>260</v>
      </c>
      <c r="E694" s="1" t="s">
        <v>224</v>
      </c>
      <c r="L694" s="5">
        <f>IFERROR(VLOOKUP($D694&amp;$C694,生产方式定位!$A$2:$E$38,2,FALSE)+VLOOKUP($E694&amp;$C694,生产方式定位!$F$3:$J$38,2,FALSE),0)</f>
        <v>2000</v>
      </c>
      <c r="S694" s="5">
        <f>IFERROR(VLOOKUP($D694&amp;$C694,生产方式定位!$A$2:$E$38,3,FALSE)+VLOOKUP($E694&amp;$C694,生产方式定位!$F$3:$J$38,3,FALSE),0)</f>
        <v>20</v>
      </c>
      <c r="X694" s="5">
        <f>IFERROR(VLOOKUP($D694&amp;$C694,生产方式定位!$A$2:$E$38,5,FALSE)+VLOOKUP($E694&amp;$C694,生产方式定位!$F$3:$J$38,5,FALSE),"错误")</f>
        <v>2114</v>
      </c>
      <c r="Y694" s="27" t="str">
        <f t="shared" si="170"/>
        <v/>
      </c>
      <c r="Z694" s="50" t="str">
        <f t="shared" si="173"/>
        <v/>
      </c>
      <c r="AA694" s="50" t="str">
        <f t="shared" si="171"/>
        <v/>
      </c>
      <c r="AB694" s="28" t="str">
        <f t="shared" si="174"/>
        <v>6%</v>
      </c>
      <c r="AC694" s="1">
        <f t="shared" si="175"/>
        <v>94</v>
      </c>
      <c r="AD694" s="51">
        <f t="shared" si="172"/>
        <v>3</v>
      </c>
      <c r="AE694" t="str">
        <f t="shared" si="176"/>
        <v/>
      </c>
      <c r="AF694" t="str">
        <f t="shared" si="177"/>
        <v/>
      </c>
      <c r="AG694" t="str">
        <f t="shared" si="178"/>
        <v/>
      </c>
      <c r="AH694" t="str">
        <f t="shared" si="179"/>
        <v/>
      </c>
      <c r="AI694" t="str">
        <f t="shared" si="180"/>
        <v/>
      </c>
      <c r="AJ694" t="str">
        <f t="shared" si="181"/>
        <v/>
      </c>
      <c r="AK694" t="str">
        <f t="shared" si="182"/>
        <v/>
      </c>
      <c r="AL694" t="str">
        <f t="shared" si="183"/>
        <v/>
      </c>
      <c r="AN694" t="str">
        <f>IFERROR(ROUND(L694*(G694/$AW694)/VLOOKUP(F694,商品!$A$4:$D$67,4,FALSE),0),"")</f>
        <v/>
      </c>
      <c r="AO694" t="str">
        <f>IFERROR(ROUND(L694*(I694/$AW694)/VLOOKUP(H694,商品!$A$4:$D$67,4,FALSE),0),"")</f>
        <v/>
      </c>
      <c r="AP694" t="str">
        <f>IFERROR(ROUND(L694*(K694/$AW694)/VLOOKUP(J694,商品!$A$4:$D$67,4,FALSE),0),"")</f>
        <v/>
      </c>
      <c r="AQ694" t="str">
        <f>IFERROR(ROUND(S694*(N694/$AX694)/VLOOKUP(M694,职业!$A$3:$E$16,4,FALSE),0),"")</f>
        <v/>
      </c>
      <c r="AR694" t="str">
        <f>IFERROR(ROUND(S694*(P694/$AX694)/VLOOKUP(O694,职业!$A$3:$E$16,4,FALSE),0),"")</f>
        <v/>
      </c>
      <c r="AS694" t="str">
        <f>IFERROR(ROUND(S694*(R694/$AX694)/VLOOKUP(Q694,职业!$A$3:$E$16,4,FALSE),0),"")</f>
        <v/>
      </c>
      <c r="AT694" t="str">
        <f>IFERROR(ROUND(X694*(U694/$AY694)/VLOOKUP(T694,商品!$A$4:$D$67,4,FALSE),0),"")</f>
        <v/>
      </c>
      <c r="AU694" t="str">
        <f>IFERROR(ROUND(X694*(W694/$AY694)/VLOOKUP(V694,商品!$A$4:$D$67,4,FALSE),0),"")</f>
        <v/>
      </c>
      <c r="AW694">
        <f t="shared" si="184"/>
        <v>0</v>
      </c>
      <c r="AX694">
        <f t="shared" si="185"/>
        <v>0</v>
      </c>
      <c r="AY694">
        <f t="shared" si="186"/>
        <v>0</v>
      </c>
    </row>
    <row r="695" customHeight="1" spans="1:51">
      <c r="A695" s="5" t="s">
        <v>414</v>
      </c>
      <c r="C695" s="5">
        <v>4</v>
      </c>
      <c r="D695" s="1" t="s">
        <v>260</v>
      </c>
      <c r="E695" s="1" t="s">
        <v>224</v>
      </c>
      <c r="L695" s="5">
        <f>IFERROR(VLOOKUP($D695&amp;$C695,生产方式定位!$A$2:$E$38,2,FALSE)+VLOOKUP($E695&amp;$C695,生产方式定位!$F$3:$J$38,2,FALSE),0)</f>
        <v>3000</v>
      </c>
      <c r="S695" s="5">
        <f>IFERROR(VLOOKUP($D695&amp;$C695,生产方式定位!$A$2:$E$38,3,FALSE)+VLOOKUP($E695&amp;$C695,生产方式定位!$F$3:$J$38,3,FALSE),0)</f>
        <v>-10</v>
      </c>
      <c r="X695" s="5">
        <f>IFERROR(VLOOKUP($D695&amp;$C695,生产方式定位!$A$2:$E$38,5,FALSE)+VLOOKUP($E695&amp;$C695,生产方式定位!$F$3:$J$38,5,FALSE),"错误")</f>
        <v>3132</v>
      </c>
      <c r="Y695" s="27" t="str">
        <f t="shared" si="170"/>
        <v/>
      </c>
      <c r="Z695" s="50" t="str">
        <f t="shared" si="173"/>
        <v/>
      </c>
      <c r="AA695" s="50" t="str">
        <f t="shared" si="171"/>
        <v/>
      </c>
      <c r="AB695" s="28" t="str">
        <f t="shared" si="174"/>
        <v>4%</v>
      </c>
      <c r="AC695" s="1">
        <f t="shared" si="175"/>
        <v>142</v>
      </c>
      <c r="AD695" s="51">
        <f t="shared" si="172"/>
        <v>4</v>
      </c>
      <c r="AE695" t="str">
        <f t="shared" si="176"/>
        <v/>
      </c>
      <c r="AF695" t="str">
        <f t="shared" si="177"/>
        <v/>
      </c>
      <c r="AG695" t="str">
        <f t="shared" si="178"/>
        <v/>
      </c>
      <c r="AH695" t="str">
        <f t="shared" si="179"/>
        <v/>
      </c>
      <c r="AI695" t="str">
        <f t="shared" si="180"/>
        <v/>
      </c>
      <c r="AJ695" t="str">
        <f t="shared" si="181"/>
        <v/>
      </c>
      <c r="AK695" t="str">
        <f t="shared" si="182"/>
        <v/>
      </c>
      <c r="AL695" t="str">
        <f t="shared" si="183"/>
        <v/>
      </c>
      <c r="AN695" t="str">
        <f>IFERROR(ROUND(L695*(G695/$AW695)/VLOOKUP(F695,商品!$A$4:$D$67,4,FALSE),0),"")</f>
        <v/>
      </c>
      <c r="AO695" t="str">
        <f>IFERROR(ROUND(L695*(I695/$AW695)/VLOOKUP(H695,商品!$A$4:$D$67,4,FALSE),0),"")</f>
        <v/>
      </c>
      <c r="AP695" t="str">
        <f>IFERROR(ROUND(L695*(K695/$AW695)/VLOOKUP(J695,商品!$A$4:$D$67,4,FALSE),0),"")</f>
        <v/>
      </c>
      <c r="AQ695" t="str">
        <f>IFERROR(ROUND(S695*(N695/$AX695)/VLOOKUP(M695,职业!$A$3:$E$16,4,FALSE),0),"")</f>
        <v/>
      </c>
      <c r="AR695" t="str">
        <f>IFERROR(ROUND(S695*(P695/$AX695)/VLOOKUP(O695,职业!$A$3:$E$16,4,FALSE),0),"")</f>
        <v/>
      </c>
      <c r="AS695" t="str">
        <f>IFERROR(ROUND(S695*(R695/$AX695)/VLOOKUP(Q695,职业!$A$3:$E$16,4,FALSE),0),"")</f>
        <v/>
      </c>
      <c r="AT695" t="str">
        <f>IFERROR(ROUND(X695*(U695/$AY695)/VLOOKUP(T695,商品!$A$4:$D$67,4,FALSE),0),"")</f>
        <v/>
      </c>
      <c r="AU695" t="str">
        <f>IFERROR(ROUND(X695*(W695/$AY695)/VLOOKUP(V695,商品!$A$4:$D$67,4,FALSE),0),"")</f>
        <v/>
      </c>
      <c r="AW695">
        <f t="shared" si="184"/>
        <v>0</v>
      </c>
      <c r="AX695">
        <f t="shared" si="185"/>
        <v>0</v>
      </c>
      <c r="AY695">
        <f t="shared" si="186"/>
        <v>0</v>
      </c>
    </row>
    <row r="696" customHeight="1" spans="1:51">
      <c r="A696" s="5" t="s">
        <v>414</v>
      </c>
      <c r="C696" s="5">
        <v>5</v>
      </c>
      <c r="D696" s="1" t="s">
        <v>260</v>
      </c>
      <c r="E696" s="1" t="s">
        <v>224</v>
      </c>
      <c r="L696" s="5">
        <f>IFERROR(VLOOKUP($D696&amp;$C696,生产方式定位!$A$2:$E$38,2,FALSE)+VLOOKUP($E696&amp;$C696,生产方式定位!$F$3:$J$38,2,FALSE),0)</f>
        <v>4000</v>
      </c>
      <c r="S696" s="5">
        <f>IFERROR(VLOOKUP($D696&amp;$C696,生产方式定位!$A$2:$E$38,3,FALSE)+VLOOKUP($E696&amp;$C696,生产方式定位!$F$3:$J$38,3,FALSE),0)</f>
        <v>-40</v>
      </c>
      <c r="X696" s="5">
        <f>IFERROR(VLOOKUP($D696&amp;$C696,生产方式定位!$A$2:$E$38,5,FALSE)+VLOOKUP($E696&amp;$C696,生产方式定位!$F$3:$J$38,5,FALSE),"错误")</f>
        <v>4150</v>
      </c>
      <c r="Y696" s="27" t="str">
        <f t="shared" si="170"/>
        <v/>
      </c>
      <c r="Z696" s="50" t="str">
        <f t="shared" si="173"/>
        <v/>
      </c>
      <c r="AA696" s="50" t="str">
        <f t="shared" si="171"/>
        <v/>
      </c>
      <c r="AB696" s="28" t="str">
        <f t="shared" si="174"/>
        <v>4%</v>
      </c>
      <c r="AC696" s="1">
        <f t="shared" si="175"/>
        <v>190</v>
      </c>
      <c r="AD696" s="51">
        <f t="shared" si="172"/>
        <v>5</v>
      </c>
      <c r="AE696" t="str">
        <f t="shared" si="176"/>
        <v/>
      </c>
      <c r="AF696" t="str">
        <f t="shared" si="177"/>
        <v/>
      </c>
      <c r="AG696" t="str">
        <f t="shared" si="178"/>
        <v/>
      </c>
      <c r="AH696" t="str">
        <f t="shared" si="179"/>
        <v/>
      </c>
      <c r="AI696" t="str">
        <f t="shared" si="180"/>
        <v/>
      </c>
      <c r="AJ696" t="str">
        <f t="shared" si="181"/>
        <v/>
      </c>
      <c r="AK696" t="str">
        <f t="shared" si="182"/>
        <v/>
      </c>
      <c r="AL696" t="str">
        <f t="shared" si="183"/>
        <v/>
      </c>
      <c r="AN696" t="str">
        <f>IFERROR(ROUND(L696*(G696/$AW696)/VLOOKUP(F696,商品!$A$4:$D$67,4,FALSE),0),"")</f>
        <v/>
      </c>
      <c r="AO696" t="str">
        <f>IFERROR(ROUND(L696*(I696/$AW696)/VLOOKUP(H696,商品!$A$4:$D$67,4,FALSE),0),"")</f>
        <v/>
      </c>
      <c r="AP696" t="str">
        <f>IFERROR(ROUND(L696*(K696/$AW696)/VLOOKUP(J696,商品!$A$4:$D$67,4,FALSE),0),"")</f>
        <v/>
      </c>
      <c r="AQ696" t="str">
        <f>IFERROR(ROUND(S696*(N696/$AX696)/VLOOKUP(M696,职业!$A$3:$E$16,4,FALSE),0),"")</f>
        <v/>
      </c>
      <c r="AR696" t="str">
        <f>IFERROR(ROUND(S696*(P696/$AX696)/VLOOKUP(O696,职业!$A$3:$E$16,4,FALSE),0),"")</f>
        <v/>
      </c>
      <c r="AS696" t="str">
        <f>IFERROR(ROUND(S696*(R696/$AX696)/VLOOKUP(Q696,职业!$A$3:$E$16,4,FALSE),0),"")</f>
        <v/>
      </c>
      <c r="AT696" t="str">
        <f>IFERROR(ROUND(X696*(U696/$AY696)/VLOOKUP(T696,商品!$A$4:$D$67,4,FALSE),0),"")</f>
        <v/>
      </c>
      <c r="AU696" t="str">
        <f>IFERROR(ROUND(X696*(W696/$AY696)/VLOOKUP(V696,商品!$A$4:$D$67,4,FALSE),0),"")</f>
        <v/>
      </c>
      <c r="AW696">
        <f t="shared" si="184"/>
        <v>0</v>
      </c>
      <c r="AX696">
        <f t="shared" si="185"/>
        <v>0</v>
      </c>
      <c r="AY696">
        <f t="shared" si="186"/>
        <v>0</v>
      </c>
    </row>
    <row r="697" customHeight="1" spans="1:51">
      <c r="A697" s="18" t="s">
        <v>414</v>
      </c>
      <c r="C697" s="18">
        <v>1</v>
      </c>
      <c r="D697" s="1" t="s">
        <v>260</v>
      </c>
      <c r="E697" s="1" t="s">
        <v>224</v>
      </c>
      <c r="L697" s="18">
        <f>IFERROR(VLOOKUP($D697&amp;$C697,生产方式定位!$A$2:$E$38,2,FALSE)+VLOOKUP($E697&amp;$C697,生产方式定位!$F$3:$J$38,2,FALSE),0)</f>
        <v>0</v>
      </c>
      <c r="S697" s="18">
        <f>IFERROR(VLOOKUP($D697&amp;$C697,生产方式定位!$A$2:$E$38,3,FALSE)+VLOOKUP($E697&amp;$C697,生产方式定位!$F$3:$J$38,3,FALSE),0)</f>
        <v>70</v>
      </c>
      <c r="X697" s="18">
        <f>IFERROR(VLOOKUP($D697&amp;$C697,生产方式定位!$A$2:$E$38,5,FALSE)+VLOOKUP($E697&amp;$C697,生产方式定位!$F$3:$J$38,5,FALSE),"错误")</f>
        <v>350</v>
      </c>
      <c r="Y697" s="27" t="str">
        <f t="shared" si="170"/>
        <v/>
      </c>
      <c r="Z697" s="50" t="str">
        <f t="shared" si="173"/>
        <v/>
      </c>
      <c r="AA697" s="50" t="str">
        <f t="shared" si="171"/>
        <v/>
      </c>
      <c r="AB697" s="28" t="str">
        <f t="shared" si="174"/>
        <v/>
      </c>
      <c r="AC697" s="1">
        <f t="shared" si="175"/>
        <v>280</v>
      </c>
      <c r="AD697" s="52">
        <f t="shared" si="172"/>
        <v>1</v>
      </c>
      <c r="AE697" t="str">
        <f t="shared" si="176"/>
        <v/>
      </c>
      <c r="AF697" t="str">
        <f t="shared" si="177"/>
        <v/>
      </c>
      <c r="AG697" t="str">
        <f t="shared" si="178"/>
        <v/>
      </c>
      <c r="AH697" t="str">
        <f t="shared" si="179"/>
        <v/>
      </c>
      <c r="AI697" t="str">
        <f t="shared" si="180"/>
        <v/>
      </c>
      <c r="AJ697" t="str">
        <f t="shared" si="181"/>
        <v/>
      </c>
      <c r="AK697" t="str">
        <f t="shared" si="182"/>
        <v/>
      </c>
      <c r="AL697" t="str">
        <f t="shared" si="183"/>
        <v/>
      </c>
      <c r="AN697" t="str">
        <f>IFERROR(ROUND(L697*(G697/$AW697)/VLOOKUP(F697,商品!$A$4:$D$67,4,FALSE),0),"")</f>
        <v/>
      </c>
      <c r="AO697" t="str">
        <f>IFERROR(ROUND(L697*(I697/$AW697)/VLOOKUP(H697,商品!$A$4:$D$67,4,FALSE),0),"")</f>
        <v/>
      </c>
      <c r="AP697" t="str">
        <f>IFERROR(ROUND(L697*(K697/$AW697)/VLOOKUP(J697,商品!$A$4:$D$67,4,FALSE),0),"")</f>
        <v/>
      </c>
      <c r="AQ697" t="str">
        <f>IFERROR(ROUND(S697*(N697/$AX697)/VLOOKUP(M697,职业!$A$3:$E$16,4,FALSE),0),"")</f>
        <v/>
      </c>
      <c r="AR697" t="str">
        <f>IFERROR(ROUND(S697*(P697/$AX697)/VLOOKUP(O697,职业!$A$3:$E$16,4,FALSE),0),"")</f>
        <v/>
      </c>
      <c r="AS697" t="str">
        <f>IFERROR(ROUND(S697*(R697/$AX697)/VLOOKUP(Q697,职业!$A$3:$E$16,4,FALSE),0),"")</f>
        <v/>
      </c>
      <c r="AT697" t="str">
        <f>IFERROR(ROUND(X697*(U697/$AY697)/VLOOKUP(T697,商品!$A$4:$D$67,4,FALSE),0),"")</f>
        <v/>
      </c>
      <c r="AU697" t="str">
        <f>IFERROR(ROUND(X697*(W697/$AY697)/VLOOKUP(V697,商品!$A$4:$D$67,4,FALSE),0),"")</f>
        <v/>
      </c>
      <c r="AW697">
        <f t="shared" si="184"/>
        <v>0</v>
      </c>
      <c r="AX697">
        <f t="shared" si="185"/>
        <v>0</v>
      </c>
      <c r="AY697">
        <f t="shared" si="186"/>
        <v>0</v>
      </c>
    </row>
    <row r="698" customHeight="1" spans="1:51">
      <c r="A698" s="18" t="s">
        <v>414</v>
      </c>
      <c r="C698" s="18">
        <v>2</v>
      </c>
      <c r="D698" s="1" t="s">
        <v>260</v>
      </c>
      <c r="E698" s="1" t="s">
        <v>224</v>
      </c>
      <c r="L698" s="18">
        <f>IFERROR(VLOOKUP($D698&amp;$C698,生产方式定位!$A$2:$E$38,2,FALSE)+VLOOKUP($E698&amp;$C698,生产方式定位!$F$3:$J$38,2,FALSE),0)</f>
        <v>1000</v>
      </c>
      <c r="S698" s="18">
        <f>IFERROR(VLOOKUP($D698&amp;$C698,生产方式定位!$A$2:$E$38,3,FALSE)+VLOOKUP($E698&amp;$C698,生产方式定位!$F$3:$J$38,3,FALSE),0)</f>
        <v>50</v>
      </c>
      <c r="X698" s="18">
        <f>IFERROR(VLOOKUP($D698&amp;$C698,生产方式定位!$A$2:$E$38,5,FALSE)+VLOOKUP($E698&amp;$C698,生产方式定位!$F$3:$J$38,5,FALSE),"错误")</f>
        <v>1096</v>
      </c>
      <c r="Y698" s="27" t="str">
        <f t="shared" si="170"/>
        <v/>
      </c>
      <c r="Z698" s="50" t="str">
        <f t="shared" si="173"/>
        <v/>
      </c>
      <c r="AA698" s="50" t="str">
        <f t="shared" si="171"/>
        <v/>
      </c>
      <c r="AB698" s="28" t="str">
        <f t="shared" si="174"/>
        <v>10%</v>
      </c>
      <c r="AC698" s="1">
        <f t="shared" si="175"/>
        <v>46</v>
      </c>
      <c r="AD698" s="52">
        <f t="shared" si="172"/>
        <v>2</v>
      </c>
      <c r="AE698" t="str">
        <f t="shared" si="176"/>
        <v/>
      </c>
      <c r="AF698" t="str">
        <f t="shared" si="177"/>
        <v/>
      </c>
      <c r="AG698" t="str">
        <f t="shared" si="178"/>
        <v/>
      </c>
      <c r="AH698" t="str">
        <f t="shared" si="179"/>
        <v/>
      </c>
      <c r="AI698" t="str">
        <f t="shared" si="180"/>
        <v/>
      </c>
      <c r="AJ698" t="str">
        <f t="shared" si="181"/>
        <v/>
      </c>
      <c r="AK698" t="str">
        <f t="shared" si="182"/>
        <v/>
      </c>
      <c r="AL698" t="str">
        <f t="shared" si="183"/>
        <v/>
      </c>
      <c r="AN698" t="str">
        <f>IFERROR(ROUND(L698*(G698/$AW698)/VLOOKUP(F698,商品!$A$4:$D$67,4,FALSE),0),"")</f>
        <v/>
      </c>
      <c r="AO698" t="str">
        <f>IFERROR(ROUND(L698*(I698/$AW698)/VLOOKUP(H698,商品!$A$4:$D$67,4,FALSE),0),"")</f>
        <v/>
      </c>
      <c r="AP698" t="str">
        <f>IFERROR(ROUND(L698*(K698/$AW698)/VLOOKUP(J698,商品!$A$4:$D$67,4,FALSE),0),"")</f>
        <v/>
      </c>
      <c r="AQ698" t="str">
        <f>IFERROR(ROUND(S698*(N698/$AX698)/VLOOKUP(M698,职业!$A$3:$E$16,4,FALSE),0),"")</f>
        <v/>
      </c>
      <c r="AR698" t="str">
        <f>IFERROR(ROUND(S698*(P698/$AX698)/VLOOKUP(O698,职业!$A$3:$E$16,4,FALSE),0),"")</f>
        <v/>
      </c>
      <c r="AS698" t="str">
        <f>IFERROR(ROUND(S698*(R698/$AX698)/VLOOKUP(Q698,职业!$A$3:$E$16,4,FALSE),0),"")</f>
        <v/>
      </c>
      <c r="AT698" t="str">
        <f>IFERROR(ROUND(X698*(U698/$AY698)/VLOOKUP(T698,商品!$A$4:$D$67,4,FALSE),0),"")</f>
        <v/>
      </c>
      <c r="AU698" t="str">
        <f>IFERROR(ROUND(X698*(W698/$AY698)/VLOOKUP(V698,商品!$A$4:$D$67,4,FALSE),0),"")</f>
        <v/>
      </c>
      <c r="AW698">
        <f t="shared" si="184"/>
        <v>0</v>
      </c>
      <c r="AX698">
        <f t="shared" si="185"/>
        <v>0</v>
      </c>
      <c r="AY698">
        <f t="shared" si="186"/>
        <v>0</v>
      </c>
    </row>
    <row r="699" customHeight="1" spans="1:51">
      <c r="A699" s="18" t="s">
        <v>414</v>
      </c>
      <c r="C699" s="18">
        <v>3</v>
      </c>
      <c r="D699" s="1" t="s">
        <v>260</v>
      </c>
      <c r="E699" s="1" t="s">
        <v>224</v>
      </c>
      <c r="L699" s="18">
        <f>IFERROR(VLOOKUP($D699&amp;$C699,生产方式定位!$A$2:$E$38,2,FALSE)+VLOOKUP($E699&amp;$C699,生产方式定位!$F$3:$J$38,2,FALSE),0)</f>
        <v>2000</v>
      </c>
      <c r="S699" s="18">
        <f>IFERROR(VLOOKUP($D699&amp;$C699,生产方式定位!$A$2:$E$38,3,FALSE)+VLOOKUP($E699&amp;$C699,生产方式定位!$F$3:$J$38,3,FALSE),0)</f>
        <v>20</v>
      </c>
      <c r="X699" s="18">
        <f>IFERROR(VLOOKUP($D699&amp;$C699,生产方式定位!$A$2:$E$38,5,FALSE)+VLOOKUP($E699&amp;$C699,生产方式定位!$F$3:$J$38,5,FALSE),"错误")</f>
        <v>2114</v>
      </c>
      <c r="Y699" s="27" t="str">
        <f t="shared" si="170"/>
        <v/>
      </c>
      <c r="Z699" s="50" t="str">
        <f t="shared" si="173"/>
        <v/>
      </c>
      <c r="AA699" s="50" t="str">
        <f t="shared" si="171"/>
        <v/>
      </c>
      <c r="AB699" s="28" t="str">
        <f t="shared" si="174"/>
        <v>6%</v>
      </c>
      <c r="AC699" s="1">
        <f t="shared" si="175"/>
        <v>94</v>
      </c>
      <c r="AD699" s="52">
        <f t="shared" si="172"/>
        <v>3</v>
      </c>
      <c r="AE699" t="str">
        <f t="shared" si="176"/>
        <v/>
      </c>
      <c r="AF699" t="str">
        <f t="shared" si="177"/>
        <v/>
      </c>
      <c r="AG699" t="str">
        <f t="shared" si="178"/>
        <v/>
      </c>
      <c r="AH699" t="str">
        <f t="shared" si="179"/>
        <v/>
      </c>
      <c r="AI699" t="str">
        <f t="shared" si="180"/>
        <v/>
      </c>
      <c r="AJ699" t="str">
        <f t="shared" si="181"/>
        <v/>
      </c>
      <c r="AK699" t="str">
        <f t="shared" si="182"/>
        <v/>
      </c>
      <c r="AL699" t="str">
        <f t="shared" si="183"/>
        <v/>
      </c>
      <c r="AN699" t="str">
        <f>IFERROR(ROUND(L699*(G699/$AW699)/VLOOKUP(F699,商品!$A$4:$D$67,4,FALSE),0),"")</f>
        <v/>
      </c>
      <c r="AO699" t="str">
        <f>IFERROR(ROUND(L699*(I699/$AW699)/VLOOKUP(H699,商品!$A$4:$D$67,4,FALSE),0),"")</f>
        <v/>
      </c>
      <c r="AP699" t="str">
        <f>IFERROR(ROUND(L699*(K699/$AW699)/VLOOKUP(J699,商品!$A$4:$D$67,4,FALSE),0),"")</f>
        <v/>
      </c>
      <c r="AQ699" t="str">
        <f>IFERROR(ROUND(S699*(N699/$AX699)/VLOOKUP(M699,职业!$A$3:$E$16,4,FALSE),0),"")</f>
        <v/>
      </c>
      <c r="AR699" t="str">
        <f>IFERROR(ROUND(S699*(P699/$AX699)/VLOOKUP(O699,职业!$A$3:$E$16,4,FALSE),0),"")</f>
        <v/>
      </c>
      <c r="AS699" t="str">
        <f>IFERROR(ROUND(S699*(R699/$AX699)/VLOOKUP(Q699,职业!$A$3:$E$16,4,FALSE),0),"")</f>
        <v/>
      </c>
      <c r="AT699" t="str">
        <f>IFERROR(ROUND(X699*(U699/$AY699)/VLOOKUP(T699,商品!$A$4:$D$67,4,FALSE),0),"")</f>
        <v/>
      </c>
      <c r="AU699" t="str">
        <f>IFERROR(ROUND(X699*(W699/$AY699)/VLOOKUP(V699,商品!$A$4:$D$67,4,FALSE),0),"")</f>
        <v/>
      </c>
      <c r="AW699">
        <f t="shared" si="184"/>
        <v>0</v>
      </c>
      <c r="AX699">
        <f t="shared" si="185"/>
        <v>0</v>
      </c>
      <c r="AY699">
        <f t="shared" si="186"/>
        <v>0</v>
      </c>
    </row>
    <row r="700" customHeight="1" spans="1:51">
      <c r="A700" s="18" t="s">
        <v>414</v>
      </c>
      <c r="C700" s="18">
        <v>4</v>
      </c>
      <c r="D700" s="1" t="s">
        <v>260</v>
      </c>
      <c r="E700" s="1" t="s">
        <v>224</v>
      </c>
      <c r="L700" s="18">
        <f>IFERROR(VLOOKUP($D700&amp;$C700,生产方式定位!$A$2:$E$38,2,FALSE)+VLOOKUP($E700&amp;$C700,生产方式定位!$F$3:$J$38,2,FALSE),0)</f>
        <v>3000</v>
      </c>
      <c r="S700" s="18">
        <f>IFERROR(VLOOKUP($D700&amp;$C700,生产方式定位!$A$2:$E$38,3,FALSE)+VLOOKUP($E700&amp;$C700,生产方式定位!$F$3:$J$38,3,FALSE),0)</f>
        <v>-10</v>
      </c>
      <c r="X700" s="18">
        <f>IFERROR(VLOOKUP($D700&amp;$C700,生产方式定位!$A$2:$E$38,5,FALSE)+VLOOKUP($E700&amp;$C700,生产方式定位!$F$3:$J$38,5,FALSE),"错误")</f>
        <v>3132</v>
      </c>
      <c r="Y700" s="27" t="str">
        <f t="shared" si="170"/>
        <v/>
      </c>
      <c r="Z700" s="50" t="str">
        <f t="shared" si="173"/>
        <v/>
      </c>
      <c r="AA700" s="50" t="str">
        <f t="shared" si="171"/>
        <v/>
      </c>
      <c r="AB700" s="28" t="str">
        <f t="shared" si="174"/>
        <v>4%</v>
      </c>
      <c r="AC700" s="1">
        <f t="shared" si="175"/>
        <v>142</v>
      </c>
      <c r="AD700" s="52">
        <f t="shared" si="172"/>
        <v>4</v>
      </c>
      <c r="AE700" t="str">
        <f t="shared" si="176"/>
        <v/>
      </c>
      <c r="AF700" t="str">
        <f t="shared" si="177"/>
        <v/>
      </c>
      <c r="AG700" t="str">
        <f t="shared" si="178"/>
        <v/>
      </c>
      <c r="AH700" t="str">
        <f t="shared" si="179"/>
        <v/>
      </c>
      <c r="AI700" t="str">
        <f t="shared" si="180"/>
        <v/>
      </c>
      <c r="AJ700" t="str">
        <f t="shared" si="181"/>
        <v/>
      </c>
      <c r="AK700" t="str">
        <f t="shared" si="182"/>
        <v/>
      </c>
      <c r="AL700" t="str">
        <f t="shared" si="183"/>
        <v/>
      </c>
      <c r="AN700" t="str">
        <f>IFERROR(ROUND(L700*(G700/$AW700)/VLOOKUP(F700,商品!$A$4:$D$67,4,FALSE),0),"")</f>
        <v/>
      </c>
      <c r="AO700" t="str">
        <f>IFERROR(ROUND(L700*(I700/$AW700)/VLOOKUP(H700,商品!$A$4:$D$67,4,FALSE),0),"")</f>
        <v/>
      </c>
      <c r="AP700" t="str">
        <f>IFERROR(ROUND(L700*(K700/$AW700)/VLOOKUP(J700,商品!$A$4:$D$67,4,FALSE),0),"")</f>
        <v/>
      </c>
      <c r="AQ700" t="str">
        <f>IFERROR(ROUND(S700*(N700/$AX700)/VLOOKUP(M700,职业!$A$3:$E$16,4,FALSE),0),"")</f>
        <v/>
      </c>
      <c r="AR700" t="str">
        <f>IFERROR(ROUND(S700*(P700/$AX700)/VLOOKUP(O700,职业!$A$3:$E$16,4,FALSE),0),"")</f>
        <v/>
      </c>
      <c r="AS700" t="str">
        <f>IFERROR(ROUND(S700*(R700/$AX700)/VLOOKUP(Q700,职业!$A$3:$E$16,4,FALSE),0),"")</f>
        <v/>
      </c>
      <c r="AT700" t="str">
        <f>IFERROR(ROUND(X700*(U700/$AY700)/VLOOKUP(T700,商品!$A$4:$D$67,4,FALSE),0),"")</f>
        <v/>
      </c>
      <c r="AU700" t="str">
        <f>IFERROR(ROUND(X700*(W700/$AY700)/VLOOKUP(V700,商品!$A$4:$D$67,4,FALSE),0),"")</f>
        <v/>
      </c>
      <c r="AW700">
        <f t="shared" si="184"/>
        <v>0</v>
      </c>
      <c r="AX700">
        <f t="shared" si="185"/>
        <v>0</v>
      </c>
      <c r="AY700">
        <f t="shared" si="186"/>
        <v>0</v>
      </c>
    </row>
    <row r="701" customHeight="1" spans="1:51">
      <c r="A701" s="18" t="s">
        <v>414</v>
      </c>
      <c r="C701" s="18">
        <v>5</v>
      </c>
      <c r="D701" s="1" t="s">
        <v>260</v>
      </c>
      <c r="E701" s="1" t="s">
        <v>224</v>
      </c>
      <c r="L701" s="18">
        <f>IFERROR(VLOOKUP($D701&amp;$C701,生产方式定位!$A$2:$E$38,2,FALSE)+VLOOKUP($E701&amp;$C701,生产方式定位!$F$3:$J$38,2,FALSE),0)</f>
        <v>4000</v>
      </c>
      <c r="S701" s="18">
        <f>IFERROR(VLOOKUP($D701&amp;$C701,生产方式定位!$A$2:$E$38,3,FALSE)+VLOOKUP($E701&amp;$C701,生产方式定位!$F$3:$J$38,3,FALSE),0)</f>
        <v>-40</v>
      </c>
      <c r="X701" s="18">
        <f>IFERROR(VLOOKUP($D701&amp;$C701,生产方式定位!$A$2:$E$38,5,FALSE)+VLOOKUP($E701&amp;$C701,生产方式定位!$F$3:$J$38,5,FALSE),"错误")</f>
        <v>4150</v>
      </c>
      <c r="Y701" s="27" t="str">
        <f t="shared" si="170"/>
        <v/>
      </c>
      <c r="Z701" s="50" t="str">
        <f t="shared" si="173"/>
        <v/>
      </c>
      <c r="AA701" s="50" t="str">
        <f t="shared" si="171"/>
        <v/>
      </c>
      <c r="AB701" s="28" t="str">
        <f t="shared" si="174"/>
        <v>4%</v>
      </c>
      <c r="AC701" s="1">
        <f t="shared" si="175"/>
        <v>190</v>
      </c>
      <c r="AD701" s="52">
        <f t="shared" si="172"/>
        <v>5</v>
      </c>
      <c r="AE701" t="str">
        <f t="shared" si="176"/>
        <v/>
      </c>
      <c r="AF701" t="str">
        <f t="shared" si="177"/>
        <v/>
      </c>
      <c r="AG701" t="str">
        <f t="shared" si="178"/>
        <v/>
      </c>
      <c r="AH701" t="str">
        <f t="shared" si="179"/>
        <v/>
      </c>
      <c r="AI701" t="str">
        <f t="shared" si="180"/>
        <v/>
      </c>
      <c r="AJ701" t="str">
        <f t="shared" si="181"/>
        <v/>
      </c>
      <c r="AK701" t="str">
        <f t="shared" si="182"/>
        <v/>
      </c>
      <c r="AL701" t="str">
        <f t="shared" si="183"/>
        <v/>
      </c>
      <c r="AN701" t="str">
        <f>IFERROR(ROUND(L701*(G701/$AW701)/VLOOKUP(F701,商品!$A$4:$D$67,4,FALSE),0),"")</f>
        <v/>
      </c>
      <c r="AO701" t="str">
        <f>IFERROR(ROUND(L701*(I701/$AW701)/VLOOKUP(H701,商品!$A$4:$D$67,4,FALSE),0),"")</f>
        <v/>
      </c>
      <c r="AP701" t="str">
        <f>IFERROR(ROUND(L701*(K701/$AW701)/VLOOKUP(J701,商品!$A$4:$D$67,4,FALSE),0),"")</f>
        <v/>
      </c>
      <c r="AQ701" t="str">
        <f>IFERROR(ROUND(S701*(N701/$AX701)/VLOOKUP(M701,职业!$A$3:$E$16,4,FALSE),0),"")</f>
        <v/>
      </c>
      <c r="AR701" t="str">
        <f>IFERROR(ROUND(S701*(P701/$AX701)/VLOOKUP(O701,职业!$A$3:$E$16,4,FALSE),0),"")</f>
        <v/>
      </c>
      <c r="AS701" t="str">
        <f>IFERROR(ROUND(S701*(R701/$AX701)/VLOOKUP(Q701,职业!$A$3:$E$16,4,FALSE),0),"")</f>
        <v/>
      </c>
      <c r="AT701" t="str">
        <f>IFERROR(ROUND(X701*(U701/$AY701)/VLOOKUP(T701,商品!$A$4:$D$67,4,FALSE),0),"")</f>
        <v/>
      </c>
      <c r="AU701" t="str">
        <f>IFERROR(ROUND(X701*(W701/$AY701)/VLOOKUP(V701,商品!$A$4:$D$67,4,FALSE),0),"")</f>
        <v/>
      </c>
      <c r="AW701">
        <f t="shared" si="184"/>
        <v>0</v>
      </c>
      <c r="AX701">
        <f t="shared" si="185"/>
        <v>0</v>
      </c>
      <c r="AY701">
        <f t="shared" si="186"/>
        <v>0</v>
      </c>
    </row>
    <row r="702" customHeight="1" spans="1:51">
      <c r="A702" s="5" t="s">
        <v>415</v>
      </c>
      <c r="C702" s="5">
        <v>1</v>
      </c>
      <c r="D702" s="1" t="s">
        <v>291</v>
      </c>
      <c r="E702" s="1" t="s">
        <v>225</v>
      </c>
      <c r="L702" s="5">
        <f>IFERROR(VLOOKUP($D702&amp;$C702,生产方式定位!$A$2:$E$38,2,FALSE)+VLOOKUP($E702&amp;$C702,生产方式定位!$F$3:$J$38,2,FALSE),0)</f>
        <v>0</v>
      </c>
      <c r="S702" s="5">
        <f>IFERROR(VLOOKUP($D702&amp;$C702,生产方式定位!$A$2:$E$38,3,FALSE)+VLOOKUP($E702&amp;$C702,生产方式定位!$F$3:$J$38,3,FALSE),0)</f>
        <v>100</v>
      </c>
      <c r="X702" s="5">
        <f>IFERROR(VLOOKUP($D702&amp;$C702,生产方式定位!$A$2:$E$38,5,FALSE)+VLOOKUP($E702&amp;$C702,生产方式定位!$F$3:$J$38,5,FALSE),"错误")</f>
        <v>100</v>
      </c>
      <c r="Y702" s="27" t="str">
        <f t="shared" si="170"/>
        <v/>
      </c>
      <c r="Z702" s="50" t="str">
        <f t="shared" si="173"/>
        <v/>
      </c>
      <c r="AA702" s="50" t="str">
        <f t="shared" si="171"/>
        <v/>
      </c>
      <c r="AB702" s="28" t="str">
        <f t="shared" si="174"/>
        <v/>
      </c>
      <c r="AC702" s="1" t="str">
        <f t="shared" si="175"/>
        <v/>
      </c>
      <c r="AD702" s="51">
        <f t="shared" si="172"/>
        <v>1</v>
      </c>
      <c r="AE702" t="str">
        <f t="shared" si="176"/>
        <v/>
      </c>
      <c r="AF702" t="str">
        <f t="shared" si="177"/>
        <v/>
      </c>
      <c r="AG702" t="str">
        <f t="shared" si="178"/>
        <v/>
      </c>
      <c r="AH702" t="str">
        <f t="shared" si="179"/>
        <v/>
      </c>
      <c r="AI702" t="str">
        <f t="shared" si="180"/>
        <v/>
      </c>
      <c r="AJ702" t="str">
        <f t="shared" si="181"/>
        <v/>
      </c>
      <c r="AK702" t="str">
        <f t="shared" si="182"/>
        <v/>
      </c>
      <c r="AL702" t="str">
        <f t="shared" si="183"/>
        <v/>
      </c>
      <c r="AN702" t="str">
        <f>IFERROR(ROUND(L702*(G702/$AW702)/VLOOKUP(F702,商品!$A$4:$D$67,4,FALSE),0),"")</f>
        <v/>
      </c>
      <c r="AO702" t="str">
        <f>IFERROR(ROUND(L702*(I702/$AW702)/VLOOKUP(H702,商品!$A$4:$D$67,4,FALSE),0),"")</f>
        <v/>
      </c>
      <c r="AP702" t="str">
        <f>IFERROR(ROUND(L702*(K702/$AW702)/VLOOKUP(J702,商品!$A$4:$D$67,4,FALSE),0),"")</f>
        <v/>
      </c>
      <c r="AQ702" t="str">
        <f>IFERROR(ROUND(S702*(N702/$AX702)/VLOOKUP(M702,职业!$A$3:$E$16,4,FALSE),0),"")</f>
        <v/>
      </c>
      <c r="AR702" t="str">
        <f>IFERROR(ROUND(S702*(P702/$AX702)/VLOOKUP(O702,职业!$A$3:$E$16,4,FALSE),0),"")</f>
        <v/>
      </c>
      <c r="AS702" t="str">
        <f>IFERROR(ROUND(S702*(R702/$AX702)/VLOOKUP(Q702,职业!$A$3:$E$16,4,FALSE),0),"")</f>
        <v/>
      </c>
      <c r="AT702" t="str">
        <f>IFERROR(ROUND(X702*(U702/$AY702)/VLOOKUP(T702,商品!$A$4:$D$67,4,FALSE),0),"")</f>
        <v/>
      </c>
      <c r="AU702" t="str">
        <f>IFERROR(ROUND(X702*(W702/$AY702)/VLOOKUP(V702,商品!$A$4:$D$67,4,FALSE),0),"")</f>
        <v/>
      </c>
      <c r="AW702">
        <f t="shared" si="184"/>
        <v>0</v>
      </c>
      <c r="AX702">
        <f t="shared" si="185"/>
        <v>0</v>
      </c>
      <c r="AY702">
        <f t="shared" si="186"/>
        <v>0</v>
      </c>
    </row>
    <row r="703" customHeight="1" spans="1:51">
      <c r="A703" s="5" t="s">
        <v>415</v>
      </c>
      <c r="C703" s="5">
        <v>2</v>
      </c>
      <c r="D703" s="1" t="s">
        <v>291</v>
      </c>
      <c r="E703" s="1" t="s">
        <v>225</v>
      </c>
      <c r="L703" s="5">
        <f>IFERROR(VLOOKUP($D703&amp;$C703,生产方式定位!$A$2:$E$38,2,FALSE)+VLOOKUP($E703&amp;$C703,生产方式定位!$F$3:$J$38,2,FALSE),0)</f>
        <v>0</v>
      </c>
      <c r="S703" s="5">
        <f>IFERROR(VLOOKUP($D703&amp;$C703,生产方式定位!$A$2:$E$38,3,FALSE)+VLOOKUP($E703&amp;$C703,生产方式定位!$F$3:$J$38,3,FALSE),0)</f>
        <v>100</v>
      </c>
      <c r="X703" s="5">
        <f>IFERROR(VLOOKUP($D703&amp;$C703,生产方式定位!$A$2:$E$38,5,FALSE)+VLOOKUP($E703&amp;$C703,生产方式定位!$F$3:$J$38,5,FALSE),"错误")</f>
        <v>100</v>
      </c>
      <c r="Y703" s="27" t="str">
        <f t="shared" si="170"/>
        <v/>
      </c>
      <c r="Z703" s="50" t="str">
        <f t="shared" si="173"/>
        <v/>
      </c>
      <c r="AA703" s="50" t="str">
        <f t="shared" si="171"/>
        <v/>
      </c>
      <c r="AB703" s="28" t="str">
        <f t="shared" si="174"/>
        <v/>
      </c>
      <c r="AC703" s="1" t="str">
        <f t="shared" si="175"/>
        <v/>
      </c>
      <c r="AD703" s="51">
        <f t="shared" si="172"/>
        <v>2</v>
      </c>
      <c r="AE703" t="str">
        <f t="shared" si="176"/>
        <v/>
      </c>
      <c r="AF703" t="str">
        <f t="shared" si="177"/>
        <v/>
      </c>
      <c r="AG703" t="str">
        <f t="shared" si="178"/>
        <v/>
      </c>
      <c r="AH703" t="str">
        <f t="shared" si="179"/>
        <v/>
      </c>
      <c r="AI703" t="str">
        <f t="shared" si="180"/>
        <v/>
      </c>
      <c r="AJ703" t="str">
        <f t="shared" si="181"/>
        <v/>
      </c>
      <c r="AK703" t="str">
        <f t="shared" si="182"/>
        <v/>
      </c>
      <c r="AL703" t="str">
        <f t="shared" si="183"/>
        <v/>
      </c>
      <c r="AN703" t="str">
        <f>IFERROR(ROUND(L703*(G703/$AW703)/VLOOKUP(F703,商品!$A$4:$D$67,4,FALSE),0),"")</f>
        <v/>
      </c>
      <c r="AO703" t="str">
        <f>IFERROR(ROUND(L703*(I703/$AW703)/VLOOKUP(H703,商品!$A$4:$D$67,4,FALSE),0),"")</f>
        <v/>
      </c>
      <c r="AP703" t="str">
        <f>IFERROR(ROUND(L703*(K703/$AW703)/VLOOKUP(J703,商品!$A$4:$D$67,4,FALSE),0),"")</f>
        <v/>
      </c>
      <c r="AQ703" t="str">
        <f>IFERROR(ROUND(S703*(N703/$AX703)/VLOOKUP(M703,职业!$A$3:$E$16,4,FALSE),0),"")</f>
        <v/>
      </c>
      <c r="AR703" t="str">
        <f>IFERROR(ROUND(S703*(P703/$AX703)/VLOOKUP(O703,职业!$A$3:$E$16,4,FALSE),0),"")</f>
        <v/>
      </c>
      <c r="AS703" t="str">
        <f>IFERROR(ROUND(S703*(R703/$AX703)/VLOOKUP(Q703,职业!$A$3:$E$16,4,FALSE),0),"")</f>
        <v/>
      </c>
      <c r="AT703" t="str">
        <f>IFERROR(ROUND(X703*(U703/$AY703)/VLOOKUP(T703,商品!$A$4:$D$67,4,FALSE),0),"")</f>
        <v/>
      </c>
      <c r="AU703" t="str">
        <f>IFERROR(ROUND(X703*(W703/$AY703)/VLOOKUP(V703,商品!$A$4:$D$67,4,FALSE),0),"")</f>
        <v/>
      </c>
      <c r="AW703">
        <f t="shared" si="184"/>
        <v>0</v>
      </c>
      <c r="AX703">
        <f t="shared" si="185"/>
        <v>0</v>
      </c>
      <c r="AY703">
        <f t="shared" si="186"/>
        <v>0</v>
      </c>
    </row>
    <row r="704" customHeight="1" spans="1:51">
      <c r="A704" s="5" t="s">
        <v>415</v>
      </c>
      <c r="C704" s="5">
        <v>3</v>
      </c>
      <c r="D704" s="1" t="s">
        <v>291</v>
      </c>
      <c r="E704" s="1" t="s">
        <v>225</v>
      </c>
      <c r="L704" s="5">
        <f>IFERROR(VLOOKUP($D704&amp;$C704,生产方式定位!$A$2:$E$38,2,FALSE)+VLOOKUP($E704&amp;$C704,生产方式定位!$F$3:$J$38,2,FALSE),0)</f>
        <v>0</v>
      </c>
      <c r="S704" s="5">
        <f>IFERROR(VLOOKUP($D704&amp;$C704,生产方式定位!$A$2:$E$38,3,FALSE)+VLOOKUP($E704&amp;$C704,生产方式定位!$F$3:$J$38,3,FALSE),0)</f>
        <v>100</v>
      </c>
      <c r="X704" s="5">
        <f>IFERROR(VLOOKUP($D704&amp;$C704,生产方式定位!$A$2:$E$38,5,FALSE)+VLOOKUP($E704&amp;$C704,生产方式定位!$F$3:$J$38,5,FALSE),"错误")</f>
        <v>100</v>
      </c>
      <c r="Y704" s="27" t="str">
        <f t="shared" si="170"/>
        <v/>
      </c>
      <c r="Z704" s="50" t="str">
        <f t="shared" si="173"/>
        <v/>
      </c>
      <c r="AA704" s="50" t="str">
        <f t="shared" si="171"/>
        <v/>
      </c>
      <c r="AB704" s="28" t="str">
        <f t="shared" si="174"/>
        <v/>
      </c>
      <c r="AC704" s="1" t="str">
        <f t="shared" si="175"/>
        <v/>
      </c>
      <c r="AD704" s="51">
        <f t="shared" si="172"/>
        <v>3</v>
      </c>
      <c r="AE704" t="str">
        <f t="shared" si="176"/>
        <v/>
      </c>
      <c r="AF704" t="str">
        <f t="shared" si="177"/>
        <v/>
      </c>
      <c r="AG704" t="str">
        <f t="shared" si="178"/>
        <v/>
      </c>
      <c r="AH704" t="str">
        <f t="shared" si="179"/>
        <v/>
      </c>
      <c r="AI704" t="str">
        <f t="shared" si="180"/>
        <v/>
      </c>
      <c r="AJ704" t="str">
        <f t="shared" si="181"/>
        <v/>
      </c>
      <c r="AK704" t="str">
        <f t="shared" si="182"/>
        <v/>
      </c>
      <c r="AL704" t="str">
        <f t="shared" si="183"/>
        <v/>
      </c>
      <c r="AN704" t="str">
        <f>IFERROR(ROUND(L704*(G704/$AW704)/VLOOKUP(F704,商品!$A$4:$D$67,4,FALSE),0),"")</f>
        <v/>
      </c>
      <c r="AO704" t="str">
        <f>IFERROR(ROUND(L704*(I704/$AW704)/VLOOKUP(H704,商品!$A$4:$D$67,4,FALSE),0),"")</f>
        <v/>
      </c>
      <c r="AP704" t="str">
        <f>IFERROR(ROUND(L704*(K704/$AW704)/VLOOKUP(J704,商品!$A$4:$D$67,4,FALSE),0),"")</f>
        <v/>
      </c>
      <c r="AQ704" t="str">
        <f>IFERROR(ROUND(S704*(N704/$AX704)/VLOOKUP(M704,职业!$A$3:$E$16,4,FALSE),0),"")</f>
        <v/>
      </c>
      <c r="AR704" t="str">
        <f>IFERROR(ROUND(S704*(P704/$AX704)/VLOOKUP(O704,职业!$A$3:$E$16,4,FALSE),0),"")</f>
        <v/>
      </c>
      <c r="AS704" t="str">
        <f>IFERROR(ROUND(S704*(R704/$AX704)/VLOOKUP(Q704,职业!$A$3:$E$16,4,FALSE),0),"")</f>
        <v/>
      </c>
      <c r="AT704" t="str">
        <f>IFERROR(ROUND(X704*(U704/$AY704)/VLOOKUP(T704,商品!$A$4:$D$67,4,FALSE),0),"")</f>
        <v/>
      </c>
      <c r="AU704" t="str">
        <f>IFERROR(ROUND(X704*(W704/$AY704)/VLOOKUP(V704,商品!$A$4:$D$67,4,FALSE),0),"")</f>
        <v/>
      </c>
      <c r="AW704">
        <f t="shared" si="184"/>
        <v>0</v>
      </c>
      <c r="AX704">
        <f t="shared" si="185"/>
        <v>0</v>
      </c>
      <c r="AY704">
        <f t="shared" si="186"/>
        <v>0</v>
      </c>
    </row>
    <row r="705" customHeight="1" spans="1:51">
      <c r="A705" s="5" t="s">
        <v>415</v>
      </c>
      <c r="C705" s="5">
        <v>4</v>
      </c>
      <c r="D705" s="1" t="s">
        <v>291</v>
      </c>
      <c r="E705" s="1" t="s">
        <v>225</v>
      </c>
      <c r="L705" s="5">
        <f>IFERROR(VLOOKUP($D705&amp;$C705,生产方式定位!$A$2:$E$38,2,FALSE)+VLOOKUP($E705&amp;$C705,生产方式定位!$F$3:$J$38,2,FALSE),0)</f>
        <v>0</v>
      </c>
      <c r="S705" s="5">
        <f>IFERROR(VLOOKUP($D705&amp;$C705,生产方式定位!$A$2:$E$38,3,FALSE)+VLOOKUP($E705&amp;$C705,生产方式定位!$F$3:$J$38,3,FALSE),0)</f>
        <v>100</v>
      </c>
      <c r="X705" s="5">
        <f>IFERROR(VLOOKUP($D705&amp;$C705,生产方式定位!$A$2:$E$38,5,FALSE)+VLOOKUP($E705&amp;$C705,生产方式定位!$F$3:$J$38,5,FALSE),"错误")</f>
        <v>100</v>
      </c>
      <c r="Y705" s="27" t="str">
        <f t="shared" si="170"/>
        <v/>
      </c>
      <c r="Z705" s="50" t="str">
        <f t="shared" si="173"/>
        <v/>
      </c>
      <c r="AA705" s="50" t="str">
        <f t="shared" si="171"/>
        <v/>
      </c>
      <c r="AB705" s="28" t="str">
        <f t="shared" si="174"/>
        <v/>
      </c>
      <c r="AC705" s="1" t="str">
        <f t="shared" si="175"/>
        <v/>
      </c>
      <c r="AD705" s="51">
        <f t="shared" si="172"/>
        <v>4</v>
      </c>
      <c r="AE705" t="str">
        <f t="shared" si="176"/>
        <v/>
      </c>
      <c r="AF705" t="str">
        <f t="shared" si="177"/>
        <v/>
      </c>
      <c r="AG705" t="str">
        <f t="shared" si="178"/>
        <v/>
      </c>
      <c r="AH705" t="str">
        <f t="shared" si="179"/>
        <v/>
      </c>
      <c r="AI705" t="str">
        <f t="shared" si="180"/>
        <v/>
      </c>
      <c r="AJ705" t="str">
        <f t="shared" si="181"/>
        <v/>
      </c>
      <c r="AK705" t="str">
        <f t="shared" si="182"/>
        <v/>
      </c>
      <c r="AL705" t="str">
        <f t="shared" si="183"/>
        <v/>
      </c>
      <c r="AN705" t="str">
        <f>IFERROR(ROUND(L705*(G705/$AW705)/VLOOKUP(F705,商品!$A$4:$D$67,4,FALSE),0),"")</f>
        <v/>
      </c>
      <c r="AO705" t="str">
        <f>IFERROR(ROUND(L705*(I705/$AW705)/VLOOKUP(H705,商品!$A$4:$D$67,4,FALSE),0),"")</f>
        <v/>
      </c>
      <c r="AP705" t="str">
        <f>IFERROR(ROUND(L705*(K705/$AW705)/VLOOKUP(J705,商品!$A$4:$D$67,4,FALSE),0),"")</f>
        <v/>
      </c>
      <c r="AQ705" t="str">
        <f>IFERROR(ROUND(S705*(N705/$AX705)/VLOOKUP(M705,职业!$A$3:$E$16,4,FALSE),0),"")</f>
        <v/>
      </c>
      <c r="AR705" t="str">
        <f>IFERROR(ROUND(S705*(P705/$AX705)/VLOOKUP(O705,职业!$A$3:$E$16,4,FALSE),0),"")</f>
        <v/>
      </c>
      <c r="AS705" t="str">
        <f>IFERROR(ROUND(S705*(R705/$AX705)/VLOOKUP(Q705,职业!$A$3:$E$16,4,FALSE),0),"")</f>
        <v/>
      </c>
      <c r="AT705" t="str">
        <f>IFERROR(ROUND(X705*(U705/$AY705)/VLOOKUP(T705,商品!$A$4:$D$67,4,FALSE),0),"")</f>
        <v/>
      </c>
      <c r="AU705" t="str">
        <f>IFERROR(ROUND(X705*(W705/$AY705)/VLOOKUP(V705,商品!$A$4:$D$67,4,FALSE),0),"")</f>
        <v/>
      </c>
      <c r="AW705">
        <f t="shared" si="184"/>
        <v>0</v>
      </c>
      <c r="AX705">
        <f t="shared" si="185"/>
        <v>0</v>
      </c>
      <c r="AY705">
        <f t="shared" si="186"/>
        <v>0</v>
      </c>
    </row>
    <row r="706" customHeight="1" spans="1:51">
      <c r="A706" s="5" t="s">
        <v>415</v>
      </c>
      <c r="C706" s="5">
        <v>5</v>
      </c>
      <c r="D706" s="1" t="s">
        <v>291</v>
      </c>
      <c r="E706" s="1" t="s">
        <v>225</v>
      </c>
      <c r="L706" s="5">
        <f>IFERROR(VLOOKUP($D706&amp;$C706,生产方式定位!$A$2:$E$38,2,FALSE)+VLOOKUP($E706&amp;$C706,生产方式定位!$F$3:$J$38,2,FALSE),0)</f>
        <v>0</v>
      </c>
      <c r="S706" s="5">
        <f>IFERROR(VLOOKUP($D706&amp;$C706,生产方式定位!$A$2:$E$38,3,FALSE)+VLOOKUP($E706&amp;$C706,生产方式定位!$F$3:$J$38,3,FALSE),0)</f>
        <v>100</v>
      </c>
      <c r="X706" s="5">
        <f>IFERROR(VLOOKUP($D706&amp;$C706,生产方式定位!$A$2:$E$38,5,FALSE)+VLOOKUP($E706&amp;$C706,生产方式定位!$F$3:$J$38,5,FALSE),"错误")</f>
        <v>100</v>
      </c>
      <c r="Y706" s="27" t="str">
        <f t="shared" si="170"/>
        <v/>
      </c>
      <c r="Z706" s="50" t="str">
        <f t="shared" si="173"/>
        <v/>
      </c>
      <c r="AA706" s="50" t="str">
        <f t="shared" si="171"/>
        <v/>
      </c>
      <c r="AB706" s="28" t="str">
        <f t="shared" si="174"/>
        <v/>
      </c>
      <c r="AC706" s="1" t="str">
        <f t="shared" si="175"/>
        <v/>
      </c>
      <c r="AD706" s="51">
        <f t="shared" si="172"/>
        <v>5</v>
      </c>
      <c r="AE706" t="str">
        <f t="shared" si="176"/>
        <v/>
      </c>
      <c r="AF706" t="str">
        <f t="shared" si="177"/>
        <v/>
      </c>
      <c r="AG706" t="str">
        <f t="shared" si="178"/>
        <v/>
      </c>
      <c r="AH706" t="str">
        <f t="shared" si="179"/>
        <v/>
      </c>
      <c r="AI706" t="str">
        <f t="shared" si="180"/>
        <v/>
      </c>
      <c r="AJ706" t="str">
        <f t="shared" si="181"/>
        <v/>
      </c>
      <c r="AK706" t="str">
        <f t="shared" si="182"/>
        <v/>
      </c>
      <c r="AL706" t="str">
        <f t="shared" si="183"/>
        <v/>
      </c>
      <c r="AN706" t="str">
        <f>IFERROR(ROUND(L706*(G706/$AW706)/VLOOKUP(F706,商品!$A$4:$D$67,4,FALSE),0),"")</f>
        <v/>
      </c>
      <c r="AO706" t="str">
        <f>IFERROR(ROUND(L706*(I706/$AW706)/VLOOKUP(H706,商品!$A$4:$D$67,4,FALSE),0),"")</f>
        <v/>
      </c>
      <c r="AP706" t="str">
        <f>IFERROR(ROUND(L706*(K706/$AW706)/VLOOKUP(J706,商品!$A$4:$D$67,4,FALSE),0),"")</f>
        <v/>
      </c>
      <c r="AQ706" t="str">
        <f>IFERROR(ROUND(S706*(N706/$AX706)/VLOOKUP(M706,职业!$A$3:$E$16,4,FALSE),0),"")</f>
        <v/>
      </c>
      <c r="AR706" t="str">
        <f>IFERROR(ROUND(S706*(P706/$AX706)/VLOOKUP(O706,职业!$A$3:$E$16,4,FALSE),0),"")</f>
        <v/>
      </c>
      <c r="AS706" t="str">
        <f>IFERROR(ROUND(S706*(R706/$AX706)/VLOOKUP(Q706,职业!$A$3:$E$16,4,FALSE),0),"")</f>
        <v/>
      </c>
      <c r="AT706" t="str">
        <f>IFERROR(ROUND(X706*(U706/$AY706)/VLOOKUP(T706,商品!$A$4:$D$67,4,FALSE),0),"")</f>
        <v/>
      </c>
      <c r="AU706" t="str">
        <f>IFERROR(ROUND(X706*(W706/$AY706)/VLOOKUP(V706,商品!$A$4:$D$67,4,FALSE),0),"")</f>
        <v/>
      </c>
      <c r="AW706">
        <f t="shared" si="184"/>
        <v>0</v>
      </c>
      <c r="AX706">
        <f t="shared" si="185"/>
        <v>0</v>
      </c>
      <c r="AY706">
        <f t="shared" si="186"/>
        <v>0</v>
      </c>
    </row>
    <row r="707" customHeight="1" spans="1:51">
      <c r="A707" s="5" t="s">
        <v>415</v>
      </c>
      <c r="C707" s="5">
        <v>6</v>
      </c>
      <c r="D707" s="1" t="s">
        <v>291</v>
      </c>
      <c r="E707" s="1" t="s">
        <v>225</v>
      </c>
      <c r="L707" s="5">
        <f>IFERROR(VLOOKUP($D707&amp;$C707,生产方式定位!$A$2:$E$38,2,FALSE)+VLOOKUP($E707&amp;$C707,生产方式定位!$F$3:$J$38,2,FALSE),0)</f>
        <v>0</v>
      </c>
      <c r="S707" s="5">
        <f>IFERROR(VLOOKUP($D707&amp;$C707,生产方式定位!$A$2:$E$38,3,FALSE)+VLOOKUP($E707&amp;$C707,生产方式定位!$F$3:$J$38,3,FALSE),0)</f>
        <v>100</v>
      </c>
      <c r="X707" s="5">
        <f>IFERROR(VLOOKUP($D707&amp;$C707,生产方式定位!$A$2:$E$38,5,FALSE)+VLOOKUP($E707&amp;$C707,生产方式定位!$F$3:$J$38,5,FALSE),"错误")</f>
        <v>100</v>
      </c>
      <c r="Y707" s="27" t="str">
        <f t="shared" si="170"/>
        <v/>
      </c>
      <c r="Z707" s="50" t="str">
        <f t="shared" si="173"/>
        <v/>
      </c>
      <c r="AA707" s="50" t="str">
        <f t="shared" si="171"/>
        <v/>
      </c>
      <c r="AB707" s="28" t="str">
        <f t="shared" si="174"/>
        <v/>
      </c>
      <c r="AC707" s="1" t="str">
        <f t="shared" si="175"/>
        <v/>
      </c>
      <c r="AD707" s="51">
        <f t="shared" si="172"/>
        <v>6</v>
      </c>
      <c r="AE707" t="str">
        <f t="shared" si="176"/>
        <v/>
      </c>
      <c r="AF707" t="str">
        <f t="shared" si="177"/>
        <v/>
      </c>
      <c r="AG707" t="str">
        <f t="shared" si="178"/>
        <v/>
      </c>
      <c r="AH707" t="str">
        <f t="shared" si="179"/>
        <v/>
      </c>
      <c r="AI707" t="str">
        <f t="shared" si="180"/>
        <v/>
      </c>
      <c r="AJ707" t="str">
        <f t="shared" si="181"/>
        <v/>
      </c>
      <c r="AK707" t="str">
        <f t="shared" si="182"/>
        <v/>
      </c>
      <c r="AL707" t="str">
        <f t="shared" si="183"/>
        <v/>
      </c>
      <c r="AN707" t="str">
        <f>IFERROR(ROUND(L707*(G707/$AW707)/VLOOKUP(F707,商品!$A$4:$D$67,4,FALSE),0),"")</f>
        <v/>
      </c>
      <c r="AO707" t="str">
        <f>IFERROR(ROUND(L707*(I707/$AW707)/VLOOKUP(H707,商品!$A$4:$D$67,4,FALSE),0),"")</f>
        <v/>
      </c>
      <c r="AP707" t="str">
        <f>IFERROR(ROUND(L707*(K707/$AW707)/VLOOKUP(J707,商品!$A$4:$D$67,4,FALSE),0),"")</f>
        <v/>
      </c>
      <c r="AQ707" t="str">
        <f>IFERROR(ROUND(S707*(N707/$AX707)/VLOOKUP(M707,职业!$A$3:$E$16,4,FALSE),0),"")</f>
        <v/>
      </c>
      <c r="AR707" t="str">
        <f>IFERROR(ROUND(S707*(P707/$AX707)/VLOOKUP(O707,职业!$A$3:$E$16,4,FALSE),0),"")</f>
        <v/>
      </c>
      <c r="AS707" t="str">
        <f>IFERROR(ROUND(S707*(R707/$AX707)/VLOOKUP(Q707,职业!$A$3:$E$16,4,FALSE),0),"")</f>
        <v/>
      </c>
      <c r="AT707" t="str">
        <f>IFERROR(ROUND(X707*(U707/$AY707)/VLOOKUP(T707,商品!$A$4:$D$67,4,FALSE),0),"")</f>
        <v/>
      </c>
      <c r="AU707" t="str">
        <f>IFERROR(ROUND(X707*(W707/$AY707)/VLOOKUP(V707,商品!$A$4:$D$67,4,FALSE),0),"")</f>
        <v/>
      </c>
      <c r="AW707">
        <f t="shared" si="184"/>
        <v>0</v>
      </c>
      <c r="AX707">
        <f t="shared" si="185"/>
        <v>0</v>
      </c>
      <c r="AY707">
        <f t="shared" si="186"/>
        <v>0</v>
      </c>
    </row>
    <row r="708" customHeight="1" spans="1:51">
      <c r="A708" s="5" t="s">
        <v>415</v>
      </c>
      <c r="C708" s="5">
        <v>7</v>
      </c>
      <c r="D708" s="1" t="s">
        <v>291</v>
      </c>
      <c r="E708" s="1" t="s">
        <v>225</v>
      </c>
      <c r="L708" s="5">
        <f>IFERROR(VLOOKUP($D708&amp;$C708,生产方式定位!$A$2:$E$38,2,FALSE)+VLOOKUP($E708&amp;$C708,生产方式定位!$F$3:$J$38,2,FALSE),0)</f>
        <v>0</v>
      </c>
      <c r="S708" s="5">
        <f>IFERROR(VLOOKUP($D708&amp;$C708,生产方式定位!$A$2:$E$38,3,FALSE)+VLOOKUP($E708&amp;$C708,生产方式定位!$F$3:$J$38,3,FALSE),0)</f>
        <v>100</v>
      </c>
      <c r="X708" s="5">
        <f>IFERROR(VLOOKUP($D708&amp;$C708,生产方式定位!$A$2:$E$38,5,FALSE)+VLOOKUP($E708&amp;$C708,生产方式定位!$F$3:$J$38,5,FALSE),"错误")</f>
        <v>100</v>
      </c>
      <c r="Y708" s="27" t="str">
        <f t="shared" si="170"/>
        <v/>
      </c>
      <c r="Z708" s="50" t="str">
        <f t="shared" si="173"/>
        <v/>
      </c>
      <c r="AA708" s="50" t="str">
        <f t="shared" si="171"/>
        <v/>
      </c>
      <c r="AB708" s="28" t="str">
        <f t="shared" si="174"/>
        <v/>
      </c>
      <c r="AC708" s="1" t="str">
        <f t="shared" si="175"/>
        <v/>
      </c>
      <c r="AD708" s="51">
        <f t="shared" si="172"/>
        <v>7</v>
      </c>
      <c r="AE708" t="str">
        <f t="shared" si="176"/>
        <v/>
      </c>
      <c r="AF708" t="str">
        <f t="shared" si="177"/>
        <v/>
      </c>
      <c r="AG708" t="str">
        <f t="shared" si="178"/>
        <v/>
      </c>
      <c r="AH708" t="str">
        <f t="shared" si="179"/>
        <v/>
      </c>
      <c r="AI708" t="str">
        <f t="shared" si="180"/>
        <v/>
      </c>
      <c r="AJ708" t="str">
        <f t="shared" si="181"/>
        <v/>
      </c>
      <c r="AK708" t="str">
        <f t="shared" si="182"/>
        <v/>
      </c>
      <c r="AL708" t="str">
        <f t="shared" si="183"/>
        <v/>
      </c>
      <c r="AN708" t="str">
        <f>IFERROR(ROUND(L708*(G708/$AW708)/VLOOKUP(F708,商品!$A$4:$D$67,4,FALSE),0),"")</f>
        <v/>
      </c>
      <c r="AO708" t="str">
        <f>IFERROR(ROUND(L708*(I708/$AW708)/VLOOKUP(H708,商品!$A$4:$D$67,4,FALSE),0),"")</f>
        <v/>
      </c>
      <c r="AP708" t="str">
        <f>IFERROR(ROUND(L708*(K708/$AW708)/VLOOKUP(J708,商品!$A$4:$D$67,4,FALSE),0),"")</f>
        <v/>
      </c>
      <c r="AQ708" t="str">
        <f>IFERROR(ROUND(S708*(N708/$AX708)/VLOOKUP(M708,职业!$A$3:$E$16,4,FALSE),0),"")</f>
        <v/>
      </c>
      <c r="AR708" t="str">
        <f>IFERROR(ROUND(S708*(P708/$AX708)/VLOOKUP(O708,职业!$A$3:$E$16,4,FALSE),0),"")</f>
        <v/>
      </c>
      <c r="AS708" t="str">
        <f>IFERROR(ROUND(S708*(R708/$AX708)/VLOOKUP(Q708,职业!$A$3:$E$16,4,FALSE),0),"")</f>
        <v/>
      </c>
      <c r="AT708" t="str">
        <f>IFERROR(ROUND(X708*(U708/$AY708)/VLOOKUP(T708,商品!$A$4:$D$67,4,FALSE),0),"")</f>
        <v/>
      </c>
      <c r="AU708" t="str">
        <f>IFERROR(ROUND(X708*(W708/$AY708)/VLOOKUP(V708,商品!$A$4:$D$67,4,FALSE),0),"")</f>
        <v/>
      </c>
      <c r="AW708">
        <f t="shared" si="184"/>
        <v>0</v>
      </c>
      <c r="AX708">
        <f t="shared" si="185"/>
        <v>0</v>
      </c>
      <c r="AY708">
        <f t="shared" si="186"/>
        <v>0</v>
      </c>
    </row>
    <row r="709" customHeight="1" spans="1:51">
      <c r="A709" s="5" t="s">
        <v>415</v>
      </c>
      <c r="C709" s="5">
        <v>8</v>
      </c>
      <c r="D709" s="1" t="s">
        <v>291</v>
      </c>
      <c r="E709" s="1" t="s">
        <v>225</v>
      </c>
      <c r="L709" s="5">
        <f>IFERROR(VLOOKUP($D709&amp;$C709,生产方式定位!$A$2:$E$38,2,FALSE)+VLOOKUP($E709&amp;$C709,生产方式定位!$F$3:$J$38,2,FALSE),0)</f>
        <v>0</v>
      </c>
      <c r="S709" s="5">
        <f>IFERROR(VLOOKUP($D709&amp;$C709,生产方式定位!$A$2:$E$38,3,FALSE)+VLOOKUP($E709&amp;$C709,生产方式定位!$F$3:$J$38,3,FALSE),0)</f>
        <v>100</v>
      </c>
      <c r="X709" s="5">
        <f>IFERROR(VLOOKUP($D709&amp;$C709,生产方式定位!$A$2:$E$38,5,FALSE)+VLOOKUP($E709&amp;$C709,生产方式定位!$F$3:$J$38,5,FALSE),"错误")</f>
        <v>100</v>
      </c>
      <c r="Y709" s="27" t="str">
        <f t="shared" ref="Y709:Y772" si="187">IF(AE709="","",AE709)&amp;IF(AF709="","",","&amp;AF709)&amp;IF(AG709="","",","&amp;AG709)</f>
        <v/>
      </c>
      <c r="Z709" s="50" t="str">
        <f t="shared" si="173"/>
        <v/>
      </c>
      <c r="AA709" s="50" t="str">
        <f t="shared" ref="AA709:AA772" si="188">IF(AK709="","",AK709)&amp;IF(AL709="","",","&amp;AL709)</f>
        <v/>
      </c>
      <c r="AB709" s="28" t="str">
        <f t="shared" si="174"/>
        <v/>
      </c>
      <c r="AC709" s="1" t="str">
        <f t="shared" si="175"/>
        <v/>
      </c>
      <c r="AD709" s="51">
        <f t="shared" ref="AD709:AD772" si="189">C709</f>
        <v>8</v>
      </c>
      <c r="AE709" t="str">
        <f t="shared" si="176"/>
        <v/>
      </c>
      <c r="AF709" t="str">
        <f t="shared" si="177"/>
        <v/>
      </c>
      <c r="AG709" t="str">
        <f t="shared" si="178"/>
        <v/>
      </c>
      <c r="AH709" t="str">
        <f t="shared" si="179"/>
        <v/>
      </c>
      <c r="AI709" t="str">
        <f t="shared" si="180"/>
        <v/>
      </c>
      <c r="AJ709" t="str">
        <f t="shared" si="181"/>
        <v/>
      </c>
      <c r="AK709" t="str">
        <f t="shared" si="182"/>
        <v/>
      </c>
      <c r="AL709" t="str">
        <f t="shared" si="183"/>
        <v/>
      </c>
      <c r="AN709" t="str">
        <f>IFERROR(ROUND(L709*(G709/$AW709)/VLOOKUP(F709,商品!$A$4:$D$67,4,FALSE),0),"")</f>
        <v/>
      </c>
      <c r="AO709" t="str">
        <f>IFERROR(ROUND(L709*(I709/$AW709)/VLOOKUP(H709,商品!$A$4:$D$67,4,FALSE),0),"")</f>
        <v/>
      </c>
      <c r="AP709" t="str">
        <f>IFERROR(ROUND(L709*(K709/$AW709)/VLOOKUP(J709,商品!$A$4:$D$67,4,FALSE),0),"")</f>
        <v/>
      </c>
      <c r="AQ709" t="str">
        <f>IFERROR(ROUND(S709*(N709/$AX709)/VLOOKUP(M709,职业!$A$3:$E$16,4,FALSE),0),"")</f>
        <v/>
      </c>
      <c r="AR709" t="str">
        <f>IFERROR(ROUND(S709*(P709/$AX709)/VLOOKUP(O709,职业!$A$3:$E$16,4,FALSE),0),"")</f>
        <v/>
      </c>
      <c r="AS709" t="str">
        <f>IFERROR(ROUND(S709*(R709/$AX709)/VLOOKUP(Q709,职业!$A$3:$E$16,4,FALSE),0),"")</f>
        <v/>
      </c>
      <c r="AT709" t="str">
        <f>IFERROR(ROUND(X709*(U709/$AY709)/VLOOKUP(T709,商品!$A$4:$D$67,4,FALSE),0),"")</f>
        <v/>
      </c>
      <c r="AU709" t="str">
        <f>IFERROR(ROUND(X709*(W709/$AY709)/VLOOKUP(V709,商品!$A$4:$D$67,4,FALSE),0),"")</f>
        <v/>
      </c>
      <c r="AW709">
        <f t="shared" si="184"/>
        <v>0</v>
      </c>
      <c r="AX709">
        <f t="shared" si="185"/>
        <v>0</v>
      </c>
      <c r="AY709">
        <f t="shared" si="186"/>
        <v>0</v>
      </c>
    </row>
    <row r="710" customHeight="1" spans="1:51">
      <c r="A710" s="18" t="s">
        <v>417</v>
      </c>
      <c r="C710" s="18">
        <v>1</v>
      </c>
      <c r="D710" s="1" t="s">
        <v>260</v>
      </c>
      <c r="E710" s="1" t="s">
        <v>222</v>
      </c>
      <c r="L710" s="18">
        <f>IFERROR(VLOOKUP($D710&amp;$C710,生产方式定位!$A$2:$E$38,2,FALSE)+VLOOKUP($E710&amp;$C710,生产方式定位!$F$3:$J$38,2,FALSE),0)</f>
        <v>0</v>
      </c>
      <c r="S710" s="18">
        <f>IFERROR(VLOOKUP($D710&amp;$C710,生产方式定位!$A$2:$E$38,3,FALSE)+VLOOKUP($E710&amp;$C710,生产方式定位!$F$3:$J$38,3,FALSE),0)</f>
        <v>70</v>
      </c>
      <c r="X710" s="18">
        <f>IFERROR(VLOOKUP($D710&amp;$C710,生产方式定位!$A$2:$E$38,5,FALSE)+VLOOKUP($E710&amp;$C710,生产方式定位!$F$3:$J$38,5,FALSE),"错误")</f>
        <v>350</v>
      </c>
      <c r="Y710" s="27" t="str">
        <f t="shared" si="187"/>
        <v/>
      </c>
      <c r="Z710" s="50" t="str">
        <f t="shared" ref="Z710:Z773" si="190">IF(AH710="","",AH710)&amp;IF(AI710="","",","&amp;AI710)&amp;IF(AJ710="","",","&amp;AJ710)</f>
        <v/>
      </c>
      <c r="AA710" s="50" t="str">
        <f t="shared" si="188"/>
        <v/>
      </c>
      <c r="AB710" s="28" t="str">
        <f t="shared" ref="AB710:AB773" si="191">IFERROR(ROUND(((X710/L710)-1)*100,0)&amp;"%","")</f>
        <v/>
      </c>
      <c r="AC710" s="1">
        <f t="shared" ref="AC710:AC773" si="192">IF(X710-S710-L710=0,"",X710-S710-L710)</f>
        <v>280</v>
      </c>
      <c r="AD710" s="52">
        <f t="shared" si="189"/>
        <v>1</v>
      </c>
      <c r="AE710" t="str">
        <f t="shared" ref="AE710:AE773" si="193">IF(AN710="","",F710&amp;"*"&amp;AN710)</f>
        <v/>
      </c>
      <c r="AF710" t="str">
        <f t="shared" ref="AF710:AF773" si="194">IF(AO710="","",H710&amp;"*"&amp;AO710)</f>
        <v/>
      </c>
      <c r="AG710" t="str">
        <f t="shared" ref="AG710:AG773" si="195">IF(AP710="","",J710&amp;"*"&amp;AP710)</f>
        <v/>
      </c>
      <c r="AH710" t="str">
        <f t="shared" ref="AH710:AH773" si="196">IF(AQ710="","",M710&amp;"*"&amp;AQ710)</f>
        <v/>
      </c>
      <c r="AI710" t="str">
        <f t="shared" ref="AI710:AI773" si="197">IF(AR710="","",O710&amp;"*"&amp;AR710)</f>
        <v/>
      </c>
      <c r="AJ710" t="str">
        <f t="shared" ref="AJ710:AJ773" si="198">IF(AS710="","",Q710&amp;"*"&amp;AS710)</f>
        <v/>
      </c>
      <c r="AK710" t="str">
        <f t="shared" ref="AK710:AK773" si="199">IF(AT710="","",T710&amp;"*"&amp;AT710)</f>
        <v/>
      </c>
      <c r="AL710" t="str">
        <f t="shared" ref="AL710:AL773" si="200">IF(AU710="","",V710&amp;"*"&amp;AU710)</f>
        <v/>
      </c>
      <c r="AN710" t="str">
        <f>IFERROR(ROUND(L710*(G710/$AW710)/VLOOKUP(F710,商品!$A$4:$D$67,4,FALSE),0),"")</f>
        <v/>
      </c>
      <c r="AO710" t="str">
        <f>IFERROR(ROUND(L710*(I710/$AW710)/VLOOKUP(H710,商品!$A$4:$D$67,4,FALSE),0),"")</f>
        <v/>
      </c>
      <c r="AP710" t="str">
        <f>IFERROR(ROUND(L710*(K710/$AW710)/VLOOKUP(J710,商品!$A$4:$D$67,4,FALSE),0),"")</f>
        <v/>
      </c>
      <c r="AQ710" t="str">
        <f>IFERROR(ROUND(S710*(N710/$AX710)/VLOOKUP(M710,职业!$A$3:$E$16,4,FALSE),0),"")</f>
        <v/>
      </c>
      <c r="AR710" t="str">
        <f>IFERROR(ROUND(S710*(P710/$AX710)/VLOOKUP(O710,职业!$A$3:$E$16,4,FALSE),0),"")</f>
        <v/>
      </c>
      <c r="AS710" t="str">
        <f>IFERROR(ROUND(S710*(R710/$AX710)/VLOOKUP(Q710,职业!$A$3:$E$16,4,FALSE),0),"")</f>
        <v/>
      </c>
      <c r="AT710" t="str">
        <f>IFERROR(ROUND(X710*(U710/$AY710)/VLOOKUP(T710,商品!$A$4:$D$67,4,FALSE),0),"")</f>
        <v/>
      </c>
      <c r="AU710" t="str">
        <f>IFERROR(ROUND(X710*(W710/$AY710)/VLOOKUP(V710,商品!$A$4:$D$67,4,FALSE),0),"")</f>
        <v/>
      </c>
      <c r="AW710">
        <f t="shared" ref="AW710:AW773" si="201">G710+I710+K710</f>
        <v>0</v>
      </c>
      <c r="AX710">
        <f t="shared" ref="AX710:AX773" si="202">ABS(N710)+ABS(P710)+ABS(R710)</f>
        <v>0</v>
      </c>
      <c r="AY710">
        <f t="shared" ref="AY710:AY773" si="203">U710+W710</f>
        <v>0</v>
      </c>
    </row>
    <row r="711" customHeight="1" spans="1:51">
      <c r="A711" s="18" t="s">
        <v>417</v>
      </c>
      <c r="C711" s="18">
        <v>2</v>
      </c>
      <c r="D711" s="1" t="s">
        <v>260</v>
      </c>
      <c r="E711" s="1" t="s">
        <v>222</v>
      </c>
      <c r="L711" s="18">
        <f>IFERROR(VLOOKUP($D711&amp;$C711,生产方式定位!$A$2:$E$38,2,FALSE)+VLOOKUP($E711&amp;$C711,生产方式定位!$F$3:$J$38,2,FALSE),0)</f>
        <v>1000</v>
      </c>
      <c r="S711" s="18">
        <f>IFERROR(VLOOKUP($D711&amp;$C711,生产方式定位!$A$2:$E$38,3,FALSE)+VLOOKUP($E711&amp;$C711,生产方式定位!$F$3:$J$38,3,FALSE),0)</f>
        <v>90</v>
      </c>
      <c r="X711" s="18">
        <f>IFERROR(VLOOKUP($D711&amp;$C711,生产方式定位!$A$2:$E$38,5,FALSE)+VLOOKUP($E711&amp;$C711,生产方式定位!$F$3:$J$38,5,FALSE),"错误")</f>
        <v>1140</v>
      </c>
      <c r="Y711" s="27" t="str">
        <f t="shared" si="187"/>
        <v/>
      </c>
      <c r="Z711" s="50" t="str">
        <f t="shared" si="190"/>
        <v/>
      </c>
      <c r="AA711" s="50" t="str">
        <f t="shared" si="188"/>
        <v/>
      </c>
      <c r="AB711" s="28" t="str">
        <f t="shared" si="191"/>
        <v>14%</v>
      </c>
      <c r="AC711" s="1">
        <f t="shared" si="192"/>
        <v>50</v>
      </c>
      <c r="AD711" s="52">
        <f t="shared" si="189"/>
        <v>2</v>
      </c>
      <c r="AE711" t="str">
        <f t="shared" si="193"/>
        <v/>
      </c>
      <c r="AF711" t="str">
        <f t="shared" si="194"/>
        <v/>
      </c>
      <c r="AG711" t="str">
        <f t="shared" si="195"/>
        <v/>
      </c>
      <c r="AH711" t="str">
        <f t="shared" si="196"/>
        <v/>
      </c>
      <c r="AI711" t="str">
        <f t="shared" si="197"/>
        <v/>
      </c>
      <c r="AJ711" t="str">
        <f t="shared" si="198"/>
        <v/>
      </c>
      <c r="AK711" t="str">
        <f t="shared" si="199"/>
        <v/>
      </c>
      <c r="AL711" t="str">
        <f t="shared" si="200"/>
        <v/>
      </c>
      <c r="AN711" t="str">
        <f>IFERROR(ROUND(L711*(G711/$AW711)/VLOOKUP(F711,商品!$A$4:$D$67,4,FALSE),0),"")</f>
        <v/>
      </c>
      <c r="AO711" t="str">
        <f>IFERROR(ROUND(L711*(I711/$AW711)/VLOOKUP(H711,商品!$A$4:$D$67,4,FALSE),0),"")</f>
        <v/>
      </c>
      <c r="AP711" t="str">
        <f>IFERROR(ROUND(L711*(K711/$AW711)/VLOOKUP(J711,商品!$A$4:$D$67,4,FALSE),0),"")</f>
        <v/>
      </c>
      <c r="AQ711" t="str">
        <f>IFERROR(ROUND(S711*(N711/$AX711)/VLOOKUP(M711,职业!$A$3:$E$16,4,FALSE),0),"")</f>
        <v/>
      </c>
      <c r="AR711" t="str">
        <f>IFERROR(ROUND(S711*(P711/$AX711)/VLOOKUP(O711,职业!$A$3:$E$16,4,FALSE),0),"")</f>
        <v/>
      </c>
      <c r="AS711" t="str">
        <f>IFERROR(ROUND(S711*(R711/$AX711)/VLOOKUP(Q711,职业!$A$3:$E$16,4,FALSE),0),"")</f>
        <v/>
      </c>
      <c r="AT711" t="str">
        <f>IFERROR(ROUND(X711*(U711/$AY711)/VLOOKUP(T711,商品!$A$4:$D$67,4,FALSE),0),"")</f>
        <v/>
      </c>
      <c r="AU711" t="str">
        <f>IFERROR(ROUND(X711*(W711/$AY711)/VLOOKUP(V711,商品!$A$4:$D$67,4,FALSE),0),"")</f>
        <v/>
      </c>
      <c r="AW711">
        <f t="shared" si="201"/>
        <v>0</v>
      </c>
      <c r="AX711">
        <f t="shared" si="202"/>
        <v>0</v>
      </c>
      <c r="AY711">
        <f t="shared" si="203"/>
        <v>0</v>
      </c>
    </row>
    <row r="712" customHeight="1" spans="1:51">
      <c r="A712" s="18" t="s">
        <v>417</v>
      </c>
      <c r="C712" s="18">
        <v>3</v>
      </c>
      <c r="D712" s="1" t="s">
        <v>260</v>
      </c>
      <c r="E712" s="1" t="s">
        <v>222</v>
      </c>
      <c r="L712" s="18">
        <f>IFERROR(VLOOKUP($D712&amp;$C712,生产方式定位!$A$2:$E$38,2,FALSE)+VLOOKUP($E712&amp;$C712,生产方式定位!$F$3:$J$38,2,FALSE),0)</f>
        <v>1625</v>
      </c>
      <c r="S712" s="18">
        <f>IFERROR(VLOOKUP($D712&amp;$C712,生产方式定位!$A$2:$E$38,3,FALSE)+VLOOKUP($E712&amp;$C712,生产方式定位!$F$3:$J$38,3,FALSE),0)</f>
        <v>80</v>
      </c>
      <c r="X712" s="18">
        <f>IFERROR(VLOOKUP($D712&amp;$C712,生产方式定位!$A$2:$E$38,5,FALSE)+VLOOKUP($E712&amp;$C712,生产方式定位!$F$3:$J$38,5,FALSE),"错误")</f>
        <v>1768</v>
      </c>
      <c r="Y712" s="27" t="str">
        <f t="shared" si="187"/>
        <v/>
      </c>
      <c r="Z712" s="50" t="str">
        <f t="shared" si="190"/>
        <v/>
      </c>
      <c r="AA712" s="50" t="str">
        <f t="shared" si="188"/>
        <v/>
      </c>
      <c r="AB712" s="28" t="str">
        <f t="shared" si="191"/>
        <v>9%</v>
      </c>
      <c r="AC712" s="1">
        <f t="shared" si="192"/>
        <v>63</v>
      </c>
      <c r="AD712" s="52">
        <f t="shared" si="189"/>
        <v>3</v>
      </c>
      <c r="AE712" t="str">
        <f t="shared" si="193"/>
        <v/>
      </c>
      <c r="AF712" t="str">
        <f t="shared" si="194"/>
        <v/>
      </c>
      <c r="AG712" t="str">
        <f t="shared" si="195"/>
        <v/>
      </c>
      <c r="AH712" t="str">
        <f t="shared" si="196"/>
        <v/>
      </c>
      <c r="AI712" t="str">
        <f t="shared" si="197"/>
        <v/>
      </c>
      <c r="AJ712" t="str">
        <f t="shared" si="198"/>
        <v/>
      </c>
      <c r="AK712" t="str">
        <f t="shared" si="199"/>
        <v/>
      </c>
      <c r="AL712" t="str">
        <f t="shared" si="200"/>
        <v/>
      </c>
      <c r="AN712" t="str">
        <f>IFERROR(ROUND(L712*(G712/$AW712)/VLOOKUP(F712,商品!$A$4:$D$67,4,FALSE),0),"")</f>
        <v/>
      </c>
      <c r="AO712" t="str">
        <f>IFERROR(ROUND(L712*(I712/$AW712)/VLOOKUP(H712,商品!$A$4:$D$67,4,FALSE),0),"")</f>
        <v/>
      </c>
      <c r="AP712" t="str">
        <f>IFERROR(ROUND(L712*(K712/$AW712)/VLOOKUP(J712,商品!$A$4:$D$67,4,FALSE),0),"")</f>
        <v/>
      </c>
      <c r="AQ712" t="str">
        <f>IFERROR(ROUND(S712*(N712/$AX712)/VLOOKUP(M712,职业!$A$3:$E$16,4,FALSE),0),"")</f>
        <v/>
      </c>
      <c r="AR712" t="str">
        <f>IFERROR(ROUND(S712*(P712/$AX712)/VLOOKUP(O712,职业!$A$3:$E$16,4,FALSE),0),"")</f>
        <v/>
      </c>
      <c r="AS712" t="str">
        <f>IFERROR(ROUND(S712*(R712/$AX712)/VLOOKUP(Q712,职业!$A$3:$E$16,4,FALSE),0),"")</f>
        <v/>
      </c>
      <c r="AT712" t="str">
        <f>IFERROR(ROUND(X712*(U712/$AY712)/VLOOKUP(T712,商品!$A$4:$D$67,4,FALSE),0),"")</f>
        <v/>
      </c>
      <c r="AU712" t="str">
        <f>IFERROR(ROUND(X712*(W712/$AY712)/VLOOKUP(V712,商品!$A$4:$D$67,4,FALSE),0),"")</f>
        <v/>
      </c>
      <c r="AW712">
        <f t="shared" si="201"/>
        <v>0</v>
      </c>
      <c r="AX712">
        <f t="shared" si="202"/>
        <v>0</v>
      </c>
      <c r="AY712">
        <f t="shared" si="203"/>
        <v>0</v>
      </c>
    </row>
    <row r="713" customHeight="1" spans="1:51">
      <c r="A713" s="18" t="s">
        <v>417</v>
      </c>
      <c r="C713" s="18">
        <v>4</v>
      </c>
      <c r="D713" s="1" t="s">
        <v>260</v>
      </c>
      <c r="E713" s="1" t="s">
        <v>222</v>
      </c>
      <c r="L713" s="18">
        <f>IFERROR(VLOOKUP($D713&amp;$C713,生产方式定位!$A$2:$E$38,2,FALSE)+VLOOKUP($E713&amp;$C713,生产方式定位!$F$3:$J$38,2,FALSE),0)</f>
        <v>2250</v>
      </c>
      <c r="S713" s="18">
        <f>IFERROR(VLOOKUP($D713&amp;$C713,生产方式定位!$A$2:$E$38,3,FALSE)+VLOOKUP($E713&amp;$C713,生产方式定位!$F$3:$J$38,3,FALSE),0)</f>
        <v>70</v>
      </c>
      <c r="X713" s="18">
        <f>IFERROR(VLOOKUP($D713&amp;$C713,生产方式定位!$A$2:$E$38,5,FALSE)+VLOOKUP($E713&amp;$C713,生产方式定位!$F$3:$J$38,5,FALSE),"错误")</f>
        <v>2395</v>
      </c>
      <c r="Y713" s="27" t="str">
        <f t="shared" si="187"/>
        <v/>
      </c>
      <c r="Z713" s="50" t="str">
        <f t="shared" si="190"/>
        <v/>
      </c>
      <c r="AA713" s="50" t="str">
        <f t="shared" si="188"/>
        <v/>
      </c>
      <c r="AB713" s="28" t="str">
        <f t="shared" si="191"/>
        <v>6%</v>
      </c>
      <c r="AC713" s="1">
        <f t="shared" si="192"/>
        <v>75</v>
      </c>
      <c r="AD713" s="52">
        <f t="shared" si="189"/>
        <v>4</v>
      </c>
      <c r="AE713" t="str">
        <f t="shared" si="193"/>
        <v/>
      </c>
      <c r="AF713" t="str">
        <f t="shared" si="194"/>
        <v/>
      </c>
      <c r="AG713" t="str">
        <f t="shared" si="195"/>
        <v/>
      </c>
      <c r="AH713" t="str">
        <f t="shared" si="196"/>
        <v/>
      </c>
      <c r="AI713" t="str">
        <f t="shared" si="197"/>
        <v/>
      </c>
      <c r="AJ713" t="str">
        <f t="shared" si="198"/>
        <v/>
      </c>
      <c r="AK713" t="str">
        <f t="shared" si="199"/>
        <v/>
      </c>
      <c r="AL713" t="str">
        <f t="shared" si="200"/>
        <v/>
      </c>
      <c r="AN713" t="str">
        <f>IFERROR(ROUND(L713*(G713/$AW713)/VLOOKUP(F713,商品!$A$4:$D$67,4,FALSE),0),"")</f>
        <v/>
      </c>
      <c r="AO713" t="str">
        <f>IFERROR(ROUND(L713*(I713/$AW713)/VLOOKUP(H713,商品!$A$4:$D$67,4,FALSE),0),"")</f>
        <v/>
      </c>
      <c r="AP713" t="str">
        <f>IFERROR(ROUND(L713*(K713/$AW713)/VLOOKUP(J713,商品!$A$4:$D$67,4,FALSE),0),"")</f>
        <v/>
      </c>
      <c r="AQ713" t="str">
        <f>IFERROR(ROUND(S713*(N713/$AX713)/VLOOKUP(M713,职业!$A$3:$E$16,4,FALSE),0),"")</f>
        <v/>
      </c>
      <c r="AR713" t="str">
        <f>IFERROR(ROUND(S713*(P713/$AX713)/VLOOKUP(O713,职业!$A$3:$E$16,4,FALSE),0),"")</f>
        <v/>
      </c>
      <c r="AS713" t="str">
        <f>IFERROR(ROUND(S713*(R713/$AX713)/VLOOKUP(Q713,职业!$A$3:$E$16,4,FALSE),0),"")</f>
        <v/>
      </c>
      <c r="AT713" t="str">
        <f>IFERROR(ROUND(X713*(U713/$AY713)/VLOOKUP(T713,商品!$A$4:$D$67,4,FALSE),0),"")</f>
        <v/>
      </c>
      <c r="AU713" t="str">
        <f>IFERROR(ROUND(X713*(W713/$AY713)/VLOOKUP(V713,商品!$A$4:$D$67,4,FALSE),0),"")</f>
        <v/>
      </c>
      <c r="AW713">
        <f t="shared" si="201"/>
        <v>0</v>
      </c>
      <c r="AX713">
        <f t="shared" si="202"/>
        <v>0</v>
      </c>
      <c r="AY713">
        <f t="shared" si="203"/>
        <v>0</v>
      </c>
    </row>
    <row r="714" customHeight="1" spans="1:51">
      <c r="A714" s="18" t="s">
        <v>417</v>
      </c>
      <c r="C714" s="18">
        <v>5</v>
      </c>
      <c r="D714" s="1" t="s">
        <v>260</v>
      </c>
      <c r="E714" s="1" t="s">
        <v>222</v>
      </c>
      <c r="L714" s="18">
        <f>IFERROR(VLOOKUP($D714&amp;$C714,生产方式定位!$A$2:$E$38,2,FALSE)+VLOOKUP($E714&amp;$C714,生产方式定位!$F$3:$J$38,2,FALSE),0)</f>
        <v>2875</v>
      </c>
      <c r="S714" s="18">
        <f>IFERROR(VLOOKUP($D714&amp;$C714,生产方式定位!$A$2:$E$38,3,FALSE)+VLOOKUP($E714&amp;$C714,生产方式定位!$F$3:$J$38,3,FALSE),0)</f>
        <v>60</v>
      </c>
      <c r="X714" s="18">
        <f>IFERROR(VLOOKUP($D714&amp;$C714,生产方式定位!$A$2:$E$38,5,FALSE)+VLOOKUP($E714&amp;$C714,生产方式定位!$F$3:$J$38,5,FALSE),"错误")</f>
        <v>3023</v>
      </c>
      <c r="Y714" s="27" t="str">
        <f t="shared" si="187"/>
        <v/>
      </c>
      <c r="Z714" s="50" t="str">
        <f t="shared" si="190"/>
        <v/>
      </c>
      <c r="AA714" s="50" t="str">
        <f t="shared" si="188"/>
        <v/>
      </c>
      <c r="AB714" s="28" t="str">
        <f t="shared" si="191"/>
        <v>5%</v>
      </c>
      <c r="AC714" s="1">
        <f t="shared" si="192"/>
        <v>88</v>
      </c>
      <c r="AD714" s="52">
        <f t="shared" si="189"/>
        <v>5</v>
      </c>
      <c r="AE714" t="str">
        <f t="shared" si="193"/>
        <v/>
      </c>
      <c r="AF714" t="str">
        <f t="shared" si="194"/>
        <v/>
      </c>
      <c r="AG714" t="str">
        <f t="shared" si="195"/>
        <v/>
      </c>
      <c r="AH714" t="str">
        <f t="shared" si="196"/>
        <v/>
      </c>
      <c r="AI714" t="str">
        <f t="shared" si="197"/>
        <v/>
      </c>
      <c r="AJ714" t="str">
        <f t="shared" si="198"/>
        <v/>
      </c>
      <c r="AK714" t="str">
        <f t="shared" si="199"/>
        <v/>
      </c>
      <c r="AL714" t="str">
        <f t="shared" si="200"/>
        <v/>
      </c>
      <c r="AN714" t="str">
        <f>IFERROR(ROUND(L714*(G714/$AW714)/VLOOKUP(F714,商品!$A$4:$D$67,4,FALSE),0),"")</f>
        <v/>
      </c>
      <c r="AO714" t="str">
        <f>IFERROR(ROUND(L714*(I714/$AW714)/VLOOKUP(H714,商品!$A$4:$D$67,4,FALSE),0),"")</f>
        <v/>
      </c>
      <c r="AP714" t="str">
        <f>IFERROR(ROUND(L714*(K714/$AW714)/VLOOKUP(J714,商品!$A$4:$D$67,4,FALSE),0),"")</f>
        <v/>
      </c>
      <c r="AQ714" t="str">
        <f>IFERROR(ROUND(S714*(N714/$AX714)/VLOOKUP(M714,职业!$A$3:$E$16,4,FALSE),0),"")</f>
        <v/>
      </c>
      <c r="AR714" t="str">
        <f>IFERROR(ROUND(S714*(P714/$AX714)/VLOOKUP(O714,职业!$A$3:$E$16,4,FALSE),0),"")</f>
        <v/>
      </c>
      <c r="AS714" t="str">
        <f>IFERROR(ROUND(S714*(R714/$AX714)/VLOOKUP(Q714,职业!$A$3:$E$16,4,FALSE),0),"")</f>
        <v/>
      </c>
      <c r="AT714" t="str">
        <f>IFERROR(ROUND(X714*(U714/$AY714)/VLOOKUP(T714,商品!$A$4:$D$67,4,FALSE),0),"")</f>
        <v/>
      </c>
      <c r="AU714" t="str">
        <f>IFERROR(ROUND(X714*(W714/$AY714)/VLOOKUP(V714,商品!$A$4:$D$67,4,FALSE),0),"")</f>
        <v/>
      </c>
      <c r="AW714">
        <f t="shared" si="201"/>
        <v>0</v>
      </c>
      <c r="AX714">
        <f t="shared" si="202"/>
        <v>0</v>
      </c>
      <c r="AY714">
        <f t="shared" si="203"/>
        <v>0</v>
      </c>
    </row>
    <row r="715" customHeight="1" spans="1:51">
      <c r="A715" s="5" t="s">
        <v>418</v>
      </c>
      <c r="C715" s="5">
        <v>1</v>
      </c>
      <c r="D715" s="1" t="s">
        <v>260</v>
      </c>
      <c r="E715" s="1" t="s">
        <v>223</v>
      </c>
      <c r="L715" s="5">
        <f>IFERROR(VLOOKUP($D715&amp;$C715,生产方式定位!$A$2:$E$38,2,FALSE)+VLOOKUP($E715&amp;$C715,生产方式定位!$F$3:$J$38,2,FALSE),0)</f>
        <v>0</v>
      </c>
      <c r="S715" s="5">
        <f>IFERROR(VLOOKUP($D715&amp;$C715,生产方式定位!$A$2:$E$38,3,FALSE)+VLOOKUP($E715&amp;$C715,生产方式定位!$F$3:$J$38,3,FALSE),0)</f>
        <v>70</v>
      </c>
      <c r="X715" s="5">
        <f>IFERROR(VLOOKUP($D715&amp;$C715,生产方式定位!$A$2:$E$38,5,FALSE)+VLOOKUP($E715&amp;$C715,生产方式定位!$F$3:$J$38,5,FALSE),"错误")</f>
        <v>350</v>
      </c>
      <c r="Y715" s="27" t="str">
        <f t="shared" si="187"/>
        <v/>
      </c>
      <c r="Z715" s="50" t="str">
        <f t="shared" si="190"/>
        <v/>
      </c>
      <c r="AA715" s="50" t="str">
        <f t="shared" si="188"/>
        <v/>
      </c>
      <c r="AB715" s="28" t="str">
        <f t="shared" si="191"/>
        <v/>
      </c>
      <c r="AC715" s="1">
        <f t="shared" si="192"/>
        <v>280</v>
      </c>
      <c r="AD715" s="51">
        <f t="shared" si="189"/>
        <v>1</v>
      </c>
      <c r="AE715" t="str">
        <f t="shared" si="193"/>
        <v/>
      </c>
      <c r="AF715" t="str">
        <f t="shared" si="194"/>
        <v/>
      </c>
      <c r="AG715" t="str">
        <f t="shared" si="195"/>
        <v/>
      </c>
      <c r="AH715" t="str">
        <f t="shared" si="196"/>
        <v/>
      </c>
      <c r="AI715" t="str">
        <f t="shared" si="197"/>
        <v/>
      </c>
      <c r="AJ715" t="str">
        <f t="shared" si="198"/>
        <v/>
      </c>
      <c r="AK715" t="str">
        <f t="shared" si="199"/>
        <v/>
      </c>
      <c r="AL715" t="str">
        <f t="shared" si="200"/>
        <v/>
      </c>
      <c r="AN715" t="str">
        <f>IFERROR(ROUND(L715*(G715/$AW715)/VLOOKUP(F715,商品!$A$4:$D$67,4,FALSE),0),"")</f>
        <v/>
      </c>
      <c r="AO715" t="str">
        <f>IFERROR(ROUND(L715*(I715/$AW715)/VLOOKUP(H715,商品!$A$4:$D$67,4,FALSE),0),"")</f>
        <v/>
      </c>
      <c r="AP715" t="str">
        <f>IFERROR(ROUND(L715*(K715/$AW715)/VLOOKUP(J715,商品!$A$4:$D$67,4,FALSE),0),"")</f>
        <v/>
      </c>
      <c r="AQ715" t="str">
        <f>IFERROR(ROUND(S715*(N715/$AX715)/VLOOKUP(M715,职业!$A$3:$E$16,4,FALSE),0),"")</f>
        <v/>
      </c>
      <c r="AR715" t="str">
        <f>IFERROR(ROUND(S715*(P715/$AX715)/VLOOKUP(O715,职业!$A$3:$E$16,4,FALSE),0),"")</f>
        <v/>
      </c>
      <c r="AS715" t="str">
        <f>IFERROR(ROUND(S715*(R715/$AX715)/VLOOKUP(Q715,职业!$A$3:$E$16,4,FALSE),0),"")</f>
        <v/>
      </c>
      <c r="AT715" t="str">
        <f>IFERROR(ROUND(X715*(U715/$AY715)/VLOOKUP(T715,商品!$A$4:$D$67,4,FALSE),0),"")</f>
        <v/>
      </c>
      <c r="AU715" t="str">
        <f>IFERROR(ROUND(X715*(W715/$AY715)/VLOOKUP(V715,商品!$A$4:$D$67,4,FALSE),0),"")</f>
        <v/>
      </c>
      <c r="AW715">
        <f t="shared" si="201"/>
        <v>0</v>
      </c>
      <c r="AX715">
        <f t="shared" si="202"/>
        <v>0</v>
      </c>
      <c r="AY715">
        <f t="shared" si="203"/>
        <v>0</v>
      </c>
    </row>
    <row r="716" customHeight="1" spans="1:51">
      <c r="A716" s="5" t="s">
        <v>418</v>
      </c>
      <c r="C716" s="5">
        <v>2</v>
      </c>
      <c r="D716" s="1" t="s">
        <v>260</v>
      </c>
      <c r="E716" s="1" t="s">
        <v>223</v>
      </c>
      <c r="L716" s="5">
        <f>IFERROR(VLOOKUP($D716&amp;$C716,生产方式定位!$A$2:$E$38,2,FALSE)+VLOOKUP($E716&amp;$C716,生产方式定位!$F$3:$J$38,2,FALSE),0)</f>
        <v>900</v>
      </c>
      <c r="S716" s="5">
        <f>IFERROR(VLOOKUP($D716&amp;$C716,生产方式定位!$A$2:$E$38,3,FALSE)+VLOOKUP($E716&amp;$C716,生产方式定位!$F$3:$J$38,3,FALSE),0)</f>
        <v>100</v>
      </c>
      <c r="X716" s="5">
        <f>IFERROR(VLOOKUP($D716&amp;$C716,生产方式定位!$A$2:$E$38,5,FALSE)+VLOOKUP($E716&amp;$C716,生产方式定位!$F$3:$J$38,5,FALSE),"错误")</f>
        <v>1041</v>
      </c>
      <c r="Y716" s="27" t="str">
        <f t="shared" si="187"/>
        <v/>
      </c>
      <c r="Z716" s="50" t="str">
        <f t="shared" si="190"/>
        <v/>
      </c>
      <c r="AA716" s="50" t="str">
        <f t="shared" si="188"/>
        <v/>
      </c>
      <c r="AB716" s="28" t="str">
        <f t="shared" si="191"/>
        <v>16%</v>
      </c>
      <c r="AC716" s="1">
        <f t="shared" si="192"/>
        <v>41</v>
      </c>
      <c r="AD716" s="51">
        <f t="shared" si="189"/>
        <v>2</v>
      </c>
      <c r="AE716" t="str">
        <f t="shared" si="193"/>
        <v/>
      </c>
      <c r="AF716" t="str">
        <f t="shared" si="194"/>
        <v/>
      </c>
      <c r="AG716" t="str">
        <f t="shared" si="195"/>
        <v/>
      </c>
      <c r="AH716" t="str">
        <f t="shared" si="196"/>
        <v/>
      </c>
      <c r="AI716" t="str">
        <f t="shared" si="197"/>
        <v/>
      </c>
      <c r="AJ716" t="str">
        <f t="shared" si="198"/>
        <v/>
      </c>
      <c r="AK716" t="str">
        <f t="shared" si="199"/>
        <v/>
      </c>
      <c r="AL716" t="str">
        <f t="shared" si="200"/>
        <v/>
      </c>
      <c r="AN716" t="str">
        <f>IFERROR(ROUND(L716*(G716/$AW716)/VLOOKUP(F716,商品!$A$4:$D$67,4,FALSE),0),"")</f>
        <v/>
      </c>
      <c r="AO716" t="str">
        <f>IFERROR(ROUND(L716*(I716/$AW716)/VLOOKUP(H716,商品!$A$4:$D$67,4,FALSE),0),"")</f>
        <v/>
      </c>
      <c r="AP716" t="str">
        <f>IFERROR(ROUND(L716*(K716/$AW716)/VLOOKUP(J716,商品!$A$4:$D$67,4,FALSE),0),"")</f>
        <v/>
      </c>
      <c r="AQ716" t="str">
        <f>IFERROR(ROUND(S716*(N716/$AX716)/VLOOKUP(M716,职业!$A$3:$E$16,4,FALSE),0),"")</f>
        <v/>
      </c>
      <c r="AR716" t="str">
        <f>IFERROR(ROUND(S716*(P716/$AX716)/VLOOKUP(O716,职业!$A$3:$E$16,4,FALSE),0),"")</f>
        <v/>
      </c>
      <c r="AS716" t="str">
        <f>IFERROR(ROUND(S716*(R716/$AX716)/VLOOKUP(Q716,职业!$A$3:$E$16,4,FALSE),0),"")</f>
        <v/>
      </c>
      <c r="AT716" t="str">
        <f>IFERROR(ROUND(X716*(U716/$AY716)/VLOOKUP(T716,商品!$A$4:$D$67,4,FALSE),0),"")</f>
        <v/>
      </c>
      <c r="AU716" t="str">
        <f>IFERROR(ROUND(X716*(W716/$AY716)/VLOOKUP(V716,商品!$A$4:$D$67,4,FALSE),0),"")</f>
        <v/>
      </c>
      <c r="AW716">
        <f t="shared" si="201"/>
        <v>0</v>
      </c>
      <c r="AX716">
        <f t="shared" si="202"/>
        <v>0</v>
      </c>
      <c r="AY716">
        <f t="shared" si="203"/>
        <v>0</v>
      </c>
    </row>
    <row r="717" customHeight="1" spans="1:51">
      <c r="A717" s="5" t="s">
        <v>418</v>
      </c>
      <c r="C717" s="5">
        <v>3</v>
      </c>
      <c r="D717" s="1" t="s">
        <v>260</v>
      </c>
      <c r="E717" s="1" t="s">
        <v>223</v>
      </c>
      <c r="L717" s="5">
        <f>IFERROR(VLOOKUP($D717&amp;$C717,生产方式定位!$A$2:$E$38,2,FALSE)+VLOOKUP($E717&amp;$C717,生产方式定位!$F$3:$J$38,2,FALSE),0)</f>
        <v>1500</v>
      </c>
      <c r="S717" s="5">
        <f>IFERROR(VLOOKUP($D717&amp;$C717,生产方式定位!$A$2:$E$38,3,FALSE)+VLOOKUP($E717&amp;$C717,生产方式定位!$F$3:$J$38,3,FALSE),0)</f>
        <v>95</v>
      </c>
      <c r="X717" s="5">
        <f>IFERROR(VLOOKUP($D717&amp;$C717,生产方式定位!$A$2:$E$38,5,FALSE)+VLOOKUP($E717&amp;$C717,生产方式定位!$F$3:$J$38,5,FALSE),"错误")</f>
        <v>1647</v>
      </c>
      <c r="Y717" s="27" t="str">
        <f t="shared" si="187"/>
        <v/>
      </c>
      <c r="Z717" s="50" t="str">
        <f t="shared" si="190"/>
        <v/>
      </c>
      <c r="AA717" s="50" t="str">
        <f t="shared" si="188"/>
        <v/>
      </c>
      <c r="AB717" s="28" t="str">
        <f t="shared" si="191"/>
        <v>10%</v>
      </c>
      <c r="AC717" s="1">
        <f t="shared" si="192"/>
        <v>52</v>
      </c>
      <c r="AD717" s="51">
        <f t="shared" si="189"/>
        <v>3</v>
      </c>
      <c r="AE717" t="str">
        <f t="shared" si="193"/>
        <v/>
      </c>
      <c r="AF717" t="str">
        <f t="shared" si="194"/>
        <v/>
      </c>
      <c r="AG717" t="str">
        <f t="shared" si="195"/>
        <v/>
      </c>
      <c r="AH717" t="str">
        <f t="shared" si="196"/>
        <v/>
      </c>
      <c r="AI717" t="str">
        <f t="shared" si="197"/>
        <v/>
      </c>
      <c r="AJ717" t="str">
        <f t="shared" si="198"/>
        <v/>
      </c>
      <c r="AK717" t="str">
        <f t="shared" si="199"/>
        <v/>
      </c>
      <c r="AL717" t="str">
        <f t="shared" si="200"/>
        <v/>
      </c>
      <c r="AN717" t="str">
        <f>IFERROR(ROUND(L717*(G717/$AW717)/VLOOKUP(F717,商品!$A$4:$D$67,4,FALSE),0),"")</f>
        <v/>
      </c>
      <c r="AO717" t="str">
        <f>IFERROR(ROUND(L717*(I717/$AW717)/VLOOKUP(H717,商品!$A$4:$D$67,4,FALSE),0),"")</f>
        <v/>
      </c>
      <c r="AP717" t="str">
        <f>IFERROR(ROUND(L717*(K717/$AW717)/VLOOKUP(J717,商品!$A$4:$D$67,4,FALSE),0),"")</f>
        <v/>
      </c>
      <c r="AQ717" t="str">
        <f>IFERROR(ROUND(S717*(N717/$AX717)/VLOOKUP(M717,职业!$A$3:$E$16,4,FALSE),0),"")</f>
        <v/>
      </c>
      <c r="AR717" t="str">
        <f>IFERROR(ROUND(S717*(P717/$AX717)/VLOOKUP(O717,职业!$A$3:$E$16,4,FALSE),0),"")</f>
        <v/>
      </c>
      <c r="AS717" t="str">
        <f>IFERROR(ROUND(S717*(R717/$AX717)/VLOOKUP(Q717,职业!$A$3:$E$16,4,FALSE),0),"")</f>
        <v/>
      </c>
      <c r="AT717" t="str">
        <f>IFERROR(ROUND(X717*(U717/$AY717)/VLOOKUP(T717,商品!$A$4:$D$67,4,FALSE),0),"")</f>
        <v/>
      </c>
      <c r="AU717" t="str">
        <f>IFERROR(ROUND(X717*(W717/$AY717)/VLOOKUP(V717,商品!$A$4:$D$67,4,FALSE),0),"")</f>
        <v/>
      </c>
      <c r="AW717">
        <f t="shared" si="201"/>
        <v>0</v>
      </c>
      <c r="AX717">
        <f t="shared" si="202"/>
        <v>0</v>
      </c>
      <c r="AY717">
        <f t="shared" si="203"/>
        <v>0</v>
      </c>
    </row>
    <row r="718" customHeight="1" spans="1:51">
      <c r="A718" s="5" t="s">
        <v>418</v>
      </c>
      <c r="C718" s="5">
        <v>4</v>
      </c>
      <c r="D718" s="1" t="s">
        <v>260</v>
      </c>
      <c r="E718" s="1" t="s">
        <v>223</v>
      </c>
      <c r="L718" s="5">
        <f>IFERROR(VLOOKUP($D718&amp;$C718,生产方式定位!$A$2:$E$38,2,FALSE)+VLOOKUP($E718&amp;$C718,生产方式定位!$F$3:$J$38,2,FALSE),0)</f>
        <v>2100</v>
      </c>
      <c r="S718" s="5">
        <f>IFERROR(VLOOKUP($D718&amp;$C718,生产方式定位!$A$2:$E$38,3,FALSE)+VLOOKUP($E718&amp;$C718,生产方式定位!$F$3:$J$38,3,FALSE),0)</f>
        <v>90</v>
      </c>
      <c r="X718" s="5">
        <f>IFERROR(VLOOKUP($D718&amp;$C718,生产方式定位!$A$2:$E$38,5,FALSE)+VLOOKUP($E718&amp;$C718,生产方式定位!$F$3:$J$38,5,FALSE),"错误")</f>
        <v>2252</v>
      </c>
      <c r="Y718" s="27" t="str">
        <f t="shared" si="187"/>
        <v/>
      </c>
      <c r="Z718" s="50" t="str">
        <f t="shared" si="190"/>
        <v/>
      </c>
      <c r="AA718" s="50" t="str">
        <f t="shared" si="188"/>
        <v/>
      </c>
      <c r="AB718" s="28" t="str">
        <f t="shared" si="191"/>
        <v>7%</v>
      </c>
      <c r="AC718" s="1">
        <f t="shared" si="192"/>
        <v>62</v>
      </c>
      <c r="AD718" s="51">
        <f t="shared" si="189"/>
        <v>4</v>
      </c>
      <c r="AE718" t="str">
        <f t="shared" si="193"/>
        <v/>
      </c>
      <c r="AF718" t="str">
        <f t="shared" si="194"/>
        <v/>
      </c>
      <c r="AG718" t="str">
        <f t="shared" si="195"/>
        <v/>
      </c>
      <c r="AH718" t="str">
        <f t="shared" si="196"/>
        <v/>
      </c>
      <c r="AI718" t="str">
        <f t="shared" si="197"/>
        <v/>
      </c>
      <c r="AJ718" t="str">
        <f t="shared" si="198"/>
        <v/>
      </c>
      <c r="AK718" t="str">
        <f t="shared" si="199"/>
        <v/>
      </c>
      <c r="AL718" t="str">
        <f t="shared" si="200"/>
        <v/>
      </c>
      <c r="AN718" t="str">
        <f>IFERROR(ROUND(L718*(G718/$AW718)/VLOOKUP(F718,商品!$A$4:$D$67,4,FALSE),0),"")</f>
        <v/>
      </c>
      <c r="AO718" t="str">
        <f>IFERROR(ROUND(L718*(I718/$AW718)/VLOOKUP(H718,商品!$A$4:$D$67,4,FALSE),0),"")</f>
        <v/>
      </c>
      <c r="AP718" t="str">
        <f>IFERROR(ROUND(L718*(K718/$AW718)/VLOOKUP(J718,商品!$A$4:$D$67,4,FALSE),0),"")</f>
        <v/>
      </c>
      <c r="AQ718" t="str">
        <f>IFERROR(ROUND(S718*(N718/$AX718)/VLOOKUP(M718,职业!$A$3:$E$16,4,FALSE),0),"")</f>
        <v/>
      </c>
      <c r="AR718" t="str">
        <f>IFERROR(ROUND(S718*(P718/$AX718)/VLOOKUP(O718,职业!$A$3:$E$16,4,FALSE),0),"")</f>
        <v/>
      </c>
      <c r="AS718" t="str">
        <f>IFERROR(ROUND(S718*(R718/$AX718)/VLOOKUP(Q718,职业!$A$3:$E$16,4,FALSE),0),"")</f>
        <v/>
      </c>
      <c r="AT718" t="str">
        <f>IFERROR(ROUND(X718*(U718/$AY718)/VLOOKUP(T718,商品!$A$4:$D$67,4,FALSE),0),"")</f>
        <v/>
      </c>
      <c r="AU718" t="str">
        <f>IFERROR(ROUND(X718*(W718/$AY718)/VLOOKUP(V718,商品!$A$4:$D$67,4,FALSE),0),"")</f>
        <v/>
      </c>
      <c r="AW718">
        <f t="shared" si="201"/>
        <v>0</v>
      </c>
      <c r="AX718">
        <f t="shared" si="202"/>
        <v>0</v>
      </c>
      <c r="AY718">
        <f t="shared" si="203"/>
        <v>0</v>
      </c>
    </row>
    <row r="719" customHeight="1" spans="1:51">
      <c r="A719" s="5" t="s">
        <v>418</v>
      </c>
      <c r="C719" s="5">
        <v>5</v>
      </c>
      <c r="D719" s="1" t="s">
        <v>260</v>
      </c>
      <c r="E719" s="1" t="s">
        <v>223</v>
      </c>
      <c r="L719" s="5">
        <f>IFERROR(VLOOKUP($D719&amp;$C719,生产方式定位!$A$2:$E$38,2,FALSE)+VLOOKUP($E719&amp;$C719,生产方式定位!$F$3:$J$38,2,FALSE),0)</f>
        <v>2700</v>
      </c>
      <c r="S719" s="5">
        <f>IFERROR(VLOOKUP($D719&amp;$C719,生产方式定位!$A$2:$E$38,3,FALSE)+VLOOKUP($E719&amp;$C719,生产方式定位!$F$3:$J$38,3,FALSE),0)</f>
        <v>85</v>
      </c>
      <c r="X719" s="5">
        <f>IFERROR(VLOOKUP($D719&amp;$C719,生产方式定位!$A$2:$E$38,5,FALSE)+VLOOKUP($E719&amp;$C719,生产方式定位!$F$3:$J$38,5,FALSE),"错误")</f>
        <v>2858</v>
      </c>
      <c r="Y719" s="27" t="str">
        <f t="shared" si="187"/>
        <v/>
      </c>
      <c r="Z719" s="50" t="str">
        <f t="shared" si="190"/>
        <v/>
      </c>
      <c r="AA719" s="50" t="str">
        <f t="shared" si="188"/>
        <v/>
      </c>
      <c r="AB719" s="28" t="str">
        <f t="shared" si="191"/>
        <v>6%</v>
      </c>
      <c r="AC719" s="1">
        <f t="shared" si="192"/>
        <v>73</v>
      </c>
      <c r="AD719" s="51">
        <f t="shared" si="189"/>
        <v>5</v>
      </c>
      <c r="AE719" t="str">
        <f t="shared" si="193"/>
        <v/>
      </c>
      <c r="AF719" t="str">
        <f t="shared" si="194"/>
        <v/>
      </c>
      <c r="AG719" t="str">
        <f t="shared" si="195"/>
        <v/>
      </c>
      <c r="AH719" t="str">
        <f t="shared" si="196"/>
        <v/>
      </c>
      <c r="AI719" t="str">
        <f t="shared" si="197"/>
        <v/>
      </c>
      <c r="AJ719" t="str">
        <f t="shared" si="198"/>
        <v/>
      </c>
      <c r="AK719" t="str">
        <f t="shared" si="199"/>
        <v/>
      </c>
      <c r="AL719" t="str">
        <f t="shared" si="200"/>
        <v/>
      </c>
      <c r="AN719" t="str">
        <f>IFERROR(ROUND(L719*(G719/$AW719)/VLOOKUP(F719,商品!$A$4:$D$67,4,FALSE),0),"")</f>
        <v/>
      </c>
      <c r="AO719" t="str">
        <f>IFERROR(ROUND(L719*(I719/$AW719)/VLOOKUP(H719,商品!$A$4:$D$67,4,FALSE),0),"")</f>
        <v/>
      </c>
      <c r="AP719" t="str">
        <f>IFERROR(ROUND(L719*(K719/$AW719)/VLOOKUP(J719,商品!$A$4:$D$67,4,FALSE),0),"")</f>
        <v/>
      </c>
      <c r="AQ719" t="str">
        <f>IFERROR(ROUND(S719*(N719/$AX719)/VLOOKUP(M719,职业!$A$3:$E$16,4,FALSE),0),"")</f>
        <v/>
      </c>
      <c r="AR719" t="str">
        <f>IFERROR(ROUND(S719*(P719/$AX719)/VLOOKUP(O719,职业!$A$3:$E$16,4,FALSE),0),"")</f>
        <v/>
      </c>
      <c r="AS719" t="str">
        <f>IFERROR(ROUND(S719*(R719/$AX719)/VLOOKUP(Q719,职业!$A$3:$E$16,4,FALSE),0),"")</f>
        <v/>
      </c>
      <c r="AT719" t="str">
        <f>IFERROR(ROUND(X719*(U719/$AY719)/VLOOKUP(T719,商品!$A$4:$D$67,4,FALSE),0),"")</f>
        <v/>
      </c>
      <c r="AU719" t="str">
        <f>IFERROR(ROUND(X719*(W719/$AY719)/VLOOKUP(V719,商品!$A$4:$D$67,4,FALSE),0),"")</f>
        <v/>
      </c>
      <c r="AW719">
        <f t="shared" si="201"/>
        <v>0</v>
      </c>
      <c r="AX719">
        <f t="shared" si="202"/>
        <v>0</v>
      </c>
      <c r="AY719">
        <f t="shared" si="203"/>
        <v>0</v>
      </c>
    </row>
    <row r="720" customHeight="1" spans="1:51">
      <c r="A720" s="18" t="s">
        <v>419</v>
      </c>
      <c r="C720" s="18">
        <v>1</v>
      </c>
      <c r="D720" s="1" t="s">
        <v>260</v>
      </c>
      <c r="E720" s="1" t="s">
        <v>224</v>
      </c>
      <c r="L720" s="18">
        <f>IFERROR(VLOOKUP($D720&amp;$C720,生产方式定位!$A$2:$E$38,2,FALSE)+VLOOKUP($E720&amp;$C720,生产方式定位!$F$3:$J$38,2,FALSE),0)</f>
        <v>0</v>
      </c>
      <c r="S720" s="18">
        <f>IFERROR(VLOOKUP($D720&amp;$C720,生产方式定位!$A$2:$E$38,3,FALSE)+VLOOKUP($E720&amp;$C720,生产方式定位!$F$3:$J$38,3,FALSE),0)</f>
        <v>70</v>
      </c>
      <c r="X720" s="18">
        <f>IFERROR(VLOOKUP($D720&amp;$C720,生产方式定位!$A$2:$E$38,5,FALSE)+VLOOKUP($E720&amp;$C720,生产方式定位!$F$3:$J$38,5,FALSE),"错误")</f>
        <v>350</v>
      </c>
      <c r="Y720" s="27" t="str">
        <f t="shared" si="187"/>
        <v/>
      </c>
      <c r="Z720" s="50" t="str">
        <f t="shared" si="190"/>
        <v/>
      </c>
      <c r="AA720" s="50" t="str">
        <f t="shared" si="188"/>
        <v/>
      </c>
      <c r="AB720" s="28" t="str">
        <f t="shared" si="191"/>
        <v/>
      </c>
      <c r="AC720" s="1">
        <f t="shared" si="192"/>
        <v>280</v>
      </c>
      <c r="AD720" s="52">
        <f t="shared" si="189"/>
        <v>1</v>
      </c>
      <c r="AE720" t="str">
        <f t="shared" si="193"/>
        <v/>
      </c>
      <c r="AF720" t="str">
        <f t="shared" si="194"/>
        <v/>
      </c>
      <c r="AG720" t="str">
        <f t="shared" si="195"/>
        <v/>
      </c>
      <c r="AH720" t="str">
        <f t="shared" si="196"/>
        <v/>
      </c>
      <c r="AI720" t="str">
        <f t="shared" si="197"/>
        <v/>
      </c>
      <c r="AJ720" t="str">
        <f t="shared" si="198"/>
        <v/>
      </c>
      <c r="AK720" t="str">
        <f t="shared" si="199"/>
        <v/>
      </c>
      <c r="AL720" t="str">
        <f t="shared" si="200"/>
        <v/>
      </c>
      <c r="AN720" t="str">
        <f>IFERROR(ROUND(L720*(G720/$AW720)/VLOOKUP(F720,商品!$A$4:$D$67,4,FALSE),0),"")</f>
        <v/>
      </c>
      <c r="AO720" t="str">
        <f>IFERROR(ROUND(L720*(I720/$AW720)/VLOOKUP(H720,商品!$A$4:$D$67,4,FALSE),0),"")</f>
        <v/>
      </c>
      <c r="AP720" t="str">
        <f>IFERROR(ROUND(L720*(K720/$AW720)/VLOOKUP(J720,商品!$A$4:$D$67,4,FALSE),0),"")</f>
        <v/>
      </c>
      <c r="AQ720" t="str">
        <f>IFERROR(ROUND(S720*(N720/$AX720)/VLOOKUP(M720,职业!$A$3:$E$16,4,FALSE),0),"")</f>
        <v/>
      </c>
      <c r="AR720" t="str">
        <f>IFERROR(ROUND(S720*(P720/$AX720)/VLOOKUP(O720,职业!$A$3:$E$16,4,FALSE),0),"")</f>
        <v/>
      </c>
      <c r="AS720" t="str">
        <f>IFERROR(ROUND(S720*(R720/$AX720)/VLOOKUP(Q720,职业!$A$3:$E$16,4,FALSE),0),"")</f>
        <v/>
      </c>
      <c r="AT720" t="str">
        <f>IFERROR(ROUND(X720*(U720/$AY720)/VLOOKUP(T720,商品!$A$4:$D$67,4,FALSE),0),"")</f>
        <v/>
      </c>
      <c r="AU720" t="str">
        <f>IFERROR(ROUND(X720*(W720/$AY720)/VLOOKUP(V720,商品!$A$4:$D$67,4,FALSE),0),"")</f>
        <v/>
      </c>
      <c r="AW720">
        <f t="shared" si="201"/>
        <v>0</v>
      </c>
      <c r="AX720">
        <f t="shared" si="202"/>
        <v>0</v>
      </c>
      <c r="AY720">
        <f t="shared" si="203"/>
        <v>0</v>
      </c>
    </row>
    <row r="721" customHeight="1" spans="1:51">
      <c r="A721" s="18" t="s">
        <v>419</v>
      </c>
      <c r="C721" s="18">
        <v>2</v>
      </c>
      <c r="D721" s="1" t="s">
        <v>260</v>
      </c>
      <c r="E721" s="1" t="s">
        <v>224</v>
      </c>
      <c r="L721" s="18">
        <f>IFERROR(VLOOKUP($D721&amp;$C721,生产方式定位!$A$2:$E$38,2,FALSE)+VLOOKUP($E721&amp;$C721,生产方式定位!$F$3:$J$38,2,FALSE),0)</f>
        <v>1000</v>
      </c>
      <c r="S721" s="18">
        <f>IFERROR(VLOOKUP($D721&amp;$C721,生产方式定位!$A$2:$E$38,3,FALSE)+VLOOKUP($E721&amp;$C721,生产方式定位!$F$3:$J$38,3,FALSE),0)</f>
        <v>50</v>
      </c>
      <c r="X721" s="18">
        <f>IFERROR(VLOOKUP($D721&amp;$C721,生产方式定位!$A$2:$E$38,5,FALSE)+VLOOKUP($E721&amp;$C721,生产方式定位!$F$3:$J$38,5,FALSE),"错误")</f>
        <v>1096</v>
      </c>
      <c r="Y721" s="27" t="str">
        <f t="shared" si="187"/>
        <v/>
      </c>
      <c r="Z721" s="50" t="str">
        <f t="shared" si="190"/>
        <v/>
      </c>
      <c r="AA721" s="50" t="str">
        <f t="shared" si="188"/>
        <v/>
      </c>
      <c r="AB721" s="28" t="str">
        <f t="shared" si="191"/>
        <v>10%</v>
      </c>
      <c r="AC721" s="1">
        <f t="shared" si="192"/>
        <v>46</v>
      </c>
      <c r="AD721" s="52">
        <f t="shared" si="189"/>
        <v>2</v>
      </c>
      <c r="AE721" t="str">
        <f t="shared" si="193"/>
        <v/>
      </c>
      <c r="AF721" t="str">
        <f t="shared" si="194"/>
        <v/>
      </c>
      <c r="AG721" t="str">
        <f t="shared" si="195"/>
        <v/>
      </c>
      <c r="AH721" t="str">
        <f t="shared" si="196"/>
        <v/>
      </c>
      <c r="AI721" t="str">
        <f t="shared" si="197"/>
        <v/>
      </c>
      <c r="AJ721" t="str">
        <f t="shared" si="198"/>
        <v/>
      </c>
      <c r="AK721" t="str">
        <f t="shared" si="199"/>
        <v/>
      </c>
      <c r="AL721" t="str">
        <f t="shared" si="200"/>
        <v/>
      </c>
      <c r="AN721" t="str">
        <f>IFERROR(ROUND(L721*(G721/$AW721)/VLOOKUP(F721,商品!$A$4:$D$67,4,FALSE),0),"")</f>
        <v/>
      </c>
      <c r="AO721" t="str">
        <f>IFERROR(ROUND(L721*(I721/$AW721)/VLOOKUP(H721,商品!$A$4:$D$67,4,FALSE),0),"")</f>
        <v/>
      </c>
      <c r="AP721" t="str">
        <f>IFERROR(ROUND(L721*(K721/$AW721)/VLOOKUP(J721,商品!$A$4:$D$67,4,FALSE),0),"")</f>
        <v/>
      </c>
      <c r="AQ721" t="str">
        <f>IFERROR(ROUND(S721*(N721/$AX721)/VLOOKUP(M721,职业!$A$3:$E$16,4,FALSE),0),"")</f>
        <v/>
      </c>
      <c r="AR721" t="str">
        <f>IFERROR(ROUND(S721*(P721/$AX721)/VLOOKUP(O721,职业!$A$3:$E$16,4,FALSE),0),"")</f>
        <v/>
      </c>
      <c r="AS721" t="str">
        <f>IFERROR(ROUND(S721*(R721/$AX721)/VLOOKUP(Q721,职业!$A$3:$E$16,4,FALSE),0),"")</f>
        <v/>
      </c>
      <c r="AT721" t="str">
        <f>IFERROR(ROUND(X721*(U721/$AY721)/VLOOKUP(T721,商品!$A$4:$D$67,4,FALSE),0),"")</f>
        <v/>
      </c>
      <c r="AU721" t="str">
        <f>IFERROR(ROUND(X721*(W721/$AY721)/VLOOKUP(V721,商品!$A$4:$D$67,4,FALSE),0),"")</f>
        <v/>
      </c>
      <c r="AW721">
        <f t="shared" si="201"/>
        <v>0</v>
      </c>
      <c r="AX721">
        <f t="shared" si="202"/>
        <v>0</v>
      </c>
      <c r="AY721">
        <f t="shared" si="203"/>
        <v>0</v>
      </c>
    </row>
    <row r="722" customHeight="1" spans="1:51">
      <c r="A722" s="18" t="s">
        <v>419</v>
      </c>
      <c r="C722" s="18">
        <v>3</v>
      </c>
      <c r="D722" s="1" t="s">
        <v>260</v>
      </c>
      <c r="E722" s="1" t="s">
        <v>224</v>
      </c>
      <c r="L722" s="18">
        <f>IFERROR(VLOOKUP($D722&amp;$C722,生产方式定位!$A$2:$E$38,2,FALSE)+VLOOKUP($E722&amp;$C722,生产方式定位!$F$3:$J$38,2,FALSE),0)</f>
        <v>2000</v>
      </c>
      <c r="S722" s="18">
        <f>IFERROR(VLOOKUP($D722&amp;$C722,生产方式定位!$A$2:$E$38,3,FALSE)+VLOOKUP($E722&amp;$C722,生产方式定位!$F$3:$J$38,3,FALSE),0)</f>
        <v>20</v>
      </c>
      <c r="X722" s="18">
        <f>IFERROR(VLOOKUP($D722&amp;$C722,生产方式定位!$A$2:$E$38,5,FALSE)+VLOOKUP($E722&amp;$C722,生产方式定位!$F$3:$J$38,5,FALSE),"错误")</f>
        <v>2114</v>
      </c>
      <c r="Y722" s="27" t="str">
        <f t="shared" si="187"/>
        <v/>
      </c>
      <c r="Z722" s="50" t="str">
        <f t="shared" si="190"/>
        <v/>
      </c>
      <c r="AA722" s="50" t="str">
        <f t="shared" si="188"/>
        <v/>
      </c>
      <c r="AB722" s="28" t="str">
        <f t="shared" si="191"/>
        <v>6%</v>
      </c>
      <c r="AC722" s="1">
        <f t="shared" si="192"/>
        <v>94</v>
      </c>
      <c r="AD722" s="52">
        <f t="shared" si="189"/>
        <v>3</v>
      </c>
      <c r="AE722" t="str">
        <f t="shared" si="193"/>
        <v/>
      </c>
      <c r="AF722" t="str">
        <f t="shared" si="194"/>
        <v/>
      </c>
      <c r="AG722" t="str">
        <f t="shared" si="195"/>
        <v/>
      </c>
      <c r="AH722" t="str">
        <f t="shared" si="196"/>
        <v/>
      </c>
      <c r="AI722" t="str">
        <f t="shared" si="197"/>
        <v/>
      </c>
      <c r="AJ722" t="str">
        <f t="shared" si="198"/>
        <v/>
      </c>
      <c r="AK722" t="str">
        <f t="shared" si="199"/>
        <v/>
      </c>
      <c r="AL722" t="str">
        <f t="shared" si="200"/>
        <v/>
      </c>
      <c r="AN722" t="str">
        <f>IFERROR(ROUND(L722*(G722/$AW722)/VLOOKUP(F722,商品!$A$4:$D$67,4,FALSE),0),"")</f>
        <v/>
      </c>
      <c r="AO722" t="str">
        <f>IFERROR(ROUND(L722*(I722/$AW722)/VLOOKUP(H722,商品!$A$4:$D$67,4,FALSE),0),"")</f>
        <v/>
      </c>
      <c r="AP722" t="str">
        <f>IFERROR(ROUND(L722*(K722/$AW722)/VLOOKUP(J722,商品!$A$4:$D$67,4,FALSE),0),"")</f>
        <v/>
      </c>
      <c r="AQ722" t="str">
        <f>IFERROR(ROUND(S722*(N722/$AX722)/VLOOKUP(M722,职业!$A$3:$E$16,4,FALSE),0),"")</f>
        <v/>
      </c>
      <c r="AR722" t="str">
        <f>IFERROR(ROUND(S722*(P722/$AX722)/VLOOKUP(O722,职业!$A$3:$E$16,4,FALSE),0),"")</f>
        <v/>
      </c>
      <c r="AS722" t="str">
        <f>IFERROR(ROUND(S722*(R722/$AX722)/VLOOKUP(Q722,职业!$A$3:$E$16,4,FALSE),0),"")</f>
        <v/>
      </c>
      <c r="AT722" t="str">
        <f>IFERROR(ROUND(X722*(U722/$AY722)/VLOOKUP(T722,商品!$A$4:$D$67,4,FALSE),0),"")</f>
        <v/>
      </c>
      <c r="AU722" t="str">
        <f>IFERROR(ROUND(X722*(W722/$AY722)/VLOOKUP(V722,商品!$A$4:$D$67,4,FALSE),0),"")</f>
        <v/>
      </c>
      <c r="AW722">
        <f t="shared" si="201"/>
        <v>0</v>
      </c>
      <c r="AX722">
        <f t="shared" si="202"/>
        <v>0</v>
      </c>
      <c r="AY722">
        <f t="shared" si="203"/>
        <v>0</v>
      </c>
    </row>
    <row r="723" customHeight="1" spans="1:51">
      <c r="A723" s="18" t="s">
        <v>419</v>
      </c>
      <c r="C723" s="18">
        <v>4</v>
      </c>
      <c r="D723" s="1" t="s">
        <v>260</v>
      </c>
      <c r="E723" s="1" t="s">
        <v>224</v>
      </c>
      <c r="L723" s="18">
        <f>IFERROR(VLOOKUP($D723&amp;$C723,生产方式定位!$A$2:$E$38,2,FALSE)+VLOOKUP($E723&amp;$C723,生产方式定位!$F$3:$J$38,2,FALSE),0)</f>
        <v>3000</v>
      </c>
      <c r="S723" s="18">
        <f>IFERROR(VLOOKUP($D723&amp;$C723,生产方式定位!$A$2:$E$38,3,FALSE)+VLOOKUP($E723&amp;$C723,生产方式定位!$F$3:$J$38,3,FALSE),0)</f>
        <v>-10</v>
      </c>
      <c r="X723" s="18">
        <f>IFERROR(VLOOKUP($D723&amp;$C723,生产方式定位!$A$2:$E$38,5,FALSE)+VLOOKUP($E723&amp;$C723,生产方式定位!$F$3:$J$38,5,FALSE),"错误")</f>
        <v>3132</v>
      </c>
      <c r="Y723" s="27" t="str">
        <f t="shared" si="187"/>
        <v/>
      </c>
      <c r="Z723" s="50" t="str">
        <f t="shared" si="190"/>
        <v/>
      </c>
      <c r="AA723" s="50" t="str">
        <f t="shared" si="188"/>
        <v/>
      </c>
      <c r="AB723" s="28" t="str">
        <f t="shared" si="191"/>
        <v>4%</v>
      </c>
      <c r="AC723" s="1">
        <f t="shared" si="192"/>
        <v>142</v>
      </c>
      <c r="AD723" s="52">
        <f t="shared" si="189"/>
        <v>4</v>
      </c>
      <c r="AE723" t="str">
        <f t="shared" si="193"/>
        <v/>
      </c>
      <c r="AF723" t="str">
        <f t="shared" si="194"/>
        <v/>
      </c>
      <c r="AG723" t="str">
        <f t="shared" si="195"/>
        <v/>
      </c>
      <c r="AH723" t="str">
        <f t="shared" si="196"/>
        <v/>
      </c>
      <c r="AI723" t="str">
        <f t="shared" si="197"/>
        <v/>
      </c>
      <c r="AJ723" t="str">
        <f t="shared" si="198"/>
        <v/>
      </c>
      <c r="AK723" t="str">
        <f t="shared" si="199"/>
        <v/>
      </c>
      <c r="AL723" t="str">
        <f t="shared" si="200"/>
        <v/>
      </c>
      <c r="AN723" t="str">
        <f>IFERROR(ROUND(L723*(G723/$AW723)/VLOOKUP(F723,商品!$A$4:$D$67,4,FALSE),0),"")</f>
        <v/>
      </c>
      <c r="AO723" t="str">
        <f>IFERROR(ROUND(L723*(I723/$AW723)/VLOOKUP(H723,商品!$A$4:$D$67,4,FALSE),0),"")</f>
        <v/>
      </c>
      <c r="AP723" t="str">
        <f>IFERROR(ROUND(L723*(K723/$AW723)/VLOOKUP(J723,商品!$A$4:$D$67,4,FALSE),0),"")</f>
        <v/>
      </c>
      <c r="AQ723" t="str">
        <f>IFERROR(ROUND(S723*(N723/$AX723)/VLOOKUP(M723,职业!$A$3:$E$16,4,FALSE),0),"")</f>
        <v/>
      </c>
      <c r="AR723" t="str">
        <f>IFERROR(ROUND(S723*(P723/$AX723)/VLOOKUP(O723,职业!$A$3:$E$16,4,FALSE),0),"")</f>
        <v/>
      </c>
      <c r="AS723" t="str">
        <f>IFERROR(ROUND(S723*(R723/$AX723)/VLOOKUP(Q723,职业!$A$3:$E$16,4,FALSE),0),"")</f>
        <v/>
      </c>
      <c r="AT723" t="str">
        <f>IFERROR(ROUND(X723*(U723/$AY723)/VLOOKUP(T723,商品!$A$4:$D$67,4,FALSE),0),"")</f>
        <v/>
      </c>
      <c r="AU723" t="str">
        <f>IFERROR(ROUND(X723*(W723/$AY723)/VLOOKUP(V723,商品!$A$4:$D$67,4,FALSE),0),"")</f>
        <v/>
      </c>
      <c r="AW723">
        <f t="shared" si="201"/>
        <v>0</v>
      </c>
      <c r="AX723">
        <f t="shared" si="202"/>
        <v>0</v>
      </c>
      <c r="AY723">
        <f t="shared" si="203"/>
        <v>0</v>
      </c>
    </row>
    <row r="724" customHeight="1" spans="1:51">
      <c r="A724" s="18" t="s">
        <v>419</v>
      </c>
      <c r="C724" s="18">
        <v>5</v>
      </c>
      <c r="D724" s="1" t="s">
        <v>260</v>
      </c>
      <c r="E724" s="1" t="s">
        <v>224</v>
      </c>
      <c r="L724" s="18">
        <f>IFERROR(VLOOKUP($D724&amp;$C724,生产方式定位!$A$2:$E$38,2,FALSE)+VLOOKUP($E724&amp;$C724,生产方式定位!$F$3:$J$38,2,FALSE),0)</f>
        <v>4000</v>
      </c>
      <c r="S724" s="18">
        <f>IFERROR(VLOOKUP($D724&amp;$C724,生产方式定位!$A$2:$E$38,3,FALSE)+VLOOKUP($E724&amp;$C724,生产方式定位!$F$3:$J$38,3,FALSE),0)</f>
        <v>-40</v>
      </c>
      <c r="X724" s="18">
        <f>IFERROR(VLOOKUP($D724&amp;$C724,生产方式定位!$A$2:$E$38,5,FALSE)+VLOOKUP($E724&amp;$C724,生产方式定位!$F$3:$J$38,5,FALSE),"错误")</f>
        <v>4150</v>
      </c>
      <c r="Y724" s="27" t="str">
        <f t="shared" si="187"/>
        <v/>
      </c>
      <c r="Z724" s="50" t="str">
        <f t="shared" si="190"/>
        <v/>
      </c>
      <c r="AA724" s="50" t="str">
        <f t="shared" si="188"/>
        <v/>
      </c>
      <c r="AB724" s="28" t="str">
        <f t="shared" si="191"/>
        <v>4%</v>
      </c>
      <c r="AC724" s="1">
        <f t="shared" si="192"/>
        <v>190</v>
      </c>
      <c r="AD724" s="52">
        <f t="shared" si="189"/>
        <v>5</v>
      </c>
      <c r="AE724" t="str">
        <f t="shared" si="193"/>
        <v/>
      </c>
      <c r="AF724" t="str">
        <f t="shared" si="194"/>
        <v/>
      </c>
      <c r="AG724" t="str">
        <f t="shared" si="195"/>
        <v/>
      </c>
      <c r="AH724" t="str">
        <f t="shared" si="196"/>
        <v/>
      </c>
      <c r="AI724" t="str">
        <f t="shared" si="197"/>
        <v/>
      </c>
      <c r="AJ724" t="str">
        <f t="shared" si="198"/>
        <v/>
      </c>
      <c r="AK724" t="str">
        <f t="shared" si="199"/>
        <v/>
      </c>
      <c r="AL724" t="str">
        <f t="shared" si="200"/>
        <v/>
      </c>
      <c r="AN724" t="str">
        <f>IFERROR(ROUND(L724*(G724/$AW724)/VLOOKUP(F724,商品!$A$4:$D$67,4,FALSE),0),"")</f>
        <v/>
      </c>
      <c r="AO724" t="str">
        <f>IFERROR(ROUND(L724*(I724/$AW724)/VLOOKUP(H724,商品!$A$4:$D$67,4,FALSE),0),"")</f>
        <v/>
      </c>
      <c r="AP724" t="str">
        <f>IFERROR(ROUND(L724*(K724/$AW724)/VLOOKUP(J724,商品!$A$4:$D$67,4,FALSE),0),"")</f>
        <v/>
      </c>
      <c r="AQ724" t="str">
        <f>IFERROR(ROUND(S724*(N724/$AX724)/VLOOKUP(M724,职业!$A$3:$E$16,4,FALSE),0),"")</f>
        <v/>
      </c>
      <c r="AR724" t="str">
        <f>IFERROR(ROUND(S724*(P724/$AX724)/VLOOKUP(O724,职业!$A$3:$E$16,4,FALSE),0),"")</f>
        <v/>
      </c>
      <c r="AS724" t="str">
        <f>IFERROR(ROUND(S724*(R724/$AX724)/VLOOKUP(Q724,职业!$A$3:$E$16,4,FALSE),0),"")</f>
        <v/>
      </c>
      <c r="AT724" t="str">
        <f>IFERROR(ROUND(X724*(U724/$AY724)/VLOOKUP(T724,商品!$A$4:$D$67,4,FALSE),0),"")</f>
        <v/>
      </c>
      <c r="AU724" t="str">
        <f>IFERROR(ROUND(X724*(W724/$AY724)/VLOOKUP(V724,商品!$A$4:$D$67,4,FALSE),0),"")</f>
        <v/>
      </c>
      <c r="AW724">
        <f t="shared" si="201"/>
        <v>0</v>
      </c>
      <c r="AX724">
        <f t="shared" si="202"/>
        <v>0</v>
      </c>
      <c r="AY724">
        <f t="shared" si="203"/>
        <v>0</v>
      </c>
    </row>
    <row r="725" customHeight="1" spans="1:51">
      <c r="A725" s="5" t="s">
        <v>419</v>
      </c>
      <c r="C725" s="5">
        <v>1</v>
      </c>
      <c r="D725" s="1" t="s">
        <v>260</v>
      </c>
      <c r="E725" s="1" t="s">
        <v>224</v>
      </c>
      <c r="L725" s="5">
        <f>IFERROR(VLOOKUP($D725&amp;$C725,生产方式定位!$A$2:$E$38,2,FALSE)+VLOOKUP($E725&amp;$C725,生产方式定位!$F$3:$J$38,2,FALSE),0)</f>
        <v>0</v>
      </c>
      <c r="S725" s="5">
        <f>IFERROR(VLOOKUP($D725&amp;$C725,生产方式定位!$A$2:$E$38,3,FALSE)+VLOOKUP($E725&amp;$C725,生产方式定位!$F$3:$J$38,3,FALSE),0)</f>
        <v>70</v>
      </c>
      <c r="X725" s="5">
        <f>IFERROR(VLOOKUP($D725&amp;$C725,生产方式定位!$A$2:$E$38,5,FALSE)+VLOOKUP($E725&amp;$C725,生产方式定位!$F$3:$J$38,5,FALSE),"错误")</f>
        <v>350</v>
      </c>
      <c r="Y725" s="27" t="str">
        <f t="shared" si="187"/>
        <v/>
      </c>
      <c r="Z725" s="50" t="str">
        <f t="shared" si="190"/>
        <v/>
      </c>
      <c r="AA725" s="50" t="str">
        <f t="shared" si="188"/>
        <v/>
      </c>
      <c r="AB725" s="28" t="str">
        <f t="shared" si="191"/>
        <v/>
      </c>
      <c r="AC725" s="1">
        <f t="shared" si="192"/>
        <v>280</v>
      </c>
      <c r="AD725" s="51">
        <f t="shared" si="189"/>
        <v>1</v>
      </c>
      <c r="AE725" t="str">
        <f t="shared" si="193"/>
        <v/>
      </c>
      <c r="AF725" t="str">
        <f t="shared" si="194"/>
        <v/>
      </c>
      <c r="AG725" t="str">
        <f t="shared" si="195"/>
        <v/>
      </c>
      <c r="AH725" t="str">
        <f t="shared" si="196"/>
        <v/>
      </c>
      <c r="AI725" t="str">
        <f t="shared" si="197"/>
        <v/>
      </c>
      <c r="AJ725" t="str">
        <f t="shared" si="198"/>
        <v/>
      </c>
      <c r="AK725" t="str">
        <f t="shared" si="199"/>
        <v/>
      </c>
      <c r="AL725" t="str">
        <f t="shared" si="200"/>
        <v/>
      </c>
      <c r="AN725" t="str">
        <f>IFERROR(ROUND(L725*(G725/$AW725)/VLOOKUP(F725,商品!$A$4:$D$67,4,FALSE),0),"")</f>
        <v/>
      </c>
      <c r="AO725" t="str">
        <f>IFERROR(ROUND(L725*(I725/$AW725)/VLOOKUP(H725,商品!$A$4:$D$67,4,FALSE),0),"")</f>
        <v/>
      </c>
      <c r="AP725" t="str">
        <f>IFERROR(ROUND(L725*(K725/$AW725)/VLOOKUP(J725,商品!$A$4:$D$67,4,FALSE),0),"")</f>
        <v/>
      </c>
      <c r="AQ725" t="str">
        <f>IFERROR(ROUND(S725*(N725/$AX725)/VLOOKUP(M725,职业!$A$3:$E$16,4,FALSE),0),"")</f>
        <v/>
      </c>
      <c r="AR725" t="str">
        <f>IFERROR(ROUND(S725*(P725/$AX725)/VLOOKUP(O725,职业!$A$3:$E$16,4,FALSE),0),"")</f>
        <v/>
      </c>
      <c r="AS725" t="str">
        <f>IFERROR(ROUND(S725*(R725/$AX725)/VLOOKUP(Q725,职业!$A$3:$E$16,4,FALSE),0),"")</f>
        <v/>
      </c>
      <c r="AT725" t="str">
        <f>IFERROR(ROUND(X725*(U725/$AY725)/VLOOKUP(T725,商品!$A$4:$D$67,4,FALSE),0),"")</f>
        <v/>
      </c>
      <c r="AU725" t="str">
        <f>IFERROR(ROUND(X725*(W725/$AY725)/VLOOKUP(V725,商品!$A$4:$D$67,4,FALSE),0),"")</f>
        <v/>
      </c>
      <c r="AW725">
        <f t="shared" si="201"/>
        <v>0</v>
      </c>
      <c r="AX725">
        <f t="shared" si="202"/>
        <v>0</v>
      </c>
      <c r="AY725">
        <f t="shared" si="203"/>
        <v>0</v>
      </c>
    </row>
    <row r="726" customHeight="1" spans="1:51">
      <c r="A726" s="5" t="s">
        <v>419</v>
      </c>
      <c r="C726" s="5">
        <v>2</v>
      </c>
      <c r="D726" s="1" t="s">
        <v>260</v>
      </c>
      <c r="E726" s="1" t="s">
        <v>224</v>
      </c>
      <c r="L726" s="5">
        <f>IFERROR(VLOOKUP($D726&amp;$C726,生产方式定位!$A$2:$E$38,2,FALSE)+VLOOKUP($E726&amp;$C726,生产方式定位!$F$3:$J$38,2,FALSE),0)</f>
        <v>1000</v>
      </c>
      <c r="S726" s="5">
        <f>IFERROR(VLOOKUP($D726&amp;$C726,生产方式定位!$A$2:$E$38,3,FALSE)+VLOOKUP($E726&amp;$C726,生产方式定位!$F$3:$J$38,3,FALSE),0)</f>
        <v>50</v>
      </c>
      <c r="X726" s="5">
        <f>IFERROR(VLOOKUP($D726&amp;$C726,生产方式定位!$A$2:$E$38,5,FALSE)+VLOOKUP($E726&amp;$C726,生产方式定位!$F$3:$J$38,5,FALSE),"错误")</f>
        <v>1096</v>
      </c>
      <c r="Y726" s="27" t="str">
        <f t="shared" si="187"/>
        <v/>
      </c>
      <c r="Z726" s="50" t="str">
        <f t="shared" si="190"/>
        <v/>
      </c>
      <c r="AA726" s="50" t="str">
        <f t="shared" si="188"/>
        <v/>
      </c>
      <c r="AB726" s="28" t="str">
        <f t="shared" si="191"/>
        <v>10%</v>
      </c>
      <c r="AC726" s="1">
        <f t="shared" si="192"/>
        <v>46</v>
      </c>
      <c r="AD726" s="51">
        <f t="shared" si="189"/>
        <v>2</v>
      </c>
      <c r="AE726" t="str">
        <f t="shared" si="193"/>
        <v/>
      </c>
      <c r="AF726" t="str">
        <f t="shared" si="194"/>
        <v/>
      </c>
      <c r="AG726" t="str">
        <f t="shared" si="195"/>
        <v/>
      </c>
      <c r="AH726" t="str">
        <f t="shared" si="196"/>
        <v/>
      </c>
      <c r="AI726" t="str">
        <f t="shared" si="197"/>
        <v/>
      </c>
      <c r="AJ726" t="str">
        <f t="shared" si="198"/>
        <v/>
      </c>
      <c r="AK726" t="str">
        <f t="shared" si="199"/>
        <v/>
      </c>
      <c r="AL726" t="str">
        <f t="shared" si="200"/>
        <v/>
      </c>
      <c r="AN726" t="str">
        <f>IFERROR(ROUND(L726*(G726/$AW726)/VLOOKUP(F726,商品!$A$4:$D$67,4,FALSE),0),"")</f>
        <v/>
      </c>
      <c r="AO726" t="str">
        <f>IFERROR(ROUND(L726*(I726/$AW726)/VLOOKUP(H726,商品!$A$4:$D$67,4,FALSE),0),"")</f>
        <v/>
      </c>
      <c r="AP726" t="str">
        <f>IFERROR(ROUND(L726*(K726/$AW726)/VLOOKUP(J726,商品!$A$4:$D$67,4,FALSE),0),"")</f>
        <v/>
      </c>
      <c r="AQ726" t="str">
        <f>IFERROR(ROUND(S726*(N726/$AX726)/VLOOKUP(M726,职业!$A$3:$E$16,4,FALSE),0),"")</f>
        <v/>
      </c>
      <c r="AR726" t="str">
        <f>IFERROR(ROUND(S726*(P726/$AX726)/VLOOKUP(O726,职业!$A$3:$E$16,4,FALSE),0),"")</f>
        <v/>
      </c>
      <c r="AS726" t="str">
        <f>IFERROR(ROUND(S726*(R726/$AX726)/VLOOKUP(Q726,职业!$A$3:$E$16,4,FALSE),0),"")</f>
        <v/>
      </c>
      <c r="AT726" t="str">
        <f>IFERROR(ROUND(X726*(U726/$AY726)/VLOOKUP(T726,商品!$A$4:$D$67,4,FALSE),0),"")</f>
        <v/>
      </c>
      <c r="AU726" t="str">
        <f>IFERROR(ROUND(X726*(W726/$AY726)/VLOOKUP(V726,商品!$A$4:$D$67,4,FALSE),0),"")</f>
        <v/>
      </c>
      <c r="AW726">
        <f t="shared" si="201"/>
        <v>0</v>
      </c>
      <c r="AX726">
        <f t="shared" si="202"/>
        <v>0</v>
      </c>
      <c r="AY726">
        <f t="shared" si="203"/>
        <v>0</v>
      </c>
    </row>
    <row r="727" customHeight="1" spans="1:51">
      <c r="A727" s="5" t="s">
        <v>419</v>
      </c>
      <c r="C727" s="5">
        <v>3</v>
      </c>
      <c r="D727" s="1" t="s">
        <v>260</v>
      </c>
      <c r="E727" s="1" t="s">
        <v>224</v>
      </c>
      <c r="L727" s="5">
        <f>IFERROR(VLOOKUP($D727&amp;$C727,生产方式定位!$A$2:$E$38,2,FALSE)+VLOOKUP($E727&amp;$C727,生产方式定位!$F$3:$J$38,2,FALSE),0)</f>
        <v>2000</v>
      </c>
      <c r="S727" s="5">
        <f>IFERROR(VLOOKUP($D727&amp;$C727,生产方式定位!$A$2:$E$38,3,FALSE)+VLOOKUP($E727&amp;$C727,生产方式定位!$F$3:$J$38,3,FALSE),0)</f>
        <v>20</v>
      </c>
      <c r="X727" s="5">
        <f>IFERROR(VLOOKUP($D727&amp;$C727,生产方式定位!$A$2:$E$38,5,FALSE)+VLOOKUP($E727&amp;$C727,生产方式定位!$F$3:$J$38,5,FALSE),"错误")</f>
        <v>2114</v>
      </c>
      <c r="Y727" s="27" t="str">
        <f t="shared" si="187"/>
        <v/>
      </c>
      <c r="Z727" s="50" t="str">
        <f t="shared" si="190"/>
        <v/>
      </c>
      <c r="AA727" s="50" t="str">
        <f t="shared" si="188"/>
        <v/>
      </c>
      <c r="AB727" s="28" t="str">
        <f t="shared" si="191"/>
        <v>6%</v>
      </c>
      <c r="AC727" s="1">
        <f t="shared" si="192"/>
        <v>94</v>
      </c>
      <c r="AD727" s="51">
        <f t="shared" si="189"/>
        <v>3</v>
      </c>
      <c r="AE727" t="str">
        <f t="shared" si="193"/>
        <v/>
      </c>
      <c r="AF727" t="str">
        <f t="shared" si="194"/>
        <v/>
      </c>
      <c r="AG727" t="str">
        <f t="shared" si="195"/>
        <v/>
      </c>
      <c r="AH727" t="str">
        <f t="shared" si="196"/>
        <v/>
      </c>
      <c r="AI727" t="str">
        <f t="shared" si="197"/>
        <v/>
      </c>
      <c r="AJ727" t="str">
        <f t="shared" si="198"/>
        <v/>
      </c>
      <c r="AK727" t="str">
        <f t="shared" si="199"/>
        <v/>
      </c>
      <c r="AL727" t="str">
        <f t="shared" si="200"/>
        <v/>
      </c>
      <c r="AN727" t="str">
        <f>IFERROR(ROUND(L727*(G727/$AW727)/VLOOKUP(F727,商品!$A$4:$D$67,4,FALSE),0),"")</f>
        <v/>
      </c>
      <c r="AO727" t="str">
        <f>IFERROR(ROUND(L727*(I727/$AW727)/VLOOKUP(H727,商品!$A$4:$D$67,4,FALSE),0),"")</f>
        <v/>
      </c>
      <c r="AP727" t="str">
        <f>IFERROR(ROUND(L727*(K727/$AW727)/VLOOKUP(J727,商品!$A$4:$D$67,4,FALSE),0),"")</f>
        <v/>
      </c>
      <c r="AQ727" t="str">
        <f>IFERROR(ROUND(S727*(N727/$AX727)/VLOOKUP(M727,职业!$A$3:$E$16,4,FALSE),0),"")</f>
        <v/>
      </c>
      <c r="AR727" t="str">
        <f>IFERROR(ROUND(S727*(P727/$AX727)/VLOOKUP(O727,职业!$A$3:$E$16,4,FALSE),0),"")</f>
        <v/>
      </c>
      <c r="AS727" t="str">
        <f>IFERROR(ROUND(S727*(R727/$AX727)/VLOOKUP(Q727,职业!$A$3:$E$16,4,FALSE),0),"")</f>
        <v/>
      </c>
      <c r="AT727" t="str">
        <f>IFERROR(ROUND(X727*(U727/$AY727)/VLOOKUP(T727,商品!$A$4:$D$67,4,FALSE),0),"")</f>
        <v/>
      </c>
      <c r="AU727" t="str">
        <f>IFERROR(ROUND(X727*(W727/$AY727)/VLOOKUP(V727,商品!$A$4:$D$67,4,FALSE),0),"")</f>
        <v/>
      </c>
      <c r="AW727">
        <f t="shared" si="201"/>
        <v>0</v>
      </c>
      <c r="AX727">
        <f t="shared" si="202"/>
        <v>0</v>
      </c>
      <c r="AY727">
        <f t="shared" si="203"/>
        <v>0</v>
      </c>
    </row>
    <row r="728" customHeight="1" spans="1:51">
      <c r="A728" s="5" t="s">
        <v>419</v>
      </c>
      <c r="C728" s="5">
        <v>4</v>
      </c>
      <c r="D728" s="1" t="s">
        <v>260</v>
      </c>
      <c r="E728" s="1" t="s">
        <v>224</v>
      </c>
      <c r="L728" s="5">
        <f>IFERROR(VLOOKUP($D728&amp;$C728,生产方式定位!$A$2:$E$38,2,FALSE)+VLOOKUP($E728&amp;$C728,生产方式定位!$F$3:$J$38,2,FALSE),0)</f>
        <v>3000</v>
      </c>
      <c r="S728" s="5">
        <f>IFERROR(VLOOKUP($D728&amp;$C728,生产方式定位!$A$2:$E$38,3,FALSE)+VLOOKUP($E728&amp;$C728,生产方式定位!$F$3:$J$38,3,FALSE),0)</f>
        <v>-10</v>
      </c>
      <c r="X728" s="5">
        <f>IFERROR(VLOOKUP($D728&amp;$C728,生产方式定位!$A$2:$E$38,5,FALSE)+VLOOKUP($E728&amp;$C728,生产方式定位!$F$3:$J$38,5,FALSE),"错误")</f>
        <v>3132</v>
      </c>
      <c r="Y728" s="27" t="str">
        <f t="shared" si="187"/>
        <v/>
      </c>
      <c r="Z728" s="50" t="str">
        <f t="shared" si="190"/>
        <v/>
      </c>
      <c r="AA728" s="50" t="str">
        <f t="shared" si="188"/>
        <v/>
      </c>
      <c r="AB728" s="28" t="str">
        <f t="shared" si="191"/>
        <v>4%</v>
      </c>
      <c r="AC728" s="1">
        <f t="shared" si="192"/>
        <v>142</v>
      </c>
      <c r="AD728" s="51">
        <f t="shared" si="189"/>
        <v>4</v>
      </c>
      <c r="AE728" t="str">
        <f t="shared" si="193"/>
        <v/>
      </c>
      <c r="AF728" t="str">
        <f t="shared" si="194"/>
        <v/>
      </c>
      <c r="AG728" t="str">
        <f t="shared" si="195"/>
        <v/>
      </c>
      <c r="AH728" t="str">
        <f t="shared" si="196"/>
        <v/>
      </c>
      <c r="AI728" t="str">
        <f t="shared" si="197"/>
        <v/>
      </c>
      <c r="AJ728" t="str">
        <f t="shared" si="198"/>
        <v/>
      </c>
      <c r="AK728" t="str">
        <f t="shared" si="199"/>
        <v/>
      </c>
      <c r="AL728" t="str">
        <f t="shared" si="200"/>
        <v/>
      </c>
      <c r="AN728" t="str">
        <f>IFERROR(ROUND(L728*(G728/$AW728)/VLOOKUP(F728,商品!$A$4:$D$67,4,FALSE),0),"")</f>
        <v/>
      </c>
      <c r="AO728" t="str">
        <f>IFERROR(ROUND(L728*(I728/$AW728)/VLOOKUP(H728,商品!$A$4:$D$67,4,FALSE),0),"")</f>
        <v/>
      </c>
      <c r="AP728" t="str">
        <f>IFERROR(ROUND(L728*(K728/$AW728)/VLOOKUP(J728,商品!$A$4:$D$67,4,FALSE),0),"")</f>
        <v/>
      </c>
      <c r="AQ728" t="str">
        <f>IFERROR(ROUND(S728*(N728/$AX728)/VLOOKUP(M728,职业!$A$3:$E$16,4,FALSE),0),"")</f>
        <v/>
      </c>
      <c r="AR728" t="str">
        <f>IFERROR(ROUND(S728*(P728/$AX728)/VLOOKUP(O728,职业!$A$3:$E$16,4,FALSE),0),"")</f>
        <v/>
      </c>
      <c r="AS728" t="str">
        <f>IFERROR(ROUND(S728*(R728/$AX728)/VLOOKUP(Q728,职业!$A$3:$E$16,4,FALSE),0),"")</f>
        <v/>
      </c>
      <c r="AT728" t="str">
        <f>IFERROR(ROUND(X728*(U728/$AY728)/VLOOKUP(T728,商品!$A$4:$D$67,4,FALSE),0),"")</f>
        <v/>
      </c>
      <c r="AU728" t="str">
        <f>IFERROR(ROUND(X728*(W728/$AY728)/VLOOKUP(V728,商品!$A$4:$D$67,4,FALSE),0),"")</f>
        <v/>
      </c>
      <c r="AW728">
        <f t="shared" si="201"/>
        <v>0</v>
      </c>
      <c r="AX728">
        <f t="shared" si="202"/>
        <v>0</v>
      </c>
      <c r="AY728">
        <f t="shared" si="203"/>
        <v>0</v>
      </c>
    </row>
    <row r="729" customHeight="1" spans="1:51">
      <c r="A729" s="5" t="s">
        <v>419</v>
      </c>
      <c r="C729" s="5">
        <v>5</v>
      </c>
      <c r="D729" s="1" t="s">
        <v>260</v>
      </c>
      <c r="E729" s="1" t="s">
        <v>224</v>
      </c>
      <c r="L729" s="5">
        <f>IFERROR(VLOOKUP($D729&amp;$C729,生产方式定位!$A$2:$E$38,2,FALSE)+VLOOKUP($E729&amp;$C729,生产方式定位!$F$3:$J$38,2,FALSE),0)</f>
        <v>4000</v>
      </c>
      <c r="S729" s="5">
        <f>IFERROR(VLOOKUP($D729&amp;$C729,生产方式定位!$A$2:$E$38,3,FALSE)+VLOOKUP($E729&amp;$C729,生产方式定位!$F$3:$J$38,3,FALSE),0)</f>
        <v>-40</v>
      </c>
      <c r="X729" s="5">
        <f>IFERROR(VLOOKUP($D729&amp;$C729,生产方式定位!$A$2:$E$38,5,FALSE)+VLOOKUP($E729&amp;$C729,生产方式定位!$F$3:$J$38,5,FALSE),"错误")</f>
        <v>4150</v>
      </c>
      <c r="Y729" s="27" t="str">
        <f t="shared" si="187"/>
        <v/>
      </c>
      <c r="Z729" s="50" t="str">
        <f t="shared" si="190"/>
        <v/>
      </c>
      <c r="AA729" s="50" t="str">
        <f t="shared" si="188"/>
        <v/>
      </c>
      <c r="AB729" s="28" t="str">
        <f t="shared" si="191"/>
        <v>4%</v>
      </c>
      <c r="AC729" s="1">
        <f t="shared" si="192"/>
        <v>190</v>
      </c>
      <c r="AD729" s="51">
        <f t="shared" si="189"/>
        <v>5</v>
      </c>
      <c r="AE729" t="str">
        <f t="shared" si="193"/>
        <v/>
      </c>
      <c r="AF729" t="str">
        <f t="shared" si="194"/>
        <v/>
      </c>
      <c r="AG729" t="str">
        <f t="shared" si="195"/>
        <v/>
      </c>
      <c r="AH729" t="str">
        <f t="shared" si="196"/>
        <v/>
      </c>
      <c r="AI729" t="str">
        <f t="shared" si="197"/>
        <v/>
      </c>
      <c r="AJ729" t="str">
        <f t="shared" si="198"/>
        <v/>
      </c>
      <c r="AK729" t="str">
        <f t="shared" si="199"/>
        <v/>
      </c>
      <c r="AL729" t="str">
        <f t="shared" si="200"/>
        <v/>
      </c>
      <c r="AN729" t="str">
        <f>IFERROR(ROUND(L729*(G729/$AW729)/VLOOKUP(F729,商品!$A$4:$D$67,4,FALSE),0),"")</f>
        <v/>
      </c>
      <c r="AO729" t="str">
        <f>IFERROR(ROUND(L729*(I729/$AW729)/VLOOKUP(H729,商品!$A$4:$D$67,4,FALSE),0),"")</f>
        <v/>
      </c>
      <c r="AP729" t="str">
        <f>IFERROR(ROUND(L729*(K729/$AW729)/VLOOKUP(J729,商品!$A$4:$D$67,4,FALSE),0),"")</f>
        <v/>
      </c>
      <c r="AQ729" t="str">
        <f>IFERROR(ROUND(S729*(N729/$AX729)/VLOOKUP(M729,职业!$A$3:$E$16,4,FALSE),0),"")</f>
        <v/>
      </c>
      <c r="AR729" t="str">
        <f>IFERROR(ROUND(S729*(P729/$AX729)/VLOOKUP(O729,职业!$A$3:$E$16,4,FALSE),0),"")</f>
        <v/>
      </c>
      <c r="AS729" t="str">
        <f>IFERROR(ROUND(S729*(R729/$AX729)/VLOOKUP(Q729,职业!$A$3:$E$16,4,FALSE),0),"")</f>
        <v/>
      </c>
      <c r="AT729" t="str">
        <f>IFERROR(ROUND(X729*(U729/$AY729)/VLOOKUP(T729,商品!$A$4:$D$67,4,FALSE),0),"")</f>
        <v/>
      </c>
      <c r="AU729" t="str">
        <f>IFERROR(ROUND(X729*(W729/$AY729)/VLOOKUP(V729,商品!$A$4:$D$67,4,FALSE),0),"")</f>
        <v/>
      </c>
      <c r="AW729">
        <f t="shared" si="201"/>
        <v>0</v>
      </c>
      <c r="AX729">
        <f t="shared" si="202"/>
        <v>0</v>
      </c>
      <c r="AY729">
        <f t="shared" si="203"/>
        <v>0</v>
      </c>
    </row>
    <row r="730" customHeight="1" spans="1:51">
      <c r="A730" s="18" t="s">
        <v>420</v>
      </c>
      <c r="C730" s="18">
        <v>1</v>
      </c>
      <c r="D730" s="1" t="s">
        <v>291</v>
      </c>
      <c r="E730" s="1" t="s">
        <v>225</v>
      </c>
      <c r="L730" s="18">
        <f>IFERROR(VLOOKUP($D730&amp;$C730,生产方式定位!$A$2:$E$38,2,FALSE)+VLOOKUP($E730&amp;$C730,生产方式定位!$F$3:$J$38,2,FALSE),0)</f>
        <v>0</v>
      </c>
      <c r="S730" s="18">
        <f>IFERROR(VLOOKUP($D730&amp;$C730,生产方式定位!$A$2:$E$38,3,FALSE)+VLOOKUP($E730&amp;$C730,生产方式定位!$F$3:$J$38,3,FALSE),0)</f>
        <v>100</v>
      </c>
      <c r="X730" s="18">
        <f>IFERROR(VLOOKUP($D730&amp;$C730,生产方式定位!$A$2:$E$38,5,FALSE)+VLOOKUP($E730&amp;$C730,生产方式定位!$F$3:$J$38,5,FALSE),"错误")</f>
        <v>100</v>
      </c>
      <c r="Y730" s="27" t="str">
        <f t="shared" si="187"/>
        <v/>
      </c>
      <c r="Z730" s="50" t="str">
        <f t="shared" si="190"/>
        <v/>
      </c>
      <c r="AA730" s="50" t="str">
        <f t="shared" si="188"/>
        <v/>
      </c>
      <c r="AB730" s="28" t="str">
        <f t="shared" si="191"/>
        <v/>
      </c>
      <c r="AC730" s="1" t="str">
        <f t="shared" si="192"/>
        <v/>
      </c>
      <c r="AD730" s="52">
        <f t="shared" si="189"/>
        <v>1</v>
      </c>
      <c r="AE730" t="str">
        <f t="shared" si="193"/>
        <v/>
      </c>
      <c r="AF730" t="str">
        <f t="shared" si="194"/>
        <v/>
      </c>
      <c r="AG730" t="str">
        <f t="shared" si="195"/>
        <v/>
      </c>
      <c r="AH730" t="str">
        <f t="shared" si="196"/>
        <v/>
      </c>
      <c r="AI730" t="str">
        <f t="shared" si="197"/>
        <v/>
      </c>
      <c r="AJ730" t="str">
        <f t="shared" si="198"/>
        <v/>
      </c>
      <c r="AK730" t="str">
        <f t="shared" si="199"/>
        <v/>
      </c>
      <c r="AL730" t="str">
        <f t="shared" si="200"/>
        <v/>
      </c>
      <c r="AN730" t="str">
        <f>IFERROR(ROUND(L730*(G730/$AW730)/VLOOKUP(F730,商品!$A$4:$D$67,4,FALSE),0),"")</f>
        <v/>
      </c>
      <c r="AO730" t="str">
        <f>IFERROR(ROUND(L730*(I730/$AW730)/VLOOKUP(H730,商品!$A$4:$D$67,4,FALSE),0),"")</f>
        <v/>
      </c>
      <c r="AP730" t="str">
        <f>IFERROR(ROUND(L730*(K730/$AW730)/VLOOKUP(J730,商品!$A$4:$D$67,4,FALSE),0),"")</f>
        <v/>
      </c>
      <c r="AQ730" t="str">
        <f>IFERROR(ROUND(S730*(N730/$AX730)/VLOOKUP(M730,职业!$A$3:$E$16,4,FALSE),0),"")</f>
        <v/>
      </c>
      <c r="AR730" t="str">
        <f>IFERROR(ROUND(S730*(P730/$AX730)/VLOOKUP(O730,职业!$A$3:$E$16,4,FALSE),0),"")</f>
        <v/>
      </c>
      <c r="AS730" t="str">
        <f>IFERROR(ROUND(S730*(R730/$AX730)/VLOOKUP(Q730,职业!$A$3:$E$16,4,FALSE),0),"")</f>
        <v/>
      </c>
      <c r="AT730" t="str">
        <f>IFERROR(ROUND(X730*(U730/$AY730)/VLOOKUP(T730,商品!$A$4:$D$67,4,FALSE),0),"")</f>
        <v/>
      </c>
      <c r="AU730" t="str">
        <f>IFERROR(ROUND(X730*(W730/$AY730)/VLOOKUP(V730,商品!$A$4:$D$67,4,FALSE),0),"")</f>
        <v/>
      </c>
      <c r="AW730">
        <f t="shared" si="201"/>
        <v>0</v>
      </c>
      <c r="AX730">
        <f t="shared" si="202"/>
        <v>0</v>
      </c>
      <c r="AY730">
        <f t="shared" si="203"/>
        <v>0</v>
      </c>
    </row>
    <row r="731" customHeight="1" spans="1:51">
      <c r="A731" s="18" t="s">
        <v>420</v>
      </c>
      <c r="C731" s="18">
        <v>2</v>
      </c>
      <c r="D731" s="1" t="s">
        <v>291</v>
      </c>
      <c r="E731" s="1" t="s">
        <v>225</v>
      </c>
      <c r="L731" s="18">
        <f>IFERROR(VLOOKUP($D731&amp;$C731,生产方式定位!$A$2:$E$38,2,FALSE)+VLOOKUP($E731&amp;$C731,生产方式定位!$F$3:$J$38,2,FALSE),0)</f>
        <v>0</v>
      </c>
      <c r="S731" s="18">
        <f>IFERROR(VLOOKUP($D731&amp;$C731,生产方式定位!$A$2:$E$38,3,FALSE)+VLOOKUP($E731&amp;$C731,生产方式定位!$F$3:$J$38,3,FALSE),0)</f>
        <v>100</v>
      </c>
      <c r="X731" s="18">
        <f>IFERROR(VLOOKUP($D731&amp;$C731,生产方式定位!$A$2:$E$38,5,FALSE)+VLOOKUP($E731&amp;$C731,生产方式定位!$F$3:$J$38,5,FALSE),"错误")</f>
        <v>100</v>
      </c>
      <c r="Y731" s="27" t="str">
        <f t="shared" si="187"/>
        <v/>
      </c>
      <c r="Z731" s="50" t="str">
        <f t="shared" si="190"/>
        <v/>
      </c>
      <c r="AA731" s="50" t="str">
        <f t="shared" si="188"/>
        <v/>
      </c>
      <c r="AB731" s="28" t="str">
        <f t="shared" si="191"/>
        <v/>
      </c>
      <c r="AC731" s="1" t="str">
        <f t="shared" si="192"/>
        <v/>
      </c>
      <c r="AD731" s="52">
        <f t="shared" si="189"/>
        <v>2</v>
      </c>
      <c r="AE731" t="str">
        <f t="shared" si="193"/>
        <v/>
      </c>
      <c r="AF731" t="str">
        <f t="shared" si="194"/>
        <v/>
      </c>
      <c r="AG731" t="str">
        <f t="shared" si="195"/>
        <v/>
      </c>
      <c r="AH731" t="str">
        <f t="shared" si="196"/>
        <v/>
      </c>
      <c r="AI731" t="str">
        <f t="shared" si="197"/>
        <v/>
      </c>
      <c r="AJ731" t="str">
        <f t="shared" si="198"/>
        <v/>
      </c>
      <c r="AK731" t="str">
        <f t="shared" si="199"/>
        <v/>
      </c>
      <c r="AL731" t="str">
        <f t="shared" si="200"/>
        <v/>
      </c>
      <c r="AN731" t="str">
        <f>IFERROR(ROUND(L731*(G731/$AW731)/VLOOKUP(F731,商品!$A$4:$D$67,4,FALSE),0),"")</f>
        <v/>
      </c>
      <c r="AO731" t="str">
        <f>IFERROR(ROUND(L731*(I731/$AW731)/VLOOKUP(H731,商品!$A$4:$D$67,4,FALSE),0),"")</f>
        <v/>
      </c>
      <c r="AP731" t="str">
        <f>IFERROR(ROUND(L731*(K731/$AW731)/VLOOKUP(J731,商品!$A$4:$D$67,4,FALSE),0),"")</f>
        <v/>
      </c>
      <c r="AQ731" t="str">
        <f>IFERROR(ROUND(S731*(N731/$AX731)/VLOOKUP(M731,职业!$A$3:$E$16,4,FALSE),0),"")</f>
        <v/>
      </c>
      <c r="AR731" t="str">
        <f>IFERROR(ROUND(S731*(P731/$AX731)/VLOOKUP(O731,职业!$A$3:$E$16,4,FALSE),0),"")</f>
        <v/>
      </c>
      <c r="AS731" t="str">
        <f>IFERROR(ROUND(S731*(R731/$AX731)/VLOOKUP(Q731,职业!$A$3:$E$16,4,FALSE),0),"")</f>
        <v/>
      </c>
      <c r="AT731" t="str">
        <f>IFERROR(ROUND(X731*(U731/$AY731)/VLOOKUP(T731,商品!$A$4:$D$67,4,FALSE),0),"")</f>
        <v/>
      </c>
      <c r="AU731" t="str">
        <f>IFERROR(ROUND(X731*(W731/$AY731)/VLOOKUP(V731,商品!$A$4:$D$67,4,FALSE),0),"")</f>
        <v/>
      </c>
      <c r="AW731">
        <f t="shared" si="201"/>
        <v>0</v>
      </c>
      <c r="AX731">
        <f t="shared" si="202"/>
        <v>0</v>
      </c>
      <c r="AY731">
        <f t="shared" si="203"/>
        <v>0</v>
      </c>
    </row>
    <row r="732" customHeight="1" spans="1:51">
      <c r="A732" s="18" t="s">
        <v>420</v>
      </c>
      <c r="C732" s="18">
        <v>3</v>
      </c>
      <c r="D732" s="1" t="s">
        <v>291</v>
      </c>
      <c r="E732" s="1" t="s">
        <v>225</v>
      </c>
      <c r="L732" s="18">
        <f>IFERROR(VLOOKUP($D732&amp;$C732,生产方式定位!$A$2:$E$38,2,FALSE)+VLOOKUP($E732&amp;$C732,生产方式定位!$F$3:$J$38,2,FALSE),0)</f>
        <v>0</v>
      </c>
      <c r="S732" s="18">
        <f>IFERROR(VLOOKUP($D732&amp;$C732,生产方式定位!$A$2:$E$38,3,FALSE)+VLOOKUP($E732&amp;$C732,生产方式定位!$F$3:$J$38,3,FALSE),0)</f>
        <v>100</v>
      </c>
      <c r="X732" s="18">
        <f>IFERROR(VLOOKUP($D732&amp;$C732,生产方式定位!$A$2:$E$38,5,FALSE)+VLOOKUP($E732&amp;$C732,生产方式定位!$F$3:$J$38,5,FALSE),"错误")</f>
        <v>100</v>
      </c>
      <c r="Y732" s="27" t="str">
        <f t="shared" si="187"/>
        <v/>
      </c>
      <c r="Z732" s="50" t="str">
        <f t="shared" si="190"/>
        <v/>
      </c>
      <c r="AA732" s="50" t="str">
        <f t="shared" si="188"/>
        <v/>
      </c>
      <c r="AB732" s="28" t="str">
        <f t="shared" si="191"/>
        <v/>
      </c>
      <c r="AC732" s="1" t="str">
        <f t="shared" si="192"/>
        <v/>
      </c>
      <c r="AD732" s="52">
        <f t="shared" si="189"/>
        <v>3</v>
      </c>
      <c r="AE732" t="str">
        <f t="shared" si="193"/>
        <v/>
      </c>
      <c r="AF732" t="str">
        <f t="shared" si="194"/>
        <v/>
      </c>
      <c r="AG732" t="str">
        <f t="shared" si="195"/>
        <v/>
      </c>
      <c r="AH732" t="str">
        <f t="shared" si="196"/>
        <v/>
      </c>
      <c r="AI732" t="str">
        <f t="shared" si="197"/>
        <v/>
      </c>
      <c r="AJ732" t="str">
        <f t="shared" si="198"/>
        <v/>
      </c>
      <c r="AK732" t="str">
        <f t="shared" si="199"/>
        <v/>
      </c>
      <c r="AL732" t="str">
        <f t="shared" si="200"/>
        <v/>
      </c>
      <c r="AN732" t="str">
        <f>IFERROR(ROUND(L732*(G732/$AW732)/VLOOKUP(F732,商品!$A$4:$D$67,4,FALSE),0),"")</f>
        <v/>
      </c>
      <c r="AO732" t="str">
        <f>IFERROR(ROUND(L732*(I732/$AW732)/VLOOKUP(H732,商品!$A$4:$D$67,4,FALSE),0),"")</f>
        <v/>
      </c>
      <c r="AP732" t="str">
        <f>IFERROR(ROUND(L732*(K732/$AW732)/VLOOKUP(J732,商品!$A$4:$D$67,4,FALSE),0),"")</f>
        <v/>
      </c>
      <c r="AQ732" t="str">
        <f>IFERROR(ROUND(S732*(N732/$AX732)/VLOOKUP(M732,职业!$A$3:$E$16,4,FALSE),0),"")</f>
        <v/>
      </c>
      <c r="AR732" t="str">
        <f>IFERROR(ROUND(S732*(P732/$AX732)/VLOOKUP(O732,职业!$A$3:$E$16,4,FALSE),0),"")</f>
        <v/>
      </c>
      <c r="AS732" t="str">
        <f>IFERROR(ROUND(S732*(R732/$AX732)/VLOOKUP(Q732,职业!$A$3:$E$16,4,FALSE),0),"")</f>
        <v/>
      </c>
      <c r="AT732" t="str">
        <f>IFERROR(ROUND(X732*(U732/$AY732)/VLOOKUP(T732,商品!$A$4:$D$67,4,FALSE),0),"")</f>
        <v/>
      </c>
      <c r="AU732" t="str">
        <f>IFERROR(ROUND(X732*(W732/$AY732)/VLOOKUP(V732,商品!$A$4:$D$67,4,FALSE),0),"")</f>
        <v/>
      </c>
      <c r="AW732">
        <f t="shared" si="201"/>
        <v>0</v>
      </c>
      <c r="AX732">
        <f t="shared" si="202"/>
        <v>0</v>
      </c>
      <c r="AY732">
        <f t="shared" si="203"/>
        <v>0</v>
      </c>
    </row>
    <row r="733" customHeight="1" spans="1:51">
      <c r="A733" s="18" t="s">
        <v>420</v>
      </c>
      <c r="C733" s="18">
        <v>4</v>
      </c>
      <c r="D733" s="1" t="s">
        <v>291</v>
      </c>
      <c r="E733" s="1" t="s">
        <v>225</v>
      </c>
      <c r="L733" s="18">
        <f>IFERROR(VLOOKUP($D733&amp;$C733,生产方式定位!$A$2:$E$38,2,FALSE)+VLOOKUP($E733&amp;$C733,生产方式定位!$F$3:$J$38,2,FALSE),0)</f>
        <v>0</v>
      </c>
      <c r="S733" s="18">
        <f>IFERROR(VLOOKUP($D733&amp;$C733,生产方式定位!$A$2:$E$38,3,FALSE)+VLOOKUP($E733&amp;$C733,生产方式定位!$F$3:$J$38,3,FALSE),0)</f>
        <v>100</v>
      </c>
      <c r="X733" s="18">
        <f>IFERROR(VLOOKUP($D733&amp;$C733,生产方式定位!$A$2:$E$38,5,FALSE)+VLOOKUP($E733&amp;$C733,生产方式定位!$F$3:$J$38,5,FALSE),"错误")</f>
        <v>100</v>
      </c>
      <c r="Y733" s="27" t="str">
        <f t="shared" si="187"/>
        <v/>
      </c>
      <c r="Z733" s="50" t="str">
        <f t="shared" si="190"/>
        <v/>
      </c>
      <c r="AA733" s="50" t="str">
        <f t="shared" si="188"/>
        <v/>
      </c>
      <c r="AB733" s="28" t="str">
        <f t="shared" si="191"/>
        <v/>
      </c>
      <c r="AC733" s="1" t="str">
        <f t="shared" si="192"/>
        <v/>
      </c>
      <c r="AD733" s="52">
        <f t="shared" si="189"/>
        <v>4</v>
      </c>
      <c r="AE733" t="str">
        <f t="shared" si="193"/>
        <v/>
      </c>
      <c r="AF733" t="str">
        <f t="shared" si="194"/>
        <v/>
      </c>
      <c r="AG733" t="str">
        <f t="shared" si="195"/>
        <v/>
      </c>
      <c r="AH733" t="str">
        <f t="shared" si="196"/>
        <v/>
      </c>
      <c r="AI733" t="str">
        <f t="shared" si="197"/>
        <v/>
      </c>
      <c r="AJ733" t="str">
        <f t="shared" si="198"/>
        <v/>
      </c>
      <c r="AK733" t="str">
        <f t="shared" si="199"/>
        <v/>
      </c>
      <c r="AL733" t="str">
        <f t="shared" si="200"/>
        <v/>
      </c>
      <c r="AN733" t="str">
        <f>IFERROR(ROUND(L733*(G733/$AW733)/VLOOKUP(F733,商品!$A$4:$D$67,4,FALSE),0),"")</f>
        <v/>
      </c>
      <c r="AO733" t="str">
        <f>IFERROR(ROUND(L733*(I733/$AW733)/VLOOKUP(H733,商品!$A$4:$D$67,4,FALSE),0),"")</f>
        <v/>
      </c>
      <c r="AP733" t="str">
        <f>IFERROR(ROUND(L733*(K733/$AW733)/VLOOKUP(J733,商品!$A$4:$D$67,4,FALSE),0),"")</f>
        <v/>
      </c>
      <c r="AQ733" t="str">
        <f>IFERROR(ROUND(S733*(N733/$AX733)/VLOOKUP(M733,职业!$A$3:$E$16,4,FALSE),0),"")</f>
        <v/>
      </c>
      <c r="AR733" t="str">
        <f>IFERROR(ROUND(S733*(P733/$AX733)/VLOOKUP(O733,职业!$A$3:$E$16,4,FALSE),0),"")</f>
        <v/>
      </c>
      <c r="AS733" t="str">
        <f>IFERROR(ROUND(S733*(R733/$AX733)/VLOOKUP(Q733,职业!$A$3:$E$16,4,FALSE),0),"")</f>
        <v/>
      </c>
      <c r="AT733" t="str">
        <f>IFERROR(ROUND(X733*(U733/$AY733)/VLOOKUP(T733,商品!$A$4:$D$67,4,FALSE),0),"")</f>
        <v/>
      </c>
      <c r="AU733" t="str">
        <f>IFERROR(ROUND(X733*(W733/$AY733)/VLOOKUP(V733,商品!$A$4:$D$67,4,FALSE),0),"")</f>
        <v/>
      </c>
      <c r="AW733">
        <f t="shared" si="201"/>
        <v>0</v>
      </c>
      <c r="AX733">
        <f t="shared" si="202"/>
        <v>0</v>
      </c>
      <c r="AY733">
        <f t="shared" si="203"/>
        <v>0</v>
      </c>
    </row>
    <row r="734" customHeight="1" spans="1:51">
      <c r="A734" s="18" t="s">
        <v>420</v>
      </c>
      <c r="C734" s="18">
        <v>5</v>
      </c>
      <c r="D734" s="1" t="s">
        <v>291</v>
      </c>
      <c r="E734" s="1" t="s">
        <v>225</v>
      </c>
      <c r="L734" s="18">
        <f>IFERROR(VLOOKUP($D734&amp;$C734,生产方式定位!$A$2:$E$38,2,FALSE)+VLOOKUP($E734&amp;$C734,生产方式定位!$F$3:$J$38,2,FALSE),0)</f>
        <v>0</v>
      </c>
      <c r="S734" s="18">
        <f>IFERROR(VLOOKUP($D734&amp;$C734,生产方式定位!$A$2:$E$38,3,FALSE)+VLOOKUP($E734&amp;$C734,生产方式定位!$F$3:$J$38,3,FALSE),0)</f>
        <v>100</v>
      </c>
      <c r="X734" s="18">
        <f>IFERROR(VLOOKUP($D734&amp;$C734,生产方式定位!$A$2:$E$38,5,FALSE)+VLOOKUP($E734&amp;$C734,生产方式定位!$F$3:$J$38,5,FALSE),"错误")</f>
        <v>100</v>
      </c>
      <c r="Y734" s="27" t="str">
        <f t="shared" si="187"/>
        <v/>
      </c>
      <c r="Z734" s="50" t="str">
        <f t="shared" si="190"/>
        <v/>
      </c>
      <c r="AA734" s="50" t="str">
        <f t="shared" si="188"/>
        <v/>
      </c>
      <c r="AB734" s="28" t="str">
        <f t="shared" si="191"/>
        <v/>
      </c>
      <c r="AC734" s="1" t="str">
        <f t="shared" si="192"/>
        <v/>
      </c>
      <c r="AD734" s="52">
        <f t="shared" si="189"/>
        <v>5</v>
      </c>
      <c r="AE734" t="str">
        <f t="shared" si="193"/>
        <v/>
      </c>
      <c r="AF734" t="str">
        <f t="shared" si="194"/>
        <v/>
      </c>
      <c r="AG734" t="str">
        <f t="shared" si="195"/>
        <v/>
      </c>
      <c r="AH734" t="str">
        <f t="shared" si="196"/>
        <v/>
      </c>
      <c r="AI734" t="str">
        <f t="shared" si="197"/>
        <v/>
      </c>
      <c r="AJ734" t="str">
        <f t="shared" si="198"/>
        <v/>
      </c>
      <c r="AK734" t="str">
        <f t="shared" si="199"/>
        <v/>
      </c>
      <c r="AL734" t="str">
        <f t="shared" si="200"/>
        <v/>
      </c>
      <c r="AN734" t="str">
        <f>IFERROR(ROUND(L734*(G734/$AW734)/VLOOKUP(F734,商品!$A$4:$D$67,4,FALSE),0),"")</f>
        <v/>
      </c>
      <c r="AO734" t="str">
        <f>IFERROR(ROUND(L734*(I734/$AW734)/VLOOKUP(H734,商品!$A$4:$D$67,4,FALSE),0),"")</f>
        <v/>
      </c>
      <c r="AP734" t="str">
        <f>IFERROR(ROUND(L734*(K734/$AW734)/VLOOKUP(J734,商品!$A$4:$D$67,4,FALSE),0),"")</f>
        <v/>
      </c>
      <c r="AQ734" t="str">
        <f>IFERROR(ROUND(S734*(N734/$AX734)/VLOOKUP(M734,职业!$A$3:$E$16,4,FALSE),0),"")</f>
        <v/>
      </c>
      <c r="AR734" t="str">
        <f>IFERROR(ROUND(S734*(P734/$AX734)/VLOOKUP(O734,职业!$A$3:$E$16,4,FALSE),0),"")</f>
        <v/>
      </c>
      <c r="AS734" t="str">
        <f>IFERROR(ROUND(S734*(R734/$AX734)/VLOOKUP(Q734,职业!$A$3:$E$16,4,FALSE),0),"")</f>
        <v/>
      </c>
      <c r="AT734" t="str">
        <f>IFERROR(ROUND(X734*(U734/$AY734)/VLOOKUP(T734,商品!$A$4:$D$67,4,FALSE),0),"")</f>
        <v/>
      </c>
      <c r="AU734" t="str">
        <f>IFERROR(ROUND(X734*(W734/$AY734)/VLOOKUP(V734,商品!$A$4:$D$67,4,FALSE),0),"")</f>
        <v/>
      </c>
      <c r="AW734">
        <f t="shared" si="201"/>
        <v>0</v>
      </c>
      <c r="AX734">
        <f t="shared" si="202"/>
        <v>0</v>
      </c>
      <c r="AY734">
        <f t="shared" si="203"/>
        <v>0</v>
      </c>
    </row>
    <row r="735" customHeight="1" spans="1:51">
      <c r="A735" s="18" t="s">
        <v>420</v>
      </c>
      <c r="C735" s="18">
        <v>6</v>
      </c>
      <c r="D735" s="1" t="s">
        <v>291</v>
      </c>
      <c r="E735" s="1" t="s">
        <v>225</v>
      </c>
      <c r="L735" s="18">
        <f>IFERROR(VLOOKUP($D735&amp;$C735,生产方式定位!$A$2:$E$38,2,FALSE)+VLOOKUP($E735&amp;$C735,生产方式定位!$F$3:$J$38,2,FALSE),0)</f>
        <v>0</v>
      </c>
      <c r="S735" s="18">
        <f>IFERROR(VLOOKUP($D735&amp;$C735,生产方式定位!$A$2:$E$38,3,FALSE)+VLOOKUP($E735&amp;$C735,生产方式定位!$F$3:$J$38,3,FALSE),0)</f>
        <v>100</v>
      </c>
      <c r="X735" s="18">
        <f>IFERROR(VLOOKUP($D735&amp;$C735,生产方式定位!$A$2:$E$38,5,FALSE)+VLOOKUP($E735&amp;$C735,生产方式定位!$F$3:$J$38,5,FALSE),"错误")</f>
        <v>100</v>
      </c>
      <c r="Y735" s="27" t="str">
        <f t="shared" si="187"/>
        <v/>
      </c>
      <c r="Z735" s="50" t="str">
        <f t="shared" si="190"/>
        <v/>
      </c>
      <c r="AA735" s="50" t="str">
        <f t="shared" si="188"/>
        <v/>
      </c>
      <c r="AB735" s="28" t="str">
        <f t="shared" si="191"/>
        <v/>
      </c>
      <c r="AC735" s="1" t="str">
        <f t="shared" si="192"/>
        <v/>
      </c>
      <c r="AD735" s="52">
        <f t="shared" si="189"/>
        <v>6</v>
      </c>
      <c r="AE735" t="str">
        <f t="shared" si="193"/>
        <v/>
      </c>
      <c r="AF735" t="str">
        <f t="shared" si="194"/>
        <v/>
      </c>
      <c r="AG735" t="str">
        <f t="shared" si="195"/>
        <v/>
      </c>
      <c r="AH735" t="str">
        <f t="shared" si="196"/>
        <v/>
      </c>
      <c r="AI735" t="str">
        <f t="shared" si="197"/>
        <v/>
      </c>
      <c r="AJ735" t="str">
        <f t="shared" si="198"/>
        <v/>
      </c>
      <c r="AK735" t="str">
        <f t="shared" si="199"/>
        <v/>
      </c>
      <c r="AL735" t="str">
        <f t="shared" si="200"/>
        <v/>
      </c>
      <c r="AN735" t="str">
        <f>IFERROR(ROUND(L735*(G735/$AW735)/VLOOKUP(F735,商品!$A$4:$D$67,4,FALSE),0),"")</f>
        <v/>
      </c>
      <c r="AO735" t="str">
        <f>IFERROR(ROUND(L735*(I735/$AW735)/VLOOKUP(H735,商品!$A$4:$D$67,4,FALSE),0),"")</f>
        <v/>
      </c>
      <c r="AP735" t="str">
        <f>IFERROR(ROUND(L735*(K735/$AW735)/VLOOKUP(J735,商品!$A$4:$D$67,4,FALSE),0),"")</f>
        <v/>
      </c>
      <c r="AQ735" t="str">
        <f>IFERROR(ROUND(S735*(N735/$AX735)/VLOOKUP(M735,职业!$A$3:$E$16,4,FALSE),0),"")</f>
        <v/>
      </c>
      <c r="AR735" t="str">
        <f>IFERROR(ROUND(S735*(P735/$AX735)/VLOOKUP(O735,职业!$A$3:$E$16,4,FALSE),0),"")</f>
        <v/>
      </c>
      <c r="AS735" t="str">
        <f>IFERROR(ROUND(S735*(R735/$AX735)/VLOOKUP(Q735,职业!$A$3:$E$16,4,FALSE),0),"")</f>
        <v/>
      </c>
      <c r="AT735" t="str">
        <f>IFERROR(ROUND(X735*(U735/$AY735)/VLOOKUP(T735,商品!$A$4:$D$67,4,FALSE),0),"")</f>
        <v/>
      </c>
      <c r="AU735" t="str">
        <f>IFERROR(ROUND(X735*(W735/$AY735)/VLOOKUP(V735,商品!$A$4:$D$67,4,FALSE),0),"")</f>
        <v/>
      </c>
      <c r="AW735">
        <f t="shared" si="201"/>
        <v>0</v>
      </c>
      <c r="AX735">
        <f t="shared" si="202"/>
        <v>0</v>
      </c>
      <c r="AY735">
        <f t="shared" si="203"/>
        <v>0</v>
      </c>
    </row>
    <row r="736" customHeight="1" spans="1:51">
      <c r="A736" s="18" t="s">
        <v>420</v>
      </c>
      <c r="C736" s="18">
        <v>7</v>
      </c>
      <c r="D736" s="1" t="s">
        <v>291</v>
      </c>
      <c r="E736" s="1" t="s">
        <v>225</v>
      </c>
      <c r="L736" s="18">
        <f>IFERROR(VLOOKUP($D736&amp;$C736,生产方式定位!$A$2:$E$38,2,FALSE)+VLOOKUP($E736&amp;$C736,生产方式定位!$F$3:$J$38,2,FALSE),0)</f>
        <v>0</v>
      </c>
      <c r="S736" s="18">
        <f>IFERROR(VLOOKUP($D736&amp;$C736,生产方式定位!$A$2:$E$38,3,FALSE)+VLOOKUP($E736&amp;$C736,生产方式定位!$F$3:$J$38,3,FALSE),0)</f>
        <v>100</v>
      </c>
      <c r="X736" s="18">
        <f>IFERROR(VLOOKUP($D736&amp;$C736,生产方式定位!$A$2:$E$38,5,FALSE)+VLOOKUP($E736&amp;$C736,生产方式定位!$F$3:$J$38,5,FALSE),"错误")</f>
        <v>100</v>
      </c>
      <c r="Y736" s="27" t="str">
        <f t="shared" si="187"/>
        <v/>
      </c>
      <c r="Z736" s="50" t="str">
        <f t="shared" si="190"/>
        <v/>
      </c>
      <c r="AA736" s="50" t="str">
        <f t="shared" si="188"/>
        <v/>
      </c>
      <c r="AB736" s="28" t="str">
        <f t="shared" si="191"/>
        <v/>
      </c>
      <c r="AC736" s="1" t="str">
        <f t="shared" si="192"/>
        <v/>
      </c>
      <c r="AD736" s="52">
        <f t="shared" si="189"/>
        <v>7</v>
      </c>
      <c r="AE736" t="str">
        <f t="shared" si="193"/>
        <v/>
      </c>
      <c r="AF736" t="str">
        <f t="shared" si="194"/>
        <v/>
      </c>
      <c r="AG736" t="str">
        <f t="shared" si="195"/>
        <v/>
      </c>
      <c r="AH736" t="str">
        <f t="shared" si="196"/>
        <v/>
      </c>
      <c r="AI736" t="str">
        <f t="shared" si="197"/>
        <v/>
      </c>
      <c r="AJ736" t="str">
        <f t="shared" si="198"/>
        <v/>
      </c>
      <c r="AK736" t="str">
        <f t="shared" si="199"/>
        <v/>
      </c>
      <c r="AL736" t="str">
        <f t="shared" si="200"/>
        <v/>
      </c>
      <c r="AN736" t="str">
        <f>IFERROR(ROUND(L736*(G736/$AW736)/VLOOKUP(F736,商品!$A$4:$D$67,4,FALSE),0),"")</f>
        <v/>
      </c>
      <c r="AO736" t="str">
        <f>IFERROR(ROUND(L736*(I736/$AW736)/VLOOKUP(H736,商品!$A$4:$D$67,4,FALSE),0),"")</f>
        <v/>
      </c>
      <c r="AP736" t="str">
        <f>IFERROR(ROUND(L736*(K736/$AW736)/VLOOKUP(J736,商品!$A$4:$D$67,4,FALSE),0),"")</f>
        <v/>
      </c>
      <c r="AQ736" t="str">
        <f>IFERROR(ROUND(S736*(N736/$AX736)/VLOOKUP(M736,职业!$A$3:$E$16,4,FALSE),0),"")</f>
        <v/>
      </c>
      <c r="AR736" t="str">
        <f>IFERROR(ROUND(S736*(P736/$AX736)/VLOOKUP(O736,职业!$A$3:$E$16,4,FALSE),0),"")</f>
        <v/>
      </c>
      <c r="AS736" t="str">
        <f>IFERROR(ROUND(S736*(R736/$AX736)/VLOOKUP(Q736,职业!$A$3:$E$16,4,FALSE),0),"")</f>
        <v/>
      </c>
      <c r="AT736" t="str">
        <f>IFERROR(ROUND(X736*(U736/$AY736)/VLOOKUP(T736,商品!$A$4:$D$67,4,FALSE),0),"")</f>
        <v/>
      </c>
      <c r="AU736" t="str">
        <f>IFERROR(ROUND(X736*(W736/$AY736)/VLOOKUP(V736,商品!$A$4:$D$67,4,FALSE),0),"")</f>
        <v/>
      </c>
      <c r="AW736">
        <f t="shared" si="201"/>
        <v>0</v>
      </c>
      <c r="AX736">
        <f t="shared" si="202"/>
        <v>0</v>
      </c>
      <c r="AY736">
        <f t="shared" si="203"/>
        <v>0</v>
      </c>
    </row>
    <row r="737" customHeight="1" spans="1:51">
      <c r="A737" s="18" t="s">
        <v>420</v>
      </c>
      <c r="C737" s="18">
        <v>8</v>
      </c>
      <c r="D737" s="1" t="s">
        <v>291</v>
      </c>
      <c r="E737" s="1" t="s">
        <v>225</v>
      </c>
      <c r="L737" s="18">
        <f>IFERROR(VLOOKUP($D737&amp;$C737,生产方式定位!$A$2:$E$38,2,FALSE)+VLOOKUP($E737&amp;$C737,生产方式定位!$F$3:$J$38,2,FALSE),0)</f>
        <v>0</v>
      </c>
      <c r="S737" s="18">
        <f>IFERROR(VLOOKUP($D737&amp;$C737,生产方式定位!$A$2:$E$38,3,FALSE)+VLOOKUP($E737&amp;$C737,生产方式定位!$F$3:$J$38,3,FALSE),0)</f>
        <v>100</v>
      </c>
      <c r="X737" s="18">
        <f>IFERROR(VLOOKUP($D737&amp;$C737,生产方式定位!$A$2:$E$38,5,FALSE)+VLOOKUP($E737&amp;$C737,生产方式定位!$F$3:$J$38,5,FALSE),"错误")</f>
        <v>100</v>
      </c>
      <c r="Y737" s="27" t="str">
        <f t="shared" si="187"/>
        <v/>
      </c>
      <c r="Z737" s="50" t="str">
        <f t="shared" si="190"/>
        <v/>
      </c>
      <c r="AA737" s="50" t="str">
        <f t="shared" si="188"/>
        <v/>
      </c>
      <c r="AB737" s="28" t="str">
        <f t="shared" si="191"/>
        <v/>
      </c>
      <c r="AC737" s="1" t="str">
        <f t="shared" si="192"/>
        <v/>
      </c>
      <c r="AD737" s="52">
        <f t="shared" si="189"/>
        <v>8</v>
      </c>
      <c r="AE737" t="str">
        <f t="shared" si="193"/>
        <v/>
      </c>
      <c r="AF737" t="str">
        <f t="shared" si="194"/>
        <v/>
      </c>
      <c r="AG737" t="str">
        <f t="shared" si="195"/>
        <v/>
      </c>
      <c r="AH737" t="str">
        <f t="shared" si="196"/>
        <v/>
      </c>
      <c r="AI737" t="str">
        <f t="shared" si="197"/>
        <v/>
      </c>
      <c r="AJ737" t="str">
        <f t="shared" si="198"/>
        <v/>
      </c>
      <c r="AK737" t="str">
        <f t="shared" si="199"/>
        <v/>
      </c>
      <c r="AL737" t="str">
        <f t="shared" si="200"/>
        <v/>
      </c>
      <c r="AN737" t="str">
        <f>IFERROR(ROUND(L737*(G737/$AW737)/VLOOKUP(F737,商品!$A$4:$D$67,4,FALSE),0),"")</f>
        <v/>
      </c>
      <c r="AO737" t="str">
        <f>IFERROR(ROUND(L737*(I737/$AW737)/VLOOKUP(H737,商品!$A$4:$D$67,4,FALSE),0),"")</f>
        <v/>
      </c>
      <c r="AP737" t="str">
        <f>IFERROR(ROUND(L737*(K737/$AW737)/VLOOKUP(J737,商品!$A$4:$D$67,4,FALSE),0),"")</f>
        <v/>
      </c>
      <c r="AQ737" t="str">
        <f>IFERROR(ROUND(S737*(N737/$AX737)/VLOOKUP(M737,职业!$A$3:$E$16,4,FALSE),0),"")</f>
        <v/>
      </c>
      <c r="AR737" t="str">
        <f>IFERROR(ROUND(S737*(P737/$AX737)/VLOOKUP(O737,职业!$A$3:$E$16,4,FALSE),0),"")</f>
        <v/>
      </c>
      <c r="AS737" t="str">
        <f>IFERROR(ROUND(S737*(R737/$AX737)/VLOOKUP(Q737,职业!$A$3:$E$16,4,FALSE),0),"")</f>
        <v/>
      </c>
      <c r="AT737" t="str">
        <f>IFERROR(ROUND(X737*(U737/$AY737)/VLOOKUP(T737,商品!$A$4:$D$67,4,FALSE),0),"")</f>
        <v/>
      </c>
      <c r="AU737" t="str">
        <f>IFERROR(ROUND(X737*(W737/$AY737)/VLOOKUP(V737,商品!$A$4:$D$67,4,FALSE),0),"")</f>
        <v/>
      </c>
      <c r="AW737">
        <f t="shared" si="201"/>
        <v>0</v>
      </c>
      <c r="AX737">
        <f t="shared" si="202"/>
        <v>0</v>
      </c>
      <c r="AY737">
        <f t="shared" si="203"/>
        <v>0</v>
      </c>
    </row>
    <row r="738" customHeight="1" spans="1:51">
      <c r="A738" s="5" t="s">
        <v>422</v>
      </c>
      <c r="C738" s="5">
        <v>1</v>
      </c>
      <c r="D738" s="1" t="s">
        <v>260</v>
      </c>
      <c r="E738" s="1" t="s">
        <v>222</v>
      </c>
      <c r="L738" s="5">
        <f>IFERROR(VLOOKUP($D738&amp;$C738,生产方式定位!$A$2:$E$38,2,FALSE)+VLOOKUP($E738&amp;$C738,生产方式定位!$F$3:$J$38,2,FALSE),0)</f>
        <v>0</v>
      </c>
      <c r="S738" s="5">
        <f>IFERROR(VLOOKUP($D738&amp;$C738,生产方式定位!$A$2:$E$38,3,FALSE)+VLOOKUP($E738&amp;$C738,生产方式定位!$F$3:$J$38,3,FALSE),0)</f>
        <v>70</v>
      </c>
      <c r="X738" s="5">
        <f>IFERROR(VLOOKUP($D738&amp;$C738,生产方式定位!$A$2:$E$38,5,FALSE)+VLOOKUP($E738&amp;$C738,生产方式定位!$F$3:$J$38,5,FALSE),"错误")</f>
        <v>350</v>
      </c>
      <c r="Y738" s="27" t="str">
        <f t="shared" si="187"/>
        <v/>
      </c>
      <c r="Z738" s="50" t="str">
        <f t="shared" si="190"/>
        <v/>
      </c>
      <c r="AA738" s="50" t="str">
        <f t="shared" si="188"/>
        <v/>
      </c>
      <c r="AB738" s="28" t="str">
        <f t="shared" si="191"/>
        <v/>
      </c>
      <c r="AC738" s="1">
        <f t="shared" si="192"/>
        <v>280</v>
      </c>
      <c r="AD738" s="51">
        <f t="shared" si="189"/>
        <v>1</v>
      </c>
      <c r="AE738" t="str">
        <f t="shared" si="193"/>
        <v/>
      </c>
      <c r="AF738" t="str">
        <f t="shared" si="194"/>
        <v/>
      </c>
      <c r="AG738" t="str">
        <f t="shared" si="195"/>
        <v/>
      </c>
      <c r="AH738" t="str">
        <f t="shared" si="196"/>
        <v/>
      </c>
      <c r="AI738" t="str">
        <f t="shared" si="197"/>
        <v/>
      </c>
      <c r="AJ738" t="str">
        <f t="shared" si="198"/>
        <v/>
      </c>
      <c r="AK738" t="str">
        <f t="shared" si="199"/>
        <v/>
      </c>
      <c r="AL738" t="str">
        <f t="shared" si="200"/>
        <v/>
      </c>
      <c r="AN738" t="str">
        <f>IFERROR(ROUND(L738*(G738/$AW738)/VLOOKUP(F738,商品!$A$4:$D$67,4,FALSE),0),"")</f>
        <v/>
      </c>
      <c r="AO738" t="str">
        <f>IFERROR(ROUND(L738*(I738/$AW738)/VLOOKUP(H738,商品!$A$4:$D$67,4,FALSE),0),"")</f>
        <v/>
      </c>
      <c r="AP738" t="str">
        <f>IFERROR(ROUND(L738*(K738/$AW738)/VLOOKUP(J738,商品!$A$4:$D$67,4,FALSE),0),"")</f>
        <v/>
      </c>
      <c r="AQ738" t="str">
        <f>IFERROR(ROUND(S738*(N738/$AX738)/VLOOKUP(M738,职业!$A$3:$E$16,4,FALSE),0),"")</f>
        <v/>
      </c>
      <c r="AR738" t="str">
        <f>IFERROR(ROUND(S738*(P738/$AX738)/VLOOKUP(O738,职业!$A$3:$E$16,4,FALSE),0),"")</f>
        <v/>
      </c>
      <c r="AS738" t="str">
        <f>IFERROR(ROUND(S738*(R738/$AX738)/VLOOKUP(Q738,职业!$A$3:$E$16,4,FALSE),0),"")</f>
        <v/>
      </c>
      <c r="AT738" t="str">
        <f>IFERROR(ROUND(X738*(U738/$AY738)/VLOOKUP(T738,商品!$A$4:$D$67,4,FALSE),0),"")</f>
        <v/>
      </c>
      <c r="AU738" t="str">
        <f>IFERROR(ROUND(X738*(W738/$AY738)/VLOOKUP(V738,商品!$A$4:$D$67,4,FALSE),0),"")</f>
        <v/>
      </c>
      <c r="AW738">
        <f t="shared" si="201"/>
        <v>0</v>
      </c>
      <c r="AX738">
        <f t="shared" si="202"/>
        <v>0</v>
      </c>
      <c r="AY738">
        <f t="shared" si="203"/>
        <v>0</v>
      </c>
    </row>
    <row r="739" customHeight="1" spans="1:51">
      <c r="A739" s="5" t="s">
        <v>422</v>
      </c>
      <c r="C739" s="5">
        <v>2</v>
      </c>
      <c r="D739" s="1" t="s">
        <v>260</v>
      </c>
      <c r="E739" s="1" t="s">
        <v>222</v>
      </c>
      <c r="L739" s="5">
        <f>IFERROR(VLOOKUP($D739&amp;$C739,生产方式定位!$A$2:$E$38,2,FALSE)+VLOOKUP($E739&amp;$C739,生产方式定位!$F$3:$J$38,2,FALSE),0)</f>
        <v>1000</v>
      </c>
      <c r="S739" s="5">
        <f>IFERROR(VLOOKUP($D739&amp;$C739,生产方式定位!$A$2:$E$38,3,FALSE)+VLOOKUP($E739&amp;$C739,生产方式定位!$F$3:$J$38,3,FALSE),0)</f>
        <v>90</v>
      </c>
      <c r="X739" s="5">
        <f>IFERROR(VLOOKUP($D739&amp;$C739,生产方式定位!$A$2:$E$38,5,FALSE)+VLOOKUP($E739&amp;$C739,生产方式定位!$F$3:$J$38,5,FALSE),"错误")</f>
        <v>1140</v>
      </c>
      <c r="Y739" s="27" t="str">
        <f t="shared" si="187"/>
        <v/>
      </c>
      <c r="Z739" s="50" t="str">
        <f t="shared" si="190"/>
        <v/>
      </c>
      <c r="AA739" s="50" t="str">
        <f t="shared" si="188"/>
        <v/>
      </c>
      <c r="AB739" s="28" t="str">
        <f t="shared" si="191"/>
        <v>14%</v>
      </c>
      <c r="AC739" s="1">
        <f t="shared" si="192"/>
        <v>50</v>
      </c>
      <c r="AD739" s="51">
        <f t="shared" si="189"/>
        <v>2</v>
      </c>
      <c r="AE739" t="str">
        <f t="shared" si="193"/>
        <v/>
      </c>
      <c r="AF739" t="str">
        <f t="shared" si="194"/>
        <v/>
      </c>
      <c r="AG739" t="str">
        <f t="shared" si="195"/>
        <v/>
      </c>
      <c r="AH739" t="str">
        <f t="shared" si="196"/>
        <v/>
      </c>
      <c r="AI739" t="str">
        <f t="shared" si="197"/>
        <v/>
      </c>
      <c r="AJ739" t="str">
        <f t="shared" si="198"/>
        <v/>
      </c>
      <c r="AK739" t="str">
        <f t="shared" si="199"/>
        <v/>
      </c>
      <c r="AL739" t="str">
        <f t="shared" si="200"/>
        <v/>
      </c>
      <c r="AN739" t="str">
        <f>IFERROR(ROUND(L739*(G739/$AW739)/VLOOKUP(F739,商品!$A$4:$D$67,4,FALSE),0),"")</f>
        <v/>
      </c>
      <c r="AO739" t="str">
        <f>IFERROR(ROUND(L739*(I739/$AW739)/VLOOKUP(H739,商品!$A$4:$D$67,4,FALSE),0),"")</f>
        <v/>
      </c>
      <c r="AP739" t="str">
        <f>IFERROR(ROUND(L739*(K739/$AW739)/VLOOKUP(J739,商品!$A$4:$D$67,4,FALSE),0),"")</f>
        <v/>
      </c>
      <c r="AQ739" t="str">
        <f>IFERROR(ROUND(S739*(N739/$AX739)/VLOOKUP(M739,职业!$A$3:$E$16,4,FALSE),0),"")</f>
        <v/>
      </c>
      <c r="AR739" t="str">
        <f>IFERROR(ROUND(S739*(P739/$AX739)/VLOOKUP(O739,职业!$A$3:$E$16,4,FALSE),0),"")</f>
        <v/>
      </c>
      <c r="AS739" t="str">
        <f>IFERROR(ROUND(S739*(R739/$AX739)/VLOOKUP(Q739,职业!$A$3:$E$16,4,FALSE),0),"")</f>
        <v/>
      </c>
      <c r="AT739" t="str">
        <f>IFERROR(ROUND(X739*(U739/$AY739)/VLOOKUP(T739,商品!$A$4:$D$67,4,FALSE),0),"")</f>
        <v/>
      </c>
      <c r="AU739" t="str">
        <f>IFERROR(ROUND(X739*(W739/$AY739)/VLOOKUP(V739,商品!$A$4:$D$67,4,FALSE),0),"")</f>
        <v/>
      </c>
      <c r="AW739">
        <f t="shared" si="201"/>
        <v>0</v>
      </c>
      <c r="AX739">
        <f t="shared" si="202"/>
        <v>0</v>
      </c>
      <c r="AY739">
        <f t="shared" si="203"/>
        <v>0</v>
      </c>
    </row>
    <row r="740" customHeight="1" spans="1:51">
      <c r="A740" s="5" t="s">
        <v>422</v>
      </c>
      <c r="C740" s="5">
        <v>3</v>
      </c>
      <c r="D740" s="1" t="s">
        <v>260</v>
      </c>
      <c r="E740" s="1" t="s">
        <v>222</v>
      </c>
      <c r="L740" s="5">
        <f>IFERROR(VLOOKUP($D740&amp;$C740,生产方式定位!$A$2:$E$38,2,FALSE)+VLOOKUP($E740&amp;$C740,生产方式定位!$F$3:$J$38,2,FALSE),0)</f>
        <v>1625</v>
      </c>
      <c r="S740" s="5">
        <f>IFERROR(VLOOKUP($D740&amp;$C740,生产方式定位!$A$2:$E$38,3,FALSE)+VLOOKUP($E740&amp;$C740,生产方式定位!$F$3:$J$38,3,FALSE),0)</f>
        <v>80</v>
      </c>
      <c r="X740" s="5">
        <f>IFERROR(VLOOKUP($D740&amp;$C740,生产方式定位!$A$2:$E$38,5,FALSE)+VLOOKUP($E740&amp;$C740,生产方式定位!$F$3:$J$38,5,FALSE),"错误")</f>
        <v>1768</v>
      </c>
      <c r="Y740" s="27" t="str">
        <f t="shared" si="187"/>
        <v/>
      </c>
      <c r="Z740" s="50" t="str">
        <f t="shared" si="190"/>
        <v/>
      </c>
      <c r="AA740" s="50" t="str">
        <f t="shared" si="188"/>
        <v/>
      </c>
      <c r="AB740" s="28" t="str">
        <f t="shared" si="191"/>
        <v>9%</v>
      </c>
      <c r="AC740" s="1">
        <f t="shared" si="192"/>
        <v>63</v>
      </c>
      <c r="AD740" s="51">
        <f t="shared" si="189"/>
        <v>3</v>
      </c>
      <c r="AE740" t="str">
        <f t="shared" si="193"/>
        <v/>
      </c>
      <c r="AF740" t="str">
        <f t="shared" si="194"/>
        <v/>
      </c>
      <c r="AG740" t="str">
        <f t="shared" si="195"/>
        <v/>
      </c>
      <c r="AH740" t="str">
        <f t="shared" si="196"/>
        <v/>
      </c>
      <c r="AI740" t="str">
        <f t="shared" si="197"/>
        <v/>
      </c>
      <c r="AJ740" t="str">
        <f t="shared" si="198"/>
        <v/>
      </c>
      <c r="AK740" t="str">
        <f t="shared" si="199"/>
        <v/>
      </c>
      <c r="AL740" t="str">
        <f t="shared" si="200"/>
        <v/>
      </c>
      <c r="AN740" t="str">
        <f>IFERROR(ROUND(L740*(G740/$AW740)/VLOOKUP(F740,商品!$A$4:$D$67,4,FALSE),0),"")</f>
        <v/>
      </c>
      <c r="AO740" t="str">
        <f>IFERROR(ROUND(L740*(I740/$AW740)/VLOOKUP(H740,商品!$A$4:$D$67,4,FALSE),0),"")</f>
        <v/>
      </c>
      <c r="AP740" t="str">
        <f>IFERROR(ROUND(L740*(K740/$AW740)/VLOOKUP(J740,商品!$A$4:$D$67,4,FALSE),0),"")</f>
        <v/>
      </c>
      <c r="AQ740" t="str">
        <f>IFERROR(ROUND(S740*(N740/$AX740)/VLOOKUP(M740,职业!$A$3:$E$16,4,FALSE),0),"")</f>
        <v/>
      </c>
      <c r="AR740" t="str">
        <f>IFERROR(ROUND(S740*(P740/$AX740)/VLOOKUP(O740,职业!$A$3:$E$16,4,FALSE),0),"")</f>
        <v/>
      </c>
      <c r="AS740" t="str">
        <f>IFERROR(ROUND(S740*(R740/$AX740)/VLOOKUP(Q740,职业!$A$3:$E$16,4,FALSE),0),"")</f>
        <v/>
      </c>
      <c r="AT740" t="str">
        <f>IFERROR(ROUND(X740*(U740/$AY740)/VLOOKUP(T740,商品!$A$4:$D$67,4,FALSE),0),"")</f>
        <v/>
      </c>
      <c r="AU740" t="str">
        <f>IFERROR(ROUND(X740*(W740/$AY740)/VLOOKUP(V740,商品!$A$4:$D$67,4,FALSE),0),"")</f>
        <v/>
      </c>
      <c r="AW740">
        <f t="shared" si="201"/>
        <v>0</v>
      </c>
      <c r="AX740">
        <f t="shared" si="202"/>
        <v>0</v>
      </c>
      <c r="AY740">
        <f t="shared" si="203"/>
        <v>0</v>
      </c>
    </row>
    <row r="741" customHeight="1" spans="1:51">
      <c r="A741" s="5" t="s">
        <v>422</v>
      </c>
      <c r="C741" s="5">
        <v>4</v>
      </c>
      <c r="D741" s="1" t="s">
        <v>260</v>
      </c>
      <c r="E741" s="1" t="s">
        <v>222</v>
      </c>
      <c r="L741" s="5">
        <f>IFERROR(VLOOKUP($D741&amp;$C741,生产方式定位!$A$2:$E$38,2,FALSE)+VLOOKUP($E741&amp;$C741,生产方式定位!$F$3:$J$38,2,FALSE),0)</f>
        <v>2250</v>
      </c>
      <c r="S741" s="5">
        <f>IFERROR(VLOOKUP($D741&amp;$C741,生产方式定位!$A$2:$E$38,3,FALSE)+VLOOKUP($E741&amp;$C741,生产方式定位!$F$3:$J$38,3,FALSE),0)</f>
        <v>70</v>
      </c>
      <c r="X741" s="5">
        <f>IFERROR(VLOOKUP($D741&amp;$C741,生产方式定位!$A$2:$E$38,5,FALSE)+VLOOKUP($E741&amp;$C741,生产方式定位!$F$3:$J$38,5,FALSE),"错误")</f>
        <v>2395</v>
      </c>
      <c r="Y741" s="27" t="str">
        <f t="shared" si="187"/>
        <v/>
      </c>
      <c r="Z741" s="50" t="str">
        <f t="shared" si="190"/>
        <v/>
      </c>
      <c r="AA741" s="50" t="str">
        <f t="shared" si="188"/>
        <v/>
      </c>
      <c r="AB741" s="28" t="str">
        <f t="shared" si="191"/>
        <v>6%</v>
      </c>
      <c r="AC741" s="1">
        <f t="shared" si="192"/>
        <v>75</v>
      </c>
      <c r="AD741" s="51">
        <f t="shared" si="189"/>
        <v>4</v>
      </c>
      <c r="AE741" t="str">
        <f t="shared" si="193"/>
        <v/>
      </c>
      <c r="AF741" t="str">
        <f t="shared" si="194"/>
        <v/>
      </c>
      <c r="AG741" t="str">
        <f t="shared" si="195"/>
        <v/>
      </c>
      <c r="AH741" t="str">
        <f t="shared" si="196"/>
        <v/>
      </c>
      <c r="AI741" t="str">
        <f t="shared" si="197"/>
        <v/>
      </c>
      <c r="AJ741" t="str">
        <f t="shared" si="198"/>
        <v/>
      </c>
      <c r="AK741" t="str">
        <f t="shared" si="199"/>
        <v/>
      </c>
      <c r="AL741" t="str">
        <f t="shared" si="200"/>
        <v/>
      </c>
      <c r="AN741" t="str">
        <f>IFERROR(ROUND(L741*(G741/$AW741)/VLOOKUP(F741,商品!$A$4:$D$67,4,FALSE),0),"")</f>
        <v/>
      </c>
      <c r="AO741" t="str">
        <f>IFERROR(ROUND(L741*(I741/$AW741)/VLOOKUP(H741,商品!$A$4:$D$67,4,FALSE),0),"")</f>
        <v/>
      </c>
      <c r="AP741" t="str">
        <f>IFERROR(ROUND(L741*(K741/$AW741)/VLOOKUP(J741,商品!$A$4:$D$67,4,FALSE),0),"")</f>
        <v/>
      </c>
      <c r="AQ741" t="str">
        <f>IFERROR(ROUND(S741*(N741/$AX741)/VLOOKUP(M741,职业!$A$3:$E$16,4,FALSE),0),"")</f>
        <v/>
      </c>
      <c r="AR741" t="str">
        <f>IFERROR(ROUND(S741*(P741/$AX741)/VLOOKUP(O741,职业!$A$3:$E$16,4,FALSE),0),"")</f>
        <v/>
      </c>
      <c r="AS741" t="str">
        <f>IFERROR(ROUND(S741*(R741/$AX741)/VLOOKUP(Q741,职业!$A$3:$E$16,4,FALSE),0),"")</f>
        <v/>
      </c>
      <c r="AT741" t="str">
        <f>IFERROR(ROUND(X741*(U741/$AY741)/VLOOKUP(T741,商品!$A$4:$D$67,4,FALSE),0),"")</f>
        <v/>
      </c>
      <c r="AU741" t="str">
        <f>IFERROR(ROUND(X741*(W741/$AY741)/VLOOKUP(V741,商品!$A$4:$D$67,4,FALSE),0),"")</f>
        <v/>
      </c>
      <c r="AW741">
        <f t="shared" si="201"/>
        <v>0</v>
      </c>
      <c r="AX741">
        <f t="shared" si="202"/>
        <v>0</v>
      </c>
      <c r="AY741">
        <f t="shared" si="203"/>
        <v>0</v>
      </c>
    </row>
    <row r="742" customHeight="1" spans="1:51">
      <c r="A742" s="5" t="s">
        <v>422</v>
      </c>
      <c r="C742" s="5">
        <v>5</v>
      </c>
      <c r="D742" s="1" t="s">
        <v>260</v>
      </c>
      <c r="E742" s="1" t="s">
        <v>222</v>
      </c>
      <c r="L742" s="5">
        <f>IFERROR(VLOOKUP($D742&amp;$C742,生产方式定位!$A$2:$E$38,2,FALSE)+VLOOKUP($E742&amp;$C742,生产方式定位!$F$3:$J$38,2,FALSE),0)</f>
        <v>2875</v>
      </c>
      <c r="S742" s="5">
        <f>IFERROR(VLOOKUP($D742&amp;$C742,生产方式定位!$A$2:$E$38,3,FALSE)+VLOOKUP($E742&amp;$C742,生产方式定位!$F$3:$J$38,3,FALSE),0)</f>
        <v>60</v>
      </c>
      <c r="X742" s="5">
        <f>IFERROR(VLOOKUP($D742&amp;$C742,生产方式定位!$A$2:$E$38,5,FALSE)+VLOOKUP($E742&amp;$C742,生产方式定位!$F$3:$J$38,5,FALSE),"错误")</f>
        <v>3023</v>
      </c>
      <c r="Y742" s="27" t="str">
        <f t="shared" si="187"/>
        <v/>
      </c>
      <c r="Z742" s="50" t="str">
        <f t="shared" si="190"/>
        <v/>
      </c>
      <c r="AA742" s="50" t="str">
        <f t="shared" si="188"/>
        <v/>
      </c>
      <c r="AB742" s="28" t="str">
        <f t="shared" si="191"/>
        <v>5%</v>
      </c>
      <c r="AC742" s="1">
        <f t="shared" si="192"/>
        <v>88</v>
      </c>
      <c r="AD742" s="51">
        <f t="shared" si="189"/>
        <v>5</v>
      </c>
      <c r="AE742" t="str">
        <f t="shared" si="193"/>
        <v/>
      </c>
      <c r="AF742" t="str">
        <f t="shared" si="194"/>
        <v/>
      </c>
      <c r="AG742" t="str">
        <f t="shared" si="195"/>
        <v/>
      </c>
      <c r="AH742" t="str">
        <f t="shared" si="196"/>
        <v/>
      </c>
      <c r="AI742" t="str">
        <f t="shared" si="197"/>
        <v/>
      </c>
      <c r="AJ742" t="str">
        <f t="shared" si="198"/>
        <v/>
      </c>
      <c r="AK742" t="str">
        <f t="shared" si="199"/>
        <v/>
      </c>
      <c r="AL742" t="str">
        <f t="shared" si="200"/>
        <v/>
      </c>
      <c r="AN742" t="str">
        <f>IFERROR(ROUND(L742*(G742/$AW742)/VLOOKUP(F742,商品!$A$4:$D$67,4,FALSE),0),"")</f>
        <v/>
      </c>
      <c r="AO742" t="str">
        <f>IFERROR(ROUND(L742*(I742/$AW742)/VLOOKUP(H742,商品!$A$4:$D$67,4,FALSE),0),"")</f>
        <v/>
      </c>
      <c r="AP742" t="str">
        <f>IFERROR(ROUND(L742*(K742/$AW742)/VLOOKUP(J742,商品!$A$4:$D$67,4,FALSE),0),"")</f>
        <v/>
      </c>
      <c r="AQ742" t="str">
        <f>IFERROR(ROUND(S742*(N742/$AX742)/VLOOKUP(M742,职业!$A$3:$E$16,4,FALSE),0),"")</f>
        <v/>
      </c>
      <c r="AR742" t="str">
        <f>IFERROR(ROUND(S742*(P742/$AX742)/VLOOKUP(O742,职业!$A$3:$E$16,4,FALSE),0),"")</f>
        <v/>
      </c>
      <c r="AS742" t="str">
        <f>IFERROR(ROUND(S742*(R742/$AX742)/VLOOKUP(Q742,职业!$A$3:$E$16,4,FALSE),0),"")</f>
        <v/>
      </c>
      <c r="AT742" t="str">
        <f>IFERROR(ROUND(X742*(U742/$AY742)/VLOOKUP(T742,商品!$A$4:$D$67,4,FALSE),0),"")</f>
        <v/>
      </c>
      <c r="AU742" t="str">
        <f>IFERROR(ROUND(X742*(W742/$AY742)/VLOOKUP(V742,商品!$A$4:$D$67,4,FALSE),0),"")</f>
        <v/>
      </c>
      <c r="AW742">
        <f t="shared" si="201"/>
        <v>0</v>
      </c>
      <c r="AX742">
        <f t="shared" si="202"/>
        <v>0</v>
      </c>
      <c r="AY742">
        <f t="shared" si="203"/>
        <v>0</v>
      </c>
    </row>
    <row r="743" customHeight="1" spans="1:51">
      <c r="A743" s="18" t="s">
        <v>423</v>
      </c>
      <c r="C743" s="18">
        <v>1</v>
      </c>
      <c r="D743" s="1" t="s">
        <v>260</v>
      </c>
      <c r="E743" s="1" t="s">
        <v>223</v>
      </c>
      <c r="L743" s="18">
        <f>IFERROR(VLOOKUP($D743&amp;$C743,生产方式定位!$A$2:$E$38,2,FALSE)+VLOOKUP($E743&amp;$C743,生产方式定位!$F$3:$J$38,2,FALSE),0)</f>
        <v>0</v>
      </c>
      <c r="S743" s="18">
        <f>IFERROR(VLOOKUP($D743&amp;$C743,生产方式定位!$A$2:$E$38,3,FALSE)+VLOOKUP($E743&amp;$C743,生产方式定位!$F$3:$J$38,3,FALSE),0)</f>
        <v>70</v>
      </c>
      <c r="X743" s="18">
        <f>IFERROR(VLOOKUP($D743&amp;$C743,生产方式定位!$A$2:$E$38,5,FALSE)+VLOOKUP($E743&amp;$C743,生产方式定位!$F$3:$J$38,5,FALSE),"错误")</f>
        <v>350</v>
      </c>
      <c r="Y743" s="27" t="str">
        <f t="shared" si="187"/>
        <v/>
      </c>
      <c r="Z743" s="50" t="str">
        <f t="shared" si="190"/>
        <v/>
      </c>
      <c r="AA743" s="50" t="str">
        <f t="shared" si="188"/>
        <v/>
      </c>
      <c r="AB743" s="28" t="str">
        <f t="shared" si="191"/>
        <v/>
      </c>
      <c r="AC743" s="1">
        <f t="shared" si="192"/>
        <v>280</v>
      </c>
      <c r="AD743" s="52">
        <f t="shared" si="189"/>
        <v>1</v>
      </c>
      <c r="AE743" t="str">
        <f t="shared" si="193"/>
        <v/>
      </c>
      <c r="AF743" t="str">
        <f t="shared" si="194"/>
        <v/>
      </c>
      <c r="AG743" t="str">
        <f t="shared" si="195"/>
        <v/>
      </c>
      <c r="AH743" t="str">
        <f t="shared" si="196"/>
        <v/>
      </c>
      <c r="AI743" t="str">
        <f t="shared" si="197"/>
        <v/>
      </c>
      <c r="AJ743" t="str">
        <f t="shared" si="198"/>
        <v/>
      </c>
      <c r="AK743" t="str">
        <f t="shared" si="199"/>
        <v/>
      </c>
      <c r="AL743" t="str">
        <f t="shared" si="200"/>
        <v/>
      </c>
      <c r="AN743" t="str">
        <f>IFERROR(ROUND(L743*(G743/$AW743)/VLOOKUP(F743,商品!$A$4:$D$67,4,FALSE),0),"")</f>
        <v/>
      </c>
      <c r="AO743" t="str">
        <f>IFERROR(ROUND(L743*(I743/$AW743)/VLOOKUP(H743,商品!$A$4:$D$67,4,FALSE),0),"")</f>
        <v/>
      </c>
      <c r="AP743" t="str">
        <f>IFERROR(ROUND(L743*(K743/$AW743)/VLOOKUP(J743,商品!$A$4:$D$67,4,FALSE),0),"")</f>
        <v/>
      </c>
      <c r="AQ743" t="str">
        <f>IFERROR(ROUND(S743*(N743/$AX743)/VLOOKUP(M743,职业!$A$3:$E$16,4,FALSE),0),"")</f>
        <v/>
      </c>
      <c r="AR743" t="str">
        <f>IFERROR(ROUND(S743*(P743/$AX743)/VLOOKUP(O743,职业!$A$3:$E$16,4,FALSE),0),"")</f>
        <v/>
      </c>
      <c r="AS743" t="str">
        <f>IFERROR(ROUND(S743*(R743/$AX743)/VLOOKUP(Q743,职业!$A$3:$E$16,4,FALSE),0),"")</f>
        <v/>
      </c>
      <c r="AT743" t="str">
        <f>IFERROR(ROUND(X743*(U743/$AY743)/VLOOKUP(T743,商品!$A$4:$D$67,4,FALSE),0),"")</f>
        <v/>
      </c>
      <c r="AU743" t="str">
        <f>IFERROR(ROUND(X743*(W743/$AY743)/VLOOKUP(V743,商品!$A$4:$D$67,4,FALSE),0),"")</f>
        <v/>
      </c>
      <c r="AW743">
        <f t="shared" si="201"/>
        <v>0</v>
      </c>
      <c r="AX743">
        <f t="shared" si="202"/>
        <v>0</v>
      </c>
      <c r="AY743">
        <f t="shared" si="203"/>
        <v>0</v>
      </c>
    </row>
    <row r="744" customHeight="1" spans="1:51">
      <c r="A744" s="18" t="s">
        <v>423</v>
      </c>
      <c r="C744" s="18">
        <v>2</v>
      </c>
      <c r="D744" s="1" t="s">
        <v>260</v>
      </c>
      <c r="E744" s="1" t="s">
        <v>223</v>
      </c>
      <c r="L744" s="18">
        <f>IFERROR(VLOOKUP($D744&amp;$C744,生产方式定位!$A$2:$E$38,2,FALSE)+VLOOKUP($E744&amp;$C744,生产方式定位!$F$3:$J$38,2,FALSE),0)</f>
        <v>900</v>
      </c>
      <c r="S744" s="18">
        <f>IFERROR(VLOOKUP($D744&amp;$C744,生产方式定位!$A$2:$E$38,3,FALSE)+VLOOKUP($E744&amp;$C744,生产方式定位!$F$3:$J$38,3,FALSE),0)</f>
        <v>100</v>
      </c>
      <c r="X744" s="18">
        <f>IFERROR(VLOOKUP($D744&amp;$C744,生产方式定位!$A$2:$E$38,5,FALSE)+VLOOKUP($E744&amp;$C744,生产方式定位!$F$3:$J$38,5,FALSE),"错误")</f>
        <v>1041</v>
      </c>
      <c r="Y744" s="27" t="str">
        <f t="shared" si="187"/>
        <v/>
      </c>
      <c r="Z744" s="50" t="str">
        <f t="shared" si="190"/>
        <v/>
      </c>
      <c r="AA744" s="50" t="str">
        <f t="shared" si="188"/>
        <v/>
      </c>
      <c r="AB744" s="28" t="str">
        <f t="shared" si="191"/>
        <v>16%</v>
      </c>
      <c r="AC744" s="1">
        <f t="shared" si="192"/>
        <v>41</v>
      </c>
      <c r="AD744" s="52">
        <f t="shared" si="189"/>
        <v>2</v>
      </c>
      <c r="AE744" t="str">
        <f t="shared" si="193"/>
        <v/>
      </c>
      <c r="AF744" t="str">
        <f t="shared" si="194"/>
        <v/>
      </c>
      <c r="AG744" t="str">
        <f t="shared" si="195"/>
        <v/>
      </c>
      <c r="AH744" t="str">
        <f t="shared" si="196"/>
        <v/>
      </c>
      <c r="AI744" t="str">
        <f t="shared" si="197"/>
        <v/>
      </c>
      <c r="AJ744" t="str">
        <f t="shared" si="198"/>
        <v/>
      </c>
      <c r="AK744" t="str">
        <f t="shared" si="199"/>
        <v/>
      </c>
      <c r="AL744" t="str">
        <f t="shared" si="200"/>
        <v/>
      </c>
      <c r="AN744" t="str">
        <f>IFERROR(ROUND(L744*(G744/$AW744)/VLOOKUP(F744,商品!$A$4:$D$67,4,FALSE),0),"")</f>
        <v/>
      </c>
      <c r="AO744" t="str">
        <f>IFERROR(ROUND(L744*(I744/$AW744)/VLOOKUP(H744,商品!$A$4:$D$67,4,FALSE),0),"")</f>
        <v/>
      </c>
      <c r="AP744" t="str">
        <f>IFERROR(ROUND(L744*(K744/$AW744)/VLOOKUP(J744,商品!$A$4:$D$67,4,FALSE),0),"")</f>
        <v/>
      </c>
      <c r="AQ744" t="str">
        <f>IFERROR(ROUND(S744*(N744/$AX744)/VLOOKUP(M744,职业!$A$3:$E$16,4,FALSE),0),"")</f>
        <v/>
      </c>
      <c r="AR744" t="str">
        <f>IFERROR(ROUND(S744*(P744/$AX744)/VLOOKUP(O744,职业!$A$3:$E$16,4,FALSE),0),"")</f>
        <v/>
      </c>
      <c r="AS744" t="str">
        <f>IFERROR(ROUND(S744*(R744/$AX744)/VLOOKUP(Q744,职业!$A$3:$E$16,4,FALSE),0),"")</f>
        <v/>
      </c>
      <c r="AT744" t="str">
        <f>IFERROR(ROUND(X744*(U744/$AY744)/VLOOKUP(T744,商品!$A$4:$D$67,4,FALSE),0),"")</f>
        <v/>
      </c>
      <c r="AU744" t="str">
        <f>IFERROR(ROUND(X744*(W744/$AY744)/VLOOKUP(V744,商品!$A$4:$D$67,4,FALSE),0),"")</f>
        <v/>
      </c>
      <c r="AW744">
        <f t="shared" si="201"/>
        <v>0</v>
      </c>
      <c r="AX744">
        <f t="shared" si="202"/>
        <v>0</v>
      </c>
      <c r="AY744">
        <f t="shared" si="203"/>
        <v>0</v>
      </c>
    </row>
    <row r="745" customHeight="1" spans="1:51">
      <c r="A745" s="18" t="s">
        <v>423</v>
      </c>
      <c r="C745" s="18">
        <v>3</v>
      </c>
      <c r="D745" s="1" t="s">
        <v>260</v>
      </c>
      <c r="E745" s="1" t="s">
        <v>223</v>
      </c>
      <c r="L745" s="18">
        <f>IFERROR(VLOOKUP($D745&amp;$C745,生产方式定位!$A$2:$E$38,2,FALSE)+VLOOKUP($E745&amp;$C745,生产方式定位!$F$3:$J$38,2,FALSE),0)</f>
        <v>1500</v>
      </c>
      <c r="S745" s="18">
        <f>IFERROR(VLOOKUP($D745&amp;$C745,生产方式定位!$A$2:$E$38,3,FALSE)+VLOOKUP($E745&amp;$C745,生产方式定位!$F$3:$J$38,3,FALSE),0)</f>
        <v>95</v>
      </c>
      <c r="X745" s="18">
        <f>IFERROR(VLOOKUP($D745&amp;$C745,生产方式定位!$A$2:$E$38,5,FALSE)+VLOOKUP($E745&amp;$C745,生产方式定位!$F$3:$J$38,5,FALSE),"错误")</f>
        <v>1647</v>
      </c>
      <c r="Y745" s="27" t="str">
        <f t="shared" si="187"/>
        <v/>
      </c>
      <c r="Z745" s="50" t="str">
        <f t="shared" si="190"/>
        <v/>
      </c>
      <c r="AA745" s="50" t="str">
        <f t="shared" si="188"/>
        <v/>
      </c>
      <c r="AB745" s="28" t="str">
        <f t="shared" si="191"/>
        <v>10%</v>
      </c>
      <c r="AC745" s="1">
        <f t="shared" si="192"/>
        <v>52</v>
      </c>
      <c r="AD745" s="52">
        <f t="shared" si="189"/>
        <v>3</v>
      </c>
      <c r="AE745" t="str">
        <f t="shared" si="193"/>
        <v/>
      </c>
      <c r="AF745" t="str">
        <f t="shared" si="194"/>
        <v/>
      </c>
      <c r="AG745" t="str">
        <f t="shared" si="195"/>
        <v/>
      </c>
      <c r="AH745" t="str">
        <f t="shared" si="196"/>
        <v/>
      </c>
      <c r="AI745" t="str">
        <f t="shared" si="197"/>
        <v/>
      </c>
      <c r="AJ745" t="str">
        <f t="shared" si="198"/>
        <v/>
      </c>
      <c r="AK745" t="str">
        <f t="shared" si="199"/>
        <v/>
      </c>
      <c r="AL745" t="str">
        <f t="shared" si="200"/>
        <v/>
      </c>
      <c r="AN745" t="str">
        <f>IFERROR(ROUND(L745*(G745/$AW745)/VLOOKUP(F745,商品!$A$4:$D$67,4,FALSE),0),"")</f>
        <v/>
      </c>
      <c r="AO745" t="str">
        <f>IFERROR(ROUND(L745*(I745/$AW745)/VLOOKUP(H745,商品!$A$4:$D$67,4,FALSE),0),"")</f>
        <v/>
      </c>
      <c r="AP745" t="str">
        <f>IFERROR(ROUND(L745*(K745/$AW745)/VLOOKUP(J745,商品!$A$4:$D$67,4,FALSE),0),"")</f>
        <v/>
      </c>
      <c r="AQ745" t="str">
        <f>IFERROR(ROUND(S745*(N745/$AX745)/VLOOKUP(M745,职业!$A$3:$E$16,4,FALSE),0),"")</f>
        <v/>
      </c>
      <c r="AR745" t="str">
        <f>IFERROR(ROUND(S745*(P745/$AX745)/VLOOKUP(O745,职业!$A$3:$E$16,4,FALSE),0),"")</f>
        <v/>
      </c>
      <c r="AS745" t="str">
        <f>IFERROR(ROUND(S745*(R745/$AX745)/VLOOKUP(Q745,职业!$A$3:$E$16,4,FALSE),0),"")</f>
        <v/>
      </c>
      <c r="AT745" t="str">
        <f>IFERROR(ROUND(X745*(U745/$AY745)/VLOOKUP(T745,商品!$A$4:$D$67,4,FALSE),0),"")</f>
        <v/>
      </c>
      <c r="AU745" t="str">
        <f>IFERROR(ROUND(X745*(W745/$AY745)/VLOOKUP(V745,商品!$A$4:$D$67,4,FALSE),0),"")</f>
        <v/>
      </c>
      <c r="AW745">
        <f t="shared" si="201"/>
        <v>0</v>
      </c>
      <c r="AX745">
        <f t="shared" si="202"/>
        <v>0</v>
      </c>
      <c r="AY745">
        <f t="shared" si="203"/>
        <v>0</v>
      </c>
    </row>
    <row r="746" customHeight="1" spans="1:51">
      <c r="A746" s="18" t="s">
        <v>423</v>
      </c>
      <c r="C746" s="18">
        <v>4</v>
      </c>
      <c r="D746" s="1" t="s">
        <v>260</v>
      </c>
      <c r="E746" s="1" t="s">
        <v>223</v>
      </c>
      <c r="L746" s="18">
        <f>IFERROR(VLOOKUP($D746&amp;$C746,生产方式定位!$A$2:$E$38,2,FALSE)+VLOOKUP($E746&amp;$C746,生产方式定位!$F$3:$J$38,2,FALSE),0)</f>
        <v>2100</v>
      </c>
      <c r="S746" s="18">
        <f>IFERROR(VLOOKUP($D746&amp;$C746,生产方式定位!$A$2:$E$38,3,FALSE)+VLOOKUP($E746&amp;$C746,生产方式定位!$F$3:$J$38,3,FALSE),0)</f>
        <v>90</v>
      </c>
      <c r="X746" s="18">
        <f>IFERROR(VLOOKUP($D746&amp;$C746,生产方式定位!$A$2:$E$38,5,FALSE)+VLOOKUP($E746&amp;$C746,生产方式定位!$F$3:$J$38,5,FALSE),"错误")</f>
        <v>2252</v>
      </c>
      <c r="Y746" s="27" t="str">
        <f t="shared" si="187"/>
        <v/>
      </c>
      <c r="Z746" s="50" t="str">
        <f t="shared" si="190"/>
        <v/>
      </c>
      <c r="AA746" s="50" t="str">
        <f t="shared" si="188"/>
        <v/>
      </c>
      <c r="AB746" s="28" t="str">
        <f t="shared" si="191"/>
        <v>7%</v>
      </c>
      <c r="AC746" s="1">
        <f t="shared" si="192"/>
        <v>62</v>
      </c>
      <c r="AD746" s="52">
        <f t="shared" si="189"/>
        <v>4</v>
      </c>
      <c r="AE746" t="str">
        <f t="shared" si="193"/>
        <v/>
      </c>
      <c r="AF746" t="str">
        <f t="shared" si="194"/>
        <v/>
      </c>
      <c r="AG746" t="str">
        <f t="shared" si="195"/>
        <v/>
      </c>
      <c r="AH746" t="str">
        <f t="shared" si="196"/>
        <v/>
      </c>
      <c r="AI746" t="str">
        <f t="shared" si="197"/>
        <v/>
      </c>
      <c r="AJ746" t="str">
        <f t="shared" si="198"/>
        <v/>
      </c>
      <c r="AK746" t="str">
        <f t="shared" si="199"/>
        <v/>
      </c>
      <c r="AL746" t="str">
        <f t="shared" si="200"/>
        <v/>
      </c>
      <c r="AN746" t="str">
        <f>IFERROR(ROUND(L746*(G746/$AW746)/VLOOKUP(F746,商品!$A$4:$D$67,4,FALSE),0),"")</f>
        <v/>
      </c>
      <c r="AO746" t="str">
        <f>IFERROR(ROUND(L746*(I746/$AW746)/VLOOKUP(H746,商品!$A$4:$D$67,4,FALSE),0),"")</f>
        <v/>
      </c>
      <c r="AP746" t="str">
        <f>IFERROR(ROUND(L746*(K746/$AW746)/VLOOKUP(J746,商品!$A$4:$D$67,4,FALSE),0),"")</f>
        <v/>
      </c>
      <c r="AQ746" t="str">
        <f>IFERROR(ROUND(S746*(N746/$AX746)/VLOOKUP(M746,职业!$A$3:$E$16,4,FALSE),0),"")</f>
        <v/>
      </c>
      <c r="AR746" t="str">
        <f>IFERROR(ROUND(S746*(P746/$AX746)/VLOOKUP(O746,职业!$A$3:$E$16,4,FALSE),0),"")</f>
        <v/>
      </c>
      <c r="AS746" t="str">
        <f>IFERROR(ROUND(S746*(R746/$AX746)/VLOOKUP(Q746,职业!$A$3:$E$16,4,FALSE),0),"")</f>
        <v/>
      </c>
      <c r="AT746" t="str">
        <f>IFERROR(ROUND(X746*(U746/$AY746)/VLOOKUP(T746,商品!$A$4:$D$67,4,FALSE),0),"")</f>
        <v/>
      </c>
      <c r="AU746" t="str">
        <f>IFERROR(ROUND(X746*(W746/$AY746)/VLOOKUP(V746,商品!$A$4:$D$67,4,FALSE),0),"")</f>
        <v/>
      </c>
      <c r="AW746">
        <f t="shared" si="201"/>
        <v>0</v>
      </c>
      <c r="AX746">
        <f t="shared" si="202"/>
        <v>0</v>
      </c>
      <c r="AY746">
        <f t="shared" si="203"/>
        <v>0</v>
      </c>
    </row>
    <row r="747" customHeight="1" spans="1:51">
      <c r="A747" s="18" t="s">
        <v>423</v>
      </c>
      <c r="C747" s="18">
        <v>5</v>
      </c>
      <c r="D747" s="1" t="s">
        <v>260</v>
      </c>
      <c r="E747" s="1" t="s">
        <v>223</v>
      </c>
      <c r="L747" s="18">
        <f>IFERROR(VLOOKUP($D747&amp;$C747,生产方式定位!$A$2:$E$38,2,FALSE)+VLOOKUP($E747&amp;$C747,生产方式定位!$F$3:$J$38,2,FALSE),0)</f>
        <v>2700</v>
      </c>
      <c r="S747" s="18">
        <f>IFERROR(VLOOKUP($D747&amp;$C747,生产方式定位!$A$2:$E$38,3,FALSE)+VLOOKUP($E747&amp;$C747,生产方式定位!$F$3:$J$38,3,FALSE),0)</f>
        <v>85</v>
      </c>
      <c r="X747" s="18">
        <f>IFERROR(VLOOKUP($D747&amp;$C747,生产方式定位!$A$2:$E$38,5,FALSE)+VLOOKUP($E747&amp;$C747,生产方式定位!$F$3:$J$38,5,FALSE),"错误")</f>
        <v>2858</v>
      </c>
      <c r="Y747" s="27" t="str">
        <f t="shared" si="187"/>
        <v/>
      </c>
      <c r="Z747" s="50" t="str">
        <f t="shared" si="190"/>
        <v/>
      </c>
      <c r="AA747" s="50" t="str">
        <f t="shared" si="188"/>
        <v/>
      </c>
      <c r="AB747" s="28" t="str">
        <f t="shared" si="191"/>
        <v>6%</v>
      </c>
      <c r="AC747" s="1">
        <f t="shared" si="192"/>
        <v>73</v>
      </c>
      <c r="AD747" s="52">
        <f t="shared" si="189"/>
        <v>5</v>
      </c>
      <c r="AE747" t="str">
        <f t="shared" si="193"/>
        <v/>
      </c>
      <c r="AF747" t="str">
        <f t="shared" si="194"/>
        <v/>
      </c>
      <c r="AG747" t="str">
        <f t="shared" si="195"/>
        <v/>
      </c>
      <c r="AH747" t="str">
        <f t="shared" si="196"/>
        <v/>
      </c>
      <c r="AI747" t="str">
        <f t="shared" si="197"/>
        <v/>
      </c>
      <c r="AJ747" t="str">
        <f t="shared" si="198"/>
        <v/>
      </c>
      <c r="AK747" t="str">
        <f t="shared" si="199"/>
        <v/>
      </c>
      <c r="AL747" t="str">
        <f t="shared" si="200"/>
        <v/>
      </c>
      <c r="AN747" t="str">
        <f>IFERROR(ROUND(L747*(G747/$AW747)/VLOOKUP(F747,商品!$A$4:$D$67,4,FALSE),0),"")</f>
        <v/>
      </c>
      <c r="AO747" t="str">
        <f>IFERROR(ROUND(L747*(I747/$AW747)/VLOOKUP(H747,商品!$A$4:$D$67,4,FALSE),0),"")</f>
        <v/>
      </c>
      <c r="AP747" t="str">
        <f>IFERROR(ROUND(L747*(K747/$AW747)/VLOOKUP(J747,商品!$A$4:$D$67,4,FALSE),0),"")</f>
        <v/>
      </c>
      <c r="AQ747" t="str">
        <f>IFERROR(ROUND(S747*(N747/$AX747)/VLOOKUP(M747,职业!$A$3:$E$16,4,FALSE),0),"")</f>
        <v/>
      </c>
      <c r="AR747" t="str">
        <f>IFERROR(ROUND(S747*(P747/$AX747)/VLOOKUP(O747,职业!$A$3:$E$16,4,FALSE),0),"")</f>
        <v/>
      </c>
      <c r="AS747" t="str">
        <f>IFERROR(ROUND(S747*(R747/$AX747)/VLOOKUP(Q747,职业!$A$3:$E$16,4,FALSE),0),"")</f>
        <v/>
      </c>
      <c r="AT747" t="str">
        <f>IFERROR(ROUND(X747*(U747/$AY747)/VLOOKUP(T747,商品!$A$4:$D$67,4,FALSE),0),"")</f>
        <v/>
      </c>
      <c r="AU747" t="str">
        <f>IFERROR(ROUND(X747*(W747/$AY747)/VLOOKUP(V747,商品!$A$4:$D$67,4,FALSE),0),"")</f>
        <v/>
      </c>
      <c r="AW747">
        <f t="shared" si="201"/>
        <v>0</v>
      </c>
      <c r="AX747">
        <f t="shared" si="202"/>
        <v>0</v>
      </c>
      <c r="AY747">
        <f t="shared" si="203"/>
        <v>0</v>
      </c>
    </row>
    <row r="748" customHeight="1" spans="1:51">
      <c r="A748" s="5" t="s">
        <v>424</v>
      </c>
      <c r="C748" s="5">
        <v>1</v>
      </c>
      <c r="D748" s="1" t="s">
        <v>260</v>
      </c>
      <c r="E748" s="1" t="s">
        <v>224</v>
      </c>
      <c r="L748" s="5">
        <f>IFERROR(VLOOKUP($D748&amp;$C748,生产方式定位!$A$2:$E$38,2,FALSE)+VLOOKUP($E748&amp;$C748,生产方式定位!$F$3:$J$38,2,FALSE),0)</f>
        <v>0</v>
      </c>
      <c r="S748" s="5">
        <f>IFERROR(VLOOKUP($D748&amp;$C748,生产方式定位!$A$2:$E$38,3,FALSE)+VLOOKUP($E748&amp;$C748,生产方式定位!$F$3:$J$38,3,FALSE),0)</f>
        <v>70</v>
      </c>
      <c r="X748" s="5">
        <f>IFERROR(VLOOKUP($D748&amp;$C748,生产方式定位!$A$2:$E$38,5,FALSE)+VLOOKUP($E748&amp;$C748,生产方式定位!$F$3:$J$38,5,FALSE),"错误")</f>
        <v>350</v>
      </c>
      <c r="Y748" s="27" t="str">
        <f t="shared" si="187"/>
        <v/>
      </c>
      <c r="Z748" s="50" t="str">
        <f t="shared" si="190"/>
        <v/>
      </c>
      <c r="AA748" s="50" t="str">
        <f t="shared" si="188"/>
        <v/>
      </c>
      <c r="AB748" s="28" t="str">
        <f t="shared" si="191"/>
        <v/>
      </c>
      <c r="AC748" s="1">
        <f t="shared" si="192"/>
        <v>280</v>
      </c>
      <c r="AD748" s="51">
        <f t="shared" si="189"/>
        <v>1</v>
      </c>
      <c r="AE748" t="str">
        <f t="shared" si="193"/>
        <v/>
      </c>
      <c r="AF748" t="str">
        <f t="shared" si="194"/>
        <v/>
      </c>
      <c r="AG748" t="str">
        <f t="shared" si="195"/>
        <v/>
      </c>
      <c r="AH748" t="str">
        <f t="shared" si="196"/>
        <v/>
      </c>
      <c r="AI748" t="str">
        <f t="shared" si="197"/>
        <v/>
      </c>
      <c r="AJ748" t="str">
        <f t="shared" si="198"/>
        <v/>
      </c>
      <c r="AK748" t="str">
        <f t="shared" si="199"/>
        <v/>
      </c>
      <c r="AL748" t="str">
        <f t="shared" si="200"/>
        <v/>
      </c>
      <c r="AN748" t="str">
        <f>IFERROR(ROUND(L748*(G748/$AW748)/VLOOKUP(F748,商品!$A$4:$D$67,4,FALSE),0),"")</f>
        <v/>
      </c>
      <c r="AO748" t="str">
        <f>IFERROR(ROUND(L748*(I748/$AW748)/VLOOKUP(H748,商品!$A$4:$D$67,4,FALSE),0),"")</f>
        <v/>
      </c>
      <c r="AP748" t="str">
        <f>IFERROR(ROUND(L748*(K748/$AW748)/VLOOKUP(J748,商品!$A$4:$D$67,4,FALSE),0),"")</f>
        <v/>
      </c>
      <c r="AQ748" t="str">
        <f>IFERROR(ROUND(S748*(N748/$AX748)/VLOOKUP(M748,职业!$A$3:$E$16,4,FALSE),0),"")</f>
        <v/>
      </c>
      <c r="AR748" t="str">
        <f>IFERROR(ROUND(S748*(P748/$AX748)/VLOOKUP(O748,职业!$A$3:$E$16,4,FALSE),0),"")</f>
        <v/>
      </c>
      <c r="AS748" t="str">
        <f>IFERROR(ROUND(S748*(R748/$AX748)/VLOOKUP(Q748,职业!$A$3:$E$16,4,FALSE),0),"")</f>
        <v/>
      </c>
      <c r="AT748" t="str">
        <f>IFERROR(ROUND(X748*(U748/$AY748)/VLOOKUP(T748,商品!$A$4:$D$67,4,FALSE),0),"")</f>
        <v/>
      </c>
      <c r="AU748" t="str">
        <f>IFERROR(ROUND(X748*(W748/$AY748)/VLOOKUP(V748,商品!$A$4:$D$67,4,FALSE),0),"")</f>
        <v/>
      </c>
      <c r="AW748">
        <f t="shared" si="201"/>
        <v>0</v>
      </c>
      <c r="AX748">
        <f t="shared" si="202"/>
        <v>0</v>
      </c>
      <c r="AY748">
        <f t="shared" si="203"/>
        <v>0</v>
      </c>
    </row>
    <row r="749" customHeight="1" spans="1:51">
      <c r="A749" s="5" t="s">
        <v>424</v>
      </c>
      <c r="C749" s="5">
        <v>2</v>
      </c>
      <c r="D749" s="1" t="s">
        <v>260</v>
      </c>
      <c r="E749" s="1" t="s">
        <v>224</v>
      </c>
      <c r="L749" s="5">
        <f>IFERROR(VLOOKUP($D749&amp;$C749,生产方式定位!$A$2:$E$38,2,FALSE)+VLOOKUP($E749&amp;$C749,生产方式定位!$F$3:$J$38,2,FALSE),0)</f>
        <v>1000</v>
      </c>
      <c r="S749" s="5">
        <f>IFERROR(VLOOKUP($D749&amp;$C749,生产方式定位!$A$2:$E$38,3,FALSE)+VLOOKUP($E749&amp;$C749,生产方式定位!$F$3:$J$38,3,FALSE),0)</f>
        <v>50</v>
      </c>
      <c r="X749" s="5">
        <f>IFERROR(VLOOKUP($D749&amp;$C749,生产方式定位!$A$2:$E$38,5,FALSE)+VLOOKUP($E749&amp;$C749,生产方式定位!$F$3:$J$38,5,FALSE),"错误")</f>
        <v>1096</v>
      </c>
      <c r="Y749" s="27" t="str">
        <f t="shared" si="187"/>
        <v/>
      </c>
      <c r="Z749" s="50" t="str">
        <f t="shared" si="190"/>
        <v/>
      </c>
      <c r="AA749" s="50" t="str">
        <f t="shared" si="188"/>
        <v/>
      </c>
      <c r="AB749" s="28" t="str">
        <f t="shared" si="191"/>
        <v>10%</v>
      </c>
      <c r="AC749" s="1">
        <f t="shared" si="192"/>
        <v>46</v>
      </c>
      <c r="AD749" s="51">
        <f t="shared" si="189"/>
        <v>2</v>
      </c>
      <c r="AE749" t="str">
        <f t="shared" si="193"/>
        <v/>
      </c>
      <c r="AF749" t="str">
        <f t="shared" si="194"/>
        <v/>
      </c>
      <c r="AG749" t="str">
        <f t="shared" si="195"/>
        <v/>
      </c>
      <c r="AH749" t="str">
        <f t="shared" si="196"/>
        <v/>
      </c>
      <c r="AI749" t="str">
        <f t="shared" si="197"/>
        <v/>
      </c>
      <c r="AJ749" t="str">
        <f t="shared" si="198"/>
        <v/>
      </c>
      <c r="AK749" t="str">
        <f t="shared" si="199"/>
        <v/>
      </c>
      <c r="AL749" t="str">
        <f t="shared" si="200"/>
        <v/>
      </c>
      <c r="AN749" t="str">
        <f>IFERROR(ROUND(L749*(G749/$AW749)/VLOOKUP(F749,商品!$A$4:$D$67,4,FALSE),0),"")</f>
        <v/>
      </c>
      <c r="AO749" t="str">
        <f>IFERROR(ROUND(L749*(I749/$AW749)/VLOOKUP(H749,商品!$A$4:$D$67,4,FALSE),0),"")</f>
        <v/>
      </c>
      <c r="AP749" t="str">
        <f>IFERROR(ROUND(L749*(K749/$AW749)/VLOOKUP(J749,商品!$A$4:$D$67,4,FALSE),0),"")</f>
        <v/>
      </c>
      <c r="AQ749" t="str">
        <f>IFERROR(ROUND(S749*(N749/$AX749)/VLOOKUP(M749,职业!$A$3:$E$16,4,FALSE),0),"")</f>
        <v/>
      </c>
      <c r="AR749" t="str">
        <f>IFERROR(ROUND(S749*(P749/$AX749)/VLOOKUP(O749,职业!$A$3:$E$16,4,FALSE),0),"")</f>
        <v/>
      </c>
      <c r="AS749" t="str">
        <f>IFERROR(ROUND(S749*(R749/$AX749)/VLOOKUP(Q749,职业!$A$3:$E$16,4,FALSE),0),"")</f>
        <v/>
      </c>
      <c r="AT749" t="str">
        <f>IFERROR(ROUND(X749*(U749/$AY749)/VLOOKUP(T749,商品!$A$4:$D$67,4,FALSE),0),"")</f>
        <v/>
      </c>
      <c r="AU749" t="str">
        <f>IFERROR(ROUND(X749*(W749/$AY749)/VLOOKUP(V749,商品!$A$4:$D$67,4,FALSE),0),"")</f>
        <v/>
      </c>
      <c r="AW749">
        <f t="shared" si="201"/>
        <v>0</v>
      </c>
      <c r="AX749">
        <f t="shared" si="202"/>
        <v>0</v>
      </c>
      <c r="AY749">
        <f t="shared" si="203"/>
        <v>0</v>
      </c>
    </row>
    <row r="750" customHeight="1" spans="1:51">
      <c r="A750" s="5" t="s">
        <v>424</v>
      </c>
      <c r="C750" s="5">
        <v>3</v>
      </c>
      <c r="D750" s="1" t="s">
        <v>260</v>
      </c>
      <c r="E750" s="1" t="s">
        <v>224</v>
      </c>
      <c r="L750" s="5">
        <f>IFERROR(VLOOKUP($D750&amp;$C750,生产方式定位!$A$2:$E$38,2,FALSE)+VLOOKUP($E750&amp;$C750,生产方式定位!$F$3:$J$38,2,FALSE),0)</f>
        <v>2000</v>
      </c>
      <c r="S750" s="5">
        <f>IFERROR(VLOOKUP($D750&amp;$C750,生产方式定位!$A$2:$E$38,3,FALSE)+VLOOKUP($E750&amp;$C750,生产方式定位!$F$3:$J$38,3,FALSE),0)</f>
        <v>20</v>
      </c>
      <c r="X750" s="5">
        <f>IFERROR(VLOOKUP($D750&amp;$C750,生产方式定位!$A$2:$E$38,5,FALSE)+VLOOKUP($E750&amp;$C750,生产方式定位!$F$3:$J$38,5,FALSE),"错误")</f>
        <v>2114</v>
      </c>
      <c r="Y750" s="27" t="str">
        <f t="shared" si="187"/>
        <v/>
      </c>
      <c r="Z750" s="50" t="str">
        <f t="shared" si="190"/>
        <v/>
      </c>
      <c r="AA750" s="50" t="str">
        <f t="shared" si="188"/>
        <v/>
      </c>
      <c r="AB750" s="28" t="str">
        <f t="shared" si="191"/>
        <v>6%</v>
      </c>
      <c r="AC750" s="1">
        <f t="shared" si="192"/>
        <v>94</v>
      </c>
      <c r="AD750" s="51">
        <f t="shared" si="189"/>
        <v>3</v>
      </c>
      <c r="AE750" t="str">
        <f t="shared" si="193"/>
        <v/>
      </c>
      <c r="AF750" t="str">
        <f t="shared" si="194"/>
        <v/>
      </c>
      <c r="AG750" t="str">
        <f t="shared" si="195"/>
        <v/>
      </c>
      <c r="AH750" t="str">
        <f t="shared" si="196"/>
        <v/>
      </c>
      <c r="AI750" t="str">
        <f t="shared" si="197"/>
        <v/>
      </c>
      <c r="AJ750" t="str">
        <f t="shared" si="198"/>
        <v/>
      </c>
      <c r="AK750" t="str">
        <f t="shared" si="199"/>
        <v/>
      </c>
      <c r="AL750" t="str">
        <f t="shared" si="200"/>
        <v/>
      </c>
      <c r="AN750" t="str">
        <f>IFERROR(ROUND(L750*(G750/$AW750)/VLOOKUP(F750,商品!$A$4:$D$67,4,FALSE),0),"")</f>
        <v/>
      </c>
      <c r="AO750" t="str">
        <f>IFERROR(ROUND(L750*(I750/$AW750)/VLOOKUP(H750,商品!$A$4:$D$67,4,FALSE),0),"")</f>
        <v/>
      </c>
      <c r="AP750" t="str">
        <f>IFERROR(ROUND(L750*(K750/$AW750)/VLOOKUP(J750,商品!$A$4:$D$67,4,FALSE),0),"")</f>
        <v/>
      </c>
      <c r="AQ750" t="str">
        <f>IFERROR(ROUND(S750*(N750/$AX750)/VLOOKUP(M750,职业!$A$3:$E$16,4,FALSE),0),"")</f>
        <v/>
      </c>
      <c r="AR750" t="str">
        <f>IFERROR(ROUND(S750*(P750/$AX750)/VLOOKUP(O750,职业!$A$3:$E$16,4,FALSE),0),"")</f>
        <v/>
      </c>
      <c r="AS750" t="str">
        <f>IFERROR(ROUND(S750*(R750/$AX750)/VLOOKUP(Q750,职业!$A$3:$E$16,4,FALSE),0),"")</f>
        <v/>
      </c>
      <c r="AT750" t="str">
        <f>IFERROR(ROUND(X750*(U750/$AY750)/VLOOKUP(T750,商品!$A$4:$D$67,4,FALSE),0),"")</f>
        <v/>
      </c>
      <c r="AU750" t="str">
        <f>IFERROR(ROUND(X750*(W750/$AY750)/VLOOKUP(V750,商品!$A$4:$D$67,4,FALSE),0),"")</f>
        <v/>
      </c>
      <c r="AW750">
        <f t="shared" si="201"/>
        <v>0</v>
      </c>
      <c r="AX750">
        <f t="shared" si="202"/>
        <v>0</v>
      </c>
      <c r="AY750">
        <f t="shared" si="203"/>
        <v>0</v>
      </c>
    </row>
    <row r="751" customHeight="1" spans="1:51">
      <c r="A751" s="5" t="s">
        <v>424</v>
      </c>
      <c r="C751" s="5">
        <v>4</v>
      </c>
      <c r="D751" s="1" t="s">
        <v>260</v>
      </c>
      <c r="E751" s="1" t="s">
        <v>224</v>
      </c>
      <c r="L751" s="5">
        <f>IFERROR(VLOOKUP($D751&amp;$C751,生产方式定位!$A$2:$E$38,2,FALSE)+VLOOKUP($E751&amp;$C751,生产方式定位!$F$3:$J$38,2,FALSE),0)</f>
        <v>3000</v>
      </c>
      <c r="S751" s="5">
        <f>IFERROR(VLOOKUP($D751&amp;$C751,生产方式定位!$A$2:$E$38,3,FALSE)+VLOOKUP($E751&amp;$C751,生产方式定位!$F$3:$J$38,3,FALSE),0)</f>
        <v>-10</v>
      </c>
      <c r="X751" s="5">
        <f>IFERROR(VLOOKUP($D751&amp;$C751,生产方式定位!$A$2:$E$38,5,FALSE)+VLOOKUP($E751&amp;$C751,生产方式定位!$F$3:$J$38,5,FALSE),"错误")</f>
        <v>3132</v>
      </c>
      <c r="Y751" s="27" t="str">
        <f t="shared" si="187"/>
        <v/>
      </c>
      <c r="Z751" s="50" t="str">
        <f t="shared" si="190"/>
        <v/>
      </c>
      <c r="AA751" s="50" t="str">
        <f t="shared" si="188"/>
        <v/>
      </c>
      <c r="AB751" s="28" t="str">
        <f t="shared" si="191"/>
        <v>4%</v>
      </c>
      <c r="AC751" s="1">
        <f t="shared" si="192"/>
        <v>142</v>
      </c>
      <c r="AD751" s="51">
        <f t="shared" si="189"/>
        <v>4</v>
      </c>
      <c r="AE751" t="str">
        <f t="shared" si="193"/>
        <v/>
      </c>
      <c r="AF751" t="str">
        <f t="shared" si="194"/>
        <v/>
      </c>
      <c r="AG751" t="str">
        <f t="shared" si="195"/>
        <v/>
      </c>
      <c r="AH751" t="str">
        <f t="shared" si="196"/>
        <v/>
      </c>
      <c r="AI751" t="str">
        <f t="shared" si="197"/>
        <v/>
      </c>
      <c r="AJ751" t="str">
        <f t="shared" si="198"/>
        <v/>
      </c>
      <c r="AK751" t="str">
        <f t="shared" si="199"/>
        <v/>
      </c>
      <c r="AL751" t="str">
        <f t="shared" si="200"/>
        <v/>
      </c>
      <c r="AN751" t="str">
        <f>IFERROR(ROUND(L751*(G751/$AW751)/VLOOKUP(F751,商品!$A$4:$D$67,4,FALSE),0),"")</f>
        <v/>
      </c>
      <c r="AO751" t="str">
        <f>IFERROR(ROUND(L751*(I751/$AW751)/VLOOKUP(H751,商品!$A$4:$D$67,4,FALSE),0),"")</f>
        <v/>
      </c>
      <c r="AP751" t="str">
        <f>IFERROR(ROUND(L751*(K751/$AW751)/VLOOKUP(J751,商品!$A$4:$D$67,4,FALSE),0),"")</f>
        <v/>
      </c>
      <c r="AQ751" t="str">
        <f>IFERROR(ROUND(S751*(N751/$AX751)/VLOOKUP(M751,职业!$A$3:$E$16,4,FALSE),0),"")</f>
        <v/>
      </c>
      <c r="AR751" t="str">
        <f>IFERROR(ROUND(S751*(P751/$AX751)/VLOOKUP(O751,职业!$A$3:$E$16,4,FALSE),0),"")</f>
        <v/>
      </c>
      <c r="AS751" t="str">
        <f>IFERROR(ROUND(S751*(R751/$AX751)/VLOOKUP(Q751,职业!$A$3:$E$16,4,FALSE),0),"")</f>
        <v/>
      </c>
      <c r="AT751" t="str">
        <f>IFERROR(ROUND(X751*(U751/$AY751)/VLOOKUP(T751,商品!$A$4:$D$67,4,FALSE),0),"")</f>
        <v/>
      </c>
      <c r="AU751" t="str">
        <f>IFERROR(ROUND(X751*(W751/$AY751)/VLOOKUP(V751,商品!$A$4:$D$67,4,FALSE),0),"")</f>
        <v/>
      </c>
      <c r="AW751">
        <f t="shared" si="201"/>
        <v>0</v>
      </c>
      <c r="AX751">
        <f t="shared" si="202"/>
        <v>0</v>
      </c>
      <c r="AY751">
        <f t="shared" si="203"/>
        <v>0</v>
      </c>
    </row>
    <row r="752" customHeight="1" spans="1:51">
      <c r="A752" s="5" t="s">
        <v>424</v>
      </c>
      <c r="C752" s="5">
        <v>5</v>
      </c>
      <c r="D752" s="1" t="s">
        <v>260</v>
      </c>
      <c r="E752" s="1" t="s">
        <v>224</v>
      </c>
      <c r="L752" s="5">
        <f>IFERROR(VLOOKUP($D752&amp;$C752,生产方式定位!$A$2:$E$38,2,FALSE)+VLOOKUP($E752&amp;$C752,生产方式定位!$F$3:$J$38,2,FALSE),0)</f>
        <v>4000</v>
      </c>
      <c r="S752" s="5">
        <f>IFERROR(VLOOKUP($D752&amp;$C752,生产方式定位!$A$2:$E$38,3,FALSE)+VLOOKUP($E752&amp;$C752,生产方式定位!$F$3:$J$38,3,FALSE),0)</f>
        <v>-40</v>
      </c>
      <c r="X752" s="5">
        <f>IFERROR(VLOOKUP($D752&amp;$C752,生产方式定位!$A$2:$E$38,5,FALSE)+VLOOKUP($E752&amp;$C752,生产方式定位!$F$3:$J$38,5,FALSE),"错误")</f>
        <v>4150</v>
      </c>
      <c r="Y752" s="27" t="str">
        <f t="shared" si="187"/>
        <v/>
      </c>
      <c r="Z752" s="50" t="str">
        <f t="shared" si="190"/>
        <v/>
      </c>
      <c r="AA752" s="50" t="str">
        <f t="shared" si="188"/>
        <v/>
      </c>
      <c r="AB752" s="28" t="str">
        <f t="shared" si="191"/>
        <v>4%</v>
      </c>
      <c r="AC752" s="1">
        <f t="shared" si="192"/>
        <v>190</v>
      </c>
      <c r="AD752" s="51">
        <f t="shared" si="189"/>
        <v>5</v>
      </c>
      <c r="AE752" t="str">
        <f t="shared" si="193"/>
        <v/>
      </c>
      <c r="AF752" t="str">
        <f t="shared" si="194"/>
        <v/>
      </c>
      <c r="AG752" t="str">
        <f t="shared" si="195"/>
        <v/>
      </c>
      <c r="AH752" t="str">
        <f t="shared" si="196"/>
        <v/>
      </c>
      <c r="AI752" t="str">
        <f t="shared" si="197"/>
        <v/>
      </c>
      <c r="AJ752" t="str">
        <f t="shared" si="198"/>
        <v/>
      </c>
      <c r="AK752" t="str">
        <f t="shared" si="199"/>
        <v/>
      </c>
      <c r="AL752" t="str">
        <f t="shared" si="200"/>
        <v/>
      </c>
      <c r="AN752" t="str">
        <f>IFERROR(ROUND(L752*(G752/$AW752)/VLOOKUP(F752,商品!$A$4:$D$67,4,FALSE),0),"")</f>
        <v/>
      </c>
      <c r="AO752" t="str">
        <f>IFERROR(ROUND(L752*(I752/$AW752)/VLOOKUP(H752,商品!$A$4:$D$67,4,FALSE),0),"")</f>
        <v/>
      </c>
      <c r="AP752" t="str">
        <f>IFERROR(ROUND(L752*(K752/$AW752)/VLOOKUP(J752,商品!$A$4:$D$67,4,FALSE),0),"")</f>
        <v/>
      </c>
      <c r="AQ752" t="str">
        <f>IFERROR(ROUND(S752*(N752/$AX752)/VLOOKUP(M752,职业!$A$3:$E$16,4,FALSE),0),"")</f>
        <v/>
      </c>
      <c r="AR752" t="str">
        <f>IFERROR(ROUND(S752*(P752/$AX752)/VLOOKUP(O752,职业!$A$3:$E$16,4,FALSE),0),"")</f>
        <v/>
      </c>
      <c r="AS752" t="str">
        <f>IFERROR(ROUND(S752*(R752/$AX752)/VLOOKUP(Q752,职业!$A$3:$E$16,4,FALSE),0),"")</f>
        <v/>
      </c>
      <c r="AT752" t="str">
        <f>IFERROR(ROUND(X752*(U752/$AY752)/VLOOKUP(T752,商品!$A$4:$D$67,4,FALSE),0),"")</f>
        <v/>
      </c>
      <c r="AU752" t="str">
        <f>IFERROR(ROUND(X752*(W752/$AY752)/VLOOKUP(V752,商品!$A$4:$D$67,4,FALSE),0),"")</f>
        <v/>
      </c>
      <c r="AW752">
        <f t="shared" si="201"/>
        <v>0</v>
      </c>
      <c r="AX752">
        <f t="shared" si="202"/>
        <v>0</v>
      </c>
      <c r="AY752">
        <f t="shared" si="203"/>
        <v>0</v>
      </c>
    </row>
    <row r="753" customHeight="1" spans="1:51">
      <c r="A753" s="18" t="s">
        <v>424</v>
      </c>
      <c r="C753" s="18">
        <v>1</v>
      </c>
      <c r="D753" s="1" t="s">
        <v>260</v>
      </c>
      <c r="E753" s="1" t="s">
        <v>224</v>
      </c>
      <c r="L753" s="18">
        <f>IFERROR(VLOOKUP($D753&amp;$C753,生产方式定位!$A$2:$E$38,2,FALSE)+VLOOKUP($E753&amp;$C753,生产方式定位!$F$3:$J$38,2,FALSE),0)</f>
        <v>0</v>
      </c>
      <c r="S753" s="18">
        <f>IFERROR(VLOOKUP($D753&amp;$C753,生产方式定位!$A$2:$E$38,3,FALSE)+VLOOKUP($E753&amp;$C753,生产方式定位!$F$3:$J$38,3,FALSE),0)</f>
        <v>70</v>
      </c>
      <c r="X753" s="18">
        <f>IFERROR(VLOOKUP($D753&amp;$C753,生产方式定位!$A$2:$E$38,5,FALSE)+VLOOKUP($E753&amp;$C753,生产方式定位!$F$3:$J$38,5,FALSE),"错误")</f>
        <v>350</v>
      </c>
      <c r="Y753" s="27" t="str">
        <f t="shared" si="187"/>
        <v/>
      </c>
      <c r="Z753" s="50" t="str">
        <f t="shared" si="190"/>
        <v/>
      </c>
      <c r="AA753" s="50" t="str">
        <f t="shared" si="188"/>
        <v/>
      </c>
      <c r="AB753" s="28" t="str">
        <f t="shared" si="191"/>
        <v/>
      </c>
      <c r="AC753" s="1">
        <f t="shared" si="192"/>
        <v>280</v>
      </c>
      <c r="AD753" s="52">
        <f t="shared" si="189"/>
        <v>1</v>
      </c>
      <c r="AE753" t="str">
        <f t="shared" si="193"/>
        <v/>
      </c>
      <c r="AF753" t="str">
        <f t="shared" si="194"/>
        <v/>
      </c>
      <c r="AG753" t="str">
        <f t="shared" si="195"/>
        <v/>
      </c>
      <c r="AH753" t="str">
        <f t="shared" si="196"/>
        <v/>
      </c>
      <c r="AI753" t="str">
        <f t="shared" si="197"/>
        <v/>
      </c>
      <c r="AJ753" t="str">
        <f t="shared" si="198"/>
        <v/>
      </c>
      <c r="AK753" t="str">
        <f t="shared" si="199"/>
        <v/>
      </c>
      <c r="AL753" t="str">
        <f t="shared" si="200"/>
        <v/>
      </c>
      <c r="AN753" t="str">
        <f>IFERROR(ROUND(L753*(G753/$AW753)/VLOOKUP(F753,商品!$A$4:$D$67,4,FALSE),0),"")</f>
        <v/>
      </c>
      <c r="AO753" t="str">
        <f>IFERROR(ROUND(L753*(I753/$AW753)/VLOOKUP(H753,商品!$A$4:$D$67,4,FALSE),0),"")</f>
        <v/>
      </c>
      <c r="AP753" t="str">
        <f>IFERROR(ROUND(L753*(K753/$AW753)/VLOOKUP(J753,商品!$A$4:$D$67,4,FALSE),0),"")</f>
        <v/>
      </c>
      <c r="AQ753" t="str">
        <f>IFERROR(ROUND(S753*(N753/$AX753)/VLOOKUP(M753,职业!$A$3:$E$16,4,FALSE),0),"")</f>
        <v/>
      </c>
      <c r="AR753" t="str">
        <f>IFERROR(ROUND(S753*(P753/$AX753)/VLOOKUP(O753,职业!$A$3:$E$16,4,FALSE),0),"")</f>
        <v/>
      </c>
      <c r="AS753" t="str">
        <f>IFERROR(ROUND(S753*(R753/$AX753)/VLOOKUP(Q753,职业!$A$3:$E$16,4,FALSE),0),"")</f>
        <v/>
      </c>
      <c r="AT753" t="str">
        <f>IFERROR(ROUND(X753*(U753/$AY753)/VLOOKUP(T753,商品!$A$4:$D$67,4,FALSE),0),"")</f>
        <v/>
      </c>
      <c r="AU753" t="str">
        <f>IFERROR(ROUND(X753*(W753/$AY753)/VLOOKUP(V753,商品!$A$4:$D$67,4,FALSE),0),"")</f>
        <v/>
      </c>
      <c r="AW753">
        <f t="shared" si="201"/>
        <v>0</v>
      </c>
      <c r="AX753">
        <f t="shared" si="202"/>
        <v>0</v>
      </c>
      <c r="AY753">
        <f t="shared" si="203"/>
        <v>0</v>
      </c>
    </row>
    <row r="754" customHeight="1" spans="1:51">
      <c r="A754" s="18" t="s">
        <v>424</v>
      </c>
      <c r="C754" s="18">
        <v>2</v>
      </c>
      <c r="D754" s="1" t="s">
        <v>260</v>
      </c>
      <c r="E754" s="1" t="s">
        <v>224</v>
      </c>
      <c r="L754" s="18">
        <f>IFERROR(VLOOKUP($D754&amp;$C754,生产方式定位!$A$2:$E$38,2,FALSE)+VLOOKUP($E754&amp;$C754,生产方式定位!$F$3:$J$38,2,FALSE),0)</f>
        <v>1000</v>
      </c>
      <c r="S754" s="18">
        <f>IFERROR(VLOOKUP($D754&amp;$C754,生产方式定位!$A$2:$E$38,3,FALSE)+VLOOKUP($E754&amp;$C754,生产方式定位!$F$3:$J$38,3,FALSE),0)</f>
        <v>50</v>
      </c>
      <c r="X754" s="18">
        <f>IFERROR(VLOOKUP($D754&amp;$C754,生产方式定位!$A$2:$E$38,5,FALSE)+VLOOKUP($E754&amp;$C754,生产方式定位!$F$3:$J$38,5,FALSE),"错误")</f>
        <v>1096</v>
      </c>
      <c r="Y754" s="27" t="str">
        <f t="shared" si="187"/>
        <v/>
      </c>
      <c r="Z754" s="50" t="str">
        <f t="shared" si="190"/>
        <v/>
      </c>
      <c r="AA754" s="50" t="str">
        <f t="shared" si="188"/>
        <v/>
      </c>
      <c r="AB754" s="28" t="str">
        <f t="shared" si="191"/>
        <v>10%</v>
      </c>
      <c r="AC754" s="1">
        <f t="shared" si="192"/>
        <v>46</v>
      </c>
      <c r="AD754" s="52">
        <f t="shared" si="189"/>
        <v>2</v>
      </c>
      <c r="AE754" t="str">
        <f t="shared" si="193"/>
        <v/>
      </c>
      <c r="AF754" t="str">
        <f t="shared" si="194"/>
        <v/>
      </c>
      <c r="AG754" t="str">
        <f t="shared" si="195"/>
        <v/>
      </c>
      <c r="AH754" t="str">
        <f t="shared" si="196"/>
        <v/>
      </c>
      <c r="AI754" t="str">
        <f t="shared" si="197"/>
        <v/>
      </c>
      <c r="AJ754" t="str">
        <f t="shared" si="198"/>
        <v/>
      </c>
      <c r="AK754" t="str">
        <f t="shared" si="199"/>
        <v/>
      </c>
      <c r="AL754" t="str">
        <f t="shared" si="200"/>
        <v/>
      </c>
      <c r="AN754" t="str">
        <f>IFERROR(ROUND(L754*(G754/$AW754)/VLOOKUP(F754,商品!$A$4:$D$67,4,FALSE),0),"")</f>
        <v/>
      </c>
      <c r="AO754" t="str">
        <f>IFERROR(ROUND(L754*(I754/$AW754)/VLOOKUP(H754,商品!$A$4:$D$67,4,FALSE),0),"")</f>
        <v/>
      </c>
      <c r="AP754" t="str">
        <f>IFERROR(ROUND(L754*(K754/$AW754)/VLOOKUP(J754,商品!$A$4:$D$67,4,FALSE),0),"")</f>
        <v/>
      </c>
      <c r="AQ754" t="str">
        <f>IFERROR(ROUND(S754*(N754/$AX754)/VLOOKUP(M754,职业!$A$3:$E$16,4,FALSE),0),"")</f>
        <v/>
      </c>
      <c r="AR754" t="str">
        <f>IFERROR(ROUND(S754*(P754/$AX754)/VLOOKUP(O754,职业!$A$3:$E$16,4,FALSE),0),"")</f>
        <v/>
      </c>
      <c r="AS754" t="str">
        <f>IFERROR(ROUND(S754*(R754/$AX754)/VLOOKUP(Q754,职业!$A$3:$E$16,4,FALSE),0),"")</f>
        <v/>
      </c>
      <c r="AT754" t="str">
        <f>IFERROR(ROUND(X754*(U754/$AY754)/VLOOKUP(T754,商品!$A$4:$D$67,4,FALSE),0),"")</f>
        <v/>
      </c>
      <c r="AU754" t="str">
        <f>IFERROR(ROUND(X754*(W754/$AY754)/VLOOKUP(V754,商品!$A$4:$D$67,4,FALSE),0),"")</f>
        <v/>
      </c>
      <c r="AW754">
        <f t="shared" si="201"/>
        <v>0</v>
      </c>
      <c r="AX754">
        <f t="shared" si="202"/>
        <v>0</v>
      </c>
      <c r="AY754">
        <f t="shared" si="203"/>
        <v>0</v>
      </c>
    </row>
    <row r="755" customHeight="1" spans="1:51">
      <c r="A755" s="18" t="s">
        <v>424</v>
      </c>
      <c r="C755" s="18">
        <v>3</v>
      </c>
      <c r="D755" s="1" t="s">
        <v>260</v>
      </c>
      <c r="E755" s="1" t="s">
        <v>224</v>
      </c>
      <c r="L755" s="18">
        <f>IFERROR(VLOOKUP($D755&amp;$C755,生产方式定位!$A$2:$E$38,2,FALSE)+VLOOKUP($E755&amp;$C755,生产方式定位!$F$3:$J$38,2,FALSE),0)</f>
        <v>2000</v>
      </c>
      <c r="S755" s="18">
        <f>IFERROR(VLOOKUP($D755&amp;$C755,生产方式定位!$A$2:$E$38,3,FALSE)+VLOOKUP($E755&amp;$C755,生产方式定位!$F$3:$J$38,3,FALSE),0)</f>
        <v>20</v>
      </c>
      <c r="X755" s="18">
        <f>IFERROR(VLOOKUP($D755&amp;$C755,生产方式定位!$A$2:$E$38,5,FALSE)+VLOOKUP($E755&amp;$C755,生产方式定位!$F$3:$J$38,5,FALSE),"错误")</f>
        <v>2114</v>
      </c>
      <c r="Y755" s="27" t="str">
        <f t="shared" si="187"/>
        <v/>
      </c>
      <c r="Z755" s="50" t="str">
        <f t="shared" si="190"/>
        <v/>
      </c>
      <c r="AA755" s="50" t="str">
        <f t="shared" si="188"/>
        <v/>
      </c>
      <c r="AB755" s="28" t="str">
        <f t="shared" si="191"/>
        <v>6%</v>
      </c>
      <c r="AC755" s="1">
        <f t="shared" si="192"/>
        <v>94</v>
      </c>
      <c r="AD755" s="52">
        <f t="shared" si="189"/>
        <v>3</v>
      </c>
      <c r="AE755" t="str">
        <f t="shared" si="193"/>
        <v/>
      </c>
      <c r="AF755" t="str">
        <f t="shared" si="194"/>
        <v/>
      </c>
      <c r="AG755" t="str">
        <f t="shared" si="195"/>
        <v/>
      </c>
      <c r="AH755" t="str">
        <f t="shared" si="196"/>
        <v/>
      </c>
      <c r="AI755" t="str">
        <f t="shared" si="197"/>
        <v/>
      </c>
      <c r="AJ755" t="str">
        <f t="shared" si="198"/>
        <v/>
      </c>
      <c r="AK755" t="str">
        <f t="shared" si="199"/>
        <v/>
      </c>
      <c r="AL755" t="str">
        <f t="shared" si="200"/>
        <v/>
      </c>
      <c r="AN755" t="str">
        <f>IFERROR(ROUND(L755*(G755/$AW755)/VLOOKUP(F755,商品!$A$4:$D$67,4,FALSE),0),"")</f>
        <v/>
      </c>
      <c r="AO755" t="str">
        <f>IFERROR(ROUND(L755*(I755/$AW755)/VLOOKUP(H755,商品!$A$4:$D$67,4,FALSE),0),"")</f>
        <v/>
      </c>
      <c r="AP755" t="str">
        <f>IFERROR(ROUND(L755*(K755/$AW755)/VLOOKUP(J755,商品!$A$4:$D$67,4,FALSE),0),"")</f>
        <v/>
      </c>
      <c r="AQ755" t="str">
        <f>IFERROR(ROUND(S755*(N755/$AX755)/VLOOKUP(M755,职业!$A$3:$E$16,4,FALSE),0),"")</f>
        <v/>
      </c>
      <c r="AR755" t="str">
        <f>IFERROR(ROUND(S755*(P755/$AX755)/VLOOKUP(O755,职业!$A$3:$E$16,4,FALSE),0),"")</f>
        <v/>
      </c>
      <c r="AS755" t="str">
        <f>IFERROR(ROUND(S755*(R755/$AX755)/VLOOKUP(Q755,职业!$A$3:$E$16,4,FALSE),0),"")</f>
        <v/>
      </c>
      <c r="AT755" t="str">
        <f>IFERROR(ROUND(X755*(U755/$AY755)/VLOOKUP(T755,商品!$A$4:$D$67,4,FALSE),0),"")</f>
        <v/>
      </c>
      <c r="AU755" t="str">
        <f>IFERROR(ROUND(X755*(W755/$AY755)/VLOOKUP(V755,商品!$A$4:$D$67,4,FALSE),0),"")</f>
        <v/>
      </c>
      <c r="AW755">
        <f t="shared" si="201"/>
        <v>0</v>
      </c>
      <c r="AX755">
        <f t="shared" si="202"/>
        <v>0</v>
      </c>
      <c r="AY755">
        <f t="shared" si="203"/>
        <v>0</v>
      </c>
    </row>
    <row r="756" customHeight="1" spans="1:51">
      <c r="A756" s="18" t="s">
        <v>424</v>
      </c>
      <c r="C756" s="18">
        <v>4</v>
      </c>
      <c r="D756" s="1" t="s">
        <v>260</v>
      </c>
      <c r="E756" s="1" t="s">
        <v>224</v>
      </c>
      <c r="L756" s="18">
        <f>IFERROR(VLOOKUP($D756&amp;$C756,生产方式定位!$A$2:$E$38,2,FALSE)+VLOOKUP($E756&amp;$C756,生产方式定位!$F$3:$J$38,2,FALSE),0)</f>
        <v>3000</v>
      </c>
      <c r="S756" s="18">
        <f>IFERROR(VLOOKUP($D756&amp;$C756,生产方式定位!$A$2:$E$38,3,FALSE)+VLOOKUP($E756&amp;$C756,生产方式定位!$F$3:$J$38,3,FALSE),0)</f>
        <v>-10</v>
      </c>
      <c r="X756" s="18">
        <f>IFERROR(VLOOKUP($D756&amp;$C756,生产方式定位!$A$2:$E$38,5,FALSE)+VLOOKUP($E756&amp;$C756,生产方式定位!$F$3:$J$38,5,FALSE),"错误")</f>
        <v>3132</v>
      </c>
      <c r="Y756" s="27" t="str">
        <f t="shared" si="187"/>
        <v/>
      </c>
      <c r="Z756" s="50" t="str">
        <f t="shared" si="190"/>
        <v/>
      </c>
      <c r="AA756" s="50" t="str">
        <f t="shared" si="188"/>
        <v/>
      </c>
      <c r="AB756" s="28" t="str">
        <f t="shared" si="191"/>
        <v>4%</v>
      </c>
      <c r="AC756" s="1">
        <f t="shared" si="192"/>
        <v>142</v>
      </c>
      <c r="AD756" s="52">
        <f t="shared" si="189"/>
        <v>4</v>
      </c>
      <c r="AE756" t="str">
        <f t="shared" si="193"/>
        <v/>
      </c>
      <c r="AF756" t="str">
        <f t="shared" si="194"/>
        <v/>
      </c>
      <c r="AG756" t="str">
        <f t="shared" si="195"/>
        <v/>
      </c>
      <c r="AH756" t="str">
        <f t="shared" si="196"/>
        <v/>
      </c>
      <c r="AI756" t="str">
        <f t="shared" si="197"/>
        <v/>
      </c>
      <c r="AJ756" t="str">
        <f t="shared" si="198"/>
        <v/>
      </c>
      <c r="AK756" t="str">
        <f t="shared" si="199"/>
        <v/>
      </c>
      <c r="AL756" t="str">
        <f t="shared" si="200"/>
        <v/>
      </c>
      <c r="AN756" t="str">
        <f>IFERROR(ROUND(L756*(G756/$AW756)/VLOOKUP(F756,商品!$A$4:$D$67,4,FALSE),0),"")</f>
        <v/>
      </c>
      <c r="AO756" t="str">
        <f>IFERROR(ROUND(L756*(I756/$AW756)/VLOOKUP(H756,商品!$A$4:$D$67,4,FALSE),0),"")</f>
        <v/>
      </c>
      <c r="AP756" t="str">
        <f>IFERROR(ROUND(L756*(K756/$AW756)/VLOOKUP(J756,商品!$A$4:$D$67,4,FALSE),0),"")</f>
        <v/>
      </c>
      <c r="AQ756" t="str">
        <f>IFERROR(ROUND(S756*(N756/$AX756)/VLOOKUP(M756,职业!$A$3:$E$16,4,FALSE),0),"")</f>
        <v/>
      </c>
      <c r="AR756" t="str">
        <f>IFERROR(ROUND(S756*(P756/$AX756)/VLOOKUP(O756,职业!$A$3:$E$16,4,FALSE),0),"")</f>
        <v/>
      </c>
      <c r="AS756" t="str">
        <f>IFERROR(ROUND(S756*(R756/$AX756)/VLOOKUP(Q756,职业!$A$3:$E$16,4,FALSE),0),"")</f>
        <v/>
      </c>
      <c r="AT756" t="str">
        <f>IFERROR(ROUND(X756*(U756/$AY756)/VLOOKUP(T756,商品!$A$4:$D$67,4,FALSE),0),"")</f>
        <v/>
      </c>
      <c r="AU756" t="str">
        <f>IFERROR(ROUND(X756*(W756/$AY756)/VLOOKUP(V756,商品!$A$4:$D$67,4,FALSE),0),"")</f>
        <v/>
      </c>
      <c r="AW756">
        <f t="shared" si="201"/>
        <v>0</v>
      </c>
      <c r="AX756">
        <f t="shared" si="202"/>
        <v>0</v>
      </c>
      <c r="AY756">
        <f t="shared" si="203"/>
        <v>0</v>
      </c>
    </row>
    <row r="757" customHeight="1" spans="1:51">
      <c r="A757" s="18" t="s">
        <v>424</v>
      </c>
      <c r="C757" s="18">
        <v>5</v>
      </c>
      <c r="D757" s="1" t="s">
        <v>260</v>
      </c>
      <c r="E757" s="1" t="s">
        <v>224</v>
      </c>
      <c r="L757" s="18">
        <f>IFERROR(VLOOKUP($D757&amp;$C757,生产方式定位!$A$2:$E$38,2,FALSE)+VLOOKUP($E757&amp;$C757,生产方式定位!$F$3:$J$38,2,FALSE),0)</f>
        <v>4000</v>
      </c>
      <c r="S757" s="18">
        <f>IFERROR(VLOOKUP($D757&amp;$C757,生产方式定位!$A$2:$E$38,3,FALSE)+VLOOKUP($E757&amp;$C757,生产方式定位!$F$3:$J$38,3,FALSE),0)</f>
        <v>-40</v>
      </c>
      <c r="X757" s="18">
        <f>IFERROR(VLOOKUP($D757&amp;$C757,生产方式定位!$A$2:$E$38,5,FALSE)+VLOOKUP($E757&amp;$C757,生产方式定位!$F$3:$J$38,5,FALSE),"错误")</f>
        <v>4150</v>
      </c>
      <c r="Y757" s="27" t="str">
        <f t="shared" si="187"/>
        <v/>
      </c>
      <c r="Z757" s="50" t="str">
        <f t="shared" si="190"/>
        <v/>
      </c>
      <c r="AA757" s="50" t="str">
        <f t="shared" si="188"/>
        <v/>
      </c>
      <c r="AB757" s="28" t="str">
        <f t="shared" si="191"/>
        <v>4%</v>
      </c>
      <c r="AC757" s="1">
        <f t="shared" si="192"/>
        <v>190</v>
      </c>
      <c r="AD757" s="52">
        <f t="shared" si="189"/>
        <v>5</v>
      </c>
      <c r="AE757" t="str">
        <f t="shared" si="193"/>
        <v/>
      </c>
      <c r="AF757" t="str">
        <f t="shared" si="194"/>
        <v/>
      </c>
      <c r="AG757" t="str">
        <f t="shared" si="195"/>
        <v/>
      </c>
      <c r="AH757" t="str">
        <f t="shared" si="196"/>
        <v/>
      </c>
      <c r="AI757" t="str">
        <f t="shared" si="197"/>
        <v/>
      </c>
      <c r="AJ757" t="str">
        <f t="shared" si="198"/>
        <v/>
      </c>
      <c r="AK757" t="str">
        <f t="shared" si="199"/>
        <v/>
      </c>
      <c r="AL757" t="str">
        <f t="shared" si="200"/>
        <v/>
      </c>
      <c r="AN757" t="str">
        <f>IFERROR(ROUND(L757*(G757/$AW757)/VLOOKUP(F757,商品!$A$4:$D$67,4,FALSE),0),"")</f>
        <v/>
      </c>
      <c r="AO757" t="str">
        <f>IFERROR(ROUND(L757*(I757/$AW757)/VLOOKUP(H757,商品!$A$4:$D$67,4,FALSE),0),"")</f>
        <v/>
      </c>
      <c r="AP757" t="str">
        <f>IFERROR(ROUND(L757*(K757/$AW757)/VLOOKUP(J757,商品!$A$4:$D$67,4,FALSE),0),"")</f>
        <v/>
      </c>
      <c r="AQ757" t="str">
        <f>IFERROR(ROUND(S757*(N757/$AX757)/VLOOKUP(M757,职业!$A$3:$E$16,4,FALSE),0),"")</f>
        <v/>
      </c>
      <c r="AR757" t="str">
        <f>IFERROR(ROUND(S757*(P757/$AX757)/VLOOKUP(O757,职业!$A$3:$E$16,4,FALSE),0),"")</f>
        <v/>
      </c>
      <c r="AS757" t="str">
        <f>IFERROR(ROUND(S757*(R757/$AX757)/VLOOKUP(Q757,职业!$A$3:$E$16,4,FALSE),0),"")</f>
        <v/>
      </c>
      <c r="AT757" t="str">
        <f>IFERROR(ROUND(X757*(U757/$AY757)/VLOOKUP(T757,商品!$A$4:$D$67,4,FALSE),0),"")</f>
        <v/>
      </c>
      <c r="AU757" t="str">
        <f>IFERROR(ROUND(X757*(W757/$AY757)/VLOOKUP(V757,商品!$A$4:$D$67,4,FALSE),0),"")</f>
        <v/>
      </c>
      <c r="AW757">
        <f t="shared" si="201"/>
        <v>0</v>
      </c>
      <c r="AX757">
        <f t="shared" si="202"/>
        <v>0</v>
      </c>
      <c r="AY757">
        <f t="shared" si="203"/>
        <v>0</v>
      </c>
    </row>
    <row r="758" customHeight="1" spans="1:51">
      <c r="A758" s="5" t="s">
        <v>425</v>
      </c>
      <c r="C758" s="5">
        <v>1</v>
      </c>
      <c r="D758" s="1" t="s">
        <v>291</v>
      </c>
      <c r="E758" s="1" t="s">
        <v>225</v>
      </c>
      <c r="L758" s="5">
        <f>IFERROR(VLOOKUP($D758&amp;$C758,生产方式定位!$A$2:$E$38,2,FALSE)+VLOOKUP($E758&amp;$C758,生产方式定位!$F$3:$J$38,2,FALSE),0)</f>
        <v>0</v>
      </c>
      <c r="S758" s="5">
        <f>IFERROR(VLOOKUP($D758&amp;$C758,生产方式定位!$A$2:$E$38,3,FALSE)+VLOOKUP($E758&amp;$C758,生产方式定位!$F$3:$J$38,3,FALSE),0)</f>
        <v>100</v>
      </c>
      <c r="X758" s="5">
        <f>IFERROR(VLOOKUP($D758&amp;$C758,生产方式定位!$A$2:$E$38,5,FALSE)+VLOOKUP($E758&amp;$C758,生产方式定位!$F$3:$J$38,5,FALSE),"错误")</f>
        <v>100</v>
      </c>
      <c r="Y758" s="27" t="str">
        <f t="shared" si="187"/>
        <v/>
      </c>
      <c r="Z758" s="50" t="str">
        <f t="shared" si="190"/>
        <v/>
      </c>
      <c r="AA758" s="50" t="str">
        <f t="shared" si="188"/>
        <v/>
      </c>
      <c r="AB758" s="28" t="str">
        <f t="shared" si="191"/>
        <v/>
      </c>
      <c r="AC758" s="1" t="str">
        <f t="shared" si="192"/>
        <v/>
      </c>
      <c r="AD758" s="51">
        <f t="shared" si="189"/>
        <v>1</v>
      </c>
      <c r="AE758" t="str">
        <f t="shared" si="193"/>
        <v/>
      </c>
      <c r="AF758" t="str">
        <f t="shared" si="194"/>
        <v/>
      </c>
      <c r="AG758" t="str">
        <f t="shared" si="195"/>
        <v/>
      </c>
      <c r="AH758" t="str">
        <f t="shared" si="196"/>
        <v/>
      </c>
      <c r="AI758" t="str">
        <f t="shared" si="197"/>
        <v/>
      </c>
      <c r="AJ758" t="str">
        <f t="shared" si="198"/>
        <v/>
      </c>
      <c r="AK758" t="str">
        <f t="shared" si="199"/>
        <v/>
      </c>
      <c r="AL758" t="str">
        <f t="shared" si="200"/>
        <v/>
      </c>
      <c r="AN758" t="str">
        <f>IFERROR(ROUND(L758*(G758/$AW758)/VLOOKUP(F758,商品!$A$4:$D$67,4,FALSE),0),"")</f>
        <v/>
      </c>
      <c r="AO758" t="str">
        <f>IFERROR(ROUND(L758*(I758/$AW758)/VLOOKUP(H758,商品!$A$4:$D$67,4,FALSE),0),"")</f>
        <v/>
      </c>
      <c r="AP758" t="str">
        <f>IFERROR(ROUND(L758*(K758/$AW758)/VLOOKUP(J758,商品!$A$4:$D$67,4,FALSE),0),"")</f>
        <v/>
      </c>
      <c r="AQ758" t="str">
        <f>IFERROR(ROUND(S758*(N758/$AX758)/VLOOKUP(M758,职业!$A$3:$E$16,4,FALSE),0),"")</f>
        <v/>
      </c>
      <c r="AR758" t="str">
        <f>IFERROR(ROUND(S758*(P758/$AX758)/VLOOKUP(O758,职业!$A$3:$E$16,4,FALSE),0),"")</f>
        <v/>
      </c>
      <c r="AS758" t="str">
        <f>IFERROR(ROUND(S758*(R758/$AX758)/VLOOKUP(Q758,职业!$A$3:$E$16,4,FALSE),0),"")</f>
        <v/>
      </c>
      <c r="AT758" t="str">
        <f>IFERROR(ROUND(X758*(U758/$AY758)/VLOOKUP(T758,商品!$A$4:$D$67,4,FALSE),0),"")</f>
        <v/>
      </c>
      <c r="AU758" t="str">
        <f>IFERROR(ROUND(X758*(W758/$AY758)/VLOOKUP(V758,商品!$A$4:$D$67,4,FALSE),0),"")</f>
        <v/>
      </c>
      <c r="AW758">
        <f t="shared" si="201"/>
        <v>0</v>
      </c>
      <c r="AX758">
        <f t="shared" si="202"/>
        <v>0</v>
      </c>
      <c r="AY758">
        <f t="shared" si="203"/>
        <v>0</v>
      </c>
    </row>
    <row r="759" customHeight="1" spans="1:51">
      <c r="A759" s="5" t="s">
        <v>425</v>
      </c>
      <c r="C759" s="5">
        <v>2</v>
      </c>
      <c r="D759" s="1" t="s">
        <v>291</v>
      </c>
      <c r="E759" s="1" t="s">
        <v>225</v>
      </c>
      <c r="L759" s="5">
        <f>IFERROR(VLOOKUP($D759&amp;$C759,生产方式定位!$A$2:$E$38,2,FALSE)+VLOOKUP($E759&amp;$C759,生产方式定位!$F$3:$J$38,2,FALSE),0)</f>
        <v>0</v>
      </c>
      <c r="S759" s="5">
        <f>IFERROR(VLOOKUP($D759&amp;$C759,生产方式定位!$A$2:$E$38,3,FALSE)+VLOOKUP($E759&amp;$C759,生产方式定位!$F$3:$J$38,3,FALSE),0)</f>
        <v>100</v>
      </c>
      <c r="X759" s="5">
        <f>IFERROR(VLOOKUP($D759&amp;$C759,生产方式定位!$A$2:$E$38,5,FALSE)+VLOOKUP($E759&amp;$C759,生产方式定位!$F$3:$J$38,5,FALSE),"错误")</f>
        <v>100</v>
      </c>
      <c r="Y759" s="27" t="str">
        <f t="shared" si="187"/>
        <v/>
      </c>
      <c r="Z759" s="50" t="str">
        <f t="shared" si="190"/>
        <v/>
      </c>
      <c r="AA759" s="50" t="str">
        <f t="shared" si="188"/>
        <v/>
      </c>
      <c r="AB759" s="28" t="str">
        <f t="shared" si="191"/>
        <v/>
      </c>
      <c r="AC759" s="1" t="str">
        <f t="shared" si="192"/>
        <v/>
      </c>
      <c r="AD759" s="51">
        <f t="shared" si="189"/>
        <v>2</v>
      </c>
      <c r="AE759" t="str">
        <f t="shared" si="193"/>
        <v/>
      </c>
      <c r="AF759" t="str">
        <f t="shared" si="194"/>
        <v/>
      </c>
      <c r="AG759" t="str">
        <f t="shared" si="195"/>
        <v/>
      </c>
      <c r="AH759" t="str">
        <f t="shared" si="196"/>
        <v/>
      </c>
      <c r="AI759" t="str">
        <f t="shared" si="197"/>
        <v/>
      </c>
      <c r="AJ759" t="str">
        <f t="shared" si="198"/>
        <v/>
      </c>
      <c r="AK759" t="str">
        <f t="shared" si="199"/>
        <v/>
      </c>
      <c r="AL759" t="str">
        <f t="shared" si="200"/>
        <v/>
      </c>
      <c r="AN759" t="str">
        <f>IFERROR(ROUND(L759*(G759/$AW759)/VLOOKUP(F759,商品!$A$4:$D$67,4,FALSE),0),"")</f>
        <v/>
      </c>
      <c r="AO759" t="str">
        <f>IFERROR(ROUND(L759*(I759/$AW759)/VLOOKUP(H759,商品!$A$4:$D$67,4,FALSE),0),"")</f>
        <v/>
      </c>
      <c r="AP759" t="str">
        <f>IFERROR(ROUND(L759*(K759/$AW759)/VLOOKUP(J759,商品!$A$4:$D$67,4,FALSE),0),"")</f>
        <v/>
      </c>
      <c r="AQ759" t="str">
        <f>IFERROR(ROUND(S759*(N759/$AX759)/VLOOKUP(M759,职业!$A$3:$E$16,4,FALSE),0),"")</f>
        <v/>
      </c>
      <c r="AR759" t="str">
        <f>IFERROR(ROUND(S759*(P759/$AX759)/VLOOKUP(O759,职业!$A$3:$E$16,4,FALSE),0),"")</f>
        <v/>
      </c>
      <c r="AS759" t="str">
        <f>IFERROR(ROUND(S759*(R759/$AX759)/VLOOKUP(Q759,职业!$A$3:$E$16,4,FALSE),0),"")</f>
        <v/>
      </c>
      <c r="AT759" t="str">
        <f>IFERROR(ROUND(X759*(U759/$AY759)/VLOOKUP(T759,商品!$A$4:$D$67,4,FALSE),0),"")</f>
        <v/>
      </c>
      <c r="AU759" t="str">
        <f>IFERROR(ROUND(X759*(W759/$AY759)/VLOOKUP(V759,商品!$A$4:$D$67,4,FALSE),0),"")</f>
        <v/>
      </c>
      <c r="AW759">
        <f t="shared" si="201"/>
        <v>0</v>
      </c>
      <c r="AX759">
        <f t="shared" si="202"/>
        <v>0</v>
      </c>
      <c r="AY759">
        <f t="shared" si="203"/>
        <v>0</v>
      </c>
    </row>
    <row r="760" customHeight="1" spans="1:51">
      <c r="A760" s="5" t="s">
        <v>425</v>
      </c>
      <c r="C760" s="5">
        <v>3</v>
      </c>
      <c r="D760" s="1" t="s">
        <v>291</v>
      </c>
      <c r="E760" s="1" t="s">
        <v>225</v>
      </c>
      <c r="L760" s="5">
        <f>IFERROR(VLOOKUP($D760&amp;$C760,生产方式定位!$A$2:$E$38,2,FALSE)+VLOOKUP($E760&amp;$C760,生产方式定位!$F$3:$J$38,2,FALSE),0)</f>
        <v>0</v>
      </c>
      <c r="S760" s="5">
        <f>IFERROR(VLOOKUP($D760&amp;$C760,生产方式定位!$A$2:$E$38,3,FALSE)+VLOOKUP($E760&amp;$C760,生产方式定位!$F$3:$J$38,3,FALSE),0)</f>
        <v>100</v>
      </c>
      <c r="X760" s="5">
        <f>IFERROR(VLOOKUP($D760&amp;$C760,生产方式定位!$A$2:$E$38,5,FALSE)+VLOOKUP($E760&amp;$C760,生产方式定位!$F$3:$J$38,5,FALSE),"错误")</f>
        <v>100</v>
      </c>
      <c r="Y760" s="27" t="str">
        <f t="shared" si="187"/>
        <v/>
      </c>
      <c r="Z760" s="50" t="str">
        <f t="shared" si="190"/>
        <v/>
      </c>
      <c r="AA760" s="50" t="str">
        <f t="shared" si="188"/>
        <v/>
      </c>
      <c r="AB760" s="28" t="str">
        <f t="shared" si="191"/>
        <v/>
      </c>
      <c r="AC760" s="1" t="str">
        <f t="shared" si="192"/>
        <v/>
      </c>
      <c r="AD760" s="51">
        <f t="shared" si="189"/>
        <v>3</v>
      </c>
      <c r="AE760" t="str">
        <f t="shared" si="193"/>
        <v/>
      </c>
      <c r="AF760" t="str">
        <f t="shared" si="194"/>
        <v/>
      </c>
      <c r="AG760" t="str">
        <f t="shared" si="195"/>
        <v/>
      </c>
      <c r="AH760" t="str">
        <f t="shared" si="196"/>
        <v/>
      </c>
      <c r="AI760" t="str">
        <f t="shared" si="197"/>
        <v/>
      </c>
      <c r="AJ760" t="str">
        <f t="shared" si="198"/>
        <v/>
      </c>
      <c r="AK760" t="str">
        <f t="shared" si="199"/>
        <v/>
      </c>
      <c r="AL760" t="str">
        <f t="shared" si="200"/>
        <v/>
      </c>
      <c r="AN760" t="str">
        <f>IFERROR(ROUND(L760*(G760/$AW760)/VLOOKUP(F760,商品!$A$4:$D$67,4,FALSE),0),"")</f>
        <v/>
      </c>
      <c r="AO760" t="str">
        <f>IFERROR(ROUND(L760*(I760/$AW760)/VLOOKUP(H760,商品!$A$4:$D$67,4,FALSE),0),"")</f>
        <v/>
      </c>
      <c r="AP760" t="str">
        <f>IFERROR(ROUND(L760*(K760/$AW760)/VLOOKUP(J760,商品!$A$4:$D$67,4,FALSE),0),"")</f>
        <v/>
      </c>
      <c r="AQ760" t="str">
        <f>IFERROR(ROUND(S760*(N760/$AX760)/VLOOKUP(M760,职业!$A$3:$E$16,4,FALSE),0),"")</f>
        <v/>
      </c>
      <c r="AR760" t="str">
        <f>IFERROR(ROUND(S760*(P760/$AX760)/VLOOKUP(O760,职业!$A$3:$E$16,4,FALSE),0),"")</f>
        <v/>
      </c>
      <c r="AS760" t="str">
        <f>IFERROR(ROUND(S760*(R760/$AX760)/VLOOKUP(Q760,职业!$A$3:$E$16,4,FALSE),0),"")</f>
        <v/>
      </c>
      <c r="AT760" t="str">
        <f>IFERROR(ROUND(X760*(U760/$AY760)/VLOOKUP(T760,商品!$A$4:$D$67,4,FALSE),0),"")</f>
        <v/>
      </c>
      <c r="AU760" t="str">
        <f>IFERROR(ROUND(X760*(W760/$AY760)/VLOOKUP(V760,商品!$A$4:$D$67,4,FALSE),0),"")</f>
        <v/>
      </c>
      <c r="AW760">
        <f t="shared" si="201"/>
        <v>0</v>
      </c>
      <c r="AX760">
        <f t="shared" si="202"/>
        <v>0</v>
      </c>
      <c r="AY760">
        <f t="shared" si="203"/>
        <v>0</v>
      </c>
    </row>
    <row r="761" customHeight="1" spans="1:51">
      <c r="A761" s="5" t="s">
        <v>425</v>
      </c>
      <c r="C761" s="5">
        <v>4</v>
      </c>
      <c r="D761" s="1" t="s">
        <v>291</v>
      </c>
      <c r="E761" s="1" t="s">
        <v>225</v>
      </c>
      <c r="L761" s="5">
        <f>IFERROR(VLOOKUP($D761&amp;$C761,生产方式定位!$A$2:$E$38,2,FALSE)+VLOOKUP($E761&amp;$C761,生产方式定位!$F$3:$J$38,2,FALSE),0)</f>
        <v>0</v>
      </c>
      <c r="S761" s="5">
        <f>IFERROR(VLOOKUP($D761&amp;$C761,生产方式定位!$A$2:$E$38,3,FALSE)+VLOOKUP($E761&amp;$C761,生产方式定位!$F$3:$J$38,3,FALSE),0)</f>
        <v>100</v>
      </c>
      <c r="X761" s="5">
        <f>IFERROR(VLOOKUP($D761&amp;$C761,生产方式定位!$A$2:$E$38,5,FALSE)+VLOOKUP($E761&amp;$C761,生产方式定位!$F$3:$J$38,5,FALSE),"错误")</f>
        <v>100</v>
      </c>
      <c r="Y761" s="27" t="str">
        <f t="shared" si="187"/>
        <v/>
      </c>
      <c r="Z761" s="50" t="str">
        <f t="shared" si="190"/>
        <v/>
      </c>
      <c r="AA761" s="50" t="str">
        <f t="shared" si="188"/>
        <v/>
      </c>
      <c r="AB761" s="28" t="str">
        <f t="shared" si="191"/>
        <v/>
      </c>
      <c r="AC761" s="1" t="str">
        <f t="shared" si="192"/>
        <v/>
      </c>
      <c r="AD761" s="51">
        <f t="shared" si="189"/>
        <v>4</v>
      </c>
      <c r="AE761" t="str">
        <f t="shared" si="193"/>
        <v/>
      </c>
      <c r="AF761" t="str">
        <f t="shared" si="194"/>
        <v/>
      </c>
      <c r="AG761" t="str">
        <f t="shared" si="195"/>
        <v/>
      </c>
      <c r="AH761" t="str">
        <f t="shared" si="196"/>
        <v/>
      </c>
      <c r="AI761" t="str">
        <f t="shared" si="197"/>
        <v/>
      </c>
      <c r="AJ761" t="str">
        <f t="shared" si="198"/>
        <v/>
      </c>
      <c r="AK761" t="str">
        <f t="shared" si="199"/>
        <v/>
      </c>
      <c r="AL761" t="str">
        <f t="shared" si="200"/>
        <v/>
      </c>
      <c r="AN761" t="str">
        <f>IFERROR(ROUND(L761*(G761/$AW761)/VLOOKUP(F761,商品!$A$4:$D$67,4,FALSE),0),"")</f>
        <v/>
      </c>
      <c r="AO761" t="str">
        <f>IFERROR(ROUND(L761*(I761/$AW761)/VLOOKUP(H761,商品!$A$4:$D$67,4,FALSE),0),"")</f>
        <v/>
      </c>
      <c r="AP761" t="str">
        <f>IFERROR(ROUND(L761*(K761/$AW761)/VLOOKUP(J761,商品!$A$4:$D$67,4,FALSE),0),"")</f>
        <v/>
      </c>
      <c r="AQ761" t="str">
        <f>IFERROR(ROUND(S761*(N761/$AX761)/VLOOKUP(M761,职业!$A$3:$E$16,4,FALSE),0),"")</f>
        <v/>
      </c>
      <c r="AR761" t="str">
        <f>IFERROR(ROUND(S761*(P761/$AX761)/VLOOKUP(O761,职业!$A$3:$E$16,4,FALSE),0),"")</f>
        <v/>
      </c>
      <c r="AS761" t="str">
        <f>IFERROR(ROUND(S761*(R761/$AX761)/VLOOKUP(Q761,职业!$A$3:$E$16,4,FALSE),0),"")</f>
        <v/>
      </c>
      <c r="AT761" t="str">
        <f>IFERROR(ROUND(X761*(U761/$AY761)/VLOOKUP(T761,商品!$A$4:$D$67,4,FALSE),0),"")</f>
        <v/>
      </c>
      <c r="AU761" t="str">
        <f>IFERROR(ROUND(X761*(W761/$AY761)/VLOOKUP(V761,商品!$A$4:$D$67,4,FALSE),0),"")</f>
        <v/>
      </c>
      <c r="AW761">
        <f t="shared" si="201"/>
        <v>0</v>
      </c>
      <c r="AX761">
        <f t="shared" si="202"/>
        <v>0</v>
      </c>
      <c r="AY761">
        <f t="shared" si="203"/>
        <v>0</v>
      </c>
    </row>
    <row r="762" customHeight="1" spans="1:51">
      <c r="A762" s="5" t="s">
        <v>425</v>
      </c>
      <c r="C762" s="5">
        <v>5</v>
      </c>
      <c r="D762" s="1" t="s">
        <v>291</v>
      </c>
      <c r="E762" s="1" t="s">
        <v>225</v>
      </c>
      <c r="L762" s="5">
        <f>IFERROR(VLOOKUP($D762&amp;$C762,生产方式定位!$A$2:$E$38,2,FALSE)+VLOOKUP($E762&amp;$C762,生产方式定位!$F$3:$J$38,2,FALSE),0)</f>
        <v>0</v>
      </c>
      <c r="S762" s="5">
        <f>IFERROR(VLOOKUP($D762&amp;$C762,生产方式定位!$A$2:$E$38,3,FALSE)+VLOOKUP($E762&amp;$C762,生产方式定位!$F$3:$J$38,3,FALSE),0)</f>
        <v>100</v>
      </c>
      <c r="X762" s="5">
        <f>IFERROR(VLOOKUP($D762&amp;$C762,生产方式定位!$A$2:$E$38,5,FALSE)+VLOOKUP($E762&amp;$C762,生产方式定位!$F$3:$J$38,5,FALSE),"错误")</f>
        <v>100</v>
      </c>
      <c r="Y762" s="27" t="str">
        <f t="shared" si="187"/>
        <v/>
      </c>
      <c r="Z762" s="50" t="str">
        <f t="shared" si="190"/>
        <v/>
      </c>
      <c r="AA762" s="50" t="str">
        <f t="shared" si="188"/>
        <v/>
      </c>
      <c r="AB762" s="28" t="str">
        <f t="shared" si="191"/>
        <v/>
      </c>
      <c r="AC762" s="1" t="str">
        <f t="shared" si="192"/>
        <v/>
      </c>
      <c r="AD762" s="51">
        <f t="shared" si="189"/>
        <v>5</v>
      </c>
      <c r="AE762" t="str">
        <f t="shared" si="193"/>
        <v/>
      </c>
      <c r="AF762" t="str">
        <f t="shared" si="194"/>
        <v/>
      </c>
      <c r="AG762" t="str">
        <f t="shared" si="195"/>
        <v/>
      </c>
      <c r="AH762" t="str">
        <f t="shared" si="196"/>
        <v/>
      </c>
      <c r="AI762" t="str">
        <f t="shared" si="197"/>
        <v/>
      </c>
      <c r="AJ762" t="str">
        <f t="shared" si="198"/>
        <v/>
      </c>
      <c r="AK762" t="str">
        <f t="shared" si="199"/>
        <v/>
      </c>
      <c r="AL762" t="str">
        <f t="shared" si="200"/>
        <v/>
      </c>
      <c r="AN762" t="str">
        <f>IFERROR(ROUND(L762*(G762/$AW762)/VLOOKUP(F762,商品!$A$4:$D$67,4,FALSE),0),"")</f>
        <v/>
      </c>
      <c r="AO762" t="str">
        <f>IFERROR(ROUND(L762*(I762/$AW762)/VLOOKUP(H762,商品!$A$4:$D$67,4,FALSE),0),"")</f>
        <v/>
      </c>
      <c r="AP762" t="str">
        <f>IFERROR(ROUND(L762*(K762/$AW762)/VLOOKUP(J762,商品!$A$4:$D$67,4,FALSE),0),"")</f>
        <v/>
      </c>
      <c r="AQ762" t="str">
        <f>IFERROR(ROUND(S762*(N762/$AX762)/VLOOKUP(M762,职业!$A$3:$E$16,4,FALSE),0),"")</f>
        <v/>
      </c>
      <c r="AR762" t="str">
        <f>IFERROR(ROUND(S762*(P762/$AX762)/VLOOKUP(O762,职业!$A$3:$E$16,4,FALSE),0),"")</f>
        <v/>
      </c>
      <c r="AS762" t="str">
        <f>IFERROR(ROUND(S762*(R762/$AX762)/VLOOKUP(Q762,职业!$A$3:$E$16,4,FALSE),0),"")</f>
        <v/>
      </c>
      <c r="AT762" t="str">
        <f>IFERROR(ROUND(X762*(U762/$AY762)/VLOOKUP(T762,商品!$A$4:$D$67,4,FALSE),0),"")</f>
        <v/>
      </c>
      <c r="AU762" t="str">
        <f>IFERROR(ROUND(X762*(W762/$AY762)/VLOOKUP(V762,商品!$A$4:$D$67,4,FALSE),0),"")</f>
        <v/>
      </c>
      <c r="AW762">
        <f t="shared" si="201"/>
        <v>0</v>
      </c>
      <c r="AX762">
        <f t="shared" si="202"/>
        <v>0</v>
      </c>
      <c r="AY762">
        <f t="shared" si="203"/>
        <v>0</v>
      </c>
    </row>
    <row r="763" customHeight="1" spans="1:51">
      <c r="A763" s="5" t="s">
        <v>425</v>
      </c>
      <c r="C763" s="5">
        <v>6</v>
      </c>
      <c r="D763" s="1" t="s">
        <v>291</v>
      </c>
      <c r="E763" s="1" t="s">
        <v>225</v>
      </c>
      <c r="L763" s="5">
        <f>IFERROR(VLOOKUP($D763&amp;$C763,生产方式定位!$A$2:$E$38,2,FALSE)+VLOOKUP($E763&amp;$C763,生产方式定位!$F$3:$J$38,2,FALSE),0)</f>
        <v>0</v>
      </c>
      <c r="S763" s="5">
        <f>IFERROR(VLOOKUP($D763&amp;$C763,生产方式定位!$A$2:$E$38,3,FALSE)+VLOOKUP($E763&amp;$C763,生产方式定位!$F$3:$J$38,3,FALSE),0)</f>
        <v>100</v>
      </c>
      <c r="X763" s="5">
        <f>IFERROR(VLOOKUP($D763&amp;$C763,生产方式定位!$A$2:$E$38,5,FALSE)+VLOOKUP($E763&amp;$C763,生产方式定位!$F$3:$J$38,5,FALSE),"错误")</f>
        <v>100</v>
      </c>
      <c r="Y763" s="27" t="str">
        <f t="shared" si="187"/>
        <v/>
      </c>
      <c r="Z763" s="50" t="str">
        <f t="shared" si="190"/>
        <v/>
      </c>
      <c r="AA763" s="50" t="str">
        <f t="shared" si="188"/>
        <v/>
      </c>
      <c r="AB763" s="28" t="str">
        <f t="shared" si="191"/>
        <v/>
      </c>
      <c r="AC763" s="1" t="str">
        <f t="shared" si="192"/>
        <v/>
      </c>
      <c r="AD763" s="51">
        <f t="shared" si="189"/>
        <v>6</v>
      </c>
      <c r="AE763" t="str">
        <f t="shared" si="193"/>
        <v/>
      </c>
      <c r="AF763" t="str">
        <f t="shared" si="194"/>
        <v/>
      </c>
      <c r="AG763" t="str">
        <f t="shared" si="195"/>
        <v/>
      </c>
      <c r="AH763" t="str">
        <f t="shared" si="196"/>
        <v/>
      </c>
      <c r="AI763" t="str">
        <f t="shared" si="197"/>
        <v/>
      </c>
      <c r="AJ763" t="str">
        <f t="shared" si="198"/>
        <v/>
      </c>
      <c r="AK763" t="str">
        <f t="shared" si="199"/>
        <v/>
      </c>
      <c r="AL763" t="str">
        <f t="shared" si="200"/>
        <v/>
      </c>
      <c r="AN763" t="str">
        <f>IFERROR(ROUND(L763*(G763/$AW763)/VLOOKUP(F763,商品!$A$4:$D$67,4,FALSE),0),"")</f>
        <v/>
      </c>
      <c r="AO763" t="str">
        <f>IFERROR(ROUND(L763*(I763/$AW763)/VLOOKUP(H763,商品!$A$4:$D$67,4,FALSE),0),"")</f>
        <v/>
      </c>
      <c r="AP763" t="str">
        <f>IFERROR(ROUND(L763*(K763/$AW763)/VLOOKUP(J763,商品!$A$4:$D$67,4,FALSE),0),"")</f>
        <v/>
      </c>
      <c r="AQ763" t="str">
        <f>IFERROR(ROUND(S763*(N763/$AX763)/VLOOKUP(M763,职业!$A$3:$E$16,4,FALSE),0),"")</f>
        <v/>
      </c>
      <c r="AR763" t="str">
        <f>IFERROR(ROUND(S763*(P763/$AX763)/VLOOKUP(O763,职业!$A$3:$E$16,4,FALSE),0),"")</f>
        <v/>
      </c>
      <c r="AS763" t="str">
        <f>IFERROR(ROUND(S763*(R763/$AX763)/VLOOKUP(Q763,职业!$A$3:$E$16,4,FALSE),0),"")</f>
        <v/>
      </c>
      <c r="AT763" t="str">
        <f>IFERROR(ROUND(X763*(U763/$AY763)/VLOOKUP(T763,商品!$A$4:$D$67,4,FALSE),0),"")</f>
        <v/>
      </c>
      <c r="AU763" t="str">
        <f>IFERROR(ROUND(X763*(W763/$AY763)/VLOOKUP(V763,商品!$A$4:$D$67,4,FALSE),0),"")</f>
        <v/>
      </c>
      <c r="AW763">
        <f t="shared" si="201"/>
        <v>0</v>
      </c>
      <c r="AX763">
        <f t="shared" si="202"/>
        <v>0</v>
      </c>
      <c r="AY763">
        <f t="shared" si="203"/>
        <v>0</v>
      </c>
    </row>
    <row r="764" customHeight="1" spans="1:51">
      <c r="A764" s="5" t="s">
        <v>425</v>
      </c>
      <c r="C764" s="5">
        <v>7</v>
      </c>
      <c r="D764" s="1" t="s">
        <v>291</v>
      </c>
      <c r="E764" s="1" t="s">
        <v>225</v>
      </c>
      <c r="L764" s="5">
        <f>IFERROR(VLOOKUP($D764&amp;$C764,生产方式定位!$A$2:$E$38,2,FALSE)+VLOOKUP($E764&amp;$C764,生产方式定位!$F$3:$J$38,2,FALSE),0)</f>
        <v>0</v>
      </c>
      <c r="S764" s="5">
        <f>IFERROR(VLOOKUP($D764&amp;$C764,生产方式定位!$A$2:$E$38,3,FALSE)+VLOOKUP($E764&amp;$C764,生产方式定位!$F$3:$J$38,3,FALSE),0)</f>
        <v>100</v>
      </c>
      <c r="X764" s="5">
        <f>IFERROR(VLOOKUP($D764&amp;$C764,生产方式定位!$A$2:$E$38,5,FALSE)+VLOOKUP($E764&amp;$C764,生产方式定位!$F$3:$J$38,5,FALSE),"错误")</f>
        <v>100</v>
      </c>
      <c r="Y764" s="27" t="str">
        <f t="shared" si="187"/>
        <v/>
      </c>
      <c r="Z764" s="50" t="str">
        <f t="shared" si="190"/>
        <v/>
      </c>
      <c r="AA764" s="50" t="str">
        <f t="shared" si="188"/>
        <v/>
      </c>
      <c r="AB764" s="28" t="str">
        <f t="shared" si="191"/>
        <v/>
      </c>
      <c r="AC764" s="1" t="str">
        <f t="shared" si="192"/>
        <v/>
      </c>
      <c r="AD764" s="51">
        <f t="shared" si="189"/>
        <v>7</v>
      </c>
      <c r="AE764" t="str">
        <f t="shared" si="193"/>
        <v/>
      </c>
      <c r="AF764" t="str">
        <f t="shared" si="194"/>
        <v/>
      </c>
      <c r="AG764" t="str">
        <f t="shared" si="195"/>
        <v/>
      </c>
      <c r="AH764" t="str">
        <f t="shared" si="196"/>
        <v/>
      </c>
      <c r="AI764" t="str">
        <f t="shared" si="197"/>
        <v/>
      </c>
      <c r="AJ764" t="str">
        <f t="shared" si="198"/>
        <v/>
      </c>
      <c r="AK764" t="str">
        <f t="shared" si="199"/>
        <v/>
      </c>
      <c r="AL764" t="str">
        <f t="shared" si="200"/>
        <v/>
      </c>
      <c r="AN764" t="str">
        <f>IFERROR(ROUND(L764*(G764/$AW764)/VLOOKUP(F764,商品!$A$4:$D$67,4,FALSE),0),"")</f>
        <v/>
      </c>
      <c r="AO764" t="str">
        <f>IFERROR(ROUND(L764*(I764/$AW764)/VLOOKUP(H764,商品!$A$4:$D$67,4,FALSE),0),"")</f>
        <v/>
      </c>
      <c r="AP764" t="str">
        <f>IFERROR(ROUND(L764*(K764/$AW764)/VLOOKUP(J764,商品!$A$4:$D$67,4,FALSE),0),"")</f>
        <v/>
      </c>
      <c r="AQ764" t="str">
        <f>IFERROR(ROUND(S764*(N764/$AX764)/VLOOKUP(M764,职业!$A$3:$E$16,4,FALSE),0),"")</f>
        <v/>
      </c>
      <c r="AR764" t="str">
        <f>IFERROR(ROUND(S764*(P764/$AX764)/VLOOKUP(O764,职业!$A$3:$E$16,4,FALSE),0),"")</f>
        <v/>
      </c>
      <c r="AS764" t="str">
        <f>IFERROR(ROUND(S764*(R764/$AX764)/VLOOKUP(Q764,职业!$A$3:$E$16,4,FALSE),0),"")</f>
        <v/>
      </c>
      <c r="AT764" t="str">
        <f>IFERROR(ROUND(X764*(U764/$AY764)/VLOOKUP(T764,商品!$A$4:$D$67,4,FALSE),0),"")</f>
        <v/>
      </c>
      <c r="AU764" t="str">
        <f>IFERROR(ROUND(X764*(W764/$AY764)/VLOOKUP(V764,商品!$A$4:$D$67,4,FALSE),0),"")</f>
        <v/>
      </c>
      <c r="AW764">
        <f t="shared" si="201"/>
        <v>0</v>
      </c>
      <c r="AX764">
        <f t="shared" si="202"/>
        <v>0</v>
      </c>
      <c r="AY764">
        <f t="shared" si="203"/>
        <v>0</v>
      </c>
    </row>
    <row r="765" customHeight="1" spans="1:51">
      <c r="A765" s="5" t="s">
        <v>425</v>
      </c>
      <c r="C765" s="5">
        <v>8</v>
      </c>
      <c r="D765" s="1" t="s">
        <v>291</v>
      </c>
      <c r="E765" s="1" t="s">
        <v>225</v>
      </c>
      <c r="L765" s="5">
        <f>IFERROR(VLOOKUP($D765&amp;$C765,生产方式定位!$A$2:$E$38,2,FALSE)+VLOOKUP($E765&amp;$C765,生产方式定位!$F$3:$J$38,2,FALSE),0)</f>
        <v>0</v>
      </c>
      <c r="S765" s="5">
        <f>IFERROR(VLOOKUP($D765&amp;$C765,生产方式定位!$A$2:$E$38,3,FALSE)+VLOOKUP($E765&amp;$C765,生产方式定位!$F$3:$J$38,3,FALSE),0)</f>
        <v>100</v>
      </c>
      <c r="X765" s="5">
        <f>IFERROR(VLOOKUP($D765&amp;$C765,生产方式定位!$A$2:$E$38,5,FALSE)+VLOOKUP($E765&amp;$C765,生产方式定位!$F$3:$J$38,5,FALSE),"错误")</f>
        <v>100</v>
      </c>
      <c r="Y765" s="27" t="str">
        <f t="shared" si="187"/>
        <v/>
      </c>
      <c r="Z765" s="50" t="str">
        <f t="shared" si="190"/>
        <v/>
      </c>
      <c r="AA765" s="50" t="str">
        <f t="shared" si="188"/>
        <v/>
      </c>
      <c r="AB765" s="28" t="str">
        <f t="shared" si="191"/>
        <v/>
      </c>
      <c r="AC765" s="1" t="str">
        <f t="shared" si="192"/>
        <v/>
      </c>
      <c r="AD765" s="51">
        <f t="shared" si="189"/>
        <v>8</v>
      </c>
      <c r="AE765" t="str">
        <f t="shared" si="193"/>
        <v/>
      </c>
      <c r="AF765" t="str">
        <f t="shared" si="194"/>
        <v/>
      </c>
      <c r="AG765" t="str">
        <f t="shared" si="195"/>
        <v/>
      </c>
      <c r="AH765" t="str">
        <f t="shared" si="196"/>
        <v/>
      </c>
      <c r="AI765" t="str">
        <f t="shared" si="197"/>
        <v/>
      </c>
      <c r="AJ765" t="str">
        <f t="shared" si="198"/>
        <v/>
      </c>
      <c r="AK765" t="str">
        <f t="shared" si="199"/>
        <v/>
      </c>
      <c r="AL765" t="str">
        <f t="shared" si="200"/>
        <v/>
      </c>
      <c r="AN765" t="str">
        <f>IFERROR(ROUND(L765*(G765/$AW765)/VLOOKUP(F765,商品!$A$4:$D$67,4,FALSE),0),"")</f>
        <v/>
      </c>
      <c r="AO765" t="str">
        <f>IFERROR(ROUND(L765*(I765/$AW765)/VLOOKUP(H765,商品!$A$4:$D$67,4,FALSE),0),"")</f>
        <v/>
      </c>
      <c r="AP765" t="str">
        <f>IFERROR(ROUND(L765*(K765/$AW765)/VLOOKUP(J765,商品!$A$4:$D$67,4,FALSE),0),"")</f>
        <v/>
      </c>
      <c r="AQ765" t="str">
        <f>IFERROR(ROUND(S765*(N765/$AX765)/VLOOKUP(M765,职业!$A$3:$E$16,4,FALSE),0),"")</f>
        <v/>
      </c>
      <c r="AR765" t="str">
        <f>IFERROR(ROUND(S765*(P765/$AX765)/VLOOKUP(O765,职业!$A$3:$E$16,4,FALSE),0),"")</f>
        <v/>
      </c>
      <c r="AS765" t="str">
        <f>IFERROR(ROUND(S765*(R765/$AX765)/VLOOKUP(Q765,职业!$A$3:$E$16,4,FALSE),0),"")</f>
        <v/>
      </c>
      <c r="AT765" t="str">
        <f>IFERROR(ROUND(X765*(U765/$AY765)/VLOOKUP(T765,商品!$A$4:$D$67,4,FALSE),0),"")</f>
        <v/>
      </c>
      <c r="AU765" t="str">
        <f>IFERROR(ROUND(X765*(W765/$AY765)/VLOOKUP(V765,商品!$A$4:$D$67,4,FALSE),0),"")</f>
        <v/>
      </c>
      <c r="AW765">
        <f t="shared" si="201"/>
        <v>0</v>
      </c>
      <c r="AX765">
        <f t="shared" si="202"/>
        <v>0</v>
      </c>
      <c r="AY765">
        <f t="shared" si="203"/>
        <v>0</v>
      </c>
    </row>
    <row r="766" customHeight="1" spans="1:51">
      <c r="A766" s="18" t="s">
        <v>427</v>
      </c>
      <c r="C766" s="18">
        <v>1</v>
      </c>
      <c r="D766" s="1" t="s">
        <v>260</v>
      </c>
      <c r="E766" s="1" t="s">
        <v>222</v>
      </c>
      <c r="L766" s="18">
        <f>IFERROR(VLOOKUP($D766&amp;$C766,生产方式定位!$A$2:$E$38,2,FALSE)+VLOOKUP($E766&amp;$C766,生产方式定位!$F$3:$J$38,2,FALSE),0)</f>
        <v>0</v>
      </c>
      <c r="S766" s="18">
        <f>IFERROR(VLOOKUP($D766&amp;$C766,生产方式定位!$A$2:$E$38,3,FALSE)+VLOOKUP($E766&amp;$C766,生产方式定位!$F$3:$J$38,3,FALSE),0)</f>
        <v>70</v>
      </c>
      <c r="X766" s="18">
        <f>IFERROR(VLOOKUP($D766&amp;$C766,生产方式定位!$A$2:$E$38,5,FALSE)+VLOOKUP($E766&amp;$C766,生产方式定位!$F$3:$J$38,5,FALSE),"错误")</f>
        <v>350</v>
      </c>
      <c r="Y766" s="27" t="str">
        <f t="shared" si="187"/>
        <v/>
      </c>
      <c r="Z766" s="50" t="str">
        <f t="shared" si="190"/>
        <v/>
      </c>
      <c r="AA766" s="50" t="str">
        <f t="shared" si="188"/>
        <v/>
      </c>
      <c r="AB766" s="28" t="str">
        <f t="shared" si="191"/>
        <v/>
      </c>
      <c r="AC766" s="1">
        <f t="shared" si="192"/>
        <v>280</v>
      </c>
      <c r="AD766" s="52">
        <f t="shared" si="189"/>
        <v>1</v>
      </c>
      <c r="AE766" t="str">
        <f t="shared" si="193"/>
        <v/>
      </c>
      <c r="AF766" t="str">
        <f t="shared" si="194"/>
        <v/>
      </c>
      <c r="AG766" t="str">
        <f t="shared" si="195"/>
        <v/>
      </c>
      <c r="AH766" t="str">
        <f t="shared" si="196"/>
        <v/>
      </c>
      <c r="AI766" t="str">
        <f t="shared" si="197"/>
        <v/>
      </c>
      <c r="AJ766" t="str">
        <f t="shared" si="198"/>
        <v/>
      </c>
      <c r="AK766" t="str">
        <f t="shared" si="199"/>
        <v/>
      </c>
      <c r="AL766" t="str">
        <f t="shared" si="200"/>
        <v/>
      </c>
      <c r="AN766" t="str">
        <f>IFERROR(ROUND(L766*(G766/$AW766)/VLOOKUP(F766,商品!$A$4:$D$67,4,FALSE),0),"")</f>
        <v/>
      </c>
      <c r="AO766" t="str">
        <f>IFERROR(ROUND(L766*(I766/$AW766)/VLOOKUP(H766,商品!$A$4:$D$67,4,FALSE),0),"")</f>
        <v/>
      </c>
      <c r="AP766" t="str">
        <f>IFERROR(ROUND(L766*(K766/$AW766)/VLOOKUP(J766,商品!$A$4:$D$67,4,FALSE),0),"")</f>
        <v/>
      </c>
      <c r="AQ766" t="str">
        <f>IFERROR(ROUND(S766*(N766/$AX766)/VLOOKUP(M766,职业!$A$3:$E$16,4,FALSE),0),"")</f>
        <v/>
      </c>
      <c r="AR766" t="str">
        <f>IFERROR(ROUND(S766*(P766/$AX766)/VLOOKUP(O766,职业!$A$3:$E$16,4,FALSE),0),"")</f>
        <v/>
      </c>
      <c r="AS766" t="str">
        <f>IFERROR(ROUND(S766*(R766/$AX766)/VLOOKUP(Q766,职业!$A$3:$E$16,4,FALSE),0),"")</f>
        <v/>
      </c>
      <c r="AT766" t="str">
        <f>IFERROR(ROUND(X766*(U766/$AY766)/VLOOKUP(T766,商品!$A$4:$D$67,4,FALSE),0),"")</f>
        <v/>
      </c>
      <c r="AU766" t="str">
        <f>IFERROR(ROUND(X766*(W766/$AY766)/VLOOKUP(V766,商品!$A$4:$D$67,4,FALSE),0),"")</f>
        <v/>
      </c>
      <c r="AW766">
        <f t="shared" si="201"/>
        <v>0</v>
      </c>
      <c r="AX766">
        <f t="shared" si="202"/>
        <v>0</v>
      </c>
      <c r="AY766">
        <f t="shared" si="203"/>
        <v>0</v>
      </c>
    </row>
    <row r="767" customHeight="1" spans="1:51">
      <c r="A767" s="18" t="s">
        <v>427</v>
      </c>
      <c r="C767" s="18">
        <v>2</v>
      </c>
      <c r="D767" s="1" t="s">
        <v>260</v>
      </c>
      <c r="E767" s="1" t="s">
        <v>222</v>
      </c>
      <c r="L767" s="18">
        <f>IFERROR(VLOOKUP($D767&amp;$C767,生产方式定位!$A$2:$E$38,2,FALSE)+VLOOKUP($E767&amp;$C767,生产方式定位!$F$3:$J$38,2,FALSE),0)</f>
        <v>1000</v>
      </c>
      <c r="S767" s="18">
        <f>IFERROR(VLOOKUP($D767&amp;$C767,生产方式定位!$A$2:$E$38,3,FALSE)+VLOOKUP($E767&amp;$C767,生产方式定位!$F$3:$J$38,3,FALSE),0)</f>
        <v>90</v>
      </c>
      <c r="X767" s="18">
        <f>IFERROR(VLOOKUP($D767&amp;$C767,生产方式定位!$A$2:$E$38,5,FALSE)+VLOOKUP($E767&amp;$C767,生产方式定位!$F$3:$J$38,5,FALSE),"错误")</f>
        <v>1140</v>
      </c>
      <c r="Y767" s="27" t="str">
        <f t="shared" si="187"/>
        <v/>
      </c>
      <c r="Z767" s="50" t="str">
        <f t="shared" si="190"/>
        <v/>
      </c>
      <c r="AA767" s="50" t="str">
        <f t="shared" si="188"/>
        <v/>
      </c>
      <c r="AB767" s="28" t="str">
        <f t="shared" si="191"/>
        <v>14%</v>
      </c>
      <c r="AC767" s="1">
        <f t="shared" si="192"/>
        <v>50</v>
      </c>
      <c r="AD767" s="52">
        <f t="shared" si="189"/>
        <v>2</v>
      </c>
      <c r="AE767" t="str">
        <f t="shared" si="193"/>
        <v/>
      </c>
      <c r="AF767" t="str">
        <f t="shared" si="194"/>
        <v/>
      </c>
      <c r="AG767" t="str">
        <f t="shared" si="195"/>
        <v/>
      </c>
      <c r="AH767" t="str">
        <f t="shared" si="196"/>
        <v/>
      </c>
      <c r="AI767" t="str">
        <f t="shared" si="197"/>
        <v/>
      </c>
      <c r="AJ767" t="str">
        <f t="shared" si="198"/>
        <v/>
      </c>
      <c r="AK767" t="str">
        <f t="shared" si="199"/>
        <v/>
      </c>
      <c r="AL767" t="str">
        <f t="shared" si="200"/>
        <v/>
      </c>
      <c r="AN767" t="str">
        <f>IFERROR(ROUND(L767*(G767/$AW767)/VLOOKUP(F767,商品!$A$4:$D$67,4,FALSE),0),"")</f>
        <v/>
      </c>
      <c r="AO767" t="str">
        <f>IFERROR(ROUND(L767*(I767/$AW767)/VLOOKUP(H767,商品!$A$4:$D$67,4,FALSE),0),"")</f>
        <v/>
      </c>
      <c r="AP767" t="str">
        <f>IFERROR(ROUND(L767*(K767/$AW767)/VLOOKUP(J767,商品!$A$4:$D$67,4,FALSE),0),"")</f>
        <v/>
      </c>
      <c r="AQ767" t="str">
        <f>IFERROR(ROUND(S767*(N767/$AX767)/VLOOKUP(M767,职业!$A$3:$E$16,4,FALSE),0),"")</f>
        <v/>
      </c>
      <c r="AR767" t="str">
        <f>IFERROR(ROUND(S767*(P767/$AX767)/VLOOKUP(O767,职业!$A$3:$E$16,4,FALSE),0),"")</f>
        <v/>
      </c>
      <c r="AS767" t="str">
        <f>IFERROR(ROUND(S767*(R767/$AX767)/VLOOKUP(Q767,职业!$A$3:$E$16,4,FALSE),0),"")</f>
        <v/>
      </c>
      <c r="AT767" t="str">
        <f>IFERROR(ROUND(X767*(U767/$AY767)/VLOOKUP(T767,商品!$A$4:$D$67,4,FALSE),0),"")</f>
        <v/>
      </c>
      <c r="AU767" t="str">
        <f>IFERROR(ROUND(X767*(W767/$AY767)/VLOOKUP(V767,商品!$A$4:$D$67,4,FALSE),0),"")</f>
        <v/>
      </c>
      <c r="AW767">
        <f t="shared" si="201"/>
        <v>0</v>
      </c>
      <c r="AX767">
        <f t="shared" si="202"/>
        <v>0</v>
      </c>
      <c r="AY767">
        <f t="shared" si="203"/>
        <v>0</v>
      </c>
    </row>
    <row r="768" customHeight="1" spans="1:51">
      <c r="A768" s="18" t="s">
        <v>427</v>
      </c>
      <c r="C768" s="18">
        <v>3</v>
      </c>
      <c r="D768" s="1" t="s">
        <v>260</v>
      </c>
      <c r="E768" s="1" t="s">
        <v>222</v>
      </c>
      <c r="L768" s="18">
        <f>IFERROR(VLOOKUP($D768&amp;$C768,生产方式定位!$A$2:$E$38,2,FALSE)+VLOOKUP($E768&amp;$C768,生产方式定位!$F$3:$J$38,2,FALSE),0)</f>
        <v>1625</v>
      </c>
      <c r="S768" s="18">
        <f>IFERROR(VLOOKUP($D768&amp;$C768,生产方式定位!$A$2:$E$38,3,FALSE)+VLOOKUP($E768&amp;$C768,生产方式定位!$F$3:$J$38,3,FALSE),0)</f>
        <v>80</v>
      </c>
      <c r="X768" s="18">
        <f>IFERROR(VLOOKUP($D768&amp;$C768,生产方式定位!$A$2:$E$38,5,FALSE)+VLOOKUP($E768&amp;$C768,生产方式定位!$F$3:$J$38,5,FALSE),"错误")</f>
        <v>1768</v>
      </c>
      <c r="Y768" s="27" t="str">
        <f t="shared" si="187"/>
        <v/>
      </c>
      <c r="Z768" s="50" t="str">
        <f t="shared" si="190"/>
        <v/>
      </c>
      <c r="AA768" s="50" t="str">
        <f t="shared" si="188"/>
        <v/>
      </c>
      <c r="AB768" s="28" t="str">
        <f t="shared" si="191"/>
        <v>9%</v>
      </c>
      <c r="AC768" s="1">
        <f t="shared" si="192"/>
        <v>63</v>
      </c>
      <c r="AD768" s="52">
        <f t="shared" si="189"/>
        <v>3</v>
      </c>
      <c r="AE768" t="str">
        <f t="shared" si="193"/>
        <v/>
      </c>
      <c r="AF768" t="str">
        <f t="shared" si="194"/>
        <v/>
      </c>
      <c r="AG768" t="str">
        <f t="shared" si="195"/>
        <v/>
      </c>
      <c r="AH768" t="str">
        <f t="shared" si="196"/>
        <v/>
      </c>
      <c r="AI768" t="str">
        <f t="shared" si="197"/>
        <v/>
      </c>
      <c r="AJ768" t="str">
        <f t="shared" si="198"/>
        <v/>
      </c>
      <c r="AK768" t="str">
        <f t="shared" si="199"/>
        <v/>
      </c>
      <c r="AL768" t="str">
        <f t="shared" si="200"/>
        <v/>
      </c>
      <c r="AN768" t="str">
        <f>IFERROR(ROUND(L768*(G768/$AW768)/VLOOKUP(F768,商品!$A$4:$D$67,4,FALSE),0),"")</f>
        <v/>
      </c>
      <c r="AO768" t="str">
        <f>IFERROR(ROUND(L768*(I768/$AW768)/VLOOKUP(H768,商品!$A$4:$D$67,4,FALSE),0),"")</f>
        <v/>
      </c>
      <c r="AP768" t="str">
        <f>IFERROR(ROUND(L768*(K768/$AW768)/VLOOKUP(J768,商品!$A$4:$D$67,4,FALSE),0),"")</f>
        <v/>
      </c>
      <c r="AQ768" t="str">
        <f>IFERROR(ROUND(S768*(N768/$AX768)/VLOOKUP(M768,职业!$A$3:$E$16,4,FALSE),0),"")</f>
        <v/>
      </c>
      <c r="AR768" t="str">
        <f>IFERROR(ROUND(S768*(P768/$AX768)/VLOOKUP(O768,职业!$A$3:$E$16,4,FALSE),0),"")</f>
        <v/>
      </c>
      <c r="AS768" t="str">
        <f>IFERROR(ROUND(S768*(R768/$AX768)/VLOOKUP(Q768,职业!$A$3:$E$16,4,FALSE),0),"")</f>
        <v/>
      </c>
      <c r="AT768" t="str">
        <f>IFERROR(ROUND(X768*(U768/$AY768)/VLOOKUP(T768,商品!$A$4:$D$67,4,FALSE),0),"")</f>
        <v/>
      </c>
      <c r="AU768" t="str">
        <f>IFERROR(ROUND(X768*(W768/$AY768)/VLOOKUP(V768,商品!$A$4:$D$67,4,FALSE),0),"")</f>
        <v/>
      </c>
      <c r="AW768">
        <f t="shared" si="201"/>
        <v>0</v>
      </c>
      <c r="AX768">
        <f t="shared" si="202"/>
        <v>0</v>
      </c>
      <c r="AY768">
        <f t="shared" si="203"/>
        <v>0</v>
      </c>
    </row>
    <row r="769" customHeight="1" spans="1:51">
      <c r="A769" s="18" t="s">
        <v>427</v>
      </c>
      <c r="C769" s="18">
        <v>4</v>
      </c>
      <c r="D769" s="1" t="s">
        <v>260</v>
      </c>
      <c r="E769" s="1" t="s">
        <v>222</v>
      </c>
      <c r="L769" s="18">
        <f>IFERROR(VLOOKUP($D769&amp;$C769,生产方式定位!$A$2:$E$38,2,FALSE)+VLOOKUP($E769&amp;$C769,生产方式定位!$F$3:$J$38,2,FALSE),0)</f>
        <v>2250</v>
      </c>
      <c r="S769" s="18">
        <f>IFERROR(VLOOKUP($D769&amp;$C769,生产方式定位!$A$2:$E$38,3,FALSE)+VLOOKUP($E769&amp;$C769,生产方式定位!$F$3:$J$38,3,FALSE),0)</f>
        <v>70</v>
      </c>
      <c r="X769" s="18">
        <f>IFERROR(VLOOKUP($D769&amp;$C769,生产方式定位!$A$2:$E$38,5,FALSE)+VLOOKUP($E769&amp;$C769,生产方式定位!$F$3:$J$38,5,FALSE),"错误")</f>
        <v>2395</v>
      </c>
      <c r="Y769" s="27" t="str">
        <f t="shared" si="187"/>
        <v/>
      </c>
      <c r="Z769" s="50" t="str">
        <f t="shared" si="190"/>
        <v/>
      </c>
      <c r="AA769" s="50" t="str">
        <f t="shared" si="188"/>
        <v/>
      </c>
      <c r="AB769" s="28" t="str">
        <f t="shared" si="191"/>
        <v>6%</v>
      </c>
      <c r="AC769" s="1">
        <f t="shared" si="192"/>
        <v>75</v>
      </c>
      <c r="AD769" s="52">
        <f t="shared" si="189"/>
        <v>4</v>
      </c>
      <c r="AE769" t="str">
        <f t="shared" si="193"/>
        <v/>
      </c>
      <c r="AF769" t="str">
        <f t="shared" si="194"/>
        <v/>
      </c>
      <c r="AG769" t="str">
        <f t="shared" si="195"/>
        <v/>
      </c>
      <c r="AH769" t="str">
        <f t="shared" si="196"/>
        <v/>
      </c>
      <c r="AI769" t="str">
        <f t="shared" si="197"/>
        <v/>
      </c>
      <c r="AJ769" t="str">
        <f t="shared" si="198"/>
        <v/>
      </c>
      <c r="AK769" t="str">
        <f t="shared" si="199"/>
        <v/>
      </c>
      <c r="AL769" t="str">
        <f t="shared" si="200"/>
        <v/>
      </c>
      <c r="AN769" t="str">
        <f>IFERROR(ROUND(L769*(G769/$AW769)/VLOOKUP(F769,商品!$A$4:$D$67,4,FALSE),0),"")</f>
        <v/>
      </c>
      <c r="AO769" t="str">
        <f>IFERROR(ROUND(L769*(I769/$AW769)/VLOOKUP(H769,商品!$A$4:$D$67,4,FALSE),0),"")</f>
        <v/>
      </c>
      <c r="AP769" t="str">
        <f>IFERROR(ROUND(L769*(K769/$AW769)/VLOOKUP(J769,商品!$A$4:$D$67,4,FALSE),0),"")</f>
        <v/>
      </c>
      <c r="AQ769" t="str">
        <f>IFERROR(ROUND(S769*(N769/$AX769)/VLOOKUP(M769,职业!$A$3:$E$16,4,FALSE),0),"")</f>
        <v/>
      </c>
      <c r="AR769" t="str">
        <f>IFERROR(ROUND(S769*(P769/$AX769)/VLOOKUP(O769,职业!$A$3:$E$16,4,FALSE),0),"")</f>
        <v/>
      </c>
      <c r="AS769" t="str">
        <f>IFERROR(ROUND(S769*(R769/$AX769)/VLOOKUP(Q769,职业!$A$3:$E$16,4,FALSE),0),"")</f>
        <v/>
      </c>
      <c r="AT769" t="str">
        <f>IFERROR(ROUND(X769*(U769/$AY769)/VLOOKUP(T769,商品!$A$4:$D$67,4,FALSE),0),"")</f>
        <v/>
      </c>
      <c r="AU769" t="str">
        <f>IFERROR(ROUND(X769*(W769/$AY769)/VLOOKUP(V769,商品!$A$4:$D$67,4,FALSE),0),"")</f>
        <v/>
      </c>
      <c r="AW769">
        <f t="shared" si="201"/>
        <v>0</v>
      </c>
      <c r="AX769">
        <f t="shared" si="202"/>
        <v>0</v>
      </c>
      <c r="AY769">
        <f t="shared" si="203"/>
        <v>0</v>
      </c>
    </row>
    <row r="770" customHeight="1" spans="1:51">
      <c r="A770" s="18" t="s">
        <v>427</v>
      </c>
      <c r="C770" s="18">
        <v>5</v>
      </c>
      <c r="D770" s="1" t="s">
        <v>260</v>
      </c>
      <c r="E770" s="1" t="s">
        <v>222</v>
      </c>
      <c r="L770" s="18">
        <f>IFERROR(VLOOKUP($D770&amp;$C770,生产方式定位!$A$2:$E$38,2,FALSE)+VLOOKUP($E770&amp;$C770,生产方式定位!$F$3:$J$38,2,FALSE),0)</f>
        <v>2875</v>
      </c>
      <c r="S770" s="18">
        <f>IFERROR(VLOOKUP($D770&amp;$C770,生产方式定位!$A$2:$E$38,3,FALSE)+VLOOKUP($E770&amp;$C770,生产方式定位!$F$3:$J$38,3,FALSE),0)</f>
        <v>60</v>
      </c>
      <c r="X770" s="18">
        <f>IFERROR(VLOOKUP($D770&amp;$C770,生产方式定位!$A$2:$E$38,5,FALSE)+VLOOKUP($E770&amp;$C770,生产方式定位!$F$3:$J$38,5,FALSE),"错误")</f>
        <v>3023</v>
      </c>
      <c r="Y770" s="27" t="str">
        <f t="shared" si="187"/>
        <v/>
      </c>
      <c r="Z770" s="50" t="str">
        <f t="shared" si="190"/>
        <v/>
      </c>
      <c r="AA770" s="50" t="str">
        <f t="shared" si="188"/>
        <v/>
      </c>
      <c r="AB770" s="28" t="str">
        <f t="shared" si="191"/>
        <v>5%</v>
      </c>
      <c r="AC770" s="1">
        <f t="shared" si="192"/>
        <v>88</v>
      </c>
      <c r="AD770" s="52">
        <f t="shared" si="189"/>
        <v>5</v>
      </c>
      <c r="AE770" t="str">
        <f t="shared" si="193"/>
        <v/>
      </c>
      <c r="AF770" t="str">
        <f t="shared" si="194"/>
        <v/>
      </c>
      <c r="AG770" t="str">
        <f t="shared" si="195"/>
        <v/>
      </c>
      <c r="AH770" t="str">
        <f t="shared" si="196"/>
        <v/>
      </c>
      <c r="AI770" t="str">
        <f t="shared" si="197"/>
        <v/>
      </c>
      <c r="AJ770" t="str">
        <f t="shared" si="198"/>
        <v/>
      </c>
      <c r="AK770" t="str">
        <f t="shared" si="199"/>
        <v/>
      </c>
      <c r="AL770" t="str">
        <f t="shared" si="200"/>
        <v/>
      </c>
      <c r="AN770" t="str">
        <f>IFERROR(ROUND(L770*(G770/$AW770)/VLOOKUP(F770,商品!$A$4:$D$67,4,FALSE),0),"")</f>
        <v/>
      </c>
      <c r="AO770" t="str">
        <f>IFERROR(ROUND(L770*(I770/$AW770)/VLOOKUP(H770,商品!$A$4:$D$67,4,FALSE),0),"")</f>
        <v/>
      </c>
      <c r="AP770" t="str">
        <f>IFERROR(ROUND(L770*(K770/$AW770)/VLOOKUP(J770,商品!$A$4:$D$67,4,FALSE),0),"")</f>
        <v/>
      </c>
      <c r="AQ770" t="str">
        <f>IFERROR(ROUND(S770*(N770/$AX770)/VLOOKUP(M770,职业!$A$3:$E$16,4,FALSE),0),"")</f>
        <v/>
      </c>
      <c r="AR770" t="str">
        <f>IFERROR(ROUND(S770*(P770/$AX770)/VLOOKUP(O770,职业!$A$3:$E$16,4,FALSE),0),"")</f>
        <v/>
      </c>
      <c r="AS770" t="str">
        <f>IFERROR(ROUND(S770*(R770/$AX770)/VLOOKUP(Q770,职业!$A$3:$E$16,4,FALSE),0),"")</f>
        <v/>
      </c>
      <c r="AT770" t="str">
        <f>IFERROR(ROUND(X770*(U770/$AY770)/VLOOKUP(T770,商品!$A$4:$D$67,4,FALSE),0),"")</f>
        <v/>
      </c>
      <c r="AU770" t="str">
        <f>IFERROR(ROUND(X770*(W770/$AY770)/VLOOKUP(V770,商品!$A$4:$D$67,4,FALSE),0),"")</f>
        <v/>
      </c>
      <c r="AW770">
        <f t="shared" si="201"/>
        <v>0</v>
      </c>
      <c r="AX770">
        <f t="shared" si="202"/>
        <v>0</v>
      </c>
      <c r="AY770">
        <f t="shared" si="203"/>
        <v>0</v>
      </c>
    </row>
    <row r="771" customHeight="1" spans="1:51">
      <c r="A771" s="5" t="s">
        <v>428</v>
      </c>
      <c r="C771" s="5">
        <v>1</v>
      </c>
      <c r="D771" s="1" t="s">
        <v>260</v>
      </c>
      <c r="E771" s="1" t="s">
        <v>223</v>
      </c>
      <c r="L771" s="5">
        <f>IFERROR(VLOOKUP($D771&amp;$C771,生产方式定位!$A$2:$E$38,2,FALSE)+VLOOKUP($E771&amp;$C771,生产方式定位!$F$3:$J$38,2,FALSE),0)</f>
        <v>0</v>
      </c>
      <c r="S771" s="5">
        <f>IFERROR(VLOOKUP($D771&amp;$C771,生产方式定位!$A$2:$E$38,3,FALSE)+VLOOKUP($E771&amp;$C771,生产方式定位!$F$3:$J$38,3,FALSE),0)</f>
        <v>70</v>
      </c>
      <c r="X771" s="5">
        <f>IFERROR(VLOOKUP($D771&amp;$C771,生产方式定位!$A$2:$E$38,5,FALSE)+VLOOKUP($E771&amp;$C771,生产方式定位!$F$3:$J$38,5,FALSE),"错误")</f>
        <v>350</v>
      </c>
      <c r="Y771" s="27" t="str">
        <f t="shared" si="187"/>
        <v/>
      </c>
      <c r="Z771" s="50" t="str">
        <f t="shared" si="190"/>
        <v/>
      </c>
      <c r="AA771" s="50" t="str">
        <f t="shared" si="188"/>
        <v/>
      </c>
      <c r="AB771" s="28" t="str">
        <f t="shared" si="191"/>
        <v/>
      </c>
      <c r="AC771" s="1">
        <f t="shared" si="192"/>
        <v>280</v>
      </c>
      <c r="AD771" s="51">
        <f t="shared" si="189"/>
        <v>1</v>
      </c>
      <c r="AE771" t="str">
        <f t="shared" si="193"/>
        <v/>
      </c>
      <c r="AF771" t="str">
        <f t="shared" si="194"/>
        <v/>
      </c>
      <c r="AG771" t="str">
        <f t="shared" si="195"/>
        <v/>
      </c>
      <c r="AH771" t="str">
        <f t="shared" si="196"/>
        <v/>
      </c>
      <c r="AI771" t="str">
        <f t="shared" si="197"/>
        <v/>
      </c>
      <c r="AJ771" t="str">
        <f t="shared" si="198"/>
        <v/>
      </c>
      <c r="AK771" t="str">
        <f t="shared" si="199"/>
        <v/>
      </c>
      <c r="AL771" t="str">
        <f t="shared" si="200"/>
        <v/>
      </c>
      <c r="AN771" t="str">
        <f>IFERROR(ROUND(L771*(G771/$AW771)/VLOOKUP(F771,商品!$A$4:$D$67,4,FALSE),0),"")</f>
        <v/>
      </c>
      <c r="AO771" t="str">
        <f>IFERROR(ROUND(L771*(I771/$AW771)/VLOOKUP(H771,商品!$A$4:$D$67,4,FALSE),0),"")</f>
        <v/>
      </c>
      <c r="AP771" t="str">
        <f>IFERROR(ROUND(L771*(K771/$AW771)/VLOOKUP(J771,商品!$A$4:$D$67,4,FALSE),0),"")</f>
        <v/>
      </c>
      <c r="AQ771" t="str">
        <f>IFERROR(ROUND(S771*(N771/$AX771)/VLOOKUP(M771,职业!$A$3:$E$16,4,FALSE),0),"")</f>
        <v/>
      </c>
      <c r="AR771" t="str">
        <f>IFERROR(ROUND(S771*(P771/$AX771)/VLOOKUP(O771,职业!$A$3:$E$16,4,FALSE),0),"")</f>
        <v/>
      </c>
      <c r="AS771" t="str">
        <f>IFERROR(ROUND(S771*(R771/$AX771)/VLOOKUP(Q771,职业!$A$3:$E$16,4,FALSE),0),"")</f>
        <v/>
      </c>
      <c r="AT771" t="str">
        <f>IFERROR(ROUND(X771*(U771/$AY771)/VLOOKUP(T771,商品!$A$4:$D$67,4,FALSE),0),"")</f>
        <v/>
      </c>
      <c r="AU771" t="str">
        <f>IFERROR(ROUND(X771*(W771/$AY771)/VLOOKUP(V771,商品!$A$4:$D$67,4,FALSE),0),"")</f>
        <v/>
      </c>
      <c r="AW771">
        <f t="shared" si="201"/>
        <v>0</v>
      </c>
      <c r="AX771">
        <f t="shared" si="202"/>
        <v>0</v>
      </c>
      <c r="AY771">
        <f t="shared" si="203"/>
        <v>0</v>
      </c>
    </row>
    <row r="772" customHeight="1" spans="1:51">
      <c r="A772" s="5" t="s">
        <v>428</v>
      </c>
      <c r="C772" s="5">
        <v>2</v>
      </c>
      <c r="D772" s="1" t="s">
        <v>260</v>
      </c>
      <c r="E772" s="1" t="s">
        <v>223</v>
      </c>
      <c r="L772" s="5">
        <f>IFERROR(VLOOKUP($D772&amp;$C772,生产方式定位!$A$2:$E$38,2,FALSE)+VLOOKUP($E772&amp;$C772,生产方式定位!$F$3:$J$38,2,FALSE),0)</f>
        <v>900</v>
      </c>
      <c r="S772" s="5">
        <f>IFERROR(VLOOKUP($D772&amp;$C772,生产方式定位!$A$2:$E$38,3,FALSE)+VLOOKUP($E772&amp;$C772,生产方式定位!$F$3:$J$38,3,FALSE),0)</f>
        <v>100</v>
      </c>
      <c r="X772" s="5">
        <f>IFERROR(VLOOKUP($D772&amp;$C772,生产方式定位!$A$2:$E$38,5,FALSE)+VLOOKUP($E772&amp;$C772,生产方式定位!$F$3:$J$38,5,FALSE),"错误")</f>
        <v>1041</v>
      </c>
      <c r="Y772" s="27" t="str">
        <f t="shared" si="187"/>
        <v/>
      </c>
      <c r="Z772" s="50" t="str">
        <f t="shared" si="190"/>
        <v/>
      </c>
      <c r="AA772" s="50" t="str">
        <f t="shared" si="188"/>
        <v/>
      </c>
      <c r="AB772" s="28" t="str">
        <f t="shared" si="191"/>
        <v>16%</v>
      </c>
      <c r="AC772" s="1">
        <f t="shared" si="192"/>
        <v>41</v>
      </c>
      <c r="AD772" s="51">
        <f t="shared" si="189"/>
        <v>2</v>
      </c>
      <c r="AE772" t="str">
        <f t="shared" si="193"/>
        <v/>
      </c>
      <c r="AF772" t="str">
        <f t="shared" si="194"/>
        <v/>
      </c>
      <c r="AG772" t="str">
        <f t="shared" si="195"/>
        <v/>
      </c>
      <c r="AH772" t="str">
        <f t="shared" si="196"/>
        <v/>
      </c>
      <c r="AI772" t="str">
        <f t="shared" si="197"/>
        <v/>
      </c>
      <c r="AJ772" t="str">
        <f t="shared" si="198"/>
        <v/>
      </c>
      <c r="AK772" t="str">
        <f t="shared" si="199"/>
        <v/>
      </c>
      <c r="AL772" t="str">
        <f t="shared" si="200"/>
        <v/>
      </c>
      <c r="AN772" t="str">
        <f>IFERROR(ROUND(L772*(G772/$AW772)/VLOOKUP(F772,商品!$A$4:$D$67,4,FALSE),0),"")</f>
        <v/>
      </c>
      <c r="AO772" t="str">
        <f>IFERROR(ROUND(L772*(I772/$AW772)/VLOOKUP(H772,商品!$A$4:$D$67,4,FALSE),0),"")</f>
        <v/>
      </c>
      <c r="AP772" t="str">
        <f>IFERROR(ROUND(L772*(K772/$AW772)/VLOOKUP(J772,商品!$A$4:$D$67,4,FALSE),0),"")</f>
        <v/>
      </c>
      <c r="AQ772" t="str">
        <f>IFERROR(ROUND(S772*(N772/$AX772)/VLOOKUP(M772,职业!$A$3:$E$16,4,FALSE),0),"")</f>
        <v/>
      </c>
      <c r="AR772" t="str">
        <f>IFERROR(ROUND(S772*(P772/$AX772)/VLOOKUP(O772,职业!$A$3:$E$16,4,FALSE),0),"")</f>
        <v/>
      </c>
      <c r="AS772" t="str">
        <f>IFERROR(ROUND(S772*(R772/$AX772)/VLOOKUP(Q772,职业!$A$3:$E$16,4,FALSE),0),"")</f>
        <v/>
      </c>
      <c r="AT772" t="str">
        <f>IFERROR(ROUND(X772*(U772/$AY772)/VLOOKUP(T772,商品!$A$4:$D$67,4,FALSE),0),"")</f>
        <v/>
      </c>
      <c r="AU772" t="str">
        <f>IFERROR(ROUND(X772*(W772/$AY772)/VLOOKUP(V772,商品!$A$4:$D$67,4,FALSE),0),"")</f>
        <v/>
      </c>
      <c r="AW772">
        <f t="shared" si="201"/>
        <v>0</v>
      </c>
      <c r="AX772">
        <f t="shared" si="202"/>
        <v>0</v>
      </c>
      <c r="AY772">
        <f t="shared" si="203"/>
        <v>0</v>
      </c>
    </row>
    <row r="773" customHeight="1" spans="1:51">
      <c r="A773" s="5" t="s">
        <v>428</v>
      </c>
      <c r="C773" s="5">
        <v>3</v>
      </c>
      <c r="D773" s="1" t="s">
        <v>260</v>
      </c>
      <c r="E773" s="1" t="s">
        <v>223</v>
      </c>
      <c r="L773" s="5">
        <f>IFERROR(VLOOKUP($D773&amp;$C773,生产方式定位!$A$2:$E$38,2,FALSE)+VLOOKUP($E773&amp;$C773,生产方式定位!$F$3:$J$38,2,FALSE),0)</f>
        <v>1500</v>
      </c>
      <c r="S773" s="5">
        <f>IFERROR(VLOOKUP($D773&amp;$C773,生产方式定位!$A$2:$E$38,3,FALSE)+VLOOKUP($E773&amp;$C773,生产方式定位!$F$3:$J$38,3,FALSE),0)</f>
        <v>95</v>
      </c>
      <c r="X773" s="5">
        <f>IFERROR(VLOOKUP($D773&amp;$C773,生产方式定位!$A$2:$E$38,5,FALSE)+VLOOKUP($E773&amp;$C773,生产方式定位!$F$3:$J$38,5,FALSE),"错误")</f>
        <v>1647</v>
      </c>
      <c r="Y773" s="27" t="str">
        <f t="shared" ref="Y773:Y836" si="204">IF(AE773="","",AE773)&amp;IF(AF773="","",","&amp;AF773)&amp;IF(AG773="","",","&amp;AG773)</f>
        <v/>
      </c>
      <c r="Z773" s="50" t="str">
        <f t="shared" si="190"/>
        <v/>
      </c>
      <c r="AA773" s="50" t="str">
        <f t="shared" ref="AA773:AA836" si="205">IF(AK773="","",AK773)&amp;IF(AL773="","",","&amp;AL773)</f>
        <v/>
      </c>
      <c r="AB773" s="28" t="str">
        <f t="shared" si="191"/>
        <v>10%</v>
      </c>
      <c r="AC773" s="1">
        <f t="shared" si="192"/>
        <v>52</v>
      </c>
      <c r="AD773" s="51">
        <f t="shared" ref="AD773:AD836" si="206">C773</f>
        <v>3</v>
      </c>
      <c r="AE773" t="str">
        <f t="shared" si="193"/>
        <v/>
      </c>
      <c r="AF773" t="str">
        <f t="shared" si="194"/>
        <v/>
      </c>
      <c r="AG773" t="str">
        <f t="shared" si="195"/>
        <v/>
      </c>
      <c r="AH773" t="str">
        <f t="shared" si="196"/>
        <v/>
      </c>
      <c r="AI773" t="str">
        <f t="shared" si="197"/>
        <v/>
      </c>
      <c r="AJ773" t="str">
        <f t="shared" si="198"/>
        <v/>
      </c>
      <c r="AK773" t="str">
        <f t="shared" si="199"/>
        <v/>
      </c>
      <c r="AL773" t="str">
        <f t="shared" si="200"/>
        <v/>
      </c>
      <c r="AN773" t="str">
        <f>IFERROR(ROUND(L773*(G773/$AW773)/VLOOKUP(F773,商品!$A$4:$D$67,4,FALSE),0),"")</f>
        <v/>
      </c>
      <c r="AO773" t="str">
        <f>IFERROR(ROUND(L773*(I773/$AW773)/VLOOKUP(H773,商品!$A$4:$D$67,4,FALSE),0),"")</f>
        <v/>
      </c>
      <c r="AP773" t="str">
        <f>IFERROR(ROUND(L773*(K773/$AW773)/VLOOKUP(J773,商品!$A$4:$D$67,4,FALSE),0),"")</f>
        <v/>
      </c>
      <c r="AQ773" t="str">
        <f>IFERROR(ROUND(S773*(N773/$AX773)/VLOOKUP(M773,职业!$A$3:$E$16,4,FALSE),0),"")</f>
        <v/>
      </c>
      <c r="AR773" t="str">
        <f>IFERROR(ROUND(S773*(P773/$AX773)/VLOOKUP(O773,职业!$A$3:$E$16,4,FALSE),0),"")</f>
        <v/>
      </c>
      <c r="AS773" t="str">
        <f>IFERROR(ROUND(S773*(R773/$AX773)/VLOOKUP(Q773,职业!$A$3:$E$16,4,FALSE),0),"")</f>
        <v/>
      </c>
      <c r="AT773" t="str">
        <f>IFERROR(ROUND(X773*(U773/$AY773)/VLOOKUP(T773,商品!$A$4:$D$67,4,FALSE),0),"")</f>
        <v/>
      </c>
      <c r="AU773" t="str">
        <f>IFERROR(ROUND(X773*(W773/$AY773)/VLOOKUP(V773,商品!$A$4:$D$67,4,FALSE),0),"")</f>
        <v/>
      </c>
      <c r="AW773">
        <f t="shared" si="201"/>
        <v>0</v>
      </c>
      <c r="AX773">
        <f t="shared" si="202"/>
        <v>0</v>
      </c>
      <c r="AY773">
        <f t="shared" si="203"/>
        <v>0</v>
      </c>
    </row>
    <row r="774" customHeight="1" spans="1:51">
      <c r="A774" s="5" t="s">
        <v>428</v>
      </c>
      <c r="C774" s="5">
        <v>4</v>
      </c>
      <c r="D774" s="1" t="s">
        <v>260</v>
      </c>
      <c r="E774" s="1" t="s">
        <v>223</v>
      </c>
      <c r="L774" s="5">
        <f>IFERROR(VLOOKUP($D774&amp;$C774,生产方式定位!$A$2:$E$38,2,FALSE)+VLOOKUP($E774&amp;$C774,生产方式定位!$F$3:$J$38,2,FALSE),0)</f>
        <v>2100</v>
      </c>
      <c r="S774" s="5">
        <f>IFERROR(VLOOKUP($D774&amp;$C774,生产方式定位!$A$2:$E$38,3,FALSE)+VLOOKUP($E774&amp;$C774,生产方式定位!$F$3:$J$38,3,FALSE),0)</f>
        <v>90</v>
      </c>
      <c r="X774" s="5">
        <f>IFERROR(VLOOKUP($D774&amp;$C774,生产方式定位!$A$2:$E$38,5,FALSE)+VLOOKUP($E774&amp;$C774,生产方式定位!$F$3:$J$38,5,FALSE),"错误")</f>
        <v>2252</v>
      </c>
      <c r="Y774" s="27" t="str">
        <f t="shared" si="204"/>
        <v/>
      </c>
      <c r="Z774" s="50" t="str">
        <f t="shared" ref="Z774:Z837" si="207">IF(AH774="","",AH774)&amp;IF(AI774="","",","&amp;AI774)&amp;IF(AJ774="","",","&amp;AJ774)</f>
        <v/>
      </c>
      <c r="AA774" s="50" t="str">
        <f t="shared" si="205"/>
        <v/>
      </c>
      <c r="AB774" s="28" t="str">
        <f t="shared" ref="AB774:AB837" si="208">IFERROR(ROUND(((X774/L774)-1)*100,0)&amp;"%","")</f>
        <v>7%</v>
      </c>
      <c r="AC774" s="1">
        <f t="shared" ref="AC774:AC837" si="209">IF(X774-S774-L774=0,"",X774-S774-L774)</f>
        <v>62</v>
      </c>
      <c r="AD774" s="51">
        <f t="shared" si="206"/>
        <v>4</v>
      </c>
      <c r="AE774" t="str">
        <f t="shared" ref="AE774:AE837" si="210">IF(AN774="","",F774&amp;"*"&amp;AN774)</f>
        <v/>
      </c>
      <c r="AF774" t="str">
        <f t="shared" ref="AF774:AF837" si="211">IF(AO774="","",H774&amp;"*"&amp;AO774)</f>
        <v/>
      </c>
      <c r="AG774" t="str">
        <f t="shared" ref="AG774:AG837" si="212">IF(AP774="","",J774&amp;"*"&amp;AP774)</f>
        <v/>
      </c>
      <c r="AH774" t="str">
        <f t="shared" ref="AH774:AH837" si="213">IF(AQ774="","",M774&amp;"*"&amp;AQ774)</f>
        <v/>
      </c>
      <c r="AI774" t="str">
        <f t="shared" ref="AI774:AI837" si="214">IF(AR774="","",O774&amp;"*"&amp;AR774)</f>
        <v/>
      </c>
      <c r="AJ774" t="str">
        <f t="shared" ref="AJ774:AJ837" si="215">IF(AS774="","",Q774&amp;"*"&amp;AS774)</f>
        <v/>
      </c>
      <c r="AK774" t="str">
        <f t="shared" ref="AK774:AK837" si="216">IF(AT774="","",T774&amp;"*"&amp;AT774)</f>
        <v/>
      </c>
      <c r="AL774" t="str">
        <f t="shared" ref="AL774:AL837" si="217">IF(AU774="","",V774&amp;"*"&amp;AU774)</f>
        <v/>
      </c>
      <c r="AN774" t="str">
        <f>IFERROR(ROUND(L774*(G774/$AW774)/VLOOKUP(F774,商品!$A$4:$D$67,4,FALSE),0),"")</f>
        <v/>
      </c>
      <c r="AO774" t="str">
        <f>IFERROR(ROUND(L774*(I774/$AW774)/VLOOKUP(H774,商品!$A$4:$D$67,4,FALSE),0),"")</f>
        <v/>
      </c>
      <c r="AP774" t="str">
        <f>IFERROR(ROUND(L774*(K774/$AW774)/VLOOKUP(J774,商品!$A$4:$D$67,4,FALSE),0),"")</f>
        <v/>
      </c>
      <c r="AQ774" t="str">
        <f>IFERROR(ROUND(S774*(N774/$AX774)/VLOOKUP(M774,职业!$A$3:$E$16,4,FALSE),0),"")</f>
        <v/>
      </c>
      <c r="AR774" t="str">
        <f>IFERROR(ROUND(S774*(P774/$AX774)/VLOOKUP(O774,职业!$A$3:$E$16,4,FALSE),0),"")</f>
        <v/>
      </c>
      <c r="AS774" t="str">
        <f>IFERROR(ROUND(S774*(R774/$AX774)/VLOOKUP(Q774,职业!$A$3:$E$16,4,FALSE),0),"")</f>
        <v/>
      </c>
      <c r="AT774" t="str">
        <f>IFERROR(ROUND(X774*(U774/$AY774)/VLOOKUP(T774,商品!$A$4:$D$67,4,FALSE),0),"")</f>
        <v/>
      </c>
      <c r="AU774" t="str">
        <f>IFERROR(ROUND(X774*(W774/$AY774)/VLOOKUP(V774,商品!$A$4:$D$67,4,FALSE),0),"")</f>
        <v/>
      </c>
      <c r="AW774">
        <f t="shared" ref="AW774:AW837" si="218">G774+I774+K774</f>
        <v>0</v>
      </c>
      <c r="AX774">
        <f t="shared" ref="AX774:AX837" si="219">ABS(N774)+ABS(P774)+ABS(R774)</f>
        <v>0</v>
      </c>
      <c r="AY774">
        <f t="shared" ref="AY774:AY837" si="220">U774+W774</f>
        <v>0</v>
      </c>
    </row>
    <row r="775" customHeight="1" spans="1:51">
      <c r="A775" s="5" t="s">
        <v>428</v>
      </c>
      <c r="C775" s="5">
        <v>5</v>
      </c>
      <c r="D775" s="1" t="s">
        <v>260</v>
      </c>
      <c r="E775" s="1" t="s">
        <v>223</v>
      </c>
      <c r="L775" s="5">
        <f>IFERROR(VLOOKUP($D775&amp;$C775,生产方式定位!$A$2:$E$38,2,FALSE)+VLOOKUP($E775&amp;$C775,生产方式定位!$F$3:$J$38,2,FALSE),0)</f>
        <v>2700</v>
      </c>
      <c r="S775" s="5">
        <f>IFERROR(VLOOKUP($D775&amp;$C775,生产方式定位!$A$2:$E$38,3,FALSE)+VLOOKUP($E775&amp;$C775,生产方式定位!$F$3:$J$38,3,FALSE),0)</f>
        <v>85</v>
      </c>
      <c r="X775" s="5">
        <f>IFERROR(VLOOKUP($D775&amp;$C775,生产方式定位!$A$2:$E$38,5,FALSE)+VLOOKUP($E775&amp;$C775,生产方式定位!$F$3:$J$38,5,FALSE),"错误")</f>
        <v>2858</v>
      </c>
      <c r="Y775" s="27" t="str">
        <f t="shared" si="204"/>
        <v/>
      </c>
      <c r="Z775" s="50" t="str">
        <f t="shared" si="207"/>
        <v/>
      </c>
      <c r="AA775" s="50" t="str">
        <f t="shared" si="205"/>
        <v/>
      </c>
      <c r="AB775" s="28" t="str">
        <f t="shared" si="208"/>
        <v>6%</v>
      </c>
      <c r="AC775" s="1">
        <f t="shared" si="209"/>
        <v>73</v>
      </c>
      <c r="AD775" s="51">
        <f t="shared" si="206"/>
        <v>5</v>
      </c>
      <c r="AE775" t="str">
        <f t="shared" si="210"/>
        <v/>
      </c>
      <c r="AF775" t="str">
        <f t="shared" si="211"/>
        <v/>
      </c>
      <c r="AG775" t="str">
        <f t="shared" si="212"/>
        <v/>
      </c>
      <c r="AH775" t="str">
        <f t="shared" si="213"/>
        <v/>
      </c>
      <c r="AI775" t="str">
        <f t="shared" si="214"/>
        <v/>
      </c>
      <c r="AJ775" t="str">
        <f t="shared" si="215"/>
        <v/>
      </c>
      <c r="AK775" t="str">
        <f t="shared" si="216"/>
        <v/>
      </c>
      <c r="AL775" t="str">
        <f t="shared" si="217"/>
        <v/>
      </c>
      <c r="AN775" t="str">
        <f>IFERROR(ROUND(L775*(G775/$AW775)/VLOOKUP(F775,商品!$A$4:$D$67,4,FALSE),0),"")</f>
        <v/>
      </c>
      <c r="AO775" t="str">
        <f>IFERROR(ROUND(L775*(I775/$AW775)/VLOOKUP(H775,商品!$A$4:$D$67,4,FALSE),0),"")</f>
        <v/>
      </c>
      <c r="AP775" t="str">
        <f>IFERROR(ROUND(L775*(K775/$AW775)/VLOOKUP(J775,商品!$A$4:$D$67,4,FALSE),0),"")</f>
        <v/>
      </c>
      <c r="AQ775" t="str">
        <f>IFERROR(ROUND(S775*(N775/$AX775)/VLOOKUP(M775,职业!$A$3:$E$16,4,FALSE),0),"")</f>
        <v/>
      </c>
      <c r="AR775" t="str">
        <f>IFERROR(ROUND(S775*(P775/$AX775)/VLOOKUP(O775,职业!$A$3:$E$16,4,FALSE),0),"")</f>
        <v/>
      </c>
      <c r="AS775" t="str">
        <f>IFERROR(ROUND(S775*(R775/$AX775)/VLOOKUP(Q775,职业!$A$3:$E$16,4,FALSE),0),"")</f>
        <v/>
      </c>
      <c r="AT775" t="str">
        <f>IFERROR(ROUND(X775*(U775/$AY775)/VLOOKUP(T775,商品!$A$4:$D$67,4,FALSE),0),"")</f>
        <v/>
      </c>
      <c r="AU775" t="str">
        <f>IFERROR(ROUND(X775*(W775/$AY775)/VLOOKUP(V775,商品!$A$4:$D$67,4,FALSE),0),"")</f>
        <v/>
      </c>
      <c r="AW775">
        <f t="shared" si="218"/>
        <v>0</v>
      </c>
      <c r="AX775">
        <f t="shared" si="219"/>
        <v>0</v>
      </c>
      <c r="AY775">
        <f t="shared" si="220"/>
        <v>0</v>
      </c>
    </row>
    <row r="776" customHeight="1" spans="1:51">
      <c r="A776" s="18" t="s">
        <v>429</v>
      </c>
      <c r="C776" s="18">
        <v>1</v>
      </c>
      <c r="D776" s="1" t="s">
        <v>260</v>
      </c>
      <c r="E776" s="1" t="s">
        <v>224</v>
      </c>
      <c r="L776" s="18">
        <f>IFERROR(VLOOKUP($D776&amp;$C776,生产方式定位!$A$2:$E$38,2,FALSE)+VLOOKUP($E776&amp;$C776,生产方式定位!$F$3:$J$38,2,FALSE),0)</f>
        <v>0</v>
      </c>
      <c r="S776" s="18">
        <f>IFERROR(VLOOKUP($D776&amp;$C776,生产方式定位!$A$2:$E$38,3,FALSE)+VLOOKUP($E776&amp;$C776,生产方式定位!$F$3:$J$38,3,FALSE),0)</f>
        <v>70</v>
      </c>
      <c r="X776" s="18">
        <f>IFERROR(VLOOKUP($D776&amp;$C776,生产方式定位!$A$2:$E$38,5,FALSE)+VLOOKUP($E776&amp;$C776,生产方式定位!$F$3:$J$38,5,FALSE),"错误")</f>
        <v>350</v>
      </c>
      <c r="Y776" s="27" t="str">
        <f t="shared" si="204"/>
        <v/>
      </c>
      <c r="Z776" s="50" t="str">
        <f t="shared" si="207"/>
        <v/>
      </c>
      <c r="AA776" s="50" t="str">
        <f t="shared" si="205"/>
        <v/>
      </c>
      <c r="AB776" s="28" t="str">
        <f t="shared" si="208"/>
        <v/>
      </c>
      <c r="AC776" s="1">
        <f t="shared" si="209"/>
        <v>280</v>
      </c>
      <c r="AD776" s="52">
        <f t="shared" si="206"/>
        <v>1</v>
      </c>
      <c r="AE776" t="str">
        <f t="shared" si="210"/>
        <v/>
      </c>
      <c r="AF776" t="str">
        <f t="shared" si="211"/>
        <v/>
      </c>
      <c r="AG776" t="str">
        <f t="shared" si="212"/>
        <v/>
      </c>
      <c r="AH776" t="str">
        <f t="shared" si="213"/>
        <v/>
      </c>
      <c r="AI776" t="str">
        <f t="shared" si="214"/>
        <v/>
      </c>
      <c r="AJ776" t="str">
        <f t="shared" si="215"/>
        <v/>
      </c>
      <c r="AK776" t="str">
        <f t="shared" si="216"/>
        <v/>
      </c>
      <c r="AL776" t="str">
        <f t="shared" si="217"/>
        <v/>
      </c>
      <c r="AN776" t="str">
        <f>IFERROR(ROUND(L776*(G776/$AW776)/VLOOKUP(F776,商品!$A$4:$D$67,4,FALSE),0),"")</f>
        <v/>
      </c>
      <c r="AO776" t="str">
        <f>IFERROR(ROUND(L776*(I776/$AW776)/VLOOKUP(H776,商品!$A$4:$D$67,4,FALSE),0),"")</f>
        <v/>
      </c>
      <c r="AP776" t="str">
        <f>IFERROR(ROUND(L776*(K776/$AW776)/VLOOKUP(J776,商品!$A$4:$D$67,4,FALSE),0),"")</f>
        <v/>
      </c>
      <c r="AQ776" t="str">
        <f>IFERROR(ROUND(S776*(N776/$AX776)/VLOOKUP(M776,职业!$A$3:$E$16,4,FALSE),0),"")</f>
        <v/>
      </c>
      <c r="AR776" t="str">
        <f>IFERROR(ROUND(S776*(P776/$AX776)/VLOOKUP(O776,职业!$A$3:$E$16,4,FALSE),0),"")</f>
        <v/>
      </c>
      <c r="AS776" t="str">
        <f>IFERROR(ROUND(S776*(R776/$AX776)/VLOOKUP(Q776,职业!$A$3:$E$16,4,FALSE),0),"")</f>
        <v/>
      </c>
      <c r="AT776" t="str">
        <f>IFERROR(ROUND(X776*(U776/$AY776)/VLOOKUP(T776,商品!$A$4:$D$67,4,FALSE),0),"")</f>
        <v/>
      </c>
      <c r="AU776" t="str">
        <f>IFERROR(ROUND(X776*(W776/$AY776)/VLOOKUP(V776,商品!$A$4:$D$67,4,FALSE),0),"")</f>
        <v/>
      </c>
      <c r="AW776">
        <f t="shared" si="218"/>
        <v>0</v>
      </c>
      <c r="AX776">
        <f t="shared" si="219"/>
        <v>0</v>
      </c>
      <c r="AY776">
        <f t="shared" si="220"/>
        <v>0</v>
      </c>
    </row>
    <row r="777" customHeight="1" spans="1:51">
      <c r="A777" s="18" t="s">
        <v>429</v>
      </c>
      <c r="C777" s="18">
        <v>2</v>
      </c>
      <c r="D777" s="1" t="s">
        <v>260</v>
      </c>
      <c r="E777" s="1" t="s">
        <v>224</v>
      </c>
      <c r="L777" s="18">
        <f>IFERROR(VLOOKUP($D777&amp;$C777,生产方式定位!$A$2:$E$38,2,FALSE)+VLOOKUP($E777&amp;$C777,生产方式定位!$F$3:$J$38,2,FALSE),0)</f>
        <v>1000</v>
      </c>
      <c r="S777" s="18">
        <f>IFERROR(VLOOKUP($D777&amp;$C777,生产方式定位!$A$2:$E$38,3,FALSE)+VLOOKUP($E777&amp;$C777,生产方式定位!$F$3:$J$38,3,FALSE),0)</f>
        <v>50</v>
      </c>
      <c r="X777" s="18">
        <f>IFERROR(VLOOKUP($D777&amp;$C777,生产方式定位!$A$2:$E$38,5,FALSE)+VLOOKUP($E777&amp;$C777,生产方式定位!$F$3:$J$38,5,FALSE),"错误")</f>
        <v>1096</v>
      </c>
      <c r="Y777" s="27" t="str">
        <f t="shared" si="204"/>
        <v/>
      </c>
      <c r="Z777" s="50" t="str">
        <f t="shared" si="207"/>
        <v/>
      </c>
      <c r="AA777" s="50" t="str">
        <f t="shared" si="205"/>
        <v/>
      </c>
      <c r="AB777" s="28" t="str">
        <f t="shared" si="208"/>
        <v>10%</v>
      </c>
      <c r="AC777" s="1">
        <f t="shared" si="209"/>
        <v>46</v>
      </c>
      <c r="AD777" s="52">
        <f t="shared" si="206"/>
        <v>2</v>
      </c>
      <c r="AE777" t="str">
        <f t="shared" si="210"/>
        <v/>
      </c>
      <c r="AF777" t="str">
        <f t="shared" si="211"/>
        <v/>
      </c>
      <c r="AG777" t="str">
        <f t="shared" si="212"/>
        <v/>
      </c>
      <c r="AH777" t="str">
        <f t="shared" si="213"/>
        <v/>
      </c>
      <c r="AI777" t="str">
        <f t="shared" si="214"/>
        <v/>
      </c>
      <c r="AJ777" t="str">
        <f t="shared" si="215"/>
        <v/>
      </c>
      <c r="AK777" t="str">
        <f t="shared" si="216"/>
        <v/>
      </c>
      <c r="AL777" t="str">
        <f t="shared" si="217"/>
        <v/>
      </c>
      <c r="AN777" t="str">
        <f>IFERROR(ROUND(L777*(G777/$AW777)/VLOOKUP(F777,商品!$A$4:$D$67,4,FALSE),0),"")</f>
        <v/>
      </c>
      <c r="AO777" t="str">
        <f>IFERROR(ROUND(L777*(I777/$AW777)/VLOOKUP(H777,商品!$A$4:$D$67,4,FALSE),0),"")</f>
        <v/>
      </c>
      <c r="AP777" t="str">
        <f>IFERROR(ROUND(L777*(K777/$AW777)/VLOOKUP(J777,商品!$A$4:$D$67,4,FALSE),0),"")</f>
        <v/>
      </c>
      <c r="AQ777" t="str">
        <f>IFERROR(ROUND(S777*(N777/$AX777)/VLOOKUP(M777,职业!$A$3:$E$16,4,FALSE),0),"")</f>
        <v/>
      </c>
      <c r="AR777" t="str">
        <f>IFERROR(ROUND(S777*(P777/$AX777)/VLOOKUP(O777,职业!$A$3:$E$16,4,FALSE),0),"")</f>
        <v/>
      </c>
      <c r="AS777" t="str">
        <f>IFERROR(ROUND(S777*(R777/$AX777)/VLOOKUP(Q777,职业!$A$3:$E$16,4,FALSE),0),"")</f>
        <v/>
      </c>
      <c r="AT777" t="str">
        <f>IFERROR(ROUND(X777*(U777/$AY777)/VLOOKUP(T777,商品!$A$4:$D$67,4,FALSE),0),"")</f>
        <v/>
      </c>
      <c r="AU777" t="str">
        <f>IFERROR(ROUND(X777*(W777/$AY777)/VLOOKUP(V777,商品!$A$4:$D$67,4,FALSE),0),"")</f>
        <v/>
      </c>
      <c r="AW777">
        <f t="shared" si="218"/>
        <v>0</v>
      </c>
      <c r="AX777">
        <f t="shared" si="219"/>
        <v>0</v>
      </c>
      <c r="AY777">
        <f t="shared" si="220"/>
        <v>0</v>
      </c>
    </row>
    <row r="778" customHeight="1" spans="1:51">
      <c r="A778" s="18" t="s">
        <v>429</v>
      </c>
      <c r="C778" s="18">
        <v>3</v>
      </c>
      <c r="D778" s="1" t="s">
        <v>260</v>
      </c>
      <c r="E778" s="1" t="s">
        <v>224</v>
      </c>
      <c r="L778" s="18">
        <f>IFERROR(VLOOKUP($D778&amp;$C778,生产方式定位!$A$2:$E$38,2,FALSE)+VLOOKUP($E778&amp;$C778,生产方式定位!$F$3:$J$38,2,FALSE),0)</f>
        <v>2000</v>
      </c>
      <c r="S778" s="18">
        <f>IFERROR(VLOOKUP($D778&amp;$C778,生产方式定位!$A$2:$E$38,3,FALSE)+VLOOKUP($E778&amp;$C778,生产方式定位!$F$3:$J$38,3,FALSE),0)</f>
        <v>20</v>
      </c>
      <c r="X778" s="18">
        <f>IFERROR(VLOOKUP($D778&amp;$C778,生产方式定位!$A$2:$E$38,5,FALSE)+VLOOKUP($E778&amp;$C778,生产方式定位!$F$3:$J$38,5,FALSE),"错误")</f>
        <v>2114</v>
      </c>
      <c r="Y778" s="27" t="str">
        <f t="shared" si="204"/>
        <v/>
      </c>
      <c r="Z778" s="50" t="str">
        <f t="shared" si="207"/>
        <v/>
      </c>
      <c r="AA778" s="50" t="str">
        <f t="shared" si="205"/>
        <v/>
      </c>
      <c r="AB778" s="28" t="str">
        <f t="shared" si="208"/>
        <v>6%</v>
      </c>
      <c r="AC778" s="1">
        <f t="shared" si="209"/>
        <v>94</v>
      </c>
      <c r="AD778" s="52">
        <f t="shared" si="206"/>
        <v>3</v>
      </c>
      <c r="AE778" t="str">
        <f t="shared" si="210"/>
        <v/>
      </c>
      <c r="AF778" t="str">
        <f t="shared" si="211"/>
        <v/>
      </c>
      <c r="AG778" t="str">
        <f t="shared" si="212"/>
        <v/>
      </c>
      <c r="AH778" t="str">
        <f t="shared" si="213"/>
        <v/>
      </c>
      <c r="AI778" t="str">
        <f t="shared" si="214"/>
        <v/>
      </c>
      <c r="AJ778" t="str">
        <f t="shared" si="215"/>
        <v/>
      </c>
      <c r="AK778" t="str">
        <f t="shared" si="216"/>
        <v/>
      </c>
      <c r="AL778" t="str">
        <f t="shared" si="217"/>
        <v/>
      </c>
      <c r="AN778" t="str">
        <f>IFERROR(ROUND(L778*(G778/$AW778)/VLOOKUP(F778,商品!$A$4:$D$67,4,FALSE),0),"")</f>
        <v/>
      </c>
      <c r="AO778" t="str">
        <f>IFERROR(ROUND(L778*(I778/$AW778)/VLOOKUP(H778,商品!$A$4:$D$67,4,FALSE),0),"")</f>
        <v/>
      </c>
      <c r="AP778" t="str">
        <f>IFERROR(ROUND(L778*(K778/$AW778)/VLOOKUP(J778,商品!$A$4:$D$67,4,FALSE),0),"")</f>
        <v/>
      </c>
      <c r="AQ778" t="str">
        <f>IFERROR(ROUND(S778*(N778/$AX778)/VLOOKUP(M778,职业!$A$3:$E$16,4,FALSE),0),"")</f>
        <v/>
      </c>
      <c r="AR778" t="str">
        <f>IFERROR(ROUND(S778*(P778/$AX778)/VLOOKUP(O778,职业!$A$3:$E$16,4,FALSE),0),"")</f>
        <v/>
      </c>
      <c r="AS778" t="str">
        <f>IFERROR(ROUND(S778*(R778/$AX778)/VLOOKUP(Q778,职业!$A$3:$E$16,4,FALSE),0),"")</f>
        <v/>
      </c>
      <c r="AT778" t="str">
        <f>IFERROR(ROUND(X778*(U778/$AY778)/VLOOKUP(T778,商品!$A$4:$D$67,4,FALSE),0),"")</f>
        <v/>
      </c>
      <c r="AU778" t="str">
        <f>IFERROR(ROUND(X778*(W778/$AY778)/VLOOKUP(V778,商品!$A$4:$D$67,4,FALSE),0),"")</f>
        <v/>
      </c>
      <c r="AW778">
        <f t="shared" si="218"/>
        <v>0</v>
      </c>
      <c r="AX778">
        <f t="shared" si="219"/>
        <v>0</v>
      </c>
      <c r="AY778">
        <f t="shared" si="220"/>
        <v>0</v>
      </c>
    </row>
    <row r="779" customHeight="1" spans="1:51">
      <c r="A779" s="18" t="s">
        <v>429</v>
      </c>
      <c r="C779" s="18">
        <v>4</v>
      </c>
      <c r="D779" s="1" t="s">
        <v>260</v>
      </c>
      <c r="E779" s="1" t="s">
        <v>224</v>
      </c>
      <c r="L779" s="18">
        <f>IFERROR(VLOOKUP($D779&amp;$C779,生产方式定位!$A$2:$E$38,2,FALSE)+VLOOKUP($E779&amp;$C779,生产方式定位!$F$3:$J$38,2,FALSE),0)</f>
        <v>3000</v>
      </c>
      <c r="S779" s="18">
        <f>IFERROR(VLOOKUP($D779&amp;$C779,生产方式定位!$A$2:$E$38,3,FALSE)+VLOOKUP($E779&amp;$C779,生产方式定位!$F$3:$J$38,3,FALSE),0)</f>
        <v>-10</v>
      </c>
      <c r="X779" s="18">
        <f>IFERROR(VLOOKUP($D779&amp;$C779,生产方式定位!$A$2:$E$38,5,FALSE)+VLOOKUP($E779&amp;$C779,生产方式定位!$F$3:$J$38,5,FALSE),"错误")</f>
        <v>3132</v>
      </c>
      <c r="Y779" s="27" t="str">
        <f t="shared" si="204"/>
        <v/>
      </c>
      <c r="Z779" s="50" t="str">
        <f t="shared" si="207"/>
        <v/>
      </c>
      <c r="AA779" s="50" t="str">
        <f t="shared" si="205"/>
        <v/>
      </c>
      <c r="AB779" s="28" t="str">
        <f t="shared" si="208"/>
        <v>4%</v>
      </c>
      <c r="AC779" s="1">
        <f t="shared" si="209"/>
        <v>142</v>
      </c>
      <c r="AD779" s="52">
        <f t="shared" si="206"/>
        <v>4</v>
      </c>
      <c r="AE779" t="str">
        <f t="shared" si="210"/>
        <v/>
      </c>
      <c r="AF779" t="str">
        <f t="shared" si="211"/>
        <v/>
      </c>
      <c r="AG779" t="str">
        <f t="shared" si="212"/>
        <v/>
      </c>
      <c r="AH779" t="str">
        <f t="shared" si="213"/>
        <v/>
      </c>
      <c r="AI779" t="str">
        <f t="shared" si="214"/>
        <v/>
      </c>
      <c r="AJ779" t="str">
        <f t="shared" si="215"/>
        <v/>
      </c>
      <c r="AK779" t="str">
        <f t="shared" si="216"/>
        <v/>
      </c>
      <c r="AL779" t="str">
        <f t="shared" si="217"/>
        <v/>
      </c>
      <c r="AN779" t="str">
        <f>IFERROR(ROUND(L779*(G779/$AW779)/VLOOKUP(F779,商品!$A$4:$D$67,4,FALSE),0),"")</f>
        <v/>
      </c>
      <c r="AO779" t="str">
        <f>IFERROR(ROUND(L779*(I779/$AW779)/VLOOKUP(H779,商品!$A$4:$D$67,4,FALSE),0),"")</f>
        <v/>
      </c>
      <c r="AP779" t="str">
        <f>IFERROR(ROUND(L779*(K779/$AW779)/VLOOKUP(J779,商品!$A$4:$D$67,4,FALSE),0),"")</f>
        <v/>
      </c>
      <c r="AQ779" t="str">
        <f>IFERROR(ROUND(S779*(N779/$AX779)/VLOOKUP(M779,职业!$A$3:$E$16,4,FALSE),0),"")</f>
        <v/>
      </c>
      <c r="AR779" t="str">
        <f>IFERROR(ROUND(S779*(P779/$AX779)/VLOOKUP(O779,职业!$A$3:$E$16,4,FALSE),0),"")</f>
        <v/>
      </c>
      <c r="AS779" t="str">
        <f>IFERROR(ROUND(S779*(R779/$AX779)/VLOOKUP(Q779,职业!$A$3:$E$16,4,FALSE),0),"")</f>
        <v/>
      </c>
      <c r="AT779" t="str">
        <f>IFERROR(ROUND(X779*(U779/$AY779)/VLOOKUP(T779,商品!$A$4:$D$67,4,FALSE),0),"")</f>
        <v/>
      </c>
      <c r="AU779" t="str">
        <f>IFERROR(ROUND(X779*(W779/$AY779)/VLOOKUP(V779,商品!$A$4:$D$67,4,FALSE),0),"")</f>
        <v/>
      </c>
      <c r="AW779">
        <f t="shared" si="218"/>
        <v>0</v>
      </c>
      <c r="AX779">
        <f t="shared" si="219"/>
        <v>0</v>
      </c>
      <c r="AY779">
        <f t="shared" si="220"/>
        <v>0</v>
      </c>
    </row>
    <row r="780" customHeight="1" spans="1:51">
      <c r="A780" s="18" t="s">
        <v>429</v>
      </c>
      <c r="C780" s="18">
        <v>5</v>
      </c>
      <c r="D780" s="1" t="s">
        <v>260</v>
      </c>
      <c r="E780" s="1" t="s">
        <v>224</v>
      </c>
      <c r="L780" s="18">
        <f>IFERROR(VLOOKUP($D780&amp;$C780,生产方式定位!$A$2:$E$38,2,FALSE)+VLOOKUP($E780&amp;$C780,生产方式定位!$F$3:$J$38,2,FALSE),0)</f>
        <v>4000</v>
      </c>
      <c r="S780" s="18">
        <f>IFERROR(VLOOKUP($D780&amp;$C780,生产方式定位!$A$2:$E$38,3,FALSE)+VLOOKUP($E780&amp;$C780,生产方式定位!$F$3:$J$38,3,FALSE),0)</f>
        <v>-40</v>
      </c>
      <c r="X780" s="18">
        <f>IFERROR(VLOOKUP($D780&amp;$C780,生产方式定位!$A$2:$E$38,5,FALSE)+VLOOKUP($E780&amp;$C780,生产方式定位!$F$3:$J$38,5,FALSE),"错误")</f>
        <v>4150</v>
      </c>
      <c r="Y780" s="27" t="str">
        <f t="shared" si="204"/>
        <v/>
      </c>
      <c r="Z780" s="50" t="str">
        <f t="shared" si="207"/>
        <v/>
      </c>
      <c r="AA780" s="50" t="str">
        <f t="shared" si="205"/>
        <v/>
      </c>
      <c r="AB780" s="28" t="str">
        <f t="shared" si="208"/>
        <v>4%</v>
      </c>
      <c r="AC780" s="1">
        <f t="shared" si="209"/>
        <v>190</v>
      </c>
      <c r="AD780" s="52">
        <f t="shared" si="206"/>
        <v>5</v>
      </c>
      <c r="AE780" t="str">
        <f t="shared" si="210"/>
        <v/>
      </c>
      <c r="AF780" t="str">
        <f t="shared" si="211"/>
        <v/>
      </c>
      <c r="AG780" t="str">
        <f t="shared" si="212"/>
        <v/>
      </c>
      <c r="AH780" t="str">
        <f t="shared" si="213"/>
        <v/>
      </c>
      <c r="AI780" t="str">
        <f t="shared" si="214"/>
        <v/>
      </c>
      <c r="AJ780" t="str">
        <f t="shared" si="215"/>
        <v/>
      </c>
      <c r="AK780" t="str">
        <f t="shared" si="216"/>
        <v/>
      </c>
      <c r="AL780" t="str">
        <f t="shared" si="217"/>
        <v/>
      </c>
      <c r="AN780" t="str">
        <f>IFERROR(ROUND(L780*(G780/$AW780)/VLOOKUP(F780,商品!$A$4:$D$67,4,FALSE),0),"")</f>
        <v/>
      </c>
      <c r="AO780" t="str">
        <f>IFERROR(ROUND(L780*(I780/$AW780)/VLOOKUP(H780,商品!$A$4:$D$67,4,FALSE),0),"")</f>
        <v/>
      </c>
      <c r="AP780" t="str">
        <f>IFERROR(ROUND(L780*(K780/$AW780)/VLOOKUP(J780,商品!$A$4:$D$67,4,FALSE),0),"")</f>
        <v/>
      </c>
      <c r="AQ780" t="str">
        <f>IFERROR(ROUND(S780*(N780/$AX780)/VLOOKUP(M780,职业!$A$3:$E$16,4,FALSE),0),"")</f>
        <v/>
      </c>
      <c r="AR780" t="str">
        <f>IFERROR(ROUND(S780*(P780/$AX780)/VLOOKUP(O780,职业!$A$3:$E$16,4,FALSE),0),"")</f>
        <v/>
      </c>
      <c r="AS780" t="str">
        <f>IFERROR(ROUND(S780*(R780/$AX780)/VLOOKUP(Q780,职业!$A$3:$E$16,4,FALSE),0),"")</f>
        <v/>
      </c>
      <c r="AT780" t="str">
        <f>IFERROR(ROUND(X780*(U780/$AY780)/VLOOKUP(T780,商品!$A$4:$D$67,4,FALSE),0),"")</f>
        <v/>
      </c>
      <c r="AU780" t="str">
        <f>IFERROR(ROUND(X780*(W780/$AY780)/VLOOKUP(V780,商品!$A$4:$D$67,4,FALSE),0),"")</f>
        <v/>
      </c>
      <c r="AW780">
        <f t="shared" si="218"/>
        <v>0</v>
      </c>
      <c r="AX780">
        <f t="shared" si="219"/>
        <v>0</v>
      </c>
      <c r="AY780">
        <f t="shared" si="220"/>
        <v>0</v>
      </c>
    </row>
    <row r="781" customHeight="1" spans="1:51">
      <c r="A781" s="5" t="s">
        <v>429</v>
      </c>
      <c r="C781" s="5">
        <v>1</v>
      </c>
      <c r="D781" s="1" t="s">
        <v>260</v>
      </c>
      <c r="E781" s="1" t="s">
        <v>224</v>
      </c>
      <c r="L781" s="5">
        <f>IFERROR(VLOOKUP($D781&amp;$C781,生产方式定位!$A$2:$E$38,2,FALSE)+VLOOKUP($E781&amp;$C781,生产方式定位!$F$3:$J$38,2,FALSE),0)</f>
        <v>0</v>
      </c>
      <c r="S781" s="5">
        <f>IFERROR(VLOOKUP($D781&amp;$C781,生产方式定位!$A$2:$E$38,3,FALSE)+VLOOKUP($E781&amp;$C781,生产方式定位!$F$3:$J$38,3,FALSE),0)</f>
        <v>70</v>
      </c>
      <c r="X781" s="5">
        <f>IFERROR(VLOOKUP($D781&amp;$C781,生产方式定位!$A$2:$E$38,5,FALSE)+VLOOKUP($E781&amp;$C781,生产方式定位!$F$3:$J$38,5,FALSE),"错误")</f>
        <v>350</v>
      </c>
      <c r="Y781" s="27" t="str">
        <f t="shared" si="204"/>
        <v/>
      </c>
      <c r="Z781" s="50" t="str">
        <f t="shared" si="207"/>
        <v/>
      </c>
      <c r="AA781" s="50" t="str">
        <f t="shared" si="205"/>
        <v/>
      </c>
      <c r="AB781" s="28" t="str">
        <f t="shared" si="208"/>
        <v/>
      </c>
      <c r="AC781" s="1">
        <f t="shared" si="209"/>
        <v>280</v>
      </c>
      <c r="AD781" s="51">
        <f t="shared" si="206"/>
        <v>1</v>
      </c>
      <c r="AE781" t="str">
        <f t="shared" si="210"/>
        <v/>
      </c>
      <c r="AF781" t="str">
        <f t="shared" si="211"/>
        <v/>
      </c>
      <c r="AG781" t="str">
        <f t="shared" si="212"/>
        <v/>
      </c>
      <c r="AH781" t="str">
        <f t="shared" si="213"/>
        <v/>
      </c>
      <c r="AI781" t="str">
        <f t="shared" si="214"/>
        <v/>
      </c>
      <c r="AJ781" t="str">
        <f t="shared" si="215"/>
        <v/>
      </c>
      <c r="AK781" t="str">
        <f t="shared" si="216"/>
        <v/>
      </c>
      <c r="AL781" t="str">
        <f t="shared" si="217"/>
        <v/>
      </c>
      <c r="AN781" t="str">
        <f>IFERROR(ROUND(L781*(G781/$AW781)/VLOOKUP(F781,商品!$A$4:$D$67,4,FALSE),0),"")</f>
        <v/>
      </c>
      <c r="AO781" t="str">
        <f>IFERROR(ROUND(L781*(I781/$AW781)/VLOOKUP(H781,商品!$A$4:$D$67,4,FALSE),0),"")</f>
        <v/>
      </c>
      <c r="AP781" t="str">
        <f>IFERROR(ROUND(L781*(K781/$AW781)/VLOOKUP(J781,商品!$A$4:$D$67,4,FALSE),0),"")</f>
        <v/>
      </c>
      <c r="AQ781" t="str">
        <f>IFERROR(ROUND(S781*(N781/$AX781)/VLOOKUP(M781,职业!$A$3:$E$16,4,FALSE),0),"")</f>
        <v/>
      </c>
      <c r="AR781" t="str">
        <f>IFERROR(ROUND(S781*(P781/$AX781)/VLOOKUP(O781,职业!$A$3:$E$16,4,FALSE),0),"")</f>
        <v/>
      </c>
      <c r="AS781" t="str">
        <f>IFERROR(ROUND(S781*(R781/$AX781)/VLOOKUP(Q781,职业!$A$3:$E$16,4,FALSE),0),"")</f>
        <v/>
      </c>
      <c r="AT781" t="str">
        <f>IFERROR(ROUND(X781*(U781/$AY781)/VLOOKUP(T781,商品!$A$4:$D$67,4,FALSE),0),"")</f>
        <v/>
      </c>
      <c r="AU781" t="str">
        <f>IFERROR(ROUND(X781*(W781/$AY781)/VLOOKUP(V781,商品!$A$4:$D$67,4,FALSE),0),"")</f>
        <v/>
      </c>
      <c r="AW781">
        <f t="shared" si="218"/>
        <v>0</v>
      </c>
      <c r="AX781">
        <f t="shared" si="219"/>
        <v>0</v>
      </c>
      <c r="AY781">
        <f t="shared" si="220"/>
        <v>0</v>
      </c>
    </row>
    <row r="782" customHeight="1" spans="1:51">
      <c r="A782" s="5" t="s">
        <v>429</v>
      </c>
      <c r="C782" s="5">
        <v>2</v>
      </c>
      <c r="D782" s="1" t="s">
        <v>260</v>
      </c>
      <c r="E782" s="1" t="s">
        <v>224</v>
      </c>
      <c r="L782" s="5">
        <f>IFERROR(VLOOKUP($D782&amp;$C782,生产方式定位!$A$2:$E$38,2,FALSE)+VLOOKUP($E782&amp;$C782,生产方式定位!$F$3:$J$38,2,FALSE),0)</f>
        <v>1000</v>
      </c>
      <c r="S782" s="5">
        <f>IFERROR(VLOOKUP($D782&amp;$C782,生产方式定位!$A$2:$E$38,3,FALSE)+VLOOKUP($E782&amp;$C782,生产方式定位!$F$3:$J$38,3,FALSE),0)</f>
        <v>50</v>
      </c>
      <c r="X782" s="5">
        <f>IFERROR(VLOOKUP($D782&amp;$C782,生产方式定位!$A$2:$E$38,5,FALSE)+VLOOKUP($E782&amp;$C782,生产方式定位!$F$3:$J$38,5,FALSE),"错误")</f>
        <v>1096</v>
      </c>
      <c r="Y782" s="27" t="str">
        <f t="shared" si="204"/>
        <v/>
      </c>
      <c r="Z782" s="50" t="str">
        <f t="shared" si="207"/>
        <v/>
      </c>
      <c r="AA782" s="50" t="str">
        <f t="shared" si="205"/>
        <v/>
      </c>
      <c r="AB782" s="28" t="str">
        <f t="shared" si="208"/>
        <v>10%</v>
      </c>
      <c r="AC782" s="1">
        <f t="shared" si="209"/>
        <v>46</v>
      </c>
      <c r="AD782" s="51">
        <f t="shared" si="206"/>
        <v>2</v>
      </c>
      <c r="AE782" t="str">
        <f t="shared" si="210"/>
        <v/>
      </c>
      <c r="AF782" t="str">
        <f t="shared" si="211"/>
        <v/>
      </c>
      <c r="AG782" t="str">
        <f t="shared" si="212"/>
        <v/>
      </c>
      <c r="AH782" t="str">
        <f t="shared" si="213"/>
        <v/>
      </c>
      <c r="AI782" t="str">
        <f t="shared" si="214"/>
        <v/>
      </c>
      <c r="AJ782" t="str">
        <f t="shared" si="215"/>
        <v/>
      </c>
      <c r="AK782" t="str">
        <f t="shared" si="216"/>
        <v/>
      </c>
      <c r="AL782" t="str">
        <f t="shared" si="217"/>
        <v/>
      </c>
      <c r="AN782" t="str">
        <f>IFERROR(ROUND(L782*(G782/$AW782)/VLOOKUP(F782,商品!$A$4:$D$67,4,FALSE),0),"")</f>
        <v/>
      </c>
      <c r="AO782" t="str">
        <f>IFERROR(ROUND(L782*(I782/$AW782)/VLOOKUP(H782,商品!$A$4:$D$67,4,FALSE),0),"")</f>
        <v/>
      </c>
      <c r="AP782" t="str">
        <f>IFERROR(ROUND(L782*(K782/$AW782)/VLOOKUP(J782,商品!$A$4:$D$67,4,FALSE),0),"")</f>
        <v/>
      </c>
      <c r="AQ782" t="str">
        <f>IFERROR(ROUND(S782*(N782/$AX782)/VLOOKUP(M782,职业!$A$3:$E$16,4,FALSE),0),"")</f>
        <v/>
      </c>
      <c r="AR782" t="str">
        <f>IFERROR(ROUND(S782*(P782/$AX782)/VLOOKUP(O782,职业!$A$3:$E$16,4,FALSE),0),"")</f>
        <v/>
      </c>
      <c r="AS782" t="str">
        <f>IFERROR(ROUND(S782*(R782/$AX782)/VLOOKUP(Q782,职业!$A$3:$E$16,4,FALSE),0),"")</f>
        <v/>
      </c>
      <c r="AT782" t="str">
        <f>IFERROR(ROUND(X782*(U782/$AY782)/VLOOKUP(T782,商品!$A$4:$D$67,4,FALSE),0),"")</f>
        <v/>
      </c>
      <c r="AU782" t="str">
        <f>IFERROR(ROUND(X782*(W782/$AY782)/VLOOKUP(V782,商品!$A$4:$D$67,4,FALSE),0),"")</f>
        <v/>
      </c>
      <c r="AW782">
        <f t="shared" si="218"/>
        <v>0</v>
      </c>
      <c r="AX782">
        <f t="shared" si="219"/>
        <v>0</v>
      </c>
      <c r="AY782">
        <f t="shared" si="220"/>
        <v>0</v>
      </c>
    </row>
    <row r="783" customHeight="1" spans="1:51">
      <c r="A783" s="5" t="s">
        <v>429</v>
      </c>
      <c r="C783" s="5">
        <v>3</v>
      </c>
      <c r="D783" s="1" t="s">
        <v>260</v>
      </c>
      <c r="E783" s="1" t="s">
        <v>224</v>
      </c>
      <c r="L783" s="5">
        <f>IFERROR(VLOOKUP($D783&amp;$C783,生产方式定位!$A$2:$E$38,2,FALSE)+VLOOKUP($E783&amp;$C783,生产方式定位!$F$3:$J$38,2,FALSE),0)</f>
        <v>2000</v>
      </c>
      <c r="S783" s="5">
        <f>IFERROR(VLOOKUP($D783&amp;$C783,生产方式定位!$A$2:$E$38,3,FALSE)+VLOOKUP($E783&amp;$C783,生产方式定位!$F$3:$J$38,3,FALSE),0)</f>
        <v>20</v>
      </c>
      <c r="X783" s="5">
        <f>IFERROR(VLOOKUP($D783&amp;$C783,生产方式定位!$A$2:$E$38,5,FALSE)+VLOOKUP($E783&amp;$C783,生产方式定位!$F$3:$J$38,5,FALSE),"错误")</f>
        <v>2114</v>
      </c>
      <c r="Y783" s="27" t="str">
        <f t="shared" si="204"/>
        <v/>
      </c>
      <c r="Z783" s="50" t="str">
        <f t="shared" si="207"/>
        <v/>
      </c>
      <c r="AA783" s="50" t="str">
        <f t="shared" si="205"/>
        <v/>
      </c>
      <c r="AB783" s="28" t="str">
        <f t="shared" si="208"/>
        <v>6%</v>
      </c>
      <c r="AC783" s="1">
        <f t="shared" si="209"/>
        <v>94</v>
      </c>
      <c r="AD783" s="51">
        <f t="shared" si="206"/>
        <v>3</v>
      </c>
      <c r="AE783" t="str">
        <f t="shared" si="210"/>
        <v/>
      </c>
      <c r="AF783" t="str">
        <f t="shared" si="211"/>
        <v/>
      </c>
      <c r="AG783" t="str">
        <f t="shared" si="212"/>
        <v/>
      </c>
      <c r="AH783" t="str">
        <f t="shared" si="213"/>
        <v/>
      </c>
      <c r="AI783" t="str">
        <f t="shared" si="214"/>
        <v/>
      </c>
      <c r="AJ783" t="str">
        <f t="shared" si="215"/>
        <v/>
      </c>
      <c r="AK783" t="str">
        <f t="shared" si="216"/>
        <v/>
      </c>
      <c r="AL783" t="str">
        <f t="shared" si="217"/>
        <v/>
      </c>
      <c r="AN783" t="str">
        <f>IFERROR(ROUND(L783*(G783/$AW783)/VLOOKUP(F783,商品!$A$4:$D$67,4,FALSE),0),"")</f>
        <v/>
      </c>
      <c r="AO783" t="str">
        <f>IFERROR(ROUND(L783*(I783/$AW783)/VLOOKUP(H783,商品!$A$4:$D$67,4,FALSE),0),"")</f>
        <v/>
      </c>
      <c r="AP783" t="str">
        <f>IFERROR(ROUND(L783*(K783/$AW783)/VLOOKUP(J783,商品!$A$4:$D$67,4,FALSE),0),"")</f>
        <v/>
      </c>
      <c r="AQ783" t="str">
        <f>IFERROR(ROUND(S783*(N783/$AX783)/VLOOKUP(M783,职业!$A$3:$E$16,4,FALSE),0),"")</f>
        <v/>
      </c>
      <c r="AR783" t="str">
        <f>IFERROR(ROUND(S783*(P783/$AX783)/VLOOKUP(O783,职业!$A$3:$E$16,4,FALSE),0),"")</f>
        <v/>
      </c>
      <c r="AS783" t="str">
        <f>IFERROR(ROUND(S783*(R783/$AX783)/VLOOKUP(Q783,职业!$A$3:$E$16,4,FALSE),0),"")</f>
        <v/>
      </c>
      <c r="AT783" t="str">
        <f>IFERROR(ROUND(X783*(U783/$AY783)/VLOOKUP(T783,商品!$A$4:$D$67,4,FALSE),0),"")</f>
        <v/>
      </c>
      <c r="AU783" t="str">
        <f>IFERROR(ROUND(X783*(W783/$AY783)/VLOOKUP(V783,商品!$A$4:$D$67,4,FALSE),0),"")</f>
        <v/>
      </c>
      <c r="AW783">
        <f t="shared" si="218"/>
        <v>0</v>
      </c>
      <c r="AX783">
        <f t="shared" si="219"/>
        <v>0</v>
      </c>
      <c r="AY783">
        <f t="shared" si="220"/>
        <v>0</v>
      </c>
    </row>
    <row r="784" customHeight="1" spans="1:51">
      <c r="A784" s="5" t="s">
        <v>429</v>
      </c>
      <c r="C784" s="5">
        <v>4</v>
      </c>
      <c r="D784" s="1" t="s">
        <v>260</v>
      </c>
      <c r="E784" s="1" t="s">
        <v>224</v>
      </c>
      <c r="L784" s="5">
        <f>IFERROR(VLOOKUP($D784&amp;$C784,生产方式定位!$A$2:$E$38,2,FALSE)+VLOOKUP($E784&amp;$C784,生产方式定位!$F$3:$J$38,2,FALSE),0)</f>
        <v>3000</v>
      </c>
      <c r="S784" s="5">
        <f>IFERROR(VLOOKUP($D784&amp;$C784,生产方式定位!$A$2:$E$38,3,FALSE)+VLOOKUP($E784&amp;$C784,生产方式定位!$F$3:$J$38,3,FALSE),0)</f>
        <v>-10</v>
      </c>
      <c r="X784" s="5">
        <f>IFERROR(VLOOKUP($D784&amp;$C784,生产方式定位!$A$2:$E$38,5,FALSE)+VLOOKUP($E784&amp;$C784,生产方式定位!$F$3:$J$38,5,FALSE),"错误")</f>
        <v>3132</v>
      </c>
      <c r="Y784" s="27" t="str">
        <f t="shared" si="204"/>
        <v/>
      </c>
      <c r="Z784" s="50" t="str">
        <f t="shared" si="207"/>
        <v/>
      </c>
      <c r="AA784" s="50" t="str">
        <f t="shared" si="205"/>
        <v/>
      </c>
      <c r="AB784" s="28" t="str">
        <f t="shared" si="208"/>
        <v>4%</v>
      </c>
      <c r="AC784" s="1">
        <f t="shared" si="209"/>
        <v>142</v>
      </c>
      <c r="AD784" s="51">
        <f t="shared" si="206"/>
        <v>4</v>
      </c>
      <c r="AE784" t="str">
        <f t="shared" si="210"/>
        <v/>
      </c>
      <c r="AF784" t="str">
        <f t="shared" si="211"/>
        <v/>
      </c>
      <c r="AG784" t="str">
        <f t="shared" si="212"/>
        <v/>
      </c>
      <c r="AH784" t="str">
        <f t="shared" si="213"/>
        <v/>
      </c>
      <c r="AI784" t="str">
        <f t="shared" si="214"/>
        <v/>
      </c>
      <c r="AJ784" t="str">
        <f t="shared" si="215"/>
        <v/>
      </c>
      <c r="AK784" t="str">
        <f t="shared" si="216"/>
        <v/>
      </c>
      <c r="AL784" t="str">
        <f t="shared" si="217"/>
        <v/>
      </c>
      <c r="AN784" t="str">
        <f>IFERROR(ROUND(L784*(G784/$AW784)/VLOOKUP(F784,商品!$A$4:$D$67,4,FALSE),0),"")</f>
        <v/>
      </c>
      <c r="AO784" t="str">
        <f>IFERROR(ROUND(L784*(I784/$AW784)/VLOOKUP(H784,商品!$A$4:$D$67,4,FALSE),0),"")</f>
        <v/>
      </c>
      <c r="AP784" t="str">
        <f>IFERROR(ROUND(L784*(K784/$AW784)/VLOOKUP(J784,商品!$A$4:$D$67,4,FALSE),0),"")</f>
        <v/>
      </c>
      <c r="AQ784" t="str">
        <f>IFERROR(ROUND(S784*(N784/$AX784)/VLOOKUP(M784,职业!$A$3:$E$16,4,FALSE),0),"")</f>
        <v/>
      </c>
      <c r="AR784" t="str">
        <f>IFERROR(ROUND(S784*(P784/$AX784)/VLOOKUP(O784,职业!$A$3:$E$16,4,FALSE),0),"")</f>
        <v/>
      </c>
      <c r="AS784" t="str">
        <f>IFERROR(ROUND(S784*(R784/$AX784)/VLOOKUP(Q784,职业!$A$3:$E$16,4,FALSE),0),"")</f>
        <v/>
      </c>
      <c r="AT784" t="str">
        <f>IFERROR(ROUND(X784*(U784/$AY784)/VLOOKUP(T784,商品!$A$4:$D$67,4,FALSE),0),"")</f>
        <v/>
      </c>
      <c r="AU784" t="str">
        <f>IFERROR(ROUND(X784*(W784/$AY784)/VLOOKUP(V784,商品!$A$4:$D$67,4,FALSE),0),"")</f>
        <v/>
      </c>
      <c r="AW784">
        <f t="shared" si="218"/>
        <v>0</v>
      </c>
      <c r="AX784">
        <f t="shared" si="219"/>
        <v>0</v>
      </c>
      <c r="AY784">
        <f t="shared" si="220"/>
        <v>0</v>
      </c>
    </row>
    <row r="785" customHeight="1" spans="1:51">
      <c r="A785" s="5" t="s">
        <v>429</v>
      </c>
      <c r="C785" s="5">
        <v>5</v>
      </c>
      <c r="D785" s="1" t="s">
        <v>260</v>
      </c>
      <c r="E785" s="1" t="s">
        <v>224</v>
      </c>
      <c r="L785" s="5">
        <f>IFERROR(VLOOKUP($D785&amp;$C785,生产方式定位!$A$2:$E$38,2,FALSE)+VLOOKUP($E785&amp;$C785,生产方式定位!$F$3:$J$38,2,FALSE),0)</f>
        <v>4000</v>
      </c>
      <c r="S785" s="5">
        <f>IFERROR(VLOOKUP($D785&amp;$C785,生产方式定位!$A$2:$E$38,3,FALSE)+VLOOKUP($E785&amp;$C785,生产方式定位!$F$3:$J$38,3,FALSE),0)</f>
        <v>-40</v>
      </c>
      <c r="X785" s="5">
        <f>IFERROR(VLOOKUP($D785&amp;$C785,生产方式定位!$A$2:$E$38,5,FALSE)+VLOOKUP($E785&amp;$C785,生产方式定位!$F$3:$J$38,5,FALSE),"错误")</f>
        <v>4150</v>
      </c>
      <c r="Y785" s="27" t="str">
        <f t="shared" si="204"/>
        <v/>
      </c>
      <c r="Z785" s="50" t="str">
        <f t="shared" si="207"/>
        <v/>
      </c>
      <c r="AA785" s="50" t="str">
        <f t="shared" si="205"/>
        <v/>
      </c>
      <c r="AB785" s="28" t="str">
        <f t="shared" si="208"/>
        <v>4%</v>
      </c>
      <c r="AC785" s="1">
        <f t="shared" si="209"/>
        <v>190</v>
      </c>
      <c r="AD785" s="51">
        <f t="shared" si="206"/>
        <v>5</v>
      </c>
      <c r="AE785" t="str">
        <f t="shared" si="210"/>
        <v/>
      </c>
      <c r="AF785" t="str">
        <f t="shared" si="211"/>
        <v/>
      </c>
      <c r="AG785" t="str">
        <f t="shared" si="212"/>
        <v/>
      </c>
      <c r="AH785" t="str">
        <f t="shared" si="213"/>
        <v/>
      </c>
      <c r="AI785" t="str">
        <f t="shared" si="214"/>
        <v/>
      </c>
      <c r="AJ785" t="str">
        <f t="shared" si="215"/>
        <v/>
      </c>
      <c r="AK785" t="str">
        <f t="shared" si="216"/>
        <v/>
      </c>
      <c r="AL785" t="str">
        <f t="shared" si="217"/>
        <v/>
      </c>
      <c r="AN785" t="str">
        <f>IFERROR(ROUND(L785*(G785/$AW785)/VLOOKUP(F785,商品!$A$4:$D$67,4,FALSE),0),"")</f>
        <v/>
      </c>
      <c r="AO785" t="str">
        <f>IFERROR(ROUND(L785*(I785/$AW785)/VLOOKUP(H785,商品!$A$4:$D$67,4,FALSE),0),"")</f>
        <v/>
      </c>
      <c r="AP785" t="str">
        <f>IFERROR(ROUND(L785*(K785/$AW785)/VLOOKUP(J785,商品!$A$4:$D$67,4,FALSE),0),"")</f>
        <v/>
      </c>
      <c r="AQ785" t="str">
        <f>IFERROR(ROUND(S785*(N785/$AX785)/VLOOKUP(M785,职业!$A$3:$E$16,4,FALSE),0),"")</f>
        <v/>
      </c>
      <c r="AR785" t="str">
        <f>IFERROR(ROUND(S785*(P785/$AX785)/VLOOKUP(O785,职业!$A$3:$E$16,4,FALSE),0),"")</f>
        <v/>
      </c>
      <c r="AS785" t="str">
        <f>IFERROR(ROUND(S785*(R785/$AX785)/VLOOKUP(Q785,职业!$A$3:$E$16,4,FALSE),0),"")</f>
        <v/>
      </c>
      <c r="AT785" t="str">
        <f>IFERROR(ROUND(X785*(U785/$AY785)/VLOOKUP(T785,商品!$A$4:$D$67,4,FALSE),0),"")</f>
        <v/>
      </c>
      <c r="AU785" t="str">
        <f>IFERROR(ROUND(X785*(W785/$AY785)/VLOOKUP(V785,商品!$A$4:$D$67,4,FALSE),0),"")</f>
        <v/>
      </c>
      <c r="AW785">
        <f t="shared" si="218"/>
        <v>0</v>
      </c>
      <c r="AX785">
        <f t="shared" si="219"/>
        <v>0</v>
      </c>
      <c r="AY785">
        <f t="shared" si="220"/>
        <v>0</v>
      </c>
    </row>
    <row r="786" customHeight="1" spans="1:51">
      <c r="A786" s="18" t="s">
        <v>430</v>
      </c>
      <c r="C786" s="18">
        <v>1</v>
      </c>
      <c r="D786" s="1" t="s">
        <v>291</v>
      </c>
      <c r="E786" s="1" t="s">
        <v>225</v>
      </c>
      <c r="L786" s="18">
        <f>IFERROR(VLOOKUP($D786&amp;$C786,生产方式定位!$A$2:$E$38,2,FALSE)+VLOOKUP($E786&amp;$C786,生产方式定位!$F$3:$J$38,2,FALSE),0)</f>
        <v>0</v>
      </c>
      <c r="S786" s="18">
        <f>IFERROR(VLOOKUP($D786&amp;$C786,生产方式定位!$A$2:$E$38,3,FALSE)+VLOOKUP($E786&amp;$C786,生产方式定位!$F$3:$J$38,3,FALSE),0)</f>
        <v>100</v>
      </c>
      <c r="X786" s="18">
        <f>IFERROR(VLOOKUP($D786&amp;$C786,生产方式定位!$A$2:$E$38,5,FALSE)+VLOOKUP($E786&amp;$C786,生产方式定位!$F$3:$J$38,5,FALSE),"错误")</f>
        <v>100</v>
      </c>
      <c r="Y786" s="27" t="str">
        <f t="shared" si="204"/>
        <v/>
      </c>
      <c r="Z786" s="50" t="str">
        <f t="shared" si="207"/>
        <v/>
      </c>
      <c r="AA786" s="50" t="str">
        <f t="shared" si="205"/>
        <v/>
      </c>
      <c r="AB786" s="28" t="str">
        <f t="shared" si="208"/>
        <v/>
      </c>
      <c r="AC786" s="1" t="str">
        <f t="shared" si="209"/>
        <v/>
      </c>
      <c r="AD786" s="52">
        <f t="shared" si="206"/>
        <v>1</v>
      </c>
      <c r="AE786" t="str">
        <f t="shared" si="210"/>
        <v/>
      </c>
      <c r="AF786" t="str">
        <f t="shared" si="211"/>
        <v/>
      </c>
      <c r="AG786" t="str">
        <f t="shared" si="212"/>
        <v/>
      </c>
      <c r="AH786" t="str">
        <f t="shared" si="213"/>
        <v/>
      </c>
      <c r="AI786" t="str">
        <f t="shared" si="214"/>
        <v/>
      </c>
      <c r="AJ786" t="str">
        <f t="shared" si="215"/>
        <v/>
      </c>
      <c r="AK786" t="str">
        <f t="shared" si="216"/>
        <v/>
      </c>
      <c r="AL786" t="str">
        <f t="shared" si="217"/>
        <v/>
      </c>
      <c r="AN786" t="str">
        <f>IFERROR(ROUND(L786*(G786/$AW786)/VLOOKUP(F786,商品!$A$4:$D$67,4,FALSE),0),"")</f>
        <v/>
      </c>
      <c r="AO786" t="str">
        <f>IFERROR(ROUND(L786*(I786/$AW786)/VLOOKUP(H786,商品!$A$4:$D$67,4,FALSE),0),"")</f>
        <v/>
      </c>
      <c r="AP786" t="str">
        <f>IFERROR(ROUND(L786*(K786/$AW786)/VLOOKUP(J786,商品!$A$4:$D$67,4,FALSE),0),"")</f>
        <v/>
      </c>
      <c r="AQ786" t="str">
        <f>IFERROR(ROUND(S786*(N786/$AX786)/VLOOKUP(M786,职业!$A$3:$E$16,4,FALSE),0),"")</f>
        <v/>
      </c>
      <c r="AR786" t="str">
        <f>IFERROR(ROUND(S786*(P786/$AX786)/VLOOKUP(O786,职业!$A$3:$E$16,4,FALSE),0),"")</f>
        <v/>
      </c>
      <c r="AS786" t="str">
        <f>IFERROR(ROUND(S786*(R786/$AX786)/VLOOKUP(Q786,职业!$A$3:$E$16,4,FALSE),0),"")</f>
        <v/>
      </c>
      <c r="AT786" t="str">
        <f>IFERROR(ROUND(X786*(U786/$AY786)/VLOOKUP(T786,商品!$A$4:$D$67,4,FALSE),0),"")</f>
        <v/>
      </c>
      <c r="AU786" t="str">
        <f>IFERROR(ROUND(X786*(W786/$AY786)/VLOOKUP(V786,商品!$A$4:$D$67,4,FALSE),0),"")</f>
        <v/>
      </c>
      <c r="AW786">
        <f t="shared" si="218"/>
        <v>0</v>
      </c>
      <c r="AX786">
        <f t="shared" si="219"/>
        <v>0</v>
      </c>
      <c r="AY786">
        <f t="shared" si="220"/>
        <v>0</v>
      </c>
    </row>
    <row r="787" customHeight="1" spans="1:51">
      <c r="A787" s="18" t="s">
        <v>430</v>
      </c>
      <c r="C787" s="18">
        <v>2</v>
      </c>
      <c r="D787" s="1" t="s">
        <v>291</v>
      </c>
      <c r="E787" s="1" t="s">
        <v>225</v>
      </c>
      <c r="L787" s="18">
        <f>IFERROR(VLOOKUP($D787&amp;$C787,生产方式定位!$A$2:$E$38,2,FALSE)+VLOOKUP($E787&amp;$C787,生产方式定位!$F$3:$J$38,2,FALSE),0)</f>
        <v>0</v>
      </c>
      <c r="S787" s="18">
        <f>IFERROR(VLOOKUP($D787&amp;$C787,生产方式定位!$A$2:$E$38,3,FALSE)+VLOOKUP($E787&amp;$C787,生产方式定位!$F$3:$J$38,3,FALSE),0)</f>
        <v>100</v>
      </c>
      <c r="X787" s="18">
        <f>IFERROR(VLOOKUP($D787&amp;$C787,生产方式定位!$A$2:$E$38,5,FALSE)+VLOOKUP($E787&amp;$C787,生产方式定位!$F$3:$J$38,5,FALSE),"错误")</f>
        <v>100</v>
      </c>
      <c r="Y787" s="27" t="str">
        <f t="shared" si="204"/>
        <v/>
      </c>
      <c r="Z787" s="50" t="str">
        <f t="shared" si="207"/>
        <v/>
      </c>
      <c r="AA787" s="50" t="str">
        <f t="shared" si="205"/>
        <v/>
      </c>
      <c r="AB787" s="28" t="str">
        <f t="shared" si="208"/>
        <v/>
      </c>
      <c r="AC787" s="1" t="str">
        <f t="shared" si="209"/>
        <v/>
      </c>
      <c r="AD787" s="52">
        <f t="shared" si="206"/>
        <v>2</v>
      </c>
      <c r="AE787" t="str">
        <f t="shared" si="210"/>
        <v/>
      </c>
      <c r="AF787" t="str">
        <f t="shared" si="211"/>
        <v/>
      </c>
      <c r="AG787" t="str">
        <f t="shared" si="212"/>
        <v/>
      </c>
      <c r="AH787" t="str">
        <f t="shared" si="213"/>
        <v/>
      </c>
      <c r="AI787" t="str">
        <f t="shared" si="214"/>
        <v/>
      </c>
      <c r="AJ787" t="str">
        <f t="shared" si="215"/>
        <v/>
      </c>
      <c r="AK787" t="str">
        <f t="shared" si="216"/>
        <v/>
      </c>
      <c r="AL787" t="str">
        <f t="shared" si="217"/>
        <v/>
      </c>
      <c r="AN787" t="str">
        <f>IFERROR(ROUND(L787*(G787/$AW787)/VLOOKUP(F787,商品!$A$4:$D$67,4,FALSE),0),"")</f>
        <v/>
      </c>
      <c r="AO787" t="str">
        <f>IFERROR(ROUND(L787*(I787/$AW787)/VLOOKUP(H787,商品!$A$4:$D$67,4,FALSE),0),"")</f>
        <v/>
      </c>
      <c r="AP787" t="str">
        <f>IFERROR(ROUND(L787*(K787/$AW787)/VLOOKUP(J787,商品!$A$4:$D$67,4,FALSE),0),"")</f>
        <v/>
      </c>
      <c r="AQ787" t="str">
        <f>IFERROR(ROUND(S787*(N787/$AX787)/VLOOKUP(M787,职业!$A$3:$E$16,4,FALSE),0),"")</f>
        <v/>
      </c>
      <c r="AR787" t="str">
        <f>IFERROR(ROUND(S787*(P787/$AX787)/VLOOKUP(O787,职业!$A$3:$E$16,4,FALSE),0),"")</f>
        <v/>
      </c>
      <c r="AS787" t="str">
        <f>IFERROR(ROUND(S787*(R787/$AX787)/VLOOKUP(Q787,职业!$A$3:$E$16,4,FALSE),0),"")</f>
        <v/>
      </c>
      <c r="AT787" t="str">
        <f>IFERROR(ROUND(X787*(U787/$AY787)/VLOOKUP(T787,商品!$A$4:$D$67,4,FALSE),0),"")</f>
        <v/>
      </c>
      <c r="AU787" t="str">
        <f>IFERROR(ROUND(X787*(W787/$AY787)/VLOOKUP(V787,商品!$A$4:$D$67,4,FALSE),0),"")</f>
        <v/>
      </c>
      <c r="AW787">
        <f t="shared" si="218"/>
        <v>0</v>
      </c>
      <c r="AX787">
        <f t="shared" si="219"/>
        <v>0</v>
      </c>
      <c r="AY787">
        <f t="shared" si="220"/>
        <v>0</v>
      </c>
    </row>
    <row r="788" customHeight="1" spans="1:51">
      <c r="A788" s="18" t="s">
        <v>430</v>
      </c>
      <c r="C788" s="18">
        <v>3</v>
      </c>
      <c r="D788" s="1" t="s">
        <v>291</v>
      </c>
      <c r="E788" s="1" t="s">
        <v>225</v>
      </c>
      <c r="L788" s="18">
        <f>IFERROR(VLOOKUP($D788&amp;$C788,生产方式定位!$A$2:$E$38,2,FALSE)+VLOOKUP($E788&amp;$C788,生产方式定位!$F$3:$J$38,2,FALSE),0)</f>
        <v>0</v>
      </c>
      <c r="S788" s="18">
        <f>IFERROR(VLOOKUP($D788&amp;$C788,生产方式定位!$A$2:$E$38,3,FALSE)+VLOOKUP($E788&amp;$C788,生产方式定位!$F$3:$J$38,3,FALSE),0)</f>
        <v>100</v>
      </c>
      <c r="X788" s="18">
        <f>IFERROR(VLOOKUP($D788&amp;$C788,生产方式定位!$A$2:$E$38,5,FALSE)+VLOOKUP($E788&amp;$C788,生产方式定位!$F$3:$J$38,5,FALSE),"错误")</f>
        <v>100</v>
      </c>
      <c r="Y788" s="27" t="str">
        <f t="shared" si="204"/>
        <v/>
      </c>
      <c r="Z788" s="50" t="str">
        <f t="shared" si="207"/>
        <v/>
      </c>
      <c r="AA788" s="50" t="str">
        <f t="shared" si="205"/>
        <v/>
      </c>
      <c r="AB788" s="28" t="str">
        <f t="shared" si="208"/>
        <v/>
      </c>
      <c r="AC788" s="1" t="str">
        <f t="shared" si="209"/>
        <v/>
      </c>
      <c r="AD788" s="52">
        <f t="shared" si="206"/>
        <v>3</v>
      </c>
      <c r="AE788" t="str">
        <f t="shared" si="210"/>
        <v/>
      </c>
      <c r="AF788" t="str">
        <f t="shared" si="211"/>
        <v/>
      </c>
      <c r="AG788" t="str">
        <f t="shared" si="212"/>
        <v/>
      </c>
      <c r="AH788" t="str">
        <f t="shared" si="213"/>
        <v/>
      </c>
      <c r="AI788" t="str">
        <f t="shared" si="214"/>
        <v/>
      </c>
      <c r="AJ788" t="str">
        <f t="shared" si="215"/>
        <v/>
      </c>
      <c r="AK788" t="str">
        <f t="shared" si="216"/>
        <v/>
      </c>
      <c r="AL788" t="str">
        <f t="shared" si="217"/>
        <v/>
      </c>
      <c r="AN788" t="str">
        <f>IFERROR(ROUND(L788*(G788/$AW788)/VLOOKUP(F788,商品!$A$4:$D$67,4,FALSE),0),"")</f>
        <v/>
      </c>
      <c r="AO788" t="str">
        <f>IFERROR(ROUND(L788*(I788/$AW788)/VLOOKUP(H788,商品!$A$4:$D$67,4,FALSE),0),"")</f>
        <v/>
      </c>
      <c r="AP788" t="str">
        <f>IFERROR(ROUND(L788*(K788/$AW788)/VLOOKUP(J788,商品!$A$4:$D$67,4,FALSE),0),"")</f>
        <v/>
      </c>
      <c r="AQ788" t="str">
        <f>IFERROR(ROUND(S788*(N788/$AX788)/VLOOKUP(M788,职业!$A$3:$E$16,4,FALSE),0),"")</f>
        <v/>
      </c>
      <c r="AR788" t="str">
        <f>IFERROR(ROUND(S788*(P788/$AX788)/VLOOKUP(O788,职业!$A$3:$E$16,4,FALSE),0),"")</f>
        <v/>
      </c>
      <c r="AS788" t="str">
        <f>IFERROR(ROUND(S788*(R788/$AX788)/VLOOKUP(Q788,职业!$A$3:$E$16,4,FALSE),0),"")</f>
        <v/>
      </c>
      <c r="AT788" t="str">
        <f>IFERROR(ROUND(X788*(U788/$AY788)/VLOOKUP(T788,商品!$A$4:$D$67,4,FALSE),0),"")</f>
        <v/>
      </c>
      <c r="AU788" t="str">
        <f>IFERROR(ROUND(X788*(W788/$AY788)/VLOOKUP(V788,商品!$A$4:$D$67,4,FALSE),0),"")</f>
        <v/>
      </c>
      <c r="AW788">
        <f t="shared" si="218"/>
        <v>0</v>
      </c>
      <c r="AX788">
        <f t="shared" si="219"/>
        <v>0</v>
      </c>
      <c r="AY788">
        <f t="shared" si="220"/>
        <v>0</v>
      </c>
    </row>
    <row r="789" customHeight="1" spans="1:51">
      <c r="A789" s="18" t="s">
        <v>430</v>
      </c>
      <c r="C789" s="18">
        <v>4</v>
      </c>
      <c r="D789" s="1" t="s">
        <v>291</v>
      </c>
      <c r="E789" s="1" t="s">
        <v>225</v>
      </c>
      <c r="L789" s="18">
        <f>IFERROR(VLOOKUP($D789&amp;$C789,生产方式定位!$A$2:$E$38,2,FALSE)+VLOOKUP($E789&amp;$C789,生产方式定位!$F$3:$J$38,2,FALSE),0)</f>
        <v>0</v>
      </c>
      <c r="S789" s="18">
        <f>IFERROR(VLOOKUP($D789&amp;$C789,生产方式定位!$A$2:$E$38,3,FALSE)+VLOOKUP($E789&amp;$C789,生产方式定位!$F$3:$J$38,3,FALSE),0)</f>
        <v>100</v>
      </c>
      <c r="X789" s="18">
        <f>IFERROR(VLOOKUP($D789&amp;$C789,生产方式定位!$A$2:$E$38,5,FALSE)+VLOOKUP($E789&amp;$C789,生产方式定位!$F$3:$J$38,5,FALSE),"错误")</f>
        <v>100</v>
      </c>
      <c r="Y789" s="27" t="str">
        <f t="shared" si="204"/>
        <v/>
      </c>
      <c r="Z789" s="50" t="str">
        <f t="shared" si="207"/>
        <v/>
      </c>
      <c r="AA789" s="50" t="str">
        <f t="shared" si="205"/>
        <v/>
      </c>
      <c r="AB789" s="28" t="str">
        <f t="shared" si="208"/>
        <v/>
      </c>
      <c r="AC789" s="1" t="str">
        <f t="shared" si="209"/>
        <v/>
      </c>
      <c r="AD789" s="52">
        <f t="shared" si="206"/>
        <v>4</v>
      </c>
      <c r="AE789" t="str">
        <f t="shared" si="210"/>
        <v/>
      </c>
      <c r="AF789" t="str">
        <f t="shared" si="211"/>
        <v/>
      </c>
      <c r="AG789" t="str">
        <f t="shared" si="212"/>
        <v/>
      </c>
      <c r="AH789" t="str">
        <f t="shared" si="213"/>
        <v/>
      </c>
      <c r="AI789" t="str">
        <f t="shared" si="214"/>
        <v/>
      </c>
      <c r="AJ789" t="str">
        <f t="shared" si="215"/>
        <v/>
      </c>
      <c r="AK789" t="str">
        <f t="shared" si="216"/>
        <v/>
      </c>
      <c r="AL789" t="str">
        <f t="shared" si="217"/>
        <v/>
      </c>
      <c r="AN789" t="str">
        <f>IFERROR(ROUND(L789*(G789/$AW789)/VLOOKUP(F789,商品!$A$4:$D$67,4,FALSE),0),"")</f>
        <v/>
      </c>
      <c r="AO789" t="str">
        <f>IFERROR(ROUND(L789*(I789/$AW789)/VLOOKUP(H789,商品!$A$4:$D$67,4,FALSE),0),"")</f>
        <v/>
      </c>
      <c r="AP789" t="str">
        <f>IFERROR(ROUND(L789*(K789/$AW789)/VLOOKUP(J789,商品!$A$4:$D$67,4,FALSE),0),"")</f>
        <v/>
      </c>
      <c r="AQ789" t="str">
        <f>IFERROR(ROUND(S789*(N789/$AX789)/VLOOKUP(M789,职业!$A$3:$E$16,4,FALSE),0),"")</f>
        <v/>
      </c>
      <c r="AR789" t="str">
        <f>IFERROR(ROUND(S789*(P789/$AX789)/VLOOKUP(O789,职业!$A$3:$E$16,4,FALSE),0),"")</f>
        <v/>
      </c>
      <c r="AS789" t="str">
        <f>IFERROR(ROUND(S789*(R789/$AX789)/VLOOKUP(Q789,职业!$A$3:$E$16,4,FALSE),0),"")</f>
        <v/>
      </c>
      <c r="AT789" t="str">
        <f>IFERROR(ROUND(X789*(U789/$AY789)/VLOOKUP(T789,商品!$A$4:$D$67,4,FALSE),0),"")</f>
        <v/>
      </c>
      <c r="AU789" t="str">
        <f>IFERROR(ROUND(X789*(W789/$AY789)/VLOOKUP(V789,商品!$A$4:$D$67,4,FALSE),0),"")</f>
        <v/>
      </c>
      <c r="AW789">
        <f t="shared" si="218"/>
        <v>0</v>
      </c>
      <c r="AX789">
        <f t="shared" si="219"/>
        <v>0</v>
      </c>
      <c r="AY789">
        <f t="shared" si="220"/>
        <v>0</v>
      </c>
    </row>
    <row r="790" customHeight="1" spans="1:51">
      <c r="A790" s="18" t="s">
        <v>430</v>
      </c>
      <c r="C790" s="18">
        <v>5</v>
      </c>
      <c r="D790" s="1" t="s">
        <v>291</v>
      </c>
      <c r="E790" s="1" t="s">
        <v>225</v>
      </c>
      <c r="L790" s="18">
        <f>IFERROR(VLOOKUP($D790&amp;$C790,生产方式定位!$A$2:$E$38,2,FALSE)+VLOOKUP($E790&amp;$C790,生产方式定位!$F$3:$J$38,2,FALSE),0)</f>
        <v>0</v>
      </c>
      <c r="S790" s="18">
        <f>IFERROR(VLOOKUP($D790&amp;$C790,生产方式定位!$A$2:$E$38,3,FALSE)+VLOOKUP($E790&amp;$C790,生产方式定位!$F$3:$J$38,3,FALSE),0)</f>
        <v>100</v>
      </c>
      <c r="X790" s="18">
        <f>IFERROR(VLOOKUP($D790&amp;$C790,生产方式定位!$A$2:$E$38,5,FALSE)+VLOOKUP($E790&amp;$C790,生产方式定位!$F$3:$J$38,5,FALSE),"错误")</f>
        <v>100</v>
      </c>
      <c r="Y790" s="27" t="str">
        <f t="shared" si="204"/>
        <v/>
      </c>
      <c r="Z790" s="50" t="str">
        <f t="shared" si="207"/>
        <v/>
      </c>
      <c r="AA790" s="50" t="str">
        <f t="shared" si="205"/>
        <v/>
      </c>
      <c r="AB790" s="28" t="str">
        <f t="shared" si="208"/>
        <v/>
      </c>
      <c r="AC790" s="1" t="str">
        <f t="shared" si="209"/>
        <v/>
      </c>
      <c r="AD790" s="52">
        <f t="shared" si="206"/>
        <v>5</v>
      </c>
      <c r="AE790" t="str">
        <f t="shared" si="210"/>
        <v/>
      </c>
      <c r="AF790" t="str">
        <f t="shared" si="211"/>
        <v/>
      </c>
      <c r="AG790" t="str">
        <f t="shared" si="212"/>
        <v/>
      </c>
      <c r="AH790" t="str">
        <f t="shared" si="213"/>
        <v/>
      </c>
      <c r="AI790" t="str">
        <f t="shared" si="214"/>
        <v/>
      </c>
      <c r="AJ790" t="str">
        <f t="shared" si="215"/>
        <v/>
      </c>
      <c r="AK790" t="str">
        <f t="shared" si="216"/>
        <v/>
      </c>
      <c r="AL790" t="str">
        <f t="shared" si="217"/>
        <v/>
      </c>
      <c r="AN790" t="str">
        <f>IFERROR(ROUND(L790*(G790/$AW790)/VLOOKUP(F790,商品!$A$4:$D$67,4,FALSE),0),"")</f>
        <v/>
      </c>
      <c r="AO790" t="str">
        <f>IFERROR(ROUND(L790*(I790/$AW790)/VLOOKUP(H790,商品!$A$4:$D$67,4,FALSE),0),"")</f>
        <v/>
      </c>
      <c r="AP790" t="str">
        <f>IFERROR(ROUND(L790*(K790/$AW790)/VLOOKUP(J790,商品!$A$4:$D$67,4,FALSE),0),"")</f>
        <v/>
      </c>
      <c r="AQ790" t="str">
        <f>IFERROR(ROUND(S790*(N790/$AX790)/VLOOKUP(M790,职业!$A$3:$E$16,4,FALSE),0),"")</f>
        <v/>
      </c>
      <c r="AR790" t="str">
        <f>IFERROR(ROUND(S790*(P790/$AX790)/VLOOKUP(O790,职业!$A$3:$E$16,4,FALSE),0),"")</f>
        <v/>
      </c>
      <c r="AS790" t="str">
        <f>IFERROR(ROUND(S790*(R790/$AX790)/VLOOKUP(Q790,职业!$A$3:$E$16,4,FALSE),0),"")</f>
        <v/>
      </c>
      <c r="AT790" t="str">
        <f>IFERROR(ROUND(X790*(U790/$AY790)/VLOOKUP(T790,商品!$A$4:$D$67,4,FALSE),0),"")</f>
        <v/>
      </c>
      <c r="AU790" t="str">
        <f>IFERROR(ROUND(X790*(W790/$AY790)/VLOOKUP(V790,商品!$A$4:$D$67,4,FALSE),0),"")</f>
        <v/>
      </c>
      <c r="AW790">
        <f t="shared" si="218"/>
        <v>0</v>
      </c>
      <c r="AX790">
        <f t="shared" si="219"/>
        <v>0</v>
      </c>
      <c r="AY790">
        <f t="shared" si="220"/>
        <v>0</v>
      </c>
    </row>
    <row r="791" customHeight="1" spans="1:51">
      <c r="A791" s="18" t="s">
        <v>430</v>
      </c>
      <c r="C791" s="18">
        <v>6</v>
      </c>
      <c r="D791" s="1" t="s">
        <v>291</v>
      </c>
      <c r="E791" s="1" t="s">
        <v>225</v>
      </c>
      <c r="L791" s="18">
        <f>IFERROR(VLOOKUP($D791&amp;$C791,生产方式定位!$A$2:$E$38,2,FALSE)+VLOOKUP($E791&amp;$C791,生产方式定位!$F$3:$J$38,2,FALSE),0)</f>
        <v>0</v>
      </c>
      <c r="S791" s="18">
        <f>IFERROR(VLOOKUP($D791&amp;$C791,生产方式定位!$A$2:$E$38,3,FALSE)+VLOOKUP($E791&amp;$C791,生产方式定位!$F$3:$J$38,3,FALSE),0)</f>
        <v>100</v>
      </c>
      <c r="X791" s="18">
        <f>IFERROR(VLOOKUP($D791&amp;$C791,生产方式定位!$A$2:$E$38,5,FALSE)+VLOOKUP($E791&amp;$C791,生产方式定位!$F$3:$J$38,5,FALSE),"错误")</f>
        <v>100</v>
      </c>
      <c r="Y791" s="27" t="str">
        <f t="shared" si="204"/>
        <v/>
      </c>
      <c r="Z791" s="50" t="str">
        <f t="shared" si="207"/>
        <v/>
      </c>
      <c r="AA791" s="50" t="str">
        <f t="shared" si="205"/>
        <v/>
      </c>
      <c r="AB791" s="28" t="str">
        <f t="shared" si="208"/>
        <v/>
      </c>
      <c r="AC791" s="1" t="str">
        <f t="shared" si="209"/>
        <v/>
      </c>
      <c r="AD791" s="52">
        <f t="shared" si="206"/>
        <v>6</v>
      </c>
      <c r="AE791" t="str">
        <f t="shared" si="210"/>
        <v/>
      </c>
      <c r="AF791" t="str">
        <f t="shared" si="211"/>
        <v/>
      </c>
      <c r="AG791" t="str">
        <f t="shared" si="212"/>
        <v/>
      </c>
      <c r="AH791" t="str">
        <f t="shared" si="213"/>
        <v/>
      </c>
      <c r="AI791" t="str">
        <f t="shared" si="214"/>
        <v/>
      </c>
      <c r="AJ791" t="str">
        <f t="shared" si="215"/>
        <v/>
      </c>
      <c r="AK791" t="str">
        <f t="shared" si="216"/>
        <v/>
      </c>
      <c r="AL791" t="str">
        <f t="shared" si="217"/>
        <v/>
      </c>
      <c r="AN791" t="str">
        <f>IFERROR(ROUND(L791*(G791/$AW791)/VLOOKUP(F791,商品!$A$4:$D$67,4,FALSE),0),"")</f>
        <v/>
      </c>
      <c r="AO791" t="str">
        <f>IFERROR(ROUND(L791*(I791/$AW791)/VLOOKUP(H791,商品!$A$4:$D$67,4,FALSE),0),"")</f>
        <v/>
      </c>
      <c r="AP791" t="str">
        <f>IFERROR(ROUND(L791*(K791/$AW791)/VLOOKUP(J791,商品!$A$4:$D$67,4,FALSE),0),"")</f>
        <v/>
      </c>
      <c r="AQ791" t="str">
        <f>IFERROR(ROUND(S791*(N791/$AX791)/VLOOKUP(M791,职业!$A$3:$E$16,4,FALSE),0),"")</f>
        <v/>
      </c>
      <c r="AR791" t="str">
        <f>IFERROR(ROUND(S791*(P791/$AX791)/VLOOKUP(O791,职业!$A$3:$E$16,4,FALSE),0),"")</f>
        <v/>
      </c>
      <c r="AS791" t="str">
        <f>IFERROR(ROUND(S791*(R791/$AX791)/VLOOKUP(Q791,职业!$A$3:$E$16,4,FALSE),0),"")</f>
        <v/>
      </c>
      <c r="AT791" t="str">
        <f>IFERROR(ROUND(X791*(U791/$AY791)/VLOOKUP(T791,商品!$A$4:$D$67,4,FALSE),0),"")</f>
        <v/>
      </c>
      <c r="AU791" t="str">
        <f>IFERROR(ROUND(X791*(W791/$AY791)/VLOOKUP(V791,商品!$A$4:$D$67,4,FALSE),0),"")</f>
        <v/>
      </c>
      <c r="AW791">
        <f t="shared" si="218"/>
        <v>0</v>
      </c>
      <c r="AX791">
        <f t="shared" si="219"/>
        <v>0</v>
      </c>
      <c r="AY791">
        <f t="shared" si="220"/>
        <v>0</v>
      </c>
    </row>
    <row r="792" customHeight="1" spans="1:51">
      <c r="A792" s="18" t="s">
        <v>430</v>
      </c>
      <c r="C792" s="18">
        <v>7</v>
      </c>
      <c r="D792" s="1" t="s">
        <v>291</v>
      </c>
      <c r="E792" s="1" t="s">
        <v>225</v>
      </c>
      <c r="L792" s="18">
        <f>IFERROR(VLOOKUP($D792&amp;$C792,生产方式定位!$A$2:$E$38,2,FALSE)+VLOOKUP($E792&amp;$C792,生产方式定位!$F$3:$J$38,2,FALSE),0)</f>
        <v>0</v>
      </c>
      <c r="S792" s="18">
        <f>IFERROR(VLOOKUP($D792&amp;$C792,生产方式定位!$A$2:$E$38,3,FALSE)+VLOOKUP($E792&amp;$C792,生产方式定位!$F$3:$J$38,3,FALSE),0)</f>
        <v>100</v>
      </c>
      <c r="X792" s="18">
        <f>IFERROR(VLOOKUP($D792&amp;$C792,生产方式定位!$A$2:$E$38,5,FALSE)+VLOOKUP($E792&amp;$C792,生产方式定位!$F$3:$J$38,5,FALSE),"错误")</f>
        <v>100</v>
      </c>
      <c r="Y792" s="27" t="str">
        <f t="shared" si="204"/>
        <v/>
      </c>
      <c r="Z792" s="50" t="str">
        <f t="shared" si="207"/>
        <v/>
      </c>
      <c r="AA792" s="50" t="str">
        <f t="shared" si="205"/>
        <v/>
      </c>
      <c r="AB792" s="28" t="str">
        <f t="shared" si="208"/>
        <v/>
      </c>
      <c r="AC792" s="1" t="str">
        <f t="shared" si="209"/>
        <v/>
      </c>
      <c r="AD792" s="52">
        <f t="shared" si="206"/>
        <v>7</v>
      </c>
      <c r="AE792" t="str">
        <f t="shared" si="210"/>
        <v/>
      </c>
      <c r="AF792" t="str">
        <f t="shared" si="211"/>
        <v/>
      </c>
      <c r="AG792" t="str">
        <f t="shared" si="212"/>
        <v/>
      </c>
      <c r="AH792" t="str">
        <f t="shared" si="213"/>
        <v/>
      </c>
      <c r="AI792" t="str">
        <f t="shared" si="214"/>
        <v/>
      </c>
      <c r="AJ792" t="str">
        <f t="shared" si="215"/>
        <v/>
      </c>
      <c r="AK792" t="str">
        <f t="shared" si="216"/>
        <v/>
      </c>
      <c r="AL792" t="str">
        <f t="shared" si="217"/>
        <v/>
      </c>
      <c r="AN792" t="str">
        <f>IFERROR(ROUND(L792*(G792/$AW792)/VLOOKUP(F792,商品!$A$4:$D$67,4,FALSE),0),"")</f>
        <v/>
      </c>
      <c r="AO792" t="str">
        <f>IFERROR(ROUND(L792*(I792/$AW792)/VLOOKUP(H792,商品!$A$4:$D$67,4,FALSE),0),"")</f>
        <v/>
      </c>
      <c r="AP792" t="str">
        <f>IFERROR(ROUND(L792*(K792/$AW792)/VLOOKUP(J792,商品!$A$4:$D$67,4,FALSE),0),"")</f>
        <v/>
      </c>
      <c r="AQ792" t="str">
        <f>IFERROR(ROUND(S792*(N792/$AX792)/VLOOKUP(M792,职业!$A$3:$E$16,4,FALSE),0),"")</f>
        <v/>
      </c>
      <c r="AR792" t="str">
        <f>IFERROR(ROUND(S792*(P792/$AX792)/VLOOKUP(O792,职业!$A$3:$E$16,4,FALSE),0),"")</f>
        <v/>
      </c>
      <c r="AS792" t="str">
        <f>IFERROR(ROUND(S792*(R792/$AX792)/VLOOKUP(Q792,职业!$A$3:$E$16,4,FALSE),0),"")</f>
        <v/>
      </c>
      <c r="AT792" t="str">
        <f>IFERROR(ROUND(X792*(U792/$AY792)/VLOOKUP(T792,商品!$A$4:$D$67,4,FALSE),0),"")</f>
        <v/>
      </c>
      <c r="AU792" t="str">
        <f>IFERROR(ROUND(X792*(W792/$AY792)/VLOOKUP(V792,商品!$A$4:$D$67,4,FALSE),0),"")</f>
        <v/>
      </c>
      <c r="AW792">
        <f t="shared" si="218"/>
        <v>0</v>
      </c>
      <c r="AX792">
        <f t="shared" si="219"/>
        <v>0</v>
      </c>
      <c r="AY792">
        <f t="shared" si="220"/>
        <v>0</v>
      </c>
    </row>
    <row r="793" customHeight="1" spans="1:51">
      <c r="A793" s="18" t="s">
        <v>430</v>
      </c>
      <c r="C793" s="18">
        <v>8</v>
      </c>
      <c r="D793" s="1" t="s">
        <v>291</v>
      </c>
      <c r="E793" s="1" t="s">
        <v>225</v>
      </c>
      <c r="L793" s="18">
        <f>IFERROR(VLOOKUP($D793&amp;$C793,生产方式定位!$A$2:$E$38,2,FALSE)+VLOOKUP($E793&amp;$C793,生产方式定位!$F$3:$J$38,2,FALSE),0)</f>
        <v>0</v>
      </c>
      <c r="S793" s="18">
        <f>IFERROR(VLOOKUP($D793&amp;$C793,生产方式定位!$A$2:$E$38,3,FALSE)+VLOOKUP($E793&amp;$C793,生产方式定位!$F$3:$J$38,3,FALSE),0)</f>
        <v>100</v>
      </c>
      <c r="X793" s="18">
        <f>IFERROR(VLOOKUP($D793&amp;$C793,生产方式定位!$A$2:$E$38,5,FALSE)+VLOOKUP($E793&amp;$C793,生产方式定位!$F$3:$J$38,5,FALSE),"错误")</f>
        <v>100</v>
      </c>
      <c r="Y793" s="27" t="str">
        <f t="shared" si="204"/>
        <v/>
      </c>
      <c r="Z793" s="50" t="str">
        <f t="shared" si="207"/>
        <v/>
      </c>
      <c r="AA793" s="50" t="str">
        <f t="shared" si="205"/>
        <v/>
      </c>
      <c r="AB793" s="28" t="str">
        <f t="shared" si="208"/>
        <v/>
      </c>
      <c r="AC793" s="1" t="str">
        <f t="shared" si="209"/>
        <v/>
      </c>
      <c r="AD793" s="52">
        <f t="shared" si="206"/>
        <v>8</v>
      </c>
      <c r="AE793" t="str">
        <f t="shared" si="210"/>
        <v/>
      </c>
      <c r="AF793" t="str">
        <f t="shared" si="211"/>
        <v/>
      </c>
      <c r="AG793" t="str">
        <f t="shared" si="212"/>
        <v/>
      </c>
      <c r="AH793" t="str">
        <f t="shared" si="213"/>
        <v/>
      </c>
      <c r="AI793" t="str">
        <f t="shared" si="214"/>
        <v/>
      </c>
      <c r="AJ793" t="str">
        <f t="shared" si="215"/>
        <v/>
      </c>
      <c r="AK793" t="str">
        <f t="shared" si="216"/>
        <v/>
      </c>
      <c r="AL793" t="str">
        <f t="shared" si="217"/>
        <v/>
      </c>
      <c r="AN793" t="str">
        <f>IFERROR(ROUND(L793*(G793/$AW793)/VLOOKUP(F793,商品!$A$4:$D$67,4,FALSE),0),"")</f>
        <v/>
      </c>
      <c r="AO793" t="str">
        <f>IFERROR(ROUND(L793*(I793/$AW793)/VLOOKUP(H793,商品!$A$4:$D$67,4,FALSE),0),"")</f>
        <v/>
      </c>
      <c r="AP793" t="str">
        <f>IFERROR(ROUND(L793*(K793/$AW793)/VLOOKUP(J793,商品!$A$4:$D$67,4,FALSE),0),"")</f>
        <v/>
      </c>
      <c r="AQ793" t="str">
        <f>IFERROR(ROUND(S793*(N793/$AX793)/VLOOKUP(M793,职业!$A$3:$E$16,4,FALSE),0),"")</f>
        <v/>
      </c>
      <c r="AR793" t="str">
        <f>IFERROR(ROUND(S793*(P793/$AX793)/VLOOKUP(O793,职业!$A$3:$E$16,4,FALSE),0),"")</f>
        <v/>
      </c>
      <c r="AS793" t="str">
        <f>IFERROR(ROUND(S793*(R793/$AX793)/VLOOKUP(Q793,职业!$A$3:$E$16,4,FALSE),0),"")</f>
        <v/>
      </c>
      <c r="AT793" t="str">
        <f>IFERROR(ROUND(X793*(U793/$AY793)/VLOOKUP(T793,商品!$A$4:$D$67,4,FALSE),0),"")</f>
        <v/>
      </c>
      <c r="AU793" t="str">
        <f>IFERROR(ROUND(X793*(W793/$AY793)/VLOOKUP(V793,商品!$A$4:$D$67,4,FALSE),0),"")</f>
        <v/>
      </c>
      <c r="AW793">
        <f t="shared" si="218"/>
        <v>0</v>
      </c>
      <c r="AX793">
        <f t="shared" si="219"/>
        <v>0</v>
      </c>
      <c r="AY793">
        <f t="shared" si="220"/>
        <v>0</v>
      </c>
    </row>
    <row r="794" customHeight="1" spans="1:51">
      <c r="A794" s="5" t="s">
        <v>432</v>
      </c>
      <c r="C794" s="5">
        <v>1</v>
      </c>
      <c r="D794" s="1" t="s">
        <v>220</v>
      </c>
      <c r="E794" s="1" t="s">
        <v>222</v>
      </c>
      <c r="L794" s="5">
        <f>IFERROR(VLOOKUP($D794&amp;$C794,生产方式定位!$A$2:$E$38,2,FALSE)+VLOOKUP($E794&amp;$C794,生产方式定位!$F$3:$J$38,2,FALSE),0)</f>
        <v>500</v>
      </c>
      <c r="S794" s="5">
        <f>IFERROR(VLOOKUP($D794&amp;$C794,生产方式定位!$A$2:$E$38,3,FALSE)+VLOOKUP($E794&amp;$C794,生产方式定位!$F$3:$J$38,3,FALSE),0)</f>
        <v>150</v>
      </c>
      <c r="X794" s="5">
        <f>IFERROR(VLOOKUP($D794&amp;$C794,生产方式定位!$A$2:$E$38,5,FALSE)+VLOOKUP($E794&amp;$C794,生产方式定位!$F$3:$J$38,5,FALSE),"错误")</f>
        <v>715</v>
      </c>
      <c r="Y794" s="27" t="str">
        <f t="shared" si="204"/>
        <v/>
      </c>
      <c r="Z794" s="50" t="str">
        <f t="shared" si="207"/>
        <v/>
      </c>
      <c r="AA794" s="50" t="str">
        <f t="shared" si="205"/>
        <v/>
      </c>
      <c r="AB794" s="28" t="str">
        <f t="shared" si="208"/>
        <v>43%</v>
      </c>
      <c r="AC794" s="1">
        <f t="shared" si="209"/>
        <v>65</v>
      </c>
      <c r="AD794" s="51">
        <f t="shared" si="206"/>
        <v>1</v>
      </c>
      <c r="AE794" t="str">
        <f t="shared" si="210"/>
        <v/>
      </c>
      <c r="AF794" t="str">
        <f t="shared" si="211"/>
        <v/>
      </c>
      <c r="AG794" t="str">
        <f t="shared" si="212"/>
        <v/>
      </c>
      <c r="AH794" t="str">
        <f t="shared" si="213"/>
        <v/>
      </c>
      <c r="AI794" t="str">
        <f t="shared" si="214"/>
        <v/>
      </c>
      <c r="AJ794" t="str">
        <f t="shared" si="215"/>
        <v/>
      </c>
      <c r="AK794" t="str">
        <f t="shared" si="216"/>
        <v/>
      </c>
      <c r="AL794" t="str">
        <f t="shared" si="217"/>
        <v/>
      </c>
      <c r="AN794" t="str">
        <f>IFERROR(ROUND(L794*(G794/$AW794)/VLOOKUP(F794,商品!$A$4:$D$67,4,FALSE),0),"")</f>
        <v/>
      </c>
      <c r="AO794" t="str">
        <f>IFERROR(ROUND(L794*(I794/$AW794)/VLOOKUP(H794,商品!$A$4:$D$67,4,FALSE),0),"")</f>
        <v/>
      </c>
      <c r="AP794" t="str">
        <f>IFERROR(ROUND(L794*(K794/$AW794)/VLOOKUP(J794,商品!$A$4:$D$67,4,FALSE),0),"")</f>
        <v/>
      </c>
      <c r="AQ794" t="str">
        <f>IFERROR(ROUND(S794*(N794/$AX794)/VLOOKUP(M794,职业!$A$3:$E$16,4,FALSE),0),"")</f>
        <v/>
      </c>
      <c r="AR794" t="str">
        <f>IFERROR(ROUND(S794*(P794/$AX794)/VLOOKUP(O794,职业!$A$3:$E$16,4,FALSE),0),"")</f>
        <v/>
      </c>
      <c r="AS794" t="str">
        <f>IFERROR(ROUND(S794*(R794/$AX794)/VLOOKUP(Q794,职业!$A$3:$E$16,4,FALSE),0),"")</f>
        <v/>
      </c>
      <c r="AT794" t="str">
        <f>IFERROR(ROUND(X794*(U794/$AY794)/VLOOKUP(T794,商品!$A$4:$D$67,4,FALSE),0),"")</f>
        <v/>
      </c>
      <c r="AU794" t="str">
        <f>IFERROR(ROUND(X794*(W794/$AY794)/VLOOKUP(V794,商品!$A$4:$D$67,4,FALSE),0),"")</f>
        <v/>
      </c>
      <c r="AW794">
        <f t="shared" si="218"/>
        <v>0</v>
      </c>
      <c r="AX794">
        <f t="shared" si="219"/>
        <v>0</v>
      </c>
      <c r="AY794">
        <f t="shared" si="220"/>
        <v>0</v>
      </c>
    </row>
    <row r="795" customHeight="1" spans="1:51">
      <c r="A795" s="5" t="s">
        <v>432</v>
      </c>
      <c r="C795" s="5">
        <v>2</v>
      </c>
      <c r="D795" s="1" t="s">
        <v>220</v>
      </c>
      <c r="E795" s="1" t="s">
        <v>222</v>
      </c>
      <c r="L795" s="5">
        <f>IFERROR(VLOOKUP($D795&amp;$C795,生产方式定位!$A$2:$E$38,2,FALSE)+VLOOKUP($E795&amp;$C795,生产方式定位!$F$3:$J$38,2,FALSE),0)</f>
        <v>1200</v>
      </c>
      <c r="S795" s="5">
        <f>IFERROR(VLOOKUP($D795&amp;$C795,生产方式定位!$A$2:$E$38,3,FALSE)+VLOOKUP($E795&amp;$C795,生产方式定位!$F$3:$J$38,3,FALSE),0)</f>
        <v>140</v>
      </c>
      <c r="X795" s="5">
        <f>IFERROR(VLOOKUP($D795&amp;$C795,生产方式定位!$A$2:$E$38,5,FALSE)+VLOOKUP($E795&amp;$C795,生产方式定位!$F$3:$J$38,5,FALSE),"错误")</f>
        <v>1390</v>
      </c>
      <c r="Y795" s="27" t="str">
        <f t="shared" si="204"/>
        <v/>
      </c>
      <c r="Z795" s="50" t="str">
        <f t="shared" si="207"/>
        <v/>
      </c>
      <c r="AA795" s="50" t="str">
        <f t="shared" si="205"/>
        <v/>
      </c>
      <c r="AB795" s="28" t="str">
        <f t="shared" si="208"/>
        <v>16%</v>
      </c>
      <c r="AC795" s="1">
        <f t="shared" si="209"/>
        <v>50</v>
      </c>
      <c r="AD795" s="51">
        <f t="shared" si="206"/>
        <v>2</v>
      </c>
      <c r="AE795" t="str">
        <f t="shared" si="210"/>
        <v/>
      </c>
      <c r="AF795" t="str">
        <f t="shared" si="211"/>
        <v/>
      </c>
      <c r="AG795" t="str">
        <f t="shared" si="212"/>
        <v/>
      </c>
      <c r="AH795" t="str">
        <f t="shared" si="213"/>
        <v/>
      </c>
      <c r="AI795" t="str">
        <f t="shared" si="214"/>
        <v/>
      </c>
      <c r="AJ795" t="str">
        <f t="shared" si="215"/>
        <v/>
      </c>
      <c r="AK795" t="str">
        <f t="shared" si="216"/>
        <v/>
      </c>
      <c r="AL795" t="str">
        <f t="shared" si="217"/>
        <v/>
      </c>
      <c r="AN795" t="str">
        <f>IFERROR(ROUND(L795*(G795/$AW795)/VLOOKUP(F795,商品!$A$4:$D$67,4,FALSE),0),"")</f>
        <v/>
      </c>
      <c r="AO795" t="str">
        <f>IFERROR(ROUND(L795*(I795/$AW795)/VLOOKUP(H795,商品!$A$4:$D$67,4,FALSE),0),"")</f>
        <v/>
      </c>
      <c r="AP795" t="str">
        <f>IFERROR(ROUND(L795*(K795/$AW795)/VLOOKUP(J795,商品!$A$4:$D$67,4,FALSE),0),"")</f>
        <v/>
      </c>
      <c r="AQ795" t="str">
        <f>IFERROR(ROUND(S795*(N795/$AX795)/VLOOKUP(M795,职业!$A$3:$E$16,4,FALSE),0),"")</f>
        <v/>
      </c>
      <c r="AR795" t="str">
        <f>IFERROR(ROUND(S795*(P795/$AX795)/VLOOKUP(O795,职业!$A$3:$E$16,4,FALSE),0),"")</f>
        <v/>
      </c>
      <c r="AS795" t="str">
        <f>IFERROR(ROUND(S795*(R795/$AX795)/VLOOKUP(Q795,职业!$A$3:$E$16,4,FALSE),0),"")</f>
        <v/>
      </c>
      <c r="AT795" t="str">
        <f>IFERROR(ROUND(X795*(U795/$AY795)/VLOOKUP(T795,商品!$A$4:$D$67,4,FALSE),0),"")</f>
        <v/>
      </c>
      <c r="AU795" t="str">
        <f>IFERROR(ROUND(X795*(W795/$AY795)/VLOOKUP(V795,商品!$A$4:$D$67,4,FALSE),0),"")</f>
        <v/>
      </c>
      <c r="AW795">
        <f t="shared" si="218"/>
        <v>0</v>
      </c>
      <c r="AX795">
        <f t="shared" si="219"/>
        <v>0</v>
      </c>
      <c r="AY795">
        <f t="shared" si="220"/>
        <v>0</v>
      </c>
    </row>
    <row r="796" customHeight="1" spans="1:51">
      <c r="A796" s="5" t="s">
        <v>432</v>
      </c>
      <c r="C796" s="5">
        <v>3</v>
      </c>
      <c r="D796" s="1" t="s">
        <v>220</v>
      </c>
      <c r="E796" s="1" t="s">
        <v>222</v>
      </c>
      <c r="L796" s="5">
        <f>IFERROR(VLOOKUP($D796&amp;$C796,生产方式定位!$A$2:$E$38,2,FALSE)+VLOOKUP($E796&amp;$C796,生产方式定位!$F$3:$J$38,2,FALSE),0)</f>
        <v>1525</v>
      </c>
      <c r="S796" s="5">
        <f>IFERROR(VLOOKUP($D796&amp;$C796,生产方式定位!$A$2:$E$38,3,FALSE)+VLOOKUP($E796&amp;$C796,生产方式定位!$F$3:$J$38,3,FALSE),0)</f>
        <v>130</v>
      </c>
      <c r="X796" s="5">
        <f>IFERROR(VLOOKUP($D796&amp;$C796,生产方式定位!$A$2:$E$38,5,FALSE)+VLOOKUP($E796&amp;$C796,生产方式定位!$F$3:$J$38,5,FALSE),"错误")</f>
        <v>1718</v>
      </c>
      <c r="Y796" s="27" t="str">
        <f t="shared" si="204"/>
        <v/>
      </c>
      <c r="Z796" s="50" t="str">
        <f t="shared" si="207"/>
        <v/>
      </c>
      <c r="AA796" s="50" t="str">
        <f t="shared" si="205"/>
        <v/>
      </c>
      <c r="AB796" s="28" t="str">
        <f t="shared" si="208"/>
        <v>13%</v>
      </c>
      <c r="AC796" s="1">
        <f t="shared" si="209"/>
        <v>63</v>
      </c>
      <c r="AD796" s="51">
        <f t="shared" si="206"/>
        <v>3</v>
      </c>
      <c r="AE796" t="str">
        <f t="shared" si="210"/>
        <v/>
      </c>
      <c r="AF796" t="str">
        <f t="shared" si="211"/>
        <v/>
      </c>
      <c r="AG796" t="str">
        <f t="shared" si="212"/>
        <v/>
      </c>
      <c r="AH796" t="str">
        <f t="shared" si="213"/>
        <v/>
      </c>
      <c r="AI796" t="str">
        <f t="shared" si="214"/>
        <v/>
      </c>
      <c r="AJ796" t="str">
        <f t="shared" si="215"/>
        <v/>
      </c>
      <c r="AK796" t="str">
        <f t="shared" si="216"/>
        <v/>
      </c>
      <c r="AL796" t="str">
        <f t="shared" si="217"/>
        <v/>
      </c>
      <c r="AN796" t="str">
        <f>IFERROR(ROUND(L796*(G796/$AW796)/VLOOKUP(F796,商品!$A$4:$D$67,4,FALSE),0),"")</f>
        <v/>
      </c>
      <c r="AO796" t="str">
        <f>IFERROR(ROUND(L796*(I796/$AW796)/VLOOKUP(H796,商品!$A$4:$D$67,4,FALSE),0),"")</f>
        <v/>
      </c>
      <c r="AP796" t="str">
        <f>IFERROR(ROUND(L796*(K796/$AW796)/VLOOKUP(J796,商品!$A$4:$D$67,4,FALSE),0),"")</f>
        <v/>
      </c>
      <c r="AQ796" t="str">
        <f>IFERROR(ROUND(S796*(N796/$AX796)/VLOOKUP(M796,职业!$A$3:$E$16,4,FALSE),0),"")</f>
        <v/>
      </c>
      <c r="AR796" t="str">
        <f>IFERROR(ROUND(S796*(P796/$AX796)/VLOOKUP(O796,职业!$A$3:$E$16,4,FALSE),0),"")</f>
        <v/>
      </c>
      <c r="AS796" t="str">
        <f>IFERROR(ROUND(S796*(R796/$AX796)/VLOOKUP(Q796,职业!$A$3:$E$16,4,FALSE),0),"")</f>
        <v/>
      </c>
      <c r="AT796" t="str">
        <f>IFERROR(ROUND(X796*(U796/$AY796)/VLOOKUP(T796,商品!$A$4:$D$67,4,FALSE),0),"")</f>
        <v/>
      </c>
      <c r="AU796" t="str">
        <f>IFERROR(ROUND(X796*(W796/$AY796)/VLOOKUP(V796,商品!$A$4:$D$67,4,FALSE),0),"")</f>
        <v/>
      </c>
      <c r="AW796">
        <f t="shared" si="218"/>
        <v>0</v>
      </c>
      <c r="AX796">
        <f t="shared" si="219"/>
        <v>0</v>
      </c>
      <c r="AY796">
        <f t="shared" si="220"/>
        <v>0</v>
      </c>
    </row>
    <row r="797" customHeight="1" spans="1:51">
      <c r="A797" s="5" t="s">
        <v>432</v>
      </c>
      <c r="C797" s="5">
        <v>4</v>
      </c>
      <c r="D797" s="1" t="s">
        <v>220</v>
      </c>
      <c r="E797" s="1" t="s">
        <v>222</v>
      </c>
      <c r="L797" s="5">
        <f>IFERROR(VLOOKUP($D797&amp;$C797,生产方式定位!$A$2:$E$38,2,FALSE)+VLOOKUP($E797&amp;$C797,生产方式定位!$F$3:$J$38,2,FALSE),0)</f>
        <v>1850</v>
      </c>
      <c r="S797" s="5">
        <f>IFERROR(VLOOKUP($D797&amp;$C797,生产方式定位!$A$2:$E$38,3,FALSE)+VLOOKUP($E797&amp;$C797,生产方式定位!$F$3:$J$38,3,FALSE),0)</f>
        <v>120</v>
      </c>
      <c r="X797" s="5">
        <f>IFERROR(VLOOKUP($D797&amp;$C797,生产方式定位!$A$2:$E$38,5,FALSE)+VLOOKUP($E797&amp;$C797,生产方式定位!$F$3:$J$38,5,FALSE),"错误")</f>
        <v>2045</v>
      </c>
      <c r="Y797" s="27" t="str">
        <f t="shared" si="204"/>
        <v/>
      </c>
      <c r="Z797" s="50" t="str">
        <f t="shared" si="207"/>
        <v/>
      </c>
      <c r="AA797" s="50" t="str">
        <f t="shared" si="205"/>
        <v/>
      </c>
      <c r="AB797" s="28" t="str">
        <f t="shared" si="208"/>
        <v>11%</v>
      </c>
      <c r="AC797" s="1">
        <f t="shared" si="209"/>
        <v>75</v>
      </c>
      <c r="AD797" s="51">
        <f t="shared" si="206"/>
        <v>4</v>
      </c>
      <c r="AE797" t="str">
        <f t="shared" si="210"/>
        <v/>
      </c>
      <c r="AF797" t="str">
        <f t="shared" si="211"/>
        <v/>
      </c>
      <c r="AG797" t="str">
        <f t="shared" si="212"/>
        <v/>
      </c>
      <c r="AH797" t="str">
        <f t="shared" si="213"/>
        <v/>
      </c>
      <c r="AI797" t="str">
        <f t="shared" si="214"/>
        <v/>
      </c>
      <c r="AJ797" t="str">
        <f t="shared" si="215"/>
        <v/>
      </c>
      <c r="AK797" t="str">
        <f t="shared" si="216"/>
        <v/>
      </c>
      <c r="AL797" t="str">
        <f t="shared" si="217"/>
        <v/>
      </c>
      <c r="AN797" t="str">
        <f>IFERROR(ROUND(L797*(G797/$AW797)/VLOOKUP(F797,商品!$A$4:$D$67,4,FALSE),0),"")</f>
        <v/>
      </c>
      <c r="AO797" t="str">
        <f>IFERROR(ROUND(L797*(I797/$AW797)/VLOOKUP(H797,商品!$A$4:$D$67,4,FALSE),0),"")</f>
        <v/>
      </c>
      <c r="AP797" t="str">
        <f>IFERROR(ROUND(L797*(K797/$AW797)/VLOOKUP(J797,商品!$A$4:$D$67,4,FALSE),0),"")</f>
        <v/>
      </c>
      <c r="AQ797" t="str">
        <f>IFERROR(ROUND(S797*(N797/$AX797)/VLOOKUP(M797,职业!$A$3:$E$16,4,FALSE),0),"")</f>
        <v/>
      </c>
      <c r="AR797" t="str">
        <f>IFERROR(ROUND(S797*(P797/$AX797)/VLOOKUP(O797,职业!$A$3:$E$16,4,FALSE),0),"")</f>
        <v/>
      </c>
      <c r="AS797" t="str">
        <f>IFERROR(ROUND(S797*(R797/$AX797)/VLOOKUP(Q797,职业!$A$3:$E$16,4,FALSE),0),"")</f>
        <v/>
      </c>
      <c r="AT797" t="str">
        <f>IFERROR(ROUND(X797*(U797/$AY797)/VLOOKUP(T797,商品!$A$4:$D$67,4,FALSE),0),"")</f>
        <v/>
      </c>
      <c r="AU797" t="str">
        <f>IFERROR(ROUND(X797*(W797/$AY797)/VLOOKUP(V797,商品!$A$4:$D$67,4,FALSE),0),"")</f>
        <v/>
      </c>
      <c r="AW797">
        <f t="shared" si="218"/>
        <v>0</v>
      </c>
      <c r="AX797">
        <f t="shared" si="219"/>
        <v>0</v>
      </c>
      <c r="AY797">
        <f t="shared" si="220"/>
        <v>0</v>
      </c>
    </row>
    <row r="798" customHeight="1" spans="1:51">
      <c r="A798" s="5" t="s">
        <v>432</v>
      </c>
      <c r="C798" s="5">
        <v>5</v>
      </c>
      <c r="D798" s="1" t="s">
        <v>220</v>
      </c>
      <c r="E798" s="1" t="s">
        <v>222</v>
      </c>
      <c r="L798" s="5">
        <f>IFERROR(VLOOKUP($D798&amp;$C798,生产方式定位!$A$2:$E$38,2,FALSE)+VLOOKUP($E798&amp;$C798,生产方式定位!$F$3:$J$38,2,FALSE),0)</f>
        <v>2175</v>
      </c>
      <c r="S798" s="5">
        <f>IFERROR(VLOOKUP($D798&amp;$C798,生产方式定位!$A$2:$E$38,3,FALSE)+VLOOKUP($E798&amp;$C798,生产方式定位!$F$3:$J$38,3,FALSE),0)</f>
        <v>110</v>
      </c>
      <c r="X798" s="5">
        <f>IFERROR(VLOOKUP($D798&amp;$C798,生产方式定位!$A$2:$E$38,5,FALSE)+VLOOKUP($E798&amp;$C798,生产方式定位!$F$3:$J$38,5,FALSE),"错误")</f>
        <v>2373</v>
      </c>
      <c r="Y798" s="27" t="str">
        <f t="shared" si="204"/>
        <v/>
      </c>
      <c r="Z798" s="50" t="str">
        <f t="shared" si="207"/>
        <v/>
      </c>
      <c r="AA798" s="50" t="str">
        <f t="shared" si="205"/>
        <v/>
      </c>
      <c r="AB798" s="28" t="str">
        <f t="shared" si="208"/>
        <v>9%</v>
      </c>
      <c r="AC798" s="1">
        <f t="shared" si="209"/>
        <v>88</v>
      </c>
      <c r="AD798" s="51">
        <f t="shared" si="206"/>
        <v>5</v>
      </c>
      <c r="AE798" t="str">
        <f t="shared" si="210"/>
        <v/>
      </c>
      <c r="AF798" t="str">
        <f t="shared" si="211"/>
        <v/>
      </c>
      <c r="AG798" t="str">
        <f t="shared" si="212"/>
        <v/>
      </c>
      <c r="AH798" t="str">
        <f t="shared" si="213"/>
        <v/>
      </c>
      <c r="AI798" t="str">
        <f t="shared" si="214"/>
        <v/>
      </c>
      <c r="AJ798" t="str">
        <f t="shared" si="215"/>
        <v/>
      </c>
      <c r="AK798" t="str">
        <f t="shared" si="216"/>
        <v/>
      </c>
      <c r="AL798" t="str">
        <f t="shared" si="217"/>
        <v/>
      </c>
      <c r="AN798" t="str">
        <f>IFERROR(ROUND(L798*(G798/$AW798)/VLOOKUP(F798,商品!$A$4:$D$67,4,FALSE),0),"")</f>
        <v/>
      </c>
      <c r="AO798" t="str">
        <f>IFERROR(ROUND(L798*(I798/$AW798)/VLOOKUP(H798,商品!$A$4:$D$67,4,FALSE),0),"")</f>
        <v/>
      </c>
      <c r="AP798" t="str">
        <f>IFERROR(ROUND(L798*(K798/$AW798)/VLOOKUP(J798,商品!$A$4:$D$67,4,FALSE),0),"")</f>
        <v/>
      </c>
      <c r="AQ798" t="str">
        <f>IFERROR(ROUND(S798*(N798/$AX798)/VLOOKUP(M798,职业!$A$3:$E$16,4,FALSE),0),"")</f>
        <v/>
      </c>
      <c r="AR798" t="str">
        <f>IFERROR(ROUND(S798*(P798/$AX798)/VLOOKUP(O798,职业!$A$3:$E$16,4,FALSE),0),"")</f>
        <v/>
      </c>
      <c r="AS798" t="str">
        <f>IFERROR(ROUND(S798*(R798/$AX798)/VLOOKUP(Q798,职业!$A$3:$E$16,4,FALSE),0),"")</f>
        <v/>
      </c>
      <c r="AT798" t="str">
        <f>IFERROR(ROUND(X798*(U798/$AY798)/VLOOKUP(T798,商品!$A$4:$D$67,4,FALSE),0),"")</f>
        <v/>
      </c>
      <c r="AU798" t="str">
        <f>IFERROR(ROUND(X798*(W798/$AY798)/VLOOKUP(V798,商品!$A$4:$D$67,4,FALSE),0),"")</f>
        <v/>
      </c>
      <c r="AW798">
        <f t="shared" si="218"/>
        <v>0</v>
      </c>
      <c r="AX798">
        <f t="shared" si="219"/>
        <v>0</v>
      </c>
      <c r="AY798">
        <f t="shared" si="220"/>
        <v>0</v>
      </c>
    </row>
    <row r="799" customHeight="1" spans="1:51">
      <c r="A799" s="18" t="s">
        <v>433</v>
      </c>
      <c r="C799" s="18">
        <v>1</v>
      </c>
      <c r="D799" s="1" t="s">
        <v>220</v>
      </c>
      <c r="E799" s="1" t="s">
        <v>224</v>
      </c>
      <c r="L799" s="18">
        <f>IFERROR(VLOOKUP($D799&amp;$C799,生产方式定位!$A$2:$E$38,2,FALSE)+VLOOKUP($E799&amp;$C799,生产方式定位!$F$3:$J$38,2,FALSE),0)</f>
        <v>500</v>
      </c>
      <c r="S799" s="18">
        <f>IFERROR(VLOOKUP($D799&amp;$C799,生产方式定位!$A$2:$E$38,3,FALSE)+VLOOKUP($E799&amp;$C799,生产方式定位!$F$3:$J$38,3,FALSE),0)</f>
        <v>150</v>
      </c>
      <c r="X799" s="18">
        <f>IFERROR(VLOOKUP($D799&amp;$C799,生产方式定位!$A$2:$E$38,5,FALSE)+VLOOKUP($E799&amp;$C799,生产方式定位!$F$3:$J$38,5,FALSE),"错误")</f>
        <v>715</v>
      </c>
      <c r="Y799" s="27" t="str">
        <f t="shared" si="204"/>
        <v/>
      </c>
      <c r="Z799" s="50" t="str">
        <f t="shared" si="207"/>
        <v/>
      </c>
      <c r="AA799" s="50" t="str">
        <f t="shared" si="205"/>
        <v/>
      </c>
      <c r="AB799" s="28" t="str">
        <f t="shared" si="208"/>
        <v>43%</v>
      </c>
      <c r="AC799" s="1">
        <f t="shared" si="209"/>
        <v>65</v>
      </c>
      <c r="AD799" s="52">
        <f t="shared" si="206"/>
        <v>1</v>
      </c>
      <c r="AE799" t="str">
        <f t="shared" si="210"/>
        <v/>
      </c>
      <c r="AF799" t="str">
        <f t="shared" si="211"/>
        <v/>
      </c>
      <c r="AG799" t="str">
        <f t="shared" si="212"/>
        <v/>
      </c>
      <c r="AH799" t="str">
        <f t="shared" si="213"/>
        <v/>
      </c>
      <c r="AI799" t="str">
        <f t="shared" si="214"/>
        <v/>
      </c>
      <c r="AJ799" t="str">
        <f t="shared" si="215"/>
        <v/>
      </c>
      <c r="AK799" t="str">
        <f t="shared" si="216"/>
        <v/>
      </c>
      <c r="AL799" t="str">
        <f t="shared" si="217"/>
        <v/>
      </c>
      <c r="AN799" t="str">
        <f>IFERROR(ROUND(L799*(G799/$AW799)/VLOOKUP(F799,商品!$A$4:$D$67,4,FALSE),0),"")</f>
        <v/>
      </c>
      <c r="AO799" t="str">
        <f>IFERROR(ROUND(L799*(I799/$AW799)/VLOOKUP(H799,商品!$A$4:$D$67,4,FALSE),0),"")</f>
        <v/>
      </c>
      <c r="AP799" t="str">
        <f>IFERROR(ROUND(L799*(K799/$AW799)/VLOOKUP(J799,商品!$A$4:$D$67,4,FALSE),0),"")</f>
        <v/>
      </c>
      <c r="AQ799" t="str">
        <f>IFERROR(ROUND(S799*(N799/$AX799)/VLOOKUP(M799,职业!$A$3:$E$16,4,FALSE),0),"")</f>
        <v/>
      </c>
      <c r="AR799" t="str">
        <f>IFERROR(ROUND(S799*(P799/$AX799)/VLOOKUP(O799,职业!$A$3:$E$16,4,FALSE),0),"")</f>
        <v/>
      </c>
      <c r="AS799" t="str">
        <f>IFERROR(ROUND(S799*(R799/$AX799)/VLOOKUP(Q799,职业!$A$3:$E$16,4,FALSE),0),"")</f>
        <v/>
      </c>
      <c r="AT799" t="str">
        <f>IFERROR(ROUND(X799*(U799/$AY799)/VLOOKUP(T799,商品!$A$4:$D$67,4,FALSE),0),"")</f>
        <v/>
      </c>
      <c r="AU799" t="str">
        <f>IFERROR(ROUND(X799*(W799/$AY799)/VLOOKUP(V799,商品!$A$4:$D$67,4,FALSE),0),"")</f>
        <v/>
      </c>
      <c r="AW799">
        <f t="shared" si="218"/>
        <v>0</v>
      </c>
      <c r="AX799">
        <f t="shared" si="219"/>
        <v>0</v>
      </c>
      <c r="AY799">
        <f t="shared" si="220"/>
        <v>0</v>
      </c>
    </row>
    <row r="800" customHeight="1" spans="1:51">
      <c r="A800" s="18" t="s">
        <v>433</v>
      </c>
      <c r="C800" s="18">
        <v>2</v>
      </c>
      <c r="D800" s="1" t="s">
        <v>220</v>
      </c>
      <c r="E800" s="1" t="s">
        <v>224</v>
      </c>
      <c r="L800" s="18">
        <f>IFERROR(VLOOKUP($D800&amp;$C800,生产方式定位!$A$2:$E$38,2,FALSE)+VLOOKUP($E800&amp;$C800,生产方式定位!$F$3:$J$38,2,FALSE),0)</f>
        <v>1200</v>
      </c>
      <c r="S800" s="18">
        <f>IFERROR(VLOOKUP($D800&amp;$C800,生产方式定位!$A$2:$E$38,3,FALSE)+VLOOKUP($E800&amp;$C800,生产方式定位!$F$3:$J$38,3,FALSE),0)</f>
        <v>100</v>
      </c>
      <c r="X800" s="18">
        <f>IFERROR(VLOOKUP($D800&amp;$C800,生产方式定位!$A$2:$E$38,5,FALSE)+VLOOKUP($E800&amp;$C800,生产方式定位!$F$3:$J$38,5,FALSE),"错误")</f>
        <v>1346</v>
      </c>
      <c r="Y800" s="27" t="str">
        <f t="shared" si="204"/>
        <v/>
      </c>
      <c r="Z800" s="50" t="str">
        <f t="shared" si="207"/>
        <v/>
      </c>
      <c r="AA800" s="50" t="str">
        <f t="shared" si="205"/>
        <v/>
      </c>
      <c r="AB800" s="28" t="str">
        <f t="shared" si="208"/>
        <v>12%</v>
      </c>
      <c r="AC800" s="1">
        <f t="shared" si="209"/>
        <v>46</v>
      </c>
      <c r="AD800" s="52">
        <f t="shared" si="206"/>
        <v>2</v>
      </c>
      <c r="AE800" t="str">
        <f t="shared" si="210"/>
        <v/>
      </c>
      <c r="AF800" t="str">
        <f t="shared" si="211"/>
        <v/>
      </c>
      <c r="AG800" t="str">
        <f t="shared" si="212"/>
        <v/>
      </c>
      <c r="AH800" t="str">
        <f t="shared" si="213"/>
        <v/>
      </c>
      <c r="AI800" t="str">
        <f t="shared" si="214"/>
        <v/>
      </c>
      <c r="AJ800" t="str">
        <f t="shared" si="215"/>
        <v/>
      </c>
      <c r="AK800" t="str">
        <f t="shared" si="216"/>
        <v/>
      </c>
      <c r="AL800" t="str">
        <f t="shared" si="217"/>
        <v/>
      </c>
      <c r="AN800" t="str">
        <f>IFERROR(ROUND(L800*(G800/$AW800)/VLOOKUP(F800,商品!$A$4:$D$67,4,FALSE),0),"")</f>
        <v/>
      </c>
      <c r="AO800" t="str">
        <f>IFERROR(ROUND(L800*(I800/$AW800)/VLOOKUP(H800,商品!$A$4:$D$67,4,FALSE),0),"")</f>
        <v/>
      </c>
      <c r="AP800" t="str">
        <f>IFERROR(ROUND(L800*(K800/$AW800)/VLOOKUP(J800,商品!$A$4:$D$67,4,FALSE),0),"")</f>
        <v/>
      </c>
      <c r="AQ800" t="str">
        <f>IFERROR(ROUND(S800*(N800/$AX800)/VLOOKUP(M800,职业!$A$3:$E$16,4,FALSE),0),"")</f>
        <v/>
      </c>
      <c r="AR800" t="str">
        <f>IFERROR(ROUND(S800*(P800/$AX800)/VLOOKUP(O800,职业!$A$3:$E$16,4,FALSE),0),"")</f>
        <v/>
      </c>
      <c r="AS800" t="str">
        <f>IFERROR(ROUND(S800*(R800/$AX800)/VLOOKUP(Q800,职业!$A$3:$E$16,4,FALSE),0),"")</f>
        <v/>
      </c>
      <c r="AT800" t="str">
        <f>IFERROR(ROUND(X800*(U800/$AY800)/VLOOKUP(T800,商品!$A$4:$D$67,4,FALSE),0),"")</f>
        <v/>
      </c>
      <c r="AU800" t="str">
        <f>IFERROR(ROUND(X800*(W800/$AY800)/VLOOKUP(V800,商品!$A$4:$D$67,4,FALSE),0),"")</f>
        <v/>
      </c>
      <c r="AW800">
        <f t="shared" si="218"/>
        <v>0</v>
      </c>
      <c r="AX800">
        <f t="shared" si="219"/>
        <v>0</v>
      </c>
      <c r="AY800">
        <f t="shared" si="220"/>
        <v>0</v>
      </c>
    </row>
    <row r="801" customHeight="1" spans="1:51">
      <c r="A801" s="18" t="s">
        <v>433</v>
      </c>
      <c r="C801" s="18">
        <v>3</v>
      </c>
      <c r="D801" s="1" t="s">
        <v>220</v>
      </c>
      <c r="E801" s="1" t="s">
        <v>224</v>
      </c>
      <c r="L801" s="18">
        <f>IFERROR(VLOOKUP($D801&amp;$C801,生产方式定位!$A$2:$E$38,2,FALSE)+VLOOKUP($E801&amp;$C801,生产方式定位!$F$3:$J$38,2,FALSE),0)</f>
        <v>1900</v>
      </c>
      <c r="S801" s="18">
        <f>IFERROR(VLOOKUP($D801&amp;$C801,生产方式定位!$A$2:$E$38,3,FALSE)+VLOOKUP($E801&amp;$C801,生产方式定位!$F$3:$J$38,3,FALSE),0)</f>
        <v>70</v>
      </c>
      <c r="X801" s="18">
        <f>IFERROR(VLOOKUP($D801&amp;$C801,生产方式定位!$A$2:$E$38,5,FALSE)+VLOOKUP($E801&amp;$C801,生产方式定位!$F$3:$J$38,5,FALSE),"错误")</f>
        <v>2064</v>
      </c>
      <c r="Y801" s="27" t="str">
        <f t="shared" si="204"/>
        <v/>
      </c>
      <c r="Z801" s="50" t="str">
        <f t="shared" si="207"/>
        <v/>
      </c>
      <c r="AA801" s="50" t="str">
        <f t="shared" si="205"/>
        <v/>
      </c>
      <c r="AB801" s="28" t="str">
        <f t="shared" si="208"/>
        <v>9%</v>
      </c>
      <c r="AC801" s="1">
        <f t="shared" si="209"/>
        <v>94</v>
      </c>
      <c r="AD801" s="52">
        <f t="shared" si="206"/>
        <v>3</v>
      </c>
      <c r="AE801" t="str">
        <f t="shared" si="210"/>
        <v/>
      </c>
      <c r="AF801" t="str">
        <f t="shared" si="211"/>
        <v/>
      </c>
      <c r="AG801" t="str">
        <f t="shared" si="212"/>
        <v/>
      </c>
      <c r="AH801" t="str">
        <f t="shared" si="213"/>
        <v/>
      </c>
      <c r="AI801" t="str">
        <f t="shared" si="214"/>
        <v/>
      </c>
      <c r="AJ801" t="str">
        <f t="shared" si="215"/>
        <v/>
      </c>
      <c r="AK801" t="str">
        <f t="shared" si="216"/>
        <v/>
      </c>
      <c r="AL801" t="str">
        <f t="shared" si="217"/>
        <v/>
      </c>
      <c r="AN801" t="str">
        <f>IFERROR(ROUND(L801*(G801/$AW801)/VLOOKUP(F801,商品!$A$4:$D$67,4,FALSE),0),"")</f>
        <v/>
      </c>
      <c r="AO801" t="str">
        <f>IFERROR(ROUND(L801*(I801/$AW801)/VLOOKUP(H801,商品!$A$4:$D$67,4,FALSE),0),"")</f>
        <v/>
      </c>
      <c r="AP801" t="str">
        <f>IFERROR(ROUND(L801*(K801/$AW801)/VLOOKUP(J801,商品!$A$4:$D$67,4,FALSE),0),"")</f>
        <v/>
      </c>
      <c r="AQ801" t="str">
        <f>IFERROR(ROUND(S801*(N801/$AX801)/VLOOKUP(M801,职业!$A$3:$E$16,4,FALSE),0),"")</f>
        <v/>
      </c>
      <c r="AR801" t="str">
        <f>IFERROR(ROUND(S801*(P801/$AX801)/VLOOKUP(O801,职业!$A$3:$E$16,4,FALSE),0),"")</f>
        <v/>
      </c>
      <c r="AS801" t="str">
        <f>IFERROR(ROUND(S801*(R801/$AX801)/VLOOKUP(Q801,职业!$A$3:$E$16,4,FALSE),0),"")</f>
        <v/>
      </c>
      <c r="AT801" t="str">
        <f>IFERROR(ROUND(X801*(U801/$AY801)/VLOOKUP(T801,商品!$A$4:$D$67,4,FALSE),0),"")</f>
        <v/>
      </c>
      <c r="AU801" t="str">
        <f>IFERROR(ROUND(X801*(W801/$AY801)/VLOOKUP(V801,商品!$A$4:$D$67,4,FALSE),0),"")</f>
        <v/>
      </c>
      <c r="AW801">
        <f t="shared" si="218"/>
        <v>0</v>
      </c>
      <c r="AX801">
        <f t="shared" si="219"/>
        <v>0</v>
      </c>
      <c r="AY801">
        <f t="shared" si="220"/>
        <v>0</v>
      </c>
    </row>
    <row r="802" customHeight="1" spans="1:51">
      <c r="A802" s="18" t="s">
        <v>433</v>
      </c>
      <c r="C802" s="18">
        <v>4</v>
      </c>
      <c r="D802" s="1" t="s">
        <v>220</v>
      </c>
      <c r="E802" s="1" t="s">
        <v>224</v>
      </c>
      <c r="L802" s="18">
        <f>IFERROR(VLOOKUP($D802&amp;$C802,生产方式定位!$A$2:$E$38,2,FALSE)+VLOOKUP($E802&amp;$C802,生产方式定位!$F$3:$J$38,2,FALSE),0)</f>
        <v>2600</v>
      </c>
      <c r="S802" s="18">
        <f>IFERROR(VLOOKUP($D802&amp;$C802,生产方式定位!$A$2:$E$38,3,FALSE)+VLOOKUP($E802&amp;$C802,生产方式定位!$F$3:$J$38,3,FALSE),0)</f>
        <v>40</v>
      </c>
      <c r="X802" s="18">
        <f>IFERROR(VLOOKUP($D802&amp;$C802,生产方式定位!$A$2:$E$38,5,FALSE)+VLOOKUP($E802&amp;$C802,生产方式定位!$F$3:$J$38,5,FALSE),"错误")</f>
        <v>2782</v>
      </c>
      <c r="Y802" s="27" t="str">
        <f t="shared" si="204"/>
        <v/>
      </c>
      <c r="Z802" s="50" t="str">
        <f t="shared" si="207"/>
        <v/>
      </c>
      <c r="AA802" s="50" t="str">
        <f t="shared" si="205"/>
        <v/>
      </c>
      <c r="AB802" s="28" t="str">
        <f t="shared" si="208"/>
        <v>7%</v>
      </c>
      <c r="AC802" s="1">
        <f t="shared" si="209"/>
        <v>142</v>
      </c>
      <c r="AD802" s="52">
        <f t="shared" si="206"/>
        <v>4</v>
      </c>
      <c r="AE802" t="str">
        <f t="shared" si="210"/>
        <v/>
      </c>
      <c r="AF802" t="str">
        <f t="shared" si="211"/>
        <v/>
      </c>
      <c r="AG802" t="str">
        <f t="shared" si="212"/>
        <v/>
      </c>
      <c r="AH802" t="str">
        <f t="shared" si="213"/>
        <v/>
      </c>
      <c r="AI802" t="str">
        <f t="shared" si="214"/>
        <v/>
      </c>
      <c r="AJ802" t="str">
        <f t="shared" si="215"/>
        <v/>
      </c>
      <c r="AK802" t="str">
        <f t="shared" si="216"/>
        <v/>
      </c>
      <c r="AL802" t="str">
        <f t="shared" si="217"/>
        <v/>
      </c>
      <c r="AN802" t="str">
        <f>IFERROR(ROUND(L802*(G802/$AW802)/VLOOKUP(F802,商品!$A$4:$D$67,4,FALSE),0),"")</f>
        <v/>
      </c>
      <c r="AO802" t="str">
        <f>IFERROR(ROUND(L802*(I802/$AW802)/VLOOKUP(H802,商品!$A$4:$D$67,4,FALSE),0),"")</f>
        <v/>
      </c>
      <c r="AP802" t="str">
        <f>IFERROR(ROUND(L802*(K802/$AW802)/VLOOKUP(J802,商品!$A$4:$D$67,4,FALSE),0),"")</f>
        <v/>
      </c>
      <c r="AQ802" t="str">
        <f>IFERROR(ROUND(S802*(N802/$AX802)/VLOOKUP(M802,职业!$A$3:$E$16,4,FALSE),0),"")</f>
        <v/>
      </c>
      <c r="AR802" t="str">
        <f>IFERROR(ROUND(S802*(P802/$AX802)/VLOOKUP(O802,职业!$A$3:$E$16,4,FALSE),0),"")</f>
        <v/>
      </c>
      <c r="AS802" t="str">
        <f>IFERROR(ROUND(S802*(R802/$AX802)/VLOOKUP(Q802,职业!$A$3:$E$16,4,FALSE),0),"")</f>
        <v/>
      </c>
      <c r="AT802" t="str">
        <f>IFERROR(ROUND(X802*(U802/$AY802)/VLOOKUP(T802,商品!$A$4:$D$67,4,FALSE),0),"")</f>
        <v/>
      </c>
      <c r="AU802" t="str">
        <f>IFERROR(ROUND(X802*(W802/$AY802)/VLOOKUP(V802,商品!$A$4:$D$67,4,FALSE),0),"")</f>
        <v/>
      </c>
      <c r="AW802">
        <f t="shared" si="218"/>
        <v>0</v>
      </c>
      <c r="AX802">
        <f t="shared" si="219"/>
        <v>0</v>
      </c>
      <c r="AY802">
        <f t="shared" si="220"/>
        <v>0</v>
      </c>
    </row>
    <row r="803" customHeight="1" spans="1:51">
      <c r="A803" s="18" t="s">
        <v>433</v>
      </c>
      <c r="C803" s="18">
        <v>5</v>
      </c>
      <c r="D803" s="1" t="s">
        <v>220</v>
      </c>
      <c r="E803" s="1" t="s">
        <v>224</v>
      </c>
      <c r="L803" s="18">
        <f>IFERROR(VLOOKUP($D803&amp;$C803,生产方式定位!$A$2:$E$38,2,FALSE)+VLOOKUP($E803&amp;$C803,生产方式定位!$F$3:$J$38,2,FALSE),0)</f>
        <v>3300</v>
      </c>
      <c r="S803" s="18">
        <f>IFERROR(VLOOKUP($D803&amp;$C803,生产方式定位!$A$2:$E$38,3,FALSE)+VLOOKUP($E803&amp;$C803,生产方式定位!$F$3:$J$38,3,FALSE),0)</f>
        <v>10</v>
      </c>
      <c r="X803" s="18">
        <f>IFERROR(VLOOKUP($D803&amp;$C803,生产方式定位!$A$2:$E$38,5,FALSE)+VLOOKUP($E803&amp;$C803,生产方式定位!$F$3:$J$38,5,FALSE),"错误")</f>
        <v>3500</v>
      </c>
      <c r="Y803" s="27" t="str">
        <f t="shared" si="204"/>
        <v/>
      </c>
      <c r="Z803" s="50" t="str">
        <f t="shared" si="207"/>
        <v/>
      </c>
      <c r="AA803" s="50" t="str">
        <f t="shared" si="205"/>
        <v/>
      </c>
      <c r="AB803" s="28" t="str">
        <f t="shared" si="208"/>
        <v>6%</v>
      </c>
      <c r="AC803" s="1">
        <f t="shared" si="209"/>
        <v>190</v>
      </c>
      <c r="AD803" s="52">
        <f t="shared" si="206"/>
        <v>5</v>
      </c>
      <c r="AE803" t="str">
        <f t="shared" si="210"/>
        <v/>
      </c>
      <c r="AF803" t="str">
        <f t="shared" si="211"/>
        <v/>
      </c>
      <c r="AG803" t="str">
        <f t="shared" si="212"/>
        <v/>
      </c>
      <c r="AH803" t="str">
        <f t="shared" si="213"/>
        <v/>
      </c>
      <c r="AI803" t="str">
        <f t="shared" si="214"/>
        <v/>
      </c>
      <c r="AJ803" t="str">
        <f t="shared" si="215"/>
        <v/>
      </c>
      <c r="AK803" t="str">
        <f t="shared" si="216"/>
        <v/>
      </c>
      <c r="AL803" t="str">
        <f t="shared" si="217"/>
        <v/>
      </c>
      <c r="AN803" t="str">
        <f>IFERROR(ROUND(L803*(G803/$AW803)/VLOOKUP(F803,商品!$A$4:$D$67,4,FALSE),0),"")</f>
        <v/>
      </c>
      <c r="AO803" t="str">
        <f>IFERROR(ROUND(L803*(I803/$AW803)/VLOOKUP(H803,商品!$A$4:$D$67,4,FALSE),0),"")</f>
        <v/>
      </c>
      <c r="AP803" t="str">
        <f>IFERROR(ROUND(L803*(K803/$AW803)/VLOOKUP(J803,商品!$A$4:$D$67,4,FALSE),0),"")</f>
        <v/>
      </c>
      <c r="AQ803" t="str">
        <f>IFERROR(ROUND(S803*(N803/$AX803)/VLOOKUP(M803,职业!$A$3:$E$16,4,FALSE),0),"")</f>
        <v/>
      </c>
      <c r="AR803" t="str">
        <f>IFERROR(ROUND(S803*(P803/$AX803)/VLOOKUP(O803,职业!$A$3:$E$16,4,FALSE),0),"")</f>
        <v/>
      </c>
      <c r="AS803" t="str">
        <f>IFERROR(ROUND(S803*(R803/$AX803)/VLOOKUP(Q803,职业!$A$3:$E$16,4,FALSE),0),"")</f>
        <v/>
      </c>
      <c r="AT803" t="str">
        <f>IFERROR(ROUND(X803*(U803/$AY803)/VLOOKUP(T803,商品!$A$4:$D$67,4,FALSE),0),"")</f>
        <v/>
      </c>
      <c r="AU803" t="str">
        <f>IFERROR(ROUND(X803*(W803/$AY803)/VLOOKUP(V803,商品!$A$4:$D$67,4,FALSE),0),"")</f>
        <v/>
      </c>
      <c r="AW803">
        <f t="shared" si="218"/>
        <v>0</v>
      </c>
      <c r="AX803">
        <f t="shared" si="219"/>
        <v>0</v>
      </c>
      <c r="AY803">
        <f t="shared" si="220"/>
        <v>0</v>
      </c>
    </row>
    <row r="804" customHeight="1" spans="1:51">
      <c r="A804" s="5" t="s">
        <v>433</v>
      </c>
      <c r="C804" s="5">
        <v>1</v>
      </c>
      <c r="D804" s="1" t="s">
        <v>220</v>
      </c>
      <c r="E804" s="1" t="s">
        <v>224</v>
      </c>
      <c r="L804" s="5">
        <f>IFERROR(VLOOKUP($D804&amp;$C804,生产方式定位!$A$2:$E$38,2,FALSE)+VLOOKUP($E804&amp;$C804,生产方式定位!$F$3:$J$38,2,FALSE),0)</f>
        <v>500</v>
      </c>
      <c r="S804" s="5">
        <f>IFERROR(VLOOKUP($D804&amp;$C804,生产方式定位!$A$2:$E$38,3,FALSE)+VLOOKUP($E804&amp;$C804,生产方式定位!$F$3:$J$38,3,FALSE),0)</f>
        <v>150</v>
      </c>
      <c r="X804" s="5">
        <f>IFERROR(VLOOKUP($D804&amp;$C804,生产方式定位!$A$2:$E$38,5,FALSE)+VLOOKUP($E804&amp;$C804,生产方式定位!$F$3:$J$38,5,FALSE),"错误")</f>
        <v>715</v>
      </c>
      <c r="Y804" s="27" t="str">
        <f t="shared" si="204"/>
        <v/>
      </c>
      <c r="Z804" s="50" t="str">
        <f t="shared" si="207"/>
        <v/>
      </c>
      <c r="AA804" s="50" t="str">
        <f t="shared" si="205"/>
        <v/>
      </c>
      <c r="AB804" s="28" t="str">
        <f t="shared" si="208"/>
        <v>43%</v>
      </c>
      <c r="AC804" s="1">
        <f t="shared" si="209"/>
        <v>65</v>
      </c>
      <c r="AD804" s="51">
        <f t="shared" si="206"/>
        <v>1</v>
      </c>
      <c r="AE804" t="str">
        <f t="shared" si="210"/>
        <v/>
      </c>
      <c r="AF804" t="str">
        <f t="shared" si="211"/>
        <v/>
      </c>
      <c r="AG804" t="str">
        <f t="shared" si="212"/>
        <v/>
      </c>
      <c r="AH804" t="str">
        <f t="shared" si="213"/>
        <v/>
      </c>
      <c r="AI804" t="str">
        <f t="shared" si="214"/>
        <v/>
      </c>
      <c r="AJ804" t="str">
        <f t="shared" si="215"/>
        <v/>
      </c>
      <c r="AK804" t="str">
        <f t="shared" si="216"/>
        <v/>
      </c>
      <c r="AL804" t="str">
        <f t="shared" si="217"/>
        <v/>
      </c>
      <c r="AN804" t="str">
        <f>IFERROR(ROUND(L804*(G804/$AW804)/VLOOKUP(F804,商品!$A$4:$D$67,4,FALSE),0),"")</f>
        <v/>
      </c>
      <c r="AO804" t="str">
        <f>IFERROR(ROUND(L804*(I804/$AW804)/VLOOKUP(H804,商品!$A$4:$D$67,4,FALSE),0),"")</f>
        <v/>
      </c>
      <c r="AP804" t="str">
        <f>IFERROR(ROUND(L804*(K804/$AW804)/VLOOKUP(J804,商品!$A$4:$D$67,4,FALSE),0),"")</f>
        <v/>
      </c>
      <c r="AQ804" t="str">
        <f>IFERROR(ROUND(S804*(N804/$AX804)/VLOOKUP(M804,职业!$A$3:$E$16,4,FALSE),0),"")</f>
        <v/>
      </c>
      <c r="AR804" t="str">
        <f>IFERROR(ROUND(S804*(P804/$AX804)/VLOOKUP(O804,职业!$A$3:$E$16,4,FALSE),0),"")</f>
        <v/>
      </c>
      <c r="AS804" t="str">
        <f>IFERROR(ROUND(S804*(R804/$AX804)/VLOOKUP(Q804,职业!$A$3:$E$16,4,FALSE),0),"")</f>
        <v/>
      </c>
      <c r="AT804" t="str">
        <f>IFERROR(ROUND(X804*(U804/$AY804)/VLOOKUP(T804,商品!$A$4:$D$67,4,FALSE),0),"")</f>
        <v/>
      </c>
      <c r="AU804" t="str">
        <f>IFERROR(ROUND(X804*(W804/$AY804)/VLOOKUP(V804,商品!$A$4:$D$67,4,FALSE),0),"")</f>
        <v/>
      </c>
      <c r="AW804">
        <f t="shared" si="218"/>
        <v>0</v>
      </c>
      <c r="AX804">
        <f t="shared" si="219"/>
        <v>0</v>
      </c>
      <c r="AY804">
        <f t="shared" si="220"/>
        <v>0</v>
      </c>
    </row>
    <row r="805" customHeight="1" spans="1:51">
      <c r="A805" s="5" t="s">
        <v>433</v>
      </c>
      <c r="C805" s="5">
        <v>2</v>
      </c>
      <c r="D805" s="1" t="s">
        <v>220</v>
      </c>
      <c r="E805" s="1" t="s">
        <v>224</v>
      </c>
      <c r="L805" s="5">
        <f>IFERROR(VLOOKUP($D805&amp;$C805,生产方式定位!$A$2:$E$38,2,FALSE)+VLOOKUP($E805&amp;$C805,生产方式定位!$F$3:$J$38,2,FALSE),0)</f>
        <v>1200</v>
      </c>
      <c r="S805" s="5">
        <f>IFERROR(VLOOKUP($D805&amp;$C805,生产方式定位!$A$2:$E$38,3,FALSE)+VLOOKUP($E805&amp;$C805,生产方式定位!$F$3:$J$38,3,FALSE),0)</f>
        <v>100</v>
      </c>
      <c r="X805" s="5">
        <f>IFERROR(VLOOKUP($D805&amp;$C805,生产方式定位!$A$2:$E$38,5,FALSE)+VLOOKUP($E805&amp;$C805,生产方式定位!$F$3:$J$38,5,FALSE),"错误")</f>
        <v>1346</v>
      </c>
      <c r="Y805" s="27" t="str">
        <f t="shared" si="204"/>
        <v/>
      </c>
      <c r="Z805" s="50" t="str">
        <f t="shared" si="207"/>
        <v/>
      </c>
      <c r="AA805" s="50" t="str">
        <f t="shared" si="205"/>
        <v/>
      </c>
      <c r="AB805" s="28" t="str">
        <f t="shared" si="208"/>
        <v>12%</v>
      </c>
      <c r="AC805" s="1">
        <f t="shared" si="209"/>
        <v>46</v>
      </c>
      <c r="AD805" s="51">
        <f t="shared" si="206"/>
        <v>2</v>
      </c>
      <c r="AE805" t="str">
        <f t="shared" si="210"/>
        <v/>
      </c>
      <c r="AF805" t="str">
        <f t="shared" si="211"/>
        <v/>
      </c>
      <c r="AG805" t="str">
        <f t="shared" si="212"/>
        <v/>
      </c>
      <c r="AH805" t="str">
        <f t="shared" si="213"/>
        <v/>
      </c>
      <c r="AI805" t="str">
        <f t="shared" si="214"/>
        <v/>
      </c>
      <c r="AJ805" t="str">
        <f t="shared" si="215"/>
        <v/>
      </c>
      <c r="AK805" t="str">
        <f t="shared" si="216"/>
        <v/>
      </c>
      <c r="AL805" t="str">
        <f t="shared" si="217"/>
        <v/>
      </c>
      <c r="AN805" t="str">
        <f>IFERROR(ROUND(L805*(G805/$AW805)/VLOOKUP(F805,商品!$A$4:$D$67,4,FALSE),0),"")</f>
        <v/>
      </c>
      <c r="AO805" t="str">
        <f>IFERROR(ROUND(L805*(I805/$AW805)/VLOOKUP(H805,商品!$A$4:$D$67,4,FALSE),0),"")</f>
        <v/>
      </c>
      <c r="AP805" t="str">
        <f>IFERROR(ROUND(L805*(K805/$AW805)/VLOOKUP(J805,商品!$A$4:$D$67,4,FALSE),0),"")</f>
        <v/>
      </c>
      <c r="AQ805" t="str">
        <f>IFERROR(ROUND(S805*(N805/$AX805)/VLOOKUP(M805,职业!$A$3:$E$16,4,FALSE),0),"")</f>
        <v/>
      </c>
      <c r="AR805" t="str">
        <f>IFERROR(ROUND(S805*(P805/$AX805)/VLOOKUP(O805,职业!$A$3:$E$16,4,FALSE),0),"")</f>
        <v/>
      </c>
      <c r="AS805" t="str">
        <f>IFERROR(ROUND(S805*(R805/$AX805)/VLOOKUP(Q805,职业!$A$3:$E$16,4,FALSE),0),"")</f>
        <v/>
      </c>
      <c r="AT805" t="str">
        <f>IFERROR(ROUND(X805*(U805/$AY805)/VLOOKUP(T805,商品!$A$4:$D$67,4,FALSE),0),"")</f>
        <v/>
      </c>
      <c r="AU805" t="str">
        <f>IFERROR(ROUND(X805*(W805/$AY805)/VLOOKUP(V805,商品!$A$4:$D$67,4,FALSE),0),"")</f>
        <v/>
      </c>
      <c r="AW805">
        <f t="shared" si="218"/>
        <v>0</v>
      </c>
      <c r="AX805">
        <f t="shared" si="219"/>
        <v>0</v>
      </c>
      <c r="AY805">
        <f t="shared" si="220"/>
        <v>0</v>
      </c>
    </row>
    <row r="806" customHeight="1" spans="1:51">
      <c r="A806" s="5" t="s">
        <v>433</v>
      </c>
      <c r="C806" s="5">
        <v>3</v>
      </c>
      <c r="D806" s="1" t="s">
        <v>220</v>
      </c>
      <c r="E806" s="1" t="s">
        <v>224</v>
      </c>
      <c r="L806" s="5">
        <f>IFERROR(VLOOKUP($D806&amp;$C806,生产方式定位!$A$2:$E$38,2,FALSE)+VLOOKUP($E806&amp;$C806,生产方式定位!$F$3:$J$38,2,FALSE),0)</f>
        <v>1900</v>
      </c>
      <c r="S806" s="5">
        <f>IFERROR(VLOOKUP($D806&amp;$C806,生产方式定位!$A$2:$E$38,3,FALSE)+VLOOKUP($E806&amp;$C806,生产方式定位!$F$3:$J$38,3,FALSE),0)</f>
        <v>70</v>
      </c>
      <c r="X806" s="5">
        <f>IFERROR(VLOOKUP($D806&amp;$C806,生产方式定位!$A$2:$E$38,5,FALSE)+VLOOKUP($E806&amp;$C806,生产方式定位!$F$3:$J$38,5,FALSE),"错误")</f>
        <v>2064</v>
      </c>
      <c r="Y806" s="27" t="str">
        <f t="shared" si="204"/>
        <v/>
      </c>
      <c r="Z806" s="50" t="str">
        <f t="shared" si="207"/>
        <v/>
      </c>
      <c r="AA806" s="50" t="str">
        <f t="shared" si="205"/>
        <v/>
      </c>
      <c r="AB806" s="28" t="str">
        <f t="shared" si="208"/>
        <v>9%</v>
      </c>
      <c r="AC806" s="1">
        <f t="shared" si="209"/>
        <v>94</v>
      </c>
      <c r="AD806" s="51">
        <f t="shared" si="206"/>
        <v>3</v>
      </c>
      <c r="AE806" t="str">
        <f t="shared" si="210"/>
        <v/>
      </c>
      <c r="AF806" t="str">
        <f t="shared" si="211"/>
        <v/>
      </c>
      <c r="AG806" t="str">
        <f t="shared" si="212"/>
        <v/>
      </c>
      <c r="AH806" t="str">
        <f t="shared" si="213"/>
        <v/>
      </c>
      <c r="AI806" t="str">
        <f t="shared" si="214"/>
        <v/>
      </c>
      <c r="AJ806" t="str">
        <f t="shared" si="215"/>
        <v/>
      </c>
      <c r="AK806" t="str">
        <f t="shared" si="216"/>
        <v/>
      </c>
      <c r="AL806" t="str">
        <f t="shared" si="217"/>
        <v/>
      </c>
      <c r="AN806" t="str">
        <f>IFERROR(ROUND(L806*(G806/$AW806)/VLOOKUP(F806,商品!$A$4:$D$67,4,FALSE),0),"")</f>
        <v/>
      </c>
      <c r="AO806" t="str">
        <f>IFERROR(ROUND(L806*(I806/$AW806)/VLOOKUP(H806,商品!$A$4:$D$67,4,FALSE),0),"")</f>
        <v/>
      </c>
      <c r="AP806" t="str">
        <f>IFERROR(ROUND(L806*(K806/$AW806)/VLOOKUP(J806,商品!$A$4:$D$67,4,FALSE),0),"")</f>
        <v/>
      </c>
      <c r="AQ806" t="str">
        <f>IFERROR(ROUND(S806*(N806/$AX806)/VLOOKUP(M806,职业!$A$3:$E$16,4,FALSE),0),"")</f>
        <v/>
      </c>
      <c r="AR806" t="str">
        <f>IFERROR(ROUND(S806*(P806/$AX806)/VLOOKUP(O806,职业!$A$3:$E$16,4,FALSE),0),"")</f>
        <v/>
      </c>
      <c r="AS806" t="str">
        <f>IFERROR(ROUND(S806*(R806/$AX806)/VLOOKUP(Q806,职业!$A$3:$E$16,4,FALSE),0),"")</f>
        <v/>
      </c>
      <c r="AT806" t="str">
        <f>IFERROR(ROUND(X806*(U806/$AY806)/VLOOKUP(T806,商品!$A$4:$D$67,4,FALSE),0),"")</f>
        <v/>
      </c>
      <c r="AU806" t="str">
        <f>IFERROR(ROUND(X806*(W806/$AY806)/VLOOKUP(V806,商品!$A$4:$D$67,4,FALSE),0),"")</f>
        <v/>
      </c>
      <c r="AW806">
        <f t="shared" si="218"/>
        <v>0</v>
      </c>
      <c r="AX806">
        <f t="shared" si="219"/>
        <v>0</v>
      </c>
      <c r="AY806">
        <f t="shared" si="220"/>
        <v>0</v>
      </c>
    </row>
    <row r="807" customHeight="1" spans="1:51">
      <c r="A807" s="5" t="s">
        <v>433</v>
      </c>
      <c r="C807" s="5">
        <v>4</v>
      </c>
      <c r="D807" s="1" t="s">
        <v>220</v>
      </c>
      <c r="E807" s="1" t="s">
        <v>224</v>
      </c>
      <c r="L807" s="5">
        <f>IFERROR(VLOOKUP($D807&amp;$C807,生产方式定位!$A$2:$E$38,2,FALSE)+VLOOKUP($E807&amp;$C807,生产方式定位!$F$3:$J$38,2,FALSE),0)</f>
        <v>2600</v>
      </c>
      <c r="S807" s="5">
        <f>IFERROR(VLOOKUP($D807&amp;$C807,生产方式定位!$A$2:$E$38,3,FALSE)+VLOOKUP($E807&amp;$C807,生产方式定位!$F$3:$J$38,3,FALSE),0)</f>
        <v>40</v>
      </c>
      <c r="X807" s="5">
        <f>IFERROR(VLOOKUP($D807&amp;$C807,生产方式定位!$A$2:$E$38,5,FALSE)+VLOOKUP($E807&amp;$C807,生产方式定位!$F$3:$J$38,5,FALSE),"错误")</f>
        <v>2782</v>
      </c>
      <c r="Y807" s="27" t="str">
        <f t="shared" si="204"/>
        <v/>
      </c>
      <c r="Z807" s="50" t="str">
        <f t="shared" si="207"/>
        <v/>
      </c>
      <c r="AA807" s="50" t="str">
        <f t="shared" si="205"/>
        <v/>
      </c>
      <c r="AB807" s="28" t="str">
        <f t="shared" si="208"/>
        <v>7%</v>
      </c>
      <c r="AC807" s="1">
        <f t="shared" si="209"/>
        <v>142</v>
      </c>
      <c r="AD807" s="51">
        <f t="shared" si="206"/>
        <v>4</v>
      </c>
      <c r="AE807" t="str">
        <f t="shared" si="210"/>
        <v/>
      </c>
      <c r="AF807" t="str">
        <f t="shared" si="211"/>
        <v/>
      </c>
      <c r="AG807" t="str">
        <f t="shared" si="212"/>
        <v/>
      </c>
      <c r="AH807" t="str">
        <f t="shared" si="213"/>
        <v/>
      </c>
      <c r="AI807" t="str">
        <f t="shared" si="214"/>
        <v/>
      </c>
      <c r="AJ807" t="str">
        <f t="shared" si="215"/>
        <v/>
      </c>
      <c r="AK807" t="str">
        <f t="shared" si="216"/>
        <v/>
      </c>
      <c r="AL807" t="str">
        <f t="shared" si="217"/>
        <v/>
      </c>
      <c r="AN807" t="str">
        <f>IFERROR(ROUND(L807*(G807/$AW807)/VLOOKUP(F807,商品!$A$4:$D$67,4,FALSE),0),"")</f>
        <v/>
      </c>
      <c r="AO807" t="str">
        <f>IFERROR(ROUND(L807*(I807/$AW807)/VLOOKUP(H807,商品!$A$4:$D$67,4,FALSE),0),"")</f>
        <v/>
      </c>
      <c r="AP807" t="str">
        <f>IFERROR(ROUND(L807*(K807/$AW807)/VLOOKUP(J807,商品!$A$4:$D$67,4,FALSE),0),"")</f>
        <v/>
      </c>
      <c r="AQ807" t="str">
        <f>IFERROR(ROUND(S807*(N807/$AX807)/VLOOKUP(M807,职业!$A$3:$E$16,4,FALSE),0),"")</f>
        <v/>
      </c>
      <c r="AR807" t="str">
        <f>IFERROR(ROUND(S807*(P807/$AX807)/VLOOKUP(O807,职业!$A$3:$E$16,4,FALSE),0),"")</f>
        <v/>
      </c>
      <c r="AS807" t="str">
        <f>IFERROR(ROUND(S807*(R807/$AX807)/VLOOKUP(Q807,职业!$A$3:$E$16,4,FALSE),0),"")</f>
        <v/>
      </c>
      <c r="AT807" t="str">
        <f>IFERROR(ROUND(X807*(U807/$AY807)/VLOOKUP(T807,商品!$A$4:$D$67,4,FALSE),0),"")</f>
        <v/>
      </c>
      <c r="AU807" t="str">
        <f>IFERROR(ROUND(X807*(W807/$AY807)/VLOOKUP(V807,商品!$A$4:$D$67,4,FALSE),0),"")</f>
        <v/>
      </c>
      <c r="AW807">
        <f t="shared" si="218"/>
        <v>0</v>
      </c>
      <c r="AX807">
        <f t="shared" si="219"/>
        <v>0</v>
      </c>
      <c r="AY807">
        <f t="shared" si="220"/>
        <v>0</v>
      </c>
    </row>
    <row r="808" customHeight="1" spans="1:51">
      <c r="A808" s="5" t="s">
        <v>433</v>
      </c>
      <c r="C808" s="5">
        <v>5</v>
      </c>
      <c r="D808" s="1" t="s">
        <v>220</v>
      </c>
      <c r="E808" s="1" t="s">
        <v>224</v>
      </c>
      <c r="L808" s="5">
        <f>IFERROR(VLOOKUP($D808&amp;$C808,生产方式定位!$A$2:$E$38,2,FALSE)+VLOOKUP($E808&amp;$C808,生产方式定位!$F$3:$J$38,2,FALSE),0)</f>
        <v>3300</v>
      </c>
      <c r="S808" s="5">
        <f>IFERROR(VLOOKUP($D808&amp;$C808,生产方式定位!$A$2:$E$38,3,FALSE)+VLOOKUP($E808&amp;$C808,生产方式定位!$F$3:$J$38,3,FALSE),0)</f>
        <v>10</v>
      </c>
      <c r="X808" s="5">
        <f>IFERROR(VLOOKUP($D808&amp;$C808,生产方式定位!$A$2:$E$38,5,FALSE)+VLOOKUP($E808&amp;$C808,生产方式定位!$F$3:$J$38,5,FALSE),"错误")</f>
        <v>3500</v>
      </c>
      <c r="Y808" s="27" t="str">
        <f t="shared" si="204"/>
        <v/>
      </c>
      <c r="Z808" s="50" t="str">
        <f t="shared" si="207"/>
        <v/>
      </c>
      <c r="AA808" s="50" t="str">
        <f t="shared" si="205"/>
        <v/>
      </c>
      <c r="AB808" s="28" t="str">
        <f t="shared" si="208"/>
        <v>6%</v>
      </c>
      <c r="AC808" s="1">
        <f t="shared" si="209"/>
        <v>190</v>
      </c>
      <c r="AD808" s="51">
        <f t="shared" si="206"/>
        <v>5</v>
      </c>
      <c r="AE808" t="str">
        <f t="shared" si="210"/>
        <v/>
      </c>
      <c r="AF808" t="str">
        <f t="shared" si="211"/>
        <v/>
      </c>
      <c r="AG808" t="str">
        <f t="shared" si="212"/>
        <v/>
      </c>
      <c r="AH808" t="str">
        <f t="shared" si="213"/>
        <v/>
      </c>
      <c r="AI808" t="str">
        <f t="shared" si="214"/>
        <v/>
      </c>
      <c r="AJ808" t="str">
        <f t="shared" si="215"/>
        <v/>
      </c>
      <c r="AK808" t="str">
        <f t="shared" si="216"/>
        <v/>
      </c>
      <c r="AL808" t="str">
        <f t="shared" si="217"/>
        <v/>
      </c>
      <c r="AN808" t="str">
        <f>IFERROR(ROUND(L808*(G808/$AW808)/VLOOKUP(F808,商品!$A$4:$D$67,4,FALSE),0),"")</f>
        <v/>
      </c>
      <c r="AO808" t="str">
        <f>IFERROR(ROUND(L808*(I808/$AW808)/VLOOKUP(H808,商品!$A$4:$D$67,4,FALSE),0),"")</f>
        <v/>
      </c>
      <c r="AP808" t="str">
        <f>IFERROR(ROUND(L808*(K808/$AW808)/VLOOKUP(J808,商品!$A$4:$D$67,4,FALSE),0),"")</f>
        <v/>
      </c>
      <c r="AQ808" t="str">
        <f>IFERROR(ROUND(S808*(N808/$AX808)/VLOOKUP(M808,职业!$A$3:$E$16,4,FALSE),0),"")</f>
        <v/>
      </c>
      <c r="AR808" t="str">
        <f>IFERROR(ROUND(S808*(P808/$AX808)/VLOOKUP(O808,职业!$A$3:$E$16,4,FALSE),0),"")</f>
        <v/>
      </c>
      <c r="AS808" t="str">
        <f>IFERROR(ROUND(S808*(R808/$AX808)/VLOOKUP(Q808,职业!$A$3:$E$16,4,FALSE),0),"")</f>
        <v/>
      </c>
      <c r="AT808" t="str">
        <f>IFERROR(ROUND(X808*(U808/$AY808)/VLOOKUP(T808,商品!$A$4:$D$67,4,FALSE),0),"")</f>
        <v/>
      </c>
      <c r="AU808" t="str">
        <f>IFERROR(ROUND(X808*(W808/$AY808)/VLOOKUP(V808,商品!$A$4:$D$67,4,FALSE),0),"")</f>
        <v/>
      </c>
      <c r="AW808">
        <f t="shared" si="218"/>
        <v>0</v>
      </c>
      <c r="AX808">
        <f t="shared" si="219"/>
        <v>0</v>
      </c>
      <c r="AY808">
        <f t="shared" si="220"/>
        <v>0</v>
      </c>
    </row>
    <row r="809" customHeight="1" spans="1:51">
      <c r="A809" s="18" t="s">
        <v>434</v>
      </c>
      <c r="C809" s="18">
        <v>1</v>
      </c>
      <c r="D809" s="1" t="s">
        <v>291</v>
      </c>
      <c r="E809" s="1" t="s">
        <v>225</v>
      </c>
      <c r="L809" s="18">
        <f>IFERROR(VLOOKUP($D809&amp;$C809,生产方式定位!$A$2:$E$38,2,FALSE)+VLOOKUP($E809&amp;$C809,生产方式定位!$F$3:$J$38,2,FALSE),0)</f>
        <v>0</v>
      </c>
      <c r="S809" s="18">
        <f>IFERROR(VLOOKUP($D809&amp;$C809,生产方式定位!$A$2:$E$38,3,FALSE)+VLOOKUP($E809&amp;$C809,生产方式定位!$F$3:$J$38,3,FALSE),0)</f>
        <v>100</v>
      </c>
      <c r="X809" s="18">
        <f>IFERROR(VLOOKUP($D809&amp;$C809,生产方式定位!$A$2:$E$38,5,FALSE)+VLOOKUP($E809&amp;$C809,生产方式定位!$F$3:$J$38,5,FALSE),"错误")</f>
        <v>100</v>
      </c>
      <c r="Y809" s="27" t="str">
        <f t="shared" si="204"/>
        <v/>
      </c>
      <c r="Z809" s="50" t="str">
        <f t="shared" si="207"/>
        <v/>
      </c>
      <c r="AA809" s="50" t="str">
        <f t="shared" si="205"/>
        <v/>
      </c>
      <c r="AB809" s="28" t="str">
        <f t="shared" si="208"/>
        <v/>
      </c>
      <c r="AC809" s="1" t="str">
        <f t="shared" si="209"/>
        <v/>
      </c>
      <c r="AD809" s="52">
        <f t="shared" si="206"/>
        <v>1</v>
      </c>
      <c r="AE809" t="str">
        <f t="shared" si="210"/>
        <v/>
      </c>
      <c r="AF809" t="str">
        <f t="shared" si="211"/>
        <v/>
      </c>
      <c r="AG809" t="str">
        <f t="shared" si="212"/>
        <v/>
      </c>
      <c r="AH809" t="str">
        <f t="shared" si="213"/>
        <v/>
      </c>
      <c r="AI809" t="str">
        <f t="shared" si="214"/>
        <v/>
      </c>
      <c r="AJ809" t="str">
        <f t="shared" si="215"/>
        <v/>
      </c>
      <c r="AK809" t="str">
        <f t="shared" si="216"/>
        <v/>
      </c>
      <c r="AL809" t="str">
        <f t="shared" si="217"/>
        <v/>
      </c>
      <c r="AN809" t="str">
        <f>IFERROR(ROUND(L809*(G809/$AW809)/VLOOKUP(F809,商品!$A$4:$D$67,4,FALSE),0),"")</f>
        <v/>
      </c>
      <c r="AO809" t="str">
        <f>IFERROR(ROUND(L809*(I809/$AW809)/VLOOKUP(H809,商品!$A$4:$D$67,4,FALSE),0),"")</f>
        <v/>
      </c>
      <c r="AP809" t="str">
        <f>IFERROR(ROUND(L809*(K809/$AW809)/VLOOKUP(J809,商品!$A$4:$D$67,4,FALSE),0),"")</f>
        <v/>
      </c>
      <c r="AQ809" t="str">
        <f>IFERROR(ROUND(S809*(N809/$AX809)/VLOOKUP(M809,职业!$A$3:$E$16,4,FALSE),0),"")</f>
        <v/>
      </c>
      <c r="AR809" t="str">
        <f>IFERROR(ROUND(S809*(P809/$AX809)/VLOOKUP(O809,职业!$A$3:$E$16,4,FALSE),0),"")</f>
        <v/>
      </c>
      <c r="AS809" t="str">
        <f>IFERROR(ROUND(S809*(R809/$AX809)/VLOOKUP(Q809,职业!$A$3:$E$16,4,FALSE),0),"")</f>
        <v/>
      </c>
      <c r="AT809" t="str">
        <f>IFERROR(ROUND(X809*(U809/$AY809)/VLOOKUP(T809,商品!$A$4:$D$67,4,FALSE),0),"")</f>
        <v/>
      </c>
      <c r="AU809" t="str">
        <f>IFERROR(ROUND(X809*(W809/$AY809)/VLOOKUP(V809,商品!$A$4:$D$67,4,FALSE),0),"")</f>
        <v/>
      </c>
      <c r="AW809">
        <f t="shared" si="218"/>
        <v>0</v>
      </c>
      <c r="AX809">
        <f t="shared" si="219"/>
        <v>0</v>
      </c>
      <c r="AY809">
        <f t="shared" si="220"/>
        <v>0</v>
      </c>
    </row>
    <row r="810" customHeight="1" spans="1:51">
      <c r="A810" s="18" t="s">
        <v>434</v>
      </c>
      <c r="C810" s="18">
        <v>2</v>
      </c>
      <c r="D810" s="1" t="s">
        <v>291</v>
      </c>
      <c r="E810" s="1" t="s">
        <v>225</v>
      </c>
      <c r="L810" s="18">
        <f>IFERROR(VLOOKUP($D810&amp;$C810,生产方式定位!$A$2:$E$38,2,FALSE)+VLOOKUP($E810&amp;$C810,生产方式定位!$F$3:$J$38,2,FALSE),0)</f>
        <v>0</v>
      </c>
      <c r="S810" s="18">
        <f>IFERROR(VLOOKUP($D810&amp;$C810,生产方式定位!$A$2:$E$38,3,FALSE)+VLOOKUP($E810&amp;$C810,生产方式定位!$F$3:$J$38,3,FALSE),0)</f>
        <v>100</v>
      </c>
      <c r="X810" s="18">
        <f>IFERROR(VLOOKUP($D810&amp;$C810,生产方式定位!$A$2:$E$38,5,FALSE)+VLOOKUP($E810&amp;$C810,生产方式定位!$F$3:$J$38,5,FALSE),"错误")</f>
        <v>100</v>
      </c>
      <c r="Y810" s="27" t="str">
        <f t="shared" si="204"/>
        <v/>
      </c>
      <c r="Z810" s="50" t="str">
        <f t="shared" si="207"/>
        <v/>
      </c>
      <c r="AA810" s="50" t="str">
        <f t="shared" si="205"/>
        <v/>
      </c>
      <c r="AB810" s="28" t="str">
        <f t="shared" si="208"/>
        <v/>
      </c>
      <c r="AC810" s="1" t="str">
        <f t="shared" si="209"/>
        <v/>
      </c>
      <c r="AD810" s="52">
        <f t="shared" si="206"/>
        <v>2</v>
      </c>
      <c r="AE810" t="str">
        <f t="shared" si="210"/>
        <v/>
      </c>
      <c r="AF810" t="str">
        <f t="shared" si="211"/>
        <v/>
      </c>
      <c r="AG810" t="str">
        <f t="shared" si="212"/>
        <v/>
      </c>
      <c r="AH810" t="str">
        <f t="shared" si="213"/>
        <v/>
      </c>
      <c r="AI810" t="str">
        <f t="shared" si="214"/>
        <v/>
      </c>
      <c r="AJ810" t="str">
        <f t="shared" si="215"/>
        <v/>
      </c>
      <c r="AK810" t="str">
        <f t="shared" si="216"/>
        <v/>
      </c>
      <c r="AL810" t="str">
        <f t="shared" si="217"/>
        <v/>
      </c>
      <c r="AN810" t="str">
        <f>IFERROR(ROUND(L810*(G810/$AW810)/VLOOKUP(F810,商品!$A$4:$D$67,4,FALSE),0),"")</f>
        <v/>
      </c>
      <c r="AO810" t="str">
        <f>IFERROR(ROUND(L810*(I810/$AW810)/VLOOKUP(H810,商品!$A$4:$D$67,4,FALSE),0),"")</f>
        <v/>
      </c>
      <c r="AP810" t="str">
        <f>IFERROR(ROUND(L810*(K810/$AW810)/VLOOKUP(J810,商品!$A$4:$D$67,4,FALSE),0),"")</f>
        <v/>
      </c>
      <c r="AQ810" t="str">
        <f>IFERROR(ROUND(S810*(N810/$AX810)/VLOOKUP(M810,职业!$A$3:$E$16,4,FALSE),0),"")</f>
        <v/>
      </c>
      <c r="AR810" t="str">
        <f>IFERROR(ROUND(S810*(P810/$AX810)/VLOOKUP(O810,职业!$A$3:$E$16,4,FALSE),0),"")</f>
        <v/>
      </c>
      <c r="AS810" t="str">
        <f>IFERROR(ROUND(S810*(R810/$AX810)/VLOOKUP(Q810,职业!$A$3:$E$16,4,FALSE),0),"")</f>
        <v/>
      </c>
      <c r="AT810" t="str">
        <f>IFERROR(ROUND(X810*(U810/$AY810)/VLOOKUP(T810,商品!$A$4:$D$67,4,FALSE),0),"")</f>
        <v/>
      </c>
      <c r="AU810" t="str">
        <f>IFERROR(ROUND(X810*(W810/$AY810)/VLOOKUP(V810,商品!$A$4:$D$67,4,FALSE),0),"")</f>
        <v/>
      </c>
      <c r="AW810">
        <f t="shared" si="218"/>
        <v>0</v>
      </c>
      <c r="AX810">
        <f t="shared" si="219"/>
        <v>0</v>
      </c>
      <c r="AY810">
        <f t="shared" si="220"/>
        <v>0</v>
      </c>
    </row>
    <row r="811" customHeight="1" spans="1:51">
      <c r="A811" s="18" t="s">
        <v>434</v>
      </c>
      <c r="C811" s="18">
        <v>3</v>
      </c>
      <c r="D811" s="1" t="s">
        <v>291</v>
      </c>
      <c r="E811" s="1" t="s">
        <v>225</v>
      </c>
      <c r="L811" s="18">
        <f>IFERROR(VLOOKUP($D811&amp;$C811,生产方式定位!$A$2:$E$38,2,FALSE)+VLOOKUP($E811&amp;$C811,生产方式定位!$F$3:$J$38,2,FALSE),0)</f>
        <v>0</v>
      </c>
      <c r="S811" s="18">
        <f>IFERROR(VLOOKUP($D811&amp;$C811,生产方式定位!$A$2:$E$38,3,FALSE)+VLOOKUP($E811&amp;$C811,生产方式定位!$F$3:$J$38,3,FALSE),0)</f>
        <v>100</v>
      </c>
      <c r="X811" s="18">
        <f>IFERROR(VLOOKUP($D811&amp;$C811,生产方式定位!$A$2:$E$38,5,FALSE)+VLOOKUP($E811&amp;$C811,生产方式定位!$F$3:$J$38,5,FALSE),"错误")</f>
        <v>100</v>
      </c>
      <c r="Y811" s="27" t="str">
        <f t="shared" si="204"/>
        <v/>
      </c>
      <c r="Z811" s="50" t="str">
        <f t="shared" si="207"/>
        <v/>
      </c>
      <c r="AA811" s="50" t="str">
        <f t="shared" si="205"/>
        <v/>
      </c>
      <c r="AB811" s="28" t="str">
        <f t="shared" si="208"/>
        <v/>
      </c>
      <c r="AC811" s="1" t="str">
        <f t="shared" si="209"/>
        <v/>
      </c>
      <c r="AD811" s="52">
        <f t="shared" si="206"/>
        <v>3</v>
      </c>
      <c r="AE811" t="str">
        <f t="shared" si="210"/>
        <v/>
      </c>
      <c r="AF811" t="str">
        <f t="shared" si="211"/>
        <v/>
      </c>
      <c r="AG811" t="str">
        <f t="shared" si="212"/>
        <v/>
      </c>
      <c r="AH811" t="str">
        <f t="shared" si="213"/>
        <v/>
      </c>
      <c r="AI811" t="str">
        <f t="shared" si="214"/>
        <v/>
      </c>
      <c r="AJ811" t="str">
        <f t="shared" si="215"/>
        <v/>
      </c>
      <c r="AK811" t="str">
        <f t="shared" si="216"/>
        <v/>
      </c>
      <c r="AL811" t="str">
        <f t="shared" si="217"/>
        <v/>
      </c>
      <c r="AN811" t="str">
        <f>IFERROR(ROUND(L811*(G811/$AW811)/VLOOKUP(F811,商品!$A$4:$D$67,4,FALSE),0),"")</f>
        <v/>
      </c>
      <c r="AO811" t="str">
        <f>IFERROR(ROUND(L811*(I811/$AW811)/VLOOKUP(H811,商品!$A$4:$D$67,4,FALSE),0),"")</f>
        <v/>
      </c>
      <c r="AP811" t="str">
        <f>IFERROR(ROUND(L811*(K811/$AW811)/VLOOKUP(J811,商品!$A$4:$D$67,4,FALSE),0),"")</f>
        <v/>
      </c>
      <c r="AQ811" t="str">
        <f>IFERROR(ROUND(S811*(N811/$AX811)/VLOOKUP(M811,职业!$A$3:$E$16,4,FALSE),0),"")</f>
        <v/>
      </c>
      <c r="AR811" t="str">
        <f>IFERROR(ROUND(S811*(P811/$AX811)/VLOOKUP(O811,职业!$A$3:$E$16,4,FALSE),0),"")</f>
        <v/>
      </c>
      <c r="AS811" t="str">
        <f>IFERROR(ROUND(S811*(R811/$AX811)/VLOOKUP(Q811,职业!$A$3:$E$16,4,FALSE),0),"")</f>
        <v/>
      </c>
      <c r="AT811" t="str">
        <f>IFERROR(ROUND(X811*(U811/$AY811)/VLOOKUP(T811,商品!$A$4:$D$67,4,FALSE),0),"")</f>
        <v/>
      </c>
      <c r="AU811" t="str">
        <f>IFERROR(ROUND(X811*(W811/$AY811)/VLOOKUP(V811,商品!$A$4:$D$67,4,FALSE),0),"")</f>
        <v/>
      </c>
      <c r="AW811">
        <f t="shared" si="218"/>
        <v>0</v>
      </c>
      <c r="AX811">
        <f t="shared" si="219"/>
        <v>0</v>
      </c>
      <c r="AY811">
        <f t="shared" si="220"/>
        <v>0</v>
      </c>
    </row>
    <row r="812" customHeight="1" spans="1:51">
      <c r="A812" s="18" t="s">
        <v>434</v>
      </c>
      <c r="C812" s="18">
        <v>4</v>
      </c>
      <c r="D812" s="1" t="s">
        <v>291</v>
      </c>
      <c r="E812" s="1" t="s">
        <v>225</v>
      </c>
      <c r="L812" s="18">
        <f>IFERROR(VLOOKUP($D812&amp;$C812,生产方式定位!$A$2:$E$38,2,FALSE)+VLOOKUP($E812&amp;$C812,生产方式定位!$F$3:$J$38,2,FALSE),0)</f>
        <v>0</v>
      </c>
      <c r="S812" s="18">
        <f>IFERROR(VLOOKUP($D812&amp;$C812,生产方式定位!$A$2:$E$38,3,FALSE)+VLOOKUP($E812&amp;$C812,生产方式定位!$F$3:$J$38,3,FALSE),0)</f>
        <v>100</v>
      </c>
      <c r="X812" s="18">
        <f>IFERROR(VLOOKUP($D812&amp;$C812,生产方式定位!$A$2:$E$38,5,FALSE)+VLOOKUP($E812&amp;$C812,生产方式定位!$F$3:$J$38,5,FALSE),"错误")</f>
        <v>100</v>
      </c>
      <c r="Y812" s="27" t="str">
        <f t="shared" si="204"/>
        <v/>
      </c>
      <c r="Z812" s="50" t="str">
        <f t="shared" si="207"/>
        <v/>
      </c>
      <c r="AA812" s="50" t="str">
        <f t="shared" si="205"/>
        <v/>
      </c>
      <c r="AB812" s="28" t="str">
        <f t="shared" si="208"/>
        <v/>
      </c>
      <c r="AC812" s="1" t="str">
        <f t="shared" si="209"/>
        <v/>
      </c>
      <c r="AD812" s="52">
        <f t="shared" si="206"/>
        <v>4</v>
      </c>
      <c r="AE812" t="str">
        <f t="shared" si="210"/>
        <v/>
      </c>
      <c r="AF812" t="str">
        <f t="shared" si="211"/>
        <v/>
      </c>
      <c r="AG812" t="str">
        <f t="shared" si="212"/>
        <v/>
      </c>
      <c r="AH812" t="str">
        <f t="shared" si="213"/>
        <v/>
      </c>
      <c r="AI812" t="str">
        <f t="shared" si="214"/>
        <v/>
      </c>
      <c r="AJ812" t="str">
        <f t="shared" si="215"/>
        <v/>
      </c>
      <c r="AK812" t="str">
        <f t="shared" si="216"/>
        <v/>
      </c>
      <c r="AL812" t="str">
        <f t="shared" si="217"/>
        <v/>
      </c>
      <c r="AN812" t="str">
        <f>IFERROR(ROUND(L812*(G812/$AW812)/VLOOKUP(F812,商品!$A$4:$D$67,4,FALSE),0),"")</f>
        <v/>
      </c>
      <c r="AO812" t="str">
        <f>IFERROR(ROUND(L812*(I812/$AW812)/VLOOKUP(H812,商品!$A$4:$D$67,4,FALSE),0),"")</f>
        <v/>
      </c>
      <c r="AP812" t="str">
        <f>IFERROR(ROUND(L812*(K812/$AW812)/VLOOKUP(J812,商品!$A$4:$D$67,4,FALSE),0),"")</f>
        <v/>
      </c>
      <c r="AQ812" t="str">
        <f>IFERROR(ROUND(S812*(N812/$AX812)/VLOOKUP(M812,职业!$A$3:$E$16,4,FALSE),0),"")</f>
        <v/>
      </c>
      <c r="AR812" t="str">
        <f>IFERROR(ROUND(S812*(P812/$AX812)/VLOOKUP(O812,职业!$A$3:$E$16,4,FALSE),0),"")</f>
        <v/>
      </c>
      <c r="AS812" t="str">
        <f>IFERROR(ROUND(S812*(R812/$AX812)/VLOOKUP(Q812,职业!$A$3:$E$16,4,FALSE),0),"")</f>
        <v/>
      </c>
      <c r="AT812" t="str">
        <f>IFERROR(ROUND(X812*(U812/$AY812)/VLOOKUP(T812,商品!$A$4:$D$67,4,FALSE),0),"")</f>
        <v/>
      </c>
      <c r="AU812" t="str">
        <f>IFERROR(ROUND(X812*(W812/$AY812)/VLOOKUP(V812,商品!$A$4:$D$67,4,FALSE),0),"")</f>
        <v/>
      </c>
      <c r="AW812">
        <f t="shared" si="218"/>
        <v>0</v>
      </c>
      <c r="AX812">
        <f t="shared" si="219"/>
        <v>0</v>
      </c>
      <c r="AY812">
        <f t="shared" si="220"/>
        <v>0</v>
      </c>
    </row>
    <row r="813" customHeight="1" spans="1:51">
      <c r="A813" s="18" t="s">
        <v>434</v>
      </c>
      <c r="C813" s="18">
        <v>5</v>
      </c>
      <c r="D813" s="1" t="s">
        <v>291</v>
      </c>
      <c r="E813" s="1" t="s">
        <v>225</v>
      </c>
      <c r="L813" s="18">
        <f>IFERROR(VLOOKUP($D813&amp;$C813,生产方式定位!$A$2:$E$38,2,FALSE)+VLOOKUP($E813&amp;$C813,生产方式定位!$F$3:$J$38,2,FALSE),0)</f>
        <v>0</v>
      </c>
      <c r="S813" s="18">
        <f>IFERROR(VLOOKUP($D813&amp;$C813,生产方式定位!$A$2:$E$38,3,FALSE)+VLOOKUP($E813&amp;$C813,生产方式定位!$F$3:$J$38,3,FALSE),0)</f>
        <v>100</v>
      </c>
      <c r="X813" s="18">
        <f>IFERROR(VLOOKUP($D813&amp;$C813,生产方式定位!$A$2:$E$38,5,FALSE)+VLOOKUP($E813&amp;$C813,生产方式定位!$F$3:$J$38,5,FALSE),"错误")</f>
        <v>100</v>
      </c>
      <c r="Y813" s="27" t="str">
        <f t="shared" si="204"/>
        <v/>
      </c>
      <c r="Z813" s="50" t="str">
        <f t="shared" si="207"/>
        <v/>
      </c>
      <c r="AA813" s="50" t="str">
        <f t="shared" si="205"/>
        <v/>
      </c>
      <c r="AB813" s="28" t="str">
        <f t="shared" si="208"/>
        <v/>
      </c>
      <c r="AC813" s="1" t="str">
        <f t="shared" si="209"/>
        <v/>
      </c>
      <c r="AD813" s="52">
        <f t="shared" si="206"/>
        <v>5</v>
      </c>
      <c r="AE813" t="str">
        <f t="shared" si="210"/>
        <v/>
      </c>
      <c r="AF813" t="str">
        <f t="shared" si="211"/>
        <v/>
      </c>
      <c r="AG813" t="str">
        <f t="shared" si="212"/>
        <v/>
      </c>
      <c r="AH813" t="str">
        <f t="shared" si="213"/>
        <v/>
      </c>
      <c r="AI813" t="str">
        <f t="shared" si="214"/>
        <v/>
      </c>
      <c r="AJ813" t="str">
        <f t="shared" si="215"/>
        <v/>
      </c>
      <c r="AK813" t="str">
        <f t="shared" si="216"/>
        <v/>
      </c>
      <c r="AL813" t="str">
        <f t="shared" si="217"/>
        <v/>
      </c>
      <c r="AN813" t="str">
        <f>IFERROR(ROUND(L813*(G813/$AW813)/VLOOKUP(F813,商品!$A$4:$D$67,4,FALSE),0),"")</f>
        <v/>
      </c>
      <c r="AO813" t="str">
        <f>IFERROR(ROUND(L813*(I813/$AW813)/VLOOKUP(H813,商品!$A$4:$D$67,4,FALSE),0),"")</f>
        <v/>
      </c>
      <c r="AP813" t="str">
        <f>IFERROR(ROUND(L813*(K813/$AW813)/VLOOKUP(J813,商品!$A$4:$D$67,4,FALSE),0),"")</f>
        <v/>
      </c>
      <c r="AQ813" t="str">
        <f>IFERROR(ROUND(S813*(N813/$AX813)/VLOOKUP(M813,职业!$A$3:$E$16,4,FALSE),0),"")</f>
        <v/>
      </c>
      <c r="AR813" t="str">
        <f>IFERROR(ROUND(S813*(P813/$AX813)/VLOOKUP(O813,职业!$A$3:$E$16,4,FALSE),0),"")</f>
        <v/>
      </c>
      <c r="AS813" t="str">
        <f>IFERROR(ROUND(S813*(R813/$AX813)/VLOOKUP(Q813,职业!$A$3:$E$16,4,FALSE),0),"")</f>
        <v/>
      </c>
      <c r="AT813" t="str">
        <f>IFERROR(ROUND(X813*(U813/$AY813)/VLOOKUP(T813,商品!$A$4:$D$67,4,FALSE),0),"")</f>
        <v/>
      </c>
      <c r="AU813" t="str">
        <f>IFERROR(ROUND(X813*(W813/$AY813)/VLOOKUP(V813,商品!$A$4:$D$67,4,FALSE),0),"")</f>
        <v/>
      </c>
      <c r="AW813">
        <f t="shared" si="218"/>
        <v>0</v>
      </c>
      <c r="AX813">
        <f t="shared" si="219"/>
        <v>0</v>
      </c>
      <c r="AY813">
        <f t="shared" si="220"/>
        <v>0</v>
      </c>
    </row>
    <row r="814" customHeight="1" spans="1:51">
      <c r="A814" s="18" t="s">
        <v>434</v>
      </c>
      <c r="C814" s="18">
        <v>6</v>
      </c>
      <c r="D814" s="1" t="s">
        <v>291</v>
      </c>
      <c r="E814" s="1" t="s">
        <v>225</v>
      </c>
      <c r="L814" s="18">
        <f>IFERROR(VLOOKUP($D814&amp;$C814,生产方式定位!$A$2:$E$38,2,FALSE)+VLOOKUP($E814&amp;$C814,生产方式定位!$F$3:$J$38,2,FALSE),0)</f>
        <v>0</v>
      </c>
      <c r="S814" s="18">
        <f>IFERROR(VLOOKUP($D814&amp;$C814,生产方式定位!$A$2:$E$38,3,FALSE)+VLOOKUP($E814&amp;$C814,生产方式定位!$F$3:$J$38,3,FALSE),0)</f>
        <v>100</v>
      </c>
      <c r="X814" s="18">
        <f>IFERROR(VLOOKUP($D814&amp;$C814,生产方式定位!$A$2:$E$38,5,FALSE)+VLOOKUP($E814&amp;$C814,生产方式定位!$F$3:$J$38,5,FALSE),"错误")</f>
        <v>100</v>
      </c>
      <c r="Y814" s="27" t="str">
        <f t="shared" si="204"/>
        <v/>
      </c>
      <c r="Z814" s="50" t="str">
        <f t="shared" si="207"/>
        <v/>
      </c>
      <c r="AA814" s="50" t="str">
        <f t="shared" si="205"/>
        <v/>
      </c>
      <c r="AB814" s="28" t="str">
        <f t="shared" si="208"/>
        <v/>
      </c>
      <c r="AC814" s="1" t="str">
        <f t="shared" si="209"/>
        <v/>
      </c>
      <c r="AD814" s="52">
        <f t="shared" si="206"/>
        <v>6</v>
      </c>
      <c r="AE814" t="str">
        <f t="shared" si="210"/>
        <v/>
      </c>
      <c r="AF814" t="str">
        <f t="shared" si="211"/>
        <v/>
      </c>
      <c r="AG814" t="str">
        <f t="shared" si="212"/>
        <v/>
      </c>
      <c r="AH814" t="str">
        <f t="shared" si="213"/>
        <v/>
      </c>
      <c r="AI814" t="str">
        <f t="shared" si="214"/>
        <v/>
      </c>
      <c r="AJ814" t="str">
        <f t="shared" si="215"/>
        <v/>
      </c>
      <c r="AK814" t="str">
        <f t="shared" si="216"/>
        <v/>
      </c>
      <c r="AL814" t="str">
        <f t="shared" si="217"/>
        <v/>
      </c>
      <c r="AN814" t="str">
        <f>IFERROR(ROUND(L814*(G814/$AW814)/VLOOKUP(F814,商品!$A$4:$D$67,4,FALSE),0),"")</f>
        <v/>
      </c>
      <c r="AO814" t="str">
        <f>IFERROR(ROUND(L814*(I814/$AW814)/VLOOKUP(H814,商品!$A$4:$D$67,4,FALSE),0),"")</f>
        <v/>
      </c>
      <c r="AP814" t="str">
        <f>IFERROR(ROUND(L814*(K814/$AW814)/VLOOKUP(J814,商品!$A$4:$D$67,4,FALSE),0),"")</f>
        <v/>
      </c>
      <c r="AQ814" t="str">
        <f>IFERROR(ROUND(S814*(N814/$AX814)/VLOOKUP(M814,职业!$A$3:$E$16,4,FALSE),0),"")</f>
        <v/>
      </c>
      <c r="AR814" t="str">
        <f>IFERROR(ROUND(S814*(P814/$AX814)/VLOOKUP(O814,职业!$A$3:$E$16,4,FALSE),0),"")</f>
        <v/>
      </c>
      <c r="AS814" t="str">
        <f>IFERROR(ROUND(S814*(R814/$AX814)/VLOOKUP(Q814,职业!$A$3:$E$16,4,FALSE),0),"")</f>
        <v/>
      </c>
      <c r="AT814" t="str">
        <f>IFERROR(ROUND(X814*(U814/$AY814)/VLOOKUP(T814,商品!$A$4:$D$67,4,FALSE),0),"")</f>
        <v/>
      </c>
      <c r="AU814" t="str">
        <f>IFERROR(ROUND(X814*(W814/$AY814)/VLOOKUP(V814,商品!$A$4:$D$67,4,FALSE),0),"")</f>
        <v/>
      </c>
      <c r="AW814">
        <f t="shared" si="218"/>
        <v>0</v>
      </c>
      <c r="AX814">
        <f t="shared" si="219"/>
        <v>0</v>
      </c>
      <c r="AY814">
        <f t="shared" si="220"/>
        <v>0</v>
      </c>
    </row>
    <row r="815" customHeight="1" spans="1:51">
      <c r="A815" s="18" t="s">
        <v>434</v>
      </c>
      <c r="C815" s="18">
        <v>7</v>
      </c>
      <c r="D815" s="1" t="s">
        <v>291</v>
      </c>
      <c r="E815" s="1" t="s">
        <v>225</v>
      </c>
      <c r="L815" s="18">
        <f>IFERROR(VLOOKUP($D815&amp;$C815,生产方式定位!$A$2:$E$38,2,FALSE)+VLOOKUP($E815&amp;$C815,生产方式定位!$F$3:$J$38,2,FALSE),0)</f>
        <v>0</v>
      </c>
      <c r="S815" s="18">
        <f>IFERROR(VLOOKUP($D815&amp;$C815,生产方式定位!$A$2:$E$38,3,FALSE)+VLOOKUP($E815&amp;$C815,生产方式定位!$F$3:$J$38,3,FALSE),0)</f>
        <v>100</v>
      </c>
      <c r="X815" s="18">
        <f>IFERROR(VLOOKUP($D815&amp;$C815,生产方式定位!$A$2:$E$38,5,FALSE)+VLOOKUP($E815&amp;$C815,生产方式定位!$F$3:$J$38,5,FALSE),"错误")</f>
        <v>100</v>
      </c>
      <c r="Y815" s="27" t="str">
        <f t="shared" si="204"/>
        <v/>
      </c>
      <c r="Z815" s="50" t="str">
        <f t="shared" si="207"/>
        <v/>
      </c>
      <c r="AA815" s="50" t="str">
        <f t="shared" si="205"/>
        <v/>
      </c>
      <c r="AB815" s="28" t="str">
        <f t="shared" si="208"/>
        <v/>
      </c>
      <c r="AC815" s="1" t="str">
        <f t="shared" si="209"/>
        <v/>
      </c>
      <c r="AD815" s="52">
        <f t="shared" si="206"/>
        <v>7</v>
      </c>
      <c r="AE815" t="str">
        <f t="shared" si="210"/>
        <v/>
      </c>
      <c r="AF815" t="str">
        <f t="shared" si="211"/>
        <v/>
      </c>
      <c r="AG815" t="str">
        <f t="shared" si="212"/>
        <v/>
      </c>
      <c r="AH815" t="str">
        <f t="shared" si="213"/>
        <v/>
      </c>
      <c r="AI815" t="str">
        <f t="shared" si="214"/>
        <v/>
      </c>
      <c r="AJ815" t="str">
        <f t="shared" si="215"/>
        <v/>
      </c>
      <c r="AK815" t="str">
        <f t="shared" si="216"/>
        <v/>
      </c>
      <c r="AL815" t="str">
        <f t="shared" si="217"/>
        <v/>
      </c>
      <c r="AN815" t="str">
        <f>IFERROR(ROUND(L815*(G815/$AW815)/VLOOKUP(F815,商品!$A$4:$D$67,4,FALSE),0),"")</f>
        <v/>
      </c>
      <c r="AO815" t="str">
        <f>IFERROR(ROUND(L815*(I815/$AW815)/VLOOKUP(H815,商品!$A$4:$D$67,4,FALSE),0),"")</f>
        <v/>
      </c>
      <c r="AP815" t="str">
        <f>IFERROR(ROUND(L815*(K815/$AW815)/VLOOKUP(J815,商品!$A$4:$D$67,4,FALSE),0),"")</f>
        <v/>
      </c>
      <c r="AQ815" t="str">
        <f>IFERROR(ROUND(S815*(N815/$AX815)/VLOOKUP(M815,职业!$A$3:$E$16,4,FALSE),0),"")</f>
        <v/>
      </c>
      <c r="AR815" t="str">
        <f>IFERROR(ROUND(S815*(P815/$AX815)/VLOOKUP(O815,职业!$A$3:$E$16,4,FALSE),0),"")</f>
        <v/>
      </c>
      <c r="AS815" t="str">
        <f>IFERROR(ROUND(S815*(R815/$AX815)/VLOOKUP(Q815,职业!$A$3:$E$16,4,FALSE),0),"")</f>
        <v/>
      </c>
      <c r="AT815" t="str">
        <f>IFERROR(ROUND(X815*(U815/$AY815)/VLOOKUP(T815,商品!$A$4:$D$67,4,FALSE),0),"")</f>
        <v/>
      </c>
      <c r="AU815" t="str">
        <f>IFERROR(ROUND(X815*(W815/$AY815)/VLOOKUP(V815,商品!$A$4:$D$67,4,FALSE),0),"")</f>
        <v/>
      </c>
      <c r="AW815">
        <f t="shared" si="218"/>
        <v>0</v>
      </c>
      <c r="AX815">
        <f t="shared" si="219"/>
        <v>0</v>
      </c>
      <c r="AY815">
        <f t="shared" si="220"/>
        <v>0</v>
      </c>
    </row>
    <row r="816" customHeight="1" spans="1:51">
      <c r="A816" s="18" t="s">
        <v>434</v>
      </c>
      <c r="C816" s="18">
        <v>8</v>
      </c>
      <c r="D816" s="1" t="s">
        <v>291</v>
      </c>
      <c r="E816" s="1" t="s">
        <v>225</v>
      </c>
      <c r="L816" s="18">
        <f>IFERROR(VLOOKUP($D816&amp;$C816,生产方式定位!$A$2:$E$38,2,FALSE)+VLOOKUP($E816&amp;$C816,生产方式定位!$F$3:$J$38,2,FALSE),0)</f>
        <v>0</v>
      </c>
      <c r="S816" s="18">
        <f>IFERROR(VLOOKUP($D816&amp;$C816,生产方式定位!$A$2:$E$38,3,FALSE)+VLOOKUP($E816&amp;$C816,生产方式定位!$F$3:$J$38,3,FALSE),0)</f>
        <v>100</v>
      </c>
      <c r="X816" s="18">
        <f>IFERROR(VLOOKUP($D816&amp;$C816,生产方式定位!$A$2:$E$38,5,FALSE)+VLOOKUP($E816&amp;$C816,生产方式定位!$F$3:$J$38,5,FALSE),"错误")</f>
        <v>100</v>
      </c>
      <c r="Y816" s="27" t="str">
        <f t="shared" si="204"/>
        <v/>
      </c>
      <c r="Z816" s="50" t="str">
        <f t="shared" si="207"/>
        <v/>
      </c>
      <c r="AA816" s="50" t="str">
        <f t="shared" si="205"/>
        <v/>
      </c>
      <c r="AB816" s="28" t="str">
        <f t="shared" si="208"/>
        <v/>
      </c>
      <c r="AC816" s="1" t="str">
        <f t="shared" si="209"/>
        <v/>
      </c>
      <c r="AD816" s="52">
        <f t="shared" si="206"/>
        <v>8</v>
      </c>
      <c r="AE816" t="str">
        <f t="shared" si="210"/>
        <v/>
      </c>
      <c r="AF816" t="str">
        <f t="shared" si="211"/>
        <v/>
      </c>
      <c r="AG816" t="str">
        <f t="shared" si="212"/>
        <v/>
      </c>
      <c r="AH816" t="str">
        <f t="shared" si="213"/>
        <v/>
      </c>
      <c r="AI816" t="str">
        <f t="shared" si="214"/>
        <v/>
      </c>
      <c r="AJ816" t="str">
        <f t="shared" si="215"/>
        <v/>
      </c>
      <c r="AK816" t="str">
        <f t="shared" si="216"/>
        <v/>
      </c>
      <c r="AL816" t="str">
        <f t="shared" si="217"/>
        <v/>
      </c>
      <c r="AN816" t="str">
        <f>IFERROR(ROUND(L816*(G816/$AW816)/VLOOKUP(F816,商品!$A$4:$D$67,4,FALSE),0),"")</f>
        <v/>
      </c>
      <c r="AO816" t="str">
        <f>IFERROR(ROUND(L816*(I816/$AW816)/VLOOKUP(H816,商品!$A$4:$D$67,4,FALSE),0),"")</f>
        <v/>
      </c>
      <c r="AP816" t="str">
        <f>IFERROR(ROUND(L816*(K816/$AW816)/VLOOKUP(J816,商品!$A$4:$D$67,4,FALSE),0),"")</f>
        <v/>
      </c>
      <c r="AQ816" t="str">
        <f>IFERROR(ROUND(S816*(N816/$AX816)/VLOOKUP(M816,职业!$A$3:$E$16,4,FALSE),0),"")</f>
        <v/>
      </c>
      <c r="AR816" t="str">
        <f>IFERROR(ROUND(S816*(P816/$AX816)/VLOOKUP(O816,职业!$A$3:$E$16,4,FALSE),0),"")</f>
        <v/>
      </c>
      <c r="AS816" t="str">
        <f>IFERROR(ROUND(S816*(R816/$AX816)/VLOOKUP(Q816,职业!$A$3:$E$16,4,FALSE),0),"")</f>
        <v/>
      </c>
      <c r="AT816" t="str">
        <f>IFERROR(ROUND(X816*(U816/$AY816)/VLOOKUP(T816,商品!$A$4:$D$67,4,FALSE),0),"")</f>
        <v/>
      </c>
      <c r="AU816" t="str">
        <f>IFERROR(ROUND(X816*(W816/$AY816)/VLOOKUP(V816,商品!$A$4:$D$67,4,FALSE),0),"")</f>
        <v/>
      </c>
      <c r="AW816">
        <f t="shared" si="218"/>
        <v>0</v>
      </c>
      <c r="AX816">
        <f t="shared" si="219"/>
        <v>0</v>
      </c>
      <c r="AY816">
        <f t="shared" si="220"/>
        <v>0</v>
      </c>
    </row>
    <row r="817" customHeight="1" spans="1:51">
      <c r="A817" s="5" t="s">
        <v>436</v>
      </c>
      <c r="C817" s="5">
        <v>1</v>
      </c>
      <c r="D817" s="1" t="s">
        <v>220</v>
      </c>
      <c r="E817" s="1" t="s">
        <v>222</v>
      </c>
      <c r="L817" s="5">
        <f>IFERROR(VLOOKUP($D817&amp;$C817,生产方式定位!$A$2:$E$38,2,FALSE)+VLOOKUP($E817&amp;$C817,生产方式定位!$F$3:$J$38,2,FALSE),0)</f>
        <v>500</v>
      </c>
      <c r="S817" s="5">
        <f>IFERROR(VLOOKUP($D817&amp;$C817,生产方式定位!$A$2:$E$38,3,FALSE)+VLOOKUP($E817&amp;$C817,生产方式定位!$F$3:$J$38,3,FALSE),0)</f>
        <v>150</v>
      </c>
      <c r="X817" s="5">
        <f>IFERROR(VLOOKUP($D817&amp;$C817,生产方式定位!$A$2:$E$38,5,FALSE)+VLOOKUP($E817&amp;$C817,生产方式定位!$F$3:$J$38,5,FALSE),"错误")</f>
        <v>715</v>
      </c>
      <c r="Y817" s="27" t="str">
        <f t="shared" si="204"/>
        <v/>
      </c>
      <c r="Z817" s="50" t="str">
        <f t="shared" si="207"/>
        <v/>
      </c>
      <c r="AA817" s="50" t="str">
        <f t="shared" si="205"/>
        <v/>
      </c>
      <c r="AB817" s="28" t="str">
        <f t="shared" si="208"/>
        <v>43%</v>
      </c>
      <c r="AC817" s="1">
        <f t="shared" si="209"/>
        <v>65</v>
      </c>
      <c r="AD817" s="51">
        <f t="shared" si="206"/>
        <v>1</v>
      </c>
      <c r="AE817" t="str">
        <f t="shared" si="210"/>
        <v/>
      </c>
      <c r="AF817" t="str">
        <f t="shared" si="211"/>
        <v/>
      </c>
      <c r="AG817" t="str">
        <f t="shared" si="212"/>
        <v/>
      </c>
      <c r="AH817" t="str">
        <f t="shared" si="213"/>
        <v/>
      </c>
      <c r="AI817" t="str">
        <f t="shared" si="214"/>
        <v/>
      </c>
      <c r="AJ817" t="str">
        <f t="shared" si="215"/>
        <v/>
      </c>
      <c r="AK817" t="str">
        <f t="shared" si="216"/>
        <v/>
      </c>
      <c r="AL817" t="str">
        <f t="shared" si="217"/>
        <v/>
      </c>
      <c r="AN817" t="str">
        <f>IFERROR(ROUND(L817*(G817/$AW817)/VLOOKUP(F817,商品!$A$4:$D$67,4,FALSE),0),"")</f>
        <v/>
      </c>
      <c r="AO817" t="str">
        <f>IFERROR(ROUND(L817*(I817/$AW817)/VLOOKUP(H817,商品!$A$4:$D$67,4,FALSE),0),"")</f>
        <v/>
      </c>
      <c r="AP817" t="str">
        <f>IFERROR(ROUND(L817*(K817/$AW817)/VLOOKUP(J817,商品!$A$4:$D$67,4,FALSE),0),"")</f>
        <v/>
      </c>
      <c r="AQ817" t="str">
        <f>IFERROR(ROUND(S817*(N817/$AX817)/VLOOKUP(M817,职业!$A$3:$E$16,4,FALSE),0),"")</f>
        <v/>
      </c>
      <c r="AR817" t="str">
        <f>IFERROR(ROUND(S817*(P817/$AX817)/VLOOKUP(O817,职业!$A$3:$E$16,4,FALSE),0),"")</f>
        <v/>
      </c>
      <c r="AS817" t="str">
        <f>IFERROR(ROUND(S817*(R817/$AX817)/VLOOKUP(Q817,职业!$A$3:$E$16,4,FALSE),0),"")</f>
        <v/>
      </c>
      <c r="AT817" t="str">
        <f>IFERROR(ROUND(X817*(U817/$AY817)/VLOOKUP(T817,商品!$A$4:$D$67,4,FALSE),0),"")</f>
        <v/>
      </c>
      <c r="AU817" t="str">
        <f>IFERROR(ROUND(X817*(W817/$AY817)/VLOOKUP(V817,商品!$A$4:$D$67,4,FALSE),0),"")</f>
        <v/>
      </c>
      <c r="AW817">
        <f t="shared" si="218"/>
        <v>0</v>
      </c>
      <c r="AX817">
        <f t="shared" si="219"/>
        <v>0</v>
      </c>
      <c r="AY817">
        <f t="shared" si="220"/>
        <v>0</v>
      </c>
    </row>
    <row r="818" customHeight="1" spans="1:51">
      <c r="A818" s="5" t="s">
        <v>436</v>
      </c>
      <c r="C818" s="5">
        <v>2</v>
      </c>
      <c r="D818" s="1" t="s">
        <v>220</v>
      </c>
      <c r="E818" s="1" t="s">
        <v>222</v>
      </c>
      <c r="L818" s="5">
        <f>IFERROR(VLOOKUP($D818&amp;$C818,生产方式定位!$A$2:$E$38,2,FALSE)+VLOOKUP($E818&amp;$C818,生产方式定位!$F$3:$J$38,2,FALSE),0)</f>
        <v>1200</v>
      </c>
      <c r="S818" s="5">
        <f>IFERROR(VLOOKUP($D818&amp;$C818,生产方式定位!$A$2:$E$38,3,FALSE)+VLOOKUP($E818&amp;$C818,生产方式定位!$F$3:$J$38,3,FALSE),0)</f>
        <v>140</v>
      </c>
      <c r="X818" s="5">
        <f>IFERROR(VLOOKUP($D818&amp;$C818,生产方式定位!$A$2:$E$38,5,FALSE)+VLOOKUP($E818&amp;$C818,生产方式定位!$F$3:$J$38,5,FALSE),"错误")</f>
        <v>1390</v>
      </c>
      <c r="Y818" s="27" t="str">
        <f t="shared" si="204"/>
        <v/>
      </c>
      <c r="Z818" s="50" t="str">
        <f t="shared" si="207"/>
        <v/>
      </c>
      <c r="AA818" s="50" t="str">
        <f t="shared" si="205"/>
        <v/>
      </c>
      <c r="AB818" s="28" t="str">
        <f t="shared" si="208"/>
        <v>16%</v>
      </c>
      <c r="AC818" s="1">
        <f t="shared" si="209"/>
        <v>50</v>
      </c>
      <c r="AD818" s="51">
        <f t="shared" si="206"/>
        <v>2</v>
      </c>
      <c r="AE818" t="str">
        <f t="shared" si="210"/>
        <v/>
      </c>
      <c r="AF818" t="str">
        <f t="shared" si="211"/>
        <v/>
      </c>
      <c r="AG818" t="str">
        <f t="shared" si="212"/>
        <v/>
      </c>
      <c r="AH818" t="str">
        <f t="shared" si="213"/>
        <v/>
      </c>
      <c r="AI818" t="str">
        <f t="shared" si="214"/>
        <v/>
      </c>
      <c r="AJ818" t="str">
        <f t="shared" si="215"/>
        <v/>
      </c>
      <c r="AK818" t="str">
        <f t="shared" si="216"/>
        <v/>
      </c>
      <c r="AL818" t="str">
        <f t="shared" si="217"/>
        <v/>
      </c>
      <c r="AN818" t="str">
        <f>IFERROR(ROUND(L818*(G818/$AW818)/VLOOKUP(F818,商品!$A$4:$D$67,4,FALSE),0),"")</f>
        <v/>
      </c>
      <c r="AO818" t="str">
        <f>IFERROR(ROUND(L818*(I818/$AW818)/VLOOKUP(H818,商品!$A$4:$D$67,4,FALSE),0),"")</f>
        <v/>
      </c>
      <c r="AP818" t="str">
        <f>IFERROR(ROUND(L818*(K818/$AW818)/VLOOKUP(J818,商品!$A$4:$D$67,4,FALSE),0),"")</f>
        <v/>
      </c>
      <c r="AQ818" t="str">
        <f>IFERROR(ROUND(S818*(N818/$AX818)/VLOOKUP(M818,职业!$A$3:$E$16,4,FALSE),0),"")</f>
        <v/>
      </c>
      <c r="AR818" t="str">
        <f>IFERROR(ROUND(S818*(P818/$AX818)/VLOOKUP(O818,职业!$A$3:$E$16,4,FALSE),0),"")</f>
        <v/>
      </c>
      <c r="AS818" t="str">
        <f>IFERROR(ROUND(S818*(R818/$AX818)/VLOOKUP(Q818,职业!$A$3:$E$16,4,FALSE),0),"")</f>
        <v/>
      </c>
      <c r="AT818" t="str">
        <f>IFERROR(ROUND(X818*(U818/$AY818)/VLOOKUP(T818,商品!$A$4:$D$67,4,FALSE),0),"")</f>
        <v/>
      </c>
      <c r="AU818" t="str">
        <f>IFERROR(ROUND(X818*(W818/$AY818)/VLOOKUP(V818,商品!$A$4:$D$67,4,FALSE),0),"")</f>
        <v/>
      </c>
      <c r="AW818">
        <f t="shared" si="218"/>
        <v>0</v>
      </c>
      <c r="AX818">
        <f t="shared" si="219"/>
        <v>0</v>
      </c>
      <c r="AY818">
        <f t="shared" si="220"/>
        <v>0</v>
      </c>
    </row>
    <row r="819" customHeight="1" spans="1:51">
      <c r="A819" s="5" t="s">
        <v>436</v>
      </c>
      <c r="C819" s="5">
        <v>3</v>
      </c>
      <c r="D819" s="1" t="s">
        <v>220</v>
      </c>
      <c r="E819" s="1" t="s">
        <v>222</v>
      </c>
      <c r="L819" s="5">
        <f>IFERROR(VLOOKUP($D819&amp;$C819,生产方式定位!$A$2:$E$38,2,FALSE)+VLOOKUP($E819&amp;$C819,生产方式定位!$F$3:$J$38,2,FALSE),0)</f>
        <v>1525</v>
      </c>
      <c r="S819" s="5">
        <f>IFERROR(VLOOKUP($D819&amp;$C819,生产方式定位!$A$2:$E$38,3,FALSE)+VLOOKUP($E819&amp;$C819,生产方式定位!$F$3:$J$38,3,FALSE),0)</f>
        <v>130</v>
      </c>
      <c r="X819" s="5">
        <f>IFERROR(VLOOKUP($D819&amp;$C819,生产方式定位!$A$2:$E$38,5,FALSE)+VLOOKUP($E819&amp;$C819,生产方式定位!$F$3:$J$38,5,FALSE),"错误")</f>
        <v>1718</v>
      </c>
      <c r="Y819" s="27" t="str">
        <f t="shared" si="204"/>
        <v/>
      </c>
      <c r="Z819" s="50" t="str">
        <f t="shared" si="207"/>
        <v/>
      </c>
      <c r="AA819" s="50" t="str">
        <f t="shared" si="205"/>
        <v/>
      </c>
      <c r="AB819" s="28" t="str">
        <f t="shared" si="208"/>
        <v>13%</v>
      </c>
      <c r="AC819" s="1">
        <f t="shared" si="209"/>
        <v>63</v>
      </c>
      <c r="AD819" s="51">
        <f t="shared" si="206"/>
        <v>3</v>
      </c>
      <c r="AE819" t="str">
        <f t="shared" si="210"/>
        <v/>
      </c>
      <c r="AF819" t="str">
        <f t="shared" si="211"/>
        <v/>
      </c>
      <c r="AG819" t="str">
        <f t="shared" si="212"/>
        <v/>
      </c>
      <c r="AH819" t="str">
        <f t="shared" si="213"/>
        <v/>
      </c>
      <c r="AI819" t="str">
        <f t="shared" si="214"/>
        <v/>
      </c>
      <c r="AJ819" t="str">
        <f t="shared" si="215"/>
        <v/>
      </c>
      <c r="AK819" t="str">
        <f t="shared" si="216"/>
        <v/>
      </c>
      <c r="AL819" t="str">
        <f t="shared" si="217"/>
        <v/>
      </c>
      <c r="AN819" t="str">
        <f>IFERROR(ROUND(L819*(G819/$AW819)/VLOOKUP(F819,商品!$A$4:$D$67,4,FALSE),0),"")</f>
        <v/>
      </c>
      <c r="AO819" t="str">
        <f>IFERROR(ROUND(L819*(I819/$AW819)/VLOOKUP(H819,商品!$A$4:$D$67,4,FALSE),0),"")</f>
        <v/>
      </c>
      <c r="AP819" t="str">
        <f>IFERROR(ROUND(L819*(K819/$AW819)/VLOOKUP(J819,商品!$A$4:$D$67,4,FALSE),0),"")</f>
        <v/>
      </c>
      <c r="AQ819" t="str">
        <f>IFERROR(ROUND(S819*(N819/$AX819)/VLOOKUP(M819,职业!$A$3:$E$16,4,FALSE),0),"")</f>
        <v/>
      </c>
      <c r="AR819" t="str">
        <f>IFERROR(ROUND(S819*(P819/$AX819)/VLOOKUP(O819,职业!$A$3:$E$16,4,FALSE),0),"")</f>
        <v/>
      </c>
      <c r="AS819" t="str">
        <f>IFERROR(ROUND(S819*(R819/$AX819)/VLOOKUP(Q819,职业!$A$3:$E$16,4,FALSE),0),"")</f>
        <v/>
      </c>
      <c r="AT819" t="str">
        <f>IFERROR(ROUND(X819*(U819/$AY819)/VLOOKUP(T819,商品!$A$4:$D$67,4,FALSE),0),"")</f>
        <v/>
      </c>
      <c r="AU819" t="str">
        <f>IFERROR(ROUND(X819*(W819/$AY819)/VLOOKUP(V819,商品!$A$4:$D$67,4,FALSE),0),"")</f>
        <v/>
      </c>
      <c r="AW819">
        <f t="shared" si="218"/>
        <v>0</v>
      </c>
      <c r="AX819">
        <f t="shared" si="219"/>
        <v>0</v>
      </c>
      <c r="AY819">
        <f t="shared" si="220"/>
        <v>0</v>
      </c>
    </row>
    <row r="820" customHeight="1" spans="1:51">
      <c r="A820" s="5" t="s">
        <v>436</v>
      </c>
      <c r="C820" s="5">
        <v>4</v>
      </c>
      <c r="D820" s="1" t="s">
        <v>220</v>
      </c>
      <c r="E820" s="1" t="s">
        <v>222</v>
      </c>
      <c r="L820" s="5">
        <f>IFERROR(VLOOKUP($D820&amp;$C820,生产方式定位!$A$2:$E$38,2,FALSE)+VLOOKUP($E820&amp;$C820,生产方式定位!$F$3:$J$38,2,FALSE),0)</f>
        <v>1850</v>
      </c>
      <c r="S820" s="5">
        <f>IFERROR(VLOOKUP($D820&amp;$C820,生产方式定位!$A$2:$E$38,3,FALSE)+VLOOKUP($E820&amp;$C820,生产方式定位!$F$3:$J$38,3,FALSE),0)</f>
        <v>120</v>
      </c>
      <c r="X820" s="5">
        <f>IFERROR(VLOOKUP($D820&amp;$C820,生产方式定位!$A$2:$E$38,5,FALSE)+VLOOKUP($E820&amp;$C820,生产方式定位!$F$3:$J$38,5,FALSE),"错误")</f>
        <v>2045</v>
      </c>
      <c r="Y820" s="27" t="str">
        <f t="shared" si="204"/>
        <v/>
      </c>
      <c r="Z820" s="50" t="str">
        <f t="shared" si="207"/>
        <v/>
      </c>
      <c r="AA820" s="50" t="str">
        <f t="shared" si="205"/>
        <v/>
      </c>
      <c r="AB820" s="28" t="str">
        <f t="shared" si="208"/>
        <v>11%</v>
      </c>
      <c r="AC820" s="1">
        <f t="shared" si="209"/>
        <v>75</v>
      </c>
      <c r="AD820" s="51">
        <f t="shared" si="206"/>
        <v>4</v>
      </c>
      <c r="AE820" t="str">
        <f t="shared" si="210"/>
        <v/>
      </c>
      <c r="AF820" t="str">
        <f t="shared" si="211"/>
        <v/>
      </c>
      <c r="AG820" t="str">
        <f t="shared" si="212"/>
        <v/>
      </c>
      <c r="AH820" t="str">
        <f t="shared" si="213"/>
        <v/>
      </c>
      <c r="AI820" t="str">
        <f t="shared" si="214"/>
        <v/>
      </c>
      <c r="AJ820" t="str">
        <f t="shared" si="215"/>
        <v/>
      </c>
      <c r="AK820" t="str">
        <f t="shared" si="216"/>
        <v/>
      </c>
      <c r="AL820" t="str">
        <f t="shared" si="217"/>
        <v/>
      </c>
      <c r="AN820" t="str">
        <f>IFERROR(ROUND(L820*(G820/$AW820)/VLOOKUP(F820,商品!$A$4:$D$67,4,FALSE),0),"")</f>
        <v/>
      </c>
      <c r="AO820" t="str">
        <f>IFERROR(ROUND(L820*(I820/$AW820)/VLOOKUP(H820,商品!$A$4:$D$67,4,FALSE),0),"")</f>
        <v/>
      </c>
      <c r="AP820" t="str">
        <f>IFERROR(ROUND(L820*(K820/$AW820)/VLOOKUP(J820,商品!$A$4:$D$67,4,FALSE),0),"")</f>
        <v/>
      </c>
      <c r="AQ820" t="str">
        <f>IFERROR(ROUND(S820*(N820/$AX820)/VLOOKUP(M820,职业!$A$3:$E$16,4,FALSE),0),"")</f>
        <v/>
      </c>
      <c r="AR820" t="str">
        <f>IFERROR(ROUND(S820*(P820/$AX820)/VLOOKUP(O820,职业!$A$3:$E$16,4,FALSE),0),"")</f>
        <v/>
      </c>
      <c r="AS820" t="str">
        <f>IFERROR(ROUND(S820*(R820/$AX820)/VLOOKUP(Q820,职业!$A$3:$E$16,4,FALSE),0),"")</f>
        <v/>
      </c>
      <c r="AT820" t="str">
        <f>IFERROR(ROUND(X820*(U820/$AY820)/VLOOKUP(T820,商品!$A$4:$D$67,4,FALSE),0),"")</f>
        <v/>
      </c>
      <c r="AU820" t="str">
        <f>IFERROR(ROUND(X820*(W820/$AY820)/VLOOKUP(V820,商品!$A$4:$D$67,4,FALSE),0),"")</f>
        <v/>
      </c>
      <c r="AW820">
        <f t="shared" si="218"/>
        <v>0</v>
      </c>
      <c r="AX820">
        <f t="shared" si="219"/>
        <v>0</v>
      </c>
      <c r="AY820">
        <f t="shared" si="220"/>
        <v>0</v>
      </c>
    </row>
    <row r="821" customHeight="1" spans="1:51">
      <c r="A821" s="5" t="s">
        <v>436</v>
      </c>
      <c r="C821" s="5">
        <v>5</v>
      </c>
      <c r="D821" s="1" t="s">
        <v>220</v>
      </c>
      <c r="E821" s="1" t="s">
        <v>222</v>
      </c>
      <c r="L821" s="5">
        <f>IFERROR(VLOOKUP($D821&amp;$C821,生产方式定位!$A$2:$E$38,2,FALSE)+VLOOKUP($E821&amp;$C821,生产方式定位!$F$3:$J$38,2,FALSE),0)</f>
        <v>2175</v>
      </c>
      <c r="S821" s="5">
        <f>IFERROR(VLOOKUP($D821&amp;$C821,生产方式定位!$A$2:$E$38,3,FALSE)+VLOOKUP($E821&amp;$C821,生产方式定位!$F$3:$J$38,3,FALSE),0)</f>
        <v>110</v>
      </c>
      <c r="X821" s="5">
        <f>IFERROR(VLOOKUP($D821&amp;$C821,生产方式定位!$A$2:$E$38,5,FALSE)+VLOOKUP($E821&amp;$C821,生产方式定位!$F$3:$J$38,5,FALSE),"错误")</f>
        <v>2373</v>
      </c>
      <c r="Y821" s="27" t="str">
        <f t="shared" si="204"/>
        <v/>
      </c>
      <c r="Z821" s="50" t="str">
        <f t="shared" si="207"/>
        <v/>
      </c>
      <c r="AA821" s="50" t="str">
        <f t="shared" si="205"/>
        <v/>
      </c>
      <c r="AB821" s="28" t="str">
        <f t="shared" si="208"/>
        <v>9%</v>
      </c>
      <c r="AC821" s="1">
        <f t="shared" si="209"/>
        <v>88</v>
      </c>
      <c r="AD821" s="51">
        <f t="shared" si="206"/>
        <v>5</v>
      </c>
      <c r="AE821" t="str">
        <f t="shared" si="210"/>
        <v/>
      </c>
      <c r="AF821" t="str">
        <f t="shared" si="211"/>
        <v/>
      </c>
      <c r="AG821" t="str">
        <f t="shared" si="212"/>
        <v/>
      </c>
      <c r="AH821" t="str">
        <f t="shared" si="213"/>
        <v/>
      </c>
      <c r="AI821" t="str">
        <f t="shared" si="214"/>
        <v/>
      </c>
      <c r="AJ821" t="str">
        <f t="shared" si="215"/>
        <v/>
      </c>
      <c r="AK821" t="str">
        <f t="shared" si="216"/>
        <v/>
      </c>
      <c r="AL821" t="str">
        <f t="shared" si="217"/>
        <v/>
      </c>
      <c r="AN821" t="str">
        <f>IFERROR(ROUND(L821*(G821/$AW821)/VLOOKUP(F821,商品!$A$4:$D$67,4,FALSE),0),"")</f>
        <v/>
      </c>
      <c r="AO821" t="str">
        <f>IFERROR(ROUND(L821*(I821/$AW821)/VLOOKUP(H821,商品!$A$4:$D$67,4,FALSE),0),"")</f>
        <v/>
      </c>
      <c r="AP821" t="str">
        <f>IFERROR(ROUND(L821*(K821/$AW821)/VLOOKUP(J821,商品!$A$4:$D$67,4,FALSE),0),"")</f>
        <v/>
      </c>
      <c r="AQ821" t="str">
        <f>IFERROR(ROUND(S821*(N821/$AX821)/VLOOKUP(M821,职业!$A$3:$E$16,4,FALSE),0),"")</f>
        <v/>
      </c>
      <c r="AR821" t="str">
        <f>IFERROR(ROUND(S821*(P821/$AX821)/VLOOKUP(O821,职业!$A$3:$E$16,4,FALSE),0),"")</f>
        <v/>
      </c>
      <c r="AS821" t="str">
        <f>IFERROR(ROUND(S821*(R821/$AX821)/VLOOKUP(Q821,职业!$A$3:$E$16,4,FALSE),0),"")</f>
        <v/>
      </c>
      <c r="AT821" t="str">
        <f>IFERROR(ROUND(X821*(U821/$AY821)/VLOOKUP(T821,商品!$A$4:$D$67,4,FALSE),0),"")</f>
        <v/>
      </c>
      <c r="AU821" t="str">
        <f>IFERROR(ROUND(X821*(W821/$AY821)/VLOOKUP(V821,商品!$A$4:$D$67,4,FALSE),0),"")</f>
        <v/>
      </c>
      <c r="AW821">
        <f t="shared" si="218"/>
        <v>0</v>
      </c>
      <c r="AX821">
        <f t="shared" si="219"/>
        <v>0</v>
      </c>
      <c r="AY821">
        <f t="shared" si="220"/>
        <v>0</v>
      </c>
    </row>
    <row r="822" customHeight="1" spans="1:51">
      <c r="A822" s="18" t="s">
        <v>437</v>
      </c>
      <c r="C822" s="18">
        <v>1</v>
      </c>
      <c r="D822" s="1" t="s">
        <v>220</v>
      </c>
      <c r="E822" s="1" t="s">
        <v>224</v>
      </c>
      <c r="L822" s="18">
        <f>IFERROR(VLOOKUP($D822&amp;$C822,生产方式定位!$A$2:$E$38,2,FALSE)+VLOOKUP($E822&amp;$C822,生产方式定位!$F$3:$J$38,2,FALSE),0)</f>
        <v>500</v>
      </c>
      <c r="S822" s="18">
        <f>IFERROR(VLOOKUP($D822&amp;$C822,生产方式定位!$A$2:$E$38,3,FALSE)+VLOOKUP($E822&amp;$C822,生产方式定位!$F$3:$J$38,3,FALSE),0)</f>
        <v>150</v>
      </c>
      <c r="X822" s="18">
        <f>IFERROR(VLOOKUP($D822&amp;$C822,生产方式定位!$A$2:$E$38,5,FALSE)+VLOOKUP($E822&amp;$C822,生产方式定位!$F$3:$J$38,5,FALSE),"错误")</f>
        <v>715</v>
      </c>
      <c r="Y822" s="27" t="str">
        <f t="shared" si="204"/>
        <v/>
      </c>
      <c r="Z822" s="50" t="str">
        <f t="shared" si="207"/>
        <v/>
      </c>
      <c r="AA822" s="50" t="str">
        <f t="shared" si="205"/>
        <v/>
      </c>
      <c r="AB822" s="28" t="str">
        <f t="shared" si="208"/>
        <v>43%</v>
      </c>
      <c r="AC822" s="1">
        <f t="shared" si="209"/>
        <v>65</v>
      </c>
      <c r="AD822" s="52">
        <f t="shared" si="206"/>
        <v>1</v>
      </c>
      <c r="AE822" t="str">
        <f t="shared" si="210"/>
        <v/>
      </c>
      <c r="AF822" t="str">
        <f t="shared" si="211"/>
        <v/>
      </c>
      <c r="AG822" t="str">
        <f t="shared" si="212"/>
        <v/>
      </c>
      <c r="AH822" t="str">
        <f t="shared" si="213"/>
        <v/>
      </c>
      <c r="AI822" t="str">
        <f t="shared" si="214"/>
        <v/>
      </c>
      <c r="AJ822" t="str">
        <f t="shared" si="215"/>
        <v/>
      </c>
      <c r="AK822" t="str">
        <f t="shared" si="216"/>
        <v/>
      </c>
      <c r="AL822" t="str">
        <f t="shared" si="217"/>
        <v/>
      </c>
      <c r="AN822" t="str">
        <f>IFERROR(ROUND(L822*(G822/$AW822)/VLOOKUP(F822,商品!$A$4:$D$67,4,FALSE),0),"")</f>
        <v/>
      </c>
      <c r="AO822" t="str">
        <f>IFERROR(ROUND(L822*(I822/$AW822)/VLOOKUP(H822,商品!$A$4:$D$67,4,FALSE),0),"")</f>
        <v/>
      </c>
      <c r="AP822" t="str">
        <f>IFERROR(ROUND(L822*(K822/$AW822)/VLOOKUP(J822,商品!$A$4:$D$67,4,FALSE),0),"")</f>
        <v/>
      </c>
      <c r="AQ822" t="str">
        <f>IFERROR(ROUND(S822*(N822/$AX822)/VLOOKUP(M822,职业!$A$3:$E$16,4,FALSE),0),"")</f>
        <v/>
      </c>
      <c r="AR822" t="str">
        <f>IFERROR(ROUND(S822*(P822/$AX822)/VLOOKUP(O822,职业!$A$3:$E$16,4,FALSE),0),"")</f>
        <v/>
      </c>
      <c r="AS822" t="str">
        <f>IFERROR(ROUND(S822*(R822/$AX822)/VLOOKUP(Q822,职业!$A$3:$E$16,4,FALSE),0),"")</f>
        <v/>
      </c>
      <c r="AT822" t="str">
        <f>IFERROR(ROUND(X822*(U822/$AY822)/VLOOKUP(T822,商品!$A$4:$D$67,4,FALSE),0),"")</f>
        <v/>
      </c>
      <c r="AU822" t="str">
        <f>IFERROR(ROUND(X822*(W822/$AY822)/VLOOKUP(V822,商品!$A$4:$D$67,4,FALSE),0),"")</f>
        <v/>
      </c>
      <c r="AW822">
        <f t="shared" si="218"/>
        <v>0</v>
      </c>
      <c r="AX822">
        <f t="shared" si="219"/>
        <v>0</v>
      </c>
      <c r="AY822">
        <f t="shared" si="220"/>
        <v>0</v>
      </c>
    </row>
    <row r="823" customHeight="1" spans="1:51">
      <c r="A823" s="18" t="s">
        <v>437</v>
      </c>
      <c r="C823" s="18">
        <v>2</v>
      </c>
      <c r="D823" s="1" t="s">
        <v>220</v>
      </c>
      <c r="E823" s="1" t="s">
        <v>224</v>
      </c>
      <c r="L823" s="18">
        <f>IFERROR(VLOOKUP($D823&amp;$C823,生产方式定位!$A$2:$E$38,2,FALSE)+VLOOKUP($E823&amp;$C823,生产方式定位!$F$3:$J$38,2,FALSE),0)</f>
        <v>1200</v>
      </c>
      <c r="S823" s="18">
        <f>IFERROR(VLOOKUP($D823&amp;$C823,生产方式定位!$A$2:$E$38,3,FALSE)+VLOOKUP($E823&amp;$C823,生产方式定位!$F$3:$J$38,3,FALSE),0)</f>
        <v>100</v>
      </c>
      <c r="X823" s="18">
        <f>IFERROR(VLOOKUP($D823&amp;$C823,生产方式定位!$A$2:$E$38,5,FALSE)+VLOOKUP($E823&amp;$C823,生产方式定位!$F$3:$J$38,5,FALSE),"错误")</f>
        <v>1346</v>
      </c>
      <c r="Y823" s="27" t="str">
        <f t="shared" si="204"/>
        <v/>
      </c>
      <c r="Z823" s="50" t="str">
        <f t="shared" si="207"/>
        <v/>
      </c>
      <c r="AA823" s="50" t="str">
        <f t="shared" si="205"/>
        <v/>
      </c>
      <c r="AB823" s="28" t="str">
        <f t="shared" si="208"/>
        <v>12%</v>
      </c>
      <c r="AC823" s="1">
        <f t="shared" si="209"/>
        <v>46</v>
      </c>
      <c r="AD823" s="52">
        <f t="shared" si="206"/>
        <v>2</v>
      </c>
      <c r="AE823" t="str">
        <f t="shared" si="210"/>
        <v/>
      </c>
      <c r="AF823" t="str">
        <f t="shared" si="211"/>
        <v/>
      </c>
      <c r="AG823" t="str">
        <f t="shared" si="212"/>
        <v/>
      </c>
      <c r="AH823" t="str">
        <f t="shared" si="213"/>
        <v/>
      </c>
      <c r="AI823" t="str">
        <f t="shared" si="214"/>
        <v/>
      </c>
      <c r="AJ823" t="str">
        <f t="shared" si="215"/>
        <v/>
      </c>
      <c r="AK823" t="str">
        <f t="shared" si="216"/>
        <v/>
      </c>
      <c r="AL823" t="str">
        <f t="shared" si="217"/>
        <v/>
      </c>
      <c r="AN823" t="str">
        <f>IFERROR(ROUND(L823*(G823/$AW823)/VLOOKUP(F823,商品!$A$4:$D$67,4,FALSE),0),"")</f>
        <v/>
      </c>
      <c r="AO823" t="str">
        <f>IFERROR(ROUND(L823*(I823/$AW823)/VLOOKUP(H823,商品!$A$4:$D$67,4,FALSE),0),"")</f>
        <v/>
      </c>
      <c r="AP823" t="str">
        <f>IFERROR(ROUND(L823*(K823/$AW823)/VLOOKUP(J823,商品!$A$4:$D$67,4,FALSE),0),"")</f>
        <v/>
      </c>
      <c r="AQ823" t="str">
        <f>IFERROR(ROUND(S823*(N823/$AX823)/VLOOKUP(M823,职业!$A$3:$E$16,4,FALSE),0),"")</f>
        <v/>
      </c>
      <c r="AR823" t="str">
        <f>IFERROR(ROUND(S823*(P823/$AX823)/VLOOKUP(O823,职业!$A$3:$E$16,4,FALSE),0),"")</f>
        <v/>
      </c>
      <c r="AS823" t="str">
        <f>IFERROR(ROUND(S823*(R823/$AX823)/VLOOKUP(Q823,职业!$A$3:$E$16,4,FALSE),0),"")</f>
        <v/>
      </c>
      <c r="AT823" t="str">
        <f>IFERROR(ROUND(X823*(U823/$AY823)/VLOOKUP(T823,商品!$A$4:$D$67,4,FALSE),0),"")</f>
        <v/>
      </c>
      <c r="AU823" t="str">
        <f>IFERROR(ROUND(X823*(W823/$AY823)/VLOOKUP(V823,商品!$A$4:$D$67,4,FALSE),0),"")</f>
        <v/>
      </c>
      <c r="AW823">
        <f t="shared" si="218"/>
        <v>0</v>
      </c>
      <c r="AX823">
        <f t="shared" si="219"/>
        <v>0</v>
      </c>
      <c r="AY823">
        <f t="shared" si="220"/>
        <v>0</v>
      </c>
    </row>
    <row r="824" customHeight="1" spans="1:51">
      <c r="A824" s="18" t="s">
        <v>437</v>
      </c>
      <c r="C824" s="18">
        <v>3</v>
      </c>
      <c r="D824" s="1" t="s">
        <v>220</v>
      </c>
      <c r="E824" s="1" t="s">
        <v>224</v>
      </c>
      <c r="L824" s="18">
        <f>IFERROR(VLOOKUP($D824&amp;$C824,生产方式定位!$A$2:$E$38,2,FALSE)+VLOOKUP($E824&amp;$C824,生产方式定位!$F$3:$J$38,2,FALSE),0)</f>
        <v>1900</v>
      </c>
      <c r="S824" s="18">
        <f>IFERROR(VLOOKUP($D824&amp;$C824,生产方式定位!$A$2:$E$38,3,FALSE)+VLOOKUP($E824&amp;$C824,生产方式定位!$F$3:$J$38,3,FALSE),0)</f>
        <v>70</v>
      </c>
      <c r="X824" s="18">
        <f>IFERROR(VLOOKUP($D824&amp;$C824,生产方式定位!$A$2:$E$38,5,FALSE)+VLOOKUP($E824&amp;$C824,生产方式定位!$F$3:$J$38,5,FALSE),"错误")</f>
        <v>2064</v>
      </c>
      <c r="Y824" s="27" t="str">
        <f t="shared" si="204"/>
        <v/>
      </c>
      <c r="Z824" s="50" t="str">
        <f t="shared" si="207"/>
        <v/>
      </c>
      <c r="AA824" s="50" t="str">
        <f t="shared" si="205"/>
        <v/>
      </c>
      <c r="AB824" s="28" t="str">
        <f t="shared" si="208"/>
        <v>9%</v>
      </c>
      <c r="AC824" s="1">
        <f t="shared" si="209"/>
        <v>94</v>
      </c>
      <c r="AD824" s="52">
        <f t="shared" si="206"/>
        <v>3</v>
      </c>
      <c r="AE824" t="str">
        <f t="shared" si="210"/>
        <v/>
      </c>
      <c r="AF824" t="str">
        <f t="shared" si="211"/>
        <v/>
      </c>
      <c r="AG824" t="str">
        <f t="shared" si="212"/>
        <v/>
      </c>
      <c r="AH824" t="str">
        <f t="shared" si="213"/>
        <v/>
      </c>
      <c r="AI824" t="str">
        <f t="shared" si="214"/>
        <v/>
      </c>
      <c r="AJ824" t="str">
        <f t="shared" si="215"/>
        <v/>
      </c>
      <c r="AK824" t="str">
        <f t="shared" si="216"/>
        <v/>
      </c>
      <c r="AL824" t="str">
        <f t="shared" si="217"/>
        <v/>
      </c>
      <c r="AN824" t="str">
        <f>IFERROR(ROUND(L824*(G824/$AW824)/VLOOKUP(F824,商品!$A$4:$D$67,4,FALSE),0),"")</f>
        <v/>
      </c>
      <c r="AO824" t="str">
        <f>IFERROR(ROUND(L824*(I824/$AW824)/VLOOKUP(H824,商品!$A$4:$D$67,4,FALSE),0),"")</f>
        <v/>
      </c>
      <c r="AP824" t="str">
        <f>IFERROR(ROUND(L824*(K824/$AW824)/VLOOKUP(J824,商品!$A$4:$D$67,4,FALSE),0),"")</f>
        <v/>
      </c>
      <c r="AQ824" t="str">
        <f>IFERROR(ROUND(S824*(N824/$AX824)/VLOOKUP(M824,职业!$A$3:$E$16,4,FALSE),0),"")</f>
        <v/>
      </c>
      <c r="AR824" t="str">
        <f>IFERROR(ROUND(S824*(P824/$AX824)/VLOOKUP(O824,职业!$A$3:$E$16,4,FALSE),0),"")</f>
        <v/>
      </c>
      <c r="AS824" t="str">
        <f>IFERROR(ROUND(S824*(R824/$AX824)/VLOOKUP(Q824,职业!$A$3:$E$16,4,FALSE),0),"")</f>
        <v/>
      </c>
      <c r="AT824" t="str">
        <f>IFERROR(ROUND(X824*(U824/$AY824)/VLOOKUP(T824,商品!$A$4:$D$67,4,FALSE),0),"")</f>
        <v/>
      </c>
      <c r="AU824" t="str">
        <f>IFERROR(ROUND(X824*(W824/$AY824)/VLOOKUP(V824,商品!$A$4:$D$67,4,FALSE),0),"")</f>
        <v/>
      </c>
      <c r="AW824">
        <f t="shared" si="218"/>
        <v>0</v>
      </c>
      <c r="AX824">
        <f t="shared" si="219"/>
        <v>0</v>
      </c>
      <c r="AY824">
        <f t="shared" si="220"/>
        <v>0</v>
      </c>
    </row>
    <row r="825" customHeight="1" spans="1:51">
      <c r="A825" s="18" t="s">
        <v>437</v>
      </c>
      <c r="C825" s="18">
        <v>4</v>
      </c>
      <c r="D825" s="1" t="s">
        <v>220</v>
      </c>
      <c r="E825" s="1" t="s">
        <v>224</v>
      </c>
      <c r="L825" s="18">
        <f>IFERROR(VLOOKUP($D825&amp;$C825,生产方式定位!$A$2:$E$38,2,FALSE)+VLOOKUP($E825&amp;$C825,生产方式定位!$F$3:$J$38,2,FALSE),0)</f>
        <v>2600</v>
      </c>
      <c r="S825" s="18">
        <f>IFERROR(VLOOKUP($D825&amp;$C825,生产方式定位!$A$2:$E$38,3,FALSE)+VLOOKUP($E825&amp;$C825,生产方式定位!$F$3:$J$38,3,FALSE),0)</f>
        <v>40</v>
      </c>
      <c r="X825" s="18">
        <f>IFERROR(VLOOKUP($D825&amp;$C825,生产方式定位!$A$2:$E$38,5,FALSE)+VLOOKUP($E825&amp;$C825,生产方式定位!$F$3:$J$38,5,FALSE),"错误")</f>
        <v>2782</v>
      </c>
      <c r="Y825" s="27" t="str">
        <f t="shared" si="204"/>
        <v/>
      </c>
      <c r="Z825" s="50" t="str">
        <f t="shared" si="207"/>
        <v/>
      </c>
      <c r="AA825" s="50" t="str">
        <f t="shared" si="205"/>
        <v/>
      </c>
      <c r="AB825" s="28" t="str">
        <f t="shared" si="208"/>
        <v>7%</v>
      </c>
      <c r="AC825" s="1">
        <f t="shared" si="209"/>
        <v>142</v>
      </c>
      <c r="AD825" s="52">
        <f t="shared" si="206"/>
        <v>4</v>
      </c>
      <c r="AE825" t="str">
        <f t="shared" si="210"/>
        <v/>
      </c>
      <c r="AF825" t="str">
        <f t="shared" si="211"/>
        <v/>
      </c>
      <c r="AG825" t="str">
        <f t="shared" si="212"/>
        <v/>
      </c>
      <c r="AH825" t="str">
        <f t="shared" si="213"/>
        <v/>
      </c>
      <c r="AI825" t="str">
        <f t="shared" si="214"/>
        <v/>
      </c>
      <c r="AJ825" t="str">
        <f t="shared" si="215"/>
        <v/>
      </c>
      <c r="AK825" t="str">
        <f t="shared" si="216"/>
        <v/>
      </c>
      <c r="AL825" t="str">
        <f t="shared" si="217"/>
        <v/>
      </c>
      <c r="AN825" t="str">
        <f>IFERROR(ROUND(L825*(G825/$AW825)/VLOOKUP(F825,商品!$A$4:$D$67,4,FALSE),0),"")</f>
        <v/>
      </c>
      <c r="AO825" t="str">
        <f>IFERROR(ROUND(L825*(I825/$AW825)/VLOOKUP(H825,商品!$A$4:$D$67,4,FALSE),0),"")</f>
        <v/>
      </c>
      <c r="AP825" t="str">
        <f>IFERROR(ROUND(L825*(K825/$AW825)/VLOOKUP(J825,商品!$A$4:$D$67,4,FALSE),0),"")</f>
        <v/>
      </c>
      <c r="AQ825" t="str">
        <f>IFERROR(ROUND(S825*(N825/$AX825)/VLOOKUP(M825,职业!$A$3:$E$16,4,FALSE),0),"")</f>
        <v/>
      </c>
      <c r="AR825" t="str">
        <f>IFERROR(ROUND(S825*(P825/$AX825)/VLOOKUP(O825,职业!$A$3:$E$16,4,FALSE),0),"")</f>
        <v/>
      </c>
      <c r="AS825" t="str">
        <f>IFERROR(ROUND(S825*(R825/$AX825)/VLOOKUP(Q825,职业!$A$3:$E$16,4,FALSE),0),"")</f>
        <v/>
      </c>
      <c r="AT825" t="str">
        <f>IFERROR(ROUND(X825*(U825/$AY825)/VLOOKUP(T825,商品!$A$4:$D$67,4,FALSE),0),"")</f>
        <v/>
      </c>
      <c r="AU825" t="str">
        <f>IFERROR(ROUND(X825*(W825/$AY825)/VLOOKUP(V825,商品!$A$4:$D$67,4,FALSE),0),"")</f>
        <v/>
      </c>
      <c r="AW825">
        <f t="shared" si="218"/>
        <v>0</v>
      </c>
      <c r="AX825">
        <f t="shared" si="219"/>
        <v>0</v>
      </c>
      <c r="AY825">
        <f t="shared" si="220"/>
        <v>0</v>
      </c>
    </row>
    <row r="826" customHeight="1" spans="1:51">
      <c r="A826" s="18" t="s">
        <v>437</v>
      </c>
      <c r="C826" s="18">
        <v>5</v>
      </c>
      <c r="D826" s="1" t="s">
        <v>220</v>
      </c>
      <c r="E826" s="1" t="s">
        <v>224</v>
      </c>
      <c r="L826" s="18">
        <f>IFERROR(VLOOKUP($D826&amp;$C826,生产方式定位!$A$2:$E$38,2,FALSE)+VLOOKUP($E826&amp;$C826,生产方式定位!$F$3:$J$38,2,FALSE),0)</f>
        <v>3300</v>
      </c>
      <c r="S826" s="18">
        <f>IFERROR(VLOOKUP($D826&amp;$C826,生产方式定位!$A$2:$E$38,3,FALSE)+VLOOKUP($E826&amp;$C826,生产方式定位!$F$3:$J$38,3,FALSE),0)</f>
        <v>10</v>
      </c>
      <c r="X826" s="18">
        <f>IFERROR(VLOOKUP($D826&amp;$C826,生产方式定位!$A$2:$E$38,5,FALSE)+VLOOKUP($E826&amp;$C826,生产方式定位!$F$3:$J$38,5,FALSE),"错误")</f>
        <v>3500</v>
      </c>
      <c r="Y826" s="27" t="str">
        <f t="shared" si="204"/>
        <v/>
      </c>
      <c r="Z826" s="50" t="str">
        <f t="shared" si="207"/>
        <v/>
      </c>
      <c r="AA826" s="50" t="str">
        <f t="shared" si="205"/>
        <v/>
      </c>
      <c r="AB826" s="28" t="str">
        <f t="shared" si="208"/>
        <v>6%</v>
      </c>
      <c r="AC826" s="1">
        <f t="shared" si="209"/>
        <v>190</v>
      </c>
      <c r="AD826" s="52">
        <f t="shared" si="206"/>
        <v>5</v>
      </c>
      <c r="AE826" t="str">
        <f t="shared" si="210"/>
        <v/>
      </c>
      <c r="AF826" t="str">
        <f t="shared" si="211"/>
        <v/>
      </c>
      <c r="AG826" t="str">
        <f t="shared" si="212"/>
        <v/>
      </c>
      <c r="AH826" t="str">
        <f t="shared" si="213"/>
        <v/>
      </c>
      <c r="AI826" t="str">
        <f t="shared" si="214"/>
        <v/>
      </c>
      <c r="AJ826" t="str">
        <f t="shared" si="215"/>
        <v/>
      </c>
      <c r="AK826" t="str">
        <f t="shared" si="216"/>
        <v/>
      </c>
      <c r="AL826" t="str">
        <f t="shared" si="217"/>
        <v/>
      </c>
      <c r="AN826" t="str">
        <f>IFERROR(ROUND(L826*(G826/$AW826)/VLOOKUP(F826,商品!$A$4:$D$67,4,FALSE),0),"")</f>
        <v/>
      </c>
      <c r="AO826" t="str">
        <f>IFERROR(ROUND(L826*(I826/$AW826)/VLOOKUP(H826,商品!$A$4:$D$67,4,FALSE),0),"")</f>
        <v/>
      </c>
      <c r="AP826" t="str">
        <f>IFERROR(ROUND(L826*(K826/$AW826)/VLOOKUP(J826,商品!$A$4:$D$67,4,FALSE),0),"")</f>
        <v/>
      </c>
      <c r="AQ826" t="str">
        <f>IFERROR(ROUND(S826*(N826/$AX826)/VLOOKUP(M826,职业!$A$3:$E$16,4,FALSE),0),"")</f>
        <v/>
      </c>
      <c r="AR826" t="str">
        <f>IFERROR(ROUND(S826*(P826/$AX826)/VLOOKUP(O826,职业!$A$3:$E$16,4,FALSE),0),"")</f>
        <v/>
      </c>
      <c r="AS826" t="str">
        <f>IFERROR(ROUND(S826*(R826/$AX826)/VLOOKUP(Q826,职业!$A$3:$E$16,4,FALSE),0),"")</f>
        <v/>
      </c>
      <c r="AT826" t="str">
        <f>IFERROR(ROUND(X826*(U826/$AY826)/VLOOKUP(T826,商品!$A$4:$D$67,4,FALSE),0),"")</f>
        <v/>
      </c>
      <c r="AU826" t="str">
        <f>IFERROR(ROUND(X826*(W826/$AY826)/VLOOKUP(V826,商品!$A$4:$D$67,4,FALSE),0),"")</f>
        <v/>
      </c>
      <c r="AW826">
        <f t="shared" si="218"/>
        <v>0</v>
      </c>
      <c r="AX826">
        <f t="shared" si="219"/>
        <v>0</v>
      </c>
      <c r="AY826">
        <f t="shared" si="220"/>
        <v>0</v>
      </c>
    </row>
    <row r="827" customHeight="1" spans="1:51">
      <c r="A827" s="5" t="s">
        <v>437</v>
      </c>
      <c r="C827" s="5">
        <v>1</v>
      </c>
      <c r="D827" s="1" t="s">
        <v>220</v>
      </c>
      <c r="E827" s="1" t="s">
        <v>224</v>
      </c>
      <c r="L827" s="5">
        <f>IFERROR(VLOOKUP($D827&amp;$C827,生产方式定位!$A$2:$E$38,2,FALSE)+VLOOKUP($E827&amp;$C827,生产方式定位!$F$3:$J$38,2,FALSE),0)</f>
        <v>500</v>
      </c>
      <c r="S827" s="5">
        <f>IFERROR(VLOOKUP($D827&amp;$C827,生产方式定位!$A$2:$E$38,3,FALSE)+VLOOKUP($E827&amp;$C827,生产方式定位!$F$3:$J$38,3,FALSE),0)</f>
        <v>150</v>
      </c>
      <c r="X827" s="5">
        <f>IFERROR(VLOOKUP($D827&amp;$C827,生产方式定位!$A$2:$E$38,5,FALSE)+VLOOKUP($E827&amp;$C827,生产方式定位!$F$3:$J$38,5,FALSE),"错误")</f>
        <v>715</v>
      </c>
      <c r="Y827" s="27" t="str">
        <f t="shared" si="204"/>
        <v/>
      </c>
      <c r="Z827" s="50" t="str">
        <f t="shared" si="207"/>
        <v/>
      </c>
      <c r="AA827" s="50" t="str">
        <f t="shared" si="205"/>
        <v/>
      </c>
      <c r="AB827" s="28" t="str">
        <f t="shared" si="208"/>
        <v>43%</v>
      </c>
      <c r="AC827" s="1">
        <f t="shared" si="209"/>
        <v>65</v>
      </c>
      <c r="AD827" s="51">
        <f t="shared" si="206"/>
        <v>1</v>
      </c>
      <c r="AE827" t="str">
        <f t="shared" si="210"/>
        <v/>
      </c>
      <c r="AF827" t="str">
        <f t="shared" si="211"/>
        <v/>
      </c>
      <c r="AG827" t="str">
        <f t="shared" si="212"/>
        <v/>
      </c>
      <c r="AH827" t="str">
        <f t="shared" si="213"/>
        <v/>
      </c>
      <c r="AI827" t="str">
        <f t="shared" si="214"/>
        <v/>
      </c>
      <c r="AJ827" t="str">
        <f t="shared" si="215"/>
        <v/>
      </c>
      <c r="AK827" t="str">
        <f t="shared" si="216"/>
        <v/>
      </c>
      <c r="AL827" t="str">
        <f t="shared" si="217"/>
        <v/>
      </c>
      <c r="AN827" t="str">
        <f>IFERROR(ROUND(L827*(G827/$AW827)/VLOOKUP(F827,商品!$A$4:$D$67,4,FALSE),0),"")</f>
        <v/>
      </c>
      <c r="AO827" t="str">
        <f>IFERROR(ROUND(L827*(I827/$AW827)/VLOOKUP(H827,商品!$A$4:$D$67,4,FALSE),0),"")</f>
        <v/>
      </c>
      <c r="AP827" t="str">
        <f>IFERROR(ROUND(L827*(K827/$AW827)/VLOOKUP(J827,商品!$A$4:$D$67,4,FALSE),0),"")</f>
        <v/>
      </c>
      <c r="AQ827" t="str">
        <f>IFERROR(ROUND(S827*(N827/$AX827)/VLOOKUP(M827,职业!$A$3:$E$16,4,FALSE),0),"")</f>
        <v/>
      </c>
      <c r="AR827" t="str">
        <f>IFERROR(ROUND(S827*(P827/$AX827)/VLOOKUP(O827,职业!$A$3:$E$16,4,FALSE),0),"")</f>
        <v/>
      </c>
      <c r="AS827" t="str">
        <f>IFERROR(ROUND(S827*(R827/$AX827)/VLOOKUP(Q827,职业!$A$3:$E$16,4,FALSE),0),"")</f>
        <v/>
      </c>
      <c r="AT827" t="str">
        <f>IFERROR(ROUND(X827*(U827/$AY827)/VLOOKUP(T827,商品!$A$4:$D$67,4,FALSE),0),"")</f>
        <v/>
      </c>
      <c r="AU827" t="str">
        <f>IFERROR(ROUND(X827*(W827/$AY827)/VLOOKUP(V827,商品!$A$4:$D$67,4,FALSE),0),"")</f>
        <v/>
      </c>
      <c r="AW827">
        <f t="shared" si="218"/>
        <v>0</v>
      </c>
      <c r="AX827">
        <f t="shared" si="219"/>
        <v>0</v>
      </c>
      <c r="AY827">
        <f t="shared" si="220"/>
        <v>0</v>
      </c>
    </row>
    <row r="828" customHeight="1" spans="1:51">
      <c r="A828" s="5" t="s">
        <v>437</v>
      </c>
      <c r="C828" s="5">
        <v>2</v>
      </c>
      <c r="D828" s="1" t="s">
        <v>220</v>
      </c>
      <c r="E828" s="1" t="s">
        <v>224</v>
      </c>
      <c r="L828" s="5">
        <f>IFERROR(VLOOKUP($D828&amp;$C828,生产方式定位!$A$2:$E$38,2,FALSE)+VLOOKUP($E828&amp;$C828,生产方式定位!$F$3:$J$38,2,FALSE),0)</f>
        <v>1200</v>
      </c>
      <c r="S828" s="5">
        <f>IFERROR(VLOOKUP($D828&amp;$C828,生产方式定位!$A$2:$E$38,3,FALSE)+VLOOKUP($E828&amp;$C828,生产方式定位!$F$3:$J$38,3,FALSE),0)</f>
        <v>100</v>
      </c>
      <c r="X828" s="5">
        <f>IFERROR(VLOOKUP($D828&amp;$C828,生产方式定位!$A$2:$E$38,5,FALSE)+VLOOKUP($E828&amp;$C828,生产方式定位!$F$3:$J$38,5,FALSE),"错误")</f>
        <v>1346</v>
      </c>
      <c r="Y828" s="27" t="str">
        <f t="shared" si="204"/>
        <v/>
      </c>
      <c r="Z828" s="50" t="str">
        <f t="shared" si="207"/>
        <v/>
      </c>
      <c r="AA828" s="50" t="str">
        <f t="shared" si="205"/>
        <v/>
      </c>
      <c r="AB828" s="28" t="str">
        <f t="shared" si="208"/>
        <v>12%</v>
      </c>
      <c r="AC828" s="1">
        <f t="shared" si="209"/>
        <v>46</v>
      </c>
      <c r="AD828" s="51">
        <f t="shared" si="206"/>
        <v>2</v>
      </c>
      <c r="AE828" t="str">
        <f t="shared" si="210"/>
        <v/>
      </c>
      <c r="AF828" t="str">
        <f t="shared" si="211"/>
        <v/>
      </c>
      <c r="AG828" t="str">
        <f t="shared" si="212"/>
        <v/>
      </c>
      <c r="AH828" t="str">
        <f t="shared" si="213"/>
        <v/>
      </c>
      <c r="AI828" t="str">
        <f t="shared" si="214"/>
        <v/>
      </c>
      <c r="AJ828" t="str">
        <f t="shared" si="215"/>
        <v/>
      </c>
      <c r="AK828" t="str">
        <f t="shared" si="216"/>
        <v/>
      </c>
      <c r="AL828" t="str">
        <f t="shared" si="217"/>
        <v/>
      </c>
      <c r="AN828" t="str">
        <f>IFERROR(ROUND(L828*(G828/$AW828)/VLOOKUP(F828,商品!$A$4:$D$67,4,FALSE),0),"")</f>
        <v/>
      </c>
      <c r="AO828" t="str">
        <f>IFERROR(ROUND(L828*(I828/$AW828)/VLOOKUP(H828,商品!$A$4:$D$67,4,FALSE),0),"")</f>
        <v/>
      </c>
      <c r="AP828" t="str">
        <f>IFERROR(ROUND(L828*(K828/$AW828)/VLOOKUP(J828,商品!$A$4:$D$67,4,FALSE),0),"")</f>
        <v/>
      </c>
      <c r="AQ828" t="str">
        <f>IFERROR(ROUND(S828*(N828/$AX828)/VLOOKUP(M828,职业!$A$3:$E$16,4,FALSE),0),"")</f>
        <v/>
      </c>
      <c r="AR828" t="str">
        <f>IFERROR(ROUND(S828*(P828/$AX828)/VLOOKUP(O828,职业!$A$3:$E$16,4,FALSE),0),"")</f>
        <v/>
      </c>
      <c r="AS828" t="str">
        <f>IFERROR(ROUND(S828*(R828/$AX828)/VLOOKUP(Q828,职业!$A$3:$E$16,4,FALSE),0),"")</f>
        <v/>
      </c>
      <c r="AT828" t="str">
        <f>IFERROR(ROUND(X828*(U828/$AY828)/VLOOKUP(T828,商品!$A$4:$D$67,4,FALSE),0),"")</f>
        <v/>
      </c>
      <c r="AU828" t="str">
        <f>IFERROR(ROUND(X828*(W828/$AY828)/VLOOKUP(V828,商品!$A$4:$D$67,4,FALSE),0),"")</f>
        <v/>
      </c>
      <c r="AW828">
        <f t="shared" si="218"/>
        <v>0</v>
      </c>
      <c r="AX828">
        <f t="shared" si="219"/>
        <v>0</v>
      </c>
      <c r="AY828">
        <f t="shared" si="220"/>
        <v>0</v>
      </c>
    </row>
    <row r="829" customHeight="1" spans="1:51">
      <c r="A829" s="5" t="s">
        <v>437</v>
      </c>
      <c r="C829" s="5">
        <v>3</v>
      </c>
      <c r="D829" s="1" t="s">
        <v>220</v>
      </c>
      <c r="E829" s="1" t="s">
        <v>224</v>
      </c>
      <c r="L829" s="5">
        <f>IFERROR(VLOOKUP($D829&amp;$C829,生产方式定位!$A$2:$E$38,2,FALSE)+VLOOKUP($E829&amp;$C829,生产方式定位!$F$3:$J$38,2,FALSE),0)</f>
        <v>1900</v>
      </c>
      <c r="S829" s="5">
        <f>IFERROR(VLOOKUP($D829&amp;$C829,生产方式定位!$A$2:$E$38,3,FALSE)+VLOOKUP($E829&amp;$C829,生产方式定位!$F$3:$J$38,3,FALSE),0)</f>
        <v>70</v>
      </c>
      <c r="X829" s="5">
        <f>IFERROR(VLOOKUP($D829&amp;$C829,生产方式定位!$A$2:$E$38,5,FALSE)+VLOOKUP($E829&amp;$C829,生产方式定位!$F$3:$J$38,5,FALSE),"错误")</f>
        <v>2064</v>
      </c>
      <c r="Y829" s="27" t="str">
        <f t="shared" si="204"/>
        <v/>
      </c>
      <c r="Z829" s="50" t="str">
        <f t="shared" si="207"/>
        <v/>
      </c>
      <c r="AA829" s="50" t="str">
        <f t="shared" si="205"/>
        <v/>
      </c>
      <c r="AB829" s="28" t="str">
        <f t="shared" si="208"/>
        <v>9%</v>
      </c>
      <c r="AC829" s="1">
        <f t="shared" si="209"/>
        <v>94</v>
      </c>
      <c r="AD829" s="51">
        <f t="shared" si="206"/>
        <v>3</v>
      </c>
      <c r="AE829" t="str">
        <f t="shared" si="210"/>
        <v/>
      </c>
      <c r="AF829" t="str">
        <f t="shared" si="211"/>
        <v/>
      </c>
      <c r="AG829" t="str">
        <f t="shared" si="212"/>
        <v/>
      </c>
      <c r="AH829" t="str">
        <f t="shared" si="213"/>
        <v/>
      </c>
      <c r="AI829" t="str">
        <f t="shared" si="214"/>
        <v/>
      </c>
      <c r="AJ829" t="str">
        <f t="shared" si="215"/>
        <v/>
      </c>
      <c r="AK829" t="str">
        <f t="shared" si="216"/>
        <v/>
      </c>
      <c r="AL829" t="str">
        <f t="shared" si="217"/>
        <v/>
      </c>
      <c r="AN829" t="str">
        <f>IFERROR(ROUND(L829*(G829/$AW829)/VLOOKUP(F829,商品!$A$4:$D$67,4,FALSE),0),"")</f>
        <v/>
      </c>
      <c r="AO829" t="str">
        <f>IFERROR(ROUND(L829*(I829/$AW829)/VLOOKUP(H829,商品!$A$4:$D$67,4,FALSE),0),"")</f>
        <v/>
      </c>
      <c r="AP829" t="str">
        <f>IFERROR(ROUND(L829*(K829/$AW829)/VLOOKUP(J829,商品!$A$4:$D$67,4,FALSE),0),"")</f>
        <v/>
      </c>
      <c r="AQ829" t="str">
        <f>IFERROR(ROUND(S829*(N829/$AX829)/VLOOKUP(M829,职业!$A$3:$E$16,4,FALSE),0),"")</f>
        <v/>
      </c>
      <c r="AR829" t="str">
        <f>IFERROR(ROUND(S829*(P829/$AX829)/VLOOKUP(O829,职业!$A$3:$E$16,4,FALSE),0),"")</f>
        <v/>
      </c>
      <c r="AS829" t="str">
        <f>IFERROR(ROUND(S829*(R829/$AX829)/VLOOKUP(Q829,职业!$A$3:$E$16,4,FALSE),0),"")</f>
        <v/>
      </c>
      <c r="AT829" t="str">
        <f>IFERROR(ROUND(X829*(U829/$AY829)/VLOOKUP(T829,商品!$A$4:$D$67,4,FALSE),0),"")</f>
        <v/>
      </c>
      <c r="AU829" t="str">
        <f>IFERROR(ROUND(X829*(W829/$AY829)/VLOOKUP(V829,商品!$A$4:$D$67,4,FALSE),0),"")</f>
        <v/>
      </c>
      <c r="AW829">
        <f t="shared" si="218"/>
        <v>0</v>
      </c>
      <c r="AX829">
        <f t="shared" si="219"/>
        <v>0</v>
      </c>
      <c r="AY829">
        <f t="shared" si="220"/>
        <v>0</v>
      </c>
    </row>
    <row r="830" customHeight="1" spans="1:51">
      <c r="A830" s="5" t="s">
        <v>437</v>
      </c>
      <c r="C830" s="5">
        <v>4</v>
      </c>
      <c r="D830" s="1" t="s">
        <v>220</v>
      </c>
      <c r="E830" s="1" t="s">
        <v>224</v>
      </c>
      <c r="L830" s="5">
        <f>IFERROR(VLOOKUP($D830&amp;$C830,生产方式定位!$A$2:$E$38,2,FALSE)+VLOOKUP($E830&amp;$C830,生产方式定位!$F$3:$J$38,2,FALSE),0)</f>
        <v>2600</v>
      </c>
      <c r="S830" s="5">
        <f>IFERROR(VLOOKUP($D830&amp;$C830,生产方式定位!$A$2:$E$38,3,FALSE)+VLOOKUP($E830&amp;$C830,生产方式定位!$F$3:$J$38,3,FALSE),0)</f>
        <v>40</v>
      </c>
      <c r="X830" s="5">
        <f>IFERROR(VLOOKUP($D830&amp;$C830,生产方式定位!$A$2:$E$38,5,FALSE)+VLOOKUP($E830&amp;$C830,生产方式定位!$F$3:$J$38,5,FALSE),"错误")</f>
        <v>2782</v>
      </c>
      <c r="Y830" s="27" t="str">
        <f t="shared" si="204"/>
        <v/>
      </c>
      <c r="Z830" s="50" t="str">
        <f t="shared" si="207"/>
        <v/>
      </c>
      <c r="AA830" s="50" t="str">
        <f t="shared" si="205"/>
        <v/>
      </c>
      <c r="AB830" s="28" t="str">
        <f t="shared" si="208"/>
        <v>7%</v>
      </c>
      <c r="AC830" s="1">
        <f t="shared" si="209"/>
        <v>142</v>
      </c>
      <c r="AD830" s="51">
        <f t="shared" si="206"/>
        <v>4</v>
      </c>
      <c r="AE830" t="str">
        <f t="shared" si="210"/>
        <v/>
      </c>
      <c r="AF830" t="str">
        <f t="shared" si="211"/>
        <v/>
      </c>
      <c r="AG830" t="str">
        <f t="shared" si="212"/>
        <v/>
      </c>
      <c r="AH830" t="str">
        <f t="shared" si="213"/>
        <v/>
      </c>
      <c r="AI830" t="str">
        <f t="shared" si="214"/>
        <v/>
      </c>
      <c r="AJ830" t="str">
        <f t="shared" si="215"/>
        <v/>
      </c>
      <c r="AK830" t="str">
        <f t="shared" si="216"/>
        <v/>
      </c>
      <c r="AL830" t="str">
        <f t="shared" si="217"/>
        <v/>
      </c>
      <c r="AN830" t="str">
        <f>IFERROR(ROUND(L830*(G830/$AW830)/VLOOKUP(F830,商品!$A$4:$D$67,4,FALSE),0),"")</f>
        <v/>
      </c>
      <c r="AO830" t="str">
        <f>IFERROR(ROUND(L830*(I830/$AW830)/VLOOKUP(H830,商品!$A$4:$D$67,4,FALSE),0),"")</f>
        <v/>
      </c>
      <c r="AP830" t="str">
        <f>IFERROR(ROUND(L830*(K830/$AW830)/VLOOKUP(J830,商品!$A$4:$D$67,4,FALSE),0),"")</f>
        <v/>
      </c>
      <c r="AQ830" t="str">
        <f>IFERROR(ROUND(S830*(N830/$AX830)/VLOOKUP(M830,职业!$A$3:$E$16,4,FALSE),0),"")</f>
        <v/>
      </c>
      <c r="AR830" t="str">
        <f>IFERROR(ROUND(S830*(P830/$AX830)/VLOOKUP(O830,职业!$A$3:$E$16,4,FALSE),0),"")</f>
        <v/>
      </c>
      <c r="AS830" t="str">
        <f>IFERROR(ROUND(S830*(R830/$AX830)/VLOOKUP(Q830,职业!$A$3:$E$16,4,FALSE),0),"")</f>
        <v/>
      </c>
      <c r="AT830" t="str">
        <f>IFERROR(ROUND(X830*(U830/$AY830)/VLOOKUP(T830,商品!$A$4:$D$67,4,FALSE),0),"")</f>
        <v/>
      </c>
      <c r="AU830" t="str">
        <f>IFERROR(ROUND(X830*(W830/$AY830)/VLOOKUP(V830,商品!$A$4:$D$67,4,FALSE),0),"")</f>
        <v/>
      </c>
      <c r="AW830">
        <f t="shared" si="218"/>
        <v>0</v>
      </c>
      <c r="AX830">
        <f t="shared" si="219"/>
        <v>0</v>
      </c>
      <c r="AY830">
        <f t="shared" si="220"/>
        <v>0</v>
      </c>
    </row>
    <row r="831" customHeight="1" spans="1:51">
      <c r="A831" s="5" t="s">
        <v>437</v>
      </c>
      <c r="C831" s="5">
        <v>5</v>
      </c>
      <c r="D831" s="1" t="s">
        <v>220</v>
      </c>
      <c r="E831" s="1" t="s">
        <v>224</v>
      </c>
      <c r="L831" s="5">
        <f>IFERROR(VLOOKUP($D831&amp;$C831,生产方式定位!$A$2:$E$38,2,FALSE)+VLOOKUP($E831&amp;$C831,生产方式定位!$F$3:$J$38,2,FALSE),0)</f>
        <v>3300</v>
      </c>
      <c r="S831" s="5">
        <f>IFERROR(VLOOKUP($D831&amp;$C831,生产方式定位!$A$2:$E$38,3,FALSE)+VLOOKUP($E831&amp;$C831,生产方式定位!$F$3:$J$38,3,FALSE),0)</f>
        <v>10</v>
      </c>
      <c r="X831" s="5">
        <f>IFERROR(VLOOKUP($D831&amp;$C831,生产方式定位!$A$2:$E$38,5,FALSE)+VLOOKUP($E831&amp;$C831,生产方式定位!$F$3:$J$38,5,FALSE),"错误")</f>
        <v>3500</v>
      </c>
      <c r="Y831" s="27" t="str">
        <f t="shared" si="204"/>
        <v/>
      </c>
      <c r="Z831" s="50" t="str">
        <f t="shared" si="207"/>
        <v/>
      </c>
      <c r="AA831" s="50" t="str">
        <f t="shared" si="205"/>
        <v/>
      </c>
      <c r="AB831" s="28" t="str">
        <f t="shared" si="208"/>
        <v>6%</v>
      </c>
      <c r="AC831" s="1">
        <f t="shared" si="209"/>
        <v>190</v>
      </c>
      <c r="AD831" s="51">
        <f t="shared" si="206"/>
        <v>5</v>
      </c>
      <c r="AE831" t="str">
        <f t="shared" si="210"/>
        <v/>
      </c>
      <c r="AF831" t="str">
        <f t="shared" si="211"/>
        <v/>
      </c>
      <c r="AG831" t="str">
        <f t="shared" si="212"/>
        <v/>
      </c>
      <c r="AH831" t="str">
        <f t="shared" si="213"/>
        <v/>
      </c>
      <c r="AI831" t="str">
        <f t="shared" si="214"/>
        <v/>
      </c>
      <c r="AJ831" t="str">
        <f t="shared" si="215"/>
        <v/>
      </c>
      <c r="AK831" t="str">
        <f t="shared" si="216"/>
        <v/>
      </c>
      <c r="AL831" t="str">
        <f t="shared" si="217"/>
        <v/>
      </c>
      <c r="AN831" t="str">
        <f>IFERROR(ROUND(L831*(G831/$AW831)/VLOOKUP(F831,商品!$A$4:$D$67,4,FALSE),0),"")</f>
        <v/>
      </c>
      <c r="AO831" t="str">
        <f>IFERROR(ROUND(L831*(I831/$AW831)/VLOOKUP(H831,商品!$A$4:$D$67,4,FALSE),0),"")</f>
        <v/>
      </c>
      <c r="AP831" t="str">
        <f>IFERROR(ROUND(L831*(K831/$AW831)/VLOOKUP(J831,商品!$A$4:$D$67,4,FALSE),0),"")</f>
        <v/>
      </c>
      <c r="AQ831" t="str">
        <f>IFERROR(ROUND(S831*(N831/$AX831)/VLOOKUP(M831,职业!$A$3:$E$16,4,FALSE),0),"")</f>
        <v/>
      </c>
      <c r="AR831" t="str">
        <f>IFERROR(ROUND(S831*(P831/$AX831)/VLOOKUP(O831,职业!$A$3:$E$16,4,FALSE),0),"")</f>
        <v/>
      </c>
      <c r="AS831" t="str">
        <f>IFERROR(ROUND(S831*(R831/$AX831)/VLOOKUP(Q831,职业!$A$3:$E$16,4,FALSE),0),"")</f>
        <v/>
      </c>
      <c r="AT831" t="str">
        <f>IFERROR(ROUND(X831*(U831/$AY831)/VLOOKUP(T831,商品!$A$4:$D$67,4,FALSE),0),"")</f>
        <v/>
      </c>
      <c r="AU831" t="str">
        <f>IFERROR(ROUND(X831*(W831/$AY831)/VLOOKUP(V831,商品!$A$4:$D$67,4,FALSE),0),"")</f>
        <v/>
      </c>
      <c r="AW831">
        <f t="shared" si="218"/>
        <v>0</v>
      </c>
      <c r="AX831">
        <f t="shared" si="219"/>
        <v>0</v>
      </c>
      <c r="AY831">
        <f t="shared" si="220"/>
        <v>0</v>
      </c>
    </row>
    <row r="832" customHeight="1" spans="1:51">
      <c r="A832" s="18" t="s">
        <v>438</v>
      </c>
      <c r="C832" s="18">
        <v>1</v>
      </c>
      <c r="D832" s="1" t="s">
        <v>291</v>
      </c>
      <c r="E832" s="1" t="s">
        <v>225</v>
      </c>
      <c r="L832" s="18">
        <f>IFERROR(VLOOKUP($D832&amp;$C832,生产方式定位!$A$2:$E$38,2,FALSE)+VLOOKUP($E832&amp;$C832,生产方式定位!$F$3:$J$38,2,FALSE),0)</f>
        <v>0</v>
      </c>
      <c r="S832" s="18">
        <f>IFERROR(VLOOKUP($D832&amp;$C832,生产方式定位!$A$2:$E$38,3,FALSE)+VLOOKUP($E832&amp;$C832,生产方式定位!$F$3:$J$38,3,FALSE),0)</f>
        <v>100</v>
      </c>
      <c r="X832" s="18">
        <f>IFERROR(VLOOKUP($D832&amp;$C832,生产方式定位!$A$2:$E$38,5,FALSE)+VLOOKUP($E832&amp;$C832,生产方式定位!$F$3:$J$38,5,FALSE),"错误")</f>
        <v>100</v>
      </c>
      <c r="Y832" s="27" t="str">
        <f t="shared" si="204"/>
        <v/>
      </c>
      <c r="Z832" s="50" t="str">
        <f t="shared" si="207"/>
        <v/>
      </c>
      <c r="AA832" s="50" t="str">
        <f t="shared" si="205"/>
        <v/>
      </c>
      <c r="AB832" s="28" t="str">
        <f t="shared" si="208"/>
        <v/>
      </c>
      <c r="AC832" s="1" t="str">
        <f t="shared" si="209"/>
        <v/>
      </c>
      <c r="AD832" s="52">
        <f t="shared" si="206"/>
        <v>1</v>
      </c>
      <c r="AE832" t="str">
        <f t="shared" si="210"/>
        <v/>
      </c>
      <c r="AF832" t="str">
        <f t="shared" si="211"/>
        <v/>
      </c>
      <c r="AG832" t="str">
        <f t="shared" si="212"/>
        <v/>
      </c>
      <c r="AH832" t="str">
        <f t="shared" si="213"/>
        <v/>
      </c>
      <c r="AI832" t="str">
        <f t="shared" si="214"/>
        <v/>
      </c>
      <c r="AJ832" t="str">
        <f t="shared" si="215"/>
        <v/>
      </c>
      <c r="AK832" t="str">
        <f t="shared" si="216"/>
        <v/>
      </c>
      <c r="AL832" t="str">
        <f t="shared" si="217"/>
        <v/>
      </c>
      <c r="AN832" t="str">
        <f>IFERROR(ROUND(L832*(G832/$AW832)/VLOOKUP(F832,商品!$A$4:$D$67,4,FALSE),0),"")</f>
        <v/>
      </c>
      <c r="AO832" t="str">
        <f>IFERROR(ROUND(L832*(I832/$AW832)/VLOOKUP(H832,商品!$A$4:$D$67,4,FALSE),0),"")</f>
        <v/>
      </c>
      <c r="AP832" t="str">
        <f>IFERROR(ROUND(L832*(K832/$AW832)/VLOOKUP(J832,商品!$A$4:$D$67,4,FALSE),0),"")</f>
        <v/>
      </c>
      <c r="AQ832" t="str">
        <f>IFERROR(ROUND(S832*(N832/$AX832)/VLOOKUP(M832,职业!$A$3:$E$16,4,FALSE),0),"")</f>
        <v/>
      </c>
      <c r="AR832" t="str">
        <f>IFERROR(ROUND(S832*(P832/$AX832)/VLOOKUP(O832,职业!$A$3:$E$16,4,FALSE),0),"")</f>
        <v/>
      </c>
      <c r="AS832" t="str">
        <f>IFERROR(ROUND(S832*(R832/$AX832)/VLOOKUP(Q832,职业!$A$3:$E$16,4,FALSE),0),"")</f>
        <v/>
      </c>
      <c r="AT832" t="str">
        <f>IFERROR(ROUND(X832*(U832/$AY832)/VLOOKUP(T832,商品!$A$4:$D$67,4,FALSE),0),"")</f>
        <v/>
      </c>
      <c r="AU832" t="str">
        <f>IFERROR(ROUND(X832*(W832/$AY832)/VLOOKUP(V832,商品!$A$4:$D$67,4,FALSE),0),"")</f>
        <v/>
      </c>
      <c r="AW832">
        <f t="shared" si="218"/>
        <v>0</v>
      </c>
      <c r="AX832">
        <f t="shared" si="219"/>
        <v>0</v>
      </c>
      <c r="AY832">
        <f t="shared" si="220"/>
        <v>0</v>
      </c>
    </row>
    <row r="833" customHeight="1" spans="1:51">
      <c r="A833" s="18" t="s">
        <v>438</v>
      </c>
      <c r="C833" s="18">
        <v>2</v>
      </c>
      <c r="D833" s="1" t="s">
        <v>291</v>
      </c>
      <c r="E833" s="1" t="s">
        <v>225</v>
      </c>
      <c r="L833" s="18">
        <f>IFERROR(VLOOKUP($D833&amp;$C833,生产方式定位!$A$2:$E$38,2,FALSE)+VLOOKUP($E833&amp;$C833,生产方式定位!$F$3:$J$38,2,FALSE),0)</f>
        <v>0</v>
      </c>
      <c r="S833" s="18">
        <f>IFERROR(VLOOKUP($D833&amp;$C833,生产方式定位!$A$2:$E$38,3,FALSE)+VLOOKUP($E833&amp;$C833,生产方式定位!$F$3:$J$38,3,FALSE),0)</f>
        <v>100</v>
      </c>
      <c r="X833" s="18">
        <f>IFERROR(VLOOKUP($D833&amp;$C833,生产方式定位!$A$2:$E$38,5,FALSE)+VLOOKUP($E833&amp;$C833,生产方式定位!$F$3:$J$38,5,FALSE),"错误")</f>
        <v>100</v>
      </c>
      <c r="Y833" s="27" t="str">
        <f t="shared" si="204"/>
        <v/>
      </c>
      <c r="Z833" s="50" t="str">
        <f t="shared" si="207"/>
        <v/>
      </c>
      <c r="AA833" s="50" t="str">
        <f t="shared" si="205"/>
        <v/>
      </c>
      <c r="AB833" s="28" t="str">
        <f t="shared" si="208"/>
        <v/>
      </c>
      <c r="AC833" s="1" t="str">
        <f t="shared" si="209"/>
        <v/>
      </c>
      <c r="AD833" s="52">
        <f t="shared" si="206"/>
        <v>2</v>
      </c>
      <c r="AE833" t="str">
        <f t="shared" si="210"/>
        <v/>
      </c>
      <c r="AF833" t="str">
        <f t="shared" si="211"/>
        <v/>
      </c>
      <c r="AG833" t="str">
        <f t="shared" si="212"/>
        <v/>
      </c>
      <c r="AH833" t="str">
        <f t="shared" si="213"/>
        <v/>
      </c>
      <c r="AI833" t="str">
        <f t="shared" si="214"/>
        <v/>
      </c>
      <c r="AJ833" t="str">
        <f t="shared" si="215"/>
        <v/>
      </c>
      <c r="AK833" t="str">
        <f t="shared" si="216"/>
        <v/>
      </c>
      <c r="AL833" t="str">
        <f t="shared" si="217"/>
        <v/>
      </c>
      <c r="AN833" t="str">
        <f>IFERROR(ROUND(L833*(G833/$AW833)/VLOOKUP(F833,商品!$A$4:$D$67,4,FALSE),0),"")</f>
        <v/>
      </c>
      <c r="AO833" t="str">
        <f>IFERROR(ROUND(L833*(I833/$AW833)/VLOOKUP(H833,商品!$A$4:$D$67,4,FALSE),0),"")</f>
        <v/>
      </c>
      <c r="AP833" t="str">
        <f>IFERROR(ROUND(L833*(K833/$AW833)/VLOOKUP(J833,商品!$A$4:$D$67,4,FALSE),0),"")</f>
        <v/>
      </c>
      <c r="AQ833" t="str">
        <f>IFERROR(ROUND(S833*(N833/$AX833)/VLOOKUP(M833,职业!$A$3:$E$16,4,FALSE),0),"")</f>
        <v/>
      </c>
      <c r="AR833" t="str">
        <f>IFERROR(ROUND(S833*(P833/$AX833)/VLOOKUP(O833,职业!$A$3:$E$16,4,FALSE),0),"")</f>
        <v/>
      </c>
      <c r="AS833" t="str">
        <f>IFERROR(ROUND(S833*(R833/$AX833)/VLOOKUP(Q833,职业!$A$3:$E$16,4,FALSE),0),"")</f>
        <v/>
      </c>
      <c r="AT833" t="str">
        <f>IFERROR(ROUND(X833*(U833/$AY833)/VLOOKUP(T833,商品!$A$4:$D$67,4,FALSE),0),"")</f>
        <v/>
      </c>
      <c r="AU833" t="str">
        <f>IFERROR(ROUND(X833*(W833/$AY833)/VLOOKUP(V833,商品!$A$4:$D$67,4,FALSE),0),"")</f>
        <v/>
      </c>
      <c r="AW833">
        <f t="shared" si="218"/>
        <v>0</v>
      </c>
      <c r="AX833">
        <f t="shared" si="219"/>
        <v>0</v>
      </c>
      <c r="AY833">
        <f t="shared" si="220"/>
        <v>0</v>
      </c>
    </row>
    <row r="834" customHeight="1" spans="1:51">
      <c r="A834" s="18" t="s">
        <v>438</v>
      </c>
      <c r="C834" s="18">
        <v>3</v>
      </c>
      <c r="D834" s="1" t="s">
        <v>291</v>
      </c>
      <c r="E834" s="1" t="s">
        <v>225</v>
      </c>
      <c r="L834" s="18">
        <f>IFERROR(VLOOKUP($D834&amp;$C834,生产方式定位!$A$2:$E$38,2,FALSE)+VLOOKUP($E834&amp;$C834,生产方式定位!$F$3:$J$38,2,FALSE),0)</f>
        <v>0</v>
      </c>
      <c r="S834" s="18">
        <f>IFERROR(VLOOKUP($D834&amp;$C834,生产方式定位!$A$2:$E$38,3,FALSE)+VLOOKUP($E834&amp;$C834,生产方式定位!$F$3:$J$38,3,FALSE),0)</f>
        <v>100</v>
      </c>
      <c r="X834" s="18">
        <f>IFERROR(VLOOKUP($D834&amp;$C834,生产方式定位!$A$2:$E$38,5,FALSE)+VLOOKUP($E834&amp;$C834,生产方式定位!$F$3:$J$38,5,FALSE),"错误")</f>
        <v>100</v>
      </c>
      <c r="Y834" s="27" t="str">
        <f t="shared" si="204"/>
        <v/>
      </c>
      <c r="Z834" s="50" t="str">
        <f t="shared" si="207"/>
        <v/>
      </c>
      <c r="AA834" s="50" t="str">
        <f t="shared" si="205"/>
        <v/>
      </c>
      <c r="AB834" s="28" t="str">
        <f t="shared" si="208"/>
        <v/>
      </c>
      <c r="AC834" s="1" t="str">
        <f t="shared" si="209"/>
        <v/>
      </c>
      <c r="AD834" s="52">
        <f t="shared" si="206"/>
        <v>3</v>
      </c>
      <c r="AE834" t="str">
        <f t="shared" si="210"/>
        <v/>
      </c>
      <c r="AF834" t="str">
        <f t="shared" si="211"/>
        <v/>
      </c>
      <c r="AG834" t="str">
        <f t="shared" si="212"/>
        <v/>
      </c>
      <c r="AH834" t="str">
        <f t="shared" si="213"/>
        <v/>
      </c>
      <c r="AI834" t="str">
        <f t="shared" si="214"/>
        <v/>
      </c>
      <c r="AJ834" t="str">
        <f t="shared" si="215"/>
        <v/>
      </c>
      <c r="AK834" t="str">
        <f t="shared" si="216"/>
        <v/>
      </c>
      <c r="AL834" t="str">
        <f t="shared" si="217"/>
        <v/>
      </c>
      <c r="AN834" t="str">
        <f>IFERROR(ROUND(L834*(G834/$AW834)/VLOOKUP(F834,商品!$A$4:$D$67,4,FALSE),0),"")</f>
        <v/>
      </c>
      <c r="AO834" t="str">
        <f>IFERROR(ROUND(L834*(I834/$AW834)/VLOOKUP(H834,商品!$A$4:$D$67,4,FALSE),0),"")</f>
        <v/>
      </c>
      <c r="AP834" t="str">
        <f>IFERROR(ROUND(L834*(K834/$AW834)/VLOOKUP(J834,商品!$A$4:$D$67,4,FALSE),0),"")</f>
        <v/>
      </c>
      <c r="AQ834" t="str">
        <f>IFERROR(ROUND(S834*(N834/$AX834)/VLOOKUP(M834,职业!$A$3:$E$16,4,FALSE),0),"")</f>
        <v/>
      </c>
      <c r="AR834" t="str">
        <f>IFERROR(ROUND(S834*(P834/$AX834)/VLOOKUP(O834,职业!$A$3:$E$16,4,FALSE),0),"")</f>
        <v/>
      </c>
      <c r="AS834" t="str">
        <f>IFERROR(ROUND(S834*(R834/$AX834)/VLOOKUP(Q834,职业!$A$3:$E$16,4,FALSE),0),"")</f>
        <v/>
      </c>
      <c r="AT834" t="str">
        <f>IFERROR(ROUND(X834*(U834/$AY834)/VLOOKUP(T834,商品!$A$4:$D$67,4,FALSE),0),"")</f>
        <v/>
      </c>
      <c r="AU834" t="str">
        <f>IFERROR(ROUND(X834*(W834/$AY834)/VLOOKUP(V834,商品!$A$4:$D$67,4,FALSE),0),"")</f>
        <v/>
      </c>
      <c r="AW834">
        <f t="shared" si="218"/>
        <v>0</v>
      </c>
      <c r="AX834">
        <f t="shared" si="219"/>
        <v>0</v>
      </c>
      <c r="AY834">
        <f t="shared" si="220"/>
        <v>0</v>
      </c>
    </row>
    <row r="835" customHeight="1" spans="1:51">
      <c r="A835" s="18" t="s">
        <v>438</v>
      </c>
      <c r="C835" s="18">
        <v>4</v>
      </c>
      <c r="D835" s="1" t="s">
        <v>291</v>
      </c>
      <c r="E835" s="1" t="s">
        <v>225</v>
      </c>
      <c r="L835" s="18">
        <f>IFERROR(VLOOKUP($D835&amp;$C835,生产方式定位!$A$2:$E$38,2,FALSE)+VLOOKUP($E835&amp;$C835,生产方式定位!$F$3:$J$38,2,FALSE),0)</f>
        <v>0</v>
      </c>
      <c r="S835" s="18">
        <f>IFERROR(VLOOKUP($D835&amp;$C835,生产方式定位!$A$2:$E$38,3,FALSE)+VLOOKUP($E835&amp;$C835,生产方式定位!$F$3:$J$38,3,FALSE),0)</f>
        <v>100</v>
      </c>
      <c r="X835" s="18">
        <f>IFERROR(VLOOKUP($D835&amp;$C835,生产方式定位!$A$2:$E$38,5,FALSE)+VLOOKUP($E835&amp;$C835,生产方式定位!$F$3:$J$38,5,FALSE),"错误")</f>
        <v>100</v>
      </c>
      <c r="Y835" s="27" t="str">
        <f t="shared" si="204"/>
        <v/>
      </c>
      <c r="Z835" s="50" t="str">
        <f t="shared" si="207"/>
        <v/>
      </c>
      <c r="AA835" s="50" t="str">
        <f t="shared" si="205"/>
        <v/>
      </c>
      <c r="AB835" s="28" t="str">
        <f t="shared" si="208"/>
        <v/>
      </c>
      <c r="AC835" s="1" t="str">
        <f t="shared" si="209"/>
        <v/>
      </c>
      <c r="AD835" s="52">
        <f t="shared" si="206"/>
        <v>4</v>
      </c>
      <c r="AE835" t="str">
        <f t="shared" si="210"/>
        <v/>
      </c>
      <c r="AF835" t="str">
        <f t="shared" si="211"/>
        <v/>
      </c>
      <c r="AG835" t="str">
        <f t="shared" si="212"/>
        <v/>
      </c>
      <c r="AH835" t="str">
        <f t="shared" si="213"/>
        <v/>
      </c>
      <c r="AI835" t="str">
        <f t="shared" si="214"/>
        <v/>
      </c>
      <c r="AJ835" t="str">
        <f t="shared" si="215"/>
        <v/>
      </c>
      <c r="AK835" t="str">
        <f t="shared" si="216"/>
        <v/>
      </c>
      <c r="AL835" t="str">
        <f t="shared" si="217"/>
        <v/>
      </c>
      <c r="AN835" t="str">
        <f>IFERROR(ROUND(L835*(G835/$AW835)/VLOOKUP(F835,商品!$A$4:$D$67,4,FALSE),0),"")</f>
        <v/>
      </c>
      <c r="AO835" t="str">
        <f>IFERROR(ROUND(L835*(I835/$AW835)/VLOOKUP(H835,商品!$A$4:$D$67,4,FALSE),0),"")</f>
        <v/>
      </c>
      <c r="AP835" t="str">
        <f>IFERROR(ROUND(L835*(K835/$AW835)/VLOOKUP(J835,商品!$A$4:$D$67,4,FALSE),0),"")</f>
        <v/>
      </c>
      <c r="AQ835" t="str">
        <f>IFERROR(ROUND(S835*(N835/$AX835)/VLOOKUP(M835,职业!$A$3:$E$16,4,FALSE),0),"")</f>
        <v/>
      </c>
      <c r="AR835" t="str">
        <f>IFERROR(ROUND(S835*(P835/$AX835)/VLOOKUP(O835,职业!$A$3:$E$16,4,FALSE),0),"")</f>
        <v/>
      </c>
      <c r="AS835" t="str">
        <f>IFERROR(ROUND(S835*(R835/$AX835)/VLOOKUP(Q835,职业!$A$3:$E$16,4,FALSE),0),"")</f>
        <v/>
      </c>
      <c r="AT835" t="str">
        <f>IFERROR(ROUND(X835*(U835/$AY835)/VLOOKUP(T835,商品!$A$4:$D$67,4,FALSE),0),"")</f>
        <v/>
      </c>
      <c r="AU835" t="str">
        <f>IFERROR(ROUND(X835*(W835/$AY835)/VLOOKUP(V835,商品!$A$4:$D$67,4,FALSE),0),"")</f>
        <v/>
      </c>
      <c r="AW835">
        <f t="shared" si="218"/>
        <v>0</v>
      </c>
      <c r="AX835">
        <f t="shared" si="219"/>
        <v>0</v>
      </c>
      <c r="AY835">
        <f t="shared" si="220"/>
        <v>0</v>
      </c>
    </row>
    <row r="836" customHeight="1" spans="1:51">
      <c r="A836" s="18" t="s">
        <v>438</v>
      </c>
      <c r="C836" s="18">
        <v>5</v>
      </c>
      <c r="D836" s="1" t="s">
        <v>291</v>
      </c>
      <c r="E836" s="1" t="s">
        <v>225</v>
      </c>
      <c r="L836" s="18">
        <f>IFERROR(VLOOKUP($D836&amp;$C836,生产方式定位!$A$2:$E$38,2,FALSE)+VLOOKUP($E836&amp;$C836,生产方式定位!$F$3:$J$38,2,FALSE),0)</f>
        <v>0</v>
      </c>
      <c r="S836" s="18">
        <f>IFERROR(VLOOKUP($D836&amp;$C836,生产方式定位!$A$2:$E$38,3,FALSE)+VLOOKUP($E836&amp;$C836,生产方式定位!$F$3:$J$38,3,FALSE),0)</f>
        <v>100</v>
      </c>
      <c r="X836" s="18">
        <f>IFERROR(VLOOKUP($D836&amp;$C836,生产方式定位!$A$2:$E$38,5,FALSE)+VLOOKUP($E836&amp;$C836,生产方式定位!$F$3:$J$38,5,FALSE),"错误")</f>
        <v>100</v>
      </c>
      <c r="Y836" s="27" t="str">
        <f t="shared" si="204"/>
        <v/>
      </c>
      <c r="Z836" s="50" t="str">
        <f t="shared" si="207"/>
        <v/>
      </c>
      <c r="AA836" s="50" t="str">
        <f t="shared" si="205"/>
        <v/>
      </c>
      <c r="AB836" s="28" t="str">
        <f t="shared" si="208"/>
        <v/>
      </c>
      <c r="AC836" s="1" t="str">
        <f t="shared" si="209"/>
        <v/>
      </c>
      <c r="AD836" s="52">
        <f t="shared" si="206"/>
        <v>5</v>
      </c>
      <c r="AE836" t="str">
        <f t="shared" si="210"/>
        <v/>
      </c>
      <c r="AF836" t="str">
        <f t="shared" si="211"/>
        <v/>
      </c>
      <c r="AG836" t="str">
        <f t="shared" si="212"/>
        <v/>
      </c>
      <c r="AH836" t="str">
        <f t="shared" si="213"/>
        <v/>
      </c>
      <c r="AI836" t="str">
        <f t="shared" si="214"/>
        <v/>
      </c>
      <c r="AJ836" t="str">
        <f t="shared" si="215"/>
        <v/>
      </c>
      <c r="AK836" t="str">
        <f t="shared" si="216"/>
        <v/>
      </c>
      <c r="AL836" t="str">
        <f t="shared" si="217"/>
        <v/>
      </c>
      <c r="AN836" t="str">
        <f>IFERROR(ROUND(L836*(G836/$AW836)/VLOOKUP(F836,商品!$A$4:$D$67,4,FALSE),0),"")</f>
        <v/>
      </c>
      <c r="AO836" t="str">
        <f>IFERROR(ROUND(L836*(I836/$AW836)/VLOOKUP(H836,商品!$A$4:$D$67,4,FALSE),0),"")</f>
        <v/>
      </c>
      <c r="AP836" t="str">
        <f>IFERROR(ROUND(L836*(K836/$AW836)/VLOOKUP(J836,商品!$A$4:$D$67,4,FALSE),0),"")</f>
        <v/>
      </c>
      <c r="AQ836" t="str">
        <f>IFERROR(ROUND(S836*(N836/$AX836)/VLOOKUP(M836,职业!$A$3:$E$16,4,FALSE),0),"")</f>
        <v/>
      </c>
      <c r="AR836" t="str">
        <f>IFERROR(ROUND(S836*(P836/$AX836)/VLOOKUP(O836,职业!$A$3:$E$16,4,FALSE),0),"")</f>
        <v/>
      </c>
      <c r="AS836" t="str">
        <f>IFERROR(ROUND(S836*(R836/$AX836)/VLOOKUP(Q836,职业!$A$3:$E$16,4,FALSE),0),"")</f>
        <v/>
      </c>
      <c r="AT836" t="str">
        <f>IFERROR(ROUND(X836*(U836/$AY836)/VLOOKUP(T836,商品!$A$4:$D$67,4,FALSE),0),"")</f>
        <v/>
      </c>
      <c r="AU836" t="str">
        <f>IFERROR(ROUND(X836*(W836/$AY836)/VLOOKUP(V836,商品!$A$4:$D$67,4,FALSE),0),"")</f>
        <v/>
      </c>
      <c r="AW836">
        <f t="shared" si="218"/>
        <v>0</v>
      </c>
      <c r="AX836">
        <f t="shared" si="219"/>
        <v>0</v>
      </c>
      <c r="AY836">
        <f t="shared" si="220"/>
        <v>0</v>
      </c>
    </row>
    <row r="837" customHeight="1" spans="1:51">
      <c r="A837" s="18" t="s">
        <v>438</v>
      </c>
      <c r="C837" s="18">
        <v>6</v>
      </c>
      <c r="D837" s="1" t="s">
        <v>291</v>
      </c>
      <c r="E837" s="1" t="s">
        <v>225</v>
      </c>
      <c r="L837" s="18">
        <f>IFERROR(VLOOKUP($D837&amp;$C837,生产方式定位!$A$2:$E$38,2,FALSE)+VLOOKUP($E837&amp;$C837,生产方式定位!$F$3:$J$38,2,FALSE),0)</f>
        <v>0</v>
      </c>
      <c r="S837" s="18">
        <f>IFERROR(VLOOKUP($D837&amp;$C837,生产方式定位!$A$2:$E$38,3,FALSE)+VLOOKUP($E837&amp;$C837,生产方式定位!$F$3:$J$38,3,FALSE),0)</f>
        <v>100</v>
      </c>
      <c r="X837" s="18">
        <f>IFERROR(VLOOKUP($D837&amp;$C837,生产方式定位!$A$2:$E$38,5,FALSE)+VLOOKUP($E837&amp;$C837,生产方式定位!$F$3:$J$38,5,FALSE),"错误")</f>
        <v>100</v>
      </c>
      <c r="Y837" s="27" t="str">
        <f t="shared" ref="Y837:Y900" si="221">IF(AE837="","",AE837)&amp;IF(AF837="","",","&amp;AF837)&amp;IF(AG837="","",","&amp;AG837)</f>
        <v/>
      </c>
      <c r="Z837" s="50" t="str">
        <f t="shared" si="207"/>
        <v/>
      </c>
      <c r="AA837" s="50" t="str">
        <f t="shared" ref="AA837:AA900" si="222">IF(AK837="","",AK837)&amp;IF(AL837="","",","&amp;AL837)</f>
        <v/>
      </c>
      <c r="AB837" s="28" t="str">
        <f t="shared" si="208"/>
        <v/>
      </c>
      <c r="AC837" s="1" t="str">
        <f t="shared" si="209"/>
        <v/>
      </c>
      <c r="AD837" s="52">
        <f t="shared" ref="AD837:AD900" si="223">C837</f>
        <v>6</v>
      </c>
      <c r="AE837" t="str">
        <f t="shared" si="210"/>
        <v/>
      </c>
      <c r="AF837" t="str">
        <f t="shared" si="211"/>
        <v/>
      </c>
      <c r="AG837" t="str">
        <f t="shared" si="212"/>
        <v/>
      </c>
      <c r="AH837" t="str">
        <f t="shared" si="213"/>
        <v/>
      </c>
      <c r="AI837" t="str">
        <f t="shared" si="214"/>
        <v/>
      </c>
      <c r="AJ837" t="str">
        <f t="shared" si="215"/>
        <v/>
      </c>
      <c r="AK837" t="str">
        <f t="shared" si="216"/>
        <v/>
      </c>
      <c r="AL837" t="str">
        <f t="shared" si="217"/>
        <v/>
      </c>
      <c r="AN837" t="str">
        <f>IFERROR(ROUND(L837*(G837/$AW837)/VLOOKUP(F837,商品!$A$4:$D$67,4,FALSE),0),"")</f>
        <v/>
      </c>
      <c r="AO837" t="str">
        <f>IFERROR(ROUND(L837*(I837/$AW837)/VLOOKUP(H837,商品!$A$4:$D$67,4,FALSE),0),"")</f>
        <v/>
      </c>
      <c r="AP837" t="str">
        <f>IFERROR(ROUND(L837*(K837/$AW837)/VLOOKUP(J837,商品!$A$4:$D$67,4,FALSE),0),"")</f>
        <v/>
      </c>
      <c r="AQ837" t="str">
        <f>IFERROR(ROUND(S837*(N837/$AX837)/VLOOKUP(M837,职业!$A$3:$E$16,4,FALSE),0),"")</f>
        <v/>
      </c>
      <c r="AR837" t="str">
        <f>IFERROR(ROUND(S837*(P837/$AX837)/VLOOKUP(O837,职业!$A$3:$E$16,4,FALSE),0),"")</f>
        <v/>
      </c>
      <c r="AS837" t="str">
        <f>IFERROR(ROUND(S837*(R837/$AX837)/VLOOKUP(Q837,职业!$A$3:$E$16,4,FALSE),0),"")</f>
        <v/>
      </c>
      <c r="AT837" t="str">
        <f>IFERROR(ROUND(X837*(U837/$AY837)/VLOOKUP(T837,商品!$A$4:$D$67,4,FALSE),0),"")</f>
        <v/>
      </c>
      <c r="AU837" t="str">
        <f>IFERROR(ROUND(X837*(W837/$AY837)/VLOOKUP(V837,商品!$A$4:$D$67,4,FALSE),0),"")</f>
        <v/>
      </c>
      <c r="AW837">
        <f t="shared" si="218"/>
        <v>0</v>
      </c>
      <c r="AX837">
        <f t="shared" si="219"/>
        <v>0</v>
      </c>
      <c r="AY837">
        <f t="shared" si="220"/>
        <v>0</v>
      </c>
    </row>
    <row r="838" customHeight="1" spans="1:51">
      <c r="A838" s="18" t="s">
        <v>438</v>
      </c>
      <c r="C838" s="18">
        <v>7</v>
      </c>
      <c r="D838" s="1" t="s">
        <v>291</v>
      </c>
      <c r="E838" s="1" t="s">
        <v>225</v>
      </c>
      <c r="L838" s="18">
        <f>IFERROR(VLOOKUP($D838&amp;$C838,生产方式定位!$A$2:$E$38,2,FALSE)+VLOOKUP($E838&amp;$C838,生产方式定位!$F$3:$J$38,2,FALSE),0)</f>
        <v>0</v>
      </c>
      <c r="S838" s="18">
        <f>IFERROR(VLOOKUP($D838&amp;$C838,生产方式定位!$A$2:$E$38,3,FALSE)+VLOOKUP($E838&amp;$C838,生产方式定位!$F$3:$J$38,3,FALSE),0)</f>
        <v>100</v>
      </c>
      <c r="X838" s="18">
        <f>IFERROR(VLOOKUP($D838&amp;$C838,生产方式定位!$A$2:$E$38,5,FALSE)+VLOOKUP($E838&amp;$C838,生产方式定位!$F$3:$J$38,5,FALSE),"错误")</f>
        <v>100</v>
      </c>
      <c r="Y838" s="27" t="str">
        <f t="shared" si="221"/>
        <v/>
      </c>
      <c r="Z838" s="50" t="str">
        <f t="shared" ref="Z838:Z901" si="224">IF(AH838="","",AH838)&amp;IF(AI838="","",","&amp;AI838)&amp;IF(AJ838="","",","&amp;AJ838)</f>
        <v/>
      </c>
      <c r="AA838" s="50" t="str">
        <f t="shared" si="222"/>
        <v/>
      </c>
      <c r="AB838" s="28" t="str">
        <f t="shared" ref="AB838:AB901" si="225">IFERROR(ROUND(((X838/L838)-1)*100,0)&amp;"%","")</f>
        <v/>
      </c>
      <c r="AC838" s="1" t="str">
        <f t="shared" ref="AC838:AC901" si="226">IF(X838-S838-L838=0,"",X838-S838-L838)</f>
        <v/>
      </c>
      <c r="AD838" s="52">
        <f t="shared" si="223"/>
        <v>7</v>
      </c>
      <c r="AE838" t="str">
        <f t="shared" ref="AE838:AE901" si="227">IF(AN838="","",F838&amp;"*"&amp;AN838)</f>
        <v/>
      </c>
      <c r="AF838" t="str">
        <f t="shared" ref="AF838:AF901" si="228">IF(AO838="","",H838&amp;"*"&amp;AO838)</f>
        <v/>
      </c>
      <c r="AG838" t="str">
        <f t="shared" ref="AG838:AG901" si="229">IF(AP838="","",J838&amp;"*"&amp;AP838)</f>
        <v/>
      </c>
      <c r="AH838" t="str">
        <f t="shared" ref="AH838:AH901" si="230">IF(AQ838="","",M838&amp;"*"&amp;AQ838)</f>
        <v/>
      </c>
      <c r="AI838" t="str">
        <f t="shared" ref="AI838:AI901" si="231">IF(AR838="","",O838&amp;"*"&amp;AR838)</f>
        <v/>
      </c>
      <c r="AJ838" t="str">
        <f t="shared" ref="AJ838:AJ901" si="232">IF(AS838="","",Q838&amp;"*"&amp;AS838)</f>
        <v/>
      </c>
      <c r="AK838" t="str">
        <f t="shared" ref="AK838:AK901" si="233">IF(AT838="","",T838&amp;"*"&amp;AT838)</f>
        <v/>
      </c>
      <c r="AL838" t="str">
        <f t="shared" ref="AL838:AL901" si="234">IF(AU838="","",V838&amp;"*"&amp;AU838)</f>
        <v/>
      </c>
      <c r="AN838" t="str">
        <f>IFERROR(ROUND(L838*(G838/$AW838)/VLOOKUP(F838,商品!$A$4:$D$67,4,FALSE),0),"")</f>
        <v/>
      </c>
      <c r="AO838" t="str">
        <f>IFERROR(ROUND(L838*(I838/$AW838)/VLOOKUP(H838,商品!$A$4:$D$67,4,FALSE),0),"")</f>
        <v/>
      </c>
      <c r="AP838" t="str">
        <f>IFERROR(ROUND(L838*(K838/$AW838)/VLOOKUP(J838,商品!$A$4:$D$67,4,FALSE),0),"")</f>
        <v/>
      </c>
      <c r="AQ838" t="str">
        <f>IFERROR(ROUND(S838*(N838/$AX838)/VLOOKUP(M838,职业!$A$3:$E$16,4,FALSE),0),"")</f>
        <v/>
      </c>
      <c r="AR838" t="str">
        <f>IFERROR(ROUND(S838*(P838/$AX838)/VLOOKUP(O838,职业!$A$3:$E$16,4,FALSE),0),"")</f>
        <v/>
      </c>
      <c r="AS838" t="str">
        <f>IFERROR(ROUND(S838*(R838/$AX838)/VLOOKUP(Q838,职业!$A$3:$E$16,4,FALSE),0),"")</f>
        <v/>
      </c>
      <c r="AT838" t="str">
        <f>IFERROR(ROUND(X838*(U838/$AY838)/VLOOKUP(T838,商品!$A$4:$D$67,4,FALSE),0),"")</f>
        <v/>
      </c>
      <c r="AU838" t="str">
        <f>IFERROR(ROUND(X838*(W838/$AY838)/VLOOKUP(V838,商品!$A$4:$D$67,4,FALSE),0),"")</f>
        <v/>
      </c>
      <c r="AW838">
        <f t="shared" ref="AW838:AW901" si="235">G838+I838+K838</f>
        <v>0</v>
      </c>
      <c r="AX838">
        <f t="shared" ref="AX838:AX901" si="236">ABS(N838)+ABS(P838)+ABS(R838)</f>
        <v>0</v>
      </c>
      <c r="AY838">
        <f t="shared" ref="AY838:AY901" si="237">U838+W838</f>
        <v>0</v>
      </c>
    </row>
    <row r="839" customHeight="1" spans="1:51">
      <c r="A839" s="18" t="s">
        <v>438</v>
      </c>
      <c r="C839" s="18">
        <v>8</v>
      </c>
      <c r="D839" s="1" t="s">
        <v>291</v>
      </c>
      <c r="E839" s="1" t="s">
        <v>225</v>
      </c>
      <c r="L839" s="18">
        <f>IFERROR(VLOOKUP($D839&amp;$C839,生产方式定位!$A$2:$E$38,2,FALSE)+VLOOKUP($E839&amp;$C839,生产方式定位!$F$3:$J$38,2,FALSE),0)</f>
        <v>0</v>
      </c>
      <c r="S839" s="18">
        <f>IFERROR(VLOOKUP($D839&amp;$C839,生产方式定位!$A$2:$E$38,3,FALSE)+VLOOKUP($E839&amp;$C839,生产方式定位!$F$3:$J$38,3,FALSE),0)</f>
        <v>100</v>
      </c>
      <c r="X839" s="18">
        <f>IFERROR(VLOOKUP($D839&amp;$C839,生产方式定位!$A$2:$E$38,5,FALSE)+VLOOKUP($E839&amp;$C839,生产方式定位!$F$3:$J$38,5,FALSE),"错误")</f>
        <v>100</v>
      </c>
      <c r="Y839" s="27" t="str">
        <f t="shared" si="221"/>
        <v/>
      </c>
      <c r="Z839" s="50" t="str">
        <f t="shared" si="224"/>
        <v/>
      </c>
      <c r="AA839" s="50" t="str">
        <f t="shared" si="222"/>
        <v/>
      </c>
      <c r="AB839" s="28" t="str">
        <f t="shared" si="225"/>
        <v/>
      </c>
      <c r="AC839" s="1" t="str">
        <f t="shared" si="226"/>
        <v/>
      </c>
      <c r="AD839" s="52">
        <f t="shared" si="223"/>
        <v>8</v>
      </c>
      <c r="AE839" t="str">
        <f t="shared" si="227"/>
        <v/>
      </c>
      <c r="AF839" t="str">
        <f t="shared" si="228"/>
        <v/>
      </c>
      <c r="AG839" t="str">
        <f t="shared" si="229"/>
        <v/>
      </c>
      <c r="AH839" t="str">
        <f t="shared" si="230"/>
        <v/>
      </c>
      <c r="AI839" t="str">
        <f t="shared" si="231"/>
        <v/>
      </c>
      <c r="AJ839" t="str">
        <f t="shared" si="232"/>
        <v/>
      </c>
      <c r="AK839" t="str">
        <f t="shared" si="233"/>
        <v/>
      </c>
      <c r="AL839" t="str">
        <f t="shared" si="234"/>
        <v/>
      </c>
      <c r="AN839" t="str">
        <f>IFERROR(ROUND(L839*(G839/$AW839)/VLOOKUP(F839,商品!$A$4:$D$67,4,FALSE),0),"")</f>
        <v/>
      </c>
      <c r="AO839" t="str">
        <f>IFERROR(ROUND(L839*(I839/$AW839)/VLOOKUP(H839,商品!$A$4:$D$67,4,FALSE),0),"")</f>
        <v/>
      </c>
      <c r="AP839" t="str">
        <f>IFERROR(ROUND(L839*(K839/$AW839)/VLOOKUP(J839,商品!$A$4:$D$67,4,FALSE),0),"")</f>
        <v/>
      </c>
      <c r="AQ839" t="str">
        <f>IFERROR(ROUND(S839*(N839/$AX839)/VLOOKUP(M839,职业!$A$3:$E$16,4,FALSE),0),"")</f>
        <v/>
      </c>
      <c r="AR839" t="str">
        <f>IFERROR(ROUND(S839*(P839/$AX839)/VLOOKUP(O839,职业!$A$3:$E$16,4,FALSE),0),"")</f>
        <v/>
      </c>
      <c r="AS839" t="str">
        <f>IFERROR(ROUND(S839*(R839/$AX839)/VLOOKUP(Q839,职业!$A$3:$E$16,4,FALSE),0),"")</f>
        <v/>
      </c>
      <c r="AT839" t="str">
        <f>IFERROR(ROUND(X839*(U839/$AY839)/VLOOKUP(T839,商品!$A$4:$D$67,4,FALSE),0),"")</f>
        <v/>
      </c>
      <c r="AU839" t="str">
        <f>IFERROR(ROUND(X839*(W839/$AY839)/VLOOKUP(V839,商品!$A$4:$D$67,4,FALSE),0),"")</f>
        <v/>
      </c>
      <c r="AW839">
        <f t="shared" si="235"/>
        <v>0</v>
      </c>
      <c r="AX839">
        <f t="shared" si="236"/>
        <v>0</v>
      </c>
      <c r="AY839">
        <f t="shared" si="237"/>
        <v>0</v>
      </c>
    </row>
    <row r="840" customHeight="1" spans="1:51">
      <c r="A840" s="5" t="s">
        <v>440</v>
      </c>
      <c r="C840" s="5">
        <v>1</v>
      </c>
      <c r="D840" s="1" t="s">
        <v>220</v>
      </c>
      <c r="E840" s="1" t="s">
        <v>222</v>
      </c>
      <c r="L840" s="5">
        <f>IFERROR(VLOOKUP($D840&amp;$C840,生产方式定位!$A$2:$E$38,2,FALSE)+VLOOKUP($E840&amp;$C840,生产方式定位!$F$3:$J$38,2,FALSE),0)</f>
        <v>500</v>
      </c>
      <c r="S840" s="5">
        <f>IFERROR(VLOOKUP($D840&amp;$C840,生产方式定位!$A$2:$E$38,3,FALSE)+VLOOKUP($E840&amp;$C840,生产方式定位!$F$3:$J$38,3,FALSE),0)</f>
        <v>150</v>
      </c>
      <c r="X840" s="5">
        <f>IFERROR(VLOOKUP($D840&amp;$C840,生产方式定位!$A$2:$E$38,5,FALSE)+VLOOKUP($E840&amp;$C840,生产方式定位!$F$3:$J$38,5,FALSE),"错误")</f>
        <v>715</v>
      </c>
      <c r="Y840" s="27" t="str">
        <f t="shared" si="221"/>
        <v/>
      </c>
      <c r="Z840" s="50" t="str">
        <f t="shared" si="224"/>
        <v/>
      </c>
      <c r="AA840" s="50" t="str">
        <f t="shared" si="222"/>
        <v/>
      </c>
      <c r="AB840" s="28" t="str">
        <f t="shared" si="225"/>
        <v>43%</v>
      </c>
      <c r="AC840" s="1">
        <f t="shared" si="226"/>
        <v>65</v>
      </c>
      <c r="AD840" s="51">
        <f t="shared" si="223"/>
        <v>1</v>
      </c>
      <c r="AE840" t="str">
        <f t="shared" si="227"/>
        <v/>
      </c>
      <c r="AF840" t="str">
        <f t="shared" si="228"/>
        <v/>
      </c>
      <c r="AG840" t="str">
        <f t="shared" si="229"/>
        <v/>
      </c>
      <c r="AH840" t="str">
        <f t="shared" si="230"/>
        <v/>
      </c>
      <c r="AI840" t="str">
        <f t="shared" si="231"/>
        <v/>
      </c>
      <c r="AJ840" t="str">
        <f t="shared" si="232"/>
        <v/>
      </c>
      <c r="AK840" t="str">
        <f t="shared" si="233"/>
        <v/>
      </c>
      <c r="AL840" t="str">
        <f t="shared" si="234"/>
        <v/>
      </c>
      <c r="AN840" t="str">
        <f>IFERROR(ROUND(L840*(G840/$AW840)/VLOOKUP(F840,商品!$A$4:$D$67,4,FALSE),0),"")</f>
        <v/>
      </c>
      <c r="AO840" t="str">
        <f>IFERROR(ROUND(L840*(I840/$AW840)/VLOOKUP(H840,商品!$A$4:$D$67,4,FALSE),0),"")</f>
        <v/>
      </c>
      <c r="AP840" t="str">
        <f>IFERROR(ROUND(L840*(K840/$AW840)/VLOOKUP(J840,商品!$A$4:$D$67,4,FALSE),0),"")</f>
        <v/>
      </c>
      <c r="AQ840" t="str">
        <f>IFERROR(ROUND(S840*(N840/$AX840)/VLOOKUP(M840,职业!$A$3:$E$16,4,FALSE),0),"")</f>
        <v/>
      </c>
      <c r="AR840" t="str">
        <f>IFERROR(ROUND(S840*(P840/$AX840)/VLOOKUP(O840,职业!$A$3:$E$16,4,FALSE),0),"")</f>
        <v/>
      </c>
      <c r="AS840" t="str">
        <f>IFERROR(ROUND(S840*(R840/$AX840)/VLOOKUP(Q840,职业!$A$3:$E$16,4,FALSE),0),"")</f>
        <v/>
      </c>
      <c r="AT840" t="str">
        <f>IFERROR(ROUND(X840*(U840/$AY840)/VLOOKUP(T840,商品!$A$4:$D$67,4,FALSE),0),"")</f>
        <v/>
      </c>
      <c r="AU840" t="str">
        <f>IFERROR(ROUND(X840*(W840/$AY840)/VLOOKUP(V840,商品!$A$4:$D$67,4,FALSE),0),"")</f>
        <v/>
      </c>
      <c r="AW840">
        <f t="shared" si="235"/>
        <v>0</v>
      </c>
      <c r="AX840">
        <f t="shared" si="236"/>
        <v>0</v>
      </c>
      <c r="AY840">
        <f t="shared" si="237"/>
        <v>0</v>
      </c>
    </row>
    <row r="841" customHeight="1" spans="1:51">
      <c r="A841" s="5" t="s">
        <v>440</v>
      </c>
      <c r="C841" s="5">
        <v>2</v>
      </c>
      <c r="D841" s="1" t="s">
        <v>220</v>
      </c>
      <c r="E841" s="1" t="s">
        <v>222</v>
      </c>
      <c r="L841" s="5">
        <f>IFERROR(VLOOKUP($D841&amp;$C841,生产方式定位!$A$2:$E$38,2,FALSE)+VLOOKUP($E841&amp;$C841,生产方式定位!$F$3:$J$38,2,FALSE),0)</f>
        <v>1200</v>
      </c>
      <c r="S841" s="5">
        <f>IFERROR(VLOOKUP($D841&amp;$C841,生产方式定位!$A$2:$E$38,3,FALSE)+VLOOKUP($E841&amp;$C841,生产方式定位!$F$3:$J$38,3,FALSE),0)</f>
        <v>140</v>
      </c>
      <c r="X841" s="5">
        <f>IFERROR(VLOOKUP($D841&amp;$C841,生产方式定位!$A$2:$E$38,5,FALSE)+VLOOKUP($E841&amp;$C841,生产方式定位!$F$3:$J$38,5,FALSE),"错误")</f>
        <v>1390</v>
      </c>
      <c r="Y841" s="27" t="str">
        <f t="shared" si="221"/>
        <v/>
      </c>
      <c r="Z841" s="50" t="str">
        <f t="shared" si="224"/>
        <v/>
      </c>
      <c r="AA841" s="50" t="str">
        <f t="shared" si="222"/>
        <v/>
      </c>
      <c r="AB841" s="28" t="str">
        <f t="shared" si="225"/>
        <v>16%</v>
      </c>
      <c r="AC841" s="1">
        <f t="shared" si="226"/>
        <v>50</v>
      </c>
      <c r="AD841" s="51">
        <f t="shared" si="223"/>
        <v>2</v>
      </c>
      <c r="AE841" t="str">
        <f t="shared" si="227"/>
        <v/>
      </c>
      <c r="AF841" t="str">
        <f t="shared" si="228"/>
        <v/>
      </c>
      <c r="AG841" t="str">
        <f t="shared" si="229"/>
        <v/>
      </c>
      <c r="AH841" t="str">
        <f t="shared" si="230"/>
        <v/>
      </c>
      <c r="AI841" t="str">
        <f t="shared" si="231"/>
        <v/>
      </c>
      <c r="AJ841" t="str">
        <f t="shared" si="232"/>
        <v/>
      </c>
      <c r="AK841" t="str">
        <f t="shared" si="233"/>
        <v/>
      </c>
      <c r="AL841" t="str">
        <f t="shared" si="234"/>
        <v/>
      </c>
      <c r="AN841" t="str">
        <f>IFERROR(ROUND(L841*(G841/$AW841)/VLOOKUP(F841,商品!$A$4:$D$67,4,FALSE),0),"")</f>
        <v/>
      </c>
      <c r="AO841" t="str">
        <f>IFERROR(ROUND(L841*(I841/$AW841)/VLOOKUP(H841,商品!$A$4:$D$67,4,FALSE),0),"")</f>
        <v/>
      </c>
      <c r="AP841" t="str">
        <f>IFERROR(ROUND(L841*(K841/$AW841)/VLOOKUP(J841,商品!$A$4:$D$67,4,FALSE),0),"")</f>
        <v/>
      </c>
      <c r="AQ841" t="str">
        <f>IFERROR(ROUND(S841*(N841/$AX841)/VLOOKUP(M841,职业!$A$3:$E$16,4,FALSE),0),"")</f>
        <v/>
      </c>
      <c r="AR841" t="str">
        <f>IFERROR(ROUND(S841*(P841/$AX841)/VLOOKUP(O841,职业!$A$3:$E$16,4,FALSE),0),"")</f>
        <v/>
      </c>
      <c r="AS841" t="str">
        <f>IFERROR(ROUND(S841*(R841/$AX841)/VLOOKUP(Q841,职业!$A$3:$E$16,4,FALSE),0),"")</f>
        <v/>
      </c>
      <c r="AT841" t="str">
        <f>IFERROR(ROUND(X841*(U841/$AY841)/VLOOKUP(T841,商品!$A$4:$D$67,4,FALSE),0),"")</f>
        <v/>
      </c>
      <c r="AU841" t="str">
        <f>IFERROR(ROUND(X841*(W841/$AY841)/VLOOKUP(V841,商品!$A$4:$D$67,4,FALSE),0),"")</f>
        <v/>
      </c>
      <c r="AW841">
        <f t="shared" si="235"/>
        <v>0</v>
      </c>
      <c r="AX841">
        <f t="shared" si="236"/>
        <v>0</v>
      </c>
      <c r="AY841">
        <f t="shared" si="237"/>
        <v>0</v>
      </c>
    </row>
    <row r="842" customHeight="1" spans="1:51">
      <c r="A842" s="5" t="s">
        <v>440</v>
      </c>
      <c r="C842" s="5">
        <v>3</v>
      </c>
      <c r="D842" s="1" t="s">
        <v>220</v>
      </c>
      <c r="E842" s="1" t="s">
        <v>222</v>
      </c>
      <c r="L842" s="5">
        <f>IFERROR(VLOOKUP($D842&amp;$C842,生产方式定位!$A$2:$E$38,2,FALSE)+VLOOKUP($E842&amp;$C842,生产方式定位!$F$3:$J$38,2,FALSE),0)</f>
        <v>1525</v>
      </c>
      <c r="S842" s="5">
        <f>IFERROR(VLOOKUP($D842&amp;$C842,生产方式定位!$A$2:$E$38,3,FALSE)+VLOOKUP($E842&amp;$C842,生产方式定位!$F$3:$J$38,3,FALSE),0)</f>
        <v>130</v>
      </c>
      <c r="X842" s="5">
        <f>IFERROR(VLOOKUP($D842&amp;$C842,生产方式定位!$A$2:$E$38,5,FALSE)+VLOOKUP($E842&amp;$C842,生产方式定位!$F$3:$J$38,5,FALSE),"错误")</f>
        <v>1718</v>
      </c>
      <c r="Y842" s="27" t="str">
        <f t="shared" si="221"/>
        <v/>
      </c>
      <c r="Z842" s="50" t="str">
        <f t="shared" si="224"/>
        <v/>
      </c>
      <c r="AA842" s="50" t="str">
        <f t="shared" si="222"/>
        <v/>
      </c>
      <c r="AB842" s="28" t="str">
        <f t="shared" si="225"/>
        <v>13%</v>
      </c>
      <c r="AC842" s="1">
        <f t="shared" si="226"/>
        <v>63</v>
      </c>
      <c r="AD842" s="51">
        <f t="shared" si="223"/>
        <v>3</v>
      </c>
      <c r="AE842" t="str">
        <f t="shared" si="227"/>
        <v/>
      </c>
      <c r="AF842" t="str">
        <f t="shared" si="228"/>
        <v/>
      </c>
      <c r="AG842" t="str">
        <f t="shared" si="229"/>
        <v/>
      </c>
      <c r="AH842" t="str">
        <f t="shared" si="230"/>
        <v/>
      </c>
      <c r="AI842" t="str">
        <f t="shared" si="231"/>
        <v/>
      </c>
      <c r="AJ842" t="str">
        <f t="shared" si="232"/>
        <v/>
      </c>
      <c r="AK842" t="str">
        <f t="shared" si="233"/>
        <v/>
      </c>
      <c r="AL842" t="str">
        <f t="shared" si="234"/>
        <v/>
      </c>
      <c r="AN842" t="str">
        <f>IFERROR(ROUND(L842*(G842/$AW842)/VLOOKUP(F842,商品!$A$4:$D$67,4,FALSE),0),"")</f>
        <v/>
      </c>
      <c r="AO842" t="str">
        <f>IFERROR(ROUND(L842*(I842/$AW842)/VLOOKUP(H842,商品!$A$4:$D$67,4,FALSE),0),"")</f>
        <v/>
      </c>
      <c r="AP842" t="str">
        <f>IFERROR(ROUND(L842*(K842/$AW842)/VLOOKUP(J842,商品!$A$4:$D$67,4,FALSE),0),"")</f>
        <v/>
      </c>
      <c r="AQ842" t="str">
        <f>IFERROR(ROUND(S842*(N842/$AX842)/VLOOKUP(M842,职业!$A$3:$E$16,4,FALSE),0),"")</f>
        <v/>
      </c>
      <c r="AR842" t="str">
        <f>IFERROR(ROUND(S842*(P842/$AX842)/VLOOKUP(O842,职业!$A$3:$E$16,4,FALSE),0),"")</f>
        <v/>
      </c>
      <c r="AS842" t="str">
        <f>IFERROR(ROUND(S842*(R842/$AX842)/VLOOKUP(Q842,职业!$A$3:$E$16,4,FALSE),0),"")</f>
        <v/>
      </c>
      <c r="AT842" t="str">
        <f>IFERROR(ROUND(X842*(U842/$AY842)/VLOOKUP(T842,商品!$A$4:$D$67,4,FALSE),0),"")</f>
        <v/>
      </c>
      <c r="AU842" t="str">
        <f>IFERROR(ROUND(X842*(W842/$AY842)/VLOOKUP(V842,商品!$A$4:$D$67,4,FALSE),0),"")</f>
        <v/>
      </c>
      <c r="AW842">
        <f t="shared" si="235"/>
        <v>0</v>
      </c>
      <c r="AX842">
        <f t="shared" si="236"/>
        <v>0</v>
      </c>
      <c r="AY842">
        <f t="shared" si="237"/>
        <v>0</v>
      </c>
    </row>
    <row r="843" customHeight="1" spans="1:51">
      <c r="A843" s="5" t="s">
        <v>440</v>
      </c>
      <c r="C843" s="5">
        <v>4</v>
      </c>
      <c r="D843" s="1" t="s">
        <v>220</v>
      </c>
      <c r="E843" s="1" t="s">
        <v>222</v>
      </c>
      <c r="L843" s="5">
        <f>IFERROR(VLOOKUP($D843&amp;$C843,生产方式定位!$A$2:$E$38,2,FALSE)+VLOOKUP($E843&amp;$C843,生产方式定位!$F$3:$J$38,2,FALSE),0)</f>
        <v>1850</v>
      </c>
      <c r="S843" s="5">
        <f>IFERROR(VLOOKUP($D843&amp;$C843,生产方式定位!$A$2:$E$38,3,FALSE)+VLOOKUP($E843&amp;$C843,生产方式定位!$F$3:$J$38,3,FALSE),0)</f>
        <v>120</v>
      </c>
      <c r="X843" s="5">
        <f>IFERROR(VLOOKUP($D843&amp;$C843,生产方式定位!$A$2:$E$38,5,FALSE)+VLOOKUP($E843&amp;$C843,生产方式定位!$F$3:$J$38,5,FALSE),"错误")</f>
        <v>2045</v>
      </c>
      <c r="Y843" s="27" t="str">
        <f t="shared" si="221"/>
        <v/>
      </c>
      <c r="Z843" s="50" t="str">
        <f t="shared" si="224"/>
        <v/>
      </c>
      <c r="AA843" s="50" t="str">
        <f t="shared" si="222"/>
        <v/>
      </c>
      <c r="AB843" s="28" t="str">
        <f t="shared" si="225"/>
        <v>11%</v>
      </c>
      <c r="AC843" s="1">
        <f t="shared" si="226"/>
        <v>75</v>
      </c>
      <c r="AD843" s="51">
        <f t="shared" si="223"/>
        <v>4</v>
      </c>
      <c r="AE843" t="str">
        <f t="shared" si="227"/>
        <v/>
      </c>
      <c r="AF843" t="str">
        <f t="shared" si="228"/>
        <v/>
      </c>
      <c r="AG843" t="str">
        <f t="shared" si="229"/>
        <v/>
      </c>
      <c r="AH843" t="str">
        <f t="shared" si="230"/>
        <v/>
      </c>
      <c r="AI843" t="str">
        <f t="shared" si="231"/>
        <v/>
      </c>
      <c r="AJ843" t="str">
        <f t="shared" si="232"/>
        <v/>
      </c>
      <c r="AK843" t="str">
        <f t="shared" si="233"/>
        <v/>
      </c>
      <c r="AL843" t="str">
        <f t="shared" si="234"/>
        <v/>
      </c>
      <c r="AN843" t="str">
        <f>IFERROR(ROUND(L843*(G843/$AW843)/VLOOKUP(F843,商品!$A$4:$D$67,4,FALSE),0),"")</f>
        <v/>
      </c>
      <c r="AO843" t="str">
        <f>IFERROR(ROUND(L843*(I843/$AW843)/VLOOKUP(H843,商品!$A$4:$D$67,4,FALSE),0),"")</f>
        <v/>
      </c>
      <c r="AP843" t="str">
        <f>IFERROR(ROUND(L843*(K843/$AW843)/VLOOKUP(J843,商品!$A$4:$D$67,4,FALSE),0),"")</f>
        <v/>
      </c>
      <c r="AQ843" t="str">
        <f>IFERROR(ROUND(S843*(N843/$AX843)/VLOOKUP(M843,职业!$A$3:$E$16,4,FALSE),0),"")</f>
        <v/>
      </c>
      <c r="AR843" t="str">
        <f>IFERROR(ROUND(S843*(P843/$AX843)/VLOOKUP(O843,职业!$A$3:$E$16,4,FALSE),0),"")</f>
        <v/>
      </c>
      <c r="AS843" t="str">
        <f>IFERROR(ROUND(S843*(R843/$AX843)/VLOOKUP(Q843,职业!$A$3:$E$16,4,FALSE),0),"")</f>
        <v/>
      </c>
      <c r="AT843" t="str">
        <f>IFERROR(ROUND(X843*(U843/$AY843)/VLOOKUP(T843,商品!$A$4:$D$67,4,FALSE),0),"")</f>
        <v/>
      </c>
      <c r="AU843" t="str">
        <f>IFERROR(ROUND(X843*(W843/$AY843)/VLOOKUP(V843,商品!$A$4:$D$67,4,FALSE),0),"")</f>
        <v/>
      </c>
      <c r="AW843">
        <f t="shared" si="235"/>
        <v>0</v>
      </c>
      <c r="AX843">
        <f t="shared" si="236"/>
        <v>0</v>
      </c>
      <c r="AY843">
        <f t="shared" si="237"/>
        <v>0</v>
      </c>
    </row>
    <row r="844" customHeight="1" spans="1:51">
      <c r="A844" s="5" t="s">
        <v>440</v>
      </c>
      <c r="C844" s="5">
        <v>5</v>
      </c>
      <c r="D844" s="1" t="s">
        <v>220</v>
      </c>
      <c r="E844" s="1" t="s">
        <v>222</v>
      </c>
      <c r="L844" s="5">
        <f>IFERROR(VLOOKUP($D844&amp;$C844,生产方式定位!$A$2:$E$38,2,FALSE)+VLOOKUP($E844&amp;$C844,生产方式定位!$F$3:$J$38,2,FALSE),0)</f>
        <v>2175</v>
      </c>
      <c r="S844" s="5">
        <f>IFERROR(VLOOKUP($D844&amp;$C844,生产方式定位!$A$2:$E$38,3,FALSE)+VLOOKUP($E844&amp;$C844,生产方式定位!$F$3:$J$38,3,FALSE),0)</f>
        <v>110</v>
      </c>
      <c r="X844" s="5">
        <f>IFERROR(VLOOKUP($D844&amp;$C844,生产方式定位!$A$2:$E$38,5,FALSE)+VLOOKUP($E844&amp;$C844,生产方式定位!$F$3:$J$38,5,FALSE),"错误")</f>
        <v>2373</v>
      </c>
      <c r="Y844" s="27" t="str">
        <f t="shared" si="221"/>
        <v/>
      </c>
      <c r="Z844" s="50" t="str">
        <f t="shared" si="224"/>
        <v/>
      </c>
      <c r="AA844" s="50" t="str">
        <f t="shared" si="222"/>
        <v/>
      </c>
      <c r="AB844" s="28" t="str">
        <f t="shared" si="225"/>
        <v>9%</v>
      </c>
      <c r="AC844" s="1">
        <f t="shared" si="226"/>
        <v>88</v>
      </c>
      <c r="AD844" s="51">
        <f t="shared" si="223"/>
        <v>5</v>
      </c>
      <c r="AE844" t="str">
        <f t="shared" si="227"/>
        <v/>
      </c>
      <c r="AF844" t="str">
        <f t="shared" si="228"/>
        <v/>
      </c>
      <c r="AG844" t="str">
        <f t="shared" si="229"/>
        <v/>
      </c>
      <c r="AH844" t="str">
        <f t="shared" si="230"/>
        <v/>
      </c>
      <c r="AI844" t="str">
        <f t="shared" si="231"/>
        <v/>
      </c>
      <c r="AJ844" t="str">
        <f t="shared" si="232"/>
        <v/>
      </c>
      <c r="AK844" t="str">
        <f t="shared" si="233"/>
        <v/>
      </c>
      <c r="AL844" t="str">
        <f t="shared" si="234"/>
        <v/>
      </c>
      <c r="AN844" t="str">
        <f>IFERROR(ROUND(L844*(G844/$AW844)/VLOOKUP(F844,商品!$A$4:$D$67,4,FALSE),0),"")</f>
        <v/>
      </c>
      <c r="AO844" t="str">
        <f>IFERROR(ROUND(L844*(I844/$AW844)/VLOOKUP(H844,商品!$A$4:$D$67,4,FALSE),0),"")</f>
        <v/>
      </c>
      <c r="AP844" t="str">
        <f>IFERROR(ROUND(L844*(K844/$AW844)/VLOOKUP(J844,商品!$A$4:$D$67,4,FALSE),0),"")</f>
        <v/>
      </c>
      <c r="AQ844" t="str">
        <f>IFERROR(ROUND(S844*(N844/$AX844)/VLOOKUP(M844,职业!$A$3:$E$16,4,FALSE),0),"")</f>
        <v/>
      </c>
      <c r="AR844" t="str">
        <f>IFERROR(ROUND(S844*(P844/$AX844)/VLOOKUP(O844,职业!$A$3:$E$16,4,FALSE),0),"")</f>
        <v/>
      </c>
      <c r="AS844" t="str">
        <f>IFERROR(ROUND(S844*(R844/$AX844)/VLOOKUP(Q844,职业!$A$3:$E$16,4,FALSE),0),"")</f>
        <v/>
      </c>
      <c r="AT844" t="str">
        <f>IFERROR(ROUND(X844*(U844/$AY844)/VLOOKUP(T844,商品!$A$4:$D$67,4,FALSE),0),"")</f>
        <v/>
      </c>
      <c r="AU844" t="str">
        <f>IFERROR(ROUND(X844*(W844/$AY844)/VLOOKUP(V844,商品!$A$4:$D$67,4,FALSE),0),"")</f>
        <v/>
      </c>
      <c r="AW844">
        <f t="shared" si="235"/>
        <v>0</v>
      </c>
      <c r="AX844">
        <f t="shared" si="236"/>
        <v>0</v>
      </c>
      <c r="AY844">
        <f t="shared" si="237"/>
        <v>0</v>
      </c>
    </row>
    <row r="845" customHeight="1" spans="1:51">
      <c r="A845" s="18" t="s">
        <v>441</v>
      </c>
      <c r="C845" s="18">
        <v>1</v>
      </c>
      <c r="D845" s="1" t="s">
        <v>220</v>
      </c>
      <c r="E845" s="1" t="s">
        <v>224</v>
      </c>
      <c r="L845" s="18">
        <f>IFERROR(VLOOKUP($D845&amp;$C845,生产方式定位!$A$2:$E$38,2,FALSE)+VLOOKUP($E845&amp;$C845,生产方式定位!$F$3:$J$38,2,FALSE),0)</f>
        <v>500</v>
      </c>
      <c r="S845" s="18">
        <f>IFERROR(VLOOKUP($D845&amp;$C845,生产方式定位!$A$2:$E$38,3,FALSE)+VLOOKUP($E845&amp;$C845,生产方式定位!$F$3:$J$38,3,FALSE),0)</f>
        <v>150</v>
      </c>
      <c r="X845" s="18">
        <f>IFERROR(VLOOKUP($D845&amp;$C845,生产方式定位!$A$2:$E$38,5,FALSE)+VLOOKUP($E845&amp;$C845,生产方式定位!$F$3:$J$38,5,FALSE),"错误")</f>
        <v>715</v>
      </c>
      <c r="Y845" s="27" t="str">
        <f t="shared" si="221"/>
        <v/>
      </c>
      <c r="Z845" s="50" t="str">
        <f t="shared" si="224"/>
        <v/>
      </c>
      <c r="AA845" s="50" t="str">
        <f t="shared" si="222"/>
        <v/>
      </c>
      <c r="AB845" s="28" t="str">
        <f t="shared" si="225"/>
        <v>43%</v>
      </c>
      <c r="AC845" s="1">
        <f t="shared" si="226"/>
        <v>65</v>
      </c>
      <c r="AD845" s="52">
        <f t="shared" si="223"/>
        <v>1</v>
      </c>
      <c r="AE845" t="str">
        <f t="shared" si="227"/>
        <v/>
      </c>
      <c r="AF845" t="str">
        <f t="shared" si="228"/>
        <v/>
      </c>
      <c r="AG845" t="str">
        <f t="shared" si="229"/>
        <v/>
      </c>
      <c r="AH845" t="str">
        <f t="shared" si="230"/>
        <v/>
      </c>
      <c r="AI845" t="str">
        <f t="shared" si="231"/>
        <v/>
      </c>
      <c r="AJ845" t="str">
        <f t="shared" si="232"/>
        <v/>
      </c>
      <c r="AK845" t="str">
        <f t="shared" si="233"/>
        <v/>
      </c>
      <c r="AL845" t="str">
        <f t="shared" si="234"/>
        <v/>
      </c>
      <c r="AN845" t="str">
        <f>IFERROR(ROUND(L845*(G845/$AW845)/VLOOKUP(F845,商品!$A$4:$D$67,4,FALSE),0),"")</f>
        <v/>
      </c>
      <c r="AO845" t="str">
        <f>IFERROR(ROUND(L845*(I845/$AW845)/VLOOKUP(H845,商品!$A$4:$D$67,4,FALSE),0),"")</f>
        <v/>
      </c>
      <c r="AP845" t="str">
        <f>IFERROR(ROUND(L845*(K845/$AW845)/VLOOKUP(J845,商品!$A$4:$D$67,4,FALSE),0),"")</f>
        <v/>
      </c>
      <c r="AQ845" t="str">
        <f>IFERROR(ROUND(S845*(N845/$AX845)/VLOOKUP(M845,职业!$A$3:$E$16,4,FALSE),0),"")</f>
        <v/>
      </c>
      <c r="AR845" t="str">
        <f>IFERROR(ROUND(S845*(P845/$AX845)/VLOOKUP(O845,职业!$A$3:$E$16,4,FALSE),0),"")</f>
        <v/>
      </c>
      <c r="AS845" t="str">
        <f>IFERROR(ROUND(S845*(R845/$AX845)/VLOOKUP(Q845,职业!$A$3:$E$16,4,FALSE),0),"")</f>
        <v/>
      </c>
      <c r="AT845" t="str">
        <f>IFERROR(ROUND(X845*(U845/$AY845)/VLOOKUP(T845,商品!$A$4:$D$67,4,FALSE),0),"")</f>
        <v/>
      </c>
      <c r="AU845" t="str">
        <f>IFERROR(ROUND(X845*(W845/$AY845)/VLOOKUP(V845,商品!$A$4:$D$67,4,FALSE),0),"")</f>
        <v/>
      </c>
      <c r="AW845">
        <f t="shared" si="235"/>
        <v>0</v>
      </c>
      <c r="AX845">
        <f t="shared" si="236"/>
        <v>0</v>
      </c>
      <c r="AY845">
        <f t="shared" si="237"/>
        <v>0</v>
      </c>
    </row>
    <row r="846" customHeight="1" spans="1:51">
      <c r="A846" s="18" t="s">
        <v>441</v>
      </c>
      <c r="C846" s="18">
        <v>2</v>
      </c>
      <c r="D846" s="1" t="s">
        <v>220</v>
      </c>
      <c r="E846" s="1" t="s">
        <v>224</v>
      </c>
      <c r="L846" s="18">
        <f>IFERROR(VLOOKUP($D846&amp;$C846,生产方式定位!$A$2:$E$38,2,FALSE)+VLOOKUP($E846&amp;$C846,生产方式定位!$F$3:$J$38,2,FALSE),0)</f>
        <v>1200</v>
      </c>
      <c r="S846" s="18">
        <f>IFERROR(VLOOKUP($D846&amp;$C846,生产方式定位!$A$2:$E$38,3,FALSE)+VLOOKUP($E846&amp;$C846,生产方式定位!$F$3:$J$38,3,FALSE),0)</f>
        <v>100</v>
      </c>
      <c r="X846" s="18">
        <f>IFERROR(VLOOKUP($D846&amp;$C846,生产方式定位!$A$2:$E$38,5,FALSE)+VLOOKUP($E846&amp;$C846,生产方式定位!$F$3:$J$38,5,FALSE),"错误")</f>
        <v>1346</v>
      </c>
      <c r="Y846" s="27" t="str">
        <f t="shared" si="221"/>
        <v/>
      </c>
      <c r="Z846" s="50" t="str">
        <f t="shared" si="224"/>
        <v/>
      </c>
      <c r="AA846" s="50" t="str">
        <f t="shared" si="222"/>
        <v/>
      </c>
      <c r="AB846" s="28" t="str">
        <f t="shared" si="225"/>
        <v>12%</v>
      </c>
      <c r="AC846" s="1">
        <f t="shared" si="226"/>
        <v>46</v>
      </c>
      <c r="AD846" s="52">
        <f t="shared" si="223"/>
        <v>2</v>
      </c>
      <c r="AE846" t="str">
        <f t="shared" si="227"/>
        <v/>
      </c>
      <c r="AF846" t="str">
        <f t="shared" si="228"/>
        <v/>
      </c>
      <c r="AG846" t="str">
        <f t="shared" si="229"/>
        <v/>
      </c>
      <c r="AH846" t="str">
        <f t="shared" si="230"/>
        <v/>
      </c>
      <c r="AI846" t="str">
        <f t="shared" si="231"/>
        <v/>
      </c>
      <c r="AJ846" t="str">
        <f t="shared" si="232"/>
        <v/>
      </c>
      <c r="AK846" t="str">
        <f t="shared" si="233"/>
        <v/>
      </c>
      <c r="AL846" t="str">
        <f t="shared" si="234"/>
        <v/>
      </c>
      <c r="AN846" t="str">
        <f>IFERROR(ROUND(L846*(G846/$AW846)/VLOOKUP(F846,商品!$A$4:$D$67,4,FALSE),0),"")</f>
        <v/>
      </c>
      <c r="AO846" t="str">
        <f>IFERROR(ROUND(L846*(I846/$AW846)/VLOOKUP(H846,商品!$A$4:$D$67,4,FALSE),0),"")</f>
        <v/>
      </c>
      <c r="AP846" t="str">
        <f>IFERROR(ROUND(L846*(K846/$AW846)/VLOOKUP(J846,商品!$A$4:$D$67,4,FALSE),0),"")</f>
        <v/>
      </c>
      <c r="AQ846" t="str">
        <f>IFERROR(ROUND(S846*(N846/$AX846)/VLOOKUP(M846,职业!$A$3:$E$16,4,FALSE),0),"")</f>
        <v/>
      </c>
      <c r="AR846" t="str">
        <f>IFERROR(ROUND(S846*(P846/$AX846)/VLOOKUP(O846,职业!$A$3:$E$16,4,FALSE),0),"")</f>
        <v/>
      </c>
      <c r="AS846" t="str">
        <f>IFERROR(ROUND(S846*(R846/$AX846)/VLOOKUP(Q846,职业!$A$3:$E$16,4,FALSE),0),"")</f>
        <v/>
      </c>
      <c r="AT846" t="str">
        <f>IFERROR(ROUND(X846*(U846/$AY846)/VLOOKUP(T846,商品!$A$4:$D$67,4,FALSE),0),"")</f>
        <v/>
      </c>
      <c r="AU846" t="str">
        <f>IFERROR(ROUND(X846*(W846/$AY846)/VLOOKUP(V846,商品!$A$4:$D$67,4,FALSE),0),"")</f>
        <v/>
      </c>
      <c r="AW846">
        <f t="shared" si="235"/>
        <v>0</v>
      </c>
      <c r="AX846">
        <f t="shared" si="236"/>
        <v>0</v>
      </c>
      <c r="AY846">
        <f t="shared" si="237"/>
        <v>0</v>
      </c>
    </row>
    <row r="847" customHeight="1" spans="1:51">
      <c r="A847" s="18" t="s">
        <v>441</v>
      </c>
      <c r="C847" s="18">
        <v>3</v>
      </c>
      <c r="D847" s="1" t="s">
        <v>220</v>
      </c>
      <c r="E847" s="1" t="s">
        <v>224</v>
      </c>
      <c r="L847" s="18">
        <f>IFERROR(VLOOKUP($D847&amp;$C847,生产方式定位!$A$2:$E$38,2,FALSE)+VLOOKUP($E847&amp;$C847,生产方式定位!$F$3:$J$38,2,FALSE),0)</f>
        <v>1900</v>
      </c>
      <c r="S847" s="18">
        <f>IFERROR(VLOOKUP($D847&amp;$C847,生产方式定位!$A$2:$E$38,3,FALSE)+VLOOKUP($E847&amp;$C847,生产方式定位!$F$3:$J$38,3,FALSE),0)</f>
        <v>70</v>
      </c>
      <c r="X847" s="18">
        <f>IFERROR(VLOOKUP($D847&amp;$C847,生产方式定位!$A$2:$E$38,5,FALSE)+VLOOKUP($E847&amp;$C847,生产方式定位!$F$3:$J$38,5,FALSE),"错误")</f>
        <v>2064</v>
      </c>
      <c r="Y847" s="27" t="str">
        <f t="shared" si="221"/>
        <v/>
      </c>
      <c r="Z847" s="50" t="str">
        <f t="shared" si="224"/>
        <v/>
      </c>
      <c r="AA847" s="50" t="str">
        <f t="shared" si="222"/>
        <v/>
      </c>
      <c r="AB847" s="28" t="str">
        <f t="shared" si="225"/>
        <v>9%</v>
      </c>
      <c r="AC847" s="1">
        <f t="shared" si="226"/>
        <v>94</v>
      </c>
      <c r="AD847" s="52">
        <f t="shared" si="223"/>
        <v>3</v>
      </c>
      <c r="AE847" t="str">
        <f t="shared" si="227"/>
        <v/>
      </c>
      <c r="AF847" t="str">
        <f t="shared" si="228"/>
        <v/>
      </c>
      <c r="AG847" t="str">
        <f t="shared" si="229"/>
        <v/>
      </c>
      <c r="AH847" t="str">
        <f t="shared" si="230"/>
        <v/>
      </c>
      <c r="AI847" t="str">
        <f t="shared" si="231"/>
        <v/>
      </c>
      <c r="AJ847" t="str">
        <f t="shared" si="232"/>
        <v/>
      </c>
      <c r="AK847" t="str">
        <f t="shared" si="233"/>
        <v/>
      </c>
      <c r="AL847" t="str">
        <f t="shared" si="234"/>
        <v/>
      </c>
      <c r="AN847" t="str">
        <f>IFERROR(ROUND(L847*(G847/$AW847)/VLOOKUP(F847,商品!$A$4:$D$67,4,FALSE),0),"")</f>
        <v/>
      </c>
      <c r="AO847" t="str">
        <f>IFERROR(ROUND(L847*(I847/$AW847)/VLOOKUP(H847,商品!$A$4:$D$67,4,FALSE),0),"")</f>
        <v/>
      </c>
      <c r="AP847" t="str">
        <f>IFERROR(ROUND(L847*(K847/$AW847)/VLOOKUP(J847,商品!$A$4:$D$67,4,FALSE),0),"")</f>
        <v/>
      </c>
      <c r="AQ847" t="str">
        <f>IFERROR(ROUND(S847*(N847/$AX847)/VLOOKUP(M847,职业!$A$3:$E$16,4,FALSE),0),"")</f>
        <v/>
      </c>
      <c r="AR847" t="str">
        <f>IFERROR(ROUND(S847*(P847/$AX847)/VLOOKUP(O847,职业!$A$3:$E$16,4,FALSE),0),"")</f>
        <v/>
      </c>
      <c r="AS847" t="str">
        <f>IFERROR(ROUND(S847*(R847/$AX847)/VLOOKUP(Q847,职业!$A$3:$E$16,4,FALSE),0),"")</f>
        <v/>
      </c>
      <c r="AT847" t="str">
        <f>IFERROR(ROUND(X847*(U847/$AY847)/VLOOKUP(T847,商品!$A$4:$D$67,4,FALSE),0),"")</f>
        <v/>
      </c>
      <c r="AU847" t="str">
        <f>IFERROR(ROUND(X847*(W847/$AY847)/VLOOKUP(V847,商品!$A$4:$D$67,4,FALSE),0),"")</f>
        <v/>
      </c>
      <c r="AW847">
        <f t="shared" si="235"/>
        <v>0</v>
      </c>
      <c r="AX847">
        <f t="shared" si="236"/>
        <v>0</v>
      </c>
      <c r="AY847">
        <f t="shared" si="237"/>
        <v>0</v>
      </c>
    </row>
    <row r="848" customHeight="1" spans="1:51">
      <c r="A848" s="18" t="s">
        <v>441</v>
      </c>
      <c r="C848" s="18">
        <v>4</v>
      </c>
      <c r="D848" s="1" t="s">
        <v>220</v>
      </c>
      <c r="E848" s="1" t="s">
        <v>224</v>
      </c>
      <c r="L848" s="18">
        <f>IFERROR(VLOOKUP($D848&amp;$C848,生产方式定位!$A$2:$E$38,2,FALSE)+VLOOKUP($E848&amp;$C848,生产方式定位!$F$3:$J$38,2,FALSE),0)</f>
        <v>2600</v>
      </c>
      <c r="S848" s="18">
        <f>IFERROR(VLOOKUP($D848&amp;$C848,生产方式定位!$A$2:$E$38,3,FALSE)+VLOOKUP($E848&amp;$C848,生产方式定位!$F$3:$J$38,3,FALSE),0)</f>
        <v>40</v>
      </c>
      <c r="X848" s="18">
        <f>IFERROR(VLOOKUP($D848&amp;$C848,生产方式定位!$A$2:$E$38,5,FALSE)+VLOOKUP($E848&amp;$C848,生产方式定位!$F$3:$J$38,5,FALSE),"错误")</f>
        <v>2782</v>
      </c>
      <c r="Y848" s="27" t="str">
        <f t="shared" si="221"/>
        <v/>
      </c>
      <c r="Z848" s="50" t="str">
        <f t="shared" si="224"/>
        <v/>
      </c>
      <c r="AA848" s="50" t="str">
        <f t="shared" si="222"/>
        <v/>
      </c>
      <c r="AB848" s="28" t="str">
        <f t="shared" si="225"/>
        <v>7%</v>
      </c>
      <c r="AC848" s="1">
        <f t="shared" si="226"/>
        <v>142</v>
      </c>
      <c r="AD848" s="52">
        <f t="shared" si="223"/>
        <v>4</v>
      </c>
      <c r="AE848" t="str">
        <f t="shared" si="227"/>
        <v/>
      </c>
      <c r="AF848" t="str">
        <f t="shared" si="228"/>
        <v/>
      </c>
      <c r="AG848" t="str">
        <f t="shared" si="229"/>
        <v/>
      </c>
      <c r="AH848" t="str">
        <f t="shared" si="230"/>
        <v/>
      </c>
      <c r="AI848" t="str">
        <f t="shared" si="231"/>
        <v/>
      </c>
      <c r="AJ848" t="str">
        <f t="shared" si="232"/>
        <v/>
      </c>
      <c r="AK848" t="str">
        <f t="shared" si="233"/>
        <v/>
      </c>
      <c r="AL848" t="str">
        <f t="shared" si="234"/>
        <v/>
      </c>
      <c r="AN848" t="str">
        <f>IFERROR(ROUND(L848*(G848/$AW848)/VLOOKUP(F848,商品!$A$4:$D$67,4,FALSE),0),"")</f>
        <v/>
      </c>
      <c r="AO848" t="str">
        <f>IFERROR(ROUND(L848*(I848/$AW848)/VLOOKUP(H848,商品!$A$4:$D$67,4,FALSE),0),"")</f>
        <v/>
      </c>
      <c r="AP848" t="str">
        <f>IFERROR(ROUND(L848*(K848/$AW848)/VLOOKUP(J848,商品!$A$4:$D$67,4,FALSE),0),"")</f>
        <v/>
      </c>
      <c r="AQ848" t="str">
        <f>IFERROR(ROUND(S848*(N848/$AX848)/VLOOKUP(M848,职业!$A$3:$E$16,4,FALSE),0),"")</f>
        <v/>
      </c>
      <c r="AR848" t="str">
        <f>IFERROR(ROUND(S848*(P848/$AX848)/VLOOKUP(O848,职业!$A$3:$E$16,4,FALSE),0),"")</f>
        <v/>
      </c>
      <c r="AS848" t="str">
        <f>IFERROR(ROUND(S848*(R848/$AX848)/VLOOKUP(Q848,职业!$A$3:$E$16,4,FALSE),0),"")</f>
        <v/>
      </c>
      <c r="AT848" t="str">
        <f>IFERROR(ROUND(X848*(U848/$AY848)/VLOOKUP(T848,商品!$A$4:$D$67,4,FALSE),0),"")</f>
        <v/>
      </c>
      <c r="AU848" t="str">
        <f>IFERROR(ROUND(X848*(W848/$AY848)/VLOOKUP(V848,商品!$A$4:$D$67,4,FALSE),0),"")</f>
        <v/>
      </c>
      <c r="AW848">
        <f t="shared" si="235"/>
        <v>0</v>
      </c>
      <c r="AX848">
        <f t="shared" si="236"/>
        <v>0</v>
      </c>
      <c r="AY848">
        <f t="shared" si="237"/>
        <v>0</v>
      </c>
    </row>
    <row r="849" customHeight="1" spans="1:51">
      <c r="A849" s="18" t="s">
        <v>441</v>
      </c>
      <c r="C849" s="18">
        <v>5</v>
      </c>
      <c r="D849" s="1" t="s">
        <v>220</v>
      </c>
      <c r="E849" s="1" t="s">
        <v>224</v>
      </c>
      <c r="L849" s="18">
        <f>IFERROR(VLOOKUP($D849&amp;$C849,生产方式定位!$A$2:$E$38,2,FALSE)+VLOOKUP($E849&amp;$C849,生产方式定位!$F$3:$J$38,2,FALSE),0)</f>
        <v>3300</v>
      </c>
      <c r="S849" s="18">
        <f>IFERROR(VLOOKUP($D849&amp;$C849,生产方式定位!$A$2:$E$38,3,FALSE)+VLOOKUP($E849&amp;$C849,生产方式定位!$F$3:$J$38,3,FALSE),0)</f>
        <v>10</v>
      </c>
      <c r="X849" s="18">
        <f>IFERROR(VLOOKUP($D849&amp;$C849,生产方式定位!$A$2:$E$38,5,FALSE)+VLOOKUP($E849&amp;$C849,生产方式定位!$F$3:$J$38,5,FALSE),"错误")</f>
        <v>3500</v>
      </c>
      <c r="Y849" s="27" t="str">
        <f t="shared" si="221"/>
        <v/>
      </c>
      <c r="Z849" s="50" t="str">
        <f t="shared" si="224"/>
        <v/>
      </c>
      <c r="AA849" s="50" t="str">
        <f t="shared" si="222"/>
        <v/>
      </c>
      <c r="AB849" s="28" t="str">
        <f t="shared" si="225"/>
        <v>6%</v>
      </c>
      <c r="AC849" s="1">
        <f t="shared" si="226"/>
        <v>190</v>
      </c>
      <c r="AD849" s="52">
        <f t="shared" si="223"/>
        <v>5</v>
      </c>
      <c r="AE849" t="str">
        <f t="shared" si="227"/>
        <v/>
      </c>
      <c r="AF849" t="str">
        <f t="shared" si="228"/>
        <v/>
      </c>
      <c r="AG849" t="str">
        <f t="shared" si="229"/>
        <v/>
      </c>
      <c r="AH849" t="str">
        <f t="shared" si="230"/>
        <v/>
      </c>
      <c r="AI849" t="str">
        <f t="shared" si="231"/>
        <v/>
      </c>
      <c r="AJ849" t="str">
        <f t="shared" si="232"/>
        <v/>
      </c>
      <c r="AK849" t="str">
        <f t="shared" si="233"/>
        <v/>
      </c>
      <c r="AL849" t="str">
        <f t="shared" si="234"/>
        <v/>
      </c>
      <c r="AN849" t="str">
        <f>IFERROR(ROUND(L849*(G849/$AW849)/VLOOKUP(F849,商品!$A$4:$D$67,4,FALSE),0),"")</f>
        <v/>
      </c>
      <c r="AO849" t="str">
        <f>IFERROR(ROUND(L849*(I849/$AW849)/VLOOKUP(H849,商品!$A$4:$D$67,4,FALSE),0),"")</f>
        <v/>
      </c>
      <c r="AP849" t="str">
        <f>IFERROR(ROUND(L849*(K849/$AW849)/VLOOKUP(J849,商品!$A$4:$D$67,4,FALSE),0),"")</f>
        <v/>
      </c>
      <c r="AQ849" t="str">
        <f>IFERROR(ROUND(S849*(N849/$AX849)/VLOOKUP(M849,职业!$A$3:$E$16,4,FALSE),0),"")</f>
        <v/>
      </c>
      <c r="AR849" t="str">
        <f>IFERROR(ROUND(S849*(P849/$AX849)/VLOOKUP(O849,职业!$A$3:$E$16,4,FALSE),0),"")</f>
        <v/>
      </c>
      <c r="AS849" t="str">
        <f>IFERROR(ROUND(S849*(R849/$AX849)/VLOOKUP(Q849,职业!$A$3:$E$16,4,FALSE),0),"")</f>
        <v/>
      </c>
      <c r="AT849" t="str">
        <f>IFERROR(ROUND(X849*(U849/$AY849)/VLOOKUP(T849,商品!$A$4:$D$67,4,FALSE),0),"")</f>
        <v/>
      </c>
      <c r="AU849" t="str">
        <f>IFERROR(ROUND(X849*(W849/$AY849)/VLOOKUP(V849,商品!$A$4:$D$67,4,FALSE),0),"")</f>
        <v/>
      </c>
      <c r="AW849">
        <f t="shared" si="235"/>
        <v>0</v>
      </c>
      <c r="AX849">
        <f t="shared" si="236"/>
        <v>0</v>
      </c>
      <c r="AY849">
        <f t="shared" si="237"/>
        <v>0</v>
      </c>
    </row>
    <row r="850" customHeight="1" spans="1:51">
      <c r="A850" s="5" t="s">
        <v>441</v>
      </c>
      <c r="C850" s="5">
        <v>1</v>
      </c>
      <c r="D850" s="1" t="s">
        <v>220</v>
      </c>
      <c r="E850" s="1" t="s">
        <v>224</v>
      </c>
      <c r="L850" s="5">
        <f>IFERROR(VLOOKUP($D850&amp;$C850,生产方式定位!$A$2:$E$38,2,FALSE)+VLOOKUP($E850&amp;$C850,生产方式定位!$F$3:$J$38,2,FALSE),0)</f>
        <v>500</v>
      </c>
      <c r="S850" s="5">
        <f>IFERROR(VLOOKUP($D850&amp;$C850,生产方式定位!$A$2:$E$38,3,FALSE)+VLOOKUP($E850&amp;$C850,生产方式定位!$F$3:$J$38,3,FALSE),0)</f>
        <v>150</v>
      </c>
      <c r="X850" s="5">
        <f>IFERROR(VLOOKUP($D850&amp;$C850,生产方式定位!$A$2:$E$38,5,FALSE)+VLOOKUP($E850&amp;$C850,生产方式定位!$F$3:$J$38,5,FALSE),"错误")</f>
        <v>715</v>
      </c>
      <c r="Y850" s="27" t="str">
        <f t="shared" si="221"/>
        <v/>
      </c>
      <c r="Z850" s="50" t="str">
        <f t="shared" si="224"/>
        <v/>
      </c>
      <c r="AA850" s="50" t="str">
        <f t="shared" si="222"/>
        <v/>
      </c>
      <c r="AB850" s="28" t="str">
        <f t="shared" si="225"/>
        <v>43%</v>
      </c>
      <c r="AC850" s="1">
        <f t="shared" si="226"/>
        <v>65</v>
      </c>
      <c r="AD850" s="51">
        <f t="shared" si="223"/>
        <v>1</v>
      </c>
      <c r="AE850" t="str">
        <f t="shared" si="227"/>
        <v/>
      </c>
      <c r="AF850" t="str">
        <f t="shared" si="228"/>
        <v/>
      </c>
      <c r="AG850" t="str">
        <f t="shared" si="229"/>
        <v/>
      </c>
      <c r="AH850" t="str">
        <f t="shared" si="230"/>
        <v/>
      </c>
      <c r="AI850" t="str">
        <f t="shared" si="231"/>
        <v/>
      </c>
      <c r="AJ850" t="str">
        <f t="shared" si="232"/>
        <v/>
      </c>
      <c r="AK850" t="str">
        <f t="shared" si="233"/>
        <v/>
      </c>
      <c r="AL850" t="str">
        <f t="shared" si="234"/>
        <v/>
      </c>
      <c r="AN850" t="str">
        <f>IFERROR(ROUND(L850*(G850/$AW850)/VLOOKUP(F850,商品!$A$4:$D$67,4,FALSE),0),"")</f>
        <v/>
      </c>
      <c r="AO850" t="str">
        <f>IFERROR(ROUND(L850*(I850/$AW850)/VLOOKUP(H850,商品!$A$4:$D$67,4,FALSE),0),"")</f>
        <v/>
      </c>
      <c r="AP850" t="str">
        <f>IFERROR(ROUND(L850*(K850/$AW850)/VLOOKUP(J850,商品!$A$4:$D$67,4,FALSE),0),"")</f>
        <v/>
      </c>
      <c r="AQ850" t="str">
        <f>IFERROR(ROUND(S850*(N850/$AX850)/VLOOKUP(M850,职业!$A$3:$E$16,4,FALSE),0),"")</f>
        <v/>
      </c>
      <c r="AR850" t="str">
        <f>IFERROR(ROUND(S850*(P850/$AX850)/VLOOKUP(O850,职业!$A$3:$E$16,4,FALSE),0),"")</f>
        <v/>
      </c>
      <c r="AS850" t="str">
        <f>IFERROR(ROUND(S850*(R850/$AX850)/VLOOKUP(Q850,职业!$A$3:$E$16,4,FALSE),0),"")</f>
        <v/>
      </c>
      <c r="AT850" t="str">
        <f>IFERROR(ROUND(X850*(U850/$AY850)/VLOOKUP(T850,商品!$A$4:$D$67,4,FALSE),0),"")</f>
        <v/>
      </c>
      <c r="AU850" t="str">
        <f>IFERROR(ROUND(X850*(W850/$AY850)/VLOOKUP(V850,商品!$A$4:$D$67,4,FALSE),0),"")</f>
        <v/>
      </c>
      <c r="AW850">
        <f t="shared" si="235"/>
        <v>0</v>
      </c>
      <c r="AX850">
        <f t="shared" si="236"/>
        <v>0</v>
      </c>
      <c r="AY850">
        <f t="shared" si="237"/>
        <v>0</v>
      </c>
    </row>
    <row r="851" customHeight="1" spans="1:51">
      <c r="A851" s="5" t="s">
        <v>441</v>
      </c>
      <c r="C851" s="5">
        <v>2</v>
      </c>
      <c r="D851" s="1" t="s">
        <v>220</v>
      </c>
      <c r="E851" s="1" t="s">
        <v>224</v>
      </c>
      <c r="L851" s="5">
        <f>IFERROR(VLOOKUP($D851&amp;$C851,生产方式定位!$A$2:$E$38,2,FALSE)+VLOOKUP($E851&amp;$C851,生产方式定位!$F$3:$J$38,2,FALSE),0)</f>
        <v>1200</v>
      </c>
      <c r="S851" s="5">
        <f>IFERROR(VLOOKUP($D851&amp;$C851,生产方式定位!$A$2:$E$38,3,FALSE)+VLOOKUP($E851&amp;$C851,生产方式定位!$F$3:$J$38,3,FALSE),0)</f>
        <v>100</v>
      </c>
      <c r="X851" s="5">
        <f>IFERROR(VLOOKUP($D851&amp;$C851,生产方式定位!$A$2:$E$38,5,FALSE)+VLOOKUP($E851&amp;$C851,生产方式定位!$F$3:$J$38,5,FALSE),"错误")</f>
        <v>1346</v>
      </c>
      <c r="Y851" s="27" t="str">
        <f t="shared" si="221"/>
        <v/>
      </c>
      <c r="Z851" s="50" t="str">
        <f t="shared" si="224"/>
        <v/>
      </c>
      <c r="AA851" s="50" t="str">
        <f t="shared" si="222"/>
        <v/>
      </c>
      <c r="AB851" s="28" t="str">
        <f t="shared" si="225"/>
        <v>12%</v>
      </c>
      <c r="AC851" s="1">
        <f t="shared" si="226"/>
        <v>46</v>
      </c>
      <c r="AD851" s="51">
        <f t="shared" si="223"/>
        <v>2</v>
      </c>
      <c r="AE851" t="str">
        <f t="shared" si="227"/>
        <v/>
      </c>
      <c r="AF851" t="str">
        <f t="shared" si="228"/>
        <v/>
      </c>
      <c r="AG851" t="str">
        <f t="shared" si="229"/>
        <v/>
      </c>
      <c r="AH851" t="str">
        <f t="shared" si="230"/>
        <v/>
      </c>
      <c r="AI851" t="str">
        <f t="shared" si="231"/>
        <v/>
      </c>
      <c r="AJ851" t="str">
        <f t="shared" si="232"/>
        <v/>
      </c>
      <c r="AK851" t="str">
        <f t="shared" si="233"/>
        <v/>
      </c>
      <c r="AL851" t="str">
        <f t="shared" si="234"/>
        <v/>
      </c>
      <c r="AN851" t="str">
        <f>IFERROR(ROUND(L851*(G851/$AW851)/VLOOKUP(F851,商品!$A$4:$D$67,4,FALSE),0),"")</f>
        <v/>
      </c>
      <c r="AO851" t="str">
        <f>IFERROR(ROUND(L851*(I851/$AW851)/VLOOKUP(H851,商品!$A$4:$D$67,4,FALSE),0),"")</f>
        <v/>
      </c>
      <c r="AP851" t="str">
        <f>IFERROR(ROUND(L851*(K851/$AW851)/VLOOKUP(J851,商品!$A$4:$D$67,4,FALSE),0),"")</f>
        <v/>
      </c>
      <c r="AQ851" t="str">
        <f>IFERROR(ROUND(S851*(N851/$AX851)/VLOOKUP(M851,职业!$A$3:$E$16,4,FALSE),0),"")</f>
        <v/>
      </c>
      <c r="AR851" t="str">
        <f>IFERROR(ROUND(S851*(P851/$AX851)/VLOOKUP(O851,职业!$A$3:$E$16,4,FALSE),0),"")</f>
        <v/>
      </c>
      <c r="AS851" t="str">
        <f>IFERROR(ROUND(S851*(R851/$AX851)/VLOOKUP(Q851,职业!$A$3:$E$16,4,FALSE),0),"")</f>
        <v/>
      </c>
      <c r="AT851" t="str">
        <f>IFERROR(ROUND(X851*(U851/$AY851)/VLOOKUP(T851,商品!$A$4:$D$67,4,FALSE),0),"")</f>
        <v/>
      </c>
      <c r="AU851" t="str">
        <f>IFERROR(ROUND(X851*(W851/$AY851)/VLOOKUP(V851,商品!$A$4:$D$67,4,FALSE),0),"")</f>
        <v/>
      </c>
      <c r="AW851">
        <f t="shared" si="235"/>
        <v>0</v>
      </c>
      <c r="AX851">
        <f t="shared" si="236"/>
        <v>0</v>
      </c>
      <c r="AY851">
        <f t="shared" si="237"/>
        <v>0</v>
      </c>
    </row>
    <row r="852" customHeight="1" spans="1:51">
      <c r="A852" s="5" t="s">
        <v>441</v>
      </c>
      <c r="C852" s="5">
        <v>3</v>
      </c>
      <c r="D852" s="1" t="s">
        <v>220</v>
      </c>
      <c r="E852" s="1" t="s">
        <v>224</v>
      </c>
      <c r="L852" s="5">
        <f>IFERROR(VLOOKUP($D852&amp;$C852,生产方式定位!$A$2:$E$38,2,FALSE)+VLOOKUP($E852&amp;$C852,生产方式定位!$F$3:$J$38,2,FALSE),0)</f>
        <v>1900</v>
      </c>
      <c r="S852" s="5">
        <f>IFERROR(VLOOKUP($D852&amp;$C852,生产方式定位!$A$2:$E$38,3,FALSE)+VLOOKUP($E852&amp;$C852,生产方式定位!$F$3:$J$38,3,FALSE),0)</f>
        <v>70</v>
      </c>
      <c r="X852" s="5">
        <f>IFERROR(VLOOKUP($D852&amp;$C852,生产方式定位!$A$2:$E$38,5,FALSE)+VLOOKUP($E852&amp;$C852,生产方式定位!$F$3:$J$38,5,FALSE),"错误")</f>
        <v>2064</v>
      </c>
      <c r="Y852" s="27" t="str">
        <f t="shared" si="221"/>
        <v/>
      </c>
      <c r="Z852" s="50" t="str">
        <f t="shared" si="224"/>
        <v/>
      </c>
      <c r="AA852" s="50" t="str">
        <f t="shared" si="222"/>
        <v/>
      </c>
      <c r="AB852" s="28" t="str">
        <f t="shared" si="225"/>
        <v>9%</v>
      </c>
      <c r="AC852" s="1">
        <f t="shared" si="226"/>
        <v>94</v>
      </c>
      <c r="AD852" s="51">
        <f t="shared" si="223"/>
        <v>3</v>
      </c>
      <c r="AE852" t="str">
        <f t="shared" si="227"/>
        <v/>
      </c>
      <c r="AF852" t="str">
        <f t="shared" si="228"/>
        <v/>
      </c>
      <c r="AG852" t="str">
        <f t="shared" si="229"/>
        <v/>
      </c>
      <c r="AH852" t="str">
        <f t="shared" si="230"/>
        <v/>
      </c>
      <c r="AI852" t="str">
        <f t="shared" si="231"/>
        <v/>
      </c>
      <c r="AJ852" t="str">
        <f t="shared" si="232"/>
        <v/>
      </c>
      <c r="AK852" t="str">
        <f t="shared" si="233"/>
        <v/>
      </c>
      <c r="AL852" t="str">
        <f t="shared" si="234"/>
        <v/>
      </c>
      <c r="AN852" t="str">
        <f>IFERROR(ROUND(L852*(G852/$AW852)/VLOOKUP(F852,商品!$A$4:$D$67,4,FALSE),0),"")</f>
        <v/>
      </c>
      <c r="AO852" t="str">
        <f>IFERROR(ROUND(L852*(I852/$AW852)/VLOOKUP(H852,商品!$A$4:$D$67,4,FALSE),0),"")</f>
        <v/>
      </c>
      <c r="AP852" t="str">
        <f>IFERROR(ROUND(L852*(K852/$AW852)/VLOOKUP(J852,商品!$A$4:$D$67,4,FALSE),0),"")</f>
        <v/>
      </c>
      <c r="AQ852" t="str">
        <f>IFERROR(ROUND(S852*(N852/$AX852)/VLOOKUP(M852,职业!$A$3:$E$16,4,FALSE),0),"")</f>
        <v/>
      </c>
      <c r="AR852" t="str">
        <f>IFERROR(ROUND(S852*(P852/$AX852)/VLOOKUP(O852,职业!$A$3:$E$16,4,FALSE),0),"")</f>
        <v/>
      </c>
      <c r="AS852" t="str">
        <f>IFERROR(ROUND(S852*(R852/$AX852)/VLOOKUP(Q852,职业!$A$3:$E$16,4,FALSE),0),"")</f>
        <v/>
      </c>
      <c r="AT852" t="str">
        <f>IFERROR(ROUND(X852*(U852/$AY852)/VLOOKUP(T852,商品!$A$4:$D$67,4,FALSE),0),"")</f>
        <v/>
      </c>
      <c r="AU852" t="str">
        <f>IFERROR(ROUND(X852*(W852/$AY852)/VLOOKUP(V852,商品!$A$4:$D$67,4,FALSE),0),"")</f>
        <v/>
      </c>
      <c r="AW852">
        <f t="shared" si="235"/>
        <v>0</v>
      </c>
      <c r="AX852">
        <f t="shared" si="236"/>
        <v>0</v>
      </c>
      <c r="AY852">
        <f t="shared" si="237"/>
        <v>0</v>
      </c>
    </row>
    <row r="853" customHeight="1" spans="1:51">
      <c r="A853" s="5" t="s">
        <v>441</v>
      </c>
      <c r="C853" s="5">
        <v>4</v>
      </c>
      <c r="D853" s="1" t="s">
        <v>220</v>
      </c>
      <c r="E853" s="1" t="s">
        <v>224</v>
      </c>
      <c r="L853" s="5">
        <f>IFERROR(VLOOKUP($D853&amp;$C853,生产方式定位!$A$2:$E$38,2,FALSE)+VLOOKUP($E853&amp;$C853,生产方式定位!$F$3:$J$38,2,FALSE),0)</f>
        <v>2600</v>
      </c>
      <c r="S853" s="5">
        <f>IFERROR(VLOOKUP($D853&amp;$C853,生产方式定位!$A$2:$E$38,3,FALSE)+VLOOKUP($E853&amp;$C853,生产方式定位!$F$3:$J$38,3,FALSE),0)</f>
        <v>40</v>
      </c>
      <c r="X853" s="5">
        <f>IFERROR(VLOOKUP($D853&amp;$C853,生产方式定位!$A$2:$E$38,5,FALSE)+VLOOKUP($E853&amp;$C853,生产方式定位!$F$3:$J$38,5,FALSE),"错误")</f>
        <v>2782</v>
      </c>
      <c r="Y853" s="27" t="str">
        <f t="shared" si="221"/>
        <v/>
      </c>
      <c r="Z853" s="50" t="str">
        <f t="shared" si="224"/>
        <v/>
      </c>
      <c r="AA853" s="50" t="str">
        <f t="shared" si="222"/>
        <v/>
      </c>
      <c r="AB853" s="28" t="str">
        <f t="shared" si="225"/>
        <v>7%</v>
      </c>
      <c r="AC853" s="1">
        <f t="shared" si="226"/>
        <v>142</v>
      </c>
      <c r="AD853" s="51">
        <f t="shared" si="223"/>
        <v>4</v>
      </c>
      <c r="AE853" t="str">
        <f t="shared" si="227"/>
        <v/>
      </c>
      <c r="AF853" t="str">
        <f t="shared" si="228"/>
        <v/>
      </c>
      <c r="AG853" t="str">
        <f t="shared" si="229"/>
        <v/>
      </c>
      <c r="AH853" t="str">
        <f t="shared" si="230"/>
        <v/>
      </c>
      <c r="AI853" t="str">
        <f t="shared" si="231"/>
        <v/>
      </c>
      <c r="AJ853" t="str">
        <f t="shared" si="232"/>
        <v/>
      </c>
      <c r="AK853" t="str">
        <f t="shared" si="233"/>
        <v/>
      </c>
      <c r="AL853" t="str">
        <f t="shared" si="234"/>
        <v/>
      </c>
      <c r="AN853" t="str">
        <f>IFERROR(ROUND(L853*(G853/$AW853)/VLOOKUP(F853,商品!$A$4:$D$67,4,FALSE),0),"")</f>
        <v/>
      </c>
      <c r="AO853" t="str">
        <f>IFERROR(ROUND(L853*(I853/$AW853)/VLOOKUP(H853,商品!$A$4:$D$67,4,FALSE),0),"")</f>
        <v/>
      </c>
      <c r="AP853" t="str">
        <f>IFERROR(ROUND(L853*(K853/$AW853)/VLOOKUP(J853,商品!$A$4:$D$67,4,FALSE),0),"")</f>
        <v/>
      </c>
      <c r="AQ853" t="str">
        <f>IFERROR(ROUND(S853*(N853/$AX853)/VLOOKUP(M853,职业!$A$3:$E$16,4,FALSE),0),"")</f>
        <v/>
      </c>
      <c r="AR853" t="str">
        <f>IFERROR(ROUND(S853*(P853/$AX853)/VLOOKUP(O853,职业!$A$3:$E$16,4,FALSE),0),"")</f>
        <v/>
      </c>
      <c r="AS853" t="str">
        <f>IFERROR(ROUND(S853*(R853/$AX853)/VLOOKUP(Q853,职业!$A$3:$E$16,4,FALSE),0),"")</f>
        <v/>
      </c>
      <c r="AT853" t="str">
        <f>IFERROR(ROUND(X853*(U853/$AY853)/VLOOKUP(T853,商品!$A$4:$D$67,4,FALSE),0),"")</f>
        <v/>
      </c>
      <c r="AU853" t="str">
        <f>IFERROR(ROUND(X853*(W853/$AY853)/VLOOKUP(V853,商品!$A$4:$D$67,4,FALSE),0),"")</f>
        <v/>
      </c>
      <c r="AW853">
        <f t="shared" si="235"/>
        <v>0</v>
      </c>
      <c r="AX853">
        <f t="shared" si="236"/>
        <v>0</v>
      </c>
      <c r="AY853">
        <f t="shared" si="237"/>
        <v>0</v>
      </c>
    </row>
    <row r="854" customHeight="1" spans="1:51">
      <c r="A854" s="5" t="s">
        <v>441</v>
      </c>
      <c r="C854" s="5">
        <v>5</v>
      </c>
      <c r="D854" s="1" t="s">
        <v>220</v>
      </c>
      <c r="E854" s="1" t="s">
        <v>224</v>
      </c>
      <c r="L854" s="5">
        <f>IFERROR(VLOOKUP($D854&amp;$C854,生产方式定位!$A$2:$E$38,2,FALSE)+VLOOKUP($E854&amp;$C854,生产方式定位!$F$3:$J$38,2,FALSE),0)</f>
        <v>3300</v>
      </c>
      <c r="S854" s="5">
        <f>IFERROR(VLOOKUP($D854&amp;$C854,生产方式定位!$A$2:$E$38,3,FALSE)+VLOOKUP($E854&amp;$C854,生产方式定位!$F$3:$J$38,3,FALSE),0)</f>
        <v>10</v>
      </c>
      <c r="X854" s="5">
        <f>IFERROR(VLOOKUP($D854&amp;$C854,生产方式定位!$A$2:$E$38,5,FALSE)+VLOOKUP($E854&amp;$C854,生产方式定位!$F$3:$J$38,5,FALSE),"错误")</f>
        <v>3500</v>
      </c>
      <c r="Y854" s="27" t="str">
        <f t="shared" si="221"/>
        <v/>
      </c>
      <c r="Z854" s="50" t="str">
        <f t="shared" si="224"/>
        <v/>
      </c>
      <c r="AA854" s="50" t="str">
        <f t="shared" si="222"/>
        <v/>
      </c>
      <c r="AB854" s="28" t="str">
        <f t="shared" si="225"/>
        <v>6%</v>
      </c>
      <c r="AC854" s="1">
        <f t="shared" si="226"/>
        <v>190</v>
      </c>
      <c r="AD854" s="51">
        <f t="shared" si="223"/>
        <v>5</v>
      </c>
      <c r="AE854" t="str">
        <f t="shared" si="227"/>
        <v/>
      </c>
      <c r="AF854" t="str">
        <f t="shared" si="228"/>
        <v/>
      </c>
      <c r="AG854" t="str">
        <f t="shared" si="229"/>
        <v/>
      </c>
      <c r="AH854" t="str">
        <f t="shared" si="230"/>
        <v/>
      </c>
      <c r="AI854" t="str">
        <f t="shared" si="231"/>
        <v/>
      </c>
      <c r="AJ854" t="str">
        <f t="shared" si="232"/>
        <v/>
      </c>
      <c r="AK854" t="str">
        <f t="shared" si="233"/>
        <v/>
      </c>
      <c r="AL854" t="str">
        <f t="shared" si="234"/>
        <v/>
      </c>
      <c r="AN854" t="str">
        <f>IFERROR(ROUND(L854*(G854/$AW854)/VLOOKUP(F854,商品!$A$4:$D$67,4,FALSE),0),"")</f>
        <v/>
      </c>
      <c r="AO854" t="str">
        <f>IFERROR(ROUND(L854*(I854/$AW854)/VLOOKUP(H854,商品!$A$4:$D$67,4,FALSE),0),"")</f>
        <v/>
      </c>
      <c r="AP854" t="str">
        <f>IFERROR(ROUND(L854*(K854/$AW854)/VLOOKUP(J854,商品!$A$4:$D$67,4,FALSE),0),"")</f>
        <v/>
      </c>
      <c r="AQ854" t="str">
        <f>IFERROR(ROUND(S854*(N854/$AX854)/VLOOKUP(M854,职业!$A$3:$E$16,4,FALSE),0),"")</f>
        <v/>
      </c>
      <c r="AR854" t="str">
        <f>IFERROR(ROUND(S854*(P854/$AX854)/VLOOKUP(O854,职业!$A$3:$E$16,4,FALSE),0),"")</f>
        <v/>
      </c>
      <c r="AS854" t="str">
        <f>IFERROR(ROUND(S854*(R854/$AX854)/VLOOKUP(Q854,职业!$A$3:$E$16,4,FALSE),0),"")</f>
        <v/>
      </c>
      <c r="AT854" t="str">
        <f>IFERROR(ROUND(X854*(U854/$AY854)/VLOOKUP(T854,商品!$A$4:$D$67,4,FALSE),0),"")</f>
        <v/>
      </c>
      <c r="AU854" t="str">
        <f>IFERROR(ROUND(X854*(W854/$AY854)/VLOOKUP(V854,商品!$A$4:$D$67,4,FALSE),0),"")</f>
        <v/>
      </c>
      <c r="AW854">
        <f t="shared" si="235"/>
        <v>0</v>
      </c>
      <c r="AX854">
        <f t="shared" si="236"/>
        <v>0</v>
      </c>
      <c r="AY854">
        <f t="shared" si="237"/>
        <v>0</v>
      </c>
    </row>
    <row r="855" customHeight="1" spans="1:51">
      <c r="A855" s="18" t="s">
        <v>442</v>
      </c>
      <c r="C855" s="18">
        <v>1</v>
      </c>
      <c r="D855" s="1" t="s">
        <v>291</v>
      </c>
      <c r="E855" s="1" t="s">
        <v>225</v>
      </c>
      <c r="L855" s="18">
        <f>IFERROR(VLOOKUP($D855&amp;$C855,生产方式定位!$A$2:$E$38,2,FALSE)+VLOOKUP($E855&amp;$C855,生产方式定位!$F$3:$J$38,2,FALSE),0)</f>
        <v>0</v>
      </c>
      <c r="S855" s="18">
        <f>IFERROR(VLOOKUP($D855&amp;$C855,生产方式定位!$A$2:$E$38,3,FALSE)+VLOOKUP($E855&amp;$C855,生产方式定位!$F$3:$J$38,3,FALSE),0)</f>
        <v>100</v>
      </c>
      <c r="X855" s="18">
        <f>IFERROR(VLOOKUP($D855&amp;$C855,生产方式定位!$A$2:$E$38,5,FALSE)+VLOOKUP($E855&amp;$C855,生产方式定位!$F$3:$J$38,5,FALSE),"错误")</f>
        <v>100</v>
      </c>
      <c r="Y855" s="27" t="str">
        <f t="shared" si="221"/>
        <v/>
      </c>
      <c r="Z855" s="50" t="str">
        <f t="shared" si="224"/>
        <v/>
      </c>
      <c r="AA855" s="50" t="str">
        <f t="shared" si="222"/>
        <v/>
      </c>
      <c r="AB855" s="28" t="str">
        <f t="shared" si="225"/>
        <v/>
      </c>
      <c r="AC855" s="1" t="str">
        <f t="shared" si="226"/>
        <v/>
      </c>
      <c r="AD855" s="52">
        <f t="shared" si="223"/>
        <v>1</v>
      </c>
      <c r="AE855" t="str">
        <f t="shared" si="227"/>
        <v/>
      </c>
      <c r="AF855" t="str">
        <f t="shared" si="228"/>
        <v/>
      </c>
      <c r="AG855" t="str">
        <f t="shared" si="229"/>
        <v/>
      </c>
      <c r="AH855" t="str">
        <f t="shared" si="230"/>
        <v/>
      </c>
      <c r="AI855" t="str">
        <f t="shared" si="231"/>
        <v/>
      </c>
      <c r="AJ855" t="str">
        <f t="shared" si="232"/>
        <v/>
      </c>
      <c r="AK855" t="str">
        <f t="shared" si="233"/>
        <v/>
      </c>
      <c r="AL855" t="str">
        <f t="shared" si="234"/>
        <v/>
      </c>
      <c r="AN855" t="str">
        <f>IFERROR(ROUND(L855*(G855/$AW855)/VLOOKUP(F855,商品!$A$4:$D$67,4,FALSE),0),"")</f>
        <v/>
      </c>
      <c r="AO855" t="str">
        <f>IFERROR(ROUND(L855*(I855/$AW855)/VLOOKUP(H855,商品!$A$4:$D$67,4,FALSE),0),"")</f>
        <v/>
      </c>
      <c r="AP855" t="str">
        <f>IFERROR(ROUND(L855*(K855/$AW855)/VLOOKUP(J855,商品!$A$4:$D$67,4,FALSE),0),"")</f>
        <v/>
      </c>
      <c r="AQ855" t="str">
        <f>IFERROR(ROUND(S855*(N855/$AX855)/VLOOKUP(M855,职业!$A$3:$E$16,4,FALSE),0),"")</f>
        <v/>
      </c>
      <c r="AR855" t="str">
        <f>IFERROR(ROUND(S855*(P855/$AX855)/VLOOKUP(O855,职业!$A$3:$E$16,4,FALSE),0),"")</f>
        <v/>
      </c>
      <c r="AS855" t="str">
        <f>IFERROR(ROUND(S855*(R855/$AX855)/VLOOKUP(Q855,职业!$A$3:$E$16,4,FALSE),0),"")</f>
        <v/>
      </c>
      <c r="AT855" t="str">
        <f>IFERROR(ROUND(X855*(U855/$AY855)/VLOOKUP(T855,商品!$A$4:$D$67,4,FALSE),0),"")</f>
        <v/>
      </c>
      <c r="AU855" t="str">
        <f>IFERROR(ROUND(X855*(W855/$AY855)/VLOOKUP(V855,商品!$A$4:$D$67,4,FALSE),0),"")</f>
        <v/>
      </c>
      <c r="AW855">
        <f t="shared" si="235"/>
        <v>0</v>
      </c>
      <c r="AX855">
        <f t="shared" si="236"/>
        <v>0</v>
      </c>
      <c r="AY855">
        <f t="shared" si="237"/>
        <v>0</v>
      </c>
    </row>
    <row r="856" customHeight="1" spans="1:51">
      <c r="A856" s="18" t="s">
        <v>442</v>
      </c>
      <c r="C856" s="18">
        <v>2</v>
      </c>
      <c r="D856" s="1" t="s">
        <v>291</v>
      </c>
      <c r="E856" s="1" t="s">
        <v>225</v>
      </c>
      <c r="L856" s="18">
        <f>IFERROR(VLOOKUP($D856&amp;$C856,生产方式定位!$A$2:$E$38,2,FALSE)+VLOOKUP($E856&amp;$C856,生产方式定位!$F$3:$J$38,2,FALSE),0)</f>
        <v>0</v>
      </c>
      <c r="S856" s="18">
        <f>IFERROR(VLOOKUP($D856&amp;$C856,生产方式定位!$A$2:$E$38,3,FALSE)+VLOOKUP($E856&amp;$C856,生产方式定位!$F$3:$J$38,3,FALSE),0)</f>
        <v>100</v>
      </c>
      <c r="X856" s="18">
        <f>IFERROR(VLOOKUP($D856&amp;$C856,生产方式定位!$A$2:$E$38,5,FALSE)+VLOOKUP($E856&amp;$C856,生产方式定位!$F$3:$J$38,5,FALSE),"错误")</f>
        <v>100</v>
      </c>
      <c r="Y856" s="27" t="str">
        <f t="shared" si="221"/>
        <v/>
      </c>
      <c r="Z856" s="50" t="str">
        <f t="shared" si="224"/>
        <v/>
      </c>
      <c r="AA856" s="50" t="str">
        <f t="shared" si="222"/>
        <v/>
      </c>
      <c r="AB856" s="28" t="str">
        <f t="shared" si="225"/>
        <v/>
      </c>
      <c r="AC856" s="1" t="str">
        <f t="shared" si="226"/>
        <v/>
      </c>
      <c r="AD856" s="52">
        <f t="shared" si="223"/>
        <v>2</v>
      </c>
      <c r="AE856" t="str">
        <f t="shared" si="227"/>
        <v/>
      </c>
      <c r="AF856" t="str">
        <f t="shared" si="228"/>
        <v/>
      </c>
      <c r="AG856" t="str">
        <f t="shared" si="229"/>
        <v/>
      </c>
      <c r="AH856" t="str">
        <f t="shared" si="230"/>
        <v/>
      </c>
      <c r="AI856" t="str">
        <f t="shared" si="231"/>
        <v/>
      </c>
      <c r="AJ856" t="str">
        <f t="shared" si="232"/>
        <v/>
      </c>
      <c r="AK856" t="str">
        <f t="shared" si="233"/>
        <v/>
      </c>
      <c r="AL856" t="str">
        <f t="shared" si="234"/>
        <v/>
      </c>
      <c r="AN856" t="str">
        <f>IFERROR(ROUND(L856*(G856/$AW856)/VLOOKUP(F856,商品!$A$4:$D$67,4,FALSE),0),"")</f>
        <v/>
      </c>
      <c r="AO856" t="str">
        <f>IFERROR(ROUND(L856*(I856/$AW856)/VLOOKUP(H856,商品!$A$4:$D$67,4,FALSE),0),"")</f>
        <v/>
      </c>
      <c r="AP856" t="str">
        <f>IFERROR(ROUND(L856*(K856/$AW856)/VLOOKUP(J856,商品!$A$4:$D$67,4,FALSE),0),"")</f>
        <v/>
      </c>
      <c r="AQ856" t="str">
        <f>IFERROR(ROUND(S856*(N856/$AX856)/VLOOKUP(M856,职业!$A$3:$E$16,4,FALSE),0),"")</f>
        <v/>
      </c>
      <c r="AR856" t="str">
        <f>IFERROR(ROUND(S856*(P856/$AX856)/VLOOKUP(O856,职业!$A$3:$E$16,4,FALSE),0),"")</f>
        <v/>
      </c>
      <c r="AS856" t="str">
        <f>IFERROR(ROUND(S856*(R856/$AX856)/VLOOKUP(Q856,职业!$A$3:$E$16,4,FALSE),0),"")</f>
        <v/>
      </c>
      <c r="AT856" t="str">
        <f>IFERROR(ROUND(X856*(U856/$AY856)/VLOOKUP(T856,商品!$A$4:$D$67,4,FALSE),0),"")</f>
        <v/>
      </c>
      <c r="AU856" t="str">
        <f>IFERROR(ROUND(X856*(W856/$AY856)/VLOOKUP(V856,商品!$A$4:$D$67,4,FALSE),0),"")</f>
        <v/>
      </c>
      <c r="AW856">
        <f t="shared" si="235"/>
        <v>0</v>
      </c>
      <c r="AX856">
        <f t="shared" si="236"/>
        <v>0</v>
      </c>
      <c r="AY856">
        <f t="shared" si="237"/>
        <v>0</v>
      </c>
    </row>
    <row r="857" customHeight="1" spans="1:51">
      <c r="A857" s="18" t="s">
        <v>442</v>
      </c>
      <c r="C857" s="18">
        <v>3</v>
      </c>
      <c r="D857" s="1" t="s">
        <v>291</v>
      </c>
      <c r="E857" s="1" t="s">
        <v>225</v>
      </c>
      <c r="L857" s="18">
        <f>IFERROR(VLOOKUP($D857&amp;$C857,生产方式定位!$A$2:$E$38,2,FALSE)+VLOOKUP($E857&amp;$C857,生产方式定位!$F$3:$J$38,2,FALSE),0)</f>
        <v>0</v>
      </c>
      <c r="S857" s="18">
        <f>IFERROR(VLOOKUP($D857&amp;$C857,生产方式定位!$A$2:$E$38,3,FALSE)+VLOOKUP($E857&amp;$C857,生产方式定位!$F$3:$J$38,3,FALSE),0)</f>
        <v>100</v>
      </c>
      <c r="X857" s="18">
        <f>IFERROR(VLOOKUP($D857&amp;$C857,生产方式定位!$A$2:$E$38,5,FALSE)+VLOOKUP($E857&amp;$C857,生产方式定位!$F$3:$J$38,5,FALSE),"错误")</f>
        <v>100</v>
      </c>
      <c r="Y857" s="27" t="str">
        <f t="shared" si="221"/>
        <v/>
      </c>
      <c r="Z857" s="50" t="str">
        <f t="shared" si="224"/>
        <v/>
      </c>
      <c r="AA857" s="50" t="str">
        <f t="shared" si="222"/>
        <v/>
      </c>
      <c r="AB857" s="28" t="str">
        <f t="shared" si="225"/>
        <v/>
      </c>
      <c r="AC857" s="1" t="str">
        <f t="shared" si="226"/>
        <v/>
      </c>
      <c r="AD857" s="52">
        <f t="shared" si="223"/>
        <v>3</v>
      </c>
      <c r="AE857" t="str">
        <f t="shared" si="227"/>
        <v/>
      </c>
      <c r="AF857" t="str">
        <f t="shared" si="228"/>
        <v/>
      </c>
      <c r="AG857" t="str">
        <f t="shared" si="229"/>
        <v/>
      </c>
      <c r="AH857" t="str">
        <f t="shared" si="230"/>
        <v/>
      </c>
      <c r="AI857" t="str">
        <f t="shared" si="231"/>
        <v/>
      </c>
      <c r="AJ857" t="str">
        <f t="shared" si="232"/>
        <v/>
      </c>
      <c r="AK857" t="str">
        <f t="shared" si="233"/>
        <v/>
      </c>
      <c r="AL857" t="str">
        <f t="shared" si="234"/>
        <v/>
      </c>
      <c r="AN857" t="str">
        <f>IFERROR(ROUND(L857*(G857/$AW857)/VLOOKUP(F857,商品!$A$4:$D$67,4,FALSE),0),"")</f>
        <v/>
      </c>
      <c r="AO857" t="str">
        <f>IFERROR(ROUND(L857*(I857/$AW857)/VLOOKUP(H857,商品!$A$4:$D$67,4,FALSE),0),"")</f>
        <v/>
      </c>
      <c r="AP857" t="str">
        <f>IFERROR(ROUND(L857*(K857/$AW857)/VLOOKUP(J857,商品!$A$4:$D$67,4,FALSE),0),"")</f>
        <v/>
      </c>
      <c r="AQ857" t="str">
        <f>IFERROR(ROUND(S857*(N857/$AX857)/VLOOKUP(M857,职业!$A$3:$E$16,4,FALSE),0),"")</f>
        <v/>
      </c>
      <c r="AR857" t="str">
        <f>IFERROR(ROUND(S857*(P857/$AX857)/VLOOKUP(O857,职业!$A$3:$E$16,4,FALSE),0),"")</f>
        <v/>
      </c>
      <c r="AS857" t="str">
        <f>IFERROR(ROUND(S857*(R857/$AX857)/VLOOKUP(Q857,职业!$A$3:$E$16,4,FALSE),0),"")</f>
        <v/>
      </c>
      <c r="AT857" t="str">
        <f>IFERROR(ROUND(X857*(U857/$AY857)/VLOOKUP(T857,商品!$A$4:$D$67,4,FALSE),0),"")</f>
        <v/>
      </c>
      <c r="AU857" t="str">
        <f>IFERROR(ROUND(X857*(W857/$AY857)/VLOOKUP(V857,商品!$A$4:$D$67,4,FALSE),0),"")</f>
        <v/>
      </c>
      <c r="AW857">
        <f t="shared" si="235"/>
        <v>0</v>
      </c>
      <c r="AX857">
        <f t="shared" si="236"/>
        <v>0</v>
      </c>
      <c r="AY857">
        <f t="shared" si="237"/>
        <v>0</v>
      </c>
    </row>
    <row r="858" customHeight="1" spans="1:51">
      <c r="A858" s="18" t="s">
        <v>442</v>
      </c>
      <c r="C858" s="18">
        <v>4</v>
      </c>
      <c r="D858" s="1" t="s">
        <v>291</v>
      </c>
      <c r="E858" s="1" t="s">
        <v>225</v>
      </c>
      <c r="L858" s="18">
        <f>IFERROR(VLOOKUP($D858&amp;$C858,生产方式定位!$A$2:$E$38,2,FALSE)+VLOOKUP($E858&amp;$C858,生产方式定位!$F$3:$J$38,2,FALSE),0)</f>
        <v>0</v>
      </c>
      <c r="S858" s="18">
        <f>IFERROR(VLOOKUP($D858&amp;$C858,生产方式定位!$A$2:$E$38,3,FALSE)+VLOOKUP($E858&amp;$C858,生产方式定位!$F$3:$J$38,3,FALSE),0)</f>
        <v>100</v>
      </c>
      <c r="X858" s="18">
        <f>IFERROR(VLOOKUP($D858&amp;$C858,生产方式定位!$A$2:$E$38,5,FALSE)+VLOOKUP($E858&amp;$C858,生产方式定位!$F$3:$J$38,5,FALSE),"错误")</f>
        <v>100</v>
      </c>
      <c r="Y858" s="27" t="str">
        <f t="shared" si="221"/>
        <v/>
      </c>
      <c r="Z858" s="50" t="str">
        <f t="shared" si="224"/>
        <v/>
      </c>
      <c r="AA858" s="50" t="str">
        <f t="shared" si="222"/>
        <v/>
      </c>
      <c r="AB858" s="28" t="str">
        <f t="shared" si="225"/>
        <v/>
      </c>
      <c r="AC858" s="1" t="str">
        <f t="shared" si="226"/>
        <v/>
      </c>
      <c r="AD858" s="52">
        <f t="shared" si="223"/>
        <v>4</v>
      </c>
      <c r="AE858" t="str">
        <f t="shared" si="227"/>
        <v/>
      </c>
      <c r="AF858" t="str">
        <f t="shared" si="228"/>
        <v/>
      </c>
      <c r="AG858" t="str">
        <f t="shared" si="229"/>
        <v/>
      </c>
      <c r="AH858" t="str">
        <f t="shared" si="230"/>
        <v/>
      </c>
      <c r="AI858" t="str">
        <f t="shared" si="231"/>
        <v/>
      </c>
      <c r="AJ858" t="str">
        <f t="shared" si="232"/>
        <v/>
      </c>
      <c r="AK858" t="str">
        <f t="shared" si="233"/>
        <v/>
      </c>
      <c r="AL858" t="str">
        <f t="shared" si="234"/>
        <v/>
      </c>
      <c r="AN858" t="str">
        <f>IFERROR(ROUND(L858*(G858/$AW858)/VLOOKUP(F858,商品!$A$4:$D$67,4,FALSE),0),"")</f>
        <v/>
      </c>
      <c r="AO858" t="str">
        <f>IFERROR(ROUND(L858*(I858/$AW858)/VLOOKUP(H858,商品!$A$4:$D$67,4,FALSE),0),"")</f>
        <v/>
      </c>
      <c r="AP858" t="str">
        <f>IFERROR(ROUND(L858*(K858/$AW858)/VLOOKUP(J858,商品!$A$4:$D$67,4,FALSE),0),"")</f>
        <v/>
      </c>
      <c r="AQ858" t="str">
        <f>IFERROR(ROUND(S858*(N858/$AX858)/VLOOKUP(M858,职业!$A$3:$E$16,4,FALSE),0),"")</f>
        <v/>
      </c>
      <c r="AR858" t="str">
        <f>IFERROR(ROUND(S858*(P858/$AX858)/VLOOKUP(O858,职业!$A$3:$E$16,4,FALSE),0),"")</f>
        <v/>
      </c>
      <c r="AS858" t="str">
        <f>IFERROR(ROUND(S858*(R858/$AX858)/VLOOKUP(Q858,职业!$A$3:$E$16,4,FALSE),0),"")</f>
        <v/>
      </c>
      <c r="AT858" t="str">
        <f>IFERROR(ROUND(X858*(U858/$AY858)/VLOOKUP(T858,商品!$A$4:$D$67,4,FALSE),0),"")</f>
        <v/>
      </c>
      <c r="AU858" t="str">
        <f>IFERROR(ROUND(X858*(W858/$AY858)/VLOOKUP(V858,商品!$A$4:$D$67,4,FALSE),0),"")</f>
        <v/>
      </c>
      <c r="AW858">
        <f t="shared" si="235"/>
        <v>0</v>
      </c>
      <c r="AX858">
        <f t="shared" si="236"/>
        <v>0</v>
      </c>
      <c r="AY858">
        <f t="shared" si="237"/>
        <v>0</v>
      </c>
    </row>
    <row r="859" customHeight="1" spans="1:51">
      <c r="A859" s="18" t="s">
        <v>442</v>
      </c>
      <c r="C859" s="18">
        <v>5</v>
      </c>
      <c r="D859" s="1" t="s">
        <v>291</v>
      </c>
      <c r="E859" s="1" t="s">
        <v>225</v>
      </c>
      <c r="L859" s="18">
        <f>IFERROR(VLOOKUP($D859&amp;$C859,生产方式定位!$A$2:$E$38,2,FALSE)+VLOOKUP($E859&amp;$C859,生产方式定位!$F$3:$J$38,2,FALSE),0)</f>
        <v>0</v>
      </c>
      <c r="S859" s="18">
        <f>IFERROR(VLOOKUP($D859&amp;$C859,生产方式定位!$A$2:$E$38,3,FALSE)+VLOOKUP($E859&amp;$C859,生产方式定位!$F$3:$J$38,3,FALSE),0)</f>
        <v>100</v>
      </c>
      <c r="X859" s="18">
        <f>IFERROR(VLOOKUP($D859&amp;$C859,生产方式定位!$A$2:$E$38,5,FALSE)+VLOOKUP($E859&amp;$C859,生产方式定位!$F$3:$J$38,5,FALSE),"错误")</f>
        <v>100</v>
      </c>
      <c r="Y859" s="27" t="str">
        <f t="shared" si="221"/>
        <v/>
      </c>
      <c r="Z859" s="50" t="str">
        <f t="shared" si="224"/>
        <v/>
      </c>
      <c r="AA859" s="50" t="str">
        <f t="shared" si="222"/>
        <v/>
      </c>
      <c r="AB859" s="28" t="str">
        <f t="shared" si="225"/>
        <v/>
      </c>
      <c r="AC859" s="1" t="str">
        <f t="shared" si="226"/>
        <v/>
      </c>
      <c r="AD859" s="52">
        <f t="shared" si="223"/>
        <v>5</v>
      </c>
      <c r="AE859" t="str">
        <f t="shared" si="227"/>
        <v/>
      </c>
      <c r="AF859" t="str">
        <f t="shared" si="228"/>
        <v/>
      </c>
      <c r="AG859" t="str">
        <f t="shared" si="229"/>
        <v/>
      </c>
      <c r="AH859" t="str">
        <f t="shared" si="230"/>
        <v/>
      </c>
      <c r="AI859" t="str">
        <f t="shared" si="231"/>
        <v/>
      </c>
      <c r="AJ859" t="str">
        <f t="shared" si="232"/>
        <v/>
      </c>
      <c r="AK859" t="str">
        <f t="shared" si="233"/>
        <v/>
      </c>
      <c r="AL859" t="str">
        <f t="shared" si="234"/>
        <v/>
      </c>
      <c r="AN859" t="str">
        <f>IFERROR(ROUND(L859*(G859/$AW859)/VLOOKUP(F859,商品!$A$4:$D$67,4,FALSE),0),"")</f>
        <v/>
      </c>
      <c r="AO859" t="str">
        <f>IFERROR(ROUND(L859*(I859/$AW859)/VLOOKUP(H859,商品!$A$4:$D$67,4,FALSE),0),"")</f>
        <v/>
      </c>
      <c r="AP859" t="str">
        <f>IFERROR(ROUND(L859*(K859/$AW859)/VLOOKUP(J859,商品!$A$4:$D$67,4,FALSE),0),"")</f>
        <v/>
      </c>
      <c r="AQ859" t="str">
        <f>IFERROR(ROUND(S859*(N859/$AX859)/VLOOKUP(M859,职业!$A$3:$E$16,4,FALSE),0),"")</f>
        <v/>
      </c>
      <c r="AR859" t="str">
        <f>IFERROR(ROUND(S859*(P859/$AX859)/VLOOKUP(O859,职业!$A$3:$E$16,4,FALSE),0),"")</f>
        <v/>
      </c>
      <c r="AS859" t="str">
        <f>IFERROR(ROUND(S859*(R859/$AX859)/VLOOKUP(Q859,职业!$A$3:$E$16,4,FALSE),0),"")</f>
        <v/>
      </c>
      <c r="AT859" t="str">
        <f>IFERROR(ROUND(X859*(U859/$AY859)/VLOOKUP(T859,商品!$A$4:$D$67,4,FALSE),0),"")</f>
        <v/>
      </c>
      <c r="AU859" t="str">
        <f>IFERROR(ROUND(X859*(W859/$AY859)/VLOOKUP(V859,商品!$A$4:$D$67,4,FALSE),0),"")</f>
        <v/>
      </c>
      <c r="AW859">
        <f t="shared" si="235"/>
        <v>0</v>
      </c>
      <c r="AX859">
        <f t="shared" si="236"/>
        <v>0</v>
      </c>
      <c r="AY859">
        <f t="shared" si="237"/>
        <v>0</v>
      </c>
    </row>
    <row r="860" customHeight="1" spans="1:51">
      <c r="A860" s="18" t="s">
        <v>442</v>
      </c>
      <c r="C860" s="18">
        <v>6</v>
      </c>
      <c r="D860" s="1" t="s">
        <v>291</v>
      </c>
      <c r="E860" s="1" t="s">
        <v>225</v>
      </c>
      <c r="L860" s="18">
        <f>IFERROR(VLOOKUP($D860&amp;$C860,生产方式定位!$A$2:$E$38,2,FALSE)+VLOOKUP($E860&amp;$C860,生产方式定位!$F$3:$J$38,2,FALSE),0)</f>
        <v>0</v>
      </c>
      <c r="S860" s="18">
        <f>IFERROR(VLOOKUP($D860&amp;$C860,生产方式定位!$A$2:$E$38,3,FALSE)+VLOOKUP($E860&amp;$C860,生产方式定位!$F$3:$J$38,3,FALSE),0)</f>
        <v>100</v>
      </c>
      <c r="X860" s="18">
        <f>IFERROR(VLOOKUP($D860&amp;$C860,生产方式定位!$A$2:$E$38,5,FALSE)+VLOOKUP($E860&amp;$C860,生产方式定位!$F$3:$J$38,5,FALSE),"错误")</f>
        <v>100</v>
      </c>
      <c r="Y860" s="27" t="str">
        <f t="shared" si="221"/>
        <v/>
      </c>
      <c r="Z860" s="50" t="str">
        <f t="shared" si="224"/>
        <v/>
      </c>
      <c r="AA860" s="50" t="str">
        <f t="shared" si="222"/>
        <v/>
      </c>
      <c r="AB860" s="28" t="str">
        <f t="shared" si="225"/>
        <v/>
      </c>
      <c r="AC860" s="1" t="str">
        <f t="shared" si="226"/>
        <v/>
      </c>
      <c r="AD860" s="52">
        <f t="shared" si="223"/>
        <v>6</v>
      </c>
      <c r="AE860" t="str">
        <f t="shared" si="227"/>
        <v/>
      </c>
      <c r="AF860" t="str">
        <f t="shared" si="228"/>
        <v/>
      </c>
      <c r="AG860" t="str">
        <f t="shared" si="229"/>
        <v/>
      </c>
      <c r="AH860" t="str">
        <f t="shared" si="230"/>
        <v/>
      </c>
      <c r="AI860" t="str">
        <f t="shared" si="231"/>
        <v/>
      </c>
      <c r="AJ860" t="str">
        <f t="shared" si="232"/>
        <v/>
      </c>
      <c r="AK860" t="str">
        <f t="shared" si="233"/>
        <v/>
      </c>
      <c r="AL860" t="str">
        <f t="shared" si="234"/>
        <v/>
      </c>
      <c r="AN860" t="str">
        <f>IFERROR(ROUND(L860*(G860/$AW860)/VLOOKUP(F860,商品!$A$4:$D$67,4,FALSE),0),"")</f>
        <v/>
      </c>
      <c r="AO860" t="str">
        <f>IFERROR(ROUND(L860*(I860/$AW860)/VLOOKUP(H860,商品!$A$4:$D$67,4,FALSE),0),"")</f>
        <v/>
      </c>
      <c r="AP860" t="str">
        <f>IFERROR(ROUND(L860*(K860/$AW860)/VLOOKUP(J860,商品!$A$4:$D$67,4,FALSE),0),"")</f>
        <v/>
      </c>
      <c r="AQ860" t="str">
        <f>IFERROR(ROUND(S860*(N860/$AX860)/VLOOKUP(M860,职业!$A$3:$E$16,4,FALSE),0),"")</f>
        <v/>
      </c>
      <c r="AR860" t="str">
        <f>IFERROR(ROUND(S860*(P860/$AX860)/VLOOKUP(O860,职业!$A$3:$E$16,4,FALSE),0),"")</f>
        <v/>
      </c>
      <c r="AS860" t="str">
        <f>IFERROR(ROUND(S860*(R860/$AX860)/VLOOKUP(Q860,职业!$A$3:$E$16,4,FALSE),0),"")</f>
        <v/>
      </c>
      <c r="AT860" t="str">
        <f>IFERROR(ROUND(X860*(U860/$AY860)/VLOOKUP(T860,商品!$A$4:$D$67,4,FALSE),0),"")</f>
        <v/>
      </c>
      <c r="AU860" t="str">
        <f>IFERROR(ROUND(X860*(W860/$AY860)/VLOOKUP(V860,商品!$A$4:$D$67,4,FALSE),0),"")</f>
        <v/>
      </c>
      <c r="AW860">
        <f t="shared" si="235"/>
        <v>0</v>
      </c>
      <c r="AX860">
        <f t="shared" si="236"/>
        <v>0</v>
      </c>
      <c r="AY860">
        <f t="shared" si="237"/>
        <v>0</v>
      </c>
    </row>
    <row r="861" customHeight="1" spans="1:51">
      <c r="A861" s="18" t="s">
        <v>442</v>
      </c>
      <c r="C861" s="18">
        <v>7</v>
      </c>
      <c r="D861" s="1" t="s">
        <v>291</v>
      </c>
      <c r="E861" s="1" t="s">
        <v>225</v>
      </c>
      <c r="L861" s="18">
        <f>IFERROR(VLOOKUP($D861&amp;$C861,生产方式定位!$A$2:$E$38,2,FALSE)+VLOOKUP($E861&amp;$C861,生产方式定位!$F$3:$J$38,2,FALSE),0)</f>
        <v>0</v>
      </c>
      <c r="S861" s="18">
        <f>IFERROR(VLOOKUP($D861&amp;$C861,生产方式定位!$A$2:$E$38,3,FALSE)+VLOOKUP($E861&amp;$C861,生产方式定位!$F$3:$J$38,3,FALSE),0)</f>
        <v>100</v>
      </c>
      <c r="X861" s="18">
        <f>IFERROR(VLOOKUP($D861&amp;$C861,生产方式定位!$A$2:$E$38,5,FALSE)+VLOOKUP($E861&amp;$C861,生产方式定位!$F$3:$J$38,5,FALSE),"错误")</f>
        <v>100</v>
      </c>
      <c r="Y861" s="27" t="str">
        <f t="shared" si="221"/>
        <v/>
      </c>
      <c r="Z861" s="50" t="str">
        <f t="shared" si="224"/>
        <v/>
      </c>
      <c r="AA861" s="50" t="str">
        <f t="shared" si="222"/>
        <v/>
      </c>
      <c r="AB861" s="28" t="str">
        <f t="shared" si="225"/>
        <v/>
      </c>
      <c r="AC861" s="1" t="str">
        <f t="shared" si="226"/>
        <v/>
      </c>
      <c r="AD861" s="52">
        <f t="shared" si="223"/>
        <v>7</v>
      </c>
      <c r="AE861" t="str">
        <f t="shared" si="227"/>
        <v/>
      </c>
      <c r="AF861" t="str">
        <f t="shared" si="228"/>
        <v/>
      </c>
      <c r="AG861" t="str">
        <f t="shared" si="229"/>
        <v/>
      </c>
      <c r="AH861" t="str">
        <f t="shared" si="230"/>
        <v/>
      </c>
      <c r="AI861" t="str">
        <f t="shared" si="231"/>
        <v/>
      </c>
      <c r="AJ861" t="str">
        <f t="shared" si="232"/>
        <v/>
      </c>
      <c r="AK861" t="str">
        <f t="shared" si="233"/>
        <v/>
      </c>
      <c r="AL861" t="str">
        <f t="shared" si="234"/>
        <v/>
      </c>
      <c r="AN861" t="str">
        <f>IFERROR(ROUND(L861*(G861/$AW861)/VLOOKUP(F861,商品!$A$4:$D$67,4,FALSE),0),"")</f>
        <v/>
      </c>
      <c r="AO861" t="str">
        <f>IFERROR(ROUND(L861*(I861/$AW861)/VLOOKUP(H861,商品!$A$4:$D$67,4,FALSE),0),"")</f>
        <v/>
      </c>
      <c r="AP861" t="str">
        <f>IFERROR(ROUND(L861*(K861/$AW861)/VLOOKUP(J861,商品!$A$4:$D$67,4,FALSE),0),"")</f>
        <v/>
      </c>
      <c r="AQ861" t="str">
        <f>IFERROR(ROUND(S861*(N861/$AX861)/VLOOKUP(M861,职业!$A$3:$E$16,4,FALSE),0),"")</f>
        <v/>
      </c>
      <c r="AR861" t="str">
        <f>IFERROR(ROUND(S861*(P861/$AX861)/VLOOKUP(O861,职业!$A$3:$E$16,4,FALSE),0),"")</f>
        <v/>
      </c>
      <c r="AS861" t="str">
        <f>IFERROR(ROUND(S861*(R861/$AX861)/VLOOKUP(Q861,职业!$A$3:$E$16,4,FALSE),0),"")</f>
        <v/>
      </c>
      <c r="AT861" t="str">
        <f>IFERROR(ROUND(X861*(U861/$AY861)/VLOOKUP(T861,商品!$A$4:$D$67,4,FALSE),0),"")</f>
        <v/>
      </c>
      <c r="AU861" t="str">
        <f>IFERROR(ROUND(X861*(W861/$AY861)/VLOOKUP(V861,商品!$A$4:$D$67,4,FALSE),0),"")</f>
        <v/>
      </c>
      <c r="AW861">
        <f t="shared" si="235"/>
        <v>0</v>
      </c>
      <c r="AX861">
        <f t="shared" si="236"/>
        <v>0</v>
      </c>
      <c r="AY861">
        <f t="shared" si="237"/>
        <v>0</v>
      </c>
    </row>
    <row r="862" customHeight="1" spans="1:51">
      <c r="A862" s="18" t="s">
        <v>442</v>
      </c>
      <c r="C862" s="18">
        <v>8</v>
      </c>
      <c r="D862" s="1" t="s">
        <v>291</v>
      </c>
      <c r="E862" s="1" t="s">
        <v>225</v>
      </c>
      <c r="L862" s="18">
        <f>IFERROR(VLOOKUP($D862&amp;$C862,生产方式定位!$A$2:$E$38,2,FALSE)+VLOOKUP($E862&amp;$C862,生产方式定位!$F$3:$J$38,2,FALSE),0)</f>
        <v>0</v>
      </c>
      <c r="S862" s="18">
        <f>IFERROR(VLOOKUP($D862&amp;$C862,生产方式定位!$A$2:$E$38,3,FALSE)+VLOOKUP($E862&amp;$C862,生产方式定位!$F$3:$J$38,3,FALSE),0)</f>
        <v>100</v>
      </c>
      <c r="X862" s="18">
        <f>IFERROR(VLOOKUP($D862&amp;$C862,生产方式定位!$A$2:$E$38,5,FALSE)+VLOOKUP($E862&amp;$C862,生产方式定位!$F$3:$J$38,5,FALSE),"错误")</f>
        <v>100</v>
      </c>
      <c r="Y862" s="27" t="str">
        <f t="shared" si="221"/>
        <v/>
      </c>
      <c r="Z862" s="50" t="str">
        <f t="shared" si="224"/>
        <v/>
      </c>
      <c r="AA862" s="50" t="str">
        <f t="shared" si="222"/>
        <v/>
      </c>
      <c r="AB862" s="28" t="str">
        <f t="shared" si="225"/>
        <v/>
      </c>
      <c r="AC862" s="1" t="str">
        <f t="shared" si="226"/>
        <v/>
      </c>
      <c r="AD862" s="52">
        <f t="shared" si="223"/>
        <v>8</v>
      </c>
      <c r="AE862" t="str">
        <f t="shared" si="227"/>
        <v/>
      </c>
      <c r="AF862" t="str">
        <f t="shared" si="228"/>
        <v/>
      </c>
      <c r="AG862" t="str">
        <f t="shared" si="229"/>
        <v/>
      </c>
      <c r="AH862" t="str">
        <f t="shared" si="230"/>
        <v/>
      </c>
      <c r="AI862" t="str">
        <f t="shared" si="231"/>
        <v/>
      </c>
      <c r="AJ862" t="str">
        <f t="shared" si="232"/>
        <v/>
      </c>
      <c r="AK862" t="str">
        <f t="shared" si="233"/>
        <v/>
      </c>
      <c r="AL862" t="str">
        <f t="shared" si="234"/>
        <v/>
      </c>
      <c r="AN862" t="str">
        <f>IFERROR(ROUND(L862*(G862/$AW862)/VLOOKUP(F862,商品!$A$4:$D$67,4,FALSE),0),"")</f>
        <v/>
      </c>
      <c r="AO862" t="str">
        <f>IFERROR(ROUND(L862*(I862/$AW862)/VLOOKUP(H862,商品!$A$4:$D$67,4,FALSE),0),"")</f>
        <v/>
      </c>
      <c r="AP862" t="str">
        <f>IFERROR(ROUND(L862*(K862/$AW862)/VLOOKUP(J862,商品!$A$4:$D$67,4,FALSE),0),"")</f>
        <v/>
      </c>
      <c r="AQ862" t="str">
        <f>IFERROR(ROUND(S862*(N862/$AX862)/VLOOKUP(M862,职业!$A$3:$E$16,4,FALSE),0),"")</f>
        <v/>
      </c>
      <c r="AR862" t="str">
        <f>IFERROR(ROUND(S862*(P862/$AX862)/VLOOKUP(O862,职业!$A$3:$E$16,4,FALSE),0),"")</f>
        <v/>
      </c>
      <c r="AS862" t="str">
        <f>IFERROR(ROUND(S862*(R862/$AX862)/VLOOKUP(Q862,职业!$A$3:$E$16,4,FALSE),0),"")</f>
        <v/>
      </c>
      <c r="AT862" t="str">
        <f>IFERROR(ROUND(X862*(U862/$AY862)/VLOOKUP(T862,商品!$A$4:$D$67,4,FALSE),0),"")</f>
        <v/>
      </c>
      <c r="AU862" t="str">
        <f>IFERROR(ROUND(X862*(W862/$AY862)/VLOOKUP(V862,商品!$A$4:$D$67,4,FALSE),0),"")</f>
        <v/>
      </c>
      <c r="AW862">
        <f t="shared" si="235"/>
        <v>0</v>
      </c>
      <c r="AX862">
        <f t="shared" si="236"/>
        <v>0</v>
      </c>
      <c r="AY862">
        <f t="shared" si="237"/>
        <v>0</v>
      </c>
    </row>
    <row r="863" customHeight="1" spans="1:51">
      <c r="A863" s="5" t="s">
        <v>444</v>
      </c>
      <c r="C863" s="5">
        <v>1</v>
      </c>
      <c r="D863" s="1" t="s">
        <v>220</v>
      </c>
      <c r="E863" s="1" t="s">
        <v>222</v>
      </c>
      <c r="L863" s="5">
        <f>IFERROR(VLOOKUP($D863&amp;$C863,生产方式定位!$A$2:$E$38,2,FALSE)+VLOOKUP($E863&amp;$C863,生产方式定位!$F$3:$J$38,2,FALSE),0)</f>
        <v>500</v>
      </c>
      <c r="S863" s="5">
        <f>IFERROR(VLOOKUP($D863&amp;$C863,生产方式定位!$A$2:$E$38,3,FALSE)+VLOOKUP($E863&amp;$C863,生产方式定位!$F$3:$J$38,3,FALSE),0)</f>
        <v>150</v>
      </c>
      <c r="X863" s="5">
        <f>IFERROR(VLOOKUP($D863&amp;$C863,生产方式定位!$A$2:$E$38,5,FALSE)+VLOOKUP($E863&amp;$C863,生产方式定位!$F$3:$J$38,5,FALSE),"错误")</f>
        <v>715</v>
      </c>
      <c r="Y863" s="27" t="str">
        <f t="shared" si="221"/>
        <v/>
      </c>
      <c r="Z863" s="50" t="str">
        <f t="shared" si="224"/>
        <v/>
      </c>
      <c r="AA863" s="50" t="str">
        <f t="shared" si="222"/>
        <v/>
      </c>
      <c r="AB863" s="28" t="str">
        <f t="shared" si="225"/>
        <v>43%</v>
      </c>
      <c r="AC863" s="1">
        <f t="shared" si="226"/>
        <v>65</v>
      </c>
      <c r="AD863" s="51">
        <f t="shared" si="223"/>
        <v>1</v>
      </c>
      <c r="AE863" t="str">
        <f t="shared" si="227"/>
        <v/>
      </c>
      <c r="AF863" t="str">
        <f t="shared" si="228"/>
        <v/>
      </c>
      <c r="AG863" t="str">
        <f t="shared" si="229"/>
        <v/>
      </c>
      <c r="AH863" t="str">
        <f t="shared" si="230"/>
        <v/>
      </c>
      <c r="AI863" t="str">
        <f t="shared" si="231"/>
        <v/>
      </c>
      <c r="AJ863" t="str">
        <f t="shared" si="232"/>
        <v/>
      </c>
      <c r="AK863" t="str">
        <f t="shared" si="233"/>
        <v/>
      </c>
      <c r="AL863" t="str">
        <f t="shared" si="234"/>
        <v/>
      </c>
      <c r="AN863" t="str">
        <f>IFERROR(ROUND(L863*(G863/$AW863)/VLOOKUP(F863,商品!$A$4:$D$67,4,FALSE),0),"")</f>
        <v/>
      </c>
      <c r="AO863" t="str">
        <f>IFERROR(ROUND(L863*(I863/$AW863)/VLOOKUP(H863,商品!$A$4:$D$67,4,FALSE),0),"")</f>
        <v/>
      </c>
      <c r="AP863" t="str">
        <f>IFERROR(ROUND(L863*(K863/$AW863)/VLOOKUP(J863,商品!$A$4:$D$67,4,FALSE),0),"")</f>
        <v/>
      </c>
      <c r="AQ863" t="str">
        <f>IFERROR(ROUND(S863*(N863/$AX863)/VLOOKUP(M863,职业!$A$3:$E$16,4,FALSE),0),"")</f>
        <v/>
      </c>
      <c r="AR863" t="str">
        <f>IFERROR(ROUND(S863*(P863/$AX863)/VLOOKUP(O863,职业!$A$3:$E$16,4,FALSE),0),"")</f>
        <v/>
      </c>
      <c r="AS863" t="str">
        <f>IFERROR(ROUND(S863*(R863/$AX863)/VLOOKUP(Q863,职业!$A$3:$E$16,4,FALSE),0),"")</f>
        <v/>
      </c>
      <c r="AT863" t="str">
        <f>IFERROR(ROUND(X863*(U863/$AY863)/VLOOKUP(T863,商品!$A$4:$D$67,4,FALSE),0),"")</f>
        <v/>
      </c>
      <c r="AU863" t="str">
        <f>IFERROR(ROUND(X863*(W863/$AY863)/VLOOKUP(V863,商品!$A$4:$D$67,4,FALSE),0),"")</f>
        <v/>
      </c>
      <c r="AW863">
        <f t="shared" si="235"/>
        <v>0</v>
      </c>
      <c r="AX863">
        <f t="shared" si="236"/>
        <v>0</v>
      </c>
      <c r="AY863">
        <f t="shared" si="237"/>
        <v>0</v>
      </c>
    </row>
    <row r="864" customHeight="1" spans="1:51">
      <c r="A864" s="5" t="s">
        <v>444</v>
      </c>
      <c r="C864" s="5">
        <v>2</v>
      </c>
      <c r="D864" s="1" t="s">
        <v>220</v>
      </c>
      <c r="E864" s="1" t="s">
        <v>222</v>
      </c>
      <c r="L864" s="5">
        <f>IFERROR(VLOOKUP($D864&amp;$C864,生产方式定位!$A$2:$E$38,2,FALSE)+VLOOKUP($E864&amp;$C864,生产方式定位!$F$3:$J$38,2,FALSE),0)</f>
        <v>1200</v>
      </c>
      <c r="S864" s="5">
        <f>IFERROR(VLOOKUP($D864&amp;$C864,生产方式定位!$A$2:$E$38,3,FALSE)+VLOOKUP($E864&amp;$C864,生产方式定位!$F$3:$J$38,3,FALSE),0)</f>
        <v>140</v>
      </c>
      <c r="X864" s="5">
        <f>IFERROR(VLOOKUP($D864&amp;$C864,生产方式定位!$A$2:$E$38,5,FALSE)+VLOOKUP($E864&amp;$C864,生产方式定位!$F$3:$J$38,5,FALSE),"错误")</f>
        <v>1390</v>
      </c>
      <c r="Y864" s="27" t="str">
        <f t="shared" si="221"/>
        <v/>
      </c>
      <c r="Z864" s="50" t="str">
        <f t="shared" si="224"/>
        <v/>
      </c>
      <c r="AA864" s="50" t="str">
        <f t="shared" si="222"/>
        <v/>
      </c>
      <c r="AB864" s="28" t="str">
        <f t="shared" si="225"/>
        <v>16%</v>
      </c>
      <c r="AC864" s="1">
        <f t="shared" si="226"/>
        <v>50</v>
      </c>
      <c r="AD864" s="51">
        <f t="shared" si="223"/>
        <v>2</v>
      </c>
      <c r="AE864" t="str">
        <f t="shared" si="227"/>
        <v/>
      </c>
      <c r="AF864" t="str">
        <f t="shared" si="228"/>
        <v/>
      </c>
      <c r="AG864" t="str">
        <f t="shared" si="229"/>
        <v/>
      </c>
      <c r="AH864" t="str">
        <f t="shared" si="230"/>
        <v/>
      </c>
      <c r="AI864" t="str">
        <f t="shared" si="231"/>
        <v/>
      </c>
      <c r="AJ864" t="str">
        <f t="shared" si="232"/>
        <v/>
      </c>
      <c r="AK864" t="str">
        <f t="shared" si="233"/>
        <v/>
      </c>
      <c r="AL864" t="str">
        <f t="shared" si="234"/>
        <v/>
      </c>
      <c r="AN864" t="str">
        <f>IFERROR(ROUND(L864*(G864/$AW864)/VLOOKUP(F864,商品!$A$4:$D$67,4,FALSE),0),"")</f>
        <v/>
      </c>
      <c r="AO864" t="str">
        <f>IFERROR(ROUND(L864*(I864/$AW864)/VLOOKUP(H864,商品!$A$4:$D$67,4,FALSE),0),"")</f>
        <v/>
      </c>
      <c r="AP864" t="str">
        <f>IFERROR(ROUND(L864*(K864/$AW864)/VLOOKUP(J864,商品!$A$4:$D$67,4,FALSE),0),"")</f>
        <v/>
      </c>
      <c r="AQ864" t="str">
        <f>IFERROR(ROUND(S864*(N864/$AX864)/VLOOKUP(M864,职业!$A$3:$E$16,4,FALSE),0),"")</f>
        <v/>
      </c>
      <c r="AR864" t="str">
        <f>IFERROR(ROUND(S864*(P864/$AX864)/VLOOKUP(O864,职业!$A$3:$E$16,4,FALSE),0),"")</f>
        <v/>
      </c>
      <c r="AS864" t="str">
        <f>IFERROR(ROUND(S864*(R864/$AX864)/VLOOKUP(Q864,职业!$A$3:$E$16,4,FALSE),0),"")</f>
        <v/>
      </c>
      <c r="AT864" t="str">
        <f>IFERROR(ROUND(X864*(U864/$AY864)/VLOOKUP(T864,商品!$A$4:$D$67,4,FALSE),0),"")</f>
        <v/>
      </c>
      <c r="AU864" t="str">
        <f>IFERROR(ROUND(X864*(W864/$AY864)/VLOOKUP(V864,商品!$A$4:$D$67,4,FALSE),0),"")</f>
        <v/>
      </c>
      <c r="AW864">
        <f t="shared" si="235"/>
        <v>0</v>
      </c>
      <c r="AX864">
        <f t="shared" si="236"/>
        <v>0</v>
      </c>
      <c r="AY864">
        <f t="shared" si="237"/>
        <v>0</v>
      </c>
    </row>
    <row r="865" customHeight="1" spans="1:51">
      <c r="A865" s="5" t="s">
        <v>444</v>
      </c>
      <c r="C865" s="5">
        <v>3</v>
      </c>
      <c r="D865" s="1" t="s">
        <v>220</v>
      </c>
      <c r="E865" s="1" t="s">
        <v>222</v>
      </c>
      <c r="L865" s="5">
        <f>IFERROR(VLOOKUP($D865&amp;$C865,生产方式定位!$A$2:$E$38,2,FALSE)+VLOOKUP($E865&amp;$C865,生产方式定位!$F$3:$J$38,2,FALSE),0)</f>
        <v>1525</v>
      </c>
      <c r="S865" s="5">
        <f>IFERROR(VLOOKUP($D865&amp;$C865,生产方式定位!$A$2:$E$38,3,FALSE)+VLOOKUP($E865&amp;$C865,生产方式定位!$F$3:$J$38,3,FALSE),0)</f>
        <v>130</v>
      </c>
      <c r="X865" s="5">
        <f>IFERROR(VLOOKUP($D865&amp;$C865,生产方式定位!$A$2:$E$38,5,FALSE)+VLOOKUP($E865&amp;$C865,生产方式定位!$F$3:$J$38,5,FALSE),"错误")</f>
        <v>1718</v>
      </c>
      <c r="Y865" s="27" t="str">
        <f t="shared" si="221"/>
        <v/>
      </c>
      <c r="Z865" s="50" t="str">
        <f t="shared" si="224"/>
        <v/>
      </c>
      <c r="AA865" s="50" t="str">
        <f t="shared" si="222"/>
        <v/>
      </c>
      <c r="AB865" s="28" t="str">
        <f t="shared" si="225"/>
        <v>13%</v>
      </c>
      <c r="AC865" s="1">
        <f t="shared" si="226"/>
        <v>63</v>
      </c>
      <c r="AD865" s="51">
        <f t="shared" si="223"/>
        <v>3</v>
      </c>
      <c r="AE865" t="str">
        <f t="shared" si="227"/>
        <v/>
      </c>
      <c r="AF865" t="str">
        <f t="shared" si="228"/>
        <v/>
      </c>
      <c r="AG865" t="str">
        <f t="shared" si="229"/>
        <v/>
      </c>
      <c r="AH865" t="str">
        <f t="shared" si="230"/>
        <v/>
      </c>
      <c r="AI865" t="str">
        <f t="shared" si="231"/>
        <v/>
      </c>
      <c r="AJ865" t="str">
        <f t="shared" si="232"/>
        <v/>
      </c>
      <c r="AK865" t="str">
        <f t="shared" si="233"/>
        <v/>
      </c>
      <c r="AL865" t="str">
        <f t="shared" si="234"/>
        <v/>
      </c>
      <c r="AN865" t="str">
        <f>IFERROR(ROUND(L865*(G865/$AW865)/VLOOKUP(F865,商品!$A$4:$D$67,4,FALSE),0),"")</f>
        <v/>
      </c>
      <c r="AO865" t="str">
        <f>IFERROR(ROUND(L865*(I865/$AW865)/VLOOKUP(H865,商品!$A$4:$D$67,4,FALSE),0),"")</f>
        <v/>
      </c>
      <c r="AP865" t="str">
        <f>IFERROR(ROUND(L865*(K865/$AW865)/VLOOKUP(J865,商品!$A$4:$D$67,4,FALSE),0),"")</f>
        <v/>
      </c>
      <c r="AQ865" t="str">
        <f>IFERROR(ROUND(S865*(N865/$AX865)/VLOOKUP(M865,职业!$A$3:$E$16,4,FALSE),0),"")</f>
        <v/>
      </c>
      <c r="AR865" t="str">
        <f>IFERROR(ROUND(S865*(P865/$AX865)/VLOOKUP(O865,职业!$A$3:$E$16,4,FALSE),0),"")</f>
        <v/>
      </c>
      <c r="AS865" t="str">
        <f>IFERROR(ROUND(S865*(R865/$AX865)/VLOOKUP(Q865,职业!$A$3:$E$16,4,FALSE),0),"")</f>
        <v/>
      </c>
      <c r="AT865" t="str">
        <f>IFERROR(ROUND(X865*(U865/$AY865)/VLOOKUP(T865,商品!$A$4:$D$67,4,FALSE),0),"")</f>
        <v/>
      </c>
      <c r="AU865" t="str">
        <f>IFERROR(ROUND(X865*(W865/$AY865)/VLOOKUP(V865,商品!$A$4:$D$67,4,FALSE),0),"")</f>
        <v/>
      </c>
      <c r="AW865">
        <f t="shared" si="235"/>
        <v>0</v>
      </c>
      <c r="AX865">
        <f t="shared" si="236"/>
        <v>0</v>
      </c>
      <c r="AY865">
        <f t="shared" si="237"/>
        <v>0</v>
      </c>
    </row>
    <row r="866" customHeight="1" spans="1:51">
      <c r="A866" s="5" t="s">
        <v>444</v>
      </c>
      <c r="C866" s="5">
        <v>4</v>
      </c>
      <c r="D866" s="1" t="s">
        <v>220</v>
      </c>
      <c r="E866" s="1" t="s">
        <v>222</v>
      </c>
      <c r="L866" s="5">
        <f>IFERROR(VLOOKUP($D866&amp;$C866,生产方式定位!$A$2:$E$38,2,FALSE)+VLOOKUP($E866&amp;$C866,生产方式定位!$F$3:$J$38,2,FALSE),0)</f>
        <v>1850</v>
      </c>
      <c r="S866" s="5">
        <f>IFERROR(VLOOKUP($D866&amp;$C866,生产方式定位!$A$2:$E$38,3,FALSE)+VLOOKUP($E866&amp;$C866,生产方式定位!$F$3:$J$38,3,FALSE),0)</f>
        <v>120</v>
      </c>
      <c r="X866" s="5">
        <f>IFERROR(VLOOKUP($D866&amp;$C866,生产方式定位!$A$2:$E$38,5,FALSE)+VLOOKUP($E866&amp;$C866,生产方式定位!$F$3:$J$38,5,FALSE),"错误")</f>
        <v>2045</v>
      </c>
      <c r="Y866" s="27" t="str">
        <f t="shared" si="221"/>
        <v/>
      </c>
      <c r="Z866" s="50" t="str">
        <f t="shared" si="224"/>
        <v/>
      </c>
      <c r="AA866" s="50" t="str">
        <f t="shared" si="222"/>
        <v/>
      </c>
      <c r="AB866" s="28" t="str">
        <f t="shared" si="225"/>
        <v>11%</v>
      </c>
      <c r="AC866" s="1">
        <f t="shared" si="226"/>
        <v>75</v>
      </c>
      <c r="AD866" s="51">
        <f t="shared" si="223"/>
        <v>4</v>
      </c>
      <c r="AE866" t="str">
        <f t="shared" si="227"/>
        <v/>
      </c>
      <c r="AF866" t="str">
        <f t="shared" si="228"/>
        <v/>
      </c>
      <c r="AG866" t="str">
        <f t="shared" si="229"/>
        <v/>
      </c>
      <c r="AH866" t="str">
        <f t="shared" si="230"/>
        <v/>
      </c>
      <c r="AI866" t="str">
        <f t="shared" si="231"/>
        <v/>
      </c>
      <c r="AJ866" t="str">
        <f t="shared" si="232"/>
        <v/>
      </c>
      <c r="AK866" t="str">
        <f t="shared" si="233"/>
        <v/>
      </c>
      <c r="AL866" t="str">
        <f t="shared" si="234"/>
        <v/>
      </c>
      <c r="AN866" t="str">
        <f>IFERROR(ROUND(L866*(G866/$AW866)/VLOOKUP(F866,商品!$A$4:$D$67,4,FALSE),0),"")</f>
        <v/>
      </c>
      <c r="AO866" t="str">
        <f>IFERROR(ROUND(L866*(I866/$AW866)/VLOOKUP(H866,商品!$A$4:$D$67,4,FALSE),0),"")</f>
        <v/>
      </c>
      <c r="AP866" t="str">
        <f>IFERROR(ROUND(L866*(K866/$AW866)/VLOOKUP(J866,商品!$A$4:$D$67,4,FALSE),0),"")</f>
        <v/>
      </c>
      <c r="AQ866" t="str">
        <f>IFERROR(ROUND(S866*(N866/$AX866)/VLOOKUP(M866,职业!$A$3:$E$16,4,FALSE),0),"")</f>
        <v/>
      </c>
      <c r="AR866" t="str">
        <f>IFERROR(ROUND(S866*(P866/$AX866)/VLOOKUP(O866,职业!$A$3:$E$16,4,FALSE),0),"")</f>
        <v/>
      </c>
      <c r="AS866" t="str">
        <f>IFERROR(ROUND(S866*(R866/$AX866)/VLOOKUP(Q866,职业!$A$3:$E$16,4,FALSE),0),"")</f>
        <v/>
      </c>
      <c r="AT866" t="str">
        <f>IFERROR(ROUND(X866*(U866/$AY866)/VLOOKUP(T866,商品!$A$4:$D$67,4,FALSE),0),"")</f>
        <v/>
      </c>
      <c r="AU866" t="str">
        <f>IFERROR(ROUND(X866*(W866/$AY866)/VLOOKUP(V866,商品!$A$4:$D$67,4,FALSE),0),"")</f>
        <v/>
      </c>
      <c r="AW866">
        <f t="shared" si="235"/>
        <v>0</v>
      </c>
      <c r="AX866">
        <f t="shared" si="236"/>
        <v>0</v>
      </c>
      <c r="AY866">
        <f t="shared" si="237"/>
        <v>0</v>
      </c>
    </row>
    <row r="867" customHeight="1" spans="1:51">
      <c r="A867" s="5" t="s">
        <v>444</v>
      </c>
      <c r="C867" s="5">
        <v>5</v>
      </c>
      <c r="D867" s="1" t="s">
        <v>220</v>
      </c>
      <c r="E867" s="1" t="s">
        <v>222</v>
      </c>
      <c r="L867" s="5">
        <f>IFERROR(VLOOKUP($D867&amp;$C867,生产方式定位!$A$2:$E$38,2,FALSE)+VLOOKUP($E867&amp;$C867,生产方式定位!$F$3:$J$38,2,FALSE),0)</f>
        <v>2175</v>
      </c>
      <c r="S867" s="5">
        <f>IFERROR(VLOOKUP($D867&amp;$C867,生产方式定位!$A$2:$E$38,3,FALSE)+VLOOKUP($E867&amp;$C867,生产方式定位!$F$3:$J$38,3,FALSE),0)</f>
        <v>110</v>
      </c>
      <c r="X867" s="5">
        <f>IFERROR(VLOOKUP($D867&amp;$C867,生产方式定位!$A$2:$E$38,5,FALSE)+VLOOKUP($E867&amp;$C867,生产方式定位!$F$3:$J$38,5,FALSE),"错误")</f>
        <v>2373</v>
      </c>
      <c r="Y867" s="27" t="str">
        <f t="shared" si="221"/>
        <v/>
      </c>
      <c r="Z867" s="50" t="str">
        <f t="shared" si="224"/>
        <v/>
      </c>
      <c r="AA867" s="50" t="str">
        <f t="shared" si="222"/>
        <v/>
      </c>
      <c r="AB867" s="28" t="str">
        <f t="shared" si="225"/>
        <v>9%</v>
      </c>
      <c r="AC867" s="1">
        <f t="shared" si="226"/>
        <v>88</v>
      </c>
      <c r="AD867" s="51">
        <f t="shared" si="223"/>
        <v>5</v>
      </c>
      <c r="AE867" t="str">
        <f t="shared" si="227"/>
        <v/>
      </c>
      <c r="AF867" t="str">
        <f t="shared" si="228"/>
        <v/>
      </c>
      <c r="AG867" t="str">
        <f t="shared" si="229"/>
        <v/>
      </c>
      <c r="AH867" t="str">
        <f t="shared" si="230"/>
        <v/>
      </c>
      <c r="AI867" t="str">
        <f t="shared" si="231"/>
        <v/>
      </c>
      <c r="AJ867" t="str">
        <f t="shared" si="232"/>
        <v/>
      </c>
      <c r="AK867" t="str">
        <f t="shared" si="233"/>
        <v/>
      </c>
      <c r="AL867" t="str">
        <f t="shared" si="234"/>
        <v/>
      </c>
      <c r="AN867" t="str">
        <f>IFERROR(ROUND(L867*(G867/$AW867)/VLOOKUP(F867,商品!$A$4:$D$67,4,FALSE),0),"")</f>
        <v/>
      </c>
      <c r="AO867" t="str">
        <f>IFERROR(ROUND(L867*(I867/$AW867)/VLOOKUP(H867,商品!$A$4:$D$67,4,FALSE),0),"")</f>
        <v/>
      </c>
      <c r="AP867" t="str">
        <f>IFERROR(ROUND(L867*(K867/$AW867)/VLOOKUP(J867,商品!$A$4:$D$67,4,FALSE),0),"")</f>
        <v/>
      </c>
      <c r="AQ867" t="str">
        <f>IFERROR(ROUND(S867*(N867/$AX867)/VLOOKUP(M867,职业!$A$3:$E$16,4,FALSE),0),"")</f>
        <v/>
      </c>
      <c r="AR867" t="str">
        <f>IFERROR(ROUND(S867*(P867/$AX867)/VLOOKUP(O867,职业!$A$3:$E$16,4,FALSE),0),"")</f>
        <v/>
      </c>
      <c r="AS867" t="str">
        <f>IFERROR(ROUND(S867*(R867/$AX867)/VLOOKUP(Q867,职业!$A$3:$E$16,4,FALSE),0),"")</f>
        <v/>
      </c>
      <c r="AT867" t="str">
        <f>IFERROR(ROUND(X867*(U867/$AY867)/VLOOKUP(T867,商品!$A$4:$D$67,4,FALSE),0),"")</f>
        <v/>
      </c>
      <c r="AU867" t="str">
        <f>IFERROR(ROUND(X867*(W867/$AY867)/VLOOKUP(V867,商品!$A$4:$D$67,4,FALSE),0),"")</f>
        <v/>
      </c>
      <c r="AW867">
        <f t="shared" si="235"/>
        <v>0</v>
      </c>
      <c r="AX867">
        <f t="shared" si="236"/>
        <v>0</v>
      </c>
      <c r="AY867">
        <f t="shared" si="237"/>
        <v>0</v>
      </c>
    </row>
    <row r="868" customHeight="1" spans="1:51">
      <c r="A868" s="18" t="s">
        <v>445</v>
      </c>
      <c r="C868" s="18">
        <v>1</v>
      </c>
      <c r="D868" s="1" t="s">
        <v>220</v>
      </c>
      <c r="E868" s="1" t="s">
        <v>224</v>
      </c>
      <c r="L868" s="18">
        <f>IFERROR(VLOOKUP($D868&amp;$C868,生产方式定位!$A$2:$E$38,2,FALSE)+VLOOKUP($E868&amp;$C868,生产方式定位!$F$3:$J$38,2,FALSE),0)</f>
        <v>500</v>
      </c>
      <c r="S868" s="18">
        <f>IFERROR(VLOOKUP($D868&amp;$C868,生产方式定位!$A$2:$E$38,3,FALSE)+VLOOKUP($E868&amp;$C868,生产方式定位!$F$3:$J$38,3,FALSE),0)</f>
        <v>150</v>
      </c>
      <c r="X868" s="18">
        <f>IFERROR(VLOOKUP($D868&amp;$C868,生产方式定位!$A$2:$E$38,5,FALSE)+VLOOKUP($E868&amp;$C868,生产方式定位!$F$3:$J$38,5,FALSE),"错误")</f>
        <v>715</v>
      </c>
      <c r="Y868" s="27" t="str">
        <f t="shared" si="221"/>
        <v/>
      </c>
      <c r="Z868" s="50" t="str">
        <f t="shared" si="224"/>
        <v/>
      </c>
      <c r="AA868" s="50" t="str">
        <f t="shared" si="222"/>
        <v/>
      </c>
      <c r="AB868" s="28" t="str">
        <f t="shared" si="225"/>
        <v>43%</v>
      </c>
      <c r="AC868" s="1">
        <f t="shared" si="226"/>
        <v>65</v>
      </c>
      <c r="AD868" s="52">
        <f t="shared" si="223"/>
        <v>1</v>
      </c>
      <c r="AE868" t="str">
        <f t="shared" si="227"/>
        <v/>
      </c>
      <c r="AF868" t="str">
        <f t="shared" si="228"/>
        <v/>
      </c>
      <c r="AG868" t="str">
        <f t="shared" si="229"/>
        <v/>
      </c>
      <c r="AH868" t="str">
        <f t="shared" si="230"/>
        <v/>
      </c>
      <c r="AI868" t="str">
        <f t="shared" si="231"/>
        <v/>
      </c>
      <c r="AJ868" t="str">
        <f t="shared" si="232"/>
        <v/>
      </c>
      <c r="AK868" t="str">
        <f t="shared" si="233"/>
        <v/>
      </c>
      <c r="AL868" t="str">
        <f t="shared" si="234"/>
        <v/>
      </c>
      <c r="AN868" t="str">
        <f>IFERROR(ROUND(L868*(G868/$AW868)/VLOOKUP(F868,商品!$A$4:$D$67,4,FALSE),0),"")</f>
        <v/>
      </c>
      <c r="AO868" t="str">
        <f>IFERROR(ROUND(L868*(I868/$AW868)/VLOOKUP(H868,商品!$A$4:$D$67,4,FALSE),0),"")</f>
        <v/>
      </c>
      <c r="AP868" t="str">
        <f>IFERROR(ROUND(L868*(K868/$AW868)/VLOOKUP(J868,商品!$A$4:$D$67,4,FALSE),0),"")</f>
        <v/>
      </c>
      <c r="AQ868" t="str">
        <f>IFERROR(ROUND(S868*(N868/$AX868)/VLOOKUP(M868,职业!$A$3:$E$16,4,FALSE),0),"")</f>
        <v/>
      </c>
      <c r="AR868" t="str">
        <f>IFERROR(ROUND(S868*(P868/$AX868)/VLOOKUP(O868,职业!$A$3:$E$16,4,FALSE),0),"")</f>
        <v/>
      </c>
      <c r="AS868" t="str">
        <f>IFERROR(ROUND(S868*(R868/$AX868)/VLOOKUP(Q868,职业!$A$3:$E$16,4,FALSE),0),"")</f>
        <v/>
      </c>
      <c r="AT868" t="str">
        <f>IFERROR(ROUND(X868*(U868/$AY868)/VLOOKUP(T868,商品!$A$4:$D$67,4,FALSE),0),"")</f>
        <v/>
      </c>
      <c r="AU868" t="str">
        <f>IFERROR(ROUND(X868*(W868/$AY868)/VLOOKUP(V868,商品!$A$4:$D$67,4,FALSE),0),"")</f>
        <v/>
      </c>
      <c r="AW868">
        <f t="shared" si="235"/>
        <v>0</v>
      </c>
      <c r="AX868">
        <f t="shared" si="236"/>
        <v>0</v>
      </c>
      <c r="AY868">
        <f t="shared" si="237"/>
        <v>0</v>
      </c>
    </row>
    <row r="869" customHeight="1" spans="1:51">
      <c r="A869" s="18" t="s">
        <v>445</v>
      </c>
      <c r="C869" s="18">
        <v>2</v>
      </c>
      <c r="D869" s="1" t="s">
        <v>220</v>
      </c>
      <c r="E869" s="1" t="s">
        <v>224</v>
      </c>
      <c r="L869" s="18">
        <f>IFERROR(VLOOKUP($D869&amp;$C869,生产方式定位!$A$2:$E$38,2,FALSE)+VLOOKUP($E869&amp;$C869,生产方式定位!$F$3:$J$38,2,FALSE),0)</f>
        <v>1200</v>
      </c>
      <c r="S869" s="18">
        <f>IFERROR(VLOOKUP($D869&amp;$C869,生产方式定位!$A$2:$E$38,3,FALSE)+VLOOKUP($E869&amp;$C869,生产方式定位!$F$3:$J$38,3,FALSE),0)</f>
        <v>100</v>
      </c>
      <c r="X869" s="18">
        <f>IFERROR(VLOOKUP($D869&amp;$C869,生产方式定位!$A$2:$E$38,5,FALSE)+VLOOKUP($E869&amp;$C869,生产方式定位!$F$3:$J$38,5,FALSE),"错误")</f>
        <v>1346</v>
      </c>
      <c r="Y869" s="27" t="str">
        <f t="shared" si="221"/>
        <v/>
      </c>
      <c r="Z869" s="50" t="str">
        <f t="shared" si="224"/>
        <v/>
      </c>
      <c r="AA869" s="50" t="str">
        <f t="shared" si="222"/>
        <v/>
      </c>
      <c r="AB869" s="28" t="str">
        <f t="shared" si="225"/>
        <v>12%</v>
      </c>
      <c r="AC869" s="1">
        <f t="shared" si="226"/>
        <v>46</v>
      </c>
      <c r="AD869" s="52">
        <f t="shared" si="223"/>
        <v>2</v>
      </c>
      <c r="AE869" t="str">
        <f t="shared" si="227"/>
        <v/>
      </c>
      <c r="AF869" t="str">
        <f t="shared" si="228"/>
        <v/>
      </c>
      <c r="AG869" t="str">
        <f t="shared" si="229"/>
        <v/>
      </c>
      <c r="AH869" t="str">
        <f t="shared" si="230"/>
        <v/>
      </c>
      <c r="AI869" t="str">
        <f t="shared" si="231"/>
        <v/>
      </c>
      <c r="AJ869" t="str">
        <f t="shared" si="232"/>
        <v/>
      </c>
      <c r="AK869" t="str">
        <f t="shared" si="233"/>
        <v/>
      </c>
      <c r="AL869" t="str">
        <f t="shared" si="234"/>
        <v/>
      </c>
      <c r="AN869" t="str">
        <f>IFERROR(ROUND(L869*(G869/$AW869)/VLOOKUP(F869,商品!$A$4:$D$67,4,FALSE),0),"")</f>
        <v/>
      </c>
      <c r="AO869" t="str">
        <f>IFERROR(ROUND(L869*(I869/$AW869)/VLOOKUP(H869,商品!$A$4:$D$67,4,FALSE),0),"")</f>
        <v/>
      </c>
      <c r="AP869" t="str">
        <f>IFERROR(ROUND(L869*(K869/$AW869)/VLOOKUP(J869,商品!$A$4:$D$67,4,FALSE),0),"")</f>
        <v/>
      </c>
      <c r="AQ869" t="str">
        <f>IFERROR(ROUND(S869*(N869/$AX869)/VLOOKUP(M869,职业!$A$3:$E$16,4,FALSE),0),"")</f>
        <v/>
      </c>
      <c r="AR869" t="str">
        <f>IFERROR(ROUND(S869*(P869/$AX869)/VLOOKUP(O869,职业!$A$3:$E$16,4,FALSE),0),"")</f>
        <v/>
      </c>
      <c r="AS869" t="str">
        <f>IFERROR(ROUND(S869*(R869/$AX869)/VLOOKUP(Q869,职业!$A$3:$E$16,4,FALSE),0),"")</f>
        <v/>
      </c>
      <c r="AT869" t="str">
        <f>IFERROR(ROUND(X869*(U869/$AY869)/VLOOKUP(T869,商品!$A$4:$D$67,4,FALSE),0),"")</f>
        <v/>
      </c>
      <c r="AU869" t="str">
        <f>IFERROR(ROUND(X869*(W869/$AY869)/VLOOKUP(V869,商品!$A$4:$D$67,4,FALSE),0),"")</f>
        <v/>
      </c>
      <c r="AW869">
        <f t="shared" si="235"/>
        <v>0</v>
      </c>
      <c r="AX869">
        <f t="shared" si="236"/>
        <v>0</v>
      </c>
      <c r="AY869">
        <f t="shared" si="237"/>
        <v>0</v>
      </c>
    </row>
    <row r="870" customHeight="1" spans="1:51">
      <c r="A870" s="18" t="s">
        <v>445</v>
      </c>
      <c r="C870" s="18">
        <v>3</v>
      </c>
      <c r="D870" s="1" t="s">
        <v>220</v>
      </c>
      <c r="E870" s="1" t="s">
        <v>224</v>
      </c>
      <c r="L870" s="18">
        <f>IFERROR(VLOOKUP($D870&amp;$C870,生产方式定位!$A$2:$E$38,2,FALSE)+VLOOKUP($E870&amp;$C870,生产方式定位!$F$3:$J$38,2,FALSE),0)</f>
        <v>1900</v>
      </c>
      <c r="S870" s="18">
        <f>IFERROR(VLOOKUP($D870&amp;$C870,生产方式定位!$A$2:$E$38,3,FALSE)+VLOOKUP($E870&amp;$C870,生产方式定位!$F$3:$J$38,3,FALSE),0)</f>
        <v>70</v>
      </c>
      <c r="X870" s="18">
        <f>IFERROR(VLOOKUP($D870&amp;$C870,生产方式定位!$A$2:$E$38,5,FALSE)+VLOOKUP($E870&amp;$C870,生产方式定位!$F$3:$J$38,5,FALSE),"错误")</f>
        <v>2064</v>
      </c>
      <c r="Y870" s="27" t="str">
        <f t="shared" si="221"/>
        <v/>
      </c>
      <c r="Z870" s="50" t="str">
        <f t="shared" si="224"/>
        <v/>
      </c>
      <c r="AA870" s="50" t="str">
        <f t="shared" si="222"/>
        <v/>
      </c>
      <c r="AB870" s="28" t="str">
        <f t="shared" si="225"/>
        <v>9%</v>
      </c>
      <c r="AC870" s="1">
        <f t="shared" si="226"/>
        <v>94</v>
      </c>
      <c r="AD870" s="52">
        <f t="shared" si="223"/>
        <v>3</v>
      </c>
      <c r="AE870" t="str">
        <f t="shared" si="227"/>
        <v/>
      </c>
      <c r="AF870" t="str">
        <f t="shared" si="228"/>
        <v/>
      </c>
      <c r="AG870" t="str">
        <f t="shared" si="229"/>
        <v/>
      </c>
      <c r="AH870" t="str">
        <f t="shared" si="230"/>
        <v/>
      </c>
      <c r="AI870" t="str">
        <f t="shared" si="231"/>
        <v/>
      </c>
      <c r="AJ870" t="str">
        <f t="shared" si="232"/>
        <v/>
      </c>
      <c r="AK870" t="str">
        <f t="shared" si="233"/>
        <v/>
      </c>
      <c r="AL870" t="str">
        <f t="shared" si="234"/>
        <v/>
      </c>
      <c r="AN870" t="str">
        <f>IFERROR(ROUND(L870*(G870/$AW870)/VLOOKUP(F870,商品!$A$4:$D$67,4,FALSE),0),"")</f>
        <v/>
      </c>
      <c r="AO870" t="str">
        <f>IFERROR(ROUND(L870*(I870/$AW870)/VLOOKUP(H870,商品!$A$4:$D$67,4,FALSE),0),"")</f>
        <v/>
      </c>
      <c r="AP870" t="str">
        <f>IFERROR(ROUND(L870*(K870/$AW870)/VLOOKUP(J870,商品!$A$4:$D$67,4,FALSE),0),"")</f>
        <v/>
      </c>
      <c r="AQ870" t="str">
        <f>IFERROR(ROUND(S870*(N870/$AX870)/VLOOKUP(M870,职业!$A$3:$E$16,4,FALSE),0),"")</f>
        <v/>
      </c>
      <c r="AR870" t="str">
        <f>IFERROR(ROUND(S870*(P870/$AX870)/VLOOKUP(O870,职业!$A$3:$E$16,4,FALSE),0),"")</f>
        <v/>
      </c>
      <c r="AS870" t="str">
        <f>IFERROR(ROUND(S870*(R870/$AX870)/VLOOKUP(Q870,职业!$A$3:$E$16,4,FALSE),0),"")</f>
        <v/>
      </c>
      <c r="AT870" t="str">
        <f>IFERROR(ROUND(X870*(U870/$AY870)/VLOOKUP(T870,商品!$A$4:$D$67,4,FALSE),0),"")</f>
        <v/>
      </c>
      <c r="AU870" t="str">
        <f>IFERROR(ROUND(X870*(W870/$AY870)/VLOOKUP(V870,商品!$A$4:$D$67,4,FALSE),0),"")</f>
        <v/>
      </c>
      <c r="AW870">
        <f t="shared" si="235"/>
        <v>0</v>
      </c>
      <c r="AX870">
        <f t="shared" si="236"/>
        <v>0</v>
      </c>
      <c r="AY870">
        <f t="shared" si="237"/>
        <v>0</v>
      </c>
    </row>
    <row r="871" customHeight="1" spans="1:51">
      <c r="A871" s="18" t="s">
        <v>445</v>
      </c>
      <c r="C871" s="18">
        <v>4</v>
      </c>
      <c r="D871" s="1" t="s">
        <v>220</v>
      </c>
      <c r="E871" s="1" t="s">
        <v>224</v>
      </c>
      <c r="L871" s="18">
        <f>IFERROR(VLOOKUP($D871&amp;$C871,生产方式定位!$A$2:$E$38,2,FALSE)+VLOOKUP($E871&amp;$C871,生产方式定位!$F$3:$J$38,2,FALSE),0)</f>
        <v>2600</v>
      </c>
      <c r="S871" s="18">
        <f>IFERROR(VLOOKUP($D871&amp;$C871,生产方式定位!$A$2:$E$38,3,FALSE)+VLOOKUP($E871&amp;$C871,生产方式定位!$F$3:$J$38,3,FALSE),0)</f>
        <v>40</v>
      </c>
      <c r="X871" s="18">
        <f>IFERROR(VLOOKUP($D871&amp;$C871,生产方式定位!$A$2:$E$38,5,FALSE)+VLOOKUP($E871&amp;$C871,生产方式定位!$F$3:$J$38,5,FALSE),"错误")</f>
        <v>2782</v>
      </c>
      <c r="Y871" s="27" t="str">
        <f t="shared" si="221"/>
        <v/>
      </c>
      <c r="Z871" s="50" t="str">
        <f t="shared" si="224"/>
        <v/>
      </c>
      <c r="AA871" s="50" t="str">
        <f t="shared" si="222"/>
        <v/>
      </c>
      <c r="AB871" s="28" t="str">
        <f t="shared" si="225"/>
        <v>7%</v>
      </c>
      <c r="AC871" s="1">
        <f t="shared" si="226"/>
        <v>142</v>
      </c>
      <c r="AD871" s="52">
        <f t="shared" si="223"/>
        <v>4</v>
      </c>
      <c r="AE871" t="str">
        <f t="shared" si="227"/>
        <v/>
      </c>
      <c r="AF871" t="str">
        <f t="shared" si="228"/>
        <v/>
      </c>
      <c r="AG871" t="str">
        <f t="shared" si="229"/>
        <v/>
      </c>
      <c r="AH871" t="str">
        <f t="shared" si="230"/>
        <v/>
      </c>
      <c r="AI871" t="str">
        <f t="shared" si="231"/>
        <v/>
      </c>
      <c r="AJ871" t="str">
        <f t="shared" si="232"/>
        <v/>
      </c>
      <c r="AK871" t="str">
        <f t="shared" si="233"/>
        <v/>
      </c>
      <c r="AL871" t="str">
        <f t="shared" si="234"/>
        <v/>
      </c>
      <c r="AN871" t="str">
        <f>IFERROR(ROUND(L871*(G871/$AW871)/VLOOKUP(F871,商品!$A$4:$D$67,4,FALSE),0),"")</f>
        <v/>
      </c>
      <c r="AO871" t="str">
        <f>IFERROR(ROUND(L871*(I871/$AW871)/VLOOKUP(H871,商品!$A$4:$D$67,4,FALSE),0),"")</f>
        <v/>
      </c>
      <c r="AP871" t="str">
        <f>IFERROR(ROUND(L871*(K871/$AW871)/VLOOKUP(J871,商品!$A$4:$D$67,4,FALSE),0),"")</f>
        <v/>
      </c>
      <c r="AQ871" t="str">
        <f>IFERROR(ROUND(S871*(N871/$AX871)/VLOOKUP(M871,职业!$A$3:$E$16,4,FALSE),0),"")</f>
        <v/>
      </c>
      <c r="AR871" t="str">
        <f>IFERROR(ROUND(S871*(P871/$AX871)/VLOOKUP(O871,职业!$A$3:$E$16,4,FALSE),0),"")</f>
        <v/>
      </c>
      <c r="AS871" t="str">
        <f>IFERROR(ROUND(S871*(R871/$AX871)/VLOOKUP(Q871,职业!$A$3:$E$16,4,FALSE),0),"")</f>
        <v/>
      </c>
      <c r="AT871" t="str">
        <f>IFERROR(ROUND(X871*(U871/$AY871)/VLOOKUP(T871,商品!$A$4:$D$67,4,FALSE),0),"")</f>
        <v/>
      </c>
      <c r="AU871" t="str">
        <f>IFERROR(ROUND(X871*(W871/$AY871)/VLOOKUP(V871,商品!$A$4:$D$67,4,FALSE),0),"")</f>
        <v/>
      </c>
      <c r="AW871">
        <f t="shared" si="235"/>
        <v>0</v>
      </c>
      <c r="AX871">
        <f t="shared" si="236"/>
        <v>0</v>
      </c>
      <c r="AY871">
        <f t="shared" si="237"/>
        <v>0</v>
      </c>
    </row>
    <row r="872" customHeight="1" spans="1:51">
      <c r="A872" s="18" t="s">
        <v>445</v>
      </c>
      <c r="C872" s="18">
        <v>5</v>
      </c>
      <c r="D872" s="1" t="s">
        <v>220</v>
      </c>
      <c r="E872" s="1" t="s">
        <v>224</v>
      </c>
      <c r="L872" s="18">
        <f>IFERROR(VLOOKUP($D872&amp;$C872,生产方式定位!$A$2:$E$38,2,FALSE)+VLOOKUP($E872&amp;$C872,生产方式定位!$F$3:$J$38,2,FALSE),0)</f>
        <v>3300</v>
      </c>
      <c r="S872" s="18">
        <f>IFERROR(VLOOKUP($D872&amp;$C872,生产方式定位!$A$2:$E$38,3,FALSE)+VLOOKUP($E872&amp;$C872,生产方式定位!$F$3:$J$38,3,FALSE),0)</f>
        <v>10</v>
      </c>
      <c r="X872" s="18">
        <f>IFERROR(VLOOKUP($D872&amp;$C872,生产方式定位!$A$2:$E$38,5,FALSE)+VLOOKUP($E872&amp;$C872,生产方式定位!$F$3:$J$38,5,FALSE),"错误")</f>
        <v>3500</v>
      </c>
      <c r="Y872" s="27" t="str">
        <f t="shared" si="221"/>
        <v/>
      </c>
      <c r="Z872" s="50" t="str">
        <f t="shared" si="224"/>
        <v/>
      </c>
      <c r="AA872" s="50" t="str">
        <f t="shared" si="222"/>
        <v/>
      </c>
      <c r="AB872" s="28" t="str">
        <f t="shared" si="225"/>
        <v>6%</v>
      </c>
      <c r="AC872" s="1">
        <f t="shared" si="226"/>
        <v>190</v>
      </c>
      <c r="AD872" s="52">
        <f t="shared" si="223"/>
        <v>5</v>
      </c>
      <c r="AE872" t="str">
        <f t="shared" si="227"/>
        <v/>
      </c>
      <c r="AF872" t="str">
        <f t="shared" si="228"/>
        <v/>
      </c>
      <c r="AG872" t="str">
        <f t="shared" si="229"/>
        <v/>
      </c>
      <c r="AH872" t="str">
        <f t="shared" si="230"/>
        <v/>
      </c>
      <c r="AI872" t="str">
        <f t="shared" si="231"/>
        <v/>
      </c>
      <c r="AJ872" t="str">
        <f t="shared" si="232"/>
        <v/>
      </c>
      <c r="AK872" t="str">
        <f t="shared" si="233"/>
        <v/>
      </c>
      <c r="AL872" t="str">
        <f t="shared" si="234"/>
        <v/>
      </c>
      <c r="AN872" t="str">
        <f>IFERROR(ROUND(L872*(G872/$AW872)/VLOOKUP(F872,商品!$A$4:$D$67,4,FALSE),0),"")</f>
        <v/>
      </c>
      <c r="AO872" t="str">
        <f>IFERROR(ROUND(L872*(I872/$AW872)/VLOOKUP(H872,商品!$A$4:$D$67,4,FALSE),0),"")</f>
        <v/>
      </c>
      <c r="AP872" t="str">
        <f>IFERROR(ROUND(L872*(K872/$AW872)/VLOOKUP(J872,商品!$A$4:$D$67,4,FALSE),0),"")</f>
        <v/>
      </c>
      <c r="AQ872" t="str">
        <f>IFERROR(ROUND(S872*(N872/$AX872)/VLOOKUP(M872,职业!$A$3:$E$16,4,FALSE),0),"")</f>
        <v/>
      </c>
      <c r="AR872" t="str">
        <f>IFERROR(ROUND(S872*(P872/$AX872)/VLOOKUP(O872,职业!$A$3:$E$16,4,FALSE),0),"")</f>
        <v/>
      </c>
      <c r="AS872" t="str">
        <f>IFERROR(ROUND(S872*(R872/$AX872)/VLOOKUP(Q872,职业!$A$3:$E$16,4,FALSE),0),"")</f>
        <v/>
      </c>
      <c r="AT872" t="str">
        <f>IFERROR(ROUND(X872*(U872/$AY872)/VLOOKUP(T872,商品!$A$4:$D$67,4,FALSE),0),"")</f>
        <v/>
      </c>
      <c r="AU872" t="str">
        <f>IFERROR(ROUND(X872*(W872/$AY872)/VLOOKUP(V872,商品!$A$4:$D$67,4,FALSE),0),"")</f>
        <v/>
      </c>
      <c r="AW872">
        <f t="shared" si="235"/>
        <v>0</v>
      </c>
      <c r="AX872">
        <f t="shared" si="236"/>
        <v>0</v>
      </c>
      <c r="AY872">
        <f t="shared" si="237"/>
        <v>0</v>
      </c>
    </row>
    <row r="873" customHeight="1" spans="1:51">
      <c r="A873" s="5" t="s">
        <v>445</v>
      </c>
      <c r="C873" s="5">
        <v>1</v>
      </c>
      <c r="D873" s="1" t="s">
        <v>220</v>
      </c>
      <c r="E873" s="1" t="s">
        <v>224</v>
      </c>
      <c r="L873" s="5">
        <f>IFERROR(VLOOKUP($D873&amp;$C873,生产方式定位!$A$2:$E$38,2,FALSE)+VLOOKUP($E873&amp;$C873,生产方式定位!$F$3:$J$38,2,FALSE),0)</f>
        <v>500</v>
      </c>
      <c r="S873" s="5">
        <f>IFERROR(VLOOKUP($D873&amp;$C873,生产方式定位!$A$2:$E$38,3,FALSE)+VLOOKUP($E873&amp;$C873,生产方式定位!$F$3:$J$38,3,FALSE),0)</f>
        <v>150</v>
      </c>
      <c r="X873" s="5">
        <f>IFERROR(VLOOKUP($D873&amp;$C873,生产方式定位!$A$2:$E$38,5,FALSE)+VLOOKUP($E873&amp;$C873,生产方式定位!$F$3:$J$38,5,FALSE),"错误")</f>
        <v>715</v>
      </c>
      <c r="Y873" s="27" t="str">
        <f t="shared" si="221"/>
        <v/>
      </c>
      <c r="Z873" s="50" t="str">
        <f t="shared" si="224"/>
        <v/>
      </c>
      <c r="AA873" s="50" t="str">
        <f t="shared" si="222"/>
        <v/>
      </c>
      <c r="AB873" s="28" t="str">
        <f t="shared" si="225"/>
        <v>43%</v>
      </c>
      <c r="AC873" s="1">
        <f t="shared" si="226"/>
        <v>65</v>
      </c>
      <c r="AD873" s="51">
        <f t="shared" si="223"/>
        <v>1</v>
      </c>
      <c r="AE873" t="str">
        <f t="shared" si="227"/>
        <v/>
      </c>
      <c r="AF873" t="str">
        <f t="shared" si="228"/>
        <v/>
      </c>
      <c r="AG873" t="str">
        <f t="shared" si="229"/>
        <v/>
      </c>
      <c r="AH873" t="str">
        <f t="shared" si="230"/>
        <v/>
      </c>
      <c r="AI873" t="str">
        <f t="shared" si="231"/>
        <v/>
      </c>
      <c r="AJ873" t="str">
        <f t="shared" si="232"/>
        <v/>
      </c>
      <c r="AK873" t="str">
        <f t="shared" si="233"/>
        <v/>
      </c>
      <c r="AL873" t="str">
        <f t="shared" si="234"/>
        <v/>
      </c>
      <c r="AN873" t="str">
        <f>IFERROR(ROUND(L873*(G873/$AW873)/VLOOKUP(F873,商品!$A$4:$D$67,4,FALSE),0),"")</f>
        <v/>
      </c>
      <c r="AO873" t="str">
        <f>IFERROR(ROUND(L873*(I873/$AW873)/VLOOKUP(H873,商品!$A$4:$D$67,4,FALSE),0),"")</f>
        <v/>
      </c>
      <c r="AP873" t="str">
        <f>IFERROR(ROUND(L873*(K873/$AW873)/VLOOKUP(J873,商品!$A$4:$D$67,4,FALSE),0),"")</f>
        <v/>
      </c>
      <c r="AQ873" t="str">
        <f>IFERROR(ROUND(S873*(N873/$AX873)/VLOOKUP(M873,职业!$A$3:$E$16,4,FALSE),0),"")</f>
        <v/>
      </c>
      <c r="AR873" t="str">
        <f>IFERROR(ROUND(S873*(P873/$AX873)/VLOOKUP(O873,职业!$A$3:$E$16,4,FALSE),0),"")</f>
        <v/>
      </c>
      <c r="AS873" t="str">
        <f>IFERROR(ROUND(S873*(R873/$AX873)/VLOOKUP(Q873,职业!$A$3:$E$16,4,FALSE),0),"")</f>
        <v/>
      </c>
      <c r="AT873" t="str">
        <f>IFERROR(ROUND(X873*(U873/$AY873)/VLOOKUP(T873,商品!$A$4:$D$67,4,FALSE),0),"")</f>
        <v/>
      </c>
      <c r="AU873" t="str">
        <f>IFERROR(ROUND(X873*(W873/$AY873)/VLOOKUP(V873,商品!$A$4:$D$67,4,FALSE),0),"")</f>
        <v/>
      </c>
      <c r="AW873">
        <f t="shared" si="235"/>
        <v>0</v>
      </c>
      <c r="AX873">
        <f t="shared" si="236"/>
        <v>0</v>
      </c>
      <c r="AY873">
        <f t="shared" si="237"/>
        <v>0</v>
      </c>
    </row>
    <row r="874" customHeight="1" spans="1:51">
      <c r="A874" s="5" t="s">
        <v>445</v>
      </c>
      <c r="C874" s="5">
        <v>2</v>
      </c>
      <c r="D874" s="1" t="s">
        <v>220</v>
      </c>
      <c r="E874" s="1" t="s">
        <v>224</v>
      </c>
      <c r="L874" s="5">
        <f>IFERROR(VLOOKUP($D874&amp;$C874,生产方式定位!$A$2:$E$38,2,FALSE)+VLOOKUP($E874&amp;$C874,生产方式定位!$F$3:$J$38,2,FALSE),0)</f>
        <v>1200</v>
      </c>
      <c r="S874" s="5">
        <f>IFERROR(VLOOKUP($D874&amp;$C874,生产方式定位!$A$2:$E$38,3,FALSE)+VLOOKUP($E874&amp;$C874,生产方式定位!$F$3:$J$38,3,FALSE),0)</f>
        <v>100</v>
      </c>
      <c r="X874" s="5">
        <f>IFERROR(VLOOKUP($D874&amp;$C874,生产方式定位!$A$2:$E$38,5,FALSE)+VLOOKUP($E874&amp;$C874,生产方式定位!$F$3:$J$38,5,FALSE),"错误")</f>
        <v>1346</v>
      </c>
      <c r="Y874" s="27" t="str">
        <f t="shared" si="221"/>
        <v/>
      </c>
      <c r="Z874" s="50" t="str">
        <f t="shared" si="224"/>
        <v/>
      </c>
      <c r="AA874" s="50" t="str">
        <f t="shared" si="222"/>
        <v/>
      </c>
      <c r="AB874" s="28" t="str">
        <f t="shared" si="225"/>
        <v>12%</v>
      </c>
      <c r="AC874" s="1">
        <f t="shared" si="226"/>
        <v>46</v>
      </c>
      <c r="AD874" s="51">
        <f t="shared" si="223"/>
        <v>2</v>
      </c>
      <c r="AE874" t="str">
        <f t="shared" si="227"/>
        <v/>
      </c>
      <c r="AF874" t="str">
        <f t="shared" si="228"/>
        <v/>
      </c>
      <c r="AG874" t="str">
        <f t="shared" si="229"/>
        <v/>
      </c>
      <c r="AH874" t="str">
        <f t="shared" si="230"/>
        <v/>
      </c>
      <c r="AI874" t="str">
        <f t="shared" si="231"/>
        <v/>
      </c>
      <c r="AJ874" t="str">
        <f t="shared" si="232"/>
        <v/>
      </c>
      <c r="AK874" t="str">
        <f t="shared" si="233"/>
        <v/>
      </c>
      <c r="AL874" t="str">
        <f t="shared" si="234"/>
        <v/>
      </c>
      <c r="AN874" t="str">
        <f>IFERROR(ROUND(L874*(G874/$AW874)/VLOOKUP(F874,商品!$A$4:$D$67,4,FALSE),0),"")</f>
        <v/>
      </c>
      <c r="AO874" t="str">
        <f>IFERROR(ROUND(L874*(I874/$AW874)/VLOOKUP(H874,商品!$A$4:$D$67,4,FALSE),0),"")</f>
        <v/>
      </c>
      <c r="AP874" t="str">
        <f>IFERROR(ROUND(L874*(K874/$AW874)/VLOOKUP(J874,商品!$A$4:$D$67,4,FALSE),0),"")</f>
        <v/>
      </c>
      <c r="AQ874" t="str">
        <f>IFERROR(ROUND(S874*(N874/$AX874)/VLOOKUP(M874,职业!$A$3:$E$16,4,FALSE),0),"")</f>
        <v/>
      </c>
      <c r="AR874" t="str">
        <f>IFERROR(ROUND(S874*(P874/$AX874)/VLOOKUP(O874,职业!$A$3:$E$16,4,FALSE),0),"")</f>
        <v/>
      </c>
      <c r="AS874" t="str">
        <f>IFERROR(ROUND(S874*(R874/$AX874)/VLOOKUP(Q874,职业!$A$3:$E$16,4,FALSE),0),"")</f>
        <v/>
      </c>
      <c r="AT874" t="str">
        <f>IFERROR(ROUND(X874*(U874/$AY874)/VLOOKUP(T874,商品!$A$4:$D$67,4,FALSE),0),"")</f>
        <v/>
      </c>
      <c r="AU874" t="str">
        <f>IFERROR(ROUND(X874*(W874/$AY874)/VLOOKUP(V874,商品!$A$4:$D$67,4,FALSE),0),"")</f>
        <v/>
      </c>
      <c r="AW874">
        <f t="shared" si="235"/>
        <v>0</v>
      </c>
      <c r="AX874">
        <f t="shared" si="236"/>
        <v>0</v>
      </c>
      <c r="AY874">
        <f t="shared" si="237"/>
        <v>0</v>
      </c>
    </row>
    <row r="875" customHeight="1" spans="1:51">
      <c r="A875" s="5" t="s">
        <v>445</v>
      </c>
      <c r="C875" s="5">
        <v>3</v>
      </c>
      <c r="D875" s="1" t="s">
        <v>220</v>
      </c>
      <c r="E875" s="1" t="s">
        <v>224</v>
      </c>
      <c r="L875" s="5">
        <f>IFERROR(VLOOKUP($D875&amp;$C875,生产方式定位!$A$2:$E$38,2,FALSE)+VLOOKUP($E875&amp;$C875,生产方式定位!$F$3:$J$38,2,FALSE),0)</f>
        <v>1900</v>
      </c>
      <c r="S875" s="5">
        <f>IFERROR(VLOOKUP($D875&amp;$C875,生产方式定位!$A$2:$E$38,3,FALSE)+VLOOKUP($E875&amp;$C875,生产方式定位!$F$3:$J$38,3,FALSE),0)</f>
        <v>70</v>
      </c>
      <c r="X875" s="5">
        <f>IFERROR(VLOOKUP($D875&amp;$C875,生产方式定位!$A$2:$E$38,5,FALSE)+VLOOKUP($E875&amp;$C875,生产方式定位!$F$3:$J$38,5,FALSE),"错误")</f>
        <v>2064</v>
      </c>
      <c r="Y875" s="27" t="str">
        <f t="shared" si="221"/>
        <v/>
      </c>
      <c r="Z875" s="50" t="str">
        <f t="shared" si="224"/>
        <v/>
      </c>
      <c r="AA875" s="50" t="str">
        <f t="shared" si="222"/>
        <v/>
      </c>
      <c r="AB875" s="28" t="str">
        <f t="shared" si="225"/>
        <v>9%</v>
      </c>
      <c r="AC875" s="1">
        <f t="shared" si="226"/>
        <v>94</v>
      </c>
      <c r="AD875" s="51">
        <f t="shared" si="223"/>
        <v>3</v>
      </c>
      <c r="AE875" t="str">
        <f t="shared" si="227"/>
        <v/>
      </c>
      <c r="AF875" t="str">
        <f t="shared" si="228"/>
        <v/>
      </c>
      <c r="AG875" t="str">
        <f t="shared" si="229"/>
        <v/>
      </c>
      <c r="AH875" t="str">
        <f t="shared" si="230"/>
        <v/>
      </c>
      <c r="AI875" t="str">
        <f t="shared" si="231"/>
        <v/>
      </c>
      <c r="AJ875" t="str">
        <f t="shared" si="232"/>
        <v/>
      </c>
      <c r="AK875" t="str">
        <f t="shared" si="233"/>
        <v/>
      </c>
      <c r="AL875" t="str">
        <f t="shared" si="234"/>
        <v/>
      </c>
      <c r="AN875" t="str">
        <f>IFERROR(ROUND(L875*(G875/$AW875)/VLOOKUP(F875,商品!$A$4:$D$67,4,FALSE),0),"")</f>
        <v/>
      </c>
      <c r="AO875" t="str">
        <f>IFERROR(ROUND(L875*(I875/$AW875)/VLOOKUP(H875,商品!$A$4:$D$67,4,FALSE),0),"")</f>
        <v/>
      </c>
      <c r="AP875" t="str">
        <f>IFERROR(ROUND(L875*(K875/$AW875)/VLOOKUP(J875,商品!$A$4:$D$67,4,FALSE),0),"")</f>
        <v/>
      </c>
      <c r="AQ875" t="str">
        <f>IFERROR(ROUND(S875*(N875/$AX875)/VLOOKUP(M875,职业!$A$3:$E$16,4,FALSE),0),"")</f>
        <v/>
      </c>
      <c r="AR875" t="str">
        <f>IFERROR(ROUND(S875*(P875/$AX875)/VLOOKUP(O875,职业!$A$3:$E$16,4,FALSE),0),"")</f>
        <v/>
      </c>
      <c r="AS875" t="str">
        <f>IFERROR(ROUND(S875*(R875/$AX875)/VLOOKUP(Q875,职业!$A$3:$E$16,4,FALSE),0),"")</f>
        <v/>
      </c>
      <c r="AT875" t="str">
        <f>IFERROR(ROUND(X875*(U875/$AY875)/VLOOKUP(T875,商品!$A$4:$D$67,4,FALSE),0),"")</f>
        <v/>
      </c>
      <c r="AU875" t="str">
        <f>IFERROR(ROUND(X875*(W875/$AY875)/VLOOKUP(V875,商品!$A$4:$D$67,4,FALSE),0),"")</f>
        <v/>
      </c>
      <c r="AW875">
        <f t="shared" si="235"/>
        <v>0</v>
      </c>
      <c r="AX875">
        <f t="shared" si="236"/>
        <v>0</v>
      </c>
      <c r="AY875">
        <f t="shared" si="237"/>
        <v>0</v>
      </c>
    </row>
    <row r="876" customHeight="1" spans="1:51">
      <c r="A876" s="5" t="s">
        <v>445</v>
      </c>
      <c r="C876" s="5">
        <v>4</v>
      </c>
      <c r="D876" s="1" t="s">
        <v>220</v>
      </c>
      <c r="E876" s="1" t="s">
        <v>224</v>
      </c>
      <c r="L876" s="5">
        <f>IFERROR(VLOOKUP($D876&amp;$C876,生产方式定位!$A$2:$E$38,2,FALSE)+VLOOKUP($E876&amp;$C876,生产方式定位!$F$3:$J$38,2,FALSE),0)</f>
        <v>2600</v>
      </c>
      <c r="S876" s="5">
        <f>IFERROR(VLOOKUP($D876&amp;$C876,生产方式定位!$A$2:$E$38,3,FALSE)+VLOOKUP($E876&amp;$C876,生产方式定位!$F$3:$J$38,3,FALSE),0)</f>
        <v>40</v>
      </c>
      <c r="X876" s="5">
        <f>IFERROR(VLOOKUP($D876&amp;$C876,生产方式定位!$A$2:$E$38,5,FALSE)+VLOOKUP($E876&amp;$C876,生产方式定位!$F$3:$J$38,5,FALSE),"错误")</f>
        <v>2782</v>
      </c>
      <c r="Y876" s="27" t="str">
        <f t="shared" si="221"/>
        <v/>
      </c>
      <c r="Z876" s="50" t="str">
        <f t="shared" si="224"/>
        <v/>
      </c>
      <c r="AA876" s="50" t="str">
        <f t="shared" si="222"/>
        <v/>
      </c>
      <c r="AB876" s="28" t="str">
        <f t="shared" si="225"/>
        <v>7%</v>
      </c>
      <c r="AC876" s="1">
        <f t="shared" si="226"/>
        <v>142</v>
      </c>
      <c r="AD876" s="51">
        <f t="shared" si="223"/>
        <v>4</v>
      </c>
      <c r="AE876" t="str">
        <f t="shared" si="227"/>
        <v/>
      </c>
      <c r="AF876" t="str">
        <f t="shared" si="228"/>
        <v/>
      </c>
      <c r="AG876" t="str">
        <f t="shared" si="229"/>
        <v/>
      </c>
      <c r="AH876" t="str">
        <f t="shared" si="230"/>
        <v/>
      </c>
      <c r="AI876" t="str">
        <f t="shared" si="231"/>
        <v/>
      </c>
      <c r="AJ876" t="str">
        <f t="shared" si="232"/>
        <v/>
      </c>
      <c r="AK876" t="str">
        <f t="shared" si="233"/>
        <v/>
      </c>
      <c r="AL876" t="str">
        <f t="shared" si="234"/>
        <v/>
      </c>
      <c r="AN876" t="str">
        <f>IFERROR(ROUND(L876*(G876/$AW876)/VLOOKUP(F876,商品!$A$4:$D$67,4,FALSE),0),"")</f>
        <v/>
      </c>
      <c r="AO876" t="str">
        <f>IFERROR(ROUND(L876*(I876/$AW876)/VLOOKUP(H876,商品!$A$4:$D$67,4,FALSE),0),"")</f>
        <v/>
      </c>
      <c r="AP876" t="str">
        <f>IFERROR(ROUND(L876*(K876/$AW876)/VLOOKUP(J876,商品!$A$4:$D$67,4,FALSE),0),"")</f>
        <v/>
      </c>
      <c r="AQ876" t="str">
        <f>IFERROR(ROUND(S876*(N876/$AX876)/VLOOKUP(M876,职业!$A$3:$E$16,4,FALSE),0),"")</f>
        <v/>
      </c>
      <c r="AR876" t="str">
        <f>IFERROR(ROUND(S876*(P876/$AX876)/VLOOKUP(O876,职业!$A$3:$E$16,4,FALSE),0),"")</f>
        <v/>
      </c>
      <c r="AS876" t="str">
        <f>IFERROR(ROUND(S876*(R876/$AX876)/VLOOKUP(Q876,职业!$A$3:$E$16,4,FALSE),0),"")</f>
        <v/>
      </c>
      <c r="AT876" t="str">
        <f>IFERROR(ROUND(X876*(U876/$AY876)/VLOOKUP(T876,商品!$A$4:$D$67,4,FALSE),0),"")</f>
        <v/>
      </c>
      <c r="AU876" t="str">
        <f>IFERROR(ROUND(X876*(W876/$AY876)/VLOOKUP(V876,商品!$A$4:$D$67,4,FALSE),0),"")</f>
        <v/>
      </c>
      <c r="AW876">
        <f t="shared" si="235"/>
        <v>0</v>
      </c>
      <c r="AX876">
        <f t="shared" si="236"/>
        <v>0</v>
      </c>
      <c r="AY876">
        <f t="shared" si="237"/>
        <v>0</v>
      </c>
    </row>
    <row r="877" customHeight="1" spans="1:51">
      <c r="A877" s="5" t="s">
        <v>445</v>
      </c>
      <c r="C877" s="5">
        <v>5</v>
      </c>
      <c r="D877" s="1" t="s">
        <v>220</v>
      </c>
      <c r="E877" s="1" t="s">
        <v>224</v>
      </c>
      <c r="L877" s="5">
        <f>IFERROR(VLOOKUP($D877&amp;$C877,生产方式定位!$A$2:$E$38,2,FALSE)+VLOOKUP($E877&amp;$C877,生产方式定位!$F$3:$J$38,2,FALSE),0)</f>
        <v>3300</v>
      </c>
      <c r="S877" s="5">
        <f>IFERROR(VLOOKUP($D877&amp;$C877,生产方式定位!$A$2:$E$38,3,FALSE)+VLOOKUP($E877&amp;$C877,生产方式定位!$F$3:$J$38,3,FALSE),0)</f>
        <v>10</v>
      </c>
      <c r="X877" s="5">
        <f>IFERROR(VLOOKUP($D877&amp;$C877,生产方式定位!$A$2:$E$38,5,FALSE)+VLOOKUP($E877&amp;$C877,生产方式定位!$F$3:$J$38,5,FALSE),"错误")</f>
        <v>3500</v>
      </c>
      <c r="Y877" s="27" t="str">
        <f t="shared" si="221"/>
        <v/>
      </c>
      <c r="Z877" s="50" t="str">
        <f t="shared" si="224"/>
        <v/>
      </c>
      <c r="AA877" s="50" t="str">
        <f t="shared" si="222"/>
        <v/>
      </c>
      <c r="AB877" s="28" t="str">
        <f t="shared" si="225"/>
        <v>6%</v>
      </c>
      <c r="AC877" s="1">
        <f t="shared" si="226"/>
        <v>190</v>
      </c>
      <c r="AD877" s="51">
        <f t="shared" si="223"/>
        <v>5</v>
      </c>
      <c r="AE877" t="str">
        <f t="shared" si="227"/>
        <v/>
      </c>
      <c r="AF877" t="str">
        <f t="shared" si="228"/>
        <v/>
      </c>
      <c r="AG877" t="str">
        <f t="shared" si="229"/>
        <v/>
      </c>
      <c r="AH877" t="str">
        <f t="shared" si="230"/>
        <v/>
      </c>
      <c r="AI877" t="str">
        <f t="shared" si="231"/>
        <v/>
      </c>
      <c r="AJ877" t="str">
        <f t="shared" si="232"/>
        <v/>
      </c>
      <c r="AK877" t="str">
        <f t="shared" si="233"/>
        <v/>
      </c>
      <c r="AL877" t="str">
        <f t="shared" si="234"/>
        <v/>
      </c>
      <c r="AN877" t="str">
        <f>IFERROR(ROUND(L877*(G877/$AW877)/VLOOKUP(F877,商品!$A$4:$D$67,4,FALSE),0),"")</f>
        <v/>
      </c>
      <c r="AO877" t="str">
        <f>IFERROR(ROUND(L877*(I877/$AW877)/VLOOKUP(H877,商品!$A$4:$D$67,4,FALSE),0),"")</f>
        <v/>
      </c>
      <c r="AP877" t="str">
        <f>IFERROR(ROUND(L877*(K877/$AW877)/VLOOKUP(J877,商品!$A$4:$D$67,4,FALSE),0),"")</f>
        <v/>
      </c>
      <c r="AQ877" t="str">
        <f>IFERROR(ROUND(S877*(N877/$AX877)/VLOOKUP(M877,职业!$A$3:$E$16,4,FALSE),0),"")</f>
        <v/>
      </c>
      <c r="AR877" t="str">
        <f>IFERROR(ROUND(S877*(P877/$AX877)/VLOOKUP(O877,职业!$A$3:$E$16,4,FALSE),0),"")</f>
        <v/>
      </c>
      <c r="AS877" t="str">
        <f>IFERROR(ROUND(S877*(R877/$AX877)/VLOOKUP(Q877,职业!$A$3:$E$16,4,FALSE),0),"")</f>
        <v/>
      </c>
      <c r="AT877" t="str">
        <f>IFERROR(ROUND(X877*(U877/$AY877)/VLOOKUP(T877,商品!$A$4:$D$67,4,FALSE),0),"")</f>
        <v/>
      </c>
      <c r="AU877" t="str">
        <f>IFERROR(ROUND(X877*(W877/$AY877)/VLOOKUP(V877,商品!$A$4:$D$67,4,FALSE),0),"")</f>
        <v/>
      </c>
      <c r="AW877">
        <f t="shared" si="235"/>
        <v>0</v>
      </c>
      <c r="AX877">
        <f t="shared" si="236"/>
        <v>0</v>
      </c>
      <c r="AY877">
        <f t="shared" si="237"/>
        <v>0</v>
      </c>
    </row>
    <row r="878" customHeight="1" spans="1:51">
      <c r="A878" s="18" t="s">
        <v>446</v>
      </c>
      <c r="C878" s="18">
        <v>1</v>
      </c>
      <c r="D878" s="1" t="s">
        <v>291</v>
      </c>
      <c r="E878" s="1" t="s">
        <v>225</v>
      </c>
      <c r="L878" s="18">
        <f>IFERROR(VLOOKUP($D878&amp;$C878,生产方式定位!$A$2:$E$38,2,FALSE)+VLOOKUP($E878&amp;$C878,生产方式定位!$F$3:$J$38,2,FALSE),0)</f>
        <v>0</v>
      </c>
      <c r="S878" s="18">
        <f>IFERROR(VLOOKUP($D878&amp;$C878,生产方式定位!$A$2:$E$38,3,FALSE)+VLOOKUP($E878&amp;$C878,生产方式定位!$F$3:$J$38,3,FALSE),0)</f>
        <v>100</v>
      </c>
      <c r="X878" s="18">
        <f>IFERROR(VLOOKUP($D878&amp;$C878,生产方式定位!$A$2:$E$38,5,FALSE)+VLOOKUP($E878&amp;$C878,生产方式定位!$F$3:$J$38,5,FALSE),"错误")</f>
        <v>100</v>
      </c>
      <c r="Y878" s="27" t="str">
        <f t="shared" si="221"/>
        <v/>
      </c>
      <c r="Z878" s="50" t="str">
        <f t="shared" si="224"/>
        <v/>
      </c>
      <c r="AA878" s="50" t="str">
        <f t="shared" si="222"/>
        <v/>
      </c>
      <c r="AB878" s="28" t="str">
        <f t="shared" si="225"/>
        <v/>
      </c>
      <c r="AC878" s="1" t="str">
        <f t="shared" si="226"/>
        <v/>
      </c>
      <c r="AD878" s="52">
        <f t="shared" si="223"/>
        <v>1</v>
      </c>
      <c r="AE878" t="str">
        <f t="shared" si="227"/>
        <v/>
      </c>
      <c r="AF878" t="str">
        <f t="shared" si="228"/>
        <v/>
      </c>
      <c r="AG878" t="str">
        <f t="shared" si="229"/>
        <v/>
      </c>
      <c r="AH878" t="str">
        <f t="shared" si="230"/>
        <v/>
      </c>
      <c r="AI878" t="str">
        <f t="shared" si="231"/>
        <v/>
      </c>
      <c r="AJ878" t="str">
        <f t="shared" si="232"/>
        <v/>
      </c>
      <c r="AK878" t="str">
        <f t="shared" si="233"/>
        <v/>
      </c>
      <c r="AL878" t="str">
        <f t="shared" si="234"/>
        <v/>
      </c>
      <c r="AN878" t="str">
        <f>IFERROR(ROUND(L878*(G878/$AW878)/VLOOKUP(F878,商品!$A$4:$D$67,4,FALSE),0),"")</f>
        <v/>
      </c>
      <c r="AO878" t="str">
        <f>IFERROR(ROUND(L878*(I878/$AW878)/VLOOKUP(H878,商品!$A$4:$D$67,4,FALSE),0),"")</f>
        <v/>
      </c>
      <c r="AP878" t="str">
        <f>IFERROR(ROUND(L878*(K878/$AW878)/VLOOKUP(J878,商品!$A$4:$D$67,4,FALSE),0),"")</f>
        <v/>
      </c>
      <c r="AQ878" t="str">
        <f>IFERROR(ROUND(S878*(N878/$AX878)/VLOOKUP(M878,职业!$A$3:$E$16,4,FALSE),0),"")</f>
        <v/>
      </c>
      <c r="AR878" t="str">
        <f>IFERROR(ROUND(S878*(P878/$AX878)/VLOOKUP(O878,职业!$A$3:$E$16,4,FALSE),0),"")</f>
        <v/>
      </c>
      <c r="AS878" t="str">
        <f>IFERROR(ROUND(S878*(R878/$AX878)/VLOOKUP(Q878,职业!$A$3:$E$16,4,FALSE),0),"")</f>
        <v/>
      </c>
      <c r="AT878" t="str">
        <f>IFERROR(ROUND(X878*(U878/$AY878)/VLOOKUP(T878,商品!$A$4:$D$67,4,FALSE),0),"")</f>
        <v/>
      </c>
      <c r="AU878" t="str">
        <f>IFERROR(ROUND(X878*(W878/$AY878)/VLOOKUP(V878,商品!$A$4:$D$67,4,FALSE),0),"")</f>
        <v/>
      </c>
      <c r="AW878">
        <f t="shared" si="235"/>
        <v>0</v>
      </c>
      <c r="AX878">
        <f t="shared" si="236"/>
        <v>0</v>
      </c>
      <c r="AY878">
        <f t="shared" si="237"/>
        <v>0</v>
      </c>
    </row>
    <row r="879" customHeight="1" spans="1:51">
      <c r="A879" s="18" t="s">
        <v>446</v>
      </c>
      <c r="C879" s="18">
        <v>2</v>
      </c>
      <c r="D879" s="1" t="s">
        <v>291</v>
      </c>
      <c r="E879" s="1" t="s">
        <v>225</v>
      </c>
      <c r="L879" s="18">
        <f>IFERROR(VLOOKUP($D879&amp;$C879,生产方式定位!$A$2:$E$38,2,FALSE)+VLOOKUP($E879&amp;$C879,生产方式定位!$F$3:$J$38,2,FALSE),0)</f>
        <v>0</v>
      </c>
      <c r="S879" s="18">
        <f>IFERROR(VLOOKUP($D879&amp;$C879,生产方式定位!$A$2:$E$38,3,FALSE)+VLOOKUP($E879&amp;$C879,生产方式定位!$F$3:$J$38,3,FALSE),0)</f>
        <v>100</v>
      </c>
      <c r="X879" s="18">
        <f>IFERROR(VLOOKUP($D879&amp;$C879,生产方式定位!$A$2:$E$38,5,FALSE)+VLOOKUP($E879&amp;$C879,生产方式定位!$F$3:$J$38,5,FALSE),"错误")</f>
        <v>100</v>
      </c>
      <c r="Y879" s="27" t="str">
        <f t="shared" si="221"/>
        <v/>
      </c>
      <c r="Z879" s="50" t="str">
        <f t="shared" si="224"/>
        <v/>
      </c>
      <c r="AA879" s="50" t="str">
        <f t="shared" si="222"/>
        <v/>
      </c>
      <c r="AB879" s="28" t="str">
        <f t="shared" si="225"/>
        <v/>
      </c>
      <c r="AC879" s="1" t="str">
        <f t="shared" si="226"/>
        <v/>
      </c>
      <c r="AD879" s="52">
        <f t="shared" si="223"/>
        <v>2</v>
      </c>
      <c r="AE879" t="str">
        <f t="shared" si="227"/>
        <v/>
      </c>
      <c r="AF879" t="str">
        <f t="shared" si="228"/>
        <v/>
      </c>
      <c r="AG879" t="str">
        <f t="shared" si="229"/>
        <v/>
      </c>
      <c r="AH879" t="str">
        <f t="shared" si="230"/>
        <v/>
      </c>
      <c r="AI879" t="str">
        <f t="shared" si="231"/>
        <v/>
      </c>
      <c r="AJ879" t="str">
        <f t="shared" si="232"/>
        <v/>
      </c>
      <c r="AK879" t="str">
        <f t="shared" si="233"/>
        <v/>
      </c>
      <c r="AL879" t="str">
        <f t="shared" si="234"/>
        <v/>
      </c>
      <c r="AN879" t="str">
        <f>IFERROR(ROUND(L879*(G879/$AW879)/VLOOKUP(F879,商品!$A$4:$D$67,4,FALSE),0),"")</f>
        <v/>
      </c>
      <c r="AO879" t="str">
        <f>IFERROR(ROUND(L879*(I879/$AW879)/VLOOKUP(H879,商品!$A$4:$D$67,4,FALSE),0),"")</f>
        <v/>
      </c>
      <c r="AP879" t="str">
        <f>IFERROR(ROUND(L879*(K879/$AW879)/VLOOKUP(J879,商品!$A$4:$D$67,4,FALSE),0),"")</f>
        <v/>
      </c>
      <c r="AQ879" t="str">
        <f>IFERROR(ROUND(S879*(N879/$AX879)/VLOOKUP(M879,职业!$A$3:$E$16,4,FALSE),0),"")</f>
        <v/>
      </c>
      <c r="AR879" t="str">
        <f>IFERROR(ROUND(S879*(P879/$AX879)/VLOOKUP(O879,职业!$A$3:$E$16,4,FALSE),0),"")</f>
        <v/>
      </c>
      <c r="AS879" t="str">
        <f>IFERROR(ROUND(S879*(R879/$AX879)/VLOOKUP(Q879,职业!$A$3:$E$16,4,FALSE),0),"")</f>
        <v/>
      </c>
      <c r="AT879" t="str">
        <f>IFERROR(ROUND(X879*(U879/$AY879)/VLOOKUP(T879,商品!$A$4:$D$67,4,FALSE),0),"")</f>
        <v/>
      </c>
      <c r="AU879" t="str">
        <f>IFERROR(ROUND(X879*(W879/$AY879)/VLOOKUP(V879,商品!$A$4:$D$67,4,FALSE),0),"")</f>
        <v/>
      </c>
      <c r="AW879">
        <f t="shared" si="235"/>
        <v>0</v>
      </c>
      <c r="AX879">
        <f t="shared" si="236"/>
        <v>0</v>
      </c>
      <c r="AY879">
        <f t="shared" si="237"/>
        <v>0</v>
      </c>
    </row>
    <row r="880" customHeight="1" spans="1:51">
      <c r="A880" s="18" t="s">
        <v>446</v>
      </c>
      <c r="C880" s="18">
        <v>3</v>
      </c>
      <c r="D880" s="1" t="s">
        <v>291</v>
      </c>
      <c r="E880" s="1" t="s">
        <v>225</v>
      </c>
      <c r="L880" s="18">
        <f>IFERROR(VLOOKUP($D880&amp;$C880,生产方式定位!$A$2:$E$38,2,FALSE)+VLOOKUP($E880&amp;$C880,生产方式定位!$F$3:$J$38,2,FALSE),0)</f>
        <v>0</v>
      </c>
      <c r="S880" s="18">
        <f>IFERROR(VLOOKUP($D880&amp;$C880,生产方式定位!$A$2:$E$38,3,FALSE)+VLOOKUP($E880&amp;$C880,生产方式定位!$F$3:$J$38,3,FALSE),0)</f>
        <v>100</v>
      </c>
      <c r="X880" s="18">
        <f>IFERROR(VLOOKUP($D880&amp;$C880,生产方式定位!$A$2:$E$38,5,FALSE)+VLOOKUP($E880&amp;$C880,生产方式定位!$F$3:$J$38,5,FALSE),"错误")</f>
        <v>100</v>
      </c>
      <c r="Y880" s="27" t="str">
        <f t="shared" si="221"/>
        <v/>
      </c>
      <c r="Z880" s="50" t="str">
        <f t="shared" si="224"/>
        <v/>
      </c>
      <c r="AA880" s="50" t="str">
        <f t="shared" si="222"/>
        <v/>
      </c>
      <c r="AB880" s="28" t="str">
        <f t="shared" si="225"/>
        <v/>
      </c>
      <c r="AC880" s="1" t="str">
        <f t="shared" si="226"/>
        <v/>
      </c>
      <c r="AD880" s="52">
        <f t="shared" si="223"/>
        <v>3</v>
      </c>
      <c r="AE880" t="str">
        <f t="shared" si="227"/>
        <v/>
      </c>
      <c r="AF880" t="str">
        <f t="shared" si="228"/>
        <v/>
      </c>
      <c r="AG880" t="str">
        <f t="shared" si="229"/>
        <v/>
      </c>
      <c r="AH880" t="str">
        <f t="shared" si="230"/>
        <v/>
      </c>
      <c r="AI880" t="str">
        <f t="shared" si="231"/>
        <v/>
      </c>
      <c r="AJ880" t="str">
        <f t="shared" si="232"/>
        <v/>
      </c>
      <c r="AK880" t="str">
        <f t="shared" si="233"/>
        <v/>
      </c>
      <c r="AL880" t="str">
        <f t="shared" si="234"/>
        <v/>
      </c>
      <c r="AN880" t="str">
        <f>IFERROR(ROUND(L880*(G880/$AW880)/VLOOKUP(F880,商品!$A$4:$D$67,4,FALSE),0),"")</f>
        <v/>
      </c>
      <c r="AO880" t="str">
        <f>IFERROR(ROUND(L880*(I880/$AW880)/VLOOKUP(H880,商品!$A$4:$D$67,4,FALSE),0),"")</f>
        <v/>
      </c>
      <c r="AP880" t="str">
        <f>IFERROR(ROUND(L880*(K880/$AW880)/VLOOKUP(J880,商品!$A$4:$D$67,4,FALSE),0),"")</f>
        <v/>
      </c>
      <c r="AQ880" t="str">
        <f>IFERROR(ROUND(S880*(N880/$AX880)/VLOOKUP(M880,职业!$A$3:$E$16,4,FALSE),0),"")</f>
        <v/>
      </c>
      <c r="AR880" t="str">
        <f>IFERROR(ROUND(S880*(P880/$AX880)/VLOOKUP(O880,职业!$A$3:$E$16,4,FALSE),0),"")</f>
        <v/>
      </c>
      <c r="AS880" t="str">
        <f>IFERROR(ROUND(S880*(R880/$AX880)/VLOOKUP(Q880,职业!$A$3:$E$16,4,FALSE),0),"")</f>
        <v/>
      </c>
      <c r="AT880" t="str">
        <f>IFERROR(ROUND(X880*(U880/$AY880)/VLOOKUP(T880,商品!$A$4:$D$67,4,FALSE),0),"")</f>
        <v/>
      </c>
      <c r="AU880" t="str">
        <f>IFERROR(ROUND(X880*(W880/$AY880)/VLOOKUP(V880,商品!$A$4:$D$67,4,FALSE),0),"")</f>
        <v/>
      </c>
      <c r="AW880">
        <f t="shared" si="235"/>
        <v>0</v>
      </c>
      <c r="AX880">
        <f t="shared" si="236"/>
        <v>0</v>
      </c>
      <c r="AY880">
        <f t="shared" si="237"/>
        <v>0</v>
      </c>
    </row>
    <row r="881" customHeight="1" spans="1:51">
      <c r="A881" s="18" t="s">
        <v>446</v>
      </c>
      <c r="C881" s="18">
        <v>4</v>
      </c>
      <c r="D881" s="1" t="s">
        <v>291</v>
      </c>
      <c r="E881" s="1" t="s">
        <v>225</v>
      </c>
      <c r="L881" s="18">
        <f>IFERROR(VLOOKUP($D881&amp;$C881,生产方式定位!$A$2:$E$38,2,FALSE)+VLOOKUP($E881&amp;$C881,生产方式定位!$F$3:$J$38,2,FALSE),0)</f>
        <v>0</v>
      </c>
      <c r="S881" s="18">
        <f>IFERROR(VLOOKUP($D881&amp;$C881,生产方式定位!$A$2:$E$38,3,FALSE)+VLOOKUP($E881&amp;$C881,生产方式定位!$F$3:$J$38,3,FALSE),0)</f>
        <v>100</v>
      </c>
      <c r="X881" s="18">
        <f>IFERROR(VLOOKUP($D881&amp;$C881,生产方式定位!$A$2:$E$38,5,FALSE)+VLOOKUP($E881&amp;$C881,生产方式定位!$F$3:$J$38,5,FALSE),"错误")</f>
        <v>100</v>
      </c>
      <c r="Y881" s="27" t="str">
        <f t="shared" si="221"/>
        <v/>
      </c>
      <c r="Z881" s="50" t="str">
        <f t="shared" si="224"/>
        <v/>
      </c>
      <c r="AA881" s="50" t="str">
        <f t="shared" si="222"/>
        <v/>
      </c>
      <c r="AB881" s="28" t="str">
        <f t="shared" si="225"/>
        <v/>
      </c>
      <c r="AC881" s="1" t="str">
        <f t="shared" si="226"/>
        <v/>
      </c>
      <c r="AD881" s="52">
        <f t="shared" si="223"/>
        <v>4</v>
      </c>
      <c r="AE881" t="str">
        <f t="shared" si="227"/>
        <v/>
      </c>
      <c r="AF881" t="str">
        <f t="shared" si="228"/>
        <v/>
      </c>
      <c r="AG881" t="str">
        <f t="shared" si="229"/>
        <v/>
      </c>
      <c r="AH881" t="str">
        <f t="shared" si="230"/>
        <v/>
      </c>
      <c r="AI881" t="str">
        <f t="shared" si="231"/>
        <v/>
      </c>
      <c r="AJ881" t="str">
        <f t="shared" si="232"/>
        <v/>
      </c>
      <c r="AK881" t="str">
        <f t="shared" si="233"/>
        <v/>
      </c>
      <c r="AL881" t="str">
        <f t="shared" si="234"/>
        <v/>
      </c>
      <c r="AN881" t="str">
        <f>IFERROR(ROUND(L881*(G881/$AW881)/VLOOKUP(F881,商品!$A$4:$D$67,4,FALSE),0),"")</f>
        <v/>
      </c>
      <c r="AO881" t="str">
        <f>IFERROR(ROUND(L881*(I881/$AW881)/VLOOKUP(H881,商品!$A$4:$D$67,4,FALSE),0),"")</f>
        <v/>
      </c>
      <c r="AP881" t="str">
        <f>IFERROR(ROUND(L881*(K881/$AW881)/VLOOKUP(J881,商品!$A$4:$D$67,4,FALSE),0),"")</f>
        <v/>
      </c>
      <c r="AQ881" t="str">
        <f>IFERROR(ROUND(S881*(N881/$AX881)/VLOOKUP(M881,职业!$A$3:$E$16,4,FALSE),0),"")</f>
        <v/>
      </c>
      <c r="AR881" t="str">
        <f>IFERROR(ROUND(S881*(P881/$AX881)/VLOOKUP(O881,职业!$A$3:$E$16,4,FALSE),0),"")</f>
        <v/>
      </c>
      <c r="AS881" t="str">
        <f>IFERROR(ROUND(S881*(R881/$AX881)/VLOOKUP(Q881,职业!$A$3:$E$16,4,FALSE),0),"")</f>
        <v/>
      </c>
      <c r="AT881" t="str">
        <f>IFERROR(ROUND(X881*(U881/$AY881)/VLOOKUP(T881,商品!$A$4:$D$67,4,FALSE),0),"")</f>
        <v/>
      </c>
      <c r="AU881" t="str">
        <f>IFERROR(ROUND(X881*(W881/$AY881)/VLOOKUP(V881,商品!$A$4:$D$67,4,FALSE),0),"")</f>
        <v/>
      </c>
      <c r="AW881">
        <f t="shared" si="235"/>
        <v>0</v>
      </c>
      <c r="AX881">
        <f t="shared" si="236"/>
        <v>0</v>
      </c>
      <c r="AY881">
        <f t="shared" si="237"/>
        <v>0</v>
      </c>
    </row>
    <row r="882" customHeight="1" spans="1:51">
      <c r="A882" s="18" t="s">
        <v>446</v>
      </c>
      <c r="C882" s="18">
        <v>5</v>
      </c>
      <c r="D882" s="1" t="s">
        <v>291</v>
      </c>
      <c r="E882" s="1" t="s">
        <v>225</v>
      </c>
      <c r="L882" s="18">
        <f>IFERROR(VLOOKUP($D882&amp;$C882,生产方式定位!$A$2:$E$38,2,FALSE)+VLOOKUP($E882&amp;$C882,生产方式定位!$F$3:$J$38,2,FALSE),0)</f>
        <v>0</v>
      </c>
      <c r="S882" s="18">
        <f>IFERROR(VLOOKUP($D882&amp;$C882,生产方式定位!$A$2:$E$38,3,FALSE)+VLOOKUP($E882&amp;$C882,生产方式定位!$F$3:$J$38,3,FALSE),0)</f>
        <v>100</v>
      </c>
      <c r="X882" s="18">
        <f>IFERROR(VLOOKUP($D882&amp;$C882,生产方式定位!$A$2:$E$38,5,FALSE)+VLOOKUP($E882&amp;$C882,生产方式定位!$F$3:$J$38,5,FALSE),"错误")</f>
        <v>100</v>
      </c>
      <c r="Y882" s="27" t="str">
        <f t="shared" si="221"/>
        <v/>
      </c>
      <c r="Z882" s="50" t="str">
        <f t="shared" si="224"/>
        <v/>
      </c>
      <c r="AA882" s="50" t="str">
        <f t="shared" si="222"/>
        <v/>
      </c>
      <c r="AB882" s="28" t="str">
        <f t="shared" si="225"/>
        <v/>
      </c>
      <c r="AC882" s="1" t="str">
        <f t="shared" si="226"/>
        <v/>
      </c>
      <c r="AD882" s="52">
        <f t="shared" si="223"/>
        <v>5</v>
      </c>
      <c r="AE882" t="str">
        <f t="shared" si="227"/>
        <v/>
      </c>
      <c r="AF882" t="str">
        <f t="shared" si="228"/>
        <v/>
      </c>
      <c r="AG882" t="str">
        <f t="shared" si="229"/>
        <v/>
      </c>
      <c r="AH882" t="str">
        <f t="shared" si="230"/>
        <v/>
      </c>
      <c r="AI882" t="str">
        <f t="shared" si="231"/>
        <v/>
      </c>
      <c r="AJ882" t="str">
        <f t="shared" si="232"/>
        <v/>
      </c>
      <c r="AK882" t="str">
        <f t="shared" si="233"/>
        <v/>
      </c>
      <c r="AL882" t="str">
        <f t="shared" si="234"/>
        <v/>
      </c>
      <c r="AN882" t="str">
        <f>IFERROR(ROUND(L882*(G882/$AW882)/VLOOKUP(F882,商品!$A$4:$D$67,4,FALSE),0),"")</f>
        <v/>
      </c>
      <c r="AO882" t="str">
        <f>IFERROR(ROUND(L882*(I882/$AW882)/VLOOKUP(H882,商品!$A$4:$D$67,4,FALSE),0),"")</f>
        <v/>
      </c>
      <c r="AP882" t="str">
        <f>IFERROR(ROUND(L882*(K882/$AW882)/VLOOKUP(J882,商品!$A$4:$D$67,4,FALSE),0),"")</f>
        <v/>
      </c>
      <c r="AQ882" t="str">
        <f>IFERROR(ROUND(S882*(N882/$AX882)/VLOOKUP(M882,职业!$A$3:$E$16,4,FALSE),0),"")</f>
        <v/>
      </c>
      <c r="AR882" t="str">
        <f>IFERROR(ROUND(S882*(P882/$AX882)/VLOOKUP(O882,职业!$A$3:$E$16,4,FALSE),0),"")</f>
        <v/>
      </c>
      <c r="AS882" t="str">
        <f>IFERROR(ROUND(S882*(R882/$AX882)/VLOOKUP(Q882,职业!$A$3:$E$16,4,FALSE),0),"")</f>
        <v/>
      </c>
      <c r="AT882" t="str">
        <f>IFERROR(ROUND(X882*(U882/$AY882)/VLOOKUP(T882,商品!$A$4:$D$67,4,FALSE),0),"")</f>
        <v/>
      </c>
      <c r="AU882" t="str">
        <f>IFERROR(ROUND(X882*(W882/$AY882)/VLOOKUP(V882,商品!$A$4:$D$67,4,FALSE),0),"")</f>
        <v/>
      </c>
      <c r="AW882">
        <f t="shared" si="235"/>
        <v>0</v>
      </c>
      <c r="AX882">
        <f t="shared" si="236"/>
        <v>0</v>
      </c>
      <c r="AY882">
        <f t="shared" si="237"/>
        <v>0</v>
      </c>
    </row>
    <row r="883" customHeight="1" spans="1:51">
      <c r="A883" s="18" t="s">
        <v>446</v>
      </c>
      <c r="C883" s="18">
        <v>6</v>
      </c>
      <c r="D883" s="1" t="s">
        <v>291</v>
      </c>
      <c r="E883" s="1" t="s">
        <v>225</v>
      </c>
      <c r="L883" s="18">
        <f>IFERROR(VLOOKUP($D883&amp;$C883,生产方式定位!$A$2:$E$38,2,FALSE)+VLOOKUP($E883&amp;$C883,生产方式定位!$F$3:$J$38,2,FALSE),0)</f>
        <v>0</v>
      </c>
      <c r="S883" s="18">
        <f>IFERROR(VLOOKUP($D883&amp;$C883,生产方式定位!$A$2:$E$38,3,FALSE)+VLOOKUP($E883&amp;$C883,生产方式定位!$F$3:$J$38,3,FALSE),0)</f>
        <v>100</v>
      </c>
      <c r="X883" s="18">
        <f>IFERROR(VLOOKUP($D883&amp;$C883,生产方式定位!$A$2:$E$38,5,FALSE)+VLOOKUP($E883&amp;$C883,生产方式定位!$F$3:$J$38,5,FALSE),"错误")</f>
        <v>100</v>
      </c>
      <c r="Y883" s="27" t="str">
        <f t="shared" si="221"/>
        <v/>
      </c>
      <c r="Z883" s="50" t="str">
        <f t="shared" si="224"/>
        <v/>
      </c>
      <c r="AA883" s="50" t="str">
        <f t="shared" si="222"/>
        <v/>
      </c>
      <c r="AB883" s="28" t="str">
        <f t="shared" si="225"/>
        <v/>
      </c>
      <c r="AC883" s="1" t="str">
        <f t="shared" si="226"/>
        <v/>
      </c>
      <c r="AD883" s="52">
        <f t="shared" si="223"/>
        <v>6</v>
      </c>
      <c r="AE883" t="str">
        <f t="shared" si="227"/>
        <v/>
      </c>
      <c r="AF883" t="str">
        <f t="shared" si="228"/>
        <v/>
      </c>
      <c r="AG883" t="str">
        <f t="shared" si="229"/>
        <v/>
      </c>
      <c r="AH883" t="str">
        <f t="shared" si="230"/>
        <v/>
      </c>
      <c r="AI883" t="str">
        <f t="shared" si="231"/>
        <v/>
      </c>
      <c r="AJ883" t="str">
        <f t="shared" si="232"/>
        <v/>
      </c>
      <c r="AK883" t="str">
        <f t="shared" si="233"/>
        <v/>
      </c>
      <c r="AL883" t="str">
        <f t="shared" si="234"/>
        <v/>
      </c>
      <c r="AN883" t="str">
        <f>IFERROR(ROUND(L883*(G883/$AW883)/VLOOKUP(F883,商品!$A$4:$D$67,4,FALSE),0),"")</f>
        <v/>
      </c>
      <c r="AO883" t="str">
        <f>IFERROR(ROUND(L883*(I883/$AW883)/VLOOKUP(H883,商品!$A$4:$D$67,4,FALSE),0),"")</f>
        <v/>
      </c>
      <c r="AP883" t="str">
        <f>IFERROR(ROUND(L883*(K883/$AW883)/VLOOKUP(J883,商品!$A$4:$D$67,4,FALSE),0),"")</f>
        <v/>
      </c>
      <c r="AQ883" t="str">
        <f>IFERROR(ROUND(S883*(N883/$AX883)/VLOOKUP(M883,职业!$A$3:$E$16,4,FALSE),0),"")</f>
        <v/>
      </c>
      <c r="AR883" t="str">
        <f>IFERROR(ROUND(S883*(P883/$AX883)/VLOOKUP(O883,职业!$A$3:$E$16,4,FALSE),0),"")</f>
        <v/>
      </c>
      <c r="AS883" t="str">
        <f>IFERROR(ROUND(S883*(R883/$AX883)/VLOOKUP(Q883,职业!$A$3:$E$16,4,FALSE),0),"")</f>
        <v/>
      </c>
      <c r="AT883" t="str">
        <f>IFERROR(ROUND(X883*(U883/$AY883)/VLOOKUP(T883,商品!$A$4:$D$67,4,FALSE),0),"")</f>
        <v/>
      </c>
      <c r="AU883" t="str">
        <f>IFERROR(ROUND(X883*(W883/$AY883)/VLOOKUP(V883,商品!$A$4:$D$67,4,FALSE),0),"")</f>
        <v/>
      </c>
      <c r="AW883">
        <f t="shared" si="235"/>
        <v>0</v>
      </c>
      <c r="AX883">
        <f t="shared" si="236"/>
        <v>0</v>
      </c>
      <c r="AY883">
        <f t="shared" si="237"/>
        <v>0</v>
      </c>
    </row>
    <row r="884" customHeight="1" spans="1:51">
      <c r="A884" s="18" t="s">
        <v>446</v>
      </c>
      <c r="C884" s="18">
        <v>7</v>
      </c>
      <c r="D884" s="1" t="s">
        <v>291</v>
      </c>
      <c r="E884" s="1" t="s">
        <v>225</v>
      </c>
      <c r="L884" s="18">
        <f>IFERROR(VLOOKUP($D884&amp;$C884,生产方式定位!$A$2:$E$38,2,FALSE)+VLOOKUP($E884&amp;$C884,生产方式定位!$F$3:$J$38,2,FALSE),0)</f>
        <v>0</v>
      </c>
      <c r="S884" s="18">
        <f>IFERROR(VLOOKUP($D884&amp;$C884,生产方式定位!$A$2:$E$38,3,FALSE)+VLOOKUP($E884&amp;$C884,生产方式定位!$F$3:$J$38,3,FALSE),0)</f>
        <v>100</v>
      </c>
      <c r="X884" s="18">
        <f>IFERROR(VLOOKUP($D884&amp;$C884,生产方式定位!$A$2:$E$38,5,FALSE)+VLOOKUP($E884&amp;$C884,生产方式定位!$F$3:$J$38,5,FALSE),"错误")</f>
        <v>100</v>
      </c>
      <c r="Y884" s="27" t="str">
        <f t="shared" si="221"/>
        <v/>
      </c>
      <c r="Z884" s="50" t="str">
        <f t="shared" si="224"/>
        <v/>
      </c>
      <c r="AA884" s="50" t="str">
        <f t="shared" si="222"/>
        <v/>
      </c>
      <c r="AB884" s="28" t="str">
        <f t="shared" si="225"/>
        <v/>
      </c>
      <c r="AC884" s="1" t="str">
        <f t="shared" si="226"/>
        <v/>
      </c>
      <c r="AD884" s="52">
        <f t="shared" si="223"/>
        <v>7</v>
      </c>
      <c r="AE884" t="str">
        <f t="shared" si="227"/>
        <v/>
      </c>
      <c r="AF884" t="str">
        <f t="shared" si="228"/>
        <v/>
      </c>
      <c r="AG884" t="str">
        <f t="shared" si="229"/>
        <v/>
      </c>
      <c r="AH884" t="str">
        <f t="shared" si="230"/>
        <v/>
      </c>
      <c r="AI884" t="str">
        <f t="shared" si="231"/>
        <v/>
      </c>
      <c r="AJ884" t="str">
        <f t="shared" si="232"/>
        <v/>
      </c>
      <c r="AK884" t="str">
        <f t="shared" si="233"/>
        <v/>
      </c>
      <c r="AL884" t="str">
        <f t="shared" si="234"/>
        <v/>
      </c>
      <c r="AN884" t="str">
        <f>IFERROR(ROUND(L884*(G884/$AW884)/VLOOKUP(F884,商品!$A$4:$D$67,4,FALSE),0),"")</f>
        <v/>
      </c>
      <c r="AO884" t="str">
        <f>IFERROR(ROUND(L884*(I884/$AW884)/VLOOKUP(H884,商品!$A$4:$D$67,4,FALSE),0),"")</f>
        <v/>
      </c>
      <c r="AP884" t="str">
        <f>IFERROR(ROUND(L884*(K884/$AW884)/VLOOKUP(J884,商品!$A$4:$D$67,4,FALSE),0),"")</f>
        <v/>
      </c>
      <c r="AQ884" t="str">
        <f>IFERROR(ROUND(S884*(N884/$AX884)/VLOOKUP(M884,职业!$A$3:$E$16,4,FALSE),0),"")</f>
        <v/>
      </c>
      <c r="AR884" t="str">
        <f>IFERROR(ROUND(S884*(P884/$AX884)/VLOOKUP(O884,职业!$A$3:$E$16,4,FALSE),0),"")</f>
        <v/>
      </c>
      <c r="AS884" t="str">
        <f>IFERROR(ROUND(S884*(R884/$AX884)/VLOOKUP(Q884,职业!$A$3:$E$16,4,FALSE),0),"")</f>
        <v/>
      </c>
      <c r="AT884" t="str">
        <f>IFERROR(ROUND(X884*(U884/$AY884)/VLOOKUP(T884,商品!$A$4:$D$67,4,FALSE),0),"")</f>
        <v/>
      </c>
      <c r="AU884" t="str">
        <f>IFERROR(ROUND(X884*(W884/$AY884)/VLOOKUP(V884,商品!$A$4:$D$67,4,FALSE),0),"")</f>
        <v/>
      </c>
      <c r="AW884">
        <f t="shared" si="235"/>
        <v>0</v>
      </c>
      <c r="AX884">
        <f t="shared" si="236"/>
        <v>0</v>
      </c>
      <c r="AY884">
        <f t="shared" si="237"/>
        <v>0</v>
      </c>
    </row>
    <row r="885" customHeight="1" spans="1:51">
      <c r="A885" s="18" t="s">
        <v>446</v>
      </c>
      <c r="C885" s="18">
        <v>8</v>
      </c>
      <c r="D885" s="1" t="s">
        <v>291</v>
      </c>
      <c r="E885" s="1" t="s">
        <v>225</v>
      </c>
      <c r="L885" s="18">
        <f>IFERROR(VLOOKUP($D885&amp;$C885,生产方式定位!$A$2:$E$38,2,FALSE)+VLOOKUP($E885&amp;$C885,生产方式定位!$F$3:$J$38,2,FALSE),0)</f>
        <v>0</v>
      </c>
      <c r="S885" s="18">
        <f>IFERROR(VLOOKUP($D885&amp;$C885,生产方式定位!$A$2:$E$38,3,FALSE)+VLOOKUP($E885&amp;$C885,生产方式定位!$F$3:$J$38,3,FALSE),0)</f>
        <v>100</v>
      </c>
      <c r="X885" s="18">
        <f>IFERROR(VLOOKUP($D885&amp;$C885,生产方式定位!$A$2:$E$38,5,FALSE)+VLOOKUP($E885&amp;$C885,生产方式定位!$F$3:$J$38,5,FALSE),"错误")</f>
        <v>100</v>
      </c>
      <c r="Y885" s="27" t="str">
        <f t="shared" si="221"/>
        <v/>
      </c>
      <c r="Z885" s="50" t="str">
        <f t="shared" si="224"/>
        <v/>
      </c>
      <c r="AA885" s="50" t="str">
        <f t="shared" si="222"/>
        <v/>
      </c>
      <c r="AB885" s="28" t="str">
        <f t="shared" si="225"/>
        <v/>
      </c>
      <c r="AC885" s="1" t="str">
        <f t="shared" si="226"/>
        <v/>
      </c>
      <c r="AD885" s="52">
        <f t="shared" si="223"/>
        <v>8</v>
      </c>
      <c r="AE885" t="str">
        <f t="shared" si="227"/>
        <v/>
      </c>
      <c r="AF885" t="str">
        <f t="shared" si="228"/>
        <v/>
      </c>
      <c r="AG885" t="str">
        <f t="shared" si="229"/>
        <v/>
      </c>
      <c r="AH885" t="str">
        <f t="shared" si="230"/>
        <v/>
      </c>
      <c r="AI885" t="str">
        <f t="shared" si="231"/>
        <v/>
      </c>
      <c r="AJ885" t="str">
        <f t="shared" si="232"/>
        <v/>
      </c>
      <c r="AK885" t="str">
        <f t="shared" si="233"/>
        <v/>
      </c>
      <c r="AL885" t="str">
        <f t="shared" si="234"/>
        <v/>
      </c>
      <c r="AN885" t="str">
        <f>IFERROR(ROUND(L885*(G885/$AW885)/VLOOKUP(F885,商品!$A$4:$D$67,4,FALSE),0),"")</f>
        <v/>
      </c>
      <c r="AO885" t="str">
        <f>IFERROR(ROUND(L885*(I885/$AW885)/VLOOKUP(H885,商品!$A$4:$D$67,4,FALSE),0),"")</f>
        <v/>
      </c>
      <c r="AP885" t="str">
        <f>IFERROR(ROUND(L885*(K885/$AW885)/VLOOKUP(J885,商品!$A$4:$D$67,4,FALSE),0),"")</f>
        <v/>
      </c>
      <c r="AQ885" t="str">
        <f>IFERROR(ROUND(S885*(N885/$AX885)/VLOOKUP(M885,职业!$A$3:$E$16,4,FALSE),0),"")</f>
        <v/>
      </c>
      <c r="AR885" t="str">
        <f>IFERROR(ROUND(S885*(P885/$AX885)/VLOOKUP(O885,职业!$A$3:$E$16,4,FALSE),0),"")</f>
        <v/>
      </c>
      <c r="AS885" t="str">
        <f>IFERROR(ROUND(S885*(R885/$AX885)/VLOOKUP(Q885,职业!$A$3:$E$16,4,FALSE),0),"")</f>
        <v/>
      </c>
      <c r="AT885" t="str">
        <f>IFERROR(ROUND(X885*(U885/$AY885)/VLOOKUP(T885,商品!$A$4:$D$67,4,FALSE),0),"")</f>
        <v/>
      </c>
      <c r="AU885" t="str">
        <f>IFERROR(ROUND(X885*(W885/$AY885)/VLOOKUP(V885,商品!$A$4:$D$67,4,FALSE),0),"")</f>
        <v/>
      </c>
      <c r="AW885">
        <f t="shared" si="235"/>
        <v>0</v>
      </c>
      <c r="AX885">
        <f t="shared" si="236"/>
        <v>0</v>
      </c>
      <c r="AY885">
        <f t="shared" si="237"/>
        <v>0</v>
      </c>
    </row>
    <row r="886" customHeight="1" spans="1:51">
      <c r="A886" s="5" t="s">
        <v>448</v>
      </c>
      <c r="C886" s="5">
        <v>1</v>
      </c>
      <c r="D886" s="1" t="s">
        <v>220</v>
      </c>
      <c r="E886" s="1" t="s">
        <v>222</v>
      </c>
      <c r="L886" s="5">
        <f>IFERROR(VLOOKUP($D886&amp;$C886,生产方式定位!$A$2:$E$38,2,FALSE)+VLOOKUP($E886&amp;$C886,生产方式定位!$F$3:$J$38,2,FALSE),0)</f>
        <v>500</v>
      </c>
      <c r="S886" s="5">
        <f>IFERROR(VLOOKUP($D886&amp;$C886,生产方式定位!$A$2:$E$38,3,FALSE)+VLOOKUP($E886&amp;$C886,生产方式定位!$F$3:$J$38,3,FALSE),0)</f>
        <v>150</v>
      </c>
      <c r="X886" s="5">
        <f>IFERROR(VLOOKUP($D886&amp;$C886,生产方式定位!$A$2:$E$38,5,FALSE)+VLOOKUP($E886&amp;$C886,生产方式定位!$F$3:$J$38,5,FALSE),"错误")</f>
        <v>715</v>
      </c>
      <c r="Y886" s="27" t="str">
        <f t="shared" si="221"/>
        <v/>
      </c>
      <c r="Z886" s="50" t="str">
        <f t="shared" si="224"/>
        <v/>
      </c>
      <c r="AA886" s="50" t="str">
        <f t="shared" si="222"/>
        <v/>
      </c>
      <c r="AB886" s="28" t="str">
        <f t="shared" si="225"/>
        <v>43%</v>
      </c>
      <c r="AC886" s="1">
        <f t="shared" si="226"/>
        <v>65</v>
      </c>
      <c r="AD886" s="51">
        <f t="shared" si="223"/>
        <v>1</v>
      </c>
      <c r="AE886" t="str">
        <f t="shared" si="227"/>
        <v/>
      </c>
      <c r="AF886" t="str">
        <f t="shared" si="228"/>
        <v/>
      </c>
      <c r="AG886" t="str">
        <f t="shared" si="229"/>
        <v/>
      </c>
      <c r="AH886" t="str">
        <f t="shared" si="230"/>
        <v/>
      </c>
      <c r="AI886" t="str">
        <f t="shared" si="231"/>
        <v/>
      </c>
      <c r="AJ886" t="str">
        <f t="shared" si="232"/>
        <v/>
      </c>
      <c r="AK886" t="str">
        <f t="shared" si="233"/>
        <v/>
      </c>
      <c r="AL886" t="str">
        <f t="shared" si="234"/>
        <v/>
      </c>
      <c r="AN886" t="str">
        <f>IFERROR(ROUND(L886*(G886/$AW886)/VLOOKUP(F886,商品!$A$4:$D$67,4,FALSE),0),"")</f>
        <v/>
      </c>
      <c r="AO886" t="str">
        <f>IFERROR(ROUND(L886*(I886/$AW886)/VLOOKUP(H886,商品!$A$4:$D$67,4,FALSE),0),"")</f>
        <v/>
      </c>
      <c r="AP886" t="str">
        <f>IFERROR(ROUND(L886*(K886/$AW886)/VLOOKUP(J886,商品!$A$4:$D$67,4,FALSE),0),"")</f>
        <v/>
      </c>
      <c r="AQ886" t="str">
        <f>IFERROR(ROUND(S886*(N886/$AX886)/VLOOKUP(M886,职业!$A$3:$E$16,4,FALSE),0),"")</f>
        <v/>
      </c>
      <c r="AR886" t="str">
        <f>IFERROR(ROUND(S886*(P886/$AX886)/VLOOKUP(O886,职业!$A$3:$E$16,4,FALSE),0),"")</f>
        <v/>
      </c>
      <c r="AS886" t="str">
        <f>IFERROR(ROUND(S886*(R886/$AX886)/VLOOKUP(Q886,职业!$A$3:$E$16,4,FALSE),0),"")</f>
        <v/>
      </c>
      <c r="AT886" t="str">
        <f>IFERROR(ROUND(X886*(U886/$AY886)/VLOOKUP(T886,商品!$A$4:$D$67,4,FALSE),0),"")</f>
        <v/>
      </c>
      <c r="AU886" t="str">
        <f>IFERROR(ROUND(X886*(W886/$AY886)/VLOOKUP(V886,商品!$A$4:$D$67,4,FALSE),0),"")</f>
        <v/>
      </c>
      <c r="AW886">
        <f t="shared" si="235"/>
        <v>0</v>
      </c>
      <c r="AX886">
        <f t="shared" si="236"/>
        <v>0</v>
      </c>
      <c r="AY886">
        <f t="shared" si="237"/>
        <v>0</v>
      </c>
    </row>
    <row r="887" customHeight="1" spans="1:51">
      <c r="A887" s="5" t="s">
        <v>448</v>
      </c>
      <c r="C887" s="5">
        <v>2</v>
      </c>
      <c r="D887" s="1" t="s">
        <v>220</v>
      </c>
      <c r="E887" s="1" t="s">
        <v>222</v>
      </c>
      <c r="L887" s="5">
        <f>IFERROR(VLOOKUP($D887&amp;$C887,生产方式定位!$A$2:$E$38,2,FALSE)+VLOOKUP($E887&amp;$C887,生产方式定位!$F$3:$J$38,2,FALSE),0)</f>
        <v>1200</v>
      </c>
      <c r="S887" s="5">
        <f>IFERROR(VLOOKUP($D887&amp;$C887,生产方式定位!$A$2:$E$38,3,FALSE)+VLOOKUP($E887&amp;$C887,生产方式定位!$F$3:$J$38,3,FALSE),0)</f>
        <v>140</v>
      </c>
      <c r="X887" s="5">
        <f>IFERROR(VLOOKUP($D887&amp;$C887,生产方式定位!$A$2:$E$38,5,FALSE)+VLOOKUP($E887&amp;$C887,生产方式定位!$F$3:$J$38,5,FALSE),"错误")</f>
        <v>1390</v>
      </c>
      <c r="Y887" s="27" t="str">
        <f t="shared" si="221"/>
        <v/>
      </c>
      <c r="Z887" s="50" t="str">
        <f t="shared" si="224"/>
        <v/>
      </c>
      <c r="AA887" s="50" t="str">
        <f t="shared" si="222"/>
        <v/>
      </c>
      <c r="AB887" s="28" t="str">
        <f t="shared" si="225"/>
        <v>16%</v>
      </c>
      <c r="AC887" s="1">
        <f t="shared" si="226"/>
        <v>50</v>
      </c>
      <c r="AD887" s="51">
        <f t="shared" si="223"/>
        <v>2</v>
      </c>
      <c r="AE887" t="str">
        <f t="shared" si="227"/>
        <v/>
      </c>
      <c r="AF887" t="str">
        <f t="shared" si="228"/>
        <v/>
      </c>
      <c r="AG887" t="str">
        <f t="shared" si="229"/>
        <v/>
      </c>
      <c r="AH887" t="str">
        <f t="shared" si="230"/>
        <v/>
      </c>
      <c r="AI887" t="str">
        <f t="shared" si="231"/>
        <v/>
      </c>
      <c r="AJ887" t="str">
        <f t="shared" si="232"/>
        <v/>
      </c>
      <c r="AK887" t="str">
        <f t="shared" si="233"/>
        <v/>
      </c>
      <c r="AL887" t="str">
        <f t="shared" si="234"/>
        <v/>
      </c>
      <c r="AN887" t="str">
        <f>IFERROR(ROUND(L887*(G887/$AW887)/VLOOKUP(F887,商品!$A$4:$D$67,4,FALSE),0),"")</f>
        <v/>
      </c>
      <c r="AO887" t="str">
        <f>IFERROR(ROUND(L887*(I887/$AW887)/VLOOKUP(H887,商品!$A$4:$D$67,4,FALSE),0),"")</f>
        <v/>
      </c>
      <c r="AP887" t="str">
        <f>IFERROR(ROUND(L887*(K887/$AW887)/VLOOKUP(J887,商品!$A$4:$D$67,4,FALSE),0),"")</f>
        <v/>
      </c>
      <c r="AQ887" t="str">
        <f>IFERROR(ROUND(S887*(N887/$AX887)/VLOOKUP(M887,职业!$A$3:$E$16,4,FALSE),0),"")</f>
        <v/>
      </c>
      <c r="AR887" t="str">
        <f>IFERROR(ROUND(S887*(P887/$AX887)/VLOOKUP(O887,职业!$A$3:$E$16,4,FALSE),0),"")</f>
        <v/>
      </c>
      <c r="AS887" t="str">
        <f>IFERROR(ROUND(S887*(R887/$AX887)/VLOOKUP(Q887,职业!$A$3:$E$16,4,FALSE),0),"")</f>
        <v/>
      </c>
      <c r="AT887" t="str">
        <f>IFERROR(ROUND(X887*(U887/$AY887)/VLOOKUP(T887,商品!$A$4:$D$67,4,FALSE),0),"")</f>
        <v/>
      </c>
      <c r="AU887" t="str">
        <f>IFERROR(ROUND(X887*(W887/$AY887)/VLOOKUP(V887,商品!$A$4:$D$67,4,FALSE),0),"")</f>
        <v/>
      </c>
      <c r="AW887">
        <f t="shared" si="235"/>
        <v>0</v>
      </c>
      <c r="AX887">
        <f t="shared" si="236"/>
        <v>0</v>
      </c>
      <c r="AY887">
        <f t="shared" si="237"/>
        <v>0</v>
      </c>
    </row>
    <row r="888" customHeight="1" spans="1:51">
      <c r="A888" s="5" t="s">
        <v>448</v>
      </c>
      <c r="C888" s="5">
        <v>3</v>
      </c>
      <c r="D888" s="1" t="s">
        <v>220</v>
      </c>
      <c r="E888" s="1" t="s">
        <v>222</v>
      </c>
      <c r="L888" s="5">
        <f>IFERROR(VLOOKUP($D888&amp;$C888,生产方式定位!$A$2:$E$38,2,FALSE)+VLOOKUP($E888&amp;$C888,生产方式定位!$F$3:$J$38,2,FALSE),0)</f>
        <v>1525</v>
      </c>
      <c r="S888" s="5">
        <f>IFERROR(VLOOKUP($D888&amp;$C888,生产方式定位!$A$2:$E$38,3,FALSE)+VLOOKUP($E888&amp;$C888,生产方式定位!$F$3:$J$38,3,FALSE),0)</f>
        <v>130</v>
      </c>
      <c r="X888" s="5">
        <f>IFERROR(VLOOKUP($D888&amp;$C888,生产方式定位!$A$2:$E$38,5,FALSE)+VLOOKUP($E888&amp;$C888,生产方式定位!$F$3:$J$38,5,FALSE),"错误")</f>
        <v>1718</v>
      </c>
      <c r="Y888" s="27" t="str">
        <f t="shared" si="221"/>
        <v/>
      </c>
      <c r="Z888" s="50" t="str">
        <f t="shared" si="224"/>
        <v/>
      </c>
      <c r="AA888" s="50" t="str">
        <f t="shared" si="222"/>
        <v/>
      </c>
      <c r="AB888" s="28" t="str">
        <f t="shared" si="225"/>
        <v>13%</v>
      </c>
      <c r="AC888" s="1">
        <f t="shared" si="226"/>
        <v>63</v>
      </c>
      <c r="AD888" s="51">
        <f t="shared" si="223"/>
        <v>3</v>
      </c>
      <c r="AE888" t="str">
        <f t="shared" si="227"/>
        <v/>
      </c>
      <c r="AF888" t="str">
        <f t="shared" si="228"/>
        <v/>
      </c>
      <c r="AG888" t="str">
        <f t="shared" si="229"/>
        <v/>
      </c>
      <c r="AH888" t="str">
        <f t="shared" si="230"/>
        <v/>
      </c>
      <c r="AI888" t="str">
        <f t="shared" si="231"/>
        <v/>
      </c>
      <c r="AJ888" t="str">
        <f t="shared" si="232"/>
        <v/>
      </c>
      <c r="AK888" t="str">
        <f t="shared" si="233"/>
        <v/>
      </c>
      <c r="AL888" t="str">
        <f t="shared" si="234"/>
        <v/>
      </c>
      <c r="AN888" t="str">
        <f>IFERROR(ROUND(L888*(G888/$AW888)/VLOOKUP(F888,商品!$A$4:$D$67,4,FALSE),0),"")</f>
        <v/>
      </c>
      <c r="AO888" t="str">
        <f>IFERROR(ROUND(L888*(I888/$AW888)/VLOOKUP(H888,商品!$A$4:$D$67,4,FALSE),0),"")</f>
        <v/>
      </c>
      <c r="AP888" t="str">
        <f>IFERROR(ROUND(L888*(K888/$AW888)/VLOOKUP(J888,商品!$A$4:$D$67,4,FALSE),0),"")</f>
        <v/>
      </c>
      <c r="AQ888" t="str">
        <f>IFERROR(ROUND(S888*(N888/$AX888)/VLOOKUP(M888,职业!$A$3:$E$16,4,FALSE),0),"")</f>
        <v/>
      </c>
      <c r="AR888" t="str">
        <f>IFERROR(ROUND(S888*(P888/$AX888)/VLOOKUP(O888,职业!$A$3:$E$16,4,FALSE),0),"")</f>
        <v/>
      </c>
      <c r="AS888" t="str">
        <f>IFERROR(ROUND(S888*(R888/$AX888)/VLOOKUP(Q888,职业!$A$3:$E$16,4,FALSE),0),"")</f>
        <v/>
      </c>
      <c r="AT888" t="str">
        <f>IFERROR(ROUND(X888*(U888/$AY888)/VLOOKUP(T888,商品!$A$4:$D$67,4,FALSE),0),"")</f>
        <v/>
      </c>
      <c r="AU888" t="str">
        <f>IFERROR(ROUND(X888*(W888/$AY888)/VLOOKUP(V888,商品!$A$4:$D$67,4,FALSE),0),"")</f>
        <v/>
      </c>
      <c r="AW888">
        <f t="shared" si="235"/>
        <v>0</v>
      </c>
      <c r="AX888">
        <f t="shared" si="236"/>
        <v>0</v>
      </c>
      <c r="AY888">
        <f t="shared" si="237"/>
        <v>0</v>
      </c>
    </row>
    <row r="889" customHeight="1" spans="1:51">
      <c r="A889" s="5" t="s">
        <v>448</v>
      </c>
      <c r="C889" s="5">
        <v>4</v>
      </c>
      <c r="D889" s="1" t="s">
        <v>220</v>
      </c>
      <c r="E889" s="1" t="s">
        <v>222</v>
      </c>
      <c r="L889" s="5">
        <f>IFERROR(VLOOKUP($D889&amp;$C889,生产方式定位!$A$2:$E$38,2,FALSE)+VLOOKUP($E889&amp;$C889,生产方式定位!$F$3:$J$38,2,FALSE),0)</f>
        <v>1850</v>
      </c>
      <c r="S889" s="5">
        <f>IFERROR(VLOOKUP($D889&amp;$C889,生产方式定位!$A$2:$E$38,3,FALSE)+VLOOKUP($E889&amp;$C889,生产方式定位!$F$3:$J$38,3,FALSE),0)</f>
        <v>120</v>
      </c>
      <c r="X889" s="5">
        <f>IFERROR(VLOOKUP($D889&amp;$C889,生产方式定位!$A$2:$E$38,5,FALSE)+VLOOKUP($E889&amp;$C889,生产方式定位!$F$3:$J$38,5,FALSE),"错误")</f>
        <v>2045</v>
      </c>
      <c r="Y889" s="27" t="str">
        <f t="shared" si="221"/>
        <v/>
      </c>
      <c r="Z889" s="50" t="str">
        <f t="shared" si="224"/>
        <v/>
      </c>
      <c r="AA889" s="50" t="str">
        <f t="shared" si="222"/>
        <v/>
      </c>
      <c r="AB889" s="28" t="str">
        <f t="shared" si="225"/>
        <v>11%</v>
      </c>
      <c r="AC889" s="1">
        <f t="shared" si="226"/>
        <v>75</v>
      </c>
      <c r="AD889" s="51">
        <f t="shared" si="223"/>
        <v>4</v>
      </c>
      <c r="AE889" t="str">
        <f t="shared" si="227"/>
        <v/>
      </c>
      <c r="AF889" t="str">
        <f t="shared" si="228"/>
        <v/>
      </c>
      <c r="AG889" t="str">
        <f t="shared" si="229"/>
        <v/>
      </c>
      <c r="AH889" t="str">
        <f t="shared" si="230"/>
        <v/>
      </c>
      <c r="AI889" t="str">
        <f t="shared" si="231"/>
        <v/>
      </c>
      <c r="AJ889" t="str">
        <f t="shared" si="232"/>
        <v/>
      </c>
      <c r="AK889" t="str">
        <f t="shared" si="233"/>
        <v/>
      </c>
      <c r="AL889" t="str">
        <f t="shared" si="234"/>
        <v/>
      </c>
      <c r="AN889" t="str">
        <f>IFERROR(ROUND(L889*(G889/$AW889)/VLOOKUP(F889,商品!$A$4:$D$67,4,FALSE),0),"")</f>
        <v/>
      </c>
      <c r="AO889" t="str">
        <f>IFERROR(ROUND(L889*(I889/$AW889)/VLOOKUP(H889,商品!$A$4:$D$67,4,FALSE),0),"")</f>
        <v/>
      </c>
      <c r="AP889" t="str">
        <f>IFERROR(ROUND(L889*(K889/$AW889)/VLOOKUP(J889,商品!$A$4:$D$67,4,FALSE),0),"")</f>
        <v/>
      </c>
      <c r="AQ889" t="str">
        <f>IFERROR(ROUND(S889*(N889/$AX889)/VLOOKUP(M889,职业!$A$3:$E$16,4,FALSE),0),"")</f>
        <v/>
      </c>
      <c r="AR889" t="str">
        <f>IFERROR(ROUND(S889*(P889/$AX889)/VLOOKUP(O889,职业!$A$3:$E$16,4,FALSE),0),"")</f>
        <v/>
      </c>
      <c r="AS889" t="str">
        <f>IFERROR(ROUND(S889*(R889/$AX889)/VLOOKUP(Q889,职业!$A$3:$E$16,4,FALSE),0),"")</f>
        <v/>
      </c>
      <c r="AT889" t="str">
        <f>IFERROR(ROUND(X889*(U889/$AY889)/VLOOKUP(T889,商品!$A$4:$D$67,4,FALSE),0),"")</f>
        <v/>
      </c>
      <c r="AU889" t="str">
        <f>IFERROR(ROUND(X889*(W889/$AY889)/VLOOKUP(V889,商品!$A$4:$D$67,4,FALSE),0),"")</f>
        <v/>
      </c>
      <c r="AW889">
        <f t="shared" si="235"/>
        <v>0</v>
      </c>
      <c r="AX889">
        <f t="shared" si="236"/>
        <v>0</v>
      </c>
      <c r="AY889">
        <f t="shared" si="237"/>
        <v>0</v>
      </c>
    </row>
    <row r="890" customHeight="1" spans="1:51">
      <c r="A890" s="5" t="s">
        <v>448</v>
      </c>
      <c r="C890" s="5">
        <v>5</v>
      </c>
      <c r="D890" s="1" t="s">
        <v>220</v>
      </c>
      <c r="E890" s="1" t="s">
        <v>222</v>
      </c>
      <c r="L890" s="5">
        <f>IFERROR(VLOOKUP($D890&amp;$C890,生产方式定位!$A$2:$E$38,2,FALSE)+VLOOKUP($E890&amp;$C890,生产方式定位!$F$3:$J$38,2,FALSE),0)</f>
        <v>2175</v>
      </c>
      <c r="S890" s="5">
        <f>IFERROR(VLOOKUP($D890&amp;$C890,生产方式定位!$A$2:$E$38,3,FALSE)+VLOOKUP($E890&amp;$C890,生产方式定位!$F$3:$J$38,3,FALSE),0)</f>
        <v>110</v>
      </c>
      <c r="X890" s="5">
        <f>IFERROR(VLOOKUP($D890&amp;$C890,生产方式定位!$A$2:$E$38,5,FALSE)+VLOOKUP($E890&amp;$C890,生产方式定位!$F$3:$J$38,5,FALSE),"错误")</f>
        <v>2373</v>
      </c>
      <c r="Y890" s="27" t="str">
        <f t="shared" si="221"/>
        <v/>
      </c>
      <c r="Z890" s="50" t="str">
        <f t="shared" si="224"/>
        <v/>
      </c>
      <c r="AA890" s="50" t="str">
        <f t="shared" si="222"/>
        <v/>
      </c>
      <c r="AB890" s="28" t="str">
        <f t="shared" si="225"/>
        <v>9%</v>
      </c>
      <c r="AC890" s="1">
        <f t="shared" si="226"/>
        <v>88</v>
      </c>
      <c r="AD890" s="51">
        <f t="shared" si="223"/>
        <v>5</v>
      </c>
      <c r="AE890" t="str">
        <f t="shared" si="227"/>
        <v/>
      </c>
      <c r="AF890" t="str">
        <f t="shared" si="228"/>
        <v/>
      </c>
      <c r="AG890" t="str">
        <f t="shared" si="229"/>
        <v/>
      </c>
      <c r="AH890" t="str">
        <f t="shared" si="230"/>
        <v/>
      </c>
      <c r="AI890" t="str">
        <f t="shared" si="231"/>
        <v/>
      </c>
      <c r="AJ890" t="str">
        <f t="shared" si="232"/>
        <v/>
      </c>
      <c r="AK890" t="str">
        <f t="shared" si="233"/>
        <v/>
      </c>
      <c r="AL890" t="str">
        <f t="shared" si="234"/>
        <v/>
      </c>
      <c r="AN890" t="str">
        <f>IFERROR(ROUND(L890*(G890/$AW890)/VLOOKUP(F890,商品!$A$4:$D$67,4,FALSE),0),"")</f>
        <v/>
      </c>
      <c r="AO890" t="str">
        <f>IFERROR(ROUND(L890*(I890/$AW890)/VLOOKUP(H890,商品!$A$4:$D$67,4,FALSE),0),"")</f>
        <v/>
      </c>
      <c r="AP890" t="str">
        <f>IFERROR(ROUND(L890*(K890/$AW890)/VLOOKUP(J890,商品!$A$4:$D$67,4,FALSE),0),"")</f>
        <v/>
      </c>
      <c r="AQ890" t="str">
        <f>IFERROR(ROUND(S890*(N890/$AX890)/VLOOKUP(M890,职业!$A$3:$E$16,4,FALSE),0),"")</f>
        <v/>
      </c>
      <c r="AR890" t="str">
        <f>IFERROR(ROUND(S890*(P890/$AX890)/VLOOKUP(O890,职业!$A$3:$E$16,4,FALSE),0),"")</f>
        <v/>
      </c>
      <c r="AS890" t="str">
        <f>IFERROR(ROUND(S890*(R890/$AX890)/VLOOKUP(Q890,职业!$A$3:$E$16,4,FALSE),0),"")</f>
        <v/>
      </c>
      <c r="AT890" t="str">
        <f>IFERROR(ROUND(X890*(U890/$AY890)/VLOOKUP(T890,商品!$A$4:$D$67,4,FALSE),0),"")</f>
        <v/>
      </c>
      <c r="AU890" t="str">
        <f>IFERROR(ROUND(X890*(W890/$AY890)/VLOOKUP(V890,商品!$A$4:$D$67,4,FALSE),0),"")</f>
        <v/>
      </c>
      <c r="AW890">
        <f t="shared" si="235"/>
        <v>0</v>
      </c>
      <c r="AX890">
        <f t="shared" si="236"/>
        <v>0</v>
      </c>
      <c r="AY890">
        <f t="shared" si="237"/>
        <v>0</v>
      </c>
    </row>
    <row r="891" customHeight="1" spans="1:51">
      <c r="A891" s="18" t="s">
        <v>449</v>
      </c>
      <c r="C891" s="18">
        <v>1</v>
      </c>
      <c r="D891" s="1" t="s">
        <v>220</v>
      </c>
      <c r="E891" s="1" t="s">
        <v>224</v>
      </c>
      <c r="L891" s="18">
        <f>IFERROR(VLOOKUP($D891&amp;$C891,生产方式定位!$A$2:$E$38,2,FALSE)+VLOOKUP($E891&amp;$C891,生产方式定位!$F$3:$J$38,2,FALSE),0)</f>
        <v>500</v>
      </c>
      <c r="S891" s="18">
        <f>IFERROR(VLOOKUP($D891&amp;$C891,生产方式定位!$A$2:$E$38,3,FALSE)+VLOOKUP($E891&amp;$C891,生产方式定位!$F$3:$J$38,3,FALSE),0)</f>
        <v>150</v>
      </c>
      <c r="X891" s="18">
        <f>IFERROR(VLOOKUP($D891&amp;$C891,生产方式定位!$A$2:$E$38,5,FALSE)+VLOOKUP($E891&amp;$C891,生产方式定位!$F$3:$J$38,5,FALSE),"错误")</f>
        <v>715</v>
      </c>
      <c r="Y891" s="27" t="str">
        <f t="shared" si="221"/>
        <v/>
      </c>
      <c r="Z891" s="50" t="str">
        <f t="shared" si="224"/>
        <v/>
      </c>
      <c r="AA891" s="50" t="str">
        <f t="shared" si="222"/>
        <v/>
      </c>
      <c r="AB891" s="28" t="str">
        <f t="shared" si="225"/>
        <v>43%</v>
      </c>
      <c r="AC891" s="1">
        <f t="shared" si="226"/>
        <v>65</v>
      </c>
      <c r="AD891" s="52">
        <f t="shared" si="223"/>
        <v>1</v>
      </c>
      <c r="AE891" t="str">
        <f t="shared" si="227"/>
        <v/>
      </c>
      <c r="AF891" t="str">
        <f t="shared" si="228"/>
        <v/>
      </c>
      <c r="AG891" t="str">
        <f t="shared" si="229"/>
        <v/>
      </c>
      <c r="AH891" t="str">
        <f t="shared" si="230"/>
        <v/>
      </c>
      <c r="AI891" t="str">
        <f t="shared" si="231"/>
        <v/>
      </c>
      <c r="AJ891" t="str">
        <f t="shared" si="232"/>
        <v/>
      </c>
      <c r="AK891" t="str">
        <f t="shared" si="233"/>
        <v/>
      </c>
      <c r="AL891" t="str">
        <f t="shared" si="234"/>
        <v/>
      </c>
      <c r="AN891" t="str">
        <f>IFERROR(ROUND(L891*(G891/$AW891)/VLOOKUP(F891,商品!$A$4:$D$67,4,FALSE),0),"")</f>
        <v/>
      </c>
      <c r="AO891" t="str">
        <f>IFERROR(ROUND(L891*(I891/$AW891)/VLOOKUP(H891,商品!$A$4:$D$67,4,FALSE),0),"")</f>
        <v/>
      </c>
      <c r="AP891" t="str">
        <f>IFERROR(ROUND(L891*(K891/$AW891)/VLOOKUP(J891,商品!$A$4:$D$67,4,FALSE),0),"")</f>
        <v/>
      </c>
      <c r="AQ891" t="str">
        <f>IFERROR(ROUND(S891*(N891/$AX891)/VLOOKUP(M891,职业!$A$3:$E$16,4,FALSE),0),"")</f>
        <v/>
      </c>
      <c r="AR891" t="str">
        <f>IFERROR(ROUND(S891*(P891/$AX891)/VLOOKUP(O891,职业!$A$3:$E$16,4,FALSE),0),"")</f>
        <v/>
      </c>
      <c r="AS891" t="str">
        <f>IFERROR(ROUND(S891*(R891/$AX891)/VLOOKUP(Q891,职业!$A$3:$E$16,4,FALSE),0),"")</f>
        <v/>
      </c>
      <c r="AT891" t="str">
        <f>IFERROR(ROUND(X891*(U891/$AY891)/VLOOKUP(T891,商品!$A$4:$D$67,4,FALSE),0),"")</f>
        <v/>
      </c>
      <c r="AU891" t="str">
        <f>IFERROR(ROUND(X891*(W891/$AY891)/VLOOKUP(V891,商品!$A$4:$D$67,4,FALSE),0),"")</f>
        <v/>
      </c>
      <c r="AW891">
        <f t="shared" si="235"/>
        <v>0</v>
      </c>
      <c r="AX891">
        <f t="shared" si="236"/>
        <v>0</v>
      </c>
      <c r="AY891">
        <f t="shared" si="237"/>
        <v>0</v>
      </c>
    </row>
    <row r="892" customHeight="1" spans="1:51">
      <c r="A892" s="18" t="s">
        <v>449</v>
      </c>
      <c r="C892" s="18">
        <v>2</v>
      </c>
      <c r="D892" s="1" t="s">
        <v>220</v>
      </c>
      <c r="E892" s="1" t="s">
        <v>224</v>
      </c>
      <c r="L892" s="18">
        <f>IFERROR(VLOOKUP($D892&amp;$C892,生产方式定位!$A$2:$E$38,2,FALSE)+VLOOKUP($E892&amp;$C892,生产方式定位!$F$3:$J$38,2,FALSE),0)</f>
        <v>1200</v>
      </c>
      <c r="S892" s="18">
        <f>IFERROR(VLOOKUP($D892&amp;$C892,生产方式定位!$A$2:$E$38,3,FALSE)+VLOOKUP($E892&amp;$C892,生产方式定位!$F$3:$J$38,3,FALSE),0)</f>
        <v>100</v>
      </c>
      <c r="X892" s="18">
        <f>IFERROR(VLOOKUP($D892&amp;$C892,生产方式定位!$A$2:$E$38,5,FALSE)+VLOOKUP($E892&amp;$C892,生产方式定位!$F$3:$J$38,5,FALSE),"错误")</f>
        <v>1346</v>
      </c>
      <c r="Y892" s="27" t="str">
        <f t="shared" si="221"/>
        <v/>
      </c>
      <c r="Z892" s="50" t="str">
        <f t="shared" si="224"/>
        <v/>
      </c>
      <c r="AA892" s="50" t="str">
        <f t="shared" si="222"/>
        <v/>
      </c>
      <c r="AB892" s="28" t="str">
        <f t="shared" si="225"/>
        <v>12%</v>
      </c>
      <c r="AC892" s="1">
        <f t="shared" si="226"/>
        <v>46</v>
      </c>
      <c r="AD892" s="52">
        <f t="shared" si="223"/>
        <v>2</v>
      </c>
      <c r="AE892" t="str">
        <f t="shared" si="227"/>
        <v/>
      </c>
      <c r="AF892" t="str">
        <f t="shared" si="228"/>
        <v/>
      </c>
      <c r="AG892" t="str">
        <f t="shared" si="229"/>
        <v/>
      </c>
      <c r="AH892" t="str">
        <f t="shared" si="230"/>
        <v/>
      </c>
      <c r="AI892" t="str">
        <f t="shared" si="231"/>
        <v/>
      </c>
      <c r="AJ892" t="str">
        <f t="shared" si="232"/>
        <v/>
      </c>
      <c r="AK892" t="str">
        <f t="shared" si="233"/>
        <v/>
      </c>
      <c r="AL892" t="str">
        <f t="shared" si="234"/>
        <v/>
      </c>
      <c r="AN892" t="str">
        <f>IFERROR(ROUND(L892*(G892/$AW892)/VLOOKUP(F892,商品!$A$4:$D$67,4,FALSE),0),"")</f>
        <v/>
      </c>
      <c r="AO892" t="str">
        <f>IFERROR(ROUND(L892*(I892/$AW892)/VLOOKUP(H892,商品!$A$4:$D$67,4,FALSE),0),"")</f>
        <v/>
      </c>
      <c r="AP892" t="str">
        <f>IFERROR(ROUND(L892*(K892/$AW892)/VLOOKUP(J892,商品!$A$4:$D$67,4,FALSE),0),"")</f>
        <v/>
      </c>
      <c r="AQ892" t="str">
        <f>IFERROR(ROUND(S892*(N892/$AX892)/VLOOKUP(M892,职业!$A$3:$E$16,4,FALSE),0),"")</f>
        <v/>
      </c>
      <c r="AR892" t="str">
        <f>IFERROR(ROUND(S892*(P892/$AX892)/VLOOKUP(O892,职业!$A$3:$E$16,4,FALSE),0),"")</f>
        <v/>
      </c>
      <c r="AS892" t="str">
        <f>IFERROR(ROUND(S892*(R892/$AX892)/VLOOKUP(Q892,职业!$A$3:$E$16,4,FALSE),0),"")</f>
        <v/>
      </c>
      <c r="AT892" t="str">
        <f>IFERROR(ROUND(X892*(U892/$AY892)/VLOOKUP(T892,商品!$A$4:$D$67,4,FALSE),0),"")</f>
        <v/>
      </c>
      <c r="AU892" t="str">
        <f>IFERROR(ROUND(X892*(W892/$AY892)/VLOOKUP(V892,商品!$A$4:$D$67,4,FALSE),0),"")</f>
        <v/>
      </c>
      <c r="AW892">
        <f t="shared" si="235"/>
        <v>0</v>
      </c>
      <c r="AX892">
        <f t="shared" si="236"/>
        <v>0</v>
      </c>
      <c r="AY892">
        <f t="shared" si="237"/>
        <v>0</v>
      </c>
    </row>
    <row r="893" customHeight="1" spans="1:51">
      <c r="A893" s="18" t="s">
        <v>449</v>
      </c>
      <c r="C893" s="18">
        <v>3</v>
      </c>
      <c r="D893" s="1" t="s">
        <v>220</v>
      </c>
      <c r="E893" s="1" t="s">
        <v>224</v>
      </c>
      <c r="L893" s="18">
        <f>IFERROR(VLOOKUP($D893&amp;$C893,生产方式定位!$A$2:$E$38,2,FALSE)+VLOOKUP($E893&amp;$C893,生产方式定位!$F$3:$J$38,2,FALSE),0)</f>
        <v>1900</v>
      </c>
      <c r="S893" s="18">
        <f>IFERROR(VLOOKUP($D893&amp;$C893,生产方式定位!$A$2:$E$38,3,FALSE)+VLOOKUP($E893&amp;$C893,生产方式定位!$F$3:$J$38,3,FALSE),0)</f>
        <v>70</v>
      </c>
      <c r="X893" s="18">
        <f>IFERROR(VLOOKUP($D893&amp;$C893,生产方式定位!$A$2:$E$38,5,FALSE)+VLOOKUP($E893&amp;$C893,生产方式定位!$F$3:$J$38,5,FALSE),"错误")</f>
        <v>2064</v>
      </c>
      <c r="Y893" s="27" t="str">
        <f t="shared" si="221"/>
        <v/>
      </c>
      <c r="Z893" s="50" t="str">
        <f t="shared" si="224"/>
        <v/>
      </c>
      <c r="AA893" s="50" t="str">
        <f t="shared" si="222"/>
        <v/>
      </c>
      <c r="AB893" s="28" t="str">
        <f t="shared" si="225"/>
        <v>9%</v>
      </c>
      <c r="AC893" s="1">
        <f t="shared" si="226"/>
        <v>94</v>
      </c>
      <c r="AD893" s="52">
        <f t="shared" si="223"/>
        <v>3</v>
      </c>
      <c r="AE893" t="str">
        <f t="shared" si="227"/>
        <v/>
      </c>
      <c r="AF893" t="str">
        <f t="shared" si="228"/>
        <v/>
      </c>
      <c r="AG893" t="str">
        <f t="shared" si="229"/>
        <v/>
      </c>
      <c r="AH893" t="str">
        <f t="shared" si="230"/>
        <v/>
      </c>
      <c r="AI893" t="str">
        <f t="shared" si="231"/>
        <v/>
      </c>
      <c r="AJ893" t="str">
        <f t="shared" si="232"/>
        <v/>
      </c>
      <c r="AK893" t="str">
        <f t="shared" si="233"/>
        <v/>
      </c>
      <c r="AL893" t="str">
        <f t="shared" si="234"/>
        <v/>
      </c>
      <c r="AN893" t="str">
        <f>IFERROR(ROUND(L893*(G893/$AW893)/VLOOKUP(F893,商品!$A$4:$D$67,4,FALSE),0),"")</f>
        <v/>
      </c>
      <c r="AO893" t="str">
        <f>IFERROR(ROUND(L893*(I893/$AW893)/VLOOKUP(H893,商品!$A$4:$D$67,4,FALSE),0),"")</f>
        <v/>
      </c>
      <c r="AP893" t="str">
        <f>IFERROR(ROUND(L893*(K893/$AW893)/VLOOKUP(J893,商品!$A$4:$D$67,4,FALSE),0),"")</f>
        <v/>
      </c>
      <c r="AQ893" t="str">
        <f>IFERROR(ROUND(S893*(N893/$AX893)/VLOOKUP(M893,职业!$A$3:$E$16,4,FALSE),0),"")</f>
        <v/>
      </c>
      <c r="AR893" t="str">
        <f>IFERROR(ROUND(S893*(P893/$AX893)/VLOOKUP(O893,职业!$A$3:$E$16,4,FALSE),0),"")</f>
        <v/>
      </c>
      <c r="AS893" t="str">
        <f>IFERROR(ROUND(S893*(R893/$AX893)/VLOOKUP(Q893,职业!$A$3:$E$16,4,FALSE),0),"")</f>
        <v/>
      </c>
      <c r="AT893" t="str">
        <f>IFERROR(ROUND(X893*(U893/$AY893)/VLOOKUP(T893,商品!$A$4:$D$67,4,FALSE),0),"")</f>
        <v/>
      </c>
      <c r="AU893" t="str">
        <f>IFERROR(ROUND(X893*(W893/$AY893)/VLOOKUP(V893,商品!$A$4:$D$67,4,FALSE),0),"")</f>
        <v/>
      </c>
      <c r="AW893">
        <f t="shared" si="235"/>
        <v>0</v>
      </c>
      <c r="AX893">
        <f t="shared" si="236"/>
        <v>0</v>
      </c>
      <c r="AY893">
        <f t="shared" si="237"/>
        <v>0</v>
      </c>
    </row>
    <row r="894" customHeight="1" spans="1:51">
      <c r="A894" s="18" t="s">
        <v>449</v>
      </c>
      <c r="C894" s="18">
        <v>4</v>
      </c>
      <c r="D894" s="1" t="s">
        <v>220</v>
      </c>
      <c r="E894" s="1" t="s">
        <v>224</v>
      </c>
      <c r="L894" s="18">
        <f>IFERROR(VLOOKUP($D894&amp;$C894,生产方式定位!$A$2:$E$38,2,FALSE)+VLOOKUP($E894&amp;$C894,生产方式定位!$F$3:$J$38,2,FALSE),0)</f>
        <v>2600</v>
      </c>
      <c r="S894" s="18">
        <f>IFERROR(VLOOKUP($D894&amp;$C894,生产方式定位!$A$2:$E$38,3,FALSE)+VLOOKUP($E894&amp;$C894,生产方式定位!$F$3:$J$38,3,FALSE),0)</f>
        <v>40</v>
      </c>
      <c r="X894" s="18">
        <f>IFERROR(VLOOKUP($D894&amp;$C894,生产方式定位!$A$2:$E$38,5,FALSE)+VLOOKUP($E894&amp;$C894,生产方式定位!$F$3:$J$38,5,FALSE),"错误")</f>
        <v>2782</v>
      </c>
      <c r="Y894" s="27" t="str">
        <f t="shared" si="221"/>
        <v/>
      </c>
      <c r="Z894" s="50" t="str">
        <f t="shared" si="224"/>
        <v/>
      </c>
      <c r="AA894" s="50" t="str">
        <f t="shared" si="222"/>
        <v/>
      </c>
      <c r="AB894" s="28" t="str">
        <f t="shared" si="225"/>
        <v>7%</v>
      </c>
      <c r="AC894" s="1">
        <f t="shared" si="226"/>
        <v>142</v>
      </c>
      <c r="AD894" s="52">
        <f t="shared" si="223"/>
        <v>4</v>
      </c>
      <c r="AE894" t="str">
        <f t="shared" si="227"/>
        <v/>
      </c>
      <c r="AF894" t="str">
        <f t="shared" si="228"/>
        <v/>
      </c>
      <c r="AG894" t="str">
        <f t="shared" si="229"/>
        <v/>
      </c>
      <c r="AH894" t="str">
        <f t="shared" si="230"/>
        <v/>
      </c>
      <c r="AI894" t="str">
        <f t="shared" si="231"/>
        <v/>
      </c>
      <c r="AJ894" t="str">
        <f t="shared" si="232"/>
        <v/>
      </c>
      <c r="AK894" t="str">
        <f t="shared" si="233"/>
        <v/>
      </c>
      <c r="AL894" t="str">
        <f t="shared" si="234"/>
        <v/>
      </c>
      <c r="AN894" t="str">
        <f>IFERROR(ROUND(L894*(G894/$AW894)/VLOOKUP(F894,商品!$A$4:$D$67,4,FALSE),0),"")</f>
        <v/>
      </c>
      <c r="AO894" t="str">
        <f>IFERROR(ROUND(L894*(I894/$AW894)/VLOOKUP(H894,商品!$A$4:$D$67,4,FALSE),0),"")</f>
        <v/>
      </c>
      <c r="AP894" t="str">
        <f>IFERROR(ROUND(L894*(K894/$AW894)/VLOOKUP(J894,商品!$A$4:$D$67,4,FALSE),0),"")</f>
        <v/>
      </c>
      <c r="AQ894" t="str">
        <f>IFERROR(ROUND(S894*(N894/$AX894)/VLOOKUP(M894,职业!$A$3:$E$16,4,FALSE),0),"")</f>
        <v/>
      </c>
      <c r="AR894" t="str">
        <f>IFERROR(ROUND(S894*(P894/$AX894)/VLOOKUP(O894,职业!$A$3:$E$16,4,FALSE),0),"")</f>
        <v/>
      </c>
      <c r="AS894" t="str">
        <f>IFERROR(ROUND(S894*(R894/$AX894)/VLOOKUP(Q894,职业!$A$3:$E$16,4,FALSE),0),"")</f>
        <v/>
      </c>
      <c r="AT894" t="str">
        <f>IFERROR(ROUND(X894*(U894/$AY894)/VLOOKUP(T894,商品!$A$4:$D$67,4,FALSE),0),"")</f>
        <v/>
      </c>
      <c r="AU894" t="str">
        <f>IFERROR(ROUND(X894*(W894/$AY894)/VLOOKUP(V894,商品!$A$4:$D$67,4,FALSE),0),"")</f>
        <v/>
      </c>
      <c r="AW894">
        <f t="shared" si="235"/>
        <v>0</v>
      </c>
      <c r="AX894">
        <f t="shared" si="236"/>
        <v>0</v>
      </c>
      <c r="AY894">
        <f t="shared" si="237"/>
        <v>0</v>
      </c>
    </row>
    <row r="895" customHeight="1" spans="1:51">
      <c r="A895" s="18" t="s">
        <v>449</v>
      </c>
      <c r="C895" s="18">
        <v>5</v>
      </c>
      <c r="D895" s="1" t="s">
        <v>220</v>
      </c>
      <c r="E895" s="1" t="s">
        <v>224</v>
      </c>
      <c r="L895" s="18">
        <f>IFERROR(VLOOKUP($D895&amp;$C895,生产方式定位!$A$2:$E$38,2,FALSE)+VLOOKUP($E895&amp;$C895,生产方式定位!$F$3:$J$38,2,FALSE),0)</f>
        <v>3300</v>
      </c>
      <c r="S895" s="18">
        <f>IFERROR(VLOOKUP($D895&amp;$C895,生产方式定位!$A$2:$E$38,3,FALSE)+VLOOKUP($E895&amp;$C895,生产方式定位!$F$3:$J$38,3,FALSE),0)</f>
        <v>10</v>
      </c>
      <c r="X895" s="18">
        <f>IFERROR(VLOOKUP($D895&amp;$C895,生产方式定位!$A$2:$E$38,5,FALSE)+VLOOKUP($E895&amp;$C895,生产方式定位!$F$3:$J$38,5,FALSE),"错误")</f>
        <v>3500</v>
      </c>
      <c r="Y895" s="27" t="str">
        <f t="shared" si="221"/>
        <v/>
      </c>
      <c r="Z895" s="50" t="str">
        <f t="shared" si="224"/>
        <v/>
      </c>
      <c r="AA895" s="50" t="str">
        <f t="shared" si="222"/>
        <v/>
      </c>
      <c r="AB895" s="28" t="str">
        <f t="shared" si="225"/>
        <v>6%</v>
      </c>
      <c r="AC895" s="1">
        <f t="shared" si="226"/>
        <v>190</v>
      </c>
      <c r="AD895" s="52">
        <f t="shared" si="223"/>
        <v>5</v>
      </c>
      <c r="AE895" t="str">
        <f t="shared" si="227"/>
        <v/>
      </c>
      <c r="AF895" t="str">
        <f t="shared" si="228"/>
        <v/>
      </c>
      <c r="AG895" t="str">
        <f t="shared" si="229"/>
        <v/>
      </c>
      <c r="AH895" t="str">
        <f t="shared" si="230"/>
        <v/>
      </c>
      <c r="AI895" t="str">
        <f t="shared" si="231"/>
        <v/>
      </c>
      <c r="AJ895" t="str">
        <f t="shared" si="232"/>
        <v/>
      </c>
      <c r="AK895" t="str">
        <f t="shared" si="233"/>
        <v/>
      </c>
      <c r="AL895" t="str">
        <f t="shared" si="234"/>
        <v/>
      </c>
      <c r="AN895" t="str">
        <f>IFERROR(ROUND(L895*(G895/$AW895)/VLOOKUP(F895,商品!$A$4:$D$67,4,FALSE),0),"")</f>
        <v/>
      </c>
      <c r="AO895" t="str">
        <f>IFERROR(ROUND(L895*(I895/$AW895)/VLOOKUP(H895,商品!$A$4:$D$67,4,FALSE),0),"")</f>
        <v/>
      </c>
      <c r="AP895" t="str">
        <f>IFERROR(ROUND(L895*(K895/$AW895)/VLOOKUP(J895,商品!$A$4:$D$67,4,FALSE),0),"")</f>
        <v/>
      </c>
      <c r="AQ895" t="str">
        <f>IFERROR(ROUND(S895*(N895/$AX895)/VLOOKUP(M895,职业!$A$3:$E$16,4,FALSE),0),"")</f>
        <v/>
      </c>
      <c r="AR895" t="str">
        <f>IFERROR(ROUND(S895*(P895/$AX895)/VLOOKUP(O895,职业!$A$3:$E$16,4,FALSE),0),"")</f>
        <v/>
      </c>
      <c r="AS895" t="str">
        <f>IFERROR(ROUND(S895*(R895/$AX895)/VLOOKUP(Q895,职业!$A$3:$E$16,4,FALSE),0),"")</f>
        <v/>
      </c>
      <c r="AT895" t="str">
        <f>IFERROR(ROUND(X895*(U895/$AY895)/VLOOKUP(T895,商品!$A$4:$D$67,4,FALSE),0),"")</f>
        <v/>
      </c>
      <c r="AU895" t="str">
        <f>IFERROR(ROUND(X895*(W895/$AY895)/VLOOKUP(V895,商品!$A$4:$D$67,4,FALSE),0),"")</f>
        <v/>
      </c>
      <c r="AW895">
        <f t="shared" si="235"/>
        <v>0</v>
      </c>
      <c r="AX895">
        <f t="shared" si="236"/>
        <v>0</v>
      </c>
      <c r="AY895">
        <f t="shared" si="237"/>
        <v>0</v>
      </c>
    </row>
    <row r="896" customHeight="1" spans="1:51">
      <c r="A896" s="5" t="s">
        <v>449</v>
      </c>
      <c r="C896" s="5">
        <v>1</v>
      </c>
      <c r="D896" s="1" t="s">
        <v>220</v>
      </c>
      <c r="E896" s="1" t="s">
        <v>224</v>
      </c>
      <c r="L896" s="5">
        <f>IFERROR(VLOOKUP($D896&amp;$C896,生产方式定位!$A$2:$E$38,2,FALSE)+VLOOKUP($E896&amp;$C896,生产方式定位!$F$3:$J$38,2,FALSE),0)</f>
        <v>500</v>
      </c>
      <c r="S896" s="5">
        <f>IFERROR(VLOOKUP($D896&amp;$C896,生产方式定位!$A$2:$E$38,3,FALSE)+VLOOKUP($E896&amp;$C896,生产方式定位!$F$3:$J$38,3,FALSE),0)</f>
        <v>150</v>
      </c>
      <c r="X896" s="5">
        <f>IFERROR(VLOOKUP($D896&amp;$C896,生产方式定位!$A$2:$E$38,5,FALSE)+VLOOKUP($E896&amp;$C896,生产方式定位!$F$3:$J$38,5,FALSE),"错误")</f>
        <v>715</v>
      </c>
      <c r="Y896" s="27" t="str">
        <f t="shared" si="221"/>
        <v/>
      </c>
      <c r="Z896" s="50" t="str">
        <f t="shared" si="224"/>
        <v/>
      </c>
      <c r="AA896" s="50" t="str">
        <f t="shared" si="222"/>
        <v/>
      </c>
      <c r="AB896" s="28" t="str">
        <f t="shared" si="225"/>
        <v>43%</v>
      </c>
      <c r="AC896" s="1">
        <f t="shared" si="226"/>
        <v>65</v>
      </c>
      <c r="AD896" s="51">
        <f t="shared" si="223"/>
        <v>1</v>
      </c>
      <c r="AE896" t="str">
        <f t="shared" si="227"/>
        <v/>
      </c>
      <c r="AF896" t="str">
        <f t="shared" si="228"/>
        <v/>
      </c>
      <c r="AG896" t="str">
        <f t="shared" si="229"/>
        <v/>
      </c>
      <c r="AH896" t="str">
        <f t="shared" si="230"/>
        <v/>
      </c>
      <c r="AI896" t="str">
        <f t="shared" si="231"/>
        <v/>
      </c>
      <c r="AJ896" t="str">
        <f t="shared" si="232"/>
        <v/>
      </c>
      <c r="AK896" t="str">
        <f t="shared" si="233"/>
        <v/>
      </c>
      <c r="AL896" t="str">
        <f t="shared" si="234"/>
        <v/>
      </c>
      <c r="AN896" t="str">
        <f>IFERROR(ROUND(L896*(G896/$AW896)/VLOOKUP(F896,商品!$A$4:$D$67,4,FALSE),0),"")</f>
        <v/>
      </c>
      <c r="AO896" t="str">
        <f>IFERROR(ROUND(L896*(I896/$AW896)/VLOOKUP(H896,商品!$A$4:$D$67,4,FALSE),0),"")</f>
        <v/>
      </c>
      <c r="AP896" t="str">
        <f>IFERROR(ROUND(L896*(K896/$AW896)/VLOOKUP(J896,商品!$A$4:$D$67,4,FALSE),0),"")</f>
        <v/>
      </c>
      <c r="AQ896" t="str">
        <f>IFERROR(ROUND(S896*(N896/$AX896)/VLOOKUP(M896,职业!$A$3:$E$16,4,FALSE),0),"")</f>
        <v/>
      </c>
      <c r="AR896" t="str">
        <f>IFERROR(ROUND(S896*(P896/$AX896)/VLOOKUP(O896,职业!$A$3:$E$16,4,FALSE),0),"")</f>
        <v/>
      </c>
      <c r="AS896" t="str">
        <f>IFERROR(ROUND(S896*(R896/$AX896)/VLOOKUP(Q896,职业!$A$3:$E$16,4,FALSE),0),"")</f>
        <v/>
      </c>
      <c r="AT896" t="str">
        <f>IFERROR(ROUND(X896*(U896/$AY896)/VLOOKUP(T896,商品!$A$4:$D$67,4,FALSE),0),"")</f>
        <v/>
      </c>
      <c r="AU896" t="str">
        <f>IFERROR(ROUND(X896*(W896/$AY896)/VLOOKUP(V896,商品!$A$4:$D$67,4,FALSE),0),"")</f>
        <v/>
      </c>
      <c r="AW896">
        <f t="shared" si="235"/>
        <v>0</v>
      </c>
      <c r="AX896">
        <f t="shared" si="236"/>
        <v>0</v>
      </c>
      <c r="AY896">
        <f t="shared" si="237"/>
        <v>0</v>
      </c>
    </row>
    <row r="897" customHeight="1" spans="1:51">
      <c r="A897" s="5" t="s">
        <v>449</v>
      </c>
      <c r="C897" s="5">
        <v>2</v>
      </c>
      <c r="D897" s="1" t="s">
        <v>220</v>
      </c>
      <c r="E897" s="1" t="s">
        <v>224</v>
      </c>
      <c r="L897" s="5">
        <f>IFERROR(VLOOKUP($D897&amp;$C897,生产方式定位!$A$2:$E$38,2,FALSE)+VLOOKUP($E897&amp;$C897,生产方式定位!$F$3:$J$38,2,FALSE),0)</f>
        <v>1200</v>
      </c>
      <c r="S897" s="5">
        <f>IFERROR(VLOOKUP($D897&amp;$C897,生产方式定位!$A$2:$E$38,3,FALSE)+VLOOKUP($E897&amp;$C897,生产方式定位!$F$3:$J$38,3,FALSE),0)</f>
        <v>100</v>
      </c>
      <c r="X897" s="5">
        <f>IFERROR(VLOOKUP($D897&amp;$C897,生产方式定位!$A$2:$E$38,5,FALSE)+VLOOKUP($E897&amp;$C897,生产方式定位!$F$3:$J$38,5,FALSE),"错误")</f>
        <v>1346</v>
      </c>
      <c r="Y897" s="27" t="str">
        <f t="shared" si="221"/>
        <v/>
      </c>
      <c r="Z897" s="50" t="str">
        <f t="shared" si="224"/>
        <v/>
      </c>
      <c r="AA897" s="50" t="str">
        <f t="shared" si="222"/>
        <v/>
      </c>
      <c r="AB897" s="28" t="str">
        <f t="shared" si="225"/>
        <v>12%</v>
      </c>
      <c r="AC897" s="1">
        <f t="shared" si="226"/>
        <v>46</v>
      </c>
      <c r="AD897" s="51">
        <f t="shared" si="223"/>
        <v>2</v>
      </c>
      <c r="AE897" t="str">
        <f t="shared" si="227"/>
        <v/>
      </c>
      <c r="AF897" t="str">
        <f t="shared" si="228"/>
        <v/>
      </c>
      <c r="AG897" t="str">
        <f t="shared" si="229"/>
        <v/>
      </c>
      <c r="AH897" t="str">
        <f t="shared" si="230"/>
        <v/>
      </c>
      <c r="AI897" t="str">
        <f t="shared" si="231"/>
        <v/>
      </c>
      <c r="AJ897" t="str">
        <f t="shared" si="232"/>
        <v/>
      </c>
      <c r="AK897" t="str">
        <f t="shared" si="233"/>
        <v/>
      </c>
      <c r="AL897" t="str">
        <f t="shared" si="234"/>
        <v/>
      </c>
      <c r="AN897" t="str">
        <f>IFERROR(ROUND(L897*(G897/$AW897)/VLOOKUP(F897,商品!$A$4:$D$67,4,FALSE),0),"")</f>
        <v/>
      </c>
      <c r="AO897" t="str">
        <f>IFERROR(ROUND(L897*(I897/$AW897)/VLOOKUP(H897,商品!$A$4:$D$67,4,FALSE),0),"")</f>
        <v/>
      </c>
      <c r="AP897" t="str">
        <f>IFERROR(ROUND(L897*(K897/$AW897)/VLOOKUP(J897,商品!$A$4:$D$67,4,FALSE),0),"")</f>
        <v/>
      </c>
      <c r="AQ897" t="str">
        <f>IFERROR(ROUND(S897*(N897/$AX897)/VLOOKUP(M897,职业!$A$3:$E$16,4,FALSE),0),"")</f>
        <v/>
      </c>
      <c r="AR897" t="str">
        <f>IFERROR(ROUND(S897*(P897/$AX897)/VLOOKUP(O897,职业!$A$3:$E$16,4,FALSE),0),"")</f>
        <v/>
      </c>
      <c r="AS897" t="str">
        <f>IFERROR(ROUND(S897*(R897/$AX897)/VLOOKUP(Q897,职业!$A$3:$E$16,4,FALSE),0),"")</f>
        <v/>
      </c>
      <c r="AT897" t="str">
        <f>IFERROR(ROUND(X897*(U897/$AY897)/VLOOKUP(T897,商品!$A$4:$D$67,4,FALSE),0),"")</f>
        <v/>
      </c>
      <c r="AU897" t="str">
        <f>IFERROR(ROUND(X897*(W897/$AY897)/VLOOKUP(V897,商品!$A$4:$D$67,4,FALSE),0),"")</f>
        <v/>
      </c>
      <c r="AW897">
        <f t="shared" si="235"/>
        <v>0</v>
      </c>
      <c r="AX897">
        <f t="shared" si="236"/>
        <v>0</v>
      </c>
      <c r="AY897">
        <f t="shared" si="237"/>
        <v>0</v>
      </c>
    </row>
    <row r="898" customHeight="1" spans="1:51">
      <c r="A898" s="5" t="s">
        <v>449</v>
      </c>
      <c r="C898" s="5">
        <v>3</v>
      </c>
      <c r="D898" s="1" t="s">
        <v>220</v>
      </c>
      <c r="E898" s="1" t="s">
        <v>224</v>
      </c>
      <c r="L898" s="5">
        <f>IFERROR(VLOOKUP($D898&amp;$C898,生产方式定位!$A$2:$E$38,2,FALSE)+VLOOKUP($E898&amp;$C898,生产方式定位!$F$3:$J$38,2,FALSE),0)</f>
        <v>1900</v>
      </c>
      <c r="S898" s="5">
        <f>IFERROR(VLOOKUP($D898&amp;$C898,生产方式定位!$A$2:$E$38,3,FALSE)+VLOOKUP($E898&amp;$C898,生产方式定位!$F$3:$J$38,3,FALSE),0)</f>
        <v>70</v>
      </c>
      <c r="X898" s="5">
        <f>IFERROR(VLOOKUP($D898&amp;$C898,生产方式定位!$A$2:$E$38,5,FALSE)+VLOOKUP($E898&amp;$C898,生产方式定位!$F$3:$J$38,5,FALSE),"错误")</f>
        <v>2064</v>
      </c>
      <c r="Y898" s="27" t="str">
        <f t="shared" si="221"/>
        <v/>
      </c>
      <c r="Z898" s="50" t="str">
        <f t="shared" si="224"/>
        <v/>
      </c>
      <c r="AA898" s="50" t="str">
        <f t="shared" si="222"/>
        <v/>
      </c>
      <c r="AB898" s="28" t="str">
        <f t="shared" si="225"/>
        <v>9%</v>
      </c>
      <c r="AC898" s="1">
        <f t="shared" si="226"/>
        <v>94</v>
      </c>
      <c r="AD898" s="51">
        <f t="shared" si="223"/>
        <v>3</v>
      </c>
      <c r="AE898" t="str">
        <f t="shared" si="227"/>
        <v/>
      </c>
      <c r="AF898" t="str">
        <f t="shared" si="228"/>
        <v/>
      </c>
      <c r="AG898" t="str">
        <f t="shared" si="229"/>
        <v/>
      </c>
      <c r="AH898" t="str">
        <f t="shared" si="230"/>
        <v/>
      </c>
      <c r="AI898" t="str">
        <f t="shared" si="231"/>
        <v/>
      </c>
      <c r="AJ898" t="str">
        <f t="shared" si="232"/>
        <v/>
      </c>
      <c r="AK898" t="str">
        <f t="shared" si="233"/>
        <v/>
      </c>
      <c r="AL898" t="str">
        <f t="shared" si="234"/>
        <v/>
      </c>
      <c r="AN898" t="str">
        <f>IFERROR(ROUND(L898*(G898/$AW898)/VLOOKUP(F898,商品!$A$4:$D$67,4,FALSE),0),"")</f>
        <v/>
      </c>
      <c r="AO898" t="str">
        <f>IFERROR(ROUND(L898*(I898/$AW898)/VLOOKUP(H898,商品!$A$4:$D$67,4,FALSE),0),"")</f>
        <v/>
      </c>
      <c r="AP898" t="str">
        <f>IFERROR(ROUND(L898*(K898/$AW898)/VLOOKUP(J898,商品!$A$4:$D$67,4,FALSE),0),"")</f>
        <v/>
      </c>
      <c r="AQ898" t="str">
        <f>IFERROR(ROUND(S898*(N898/$AX898)/VLOOKUP(M898,职业!$A$3:$E$16,4,FALSE),0),"")</f>
        <v/>
      </c>
      <c r="AR898" t="str">
        <f>IFERROR(ROUND(S898*(P898/$AX898)/VLOOKUP(O898,职业!$A$3:$E$16,4,FALSE),0),"")</f>
        <v/>
      </c>
      <c r="AS898" t="str">
        <f>IFERROR(ROUND(S898*(R898/$AX898)/VLOOKUP(Q898,职业!$A$3:$E$16,4,FALSE),0),"")</f>
        <v/>
      </c>
      <c r="AT898" t="str">
        <f>IFERROR(ROUND(X898*(U898/$AY898)/VLOOKUP(T898,商品!$A$4:$D$67,4,FALSE),0),"")</f>
        <v/>
      </c>
      <c r="AU898" t="str">
        <f>IFERROR(ROUND(X898*(W898/$AY898)/VLOOKUP(V898,商品!$A$4:$D$67,4,FALSE),0),"")</f>
        <v/>
      </c>
      <c r="AW898">
        <f t="shared" si="235"/>
        <v>0</v>
      </c>
      <c r="AX898">
        <f t="shared" si="236"/>
        <v>0</v>
      </c>
      <c r="AY898">
        <f t="shared" si="237"/>
        <v>0</v>
      </c>
    </row>
    <row r="899" customHeight="1" spans="1:51">
      <c r="A899" s="5" t="s">
        <v>449</v>
      </c>
      <c r="C899" s="5">
        <v>4</v>
      </c>
      <c r="D899" s="1" t="s">
        <v>220</v>
      </c>
      <c r="E899" s="1" t="s">
        <v>224</v>
      </c>
      <c r="L899" s="5">
        <f>IFERROR(VLOOKUP($D899&amp;$C899,生产方式定位!$A$2:$E$38,2,FALSE)+VLOOKUP($E899&amp;$C899,生产方式定位!$F$3:$J$38,2,FALSE),0)</f>
        <v>2600</v>
      </c>
      <c r="S899" s="5">
        <f>IFERROR(VLOOKUP($D899&amp;$C899,生产方式定位!$A$2:$E$38,3,FALSE)+VLOOKUP($E899&amp;$C899,生产方式定位!$F$3:$J$38,3,FALSE),0)</f>
        <v>40</v>
      </c>
      <c r="X899" s="5">
        <f>IFERROR(VLOOKUP($D899&amp;$C899,生产方式定位!$A$2:$E$38,5,FALSE)+VLOOKUP($E899&amp;$C899,生产方式定位!$F$3:$J$38,5,FALSE),"错误")</f>
        <v>2782</v>
      </c>
      <c r="Y899" s="27" t="str">
        <f t="shared" si="221"/>
        <v/>
      </c>
      <c r="Z899" s="50" t="str">
        <f t="shared" si="224"/>
        <v/>
      </c>
      <c r="AA899" s="50" t="str">
        <f t="shared" si="222"/>
        <v/>
      </c>
      <c r="AB899" s="28" t="str">
        <f t="shared" si="225"/>
        <v>7%</v>
      </c>
      <c r="AC899" s="1">
        <f t="shared" si="226"/>
        <v>142</v>
      </c>
      <c r="AD899" s="51">
        <f t="shared" si="223"/>
        <v>4</v>
      </c>
      <c r="AE899" t="str">
        <f t="shared" si="227"/>
        <v/>
      </c>
      <c r="AF899" t="str">
        <f t="shared" si="228"/>
        <v/>
      </c>
      <c r="AG899" t="str">
        <f t="shared" si="229"/>
        <v/>
      </c>
      <c r="AH899" t="str">
        <f t="shared" si="230"/>
        <v/>
      </c>
      <c r="AI899" t="str">
        <f t="shared" si="231"/>
        <v/>
      </c>
      <c r="AJ899" t="str">
        <f t="shared" si="232"/>
        <v/>
      </c>
      <c r="AK899" t="str">
        <f t="shared" si="233"/>
        <v/>
      </c>
      <c r="AL899" t="str">
        <f t="shared" si="234"/>
        <v/>
      </c>
      <c r="AN899" t="str">
        <f>IFERROR(ROUND(L899*(G899/$AW899)/VLOOKUP(F899,商品!$A$4:$D$67,4,FALSE),0),"")</f>
        <v/>
      </c>
      <c r="AO899" t="str">
        <f>IFERROR(ROUND(L899*(I899/$AW899)/VLOOKUP(H899,商品!$A$4:$D$67,4,FALSE),0),"")</f>
        <v/>
      </c>
      <c r="AP899" t="str">
        <f>IFERROR(ROUND(L899*(K899/$AW899)/VLOOKUP(J899,商品!$A$4:$D$67,4,FALSE),0),"")</f>
        <v/>
      </c>
      <c r="AQ899" t="str">
        <f>IFERROR(ROUND(S899*(N899/$AX899)/VLOOKUP(M899,职业!$A$3:$E$16,4,FALSE),0),"")</f>
        <v/>
      </c>
      <c r="AR899" t="str">
        <f>IFERROR(ROUND(S899*(P899/$AX899)/VLOOKUP(O899,职业!$A$3:$E$16,4,FALSE),0),"")</f>
        <v/>
      </c>
      <c r="AS899" t="str">
        <f>IFERROR(ROUND(S899*(R899/$AX899)/VLOOKUP(Q899,职业!$A$3:$E$16,4,FALSE),0),"")</f>
        <v/>
      </c>
      <c r="AT899" t="str">
        <f>IFERROR(ROUND(X899*(U899/$AY899)/VLOOKUP(T899,商品!$A$4:$D$67,4,FALSE),0),"")</f>
        <v/>
      </c>
      <c r="AU899" t="str">
        <f>IFERROR(ROUND(X899*(W899/$AY899)/VLOOKUP(V899,商品!$A$4:$D$67,4,FALSE),0),"")</f>
        <v/>
      </c>
      <c r="AW899">
        <f t="shared" si="235"/>
        <v>0</v>
      </c>
      <c r="AX899">
        <f t="shared" si="236"/>
        <v>0</v>
      </c>
      <c r="AY899">
        <f t="shared" si="237"/>
        <v>0</v>
      </c>
    </row>
    <row r="900" customHeight="1" spans="1:51">
      <c r="A900" s="5" t="s">
        <v>449</v>
      </c>
      <c r="C900" s="5">
        <v>5</v>
      </c>
      <c r="D900" s="1" t="s">
        <v>220</v>
      </c>
      <c r="E900" s="1" t="s">
        <v>224</v>
      </c>
      <c r="L900" s="5">
        <f>IFERROR(VLOOKUP($D900&amp;$C900,生产方式定位!$A$2:$E$38,2,FALSE)+VLOOKUP($E900&amp;$C900,生产方式定位!$F$3:$J$38,2,FALSE),0)</f>
        <v>3300</v>
      </c>
      <c r="S900" s="5">
        <f>IFERROR(VLOOKUP($D900&amp;$C900,生产方式定位!$A$2:$E$38,3,FALSE)+VLOOKUP($E900&amp;$C900,生产方式定位!$F$3:$J$38,3,FALSE),0)</f>
        <v>10</v>
      </c>
      <c r="X900" s="5">
        <f>IFERROR(VLOOKUP($D900&amp;$C900,生产方式定位!$A$2:$E$38,5,FALSE)+VLOOKUP($E900&amp;$C900,生产方式定位!$F$3:$J$38,5,FALSE),"错误")</f>
        <v>3500</v>
      </c>
      <c r="Y900" s="27" t="str">
        <f t="shared" si="221"/>
        <v/>
      </c>
      <c r="Z900" s="50" t="str">
        <f t="shared" si="224"/>
        <v/>
      </c>
      <c r="AA900" s="50" t="str">
        <f t="shared" si="222"/>
        <v/>
      </c>
      <c r="AB900" s="28" t="str">
        <f t="shared" si="225"/>
        <v>6%</v>
      </c>
      <c r="AC900" s="1">
        <f t="shared" si="226"/>
        <v>190</v>
      </c>
      <c r="AD900" s="51">
        <f t="shared" si="223"/>
        <v>5</v>
      </c>
      <c r="AE900" t="str">
        <f t="shared" si="227"/>
        <v/>
      </c>
      <c r="AF900" t="str">
        <f t="shared" si="228"/>
        <v/>
      </c>
      <c r="AG900" t="str">
        <f t="shared" si="229"/>
        <v/>
      </c>
      <c r="AH900" t="str">
        <f t="shared" si="230"/>
        <v/>
      </c>
      <c r="AI900" t="str">
        <f t="shared" si="231"/>
        <v/>
      </c>
      <c r="AJ900" t="str">
        <f t="shared" si="232"/>
        <v/>
      </c>
      <c r="AK900" t="str">
        <f t="shared" si="233"/>
        <v/>
      </c>
      <c r="AL900" t="str">
        <f t="shared" si="234"/>
        <v/>
      </c>
      <c r="AN900" t="str">
        <f>IFERROR(ROUND(L900*(G900/$AW900)/VLOOKUP(F900,商品!$A$4:$D$67,4,FALSE),0),"")</f>
        <v/>
      </c>
      <c r="AO900" t="str">
        <f>IFERROR(ROUND(L900*(I900/$AW900)/VLOOKUP(H900,商品!$A$4:$D$67,4,FALSE),0),"")</f>
        <v/>
      </c>
      <c r="AP900" t="str">
        <f>IFERROR(ROUND(L900*(K900/$AW900)/VLOOKUP(J900,商品!$A$4:$D$67,4,FALSE),0),"")</f>
        <v/>
      </c>
      <c r="AQ900" t="str">
        <f>IFERROR(ROUND(S900*(N900/$AX900)/VLOOKUP(M900,职业!$A$3:$E$16,4,FALSE),0),"")</f>
        <v/>
      </c>
      <c r="AR900" t="str">
        <f>IFERROR(ROUND(S900*(P900/$AX900)/VLOOKUP(O900,职业!$A$3:$E$16,4,FALSE),0),"")</f>
        <v/>
      </c>
      <c r="AS900" t="str">
        <f>IFERROR(ROUND(S900*(R900/$AX900)/VLOOKUP(Q900,职业!$A$3:$E$16,4,FALSE),0),"")</f>
        <v/>
      </c>
      <c r="AT900" t="str">
        <f>IFERROR(ROUND(X900*(U900/$AY900)/VLOOKUP(T900,商品!$A$4:$D$67,4,FALSE),0),"")</f>
        <v/>
      </c>
      <c r="AU900" t="str">
        <f>IFERROR(ROUND(X900*(W900/$AY900)/VLOOKUP(V900,商品!$A$4:$D$67,4,FALSE),0),"")</f>
        <v/>
      </c>
      <c r="AW900">
        <f t="shared" si="235"/>
        <v>0</v>
      </c>
      <c r="AX900">
        <f t="shared" si="236"/>
        <v>0</v>
      </c>
      <c r="AY900">
        <f t="shared" si="237"/>
        <v>0</v>
      </c>
    </row>
    <row r="901" customHeight="1" spans="1:51">
      <c r="A901" s="18" t="s">
        <v>450</v>
      </c>
      <c r="C901" s="18">
        <v>1</v>
      </c>
      <c r="D901" s="1" t="s">
        <v>291</v>
      </c>
      <c r="E901" s="1" t="s">
        <v>225</v>
      </c>
      <c r="L901" s="18">
        <f>IFERROR(VLOOKUP($D901&amp;$C901,生产方式定位!$A$2:$E$38,2,FALSE)+VLOOKUP($E901&amp;$C901,生产方式定位!$F$3:$J$38,2,FALSE),0)</f>
        <v>0</v>
      </c>
      <c r="S901" s="18">
        <f>IFERROR(VLOOKUP($D901&amp;$C901,生产方式定位!$A$2:$E$38,3,FALSE)+VLOOKUP($E901&amp;$C901,生产方式定位!$F$3:$J$38,3,FALSE),0)</f>
        <v>100</v>
      </c>
      <c r="X901" s="18">
        <f>IFERROR(VLOOKUP($D901&amp;$C901,生产方式定位!$A$2:$E$38,5,FALSE)+VLOOKUP($E901&amp;$C901,生产方式定位!$F$3:$J$38,5,FALSE),"错误")</f>
        <v>100</v>
      </c>
      <c r="Y901" s="27" t="str">
        <f t="shared" ref="Y901:Y964" si="238">IF(AE901="","",AE901)&amp;IF(AF901="","",","&amp;AF901)&amp;IF(AG901="","",","&amp;AG901)</f>
        <v/>
      </c>
      <c r="Z901" s="50" t="str">
        <f t="shared" si="224"/>
        <v/>
      </c>
      <c r="AA901" s="50" t="str">
        <f t="shared" ref="AA901:AA964" si="239">IF(AK901="","",AK901)&amp;IF(AL901="","",","&amp;AL901)</f>
        <v/>
      </c>
      <c r="AB901" s="28" t="str">
        <f t="shared" si="225"/>
        <v/>
      </c>
      <c r="AC901" s="1" t="str">
        <f t="shared" si="226"/>
        <v/>
      </c>
      <c r="AD901" s="52">
        <f t="shared" ref="AD901:AD964" si="240">C901</f>
        <v>1</v>
      </c>
      <c r="AE901" t="str">
        <f t="shared" si="227"/>
        <v/>
      </c>
      <c r="AF901" t="str">
        <f t="shared" si="228"/>
        <v/>
      </c>
      <c r="AG901" t="str">
        <f t="shared" si="229"/>
        <v/>
      </c>
      <c r="AH901" t="str">
        <f t="shared" si="230"/>
        <v/>
      </c>
      <c r="AI901" t="str">
        <f t="shared" si="231"/>
        <v/>
      </c>
      <c r="AJ901" t="str">
        <f t="shared" si="232"/>
        <v/>
      </c>
      <c r="AK901" t="str">
        <f t="shared" si="233"/>
        <v/>
      </c>
      <c r="AL901" t="str">
        <f t="shared" si="234"/>
        <v/>
      </c>
      <c r="AN901" t="str">
        <f>IFERROR(ROUND(L901*(G901/$AW901)/VLOOKUP(F901,商品!$A$4:$D$67,4,FALSE),0),"")</f>
        <v/>
      </c>
      <c r="AO901" t="str">
        <f>IFERROR(ROUND(L901*(I901/$AW901)/VLOOKUP(H901,商品!$A$4:$D$67,4,FALSE),0),"")</f>
        <v/>
      </c>
      <c r="AP901" t="str">
        <f>IFERROR(ROUND(L901*(K901/$AW901)/VLOOKUP(J901,商品!$A$4:$D$67,4,FALSE),0),"")</f>
        <v/>
      </c>
      <c r="AQ901" t="str">
        <f>IFERROR(ROUND(S901*(N901/$AX901)/VLOOKUP(M901,职业!$A$3:$E$16,4,FALSE),0),"")</f>
        <v/>
      </c>
      <c r="AR901" t="str">
        <f>IFERROR(ROUND(S901*(P901/$AX901)/VLOOKUP(O901,职业!$A$3:$E$16,4,FALSE),0),"")</f>
        <v/>
      </c>
      <c r="AS901" t="str">
        <f>IFERROR(ROUND(S901*(R901/$AX901)/VLOOKUP(Q901,职业!$A$3:$E$16,4,FALSE),0),"")</f>
        <v/>
      </c>
      <c r="AT901" t="str">
        <f>IFERROR(ROUND(X901*(U901/$AY901)/VLOOKUP(T901,商品!$A$4:$D$67,4,FALSE),0),"")</f>
        <v/>
      </c>
      <c r="AU901" t="str">
        <f>IFERROR(ROUND(X901*(W901/$AY901)/VLOOKUP(V901,商品!$A$4:$D$67,4,FALSE),0),"")</f>
        <v/>
      </c>
      <c r="AW901">
        <f t="shared" si="235"/>
        <v>0</v>
      </c>
      <c r="AX901">
        <f t="shared" si="236"/>
        <v>0</v>
      </c>
      <c r="AY901">
        <f t="shared" si="237"/>
        <v>0</v>
      </c>
    </row>
    <row r="902" customHeight="1" spans="1:51">
      <c r="A902" s="18" t="s">
        <v>450</v>
      </c>
      <c r="C902" s="18">
        <v>2</v>
      </c>
      <c r="D902" s="1" t="s">
        <v>291</v>
      </c>
      <c r="E902" s="1" t="s">
        <v>225</v>
      </c>
      <c r="L902" s="18">
        <f>IFERROR(VLOOKUP($D902&amp;$C902,生产方式定位!$A$2:$E$38,2,FALSE)+VLOOKUP($E902&amp;$C902,生产方式定位!$F$3:$J$38,2,FALSE),0)</f>
        <v>0</v>
      </c>
      <c r="S902" s="18">
        <f>IFERROR(VLOOKUP($D902&amp;$C902,生产方式定位!$A$2:$E$38,3,FALSE)+VLOOKUP($E902&amp;$C902,生产方式定位!$F$3:$J$38,3,FALSE),0)</f>
        <v>100</v>
      </c>
      <c r="X902" s="18">
        <f>IFERROR(VLOOKUP($D902&amp;$C902,生产方式定位!$A$2:$E$38,5,FALSE)+VLOOKUP($E902&amp;$C902,生产方式定位!$F$3:$J$38,5,FALSE),"错误")</f>
        <v>100</v>
      </c>
      <c r="Y902" s="27" t="str">
        <f t="shared" si="238"/>
        <v/>
      </c>
      <c r="Z902" s="50" t="str">
        <f t="shared" ref="Z902:Z965" si="241">IF(AH902="","",AH902)&amp;IF(AI902="","",","&amp;AI902)&amp;IF(AJ902="","",","&amp;AJ902)</f>
        <v/>
      </c>
      <c r="AA902" s="50" t="str">
        <f t="shared" si="239"/>
        <v/>
      </c>
      <c r="AB902" s="28" t="str">
        <f t="shared" ref="AB902:AB965" si="242">IFERROR(ROUND(((X902/L902)-1)*100,0)&amp;"%","")</f>
        <v/>
      </c>
      <c r="AC902" s="1" t="str">
        <f t="shared" ref="AC902:AC965" si="243">IF(X902-S902-L902=0,"",X902-S902-L902)</f>
        <v/>
      </c>
      <c r="AD902" s="52">
        <f t="shared" si="240"/>
        <v>2</v>
      </c>
      <c r="AE902" t="str">
        <f t="shared" ref="AE902:AE965" si="244">IF(AN902="","",F902&amp;"*"&amp;AN902)</f>
        <v/>
      </c>
      <c r="AF902" t="str">
        <f t="shared" ref="AF902:AF965" si="245">IF(AO902="","",H902&amp;"*"&amp;AO902)</f>
        <v/>
      </c>
      <c r="AG902" t="str">
        <f t="shared" ref="AG902:AG965" si="246">IF(AP902="","",J902&amp;"*"&amp;AP902)</f>
        <v/>
      </c>
      <c r="AH902" t="str">
        <f t="shared" ref="AH902:AH965" si="247">IF(AQ902="","",M902&amp;"*"&amp;AQ902)</f>
        <v/>
      </c>
      <c r="AI902" t="str">
        <f t="shared" ref="AI902:AI965" si="248">IF(AR902="","",O902&amp;"*"&amp;AR902)</f>
        <v/>
      </c>
      <c r="AJ902" t="str">
        <f t="shared" ref="AJ902:AJ965" si="249">IF(AS902="","",Q902&amp;"*"&amp;AS902)</f>
        <v/>
      </c>
      <c r="AK902" t="str">
        <f t="shared" ref="AK902:AK965" si="250">IF(AT902="","",T902&amp;"*"&amp;AT902)</f>
        <v/>
      </c>
      <c r="AL902" t="str">
        <f t="shared" ref="AL902:AL965" si="251">IF(AU902="","",V902&amp;"*"&amp;AU902)</f>
        <v/>
      </c>
      <c r="AN902" t="str">
        <f>IFERROR(ROUND(L902*(G902/$AW902)/VLOOKUP(F902,商品!$A$4:$D$67,4,FALSE),0),"")</f>
        <v/>
      </c>
      <c r="AO902" t="str">
        <f>IFERROR(ROUND(L902*(I902/$AW902)/VLOOKUP(H902,商品!$A$4:$D$67,4,FALSE),0),"")</f>
        <v/>
      </c>
      <c r="AP902" t="str">
        <f>IFERROR(ROUND(L902*(K902/$AW902)/VLOOKUP(J902,商品!$A$4:$D$67,4,FALSE),0),"")</f>
        <v/>
      </c>
      <c r="AQ902" t="str">
        <f>IFERROR(ROUND(S902*(N902/$AX902)/VLOOKUP(M902,职业!$A$3:$E$16,4,FALSE),0),"")</f>
        <v/>
      </c>
      <c r="AR902" t="str">
        <f>IFERROR(ROUND(S902*(P902/$AX902)/VLOOKUP(O902,职业!$A$3:$E$16,4,FALSE),0),"")</f>
        <v/>
      </c>
      <c r="AS902" t="str">
        <f>IFERROR(ROUND(S902*(R902/$AX902)/VLOOKUP(Q902,职业!$A$3:$E$16,4,FALSE),0),"")</f>
        <v/>
      </c>
      <c r="AT902" t="str">
        <f>IFERROR(ROUND(X902*(U902/$AY902)/VLOOKUP(T902,商品!$A$4:$D$67,4,FALSE),0),"")</f>
        <v/>
      </c>
      <c r="AU902" t="str">
        <f>IFERROR(ROUND(X902*(W902/$AY902)/VLOOKUP(V902,商品!$A$4:$D$67,4,FALSE),0),"")</f>
        <v/>
      </c>
      <c r="AW902">
        <f t="shared" ref="AW902:AW965" si="252">G902+I902+K902</f>
        <v>0</v>
      </c>
      <c r="AX902">
        <f t="shared" ref="AX902:AX965" si="253">ABS(N902)+ABS(P902)+ABS(R902)</f>
        <v>0</v>
      </c>
      <c r="AY902">
        <f t="shared" ref="AY902:AY965" si="254">U902+W902</f>
        <v>0</v>
      </c>
    </row>
    <row r="903" customHeight="1" spans="1:51">
      <c r="A903" s="18" t="s">
        <v>450</v>
      </c>
      <c r="C903" s="18">
        <v>3</v>
      </c>
      <c r="D903" s="1" t="s">
        <v>291</v>
      </c>
      <c r="E903" s="1" t="s">
        <v>225</v>
      </c>
      <c r="L903" s="18">
        <f>IFERROR(VLOOKUP($D903&amp;$C903,生产方式定位!$A$2:$E$38,2,FALSE)+VLOOKUP($E903&amp;$C903,生产方式定位!$F$3:$J$38,2,FALSE),0)</f>
        <v>0</v>
      </c>
      <c r="S903" s="18">
        <f>IFERROR(VLOOKUP($D903&amp;$C903,生产方式定位!$A$2:$E$38,3,FALSE)+VLOOKUP($E903&amp;$C903,生产方式定位!$F$3:$J$38,3,FALSE),0)</f>
        <v>100</v>
      </c>
      <c r="X903" s="18">
        <f>IFERROR(VLOOKUP($D903&amp;$C903,生产方式定位!$A$2:$E$38,5,FALSE)+VLOOKUP($E903&amp;$C903,生产方式定位!$F$3:$J$38,5,FALSE),"错误")</f>
        <v>100</v>
      </c>
      <c r="Y903" s="27" t="str">
        <f t="shared" si="238"/>
        <v/>
      </c>
      <c r="Z903" s="50" t="str">
        <f t="shared" si="241"/>
        <v/>
      </c>
      <c r="AA903" s="50" t="str">
        <f t="shared" si="239"/>
        <v/>
      </c>
      <c r="AB903" s="28" t="str">
        <f t="shared" si="242"/>
        <v/>
      </c>
      <c r="AC903" s="1" t="str">
        <f t="shared" si="243"/>
        <v/>
      </c>
      <c r="AD903" s="52">
        <f t="shared" si="240"/>
        <v>3</v>
      </c>
      <c r="AE903" t="str">
        <f t="shared" si="244"/>
        <v/>
      </c>
      <c r="AF903" t="str">
        <f t="shared" si="245"/>
        <v/>
      </c>
      <c r="AG903" t="str">
        <f t="shared" si="246"/>
        <v/>
      </c>
      <c r="AH903" t="str">
        <f t="shared" si="247"/>
        <v/>
      </c>
      <c r="AI903" t="str">
        <f t="shared" si="248"/>
        <v/>
      </c>
      <c r="AJ903" t="str">
        <f t="shared" si="249"/>
        <v/>
      </c>
      <c r="AK903" t="str">
        <f t="shared" si="250"/>
        <v/>
      </c>
      <c r="AL903" t="str">
        <f t="shared" si="251"/>
        <v/>
      </c>
      <c r="AN903" t="str">
        <f>IFERROR(ROUND(L903*(G903/$AW903)/VLOOKUP(F903,商品!$A$4:$D$67,4,FALSE),0),"")</f>
        <v/>
      </c>
      <c r="AO903" t="str">
        <f>IFERROR(ROUND(L903*(I903/$AW903)/VLOOKUP(H903,商品!$A$4:$D$67,4,FALSE),0),"")</f>
        <v/>
      </c>
      <c r="AP903" t="str">
        <f>IFERROR(ROUND(L903*(K903/$AW903)/VLOOKUP(J903,商品!$A$4:$D$67,4,FALSE),0),"")</f>
        <v/>
      </c>
      <c r="AQ903" t="str">
        <f>IFERROR(ROUND(S903*(N903/$AX903)/VLOOKUP(M903,职业!$A$3:$E$16,4,FALSE),0),"")</f>
        <v/>
      </c>
      <c r="AR903" t="str">
        <f>IFERROR(ROUND(S903*(P903/$AX903)/VLOOKUP(O903,职业!$A$3:$E$16,4,FALSE),0),"")</f>
        <v/>
      </c>
      <c r="AS903" t="str">
        <f>IFERROR(ROUND(S903*(R903/$AX903)/VLOOKUP(Q903,职业!$A$3:$E$16,4,FALSE),0),"")</f>
        <v/>
      </c>
      <c r="AT903" t="str">
        <f>IFERROR(ROUND(X903*(U903/$AY903)/VLOOKUP(T903,商品!$A$4:$D$67,4,FALSE),0),"")</f>
        <v/>
      </c>
      <c r="AU903" t="str">
        <f>IFERROR(ROUND(X903*(W903/$AY903)/VLOOKUP(V903,商品!$A$4:$D$67,4,FALSE),0),"")</f>
        <v/>
      </c>
      <c r="AW903">
        <f t="shared" si="252"/>
        <v>0</v>
      </c>
      <c r="AX903">
        <f t="shared" si="253"/>
        <v>0</v>
      </c>
      <c r="AY903">
        <f t="shared" si="254"/>
        <v>0</v>
      </c>
    </row>
    <row r="904" customHeight="1" spans="1:51">
      <c r="A904" s="18" t="s">
        <v>450</v>
      </c>
      <c r="C904" s="18">
        <v>4</v>
      </c>
      <c r="D904" s="1" t="s">
        <v>291</v>
      </c>
      <c r="E904" s="1" t="s">
        <v>225</v>
      </c>
      <c r="L904" s="18">
        <f>IFERROR(VLOOKUP($D904&amp;$C904,生产方式定位!$A$2:$E$38,2,FALSE)+VLOOKUP($E904&amp;$C904,生产方式定位!$F$3:$J$38,2,FALSE),0)</f>
        <v>0</v>
      </c>
      <c r="S904" s="18">
        <f>IFERROR(VLOOKUP($D904&amp;$C904,生产方式定位!$A$2:$E$38,3,FALSE)+VLOOKUP($E904&amp;$C904,生产方式定位!$F$3:$J$38,3,FALSE),0)</f>
        <v>100</v>
      </c>
      <c r="X904" s="18">
        <f>IFERROR(VLOOKUP($D904&amp;$C904,生产方式定位!$A$2:$E$38,5,FALSE)+VLOOKUP($E904&amp;$C904,生产方式定位!$F$3:$J$38,5,FALSE),"错误")</f>
        <v>100</v>
      </c>
      <c r="Y904" s="27" t="str">
        <f t="shared" si="238"/>
        <v/>
      </c>
      <c r="Z904" s="50" t="str">
        <f t="shared" si="241"/>
        <v/>
      </c>
      <c r="AA904" s="50" t="str">
        <f t="shared" si="239"/>
        <v/>
      </c>
      <c r="AB904" s="28" t="str">
        <f t="shared" si="242"/>
        <v/>
      </c>
      <c r="AC904" s="1" t="str">
        <f t="shared" si="243"/>
        <v/>
      </c>
      <c r="AD904" s="52">
        <f t="shared" si="240"/>
        <v>4</v>
      </c>
      <c r="AE904" t="str">
        <f t="shared" si="244"/>
        <v/>
      </c>
      <c r="AF904" t="str">
        <f t="shared" si="245"/>
        <v/>
      </c>
      <c r="AG904" t="str">
        <f t="shared" si="246"/>
        <v/>
      </c>
      <c r="AH904" t="str">
        <f t="shared" si="247"/>
        <v/>
      </c>
      <c r="AI904" t="str">
        <f t="shared" si="248"/>
        <v/>
      </c>
      <c r="AJ904" t="str">
        <f t="shared" si="249"/>
        <v/>
      </c>
      <c r="AK904" t="str">
        <f t="shared" si="250"/>
        <v/>
      </c>
      <c r="AL904" t="str">
        <f t="shared" si="251"/>
        <v/>
      </c>
      <c r="AN904" t="str">
        <f>IFERROR(ROUND(L904*(G904/$AW904)/VLOOKUP(F904,商品!$A$4:$D$67,4,FALSE),0),"")</f>
        <v/>
      </c>
      <c r="AO904" t="str">
        <f>IFERROR(ROUND(L904*(I904/$AW904)/VLOOKUP(H904,商品!$A$4:$D$67,4,FALSE),0),"")</f>
        <v/>
      </c>
      <c r="AP904" t="str">
        <f>IFERROR(ROUND(L904*(K904/$AW904)/VLOOKUP(J904,商品!$A$4:$D$67,4,FALSE),0),"")</f>
        <v/>
      </c>
      <c r="AQ904" t="str">
        <f>IFERROR(ROUND(S904*(N904/$AX904)/VLOOKUP(M904,职业!$A$3:$E$16,4,FALSE),0),"")</f>
        <v/>
      </c>
      <c r="AR904" t="str">
        <f>IFERROR(ROUND(S904*(P904/$AX904)/VLOOKUP(O904,职业!$A$3:$E$16,4,FALSE),0),"")</f>
        <v/>
      </c>
      <c r="AS904" t="str">
        <f>IFERROR(ROUND(S904*(R904/$AX904)/VLOOKUP(Q904,职业!$A$3:$E$16,4,FALSE),0),"")</f>
        <v/>
      </c>
      <c r="AT904" t="str">
        <f>IFERROR(ROUND(X904*(U904/$AY904)/VLOOKUP(T904,商品!$A$4:$D$67,4,FALSE),0),"")</f>
        <v/>
      </c>
      <c r="AU904" t="str">
        <f>IFERROR(ROUND(X904*(W904/$AY904)/VLOOKUP(V904,商品!$A$4:$D$67,4,FALSE),0),"")</f>
        <v/>
      </c>
      <c r="AW904">
        <f t="shared" si="252"/>
        <v>0</v>
      </c>
      <c r="AX904">
        <f t="shared" si="253"/>
        <v>0</v>
      </c>
      <c r="AY904">
        <f t="shared" si="254"/>
        <v>0</v>
      </c>
    </row>
    <row r="905" customHeight="1" spans="1:51">
      <c r="A905" s="18" t="s">
        <v>450</v>
      </c>
      <c r="C905" s="18">
        <v>5</v>
      </c>
      <c r="D905" s="1" t="s">
        <v>291</v>
      </c>
      <c r="E905" s="1" t="s">
        <v>225</v>
      </c>
      <c r="L905" s="18">
        <f>IFERROR(VLOOKUP($D905&amp;$C905,生产方式定位!$A$2:$E$38,2,FALSE)+VLOOKUP($E905&amp;$C905,生产方式定位!$F$3:$J$38,2,FALSE),0)</f>
        <v>0</v>
      </c>
      <c r="S905" s="18">
        <f>IFERROR(VLOOKUP($D905&amp;$C905,生产方式定位!$A$2:$E$38,3,FALSE)+VLOOKUP($E905&amp;$C905,生产方式定位!$F$3:$J$38,3,FALSE),0)</f>
        <v>100</v>
      </c>
      <c r="X905" s="18">
        <f>IFERROR(VLOOKUP($D905&amp;$C905,生产方式定位!$A$2:$E$38,5,FALSE)+VLOOKUP($E905&amp;$C905,生产方式定位!$F$3:$J$38,5,FALSE),"错误")</f>
        <v>100</v>
      </c>
      <c r="Y905" s="27" t="str">
        <f t="shared" si="238"/>
        <v/>
      </c>
      <c r="Z905" s="50" t="str">
        <f t="shared" si="241"/>
        <v/>
      </c>
      <c r="AA905" s="50" t="str">
        <f t="shared" si="239"/>
        <v/>
      </c>
      <c r="AB905" s="28" t="str">
        <f t="shared" si="242"/>
        <v/>
      </c>
      <c r="AC905" s="1" t="str">
        <f t="shared" si="243"/>
        <v/>
      </c>
      <c r="AD905" s="52">
        <f t="shared" si="240"/>
        <v>5</v>
      </c>
      <c r="AE905" t="str">
        <f t="shared" si="244"/>
        <v/>
      </c>
      <c r="AF905" t="str">
        <f t="shared" si="245"/>
        <v/>
      </c>
      <c r="AG905" t="str">
        <f t="shared" si="246"/>
        <v/>
      </c>
      <c r="AH905" t="str">
        <f t="shared" si="247"/>
        <v/>
      </c>
      <c r="AI905" t="str">
        <f t="shared" si="248"/>
        <v/>
      </c>
      <c r="AJ905" t="str">
        <f t="shared" si="249"/>
        <v/>
      </c>
      <c r="AK905" t="str">
        <f t="shared" si="250"/>
        <v/>
      </c>
      <c r="AL905" t="str">
        <f t="shared" si="251"/>
        <v/>
      </c>
      <c r="AN905" t="str">
        <f>IFERROR(ROUND(L905*(G905/$AW905)/VLOOKUP(F905,商品!$A$4:$D$67,4,FALSE),0),"")</f>
        <v/>
      </c>
      <c r="AO905" t="str">
        <f>IFERROR(ROUND(L905*(I905/$AW905)/VLOOKUP(H905,商品!$A$4:$D$67,4,FALSE),0),"")</f>
        <v/>
      </c>
      <c r="AP905" t="str">
        <f>IFERROR(ROUND(L905*(K905/$AW905)/VLOOKUP(J905,商品!$A$4:$D$67,4,FALSE),0),"")</f>
        <v/>
      </c>
      <c r="AQ905" t="str">
        <f>IFERROR(ROUND(S905*(N905/$AX905)/VLOOKUP(M905,职业!$A$3:$E$16,4,FALSE),0),"")</f>
        <v/>
      </c>
      <c r="AR905" t="str">
        <f>IFERROR(ROUND(S905*(P905/$AX905)/VLOOKUP(O905,职业!$A$3:$E$16,4,FALSE),0),"")</f>
        <v/>
      </c>
      <c r="AS905" t="str">
        <f>IFERROR(ROUND(S905*(R905/$AX905)/VLOOKUP(Q905,职业!$A$3:$E$16,4,FALSE),0),"")</f>
        <v/>
      </c>
      <c r="AT905" t="str">
        <f>IFERROR(ROUND(X905*(U905/$AY905)/VLOOKUP(T905,商品!$A$4:$D$67,4,FALSE),0),"")</f>
        <v/>
      </c>
      <c r="AU905" t="str">
        <f>IFERROR(ROUND(X905*(W905/$AY905)/VLOOKUP(V905,商品!$A$4:$D$67,4,FALSE),0),"")</f>
        <v/>
      </c>
      <c r="AW905">
        <f t="shared" si="252"/>
        <v>0</v>
      </c>
      <c r="AX905">
        <f t="shared" si="253"/>
        <v>0</v>
      </c>
      <c r="AY905">
        <f t="shared" si="254"/>
        <v>0</v>
      </c>
    </row>
    <row r="906" customHeight="1" spans="1:51">
      <c r="A906" s="18" t="s">
        <v>450</v>
      </c>
      <c r="C906" s="18">
        <v>6</v>
      </c>
      <c r="D906" s="1" t="s">
        <v>291</v>
      </c>
      <c r="E906" s="1" t="s">
        <v>225</v>
      </c>
      <c r="L906" s="18">
        <f>IFERROR(VLOOKUP($D906&amp;$C906,生产方式定位!$A$2:$E$38,2,FALSE)+VLOOKUP($E906&amp;$C906,生产方式定位!$F$3:$J$38,2,FALSE),0)</f>
        <v>0</v>
      </c>
      <c r="S906" s="18">
        <f>IFERROR(VLOOKUP($D906&amp;$C906,生产方式定位!$A$2:$E$38,3,FALSE)+VLOOKUP($E906&amp;$C906,生产方式定位!$F$3:$J$38,3,FALSE),0)</f>
        <v>100</v>
      </c>
      <c r="X906" s="18">
        <f>IFERROR(VLOOKUP($D906&amp;$C906,生产方式定位!$A$2:$E$38,5,FALSE)+VLOOKUP($E906&amp;$C906,生产方式定位!$F$3:$J$38,5,FALSE),"错误")</f>
        <v>100</v>
      </c>
      <c r="Y906" s="27" t="str">
        <f t="shared" si="238"/>
        <v/>
      </c>
      <c r="Z906" s="50" t="str">
        <f t="shared" si="241"/>
        <v/>
      </c>
      <c r="AA906" s="50" t="str">
        <f t="shared" si="239"/>
        <v/>
      </c>
      <c r="AB906" s="28" t="str">
        <f t="shared" si="242"/>
        <v/>
      </c>
      <c r="AC906" s="1" t="str">
        <f t="shared" si="243"/>
        <v/>
      </c>
      <c r="AD906" s="52">
        <f t="shared" si="240"/>
        <v>6</v>
      </c>
      <c r="AE906" t="str">
        <f t="shared" si="244"/>
        <v/>
      </c>
      <c r="AF906" t="str">
        <f t="shared" si="245"/>
        <v/>
      </c>
      <c r="AG906" t="str">
        <f t="shared" si="246"/>
        <v/>
      </c>
      <c r="AH906" t="str">
        <f t="shared" si="247"/>
        <v/>
      </c>
      <c r="AI906" t="str">
        <f t="shared" si="248"/>
        <v/>
      </c>
      <c r="AJ906" t="str">
        <f t="shared" si="249"/>
        <v/>
      </c>
      <c r="AK906" t="str">
        <f t="shared" si="250"/>
        <v/>
      </c>
      <c r="AL906" t="str">
        <f t="shared" si="251"/>
        <v/>
      </c>
      <c r="AN906" t="str">
        <f>IFERROR(ROUND(L906*(G906/$AW906)/VLOOKUP(F906,商品!$A$4:$D$67,4,FALSE),0),"")</f>
        <v/>
      </c>
      <c r="AO906" t="str">
        <f>IFERROR(ROUND(L906*(I906/$AW906)/VLOOKUP(H906,商品!$A$4:$D$67,4,FALSE),0),"")</f>
        <v/>
      </c>
      <c r="AP906" t="str">
        <f>IFERROR(ROUND(L906*(K906/$AW906)/VLOOKUP(J906,商品!$A$4:$D$67,4,FALSE),0),"")</f>
        <v/>
      </c>
      <c r="AQ906" t="str">
        <f>IFERROR(ROUND(S906*(N906/$AX906)/VLOOKUP(M906,职业!$A$3:$E$16,4,FALSE),0),"")</f>
        <v/>
      </c>
      <c r="AR906" t="str">
        <f>IFERROR(ROUND(S906*(P906/$AX906)/VLOOKUP(O906,职业!$A$3:$E$16,4,FALSE),0),"")</f>
        <v/>
      </c>
      <c r="AS906" t="str">
        <f>IFERROR(ROUND(S906*(R906/$AX906)/VLOOKUP(Q906,职业!$A$3:$E$16,4,FALSE),0),"")</f>
        <v/>
      </c>
      <c r="AT906" t="str">
        <f>IFERROR(ROUND(X906*(U906/$AY906)/VLOOKUP(T906,商品!$A$4:$D$67,4,FALSE),0),"")</f>
        <v/>
      </c>
      <c r="AU906" t="str">
        <f>IFERROR(ROUND(X906*(W906/$AY906)/VLOOKUP(V906,商品!$A$4:$D$67,4,FALSE),0),"")</f>
        <v/>
      </c>
      <c r="AW906">
        <f t="shared" si="252"/>
        <v>0</v>
      </c>
      <c r="AX906">
        <f t="shared" si="253"/>
        <v>0</v>
      </c>
      <c r="AY906">
        <f t="shared" si="254"/>
        <v>0</v>
      </c>
    </row>
    <row r="907" customHeight="1" spans="1:51">
      <c r="A907" s="18" t="s">
        <v>450</v>
      </c>
      <c r="C907" s="18">
        <v>7</v>
      </c>
      <c r="D907" s="1" t="s">
        <v>291</v>
      </c>
      <c r="E907" s="1" t="s">
        <v>225</v>
      </c>
      <c r="L907" s="18">
        <f>IFERROR(VLOOKUP($D907&amp;$C907,生产方式定位!$A$2:$E$38,2,FALSE)+VLOOKUP($E907&amp;$C907,生产方式定位!$F$3:$J$38,2,FALSE),0)</f>
        <v>0</v>
      </c>
      <c r="S907" s="18">
        <f>IFERROR(VLOOKUP($D907&amp;$C907,生产方式定位!$A$2:$E$38,3,FALSE)+VLOOKUP($E907&amp;$C907,生产方式定位!$F$3:$J$38,3,FALSE),0)</f>
        <v>100</v>
      </c>
      <c r="X907" s="18">
        <f>IFERROR(VLOOKUP($D907&amp;$C907,生产方式定位!$A$2:$E$38,5,FALSE)+VLOOKUP($E907&amp;$C907,生产方式定位!$F$3:$J$38,5,FALSE),"错误")</f>
        <v>100</v>
      </c>
      <c r="Y907" s="27" t="str">
        <f t="shared" si="238"/>
        <v/>
      </c>
      <c r="Z907" s="50" t="str">
        <f t="shared" si="241"/>
        <v/>
      </c>
      <c r="AA907" s="50" t="str">
        <f t="shared" si="239"/>
        <v/>
      </c>
      <c r="AB907" s="28" t="str">
        <f t="shared" si="242"/>
        <v/>
      </c>
      <c r="AC907" s="1" t="str">
        <f t="shared" si="243"/>
        <v/>
      </c>
      <c r="AD907" s="52">
        <f t="shared" si="240"/>
        <v>7</v>
      </c>
      <c r="AE907" t="str">
        <f t="shared" si="244"/>
        <v/>
      </c>
      <c r="AF907" t="str">
        <f t="shared" si="245"/>
        <v/>
      </c>
      <c r="AG907" t="str">
        <f t="shared" si="246"/>
        <v/>
      </c>
      <c r="AH907" t="str">
        <f t="shared" si="247"/>
        <v/>
      </c>
      <c r="AI907" t="str">
        <f t="shared" si="248"/>
        <v/>
      </c>
      <c r="AJ907" t="str">
        <f t="shared" si="249"/>
        <v/>
      </c>
      <c r="AK907" t="str">
        <f t="shared" si="250"/>
        <v/>
      </c>
      <c r="AL907" t="str">
        <f t="shared" si="251"/>
        <v/>
      </c>
      <c r="AN907" t="str">
        <f>IFERROR(ROUND(L907*(G907/$AW907)/VLOOKUP(F907,商品!$A$4:$D$67,4,FALSE),0),"")</f>
        <v/>
      </c>
      <c r="AO907" t="str">
        <f>IFERROR(ROUND(L907*(I907/$AW907)/VLOOKUP(H907,商品!$A$4:$D$67,4,FALSE),0),"")</f>
        <v/>
      </c>
      <c r="AP907" t="str">
        <f>IFERROR(ROUND(L907*(K907/$AW907)/VLOOKUP(J907,商品!$A$4:$D$67,4,FALSE),0),"")</f>
        <v/>
      </c>
      <c r="AQ907" t="str">
        <f>IFERROR(ROUND(S907*(N907/$AX907)/VLOOKUP(M907,职业!$A$3:$E$16,4,FALSE),0),"")</f>
        <v/>
      </c>
      <c r="AR907" t="str">
        <f>IFERROR(ROUND(S907*(P907/$AX907)/VLOOKUP(O907,职业!$A$3:$E$16,4,FALSE),0),"")</f>
        <v/>
      </c>
      <c r="AS907" t="str">
        <f>IFERROR(ROUND(S907*(R907/$AX907)/VLOOKUP(Q907,职业!$A$3:$E$16,4,FALSE),0),"")</f>
        <v/>
      </c>
      <c r="AT907" t="str">
        <f>IFERROR(ROUND(X907*(U907/$AY907)/VLOOKUP(T907,商品!$A$4:$D$67,4,FALSE),0),"")</f>
        <v/>
      </c>
      <c r="AU907" t="str">
        <f>IFERROR(ROUND(X907*(W907/$AY907)/VLOOKUP(V907,商品!$A$4:$D$67,4,FALSE),0),"")</f>
        <v/>
      </c>
      <c r="AW907">
        <f t="shared" si="252"/>
        <v>0</v>
      </c>
      <c r="AX907">
        <f t="shared" si="253"/>
        <v>0</v>
      </c>
      <c r="AY907">
        <f t="shared" si="254"/>
        <v>0</v>
      </c>
    </row>
    <row r="908" customHeight="1" spans="1:51">
      <c r="A908" s="18" t="s">
        <v>450</v>
      </c>
      <c r="C908" s="18">
        <v>8</v>
      </c>
      <c r="D908" s="1" t="s">
        <v>291</v>
      </c>
      <c r="E908" s="1" t="s">
        <v>225</v>
      </c>
      <c r="L908" s="18">
        <f>IFERROR(VLOOKUP($D908&amp;$C908,生产方式定位!$A$2:$E$38,2,FALSE)+VLOOKUP($E908&amp;$C908,生产方式定位!$F$3:$J$38,2,FALSE),0)</f>
        <v>0</v>
      </c>
      <c r="S908" s="18">
        <f>IFERROR(VLOOKUP($D908&amp;$C908,生产方式定位!$A$2:$E$38,3,FALSE)+VLOOKUP($E908&amp;$C908,生产方式定位!$F$3:$J$38,3,FALSE),0)</f>
        <v>100</v>
      </c>
      <c r="X908" s="18">
        <f>IFERROR(VLOOKUP($D908&amp;$C908,生产方式定位!$A$2:$E$38,5,FALSE)+VLOOKUP($E908&amp;$C908,生产方式定位!$F$3:$J$38,5,FALSE),"错误")</f>
        <v>100</v>
      </c>
      <c r="Y908" s="27" t="str">
        <f t="shared" si="238"/>
        <v/>
      </c>
      <c r="Z908" s="50" t="str">
        <f t="shared" si="241"/>
        <v/>
      </c>
      <c r="AA908" s="50" t="str">
        <f t="shared" si="239"/>
        <v/>
      </c>
      <c r="AB908" s="28" t="str">
        <f t="shared" si="242"/>
        <v/>
      </c>
      <c r="AC908" s="1" t="str">
        <f t="shared" si="243"/>
        <v/>
      </c>
      <c r="AD908" s="52">
        <f t="shared" si="240"/>
        <v>8</v>
      </c>
      <c r="AE908" t="str">
        <f t="shared" si="244"/>
        <v/>
      </c>
      <c r="AF908" t="str">
        <f t="shared" si="245"/>
        <v/>
      </c>
      <c r="AG908" t="str">
        <f t="shared" si="246"/>
        <v/>
      </c>
      <c r="AH908" t="str">
        <f t="shared" si="247"/>
        <v/>
      </c>
      <c r="AI908" t="str">
        <f t="shared" si="248"/>
        <v/>
      </c>
      <c r="AJ908" t="str">
        <f t="shared" si="249"/>
        <v/>
      </c>
      <c r="AK908" t="str">
        <f t="shared" si="250"/>
        <v/>
      </c>
      <c r="AL908" t="str">
        <f t="shared" si="251"/>
        <v/>
      </c>
      <c r="AN908" t="str">
        <f>IFERROR(ROUND(L908*(G908/$AW908)/VLOOKUP(F908,商品!$A$4:$D$67,4,FALSE),0),"")</f>
        <v/>
      </c>
      <c r="AO908" t="str">
        <f>IFERROR(ROUND(L908*(I908/$AW908)/VLOOKUP(H908,商品!$A$4:$D$67,4,FALSE),0),"")</f>
        <v/>
      </c>
      <c r="AP908" t="str">
        <f>IFERROR(ROUND(L908*(K908/$AW908)/VLOOKUP(J908,商品!$A$4:$D$67,4,FALSE),0),"")</f>
        <v/>
      </c>
      <c r="AQ908" t="str">
        <f>IFERROR(ROUND(S908*(N908/$AX908)/VLOOKUP(M908,职业!$A$3:$E$16,4,FALSE),0),"")</f>
        <v/>
      </c>
      <c r="AR908" t="str">
        <f>IFERROR(ROUND(S908*(P908/$AX908)/VLOOKUP(O908,职业!$A$3:$E$16,4,FALSE),0),"")</f>
        <v/>
      </c>
      <c r="AS908" t="str">
        <f>IFERROR(ROUND(S908*(R908/$AX908)/VLOOKUP(Q908,职业!$A$3:$E$16,4,FALSE),0),"")</f>
        <v/>
      </c>
      <c r="AT908" t="str">
        <f>IFERROR(ROUND(X908*(U908/$AY908)/VLOOKUP(T908,商品!$A$4:$D$67,4,FALSE),0),"")</f>
        <v/>
      </c>
      <c r="AU908" t="str">
        <f>IFERROR(ROUND(X908*(W908/$AY908)/VLOOKUP(V908,商品!$A$4:$D$67,4,FALSE),0),"")</f>
        <v/>
      </c>
      <c r="AW908">
        <f t="shared" si="252"/>
        <v>0</v>
      </c>
      <c r="AX908">
        <f t="shared" si="253"/>
        <v>0</v>
      </c>
      <c r="AY908">
        <f t="shared" si="254"/>
        <v>0</v>
      </c>
    </row>
    <row r="909" customHeight="1" spans="1:51">
      <c r="A909" s="5" t="s">
        <v>452</v>
      </c>
      <c r="C909" s="5">
        <v>1</v>
      </c>
      <c r="D909" s="1" t="s">
        <v>220</v>
      </c>
      <c r="E909" s="1" t="s">
        <v>222</v>
      </c>
      <c r="L909" s="5">
        <f>IFERROR(VLOOKUP($D909&amp;$C909,生产方式定位!$A$2:$E$38,2,FALSE)+VLOOKUP($E909&amp;$C909,生产方式定位!$F$3:$J$38,2,FALSE),0)</f>
        <v>500</v>
      </c>
      <c r="S909" s="5">
        <f>IFERROR(VLOOKUP($D909&amp;$C909,生产方式定位!$A$2:$E$38,3,FALSE)+VLOOKUP($E909&amp;$C909,生产方式定位!$F$3:$J$38,3,FALSE),0)</f>
        <v>150</v>
      </c>
      <c r="X909" s="5">
        <f>IFERROR(VLOOKUP($D909&amp;$C909,生产方式定位!$A$2:$E$38,5,FALSE)+VLOOKUP($E909&amp;$C909,生产方式定位!$F$3:$J$38,5,FALSE),"错误")</f>
        <v>715</v>
      </c>
      <c r="Y909" s="27" t="str">
        <f t="shared" si="238"/>
        <v/>
      </c>
      <c r="Z909" s="50" t="str">
        <f t="shared" si="241"/>
        <v/>
      </c>
      <c r="AA909" s="50" t="str">
        <f t="shared" si="239"/>
        <v/>
      </c>
      <c r="AB909" s="28" t="str">
        <f t="shared" si="242"/>
        <v>43%</v>
      </c>
      <c r="AC909" s="1">
        <f t="shared" si="243"/>
        <v>65</v>
      </c>
      <c r="AD909" s="51">
        <f t="shared" si="240"/>
        <v>1</v>
      </c>
      <c r="AE909" t="str">
        <f t="shared" si="244"/>
        <v/>
      </c>
      <c r="AF909" t="str">
        <f t="shared" si="245"/>
        <v/>
      </c>
      <c r="AG909" t="str">
        <f t="shared" si="246"/>
        <v/>
      </c>
      <c r="AH909" t="str">
        <f t="shared" si="247"/>
        <v/>
      </c>
      <c r="AI909" t="str">
        <f t="shared" si="248"/>
        <v/>
      </c>
      <c r="AJ909" t="str">
        <f t="shared" si="249"/>
        <v/>
      </c>
      <c r="AK909" t="str">
        <f t="shared" si="250"/>
        <v/>
      </c>
      <c r="AL909" t="str">
        <f t="shared" si="251"/>
        <v/>
      </c>
      <c r="AN909" t="str">
        <f>IFERROR(ROUND(L909*(G909/$AW909)/VLOOKUP(F909,商品!$A$4:$D$67,4,FALSE),0),"")</f>
        <v/>
      </c>
      <c r="AO909" t="str">
        <f>IFERROR(ROUND(L909*(I909/$AW909)/VLOOKUP(H909,商品!$A$4:$D$67,4,FALSE),0),"")</f>
        <v/>
      </c>
      <c r="AP909" t="str">
        <f>IFERROR(ROUND(L909*(K909/$AW909)/VLOOKUP(J909,商品!$A$4:$D$67,4,FALSE),0),"")</f>
        <v/>
      </c>
      <c r="AQ909" t="str">
        <f>IFERROR(ROUND(S909*(N909/$AX909)/VLOOKUP(M909,职业!$A$3:$E$16,4,FALSE),0),"")</f>
        <v/>
      </c>
      <c r="AR909" t="str">
        <f>IFERROR(ROUND(S909*(P909/$AX909)/VLOOKUP(O909,职业!$A$3:$E$16,4,FALSE),0),"")</f>
        <v/>
      </c>
      <c r="AS909" t="str">
        <f>IFERROR(ROUND(S909*(R909/$AX909)/VLOOKUP(Q909,职业!$A$3:$E$16,4,FALSE),0),"")</f>
        <v/>
      </c>
      <c r="AT909" t="str">
        <f>IFERROR(ROUND(X909*(U909/$AY909)/VLOOKUP(T909,商品!$A$4:$D$67,4,FALSE),0),"")</f>
        <v/>
      </c>
      <c r="AU909" t="str">
        <f>IFERROR(ROUND(X909*(W909/$AY909)/VLOOKUP(V909,商品!$A$4:$D$67,4,FALSE),0),"")</f>
        <v/>
      </c>
      <c r="AW909">
        <f t="shared" si="252"/>
        <v>0</v>
      </c>
      <c r="AX909">
        <f t="shared" si="253"/>
        <v>0</v>
      </c>
      <c r="AY909">
        <f t="shared" si="254"/>
        <v>0</v>
      </c>
    </row>
    <row r="910" customHeight="1" spans="1:51">
      <c r="A910" s="5" t="s">
        <v>452</v>
      </c>
      <c r="C910" s="5">
        <v>2</v>
      </c>
      <c r="D910" s="1" t="s">
        <v>220</v>
      </c>
      <c r="E910" s="1" t="s">
        <v>222</v>
      </c>
      <c r="L910" s="5">
        <f>IFERROR(VLOOKUP($D910&amp;$C910,生产方式定位!$A$2:$E$38,2,FALSE)+VLOOKUP($E910&amp;$C910,生产方式定位!$F$3:$J$38,2,FALSE),0)</f>
        <v>1200</v>
      </c>
      <c r="S910" s="5">
        <f>IFERROR(VLOOKUP($D910&amp;$C910,生产方式定位!$A$2:$E$38,3,FALSE)+VLOOKUP($E910&amp;$C910,生产方式定位!$F$3:$J$38,3,FALSE),0)</f>
        <v>140</v>
      </c>
      <c r="X910" s="5">
        <f>IFERROR(VLOOKUP($D910&amp;$C910,生产方式定位!$A$2:$E$38,5,FALSE)+VLOOKUP($E910&amp;$C910,生产方式定位!$F$3:$J$38,5,FALSE),"错误")</f>
        <v>1390</v>
      </c>
      <c r="Y910" s="27" t="str">
        <f t="shared" si="238"/>
        <v/>
      </c>
      <c r="Z910" s="50" t="str">
        <f t="shared" si="241"/>
        <v/>
      </c>
      <c r="AA910" s="50" t="str">
        <f t="shared" si="239"/>
        <v/>
      </c>
      <c r="AB910" s="28" t="str">
        <f t="shared" si="242"/>
        <v>16%</v>
      </c>
      <c r="AC910" s="1">
        <f t="shared" si="243"/>
        <v>50</v>
      </c>
      <c r="AD910" s="51">
        <f t="shared" si="240"/>
        <v>2</v>
      </c>
      <c r="AE910" t="str">
        <f t="shared" si="244"/>
        <v/>
      </c>
      <c r="AF910" t="str">
        <f t="shared" si="245"/>
        <v/>
      </c>
      <c r="AG910" t="str">
        <f t="shared" si="246"/>
        <v/>
      </c>
      <c r="AH910" t="str">
        <f t="shared" si="247"/>
        <v/>
      </c>
      <c r="AI910" t="str">
        <f t="shared" si="248"/>
        <v/>
      </c>
      <c r="AJ910" t="str">
        <f t="shared" si="249"/>
        <v/>
      </c>
      <c r="AK910" t="str">
        <f t="shared" si="250"/>
        <v/>
      </c>
      <c r="AL910" t="str">
        <f t="shared" si="251"/>
        <v/>
      </c>
      <c r="AN910" t="str">
        <f>IFERROR(ROUND(L910*(G910/$AW910)/VLOOKUP(F910,商品!$A$4:$D$67,4,FALSE),0),"")</f>
        <v/>
      </c>
      <c r="AO910" t="str">
        <f>IFERROR(ROUND(L910*(I910/$AW910)/VLOOKUP(H910,商品!$A$4:$D$67,4,FALSE),0),"")</f>
        <v/>
      </c>
      <c r="AP910" t="str">
        <f>IFERROR(ROUND(L910*(K910/$AW910)/VLOOKUP(J910,商品!$A$4:$D$67,4,FALSE),0),"")</f>
        <v/>
      </c>
      <c r="AQ910" t="str">
        <f>IFERROR(ROUND(S910*(N910/$AX910)/VLOOKUP(M910,职业!$A$3:$E$16,4,FALSE),0),"")</f>
        <v/>
      </c>
      <c r="AR910" t="str">
        <f>IFERROR(ROUND(S910*(P910/$AX910)/VLOOKUP(O910,职业!$A$3:$E$16,4,FALSE),0),"")</f>
        <v/>
      </c>
      <c r="AS910" t="str">
        <f>IFERROR(ROUND(S910*(R910/$AX910)/VLOOKUP(Q910,职业!$A$3:$E$16,4,FALSE),0),"")</f>
        <v/>
      </c>
      <c r="AT910" t="str">
        <f>IFERROR(ROUND(X910*(U910/$AY910)/VLOOKUP(T910,商品!$A$4:$D$67,4,FALSE),0),"")</f>
        <v/>
      </c>
      <c r="AU910" t="str">
        <f>IFERROR(ROUND(X910*(W910/$AY910)/VLOOKUP(V910,商品!$A$4:$D$67,4,FALSE),0),"")</f>
        <v/>
      </c>
      <c r="AW910">
        <f t="shared" si="252"/>
        <v>0</v>
      </c>
      <c r="AX910">
        <f t="shared" si="253"/>
        <v>0</v>
      </c>
      <c r="AY910">
        <f t="shared" si="254"/>
        <v>0</v>
      </c>
    </row>
    <row r="911" customHeight="1" spans="1:51">
      <c r="A911" s="5" t="s">
        <v>452</v>
      </c>
      <c r="C911" s="5">
        <v>3</v>
      </c>
      <c r="D911" s="1" t="s">
        <v>220</v>
      </c>
      <c r="E911" s="1" t="s">
        <v>222</v>
      </c>
      <c r="L911" s="5">
        <f>IFERROR(VLOOKUP($D911&amp;$C911,生产方式定位!$A$2:$E$38,2,FALSE)+VLOOKUP($E911&amp;$C911,生产方式定位!$F$3:$J$38,2,FALSE),0)</f>
        <v>1525</v>
      </c>
      <c r="S911" s="5">
        <f>IFERROR(VLOOKUP($D911&amp;$C911,生产方式定位!$A$2:$E$38,3,FALSE)+VLOOKUP($E911&amp;$C911,生产方式定位!$F$3:$J$38,3,FALSE),0)</f>
        <v>130</v>
      </c>
      <c r="X911" s="5">
        <f>IFERROR(VLOOKUP($D911&amp;$C911,生产方式定位!$A$2:$E$38,5,FALSE)+VLOOKUP($E911&amp;$C911,生产方式定位!$F$3:$J$38,5,FALSE),"错误")</f>
        <v>1718</v>
      </c>
      <c r="Y911" s="27" t="str">
        <f t="shared" si="238"/>
        <v/>
      </c>
      <c r="Z911" s="50" t="str">
        <f t="shared" si="241"/>
        <v/>
      </c>
      <c r="AA911" s="50" t="str">
        <f t="shared" si="239"/>
        <v/>
      </c>
      <c r="AB911" s="28" t="str">
        <f t="shared" si="242"/>
        <v>13%</v>
      </c>
      <c r="AC911" s="1">
        <f t="shared" si="243"/>
        <v>63</v>
      </c>
      <c r="AD911" s="51">
        <f t="shared" si="240"/>
        <v>3</v>
      </c>
      <c r="AE911" t="str">
        <f t="shared" si="244"/>
        <v/>
      </c>
      <c r="AF911" t="str">
        <f t="shared" si="245"/>
        <v/>
      </c>
      <c r="AG911" t="str">
        <f t="shared" si="246"/>
        <v/>
      </c>
      <c r="AH911" t="str">
        <f t="shared" si="247"/>
        <v/>
      </c>
      <c r="AI911" t="str">
        <f t="shared" si="248"/>
        <v/>
      </c>
      <c r="AJ911" t="str">
        <f t="shared" si="249"/>
        <v/>
      </c>
      <c r="AK911" t="str">
        <f t="shared" si="250"/>
        <v/>
      </c>
      <c r="AL911" t="str">
        <f t="shared" si="251"/>
        <v/>
      </c>
      <c r="AN911" t="str">
        <f>IFERROR(ROUND(L911*(G911/$AW911)/VLOOKUP(F911,商品!$A$4:$D$67,4,FALSE),0),"")</f>
        <v/>
      </c>
      <c r="AO911" t="str">
        <f>IFERROR(ROUND(L911*(I911/$AW911)/VLOOKUP(H911,商品!$A$4:$D$67,4,FALSE),0),"")</f>
        <v/>
      </c>
      <c r="AP911" t="str">
        <f>IFERROR(ROUND(L911*(K911/$AW911)/VLOOKUP(J911,商品!$A$4:$D$67,4,FALSE),0),"")</f>
        <v/>
      </c>
      <c r="AQ911" t="str">
        <f>IFERROR(ROUND(S911*(N911/$AX911)/VLOOKUP(M911,职业!$A$3:$E$16,4,FALSE),0),"")</f>
        <v/>
      </c>
      <c r="AR911" t="str">
        <f>IFERROR(ROUND(S911*(P911/$AX911)/VLOOKUP(O911,职业!$A$3:$E$16,4,FALSE),0),"")</f>
        <v/>
      </c>
      <c r="AS911" t="str">
        <f>IFERROR(ROUND(S911*(R911/$AX911)/VLOOKUP(Q911,职业!$A$3:$E$16,4,FALSE),0),"")</f>
        <v/>
      </c>
      <c r="AT911" t="str">
        <f>IFERROR(ROUND(X911*(U911/$AY911)/VLOOKUP(T911,商品!$A$4:$D$67,4,FALSE),0),"")</f>
        <v/>
      </c>
      <c r="AU911" t="str">
        <f>IFERROR(ROUND(X911*(W911/$AY911)/VLOOKUP(V911,商品!$A$4:$D$67,4,FALSE),0),"")</f>
        <v/>
      </c>
      <c r="AW911">
        <f t="shared" si="252"/>
        <v>0</v>
      </c>
      <c r="AX911">
        <f t="shared" si="253"/>
        <v>0</v>
      </c>
      <c r="AY911">
        <f t="shared" si="254"/>
        <v>0</v>
      </c>
    </row>
    <row r="912" customHeight="1" spans="1:51">
      <c r="A912" s="5" t="s">
        <v>452</v>
      </c>
      <c r="C912" s="5">
        <v>4</v>
      </c>
      <c r="D912" s="1" t="s">
        <v>220</v>
      </c>
      <c r="E912" s="1" t="s">
        <v>222</v>
      </c>
      <c r="L912" s="5">
        <f>IFERROR(VLOOKUP($D912&amp;$C912,生产方式定位!$A$2:$E$38,2,FALSE)+VLOOKUP($E912&amp;$C912,生产方式定位!$F$3:$J$38,2,FALSE),0)</f>
        <v>1850</v>
      </c>
      <c r="S912" s="5">
        <f>IFERROR(VLOOKUP($D912&amp;$C912,生产方式定位!$A$2:$E$38,3,FALSE)+VLOOKUP($E912&amp;$C912,生产方式定位!$F$3:$J$38,3,FALSE),0)</f>
        <v>120</v>
      </c>
      <c r="X912" s="5">
        <f>IFERROR(VLOOKUP($D912&amp;$C912,生产方式定位!$A$2:$E$38,5,FALSE)+VLOOKUP($E912&amp;$C912,生产方式定位!$F$3:$J$38,5,FALSE),"错误")</f>
        <v>2045</v>
      </c>
      <c r="Y912" s="27" t="str">
        <f t="shared" si="238"/>
        <v/>
      </c>
      <c r="Z912" s="50" t="str">
        <f t="shared" si="241"/>
        <v/>
      </c>
      <c r="AA912" s="50" t="str">
        <f t="shared" si="239"/>
        <v/>
      </c>
      <c r="AB912" s="28" t="str">
        <f t="shared" si="242"/>
        <v>11%</v>
      </c>
      <c r="AC912" s="1">
        <f t="shared" si="243"/>
        <v>75</v>
      </c>
      <c r="AD912" s="51">
        <f t="shared" si="240"/>
        <v>4</v>
      </c>
      <c r="AE912" t="str">
        <f t="shared" si="244"/>
        <v/>
      </c>
      <c r="AF912" t="str">
        <f t="shared" si="245"/>
        <v/>
      </c>
      <c r="AG912" t="str">
        <f t="shared" si="246"/>
        <v/>
      </c>
      <c r="AH912" t="str">
        <f t="shared" si="247"/>
        <v/>
      </c>
      <c r="AI912" t="str">
        <f t="shared" si="248"/>
        <v/>
      </c>
      <c r="AJ912" t="str">
        <f t="shared" si="249"/>
        <v/>
      </c>
      <c r="AK912" t="str">
        <f t="shared" si="250"/>
        <v/>
      </c>
      <c r="AL912" t="str">
        <f t="shared" si="251"/>
        <v/>
      </c>
      <c r="AN912" t="str">
        <f>IFERROR(ROUND(L912*(G912/$AW912)/VLOOKUP(F912,商品!$A$4:$D$67,4,FALSE),0),"")</f>
        <v/>
      </c>
      <c r="AO912" t="str">
        <f>IFERROR(ROUND(L912*(I912/$AW912)/VLOOKUP(H912,商品!$A$4:$D$67,4,FALSE),0),"")</f>
        <v/>
      </c>
      <c r="AP912" t="str">
        <f>IFERROR(ROUND(L912*(K912/$AW912)/VLOOKUP(J912,商品!$A$4:$D$67,4,FALSE),0),"")</f>
        <v/>
      </c>
      <c r="AQ912" t="str">
        <f>IFERROR(ROUND(S912*(N912/$AX912)/VLOOKUP(M912,职业!$A$3:$E$16,4,FALSE),0),"")</f>
        <v/>
      </c>
      <c r="AR912" t="str">
        <f>IFERROR(ROUND(S912*(P912/$AX912)/VLOOKUP(O912,职业!$A$3:$E$16,4,FALSE),0),"")</f>
        <v/>
      </c>
      <c r="AS912" t="str">
        <f>IFERROR(ROUND(S912*(R912/$AX912)/VLOOKUP(Q912,职业!$A$3:$E$16,4,FALSE),0),"")</f>
        <v/>
      </c>
      <c r="AT912" t="str">
        <f>IFERROR(ROUND(X912*(U912/$AY912)/VLOOKUP(T912,商品!$A$4:$D$67,4,FALSE),0),"")</f>
        <v/>
      </c>
      <c r="AU912" t="str">
        <f>IFERROR(ROUND(X912*(W912/$AY912)/VLOOKUP(V912,商品!$A$4:$D$67,4,FALSE),0),"")</f>
        <v/>
      </c>
      <c r="AW912">
        <f t="shared" si="252"/>
        <v>0</v>
      </c>
      <c r="AX912">
        <f t="shared" si="253"/>
        <v>0</v>
      </c>
      <c r="AY912">
        <f t="shared" si="254"/>
        <v>0</v>
      </c>
    </row>
    <row r="913" customHeight="1" spans="1:51">
      <c r="A913" s="5" t="s">
        <v>452</v>
      </c>
      <c r="C913" s="5">
        <v>5</v>
      </c>
      <c r="D913" s="1" t="s">
        <v>220</v>
      </c>
      <c r="E913" s="1" t="s">
        <v>222</v>
      </c>
      <c r="L913" s="5">
        <f>IFERROR(VLOOKUP($D913&amp;$C913,生产方式定位!$A$2:$E$38,2,FALSE)+VLOOKUP($E913&amp;$C913,生产方式定位!$F$3:$J$38,2,FALSE),0)</f>
        <v>2175</v>
      </c>
      <c r="S913" s="5">
        <f>IFERROR(VLOOKUP($D913&amp;$C913,生产方式定位!$A$2:$E$38,3,FALSE)+VLOOKUP($E913&amp;$C913,生产方式定位!$F$3:$J$38,3,FALSE),0)</f>
        <v>110</v>
      </c>
      <c r="X913" s="5">
        <f>IFERROR(VLOOKUP($D913&amp;$C913,生产方式定位!$A$2:$E$38,5,FALSE)+VLOOKUP($E913&amp;$C913,生产方式定位!$F$3:$J$38,5,FALSE),"错误")</f>
        <v>2373</v>
      </c>
      <c r="Y913" s="27" t="str">
        <f t="shared" si="238"/>
        <v/>
      </c>
      <c r="Z913" s="50" t="str">
        <f t="shared" si="241"/>
        <v/>
      </c>
      <c r="AA913" s="50" t="str">
        <f t="shared" si="239"/>
        <v/>
      </c>
      <c r="AB913" s="28" t="str">
        <f t="shared" si="242"/>
        <v>9%</v>
      </c>
      <c r="AC913" s="1">
        <f t="shared" si="243"/>
        <v>88</v>
      </c>
      <c r="AD913" s="51">
        <f t="shared" si="240"/>
        <v>5</v>
      </c>
      <c r="AE913" t="str">
        <f t="shared" si="244"/>
        <v/>
      </c>
      <c r="AF913" t="str">
        <f t="shared" si="245"/>
        <v/>
      </c>
      <c r="AG913" t="str">
        <f t="shared" si="246"/>
        <v/>
      </c>
      <c r="AH913" t="str">
        <f t="shared" si="247"/>
        <v/>
      </c>
      <c r="AI913" t="str">
        <f t="shared" si="248"/>
        <v/>
      </c>
      <c r="AJ913" t="str">
        <f t="shared" si="249"/>
        <v/>
      </c>
      <c r="AK913" t="str">
        <f t="shared" si="250"/>
        <v/>
      </c>
      <c r="AL913" t="str">
        <f t="shared" si="251"/>
        <v/>
      </c>
      <c r="AN913" t="str">
        <f>IFERROR(ROUND(L913*(G913/$AW913)/VLOOKUP(F913,商品!$A$4:$D$67,4,FALSE),0),"")</f>
        <v/>
      </c>
      <c r="AO913" t="str">
        <f>IFERROR(ROUND(L913*(I913/$AW913)/VLOOKUP(H913,商品!$A$4:$D$67,4,FALSE),0),"")</f>
        <v/>
      </c>
      <c r="AP913" t="str">
        <f>IFERROR(ROUND(L913*(K913/$AW913)/VLOOKUP(J913,商品!$A$4:$D$67,4,FALSE),0),"")</f>
        <v/>
      </c>
      <c r="AQ913" t="str">
        <f>IFERROR(ROUND(S913*(N913/$AX913)/VLOOKUP(M913,职业!$A$3:$E$16,4,FALSE),0),"")</f>
        <v/>
      </c>
      <c r="AR913" t="str">
        <f>IFERROR(ROUND(S913*(P913/$AX913)/VLOOKUP(O913,职业!$A$3:$E$16,4,FALSE),0),"")</f>
        <v/>
      </c>
      <c r="AS913" t="str">
        <f>IFERROR(ROUND(S913*(R913/$AX913)/VLOOKUP(Q913,职业!$A$3:$E$16,4,FALSE),0),"")</f>
        <v/>
      </c>
      <c r="AT913" t="str">
        <f>IFERROR(ROUND(X913*(U913/$AY913)/VLOOKUP(T913,商品!$A$4:$D$67,4,FALSE),0),"")</f>
        <v/>
      </c>
      <c r="AU913" t="str">
        <f>IFERROR(ROUND(X913*(W913/$AY913)/VLOOKUP(V913,商品!$A$4:$D$67,4,FALSE),0),"")</f>
        <v/>
      </c>
      <c r="AW913">
        <f t="shared" si="252"/>
        <v>0</v>
      </c>
      <c r="AX913">
        <f t="shared" si="253"/>
        <v>0</v>
      </c>
      <c r="AY913">
        <f t="shared" si="254"/>
        <v>0</v>
      </c>
    </row>
    <row r="914" customHeight="1" spans="1:51">
      <c r="A914" s="18" t="s">
        <v>453</v>
      </c>
      <c r="C914" s="18">
        <v>1</v>
      </c>
      <c r="D914" s="1" t="s">
        <v>220</v>
      </c>
      <c r="E914" s="1" t="s">
        <v>224</v>
      </c>
      <c r="L914" s="18">
        <f>IFERROR(VLOOKUP($D914&amp;$C914,生产方式定位!$A$2:$E$38,2,FALSE)+VLOOKUP($E914&amp;$C914,生产方式定位!$F$3:$J$38,2,FALSE),0)</f>
        <v>500</v>
      </c>
      <c r="S914" s="18">
        <f>IFERROR(VLOOKUP($D914&amp;$C914,生产方式定位!$A$2:$E$38,3,FALSE)+VLOOKUP($E914&amp;$C914,生产方式定位!$F$3:$J$38,3,FALSE),0)</f>
        <v>150</v>
      </c>
      <c r="X914" s="18">
        <f>IFERROR(VLOOKUP($D914&amp;$C914,生产方式定位!$A$2:$E$38,5,FALSE)+VLOOKUP($E914&amp;$C914,生产方式定位!$F$3:$J$38,5,FALSE),"错误")</f>
        <v>715</v>
      </c>
      <c r="Y914" s="27" t="str">
        <f t="shared" si="238"/>
        <v/>
      </c>
      <c r="Z914" s="50" t="str">
        <f t="shared" si="241"/>
        <v/>
      </c>
      <c r="AA914" s="50" t="str">
        <f t="shared" si="239"/>
        <v/>
      </c>
      <c r="AB914" s="28" t="str">
        <f t="shared" si="242"/>
        <v>43%</v>
      </c>
      <c r="AC914" s="1">
        <f t="shared" si="243"/>
        <v>65</v>
      </c>
      <c r="AD914" s="52">
        <f t="shared" si="240"/>
        <v>1</v>
      </c>
      <c r="AE914" t="str">
        <f t="shared" si="244"/>
        <v/>
      </c>
      <c r="AF914" t="str">
        <f t="shared" si="245"/>
        <v/>
      </c>
      <c r="AG914" t="str">
        <f t="shared" si="246"/>
        <v/>
      </c>
      <c r="AH914" t="str">
        <f t="shared" si="247"/>
        <v/>
      </c>
      <c r="AI914" t="str">
        <f t="shared" si="248"/>
        <v/>
      </c>
      <c r="AJ914" t="str">
        <f t="shared" si="249"/>
        <v/>
      </c>
      <c r="AK914" t="str">
        <f t="shared" si="250"/>
        <v/>
      </c>
      <c r="AL914" t="str">
        <f t="shared" si="251"/>
        <v/>
      </c>
      <c r="AN914" t="str">
        <f>IFERROR(ROUND(L914*(G914/$AW914)/VLOOKUP(F914,商品!$A$4:$D$67,4,FALSE),0),"")</f>
        <v/>
      </c>
      <c r="AO914" t="str">
        <f>IFERROR(ROUND(L914*(I914/$AW914)/VLOOKUP(H914,商品!$A$4:$D$67,4,FALSE),0),"")</f>
        <v/>
      </c>
      <c r="AP914" t="str">
        <f>IFERROR(ROUND(L914*(K914/$AW914)/VLOOKUP(J914,商品!$A$4:$D$67,4,FALSE),0),"")</f>
        <v/>
      </c>
      <c r="AQ914" t="str">
        <f>IFERROR(ROUND(S914*(N914/$AX914)/VLOOKUP(M914,职业!$A$3:$E$16,4,FALSE),0),"")</f>
        <v/>
      </c>
      <c r="AR914" t="str">
        <f>IFERROR(ROUND(S914*(P914/$AX914)/VLOOKUP(O914,职业!$A$3:$E$16,4,FALSE),0),"")</f>
        <v/>
      </c>
      <c r="AS914" t="str">
        <f>IFERROR(ROUND(S914*(R914/$AX914)/VLOOKUP(Q914,职业!$A$3:$E$16,4,FALSE),0),"")</f>
        <v/>
      </c>
      <c r="AT914" t="str">
        <f>IFERROR(ROUND(X914*(U914/$AY914)/VLOOKUP(T914,商品!$A$4:$D$67,4,FALSE),0),"")</f>
        <v/>
      </c>
      <c r="AU914" t="str">
        <f>IFERROR(ROUND(X914*(W914/$AY914)/VLOOKUP(V914,商品!$A$4:$D$67,4,FALSE),0),"")</f>
        <v/>
      </c>
      <c r="AW914">
        <f t="shared" si="252"/>
        <v>0</v>
      </c>
      <c r="AX914">
        <f t="shared" si="253"/>
        <v>0</v>
      </c>
      <c r="AY914">
        <f t="shared" si="254"/>
        <v>0</v>
      </c>
    </row>
    <row r="915" customHeight="1" spans="1:51">
      <c r="A915" s="18" t="s">
        <v>453</v>
      </c>
      <c r="C915" s="18">
        <v>2</v>
      </c>
      <c r="D915" s="1" t="s">
        <v>220</v>
      </c>
      <c r="E915" s="1" t="s">
        <v>224</v>
      </c>
      <c r="L915" s="18">
        <f>IFERROR(VLOOKUP($D915&amp;$C915,生产方式定位!$A$2:$E$38,2,FALSE)+VLOOKUP($E915&amp;$C915,生产方式定位!$F$3:$J$38,2,FALSE),0)</f>
        <v>1200</v>
      </c>
      <c r="S915" s="18">
        <f>IFERROR(VLOOKUP($D915&amp;$C915,生产方式定位!$A$2:$E$38,3,FALSE)+VLOOKUP($E915&amp;$C915,生产方式定位!$F$3:$J$38,3,FALSE),0)</f>
        <v>100</v>
      </c>
      <c r="X915" s="18">
        <f>IFERROR(VLOOKUP($D915&amp;$C915,生产方式定位!$A$2:$E$38,5,FALSE)+VLOOKUP($E915&amp;$C915,生产方式定位!$F$3:$J$38,5,FALSE),"错误")</f>
        <v>1346</v>
      </c>
      <c r="Y915" s="27" t="str">
        <f t="shared" si="238"/>
        <v/>
      </c>
      <c r="Z915" s="50" t="str">
        <f t="shared" si="241"/>
        <v/>
      </c>
      <c r="AA915" s="50" t="str">
        <f t="shared" si="239"/>
        <v/>
      </c>
      <c r="AB915" s="28" t="str">
        <f t="shared" si="242"/>
        <v>12%</v>
      </c>
      <c r="AC915" s="1">
        <f t="shared" si="243"/>
        <v>46</v>
      </c>
      <c r="AD915" s="52">
        <f t="shared" si="240"/>
        <v>2</v>
      </c>
      <c r="AE915" t="str">
        <f t="shared" si="244"/>
        <v/>
      </c>
      <c r="AF915" t="str">
        <f t="shared" si="245"/>
        <v/>
      </c>
      <c r="AG915" t="str">
        <f t="shared" si="246"/>
        <v/>
      </c>
      <c r="AH915" t="str">
        <f t="shared" si="247"/>
        <v/>
      </c>
      <c r="AI915" t="str">
        <f t="shared" si="248"/>
        <v/>
      </c>
      <c r="AJ915" t="str">
        <f t="shared" si="249"/>
        <v/>
      </c>
      <c r="AK915" t="str">
        <f t="shared" si="250"/>
        <v/>
      </c>
      <c r="AL915" t="str">
        <f t="shared" si="251"/>
        <v/>
      </c>
      <c r="AN915" t="str">
        <f>IFERROR(ROUND(L915*(G915/$AW915)/VLOOKUP(F915,商品!$A$4:$D$67,4,FALSE),0),"")</f>
        <v/>
      </c>
      <c r="AO915" t="str">
        <f>IFERROR(ROUND(L915*(I915/$AW915)/VLOOKUP(H915,商品!$A$4:$D$67,4,FALSE),0),"")</f>
        <v/>
      </c>
      <c r="AP915" t="str">
        <f>IFERROR(ROUND(L915*(K915/$AW915)/VLOOKUP(J915,商品!$A$4:$D$67,4,FALSE),0),"")</f>
        <v/>
      </c>
      <c r="AQ915" t="str">
        <f>IFERROR(ROUND(S915*(N915/$AX915)/VLOOKUP(M915,职业!$A$3:$E$16,4,FALSE),0),"")</f>
        <v/>
      </c>
      <c r="AR915" t="str">
        <f>IFERROR(ROUND(S915*(P915/$AX915)/VLOOKUP(O915,职业!$A$3:$E$16,4,FALSE),0),"")</f>
        <v/>
      </c>
      <c r="AS915" t="str">
        <f>IFERROR(ROUND(S915*(R915/$AX915)/VLOOKUP(Q915,职业!$A$3:$E$16,4,FALSE),0),"")</f>
        <v/>
      </c>
      <c r="AT915" t="str">
        <f>IFERROR(ROUND(X915*(U915/$AY915)/VLOOKUP(T915,商品!$A$4:$D$67,4,FALSE),0),"")</f>
        <v/>
      </c>
      <c r="AU915" t="str">
        <f>IFERROR(ROUND(X915*(W915/$AY915)/VLOOKUP(V915,商品!$A$4:$D$67,4,FALSE),0),"")</f>
        <v/>
      </c>
      <c r="AW915">
        <f t="shared" si="252"/>
        <v>0</v>
      </c>
      <c r="AX915">
        <f t="shared" si="253"/>
        <v>0</v>
      </c>
      <c r="AY915">
        <f t="shared" si="254"/>
        <v>0</v>
      </c>
    </row>
    <row r="916" customHeight="1" spans="1:51">
      <c r="A916" s="18" t="s">
        <v>453</v>
      </c>
      <c r="C916" s="18">
        <v>3</v>
      </c>
      <c r="D916" s="1" t="s">
        <v>220</v>
      </c>
      <c r="E916" s="1" t="s">
        <v>224</v>
      </c>
      <c r="L916" s="18">
        <f>IFERROR(VLOOKUP($D916&amp;$C916,生产方式定位!$A$2:$E$38,2,FALSE)+VLOOKUP($E916&amp;$C916,生产方式定位!$F$3:$J$38,2,FALSE),0)</f>
        <v>1900</v>
      </c>
      <c r="S916" s="18">
        <f>IFERROR(VLOOKUP($D916&amp;$C916,生产方式定位!$A$2:$E$38,3,FALSE)+VLOOKUP($E916&amp;$C916,生产方式定位!$F$3:$J$38,3,FALSE),0)</f>
        <v>70</v>
      </c>
      <c r="X916" s="18">
        <f>IFERROR(VLOOKUP($D916&amp;$C916,生产方式定位!$A$2:$E$38,5,FALSE)+VLOOKUP($E916&amp;$C916,生产方式定位!$F$3:$J$38,5,FALSE),"错误")</f>
        <v>2064</v>
      </c>
      <c r="Y916" s="27" t="str">
        <f t="shared" si="238"/>
        <v/>
      </c>
      <c r="Z916" s="50" t="str">
        <f t="shared" si="241"/>
        <v/>
      </c>
      <c r="AA916" s="50" t="str">
        <f t="shared" si="239"/>
        <v/>
      </c>
      <c r="AB916" s="28" t="str">
        <f t="shared" si="242"/>
        <v>9%</v>
      </c>
      <c r="AC916" s="1">
        <f t="shared" si="243"/>
        <v>94</v>
      </c>
      <c r="AD916" s="52">
        <f t="shared" si="240"/>
        <v>3</v>
      </c>
      <c r="AE916" t="str">
        <f t="shared" si="244"/>
        <v/>
      </c>
      <c r="AF916" t="str">
        <f t="shared" si="245"/>
        <v/>
      </c>
      <c r="AG916" t="str">
        <f t="shared" si="246"/>
        <v/>
      </c>
      <c r="AH916" t="str">
        <f t="shared" si="247"/>
        <v/>
      </c>
      <c r="AI916" t="str">
        <f t="shared" si="248"/>
        <v/>
      </c>
      <c r="AJ916" t="str">
        <f t="shared" si="249"/>
        <v/>
      </c>
      <c r="AK916" t="str">
        <f t="shared" si="250"/>
        <v/>
      </c>
      <c r="AL916" t="str">
        <f t="shared" si="251"/>
        <v/>
      </c>
      <c r="AN916" t="str">
        <f>IFERROR(ROUND(L916*(G916/$AW916)/VLOOKUP(F916,商品!$A$4:$D$67,4,FALSE),0),"")</f>
        <v/>
      </c>
      <c r="AO916" t="str">
        <f>IFERROR(ROUND(L916*(I916/$AW916)/VLOOKUP(H916,商品!$A$4:$D$67,4,FALSE),0),"")</f>
        <v/>
      </c>
      <c r="AP916" t="str">
        <f>IFERROR(ROUND(L916*(K916/$AW916)/VLOOKUP(J916,商品!$A$4:$D$67,4,FALSE),0),"")</f>
        <v/>
      </c>
      <c r="AQ916" t="str">
        <f>IFERROR(ROUND(S916*(N916/$AX916)/VLOOKUP(M916,职业!$A$3:$E$16,4,FALSE),0),"")</f>
        <v/>
      </c>
      <c r="AR916" t="str">
        <f>IFERROR(ROUND(S916*(P916/$AX916)/VLOOKUP(O916,职业!$A$3:$E$16,4,FALSE),0),"")</f>
        <v/>
      </c>
      <c r="AS916" t="str">
        <f>IFERROR(ROUND(S916*(R916/$AX916)/VLOOKUP(Q916,职业!$A$3:$E$16,4,FALSE),0),"")</f>
        <v/>
      </c>
      <c r="AT916" t="str">
        <f>IFERROR(ROUND(X916*(U916/$AY916)/VLOOKUP(T916,商品!$A$4:$D$67,4,FALSE),0),"")</f>
        <v/>
      </c>
      <c r="AU916" t="str">
        <f>IFERROR(ROUND(X916*(W916/$AY916)/VLOOKUP(V916,商品!$A$4:$D$67,4,FALSE),0),"")</f>
        <v/>
      </c>
      <c r="AW916">
        <f t="shared" si="252"/>
        <v>0</v>
      </c>
      <c r="AX916">
        <f t="shared" si="253"/>
        <v>0</v>
      </c>
      <c r="AY916">
        <f t="shared" si="254"/>
        <v>0</v>
      </c>
    </row>
    <row r="917" customHeight="1" spans="1:51">
      <c r="A917" s="18" t="s">
        <v>453</v>
      </c>
      <c r="C917" s="18">
        <v>4</v>
      </c>
      <c r="D917" s="1" t="s">
        <v>220</v>
      </c>
      <c r="E917" s="1" t="s">
        <v>224</v>
      </c>
      <c r="L917" s="18">
        <f>IFERROR(VLOOKUP($D917&amp;$C917,生产方式定位!$A$2:$E$38,2,FALSE)+VLOOKUP($E917&amp;$C917,生产方式定位!$F$3:$J$38,2,FALSE),0)</f>
        <v>2600</v>
      </c>
      <c r="S917" s="18">
        <f>IFERROR(VLOOKUP($D917&amp;$C917,生产方式定位!$A$2:$E$38,3,FALSE)+VLOOKUP($E917&amp;$C917,生产方式定位!$F$3:$J$38,3,FALSE),0)</f>
        <v>40</v>
      </c>
      <c r="X917" s="18">
        <f>IFERROR(VLOOKUP($D917&amp;$C917,生产方式定位!$A$2:$E$38,5,FALSE)+VLOOKUP($E917&amp;$C917,生产方式定位!$F$3:$J$38,5,FALSE),"错误")</f>
        <v>2782</v>
      </c>
      <c r="Y917" s="27" t="str">
        <f t="shared" si="238"/>
        <v/>
      </c>
      <c r="Z917" s="50" t="str">
        <f t="shared" si="241"/>
        <v/>
      </c>
      <c r="AA917" s="50" t="str">
        <f t="shared" si="239"/>
        <v/>
      </c>
      <c r="AB917" s="28" t="str">
        <f t="shared" si="242"/>
        <v>7%</v>
      </c>
      <c r="AC917" s="1">
        <f t="shared" si="243"/>
        <v>142</v>
      </c>
      <c r="AD917" s="52">
        <f t="shared" si="240"/>
        <v>4</v>
      </c>
      <c r="AE917" t="str">
        <f t="shared" si="244"/>
        <v/>
      </c>
      <c r="AF917" t="str">
        <f t="shared" si="245"/>
        <v/>
      </c>
      <c r="AG917" t="str">
        <f t="shared" si="246"/>
        <v/>
      </c>
      <c r="AH917" t="str">
        <f t="shared" si="247"/>
        <v/>
      </c>
      <c r="AI917" t="str">
        <f t="shared" si="248"/>
        <v/>
      </c>
      <c r="AJ917" t="str">
        <f t="shared" si="249"/>
        <v/>
      </c>
      <c r="AK917" t="str">
        <f t="shared" si="250"/>
        <v/>
      </c>
      <c r="AL917" t="str">
        <f t="shared" si="251"/>
        <v/>
      </c>
      <c r="AN917" t="str">
        <f>IFERROR(ROUND(L917*(G917/$AW917)/VLOOKUP(F917,商品!$A$4:$D$67,4,FALSE),0),"")</f>
        <v/>
      </c>
      <c r="AO917" t="str">
        <f>IFERROR(ROUND(L917*(I917/$AW917)/VLOOKUP(H917,商品!$A$4:$D$67,4,FALSE),0),"")</f>
        <v/>
      </c>
      <c r="AP917" t="str">
        <f>IFERROR(ROUND(L917*(K917/$AW917)/VLOOKUP(J917,商品!$A$4:$D$67,4,FALSE),0),"")</f>
        <v/>
      </c>
      <c r="AQ917" t="str">
        <f>IFERROR(ROUND(S917*(N917/$AX917)/VLOOKUP(M917,职业!$A$3:$E$16,4,FALSE),0),"")</f>
        <v/>
      </c>
      <c r="AR917" t="str">
        <f>IFERROR(ROUND(S917*(P917/$AX917)/VLOOKUP(O917,职业!$A$3:$E$16,4,FALSE),0),"")</f>
        <v/>
      </c>
      <c r="AS917" t="str">
        <f>IFERROR(ROUND(S917*(R917/$AX917)/VLOOKUP(Q917,职业!$A$3:$E$16,4,FALSE),0),"")</f>
        <v/>
      </c>
      <c r="AT917" t="str">
        <f>IFERROR(ROUND(X917*(U917/$AY917)/VLOOKUP(T917,商品!$A$4:$D$67,4,FALSE),0),"")</f>
        <v/>
      </c>
      <c r="AU917" t="str">
        <f>IFERROR(ROUND(X917*(W917/$AY917)/VLOOKUP(V917,商品!$A$4:$D$67,4,FALSE),0),"")</f>
        <v/>
      </c>
      <c r="AW917">
        <f t="shared" si="252"/>
        <v>0</v>
      </c>
      <c r="AX917">
        <f t="shared" si="253"/>
        <v>0</v>
      </c>
      <c r="AY917">
        <f t="shared" si="254"/>
        <v>0</v>
      </c>
    </row>
    <row r="918" customHeight="1" spans="1:51">
      <c r="A918" s="18" t="s">
        <v>453</v>
      </c>
      <c r="C918" s="18">
        <v>5</v>
      </c>
      <c r="D918" s="1" t="s">
        <v>220</v>
      </c>
      <c r="E918" s="1" t="s">
        <v>224</v>
      </c>
      <c r="L918" s="18">
        <f>IFERROR(VLOOKUP($D918&amp;$C918,生产方式定位!$A$2:$E$38,2,FALSE)+VLOOKUP($E918&amp;$C918,生产方式定位!$F$3:$J$38,2,FALSE),0)</f>
        <v>3300</v>
      </c>
      <c r="S918" s="18">
        <f>IFERROR(VLOOKUP($D918&amp;$C918,生产方式定位!$A$2:$E$38,3,FALSE)+VLOOKUP($E918&amp;$C918,生产方式定位!$F$3:$J$38,3,FALSE),0)</f>
        <v>10</v>
      </c>
      <c r="X918" s="18">
        <f>IFERROR(VLOOKUP($D918&amp;$C918,生产方式定位!$A$2:$E$38,5,FALSE)+VLOOKUP($E918&amp;$C918,生产方式定位!$F$3:$J$38,5,FALSE),"错误")</f>
        <v>3500</v>
      </c>
      <c r="Y918" s="27" t="str">
        <f t="shared" si="238"/>
        <v/>
      </c>
      <c r="Z918" s="50" t="str">
        <f t="shared" si="241"/>
        <v/>
      </c>
      <c r="AA918" s="50" t="str">
        <f t="shared" si="239"/>
        <v/>
      </c>
      <c r="AB918" s="28" t="str">
        <f t="shared" si="242"/>
        <v>6%</v>
      </c>
      <c r="AC918" s="1">
        <f t="shared" si="243"/>
        <v>190</v>
      </c>
      <c r="AD918" s="52">
        <f t="shared" si="240"/>
        <v>5</v>
      </c>
      <c r="AE918" t="str">
        <f t="shared" si="244"/>
        <v/>
      </c>
      <c r="AF918" t="str">
        <f t="shared" si="245"/>
        <v/>
      </c>
      <c r="AG918" t="str">
        <f t="shared" si="246"/>
        <v/>
      </c>
      <c r="AH918" t="str">
        <f t="shared" si="247"/>
        <v/>
      </c>
      <c r="AI918" t="str">
        <f t="shared" si="248"/>
        <v/>
      </c>
      <c r="AJ918" t="str">
        <f t="shared" si="249"/>
        <v/>
      </c>
      <c r="AK918" t="str">
        <f t="shared" si="250"/>
        <v/>
      </c>
      <c r="AL918" t="str">
        <f t="shared" si="251"/>
        <v/>
      </c>
      <c r="AN918" t="str">
        <f>IFERROR(ROUND(L918*(G918/$AW918)/VLOOKUP(F918,商品!$A$4:$D$67,4,FALSE),0),"")</f>
        <v/>
      </c>
      <c r="AO918" t="str">
        <f>IFERROR(ROUND(L918*(I918/$AW918)/VLOOKUP(H918,商品!$A$4:$D$67,4,FALSE),0),"")</f>
        <v/>
      </c>
      <c r="AP918" t="str">
        <f>IFERROR(ROUND(L918*(K918/$AW918)/VLOOKUP(J918,商品!$A$4:$D$67,4,FALSE),0),"")</f>
        <v/>
      </c>
      <c r="AQ918" t="str">
        <f>IFERROR(ROUND(S918*(N918/$AX918)/VLOOKUP(M918,职业!$A$3:$E$16,4,FALSE),0),"")</f>
        <v/>
      </c>
      <c r="AR918" t="str">
        <f>IFERROR(ROUND(S918*(P918/$AX918)/VLOOKUP(O918,职业!$A$3:$E$16,4,FALSE),0),"")</f>
        <v/>
      </c>
      <c r="AS918" t="str">
        <f>IFERROR(ROUND(S918*(R918/$AX918)/VLOOKUP(Q918,职业!$A$3:$E$16,4,FALSE),0),"")</f>
        <v/>
      </c>
      <c r="AT918" t="str">
        <f>IFERROR(ROUND(X918*(U918/$AY918)/VLOOKUP(T918,商品!$A$4:$D$67,4,FALSE),0),"")</f>
        <v/>
      </c>
      <c r="AU918" t="str">
        <f>IFERROR(ROUND(X918*(W918/$AY918)/VLOOKUP(V918,商品!$A$4:$D$67,4,FALSE),0),"")</f>
        <v/>
      </c>
      <c r="AW918">
        <f t="shared" si="252"/>
        <v>0</v>
      </c>
      <c r="AX918">
        <f t="shared" si="253"/>
        <v>0</v>
      </c>
      <c r="AY918">
        <f t="shared" si="254"/>
        <v>0</v>
      </c>
    </row>
    <row r="919" customHeight="1" spans="1:51">
      <c r="A919" s="5" t="s">
        <v>453</v>
      </c>
      <c r="C919" s="5">
        <v>1</v>
      </c>
      <c r="D919" s="1" t="s">
        <v>220</v>
      </c>
      <c r="E919" s="1" t="s">
        <v>224</v>
      </c>
      <c r="L919" s="5">
        <f>IFERROR(VLOOKUP($D919&amp;$C919,生产方式定位!$A$2:$E$38,2,FALSE)+VLOOKUP($E919&amp;$C919,生产方式定位!$F$3:$J$38,2,FALSE),0)</f>
        <v>500</v>
      </c>
      <c r="S919" s="5">
        <f>IFERROR(VLOOKUP($D919&amp;$C919,生产方式定位!$A$2:$E$38,3,FALSE)+VLOOKUP($E919&amp;$C919,生产方式定位!$F$3:$J$38,3,FALSE),0)</f>
        <v>150</v>
      </c>
      <c r="X919" s="5">
        <f>IFERROR(VLOOKUP($D919&amp;$C919,生产方式定位!$A$2:$E$38,5,FALSE)+VLOOKUP($E919&amp;$C919,生产方式定位!$F$3:$J$38,5,FALSE),"错误")</f>
        <v>715</v>
      </c>
      <c r="Y919" s="27" t="str">
        <f t="shared" si="238"/>
        <v/>
      </c>
      <c r="Z919" s="50" t="str">
        <f t="shared" si="241"/>
        <v/>
      </c>
      <c r="AA919" s="50" t="str">
        <f t="shared" si="239"/>
        <v/>
      </c>
      <c r="AB919" s="28" t="str">
        <f t="shared" si="242"/>
        <v>43%</v>
      </c>
      <c r="AC919" s="1">
        <f t="shared" si="243"/>
        <v>65</v>
      </c>
      <c r="AD919" s="51">
        <f t="shared" si="240"/>
        <v>1</v>
      </c>
      <c r="AE919" t="str">
        <f t="shared" si="244"/>
        <v/>
      </c>
      <c r="AF919" t="str">
        <f t="shared" si="245"/>
        <v/>
      </c>
      <c r="AG919" t="str">
        <f t="shared" si="246"/>
        <v/>
      </c>
      <c r="AH919" t="str">
        <f t="shared" si="247"/>
        <v/>
      </c>
      <c r="AI919" t="str">
        <f t="shared" si="248"/>
        <v/>
      </c>
      <c r="AJ919" t="str">
        <f t="shared" si="249"/>
        <v/>
      </c>
      <c r="AK919" t="str">
        <f t="shared" si="250"/>
        <v/>
      </c>
      <c r="AL919" t="str">
        <f t="shared" si="251"/>
        <v/>
      </c>
      <c r="AN919" t="str">
        <f>IFERROR(ROUND(L919*(G919/$AW919)/VLOOKUP(F919,商品!$A$4:$D$67,4,FALSE),0),"")</f>
        <v/>
      </c>
      <c r="AO919" t="str">
        <f>IFERROR(ROUND(L919*(I919/$AW919)/VLOOKUP(H919,商品!$A$4:$D$67,4,FALSE),0),"")</f>
        <v/>
      </c>
      <c r="AP919" t="str">
        <f>IFERROR(ROUND(L919*(K919/$AW919)/VLOOKUP(J919,商品!$A$4:$D$67,4,FALSE),0),"")</f>
        <v/>
      </c>
      <c r="AQ919" t="str">
        <f>IFERROR(ROUND(S919*(N919/$AX919)/VLOOKUP(M919,职业!$A$3:$E$16,4,FALSE),0),"")</f>
        <v/>
      </c>
      <c r="AR919" t="str">
        <f>IFERROR(ROUND(S919*(P919/$AX919)/VLOOKUP(O919,职业!$A$3:$E$16,4,FALSE),0),"")</f>
        <v/>
      </c>
      <c r="AS919" t="str">
        <f>IFERROR(ROUND(S919*(R919/$AX919)/VLOOKUP(Q919,职业!$A$3:$E$16,4,FALSE),0),"")</f>
        <v/>
      </c>
      <c r="AT919" t="str">
        <f>IFERROR(ROUND(X919*(U919/$AY919)/VLOOKUP(T919,商品!$A$4:$D$67,4,FALSE),0),"")</f>
        <v/>
      </c>
      <c r="AU919" t="str">
        <f>IFERROR(ROUND(X919*(W919/$AY919)/VLOOKUP(V919,商品!$A$4:$D$67,4,FALSE),0),"")</f>
        <v/>
      </c>
      <c r="AW919">
        <f t="shared" si="252"/>
        <v>0</v>
      </c>
      <c r="AX919">
        <f t="shared" si="253"/>
        <v>0</v>
      </c>
      <c r="AY919">
        <f t="shared" si="254"/>
        <v>0</v>
      </c>
    </row>
    <row r="920" customHeight="1" spans="1:51">
      <c r="A920" s="5" t="s">
        <v>453</v>
      </c>
      <c r="C920" s="5">
        <v>2</v>
      </c>
      <c r="D920" s="1" t="s">
        <v>220</v>
      </c>
      <c r="E920" s="1" t="s">
        <v>224</v>
      </c>
      <c r="L920" s="5">
        <f>IFERROR(VLOOKUP($D920&amp;$C920,生产方式定位!$A$2:$E$38,2,FALSE)+VLOOKUP($E920&amp;$C920,生产方式定位!$F$3:$J$38,2,FALSE),0)</f>
        <v>1200</v>
      </c>
      <c r="S920" s="5">
        <f>IFERROR(VLOOKUP($D920&amp;$C920,生产方式定位!$A$2:$E$38,3,FALSE)+VLOOKUP($E920&amp;$C920,生产方式定位!$F$3:$J$38,3,FALSE),0)</f>
        <v>100</v>
      </c>
      <c r="X920" s="5">
        <f>IFERROR(VLOOKUP($D920&amp;$C920,生产方式定位!$A$2:$E$38,5,FALSE)+VLOOKUP($E920&amp;$C920,生产方式定位!$F$3:$J$38,5,FALSE),"错误")</f>
        <v>1346</v>
      </c>
      <c r="Y920" s="27" t="str">
        <f t="shared" si="238"/>
        <v/>
      </c>
      <c r="Z920" s="50" t="str">
        <f t="shared" si="241"/>
        <v/>
      </c>
      <c r="AA920" s="50" t="str">
        <f t="shared" si="239"/>
        <v/>
      </c>
      <c r="AB920" s="28" t="str">
        <f t="shared" si="242"/>
        <v>12%</v>
      </c>
      <c r="AC920" s="1">
        <f t="shared" si="243"/>
        <v>46</v>
      </c>
      <c r="AD920" s="51">
        <f t="shared" si="240"/>
        <v>2</v>
      </c>
      <c r="AE920" t="str">
        <f t="shared" si="244"/>
        <v/>
      </c>
      <c r="AF920" t="str">
        <f t="shared" si="245"/>
        <v/>
      </c>
      <c r="AG920" t="str">
        <f t="shared" si="246"/>
        <v/>
      </c>
      <c r="AH920" t="str">
        <f t="shared" si="247"/>
        <v/>
      </c>
      <c r="AI920" t="str">
        <f t="shared" si="248"/>
        <v/>
      </c>
      <c r="AJ920" t="str">
        <f t="shared" si="249"/>
        <v/>
      </c>
      <c r="AK920" t="str">
        <f t="shared" si="250"/>
        <v/>
      </c>
      <c r="AL920" t="str">
        <f t="shared" si="251"/>
        <v/>
      </c>
      <c r="AN920" t="str">
        <f>IFERROR(ROUND(L920*(G920/$AW920)/VLOOKUP(F920,商品!$A$4:$D$67,4,FALSE),0),"")</f>
        <v/>
      </c>
      <c r="AO920" t="str">
        <f>IFERROR(ROUND(L920*(I920/$AW920)/VLOOKUP(H920,商品!$A$4:$D$67,4,FALSE),0),"")</f>
        <v/>
      </c>
      <c r="AP920" t="str">
        <f>IFERROR(ROUND(L920*(K920/$AW920)/VLOOKUP(J920,商品!$A$4:$D$67,4,FALSE),0),"")</f>
        <v/>
      </c>
      <c r="AQ920" t="str">
        <f>IFERROR(ROUND(S920*(N920/$AX920)/VLOOKUP(M920,职业!$A$3:$E$16,4,FALSE),0),"")</f>
        <v/>
      </c>
      <c r="AR920" t="str">
        <f>IFERROR(ROUND(S920*(P920/$AX920)/VLOOKUP(O920,职业!$A$3:$E$16,4,FALSE),0),"")</f>
        <v/>
      </c>
      <c r="AS920" t="str">
        <f>IFERROR(ROUND(S920*(R920/$AX920)/VLOOKUP(Q920,职业!$A$3:$E$16,4,FALSE),0),"")</f>
        <v/>
      </c>
      <c r="AT920" t="str">
        <f>IFERROR(ROUND(X920*(U920/$AY920)/VLOOKUP(T920,商品!$A$4:$D$67,4,FALSE),0),"")</f>
        <v/>
      </c>
      <c r="AU920" t="str">
        <f>IFERROR(ROUND(X920*(W920/$AY920)/VLOOKUP(V920,商品!$A$4:$D$67,4,FALSE),0),"")</f>
        <v/>
      </c>
      <c r="AW920">
        <f t="shared" si="252"/>
        <v>0</v>
      </c>
      <c r="AX920">
        <f t="shared" si="253"/>
        <v>0</v>
      </c>
      <c r="AY920">
        <f t="shared" si="254"/>
        <v>0</v>
      </c>
    </row>
    <row r="921" customHeight="1" spans="1:51">
      <c r="A921" s="5" t="s">
        <v>453</v>
      </c>
      <c r="C921" s="5">
        <v>3</v>
      </c>
      <c r="D921" s="1" t="s">
        <v>220</v>
      </c>
      <c r="E921" s="1" t="s">
        <v>224</v>
      </c>
      <c r="L921" s="5">
        <f>IFERROR(VLOOKUP($D921&amp;$C921,生产方式定位!$A$2:$E$38,2,FALSE)+VLOOKUP($E921&amp;$C921,生产方式定位!$F$3:$J$38,2,FALSE),0)</f>
        <v>1900</v>
      </c>
      <c r="S921" s="5">
        <f>IFERROR(VLOOKUP($D921&amp;$C921,生产方式定位!$A$2:$E$38,3,FALSE)+VLOOKUP($E921&amp;$C921,生产方式定位!$F$3:$J$38,3,FALSE),0)</f>
        <v>70</v>
      </c>
      <c r="X921" s="5">
        <f>IFERROR(VLOOKUP($D921&amp;$C921,生产方式定位!$A$2:$E$38,5,FALSE)+VLOOKUP($E921&amp;$C921,生产方式定位!$F$3:$J$38,5,FALSE),"错误")</f>
        <v>2064</v>
      </c>
      <c r="Y921" s="27" t="str">
        <f t="shared" si="238"/>
        <v/>
      </c>
      <c r="Z921" s="50" t="str">
        <f t="shared" si="241"/>
        <v/>
      </c>
      <c r="AA921" s="50" t="str">
        <f t="shared" si="239"/>
        <v/>
      </c>
      <c r="AB921" s="28" t="str">
        <f t="shared" si="242"/>
        <v>9%</v>
      </c>
      <c r="AC921" s="1">
        <f t="shared" si="243"/>
        <v>94</v>
      </c>
      <c r="AD921" s="51">
        <f t="shared" si="240"/>
        <v>3</v>
      </c>
      <c r="AE921" t="str">
        <f t="shared" si="244"/>
        <v/>
      </c>
      <c r="AF921" t="str">
        <f t="shared" si="245"/>
        <v/>
      </c>
      <c r="AG921" t="str">
        <f t="shared" si="246"/>
        <v/>
      </c>
      <c r="AH921" t="str">
        <f t="shared" si="247"/>
        <v/>
      </c>
      <c r="AI921" t="str">
        <f t="shared" si="248"/>
        <v/>
      </c>
      <c r="AJ921" t="str">
        <f t="shared" si="249"/>
        <v/>
      </c>
      <c r="AK921" t="str">
        <f t="shared" si="250"/>
        <v/>
      </c>
      <c r="AL921" t="str">
        <f t="shared" si="251"/>
        <v/>
      </c>
      <c r="AN921" t="str">
        <f>IFERROR(ROUND(L921*(G921/$AW921)/VLOOKUP(F921,商品!$A$4:$D$67,4,FALSE),0),"")</f>
        <v/>
      </c>
      <c r="AO921" t="str">
        <f>IFERROR(ROUND(L921*(I921/$AW921)/VLOOKUP(H921,商品!$A$4:$D$67,4,FALSE),0),"")</f>
        <v/>
      </c>
      <c r="AP921" t="str">
        <f>IFERROR(ROUND(L921*(K921/$AW921)/VLOOKUP(J921,商品!$A$4:$D$67,4,FALSE),0),"")</f>
        <v/>
      </c>
      <c r="AQ921" t="str">
        <f>IFERROR(ROUND(S921*(N921/$AX921)/VLOOKUP(M921,职业!$A$3:$E$16,4,FALSE),0),"")</f>
        <v/>
      </c>
      <c r="AR921" t="str">
        <f>IFERROR(ROUND(S921*(P921/$AX921)/VLOOKUP(O921,职业!$A$3:$E$16,4,FALSE),0),"")</f>
        <v/>
      </c>
      <c r="AS921" t="str">
        <f>IFERROR(ROUND(S921*(R921/$AX921)/VLOOKUP(Q921,职业!$A$3:$E$16,4,FALSE),0),"")</f>
        <v/>
      </c>
      <c r="AT921" t="str">
        <f>IFERROR(ROUND(X921*(U921/$AY921)/VLOOKUP(T921,商品!$A$4:$D$67,4,FALSE),0),"")</f>
        <v/>
      </c>
      <c r="AU921" t="str">
        <f>IFERROR(ROUND(X921*(W921/$AY921)/VLOOKUP(V921,商品!$A$4:$D$67,4,FALSE),0),"")</f>
        <v/>
      </c>
      <c r="AW921">
        <f t="shared" si="252"/>
        <v>0</v>
      </c>
      <c r="AX921">
        <f t="shared" si="253"/>
        <v>0</v>
      </c>
      <c r="AY921">
        <f t="shared" si="254"/>
        <v>0</v>
      </c>
    </row>
    <row r="922" customHeight="1" spans="1:51">
      <c r="A922" s="5" t="s">
        <v>453</v>
      </c>
      <c r="C922" s="5">
        <v>4</v>
      </c>
      <c r="D922" s="1" t="s">
        <v>220</v>
      </c>
      <c r="E922" s="1" t="s">
        <v>224</v>
      </c>
      <c r="L922" s="5">
        <f>IFERROR(VLOOKUP($D922&amp;$C922,生产方式定位!$A$2:$E$38,2,FALSE)+VLOOKUP($E922&amp;$C922,生产方式定位!$F$3:$J$38,2,FALSE),0)</f>
        <v>2600</v>
      </c>
      <c r="S922" s="5">
        <f>IFERROR(VLOOKUP($D922&amp;$C922,生产方式定位!$A$2:$E$38,3,FALSE)+VLOOKUP($E922&amp;$C922,生产方式定位!$F$3:$J$38,3,FALSE),0)</f>
        <v>40</v>
      </c>
      <c r="X922" s="5">
        <f>IFERROR(VLOOKUP($D922&amp;$C922,生产方式定位!$A$2:$E$38,5,FALSE)+VLOOKUP($E922&amp;$C922,生产方式定位!$F$3:$J$38,5,FALSE),"错误")</f>
        <v>2782</v>
      </c>
      <c r="Y922" s="27" t="str">
        <f t="shared" si="238"/>
        <v/>
      </c>
      <c r="Z922" s="50" t="str">
        <f t="shared" si="241"/>
        <v/>
      </c>
      <c r="AA922" s="50" t="str">
        <f t="shared" si="239"/>
        <v/>
      </c>
      <c r="AB922" s="28" t="str">
        <f t="shared" si="242"/>
        <v>7%</v>
      </c>
      <c r="AC922" s="1">
        <f t="shared" si="243"/>
        <v>142</v>
      </c>
      <c r="AD922" s="51">
        <f t="shared" si="240"/>
        <v>4</v>
      </c>
      <c r="AE922" t="str">
        <f t="shared" si="244"/>
        <v/>
      </c>
      <c r="AF922" t="str">
        <f t="shared" si="245"/>
        <v/>
      </c>
      <c r="AG922" t="str">
        <f t="shared" si="246"/>
        <v/>
      </c>
      <c r="AH922" t="str">
        <f t="shared" si="247"/>
        <v/>
      </c>
      <c r="AI922" t="str">
        <f t="shared" si="248"/>
        <v/>
      </c>
      <c r="AJ922" t="str">
        <f t="shared" si="249"/>
        <v/>
      </c>
      <c r="AK922" t="str">
        <f t="shared" si="250"/>
        <v/>
      </c>
      <c r="AL922" t="str">
        <f t="shared" si="251"/>
        <v/>
      </c>
      <c r="AN922" t="str">
        <f>IFERROR(ROUND(L922*(G922/$AW922)/VLOOKUP(F922,商品!$A$4:$D$67,4,FALSE),0),"")</f>
        <v/>
      </c>
      <c r="AO922" t="str">
        <f>IFERROR(ROUND(L922*(I922/$AW922)/VLOOKUP(H922,商品!$A$4:$D$67,4,FALSE),0),"")</f>
        <v/>
      </c>
      <c r="AP922" t="str">
        <f>IFERROR(ROUND(L922*(K922/$AW922)/VLOOKUP(J922,商品!$A$4:$D$67,4,FALSE),0),"")</f>
        <v/>
      </c>
      <c r="AQ922" t="str">
        <f>IFERROR(ROUND(S922*(N922/$AX922)/VLOOKUP(M922,职业!$A$3:$E$16,4,FALSE),0),"")</f>
        <v/>
      </c>
      <c r="AR922" t="str">
        <f>IFERROR(ROUND(S922*(P922/$AX922)/VLOOKUP(O922,职业!$A$3:$E$16,4,FALSE),0),"")</f>
        <v/>
      </c>
      <c r="AS922" t="str">
        <f>IFERROR(ROUND(S922*(R922/$AX922)/VLOOKUP(Q922,职业!$A$3:$E$16,4,FALSE),0),"")</f>
        <v/>
      </c>
      <c r="AT922" t="str">
        <f>IFERROR(ROUND(X922*(U922/$AY922)/VLOOKUP(T922,商品!$A$4:$D$67,4,FALSE),0),"")</f>
        <v/>
      </c>
      <c r="AU922" t="str">
        <f>IFERROR(ROUND(X922*(W922/$AY922)/VLOOKUP(V922,商品!$A$4:$D$67,4,FALSE),0),"")</f>
        <v/>
      </c>
      <c r="AW922">
        <f t="shared" si="252"/>
        <v>0</v>
      </c>
      <c r="AX922">
        <f t="shared" si="253"/>
        <v>0</v>
      </c>
      <c r="AY922">
        <f t="shared" si="254"/>
        <v>0</v>
      </c>
    </row>
    <row r="923" customHeight="1" spans="1:51">
      <c r="A923" s="5" t="s">
        <v>453</v>
      </c>
      <c r="C923" s="5">
        <v>5</v>
      </c>
      <c r="D923" s="1" t="s">
        <v>220</v>
      </c>
      <c r="E923" s="1" t="s">
        <v>224</v>
      </c>
      <c r="L923" s="5">
        <f>IFERROR(VLOOKUP($D923&amp;$C923,生产方式定位!$A$2:$E$38,2,FALSE)+VLOOKUP($E923&amp;$C923,生产方式定位!$F$3:$J$38,2,FALSE),0)</f>
        <v>3300</v>
      </c>
      <c r="S923" s="5">
        <f>IFERROR(VLOOKUP($D923&amp;$C923,生产方式定位!$A$2:$E$38,3,FALSE)+VLOOKUP($E923&amp;$C923,生产方式定位!$F$3:$J$38,3,FALSE),0)</f>
        <v>10</v>
      </c>
      <c r="X923" s="5">
        <f>IFERROR(VLOOKUP($D923&amp;$C923,生产方式定位!$A$2:$E$38,5,FALSE)+VLOOKUP($E923&amp;$C923,生产方式定位!$F$3:$J$38,5,FALSE),"错误")</f>
        <v>3500</v>
      </c>
      <c r="Y923" s="27" t="str">
        <f t="shared" si="238"/>
        <v/>
      </c>
      <c r="Z923" s="50" t="str">
        <f t="shared" si="241"/>
        <v/>
      </c>
      <c r="AA923" s="50" t="str">
        <f t="shared" si="239"/>
        <v/>
      </c>
      <c r="AB923" s="28" t="str">
        <f t="shared" si="242"/>
        <v>6%</v>
      </c>
      <c r="AC923" s="1">
        <f t="shared" si="243"/>
        <v>190</v>
      </c>
      <c r="AD923" s="51">
        <f t="shared" si="240"/>
        <v>5</v>
      </c>
      <c r="AE923" t="str">
        <f t="shared" si="244"/>
        <v/>
      </c>
      <c r="AF923" t="str">
        <f t="shared" si="245"/>
        <v/>
      </c>
      <c r="AG923" t="str">
        <f t="shared" si="246"/>
        <v/>
      </c>
      <c r="AH923" t="str">
        <f t="shared" si="247"/>
        <v/>
      </c>
      <c r="AI923" t="str">
        <f t="shared" si="248"/>
        <v/>
      </c>
      <c r="AJ923" t="str">
        <f t="shared" si="249"/>
        <v/>
      </c>
      <c r="AK923" t="str">
        <f t="shared" si="250"/>
        <v/>
      </c>
      <c r="AL923" t="str">
        <f t="shared" si="251"/>
        <v/>
      </c>
      <c r="AN923" t="str">
        <f>IFERROR(ROUND(L923*(G923/$AW923)/VLOOKUP(F923,商品!$A$4:$D$67,4,FALSE),0),"")</f>
        <v/>
      </c>
      <c r="AO923" t="str">
        <f>IFERROR(ROUND(L923*(I923/$AW923)/VLOOKUP(H923,商品!$A$4:$D$67,4,FALSE),0),"")</f>
        <v/>
      </c>
      <c r="AP923" t="str">
        <f>IFERROR(ROUND(L923*(K923/$AW923)/VLOOKUP(J923,商品!$A$4:$D$67,4,FALSE),0),"")</f>
        <v/>
      </c>
      <c r="AQ923" t="str">
        <f>IFERROR(ROUND(S923*(N923/$AX923)/VLOOKUP(M923,职业!$A$3:$E$16,4,FALSE),0),"")</f>
        <v/>
      </c>
      <c r="AR923" t="str">
        <f>IFERROR(ROUND(S923*(P923/$AX923)/VLOOKUP(O923,职业!$A$3:$E$16,4,FALSE),0),"")</f>
        <v/>
      </c>
      <c r="AS923" t="str">
        <f>IFERROR(ROUND(S923*(R923/$AX923)/VLOOKUP(Q923,职业!$A$3:$E$16,4,FALSE),0),"")</f>
        <v/>
      </c>
      <c r="AT923" t="str">
        <f>IFERROR(ROUND(X923*(U923/$AY923)/VLOOKUP(T923,商品!$A$4:$D$67,4,FALSE),0),"")</f>
        <v/>
      </c>
      <c r="AU923" t="str">
        <f>IFERROR(ROUND(X923*(W923/$AY923)/VLOOKUP(V923,商品!$A$4:$D$67,4,FALSE),0),"")</f>
        <v/>
      </c>
      <c r="AW923">
        <f t="shared" si="252"/>
        <v>0</v>
      </c>
      <c r="AX923">
        <f t="shared" si="253"/>
        <v>0</v>
      </c>
      <c r="AY923">
        <f t="shared" si="254"/>
        <v>0</v>
      </c>
    </row>
    <row r="924" customHeight="1" spans="1:51">
      <c r="A924" s="18" t="s">
        <v>454</v>
      </c>
      <c r="C924" s="18">
        <v>1</v>
      </c>
      <c r="D924" s="1" t="s">
        <v>291</v>
      </c>
      <c r="E924" s="1" t="s">
        <v>225</v>
      </c>
      <c r="L924" s="18">
        <f>IFERROR(VLOOKUP($D924&amp;$C924,生产方式定位!$A$2:$E$38,2,FALSE)+VLOOKUP($E924&amp;$C924,生产方式定位!$F$3:$J$38,2,FALSE),0)</f>
        <v>0</v>
      </c>
      <c r="S924" s="18">
        <f>IFERROR(VLOOKUP($D924&amp;$C924,生产方式定位!$A$2:$E$38,3,FALSE)+VLOOKUP($E924&amp;$C924,生产方式定位!$F$3:$J$38,3,FALSE),0)</f>
        <v>100</v>
      </c>
      <c r="X924" s="18">
        <f>IFERROR(VLOOKUP($D924&amp;$C924,生产方式定位!$A$2:$E$38,5,FALSE)+VLOOKUP($E924&amp;$C924,生产方式定位!$F$3:$J$38,5,FALSE),"错误")</f>
        <v>100</v>
      </c>
      <c r="Y924" s="27" t="str">
        <f t="shared" si="238"/>
        <v/>
      </c>
      <c r="Z924" s="50" t="str">
        <f t="shared" si="241"/>
        <v/>
      </c>
      <c r="AA924" s="50" t="str">
        <f t="shared" si="239"/>
        <v/>
      </c>
      <c r="AB924" s="28" t="str">
        <f t="shared" si="242"/>
        <v/>
      </c>
      <c r="AC924" s="1" t="str">
        <f t="shared" si="243"/>
        <v/>
      </c>
      <c r="AD924" s="52">
        <f t="shared" si="240"/>
        <v>1</v>
      </c>
      <c r="AE924" t="str">
        <f t="shared" si="244"/>
        <v/>
      </c>
      <c r="AF924" t="str">
        <f t="shared" si="245"/>
        <v/>
      </c>
      <c r="AG924" t="str">
        <f t="shared" si="246"/>
        <v/>
      </c>
      <c r="AH924" t="str">
        <f t="shared" si="247"/>
        <v/>
      </c>
      <c r="AI924" t="str">
        <f t="shared" si="248"/>
        <v/>
      </c>
      <c r="AJ924" t="str">
        <f t="shared" si="249"/>
        <v/>
      </c>
      <c r="AK924" t="str">
        <f t="shared" si="250"/>
        <v/>
      </c>
      <c r="AL924" t="str">
        <f t="shared" si="251"/>
        <v/>
      </c>
      <c r="AN924" t="str">
        <f>IFERROR(ROUND(L924*(G924/$AW924)/VLOOKUP(F924,商品!$A$4:$D$67,4,FALSE),0),"")</f>
        <v/>
      </c>
      <c r="AO924" t="str">
        <f>IFERROR(ROUND(L924*(I924/$AW924)/VLOOKUP(H924,商品!$A$4:$D$67,4,FALSE),0),"")</f>
        <v/>
      </c>
      <c r="AP924" t="str">
        <f>IFERROR(ROUND(L924*(K924/$AW924)/VLOOKUP(J924,商品!$A$4:$D$67,4,FALSE),0),"")</f>
        <v/>
      </c>
      <c r="AQ924" t="str">
        <f>IFERROR(ROUND(S924*(N924/$AX924)/VLOOKUP(M924,职业!$A$3:$E$16,4,FALSE),0),"")</f>
        <v/>
      </c>
      <c r="AR924" t="str">
        <f>IFERROR(ROUND(S924*(P924/$AX924)/VLOOKUP(O924,职业!$A$3:$E$16,4,FALSE),0),"")</f>
        <v/>
      </c>
      <c r="AS924" t="str">
        <f>IFERROR(ROUND(S924*(R924/$AX924)/VLOOKUP(Q924,职业!$A$3:$E$16,4,FALSE),0),"")</f>
        <v/>
      </c>
      <c r="AT924" t="str">
        <f>IFERROR(ROUND(X924*(U924/$AY924)/VLOOKUP(T924,商品!$A$4:$D$67,4,FALSE),0),"")</f>
        <v/>
      </c>
      <c r="AU924" t="str">
        <f>IFERROR(ROUND(X924*(W924/$AY924)/VLOOKUP(V924,商品!$A$4:$D$67,4,FALSE),0),"")</f>
        <v/>
      </c>
      <c r="AW924">
        <f t="shared" si="252"/>
        <v>0</v>
      </c>
      <c r="AX924">
        <f t="shared" si="253"/>
        <v>0</v>
      </c>
      <c r="AY924">
        <f t="shared" si="254"/>
        <v>0</v>
      </c>
    </row>
    <row r="925" customHeight="1" spans="1:51">
      <c r="A925" s="18" t="s">
        <v>454</v>
      </c>
      <c r="C925" s="18">
        <v>2</v>
      </c>
      <c r="D925" s="1" t="s">
        <v>291</v>
      </c>
      <c r="E925" s="1" t="s">
        <v>225</v>
      </c>
      <c r="L925" s="18">
        <f>IFERROR(VLOOKUP($D925&amp;$C925,生产方式定位!$A$2:$E$38,2,FALSE)+VLOOKUP($E925&amp;$C925,生产方式定位!$F$3:$J$38,2,FALSE),0)</f>
        <v>0</v>
      </c>
      <c r="S925" s="18">
        <f>IFERROR(VLOOKUP($D925&amp;$C925,生产方式定位!$A$2:$E$38,3,FALSE)+VLOOKUP($E925&amp;$C925,生产方式定位!$F$3:$J$38,3,FALSE),0)</f>
        <v>100</v>
      </c>
      <c r="X925" s="18">
        <f>IFERROR(VLOOKUP($D925&amp;$C925,生产方式定位!$A$2:$E$38,5,FALSE)+VLOOKUP($E925&amp;$C925,生产方式定位!$F$3:$J$38,5,FALSE),"错误")</f>
        <v>100</v>
      </c>
      <c r="Y925" s="27" t="str">
        <f t="shared" si="238"/>
        <v/>
      </c>
      <c r="Z925" s="50" t="str">
        <f t="shared" si="241"/>
        <v/>
      </c>
      <c r="AA925" s="50" t="str">
        <f t="shared" si="239"/>
        <v/>
      </c>
      <c r="AB925" s="28" t="str">
        <f t="shared" si="242"/>
        <v/>
      </c>
      <c r="AC925" s="1" t="str">
        <f t="shared" si="243"/>
        <v/>
      </c>
      <c r="AD925" s="52">
        <f t="shared" si="240"/>
        <v>2</v>
      </c>
      <c r="AE925" t="str">
        <f t="shared" si="244"/>
        <v/>
      </c>
      <c r="AF925" t="str">
        <f t="shared" si="245"/>
        <v/>
      </c>
      <c r="AG925" t="str">
        <f t="shared" si="246"/>
        <v/>
      </c>
      <c r="AH925" t="str">
        <f t="shared" si="247"/>
        <v/>
      </c>
      <c r="AI925" t="str">
        <f t="shared" si="248"/>
        <v/>
      </c>
      <c r="AJ925" t="str">
        <f t="shared" si="249"/>
        <v/>
      </c>
      <c r="AK925" t="str">
        <f t="shared" si="250"/>
        <v/>
      </c>
      <c r="AL925" t="str">
        <f t="shared" si="251"/>
        <v/>
      </c>
      <c r="AN925" t="str">
        <f>IFERROR(ROUND(L925*(G925/$AW925)/VLOOKUP(F925,商品!$A$4:$D$67,4,FALSE),0),"")</f>
        <v/>
      </c>
      <c r="AO925" t="str">
        <f>IFERROR(ROUND(L925*(I925/$AW925)/VLOOKUP(H925,商品!$A$4:$D$67,4,FALSE),0),"")</f>
        <v/>
      </c>
      <c r="AP925" t="str">
        <f>IFERROR(ROUND(L925*(K925/$AW925)/VLOOKUP(J925,商品!$A$4:$D$67,4,FALSE),0),"")</f>
        <v/>
      </c>
      <c r="AQ925" t="str">
        <f>IFERROR(ROUND(S925*(N925/$AX925)/VLOOKUP(M925,职业!$A$3:$E$16,4,FALSE),0),"")</f>
        <v/>
      </c>
      <c r="AR925" t="str">
        <f>IFERROR(ROUND(S925*(P925/$AX925)/VLOOKUP(O925,职业!$A$3:$E$16,4,FALSE),0),"")</f>
        <v/>
      </c>
      <c r="AS925" t="str">
        <f>IFERROR(ROUND(S925*(R925/$AX925)/VLOOKUP(Q925,职业!$A$3:$E$16,4,FALSE),0),"")</f>
        <v/>
      </c>
      <c r="AT925" t="str">
        <f>IFERROR(ROUND(X925*(U925/$AY925)/VLOOKUP(T925,商品!$A$4:$D$67,4,FALSE),0),"")</f>
        <v/>
      </c>
      <c r="AU925" t="str">
        <f>IFERROR(ROUND(X925*(W925/$AY925)/VLOOKUP(V925,商品!$A$4:$D$67,4,FALSE),0),"")</f>
        <v/>
      </c>
      <c r="AW925">
        <f t="shared" si="252"/>
        <v>0</v>
      </c>
      <c r="AX925">
        <f t="shared" si="253"/>
        <v>0</v>
      </c>
      <c r="AY925">
        <f t="shared" si="254"/>
        <v>0</v>
      </c>
    </row>
    <row r="926" customHeight="1" spans="1:51">
      <c r="A926" s="18" t="s">
        <v>454</v>
      </c>
      <c r="C926" s="18">
        <v>3</v>
      </c>
      <c r="D926" s="1" t="s">
        <v>291</v>
      </c>
      <c r="E926" s="1" t="s">
        <v>225</v>
      </c>
      <c r="L926" s="18">
        <f>IFERROR(VLOOKUP($D926&amp;$C926,生产方式定位!$A$2:$E$38,2,FALSE)+VLOOKUP($E926&amp;$C926,生产方式定位!$F$3:$J$38,2,FALSE),0)</f>
        <v>0</v>
      </c>
      <c r="S926" s="18">
        <f>IFERROR(VLOOKUP($D926&amp;$C926,生产方式定位!$A$2:$E$38,3,FALSE)+VLOOKUP($E926&amp;$C926,生产方式定位!$F$3:$J$38,3,FALSE),0)</f>
        <v>100</v>
      </c>
      <c r="X926" s="18">
        <f>IFERROR(VLOOKUP($D926&amp;$C926,生产方式定位!$A$2:$E$38,5,FALSE)+VLOOKUP($E926&amp;$C926,生产方式定位!$F$3:$J$38,5,FALSE),"错误")</f>
        <v>100</v>
      </c>
      <c r="Y926" s="27" t="str">
        <f t="shared" si="238"/>
        <v/>
      </c>
      <c r="Z926" s="50" t="str">
        <f t="shared" si="241"/>
        <v/>
      </c>
      <c r="AA926" s="50" t="str">
        <f t="shared" si="239"/>
        <v/>
      </c>
      <c r="AB926" s="28" t="str">
        <f t="shared" si="242"/>
        <v/>
      </c>
      <c r="AC926" s="1" t="str">
        <f t="shared" si="243"/>
        <v/>
      </c>
      <c r="AD926" s="52">
        <f t="shared" si="240"/>
        <v>3</v>
      </c>
      <c r="AE926" t="str">
        <f t="shared" si="244"/>
        <v/>
      </c>
      <c r="AF926" t="str">
        <f t="shared" si="245"/>
        <v/>
      </c>
      <c r="AG926" t="str">
        <f t="shared" si="246"/>
        <v/>
      </c>
      <c r="AH926" t="str">
        <f t="shared" si="247"/>
        <v/>
      </c>
      <c r="AI926" t="str">
        <f t="shared" si="248"/>
        <v/>
      </c>
      <c r="AJ926" t="str">
        <f t="shared" si="249"/>
        <v/>
      </c>
      <c r="AK926" t="str">
        <f t="shared" si="250"/>
        <v/>
      </c>
      <c r="AL926" t="str">
        <f t="shared" si="251"/>
        <v/>
      </c>
      <c r="AN926" t="str">
        <f>IFERROR(ROUND(L926*(G926/$AW926)/VLOOKUP(F926,商品!$A$4:$D$67,4,FALSE),0),"")</f>
        <v/>
      </c>
      <c r="AO926" t="str">
        <f>IFERROR(ROUND(L926*(I926/$AW926)/VLOOKUP(H926,商品!$A$4:$D$67,4,FALSE),0),"")</f>
        <v/>
      </c>
      <c r="AP926" t="str">
        <f>IFERROR(ROUND(L926*(K926/$AW926)/VLOOKUP(J926,商品!$A$4:$D$67,4,FALSE),0),"")</f>
        <v/>
      </c>
      <c r="AQ926" t="str">
        <f>IFERROR(ROUND(S926*(N926/$AX926)/VLOOKUP(M926,职业!$A$3:$E$16,4,FALSE),0),"")</f>
        <v/>
      </c>
      <c r="AR926" t="str">
        <f>IFERROR(ROUND(S926*(P926/$AX926)/VLOOKUP(O926,职业!$A$3:$E$16,4,FALSE),0),"")</f>
        <v/>
      </c>
      <c r="AS926" t="str">
        <f>IFERROR(ROUND(S926*(R926/$AX926)/VLOOKUP(Q926,职业!$A$3:$E$16,4,FALSE),0),"")</f>
        <v/>
      </c>
      <c r="AT926" t="str">
        <f>IFERROR(ROUND(X926*(U926/$AY926)/VLOOKUP(T926,商品!$A$4:$D$67,4,FALSE),0),"")</f>
        <v/>
      </c>
      <c r="AU926" t="str">
        <f>IFERROR(ROUND(X926*(W926/$AY926)/VLOOKUP(V926,商品!$A$4:$D$67,4,FALSE),0),"")</f>
        <v/>
      </c>
      <c r="AW926">
        <f t="shared" si="252"/>
        <v>0</v>
      </c>
      <c r="AX926">
        <f t="shared" si="253"/>
        <v>0</v>
      </c>
      <c r="AY926">
        <f t="shared" si="254"/>
        <v>0</v>
      </c>
    </row>
    <row r="927" customHeight="1" spans="1:51">
      <c r="A927" s="18" t="s">
        <v>454</v>
      </c>
      <c r="C927" s="18">
        <v>4</v>
      </c>
      <c r="D927" s="1" t="s">
        <v>291</v>
      </c>
      <c r="E927" s="1" t="s">
        <v>225</v>
      </c>
      <c r="L927" s="18">
        <f>IFERROR(VLOOKUP($D927&amp;$C927,生产方式定位!$A$2:$E$38,2,FALSE)+VLOOKUP($E927&amp;$C927,生产方式定位!$F$3:$J$38,2,FALSE),0)</f>
        <v>0</v>
      </c>
      <c r="S927" s="18">
        <f>IFERROR(VLOOKUP($D927&amp;$C927,生产方式定位!$A$2:$E$38,3,FALSE)+VLOOKUP($E927&amp;$C927,生产方式定位!$F$3:$J$38,3,FALSE),0)</f>
        <v>100</v>
      </c>
      <c r="X927" s="18">
        <f>IFERROR(VLOOKUP($D927&amp;$C927,生产方式定位!$A$2:$E$38,5,FALSE)+VLOOKUP($E927&amp;$C927,生产方式定位!$F$3:$J$38,5,FALSE),"错误")</f>
        <v>100</v>
      </c>
      <c r="Y927" s="27" t="str">
        <f t="shared" si="238"/>
        <v/>
      </c>
      <c r="Z927" s="50" t="str">
        <f t="shared" si="241"/>
        <v/>
      </c>
      <c r="AA927" s="50" t="str">
        <f t="shared" si="239"/>
        <v/>
      </c>
      <c r="AB927" s="28" t="str">
        <f t="shared" si="242"/>
        <v/>
      </c>
      <c r="AC927" s="1" t="str">
        <f t="shared" si="243"/>
        <v/>
      </c>
      <c r="AD927" s="52">
        <f t="shared" si="240"/>
        <v>4</v>
      </c>
      <c r="AE927" t="str">
        <f t="shared" si="244"/>
        <v/>
      </c>
      <c r="AF927" t="str">
        <f t="shared" si="245"/>
        <v/>
      </c>
      <c r="AG927" t="str">
        <f t="shared" si="246"/>
        <v/>
      </c>
      <c r="AH927" t="str">
        <f t="shared" si="247"/>
        <v/>
      </c>
      <c r="AI927" t="str">
        <f t="shared" si="248"/>
        <v/>
      </c>
      <c r="AJ927" t="str">
        <f t="shared" si="249"/>
        <v/>
      </c>
      <c r="AK927" t="str">
        <f t="shared" si="250"/>
        <v/>
      </c>
      <c r="AL927" t="str">
        <f t="shared" si="251"/>
        <v/>
      </c>
      <c r="AN927" t="str">
        <f>IFERROR(ROUND(L927*(G927/$AW927)/VLOOKUP(F927,商品!$A$4:$D$67,4,FALSE),0),"")</f>
        <v/>
      </c>
      <c r="AO927" t="str">
        <f>IFERROR(ROUND(L927*(I927/$AW927)/VLOOKUP(H927,商品!$A$4:$D$67,4,FALSE),0),"")</f>
        <v/>
      </c>
      <c r="AP927" t="str">
        <f>IFERROR(ROUND(L927*(K927/$AW927)/VLOOKUP(J927,商品!$A$4:$D$67,4,FALSE),0),"")</f>
        <v/>
      </c>
      <c r="AQ927" t="str">
        <f>IFERROR(ROUND(S927*(N927/$AX927)/VLOOKUP(M927,职业!$A$3:$E$16,4,FALSE),0),"")</f>
        <v/>
      </c>
      <c r="AR927" t="str">
        <f>IFERROR(ROUND(S927*(P927/$AX927)/VLOOKUP(O927,职业!$A$3:$E$16,4,FALSE),0),"")</f>
        <v/>
      </c>
      <c r="AS927" t="str">
        <f>IFERROR(ROUND(S927*(R927/$AX927)/VLOOKUP(Q927,职业!$A$3:$E$16,4,FALSE),0),"")</f>
        <v/>
      </c>
      <c r="AT927" t="str">
        <f>IFERROR(ROUND(X927*(U927/$AY927)/VLOOKUP(T927,商品!$A$4:$D$67,4,FALSE),0),"")</f>
        <v/>
      </c>
      <c r="AU927" t="str">
        <f>IFERROR(ROUND(X927*(W927/$AY927)/VLOOKUP(V927,商品!$A$4:$D$67,4,FALSE),0),"")</f>
        <v/>
      </c>
      <c r="AW927">
        <f t="shared" si="252"/>
        <v>0</v>
      </c>
      <c r="AX927">
        <f t="shared" si="253"/>
        <v>0</v>
      </c>
      <c r="AY927">
        <f t="shared" si="254"/>
        <v>0</v>
      </c>
    </row>
    <row r="928" customHeight="1" spans="1:51">
      <c r="A928" s="18" t="s">
        <v>454</v>
      </c>
      <c r="C928" s="18">
        <v>5</v>
      </c>
      <c r="D928" s="1" t="s">
        <v>291</v>
      </c>
      <c r="E928" s="1" t="s">
        <v>225</v>
      </c>
      <c r="L928" s="18">
        <f>IFERROR(VLOOKUP($D928&amp;$C928,生产方式定位!$A$2:$E$38,2,FALSE)+VLOOKUP($E928&amp;$C928,生产方式定位!$F$3:$J$38,2,FALSE),0)</f>
        <v>0</v>
      </c>
      <c r="S928" s="18">
        <f>IFERROR(VLOOKUP($D928&amp;$C928,生产方式定位!$A$2:$E$38,3,FALSE)+VLOOKUP($E928&amp;$C928,生产方式定位!$F$3:$J$38,3,FALSE),0)</f>
        <v>100</v>
      </c>
      <c r="X928" s="18">
        <f>IFERROR(VLOOKUP($D928&amp;$C928,生产方式定位!$A$2:$E$38,5,FALSE)+VLOOKUP($E928&amp;$C928,生产方式定位!$F$3:$J$38,5,FALSE),"错误")</f>
        <v>100</v>
      </c>
      <c r="Y928" s="27" t="str">
        <f t="shared" si="238"/>
        <v/>
      </c>
      <c r="Z928" s="50" t="str">
        <f t="shared" si="241"/>
        <v/>
      </c>
      <c r="AA928" s="50" t="str">
        <f t="shared" si="239"/>
        <v/>
      </c>
      <c r="AB928" s="28" t="str">
        <f t="shared" si="242"/>
        <v/>
      </c>
      <c r="AC928" s="1" t="str">
        <f t="shared" si="243"/>
        <v/>
      </c>
      <c r="AD928" s="52">
        <f t="shared" si="240"/>
        <v>5</v>
      </c>
      <c r="AE928" t="str">
        <f t="shared" si="244"/>
        <v/>
      </c>
      <c r="AF928" t="str">
        <f t="shared" si="245"/>
        <v/>
      </c>
      <c r="AG928" t="str">
        <f t="shared" si="246"/>
        <v/>
      </c>
      <c r="AH928" t="str">
        <f t="shared" si="247"/>
        <v/>
      </c>
      <c r="AI928" t="str">
        <f t="shared" si="248"/>
        <v/>
      </c>
      <c r="AJ928" t="str">
        <f t="shared" si="249"/>
        <v/>
      </c>
      <c r="AK928" t="str">
        <f t="shared" si="250"/>
        <v/>
      </c>
      <c r="AL928" t="str">
        <f t="shared" si="251"/>
        <v/>
      </c>
      <c r="AN928" t="str">
        <f>IFERROR(ROUND(L928*(G928/$AW928)/VLOOKUP(F928,商品!$A$4:$D$67,4,FALSE),0),"")</f>
        <v/>
      </c>
      <c r="AO928" t="str">
        <f>IFERROR(ROUND(L928*(I928/$AW928)/VLOOKUP(H928,商品!$A$4:$D$67,4,FALSE),0),"")</f>
        <v/>
      </c>
      <c r="AP928" t="str">
        <f>IFERROR(ROUND(L928*(K928/$AW928)/VLOOKUP(J928,商品!$A$4:$D$67,4,FALSE),0),"")</f>
        <v/>
      </c>
      <c r="AQ928" t="str">
        <f>IFERROR(ROUND(S928*(N928/$AX928)/VLOOKUP(M928,职业!$A$3:$E$16,4,FALSE),0),"")</f>
        <v/>
      </c>
      <c r="AR928" t="str">
        <f>IFERROR(ROUND(S928*(P928/$AX928)/VLOOKUP(O928,职业!$A$3:$E$16,4,FALSE),0),"")</f>
        <v/>
      </c>
      <c r="AS928" t="str">
        <f>IFERROR(ROUND(S928*(R928/$AX928)/VLOOKUP(Q928,职业!$A$3:$E$16,4,FALSE),0),"")</f>
        <v/>
      </c>
      <c r="AT928" t="str">
        <f>IFERROR(ROUND(X928*(U928/$AY928)/VLOOKUP(T928,商品!$A$4:$D$67,4,FALSE),0),"")</f>
        <v/>
      </c>
      <c r="AU928" t="str">
        <f>IFERROR(ROUND(X928*(W928/$AY928)/VLOOKUP(V928,商品!$A$4:$D$67,4,FALSE),0),"")</f>
        <v/>
      </c>
      <c r="AW928">
        <f t="shared" si="252"/>
        <v>0</v>
      </c>
      <c r="AX928">
        <f t="shared" si="253"/>
        <v>0</v>
      </c>
      <c r="AY928">
        <f t="shared" si="254"/>
        <v>0</v>
      </c>
    </row>
    <row r="929" customHeight="1" spans="1:51">
      <c r="A929" s="18" t="s">
        <v>454</v>
      </c>
      <c r="C929" s="18">
        <v>6</v>
      </c>
      <c r="D929" s="1" t="s">
        <v>291</v>
      </c>
      <c r="E929" s="1" t="s">
        <v>225</v>
      </c>
      <c r="L929" s="18">
        <f>IFERROR(VLOOKUP($D929&amp;$C929,生产方式定位!$A$2:$E$38,2,FALSE)+VLOOKUP($E929&amp;$C929,生产方式定位!$F$3:$J$38,2,FALSE),0)</f>
        <v>0</v>
      </c>
      <c r="S929" s="18">
        <f>IFERROR(VLOOKUP($D929&amp;$C929,生产方式定位!$A$2:$E$38,3,FALSE)+VLOOKUP($E929&amp;$C929,生产方式定位!$F$3:$J$38,3,FALSE),0)</f>
        <v>100</v>
      </c>
      <c r="X929" s="18">
        <f>IFERROR(VLOOKUP($D929&amp;$C929,生产方式定位!$A$2:$E$38,5,FALSE)+VLOOKUP($E929&amp;$C929,生产方式定位!$F$3:$J$38,5,FALSE),"错误")</f>
        <v>100</v>
      </c>
      <c r="Y929" s="27" t="str">
        <f t="shared" si="238"/>
        <v/>
      </c>
      <c r="Z929" s="50" t="str">
        <f t="shared" si="241"/>
        <v/>
      </c>
      <c r="AA929" s="50" t="str">
        <f t="shared" si="239"/>
        <v/>
      </c>
      <c r="AB929" s="28" t="str">
        <f t="shared" si="242"/>
        <v/>
      </c>
      <c r="AC929" s="1" t="str">
        <f t="shared" si="243"/>
        <v/>
      </c>
      <c r="AD929" s="52">
        <f t="shared" si="240"/>
        <v>6</v>
      </c>
      <c r="AE929" t="str">
        <f t="shared" si="244"/>
        <v/>
      </c>
      <c r="AF929" t="str">
        <f t="shared" si="245"/>
        <v/>
      </c>
      <c r="AG929" t="str">
        <f t="shared" si="246"/>
        <v/>
      </c>
      <c r="AH929" t="str">
        <f t="shared" si="247"/>
        <v/>
      </c>
      <c r="AI929" t="str">
        <f t="shared" si="248"/>
        <v/>
      </c>
      <c r="AJ929" t="str">
        <f t="shared" si="249"/>
        <v/>
      </c>
      <c r="AK929" t="str">
        <f t="shared" si="250"/>
        <v/>
      </c>
      <c r="AL929" t="str">
        <f t="shared" si="251"/>
        <v/>
      </c>
      <c r="AN929" t="str">
        <f>IFERROR(ROUND(L929*(G929/$AW929)/VLOOKUP(F929,商品!$A$4:$D$67,4,FALSE),0),"")</f>
        <v/>
      </c>
      <c r="AO929" t="str">
        <f>IFERROR(ROUND(L929*(I929/$AW929)/VLOOKUP(H929,商品!$A$4:$D$67,4,FALSE),0),"")</f>
        <v/>
      </c>
      <c r="AP929" t="str">
        <f>IFERROR(ROUND(L929*(K929/$AW929)/VLOOKUP(J929,商品!$A$4:$D$67,4,FALSE),0),"")</f>
        <v/>
      </c>
      <c r="AQ929" t="str">
        <f>IFERROR(ROUND(S929*(N929/$AX929)/VLOOKUP(M929,职业!$A$3:$E$16,4,FALSE),0),"")</f>
        <v/>
      </c>
      <c r="AR929" t="str">
        <f>IFERROR(ROUND(S929*(P929/$AX929)/VLOOKUP(O929,职业!$A$3:$E$16,4,FALSE),0),"")</f>
        <v/>
      </c>
      <c r="AS929" t="str">
        <f>IFERROR(ROUND(S929*(R929/$AX929)/VLOOKUP(Q929,职业!$A$3:$E$16,4,FALSE),0),"")</f>
        <v/>
      </c>
      <c r="AT929" t="str">
        <f>IFERROR(ROUND(X929*(U929/$AY929)/VLOOKUP(T929,商品!$A$4:$D$67,4,FALSE),0),"")</f>
        <v/>
      </c>
      <c r="AU929" t="str">
        <f>IFERROR(ROUND(X929*(W929/$AY929)/VLOOKUP(V929,商品!$A$4:$D$67,4,FALSE),0),"")</f>
        <v/>
      </c>
      <c r="AW929">
        <f t="shared" si="252"/>
        <v>0</v>
      </c>
      <c r="AX929">
        <f t="shared" si="253"/>
        <v>0</v>
      </c>
      <c r="AY929">
        <f t="shared" si="254"/>
        <v>0</v>
      </c>
    </row>
    <row r="930" customHeight="1" spans="1:51">
      <c r="A930" s="18" t="s">
        <v>454</v>
      </c>
      <c r="C930" s="18">
        <v>7</v>
      </c>
      <c r="D930" s="1" t="s">
        <v>291</v>
      </c>
      <c r="E930" s="1" t="s">
        <v>225</v>
      </c>
      <c r="L930" s="18">
        <f>IFERROR(VLOOKUP($D930&amp;$C930,生产方式定位!$A$2:$E$38,2,FALSE)+VLOOKUP($E930&amp;$C930,生产方式定位!$F$3:$J$38,2,FALSE),0)</f>
        <v>0</v>
      </c>
      <c r="S930" s="18">
        <f>IFERROR(VLOOKUP($D930&amp;$C930,生产方式定位!$A$2:$E$38,3,FALSE)+VLOOKUP($E930&amp;$C930,生产方式定位!$F$3:$J$38,3,FALSE),0)</f>
        <v>100</v>
      </c>
      <c r="X930" s="18">
        <f>IFERROR(VLOOKUP($D930&amp;$C930,生产方式定位!$A$2:$E$38,5,FALSE)+VLOOKUP($E930&amp;$C930,生产方式定位!$F$3:$J$38,5,FALSE),"错误")</f>
        <v>100</v>
      </c>
      <c r="Y930" s="27" t="str">
        <f t="shared" si="238"/>
        <v/>
      </c>
      <c r="Z930" s="50" t="str">
        <f t="shared" si="241"/>
        <v/>
      </c>
      <c r="AA930" s="50" t="str">
        <f t="shared" si="239"/>
        <v/>
      </c>
      <c r="AB930" s="28" t="str">
        <f t="shared" si="242"/>
        <v/>
      </c>
      <c r="AC930" s="1" t="str">
        <f t="shared" si="243"/>
        <v/>
      </c>
      <c r="AD930" s="52">
        <f t="shared" si="240"/>
        <v>7</v>
      </c>
      <c r="AE930" t="str">
        <f t="shared" si="244"/>
        <v/>
      </c>
      <c r="AF930" t="str">
        <f t="shared" si="245"/>
        <v/>
      </c>
      <c r="AG930" t="str">
        <f t="shared" si="246"/>
        <v/>
      </c>
      <c r="AH930" t="str">
        <f t="shared" si="247"/>
        <v/>
      </c>
      <c r="AI930" t="str">
        <f t="shared" si="248"/>
        <v/>
      </c>
      <c r="AJ930" t="str">
        <f t="shared" si="249"/>
        <v/>
      </c>
      <c r="AK930" t="str">
        <f t="shared" si="250"/>
        <v/>
      </c>
      <c r="AL930" t="str">
        <f t="shared" si="251"/>
        <v/>
      </c>
      <c r="AN930" t="str">
        <f>IFERROR(ROUND(L930*(G930/$AW930)/VLOOKUP(F930,商品!$A$4:$D$67,4,FALSE),0),"")</f>
        <v/>
      </c>
      <c r="AO930" t="str">
        <f>IFERROR(ROUND(L930*(I930/$AW930)/VLOOKUP(H930,商品!$A$4:$D$67,4,FALSE),0),"")</f>
        <v/>
      </c>
      <c r="AP930" t="str">
        <f>IFERROR(ROUND(L930*(K930/$AW930)/VLOOKUP(J930,商品!$A$4:$D$67,4,FALSE),0),"")</f>
        <v/>
      </c>
      <c r="AQ930" t="str">
        <f>IFERROR(ROUND(S930*(N930/$AX930)/VLOOKUP(M930,职业!$A$3:$E$16,4,FALSE),0),"")</f>
        <v/>
      </c>
      <c r="AR930" t="str">
        <f>IFERROR(ROUND(S930*(P930/$AX930)/VLOOKUP(O930,职业!$A$3:$E$16,4,FALSE),0),"")</f>
        <v/>
      </c>
      <c r="AS930" t="str">
        <f>IFERROR(ROUND(S930*(R930/$AX930)/VLOOKUP(Q930,职业!$A$3:$E$16,4,FALSE),0),"")</f>
        <v/>
      </c>
      <c r="AT930" t="str">
        <f>IFERROR(ROUND(X930*(U930/$AY930)/VLOOKUP(T930,商品!$A$4:$D$67,4,FALSE),0),"")</f>
        <v/>
      </c>
      <c r="AU930" t="str">
        <f>IFERROR(ROUND(X930*(W930/$AY930)/VLOOKUP(V930,商品!$A$4:$D$67,4,FALSE),0),"")</f>
        <v/>
      </c>
      <c r="AW930">
        <f t="shared" si="252"/>
        <v>0</v>
      </c>
      <c r="AX930">
        <f t="shared" si="253"/>
        <v>0</v>
      </c>
      <c r="AY930">
        <f t="shared" si="254"/>
        <v>0</v>
      </c>
    </row>
    <row r="931" customHeight="1" spans="1:51">
      <c r="A931" s="18" t="s">
        <v>454</v>
      </c>
      <c r="C931" s="18">
        <v>8</v>
      </c>
      <c r="D931" s="1" t="s">
        <v>291</v>
      </c>
      <c r="E931" s="1" t="s">
        <v>225</v>
      </c>
      <c r="L931" s="18">
        <f>IFERROR(VLOOKUP($D931&amp;$C931,生产方式定位!$A$2:$E$38,2,FALSE)+VLOOKUP($E931&amp;$C931,生产方式定位!$F$3:$J$38,2,FALSE),0)</f>
        <v>0</v>
      </c>
      <c r="S931" s="18">
        <f>IFERROR(VLOOKUP($D931&amp;$C931,生产方式定位!$A$2:$E$38,3,FALSE)+VLOOKUP($E931&amp;$C931,生产方式定位!$F$3:$J$38,3,FALSE),0)</f>
        <v>100</v>
      </c>
      <c r="X931" s="18">
        <f>IFERROR(VLOOKUP($D931&amp;$C931,生产方式定位!$A$2:$E$38,5,FALSE)+VLOOKUP($E931&amp;$C931,生产方式定位!$F$3:$J$38,5,FALSE),"错误")</f>
        <v>100</v>
      </c>
      <c r="Y931" s="27" t="str">
        <f t="shared" si="238"/>
        <v/>
      </c>
      <c r="Z931" s="50" t="str">
        <f t="shared" si="241"/>
        <v/>
      </c>
      <c r="AA931" s="50" t="str">
        <f t="shared" si="239"/>
        <v/>
      </c>
      <c r="AB931" s="28" t="str">
        <f t="shared" si="242"/>
        <v/>
      </c>
      <c r="AC931" s="1" t="str">
        <f t="shared" si="243"/>
        <v/>
      </c>
      <c r="AD931" s="52">
        <f t="shared" si="240"/>
        <v>8</v>
      </c>
      <c r="AE931" t="str">
        <f t="shared" si="244"/>
        <v/>
      </c>
      <c r="AF931" t="str">
        <f t="shared" si="245"/>
        <v/>
      </c>
      <c r="AG931" t="str">
        <f t="shared" si="246"/>
        <v/>
      </c>
      <c r="AH931" t="str">
        <f t="shared" si="247"/>
        <v/>
      </c>
      <c r="AI931" t="str">
        <f t="shared" si="248"/>
        <v/>
      </c>
      <c r="AJ931" t="str">
        <f t="shared" si="249"/>
        <v/>
      </c>
      <c r="AK931" t="str">
        <f t="shared" si="250"/>
        <v/>
      </c>
      <c r="AL931" t="str">
        <f t="shared" si="251"/>
        <v/>
      </c>
      <c r="AN931" t="str">
        <f>IFERROR(ROUND(L931*(G931/$AW931)/VLOOKUP(F931,商品!$A$4:$D$67,4,FALSE),0),"")</f>
        <v/>
      </c>
      <c r="AO931" t="str">
        <f>IFERROR(ROUND(L931*(I931/$AW931)/VLOOKUP(H931,商品!$A$4:$D$67,4,FALSE),0),"")</f>
        <v/>
      </c>
      <c r="AP931" t="str">
        <f>IFERROR(ROUND(L931*(K931/$AW931)/VLOOKUP(J931,商品!$A$4:$D$67,4,FALSE),0),"")</f>
        <v/>
      </c>
      <c r="AQ931" t="str">
        <f>IFERROR(ROUND(S931*(N931/$AX931)/VLOOKUP(M931,职业!$A$3:$E$16,4,FALSE),0),"")</f>
        <v/>
      </c>
      <c r="AR931" t="str">
        <f>IFERROR(ROUND(S931*(P931/$AX931)/VLOOKUP(O931,职业!$A$3:$E$16,4,FALSE),0),"")</f>
        <v/>
      </c>
      <c r="AS931" t="str">
        <f>IFERROR(ROUND(S931*(R931/$AX931)/VLOOKUP(Q931,职业!$A$3:$E$16,4,FALSE),0),"")</f>
        <v/>
      </c>
      <c r="AT931" t="str">
        <f>IFERROR(ROUND(X931*(U931/$AY931)/VLOOKUP(T931,商品!$A$4:$D$67,4,FALSE),0),"")</f>
        <v/>
      </c>
      <c r="AU931" t="str">
        <f>IFERROR(ROUND(X931*(W931/$AY931)/VLOOKUP(V931,商品!$A$4:$D$67,4,FALSE),0),"")</f>
        <v/>
      </c>
      <c r="AW931">
        <f t="shared" si="252"/>
        <v>0</v>
      </c>
      <c r="AX931">
        <f t="shared" si="253"/>
        <v>0</v>
      </c>
      <c r="AY931">
        <f t="shared" si="254"/>
        <v>0</v>
      </c>
    </row>
    <row r="932" customHeight="1" spans="1:51">
      <c r="A932" s="5" t="s">
        <v>456</v>
      </c>
      <c r="C932" s="5">
        <v>1</v>
      </c>
      <c r="D932" s="1" t="s">
        <v>220</v>
      </c>
      <c r="E932" s="1" t="s">
        <v>222</v>
      </c>
      <c r="L932" s="5">
        <f>IFERROR(VLOOKUP($D932&amp;$C932,生产方式定位!$A$2:$E$38,2,FALSE)+VLOOKUP($E932&amp;$C932,生产方式定位!$F$3:$J$38,2,FALSE),0)</f>
        <v>500</v>
      </c>
      <c r="S932" s="5">
        <f>IFERROR(VLOOKUP($D932&amp;$C932,生产方式定位!$A$2:$E$38,3,FALSE)+VLOOKUP($E932&amp;$C932,生产方式定位!$F$3:$J$38,3,FALSE),0)</f>
        <v>150</v>
      </c>
      <c r="X932" s="5">
        <f>IFERROR(VLOOKUP($D932&amp;$C932,生产方式定位!$A$2:$E$38,5,FALSE)+VLOOKUP($E932&amp;$C932,生产方式定位!$F$3:$J$38,5,FALSE),"错误")</f>
        <v>715</v>
      </c>
      <c r="Y932" s="27" t="str">
        <f t="shared" si="238"/>
        <v/>
      </c>
      <c r="Z932" s="50" t="str">
        <f t="shared" si="241"/>
        <v/>
      </c>
      <c r="AA932" s="50" t="str">
        <f t="shared" si="239"/>
        <v/>
      </c>
      <c r="AB932" s="28" t="str">
        <f t="shared" si="242"/>
        <v>43%</v>
      </c>
      <c r="AC932" s="1">
        <f t="shared" si="243"/>
        <v>65</v>
      </c>
      <c r="AD932" s="51">
        <f t="shared" si="240"/>
        <v>1</v>
      </c>
      <c r="AE932" t="str">
        <f t="shared" si="244"/>
        <v/>
      </c>
      <c r="AF932" t="str">
        <f t="shared" si="245"/>
        <v/>
      </c>
      <c r="AG932" t="str">
        <f t="shared" si="246"/>
        <v/>
      </c>
      <c r="AH932" t="str">
        <f t="shared" si="247"/>
        <v/>
      </c>
      <c r="AI932" t="str">
        <f t="shared" si="248"/>
        <v/>
      </c>
      <c r="AJ932" t="str">
        <f t="shared" si="249"/>
        <v/>
      </c>
      <c r="AK932" t="str">
        <f t="shared" si="250"/>
        <v/>
      </c>
      <c r="AL932" t="str">
        <f t="shared" si="251"/>
        <v/>
      </c>
      <c r="AN932" t="str">
        <f>IFERROR(ROUND(L932*(G932/$AW932)/VLOOKUP(F932,商品!$A$4:$D$67,4,FALSE),0),"")</f>
        <v/>
      </c>
      <c r="AO932" t="str">
        <f>IFERROR(ROUND(L932*(I932/$AW932)/VLOOKUP(H932,商品!$A$4:$D$67,4,FALSE),0),"")</f>
        <v/>
      </c>
      <c r="AP932" t="str">
        <f>IFERROR(ROUND(L932*(K932/$AW932)/VLOOKUP(J932,商品!$A$4:$D$67,4,FALSE),0),"")</f>
        <v/>
      </c>
      <c r="AQ932" t="str">
        <f>IFERROR(ROUND(S932*(N932/$AX932)/VLOOKUP(M932,职业!$A$3:$E$16,4,FALSE),0),"")</f>
        <v/>
      </c>
      <c r="AR932" t="str">
        <f>IFERROR(ROUND(S932*(P932/$AX932)/VLOOKUP(O932,职业!$A$3:$E$16,4,FALSE),0),"")</f>
        <v/>
      </c>
      <c r="AS932" t="str">
        <f>IFERROR(ROUND(S932*(R932/$AX932)/VLOOKUP(Q932,职业!$A$3:$E$16,4,FALSE),0),"")</f>
        <v/>
      </c>
      <c r="AT932" t="str">
        <f>IFERROR(ROUND(X932*(U932/$AY932)/VLOOKUP(T932,商品!$A$4:$D$67,4,FALSE),0),"")</f>
        <v/>
      </c>
      <c r="AU932" t="str">
        <f>IFERROR(ROUND(X932*(W932/$AY932)/VLOOKUP(V932,商品!$A$4:$D$67,4,FALSE),0),"")</f>
        <v/>
      </c>
      <c r="AW932">
        <f t="shared" si="252"/>
        <v>0</v>
      </c>
      <c r="AX932">
        <f t="shared" si="253"/>
        <v>0</v>
      </c>
      <c r="AY932">
        <f t="shared" si="254"/>
        <v>0</v>
      </c>
    </row>
    <row r="933" customHeight="1" spans="1:51">
      <c r="A933" s="5" t="s">
        <v>456</v>
      </c>
      <c r="C933" s="5">
        <v>2</v>
      </c>
      <c r="D933" s="1" t="s">
        <v>220</v>
      </c>
      <c r="E933" s="1" t="s">
        <v>222</v>
      </c>
      <c r="L933" s="5">
        <f>IFERROR(VLOOKUP($D933&amp;$C933,生产方式定位!$A$2:$E$38,2,FALSE)+VLOOKUP($E933&amp;$C933,生产方式定位!$F$3:$J$38,2,FALSE),0)</f>
        <v>1200</v>
      </c>
      <c r="S933" s="5">
        <f>IFERROR(VLOOKUP($D933&amp;$C933,生产方式定位!$A$2:$E$38,3,FALSE)+VLOOKUP($E933&amp;$C933,生产方式定位!$F$3:$J$38,3,FALSE),0)</f>
        <v>140</v>
      </c>
      <c r="X933" s="5">
        <f>IFERROR(VLOOKUP($D933&amp;$C933,生产方式定位!$A$2:$E$38,5,FALSE)+VLOOKUP($E933&amp;$C933,生产方式定位!$F$3:$J$38,5,FALSE),"错误")</f>
        <v>1390</v>
      </c>
      <c r="Y933" s="27" t="str">
        <f t="shared" si="238"/>
        <v/>
      </c>
      <c r="Z933" s="50" t="str">
        <f t="shared" si="241"/>
        <v/>
      </c>
      <c r="AA933" s="50" t="str">
        <f t="shared" si="239"/>
        <v/>
      </c>
      <c r="AB933" s="28" t="str">
        <f t="shared" si="242"/>
        <v>16%</v>
      </c>
      <c r="AC933" s="1">
        <f t="shared" si="243"/>
        <v>50</v>
      </c>
      <c r="AD933" s="51">
        <f t="shared" si="240"/>
        <v>2</v>
      </c>
      <c r="AE933" t="str">
        <f t="shared" si="244"/>
        <v/>
      </c>
      <c r="AF933" t="str">
        <f t="shared" si="245"/>
        <v/>
      </c>
      <c r="AG933" t="str">
        <f t="shared" si="246"/>
        <v/>
      </c>
      <c r="AH933" t="str">
        <f t="shared" si="247"/>
        <v/>
      </c>
      <c r="AI933" t="str">
        <f t="shared" si="248"/>
        <v/>
      </c>
      <c r="AJ933" t="str">
        <f t="shared" si="249"/>
        <v/>
      </c>
      <c r="AK933" t="str">
        <f t="shared" si="250"/>
        <v/>
      </c>
      <c r="AL933" t="str">
        <f t="shared" si="251"/>
        <v/>
      </c>
      <c r="AN933" t="str">
        <f>IFERROR(ROUND(L933*(G933/$AW933)/VLOOKUP(F933,商品!$A$4:$D$67,4,FALSE),0),"")</f>
        <v/>
      </c>
      <c r="AO933" t="str">
        <f>IFERROR(ROUND(L933*(I933/$AW933)/VLOOKUP(H933,商品!$A$4:$D$67,4,FALSE),0),"")</f>
        <v/>
      </c>
      <c r="AP933" t="str">
        <f>IFERROR(ROUND(L933*(K933/$AW933)/VLOOKUP(J933,商品!$A$4:$D$67,4,FALSE),0),"")</f>
        <v/>
      </c>
      <c r="AQ933" t="str">
        <f>IFERROR(ROUND(S933*(N933/$AX933)/VLOOKUP(M933,职业!$A$3:$E$16,4,FALSE),0),"")</f>
        <v/>
      </c>
      <c r="AR933" t="str">
        <f>IFERROR(ROUND(S933*(P933/$AX933)/VLOOKUP(O933,职业!$A$3:$E$16,4,FALSE),0),"")</f>
        <v/>
      </c>
      <c r="AS933" t="str">
        <f>IFERROR(ROUND(S933*(R933/$AX933)/VLOOKUP(Q933,职业!$A$3:$E$16,4,FALSE),0),"")</f>
        <v/>
      </c>
      <c r="AT933" t="str">
        <f>IFERROR(ROUND(X933*(U933/$AY933)/VLOOKUP(T933,商品!$A$4:$D$67,4,FALSE),0),"")</f>
        <v/>
      </c>
      <c r="AU933" t="str">
        <f>IFERROR(ROUND(X933*(W933/$AY933)/VLOOKUP(V933,商品!$A$4:$D$67,4,FALSE),0),"")</f>
        <v/>
      </c>
      <c r="AW933">
        <f t="shared" si="252"/>
        <v>0</v>
      </c>
      <c r="AX933">
        <f t="shared" si="253"/>
        <v>0</v>
      </c>
      <c r="AY933">
        <f t="shared" si="254"/>
        <v>0</v>
      </c>
    </row>
    <row r="934" customHeight="1" spans="1:51">
      <c r="A934" s="5" t="s">
        <v>456</v>
      </c>
      <c r="C934" s="5">
        <v>3</v>
      </c>
      <c r="D934" s="1" t="s">
        <v>220</v>
      </c>
      <c r="E934" s="1" t="s">
        <v>222</v>
      </c>
      <c r="L934" s="5">
        <f>IFERROR(VLOOKUP($D934&amp;$C934,生产方式定位!$A$2:$E$38,2,FALSE)+VLOOKUP($E934&amp;$C934,生产方式定位!$F$3:$J$38,2,FALSE),0)</f>
        <v>1525</v>
      </c>
      <c r="S934" s="5">
        <f>IFERROR(VLOOKUP($D934&amp;$C934,生产方式定位!$A$2:$E$38,3,FALSE)+VLOOKUP($E934&amp;$C934,生产方式定位!$F$3:$J$38,3,FALSE),0)</f>
        <v>130</v>
      </c>
      <c r="X934" s="5">
        <f>IFERROR(VLOOKUP($D934&amp;$C934,生产方式定位!$A$2:$E$38,5,FALSE)+VLOOKUP($E934&amp;$C934,生产方式定位!$F$3:$J$38,5,FALSE),"错误")</f>
        <v>1718</v>
      </c>
      <c r="Y934" s="27" t="str">
        <f t="shared" si="238"/>
        <v/>
      </c>
      <c r="Z934" s="50" t="str">
        <f t="shared" si="241"/>
        <v/>
      </c>
      <c r="AA934" s="50" t="str">
        <f t="shared" si="239"/>
        <v/>
      </c>
      <c r="AB934" s="28" t="str">
        <f t="shared" si="242"/>
        <v>13%</v>
      </c>
      <c r="AC934" s="1">
        <f t="shared" si="243"/>
        <v>63</v>
      </c>
      <c r="AD934" s="51">
        <f t="shared" si="240"/>
        <v>3</v>
      </c>
      <c r="AE934" t="str">
        <f t="shared" si="244"/>
        <v/>
      </c>
      <c r="AF934" t="str">
        <f t="shared" si="245"/>
        <v/>
      </c>
      <c r="AG934" t="str">
        <f t="shared" si="246"/>
        <v/>
      </c>
      <c r="AH934" t="str">
        <f t="shared" si="247"/>
        <v/>
      </c>
      <c r="AI934" t="str">
        <f t="shared" si="248"/>
        <v/>
      </c>
      <c r="AJ934" t="str">
        <f t="shared" si="249"/>
        <v/>
      </c>
      <c r="AK934" t="str">
        <f t="shared" si="250"/>
        <v/>
      </c>
      <c r="AL934" t="str">
        <f t="shared" si="251"/>
        <v/>
      </c>
      <c r="AN934" t="str">
        <f>IFERROR(ROUND(L934*(G934/$AW934)/VLOOKUP(F934,商品!$A$4:$D$67,4,FALSE),0),"")</f>
        <v/>
      </c>
      <c r="AO934" t="str">
        <f>IFERROR(ROUND(L934*(I934/$AW934)/VLOOKUP(H934,商品!$A$4:$D$67,4,FALSE),0),"")</f>
        <v/>
      </c>
      <c r="AP934" t="str">
        <f>IFERROR(ROUND(L934*(K934/$AW934)/VLOOKUP(J934,商品!$A$4:$D$67,4,FALSE),0),"")</f>
        <v/>
      </c>
      <c r="AQ934" t="str">
        <f>IFERROR(ROUND(S934*(N934/$AX934)/VLOOKUP(M934,职业!$A$3:$E$16,4,FALSE),0),"")</f>
        <v/>
      </c>
      <c r="AR934" t="str">
        <f>IFERROR(ROUND(S934*(P934/$AX934)/VLOOKUP(O934,职业!$A$3:$E$16,4,FALSE),0),"")</f>
        <v/>
      </c>
      <c r="AS934" t="str">
        <f>IFERROR(ROUND(S934*(R934/$AX934)/VLOOKUP(Q934,职业!$A$3:$E$16,4,FALSE),0),"")</f>
        <v/>
      </c>
      <c r="AT934" t="str">
        <f>IFERROR(ROUND(X934*(U934/$AY934)/VLOOKUP(T934,商品!$A$4:$D$67,4,FALSE),0),"")</f>
        <v/>
      </c>
      <c r="AU934" t="str">
        <f>IFERROR(ROUND(X934*(W934/$AY934)/VLOOKUP(V934,商品!$A$4:$D$67,4,FALSE),0),"")</f>
        <v/>
      </c>
      <c r="AW934">
        <f t="shared" si="252"/>
        <v>0</v>
      </c>
      <c r="AX934">
        <f t="shared" si="253"/>
        <v>0</v>
      </c>
      <c r="AY934">
        <f t="shared" si="254"/>
        <v>0</v>
      </c>
    </row>
    <row r="935" customHeight="1" spans="1:51">
      <c r="A935" s="5" t="s">
        <v>456</v>
      </c>
      <c r="C935" s="5">
        <v>4</v>
      </c>
      <c r="D935" s="1" t="s">
        <v>220</v>
      </c>
      <c r="E935" s="1" t="s">
        <v>222</v>
      </c>
      <c r="L935" s="5">
        <f>IFERROR(VLOOKUP($D935&amp;$C935,生产方式定位!$A$2:$E$38,2,FALSE)+VLOOKUP($E935&amp;$C935,生产方式定位!$F$3:$J$38,2,FALSE),0)</f>
        <v>1850</v>
      </c>
      <c r="S935" s="5">
        <f>IFERROR(VLOOKUP($D935&amp;$C935,生产方式定位!$A$2:$E$38,3,FALSE)+VLOOKUP($E935&amp;$C935,生产方式定位!$F$3:$J$38,3,FALSE),0)</f>
        <v>120</v>
      </c>
      <c r="X935" s="5">
        <f>IFERROR(VLOOKUP($D935&amp;$C935,生产方式定位!$A$2:$E$38,5,FALSE)+VLOOKUP($E935&amp;$C935,生产方式定位!$F$3:$J$38,5,FALSE),"错误")</f>
        <v>2045</v>
      </c>
      <c r="Y935" s="27" t="str">
        <f t="shared" si="238"/>
        <v/>
      </c>
      <c r="Z935" s="50" t="str">
        <f t="shared" si="241"/>
        <v/>
      </c>
      <c r="AA935" s="50" t="str">
        <f t="shared" si="239"/>
        <v/>
      </c>
      <c r="AB935" s="28" t="str">
        <f t="shared" si="242"/>
        <v>11%</v>
      </c>
      <c r="AC935" s="1">
        <f t="shared" si="243"/>
        <v>75</v>
      </c>
      <c r="AD935" s="51">
        <f t="shared" si="240"/>
        <v>4</v>
      </c>
      <c r="AE935" t="str">
        <f t="shared" si="244"/>
        <v/>
      </c>
      <c r="AF935" t="str">
        <f t="shared" si="245"/>
        <v/>
      </c>
      <c r="AG935" t="str">
        <f t="shared" si="246"/>
        <v/>
      </c>
      <c r="AH935" t="str">
        <f t="shared" si="247"/>
        <v/>
      </c>
      <c r="AI935" t="str">
        <f t="shared" si="248"/>
        <v/>
      </c>
      <c r="AJ935" t="str">
        <f t="shared" si="249"/>
        <v/>
      </c>
      <c r="AK935" t="str">
        <f t="shared" si="250"/>
        <v/>
      </c>
      <c r="AL935" t="str">
        <f t="shared" si="251"/>
        <v/>
      </c>
      <c r="AN935" t="str">
        <f>IFERROR(ROUND(L935*(G935/$AW935)/VLOOKUP(F935,商品!$A$4:$D$67,4,FALSE),0),"")</f>
        <v/>
      </c>
      <c r="AO935" t="str">
        <f>IFERROR(ROUND(L935*(I935/$AW935)/VLOOKUP(H935,商品!$A$4:$D$67,4,FALSE),0),"")</f>
        <v/>
      </c>
      <c r="AP935" t="str">
        <f>IFERROR(ROUND(L935*(K935/$AW935)/VLOOKUP(J935,商品!$A$4:$D$67,4,FALSE),0),"")</f>
        <v/>
      </c>
      <c r="AQ935" t="str">
        <f>IFERROR(ROUND(S935*(N935/$AX935)/VLOOKUP(M935,职业!$A$3:$E$16,4,FALSE),0),"")</f>
        <v/>
      </c>
      <c r="AR935" t="str">
        <f>IFERROR(ROUND(S935*(P935/$AX935)/VLOOKUP(O935,职业!$A$3:$E$16,4,FALSE),0),"")</f>
        <v/>
      </c>
      <c r="AS935" t="str">
        <f>IFERROR(ROUND(S935*(R935/$AX935)/VLOOKUP(Q935,职业!$A$3:$E$16,4,FALSE),0),"")</f>
        <v/>
      </c>
      <c r="AT935" t="str">
        <f>IFERROR(ROUND(X935*(U935/$AY935)/VLOOKUP(T935,商品!$A$4:$D$67,4,FALSE),0),"")</f>
        <v/>
      </c>
      <c r="AU935" t="str">
        <f>IFERROR(ROUND(X935*(W935/$AY935)/VLOOKUP(V935,商品!$A$4:$D$67,4,FALSE),0),"")</f>
        <v/>
      </c>
      <c r="AW935">
        <f t="shared" si="252"/>
        <v>0</v>
      </c>
      <c r="AX935">
        <f t="shared" si="253"/>
        <v>0</v>
      </c>
      <c r="AY935">
        <f t="shared" si="254"/>
        <v>0</v>
      </c>
    </row>
    <row r="936" customHeight="1" spans="1:51">
      <c r="A936" s="5" t="s">
        <v>456</v>
      </c>
      <c r="C936" s="5">
        <v>5</v>
      </c>
      <c r="D936" s="1" t="s">
        <v>220</v>
      </c>
      <c r="E936" s="1" t="s">
        <v>222</v>
      </c>
      <c r="L936" s="5">
        <f>IFERROR(VLOOKUP($D936&amp;$C936,生产方式定位!$A$2:$E$38,2,FALSE)+VLOOKUP($E936&amp;$C936,生产方式定位!$F$3:$J$38,2,FALSE),0)</f>
        <v>2175</v>
      </c>
      <c r="S936" s="5">
        <f>IFERROR(VLOOKUP($D936&amp;$C936,生产方式定位!$A$2:$E$38,3,FALSE)+VLOOKUP($E936&amp;$C936,生产方式定位!$F$3:$J$38,3,FALSE),0)</f>
        <v>110</v>
      </c>
      <c r="X936" s="5">
        <f>IFERROR(VLOOKUP($D936&amp;$C936,生产方式定位!$A$2:$E$38,5,FALSE)+VLOOKUP($E936&amp;$C936,生产方式定位!$F$3:$J$38,5,FALSE),"错误")</f>
        <v>2373</v>
      </c>
      <c r="Y936" s="27" t="str">
        <f t="shared" si="238"/>
        <v/>
      </c>
      <c r="Z936" s="50" t="str">
        <f t="shared" si="241"/>
        <v/>
      </c>
      <c r="AA936" s="50" t="str">
        <f t="shared" si="239"/>
        <v/>
      </c>
      <c r="AB936" s="28" t="str">
        <f t="shared" si="242"/>
        <v>9%</v>
      </c>
      <c r="AC936" s="1">
        <f t="shared" si="243"/>
        <v>88</v>
      </c>
      <c r="AD936" s="51">
        <f t="shared" si="240"/>
        <v>5</v>
      </c>
      <c r="AE936" t="str">
        <f t="shared" si="244"/>
        <v/>
      </c>
      <c r="AF936" t="str">
        <f t="shared" si="245"/>
        <v/>
      </c>
      <c r="AG936" t="str">
        <f t="shared" si="246"/>
        <v/>
      </c>
      <c r="AH936" t="str">
        <f t="shared" si="247"/>
        <v/>
      </c>
      <c r="AI936" t="str">
        <f t="shared" si="248"/>
        <v/>
      </c>
      <c r="AJ936" t="str">
        <f t="shared" si="249"/>
        <v/>
      </c>
      <c r="AK936" t="str">
        <f t="shared" si="250"/>
        <v/>
      </c>
      <c r="AL936" t="str">
        <f t="shared" si="251"/>
        <v/>
      </c>
      <c r="AN936" t="str">
        <f>IFERROR(ROUND(L936*(G936/$AW936)/VLOOKUP(F936,商品!$A$4:$D$67,4,FALSE),0),"")</f>
        <v/>
      </c>
      <c r="AO936" t="str">
        <f>IFERROR(ROUND(L936*(I936/$AW936)/VLOOKUP(H936,商品!$A$4:$D$67,4,FALSE),0),"")</f>
        <v/>
      </c>
      <c r="AP936" t="str">
        <f>IFERROR(ROUND(L936*(K936/$AW936)/VLOOKUP(J936,商品!$A$4:$D$67,4,FALSE),0),"")</f>
        <v/>
      </c>
      <c r="AQ936" t="str">
        <f>IFERROR(ROUND(S936*(N936/$AX936)/VLOOKUP(M936,职业!$A$3:$E$16,4,FALSE),0),"")</f>
        <v/>
      </c>
      <c r="AR936" t="str">
        <f>IFERROR(ROUND(S936*(P936/$AX936)/VLOOKUP(O936,职业!$A$3:$E$16,4,FALSE),0),"")</f>
        <v/>
      </c>
      <c r="AS936" t="str">
        <f>IFERROR(ROUND(S936*(R936/$AX936)/VLOOKUP(Q936,职业!$A$3:$E$16,4,FALSE),0),"")</f>
        <v/>
      </c>
      <c r="AT936" t="str">
        <f>IFERROR(ROUND(X936*(U936/$AY936)/VLOOKUP(T936,商品!$A$4:$D$67,4,FALSE),0),"")</f>
        <v/>
      </c>
      <c r="AU936" t="str">
        <f>IFERROR(ROUND(X936*(W936/$AY936)/VLOOKUP(V936,商品!$A$4:$D$67,4,FALSE),0),"")</f>
        <v/>
      </c>
      <c r="AW936">
        <f t="shared" si="252"/>
        <v>0</v>
      </c>
      <c r="AX936">
        <f t="shared" si="253"/>
        <v>0</v>
      </c>
      <c r="AY936">
        <f t="shared" si="254"/>
        <v>0</v>
      </c>
    </row>
    <row r="937" customHeight="1" spans="1:51">
      <c r="A937" s="18" t="s">
        <v>457</v>
      </c>
      <c r="C937" s="18">
        <v>1</v>
      </c>
      <c r="D937" s="1" t="s">
        <v>220</v>
      </c>
      <c r="E937" s="1" t="s">
        <v>224</v>
      </c>
      <c r="L937" s="18">
        <f>IFERROR(VLOOKUP($D937&amp;$C937,生产方式定位!$A$2:$E$38,2,FALSE)+VLOOKUP($E937&amp;$C937,生产方式定位!$F$3:$J$38,2,FALSE),0)</f>
        <v>500</v>
      </c>
      <c r="S937" s="18">
        <f>IFERROR(VLOOKUP($D937&amp;$C937,生产方式定位!$A$2:$E$38,3,FALSE)+VLOOKUP($E937&amp;$C937,生产方式定位!$F$3:$J$38,3,FALSE),0)</f>
        <v>150</v>
      </c>
      <c r="X937" s="18">
        <f>IFERROR(VLOOKUP($D937&amp;$C937,生产方式定位!$A$2:$E$38,5,FALSE)+VLOOKUP($E937&amp;$C937,生产方式定位!$F$3:$J$38,5,FALSE),"错误")</f>
        <v>715</v>
      </c>
      <c r="Y937" s="27" t="str">
        <f t="shared" si="238"/>
        <v/>
      </c>
      <c r="Z937" s="50" t="str">
        <f t="shared" si="241"/>
        <v/>
      </c>
      <c r="AA937" s="50" t="str">
        <f t="shared" si="239"/>
        <v/>
      </c>
      <c r="AB937" s="28" t="str">
        <f t="shared" si="242"/>
        <v>43%</v>
      </c>
      <c r="AC937" s="1">
        <f t="shared" si="243"/>
        <v>65</v>
      </c>
      <c r="AD937" s="52">
        <f t="shared" si="240"/>
        <v>1</v>
      </c>
      <c r="AE937" t="str">
        <f t="shared" si="244"/>
        <v/>
      </c>
      <c r="AF937" t="str">
        <f t="shared" si="245"/>
        <v/>
      </c>
      <c r="AG937" t="str">
        <f t="shared" si="246"/>
        <v/>
      </c>
      <c r="AH937" t="str">
        <f t="shared" si="247"/>
        <v/>
      </c>
      <c r="AI937" t="str">
        <f t="shared" si="248"/>
        <v/>
      </c>
      <c r="AJ937" t="str">
        <f t="shared" si="249"/>
        <v/>
      </c>
      <c r="AK937" t="str">
        <f t="shared" si="250"/>
        <v/>
      </c>
      <c r="AL937" t="str">
        <f t="shared" si="251"/>
        <v/>
      </c>
      <c r="AN937" t="str">
        <f>IFERROR(ROUND(L937*(G937/$AW937)/VLOOKUP(F937,商品!$A$4:$D$67,4,FALSE),0),"")</f>
        <v/>
      </c>
      <c r="AO937" t="str">
        <f>IFERROR(ROUND(L937*(I937/$AW937)/VLOOKUP(H937,商品!$A$4:$D$67,4,FALSE),0),"")</f>
        <v/>
      </c>
      <c r="AP937" t="str">
        <f>IFERROR(ROUND(L937*(K937/$AW937)/VLOOKUP(J937,商品!$A$4:$D$67,4,FALSE),0),"")</f>
        <v/>
      </c>
      <c r="AQ937" t="str">
        <f>IFERROR(ROUND(S937*(N937/$AX937)/VLOOKUP(M937,职业!$A$3:$E$16,4,FALSE),0),"")</f>
        <v/>
      </c>
      <c r="AR937" t="str">
        <f>IFERROR(ROUND(S937*(P937/$AX937)/VLOOKUP(O937,职业!$A$3:$E$16,4,FALSE),0),"")</f>
        <v/>
      </c>
      <c r="AS937" t="str">
        <f>IFERROR(ROUND(S937*(R937/$AX937)/VLOOKUP(Q937,职业!$A$3:$E$16,4,FALSE),0),"")</f>
        <v/>
      </c>
      <c r="AT937" t="str">
        <f>IFERROR(ROUND(X937*(U937/$AY937)/VLOOKUP(T937,商品!$A$4:$D$67,4,FALSE),0),"")</f>
        <v/>
      </c>
      <c r="AU937" t="str">
        <f>IFERROR(ROUND(X937*(W937/$AY937)/VLOOKUP(V937,商品!$A$4:$D$67,4,FALSE),0),"")</f>
        <v/>
      </c>
      <c r="AW937">
        <f t="shared" si="252"/>
        <v>0</v>
      </c>
      <c r="AX937">
        <f t="shared" si="253"/>
        <v>0</v>
      </c>
      <c r="AY937">
        <f t="shared" si="254"/>
        <v>0</v>
      </c>
    </row>
    <row r="938" customHeight="1" spans="1:51">
      <c r="A938" s="18" t="s">
        <v>457</v>
      </c>
      <c r="C938" s="18">
        <v>2</v>
      </c>
      <c r="D938" s="1" t="s">
        <v>220</v>
      </c>
      <c r="E938" s="1" t="s">
        <v>224</v>
      </c>
      <c r="L938" s="18">
        <f>IFERROR(VLOOKUP($D938&amp;$C938,生产方式定位!$A$2:$E$38,2,FALSE)+VLOOKUP($E938&amp;$C938,生产方式定位!$F$3:$J$38,2,FALSE),0)</f>
        <v>1200</v>
      </c>
      <c r="S938" s="18">
        <f>IFERROR(VLOOKUP($D938&amp;$C938,生产方式定位!$A$2:$E$38,3,FALSE)+VLOOKUP($E938&amp;$C938,生产方式定位!$F$3:$J$38,3,FALSE),0)</f>
        <v>100</v>
      </c>
      <c r="X938" s="18">
        <f>IFERROR(VLOOKUP($D938&amp;$C938,生产方式定位!$A$2:$E$38,5,FALSE)+VLOOKUP($E938&amp;$C938,生产方式定位!$F$3:$J$38,5,FALSE),"错误")</f>
        <v>1346</v>
      </c>
      <c r="Y938" s="27" t="str">
        <f t="shared" si="238"/>
        <v/>
      </c>
      <c r="Z938" s="50" t="str">
        <f t="shared" si="241"/>
        <v/>
      </c>
      <c r="AA938" s="50" t="str">
        <f t="shared" si="239"/>
        <v/>
      </c>
      <c r="AB938" s="28" t="str">
        <f t="shared" si="242"/>
        <v>12%</v>
      </c>
      <c r="AC938" s="1">
        <f t="shared" si="243"/>
        <v>46</v>
      </c>
      <c r="AD938" s="52">
        <f t="shared" si="240"/>
        <v>2</v>
      </c>
      <c r="AE938" t="str">
        <f t="shared" si="244"/>
        <v/>
      </c>
      <c r="AF938" t="str">
        <f t="shared" si="245"/>
        <v/>
      </c>
      <c r="AG938" t="str">
        <f t="shared" si="246"/>
        <v/>
      </c>
      <c r="AH938" t="str">
        <f t="shared" si="247"/>
        <v/>
      </c>
      <c r="AI938" t="str">
        <f t="shared" si="248"/>
        <v/>
      </c>
      <c r="AJ938" t="str">
        <f t="shared" si="249"/>
        <v/>
      </c>
      <c r="AK938" t="str">
        <f t="shared" si="250"/>
        <v/>
      </c>
      <c r="AL938" t="str">
        <f t="shared" si="251"/>
        <v/>
      </c>
      <c r="AN938" t="str">
        <f>IFERROR(ROUND(L938*(G938/$AW938)/VLOOKUP(F938,商品!$A$4:$D$67,4,FALSE),0),"")</f>
        <v/>
      </c>
      <c r="AO938" t="str">
        <f>IFERROR(ROUND(L938*(I938/$AW938)/VLOOKUP(H938,商品!$A$4:$D$67,4,FALSE),0),"")</f>
        <v/>
      </c>
      <c r="AP938" t="str">
        <f>IFERROR(ROUND(L938*(K938/$AW938)/VLOOKUP(J938,商品!$A$4:$D$67,4,FALSE),0),"")</f>
        <v/>
      </c>
      <c r="AQ938" t="str">
        <f>IFERROR(ROUND(S938*(N938/$AX938)/VLOOKUP(M938,职业!$A$3:$E$16,4,FALSE),0),"")</f>
        <v/>
      </c>
      <c r="AR938" t="str">
        <f>IFERROR(ROUND(S938*(P938/$AX938)/VLOOKUP(O938,职业!$A$3:$E$16,4,FALSE),0),"")</f>
        <v/>
      </c>
      <c r="AS938" t="str">
        <f>IFERROR(ROUND(S938*(R938/$AX938)/VLOOKUP(Q938,职业!$A$3:$E$16,4,FALSE),0),"")</f>
        <v/>
      </c>
      <c r="AT938" t="str">
        <f>IFERROR(ROUND(X938*(U938/$AY938)/VLOOKUP(T938,商品!$A$4:$D$67,4,FALSE),0),"")</f>
        <v/>
      </c>
      <c r="AU938" t="str">
        <f>IFERROR(ROUND(X938*(W938/$AY938)/VLOOKUP(V938,商品!$A$4:$D$67,4,FALSE),0),"")</f>
        <v/>
      </c>
      <c r="AW938">
        <f t="shared" si="252"/>
        <v>0</v>
      </c>
      <c r="AX938">
        <f t="shared" si="253"/>
        <v>0</v>
      </c>
      <c r="AY938">
        <f t="shared" si="254"/>
        <v>0</v>
      </c>
    </row>
    <row r="939" customHeight="1" spans="1:51">
      <c r="A939" s="18" t="s">
        <v>457</v>
      </c>
      <c r="C939" s="18">
        <v>3</v>
      </c>
      <c r="D939" s="1" t="s">
        <v>220</v>
      </c>
      <c r="E939" s="1" t="s">
        <v>224</v>
      </c>
      <c r="L939" s="18">
        <f>IFERROR(VLOOKUP($D939&amp;$C939,生产方式定位!$A$2:$E$38,2,FALSE)+VLOOKUP($E939&amp;$C939,生产方式定位!$F$3:$J$38,2,FALSE),0)</f>
        <v>1900</v>
      </c>
      <c r="S939" s="18">
        <f>IFERROR(VLOOKUP($D939&amp;$C939,生产方式定位!$A$2:$E$38,3,FALSE)+VLOOKUP($E939&amp;$C939,生产方式定位!$F$3:$J$38,3,FALSE),0)</f>
        <v>70</v>
      </c>
      <c r="X939" s="18">
        <f>IFERROR(VLOOKUP($D939&amp;$C939,生产方式定位!$A$2:$E$38,5,FALSE)+VLOOKUP($E939&amp;$C939,生产方式定位!$F$3:$J$38,5,FALSE),"错误")</f>
        <v>2064</v>
      </c>
      <c r="Y939" s="27" t="str">
        <f t="shared" si="238"/>
        <v/>
      </c>
      <c r="Z939" s="50" t="str">
        <f t="shared" si="241"/>
        <v/>
      </c>
      <c r="AA939" s="50" t="str">
        <f t="shared" si="239"/>
        <v/>
      </c>
      <c r="AB939" s="28" t="str">
        <f t="shared" si="242"/>
        <v>9%</v>
      </c>
      <c r="AC939" s="1">
        <f t="shared" si="243"/>
        <v>94</v>
      </c>
      <c r="AD939" s="52">
        <f t="shared" si="240"/>
        <v>3</v>
      </c>
      <c r="AE939" t="str">
        <f t="shared" si="244"/>
        <v/>
      </c>
      <c r="AF939" t="str">
        <f t="shared" si="245"/>
        <v/>
      </c>
      <c r="AG939" t="str">
        <f t="shared" si="246"/>
        <v/>
      </c>
      <c r="AH939" t="str">
        <f t="shared" si="247"/>
        <v/>
      </c>
      <c r="AI939" t="str">
        <f t="shared" si="248"/>
        <v/>
      </c>
      <c r="AJ939" t="str">
        <f t="shared" si="249"/>
        <v/>
      </c>
      <c r="AK939" t="str">
        <f t="shared" si="250"/>
        <v/>
      </c>
      <c r="AL939" t="str">
        <f t="shared" si="251"/>
        <v/>
      </c>
      <c r="AN939" t="str">
        <f>IFERROR(ROUND(L939*(G939/$AW939)/VLOOKUP(F939,商品!$A$4:$D$67,4,FALSE),0),"")</f>
        <v/>
      </c>
      <c r="AO939" t="str">
        <f>IFERROR(ROUND(L939*(I939/$AW939)/VLOOKUP(H939,商品!$A$4:$D$67,4,FALSE),0),"")</f>
        <v/>
      </c>
      <c r="AP939" t="str">
        <f>IFERROR(ROUND(L939*(K939/$AW939)/VLOOKUP(J939,商品!$A$4:$D$67,4,FALSE),0),"")</f>
        <v/>
      </c>
      <c r="AQ939" t="str">
        <f>IFERROR(ROUND(S939*(N939/$AX939)/VLOOKUP(M939,职业!$A$3:$E$16,4,FALSE),0),"")</f>
        <v/>
      </c>
      <c r="AR939" t="str">
        <f>IFERROR(ROUND(S939*(P939/$AX939)/VLOOKUP(O939,职业!$A$3:$E$16,4,FALSE),0),"")</f>
        <v/>
      </c>
      <c r="AS939" t="str">
        <f>IFERROR(ROUND(S939*(R939/$AX939)/VLOOKUP(Q939,职业!$A$3:$E$16,4,FALSE),0),"")</f>
        <v/>
      </c>
      <c r="AT939" t="str">
        <f>IFERROR(ROUND(X939*(U939/$AY939)/VLOOKUP(T939,商品!$A$4:$D$67,4,FALSE),0),"")</f>
        <v/>
      </c>
      <c r="AU939" t="str">
        <f>IFERROR(ROUND(X939*(W939/$AY939)/VLOOKUP(V939,商品!$A$4:$D$67,4,FALSE),0),"")</f>
        <v/>
      </c>
      <c r="AW939">
        <f t="shared" si="252"/>
        <v>0</v>
      </c>
      <c r="AX939">
        <f t="shared" si="253"/>
        <v>0</v>
      </c>
      <c r="AY939">
        <f t="shared" si="254"/>
        <v>0</v>
      </c>
    </row>
    <row r="940" customHeight="1" spans="1:51">
      <c r="A940" s="18" t="s">
        <v>457</v>
      </c>
      <c r="C940" s="18">
        <v>4</v>
      </c>
      <c r="D940" s="1" t="s">
        <v>220</v>
      </c>
      <c r="E940" s="1" t="s">
        <v>224</v>
      </c>
      <c r="L940" s="18">
        <f>IFERROR(VLOOKUP($D940&amp;$C940,生产方式定位!$A$2:$E$38,2,FALSE)+VLOOKUP($E940&amp;$C940,生产方式定位!$F$3:$J$38,2,FALSE),0)</f>
        <v>2600</v>
      </c>
      <c r="S940" s="18">
        <f>IFERROR(VLOOKUP($D940&amp;$C940,生产方式定位!$A$2:$E$38,3,FALSE)+VLOOKUP($E940&amp;$C940,生产方式定位!$F$3:$J$38,3,FALSE),0)</f>
        <v>40</v>
      </c>
      <c r="X940" s="18">
        <f>IFERROR(VLOOKUP($D940&amp;$C940,生产方式定位!$A$2:$E$38,5,FALSE)+VLOOKUP($E940&amp;$C940,生产方式定位!$F$3:$J$38,5,FALSE),"错误")</f>
        <v>2782</v>
      </c>
      <c r="Y940" s="27" t="str">
        <f t="shared" si="238"/>
        <v/>
      </c>
      <c r="Z940" s="50" t="str">
        <f t="shared" si="241"/>
        <v/>
      </c>
      <c r="AA940" s="50" t="str">
        <f t="shared" si="239"/>
        <v/>
      </c>
      <c r="AB940" s="28" t="str">
        <f t="shared" si="242"/>
        <v>7%</v>
      </c>
      <c r="AC940" s="1">
        <f t="shared" si="243"/>
        <v>142</v>
      </c>
      <c r="AD940" s="52">
        <f t="shared" si="240"/>
        <v>4</v>
      </c>
      <c r="AE940" t="str">
        <f t="shared" si="244"/>
        <v/>
      </c>
      <c r="AF940" t="str">
        <f t="shared" si="245"/>
        <v/>
      </c>
      <c r="AG940" t="str">
        <f t="shared" si="246"/>
        <v/>
      </c>
      <c r="AH940" t="str">
        <f t="shared" si="247"/>
        <v/>
      </c>
      <c r="AI940" t="str">
        <f t="shared" si="248"/>
        <v/>
      </c>
      <c r="AJ940" t="str">
        <f t="shared" si="249"/>
        <v/>
      </c>
      <c r="AK940" t="str">
        <f t="shared" si="250"/>
        <v/>
      </c>
      <c r="AL940" t="str">
        <f t="shared" si="251"/>
        <v/>
      </c>
      <c r="AN940" t="str">
        <f>IFERROR(ROUND(L940*(G940/$AW940)/VLOOKUP(F940,商品!$A$4:$D$67,4,FALSE),0),"")</f>
        <v/>
      </c>
      <c r="AO940" t="str">
        <f>IFERROR(ROUND(L940*(I940/$AW940)/VLOOKUP(H940,商品!$A$4:$D$67,4,FALSE),0),"")</f>
        <v/>
      </c>
      <c r="AP940" t="str">
        <f>IFERROR(ROUND(L940*(K940/$AW940)/VLOOKUP(J940,商品!$A$4:$D$67,4,FALSE),0),"")</f>
        <v/>
      </c>
      <c r="AQ940" t="str">
        <f>IFERROR(ROUND(S940*(N940/$AX940)/VLOOKUP(M940,职业!$A$3:$E$16,4,FALSE),0),"")</f>
        <v/>
      </c>
      <c r="AR940" t="str">
        <f>IFERROR(ROUND(S940*(P940/$AX940)/VLOOKUP(O940,职业!$A$3:$E$16,4,FALSE),0),"")</f>
        <v/>
      </c>
      <c r="AS940" t="str">
        <f>IFERROR(ROUND(S940*(R940/$AX940)/VLOOKUP(Q940,职业!$A$3:$E$16,4,FALSE),0),"")</f>
        <v/>
      </c>
      <c r="AT940" t="str">
        <f>IFERROR(ROUND(X940*(U940/$AY940)/VLOOKUP(T940,商品!$A$4:$D$67,4,FALSE),0),"")</f>
        <v/>
      </c>
      <c r="AU940" t="str">
        <f>IFERROR(ROUND(X940*(W940/$AY940)/VLOOKUP(V940,商品!$A$4:$D$67,4,FALSE),0),"")</f>
        <v/>
      </c>
      <c r="AW940">
        <f t="shared" si="252"/>
        <v>0</v>
      </c>
      <c r="AX940">
        <f t="shared" si="253"/>
        <v>0</v>
      </c>
      <c r="AY940">
        <f t="shared" si="254"/>
        <v>0</v>
      </c>
    </row>
    <row r="941" customHeight="1" spans="1:51">
      <c r="A941" s="18" t="s">
        <v>457</v>
      </c>
      <c r="C941" s="18">
        <v>5</v>
      </c>
      <c r="D941" s="1" t="s">
        <v>220</v>
      </c>
      <c r="E941" s="1" t="s">
        <v>224</v>
      </c>
      <c r="L941" s="18">
        <f>IFERROR(VLOOKUP($D941&amp;$C941,生产方式定位!$A$2:$E$38,2,FALSE)+VLOOKUP($E941&amp;$C941,生产方式定位!$F$3:$J$38,2,FALSE),0)</f>
        <v>3300</v>
      </c>
      <c r="S941" s="18">
        <f>IFERROR(VLOOKUP($D941&amp;$C941,生产方式定位!$A$2:$E$38,3,FALSE)+VLOOKUP($E941&amp;$C941,生产方式定位!$F$3:$J$38,3,FALSE),0)</f>
        <v>10</v>
      </c>
      <c r="X941" s="18">
        <f>IFERROR(VLOOKUP($D941&amp;$C941,生产方式定位!$A$2:$E$38,5,FALSE)+VLOOKUP($E941&amp;$C941,生产方式定位!$F$3:$J$38,5,FALSE),"错误")</f>
        <v>3500</v>
      </c>
      <c r="Y941" s="27" t="str">
        <f t="shared" si="238"/>
        <v/>
      </c>
      <c r="Z941" s="50" t="str">
        <f t="shared" si="241"/>
        <v/>
      </c>
      <c r="AA941" s="50" t="str">
        <f t="shared" si="239"/>
        <v/>
      </c>
      <c r="AB941" s="28" t="str">
        <f t="shared" si="242"/>
        <v>6%</v>
      </c>
      <c r="AC941" s="1">
        <f t="shared" si="243"/>
        <v>190</v>
      </c>
      <c r="AD941" s="52">
        <f t="shared" si="240"/>
        <v>5</v>
      </c>
      <c r="AE941" t="str">
        <f t="shared" si="244"/>
        <v/>
      </c>
      <c r="AF941" t="str">
        <f t="shared" si="245"/>
        <v/>
      </c>
      <c r="AG941" t="str">
        <f t="shared" si="246"/>
        <v/>
      </c>
      <c r="AH941" t="str">
        <f t="shared" si="247"/>
        <v/>
      </c>
      <c r="AI941" t="str">
        <f t="shared" si="248"/>
        <v/>
      </c>
      <c r="AJ941" t="str">
        <f t="shared" si="249"/>
        <v/>
      </c>
      <c r="AK941" t="str">
        <f t="shared" si="250"/>
        <v/>
      </c>
      <c r="AL941" t="str">
        <f t="shared" si="251"/>
        <v/>
      </c>
      <c r="AN941" t="str">
        <f>IFERROR(ROUND(L941*(G941/$AW941)/VLOOKUP(F941,商品!$A$4:$D$67,4,FALSE),0),"")</f>
        <v/>
      </c>
      <c r="AO941" t="str">
        <f>IFERROR(ROUND(L941*(I941/$AW941)/VLOOKUP(H941,商品!$A$4:$D$67,4,FALSE),0),"")</f>
        <v/>
      </c>
      <c r="AP941" t="str">
        <f>IFERROR(ROUND(L941*(K941/$AW941)/VLOOKUP(J941,商品!$A$4:$D$67,4,FALSE),0),"")</f>
        <v/>
      </c>
      <c r="AQ941" t="str">
        <f>IFERROR(ROUND(S941*(N941/$AX941)/VLOOKUP(M941,职业!$A$3:$E$16,4,FALSE),0),"")</f>
        <v/>
      </c>
      <c r="AR941" t="str">
        <f>IFERROR(ROUND(S941*(P941/$AX941)/VLOOKUP(O941,职业!$A$3:$E$16,4,FALSE),0),"")</f>
        <v/>
      </c>
      <c r="AS941" t="str">
        <f>IFERROR(ROUND(S941*(R941/$AX941)/VLOOKUP(Q941,职业!$A$3:$E$16,4,FALSE),0),"")</f>
        <v/>
      </c>
      <c r="AT941" t="str">
        <f>IFERROR(ROUND(X941*(U941/$AY941)/VLOOKUP(T941,商品!$A$4:$D$67,4,FALSE),0),"")</f>
        <v/>
      </c>
      <c r="AU941" t="str">
        <f>IFERROR(ROUND(X941*(W941/$AY941)/VLOOKUP(V941,商品!$A$4:$D$67,4,FALSE),0),"")</f>
        <v/>
      </c>
      <c r="AW941">
        <f t="shared" si="252"/>
        <v>0</v>
      </c>
      <c r="AX941">
        <f t="shared" si="253"/>
        <v>0</v>
      </c>
      <c r="AY941">
        <f t="shared" si="254"/>
        <v>0</v>
      </c>
    </row>
    <row r="942" customHeight="1" spans="1:51">
      <c r="A942" s="5" t="s">
        <v>457</v>
      </c>
      <c r="C942" s="5">
        <v>1</v>
      </c>
      <c r="D942" s="1" t="s">
        <v>220</v>
      </c>
      <c r="E942" s="1" t="s">
        <v>224</v>
      </c>
      <c r="L942" s="5">
        <f>IFERROR(VLOOKUP($D942&amp;$C942,生产方式定位!$A$2:$E$38,2,FALSE)+VLOOKUP($E942&amp;$C942,生产方式定位!$F$3:$J$38,2,FALSE),0)</f>
        <v>500</v>
      </c>
      <c r="S942" s="5">
        <f>IFERROR(VLOOKUP($D942&amp;$C942,生产方式定位!$A$2:$E$38,3,FALSE)+VLOOKUP($E942&amp;$C942,生产方式定位!$F$3:$J$38,3,FALSE),0)</f>
        <v>150</v>
      </c>
      <c r="X942" s="5">
        <f>IFERROR(VLOOKUP($D942&amp;$C942,生产方式定位!$A$2:$E$38,5,FALSE)+VLOOKUP($E942&amp;$C942,生产方式定位!$F$3:$J$38,5,FALSE),"错误")</f>
        <v>715</v>
      </c>
      <c r="Y942" s="27" t="str">
        <f t="shared" si="238"/>
        <v/>
      </c>
      <c r="Z942" s="50" t="str">
        <f t="shared" si="241"/>
        <v/>
      </c>
      <c r="AA942" s="50" t="str">
        <f t="shared" si="239"/>
        <v/>
      </c>
      <c r="AB942" s="28" t="str">
        <f t="shared" si="242"/>
        <v>43%</v>
      </c>
      <c r="AC942" s="1">
        <f t="shared" si="243"/>
        <v>65</v>
      </c>
      <c r="AD942" s="51">
        <f t="shared" si="240"/>
        <v>1</v>
      </c>
      <c r="AE942" t="str">
        <f t="shared" si="244"/>
        <v/>
      </c>
      <c r="AF942" t="str">
        <f t="shared" si="245"/>
        <v/>
      </c>
      <c r="AG942" t="str">
        <f t="shared" si="246"/>
        <v/>
      </c>
      <c r="AH942" t="str">
        <f t="shared" si="247"/>
        <v/>
      </c>
      <c r="AI942" t="str">
        <f t="shared" si="248"/>
        <v/>
      </c>
      <c r="AJ942" t="str">
        <f t="shared" si="249"/>
        <v/>
      </c>
      <c r="AK942" t="str">
        <f t="shared" si="250"/>
        <v/>
      </c>
      <c r="AL942" t="str">
        <f t="shared" si="251"/>
        <v/>
      </c>
      <c r="AN942" t="str">
        <f>IFERROR(ROUND(L942*(G942/$AW942)/VLOOKUP(F942,商品!$A$4:$D$67,4,FALSE),0),"")</f>
        <v/>
      </c>
      <c r="AO942" t="str">
        <f>IFERROR(ROUND(L942*(I942/$AW942)/VLOOKUP(H942,商品!$A$4:$D$67,4,FALSE),0),"")</f>
        <v/>
      </c>
      <c r="AP942" t="str">
        <f>IFERROR(ROUND(L942*(K942/$AW942)/VLOOKUP(J942,商品!$A$4:$D$67,4,FALSE),0),"")</f>
        <v/>
      </c>
      <c r="AQ942" t="str">
        <f>IFERROR(ROUND(S942*(N942/$AX942)/VLOOKUP(M942,职业!$A$3:$E$16,4,FALSE),0),"")</f>
        <v/>
      </c>
      <c r="AR942" t="str">
        <f>IFERROR(ROUND(S942*(P942/$AX942)/VLOOKUP(O942,职业!$A$3:$E$16,4,FALSE),0),"")</f>
        <v/>
      </c>
      <c r="AS942" t="str">
        <f>IFERROR(ROUND(S942*(R942/$AX942)/VLOOKUP(Q942,职业!$A$3:$E$16,4,FALSE),0),"")</f>
        <v/>
      </c>
      <c r="AT942" t="str">
        <f>IFERROR(ROUND(X942*(U942/$AY942)/VLOOKUP(T942,商品!$A$4:$D$67,4,FALSE),0),"")</f>
        <v/>
      </c>
      <c r="AU942" t="str">
        <f>IFERROR(ROUND(X942*(W942/$AY942)/VLOOKUP(V942,商品!$A$4:$D$67,4,FALSE),0),"")</f>
        <v/>
      </c>
      <c r="AW942">
        <f t="shared" si="252"/>
        <v>0</v>
      </c>
      <c r="AX942">
        <f t="shared" si="253"/>
        <v>0</v>
      </c>
      <c r="AY942">
        <f t="shared" si="254"/>
        <v>0</v>
      </c>
    </row>
    <row r="943" customHeight="1" spans="1:51">
      <c r="A943" s="5" t="s">
        <v>457</v>
      </c>
      <c r="C943" s="5">
        <v>2</v>
      </c>
      <c r="D943" s="1" t="s">
        <v>220</v>
      </c>
      <c r="E943" s="1" t="s">
        <v>224</v>
      </c>
      <c r="L943" s="5">
        <f>IFERROR(VLOOKUP($D943&amp;$C943,生产方式定位!$A$2:$E$38,2,FALSE)+VLOOKUP($E943&amp;$C943,生产方式定位!$F$3:$J$38,2,FALSE),0)</f>
        <v>1200</v>
      </c>
      <c r="S943" s="5">
        <f>IFERROR(VLOOKUP($D943&amp;$C943,生产方式定位!$A$2:$E$38,3,FALSE)+VLOOKUP($E943&amp;$C943,生产方式定位!$F$3:$J$38,3,FALSE),0)</f>
        <v>100</v>
      </c>
      <c r="X943" s="5">
        <f>IFERROR(VLOOKUP($D943&amp;$C943,生产方式定位!$A$2:$E$38,5,FALSE)+VLOOKUP($E943&amp;$C943,生产方式定位!$F$3:$J$38,5,FALSE),"错误")</f>
        <v>1346</v>
      </c>
      <c r="Y943" s="27" t="str">
        <f t="shared" si="238"/>
        <v/>
      </c>
      <c r="Z943" s="50" t="str">
        <f t="shared" si="241"/>
        <v/>
      </c>
      <c r="AA943" s="50" t="str">
        <f t="shared" si="239"/>
        <v/>
      </c>
      <c r="AB943" s="28" t="str">
        <f t="shared" si="242"/>
        <v>12%</v>
      </c>
      <c r="AC943" s="1">
        <f t="shared" si="243"/>
        <v>46</v>
      </c>
      <c r="AD943" s="51">
        <f t="shared" si="240"/>
        <v>2</v>
      </c>
      <c r="AE943" t="str">
        <f t="shared" si="244"/>
        <v/>
      </c>
      <c r="AF943" t="str">
        <f t="shared" si="245"/>
        <v/>
      </c>
      <c r="AG943" t="str">
        <f t="shared" si="246"/>
        <v/>
      </c>
      <c r="AH943" t="str">
        <f t="shared" si="247"/>
        <v/>
      </c>
      <c r="AI943" t="str">
        <f t="shared" si="248"/>
        <v/>
      </c>
      <c r="AJ943" t="str">
        <f t="shared" si="249"/>
        <v/>
      </c>
      <c r="AK943" t="str">
        <f t="shared" si="250"/>
        <v/>
      </c>
      <c r="AL943" t="str">
        <f t="shared" si="251"/>
        <v/>
      </c>
      <c r="AN943" t="str">
        <f>IFERROR(ROUND(L943*(G943/$AW943)/VLOOKUP(F943,商品!$A$4:$D$67,4,FALSE),0),"")</f>
        <v/>
      </c>
      <c r="AO943" t="str">
        <f>IFERROR(ROUND(L943*(I943/$AW943)/VLOOKUP(H943,商品!$A$4:$D$67,4,FALSE),0),"")</f>
        <v/>
      </c>
      <c r="AP943" t="str">
        <f>IFERROR(ROUND(L943*(K943/$AW943)/VLOOKUP(J943,商品!$A$4:$D$67,4,FALSE),0),"")</f>
        <v/>
      </c>
      <c r="AQ943" t="str">
        <f>IFERROR(ROUND(S943*(N943/$AX943)/VLOOKUP(M943,职业!$A$3:$E$16,4,FALSE),0),"")</f>
        <v/>
      </c>
      <c r="AR943" t="str">
        <f>IFERROR(ROUND(S943*(P943/$AX943)/VLOOKUP(O943,职业!$A$3:$E$16,4,FALSE),0),"")</f>
        <v/>
      </c>
      <c r="AS943" t="str">
        <f>IFERROR(ROUND(S943*(R943/$AX943)/VLOOKUP(Q943,职业!$A$3:$E$16,4,FALSE),0),"")</f>
        <v/>
      </c>
      <c r="AT943" t="str">
        <f>IFERROR(ROUND(X943*(U943/$AY943)/VLOOKUP(T943,商品!$A$4:$D$67,4,FALSE),0),"")</f>
        <v/>
      </c>
      <c r="AU943" t="str">
        <f>IFERROR(ROUND(X943*(W943/$AY943)/VLOOKUP(V943,商品!$A$4:$D$67,4,FALSE),0),"")</f>
        <v/>
      </c>
      <c r="AW943">
        <f t="shared" si="252"/>
        <v>0</v>
      </c>
      <c r="AX943">
        <f t="shared" si="253"/>
        <v>0</v>
      </c>
      <c r="AY943">
        <f t="shared" si="254"/>
        <v>0</v>
      </c>
    </row>
    <row r="944" customHeight="1" spans="1:51">
      <c r="A944" s="5" t="s">
        <v>457</v>
      </c>
      <c r="C944" s="5">
        <v>3</v>
      </c>
      <c r="D944" s="1" t="s">
        <v>220</v>
      </c>
      <c r="E944" s="1" t="s">
        <v>224</v>
      </c>
      <c r="L944" s="5">
        <f>IFERROR(VLOOKUP($D944&amp;$C944,生产方式定位!$A$2:$E$38,2,FALSE)+VLOOKUP($E944&amp;$C944,生产方式定位!$F$3:$J$38,2,FALSE),0)</f>
        <v>1900</v>
      </c>
      <c r="S944" s="5">
        <f>IFERROR(VLOOKUP($D944&amp;$C944,生产方式定位!$A$2:$E$38,3,FALSE)+VLOOKUP($E944&amp;$C944,生产方式定位!$F$3:$J$38,3,FALSE),0)</f>
        <v>70</v>
      </c>
      <c r="X944" s="5">
        <f>IFERROR(VLOOKUP($D944&amp;$C944,生产方式定位!$A$2:$E$38,5,FALSE)+VLOOKUP($E944&amp;$C944,生产方式定位!$F$3:$J$38,5,FALSE),"错误")</f>
        <v>2064</v>
      </c>
      <c r="Y944" s="27" t="str">
        <f t="shared" si="238"/>
        <v/>
      </c>
      <c r="Z944" s="50" t="str">
        <f t="shared" si="241"/>
        <v/>
      </c>
      <c r="AA944" s="50" t="str">
        <f t="shared" si="239"/>
        <v/>
      </c>
      <c r="AB944" s="28" t="str">
        <f t="shared" si="242"/>
        <v>9%</v>
      </c>
      <c r="AC944" s="1">
        <f t="shared" si="243"/>
        <v>94</v>
      </c>
      <c r="AD944" s="51">
        <f t="shared" si="240"/>
        <v>3</v>
      </c>
      <c r="AE944" t="str">
        <f t="shared" si="244"/>
        <v/>
      </c>
      <c r="AF944" t="str">
        <f t="shared" si="245"/>
        <v/>
      </c>
      <c r="AG944" t="str">
        <f t="shared" si="246"/>
        <v/>
      </c>
      <c r="AH944" t="str">
        <f t="shared" si="247"/>
        <v/>
      </c>
      <c r="AI944" t="str">
        <f t="shared" si="248"/>
        <v/>
      </c>
      <c r="AJ944" t="str">
        <f t="shared" si="249"/>
        <v/>
      </c>
      <c r="AK944" t="str">
        <f t="shared" si="250"/>
        <v/>
      </c>
      <c r="AL944" t="str">
        <f t="shared" si="251"/>
        <v/>
      </c>
      <c r="AN944" t="str">
        <f>IFERROR(ROUND(L944*(G944/$AW944)/VLOOKUP(F944,商品!$A$4:$D$67,4,FALSE),0),"")</f>
        <v/>
      </c>
      <c r="AO944" t="str">
        <f>IFERROR(ROUND(L944*(I944/$AW944)/VLOOKUP(H944,商品!$A$4:$D$67,4,FALSE),0),"")</f>
        <v/>
      </c>
      <c r="AP944" t="str">
        <f>IFERROR(ROUND(L944*(K944/$AW944)/VLOOKUP(J944,商品!$A$4:$D$67,4,FALSE),0),"")</f>
        <v/>
      </c>
      <c r="AQ944" t="str">
        <f>IFERROR(ROUND(S944*(N944/$AX944)/VLOOKUP(M944,职业!$A$3:$E$16,4,FALSE),0),"")</f>
        <v/>
      </c>
      <c r="AR944" t="str">
        <f>IFERROR(ROUND(S944*(P944/$AX944)/VLOOKUP(O944,职业!$A$3:$E$16,4,FALSE),0),"")</f>
        <v/>
      </c>
      <c r="AS944" t="str">
        <f>IFERROR(ROUND(S944*(R944/$AX944)/VLOOKUP(Q944,职业!$A$3:$E$16,4,FALSE),0),"")</f>
        <v/>
      </c>
      <c r="AT944" t="str">
        <f>IFERROR(ROUND(X944*(U944/$AY944)/VLOOKUP(T944,商品!$A$4:$D$67,4,FALSE),0),"")</f>
        <v/>
      </c>
      <c r="AU944" t="str">
        <f>IFERROR(ROUND(X944*(W944/$AY944)/VLOOKUP(V944,商品!$A$4:$D$67,4,FALSE),0),"")</f>
        <v/>
      </c>
      <c r="AW944">
        <f t="shared" si="252"/>
        <v>0</v>
      </c>
      <c r="AX944">
        <f t="shared" si="253"/>
        <v>0</v>
      </c>
      <c r="AY944">
        <f t="shared" si="254"/>
        <v>0</v>
      </c>
    </row>
    <row r="945" customHeight="1" spans="1:51">
      <c r="A945" s="5" t="s">
        <v>457</v>
      </c>
      <c r="C945" s="5">
        <v>4</v>
      </c>
      <c r="D945" s="1" t="s">
        <v>220</v>
      </c>
      <c r="E945" s="1" t="s">
        <v>224</v>
      </c>
      <c r="L945" s="5">
        <f>IFERROR(VLOOKUP($D945&amp;$C945,生产方式定位!$A$2:$E$38,2,FALSE)+VLOOKUP($E945&amp;$C945,生产方式定位!$F$3:$J$38,2,FALSE),0)</f>
        <v>2600</v>
      </c>
      <c r="S945" s="5">
        <f>IFERROR(VLOOKUP($D945&amp;$C945,生产方式定位!$A$2:$E$38,3,FALSE)+VLOOKUP($E945&amp;$C945,生产方式定位!$F$3:$J$38,3,FALSE),0)</f>
        <v>40</v>
      </c>
      <c r="X945" s="5">
        <f>IFERROR(VLOOKUP($D945&amp;$C945,生产方式定位!$A$2:$E$38,5,FALSE)+VLOOKUP($E945&amp;$C945,生产方式定位!$F$3:$J$38,5,FALSE),"错误")</f>
        <v>2782</v>
      </c>
      <c r="Y945" s="27" t="str">
        <f t="shared" si="238"/>
        <v/>
      </c>
      <c r="Z945" s="50" t="str">
        <f t="shared" si="241"/>
        <v/>
      </c>
      <c r="AA945" s="50" t="str">
        <f t="shared" si="239"/>
        <v/>
      </c>
      <c r="AB945" s="28" t="str">
        <f t="shared" si="242"/>
        <v>7%</v>
      </c>
      <c r="AC945" s="1">
        <f t="shared" si="243"/>
        <v>142</v>
      </c>
      <c r="AD945" s="51">
        <f t="shared" si="240"/>
        <v>4</v>
      </c>
      <c r="AE945" t="str">
        <f t="shared" si="244"/>
        <v/>
      </c>
      <c r="AF945" t="str">
        <f t="shared" si="245"/>
        <v/>
      </c>
      <c r="AG945" t="str">
        <f t="shared" si="246"/>
        <v/>
      </c>
      <c r="AH945" t="str">
        <f t="shared" si="247"/>
        <v/>
      </c>
      <c r="AI945" t="str">
        <f t="shared" si="248"/>
        <v/>
      </c>
      <c r="AJ945" t="str">
        <f t="shared" si="249"/>
        <v/>
      </c>
      <c r="AK945" t="str">
        <f t="shared" si="250"/>
        <v/>
      </c>
      <c r="AL945" t="str">
        <f t="shared" si="251"/>
        <v/>
      </c>
      <c r="AN945" t="str">
        <f>IFERROR(ROUND(L945*(G945/$AW945)/VLOOKUP(F945,商品!$A$4:$D$67,4,FALSE),0),"")</f>
        <v/>
      </c>
      <c r="AO945" t="str">
        <f>IFERROR(ROUND(L945*(I945/$AW945)/VLOOKUP(H945,商品!$A$4:$D$67,4,FALSE),0),"")</f>
        <v/>
      </c>
      <c r="AP945" t="str">
        <f>IFERROR(ROUND(L945*(K945/$AW945)/VLOOKUP(J945,商品!$A$4:$D$67,4,FALSE),0),"")</f>
        <v/>
      </c>
      <c r="AQ945" t="str">
        <f>IFERROR(ROUND(S945*(N945/$AX945)/VLOOKUP(M945,职业!$A$3:$E$16,4,FALSE),0),"")</f>
        <v/>
      </c>
      <c r="AR945" t="str">
        <f>IFERROR(ROUND(S945*(P945/$AX945)/VLOOKUP(O945,职业!$A$3:$E$16,4,FALSE),0),"")</f>
        <v/>
      </c>
      <c r="AS945" t="str">
        <f>IFERROR(ROUND(S945*(R945/$AX945)/VLOOKUP(Q945,职业!$A$3:$E$16,4,FALSE),0),"")</f>
        <v/>
      </c>
      <c r="AT945" t="str">
        <f>IFERROR(ROUND(X945*(U945/$AY945)/VLOOKUP(T945,商品!$A$4:$D$67,4,FALSE),0),"")</f>
        <v/>
      </c>
      <c r="AU945" t="str">
        <f>IFERROR(ROUND(X945*(W945/$AY945)/VLOOKUP(V945,商品!$A$4:$D$67,4,FALSE),0),"")</f>
        <v/>
      </c>
      <c r="AW945">
        <f t="shared" si="252"/>
        <v>0</v>
      </c>
      <c r="AX945">
        <f t="shared" si="253"/>
        <v>0</v>
      </c>
      <c r="AY945">
        <f t="shared" si="254"/>
        <v>0</v>
      </c>
    </row>
    <row r="946" customHeight="1" spans="1:51">
      <c r="A946" s="5" t="s">
        <v>457</v>
      </c>
      <c r="C946" s="5">
        <v>5</v>
      </c>
      <c r="D946" s="1" t="s">
        <v>220</v>
      </c>
      <c r="E946" s="1" t="s">
        <v>224</v>
      </c>
      <c r="L946" s="5">
        <f>IFERROR(VLOOKUP($D946&amp;$C946,生产方式定位!$A$2:$E$38,2,FALSE)+VLOOKUP($E946&amp;$C946,生产方式定位!$F$3:$J$38,2,FALSE),0)</f>
        <v>3300</v>
      </c>
      <c r="S946" s="5">
        <f>IFERROR(VLOOKUP($D946&amp;$C946,生产方式定位!$A$2:$E$38,3,FALSE)+VLOOKUP($E946&amp;$C946,生产方式定位!$F$3:$J$38,3,FALSE),0)</f>
        <v>10</v>
      </c>
      <c r="X946" s="5">
        <f>IFERROR(VLOOKUP($D946&amp;$C946,生产方式定位!$A$2:$E$38,5,FALSE)+VLOOKUP($E946&amp;$C946,生产方式定位!$F$3:$J$38,5,FALSE),"错误")</f>
        <v>3500</v>
      </c>
      <c r="Y946" s="27" t="str">
        <f t="shared" si="238"/>
        <v/>
      </c>
      <c r="Z946" s="50" t="str">
        <f t="shared" si="241"/>
        <v/>
      </c>
      <c r="AA946" s="50" t="str">
        <f t="shared" si="239"/>
        <v/>
      </c>
      <c r="AB946" s="28" t="str">
        <f t="shared" si="242"/>
        <v>6%</v>
      </c>
      <c r="AC946" s="1">
        <f t="shared" si="243"/>
        <v>190</v>
      </c>
      <c r="AD946" s="51">
        <f t="shared" si="240"/>
        <v>5</v>
      </c>
      <c r="AE946" t="str">
        <f t="shared" si="244"/>
        <v/>
      </c>
      <c r="AF946" t="str">
        <f t="shared" si="245"/>
        <v/>
      </c>
      <c r="AG946" t="str">
        <f t="shared" si="246"/>
        <v/>
      </c>
      <c r="AH946" t="str">
        <f t="shared" si="247"/>
        <v/>
      </c>
      <c r="AI946" t="str">
        <f t="shared" si="248"/>
        <v/>
      </c>
      <c r="AJ946" t="str">
        <f t="shared" si="249"/>
        <v/>
      </c>
      <c r="AK946" t="str">
        <f t="shared" si="250"/>
        <v/>
      </c>
      <c r="AL946" t="str">
        <f t="shared" si="251"/>
        <v/>
      </c>
      <c r="AN946" t="str">
        <f>IFERROR(ROUND(L946*(G946/$AW946)/VLOOKUP(F946,商品!$A$4:$D$67,4,FALSE),0),"")</f>
        <v/>
      </c>
      <c r="AO946" t="str">
        <f>IFERROR(ROUND(L946*(I946/$AW946)/VLOOKUP(H946,商品!$A$4:$D$67,4,FALSE),0),"")</f>
        <v/>
      </c>
      <c r="AP946" t="str">
        <f>IFERROR(ROUND(L946*(K946/$AW946)/VLOOKUP(J946,商品!$A$4:$D$67,4,FALSE),0),"")</f>
        <v/>
      </c>
      <c r="AQ946" t="str">
        <f>IFERROR(ROUND(S946*(N946/$AX946)/VLOOKUP(M946,职业!$A$3:$E$16,4,FALSE),0),"")</f>
        <v/>
      </c>
      <c r="AR946" t="str">
        <f>IFERROR(ROUND(S946*(P946/$AX946)/VLOOKUP(O946,职业!$A$3:$E$16,4,FALSE),0),"")</f>
        <v/>
      </c>
      <c r="AS946" t="str">
        <f>IFERROR(ROUND(S946*(R946/$AX946)/VLOOKUP(Q946,职业!$A$3:$E$16,4,FALSE),0),"")</f>
        <v/>
      </c>
      <c r="AT946" t="str">
        <f>IFERROR(ROUND(X946*(U946/$AY946)/VLOOKUP(T946,商品!$A$4:$D$67,4,FALSE),0),"")</f>
        <v/>
      </c>
      <c r="AU946" t="str">
        <f>IFERROR(ROUND(X946*(W946/$AY946)/VLOOKUP(V946,商品!$A$4:$D$67,4,FALSE),0),"")</f>
        <v/>
      </c>
      <c r="AW946">
        <f t="shared" si="252"/>
        <v>0</v>
      </c>
      <c r="AX946">
        <f t="shared" si="253"/>
        <v>0</v>
      </c>
      <c r="AY946">
        <f t="shared" si="254"/>
        <v>0</v>
      </c>
    </row>
    <row r="947" customHeight="1" spans="1:51">
      <c r="A947" s="18" t="s">
        <v>458</v>
      </c>
      <c r="C947" s="18">
        <v>1</v>
      </c>
      <c r="D947" s="1" t="s">
        <v>291</v>
      </c>
      <c r="E947" s="1" t="s">
        <v>225</v>
      </c>
      <c r="L947" s="18">
        <f>IFERROR(VLOOKUP($D947&amp;$C947,生产方式定位!$A$2:$E$38,2,FALSE)+VLOOKUP($E947&amp;$C947,生产方式定位!$F$3:$J$38,2,FALSE),0)</f>
        <v>0</v>
      </c>
      <c r="S947" s="18">
        <f>IFERROR(VLOOKUP($D947&amp;$C947,生产方式定位!$A$2:$E$38,3,FALSE)+VLOOKUP($E947&amp;$C947,生产方式定位!$F$3:$J$38,3,FALSE),0)</f>
        <v>100</v>
      </c>
      <c r="X947" s="18">
        <f>IFERROR(VLOOKUP($D947&amp;$C947,生产方式定位!$A$2:$E$38,5,FALSE)+VLOOKUP($E947&amp;$C947,生产方式定位!$F$3:$J$38,5,FALSE),"错误")</f>
        <v>100</v>
      </c>
      <c r="Y947" s="27" t="str">
        <f t="shared" si="238"/>
        <v/>
      </c>
      <c r="Z947" s="50" t="str">
        <f t="shared" si="241"/>
        <v/>
      </c>
      <c r="AA947" s="50" t="str">
        <f t="shared" si="239"/>
        <v/>
      </c>
      <c r="AB947" s="28" t="str">
        <f t="shared" si="242"/>
        <v/>
      </c>
      <c r="AC947" s="1" t="str">
        <f t="shared" si="243"/>
        <v/>
      </c>
      <c r="AD947" s="52">
        <f t="shared" si="240"/>
        <v>1</v>
      </c>
      <c r="AE947" t="str">
        <f t="shared" si="244"/>
        <v/>
      </c>
      <c r="AF947" t="str">
        <f t="shared" si="245"/>
        <v/>
      </c>
      <c r="AG947" t="str">
        <f t="shared" si="246"/>
        <v/>
      </c>
      <c r="AH947" t="str">
        <f t="shared" si="247"/>
        <v/>
      </c>
      <c r="AI947" t="str">
        <f t="shared" si="248"/>
        <v/>
      </c>
      <c r="AJ947" t="str">
        <f t="shared" si="249"/>
        <v/>
      </c>
      <c r="AK947" t="str">
        <f t="shared" si="250"/>
        <v/>
      </c>
      <c r="AL947" t="str">
        <f t="shared" si="251"/>
        <v/>
      </c>
      <c r="AN947" t="str">
        <f>IFERROR(ROUND(L947*(G947/$AW947)/VLOOKUP(F947,商品!$A$4:$D$67,4,FALSE),0),"")</f>
        <v/>
      </c>
      <c r="AO947" t="str">
        <f>IFERROR(ROUND(L947*(I947/$AW947)/VLOOKUP(H947,商品!$A$4:$D$67,4,FALSE),0),"")</f>
        <v/>
      </c>
      <c r="AP947" t="str">
        <f>IFERROR(ROUND(L947*(K947/$AW947)/VLOOKUP(J947,商品!$A$4:$D$67,4,FALSE),0),"")</f>
        <v/>
      </c>
      <c r="AQ947" t="str">
        <f>IFERROR(ROUND(S947*(N947/$AX947)/VLOOKUP(M947,职业!$A$3:$E$16,4,FALSE),0),"")</f>
        <v/>
      </c>
      <c r="AR947" t="str">
        <f>IFERROR(ROUND(S947*(P947/$AX947)/VLOOKUP(O947,职业!$A$3:$E$16,4,FALSE),0),"")</f>
        <v/>
      </c>
      <c r="AS947" t="str">
        <f>IFERROR(ROUND(S947*(R947/$AX947)/VLOOKUP(Q947,职业!$A$3:$E$16,4,FALSE),0),"")</f>
        <v/>
      </c>
      <c r="AT947" t="str">
        <f>IFERROR(ROUND(X947*(U947/$AY947)/VLOOKUP(T947,商品!$A$4:$D$67,4,FALSE),0),"")</f>
        <v/>
      </c>
      <c r="AU947" t="str">
        <f>IFERROR(ROUND(X947*(W947/$AY947)/VLOOKUP(V947,商品!$A$4:$D$67,4,FALSE),0),"")</f>
        <v/>
      </c>
      <c r="AW947">
        <f t="shared" si="252"/>
        <v>0</v>
      </c>
      <c r="AX947">
        <f t="shared" si="253"/>
        <v>0</v>
      </c>
      <c r="AY947">
        <f t="shared" si="254"/>
        <v>0</v>
      </c>
    </row>
    <row r="948" customHeight="1" spans="1:51">
      <c r="A948" s="18" t="s">
        <v>458</v>
      </c>
      <c r="C948" s="18">
        <v>2</v>
      </c>
      <c r="D948" s="1" t="s">
        <v>291</v>
      </c>
      <c r="E948" s="1" t="s">
        <v>225</v>
      </c>
      <c r="L948" s="18">
        <f>IFERROR(VLOOKUP($D948&amp;$C948,生产方式定位!$A$2:$E$38,2,FALSE)+VLOOKUP($E948&amp;$C948,生产方式定位!$F$3:$J$38,2,FALSE),0)</f>
        <v>0</v>
      </c>
      <c r="S948" s="18">
        <f>IFERROR(VLOOKUP($D948&amp;$C948,生产方式定位!$A$2:$E$38,3,FALSE)+VLOOKUP($E948&amp;$C948,生产方式定位!$F$3:$J$38,3,FALSE),0)</f>
        <v>100</v>
      </c>
      <c r="X948" s="18">
        <f>IFERROR(VLOOKUP($D948&amp;$C948,生产方式定位!$A$2:$E$38,5,FALSE)+VLOOKUP($E948&amp;$C948,生产方式定位!$F$3:$J$38,5,FALSE),"错误")</f>
        <v>100</v>
      </c>
      <c r="Y948" s="27" t="str">
        <f t="shared" si="238"/>
        <v/>
      </c>
      <c r="Z948" s="50" t="str">
        <f t="shared" si="241"/>
        <v/>
      </c>
      <c r="AA948" s="50" t="str">
        <f t="shared" si="239"/>
        <v/>
      </c>
      <c r="AB948" s="28" t="str">
        <f t="shared" si="242"/>
        <v/>
      </c>
      <c r="AC948" s="1" t="str">
        <f t="shared" si="243"/>
        <v/>
      </c>
      <c r="AD948" s="52">
        <f t="shared" si="240"/>
        <v>2</v>
      </c>
      <c r="AE948" t="str">
        <f t="shared" si="244"/>
        <v/>
      </c>
      <c r="AF948" t="str">
        <f t="shared" si="245"/>
        <v/>
      </c>
      <c r="AG948" t="str">
        <f t="shared" si="246"/>
        <v/>
      </c>
      <c r="AH948" t="str">
        <f t="shared" si="247"/>
        <v/>
      </c>
      <c r="AI948" t="str">
        <f t="shared" si="248"/>
        <v/>
      </c>
      <c r="AJ948" t="str">
        <f t="shared" si="249"/>
        <v/>
      </c>
      <c r="AK948" t="str">
        <f t="shared" si="250"/>
        <v/>
      </c>
      <c r="AL948" t="str">
        <f t="shared" si="251"/>
        <v/>
      </c>
      <c r="AN948" t="str">
        <f>IFERROR(ROUND(L948*(G948/$AW948)/VLOOKUP(F948,商品!$A$4:$D$67,4,FALSE),0),"")</f>
        <v/>
      </c>
      <c r="AO948" t="str">
        <f>IFERROR(ROUND(L948*(I948/$AW948)/VLOOKUP(H948,商品!$A$4:$D$67,4,FALSE),0),"")</f>
        <v/>
      </c>
      <c r="AP948" t="str">
        <f>IFERROR(ROUND(L948*(K948/$AW948)/VLOOKUP(J948,商品!$A$4:$D$67,4,FALSE),0),"")</f>
        <v/>
      </c>
      <c r="AQ948" t="str">
        <f>IFERROR(ROUND(S948*(N948/$AX948)/VLOOKUP(M948,职业!$A$3:$E$16,4,FALSE),0),"")</f>
        <v/>
      </c>
      <c r="AR948" t="str">
        <f>IFERROR(ROUND(S948*(P948/$AX948)/VLOOKUP(O948,职业!$A$3:$E$16,4,FALSE),0),"")</f>
        <v/>
      </c>
      <c r="AS948" t="str">
        <f>IFERROR(ROUND(S948*(R948/$AX948)/VLOOKUP(Q948,职业!$A$3:$E$16,4,FALSE),0),"")</f>
        <v/>
      </c>
      <c r="AT948" t="str">
        <f>IFERROR(ROUND(X948*(U948/$AY948)/VLOOKUP(T948,商品!$A$4:$D$67,4,FALSE),0),"")</f>
        <v/>
      </c>
      <c r="AU948" t="str">
        <f>IFERROR(ROUND(X948*(W948/$AY948)/VLOOKUP(V948,商品!$A$4:$D$67,4,FALSE),0),"")</f>
        <v/>
      </c>
      <c r="AW948">
        <f t="shared" si="252"/>
        <v>0</v>
      </c>
      <c r="AX948">
        <f t="shared" si="253"/>
        <v>0</v>
      </c>
      <c r="AY948">
        <f t="shared" si="254"/>
        <v>0</v>
      </c>
    </row>
    <row r="949" customHeight="1" spans="1:51">
      <c r="A949" s="18" t="s">
        <v>458</v>
      </c>
      <c r="C949" s="18">
        <v>3</v>
      </c>
      <c r="D949" s="1" t="s">
        <v>291</v>
      </c>
      <c r="E949" s="1" t="s">
        <v>225</v>
      </c>
      <c r="L949" s="18">
        <f>IFERROR(VLOOKUP($D949&amp;$C949,生产方式定位!$A$2:$E$38,2,FALSE)+VLOOKUP($E949&amp;$C949,生产方式定位!$F$3:$J$38,2,FALSE),0)</f>
        <v>0</v>
      </c>
      <c r="S949" s="18">
        <f>IFERROR(VLOOKUP($D949&amp;$C949,生产方式定位!$A$2:$E$38,3,FALSE)+VLOOKUP($E949&amp;$C949,生产方式定位!$F$3:$J$38,3,FALSE),0)</f>
        <v>100</v>
      </c>
      <c r="X949" s="18">
        <f>IFERROR(VLOOKUP($D949&amp;$C949,生产方式定位!$A$2:$E$38,5,FALSE)+VLOOKUP($E949&amp;$C949,生产方式定位!$F$3:$J$38,5,FALSE),"错误")</f>
        <v>100</v>
      </c>
      <c r="Y949" s="27" t="str">
        <f t="shared" si="238"/>
        <v/>
      </c>
      <c r="Z949" s="50" t="str">
        <f t="shared" si="241"/>
        <v/>
      </c>
      <c r="AA949" s="50" t="str">
        <f t="shared" si="239"/>
        <v/>
      </c>
      <c r="AB949" s="28" t="str">
        <f t="shared" si="242"/>
        <v/>
      </c>
      <c r="AC949" s="1" t="str">
        <f t="shared" si="243"/>
        <v/>
      </c>
      <c r="AD949" s="52">
        <f t="shared" si="240"/>
        <v>3</v>
      </c>
      <c r="AE949" t="str">
        <f t="shared" si="244"/>
        <v/>
      </c>
      <c r="AF949" t="str">
        <f t="shared" si="245"/>
        <v/>
      </c>
      <c r="AG949" t="str">
        <f t="shared" si="246"/>
        <v/>
      </c>
      <c r="AH949" t="str">
        <f t="shared" si="247"/>
        <v/>
      </c>
      <c r="AI949" t="str">
        <f t="shared" si="248"/>
        <v/>
      </c>
      <c r="AJ949" t="str">
        <f t="shared" si="249"/>
        <v/>
      </c>
      <c r="AK949" t="str">
        <f t="shared" si="250"/>
        <v/>
      </c>
      <c r="AL949" t="str">
        <f t="shared" si="251"/>
        <v/>
      </c>
      <c r="AN949" t="str">
        <f>IFERROR(ROUND(L949*(G949/$AW949)/VLOOKUP(F949,商品!$A$4:$D$67,4,FALSE),0),"")</f>
        <v/>
      </c>
      <c r="AO949" t="str">
        <f>IFERROR(ROUND(L949*(I949/$AW949)/VLOOKUP(H949,商品!$A$4:$D$67,4,FALSE),0),"")</f>
        <v/>
      </c>
      <c r="AP949" t="str">
        <f>IFERROR(ROUND(L949*(K949/$AW949)/VLOOKUP(J949,商品!$A$4:$D$67,4,FALSE),0),"")</f>
        <v/>
      </c>
      <c r="AQ949" t="str">
        <f>IFERROR(ROUND(S949*(N949/$AX949)/VLOOKUP(M949,职业!$A$3:$E$16,4,FALSE),0),"")</f>
        <v/>
      </c>
      <c r="AR949" t="str">
        <f>IFERROR(ROUND(S949*(P949/$AX949)/VLOOKUP(O949,职业!$A$3:$E$16,4,FALSE),0),"")</f>
        <v/>
      </c>
      <c r="AS949" t="str">
        <f>IFERROR(ROUND(S949*(R949/$AX949)/VLOOKUP(Q949,职业!$A$3:$E$16,4,FALSE),0),"")</f>
        <v/>
      </c>
      <c r="AT949" t="str">
        <f>IFERROR(ROUND(X949*(U949/$AY949)/VLOOKUP(T949,商品!$A$4:$D$67,4,FALSE),0),"")</f>
        <v/>
      </c>
      <c r="AU949" t="str">
        <f>IFERROR(ROUND(X949*(W949/$AY949)/VLOOKUP(V949,商品!$A$4:$D$67,4,FALSE),0),"")</f>
        <v/>
      </c>
      <c r="AW949">
        <f t="shared" si="252"/>
        <v>0</v>
      </c>
      <c r="AX949">
        <f t="shared" si="253"/>
        <v>0</v>
      </c>
      <c r="AY949">
        <f t="shared" si="254"/>
        <v>0</v>
      </c>
    </row>
    <row r="950" customHeight="1" spans="1:51">
      <c r="A950" s="18" t="s">
        <v>458</v>
      </c>
      <c r="C950" s="18">
        <v>4</v>
      </c>
      <c r="D950" s="1" t="s">
        <v>291</v>
      </c>
      <c r="E950" s="1" t="s">
        <v>225</v>
      </c>
      <c r="L950" s="18">
        <f>IFERROR(VLOOKUP($D950&amp;$C950,生产方式定位!$A$2:$E$38,2,FALSE)+VLOOKUP($E950&amp;$C950,生产方式定位!$F$3:$J$38,2,FALSE),0)</f>
        <v>0</v>
      </c>
      <c r="S950" s="18">
        <f>IFERROR(VLOOKUP($D950&amp;$C950,生产方式定位!$A$2:$E$38,3,FALSE)+VLOOKUP($E950&amp;$C950,生产方式定位!$F$3:$J$38,3,FALSE),0)</f>
        <v>100</v>
      </c>
      <c r="X950" s="18">
        <f>IFERROR(VLOOKUP($D950&amp;$C950,生产方式定位!$A$2:$E$38,5,FALSE)+VLOOKUP($E950&amp;$C950,生产方式定位!$F$3:$J$38,5,FALSE),"错误")</f>
        <v>100</v>
      </c>
      <c r="Y950" s="27" t="str">
        <f t="shared" si="238"/>
        <v/>
      </c>
      <c r="Z950" s="50" t="str">
        <f t="shared" si="241"/>
        <v/>
      </c>
      <c r="AA950" s="50" t="str">
        <f t="shared" si="239"/>
        <v/>
      </c>
      <c r="AB950" s="28" t="str">
        <f t="shared" si="242"/>
        <v/>
      </c>
      <c r="AC950" s="1" t="str">
        <f t="shared" si="243"/>
        <v/>
      </c>
      <c r="AD950" s="52">
        <f t="shared" si="240"/>
        <v>4</v>
      </c>
      <c r="AE950" t="str">
        <f t="shared" si="244"/>
        <v/>
      </c>
      <c r="AF950" t="str">
        <f t="shared" si="245"/>
        <v/>
      </c>
      <c r="AG950" t="str">
        <f t="shared" si="246"/>
        <v/>
      </c>
      <c r="AH950" t="str">
        <f t="shared" si="247"/>
        <v/>
      </c>
      <c r="AI950" t="str">
        <f t="shared" si="248"/>
        <v/>
      </c>
      <c r="AJ950" t="str">
        <f t="shared" si="249"/>
        <v/>
      </c>
      <c r="AK950" t="str">
        <f t="shared" si="250"/>
        <v/>
      </c>
      <c r="AL950" t="str">
        <f t="shared" si="251"/>
        <v/>
      </c>
      <c r="AN950" t="str">
        <f>IFERROR(ROUND(L950*(G950/$AW950)/VLOOKUP(F950,商品!$A$4:$D$67,4,FALSE),0),"")</f>
        <v/>
      </c>
      <c r="AO950" t="str">
        <f>IFERROR(ROUND(L950*(I950/$AW950)/VLOOKUP(H950,商品!$A$4:$D$67,4,FALSE),0),"")</f>
        <v/>
      </c>
      <c r="AP950" t="str">
        <f>IFERROR(ROUND(L950*(K950/$AW950)/VLOOKUP(J950,商品!$A$4:$D$67,4,FALSE),0),"")</f>
        <v/>
      </c>
      <c r="AQ950" t="str">
        <f>IFERROR(ROUND(S950*(N950/$AX950)/VLOOKUP(M950,职业!$A$3:$E$16,4,FALSE),0),"")</f>
        <v/>
      </c>
      <c r="AR950" t="str">
        <f>IFERROR(ROUND(S950*(P950/$AX950)/VLOOKUP(O950,职业!$A$3:$E$16,4,FALSE),0),"")</f>
        <v/>
      </c>
      <c r="AS950" t="str">
        <f>IFERROR(ROUND(S950*(R950/$AX950)/VLOOKUP(Q950,职业!$A$3:$E$16,4,FALSE),0),"")</f>
        <v/>
      </c>
      <c r="AT950" t="str">
        <f>IFERROR(ROUND(X950*(U950/$AY950)/VLOOKUP(T950,商品!$A$4:$D$67,4,FALSE),0),"")</f>
        <v/>
      </c>
      <c r="AU950" t="str">
        <f>IFERROR(ROUND(X950*(W950/$AY950)/VLOOKUP(V950,商品!$A$4:$D$67,4,FALSE),0),"")</f>
        <v/>
      </c>
      <c r="AW950">
        <f t="shared" si="252"/>
        <v>0</v>
      </c>
      <c r="AX950">
        <f t="shared" si="253"/>
        <v>0</v>
      </c>
      <c r="AY950">
        <f t="shared" si="254"/>
        <v>0</v>
      </c>
    </row>
    <row r="951" customHeight="1" spans="1:51">
      <c r="A951" s="18" t="s">
        <v>458</v>
      </c>
      <c r="C951" s="18">
        <v>5</v>
      </c>
      <c r="D951" s="1" t="s">
        <v>291</v>
      </c>
      <c r="E951" s="1" t="s">
        <v>225</v>
      </c>
      <c r="L951" s="18">
        <f>IFERROR(VLOOKUP($D951&amp;$C951,生产方式定位!$A$2:$E$38,2,FALSE)+VLOOKUP($E951&amp;$C951,生产方式定位!$F$3:$J$38,2,FALSE),0)</f>
        <v>0</v>
      </c>
      <c r="S951" s="18">
        <f>IFERROR(VLOOKUP($D951&amp;$C951,生产方式定位!$A$2:$E$38,3,FALSE)+VLOOKUP($E951&amp;$C951,生产方式定位!$F$3:$J$38,3,FALSE),0)</f>
        <v>100</v>
      </c>
      <c r="X951" s="18">
        <f>IFERROR(VLOOKUP($D951&amp;$C951,生产方式定位!$A$2:$E$38,5,FALSE)+VLOOKUP($E951&amp;$C951,生产方式定位!$F$3:$J$38,5,FALSE),"错误")</f>
        <v>100</v>
      </c>
      <c r="Y951" s="27" t="str">
        <f t="shared" si="238"/>
        <v/>
      </c>
      <c r="Z951" s="50" t="str">
        <f t="shared" si="241"/>
        <v/>
      </c>
      <c r="AA951" s="50" t="str">
        <f t="shared" si="239"/>
        <v/>
      </c>
      <c r="AB951" s="28" t="str">
        <f t="shared" si="242"/>
        <v/>
      </c>
      <c r="AC951" s="1" t="str">
        <f t="shared" si="243"/>
        <v/>
      </c>
      <c r="AD951" s="52">
        <f t="shared" si="240"/>
        <v>5</v>
      </c>
      <c r="AE951" t="str">
        <f t="shared" si="244"/>
        <v/>
      </c>
      <c r="AF951" t="str">
        <f t="shared" si="245"/>
        <v/>
      </c>
      <c r="AG951" t="str">
        <f t="shared" si="246"/>
        <v/>
      </c>
      <c r="AH951" t="str">
        <f t="shared" si="247"/>
        <v/>
      </c>
      <c r="AI951" t="str">
        <f t="shared" si="248"/>
        <v/>
      </c>
      <c r="AJ951" t="str">
        <f t="shared" si="249"/>
        <v/>
      </c>
      <c r="AK951" t="str">
        <f t="shared" si="250"/>
        <v/>
      </c>
      <c r="AL951" t="str">
        <f t="shared" si="251"/>
        <v/>
      </c>
      <c r="AN951" t="str">
        <f>IFERROR(ROUND(L951*(G951/$AW951)/VLOOKUP(F951,商品!$A$4:$D$67,4,FALSE),0),"")</f>
        <v/>
      </c>
      <c r="AO951" t="str">
        <f>IFERROR(ROUND(L951*(I951/$AW951)/VLOOKUP(H951,商品!$A$4:$D$67,4,FALSE),0),"")</f>
        <v/>
      </c>
      <c r="AP951" t="str">
        <f>IFERROR(ROUND(L951*(K951/$AW951)/VLOOKUP(J951,商品!$A$4:$D$67,4,FALSE),0),"")</f>
        <v/>
      </c>
      <c r="AQ951" t="str">
        <f>IFERROR(ROUND(S951*(N951/$AX951)/VLOOKUP(M951,职业!$A$3:$E$16,4,FALSE),0),"")</f>
        <v/>
      </c>
      <c r="AR951" t="str">
        <f>IFERROR(ROUND(S951*(P951/$AX951)/VLOOKUP(O951,职业!$A$3:$E$16,4,FALSE),0),"")</f>
        <v/>
      </c>
      <c r="AS951" t="str">
        <f>IFERROR(ROUND(S951*(R951/$AX951)/VLOOKUP(Q951,职业!$A$3:$E$16,4,FALSE),0),"")</f>
        <v/>
      </c>
      <c r="AT951" t="str">
        <f>IFERROR(ROUND(X951*(U951/$AY951)/VLOOKUP(T951,商品!$A$4:$D$67,4,FALSE),0),"")</f>
        <v/>
      </c>
      <c r="AU951" t="str">
        <f>IFERROR(ROUND(X951*(W951/$AY951)/VLOOKUP(V951,商品!$A$4:$D$67,4,FALSE),0),"")</f>
        <v/>
      </c>
      <c r="AW951">
        <f t="shared" si="252"/>
        <v>0</v>
      </c>
      <c r="AX951">
        <f t="shared" si="253"/>
        <v>0</v>
      </c>
      <c r="AY951">
        <f t="shared" si="254"/>
        <v>0</v>
      </c>
    </row>
    <row r="952" customHeight="1" spans="1:51">
      <c r="A952" s="18" t="s">
        <v>458</v>
      </c>
      <c r="C952" s="18">
        <v>6</v>
      </c>
      <c r="D952" s="1" t="s">
        <v>291</v>
      </c>
      <c r="E952" s="1" t="s">
        <v>225</v>
      </c>
      <c r="L952" s="18">
        <f>IFERROR(VLOOKUP($D952&amp;$C952,生产方式定位!$A$2:$E$38,2,FALSE)+VLOOKUP($E952&amp;$C952,生产方式定位!$F$3:$J$38,2,FALSE),0)</f>
        <v>0</v>
      </c>
      <c r="S952" s="18">
        <f>IFERROR(VLOOKUP($D952&amp;$C952,生产方式定位!$A$2:$E$38,3,FALSE)+VLOOKUP($E952&amp;$C952,生产方式定位!$F$3:$J$38,3,FALSE),0)</f>
        <v>100</v>
      </c>
      <c r="X952" s="18">
        <f>IFERROR(VLOOKUP($D952&amp;$C952,生产方式定位!$A$2:$E$38,5,FALSE)+VLOOKUP($E952&amp;$C952,生产方式定位!$F$3:$J$38,5,FALSE),"错误")</f>
        <v>100</v>
      </c>
      <c r="Y952" s="27" t="str">
        <f t="shared" si="238"/>
        <v/>
      </c>
      <c r="Z952" s="50" t="str">
        <f t="shared" si="241"/>
        <v/>
      </c>
      <c r="AA952" s="50" t="str">
        <f t="shared" si="239"/>
        <v/>
      </c>
      <c r="AB952" s="28" t="str">
        <f t="shared" si="242"/>
        <v/>
      </c>
      <c r="AC952" s="1" t="str">
        <f t="shared" si="243"/>
        <v/>
      </c>
      <c r="AD952" s="52">
        <f t="shared" si="240"/>
        <v>6</v>
      </c>
      <c r="AE952" t="str">
        <f t="shared" si="244"/>
        <v/>
      </c>
      <c r="AF952" t="str">
        <f t="shared" si="245"/>
        <v/>
      </c>
      <c r="AG952" t="str">
        <f t="shared" si="246"/>
        <v/>
      </c>
      <c r="AH952" t="str">
        <f t="shared" si="247"/>
        <v/>
      </c>
      <c r="AI952" t="str">
        <f t="shared" si="248"/>
        <v/>
      </c>
      <c r="AJ952" t="str">
        <f t="shared" si="249"/>
        <v/>
      </c>
      <c r="AK952" t="str">
        <f t="shared" si="250"/>
        <v/>
      </c>
      <c r="AL952" t="str">
        <f t="shared" si="251"/>
        <v/>
      </c>
      <c r="AN952" t="str">
        <f>IFERROR(ROUND(L952*(G952/$AW952)/VLOOKUP(F952,商品!$A$4:$D$67,4,FALSE),0),"")</f>
        <v/>
      </c>
      <c r="AO952" t="str">
        <f>IFERROR(ROUND(L952*(I952/$AW952)/VLOOKUP(H952,商品!$A$4:$D$67,4,FALSE),0),"")</f>
        <v/>
      </c>
      <c r="AP952" t="str">
        <f>IFERROR(ROUND(L952*(K952/$AW952)/VLOOKUP(J952,商品!$A$4:$D$67,4,FALSE),0),"")</f>
        <v/>
      </c>
      <c r="AQ952" t="str">
        <f>IFERROR(ROUND(S952*(N952/$AX952)/VLOOKUP(M952,职业!$A$3:$E$16,4,FALSE),0),"")</f>
        <v/>
      </c>
      <c r="AR952" t="str">
        <f>IFERROR(ROUND(S952*(P952/$AX952)/VLOOKUP(O952,职业!$A$3:$E$16,4,FALSE),0),"")</f>
        <v/>
      </c>
      <c r="AS952" t="str">
        <f>IFERROR(ROUND(S952*(R952/$AX952)/VLOOKUP(Q952,职业!$A$3:$E$16,4,FALSE),0),"")</f>
        <v/>
      </c>
      <c r="AT952" t="str">
        <f>IFERROR(ROUND(X952*(U952/$AY952)/VLOOKUP(T952,商品!$A$4:$D$67,4,FALSE),0),"")</f>
        <v/>
      </c>
      <c r="AU952" t="str">
        <f>IFERROR(ROUND(X952*(W952/$AY952)/VLOOKUP(V952,商品!$A$4:$D$67,4,FALSE),0),"")</f>
        <v/>
      </c>
      <c r="AW952">
        <f t="shared" si="252"/>
        <v>0</v>
      </c>
      <c r="AX952">
        <f t="shared" si="253"/>
        <v>0</v>
      </c>
      <c r="AY952">
        <f t="shared" si="254"/>
        <v>0</v>
      </c>
    </row>
    <row r="953" customHeight="1" spans="1:51">
      <c r="A953" s="18" t="s">
        <v>458</v>
      </c>
      <c r="C953" s="18">
        <v>7</v>
      </c>
      <c r="D953" s="1" t="s">
        <v>291</v>
      </c>
      <c r="E953" s="1" t="s">
        <v>225</v>
      </c>
      <c r="L953" s="18">
        <f>IFERROR(VLOOKUP($D953&amp;$C953,生产方式定位!$A$2:$E$38,2,FALSE)+VLOOKUP($E953&amp;$C953,生产方式定位!$F$3:$J$38,2,FALSE),0)</f>
        <v>0</v>
      </c>
      <c r="S953" s="18">
        <f>IFERROR(VLOOKUP($D953&amp;$C953,生产方式定位!$A$2:$E$38,3,FALSE)+VLOOKUP($E953&amp;$C953,生产方式定位!$F$3:$J$38,3,FALSE),0)</f>
        <v>100</v>
      </c>
      <c r="X953" s="18">
        <f>IFERROR(VLOOKUP($D953&amp;$C953,生产方式定位!$A$2:$E$38,5,FALSE)+VLOOKUP($E953&amp;$C953,生产方式定位!$F$3:$J$38,5,FALSE),"错误")</f>
        <v>100</v>
      </c>
      <c r="Y953" s="27" t="str">
        <f t="shared" si="238"/>
        <v/>
      </c>
      <c r="Z953" s="50" t="str">
        <f t="shared" si="241"/>
        <v/>
      </c>
      <c r="AA953" s="50" t="str">
        <f t="shared" si="239"/>
        <v/>
      </c>
      <c r="AB953" s="28" t="str">
        <f t="shared" si="242"/>
        <v/>
      </c>
      <c r="AC953" s="1" t="str">
        <f t="shared" si="243"/>
        <v/>
      </c>
      <c r="AD953" s="52">
        <f t="shared" si="240"/>
        <v>7</v>
      </c>
      <c r="AE953" t="str">
        <f t="shared" si="244"/>
        <v/>
      </c>
      <c r="AF953" t="str">
        <f t="shared" si="245"/>
        <v/>
      </c>
      <c r="AG953" t="str">
        <f t="shared" si="246"/>
        <v/>
      </c>
      <c r="AH953" t="str">
        <f t="shared" si="247"/>
        <v/>
      </c>
      <c r="AI953" t="str">
        <f t="shared" si="248"/>
        <v/>
      </c>
      <c r="AJ953" t="str">
        <f t="shared" si="249"/>
        <v/>
      </c>
      <c r="AK953" t="str">
        <f t="shared" si="250"/>
        <v/>
      </c>
      <c r="AL953" t="str">
        <f t="shared" si="251"/>
        <v/>
      </c>
      <c r="AN953" t="str">
        <f>IFERROR(ROUND(L953*(G953/$AW953)/VLOOKUP(F953,商品!$A$4:$D$67,4,FALSE),0),"")</f>
        <v/>
      </c>
      <c r="AO953" t="str">
        <f>IFERROR(ROUND(L953*(I953/$AW953)/VLOOKUP(H953,商品!$A$4:$D$67,4,FALSE),0),"")</f>
        <v/>
      </c>
      <c r="AP953" t="str">
        <f>IFERROR(ROUND(L953*(K953/$AW953)/VLOOKUP(J953,商品!$A$4:$D$67,4,FALSE),0),"")</f>
        <v/>
      </c>
      <c r="AQ953" t="str">
        <f>IFERROR(ROUND(S953*(N953/$AX953)/VLOOKUP(M953,职业!$A$3:$E$16,4,FALSE),0),"")</f>
        <v/>
      </c>
      <c r="AR953" t="str">
        <f>IFERROR(ROUND(S953*(P953/$AX953)/VLOOKUP(O953,职业!$A$3:$E$16,4,FALSE),0),"")</f>
        <v/>
      </c>
      <c r="AS953" t="str">
        <f>IFERROR(ROUND(S953*(R953/$AX953)/VLOOKUP(Q953,职业!$A$3:$E$16,4,FALSE),0),"")</f>
        <v/>
      </c>
      <c r="AT953" t="str">
        <f>IFERROR(ROUND(X953*(U953/$AY953)/VLOOKUP(T953,商品!$A$4:$D$67,4,FALSE),0),"")</f>
        <v/>
      </c>
      <c r="AU953" t="str">
        <f>IFERROR(ROUND(X953*(W953/$AY953)/VLOOKUP(V953,商品!$A$4:$D$67,4,FALSE),0),"")</f>
        <v/>
      </c>
      <c r="AW953">
        <f t="shared" si="252"/>
        <v>0</v>
      </c>
      <c r="AX953">
        <f t="shared" si="253"/>
        <v>0</v>
      </c>
      <c r="AY953">
        <f t="shared" si="254"/>
        <v>0</v>
      </c>
    </row>
    <row r="954" customHeight="1" spans="1:51">
      <c r="A954" s="18" t="s">
        <v>458</v>
      </c>
      <c r="C954" s="18">
        <v>8</v>
      </c>
      <c r="D954" s="1" t="s">
        <v>291</v>
      </c>
      <c r="E954" s="1" t="s">
        <v>225</v>
      </c>
      <c r="L954" s="18">
        <f>IFERROR(VLOOKUP($D954&amp;$C954,生产方式定位!$A$2:$E$38,2,FALSE)+VLOOKUP($E954&amp;$C954,生产方式定位!$F$3:$J$38,2,FALSE),0)</f>
        <v>0</v>
      </c>
      <c r="S954" s="18">
        <f>IFERROR(VLOOKUP($D954&amp;$C954,生产方式定位!$A$2:$E$38,3,FALSE)+VLOOKUP($E954&amp;$C954,生产方式定位!$F$3:$J$38,3,FALSE),0)</f>
        <v>100</v>
      </c>
      <c r="X954" s="18">
        <f>IFERROR(VLOOKUP($D954&amp;$C954,生产方式定位!$A$2:$E$38,5,FALSE)+VLOOKUP($E954&amp;$C954,生产方式定位!$F$3:$J$38,5,FALSE),"错误")</f>
        <v>100</v>
      </c>
      <c r="Y954" s="27" t="str">
        <f t="shared" si="238"/>
        <v/>
      </c>
      <c r="Z954" s="50" t="str">
        <f t="shared" si="241"/>
        <v/>
      </c>
      <c r="AA954" s="50" t="str">
        <f t="shared" si="239"/>
        <v/>
      </c>
      <c r="AB954" s="28" t="str">
        <f t="shared" si="242"/>
        <v/>
      </c>
      <c r="AC954" s="1" t="str">
        <f t="shared" si="243"/>
        <v/>
      </c>
      <c r="AD954" s="52">
        <f t="shared" si="240"/>
        <v>8</v>
      </c>
      <c r="AE954" t="str">
        <f t="shared" si="244"/>
        <v/>
      </c>
      <c r="AF954" t="str">
        <f t="shared" si="245"/>
        <v/>
      </c>
      <c r="AG954" t="str">
        <f t="shared" si="246"/>
        <v/>
      </c>
      <c r="AH954" t="str">
        <f t="shared" si="247"/>
        <v/>
      </c>
      <c r="AI954" t="str">
        <f t="shared" si="248"/>
        <v/>
      </c>
      <c r="AJ954" t="str">
        <f t="shared" si="249"/>
        <v/>
      </c>
      <c r="AK954" t="str">
        <f t="shared" si="250"/>
        <v/>
      </c>
      <c r="AL954" t="str">
        <f t="shared" si="251"/>
        <v/>
      </c>
      <c r="AN954" t="str">
        <f>IFERROR(ROUND(L954*(G954/$AW954)/VLOOKUP(F954,商品!$A$4:$D$67,4,FALSE),0),"")</f>
        <v/>
      </c>
      <c r="AO954" t="str">
        <f>IFERROR(ROUND(L954*(I954/$AW954)/VLOOKUP(H954,商品!$A$4:$D$67,4,FALSE),0),"")</f>
        <v/>
      </c>
      <c r="AP954" t="str">
        <f>IFERROR(ROUND(L954*(K954/$AW954)/VLOOKUP(J954,商品!$A$4:$D$67,4,FALSE),0),"")</f>
        <v/>
      </c>
      <c r="AQ954" t="str">
        <f>IFERROR(ROUND(S954*(N954/$AX954)/VLOOKUP(M954,职业!$A$3:$E$16,4,FALSE),0),"")</f>
        <v/>
      </c>
      <c r="AR954" t="str">
        <f>IFERROR(ROUND(S954*(P954/$AX954)/VLOOKUP(O954,职业!$A$3:$E$16,4,FALSE),0),"")</f>
        <v/>
      </c>
      <c r="AS954" t="str">
        <f>IFERROR(ROUND(S954*(R954/$AX954)/VLOOKUP(Q954,职业!$A$3:$E$16,4,FALSE),0),"")</f>
        <v/>
      </c>
      <c r="AT954" t="str">
        <f>IFERROR(ROUND(X954*(U954/$AY954)/VLOOKUP(T954,商品!$A$4:$D$67,4,FALSE),0),"")</f>
        <v/>
      </c>
      <c r="AU954" t="str">
        <f>IFERROR(ROUND(X954*(W954/$AY954)/VLOOKUP(V954,商品!$A$4:$D$67,4,FALSE),0),"")</f>
        <v/>
      </c>
      <c r="AW954">
        <f t="shared" si="252"/>
        <v>0</v>
      </c>
      <c r="AX954">
        <f t="shared" si="253"/>
        <v>0</v>
      </c>
      <c r="AY954">
        <f t="shared" si="254"/>
        <v>0</v>
      </c>
    </row>
    <row r="955" customHeight="1" spans="1:51">
      <c r="A955" s="5" t="s">
        <v>460</v>
      </c>
      <c r="C955" s="5">
        <v>1</v>
      </c>
      <c r="D955" s="1" t="s">
        <v>220</v>
      </c>
      <c r="E955" s="1" t="s">
        <v>222</v>
      </c>
      <c r="L955" s="5">
        <f>IFERROR(VLOOKUP($D955&amp;$C955,生产方式定位!$A$2:$E$38,2,FALSE)+VLOOKUP($E955&amp;$C955,生产方式定位!$F$3:$J$38,2,FALSE),0)</f>
        <v>500</v>
      </c>
      <c r="S955" s="5">
        <f>IFERROR(VLOOKUP($D955&amp;$C955,生产方式定位!$A$2:$E$38,3,FALSE)+VLOOKUP($E955&amp;$C955,生产方式定位!$F$3:$J$38,3,FALSE),0)</f>
        <v>150</v>
      </c>
      <c r="X955" s="5">
        <f>IFERROR(VLOOKUP($D955&amp;$C955,生产方式定位!$A$2:$E$38,5,FALSE)+VLOOKUP($E955&amp;$C955,生产方式定位!$F$3:$J$38,5,FALSE),"错误")</f>
        <v>715</v>
      </c>
      <c r="Y955" s="27" t="str">
        <f t="shared" si="238"/>
        <v/>
      </c>
      <c r="Z955" s="50" t="str">
        <f t="shared" si="241"/>
        <v/>
      </c>
      <c r="AA955" s="50" t="str">
        <f t="shared" si="239"/>
        <v/>
      </c>
      <c r="AB955" s="28" t="str">
        <f t="shared" si="242"/>
        <v>43%</v>
      </c>
      <c r="AC955" s="1">
        <f t="shared" si="243"/>
        <v>65</v>
      </c>
      <c r="AD955" s="51">
        <f t="shared" si="240"/>
        <v>1</v>
      </c>
      <c r="AE955" t="str">
        <f t="shared" si="244"/>
        <v/>
      </c>
      <c r="AF955" t="str">
        <f t="shared" si="245"/>
        <v/>
      </c>
      <c r="AG955" t="str">
        <f t="shared" si="246"/>
        <v/>
      </c>
      <c r="AH955" t="str">
        <f t="shared" si="247"/>
        <v/>
      </c>
      <c r="AI955" t="str">
        <f t="shared" si="248"/>
        <v/>
      </c>
      <c r="AJ955" t="str">
        <f t="shared" si="249"/>
        <v/>
      </c>
      <c r="AK955" t="str">
        <f t="shared" si="250"/>
        <v/>
      </c>
      <c r="AL955" t="str">
        <f t="shared" si="251"/>
        <v/>
      </c>
      <c r="AN955" t="str">
        <f>IFERROR(ROUND(L955*(G955/$AW955)/VLOOKUP(F955,商品!$A$4:$D$67,4,FALSE),0),"")</f>
        <v/>
      </c>
      <c r="AO955" t="str">
        <f>IFERROR(ROUND(L955*(I955/$AW955)/VLOOKUP(H955,商品!$A$4:$D$67,4,FALSE),0),"")</f>
        <v/>
      </c>
      <c r="AP955" t="str">
        <f>IFERROR(ROUND(L955*(K955/$AW955)/VLOOKUP(J955,商品!$A$4:$D$67,4,FALSE),0),"")</f>
        <v/>
      </c>
      <c r="AQ955" t="str">
        <f>IFERROR(ROUND(S955*(N955/$AX955)/VLOOKUP(M955,职业!$A$3:$E$16,4,FALSE),0),"")</f>
        <v/>
      </c>
      <c r="AR955" t="str">
        <f>IFERROR(ROUND(S955*(P955/$AX955)/VLOOKUP(O955,职业!$A$3:$E$16,4,FALSE),0),"")</f>
        <v/>
      </c>
      <c r="AS955" t="str">
        <f>IFERROR(ROUND(S955*(R955/$AX955)/VLOOKUP(Q955,职业!$A$3:$E$16,4,FALSE),0),"")</f>
        <v/>
      </c>
      <c r="AT955" t="str">
        <f>IFERROR(ROUND(X955*(U955/$AY955)/VLOOKUP(T955,商品!$A$4:$D$67,4,FALSE),0),"")</f>
        <v/>
      </c>
      <c r="AU955" t="str">
        <f>IFERROR(ROUND(X955*(W955/$AY955)/VLOOKUP(V955,商品!$A$4:$D$67,4,FALSE),0),"")</f>
        <v/>
      </c>
      <c r="AW955">
        <f t="shared" si="252"/>
        <v>0</v>
      </c>
      <c r="AX955">
        <f t="shared" si="253"/>
        <v>0</v>
      </c>
      <c r="AY955">
        <f t="shared" si="254"/>
        <v>0</v>
      </c>
    </row>
    <row r="956" customHeight="1" spans="1:51">
      <c r="A956" s="5" t="s">
        <v>460</v>
      </c>
      <c r="C956" s="5">
        <v>2</v>
      </c>
      <c r="D956" s="1" t="s">
        <v>220</v>
      </c>
      <c r="E956" s="1" t="s">
        <v>222</v>
      </c>
      <c r="L956" s="5">
        <f>IFERROR(VLOOKUP($D956&amp;$C956,生产方式定位!$A$2:$E$38,2,FALSE)+VLOOKUP($E956&amp;$C956,生产方式定位!$F$3:$J$38,2,FALSE),0)</f>
        <v>1200</v>
      </c>
      <c r="S956" s="5">
        <f>IFERROR(VLOOKUP($D956&amp;$C956,生产方式定位!$A$2:$E$38,3,FALSE)+VLOOKUP($E956&amp;$C956,生产方式定位!$F$3:$J$38,3,FALSE),0)</f>
        <v>140</v>
      </c>
      <c r="X956" s="5">
        <f>IFERROR(VLOOKUP($D956&amp;$C956,生产方式定位!$A$2:$E$38,5,FALSE)+VLOOKUP($E956&amp;$C956,生产方式定位!$F$3:$J$38,5,FALSE),"错误")</f>
        <v>1390</v>
      </c>
      <c r="Y956" s="27" t="str">
        <f t="shared" si="238"/>
        <v/>
      </c>
      <c r="Z956" s="50" t="str">
        <f t="shared" si="241"/>
        <v/>
      </c>
      <c r="AA956" s="50" t="str">
        <f t="shared" si="239"/>
        <v/>
      </c>
      <c r="AB956" s="28" t="str">
        <f t="shared" si="242"/>
        <v>16%</v>
      </c>
      <c r="AC956" s="1">
        <f t="shared" si="243"/>
        <v>50</v>
      </c>
      <c r="AD956" s="51">
        <f t="shared" si="240"/>
        <v>2</v>
      </c>
      <c r="AE956" t="str">
        <f t="shared" si="244"/>
        <v/>
      </c>
      <c r="AF956" t="str">
        <f t="shared" si="245"/>
        <v/>
      </c>
      <c r="AG956" t="str">
        <f t="shared" si="246"/>
        <v/>
      </c>
      <c r="AH956" t="str">
        <f t="shared" si="247"/>
        <v/>
      </c>
      <c r="AI956" t="str">
        <f t="shared" si="248"/>
        <v/>
      </c>
      <c r="AJ956" t="str">
        <f t="shared" si="249"/>
        <v/>
      </c>
      <c r="AK956" t="str">
        <f t="shared" si="250"/>
        <v/>
      </c>
      <c r="AL956" t="str">
        <f t="shared" si="251"/>
        <v/>
      </c>
      <c r="AN956" t="str">
        <f>IFERROR(ROUND(L956*(G956/$AW956)/VLOOKUP(F956,商品!$A$4:$D$67,4,FALSE),0),"")</f>
        <v/>
      </c>
      <c r="AO956" t="str">
        <f>IFERROR(ROUND(L956*(I956/$AW956)/VLOOKUP(H956,商品!$A$4:$D$67,4,FALSE),0),"")</f>
        <v/>
      </c>
      <c r="AP956" t="str">
        <f>IFERROR(ROUND(L956*(K956/$AW956)/VLOOKUP(J956,商品!$A$4:$D$67,4,FALSE),0),"")</f>
        <v/>
      </c>
      <c r="AQ956" t="str">
        <f>IFERROR(ROUND(S956*(N956/$AX956)/VLOOKUP(M956,职业!$A$3:$E$16,4,FALSE),0),"")</f>
        <v/>
      </c>
      <c r="AR956" t="str">
        <f>IFERROR(ROUND(S956*(P956/$AX956)/VLOOKUP(O956,职业!$A$3:$E$16,4,FALSE),0),"")</f>
        <v/>
      </c>
      <c r="AS956" t="str">
        <f>IFERROR(ROUND(S956*(R956/$AX956)/VLOOKUP(Q956,职业!$A$3:$E$16,4,FALSE),0),"")</f>
        <v/>
      </c>
      <c r="AT956" t="str">
        <f>IFERROR(ROUND(X956*(U956/$AY956)/VLOOKUP(T956,商品!$A$4:$D$67,4,FALSE),0),"")</f>
        <v/>
      </c>
      <c r="AU956" t="str">
        <f>IFERROR(ROUND(X956*(W956/$AY956)/VLOOKUP(V956,商品!$A$4:$D$67,4,FALSE),0),"")</f>
        <v/>
      </c>
      <c r="AW956">
        <f t="shared" si="252"/>
        <v>0</v>
      </c>
      <c r="AX956">
        <f t="shared" si="253"/>
        <v>0</v>
      </c>
      <c r="AY956">
        <f t="shared" si="254"/>
        <v>0</v>
      </c>
    </row>
    <row r="957" customHeight="1" spans="1:51">
      <c r="A957" s="5" t="s">
        <v>460</v>
      </c>
      <c r="C957" s="5">
        <v>3</v>
      </c>
      <c r="D957" s="1" t="s">
        <v>220</v>
      </c>
      <c r="E957" s="1" t="s">
        <v>222</v>
      </c>
      <c r="L957" s="5">
        <f>IFERROR(VLOOKUP($D957&amp;$C957,生产方式定位!$A$2:$E$38,2,FALSE)+VLOOKUP($E957&amp;$C957,生产方式定位!$F$3:$J$38,2,FALSE),0)</f>
        <v>1525</v>
      </c>
      <c r="S957" s="5">
        <f>IFERROR(VLOOKUP($D957&amp;$C957,生产方式定位!$A$2:$E$38,3,FALSE)+VLOOKUP($E957&amp;$C957,生产方式定位!$F$3:$J$38,3,FALSE),0)</f>
        <v>130</v>
      </c>
      <c r="X957" s="5">
        <f>IFERROR(VLOOKUP($D957&amp;$C957,生产方式定位!$A$2:$E$38,5,FALSE)+VLOOKUP($E957&amp;$C957,生产方式定位!$F$3:$J$38,5,FALSE),"错误")</f>
        <v>1718</v>
      </c>
      <c r="Y957" s="27" t="str">
        <f t="shared" si="238"/>
        <v/>
      </c>
      <c r="Z957" s="50" t="str">
        <f t="shared" si="241"/>
        <v/>
      </c>
      <c r="AA957" s="50" t="str">
        <f t="shared" si="239"/>
        <v/>
      </c>
      <c r="AB957" s="28" t="str">
        <f t="shared" si="242"/>
        <v>13%</v>
      </c>
      <c r="AC957" s="1">
        <f t="shared" si="243"/>
        <v>63</v>
      </c>
      <c r="AD957" s="51">
        <f t="shared" si="240"/>
        <v>3</v>
      </c>
      <c r="AE957" t="str">
        <f t="shared" si="244"/>
        <v/>
      </c>
      <c r="AF957" t="str">
        <f t="shared" si="245"/>
        <v/>
      </c>
      <c r="AG957" t="str">
        <f t="shared" si="246"/>
        <v/>
      </c>
      <c r="AH957" t="str">
        <f t="shared" si="247"/>
        <v/>
      </c>
      <c r="AI957" t="str">
        <f t="shared" si="248"/>
        <v/>
      </c>
      <c r="AJ957" t="str">
        <f t="shared" si="249"/>
        <v/>
      </c>
      <c r="AK957" t="str">
        <f t="shared" si="250"/>
        <v/>
      </c>
      <c r="AL957" t="str">
        <f t="shared" si="251"/>
        <v/>
      </c>
      <c r="AN957" t="str">
        <f>IFERROR(ROUND(L957*(G957/$AW957)/VLOOKUP(F957,商品!$A$4:$D$67,4,FALSE),0),"")</f>
        <v/>
      </c>
      <c r="AO957" t="str">
        <f>IFERROR(ROUND(L957*(I957/$AW957)/VLOOKUP(H957,商品!$A$4:$D$67,4,FALSE),0),"")</f>
        <v/>
      </c>
      <c r="AP957" t="str">
        <f>IFERROR(ROUND(L957*(K957/$AW957)/VLOOKUP(J957,商品!$A$4:$D$67,4,FALSE),0),"")</f>
        <v/>
      </c>
      <c r="AQ957" t="str">
        <f>IFERROR(ROUND(S957*(N957/$AX957)/VLOOKUP(M957,职业!$A$3:$E$16,4,FALSE),0),"")</f>
        <v/>
      </c>
      <c r="AR957" t="str">
        <f>IFERROR(ROUND(S957*(P957/$AX957)/VLOOKUP(O957,职业!$A$3:$E$16,4,FALSE),0),"")</f>
        <v/>
      </c>
      <c r="AS957" t="str">
        <f>IFERROR(ROUND(S957*(R957/$AX957)/VLOOKUP(Q957,职业!$A$3:$E$16,4,FALSE),0),"")</f>
        <v/>
      </c>
      <c r="AT957" t="str">
        <f>IFERROR(ROUND(X957*(U957/$AY957)/VLOOKUP(T957,商品!$A$4:$D$67,4,FALSE),0),"")</f>
        <v/>
      </c>
      <c r="AU957" t="str">
        <f>IFERROR(ROUND(X957*(W957/$AY957)/VLOOKUP(V957,商品!$A$4:$D$67,4,FALSE),0),"")</f>
        <v/>
      </c>
      <c r="AW957">
        <f t="shared" si="252"/>
        <v>0</v>
      </c>
      <c r="AX957">
        <f t="shared" si="253"/>
        <v>0</v>
      </c>
      <c r="AY957">
        <f t="shared" si="254"/>
        <v>0</v>
      </c>
    </row>
    <row r="958" customHeight="1" spans="1:51">
      <c r="A958" s="5" t="s">
        <v>460</v>
      </c>
      <c r="C958" s="5">
        <v>4</v>
      </c>
      <c r="D958" s="1" t="s">
        <v>220</v>
      </c>
      <c r="E958" s="1" t="s">
        <v>222</v>
      </c>
      <c r="L958" s="5">
        <f>IFERROR(VLOOKUP($D958&amp;$C958,生产方式定位!$A$2:$E$38,2,FALSE)+VLOOKUP($E958&amp;$C958,生产方式定位!$F$3:$J$38,2,FALSE),0)</f>
        <v>1850</v>
      </c>
      <c r="S958" s="5">
        <f>IFERROR(VLOOKUP($D958&amp;$C958,生产方式定位!$A$2:$E$38,3,FALSE)+VLOOKUP($E958&amp;$C958,生产方式定位!$F$3:$J$38,3,FALSE),0)</f>
        <v>120</v>
      </c>
      <c r="X958" s="5">
        <f>IFERROR(VLOOKUP($D958&amp;$C958,生产方式定位!$A$2:$E$38,5,FALSE)+VLOOKUP($E958&amp;$C958,生产方式定位!$F$3:$J$38,5,FALSE),"错误")</f>
        <v>2045</v>
      </c>
      <c r="Y958" s="27" t="str">
        <f t="shared" si="238"/>
        <v/>
      </c>
      <c r="Z958" s="50" t="str">
        <f t="shared" si="241"/>
        <v/>
      </c>
      <c r="AA958" s="50" t="str">
        <f t="shared" si="239"/>
        <v/>
      </c>
      <c r="AB958" s="28" t="str">
        <f t="shared" si="242"/>
        <v>11%</v>
      </c>
      <c r="AC958" s="1">
        <f t="shared" si="243"/>
        <v>75</v>
      </c>
      <c r="AD958" s="51">
        <f t="shared" si="240"/>
        <v>4</v>
      </c>
      <c r="AE958" t="str">
        <f t="shared" si="244"/>
        <v/>
      </c>
      <c r="AF958" t="str">
        <f t="shared" si="245"/>
        <v/>
      </c>
      <c r="AG958" t="str">
        <f t="shared" si="246"/>
        <v/>
      </c>
      <c r="AH958" t="str">
        <f t="shared" si="247"/>
        <v/>
      </c>
      <c r="AI958" t="str">
        <f t="shared" si="248"/>
        <v/>
      </c>
      <c r="AJ958" t="str">
        <f t="shared" si="249"/>
        <v/>
      </c>
      <c r="AK958" t="str">
        <f t="shared" si="250"/>
        <v/>
      </c>
      <c r="AL958" t="str">
        <f t="shared" si="251"/>
        <v/>
      </c>
      <c r="AN958" t="str">
        <f>IFERROR(ROUND(L958*(G958/$AW958)/VLOOKUP(F958,商品!$A$4:$D$67,4,FALSE),0),"")</f>
        <v/>
      </c>
      <c r="AO958" t="str">
        <f>IFERROR(ROUND(L958*(I958/$AW958)/VLOOKUP(H958,商品!$A$4:$D$67,4,FALSE),0),"")</f>
        <v/>
      </c>
      <c r="AP958" t="str">
        <f>IFERROR(ROUND(L958*(K958/$AW958)/VLOOKUP(J958,商品!$A$4:$D$67,4,FALSE),0),"")</f>
        <v/>
      </c>
      <c r="AQ958" t="str">
        <f>IFERROR(ROUND(S958*(N958/$AX958)/VLOOKUP(M958,职业!$A$3:$E$16,4,FALSE),0),"")</f>
        <v/>
      </c>
      <c r="AR958" t="str">
        <f>IFERROR(ROUND(S958*(P958/$AX958)/VLOOKUP(O958,职业!$A$3:$E$16,4,FALSE),0),"")</f>
        <v/>
      </c>
      <c r="AS958" t="str">
        <f>IFERROR(ROUND(S958*(R958/$AX958)/VLOOKUP(Q958,职业!$A$3:$E$16,4,FALSE),0),"")</f>
        <v/>
      </c>
      <c r="AT958" t="str">
        <f>IFERROR(ROUND(X958*(U958/$AY958)/VLOOKUP(T958,商品!$A$4:$D$67,4,FALSE),0),"")</f>
        <v/>
      </c>
      <c r="AU958" t="str">
        <f>IFERROR(ROUND(X958*(W958/$AY958)/VLOOKUP(V958,商品!$A$4:$D$67,4,FALSE),0),"")</f>
        <v/>
      </c>
      <c r="AW958">
        <f t="shared" si="252"/>
        <v>0</v>
      </c>
      <c r="AX958">
        <f t="shared" si="253"/>
        <v>0</v>
      </c>
      <c r="AY958">
        <f t="shared" si="254"/>
        <v>0</v>
      </c>
    </row>
    <row r="959" customHeight="1" spans="1:51">
      <c r="A959" s="5" t="s">
        <v>460</v>
      </c>
      <c r="C959" s="5">
        <v>5</v>
      </c>
      <c r="D959" s="1" t="s">
        <v>220</v>
      </c>
      <c r="E959" s="1" t="s">
        <v>222</v>
      </c>
      <c r="L959" s="5">
        <f>IFERROR(VLOOKUP($D959&amp;$C959,生产方式定位!$A$2:$E$38,2,FALSE)+VLOOKUP($E959&amp;$C959,生产方式定位!$F$3:$J$38,2,FALSE),0)</f>
        <v>2175</v>
      </c>
      <c r="S959" s="5">
        <f>IFERROR(VLOOKUP($D959&amp;$C959,生产方式定位!$A$2:$E$38,3,FALSE)+VLOOKUP($E959&amp;$C959,生产方式定位!$F$3:$J$38,3,FALSE),0)</f>
        <v>110</v>
      </c>
      <c r="X959" s="5">
        <f>IFERROR(VLOOKUP($D959&amp;$C959,生产方式定位!$A$2:$E$38,5,FALSE)+VLOOKUP($E959&amp;$C959,生产方式定位!$F$3:$J$38,5,FALSE),"错误")</f>
        <v>2373</v>
      </c>
      <c r="Y959" s="27" t="str">
        <f t="shared" si="238"/>
        <v/>
      </c>
      <c r="Z959" s="50" t="str">
        <f t="shared" si="241"/>
        <v/>
      </c>
      <c r="AA959" s="50" t="str">
        <f t="shared" si="239"/>
        <v/>
      </c>
      <c r="AB959" s="28" t="str">
        <f t="shared" si="242"/>
        <v>9%</v>
      </c>
      <c r="AC959" s="1">
        <f t="shared" si="243"/>
        <v>88</v>
      </c>
      <c r="AD959" s="51">
        <f t="shared" si="240"/>
        <v>5</v>
      </c>
      <c r="AE959" t="str">
        <f t="shared" si="244"/>
        <v/>
      </c>
      <c r="AF959" t="str">
        <f t="shared" si="245"/>
        <v/>
      </c>
      <c r="AG959" t="str">
        <f t="shared" si="246"/>
        <v/>
      </c>
      <c r="AH959" t="str">
        <f t="shared" si="247"/>
        <v/>
      </c>
      <c r="AI959" t="str">
        <f t="shared" si="248"/>
        <v/>
      </c>
      <c r="AJ959" t="str">
        <f t="shared" si="249"/>
        <v/>
      </c>
      <c r="AK959" t="str">
        <f t="shared" si="250"/>
        <v/>
      </c>
      <c r="AL959" t="str">
        <f t="shared" si="251"/>
        <v/>
      </c>
      <c r="AN959" t="str">
        <f>IFERROR(ROUND(L959*(G959/$AW959)/VLOOKUP(F959,商品!$A$4:$D$67,4,FALSE),0),"")</f>
        <v/>
      </c>
      <c r="AO959" t="str">
        <f>IFERROR(ROUND(L959*(I959/$AW959)/VLOOKUP(H959,商品!$A$4:$D$67,4,FALSE),0),"")</f>
        <v/>
      </c>
      <c r="AP959" t="str">
        <f>IFERROR(ROUND(L959*(K959/$AW959)/VLOOKUP(J959,商品!$A$4:$D$67,4,FALSE),0),"")</f>
        <v/>
      </c>
      <c r="AQ959" t="str">
        <f>IFERROR(ROUND(S959*(N959/$AX959)/VLOOKUP(M959,职业!$A$3:$E$16,4,FALSE),0),"")</f>
        <v/>
      </c>
      <c r="AR959" t="str">
        <f>IFERROR(ROUND(S959*(P959/$AX959)/VLOOKUP(O959,职业!$A$3:$E$16,4,FALSE),0),"")</f>
        <v/>
      </c>
      <c r="AS959" t="str">
        <f>IFERROR(ROUND(S959*(R959/$AX959)/VLOOKUP(Q959,职业!$A$3:$E$16,4,FALSE),0),"")</f>
        <v/>
      </c>
      <c r="AT959" t="str">
        <f>IFERROR(ROUND(X959*(U959/$AY959)/VLOOKUP(T959,商品!$A$4:$D$67,4,FALSE),0),"")</f>
        <v/>
      </c>
      <c r="AU959" t="str">
        <f>IFERROR(ROUND(X959*(W959/$AY959)/VLOOKUP(V959,商品!$A$4:$D$67,4,FALSE),0),"")</f>
        <v/>
      </c>
      <c r="AW959">
        <f t="shared" si="252"/>
        <v>0</v>
      </c>
      <c r="AX959">
        <f t="shared" si="253"/>
        <v>0</v>
      </c>
      <c r="AY959">
        <f t="shared" si="254"/>
        <v>0</v>
      </c>
    </row>
    <row r="960" customHeight="1" spans="1:51">
      <c r="A960" s="18" t="s">
        <v>461</v>
      </c>
      <c r="C960" s="18">
        <v>1</v>
      </c>
      <c r="D960" s="1" t="s">
        <v>220</v>
      </c>
      <c r="E960" s="1" t="s">
        <v>224</v>
      </c>
      <c r="L960" s="18">
        <f>IFERROR(VLOOKUP($D960&amp;$C960,生产方式定位!$A$2:$E$38,2,FALSE)+VLOOKUP($E960&amp;$C960,生产方式定位!$F$3:$J$38,2,FALSE),0)</f>
        <v>500</v>
      </c>
      <c r="S960" s="18">
        <f>IFERROR(VLOOKUP($D960&amp;$C960,生产方式定位!$A$2:$E$38,3,FALSE)+VLOOKUP($E960&amp;$C960,生产方式定位!$F$3:$J$38,3,FALSE),0)</f>
        <v>150</v>
      </c>
      <c r="X960" s="18">
        <f>IFERROR(VLOOKUP($D960&amp;$C960,生产方式定位!$A$2:$E$38,5,FALSE)+VLOOKUP($E960&amp;$C960,生产方式定位!$F$3:$J$38,5,FALSE),"错误")</f>
        <v>715</v>
      </c>
      <c r="Y960" s="27" t="str">
        <f t="shared" si="238"/>
        <v/>
      </c>
      <c r="Z960" s="50" t="str">
        <f t="shared" si="241"/>
        <v/>
      </c>
      <c r="AA960" s="50" t="str">
        <f t="shared" si="239"/>
        <v/>
      </c>
      <c r="AB960" s="28" t="str">
        <f t="shared" si="242"/>
        <v>43%</v>
      </c>
      <c r="AC960" s="1">
        <f t="shared" si="243"/>
        <v>65</v>
      </c>
      <c r="AD960" s="52">
        <f t="shared" si="240"/>
        <v>1</v>
      </c>
      <c r="AE960" t="str">
        <f t="shared" si="244"/>
        <v/>
      </c>
      <c r="AF960" t="str">
        <f t="shared" si="245"/>
        <v/>
      </c>
      <c r="AG960" t="str">
        <f t="shared" si="246"/>
        <v/>
      </c>
      <c r="AH960" t="str">
        <f t="shared" si="247"/>
        <v/>
      </c>
      <c r="AI960" t="str">
        <f t="shared" si="248"/>
        <v/>
      </c>
      <c r="AJ960" t="str">
        <f t="shared" si="249"/>
        <v/>
      </c>
      <c r="AK960" t="str">
        <f t="shared" si="250"/>
        <v/>
      </c>
      <c r="AL960" t="str">
        <f t="shared" si="251"/>
        <v/>
      </c>
      <c r="AN960" t="str">
        <f>IFERROR(ROUND(L960*(G960/$AW960)/VLOOKUP(F960,商品!$A$4:$D$67,4,FALSE),0),"")</f>
        <v/>
      </c>
      <c r="AO960" t="str">
        <f>IFERROR(ROUND(L960*(I960/$AW960)/VLOOKUP(H960,商品!$A$4:$D$67,4,FALSE),0),"")</f>
        <v/>
      </c>
      <c r="AP960" t="str">
        <f>IFERROR(ROUND(L960*(K960/$AW960)/VLOOKUP(J960,商品!$A$4:$D$67,4,FALSE),0),"")</f>
        <v/>
      </c>
      <c r="AQ960" t="str">
        <f>IFERROR(ROUND(S960*(N960/$AX960)/VLOOKUP(M960,职业!$A$3:$E$16,4,FALSE),0),"")</f>
        <v/>
      </c>
      <c r="AR960" t="str">
        <f>IFERROR(ROUND(S960*(P960/$AX960)/VLOOKUP(O960,职业!$A$3:$E$16,4,FALSE),0),"")</f>
        <v/>
      </c>
      <c r="AS960" t="str">
        <f>IFERROR(ROUND(S960*(R960/$AX960)/VLOOKUP(Q960,职业!$A$3:$E$16,4,FALSE),0),"")</f>
        <v/>
      </c>
      <c r="AT960" t="str">
        <f>IFERROR(ROUND(X960*(U960/$AY960)/VLOOKUP(T960,商品!$A$4:$D$67,4,FALSE),0),"")</f>
        <v/>
      </c>
      <c r="AU960" t="str">
        <f>IFERROR(ROUND(X960*(W960/$AY960)/VLOOKUP(V960,商品!$A$4:$D$67,4,FALSE),0),"")</f>
        <v/>
      </c>
      <c r="AW960">
        <f t="shared" si="252"/>
        <v>0</v>
      </c>
      <c r="AX960">
        <f t="shared" si="253"/>
        <v>0</v>
      </c>
      <c r="AY960">
        <f t="shared" si="254"/>
        <v>0</v>
      </c>
    </row>
    <row r="961" customHeight="1" spans="1:51">
      <c r="A961" s="18" t="s">
        <v>461</v>
      </c>
      <c r="C961" s="18">
        <v>2</v>
      </c>
      <c r="D961" s="1" t="s">
        <v>220</v>
      </c>
      <c r="E961" s="1" t="s">
        <v>224</v>
      </c>
      <c r="L961" s="18">
        <f>IFERROR(VLOOKUP($D961&amp;$C961,生产方式定位!$A$2:$E$38,2,FALSE)+VLOOKUP($E961&amp;$C961,生产方式定位!$F$3:$J$38,2,FALSE),0)</f>
        <v>1200</v>
      </c>
      <c r="S961" s="18">
        <f>IFERROR(VLOOKUP($D961&amp;$C961,生产方式定位!$A$2:$E$38,3,FALSE)+VLOOKUP($E961&amp;$C961,生产方式定位!$F$3:$J$38,3,FALSE),0)</f>
        <v>100</v>
      </c>
      <c r="X961" s="18">
        <f>IFERROR(VLOOKUP($D961&amp;$C961,生产方式定位!$A$2:$E$38,5,FALSE)+VLOOKUP($E961&amp;$C961,生产方式定位!$F$3:$J$38,5,FALSE),"错误")</f>
        <v>1346</v>
      </c>
      <c r="Y961" s="27" t="str">
        <f t="shared" si="238"/>
        <v/>
      </c>
      <c r="Z961" s="50" t="str">
        <f t="shared" si="241"/>
        <v/>
      </c>
      <c r="AA961" s="50" t="str">
        <f t="shared" si="239"/>
        <v/>
      </c>
      <c r="AB961" s="28" t="str">
        <f t="shared" si="242"/>
        <v>12%</v>
      </c>
      <c r="AC961" s="1">
        <f t="shared" si="243"/>
        <v>46</v>
      </c>
      <c r="AD961" s="52">
        <f t="shared" si="240"/>
        <v>2</v>
      </c>
      <c r="AE961" t="str">
        <f t="shared" si="244"/>
        <v/>
      </c>
      <c r="AF961" t="str">
        <f t="shared" si="245"/>
        <v/>
      </c>
      <c r="AG961" t="str">
        <f t="shared" si="246"/>
        <v/>
      </c>
      <c r="AH961" t="str">
        <f t="shared" si="247"/>
        <v/>
      </c>
      <c r="AI961" t="str">
        <f t="shared" si="248"/>
        <v/>
      </c>
      <c r="AJ961" t="str">
        <f t="shared" si="249"/>
        <v/>
      </c>
      <c r="AK961" t="str">
        <f t="shared" si="250"/>
        <v/>
      </c>
      <c r="AL961" t="str">
        <f t="shared" si="251"/>
        <v/>
      </c>
      <c r="AN961" t="str">
        <f>IFERROR(ROUND(L961*(G961/$AW961)/VLOOKUP(F961,商品!$A$4:$D$67,4,FALSE),0),"")</f>
        <v/>
      </c>
      <c r="AO961" t="str">
        <f>IFERROR(ROUND(L961*(I961/$AW961)/VLOOKUP(H961,商品!$A$4:$D$67,4,FALSE),0),"")</f>
        <v/>
      </c>
      <c r="AP961" t="str">
        <f>IFERROR(ROUND(L961*(K961/$AW961)/VLOOKUP(J961,商品!$A$4:$D$67,4,FALSE),0),"")</f>
        <v/>
      </c>
      <c r="AQ961" t="str">
        <f>IFERROR(ROUND(S961*(N961/$AX961)/VLOOKUP(M961,职业!$A$3:$E$16,4,FALSE),0),"")</f>
        <v/>
      </c>
      <c r="AR961" t="str">
        <f>IFERROR(ROUND(S961*(P961/$AX961)/VLOOKUP(O961,职业!$A$3:$E$16,4,FALSE),0),"")</f>
        <v/>
      </c>
      <c r="AS961" t="str">
        <f>IFERROR(ROUND(S961*(R961/$AX961)/VLOOKUP(Q961,职业!$A$3:$E$16,4,FALSE),0),"")</f>
        <v/>
      </c>
      <c r="AT961" t="str">
        <f>IFERROR(ROUND(X961*(U961/$AY961)/VLOOKUP(T961,商品!$A$4:$D$67,4,FALSE),0),"")</f>
        <v/>
      </c>
      <c r="AU961" t="str">
        <f>IFERROR(ROUND(X961*(W961/$AY961)/VLOOKUP(V961,商品!$A$4:$D$67,4,FALSE),0),"")</f>
        <v/>
      </c>
      <c r="AW961">
        <f t="shared" si="252"/>
        <v>0</v>
      </c>
      <c r="AX961">
        <f t="shared" si="253"/>
        <v>0</v>
      </c>
      <c r="AY961">
        <f t="shared" si="254"/>
        <v>0</v>
      </c>
    </row>
    <row r="962" customHeight="1" spans="1:51">
      <c r="A962" s="18" t="s">
        <v>461</v>
      </c>
      <c r="C962" s="18">
        <v>3</v>
      </c>
      <c r="D962" s="1" t="s">
        <v>220</v>
      </c>
      <c r="E962" s="1" t="s">
        <v>224</v>
      </c>
      <c r="L962" s="18">
        <f>IFERROR(VLOOKUP($D962&amp;$C962,生产方式定位!$A$2:$E$38,2,FALSE)+VLOOKUP($E962&amp;$C962,生产方式定位!$F$3:$J$38,2,FALSE),0)</f>
        <v>1900</v>
      </c>
      <c r="S962" s="18">
        <f>IFERROR(VLOOKUP($D962&amp;$C962,生产方式定位!$A$2:$E$38,3,FALSE)+VLOOKUP($E962&amp;$C962,生产方式定位!$F$3:$J$38,3,FALSE),0)</f>
        <v>70</v>
      </c>
      <c r="X962" s="18">
        <f>IFERROR(VLOOKUP($D962&amp;$C962,生产方式定位!$A$2:$E$38,5,FALSE)+VLOOKUP($E962&amp;$C962,生产方式定位!$F$3:$J$38,5,FALSE),"错误")</f>
        <v>2064</v>
      </c>
      <c r="Y962" s="27" t="str">
        <f t="shared" si="238"/>
        <v/>
      </c>
      <c r="Z962" s="50" t="str">
        <f t="shared" si="241"/>
        <v/>
      </c>
      <c r="AA962" s="50" t="str">
        <f t="shared" si="239"/>
        <v/>
      </c>
      <c r="AB962" s="28" t="str">
        <f t="shared" si="242"/>
        <v>9%</v>
      </c>
      <c r="AC962" s="1">
        <f t="shared" si="243"/>
        <v>94</v>
      </c>
      <c r="AD962" s="52">
        <f t="shared" si="240"/>
        <v>3</v>
      </c>
      <c r="AE962" t="str">
        <f t="shared" si="244"/>
        <v/>
      </c>
      <c r="AF962" t="str">
        <f t="shared" si="245"/>
        <v/>
      </c>
      <c r="AG962" t="str">
        <f t="shared" si="246"/>
        <v/>
      </c>
      <c r="AH962" t="str">
        <f t="shared" si="247"/>
        <v/>
      </c>
      <c r="AI962" t="str">
        <f t="shared" si="248"/>
        <v/>
      </c>
      <c r="AJ962" t="str">
        <f t="shared" si="249"/>
        <v/>
      </c>
      <c r="AK962" t="str">
        <f t="shared" si="250"/>
        <v/>
      </c>
      <c r="AL962" t="str">
        <f t="shared" si="251"/>
        <v/>
      </c>
      <c r="AN962" t="str">
        <f>IFERROR(ROUND(L962*(G962/$AW962)/VLOOKUP(F962,商品!$A$4:$D$67,4,FALSE),0),"")</f>
        <v/>
      </c>
      <c r="AO962" t="str">
        <f>IFERROR(ROUND(L962*(I962/$AW962)/VLOOKUP(H962,商品!$A$4:$D$67,4,FALSE),0),"")</f>
        <v/>
      </c>
      <c r="AP962" t="str">
        <f>IFERROR(ROUND(L962*(K962/$AW962)/VLOOKUP(J962,商品!$A$4:$D$67,4,FALSE),0),"")</f>
        <v/>
      </c>
      <c r="AQ962" t="str">
        <f>IFERROR(ROUND(S962*(N962/$AX962)/VLOOKUP(M962,职业!$A$3:$E$16,4,FALSE),0),"")</f>
        <v/>
      </c>
      <c r="AR962" t="str">
        <f>IFERROR(ROUND(S962*(P962/$AX962)/VLOOKUP(O962,职业!$A$3:$E$16,4,FALSE),0),"")</f>
        <v/>
      </c>
      <c r="AS962" t="str">
        <f>IFERROR(ROUND(S962*(R962/$AX962)/VLOOKUP(Q962,职业!$A$3:$E$16,4,FALSE),0),"")</f>
        <v/>
      </c>
      <c r="AT962" t="str">
        <f>IFERROR(ROUND(X962*(U962/$AY962)/VLOOKUP(T962,商品!$A$4:$D$67,4,FALSE),0),"")</f>
        <v/>
      </c>
      <c r="AU962" t="str">
        <f>IFERROR(ROUND(X962*(W962/$AY962)/VLOOKUP(V962,商品!$A$4:$D$67,4,FALSE),0),"")</f>
        <v/>
      </c>
      <c r="AW962">
        <f t="shared" si="252"/>
        <v>0</v>
      </c>
      <c r="AX962">
        <f t="shared" si="253"/>
        <v>0</v>
      </c>
      <c r="AY962">
        <f t="shared" si="254"/>
        <v>0</v>
      </c>
    </row>
    <row r="963" customHeight="1" spans="1:51">
      <c r="A963" s="18" t="s">
        <v>461</v>
      </c>
      <c r="C963" s="18">
        <v>4</v>
      </c>
      <c r="D963" s="1" t="s">
        <v>220</v>
      </c>
      <c r="E963" s="1" t="s">
        <v>224</v>
      </c>
      <c r="L963" s="18">
        <f>IFERROR(VLOOKUP($D963&amp;$C963,生产方式定位!$A$2:$E$38,2,FALSE)+VLOOKUP($E963&amp;$C963,生产方式定位!$F$3:$J$38,2,FALSE),0)</f>
        <v>2600</v>
      </c>
      <c r="S963" s="18">
        <f>IFERROR(VLOOKUP($D963&amp;$C963,生产方式定位!$A$2:$E$38,3,FALSE)+VLOOKUP($E963&amp;$C963,生产方式定位!$F$3:$J$38,3,FALSE),0)</f>
        <v>40</v>
      </c>
      <c r="X963" s="18">
        <f>IFERROR(VLOOKUP($D963&amp;$C963,生产方式定位!$A$2:$E$38,5,FALSE)+VLOOKUP($E963&amp;$C963,生产方式定位!$F$3:$J$38,5,FALSE),"错误")</f>
        <v>2782</v>
      </c>
      <c r="Y963" s="27" t="str">
        <f t="shared" si="238"/>
        <v/>
      </c>
      <c r="Z963" s="50" t="str">
        <f t="shared" si="241"/>
        <v/>
      </c>
      <c r="AA963" s="50" t="str">
        <f t="shared" si="239"/>
        <v/>
      </c>
      <c r="AB963" s="28" t="str">
        <f t="shared" si="242"/>
        <v>7%</v>
      </c>
      <c r="AC963" s="1">
        <f t="shared" si="243"/>
        <v>142</v>
      </c>
      <c r="AD963" s="52">
        <f t="shared" si="240"/>
        <v>4</v>
      </c>
      <c r="AE963" t="str">
        <f t="shared" si="244"/>
        <v/>
      </c>
      <c r="AF963" t="str">
        <f t="shared" si="245"/>
        <v/>
      </c>
      <c r="AG963" t="str">
        <f t="shared" si="246"/>
        <v/>
      </c>
      <c r="AH963" t="str">
        <f t="shared" si="247"/>
        <v/>
      </c>
      <c r="AI963" t="str">
        <f t="shared" si="248"/>
        <v/>
      </c>
      <c r="AJ963" t="str">
        <f t="shared" si="249"/>
        <v/>
      </c>
      <c r="AK963" t="str">
        <f t="shared" si="250"/>
        <v/>
      </c>
      <c r="AL963" t="str">
        <f t="shared" si="251"/>
        <v/>
      </c>
      <c r="AN963" t="str">
        <f>IFERROR(ROUND(L963*(G963/$AW963)/VLOOKUP(F963,商品!$A$4:$D$67,4,FALSE),0),"")</f>
        <v/>
      </c>
      <c r="AO963" t="str">
        <f>IFERROR(ROUND(L963*(I963/$AW963)/VLOOKUP(H963,商品!$A$4:$D$67,4,FALSE),0),"")</f>
        <v/>
      </c>
      <c r="AP963" t="str">
        <f>IFERROR(ROUND(L963*(K963/$AW963)/VLOOKUP(J963,商品!$A$4:$D$67,4,FALSE),0),"")</f>
        <v/>
      </c>
      <c r="AQ963" t="str">
        <f>IFERROR(ROUND(S963*(N963/$AX963)/VLOOKUP(M963,职业!$A$3:$E$16,4,FALSE),0),"")</f>
        <v/>
      </c>
      <c r="AR963" t="str">
        <f>IFERROR(ROUND(S963*(P963/$AX963)/VLOOKUP(O963,职业!$A$3:$E$16,4,FALSE),0),"")</f>
        <v/>
      </c>
      <c r="AS963" t="str">
        <f>IFERROR(ROUND(S963*(R963/$AX963)/VLOOKUP(Q963,职业!$A$3:$E$16,4,FALSE),0),"")</f>
        <v/>
      </c>
      <c r="AT963" t="str">
        <f>IFERROR(ROUND(X963*(U963/$AY963)/VLOOKUP(T963,商品!$A$4:$D$67,4,FALSE),0),"")</f>
        <v/>
      </c>
      <c r="AU963" t="str">
        <f>IFERROR(ROUND(X963*(W963/$AY963)/VLOOKUP(V963,商品!$A$4:$D$67,4,FALSE),0),"")</f>
        <v/>
      </c>
      <c r="AW963">
        <f t="shared" si="252"/>
        <v>0</v>
      </c>
      <c r="AX963">
        <f t="shared" si="253"/>
        <v>0</v>
      </c>
      <c r="AY963">
        <f t="shared" si="254"/>
        <v>0</v>
      </c>
    </row>
    <row r="964" customHeight="1" spans="1:51">
      <c r="A964" s="18" t="s">
        <v>461</v>
      </c>
      <c r="C964" s="18">
        <v>5</v>
      </c>
      <c r="D964" s="1" t="s">
        <v>220</v>
      </c>
      <c r="E964" s="1" t="s">
        <v>224</v>
      </c>
      <c r="L964" s="18">
        <f>IFERROR(VLOOKUP($D964&amp;$C964,生产方式定位!$A$2:$E$38,2,FALSE)+VLOOKUP($E964&amp;$C964,生产方式定位!$F$3:$J$38,2,FALSE),0)</f>
        <v>3300</v>
      </c>
      <c r="S964" s="18">
        <f>IFERROR(VLOOKUP($D964&amp;$C964,生产方式定位!$A$2:$E$38,3,FALSE)+VLOOKUP($E964&amp;$C964,生产方式定位!$F$3:$J$38,3,FALSE),0)</f>
        <v>10</v>
      </c>
      <c r="X964" s="18">
        <f>IFERROR(VLOOKUP($D964&amp;$C964,生产方式定位!$A$2:$E$38,5,FALSE)+VLOOKUP($E964&amp;$C964,生产方式定位!$F$3:$J$38,5,FALSE),"错误")</f>
        <v>3500</v>
      </c>
      <c r="Y964" s="27" t="str">
        <f t="shared" si="238"/>
        <v/>
      </c>
      <c r="Z964" s="50" t="str">
        <f t="shared" si="241"/>
        <v/>
      </c>
      <c r="AA964" s="50" t="str">
        <f t="shared" si="239"/>
        <v/>
      </c>
      <c r="AB964" s="28" t="str">
        <f t="shared" si="242"/>
        <v>6%</v>
      </c>
      <c r="AC964" s="1">
        <f t="shared" si="243"/>
        <v>190</v>
      </c>
      <c r="AD964" s="52">
        <f t="shared" si="240"/>
        <v>5</v>
      </c>
      <c r="AE964" t="str">
        <f t="shared" si="244"/>
        <v/>
      </c>
      <c r="AF964" t="str">
        <f t="shared" si="245"/>
        <v/>
      </c>
      <c r="AG964" t="str">
        <f t="shared" si="246"/>
        <v/>
      </c>
      <c r="AH964" t="str">
        <f t="shared" si="247"/>
        <v/>
      </c>
      <c r="AI964" t="str">
        <f t="shared" si="248"/>
        <v/>
      </c>
      <c r="AJ964" t="str">
        <f t="shared" si="249"/>
        <v/>
      </c>
      <c r="AK964" t="str">
        <f t="shared" si="250"/>
        <v/>
      </c>
      <c r="AL964" t="str">
        <f t="shared" si="251"/>
        <v/>
      </c>
      <c r="AN964" t="str">
        <f>IFERROR(ROUND(L964*(G964/$AW964)/VLOOKUP(F964,商品!$A$4:$D$67,4,FALSE),0),"")</f>
        <v/>
      </c>
      <c r="AO964" t="str">
        <f>IFERROR(ROUND(L964*(I964/$AW964)/VLOOKUP(H964,商品!$A$4:$D$67,4,FALSE),0),"")</f>
        <v/>
      </c>
      <c r="AP964" t="str">
        <f>IFERROR(ROUND(L964*(K964/$AW964)/VLOOKUP(J964,商品!$A$4:$D$67,4,FALSE),0),"")</f>
        <v/>
      </c>
      <c r="AQ964" t="str">
        <f>IFERROR(ROUND(S964*(N964/$AX964)/VLOOKUP(M964,职业!$A$3:$E$16,4,FALSE),0),"")</f>
        <v/>
      </c>
      <c r="AR964" t="str">
        <f>IFERROR(ROUND(S964*(P964/$AX964)/VLOOKUP(O964,职业!$A$3:$E$16,4,FALSE),0),"")</f>
        <v/>
      </c>
      <c r="AS964" t="str">
        <f>IFERROR(ROUND(S964*(R964/$AX964)/VLOOKUP(Q964,职业!$A$3:$E$16,4,FALSE),0),"")</f>
        <v/>
      </c>
      <c r="AT964" t="str">
        <f>IFERROR(ROUND(X964*(U964/$AY964)/VLOOKUP(T964,商品!$A$4:$D$67,4,FALSE),0),"")</f>
        <v/>
      </c>
      <c r="AU964" t="str">
        <f>IFERROR(ROUND(X964*(W964/$AY964)/VLOOKUP(V964,商品!$A$4:$D$67,4,FALSE),0),"")</f>
        <v/>
      </c>
      <c r="AW964">
        <f t="shared" si="252"/>
        <v>0</v>
      </c>
      <c r="AX964">
        <f t="shared" si="253"/>
        <v>0</v>
      </c>
      <c r="AY964">
        <f t="shared" si="254"/>
        <v>0</v>
      </c>
    </row>
    <row r="965" customHeight="1" spans="1:51">
      <c r="A965" s="5" t="s">
        <v>461</v>
      </c>
      <c r="C965" s="5">
        <v>1</v>
      </c>
      <c r="D965" s="1" t="s">
        <v>220</v>
      </c>
      <c r="E965" s="1" t="s">
        <v>224</v>
      </c>
      <c r="L965" s="5">
        <f>IFERROR(VLOOKUP($D965&amp;$C965,生产方式定位!$A$2:$E$38,2,FALSE)+VLOOKUP($E965&amp;$C965,生产方式定位!$F$3:$J$38,2,FALSE),0)</f>
        <v>500</v>
      </c>
      <c r="S965" s="5">
        <f>IFERROR(VLOOKUP($D965&amp;$C965,生产方式定位!$A$2:$E$38,3,FALSE)+VLOOKUP($E965&amp;$C965,生产方式定位!$F$3:$J$38,3,FALSE),0)</f>
        <v>150</v>
      </c>
      <c r="X965" s="5">
        <f>IFERROR(VLOOKUP($D965&amp;$C965,生产方式定位!$A$2:$E$38,5,FALSE)+VLOOKUP($E965&amp;$C965,生产方式定位!$F$3:$J$38,5,FALSE),"错误")</f>
        <v>715</v>
      </c>
      <c r="Y965" s="27" t="str">
        <f t="shared" ref="Y965:Y1028" si="255">IF(AE965="","",AE965)&amp;IF(AF965="","",","&amp;AF965)&amp;IF(AG965="","",","&amp;AG965)</f>
        <v/>
      </c>
      <c r="Z965" s="50" t="str">
        <f t="shared" si="241"/>
        <v/>
      </c>
      <c r="AA965" s="50" t="str">
        <f t="shared" ref="AA965:AA1028" si="256">IF(AK965="","",AK965)&amp;IF(AL965="","",","&amp;AL965)</f>
        <v/>
      </c>
      <c r="AB965" s="28" t="str">
        <f t="shared" si="242"/>
        <v>43%</v>
      </c>
      <c r="AC965" s="1">
        <f t="shared" si="243"/>
        <v>65</v>
      </c>
      <c r="AD965" s="51">
        <f t="shared" ref="AD965:AD1028" si="257">C965</f>
        <v>1</v>
      </c>
      <c r="AE965" t="str">
        <f t="shared" si="244"/>
        <v/>
      </c>
      <c r="AF965" t="str">
        <f t="shared" si="245"/>
        <v/>
      </c>
      <c r="AG965" t="str">
        <f t="shared" si="246"/>
        <v/>
      </c>
      <c r="AH965" t="str">
        <f t="shared" si="247"/>
        <v/>
      </c>
      <c r="AI965" t="str">
        <f t="shared" si="248"/>
        <v/>
      </c>
      <c r="AJ965" t="str">
        <f t="shared" si="249"/>
        <v/>
      </c>
      <c r="AK965" t="str">
        <f t="shared" si="250"/>
        <v/>
      </c>
      <c r="AL965" t="str">
        <f t="shared" si="251"/>
        <v/>
      </c>
      <c r="AN965" t="str">
        <f>IFERROR(ROUND(L965*(G965/$AW965)/VLOOKUP(F965,商品!$A$4:$D$67,4,FALSE),0),"")</f>
        <v/>
      </c>
      <c r="AO965" t="str">
        <f>IFERROR(ROUND(L965*(I965/$AW965)/VLOOKUP(H965,商品!$A$4:$D$67,4,FALSE),0),"")</f>
        <v/>
      </c>
      <c r="AP965" t="str">
        <f>IFERROR(ROUND(L965*(K965/$AW965)/VLOOKUP(J965,商品!$A$4:$D$67,4,FALSE),0),"")</f>
        <v/>
      </c>
      <c r="AQ965" t="str">
        <f>IFERROR(ROUND(S965*(N965/$AX965)/VLOOKUP(M965,职业!$A$3:$E$16,4,FALSE),0),"")</f>
        <v/>
      </c>
      <c r="AR965" t="str">
        <f>IFERROR(ROUND(S965*(P965/$AX965)/VLOOKUP(O965,职业!$A$3:$E$16,4,FALSE),0),"")</f>
        <v/>
      </c>
      <c r="AS965" t="str">
        <f>IFERROR(ROUND(S965*(R965/$AX965)/VLOOKUP(Q965,职业!$A$3:$E$16,4,FALSE),0),"")</f>
        <v/>
      </c>
      <c r="AT965" t="str">
        <f>IFERROR(ROUND(X965*(U965/$AY965)/VLOOKUP(T965,商品!$A$4:$D$67,4,FALSE),0),"")</f>
        <v/>
      </c>
      <c r="AU965" t="str">
        <f>IFERROR(ROUND(X965*(W965/$AY965)/VLOOKUP(V965,商品!$A$4:$D$67,4,FALSE),0),"")</f>
        <v/>
      </c>
      <c r="AW965">
        <f t="shared" si="252"/>
        <v>0</v>
      </c>
      <c r="AX965">
        <f t="shared" si="253"/>
        <v>0</v>
      </c>
      <c r="AY965">
        <f t="shared" si="254"/>
        <v>0</v>
      </c>
    </row>
    <row r="966" customHeight="1" spans="1:51">
      <c r="A966" s="5" t="s">
        <v>461</v>
      </c>
      <c r="C966" s="5">
        <v>2</v>
      </c>
      <c r="D966" s="1" t="s">
        <v>220</v>
      </c>
      <c r="E966" s="1" t="s">
        <v>224</v>
      </c>
      <c r="L966" s="5">
        <f>IFERROR(VLOOKUP($D966&amp;$C966,生产方式定位!$A$2:$E$38,2,FALSE)+VLOOKUP($E966&amp;$C966,生产方式定位!$F$3:$J$38,2,FALSE),0)</f>
        <v>1200</v>
      </c>
      <c r="S966" s="5">
        <f>IFERROR(VLOOKUP($D966&amp;$C966,生产方式定位!$A$2:$E$38,3,FALSE)+VLOOKUP($E966&amp;$C966,生产方式定位!$F$3:$J$38,3,FALSE),0)</f>
        <v>100</v>
      </c>
      <c r="X966" s="5">
        <f>IFERROR(VLOOKUP($D966&amp;$C966,生产方式定位!$A$2:$E$38,5,FALSE)+VLOOKUP($E966&amp;$C966,生产方式定位!$F$3:$J$38,5,FALSE),"错误")</f>
        <v>1346</v>
      </c>
      <c r="Y966" s="27" t="str">
        <f t="shared" si="255"/>
        <v/>
      </c>
      <c r="Z966" s="50" t="str">
        <f t="shared" ref="Z966:Z1029" si="258">IF(AH966="","",AH966)&amp;IF(AI966="","",","&amp;AI966)&amp;IF(AJ966="","",","&amp;AJ966)</f>
        <v/>
      </c>
      <c r="AA966" s="50" t="str">
        <f t="shared" si="256"/>
        <v/>
      </c>
      <c r="AB966" s="28" t="str">
        <f t="shared" ref="AB966:AB1029" si="259">IFERROR(ROUND(((X966/L966)-1)*100,0)&amp;"%","")</f>
        <v>12%</v>
      </c>
      <c r="AC966" s="1">
        <f t="shared" ref="AC966:AC1029" si="260">IF(X966-S966-L966=0,"",X966-S966-L966)</f>
        <v>46</v>
      </c>
      <c r="AD966" s="51">
        <f t="shared" si="257"/>
        <v>2</v>
      </c>
      <c r="AE966" t="str">
        <f t="shared" ref="AE966:AE1029" si="261">IF(AN966="","",F966&amp;"*"&amp;AN966)</f>
        <v/>
      </c>
      <c r="AF966" t="str">
        <f t="shared" ref="AF966:AF1029" si="262">IF(AO966="","",H966&amp;"*"&amp;AO966)</f>
        <v/>
      </c>
      <c r="AG966" t="str">
        <f t="shared" ref="AG966:AG1029" si="263">IF(AP966="","",J966&amp;"*"&amp;AP966)</f>
        <v/>
      </c>
      <c r="AH966" t="str">
        <f t="shared" ref="AH966:AH1029" si="264">IF(AQ966="","",M966&amp;"*"&amp;AQ966)</f>
        <v/>
      </c>
      <c r="AI966" t="str">
        <f t="shared" ref="AI966:AI1029" si="265">IF(AR966="","",O966&amp;"*"&amp;AR966)</f>
        <v/>
      </c>
      <c r="AJ966" t="str">
        <f t="shared" ref="AJ966:AJ1029" si="266">IF(AS966="","",Q966&amp;"*"&amp;AS966)</f>
        <v/>
      </c>
      <c r="AK966" t="str">
        <f t="shared" ref="AK966:AK1029" si="267">IF(AT966="","",T966&amp;"*"&amp;AT966)</f>
        <v/>
      </c>
      <c r="AL966" t="str">
        <f t="shared" ref="AL966:AL1029" si="268">IF(AU966="","",V966&amp;"*"&amp;AU966)</f>
        <v/>
      </c>
      <c r="AN966" t="str">
        <f>IFERROR(ROUND(L966*(G966/$AW966)/VLOOKUP(F966,商品!$A$4:$D$67,4,FALSE),0),"")</f>
        <v/>
      </c>
      <c r="AO966" t="str">
        <f>IFERROR(ROUND(L966*(I966/$AW966)/VLOOKUP(H966,商品!$A$4:$D$67,4,FALSE),0),"")</f>
        <v/>
      </c>
      <c r="AP966" t="str">
        <f>IFERROR(ROUND(L966*(K966/$AW966)/VLOOKUP(J966,商品!$A$4:$D$67,4,FALSE),0),"")</f>
        <v/>
      </c>
      <c r="AQ966" t="str">
        <f>IFERROR(ROUND(S966*(N966/$AX966)/VLOOKUP(M966,职业!$A$3:$E$16,4,FALSE),0),"")</f>
        <v/>
      </c>
      <c r="AR966" t="str">
        <f>IFERROR(ROUND(S966*(P966/$AX966)/VLOOKUP(O966,职业!$A$3:$E$16,4,FALSE),0),"")</f>
        <v/>
      </c>
      <c r="AS966" t="str">
        <f>IFERROR(ROUND(S966*(R966/$AX966)/VLOOKUP(Q966,职业!$A$3:$E$16,4,FALSE),0),"")</f>
        <v/>
      </c>
      <c r="AT966" t="str">
        <f>IFERROR(ROUND(X966*(U966/$AY966)/VLOOKUP(T966,商品!$A$4:$D$67,4,FALSE),0),"")</f>
        <v/>
      </c>
      <c r="AU966" t="str">
        <f>IFERROR(ROUND(X966*(W966/$AY966)/VLOOKUP(V966,商品!$A$4:$D$67,4,FALSE),0),"")</f>
        <v/>
      </c>
      <c r="AW966">
        <f t="shared" ref="AW966:AW1029" si="269">G966+I966+K966</f>
        <v>0</v>
      </c>
      <c r="AX966">
        <f t="shared" ref="AX966:AX1029" si="270">ABS(N966)+ABS(P966)+ABS(R966)</f>
        <v>0</v>
      </c>
      <c r="AY966">
        <f t="shared" ref="AY966:AY1029" si="271">U966+W966</f>
        <v>0</v>
      </c>
    </row>
    <row r="967" customHeight="1" spans="1:51">
      <c r="A967" s="5" t="s">
        <v>461</v>
      </c>
      <c r="C967" s="5">
        <v>3</v>
      </c>
      <c r="D967" s="1" t="s">
        <v>220</v>
      </c>
      <c r="E967" s="1" t="s">
        <v>224</v>
      </c>
      <c r="L967" s="5">
        <f>IFERROR(VLOOKUP($D967&amp;$C967,生产方式定位!$A$2:$E$38,2,FALSE)+VLOOKUP($E967&amp;$C967,生产方式定位!$F$3:$J$38,2,FALSE),0)</f>
        <v>1900</v>
      </c>
      <c r="S967" s="5">
        <f>IFERROR(VLOOKUP($D967&amp;$C967,生产方式定位!$A$2:$E$38,3,FALSE)+VLOOKUP($E967&amp;$C967,生产方式定位!$F$3:$J$38,3,FALSE),0)</f>
        <v>70</v>
      </c>
      <c r="X967" s="5">
        <f>IFERROR(VLOOKUP($D967&amp;$C967,生产方式定位!$A$2:$E$38,5,FALSE)+VLOOKUP($E967&amp;$C967,生产方式定位!$F$3:$J$38,5,FALSE),"错误")</f>
        <v>2064</v>
      </c>
      <c r="Y967" s="27" t="str">
        <f t="shared" si="255"/>
        <v/>
      </c>
      <c r="Z967" s="50" t="str">
        <f t="shared" si="258"/>
        <v/>
      </c>
      <c r="AA967" s="50" t="str">
        <f t="shared" si="256"/>
        <v/>
      </c>
      <c r="AB967" s="28" t="str">
        <f t="shared" si="259"/>
        <v>9%</v>
      </c>
      <c r="AC967" s="1">
        <f t="shared" si="260"/>
        <v>94</v>
      </c>
      <c r="AD967" s="51">
        <f t="shared" si="257"/>
        <v>3</v>
      </c>
      <c r="AE967" t="str">
        <f t="shared" si="261"/>
        <v/>
      </c>
      <c r="AF967" t="str">
        <f t="shared" si="262"/>
        <v/>
      </c>
      <c r="AG967" t="str">
        <f t="shared" si="263"/>
        <v/>
      </c>
      <c r="AH967" t="str">
        <f t="shared" si="264"/>
        <v/>
      </c>
      <c r="AI967" t="str">
        <f t="shared" si="265"/>
        <v/>
      </c>
      <c r="AJ967" t="str">
        <f t="shared" si="266"/>
        <v/>
      </c>
      <c r="AK967" t="str">
        <f t="shared" si="267"/>
        <v/>
      </c>
      <c r="AL967" t="str">
        <f t="shared" si="268"/>
        <v/>
      </c>
      <c r="AN967" t="str">
        <f>IFERROR(ROUND(L967*(G967/$AW967)/VLOOKUP(F967,商品!$A$4:$D$67,4,FALSE),0),"")</f>
        <v/>
      </c>
      <c r="AO967" t="str">
        <f>IFERROR(ROUND(L967*(I967/$AW967)/VLOOKUP(H967,商品!$A$4:$D$67,4,FALSE),0),"")</f>
        <v/>
      </c>
      <c r="AP967" t="str">
        <f>IFERROR(ROUND(L967*(K967/$AW967)/VLOOKUP(J967,商品!$A$4:$D$67,4,FALSE),0),"")</f>
        <v/>
      </c>
      <c r="AQ967" t="str">
        <f>IFERROR(ROUND(S967*(N967/$AX967)/VLOOKUP(M967,职业!$A$3:$E$16,4,FALSE),0),"")</f>
        <v/>
      </c>
      <c r="AR967" t="str">
        <f>IFERROR(ROUND(S967*(P967/$AX967)/VLOOKUP(O967,职业!$A$3:$E$16,4,FALSE),0),"")</f>
        <v/>
      </c>
      <c r="AS967" t="str">
        <f>IFERROR(ROUND(S967*(R967/$AX967)/VLOOKUP(Q967,职业!$A$3:$E$16,4,FALSE),0),"")</f>
        <v/>
      </c>
      <c r="AT967" t="str">
        <f>IFERROR(ROUND(X967*(U967/$AY967)/VLOOKUP(T967,商品!$A$4:$D$67,4,FALSE),0),"")</f>
        <v/>
      </c>
      <c r="AU967" t="str">
        <f>IFERROR(ROUND(X967*(W967/$AY967)/VLOOKUP(V967,商品!$A$4:$D$67,4,FALSE),0),"")</f>
        <v/>
      </c>
      <c r="AW967">
        <f t="shared" si="269"/>
        <v>0</v>
      </c>
      <c r="AX967">
        <f t="shared" si="270"/>
        <v>0</v>
      </c>
      <c r="AY967">
        <f t="shared" si="271"/>
        <v>0</v>
      </c>
    </row>
    <row r="968" customHeight="1" spans="1:51">
      <c r="A968" s="5" t="s">
        <v>461</v>
      </c>
      <c r="C968" s="5">
        <v>4</v>
      </c>
      <c r="D968" s="1" t="s">
        <v>220</v>
      </c>
      <c r="E968" s="1" t="s">
        <v>224</v>
      </c>
      <c r="L968" s="5">
        <f>IFERROR(VLOOKUP($D968&amp;$C968,生产方式定位!$A$2:$E$38,2,FALSE)+VLOOKUP($E968&amp;$C968,生产方式定位!$F$3:$J$38,2,FALSE),0)</f>
        <v>2600</v>
      </c>
      <c r="S968" s="5">
        <f>IFERROR(VLOOKUP($D968&amp;$C968,生产方式定位!$A$2:$E$38,3,FALSE)+VLOOKUP($E968&amp;$C968,生产方式定位!$F$3:$J$38,3,FALSE),0)</f>
        <v>40</v>
      </c>
      <c r="X968" s="5">
        <f>IFERROR(VLOOKUP($D968&amp;$C968,生产方式定位!$A$2:$E$38,5,FALSE)+VLOOKUP($E968&amp;$C968,生产方式定位!$F$3:$J$38,5,FALSE),"错误")</f>
        <v>2782</v>
      </c>
      <c r="Y968" s="27" t="str">
        <f t="shared" si="255"/>
        <v/>
      </c>
      <c r="Z968" s="50" t="str">
        <f t="shared" si="258"/>
        <v/>
      </c>
      <c r="AA968" s="50" t="str">
        <f t="shared" si="256"/>
        <v/>
      </c>
      <c r="AB968" s="28" t="str">
        <f t="shared" si="259"/>
        <v>7%</v>
      </c>
      <c r="AC968" s="1">
        <f t="shared" si="260"/>
        <v>142</v>
      </c>
      <c r="AD968" s="51">
        <f t="shared" si="257"/>
        <v>4</v>
      </c>
      <c r="AE968" t="str">
        <f t="shared" si="261"/>
        <v/>
      </c>
      <c r="AF968" t="str">
        <f t="shared" si="262"/>
        <v/>
      </c>
      <c r="AG968" t="str">
        <f t="shared" si="263"/>
        <v/>
      </c>
      <c r="AH968" t="str">
        <f t="shared" si="264"/>
        <v/>
      </c>
      <c r="AI968" t="str">
        <f t="shared" si="265"/>
        <v/>
      </c>
      <c r="AJ968" t="str">
        <f t="shared" si="266"/>
        <v/>
      </c>
      <c r="AK968" t="str">
        <f t="shared" si="267"/>
        <v/>
      </c>
      <c r="AL968" t="str">
        <f t="shared" si="268"/>
        <v/>
      </c>
      <c r="AN968" t="str">
        <f>IFERROR(ROUND(L968*(G968/$AW968)/VLOOKUP(F968,商品!$A$4:$D$67,4,FALSE),0),"")</f>
        <v/>
      </c>
      <c r="AO968" t="str">
        <f>IFERROR(ROUND(L968*(I968/$AW968)/VLOOKUP(H968,商品!$A$4:$D$67,4,FALSE),0),"")</f>
        <v/>
      </c>
      <c r="AP968" t="str">
        <f>IFERROR(ROUND(L968*(K968/$AW968)/VLOOKUP(J968,商品!$A$4:$D$67,4,FALSE),0),"")</f>
        <v/>
      </c>
      <c r="AQ968" t="str">
        <f>IFERROR(ROUND(S968*(N968/$AX968)/VLOOKUP(M968,职业!$A$3:$E$16,4,FALSE),0),"")</f>
        <v/>
      </c>
      <c r="AR968" t="str">
        <f>IFERROR(ROUND(S968*(P968/$AX968)/VLOOKUP(O968,职业!$A$3:$E$16,4,FALSE),0),"")</f>
        <v/>
      </c>
      <c r="AS968" t="str">
        <f>IFERROR(ROUND(S968*(R968/$AX968)/VLOOKUP(Q968,职业!$A$3:$E$16,4,FALSE),0),"")</f>
        <v/>
      </c>
      <c r="AT968" t="str">
        <f>IFERROR(ROUND(X968*(U968/$AY968)/VLOOKUP(T968,商品!$A$4:$D$67,4,FALSE),0),"")</f>
        <v/>
      </c>
      <c r="AU968" t="str">
        <f>IFERROR(ROUND(X968*(W968/$AY968)/VLOOKUP(V968,商品!$A$4:$D$67,4,FALSE),0),"")</f>
        <v/>
      </c>
      <c r="AW968">
        <f t="shared" si="269"/>
        <v>0</v>
      </c>
      <c r="AX968">
        <f t="shared" si="270"/>
        <v>0</v>
      </c>
      <c r="AY968">
        <f t="shared" si="271"/>
        <v>0</v>
      </c>
    </row>
    <row r="969" customHeight="1" spans="1:51">
      <c r="A969" s="5" t="s">
        <v>461</v>
      </c>
      <c r="C969" s="5">
        <v>5</v>
      </c>
      <c r="D969" s="1" t="s">
        <v>220</v>
      </c>
      <c r="E969" s="1" t="s">
        <v>224</v>
      </c>
      <c r="L969" s="5">
        <f>IFERROR(VLOOKUP($D969&amp;$C969,生产方式定位!$A$2:$E$38,2,FALSE)+VLOOKUP($E969&amp;$C969,生产方式定位!$F$3:$J$38,2,FALSE),0)</f>
        <v>3300</v>
      </c>
      <c r="S969" s="5">
        <f>IFERROR(VLOOKUP($D969&amp;$C969,生产方式定位!$A$2:$E$38,3,FALSE)+VLOOKUP($E969&amp;$C969,生产方式定位!$F$3:$J$38,3,FALSE),0)</f>
        <v>10</v>
      </c>
      <c r="X969" s="5">
        <f>IFERROR(VLOOKUP($D969&amp;$C969,生产方式定位!$A$2:$E$38,5,FALSE)+VLOOKUP($E969&amp;$C969,生产方式定位!$F$3:$J$38,5,FALSE),"错误")</f>
        <v>3500</v>
      </c>
      <c r="Y969" s="27" t="str">
        <f t="shared" si="255"/>
        <v/>
      </c>
      <c r="Z969" s="50" t="str">
        <f t="shared" si="258"/>
        <v/>
      </c>
      <c r="AA969" s="50" t="str">
        <f t="shared" si="256"/>
        <v/>
      </c>
      <c r="AB969" s="28" t="str">
        <f t="shared" si="259"/>
        <v>6%</v>
      </c>
      <c r="AC969" s="1">
        <f t="shared" si="260"/>
        <v>190</v>
      </c>
      <c r="AD969" s="51">
        <f t="shared" si="257"/>
        <v>5</v>
      </c>
      <c r="AE969" t="str">
        <f t="shared" si="261"/>
        <v/>
      </c>
      <c r="AF969" t="str">
        <f t="shared" si="262"/>
        <v/>
      </c>
      <c r="AG969" t="str">
        <f t="shared" si="263"/>
        <v/>
      </c>
      <c r="AH969" t="str">
        <f t="shared" si="264"/>
        <v/>
      </c>
      <c r="AI969" t="str">
        <f t="shared" si="265"/>
        <v/>
      </c>
      <c r="AJ969" t="str">
        <f t="shared" si="266"/>
        <v/>
      </c>
      <c r="AK969" t="str">
        <f t="shared" si="267"/>
        <v/>
      </c>
      <c r="AL969" t="str">
        <f t="shared" si="268"/>
        <v/>
      </c>
      <c r="AN969" t="str">
        <f>IFERROR(ROUND(L969*(G969/$AW969)/VLOOKUP(F969,商品!$A$4:$D$67,4,FALSE),0),"")</f>
        <v/>
      </c>
      <c r="AO969" t="str">
        <f>IFERROR(ROUND(L969*(I969/$AW969)/VLOOKUP(H969,商品!$A$4:$D$67,4,FALSE),0),"")</f>
        <v/>
      </c>
      <c r="AP969" t="str">
        <f>IFERROR(ROUND(L969*(K969/$AW969)/VLOOKUP(J969,商品!$A$4:$D$67,4,FALSE),0),"")</f>
        <v/>
      </c>
      <c r="AQ969" t="str">
        <f>IFERROR(ROUND(S969*(N969/$AX969)/VLOOKUP(M969,职业!$A$3:$E$16,4,FALSE),0),"")</f>
        <v/>
      </c>
      <c r="AR969" t="str">
        <f>IFERROR(ROUND(S969*(P969/$AX969)/VLOOKUP(O969,职业!$A$3:$E$16,4,FALSE),0),"")</f>
        <v/>
      </c>
      <c r="AS969" t="str">
        <f>IFERROR(ROUND(S969*(R969/$AX969)/VLOOKUP(Q969,职业!$A$3:$E$16,4,FALSE),0),"")</f>
        <v/>
      </c>
      <c r="AT969" t="str">
        <f>IFERROR(ROUND(X969*(U969/$AY969)/VLOOKUP(T969,商品!$A$4:$D$67,4,FALSE),0),"")</f>
        <v/>
      </c>
      <c r="AU969" t="str">
        <f>IFERROR(ROUND(X969*(W969/$AY969)/VLOOKUP(V969,商品!$A$4:$D$67,4,FALSE),0),"")</f>
        <v/>
      </c>
      <c r="AW969">
        <f t="shared" si="269"/>
        <v>0</v>
      </c>
      <c r="AX969">
        <f t="shared" si="270"/>
        <v>0</v>
      </c>
      <c r="AY969">
        <f t="shared" si="271"/>
        <v>0</v>
      </c>
    </row>
    <row r="970" customHeight="1" spans="1:51">
      <c r="A970" s="18" t="s">
        <v>462</v>
      </c>
      <c r="C970" s="18">
        <v>1</v>
      </c>
      <c r="D970" s="1" t="s">
        <v>291</v>
      </c>
      <c r="E970" s="1" t="s">
        <v>225</v>
      </c>
      <c r="L970" s="18">
        <f>IFERROR(VLOOKUP($D970&amp;$C970,生产方式定位!$A$2:$E$38,2,FALSE)+VLOOKUP($E970&amp;$C970,生产方式定位!$F$3:$J$38,2,FALSE),0)</f>
        <v>0</v>
      </c>
      <c r="S970" s="18">
        <f>IFERROR(VLOOKUP($D970&amp;$C970,生产方式定位!$A$2:$E$38,3,FALSE)+VLOOKUP($E970&amp;$C970,生产方式定位!$F$3:$J$38,3,FALSE),0)</f>
        <v>100</v>
      </c>
      <c r="X970" s="18">
        <f>IFERROR(VLOOKUP($D970&amp;$C970,生产方式定位!$A$2:$E$38,5,FALSE)+VLOOKUP($E970&amp;$C970,生产方式定位!$F$3:$J$38,5,FALSE),"错误")</f>
        <v>100</v>
      </c>
      <c r="Y970" s="27" t="str">
        <f t="shared" si="255"/>
        <v/>
      </c>
      <c r="Z970" s="50" t="str">
        <f t="shared" si="258"/>
        <v/>
      </c>
      <c r="AA970" s="50" t="str">
        <f t="shared" si="256"/>
        <v/>
      </c>
      <c r="AB970" s="28" t="str">
        <f t="shared" si="259"/>
        <v/>
      </c>
      <c r="AC970" s="1" t="str">
        <f t="shared" si="260"/>
        <v/>
      </c>
      <c r="AD970" s="52">
        <f t="shared" si="257"/>
        <v>1</v>
      </c>
      <c r="AE970" t="str">
        <f t="shared" si="261"/>
        <v/>
      </c>
      <c r="AF970" t="str">
        <f t="shared" si="262"/>
        <v/>
      </c>
      <c r="AG970" t="str">
        <f t="shared" si="263"/>
        <v/>
      </c>
      <c r="AH970" t="str">
        <f t="shared" si="264"/>
        <v/>
      </c>
      <c r="AI970" t="str">
        <f t="shared" si="265"/>
        <v/>
      </c>
      <c r="AJ970" t="str">
        <f t="shared" si="266"/>
        <v/>
      </c>
      <c r="AK970" t="str">
        <f t="shared" si="267"/>
        <v/>
      </c>
      <c r="AL970" t="str">
        <f t="shared" si="268"/>
        <v/>
      </c>
      <c r="AN970" t="str">
        <f>IFERROR(ROUND(L970*(G970/$AW970)/VLOOKUP(F970,商品!$A$4:$D$67,4,FALSE),0),"")</f>
        <v/>
      </c>
      <c r="AO970" t="str">
        <f>IFERROR(ROUND(L970*(I970/$AW970)/VLOOKUP(H970,商品!$A$4:$D$67,4,FALSE),0),"")</f>
        <v/>
      </c>
      <c r="AP970" t="str">
        <f>IFERROR(ROUND(L970*(K970/$AW970)/VLOOKUP(J970,商品!$A$4:$D$67,4,FALSE),0),"")</f>
        <v/>
      </c>
      <c r="AQ970" t="str">
        <f>IFERROR(ROUND(S970*(N970/$AX970)/VLOOKUP(M970,职业!$A$3:$E$16,4,FALSE),0),"")</f>
        <v/>
      </c>
      <c r="AR970" t="str">
        <f>IFERROR(ROUND(S970*(P970/$AX970)/VLOOKUP(O970,职业!$A$3:$E$16,4,FALSE),0),"")</f>
        <v/>
      </c>
      <c r="AS970" t="str">
        <f>IFERROR(ROUND(S970*(R970/$AX970)/VLOOKUP(Q970,职业!$A$3:$E$16,4,FALSE),0),"")</f>
        <v/>
      </c>
      <c r="AT970" t="str">
        <f>IFERROR(ROUND(X970*(U970/$AY970)/VLOOKUP(T970,商品!$A$4:$D$67,4,FALSE),0),"")</f>
        <v/>
      </c>
      <c r="AU970" t="str">
        <f>IFERROR(ROUND(X970*(W970/$AY970)/VLOOKUP(V970,商品!$A$4:$D$67,4,FALSE),0),"")</f>
        <v/>
      </c>
      <c r="AW970">
        <f t="shared" si="269"/>
        <v>0</v>
      </c>
      <c r="AX970">
        <f t="shared" si="270"/>
        <v>0</v>
      </c>
      <c r="AY970">
        <f t="shared" si="271"/>
        <v>0</v>
      </c>
    </row>
    <row r="971" customHeight="1" spans="1:51">
      <c r="A971" s="18" t="s">
        <v>462</v>
      </c>
      <c r="C971" s="18">
        <v>2</v>
      </c>
      <c r="D971" s="1" t="s">
        <v>291</v>
      </c>
      <c r="E971" s="1" t="s">
        <v>225</v>
      </c>
      <c r="L971" s="18">
        <f>IFERROR(VLOOKUP($D971&amp;$C971,生产方式定位!$A$2:$E$38,2,FALSE)+VLOOKUP($E971&amp;$C971,生产方式定位!$F$3:$J$38,2,FALSE),0)</f>
        <v>0</v>
      </c>
      <c r="S971" s="18">
        <f>IFERROR(VLOOKUP($D971&amp;$C971,生产方式定位!$A$2:$E$38,3,FALSE)+VLOOKUP($E971&amp;$C971,生产方式定位!$F$3:$J$38,3,FALSE),0)</f>
        <v>100</v>
      </c>
      <c r="X971" s="18">
        <f>IFERROR(VLOOKUP($D971&amp;$C971,生产方式定位!$A$2:$E$38,5,FALSE)+VLOOKUP($E971&amp;$C971,生产方式定位!$F$3:$J$38,5,FALSE),"错误")</f>
        <v>100</v>
      </c>
      <c r="Y971" s="27" t="str">
        <f t="shared" si="255"/>
        <v/>
      </c>
      <c r="Z971" s="50" t="str">
        <f t="shared" si="258"/>
        <v/>
      </c>
      <c r="AA971" s="50" t="str">
        <f t="shared" si="256"/>
        <v/>
      </c>
      <c r="AB971" s="28" t="str">
        <f t="shared" si="259"/>
        <v/>
      </c>
      <c r="AC971" s="1" t="str">
        <f t="shared" si="260"/>
        <v/>
      </c>
      <c r="AD971" s="52">
        <f t="shared" si="257"/>
        <v>2</v>
      </c>
      <c r="AE971" t="str">
        <f t="shared" si="261"/>
        <v/>
      </c>
      <c r="AF971" t="str">
        <f t="shared" si="262"/>
        <v/>
      </c>
      <c r="AG971" t="str">
        <f t="shared" si="263"/>
        <v/>
      </c>
      <c r="AH971" t="str">
        <f t="shared" si="264"/>
        <v/>
      </c>
      <c r="AI971" t="str">
        <f t="shared" si="265"/>
        <v/>
      </c>
      <c r="AJ971" t="str">
        <f t="shared" si="266"/>
        <v/>
      </c>
      <c r="AK971" t="str">
        <f t="shared" si="267"/>
        <v/>
      </c>
      <c r="AL971" t="str">
        <f t="shared" si="268"/>
        <v/>
      </c>
      <c r="AN971" t="str">
        <f>IFERROR(ROUND(L971*(G971/$AW971)/VLOOKUP(F971,商品!$A$4:$D$67,4,FALSE),0),"")</f>
        <v/>
      </c>
      <c r="AO971" t="str">
        <f>IFERROR(ROUND(L971*(I971/$AW971)/VLOOKUP(H971,商品!$A$4:$D$67,4,FALSE),0),"")</f>
        <v/>
      </c>
      <c r="AP971" t="str">
        <f>IFERROR(ROUND(L971*(K971/$AW971)/VLOOKUP(J971,商品!$A$4:$D$67,4,FALSE),0),"")</f>
        <v/>
      </c>
      <c r="AQ971" t="str">
        <f>IFERROR(ROUND(S971*(N971/$AX971)/VLOOKUP(M971,职业!$A$3:$E$16,4,FALSE),0),"")</f>
        <v/>
      </c>
      <c r="AR971" t="str">
        <f>IFERROR(ROUND(S971*(P971/$AX971)/VLOOKUP(O971,职业!$A$3:$E$16,4,FALSE),0),"")</f>
        <v/>
      </c>
      <c r="AS971" t="str">
        <f>IFERROR(ROUND(S971*(R971/$AX971)/VLOOKUP(Q971,职业!$A$3:$E$16,4,FALSE),0),"")</f>
        <v/>
      </c>
      <c r="AT971" t="str">
        <f>IFERROR(ROUND(X971*(U971/$AY971)/VLOOKUP(T971,商品!$A$4:$D$67,4,FALSE),0),"")</f>
        <v/>
      </c>
      <c r="AU971" t="str">
        <f>IFERROR(ROUND(X971*(W971/$AY971)/VLOOKUP(V971,商品!$A$4:$D$67,4,FALSE),0),"")</f>
        <v/>
      </c>
      <c r="AW971">
        <f t="shared" si="269"/>
        <v>0</v>
      </c>
      <c r="AX971">
        <f t="shared" si="270"/>
        <v>0</v>
      </c>
      <c r="AY971">
        <f t="shared" si="271"/>
        <v>0</v>
      </c>
    </row>
    <row r="972" customHeight="1" spans="1:51">
      <c r="A972" s="18" t="s">
        <v>462</v>
      </c>
      <c r="C972" s="18">
        <v>3</v>
      </c>
      <c r="D972" s="1" t="s">
        <v>291</v>
      </c>
      <c r="E972" s="1" t="s">
        <v>225</v>
      </c>
      <c r="L972" s="18">
        <f>IFERROR(VLOOKUP($D972&amp;$C972,生产方式定位!$A$2:$E$38,2,FALSE)+VLOOKUP($E972&amp;$C972,生产方式定位!$F$3:$J$38,2,FALSE),0)</f>
        <v>0</v>
      </c>
      <c r="S972" s="18">
        <f>IFERROR(VLOOKUP($D972&amp;$C972,生产方式定位!$A$2:$E$38,3,FALSE)+VLOOKUP($E972&amp;$C972,生产方式定位!$F$3:$J$38,3,FALSE),0)</f>
        <v>100</v>
      </c>
      <c r="X972" s="18">
        <f>IFERROR(VLOOKUP($D972&amp;$C972,生产方式定位!$A$2:$E$38,5,FALSE)+VLOOKUP($E972&amp;$C972,生产方式定位!$F$3:$J$38,5,FALSE),"错误")</f>
        <v>100</v>
      </c>
      <c r="Y972" s="27" t="str">
        <f t="shared" si="255"/>
        <v/>
      </c>
      <c r="Z972" s="50" t="str">
        <f t="shared" si="258"/>
        <v/>
      </c>
      <c r="AA972" s="50" t="str">
        <f t="shared" si="256"/>
        <v/>
      </c>
      <c r="AB972" s="28" t="str">
        <f t="shared" si="259"/>
        <v/>
      </c>
      <c r="AC972" s="1" t="str">
        <f t="shared" si="260"/>
        <v/>
      </c>
      <c r="AD972" s="52">
        <f t="shared" si="257"/>
        <v>3</v>
      </c>
      <c r="AE972" t="str">
        <f t="shared" si="261"/>
        <v/>
      </c>
      <c r="AF972" t="str">
        <f t="shared" si="262"/>
        <v/>
      </c>
      <c r="AG972" t="str">
        <f t="shared" si="263"/>
        <v/>
      </c>
      <c r="AH972" t="str">
        <f t="shared" si="264"/>
        <v/>
      </c>
      <c r="AI972" t="str">
        <f t="shared" si="265"/>
        <v/>
      </c>
      <c r="AJ972" t="str">
        <f t="shared" si="266"/>
        <v/>
      </c>
      <c r="AK972" t="str">
        <f t="shared" si="267"/>
        <v/>
      </c>
      <c r="AL972" t="str">
        <f t="shared" si="268"/>
        <v/>
      </c>
      <c r="AN972" t="str">
        <f>IFERROR(ROUND(L972*(G972/$AW972)/VLOOKUP(F972,商品!$A$4:$D$67,4,FALSE),0),"")</f>
        <v/>
      </c>
      <c r="AO972" t="str">
        <f>IFERROR(ROUND(L972*(I972/$AW972)/VLOOKUP(H972,商品!$A$4:$D$67,4,FALSE),0),"")</f>
        <v/>
      </c>
      <c r="AP972" t="str">
        <f>IFERROR(ROUND(L972*(K972/$AW972)/VLOOKUP(J972,商品!$A$4:$D$67,4,FALSE),0),"")</f>
        <v/>
      </c>
      <c r="AQ972" t="str">
        <f>IFERROR(ROUND(S972*(N972/$AX972)/VLOOKUP(M972,职业!$A$3:$E$16,4,FALSE),0),"")</f>
        <v/>
      </c>
      <c r="AR972" t="str">
        <f>IFERROR(ROUND(S972*(P972/$AX972)/VLOOKUP(O972,职业!$A$3:$E$16,4,FALSE),0),"")</f>
        <v/>
      </c>
      <c r="AS972" t="str">
        <f>IFERROR(ROUND(S972*(R972/$AX972)/VLOOKUP(Q972,职业!$A$3:$E$16,4,FALSE),0),"")</f>
        <v/>
      </c>
      <c r="AT972" t="str">
        <f>IFERROR(ROUND(X972*(U972/$AY972)/VLOOKUP(T972,商品!$A$4:$D$67,4,FALSE),0),"")</f>
        <v/>
      </c>
      <c r="AU972" t="str">
        <f>IFERROR(ROUND(X972*(W972/$AY972)/VLOOKUP(V972,商品!$A$4:$D$67,4,FALSE),0),"")</f>
        <v/>
      </c>
      <c r="AW972">
        <f t="shared" si="269"/>
        <v>0</v>
      </c>
      <c r="AX972">
        <f t="shared" si="270"/>
        <v>0</v>
      </c>
      <c r="AY972">
        <f t="shared" si="271"/>
        <v>0</v>
      </c>
    </row>
    <row r="973" customHeight="1" spans="1:51">
      <c r="A973" s="18" t="s">
        <v>462</v>
      </c>
      <c r="C973" s="18">
        <v>4</v>
      </c>
      <c r="D973" s="1" t="s">
        <v>291</v>
      </c>
      <c r="E973" s="1" t="s">
        <v>225</v>
      </c>
      <c r="L973" s="18">
        <f>IFERROR(VLOOKUP($D973&amp;$C973,生产方式定位!$A$2:$E$38,2,FALSE)+VLOOKUP($E973&amp;$C973,生产方式定位!$F$3:$J$38,2,FALSE),0)</f>
        <v>0</v>
      </c>
      <c r="S973" s="18">
        <f>IFERROR(VLOOKUP($D973&amp;$C973,生产方式定位!$A$2:$E$38,3,FALSE)+VLOOKUP($E973&amp;$C973,生产方式定位!$F$3:$J$38,3,FALSE),0)</f>
        <v>100</v>
      </c>
      <c r="X973" s="18">
        <f>IFERROR(VLOOKUP($D973&amp;$C973,生产方式定位!$A$2:$E$38,5,FALSE)+VLOOKUP($E973&amp;$C973,生产方式定位!$F$3:$J$38,5,FALSE),"错误")</f>
        <v>100</v>
      </c>
      <c r="Y973" s="27" t="str">
        <f t="shared" si="255"/>
        <v/>
      </c>
      <c r="Z973" s="50" t="str">
        <f t="shared" si="258"/>
        <v/>
      </c>
      <c r="AA973" s="50" t="str">
        <f t="shared" si="256"/>
        <v/>
      </c>
      <c r="AB973" s="28" t="str">
        <f t="shared" si="259"/>
        <v/>
      </c>
      <c r="AC973" s="1" t="str">
        <f t="shared" si="260"/>
        <v/>
      </c>
      <c r="AD973" s="52">
        <f t="shared" si="257"/>
        <v>4</v>
      </c>
      <c r="AE973" t="str">
        <f t="shared" si="261"/>
        <v/>
      </c>
      <c r="AF973" t="str">
        <f t="shared" si="262"/>
        <v/>
      </c>
      <c r="AG973" t="str">
        <f t="shared" si="263"/>
        <v/>
      </c>
      <c r="AH973" t="str">
        <f t="shared" si="264"/>
        <v/>
      </c>
      <c r="AI973" t="str">
        <f t="shared" si="265"/>
        <v/>
      </c>
      <c r="AJ973" t="str">
        <f t="shared" si="266"/>
        <v/>
      </c>
      <c r="AK973" t="str">
        <f t="shared" si="267"/>
        <v/>
      </c>
      <c r="AL973" t="str">
        <f t="shared" si="268"/>
        <v/>
      </c>
      <c r="AN973" t="str">
        <f>IFERROR(ROUND(L973*(G973/$AW973)/VLOOKUP(F973,商品!$A$4:$D$67,4,FALSE),0),"")</f>
        <v/>
      </c>
      <c r="AO973" t="str">
        <f>IFERROR(ROUND(L973*(I973/$AW973)/VLOOKUP(H973,商品!$A$4:$D$67,4,FALSE),0),"")</f>
        <v/>
      </c>
      <c r="AP973" t="str">
        <f>IFERROR(ROUND(L973*(K973/$AW973)/VLOOKUP(J973,商品!$A$4:$D$67,4,FALSE),0),"")</f>
        <v/>
      </c>
      <c r="AQ973" t="str">
        <f>IFERROR(ROUND(S973*(N973/$AX973)/VLOOKUP(M973,职业!$A$3:$E$16,4,FALSE),0),"")</f>
        <v/>
      </c>
      <c r="AR973" t="str">
        <f>IFERROR(ROUND(S973*(P973/$AX973)/VLOOKUP(O973,职业!$A$3:$E$16,4,FALSE),0),"")</f>
        <v/>
      </c>
      <c r="AS973" t="str">
        <f>IFERROR(ROUND(S973*(R973/$AX973)/VLOOKUP(Q973,职业!$A$3:$E$16,4,FALSE),0),"")</f>
        <v/>
      </c>
      <c r="AT973" t="str">
        <f>IFERROR(ROUND(X973*(U973/$AY973)/VLOOKUP(T973,商品!$A$4:$D$67,4,FALSE),0),"")</f>
        <v/>
      </c>
      <c r="AU973" t="str">
        <f>IFERROR(ROUND(X973*(W973/$AY973)/VLOOKUP(V973,商品!$A$4:$D$67,4,FALSE),0),"")</f>
        <v/>
      </c>
      <c r="AW973">
        <f t="shared" si="269"/>
        <v>0</v>
      </c>
      <c r="AX973">
        <f t="shared" si="270"/>
        <v>0</v>
      </c>
      <c r="AY973">
        <f t="shared" si="271"/>
        <v>0</v>
      </c>
    </row>
    <row r="974" customHeight="1" spans="1:51">
      <c r="A974" s="18" t="s">
        <v>462</v>
      </c>
      <c r="C974" s="18">
        <v>5</v>
      </c>
      <c r="D974" s="1" t="s">
        <v>291</v>
      </c>
      <c r="E974" s="1" t="s">
        <v>225</v>
      </c>
      <c r="L974" s="18">
        <f>IFERROR(VLOOKUP($D974&amp;$C974,生产方式定位!$A$2:$E$38,2,FALSE)+VLOOKUP($E974&amp;$C974,生产方式定位!$F$3:$J$38,2,FALSE),0)</f>
        <v>0</v>
      </c>
      <c r="S974" s="18">
        <f>IFERROR(VLOOKUP($D974&amp;$C974,生产方式定位!$A$2:$E$38,3,FALSE)+VLOOKUP($E974&amp;$C974,生产方式定位!$F$3:$J$38,3,FALSE),0)</f>
        <v>100</v>
      </c>
      <c r="X974" s="18">
        <f>IFERROR(VLOOKUP($D974&amp;$C974,生产方式定位!$A$2:$E$38,5,FALSE)+VLOOKUP($E974&amp;$C974,生产方式定位!$F$3:$J$38,5,FALSE),"错误")</f>
        <v>100</v>
      </c>
      <c r="Y974" s="27" t="str">
        <f t="shared" si="255"/>
        <v/>
      </c>
      <c r="Z974" s="50" t="str">
        <f t="shared" si="258"/>
        <v/>
      </c>
      <c r="AA974" s="50" t="str">
        <f t="shared" si="256"/>
        <v/>
      </c>
      <c r="AB974" s="28" t="str">
        <f t="shared" si="259"/>
        <v/>
      </c>
      <c r="AC974" s="1" t="str">
        <f t="shared" si="260"/>
        <v/>
      </c>
      <c r="AD974" s="52">
        <f t="shared" si="257"/>
        <v>5</v>
      </c>
      <c r="AE974" t="str">
        <f t="shared" si="261"/>
        <v/>
      </c>
      <c r="AF974" t="str">
        <f t="shared" si="262"/>
        <v/>
      </c>
      <c r="AG974" t="str">
        <f t="shared" si="263"/>
        <v/>
      </c>
      <c r="AH974" t="str">
        <f t="shared" si="264"/>
        <v/>
      </c>
      <c r="AI974" t="str">
        <f t="shared" si="265"/>
        <v/>
      </c>
      <c r="AJ974" t="str">
        <f t="shared" si="266"/>
        <v/>
      </c>
      <c r="AK974" t="str">
        <f t="shared" si="267"/>
        <v/>
      </c>
      <c r="AL974" t="str">
        <f t="shared" si="268"/>
        <v/>
      </c>
      <c r="AN974" t="str">
        <f>IFERROR(ROUND(L974*(G974/$AW974)/VLOOKUP(F974,商品!$A$4:$D$67,4,FALSE),0),"")</f>
        <v/>
      </c>
      <c r="AO974" t="str">
        <f>IFERROR(ROUND(L974*(I974/$AW974)/VLOOKUP(H974,商品!$A$4:$D$67,4,FALSE),0),"")</f>
        <v/>
      </c>
      <c r="AP974" t="str">
        <f>IFERROR(ROUND(L974*(K974/$AW974)/VLOOKUP(J974,商品!$A$4:$D$67,4,FALSE),0),"")</f>
        <v/>
      </c>
      <c r="AQ974" t="str">
        <f>IFERROR(ROUND(S974*(N974/$AX974)/VLOOKUP(M974,职业!$A$3:$E$16,4,FALSE),0),"")</f>
        <v/>
      </c>
      <c r="AR974" t="str">
        <f>IFERROR(ROUND(S974*(P974/$AX974)/VLOOKUP(O974,职业!$A$3:$E$16,4,FALSE),0),"")</f>
        <v/>
      </c>
      <c r="AS974" t="str">
        <f>IFERROR(ROUND(S974*(R974/$AX974)/VLOOKUP(Q974,职业!$A$3:$E$16,4,FALSE),0),"")</f>
        <v/>
      </c>
      <c r="AT974" t="str">
        <f>IFERROR(ROUND(X974*(U974/$AY974)/VLOOKUP(T974,商品!$A$4:$D$67,4,FALSE),0),"")</f>
        <v/>
      </c>
      <c r="AU974" t="str">
        <f>IFERROR(ROUND(X974*(W974/$AY974)/VLOOKUP(V974,商品!$A$4:$D$67,4,FALSE),0),"")</f>
        <v/>
      </c>
      <c r="AW974">
        <f t="shared" si="269"/>
        <v>0</v>
      </c>
      <c r="AX974">
        <f t="shared" si="270"/>
        <v>0</v>
      </c>
      <c r="AY974">
        <f t="shared" si="271"/>
        <v>0</v>
      </c>
    </row>
    <row r="975" customHeight="1" spans="1:51">
      <c r="A975" s="18" t="s">
        <v>462</v>
      </c>
      <c r="C975" s="18">
        <v>6</v>
      </c>
      <c r="D975" s="1" t="s">
        <v>291</v>
      </c>
      <c r="E975" s="1" t="s">
        <v>225</v>
      </c>
      <c r="L975" s="18">
        <f>IFERROR(VLOOKUP($D975&amp;$C975,生产方式定位!$A$2:$E$38,2,FALSE)+VLOOKUP($E975&amp;$C975,生产方式定位!$F$3:$J$38,2,FALSE),0)</f>
        <v>0</v>
      </c>
      <c r="S975" s="18">
        <f>IFERROR(VLOOKUP($D975&amp;$C975,生产方式定位!$A$2:$E$38,3,FALSE)+VLOOKUP($E975&amp;$C975,生产方式定位!$F$3:$J$38,3,FALSE),0)</f>
        <v>100</v>
      </c>
      <c r="X975" s="18">
        <f>IFERROR(VLOOKUP($D975&amp;$C975,生产方式定位!$A$2:$E$38,5,FALSE)+VLOOKUP($E975&amp;$C975,生产方式定位!$F$3:$J$38,5,FALSE),"错误")</f>
        <v>100</v>
      </c>
      <c r="Y975" s="27" t="str">
        <f t="shared" si="255"/>
        <v/>
      </c>
      <c r="Z975" s="50" t="str">
        <f t="shared" si="258"/>
        <v/>
      </c>
      <c r="AA975" s="50" t="str">
        <f t="shared" si="256"/>
        <v/>
      </c>
      <c r="AB975" s="28" t="str">
        <f t="shared" si="259"/>
        <v/>
      </c>
      <c r="AC975" s="1" t="str">
        <f t="shared" si="260"/>
        <v/>
      </c>
      <c r="AD975" s="52">
        <f t="shared" si="257"/>
        <v>6</v>
      </c>
      <c r="AE975" t="str">
        <f t="shared" si="261"/>
        <v/>
      </c>
      <c r="AF975" t="str">
        <f t="shared" si="262"/>
        <v/>
      </c>
      <c r="AG975" t="str">
        <f t="shared" si="263"/>
        <v/>
      </c>
      <c r="AH975" t="str">
        <f t="shared" si="264"/>
        <v/>
      </c>
      <c r="AI975" t="str">
        <f t="shared" si="265"/>
        <v/>
      </c>
      <c r="AJ975" t="str">
        <f t="shared" si="266"/>
        <v/>
      </c>
      <c r="AK975" t="str">
        <f t="shared" si="267"/>
        <v/>
      </c>
      <c r="AL975" t="str">
        <f t="shared" si="268"/>
        <v/>
      </c>
      <c r="AN975" t="str">
        <f>IFERROR(ROUND(L975*(G975/$AW975)/VLOOKUP(F975,商品!$A$4:$D$67,4,FALSE),0),"")</f>
        <v/>
      </c>
      <c r="AO975" t="str">
        <f>IFERROR(ROUND(L975*(I975/$AW975)/VLOOKUP(H975,商品!$A$4:$D$67,4,FALSE),0),"")</f>
        <v/>
      </c>
      <c r="AP975" t="str">
        <f>IFERROR(ROUND(L975*(K975/$AW975)/VLOOKUP(J975,商品!$A$4:$D$67,4,FALSE),0),"")</f>
        <v/>
      </c>
      <c r="AQ975" t="str">
        <f>IFERROR(ROUND(S975*(N975/$AX975)/VLOOKUP(M975,职业!$A$3:$E$16,4,FALSE),0),"")</f>
        <v/>
      </c>
      <c r="AR975" t="str">
        <f>IFERROR(ROUND(S975*(P975/$AX975)/VLOOKUP(O975,职业!$A$3:$E$16,4,FALSE),0),"")</f>
        <v/>
      </c>
      <c r="AS975" t="str">
        <f>IFERROR(ROUND(S975*(R975/$AX975)/VLOOKUP(Q975,职业!$A$3:$E$16,4,FALSE),0),"")</f>
        <v/>
      </c>
      <c r="AT975" t="str">
        <f>IFERROR(ROUND(X975*(U975/$AY975)/VLOOKUP(T975,商品!$A$4:$D$67,4,FALSE),0),"")</f>
        <v/>
      </c>
      <c r="AU975" t="str">
        <f>IFERROR(ROUND(X975*(W975/$AY975)/VLOOKUP(V975,商品!$A$4:$D$67,4,FALSE),0),"")</f>
        <v/>
      </c>
      <c r="AW975">
        <f t="shared" si="269"/>
        <v>0</v>
      </c>
      <c r="AX975">
        <f t="shared" si="270"/>
        <v>0</v>
      </c>
      <c r="AY975">
        <f t="shared" si="271"/>
        <v>0</v>
      </c>
    </row>
    <row r="976" customHeight="1" spans="1:51">
      <c r="A976" s="18" t="s">
        <v>462</v>
      </c>
      <c r="C976" s="18">
        <v>7</v>
      </c>
      <c r="D976" s="1" t="s">
        <v>291</v>
      </c>
      <c r="E976" s="1" t="s">
        <v>225</v>
      </c>
      <c r="L976" s="18">
        <f>IFERROR(VLOOKUP($D976&amp;$C976,生产方式定位!$A$2:$E$38,2,FALSE)+VLOOKUP($E976&amp;$C976,生产方式定位!$F$3:$J$38,2,FALSE),0)</f>
        <v>0</v>
      </c>
      <c r="S976" s="18">
        <f>IFERROR(VLOOKUP($D976&amp;$C976,生产方式定位!$A$2:$E$38,3,FALSE)+VLOOKUP($E976&amp;$C976,生产方式定位!$F$3:$J$38,3,FALSE),0)</f>
        <v>100</v>
      </c>
      <c r="X976" s="18">
        <f>IFERROR(VLOOKUP($D976&amp;$C976,生产方式定位!$A$2:$E$38,5,FALSE)+VLOOKUP($E976&amp;$C976,生产方式定位!$F$3:$J$38,5,FALSE),"错误")</f>
        <v>100</v>
      </c>
      <c r="Y976" s="27" t="str">
        <f t="shared" si="255"/>
        <v/>
      </c>
      <c r="Z976" s="50" t="str">
        <f t="shared" si="258"/>
        <v/>
      </c>
      <c r="AA976" s="50" t="str">
        <f t="shared" si="256"/>
        <v/>
      </c>
      <c r="AB976" s="28" t="str">
        <f t="shared" si="259"/>
        <v/>
      </c>
      <c r="AC976" s="1" t="str">
        <f t="shared" si="260"/>
        <v/>
      </c>
      <c r="AD976" s="52">
        <f t="shared" si="257"/>
        <v>7</v>
      </c>
      <c r="AE976" t="str">
        <f t="shared" si="261"/>
        <v/>
      </c>
      <c r="AF976" t="str">
        <f t="shared" si="262"/>
        <v/>
      </c>
      <c r="AG976" t="str">
        <f t="shared" si="263"/>
        <v/>
      </c>
      <c r="AH976" t="str">
        <f t="shared" si="264"/>
        <v/>
      </c>
      <c r="AI976" t="str">
        <f t="shared" si="265"/>
        <v/>
      </c>
      <c r="AJ976" t="str">
        <f t="shared" si="266"/>
        <v/>
      </c>
      <c r="AK976" t="str">
        <f t="shared" si="267"/>
        <v/>
      </c>
      <c r="AL976" t="str">
        <f t="shared" si="268"/>
        <v/>
      </c>
      <c r="AN976" t="str">
        <f>IFERROR(ROUND(L976*(G976/$AW976)/VLOOKUP(F976,商品!$A$4:$D$67,4,FALSE),0),"")</f>
        <v/>
      </c>
      <c r="AO976" t="str">
        <f>IFERROR(ROUND(L976*(I976/$AW976)/VLOOKUP(H976,商品!$A$4:$D$67,4,FALSE),0),"")</f>
        <v/>
      </c>
      <c r="AP976" t="str">
        <f>IFERROR(ROUND(L976*(K976/$AW976)/VLOOKUP(J976,商品!$A$4:$D$67,4,FALSE),0),"")</f>
        <v/>
      </c>
      <c r="AQ976" t="str">
        <f>IFERROR(ROUND(S976*(N976/$AX976)/VLOOKUP(M976,职业!$A$3:$E$16,4,FALSE),0),"")</f>
        <v/>
      </c>
      <c r="AR976" t="str">
        <f>IFERROR(ROUND(S976*(P976/$AX976)/VLOOKUP(O976,职业!$A$3:$E$16,4,FALSE),0),"")</f>
        <v/>
      </c>
      <c r="AS976" t="str">
        <f>IFERROR(ROUND(S976*(R976/$AX976)/VLOOKUP(Q976,职业!$A$3:$E$16,4,FALSE),0),"")</f>
        <v/>
      </c>
      <c r="AT976" t="str">
        <f>IFERROR(ROUND(X976*(U976/$AY976)/VLOOKUP(T976,商品!$A$4:$D$67,4,FALSE),0),"")</f>
        <v/>
      </c>
      <c r="AU976" t="str">
        <f>IFERROR(ROUND(X976*(W976/$AY976)/VLOOKUP(V976,商品!$A$4:$D$67,4,FALSE),0),"")</f>
        <v/>
      </c>
      <c r="AW976">
        <f t="shared" si="269"/>
        <v>0</v>
      </c>
      <c r="AX976">
        <f t="shared" si="270"/>
        <v>0</v>
      </c>
      <c r="AY976">
        <f t="shared" si="271"/>
        <v>0</v>
      </c>
    </row>
    <row r="977" customHeight="1" spans="1:51">
      <c r="A977" s="18" t="s">
        <v>462</v>
      </c>
      <c r="C977" s="18">
        <v>8</v>
      </c>
      <c r="D977" s="1" t="s">
        <v>291</v>
      </c>
      <c r="E977" s="1" t="s">
        <v>225</v>
      </c>
      <c r="L977" s="18">
        <f>IFERROR(VLOOKUP($D977&amp;$C977,生产方式定位!$A$2:$E$38,2,FALSE)+VLOOKUP($E977&amp;$C977,生产方式定位!$F$3:$J$38,2,FALSE),0)</f>
        <v>0</v>
      </c>
      <c r="S977" s="18">
        <f>IFERROR(VLOOKUP($D977&amp;$C977,生产方式定位!$A$2:$E$38,3,FALSE)+VLOOKUP($E977&amp;$C977,生产方式定位!$F$3:$J$38,3,FALSE),0)</f>
        <v>100</v>
      </c>
      <c r="X977" s="18">
        <f>IFERROR(VLOOKUP($D977&amp;$C977,生产方式定位!$A$2:$E$38,5,FALSE)+VLOOKUP($E977&amp;$C977,生产方式定位!$F$3:$J$38,5,FALSE),"错误")</f>
        <v>100</v>
      </c>
      <c r="Y977" s="27" t="str">
        <f t="shared" si="255"/>
        <v/>
      </c>
      <c r="Z977" s="50" t="str">
        <f t="shared" si="258"/>
        <v/>
      </c>
      <c r="AA977" s="50" t="str">
        <f t="shared" si="256"/>
        <v/>
      </c>
      <c r="AB977" s="28" t="str">
        <f t="shared" si="259"/>
        <v/>
      </c>
      <c r="AC977" s="1" t="str">
        <f t="shared" si="260"/>
        <v/>
      </c>
      <c r="AD977" s="52">
        <f t="shared" si="257"/>
        <v>8</v>
      </c>
      <c r="AE977" t="str">
        <f t="shared" si="261"/>
        <v/>
      </c>
      <c r="AF977" t="str">
        <f t="shared" si="262"/>
        <v/>
      </c>
      <c r="AG977" t="str">
        <f t="shared" si="263"/>
        <v/>
      </c>
      <c r="AH977" t="str">
        <f t="shared" si="264"/>
        <v/>
      </c>
      <c r="AI977" t="str">
        <f t="shared" si="265"/>
        <v/>
      </c>
      <c r="AJ977" t="str">
        <f t="shared" si="266"/>
        <v/>
      </c>
      <c r="AK977" t="str">
        <f t="shared" si="267"/>
        <v/>
      </c>
      <c r="AL977" t="str">
        <f t="shared" si="268"/>
        <v/>
      </c>
      <c r="AN977" t="str">
        <f>IFERROR(ROUND(L977*(G977/$AW977)/VLOOKUP(F977,商品!$A$4:$D$67,4,FALSE),0),"")</f>
        <v/>
      </c>
      <c r="AO977" t="str">
        <f>IFERROR(ROUND(L977*(I977/$AW977)/VLOOKUP(H977,商品!$A$4:$D$67,4,FALSE),0),"")</f>
        <v/>
      </c>
      <c r="AP977" t="str">
        <f>IFERROR(ROUND(L977*(K977/$AW977)/VLOOKUP(J977,商品!$A$4:$D$67,4,FALSE),0),"")</f>
        <v/>
      </c>
      <c r="AQ977" t="str">
        <f>IFERROR(ROUND(S977*(N977/$AX977)/VLOOKUP(M977,职业!$A$3:$E$16,4,FALSE),0),"")</f>
        <v/>
      </c>
      <c r="AR977" t="str">
        <f>IFERROR(ROUND(S977*(P977/$AX977)/VLOOKUP(O977,职业!$A$3:$E$16,4,FALSE),0),"")</f>
        <v/>
      </c>
      <c r="AS977" t="str">
        <f>IFERROR(ROUND(S977*(R977/$AX977)/VLOOKUP(Q977,职业!$A$3:$E$16,4,FALSE),0),"")</f>
        <v/>
      </c>
      <c r="AT977" t="str">
        <f>IFERROR(ROUND(X977*(U977/$AY977)/VLOOKUP(T977,商品!$A$4:$D$67,4,FALSE),0),"")</f>
        <v/>
      </c>
      <c r="AU977" t="str">
        <f>IFERROR(ROUND(X977*(W977/$AY977)/VLOOKUP(V977,商品!$A$4:$D$67,4,FALSE),0),"")</f>
        <v/>
      </c>
      <c r="AW977">
        <f t="shared" si="269"/>
        <v>0</v>
      </c>
      <c r="AX977">
        <f t="shared" si="270"/>
        <v>0</v>
      </c>
      <c r="AY977">
        <f t="shared" si="271"/>
        <v>0</v>
      </c>
    </row>
    <row r="978" customHeight="1" spans="1:51">
      <c r="A978" s="5" t="s">
        <v>464</v>
      </c>
      <c r="C978" s="5">
        <v>1</v>
      </c>
      <c r="D978" s="1" t="s">
        <v>220</v>
      </c>
      <c r="E978" s="1" t="s">
        <v>222</v>
      </c>
      <c r="L978" s="5">
        <f>IFERROR(VLOOKUP($D978&amp;$C978,生产方式定位!$A$2:$E$38,2,FALSE)+VLOOKUP($E978&amp;$C978,生产方式定位!$F$3:$J$38,2,FALSE),0)</f>
        <v>500</v>
      </c>
      <c r="S978" s="5">
        <f>IFERROR(VLOOKUP($D978&amp;$C978,生产方式定位!$A$2:$E$38,3,FALSE)+VLOOKUP($E978&amp;$C978,生产方式定位!$F$3:$J$38,3,FALSE),0)</f>
        <v>150</v>
      </c>
      <c r="X978" s="5">
        <f>IFERROR(VLOOKUP($D978&amp;$C978,生产方式定位!$A$2:$E$38,5,FALSE)+VLOOKUP($E978&amp;$C978,生产方式定位!$F$3:$J$38,5,FALSE),"错误")</f>
        <v>715</v>
      </c>
      <c r="Y978" s="27" t="str">
        <f t="shared" si="255"/>
        <v/>
      </c>
      <c r="Z978" s="50" t="str">
        <f t="shared" si="258"/>
        <v/>
      </c>
      <c r="AA978" s="50" t="str">
        <f t="shared" si="256"/>
        <v/>
      </c>
      <c r="AB978" s="28" t="str">
        <f t="shared" si="259"/>
        <v>43%</v>
      </c>
      <c r="AC978" s="1">
        <f t="shared" si="260"/>
        <v>65</v>
      </c>
      <c r="AD978" s="51">
        <f t="shared" si="257"/>
        <v>1</v>
      </c>
      <c r="AE978" t="str">
        <f t="shared" si="261"/>
        <v/>
      </c>
      <c r="AF978" t="str">
        <f t="shared" si="262"/>
        <v/>
      </c>
      <c r="AG978" t="str">
        <f t="shared" si="263"/>
        <v/>
      </c>
      <c r="AH978" t="str">
        <f t="shared" si="264"/>
        <v/>
      </c>
      <c r="AI978" t="str">
        <f t="shared" si="265"/>
        <v/>
      </c>
      <c r="AJ978" t="str">
        <f t="shared" si="266"/>
        <v/>
      </c>
      <c r="AK978" t="str">
        <f t="shared" si="267"/>
        <v/>
      </c>
      <c r="AL978" t="str">
        <f t="shared" si="268"/>
        <v/>
      </c>
      <c r="AN978" t="str">
        <f>IFERROR(ROUND(L978*(G978/$AW978)/VLOOKUP(F978,商品!$A$4:$D$67,4,FALSE),0),"")</f>
        <v/>
      </c>
      <c r="AO978" t="str">
        <f>IFERROR(ROUND(L978*(I978/$AW978)/VLOOKUP(H978,商品!$A$4:$D$67,4,FALSE),0),"")</f>
        <v/>
      </c>
      <c r="AP978" t="str">
        <f>IFERROR(ROUND(L978*(K978/$AW978)/VLOOKUP(J978,商品!$A$4:$D$67,4,FALSE),0),"")</f>
        <v/>
      </c>
      <c r="AQ978" t="str">
        <f>IFERROR(ROUND(S978*(N978/$AX978)/VLOOKUP(M978,职业!$A$3:$E$16,4,FALSE),0),"")</f>
        <v/>
      </c>
      <c r="AR978" t="str">
        <f>IFERROR(ROUND(S978*(P978/$AX978)/VLOOKUP(O978,职业!$A$3:$E$16,4,FALSE),0),"")</f>
        <v/>
      </c>
      <c r="AS978" t="str">
        <f>IFERROR(ROUND(S978*(R978/$AX978)/VLOOKUP(Q978,职业!$A$3:$E$16,4,FALSE),0),"")</f>
        <v/>
      </c>
      <c r="AT978" t="str">
        <f>IFERROR(ROUND(X978*(U978/$AY978)/VLOOKUP(T978,商品!$A$4:$D$67,4,FALSE),0),"")</f>
        <v/>
      </c>
      <c r="AU978" t="str">
        <f>IFERROR(ROUND(X978*(W978/$AY978)/VLOOKUP(V978,商品!$A$4:$D$67,4,FALSE),0),"")</f>
        <v/>
      </c>
      <c r="AW978">
        <f t="shared" si="269"/>
        <v>0</v>
      </c>
      <c r="AX978">
        <f t="shared" si="270"/>
        <v>0</v>
      </c>
      <c r="AY978">
        <f t="shared" si="271"/>
        <v>0</v>
      </c>
    </row>
    <row r="979" customHeight="1" spans="1:51">
      <c r="A979" s="5" t="s">
        <v>464</v>
      </c>
      <c r="C979" s="5">
        <v>2</v>
      </c>
      <c r="D979" s="1" t="s">
        <v>220</v>
      </c>
      <c r="E979" s="1" t="s">
        <v>222</v>
      </c>
      <c r="L979" s="5">
        <f>IFERROR(VLOOKUP($D979&amp;$C979,生产方式定位!$A$2:$E$38,2,FALSE)+VLOOKUP($E979&amp;$C979,生产方式定位!$F$3:$J$38,2,FALSE),0)</f>
        <v>1200</v>
      </c>
      <c r="S979" s="5">
        <f>IFERROR(VLOOKUP($D979&amp;$C979,生产方式定位!$A$2:$E$38,3,FALSE)+VLOOKUP($E979&amp;$C979,生产方式定位!$F$3:$J$38,3,FALSE),0)</f>
        <v>140</v>
      </c>
      <c r="X979" s="5">
        <f>IFERROR(VLOOKUP($D979&amp;$C979,生产方式定位!$A$2:$E$38,5,FALSE)+VLOOKUP($E979&amp;$C979,生产方式定位!$F$3:$J$38,5,FALSE),"错误")</f>
        <v>1390</v>
      </c>
      <c r="Y979" s="27" t="str">
        <f t="shared" si="255"/>
        <v/>
      </c>
      <c r="Z979" s="50" t="str">
        <f t="shared" si="258"/>
        <v/>
      </c>
      <c r="AA979" s="50" t="str">
        <f t="shared" si="256"/>
        <v/>
      </c>
      <c r="AB979" s="28" t="str">
        <f t="shared" si="259"/>
        <v>16%</v>
      </c>
      <c r="AC979" s="1">
        <f t="shared" si="260"/>
        <v>50</v>
      </c>
      <c r="AD979" s="51">
        <f t="shared" si="257"/>
        <v>2</v>
      </c>
      <c r="AE979" t="str">
        <f t="shared" si="261"/>
        <v/>
      </c>
      <c r="AF979" t="str">
        <f t="shared" si="262"/>
        <v/>
      </c>
      <c r="AG979" t="str">
        <f t="shared" si="263"/>
        <v/>
      </c>
      <c r="AH979" t="str">
        <f t="shared" si="264"/>
        <v/>
      </c>
      <c r="AI979" t="str">
        <f t="shared" si="265"/>
        <v/>
      </c>
      <c r="AJ979" t="str">
        <f t="shared" si="266"/>
        <v/>
      </c>
      <c r="AK979" t="str">
        <f t="shared" si="267"/>
        <v/>
      </c>
      <c r="AL979" t="str">
        <f t="shared" si="268"/>
        <v/>
      </c>
      <c r="AN979" t="str">
        <f>IFERROR(ROUND(L979*(G979/$AW979)/VLOOKUP(F979,商品!$A$4:$D$67,4,FALSE),0),"")</f>
        <v/>
      </c>
      <c r="AO979" t="str">
        <f>IFERROR(ROUND(L979*(I979/$AW979)/VLOOKUP(H979,商品!$A$4:$D$67,4,FALSE),0),"")</f>
        <v/>
      </c>
      <c r="AP979" t="str">
        <f>IFERROR(ROUND(L979*(K979/$AW979)/VLOOKUP(J979,商品!$A$4:$D$67,4,FALSE),0),"")</f>
        <v/>
      </c>
      <c r="AQ979" t="str">
        <f>IFERROR(ROUND(S979*(N979/$AX979)/VLOOKUP(M979,职业!$A$3:$E$16,4,FALSE),0),"")</f>
        <v/>
      </c>
      <c r="AR979" t="str">
        <f>IFERROR(ROUND(S979*(P979/$AX979)/VLOOKUP(O979,职业!$A$3:$E$16,4,FALSE),0),"")</f>
        <v/>
      </c>
      <c r="AS979" t="str">
        <f>IFERROR(ROUND(S979*(R979/$AX979)/VLOOKUP(Q979,职业!$A$3:$E$16,4,FALSE),0),"")</f>
        <v/>
      </c>
      <c r="AT979" t="str">
        <f>IFERROR(ROUND(X979*(U979/$AY979)/VLOOKUP(T979,商品!$A$4:$D$67,4,FALSE),0),"")</f>
        <v/>
      </c>
      <c r="AU979" t="str">
        <f>IFERROR(ROUND(X979*(W979/$AY979)/VLOOKUP(V979,商品!$A$4:$D$67,4,FALSE),0),"")</f>
        <v/>
      </c>
      <c r="AW979">
        <f t="shared" si="269"/>
        <v>0</v>
      </c>
      <c r="AX979">
        <f t="shared" si="270"/>
        <v>0</v>
      </c>
      <c r="AY979">
        <f t="shared" si="271"/>
        <v>0</v>
      </c>
    </row>
    <row r="980" customHeight="1" spans="1:51">
      <c r="A980" s="5" t="s">
        <v>464</v>
      </c>
      <c r="C980" s="5">
        <v>3</v>
      </c>
      <c r="D980" s="1" t="s">
        <v>220</v>
      </c>
      <c r="E980" s="1" t="s">
        <v>222</v>
      </c>
      <c r="L980" s="5">
        <f>IFERROR(VLOOKUP($D980&amp;$C980,生产方式定位!$A$2:$E$38,2,FALSE)+VLOOKUP($E980&amp;$C980,生产方式定位!$F$3:$J$38,2,FALSE),0)</f>
        <v>1525</v>
      </c>
      <c r="S980" s="5">
        <f>IFERROR(VLOOKUP($D980&amp;$C980,生产方式定位!$A$2:$E$38,3,FALSE)+VLOOKUP($E980&amp;$C980,生产方式定位!$F$3:$J$38,3,FALSE),0)</f>
        <v>130</v>
      </c>
      <c r="X980" s="5">
        <f>IFERROR(VLOOKUP($D980&amp;$C980,生产方式定位!$A$2:$E$38,5,FALSE)+VLOOKUP($E980&amp;$C980,生产方式定位!$F$3:$J$38,5,FALSE),"错误")</f>
        <v>1718</v>
      </c>
      <c r="Y980" s="27" t="str">
        <f t="shared" si="255"/>
        <v/>
      </c>
      <c r="Z980" s="50" t="str">
        <f t="shared" si="258"/>
        <v/>
      </c>
      <c r="AA980" s="50" t="str">
        <f t="shared" si="256"/>
        <v/>
      </c>
      <c r="AB980" s="28" t="str">
        <f t="shared" si="259"/>
        <v>13%</v>
      </c>
      <c r="AC980" s="1">
        <f t="shared" si="260"/>
        <v>63</v>
      </c>
      <c r="AD980" s="51">
        <f t="shared" si="257"/>
        <v>3</v>
      </c>
      <c r="AE980" t="str">
        <f t="shared" si="261"/>
        <v/>
      </c>
      <c r="AF980" t="str">
        <f t="shared" si="262"/>
        <v/>
      </c>
      <c r="AG980" t="str">
        <f t="shared" si="263"/>
        <v/>
      </c>
      <c r="AH980" t="str">
        <f t="shared" si="264"/>
        <v/>
      </c>
      <c r="AI980" t="str">
        <f t="shared" si="265"/>
        <v/>
      </c>
      <c r="AJ980" t="str">
        <f t="shared" si="266"/>
        <v/>
      </c>
      <c r="AK980" t="str">
        <f t="shared" si="267"/>
        <v/>
      </c>
      <c r="AL980" t="str">
        <f t="shared" si="268"/>
        <v/>
      </c>
      <c r="AN980" t="str">
        <f>IFERROR(ROUND(L980*(G980/$AW980)/VLOOKUP(F980,商品!$A$4:$D$67,4,FALSE),0),"")</f>
        <v/>
      </c>
      <c r="AO980" t="str">
        <f>IFERROR(ROUND(L980*(I980/$AW980)/VLOOKUP(H980,商品!$A$4:$D$67,4,FALSE),0),"")</f>
        <v/>
      </c>
      <c r="AP980" t="str">
        <f>IFERROR(ROUND(L980*(K980/$AW980)/VLOOKUP(J980,商品!$A$4:$D$67,4,FALSE),0),"")</f>
        <v/>
      </c>
      <c r="AQ980" t="str">
        <f>IFERROR(ROUND(S980*(N980/$AX980)/VLOOKUP(M980,职业!$A$3:$E$16,4,FALSE),0),"")</f>
        <v/>
      </c>
      <c r="AR980" t="str">
        <f>IFERROR(ROUND(S980*(P980/$AX980)/VLOOKUP(O980,职业!$A$3:$E$16,4,FALSE),0),"")</f>
        <v/>
      </c>
      <c r="AS980" t="str">
        <f>IFERROR(ROUND(S980*(R980/$AX980)/VLOOKUP(Q980,职业!$A$3:$E$16,4,FALSE),0),"")</f>
        <v/>
      </c>
      <c r="AT980" t="str">
        <f>IFERROR(ROUND(X980*(U980/$AY980)/VLOOKUP(T980,商品!$A$4:$D$67,4,FALSE),0),"")</f>
        <v/>
      </c>
      <c r="AU980" t="str">
        <f>IFERROR(ROUND(X980*(W980/$AY980)/VLOOKUP(V980,商品!$A$4:$D$67,4,FALSE),0),"")</f>
        <v/>
      </c>
      <c r="AW980">
        <f t="shared" si="269"/>
        <v>0</v>
      </c>
      <c r="AX980">
        <f t="shared" si="270"/>
        <v>0</v>
      </c>
      <c r="AY980">
        <f t="shared" si="271"/>
        <v>0</v>
      </c>
    </row>
    <row r="981" customHeight="1" spans="1:51">
      <c r="A981" s="5" t="s">
        <v>464</v>
      </c>
      <c r="C981" s="5">
        <v>4</v>
      </c>
      <c r="D981" s="1" t="s">
        <v>220</v>
      </c>
      <c r="E981" s="1" t="s">
        <v>222</v>
      </c>
      <c r="L981" s="5">
        <f>IFERROR(VLOOKUP($D981&amp;$C981,生产方式定位!$A$2:$E$38,2,FALSE)+VLOOKUP($E981&amp;$C981,生产方式定位!$F$3:$J$38,2,FALSE),0)</f>
        <v>1850</v>
      </c>
      <c r="S981" s="5">
        <f>IFERROR(VLOOKUP($D981&amp;$C981,生产方式定位!$A$2:$E$38,3,FALSE)+VLOOKUP($E981&amp;$C981,生产方式定位!$F$3:$J$38,3,FALSE),0)</f>
        <v>120</v>
      </c>
      <c r="X981" s="5">
        <f>IFERROR(VLOOKUP($D981&amp;$C981,生产方式定位!$A$2:$E$38,5,FALSE)+VLOOKUP($E981&amp;$C981,生产方式定位!$F$3:$J$38,5,FALSE),"错误")</f>
        <v>2045</v>
      </c>
      <c r="Y981" s="27" t="str">
        <f t="shared" si="255"/>
        <v/>
      </c>
      <c r="Z981" s="50" t="str">
        <f t="shared" si="258"/>
        <v/>
      </c>
      <c r="AA981" s="50" t="str">
        <f t="shared" si="256"/>
        <v/>
      </c>
      <c r="AB981" s="28" t="str">
        <f t="shared" si="259"/>
        <v>11%</v>
      </c>
      <c r="AC981" s="1">
        <f t="shared" si="260"/>
        <v>75</v>
      </c>
      <c r="AD981" s="51">
        <f t="shared" si="257"/>
        <v>4</v>
      </c>
      <c r="AE981" t="str">
        <f t="shared" si="261"/>
        <v/>
      </c>
      <c r="AF981" t="str">
        <f t="shared" si="262"/>
        <v/>
      </c>
      <c r="AG981" t="str">
        <f t="shared" si="263"/>
        <v/>
      </c>
      <c r="AH981" t="str">
        <f t="shared" si="264"/>
        <v/>
      </c>
      <c r="AI981" t="str">
        <f t="shared" si="265"/>
        <v/>
      </c>
      <c r="AJ981" t="str">
        <f t="shared" si="266"/>
        <v/>
      </c>
      <c r="AK981" t="str">
        <f t="shared" si="267"/>
        <v/>
      </c>
      <c r="AL981" t="str">
        <f t="shared" si="268"/>
        <v/>
      </c>
      <c r="AN981" t="str">
        <f>IFERROR(ROUND(L981*(G981/$AW981)/VLOOKUP(F981,商品!$A$4:$D$67,4,FALSE),0),"")</f>
        <v/>
      </c>
      <c r="AO981" t="str">
        <f>IFERROR(ROUND(L981*(I981/$AW981)/VLOOKUP(H981,商品!$A$4:$D$67,4,FALSE),0),"")</f>
        <v/>
      </c>
      <c r="AP981" t="str">
        <f>IFERROR(ROUND(L981*(K981/$AW981)/VLOOKUP(J981,商品!$A$4:$D$67,4,FALSE),0),"")</f>
        <v/>
      </c>
      <c r="AQ981" t="str">
        <f>IFERROR(ROUND(S981*(N981/$AX981)/VLOOKUP(M981,职业!$A$3:$E$16,4,FALSE),0),"")</f>
        <v/>
      </c>
      <c r="AR981" t="str">
        <f>IFERROR(ROUND(S981*(P981/$AX981)/VLOOKUP(O981,职业!$A$3:$E$16,4,FALSE),0),"")</f>
        <v/>
      </c>
      <c r="AS981" t="str">
        <f>IFERROR(ROUND(S981*(R981/$AX981)/VLOOKUP(Q981,职业!$A$3:$E$16,4,FALSE),0),"")</f>
        <v/>
      </c>
      <c r="AT981" t="str">
        <f>IFERROR(ROUND(X981*(U981/$AY981)/VLOOKUP(T981,商品!$A$4:$D$67,4,FALSE),0),"")</f>
        <v/>
      </c>
      <c r="AU981" t="str">
        <f>IFERROR(ROUND(X981*(W981/$AY981)/VLOOKUP(V981,商品!$A$4:$D$67,4,FALSE),0),"")</f>
        <v/>
      </c>
      <c r="AW981">
        <f t="shared" si="269"/>
        <v>0</v>
      </c>
      <c r="AX981">
        <f t="shared" si="270"/>
        <v>0</v>
      </c>
      <c r="AY981">
        <f t="shared" si="271"/>
        <v>0</v>
      </c>
    </row>
    <row r="982" customHeight="1" spans="1:51">
      <c r="A982" s="5" t="s">
        <v>464</v>
      </c>
      <c r="C982" s="5">
        <v>5</v>
      </c>
      <c r="D982" s="1" t="s">
        <v>220</v>
      </c>
      <c r="E982" s="1" t="s">
        <v>222</v>
      </c>
      <c r="L982" s="5">
        <f>IFERROR(VLOOKUP($D982&amp;$C982,生产方式定位!$A$2:$E$38,2,FALSE)+VLOOKUP($E982&amp;$C982,生产方式定位!$F$3:$J$38,2,FALSE),0)</f>
        <v>2175</v>
      </c>
      <c r="S982" s="5">
        <f>IFERROR(VLOOKUP($D982&amp;$C982,生产方式定位!$A$2:$E$38,3,FALSE)+VLOOKUP($E982&amp;$C982,生产方式定位!$F$3:$J$38,3,FALSE),0)</f>
        <v>110</v>
      </c>
      <c r="X982" s="5">
        <f>IFERROR(VLOOKUP($D982&amp;$C982,生产方式定位!$A$2:$E$38,5,FALSE)+VLOOKUP($E982&amp;$C982,生产方式定位!$F$3:$J$38,5,FALSE),"错误")</f>
        <v>2373</v>
      </c>
      <c r="Y982" s="27" t="str">
        <f t="shared" si="255"/>
        <v/>
      </c>
      <c r="Z982" s="50" t="str">
        <f t="shared" si="258"/>
        <v/>
      </c>
      <c r="AA982" s="50" t="str">
        <f t="shared" si="256"/>
        <v/>
      </c>
      <c r="AB982" s="28" t="str">
        <f t="shared" si="259"/>
        <v>9%</v>
      </c>
      <c r="AC982" s="1">
        <f t="shared" si="260"/>
        <v>88</v>
      </c>
      <c r="AD982" s="51">
        <f t="shared" si="257"/>
        <v>5</v>
      </c>
      <c r="AE982" t="str">
        <f t="shared" si="261"/>
        <v/>
      </c>
      <c r="AF982" t="str">
        <f t="shared" si="262"/>
        <v/>
      </c>
      <c r="AG982" t="str">
        <f t="shared" si="263"/>
        <v/>
      </c>
      <c r="AH982" t="str">
        <f t="shared" si="264"/>
        <v/>
      </c>
      <c r="AI982" t="str">
        <f t="shared" si="265"/>
        <v/>
      </c>
      <c r="AJ982" t="str">
        <f t="shared" si="266"/>
        <v/>
      </c>
      <c r="AK982" t="str">
        <f t="shared" si="267"/>
        <v/>
      </c>
      <c r="AL982" t="str">
        <f t="shared" si="268"/>
        <v/>
      </c>
      <c r="AN982" t="str">
        <f>IFERROR(ROUND(L982*(G982/$AW982)/VLOOKUP(F982,商品!$A$4:$D$67,4,FALSE),0),"")</f>
        <v/>
      </c>
      <c r="AO982" t="str">
        <f>IFERROR(ROUND(L982*(I982/$AW982)/VLOOKUP(H982,商品!$A$4:$D$67,4,FALSE),0),"")</f>
        <v/>
      </c>
      <c r="AP982" t="str">
        <f>IFERROR(ROUND(L982*(K982/$AW982)/VLOOKUP(J982,商品!$A$4:$D$67,4,FALSE),0),"")</f>
        <v/>
      </c>
      <c r="AQ982" t="str">
        <f>IFERROR(ROUND(S982*(N982/$AX982)/VLOOKUP(M982,职业!$A$3:$E$16,4,FALSE),0),"")</f>
        <v/>
      </c>
      <c r="AR982" t="str">
        <f>IFERROR(ROUND(S982*(P982/$AX982)/VLOOKUP(O982,职业!$A$3:$E$16,4,FALSE),0),"")</f>
        <v/>
      </c>
      <c r="AS982" t="str">
        <f>IFERROR(ROUND(S982*(R982/$AX982)/VLOOKUP(Q982,职业!$A$3:$E$16,4,FALSE),0),"")</f>
        <v/>
      </c>
      <c r="AT982" t="str">
        <f>IFERROR(ROUND(X982*(U982/$AY982)/VLOOKUP(T982,商品!$A$4:$D$67,4,FALSE),0),"")</f>
        <v/>
      </c>
      <c r="AU982" t="str">
        <f>IFERROR(ROUND(X982*(W982/$AY982)/VLOOKUP(V982,商品!$A$4:$D$67,4,FALSE),0),"")</f>
        <v/>
      </c>
      <c r="AW982">
        <f t="shared" si="269"/>
        <v>0</v>
      </c>
      <c r="AX982">
        <f t="shared" si="270"/>
        <v>0</v>
      </c>
      <c r="AY982">
        <f t="shared" si="271"/>
        <v>0</v>
      </c>
    </row>
    <row r="983" customHeight="1" spans="1:51">
      <c r="A983" s="18" t="s">
        <v>465</v>
      </c>
      <c r="C983" s="18">
        <v>1</v>
      </c>
      <c r="D983" s="1" t="s">
        <v>220</v>
      </c>
      <c r="E983" s="1" t="s">
        <v>224</v>
      </c>
      <c r="L983" s="18">
        <f>IFERROR(VLOOKUP($D983&amp;$C983,生产方式定位!$A$2:$E$38,2,FALSE)+VLOOKUP($E983&amp;$C983,生产方式定位!$F$3:$J$38,2,FALSE),0)</f>
        <v>500</v>
      </c>
      <c r="S983" s="18">
        <f>IFERROR(VLOOKUP($D983&amp;$C983,生产方式定位!$A$2:$E$38,3,FALSE)+VLOOKUP($E983&amp;$C983,生产方式定位!$F$3:$J$38,3,FALSE),0)</f>
        <v>150</v>
      </c>
      <c r="X983" s="18">
        <f>IFERROR(VLOOKUP($D983&amp;$C983,生产方式定位!$A$2:$E$38,5,FALSE)+VLOOKUP($E983&amp;$C983,生产方式定位!$F$3:$J$38,5,FALSE),"错误")</f>
        <v>715</v>
      </c>
      <c r="Y983" s="27" t="str">
        <f t="shared" si="255"/>
        <v/>
      </c>
      <c r="Z983" s="50" t="str">
        <f t="shared" si="258"/>
        <v/>
      </c>
      <c r="AA983" s="50" t="str">
        <f t="shared" si="256"/>
        <v/>
      </c>
      <c r="AB983" s="28" t="str">
        <f t="shared" si="259"/>
        <v>43%</v>
      </c>
      <c r="AC983" s="1">
        <f t="shared" si="260"/>
        <v>65</v>
      </c>
      <c r="AD983" s="52">
        <f t="shared" si="257"/>
        <v>1</v>
      </c>
      <c r="AE983" t="str">
        <f t="shared" si="261"/>
        <v/>
      </c>
      <c r="AF983" t="str">
        <f t="shared" si="262"/>
        <v/>
      </c>
      <c r="AG983" t="str">
        <f t="shared" si="263"/>
        <v/>
      </c>
      <c r="AH983" t="str">
        <f t="shared" si="264"/>
        <v/>
      </c>
      <c r="AI983" t="str">
        <f t="shared" si="265"/>
        <v/>
      </c>
      <c r="AJ983" t="str">
        <f t="shared" si="266"/>
        <v/>
      </c>
      <c r="AK983" t="str">
        <f t="shared" si="267"/>
        <v/>
      </c>
      <c r="AL983" t="str">
        <f t="shared" si="268"/>
        <v/>
      </c>
      <c r="AN983" t="str">
        <f>IFERROR(ROUND(L983*(G983/$AW983)/VLOOKUP(F983,商品!$A$4:$D$67,4,FALSE),0),"")</f>
        <v/>
      </c>
      <c r="AO983" t="str">
        <f>IFERROR(ROUND(L983*(I983/$AW983)/VLOOKUP(H983,商品!$A$4:$D$67,4,FALSE),0),"")</f>
        <v/>
      </c>
      <c r="AP983" t="str">
        <f>IFERROR(ROUND(L983*(K983/$AW983)/VLOOKUP(J983,商品!$A$4:$D$67,4,FALSE),0),"")</f>
        <v/>
      </c>
      <c r="AQ983" t="str">
        <f>IFERROR(ROUND(S983*(N983/$AX983)/VLOOKUP(M983,职业!$A$3:$E$16,4,FALSE),0),"")</f>
        <v/>
      </c>
      <c r="AR983" t="str">
        <f>IFERROR(ROUND(S983*(P983/$AX983)/VLOOKUP(O983,职业!$A$3:$E$16,4,FALSE),0),"")</f>
        <v/>
      </c>
      <c r="AS983" t="str">
        <f>IFERROR(ROUND(S983*(R983/$AX983)/VLOOKUP(Q983,职业!$A$3:$E$16,4,FALSE),0),"")</f>
        <v/>
      </c>
      <c r="AT983" t="str">
        <f>IFERROR(ROUND(X983*(U983/$AY983)/VLOOKUP(T983,商品!$A$4:$D$67,4,FALSE),0),"")</f>
        <v/>
      </c>
      <c r="AU983" t="str">
        <f>IFERROR(ROUND(X983*(W983/$AY983)/VLOOKUP(V983,商品!$A$4:$D$67,4,FALSE),0),"")</f>
        <v/>
      </c>
      <c r="AW983">
        <f t="shared" si="269"/>
        <v>0</v>
      </c>
      <c r="AX983">
        <f t="shared" si="270"/>
        <v>0</v>
      </c>
      <c r="AY983">
        <f t="shared" si="271"/>
        <v>0</v>
      </c>
    </row>
    <row r="984" customHeight="1" spans="1:51">
      <c r="A984" s="18" t="s">
        <v>465</v>
      </c>
      <c r="C984" s="18">
        <v>2</v>
      </c>
      <c r="D984" s="1" t="s">
        <v>220</v>
      </c>
      <c r="E984" s="1" t="s">
        <v>224</v>
      </c>
      <c r="L984" s="18">
        <f>IFERROR(VLOOKUP($D984&amp;$C984,生产方式定位!$A$2:$E$38,2,FALSE)+VLOOKUP($E984&amp;$C984,生产方式定位!$F$3:$J$38,2,FALSE),0)</f>
        <v>1200</v>
      </c>
      <c r="S984" s="18">
        <f>IFERROR(VLOOKUP($D984&amp;$C984,生产方式定位!$A$2:$E$38,3,FALSE)+VLOOKUP($E984&amp;$C984,生产方式定位!$F$3:$J$38,3,FALSE),0)</f>
        <v>100</v>
      </c>
      <c r="X984" s="18">
        <f>IFERROR(VLOOKUP($D984&amp;$C984,生产方式定位!$A$2:$E$38,5,FALSE)+VLOOKUP($E984&amp;$C984,生产方式定位!$F$3:$J$38,5,FALSE),"错误")</f>
        <v>1346</v>
      </c>
      <c r="Y984" s="27" t="str">
        <f t="shared" si="255"/>
        <v/>
      </c>
      <c r="Z984" s="50" t="str">
        <f t="shared" si="258"/>
        <v/>
      </c>
      <c r="AA984" s="50" t="str">
        <f t="shared" si="256"/>
        <v/>
      </c>
      <c r="AB984" s="28" t="str">
        <f t="shared" si="259"/>
        <v>12%</v>
      </c>
      <c r="AC984" s="1">
        <f t="shared" si="260"/>
        <v>46</v>
      </c>
      <c r="AD984" s="52">
        <f t="shared" si="257"/>
        <v>2</v>
      </c>
      <c r="AE984" t="str">
        <f t="shared" si="261"/>
        <v/>
      </c>
      <c r="AF984" t="str">
        <f t="shared" si="262"/>
        <v/>
      </c>
      <c r="AG984" t="str">
        <f t="shared" si="263"/>
        <v/>
      </c>
      <c r="AH984" t="str">
        <f t="shared" si="264"/>
        <v/>
      </c>
      <c r="AI984" t="str">
        <f t="shared" si="265"/>
        <v/>
      </c>
      <c r="AJ984" t="str">
        <f t="shared" si="266"/>
        <v/>
      </c>
      <c r="AK984" t="str">
        <f t="shared" si="267"/>
        <v/>
      </c>
      <c r="AL984" t="str">
        <f t="shared" si="268"/>
        <v/>
      </c>
      <c r="AN984" t="str">
        <f>IFERROR(ROUND(L984*(G984/$AW984)/VLOOKUP(F984,商品!$A$4:$D$67,4,FALSE),0),"")</f>
        <v/>
      </c>
      <c r="AO984" t="str">
        <f>IFERROR(ROUND(L984*(I984/$AW984)/VLOOKUP(H984,商品!$A$4:$D$67,4,FALSE),0),"")</f>
        <v/>
      </c>
      <c r="AP984" t="str">
        <f>IFERROR(ROUND(L984*(K984/$AW984)/VLOOKUP(J984,商品!$A$4:$D$67,4,FALSE),0),"")</f>
        <v/>
      </c>
      <c r="AQ984" t="str">
        <f>IFERROR(ROUND(S984*(N984/$AX984)/VLOOKUP(M984,职业!$A$3:$E$16,4,FALSE),0),"")</f>
        <v/>
      </c>
      <c r="AR984" t="str">
        <f>IFERROR(ROUND(S984*(P984/$AX984)/VLOOKUP(O984,职业!$A$3:$E$16,4,FALSE),0),"")</f>
        <v/>
      </c>
      <c r="AS984" t="str">
        <f>IFERROR(ROUND(S984*(R984/$AX984)/VLOOKUP(Q984,职业!$A$3:$E$16,4,FALSE),0),"")</f>
        <v/>
      </c>
      <c r="AT984" t="str">
        <f>IFERROR(ROUND(X984*(U984/$AY984)/VLOOKUP(T984,商品!$A$4:$D$67,4,FALSE),0),"")</f>
        <v/>
      </c>
      <c r="AU984" t="str">
        <f>IFERROR(ROUND(X984*(W984/$AY984)/VLOOKUP(V984,商品!$A$4:$D$67,4,FALSE),0),"")</f>
        <v/>
      </c>
      <c r="AW984">
        <f t="shared" si="269"/>
        <v>0</v>
      </c>
      <c r="AX984">
        <f t="shared" si="270"/>
        <v>0</v>
      </c>
      <c r="AY984">
        <f t="shared" si="271"/>
        <v>0</v>
      </c>
    </row>
    <row r="985" customHeight="1" spans="1:51">
      <c r="A985" s="18" t="s">
        <v>465</v>
      </c>
      <c r="C985" s="18">
        <v>3</v>
      </c>
      <c r="D985" s="1" t="s">
        <v>220</v>
      </c>
      <c r="E985" s="1" t="s">
        <v>224</v>
      </c>
      <c r="L985" s="18">
        <f>IFERROR(VLOOKUP($D985&amp;$C985,生产方式定位!$A$2:$E$38,2,FALSE)+VLOOKUP($E985&amp;$C985,生产方式定位!$F$3:$J$38,2,FALSE),0)</f>
        <v>1900</v>
      </c>
      <c r="S985" s="18">
        <f>IFERROR(VLOOKUP($D985&amp;$C985,生产方式定位!$A$2:$E$38,3,FALSE)+VLOOKUP($E985&amp;$C985,生产方式定位!$F$3:$J$38,3,FALSE),0)</f>
        <v>70</v>
      </c>
      <c r="X985" s="18">
        <f>IFERROR(VLOOKUP($D985&amp;$C985,生产方式定位!$A$2:$E$38,5,FALSE)+VLOOKUP($E985&amp;$C985,生产方式定位!$F$3:$J$38,5,FALSE),"错误")</f>
        <v>2064</v>
      </c>
      <c r="Y985" s="27" t="str">
        <f t="shared" si="255"/>
        <v/>
      </c>
      <c r="Z985" s="50" t="str">
        <f t="shared" si="258"/>
        <v/>
      </c>
      <c r="AA985" s="50" t="str">
        <f t="shared" si="256"/>
        <v/>
      </c>
      <c r="AB985" s="28" t="str">
        <f t="shared" si="259"/>
        <v>9%</v>
      </c>
      <c r="AC985" s="1">
        <f t="shared" si="260"/>
        <v>94</v>
      </c>
      <c r="AD985" s="52">
        <f t="shared" si="257"/>
        <v>3</v>
      </c>
      <c r="AE985" t="str">
        <f t="shared" si="261"/>
        <v/>
      </c>
      <c r="AF985" t="str">
        <f t="shared" si="262"/>
        <v/>
      </c>
      <c r="AG985" t="str">
        <f t="shared" si="263"/>
        <v/>
      </c>
      <c r="AH985" t="str">
        <f t="shared" si="264"/>
        <v/>
      </c>
      <c r="AI985" t="str">
        <f t="shared" si="265"/>
        <v/>
      </c>
      <c r="AJ985" t="str">
        <f t="shared" si="266"/>
        <v/>
      </c>
      <c r="AK985" t="str">
        <f t="shared" si="267"/>
        <v/>
      </c>
      <c r="AL985" t="str">
        <f t="shared" si="268"/>
        <v/>
      </c>
      <c r="AN985" t="str">
        <f>IFERROR(ROUND(L985*(G985/$AW985)/VLOOKUP(F985,商品!$A$4:$D$67,4,FALSE),0),"")</f>
        <v/>
      </c>
      <c r="AO985" t="str">
        <f>IFERROR(ROUND(L985*(I985/$AW985)/VLOOKUP(H985,商品!$A$4:$D$67,4,FALSE),0),"")</f>
        <v/>
      </c>
      <c r="AP985" t="str">
        <f>IFERROR(ROUND(L985*(K985/$AW985)/VLOOKUP(J985,商品!$A$4:$D$67,4,FALSE),0),"")</f>
        <v/>
      </c>
      <c r="AQ985" t="str">
        <f>IFERROR(ROUND(S985*(N985/$AX985)/VLOOKUP(M985,职业!$A$3:$E$16,4,FALSE),0),"")</f>
        <v/>
      </c>
      <c r="AR985" t="str">
        <f>IFERROR(ROUND(S985*(P985/$AX985)/VLOOKUP(O985,职业!$A$3:$E$16,4,FALSE),0),"")</f>
        <v/>
      </c>
      <c r="AS985" t="str">
        <f>IFERROR(ROUND(S985*(R985/$AX985)/VLOOKUP(Q985,职业!$A$3:$E$16,4,FALSE),0),"")</f>
        <v/>
      </c>
      <c r="AT985" t="str">
        <f>IFERROR(ROUND(X985*(U985/$AY985)/VLOOKUP(T985,商品!$A$4:$D$67,4,FALSE),0),"")</f>
        <v/>
      </c>
      <c r="AU985" t="str">
        <f>IFERROR(ROUND(X985*(W985/$AY985)/VLOOKUP(V985,商品!$A$4:$D$67,4,FALSE),0),"")</f>
        <v/>
      </c>
      <c r="AW985">
        <f t="shared" si="269"/>
        <v>0</v>
      </c>
      <c r="AX985">
        <f t="shared" si="270"/>
        <v>0</v>
      </c>
      <c r="AY985">
        <f t="shared" si="271"/>
        <v>0</v>
      </c>
    </row>
    <row r="986" customHeight="1" spans="1:51">
      <c r="A986" s="18" t="s">
        <v>465</v>
      </c>
      <c r="C986" s="18">
        <v>4</v>
      </c>
      <c r="D986" s="1" t="s">
        <v>220</v>
      </c>
      <c r="E986" s="1" t="s">
        <v>224</v>
      </c>
      <c r="L986" s="18">
        <f>IFERROR(VLOOKUP($D986&amp;$C986,生产方式定位!$A$2:$E$38,2,FALSE)+VLOOKUP($E986&amp;$C986,生产方式定位!$F$3:$J$38,2,FALSE),0)</f>
        <v>2600</v>
      </c>
      <c r="S986" s="18">
        <f>IFERROR(VLOOKUP($D986&amp;$C986,生产方式定位!$A$2:$E$38,3,FALSE)+VLOOKUP($E986&amp;$C986,生产方式定位!$F$3:$J$38,3,FALSE),0)</f>
        <v>40</v>
      </c>
      <c r="X986" s="18">
        <f>IFERROR(VLOOKUP($D986&amp;$C986,生产方式定位!$A$2:$E$38,5,FALSE)+VLOOKUP($E986&amp;$C986,生产方式定位!$F$3:$J$38,5,FALSE),"错误")</f>
        <v>2782</v>
      </c>
      <c r="Y986" s="27" t="str">
        <f t="shared" si="255"/>
        <v/>
      </c>
      <c r="Z986" s="50" t="str">
        <f t="shared" si="258"/>
        <v/>
      </c>
      <c r="AA986" s="50" t="str">
        <f t="shared" si="256"/>
        <v/>
      </c>
      <c r="AB986" s="28" t="str">
        <f t="shared" si="259"/>
        <v>7%</v>
      </c>
      <c r="AC986" s="1">
        <f t="shared" si="260"/>
        <v>142</v>
      </c>
      <c r="AD986" s="52">
        <f t="shared" si="257"/>
        <v>4</v>
      </c>
      <c r="AE986" t="str">
        <f t="shared" si="261"/>
        <v/>
      </c>
      <c r="AF986" t="str">
        <f t="shared" si="262"/>
        <v/>
      </c>
      <c r="AG986" t="str">
        <f t="shared" si="263"/>
        <v/>
      </c>
      <c r="AH986" t="str">
        <f t="shared" si="264"/>
        <v/>
      </c>
      <c r="AI986" t="str">
        <f t="shared" si="265"/>
        <v/>
      </c>
      <c r="AJ986" t="str">
        <f t="shared" si="266"/>
        <v/>
      </c>
      <c r="AK986" t="str">
        <f t="shared" si="267"/>
        <v/>
      </c>
      <c r="AL986" t="str">
        <f t="shared" si="268"/>
        <v/>
      </c>
      <c r="AN986" t="str">
        <f>IFERROR(ROUND(L986*(G986/$AW986)/VLOOKUP(F986,商品!$A$4:$D$67,4,FALSE),0),"")</f>
        <v/>
      </c>
      <c r="AO986" t="str">
        <f>IFERROR(ROUND(L986*(I986/$AW986)/VLOOKUP(H986,商品!$A$4:$D$67,4,FALSE),0),"")</f>
        <v/>
      </c>
      <c r="AP986" t="str">
        <f>IFERROR(ROUND(L986*(K986/$AW986)/VLOOKUP(J986,商品!$A$4:$D$67,4,FALSE),0),"")</f>
        <v/>
      </c>
      <c r="AQ986" t="str">
        <f>IFERROR(ROUND(S986*(N986/$AX986)/VLOOKUP(M986,职业!$A$3:$E$16,4,FALSE),0),"")</f>
        <v/>
      </c>
      <c r="AR986" t="str">
        <f>IFERROR(ROUND(S986*(P986/$AX986)/VLOOKUP(O986,职业!$A$3:$E$16,4,FALSE),0),"")</f>
        <v/>
      </c>
      <c r="AS986" t="str">
        <f>IFERROR(ROUND(S986*(R986/$AX986)/VLOOKUP(Q986,职业!$A$3:$E$16,4,FALSE),0),"")</f>
        <v/>
      </c>
      <c r="AT986" t="str">
        <f>IFERROR(ROUND(X986*(U986/$AY986)/VLOOKUP(T986,商品!$A$4:$D$67,4,FALSE),0),"")</f>
        <v/>
      </c>
      <c r="AU986" t="str">
        <f>IFERROR(ROUND(X986*(W986/$AY986)/VLOOKUP(V986,商品!$A$4:$D$67,4,FALSE),0),"")</f>
        <v/>
      </c>
      <c r="AW986">
        <f t="shared" si="269"/>
        <v>0</v>
      </c>
      <c r="AX986">
        <f t="shared" si="270"/>
        <v>0</v>
      </c>
      <c r="AY986">
        <f t="shared" si="271"/>
        <v>0</v>
      </c>
    </row>
    <row r="987" customHeight="1" spans="1:51">
      <c r="A987" s="18" t="s">
        <v>465</v>
      </c>
      <c r="C987" s="18">
        <v>5</v>
      </c>
      <c r="D987" s="1" t="s">
        <v>220</v>
      </c>
      <c r="E987" s="1" t="s">
        <v>224</v>
      </c>
      <c r="L987" s="18">
        <f>IFERROR(VLOOKUP($D987&amp;$C987,生产方式定位!$A$2:$E$38,2,FALSE)+VLOOKUP($E987&amp;$C987,生产方式定位!$F$3:$J$38,2,FALSE),0)</f>
        <v>3300</v>
      </c>
      <c r="S987" s="18">
        <f>IFERROR(VLOOKUP($D987&amp;$C987,生产方式定位!$A$2:$E$38,3,FALSE)+VLOOKUP($E987&amp;$C987,生产方式定位!$F$3:$J$38,3,FALSE),0)</f>
        <v>10</v>
      </c>
      <c r="X987" s="18">
        <f>IFERROR(VLOOKUP($D987&amp;$C987,生产方式定位!$A$2:$E$38,5,FALSE)+VLOOKUP($E987&amp;$C987,生产方式定位!$F$3:$J$38,5,FALSE),"错误")</f>
        <v>3500</v>
      </c>
      <c r="Y987" s="27" t="str">
        <f t="shared" si="255"/>
        <v/>
      </c>
      <c r="Z987" s="50" t="str">
        <f t="shared" si="258"/>
        <v/>
      </c>
      <c r="AA987" s="50" t="str">
        <f t="shared" si="256"/>
        <v/>
      </c>
      <c r="AB987" s="28" t="str">
        <f t="shared" si="259"/>
        <v>6%</v>
      </c>
      <c r="AC987" s="1">
        <f t="shared" si="260"/>
        <v>190</v>
      </c>
      <c r="AD987" s="52">
        <f t="shared" si="257"/>
        <v>5</v>
      </c>
      <c r="AE987" t="str">
        <f t="shared" si="261"/>
        <v/>
      </c>
      <c r="AF987" t="str">
        <f t="shared" si="262"/>
        <v/>
      </c>
      <c r="AG987" t="str">
        <f t="shared" si="263"/>
        <v/>
      </c>
      <c r="AH987" t="str">
        <f t="shared" si="264"/>
        <v/>
      </c>
      <c r="AI987" t="str">
        <f t="shared" si="265"/>
        <v/>
      </c>
      <c r="AJ987" t="str">
        <f t="shared" si="266"/>
        <v/>
      </c>
      <c r="AK987" t="str">
        <f t="shared" si="267"/>
        <v/>
      </c>
      <c r="AL987" t="str">
        <f t="shared" si="268"/>
        <v/>
      </c>
      <c r="AN987" t="str">
        <f>IFERROR(ROUND(L987*(G987/$AW987)/VLOOKUP(F987,商品!$A$4:$D$67,4,FALSE),0),"")</f>
        <v/>
      </c>
      <c r="AO987" t="str">
        <f>IFERROR(ROUND(L987*(I987/$AW987)/VLOOKUP(H987,商品!$A$4:$D$67,4,FALSE),0),"")</f>
        <v/>
      </c>
      <c r="AP987" t="str">
        <f>IFERROR(ROUND(L987*(K987/$AW987)/VLOOKUP(J987,商品!$A$4:$D$67,4,FALSE),0),"")</f>
        <v/>
      </c>
      <c r="AQ987" t="str">
        <f>IFERROR(ROUND(S987*(N987/$AX987)/VLOOKUP(M987,职业!$A$3:$E$16,4,FALSE),0),"")</f>
        <v/>
      </c>
      <c r="AR987" t="str">
        <f>IFERROR(ROUND(S987*(P987/$AX987)/VLOOKUP(O987,职业!$A$3:$E$16,4,FALSE),0),"")</f>
        <v/>
      </c>
      <c r="AS987" t="str">
        <f>IFERROR(ROUND(S987*(R987/$AX987)/VLOOKUP(Q987,职业!$A$3:$E$16,4,FALSE),0),"")</f>
        <v/>
      </c>
      <c r="AT987" t="str">
        <f>IFERROR(ROUND(X987*(U987/$AY987)/VLOOKUP(T987,商品!$A$4:$D$67,4,FALSE),0),"")</f>
        <v/>
      </c>
      <c r="AU987" t="str">
        <f>IFERROR(ROUND(X987*(W987/$AY987)/VLOOKUP(V987,商品!$A$4:$D$67,4,FALSE),0),"")</f>
        <v/>
      </c>
      <c r="AW987">
        <f t="shared" si="269"/>
        <v>0</v>
      </c>
      <c r="AX987">
        <f t="shared" si="270"/>
        <v>0</v>
      </c>
      <c r="AY987">
        <f t="shared" si="271"/>
        <v>0</v>
      </c>
    </row>
    <row r="988" customHeight="1" spans="1:51">
      <c r="A988" s="5" t="s">
        <v>465</v>
      </c>
      <c r="C988" s="5">
        <v>1</v>
      </c>
      <c r="D988" s="1" t="s">
        <v>220</v>
      </c>
      <c r="E988" s="1" t="s">
        <v>224</v>
      </c>
      <c r="L988" s="5">
        <f>IFERROR(VLOOKUP($D988&amp;$C988,生产方式定位!$A$2:$E$38,2,FALSE)+VLOOKUP($E988&amp;$C988,生产方式定位!$F$3:$J$38,2,FALSE),0)</f>
        <v>500</v>
      </c>
      <c r="S988" s="5">
        <f>IFERROR(VLOOKUP($D988&amp;$C988,生产方式定位!$A$2:$E$38,3,FALSE)+VLOOKUP($E988&amp;$C988,生产方式定位!$F$3:$J$38,3,FALSE),0)</f>
        <v>150</v>
      </c>
      <c r="X988" s="5">
        <f>IFERROR(VLOOKUP($D988&amp;$C988,生产方式定位!$A$2:$E$38,5,FALSE)+VLOOKUP($E988&amp;$C988,生产方式定位!$F$3:$J$38,5,FALSE),"错误")</f>
        <v>715</v>
      </c>
      <c r="Y988" s="27" t="str">
        <f t="shared" si="255"/>
        <v/>
      </c>
      <c r="Z988" s="50" t="str">
        <f t="shared" si="258"/>
        <v/>
      </c>
      <c r="AA988" s="50" t="str">
        <f t="shared" si="256"/>
        <v/>
      </c>
      <c r="AB988" s="28" t="str">
        <f t="shared" si="259"/>
        <v>43%</v>
      </c>
      <c r="AC988" s="1">
        <f t="shared" si="260"/>
        <v>65</v>
      </c>
      <c r="AD988" s="51">
        <f t="shared" si="257"/>
        <v>1</v>
      </c>
      <c r="AE988" t="str">
        <f t="shared" si="261"/>
        <v/>
      </c>
      <c r="AF988" t="str">
        <f t="shared" si="262"/>
        <v/>
      </c>
      <c r="AG988" t="str">
        <f t="shared" si="263"/>
        <v/>
      </c>
      <c r="AH988" t="str">
        <f t="shared" si="264"/>
        <v/>
      </c>
      <c r="AI988" t="str">
        <f t="shared" si="265"/>
        <v/>
      </c>
      <c r="AJ988" t="str">
        <f t="shared" si="266"/>
        <v/>
      </c>
      <c r="AK988" t="str">
        <f t="shared" si="267"/>
        <v/>
      </c>
      <c r="AL988" t="str">
        <f t="shared" si="268"/>
        <v/>
      </c>
      <c r="AN988" t="str">
        <f>IFERROR(ROUND(L988*(G988/$AW988)/VLOOKUP(F988,商品!$A$4:$D$67,4,FALSE),0),"")</f>
        <v/>
      </c>
      <c r="AO988" t="str">
        <f>IFERROR(ROUND(L988*(I988/$AW988)/VLOOKUP(H988,商品!$A$4:$D$67,4,FALSE),0),"")</f>
        <v/>
      </c>
      <c r="AP988" t="str">
        <f>IFERROR(ROUND(L988*(K988/$AW988)/VLOOKUP(J988,商品!$A$4:$D$67,4,FALSE),0),"")</f>
        <v/>
      </c>
      <c r="AQ988" t="str">
        <f>IFERROR(ROUND(S988*(N988/$AX988)/VLOOKUP(M988,职业!$A$3:$E$16,4,FALSE),0),"")</f>
        <v/>
      </c>
      <c r="AR988" t="str">
        <f>IFERROR(ROUND(S988*(P988/$AX988)/VLOOKUP(O988,职业!$A$3:$E$16,4,FALSE),0),"")</f>
        <v/>
      </c>
      <c r="AS988" t="str">
        <f>IFERROR(ROUND(S988*(R988/$AX988)/VLOOKUP(Q988,职业!$A$3:$E$16,4,FALSE),0),"")</f>
        <v/>
      </c>
      <c r="AT988" t="str">
        <f>IFERROR(ROUND(X988*(U988/$AY988)/VLOOKUP(T988,商品!$A$4:$D$67,4,FALSE),0),"")</f>
        <v/>
      </c>
      <c r="AU988" t="str">
        <f>IFERROR(ROUND(X988*(W988/$AY988)/VLOOKUP(V988,商品!$A$4:$D$67,4,FALSE),0),"")</f>
        <v/>
      </c>
      <c r="AW988">
        <f t="shared" si="269"/>
        <v>0</v>
      </c>
      <c r="AX988">
        <f t="shared" si="270"/>
        <v>0</v>
      </c>
      <c r="AY988">
        <f t="shared" si="271"/>
        <v>0</v>
      </c>
    </row>
    <row r="989" customHeight="1" spans="1:51">
      <c r="A989" s="5" t="s">
        <v>465</v>
      </c>
      <c r="C989" s="5">
        <v>2</v>
      </c>
      <c r="D989" s="1" t="s">
        <v>220</v>
      </c>
      <c r="E989" s="1" t="s">
        <v>224</v>
      </c>
      <c r="L989" s="5">
        <f>IFERROR(VLOOKUP($D989&amp;$C989,生产方式定位!$A$2:$E$38,2,FALSE)+VLOOKUP($E989&amp;$C989,生产方式定位!$F$3:$J$38,2,FALSE),0)</f>
        <v>1200</v>
      </c>
      <c r="S989" s="5">
        <f>IFERROR(VLOOKUP($D989&amp;$C989,生产方式定位!$A$2:$E$38,3,FALSE)+VLOOKUP($E989&amp;$C989,生产方式定位!$F$3:$J$38,3,FALSE),0)</f>
        <v>100</v>
      </c>
      <c r="X989" s="5">
        <f>IFERROR(VLOOKUP($D989&amp;$C989,生产方式定位!$A$2:$E$38,5,FALSE)+VLOOKUP($E989&amp;$C989,生产方式定位!$F$3:$J$38,5,FALSE),"错误")</f>
        <v>1346</v>
      </c>
      <c r="Y989" s="27" t="str">
        <f t="shared" si="255"/>
        <v/>
      </c>
      <c r="Z989" s="50" t="str">
        <f t="shared" si="258"/>
        <v/>
      </c>
      <c r="AA989" s="50" t="str">
        <f t="shared" si="256"/>
        <v/>
      </c>
      <c r="AB989" s="28" t="str">
        <f t="shared" si="259"/>
        <v>12%</v>
      </c>
      <c r="AC989" s="1">
        <f t="shared" si="260"/>
        <v>46</v>
      </c>
      <c r="AD989" s="51">
        <f t="shared" si="257"/>
        <v>2</v>
      </c>
      <c r="AE989" t="str">
        <f t="shared" si="261"/>
        <v/>
      </c>
      <c r="AF989" t="str">
        <f t="shared" si="262"/>
        <v/>
      </c>
      <c r="AG989" t="str">
        <f t="shared" si="263"/>
        <v/>
      </c>
      <c r="AH989" t="str">
        <f t="shared" si="264"/>
        <v/>
      </c>
      <c r="AI989" t="str">
        <f t="shared" si="265"/>
        <v/>
      </c>
      <c r="AJ989" t="str">
        <f t="shared" si="266"/>
        <v/>
      </c>
      <c r="AK989" t="str">
        <f t="shared" si="267"/>
        <v/>
      </c>
      <c r="AL989" t="str">
        <f t="shared" si="268"/>
        <v/>
      </c>
      <c r="AN989" t="str">
        <f>IFERROR(ROUND(L989*(G989/$AW989)/VLOOKUP(F989,商品!$A$4:$D$67,4,FALSE),0),"")</f>
        <v/>
      </c>
      <c r="AO989" t="str">
        <f>IFERROR(ROUND(L989*(I989/$AW989)/VLOOKUP(H989,商品!$A$4:$D$67,4,FALSE),0),"")</f>
        <v/>
      </c>
      <c r="AP989" t="str">
        <f>IFERROR(ROUND(L989*(K989/$AW989)/VLOOKUP(J989,商品!$A$4:$D$67,4,FALSE),0),"")</f>
        <v/>
      </c>
      <c r="AQ989" t="str">
        <f>IFERROR(ROUND(S989*(N989/$AX989)/VLOOKUP(M989,职业!$A$3:$E$16,4,FALSE),0),"")</f>
        <v/>
      </c>
      <c r="AR989" t="str">
        <f>IFERROR(ROUND(S989*(P989/$AX989)/VLOOKUP(O989,职业!$A$3:$E$16,4,FALSE),0),"")</f>
        <v/>
      </c>
      <c r="AS989" t="str">
        <f>IFERROR(ROUND(S989*(R989/$AX989)/VLOOKUP(Q989,职业!$A$3:$E$16,4,FALSE),0),"")</f>
        <v/>
      </c>
      <c r="AT989" t="str">
        <f>IFERROR(ROUND(X989*(U989/$AY989)/VLOOKUP(T989,商品!$A$4:$D$67,4,FALSE),0),"")</f>
        <v/>
      </c>
      <c r="AU989" t="str">
        <f>IFERROR(ROUND(X989*(W989/$AY989)/VLOOKUP(V989,商品!$A$4:$D$67,4,FALSE),0),"")</f>
        <v/>
      </c>
      <c r="AW989">
        <f t="shared" si="269"/>
        <v>0</v>
      </c>
      <c r="AX989">
        <f t="shared" si="270"/>
        <v>0</v>
      </c>
      <c r="AY989">
        <f t="shared" si="271"/>
        <v>0</v>
      </c>
    </row>
    <row r="990" customHeight="1" spans="1:51">
      <c r="A990" s="5" t="s">
        <v>465</v>
      </c>
      <c r="C990" s="5">
        <v>3</v>
      </c>
      <c r="D990" s="1" t="s">
        <v>220</v>
      </c>
      <c r="E990" s="1" t="s">
        <v>224</v>
      </c>
      <c r="L990" s="5">
        <f>IFERROR(VLOOKUP($D990&amp;$C990,生产方式定位!$A$2:$E$38,2,FALSE)+VLOOKUP($E990&amp;$C990,生产方式定位!$F$3:$J$38,2,FALSE),0)</f>
        <v>1900</v>
      </c>
      <c r="S990" s="5">
        <f>IFERROR(VLOOKUP($D990&amp;$C990,生产方式定位!$A$2:$E$38,3,FALSE)+VLOOKUP($E990&amp;$C990,生产方式定位!$F$3:$J$38,3,FALSE),0)</f>
        <v>70</v>
      </c>
      <c r="X990" s="5">
        <f>IFERROR(VLOOKUP($D990&amp;$C990,生产方式定位!$A$2:$E$38,5,FALSE)+VLOOKUP($E990&amp;$C990,生产方式定位!$F$3:$J$38,5,FALSE),"错误")</f>
        <v>2064</v>
      </c>
      <c r="Y990" s="27" t="str">
        <f t="shared" si="255"/>
        <v/>
      </c>
      <c r="Z990" s="50" t="str">
        <f t="shared" si="258"/>
        <v/>
      </c>
      <c r="AA990" s="50" t="str">
        <f t="shared" si="256"/>
        <v/>
      </c>
      <c r="AB990" s="28" t="str">
        <f t="shared" si="259"/>
        <v>9%</v>
      </c>
      <c r="AC990" s="1">
        <f t="shared" si="260"/>
        <v>94</v>
      </c>
      <c r="AD990" s="51">
        <f t="shared" si="257"/>
        <v>3</v>
      </c>
      <c r="AE990" t="str">
        <f t="shared" si="261"/>
        <v/>
      </c>
      <c r="AF990" t="str">
        <f t="shared" si="262"/>
        <v/>
      </c>
      <c r="AG990" t="str">
        <f t="shared" si="263"/>
        <v/>
      </c>
      <c r="AH990" t="str">
        <f t="shared" si="264"/>
        <v/>
      </c>
      <c r="AI990" t="str">
        <f t="shared" si="265"/>
        <v/>
      </c>
      <c r="AJ990" t="str">
        <f t="shared" si="266"/>
        <v/>
      </c>
      <c r="AK990" t="str">
        <f t="shared" si="267"/>
        <v/>
      </c>
      <c r="AL990" t="str">
        <f t="shared" si="268"/>
        <v/>
      </c>
      <c r="AN990" t="str">
        <f>IFERROR(ROUND(L990*(G990/$AW990)/VLOOKUP(F990,商品!$A$4:$D$67,4,FALSE),0),"")</f>
        <v/>
      </c>
      <c r="AO990" t="str">
        <f>IFERROR(ROUND(L990*(I990/$AW990)/VLOOKUP(H990,商品!$A$4:$D$67,4,FALSE),0),"")</f>
        <v/>
      </c>
      <c r="AP990" t="str">
        <f>IFERROR(ROUND(L990*(K990/$AW990)/VLOOKUP(J990,商品!$A$4:$D$67,4,FALSE),0),"")</f>
        <v/>
      </c>
      <c r="AQ990" t="str">
        <f>IFERROR(ROUND(S990*(N990/$AX990)/VLOOKUP(M990,职业!$A$3:$E$16,4,FALSE),0),"")</f>
        <v/>
      </c>
      <c r="AR990" t="str">
        <f>IFERROR(ROUND(S990*(P990/$AX990)/VLOOKUP(O990,职业!$A$3:$E$16,4,FALSE),0),"")</f>
        <v/>
      </c>
      <c r="AS990" t="str">
        <f>IFERROR(ROUND(S990*(R990/$AX990)/VLOOKUP(Q990,职业!$A$3:$E$16,4,FALSE),0),"")</f>
        <v/>
      </c>
      <c r="AT990" t="str">
        <f>IFERROR(ROUND(X990*(U990/$AY990)/VLOOKUP(T990,商品!$A$4:$D$67,4,FALSE),0),"")</f>
        <v/>
      </c>
      <c r="AU990" t="str">
        <f>IFERROR(ROUND(X990*(W990/$AY990)/VLOOKUP(V990,商品!$A$4:$D$67,4,FALSE),0),"")</f>
        <v/>
      </c>
      <c r="AW990">
        <f t="shared" si="269"/>
        <v>0</v>
      </c>
      <c r="AX990">
        <f t="shared" si="270"/>
        <v>0</v>
      </c>
      <c r="AY990">
        <f t="shared" si="271"/>
        <v>0</v>
      </c>
    </row>
    <row r="991" customHeight="1" spans="1:51">
      <c r="A991" s="5" t="s">
        <v>465</v>
      </c>
      <c r="C991" s="5">
        <v>4</v>
      </c>
      <c r="D991" s="1" t="s">
        <v>220</v>
      </c>
      <c r="E991" s="1" t="s">
        <v>224</v>
      </c>
      <c r="L991" s="5">
        <f>IFERROR(VLOOKUP($D991&amp;$C991,生产方式定位!$A$2:$E$38,2,FALSE)+VLOOKUP($E991&amp;$C991,生产方式定位!$F$3:$J$38,2,FALSE),0)</f>
        <v>2600</v>
      </c>
      <c r="S991" s="5">
        <f>IFERROR(VLOOKUP($D991&amp;$C991,生产方式定位!$A$2:$E$38,3,FALSE)+VLOOKUP($E991&amp;$C991,生产方式定位!$F$3:$J$38,3,FALSE),0)</f>
        <v>40</v>
      </c>
      <c r="X991" s="5">
        <f>IFERROR(VLOOKUP($D991&amp;$C991,生产方式定位!$A$2:$E$38,5,FALSE)+VLOOKUP($E991&amp;$C991,生产方式定位!$F$3:$J$38,5,FALSE),"错误")</f>
        <v>2782</v>
      </c>
      <c r="Y991" s="27" t="str">
        <f t="shared" si="255"/>
        <v/>
      </c>
      <c r="Z991" s="50" t="str">
        <f t="shared" si="258"/>
        <v/>
      </c>
      <c r="AA991" s="50" t="str">
        <f t="shared" si="256"/>
        <v/>
      </c>
      <c r="AB991" s="28" t="str">
        <f t="shared" si="259"/>
        <v>7%</v>
      </c>
      <c r="AC991" s="1">
        <f t="shared" si="260"/>
        <v>142</v>
      </c>
      <c r="AD991" s="51">
        <f t="shared" si="257"/>
        <v>4</v>
      </c>
      <c r="AE991" t="str">
        <f t="shared" si="261"/>
        <v/>
      </c>
      <c r="AF991" t="str">
        <f t="shared" si="262"/>
        <v/>
      </c>
      <c r="AG991" t="str">
        <f t="shared" si="263"/>
        <v/>
      </c>
      <c r="AH991" t="str">
        <f t="shared" si="264"/>
        <v/>
      </c>
      <c r="AI991" t="str">
        <f t="shared" si="265"/>
        <v/>
      </c>
      <c r="AJ991" t="str">
        <f t="shared" si="266"/>
        <v/>
      </c>
      <c r="AK991" t="str">
        <f t="shared" si="267"/>
        <v/>
      </c>
      <c r="AL991" t="str">
        <f t="shared" si="268"/>
        <v/>
      </c>
      <c r="AN991" t="str">
        <f>IFERROR(ROUND(L991*(G991/$AW991)/VLOOKUP(F991,商品!$A$4:$D$67,4,FALSE),0),"")</f>
        <v/>
      </c>
      <c r="AO991" t="str">
        <f>IFERROR(ROUND(L991*(I991/$AW991)/VLOOKUP(H991,商品!$A$4:$D$67,4,FALSE),0),"")</f>
        <v/>
      </c>
      <c r="AP991" t="str">
        <f>IFERROR(ROUND(L991*(K991/$AW991)/VLOOKUP(J991,商品!$A$4:$D$67,4,FALSE),0),"")</f>
        <v/>
      </c>
      <c r="AQ991" t="str">
        <f>IFERROR(ROUND(S991*(N991/$AX991)/VLOOKUP(M991,职业!$A$3:$E$16,4,FALSE),0),"")</f>
        <v/>
      </c>
      <c r="AR991" t="str">
        <f>IFERROR(ROUND(S991*(P991/$AX991)/VLOOKUP(O991,职业!$A$3:$E$16,4,FALSE),0),"")</f>
        <v/>
      </c>
      <c r="AS991" t="str">
        <f>IFERROR(ROUND(S991*(R991/$AX991)/VLOOKUP(Q991,职业!$A$3:$E$16,4,FALSE),0),"")</f>
        <v/>
      </c>
      <c r="AT991" t="str">
        <f>IFERROR(ROUND(X991*(U991/$AY991)/VLOOKUP(T991,商品!$A$4:$D$67,4,FALSE),0),"")</f>
        <v/>
      </c>
      <c r="AU991" t="str">
        <f>IFERROR(ROUND(X991*(W991/$AY991)/VLOOKUP(V991,商品!$A$4:$D$67,4,FALSE),0),"")</f>
        <v/>
      </c>
      <c r="AW991">
        <f t="shared" si="269"/>
        <v>0</v>
      </c>
      <c r="AX991">
        <f t="shared" si="270"/>
        <v>0</v>
      </c>
      <c r="AY991">
        <f t="shared" si="271"/>
        <v>0</v>
      </c>
    </row>
    <row r="992" customHeight="1" spans="1:51">
      <c r="A992" s="5" t="s">
        <v>465</v>
      </c>
      <c r="C992" s="5">
        <v>5</v>
      </c>
      <c r="D992" s="1" t="s">
        <v>220</v>
      </c>
      <c r="E992" s="1" t="s">
        <v>224</v>
      </c>
      <c r="L992" s="5">
        <f>IFERROR(VLOOKUP($D992&amp;$C992,生产方式定位!$A$2:$E$38,2,FALSE)+VLOOKUP($E992&amp;$C992,生产方式定位!$F$3:$J$38,2,FALSE),0)</f>
        <v>3300</v>
      </c>
      <c r="S992" s="5">
        <f>IFERROR(VLOOKUP($D992&amp;$C992,生产方式定位!$A$2:$E$38,3,FALSE)+VLOOKUP($E992&amp;$C992,生产方式定位!$F$3:$J$38,3,FALSE),0)</f>
        <v>10</v>
      </c>
      <c r="X992" s="5">
        <f>IFERROR(VLOOKUP($D992&amp;$C992,生产方式定位!$A$2:$E$38,5,FALSE)+VLOOKUP($E992&amp;$C992,生产方式定位!$F$3:$J$38,5,FALSE),"错误")</f>
        <v>3500</v>
      </c>
      <c r="Y992" s="27" t="str">
        <f t="shared" si="255"/>
        <v/>
      </c>
      <c r="Z992" s="50" t="str">
        <f t="shared" si="258"/>
        <v/>
      </c>
      <c r="AA992" s="50" t="str">
        <f t="shared" si="256"/>
        <v/>
      </c>
      <c r="AB992" s="28" t="str">
        <f t="shared" si="259"/>
        <v>6%</v>
      </c>
      <c r="AC992" s="1">
        <f t="shared" si="260"/>
        <v>190</v>
      </c>
      <c r="AD992" s="51">
        <f t="shared" si="257"/>
        <v>5</v>
      </c>
      <c r="AE992" t="str">
        <f t="shared" si="261"/>
        <v/>
      </c>
      <c r="AF992" t="str">
        <f t="shared" si="262"/>
        <v/>
      </c>
      <c r="AG992" t="str">
        <f t="shared" si="263"/>
        <v/>
      </c>
      <c r="AH992" t="str">
        <f t="shared" si="264"/>
        <v/>
      </c>
      <c r="AI992" t="str">
        <f t="shared" si="265"/>
        <v/>
      </c>
      <c r="AJ992" t="str">
        <f t="shared" si="266"/>
        <v/>
      </c>
      <c r="AK992" t="str">
        <f t="shared" si="267"/>
        <v/>
      </c>
      <c r="AL992" t="str">
        <f t="shared" si="268"/>
        <v/>
      </c>
      <c r="AN992" t="str">
        <f>IFERROR(ROUND(L992*(G992/$AW992)/VLOOKUP(F992,商品!$A$4:$D$67,4,FALSE),0),"")</f>
        <v/>
      </c>
      <c r="AO992" t="str">
        <f>IFERROR(ROUND(L992*(I992/$AW992)/VLOOKUP(H992,商品!$A$4:$D$67,4,FALSE),0),"")</f>
        <v/>
      </c>
      <c r="AP992" t="str">
        <f>IFERROR(ROUND(L992*(K992/$AW992)/VLOOKUP(J992,商品!$A$4:$D$67,4,FALSE),0),"")</f>
        <v/>
      </c>
      <c r="AQ992" t="str">
        <f>IFERROR(ROUND(S992*(N992/$AX992)/VLOOKUP(M992,职业!$A$3:$E$16,4,FALSE),0),"")</f>
        <v/>
      </c>
      <c r="AR992" t="str">
        <f>IFERROR(ROUND(S992*(P992/$AX992)/VLOOKUP(O992,职业!$A$3:$E$16,4,FALSE),0),"")</f>
        <v/>
      </c>
      <c r="AS992" t="str">
        <f>IFERROR(ROUND(S992*(R992/$AX992)/VLOOKUP(Q992,职业!$A$3:$E$16,4,FALSE),0),"")</f>
        <v/>
      </c>
      <c r="AT992" t="str">
        <f>IFERROR(ROUND(X992*(U992/$AY992)/VLOOKUP(T992,商品!$A$4:$D$67,4,FALSE),0),"")</f>
        <v/>
      </c>
      <c r="AU992" t="str">
        <f>IFERROR(ROUND(X992*(W992/$AY992)/VLOOKUP(V992,商品!$A$4:$D$67,4,FALSE),0),"")</f>
        <v/>
      </c>
      <c r="AW992">
        <f t="shared" si="269"/>
        <v>0</v>
      </c>
      <c r="AX992">
        <f t="shared" si="270"/>
        <v>0</v>
      </c>
      <c r="AY992">
        <f t="shared" si="271"/>
        <v>0</v>
      </c>
    </row>
    <row r="993" customHeight="1" spans="1:51">
      <c r="A993" s="18" t="s">
        <v>466</v>
      </c>
      <c r="C993" s="18">
        <v>1</v>
      </c>
      <c r="D993" s="1" t="s">
        <v>291</v>
      </c>
      <c r="E993" s="1" t="s">
        <v>225</v>
      </c>
      <c r="L993" s="18">
        <f>IFERROR(VLOOKUP($D993&amp;$C993,生产方式定位!$A$2:$E$38,2,FALSE)+VLOOKUP($E993&amp;$C993,生产方式定位!$F$3:$J$38,2,FALSE),0)</f>
        <v>0</v>
      </c>
      <c r="S993" s="18">
        <f>IFERROR(VLOOKUP($D993&amp;$C993,生产方式定位!$A$2:$E$38,3,FALSE)+VLOOKUP($E993&amp;$C993,生产方式定位!$F$3:$J$38,3,FALSE),0)</f>
        <v>100</v>
      </c>
      <c r="X993" s="18">
        <f>IFERROR(VLOOKUP($D993&amp;$C993,生产方式定位!$A$2:$E$38,5,FALSE)+VLOOKUP($E993&amp;$C993,生产方式定位!$F$3:$J$38,5,FALSE),"错误")</f>
        <v>100</v>
      </c>
      <c r="Y993" s="27" t="str">
        <f t="shared" si="255"/>
        <v/>
      </c>
      <c r="Z993" s="50" t="str">
        <f t="shared" si="258"/>
        <v/>
      </c>
      <c r="AA993" s="50" t="str">
        <f t="shared" si="256"/>
        <v/>
      </c>
      <c r="AB993" s="28" t="str">
        <f t="shared" si="259"/>
        <v/>
      </c>
      <c r="AC993" s="1" t="str">
        <f t="shared" si="260"/>
        <v/>
      </c>
      <c r="AD993" s="52">
        <f t="shared" si="257"/>
        <v>1</v>
      </c>
      <c r="AE993" t="str">
        <f t="shared" si="261"/>
        <v/>
      </c>
      <c r="AF993" t="str">
        <f t="shared" si="262"/>
        <v/>
      </c>
      <c r="AG993" t="str">
        <f t="shared" si="263"/>
        <v/>
      </c>
      <c r="AH993" t="str">
        <f t="shared" si="264"/>
        <v/>
      </c>
      <c r="AI993" t="str">
        <f t="shared" si="265"/>
        <v/>
      </c>
      <c r="AJ993" t="str">
        <f t="shared" si="266"/>
        <v/>
      </c>
      <c r="AK993" t="str">
        <f t="shared" si="267"/>
        <v/>
      </c>
      <c r="AL993" t="str">
        <f t="shared" si="268"/>
        <v/>
      </c>
      <c r="AN993" t="str">
        <f>IFERROR(ROUND(L993*(G993/$AW993)/VLOOKUP(F993,商品!$A$4:$D$67,4,FALSE),0),"")</f>
        <v/>
      </c>
      <c r="AO993" t="str">
        <f>IFERROR(ROUND(L993*(I993/$AW993)/VLOOKUP(H993,商品!$A$4:$D$67,4,FALSE),0),"")</f>
        <v/>
      </c>
      <c r="AP993" t="str">
        <f>IFERROR(ROUND(L993*(K993/$AW993)/VLOOKUP(J993,商品!$A$4:$D$67,4,FALSE),0),"")</f>
        <v/>
      </c>
      <c r="AQ993" t="str">
        <f>IFERROR(ROUND(S993*(N993/$AX993)/VLOOKUP(M993,职业!$A$3:$E$16,4,FALSE),0),"")</f>
        <v/>
      </c>
      <c r="AR993" t="str">
        <f>IFERROR(ROUND(S993*(P993/$AX993)/VLOOKUP(O993,职业!$A$3:$E$16,4,FALSE),0),"")</f>
        <v/>
      </c>
      <c r="AS993" t="str">
        <f>IFERROR(ROUND(S993*(R993/$AX993)/VLOOKUP(Q993,职业!$A$3:$E$16,4,FALSE),0),"")</f>
        <v/>
      </c>
      <c r="AT993" t="str">
        <f>IFERROR(ROUND(X993*(U993/$AY993)/VLOOKUP(T993,商品!$A$4:$D$67,4,FALSE),0),"")</f>
        <v/>
      </c>
      <c r="AU993" t="str">
        <f>IFERROR(ROUND(X993*(W993/$AY993)/VLOOKUP(V993,商品!$A$4:$D$67,4,FALSE),0),"")</f>
        <v/>
      </c>
      <c r="AW993">
        <f t="shared" si="269"/>
        <v>0</v>
      </c>
      <c r="AX993">
        <f t="shared" si="270"/>
        <v>0</v>
      </c>
      <c r="AY993">
        <f t="shared" si="271"/>
        <v>0</v>
      </c>
    </row>
    <row r="994" customHeight="1" spans="1:51">
      <c r="A994" s="18" t="s">
        <v>466</v>
      </c>
      <c r="C994" s="18">
        <v>2</v>
      </c>
      <c r="D994" s="1" t="s">
        <v>291</v>
      </c>
      <c r="E994" s="1" t="s">
        <v>225</v>
      </c>
      <c r="L994" s="18">
        <f>IFERROR(VLOOKUP($D994&amp;$C994,生产方式定位!$A$2:$E$38,2,FALSE)+VLOOKUP($E994&amp;$C994,生产方式定位!$F$3:$J$38,2,FALSE),0)</f>
        <v>0</v>
      </c>
      <c r="S994" s="18">
        <f>IFERROR(VLOOKUP($D994&amp;$C994,生产方式定位!$A$2:$E$38,3,FALSE)+VLOOKUP($E994&amp;$C994,生产方式定位!$F$3:$J$38,3,FALSE),0)</f>
        <v>100</v>
      </c>
      <c r="X994" s="18">
        <f>IFERROR(VLOOKUP($D994&amp;$C994,生产方式定位!$A$2:$E$38,5,FALSE)+VLOOKUP($E994&amp;$C994,生产方式定位!$F$3:$J$38,5,FALSE),"错误")</f>
        <v>100</v>
      </c>
      <c r="Y994" s="27" t="str">
        <f t="shared" si="255"/>
        <v/>
      </c>
      <c r="Z994" s="50" t="str">
        <f t="shared" si="258"/>
        <v/>
      </c>
      <c r="AA994" s="50" t="str">
        <f t="shared" si="256"/>
        <v/>
      </c>
      <c r="AB994" s="28" t="str">
        <f t="shared" si="259"/>
        <v/>
      </c>
      <c r="AC994" s="1" t="str">
        <f t="shared" si="260"/>
        <v/>
      </c>
      <c r="AD994" s="52">
        <f t="shared" si="257"/>
        <v>2</v>
      </c>
      <c r="AE994" t="str">
        <f t="shared" si="261"/>
        <v/>
      </c>
      <c r="AF994" t="str">
        <f t="shared" si="262"/>
        <v/>
      </c>
      <c r="AG994" t="str">
        <f t="shared" si="263"/>
        <v/>
      </c>
      <c r="AH994" t="str">
        <f t="shared" si="264"/>
        <v/>
      </c>
      <c r="AI994" t="str">
        <f t="shared" si="265"/>
        <v/>
      </c>
      <c r="AJ994" t="str">
        <f t="shared" si="266"/>
        <v/>
      </c>
      <c r="AK994" t="str">
        <f t="shared" si="267"/>
        <v/>
      </c>
      <c r="AL994" t="str">
        <f t="shared" si="268"/>
        <v/>
      </c>
      <c r="AN994" t="str">
        <f>IFERROR(ROUND(L994*(G994/$AW994)/VLOOKUP(F994,商品!$A$4:$D$67,4,FALSE),0),"")</f>
        <v/>
      </c>
      <c r="AO994" t="str">
        <f>IFERROR(ROUND(L994*(I994/$AW994)/VLOOKUP(H994,商品!$A$4:$D$67,4,FALSE),0),"")</f>
        <v/>
      </c>
      <c r="AP994" t="str">
        <f>IFERROR(ROUND(L994*(K994/$AW994)/VLOOKUP(J994,商品!$A$4:$D$67,4,FALSE),0),"")</f>
        <v/>
      </c>
      <c r="AQ994" t="str">
        <f>IFERROR(ROUND(S994*(N994/$AX994)/VLOOKUP(M994,职业!$A$3:$E$16,4,FALSE),0),"")</f>
        <v/>
      </c>
      <c r="AR994" t="str">
        <f>IFERROR(ROUND(S994*(P994/$AX994)/VLOOKUP(O994,职业!$A$3:$E$16,4,FALSE),0),"")</f>
        <v/>
      </c>
      <c r="AS994" t="str">
        <f>IFERROR(ROUND(S994*(R994/$AX994)/VLOOKUP(Q994,职业!$A$3:$E$16,4,FALSE),0),"")</f>
        <v/>
      </c>
      <c r="AT994" t="str">
        <f>IFERROR(ROUND(X994*(U994/$AY994)/VLOOKUP(T994,商品!$A$4:$D$67,4,FALSE),0),"")</f>
        <v/>
      </c>
      <c r="AU994" t="str">
        <f>IFERROR(ROUND(X994*(W994/$AY994)/VLOOKUP(V994,商品!$A$4:$D$67,4,FALSE),0),"")</f>
        <v/>
      </c>
      <c r="AW994">
        <f t="shared" si="269"/>
        <v>0</v>
      </c>
      <c r="AX994">
        <f t="shared" si="270"/>
        <v>0</v>
      </c>
      <c r="AY994">
        <f t="shared" si="271"/>
        <v>0</v>
      </c>
    </row>
    <row r="995" customHeight="1" spans="1:51">
      <c r="A995" s="18" t="s">
        <v>466</v>
      </c>
      <c r="C995" s="18">
        <v>3</v>
      </c>
      <c r="D995" s="1" t="s">
        <v>291</v>
      </c>
      <c r="E995" s="1" t="s">
        <v>225</v>
      </c>
      <c r="L995" s="18">
        <f>IFERROR(VLOOKUP($D995&amp;$C995,生产方式定位!$A$2:$E$38,2,FALSE)+VLOOKUP($E995&amp;$C995,生产方式定位!$F$3:$J$38,2,FALSE),0)</f>
        <v>0</v>
      </c>
      <c r="S995" s="18">
        <f>IFERROR(VLOOKUP($D995&amp;$C995,生产方式定位!$A$2:$E$38,3,FALSE)+VLOOKUP($E995&amp;$C995,生产方式定位!$F$3:$J$38,3,FALSE),0)</f>
        <v>100</v>
      </c>
      <c r="X995" s="18">
        <f>IFERROR(VLOOKUP($D995&amp;$C995,生产方式定位!$A$2:$E$38,5,FALSE)+VLOOKUP($E995&amp;$C995,生产方式定位!$F$3:$J$38,5,FALSE),"错误")</f>
        <v>100</v>
      </c>
      <c r="Y995" s="27" t="str">
        <f t="shared" si="255"/>
        <v/>
      </c>
      <c r="Z995" s="50" t="str">
        <f t="shared" si="258"/>
        <v/>
      </c>
      <c r="AA995" s="50" t="str">
        <f t="shared" si="256"/>
        <v/>
      </c>
      <c r="AB995" s="28" t="str">
        <f t="shared" si="259"/>
        <v/>
      </c>
      <c r="AC995" s="1" t="str">
        <f t="shared" si="260"/>
        <v/>
      </c>
      <c r="AD995" s="52">
        <f t="shared" si="257"/>
        <v>3</v>
      </c>
      <c r="AE995" t="str">
        <f t="shared" si="261"/>
        <v/>
      </c>
      <c r="AF995" t="str">
        <f t="shared" si="262"/>
        <v/>
      </c>
      <c r="AG995" t="str">
        <f t="shared" si="263"/>
        <v/>
      </c>
      <c r="AH995" t="str">
        <f t="shared" si="264"/>
        <v/>
      </c>
      <c r="AI995" t="str">
        <f t="shared" si="265"/>
        <v/>
      </c>
      <c r="AJ995" t="str">
        <f t="shared" si="266"/>
        <v/>
      </c>
      <c r="AK995" t="str">
        <f t="shared" si="267"/>
        <v/>
      </c>
      <c r="AL995" t="str">
        <f t="shared" si="268"/>
        <v/>
      </c>
      <c r="AN995" t="str">
        <f>IFERROR(ROUND(L995*(G995/$AW995)/VLOOKUP(F995,商品!$A$4:$D$67,4,FALSE),0),"")</f>
        <v/>
      </c>
      <c r="AO995" t="str">
        <f>IFERROR(ROUND(L995*(I995/$AW995)/VLOOKUP(H995,商品!$A$4:$D$67,4,FALSE),0),"")</f>
        <v/>
      </c>
      <c r="AP995" t="str">
        <f>IFERROR(ROUND(L995*(K995/$AW995)/VLOOKUP(J995,商品!$A$4:$D$67,4,FALSE),0),"")</f>
        <v/>
      </c>
      <c r="AQ995" t="str">
        <f>IFERROR(ROUND(S995*(N995/$AX995)/VLOOKUP(M995,职业!$A$3:$E$16,4,FALSE),0),"")</f>
        <v/>
      </c>
      <c r="AR995" t="str">
        <f>IFERROR(ROUND(S995*(P995/$AX995)/VLOOKUP(O995,职业!$A$3:$E$16,4,FALSE),0),"")</f>
        <v/>
      </c>
      <c r="AS995" t="str">
        <f>IFERROR(ROUND(S995*(R995/$AX995)/VLOOKUP(Q995,职业!$A$3:$E$16,4,FALSE),0),"")</f>
        <v/>
      </c>
      <c r="AT995" t="str">
        <f>IFERROR(ROUND(X995*(U995/$AY995)/VLOOKUP(T995,商品!$A$4:$D$67,4,FALSE),0),"")</f>
        <v/>
      </c>
      <c r="AU995" t="str">
        <f>IFERROR(ROUND(X995*(W995/$AY995)/VLOOKUP(V995,商品!$A$4:$D$67,4,FALSE),0),"")</f>
        <v/>
      </c>
      <c r="AW995">
        <f t="shared" si="269"/>
        <v>0</v>
      </c>
      <c r="AX995">
        <f t="shared" si="270"/>
        <v>0</v>
      </c>
      <c r="AY995">
        <f t="shared" si="271"/>
        <v>0</v>
      </c>
    </row>
    <row r="996" customHeight="1" spans="1:51">
      <c r="A996" s="18" t="s">
        <v>466</v>
      </c>
      <c r="C996" s="18">
        <v>4</v>
      </c>
      <c r="D996" s="1" t="s">
        <v>291</v>
      </c>
      <c r="E996" s="1" t="s">
        <v>225</v>
      </c>
      <c r="L996" s="18">
        <f>IFERROR(VLOOKUP($D996&amp;$C996,生产方式定位!$A$2:$E$38,2,FALSE)+VLOOKUP($E996&amp;$C996,生产方式定位!$F$3:$J$38,2,FALSE),0)</f>
        <v>0</v>
      </c>
      <c r="S996" s="18">
        <f>IFERROR(VLOOKUP($D996&amp;$C996,生产方式定位!$A$2:$E$38,3,FALSE)+VLOOKUP($E996&amp;$C996,生产方式定位!$F$3:$J$38,3,FALSE),0)</f>
        <v>100</v>
      </c>
      <c r="X996" s="18">
        <f>IFERROR(VLOOKUP($D996&amp;$C996,生产方式定位!$A$2:$E$38,5,FALSE)+VLOOKUP($E996&amp;$C996,生产方式定位!$F$3:$J$38,5,FALSE),"错误")</f>
        <v>100</v>
      </c>
      <c r="Y996" s="27" t="str">
        <f t="shared" si="255"/>
        <v/>
      </c>
      <c r="Z996" s="50" t="str">
        <f t="shared" si="258"/>
        <v/>
      </c>
      <c r="AA996" s="50" t="str">
        <f t="shared" si="256"/>
        <v/>
      </c>
      <c r="AB996" s="28" t="str">
        <f t="shared" si="259"/>
        <v/>
      </c>
      <c r="AC996" s="1" t="str">
        <f t="shared" si="260"/>
        <v/>
      </c>
      <c r="AD996" s="52">
        <f t="shared" si="257"/>
        <v>4</v>
      </c>
      <c r="AE996" t="str">
        <f t="shared" si="261"/>
        <v/>
      </c>
      <c r="AF996" t="str">
        <f t="shared" si="262"/>
        <v/>
      </c>
      <c r="AG996" t="str">
        <f t="shared" si="263"/>
        <v/>
      </c>
      <c r="AH996" t="str">
        <f t="shared" si="264"/>
        <v/>
      </c>
      <c r="AI996" t="str">
        <f t="shared" si="265"/>
        <v/>
      </c>
      <c r="AJ996" t="str">
        <f t="shared" si="266"/>
        <v/>
      </c>
      <c r="AK996" t="str">
        <f t="shared" si="267"/>
        <v/>
      </c>
      <c r="AL996" t="str">
        <f t="shared" si="268"/>
        <v/>
      </c>
      <c r="AN996" t="str">
        <f>IFERROR(ROUND(L996*(G996/$AW996)/VLOOKUP(F996,商品!$A$4:$D$67,4,FALSE),0),"")</f>
        <v/>
      </c>
      <c r="AO996" t="str">
        <f>IFERROR(ROUND(L996*(I996/$AW996)/VLOOKUP(H996,商品!$A$4:$D$67,4,FALSE),0),"")</f>
        <v/>
      </c>
      <c r="AP996" t="str">
        <f>IFERROR(ROUND(L996*(K996/$AW996)/VLOOKUP(J996,商品!$A$4:$D$67,4,FALSE),0),"")</f>
        <v/>
      </c>
      <c r="AQ996" t="str">
        <f>IFERROR(ROUND(S996*(N996/$AX996)/VLOOKUP(M996,职业!$A$3:$E$16,4,FALSE),0),"")</f>
        <v/>
      </c>
      <c r="AR996" t="str">
        <f>IFERROR(ROUND(S996*(P996/$AX996)/VLOOKUP(O996,职业!$A$3:$E$16,4,FALSE),0),"")</f>
        <v/>
      </c>
      <c r="AS996" t="str">
        <f>IFERROR(ROUND(S996*(R996/$AX996)/VLOOKUP(Q996,职业!$A$3:$E$16,4,FALSE),0),"")</f>
        <v/>
      </c>
      <c r="AT996" t="str">
        <f>IFERROR(ROUND(X996*(U996/$AY996)/VLOOKUP(T996,商品!$A$4:$D$67,4,FALSE),0),"")</f>
        <v/>
      </c>
      <c r="AU996" t="str">
        <f>IFERROR(ROUND(X996*(W996/$AY996)/VLOOKUP(V996,商品!$A$4:$D$67,4,FALSE),0),"")</f>
        <v/>
      </c>
      <c r="AW996">
        <f t="shared" si="269"/>
        <v>0</v>
      </c>
      <c r="AX996">
        <f t="shared" si="270"/>
        <v>0</v>
      </c>
      <c r="AY996">
        <f t="shared" si="271"/>
        <v>0</v>
      </c>
    </row>
    <row r="997" customHeight="1" spans="1:51">
      <c r="A997" s="18" t="s">
        <v>466</v>
      </c>
      <c r="C997" s="18">
        <v>5</v>
      </c>
      <c r="D997" s="1" t="s">
        <v>291</v>
      </c>
      <c r="E997" s="1" t="s">
        <v>225</v>
      </c>
      <c r="L997" s="18">
        <f>IFERROR(VLOOKUP($D997&amp;$C997,生产方式定位!$A$2:$E$38,2,FALSE)+VLOOKUP($E997&amp;$C997,生产方式定位!$F$3:$J$38,2,FALSE),0)</f>
        <v>0</v>
      </c>
      <c r="S997" s="18">
        <f>IFERROR(VLOOKUP($D997&amp;$C997,生产方式定位!$A$2:$E$38,3,FALSE)+VLOOKUP($E997&amp;$C997,生产方式定位!$F$3:$J$38,3,FALSE),0)</f>
        <v>100</v>
      </c>
      <c r="X997" s="18">
        <f>IFERROR(VLOOKUP($D997&amp;$C997,生产方式定位!$A$2:$E$38,5,FALSE)+VLOOKUP($E997&amp;$C997,生产方式定位!$F$3:$J$38,5,FALSE),"错误")</f>
        <v>100</v>
      </c>
      <c r="Y997" s="27" t="str">
        <f t="shared" si="255"/>
        <v/>
      </c>
      <c r="Z997" s="50" t="str">
        <f t="shared" si="258"/>
        <v/>
      </c>
      <c r="AA997" s="50" t="str">
        <f t="shared" si="256"/>
        <v/>
      </c>
      <c r="AB997" s="28" t="str">
        <f t="shared" si="259"/>
        <v/>
      </c>
      <c r="AC997" s="1" t="str">
        <f t="shared" si="260"/>
        <v/>
      </c>
      <c r="AD997" s="52">
        <f t="shared" si="257"/>
        <v>5</v>
      </c>
      <c r="AE997" t="str">
        <f t="shared" si="261"/>
        <v/>
      </c>
      <c r="AF997" t="str">
        <f t="shared" si="262"/>
        <v/>
      </c>
      <c r="AG997" t="str">
        <f t="shared" si="263"/>
        <v/>
      </c>
      <c r="AH997" t="str">
        <f t="shared" si="264"/>
        <v/>
      </c>
      <c r="AI997" t="str">
        <f t="shared" si="265"/>
        <v/>
      </c>
      <c r="AJ997" t="str">
        <f t="shared" si="266"/>
        <v/>
      </c>
      <c r="AK997" t="str">
        <f t="shared" si="267"/>
        <v/>
      </c>
      <c r="AL997" t="str">
        <f t="shared" si="268"/>
        <v/>
      </c>
      <c r="AN997" t="str">
        <f>IFERROR(ROUND(L997*(G997/$AW997)/VLOOKUP(F997,商品!$A$4:$D$67,4,FALSE),0),"")</f>
        <v/>
      </c>
      <c r="AO997" t="str">
        <f>IFERROR(ROUND(L997*(I997/$AW997)/VLOOKUP(H997,商品!$A$4:$D$67,4,FALSE),0),"")</f>
        <v/>
      </c>
      <c r="AP997" t="str">
        <f>IFERROR(ROUND(L997*(K997/$AW997)/VLOOKUP(J997,商品!$A$4:$D$67,4,FALSE),0),"")</f>
        <v/>
      </c>
      <c r="AQ997" t="str">
        <f>IFERROR(ROUND(S997*(N997/$AX997)/VLOOKUP(M997,职业!$A$3:$E$16,4,FALSE),0),"")</f>
        <v/>
      </c>
      <c r="AR997" t="str">
        <f>IFERROR(ROUND(S997*(P997/$AX997)/VLOOKUP(O997,职业!$A$3:$E$16,4,FALSE),0),"")</f>
        <v/>
      </c>
      <c r="AS997" t="str">
        <f>IFERROR(ROUND(S997*(R997/$AX997)/VLOOKUP(Q997,职业!$A$3:$E$16,4,FALSE),0),"")</f>
        <v/>
      </c>
      <c r="AT997" t="str">
        <f>IFERROR(ROUND(X997*(U997/$AY997)/VLOOKUP(T997,商品!$A$4:$D$67,4,FALSE),0),"")</f>
        <v/>
      </c>
      <c r="AU997" t="str">
        <f>IFERROR(ROUND(X997*(W997/$AY997)/VLOOKUP(V997,商品!$A$4:$D$67,4,FALSE),0),"")</f>
        <v/>
      </c>
      <c r="AW997">
        <f t="shared" si="269"/>
        <v>0</v>
      </c>
      <c r="AX997">
        <f t="shared" si="270"/>
        <v>0</v>
      </c>
      <c r="AY997">
        <f t="shared" si="271"/>
        <v>0</v>
      </c>
    </row>
    <row r="998" customHeight="1" spans="1:51">
      <c r="A998" s="18" t="s">
        <v>466</v>
      </c>
      <c r="C998" s="18">
        <v>6</v>
      </c>
      <c r="D998" s="1" t="s">
        <v>291</v>
      </c>
      <c r="E998" s="1" t="s">
        <v>225</v>
      </c>
      <c r="L998" s="18">
        <f>IFERROR(VLOOKUP($D998&amp;$C998,生产方式定位!$A$2:$E$38,2,FALSE)+VLOOKUP($E998&amp;$C998,生产方式定位!$F$3:$J$38,2,FALSE),0)</f>
        <v>0</v>
      </c>
      <c r="S998" s="18">
        <f>IFERROR(VLOOKUP($D998&amp;$C998,生产方式定位!$A$2:$E$38,3,FALSE)+VLOOKUP($E998&amp;$C998,生产方式定位!$F$3:$J$38,3,FALSE),0)</f>
        <v>100</v>
      </c>
      <c r="X998" s="18">
        <f>IFERROR(VLOOKUP($D998&amp;$C998,生产方式定位!$A$2:$E$38,5,FALSE)+VLOOKUP($E998&amp;$C998,生产方式定位!$F$3:$J$38,5,FALSE),"错误")</f>
        <v>100</v>
      </c>
      <c r="Y998" s="27" t="str">
        <f t="shared" si="255"/>
        <v/>
      </c>
      <c r="Z998" s="50" t="str">
        <f t="shared" si="258"/>
        <v/>
      </c>
      <c r="AA998" s="50" t="str">
        <f t="shared" si="256"/>
        <v/>
      </c>
      <c r="AB998" s="28" t="str">
        <f t="shared" si="259"/>
        <v/>
      </c>
      <c r="AC998" s="1" t="str">
        <f t="shared" si="260"/>
        <v/>
      </c>
      <c r="AD998" s="52">
        <f t="shared" si="257"/>
        <v>6</v>
      </c>
      <c r="AE998" t="str">
        <f t="shared" si="261"/>
        <v/>
      </c>
      <c r="AF998" t="str">
        <f t="shared" si="262"/>
        <v/>
      </c>
      <c r="AG998" t="str">
        <f t="shared" si="263"/>
        <v/>
      </c>
      <c r="AH998" t="str">
        <f t="shared" si="264"/>
        <v/>
      </c>
      <c r="AI998" t="str">
        <f t="shared" si="265"/>
        <v/>
      </c>
      <c r="AJ998" t="str">
        <f t="shared" si="266"/>
        <v/>
      </c>
      <c r="AK998" t="str">
        <f t="shared" si="267"/>
        <v/>
      </c>
      <c r="AL998" t="str">
        <f t="shared" si="268"/>
        <v/>
      </c>
      <c r="AN998" t="str">
        <f>IFERROR(ROUND(L998*(G998/$AW998)/VLOOKUP(F998,商品!$A$4:$D$67,4,FALSE),0),"")</f>
        <v/>
      </c>
      <c r="AO998" t="str">
        <f>IFERROR(ROUND(L998*(I998/$AW998)/VLOOKUP(H998,商品!$A$4:$D$67,4,FALSE),0),"")</f>
        <v/>
      </c>
      <c r="AP998" t="str">
        <f>IFERROR(ROUND(L998*(K998/$AW998)/VLOOKUP(J998,商品!$A$4:$D$67,4,FALSE),0),"")</f>
        <v/>
      </c>
      <c r="AQ998" t="str">
        <f>IFERROR(ROUND(S998*(N998/$AX998)/VLOOKUP(M998,职业!$A$3:$E$16,4,FALSE),0),"")</f>
        <v/>
      </c>
      <c r="AR998" t="str">
        <f>IFERROR(ROUND(S998*(P998/$AX998)/VLOOKUP(O998,职业!$A$3:$E$16,4,FALSE),0),"")</f>
        <v/>
      </c>
      <c r="AS998" t="str">
        <f>IFERROR(ROUND(S998*(R998/$AX998)/VLOOKUP(Q998,职业!$A$3:$E$16,4,FALSE),0),"")</f>
        <v/>
      </c>
      <c r="AT998" t="str">
        <f>IFERROR(ROUND(X998*(U998/$AY998)/VLOOKUP(T998,商品!$A$4:$D$67,4,FALSE),0),"")</f>
        <v/>
      </c>
      <c r="AU998" t="str">
        <f>IFERROR(ROUND(X998*(W998/$AY998)/VLOOKUP(V998,商品!$A$4:$D$67,4,FALSE),0),"")</f>
        <v/>
      </c>
      <c r="AW998">
        <f t="shared" si="269"/>
        <v>0</v>
      </c>
      <c r="AX998">
        <f t="shared" si="270"/>
        <v>0</v>
      </c>
      <c r="AY998">
        <f t="shared" si="271"/>
        <v>0</v>
      </c>
    </row>
    <row r="999" customHeight="1" spans="1:51">
      <c r="A999" s="18" t="s">
        <v>466</v>
      </c>
      <c r="C999" s="18">
        <v>7</v>
      </c>
      <c r="D999" s="1" t="s">
        <v>291</v>
      </c>
      <c r="E999" s="1" t="s">
        <v>225</v>
      </c>
      <c r="L999" s="18">
        <f>IFERROR(VLOOKUP($D999&amp;$C999,生产方式定位!$A$2:$E$38,2,FALSE)+VLOOKUP($E999&amp;$C999,生产方式定位!$F$3:$J$38,2,FALSE),0)</f>
        <v>0</v>
      </c>
      <c r="S999" s="18">
        <f>IFERROR(VLOOKUP($D999&amp;$C999,生产方式定位!$A$2:$E$38,3,FALSE)+VLOOKUP($E999&amp;$C999,生产方式定位!$F$3:$J$38,3,FALSE),0)</f>
        <v>100</v>
      </c>
      <c r="X999" s="18">
        <f>IFERROR(VLOOKUP($D999&amp;$C999,生产方式定位!$A$2:$E$38,5,FALSE)+VLOOKUP($E999&amp;$C999,生产方式定位!$F$3:$J$38,5,FALSE),"错误")</f>
        <v>100</v>
      </c>
      <c r="Y999" s="27" t="str">
        <f t="shared" si="255"/>
        <v/>
      </c>
      <c r="Z999" s="50" t="str">
        <f t="shared" si="258"/>
        <v/>
      </c>
      <c r="AA999" s="50" t="str">
        <f t="shared" si="256"/>
        <v/>
      </c>
      <c r="AB999" s="28" t="str">
        <f t="shared" si="259"/>
        <v/>
      </c>
      <c r="AC999" s="1" t="str">
        <f t="shared" si="260"/>
        <v/>
      </c>
      <c r="AD999" s="52">
        <f t="shared" si="257"/>
        <v>7</v>
      </c>
      <c r="AE999" t="str">
        <f t="shared" si="261"/>
        <v/>
      </c>
      <c r="AF999" t="str">
        <f t="shared" si="262"/>
        <v/>
      </c>
      <c r="AG999" t="str">
        <f t="shared" si="263"/>
        <v/>
      </c>
      <c r="AH999" t="str">
        <f t="shared" si="264"/>
        <v/>
      </c>
      <c r="AI999" t="str">
        <f t="shared" si="265"/>
        <v/>
      </c>
      <c r="AJ999" t="str">
        <f t="shared" si="266"/>
        <v/>
      </c>
      <c r="AK999" t="str">
        <f t="shared" si="267"/>
        <v/>
      </c>
      <c r="AL999" t="str">
        <f t="shared" si="268"/>
        <v/>
      </c>
      <c r="AN999" t="str">
        <f>IFERROR(ROUND(L999*(G999/$AW999)/VLOOKUP(F999,商品!$A$4:$D$67,4,FALSE),0),"")</f>
        <v/>
      </c>
      <c r="AO999" t="str">
        <f>IFERROR(ROUND(L999*(I999/$AW999)/VLOOKUP(H999,商品!$A$4:$D$67,4,FALSE),0),"")</f>
        <v/>
      </c>
      <c r="AP999" t="str">
        <f>IFERROR(ROUND(L999*(K999/$AW999)/VLOOKUP(J999,商品!$A$4:$D$67,4,FALSE),0),"")</f>
        <v/>
      </c>
      <c r="AQ999" t="str">
        <f>IFERROR(ROUND(S999*(N999/$AX999)/VLOOKUP(M999,职业!$A$3:$E$16,4,FALSE),0),"")</f>
        <v/>
      </c>
      <c r="AR999" t="str">
        <f>IFERROR(ROUND(S999*(P999/$AX999)/VLOOKUP(O999,职业!$A$3:$E$16,4,FALSE),0),"")</f>
        <v/>
      </c>
      <c r="AS999" t="str">
        <f>IFERROR(ROUND(S999*(R999/$AX999)/VLOOKUP(Q999,职业!$A$3:$E$16,4,FALSE),0),"")</f>
        <v/>
      </c>
      <c r="AT999" t="str">
        <f>IFERROR(ROUND(X999*(U999/$AY999)/VLOOKUP(T999,商品!$A$4:$D$67,4,FALSE),0),"")</f>
        <v/>
      </c>
      <c r="AU999" t="str">
        <f>IFERROR(ROUND(X999*(W999/$AY999)/VLOOKUP(V999,商品!$A$4:$D$67,4,FALSE),0),"")</f>
        <v/>
      </c>
      <c r="AW999">
        <f t="shared" si="269"/>
        <v>0</v>
      </c>
      <c r="AX999">
        <f t="shared" si="270"/>
        <v>0</v>
      </c>
      <c r="AY999">
        <f t="shared" si="271"/>
        <v>0</v>
      </c>
    </row>
    <row r="1000" customHeight="1" spans="1:51">
      <c r="A1000" s="18" t="s">
        <v>466</v>
      </c>
      <c r="C1000" s="18">
        <v>8</v>
      </c>
      <c r="D1000" s="1" t="s">
        <v>291</v>
      </c>
      <c r="E1000" s="1" t="s">
        <v>225</v>
      </c>
      <c r="L1000" s="18">
        <f>IFERROR(VLOOKUP($D1000&amp;$C1000,生产方式定位!$A$2:$E$38,2,FALSE)+VLOOKUP($E1000&amp;$C1000,生产方式定位!$F$3:$J$38,2,FALSE),0)</f>
        <v>0</v>
      </c>
      <c r="S1000" s="18">
        <f>IFERROR(VLOOKUP($D1000&amp;$C1000,生产方式定位!$A$2:$E$38,3,FALSE)+VLOOKUP($E1000&amp;$C1000,生产方式定位!$F$3:$J$38,3,FALSE),0)</f>
        <v>100</v>
      </c>
      <c r="X1000" s="18">
        <f>IFERROR(VLOOKUP($D1000&amp;$C1000,生产方式定位!$A$2:$E$38,5,FALSE)+VLOOKUP($E1000&amp;$C1000,生产方式定位!$F$3:$J$38,5,FALSE),"错误")</f>
        <v>100</v>
      </c>
      <c r="Y1000" s="27" t="str">
        <f t="shared" si="255"/>
        <v/>
      </c>
      <c r="Z1000" s="50" t="str">
        <f t="shared" si="258"/>
        <v/>
      </c>
      <c r="AA1000" s="50" t="str">
        <f t="shared" si="256"/>
        <v/>
      </c>
      <c r="AB1000" s="28" t="str">
        <f t="shared" si="259"/>
        <v/>
      </c>
      <c r="AC1000" s="1" t="str">
        <f t="shared" si="260"/>
        <v/>
      </c>
      <c r="AD1000" s="52">
        <f t="shared" si="257"/>
        <v>8</v>
      </c>
      <c r="AE1000" t="str">
        <f t="shared" si="261"/>
        <v/>
      </c>
      <c r="AF1000" t="str">
        <f t="shared" si="262"/>
        <v/>
      </c>
      <c r="AG1000" t="str">
        <f t="shared" si="263"/>
        <v/>
      </c>
      <c r="AH1000" t="str">
        <f t="shared" si="264"/>
        <v/>
      </c>
      <c r="AI1000" t="str">
        <f t="shared" si="265"/>
        <v/>
      </c>
      <c r="AJ1000" t="str">
        <f t="shared" si="266"/>
        <v/>
      </c>
      <c r="AK1000" t="str">
        <f t="shared" si="267"/>
        <v/>
      </c>
      <c r="AL1000" t="str">
        <f t="shared" si="268"/>
        <v/>
      </c>
      <c r="AN1000" t="str">
        <f>IFERROR(ROUND(L1000*(G1000/$AW1000)/VLOOKUP(F1000,商品!$A$4:$D$67,4,FALSE),0),"")</f>
        <v/>
      </c>
      <c r="AO1000" t="str">
        <f>IFERROR(ROUND(L1000*(I1000/$AW1000)/VLOOKUP(H1000,商品!$A$4:$D$67,4,FALSE),0),"")</f>
        <v/>
      </c>
      <c r="AP1000" t="str">
        <f>IFERROR(ROUND(L1000*(K1000/$AW1000)/VLOOKUP(J1000,商品!$A$4:$D$67,4,FALSE),0),"")</f>
        <v/>
      </c>
      <c r="AQ1000" t="str">
        <f>IFERROR(ROUND(S1000*(N1000/$AX1000)/VLOOKUP(M1000,职业!$A$3:$E$16,4,FALSE),0),"")</f>
        <v/>
      </c>
      <c r="AR1000" t="str">
        <f>IFERROR(ROUND(S1000*(P1000/$AX1000)/VLOOKUP(O1000,职业!$A$3:$E$16,4,FALSE),0),"")</f>
        <v/>
      </c>
      <c r="AS1000" t="str">
        <f>IFERROR(ROUND(S1000*(R1000/$AX1000)/VLOOKUP(Q1000,职业!$A$3:$E$16,4,FALSE),0),"")</f>
        <v/>
      </c>
      <c r="AT1000" t="str">
        <f>IFERROR(ROUND(X1000*(U1000/$AY1000)/VLOOKUP(T1000,商品!$A$4:$D$67,4,FALSE),0),"")</f>
        <v/>
      </c>
      <c r="AU1000" t="str">
        <f>IFERROR(ROUND(X1000*(W1000/$AY1000)/VLOOKUP(V1000,商品!$A$4:$D$67,4,FALSE),0),"")</f>
        <v/>
      </c>
      <c r="AW1000">
        <f t="shared" si="269"/>
        <v>0</v>
      </c>
      <c r="AX1000">
        <f t="shared" si="270"/>
        <v>0</v>
      </c>
      <c r="AY1000">
        <f t="shared" si="271"/>
        <v>0</v>
      </c>
    </row>
    <row r="1001" customHeight="1" spans="1:51">
      <c r="A1001" s="5" t="s">
        <v>468</v>
      </c>
      <c r="C1001" s="5">
        <v>1</v>
      </c>
      <c r="D1001" s="1" t="s">
        <v>220</v>
      </c>
      <c r="E1001" s="1" t="s">
        <v>222</v>
      </c>
      <c r="L1001" s="5">
        <f>IFERROR(VLOOKUP($D1001&amp;$C1001,生产方式定位!$A$2:$E$38,2,FALSE)+VLOOKUP($E1001&amp;$C1001,生产方式定位!$F$3:$J$38,2,FALSE),0)</f>
        <v>500</v>
      </c>
      <c r="S1001" s="5">
        <f>IFERROR(VLOOKUP($D1001&amp;$C1001,生产方式定位!$A$2:$E$38,3,FALSE)+VLOOKUP($E1001&amp;$C1001,生产方式定位!$F$3:$J$38,3,FALSE),0)</f>
        <v>150</v>
      </c>
      <c r="X1001" s="5">
        <f>IFERROR(VLOOKUP($D1001&amp;$C1001,生产方式定位!$A$2:$E$38,5,FALSE)+VLOOKUP($E1001&amp;$C1001,生产方式定位!$F$3:$J$38,5,FALSE),"错误")</f>
        <v>715</v>
      </c>
      <c r="Y1001" s="27" t="str">
        <f t="shared" si="255"/>
        <v/>
      </c>
      <c r="Z1001" s="50" t="str">
        <f t="shared" si="258"/>
        <v/>
      </c>
      <c r="AA1001" s="50" t="str">
        <f t="shared" si="256"/>
        <v/>
      </c>
      <c r="AB1001" s="28" t="str">
        <f t="shared" si="259"/>
        <v>43%</v>
      </c>
      <c r="AC1001" s="1">
        <f t="shared" si="260"/>
        <v>65</v>
      </c>
      <c r="AD1001" s="51">
        <f t="shared" si="257"/>
        <v>1</v>
      </c>
      <c r="AE1001" t="str">
        <f t="shared" si="261"/>
        <v/>
      </c>
      <c r="AF1001" t="str">
        <f t="shared" si="262"/>
        <v/>
      </c>
      <c r="AG1001" t="str">
        <f t="shared" si="263"/>
        <v/>
      </c>
      <c r="AH1001" t="str">
        <f t="shared" si="264"/>
        <v/>
      </c>
      <c r="AI1001" t="str">
        <f t="shared" si="265"/>
        <v/>
      </c>
      <c r="AJ1001" t="str">
        <f t="shared" si="266"/>
        <v/>
      </c>
      <c r="AK1001" t="str">
        <f t="shared" si="267"/>
        <v/>
      </c>
      <c r="AL1001" t="str">
        <f t="shared" si="268"/>
        <v/>
      </c>
      <c r="AN1001" t="str">
        <f>IFERROR(ROUND(L1001*(G1001/$AW1001)/VLOOKUP(F1001,商品!$A$4:$D$67,4,FALSE),0),"")</f>
        <v/>
      </c>
      <c r="AO1001" t="str">
        <f>IFERROR(ROUND(L1001*(I1001/$AW1001)/VLOOKUP(H1001,商品!$A$4:$D$67,4,FALSE),0),"")</f>
        <v/>
      </c>
      <c r="AP1001" t="str">
        <f>IFERROR(ROUND(L1001*(K1001/$AW1001)/VLOOKUP(J1001,商品!$A$4:$D$67,4,FALSE),0),"")</f>
        <v/>
      </c>
      <c r="AQ1001" t="str">
        <f>IFERROR(ROUND(S1001*(N1001/$AX1001)/VLOOKUP(M1001,职业!$A$3:$E$16,4,FALSE),0),"")</f>
        <v/>
      </c>
      <c r="AR1001" t="str">
        <f>IFERROR(ROUND(S1001*(P1001/$AX1001)/VLOOKUP(O1001,职业!$A$3:$E$16,4,FALSE),0),"")</f>
        <v/>
      </c>
      <c r="AS1001" t="str">
        <f>IFERROR(ROUND(S1001*(R1001/$AX1001)/VLOOKUP(Q1001,职业!$A$3:$E$16,4,FALSE),0),"")</f>
        <v/>
      </c>
      <c r="AT1001" t="str">
        <f>IFERROR(ROUND(X1001*(U1001/$AY1001)/VLOOKUP(T1001,商品!$A$4:$D$67,4,FALSE),0),"")</f>
        <v/>
      </c>
      <c r="AU1001" t="str">
        <f>IFERROR(ROUND(X1001*(W1001/$AY1001)/VLOOKUP(V1001,商品!$A$4:$D$67,4,FALSE),0),"")</f>
        <v/>
      </c>
      <c r="AW1001">
        <f t="shared" si="269"/>
        <v>0</v>
      </c>
      <c r="AX1001">
        <f t="shared" si="270"/>
        <v>0</v>
      </c>
      <c r="AY1001">
        <f t="shared" si="271"/>
        <v>0</v>
      </c>
    </row>
    <row r="1002" customHeight="1" spans="1:51">
      <c r="A1002" s="5" t="s">
        <v>468</v>
      </c>
      <c r="C1002" s="5">
        <v>2</v>
      </c>
      <c r="D1002" s="1" t="s">
        <v>220</v>
      </c>
      <c r="E1002" s="1" t="s">
        <v>222</v>
      </c>
      <c r="L1002" s="5">
        <f>IFERROR(VLOOKUP($D1002&amp;$C1002,生产方式定位!$A$2:$E$38,2,FALSE)+VLOOKUP($E1002&amp;$C1002,生产方式定位!$F$3:$J$38,2,FALSE),0)</f>
        <v>1200</v>
      </c>
      <c r="S1002" s="5">
        <f>IFERROR(VLOOKUP($D1002&amp;$C1002,生产方式定位!$A$2:$E$38,3,FALSE)+VLOOKUP($E1002&amp;$C1002,生产方式定位!$F$3:$J$38,3,FALSE),0)</f>
        <v>140</v>
      </c>
      <c r="X1002" s="5">
        <f>IFERROR(VLOOKUP($D1002&amp;$C1002,生产方式定位!$A$2:$E$38,5,FALSE)+VLOOKUP($E1002&amp;$C1002,生产方式定位!$F$3:$J$38,5,FALSE),"错误")</f>
        <v>1390</v>
      </c>
      <c r="Y1002" s="27" t="str">
        <f t="shared" si="255"/>
        <v/>
      </c>
      <c r="Z1002" s="50" t="str">
        <f t="shared" si="258"/>
        <v/>
      </c>
      <c r="AA1002" s="50" t="str">
        <f t="shared" si="256"/>
        <v/>
      </c>
      <c r="AB1002" s="28" t="str">
        <f t="shared" si="259"/>
        <v>16%</v>
      </c>
      <c r="AC1002" s="1">
        <f t="shared" si="260"/>
        <v>50</v>
      </c>
      <c r="AD1002" s="51">
        <f t="shared" si="257"/>
        <v>2</v>
      </c>
      <c r="AE1002" t="str">
        <f t="shared" si="261"/>
        <v/>
      </c>
      <c r="AF1002" t="str">
        <f t="shared" si="262"/>
        <v/>
      </c>
      <c r="AG1002" t="str">
        <f t="shared" si="263"/>
        <v/>
      </c>
      <c r="AH1002" t="str">
        <f t="shared" si="264"/>
        <v/>
      </c>
      <c r="AI1002" t="str">
        <f t="shared" si="265"/>
        <v/>
      </c>
      <c r="AJ1002" t="str">
        <f t="shared" si="266"/>
        <v/>
      </c>
      <c r="AK1002" t="str">
        <f t="shared" si="267"/>
        <v/>
      </c>
      <c r="AL1002" t="str">
        <f t="shared" si="268"/>
        <v/>
      </c>
      <c r="AN1002" t="str">
        <f>IFERROR(ROUND(L1002*(G1002/$AW1002)/VLOOKUP(F1002,商品!$A$4:$D$67,4,FALSE),0),"")</f>
        <v/>
      </c>
      <c r="AO1002" t="str">
        <f>IFERROR(ROUND(L1002*(I1002/$AW1002)/VLOOKUP(H1002,商品!$A$4:$D$67,4,FALSE),0),"")</f>
        <v/>
      </c>
      <c r="AP1002" t="str">
        <f>IFERROR(ROUND(L1002*(K1002/$AW1002)/VLOOKUP(J1002,商品!$A$4:$D$67,4,FALSE),0),"")</f>
        <v/>
      </c>
      <c r="AQ1002" t="str">
        <f>IFERROR(ROUND(S1002*(N1002/$AX1002)/VLOOKUP(M1002,职业!$A$3:$E$16,4,FALSE),0),"")</f>
        <v/>
      </c>
      <c r="AR1002" t="str">
        <f>IFERROR(ROUND(S1002*(P1002/$AX1002)/VLOOKUP(O1002,职业!$A$3:$E$16,4,FALSE),0),"")</f>
        <v/>
      </c>
      <c r="AS1002" t="str">
        <f>IFERROR(ROUND(S1002*(R1002/$AX1002)/VLOOKUP(Q1002,职业!$A$3:$E$16,4,FALSE),0),"")</f>
        <v/>
      </c>
      <c r="AT1002" t="str">
        <f>IFERROR(ROUND(X1002*(U1002/$AY1002)/VLOOKUP(T1002,商品!$A$4:$D$67,4,FALSE),0),"")</f>
        <v/>
      </c>
      <c r="AU1002" t="str">
        <f>IFERROR(ROUND(X1002*(W1002/$AY1002)/VLOOKUP(V1002,商品!$A$4:$D$67,4,FALSE),0),"")</f>
        <v/>
      </c>
      <c r="AW1002">
        <f t="shared" si="269"/>
        <v>0</v>
      </c>
      <c r="AX1002">
        <f t="shared" si="270"/>
        <v>0</v>
      </c>
      <c r="AY1002">
        <f t="shared" si="271"/>
        <v>0</v>
      </c>
    </row>
    <row r="1003" customHeight="1" spans="1:51">
      <c r="A1003" s="5" t="s">
        <v>468</v>
      </c>
      <c r="C1003" s="5">
        <v>3</v>
      </c>
      <c r="D1003" s="1" t="s">
        <v>220</v>
      </c>
      <c r="E1003" s="1" t="s">
        <v>222</v>
      </c>
      <c r="L1003" s="5">
        <f>IFERROR(VLOOKUP($D1003&amp;$C1003,生产方式定位!$A$2:$E$38,2,FALSE)+VLOOKUP($E1003&amp;$C1003,生产方式定位!$F$3:$J$38,2,FALSE),0)</f>
        <v>1525</v>
      </c>
      <c r="S1003" s="5">
        <f>IFERROR(VLOOKUP($D1003&amp;$C1003,生产方式定位!$A$2:$E$38,3,FALSE)+VLOOKUP($E1003&amp;$C1003,生产方式定位!$F$3:$J$38,3,FALSE),0)</f>
        <v>130</v>
      </c>
      <c r="X1003" s="5">
        <f>IFERROR(VLOOKUP($D1003&amp;$C1003,生产方式定位!$A$2:$E$38,5,FALSE)+VLOOKUP($E1003&amp;$C1003,生产方式定位!$F$3:$J$38,5,FALSE),"错误")</f>
        <v>1718</v>
      </c>
      <c r="Y1003" s="27" t="str">
        <f t="shared" si="255"/>
        <v/>
      </c>
      <c r="Z1003" s="50" t="str">
        <f t="shared" si="258"/>
        <v/>
      </c>
      <c r="AA1003" s="50" t="str">
        <f t="shared" si="256"/>
        <v/>
      </c>
      <c r="AB1003" s="28" t="str">
        <f t="shared" si="259"/>
        <v>13%</v>
      </c>
      <c r="AC1003" s="1">
        <f t="shared" si="260"/>
        <v>63</v>
      </c>
      <c r="AD1003" s="51">
        <f t="shared" si="257"/>
        <v>3</v>
      </c>
      <c r="AE1003" t="str">
        <f t="shared" si="261"/>
        <v/>
      </c>
      <c r="AF1003" t="str">
        <f t="shared" si="262"/>
        <v/>
      </c>
      <c r="AG1003" t="str">
        <f t="shared" si="263"/>
        <v/>
      </c>
      <c r="AH1003" t="str">
        <f t="shared" si="264"/>
        <v/>
      </c>
      <c r="AI1003" t="str">
        <f t="shared" si="265"/>
        <v/>
      </c>
      <c r="AJ1003" t="str">
        <f t="shared" si="266"/>
        <v/>
      </c>
      <c r="AK1003" t="str">
        <f t="shared" si="267"/>
        <v/>
      </c>
      <c r="AL1003" t="str">
        <f t="shared" si="268"/>
        <v/>
      </c>
      <c r="AN1003" t="str">
        <f>IFERROR(ROUND(L1003*(G1003/$AW1003)/VLOOKUP(F1003,商品!$A$4:$D$67,4,FALSE),0),"")</f>
        <v/>
      </c>
      <c r="AO1003" t="str">
        <f>IFERROR(ROUND(L1003*(I1003/$AW1003)/VLOOKUP(H1003,商品!$A$4:$D$67,4,FALSE),0),"")</f>
        <v/>
      </c>
      <c r="AP1003" t="str">
        <f>IFERROR(ROUND(L1003*(K1003/$AW1003)/VLOOKUP(J1003,商品!$A$4:$D$67,4,FALSE),0),"")</f>
        <v/>
      </c>
      <c r="AQ1003" t="str">
        <f>IFERROR(ROUND(S1003*(N1003/$AX1003)/VLOOKUP(M1003,职业!$A$3:$E$16,4,FALSE),0),"")</f>
        <v/>
      </c>
      <c r="AR1003" t="str">
        <f>IFERROR(ROUND(S1003*(P1003/$AX1003)/VLOOKUP(O1003,职业!$A$3:$E$16,4,FALSE),0),"")</f>
        <v/>
      </c>
      <c r="AS1003" t="str">
        <f>IFERROR(ROUND(S1003*(R1003/$AX1003)/VLOOKUP(Q1003,职业!$A$3:$E$16,4,FALSE),0),"")</f>
        <v/>
      </c>
      <c r="AT1003" t="str">
        <f>IFERROR(ROUND(X1003*(U1003/$AY1003)/VLOOKUP(T1003,商品!$A$4:$D$67,4,FALSE),0),"")</f>
        <v/>
      </c>
      <c r="AU1003" t="str">
        <f>IFERROR(ROUND(X1003*(W1003/$AY1003)/VLOOKUP(V1003,商品!$A$4:$D$67,4,FALSE),0),"")</f>
        <v/>
      </c>
      <c r="AW1003">
        <f t="shared" si="269"/>
        <v>0</v>
      </c>
      <c r="AX1003">
        <f t="shared" si="270"/>
        <v>0</v>
      </c>
      <c r="AY1003">
        <f t="shared" si="271"/>
        <v>0</v>
      </c>
    </row>
    <row r="1004" customHeight="1" spans="1:51">
      <c r="A1004" s="5" t="s">
        <v>468</v>
      </c>
      <c r="C1004" s="5">
        <v>4</v>
      </c>
      <c r="D1004" s="1" t="s">
        <v>220</v>
      </c>
      <c r="E1004" s="1" t="s">
        <v>222</v>
      </c>
      <c r="L1004" s="5">
        <f>IFERROR(VLOOKUP($D1004&amp;$C1004,生产方式定位!$A$2:$E$38,2,FALSE)+VLOOKUP($E1004&amp;$C1004,生产方式定位!$F$3:$J$38,2,FALSE),0)</f>
        <v>1850</v>
      </c>
      <c r="S1004" s="5">
        <f>IFERROR(VLOOKUP($D1004&amp;$C1004,生产方式定位!$A$2:$E$38,3,FALSE)+VLOOKUP($E1004&amp;$C1004,生产方式定位!$F$3:$J$38,3,FALSE),0)</f>
        <v>120</v>
      </c>
      <c r="X1004" s="5">
        <f>IFERROR(VLOOKUP($D1004&amp;$C1004,生产方式定位!$A$2:$E$38,5,FALSE)+VLOOKUP($E1004&amp;$C1004,生产方式定位!$F$3:$J$38,5,FALSE),"错误")</f>
        <v>2045</v>
      </c>
      <c r="Y1004" s="27" t="str">
        <f t="shared" si="255"/>
        <v/>
      </c>
      <c r="Z1004" s="50" t="str">
        <f t="shared" si="258"/>
        <v/>
      </c>
      <c r="AA1004" s="50" t="str">
        <f t="shared" si="256"/>
        <v/>
      </c>
      <c r="AB1004" s="28" t="str">
        <f t="shared" si="259"/>
        <v>11%</v>
      </c>
      <c r="AC1004" s="1">
        <f t="shared" si="260"/>
        <v>75</v>
      </c>
      <c r="AD1004" s="51">
        <f t="shared" si="257"/>
        <v>4</v>
      </c>
      <c r="AE1004" t="str">
        <f t="shared" si="261"/>
        <v/>
      </c>
      <c r="AF1004" t="str">
        <f t="shared" si="262"/>
        <v/>
      </c>
      <c r="AG1004" t="str">
        <f t="shared" si="263"/>
        <v/>
      </c>
      <c r="AH1004" t="str">
        <f t="shared" si="264"/>
        <v/>
      </c>
      <c r="AI1004" t="str">
        <f t="shared" si="265"/>
        <v/>
      </c>
      <c r="AJ1004" t="str">
        <f t="shared" si="266"/>
        <v/>
      </c>
      <c r="AK1004" t="str">
        <f t="shared" si="267"/>
        <v/>
      </c>
      <c r="AL1004" t="str">
        <f t="shared" si="268"/>
        <v/>
      </c>
      <c r="AN1004" t="str">
        <f>IFERROR(ROUND(L1004*(G1004/$AW1004)/VLOOKUP(F1004,商品!$A$4:$D$67,4,FALSE),0),"")</f>
        <v/>
      </c>
      <c r="AO1004" t="str">
        <f>IFERROR(ROUND(L1004*(I1004/$AW1004)/VLOOKUP(H1004,商品!$A$4:$D$67,4,FALSE),0),"")</f>
        <v/>
      </c>
      <c r="AP1004" t="str">
        <f>IFERROR(ROUND(L1004*(K1004/$AW1004)/VLOOKUP(J1004,商品!$A$4:$D$67,4,FALSE),0),"")</f>
        <v/>
      </c>
      <c r="AQ1004" t="str">
        <f>IFERROR(ROUND(S1004*(N1004/$AX1004)/VLOOKUP(M1004,职业!$A$3:$E$16,4,FALSE),0),"")</f>
        <v/>
      </c>
      <c r="AR1004" t="str">
        <f>IFERROR(ROUND(S1004*(P1004/$AX1004)/VLOOKUP(O1004,职业!$A$3:$E$16,4,FALSE),0),"")</f>
        <v/>
      </c>
      <c r="AS1004" t="str">
        <f>IFERROR(ROUND(S1004*(R1004/$AX1004)/VLOOKUP(Q1004,职业!$A$3:$E$16,4,FALSE),0),"")</f>
        <v/>
      </c>
      <c r="AT1004" t="str">
        <f>IFERROR(ROUND(X1004*(U1004/$AY1004)/VLOOKUP(T1004,商品!$A$4:$D$67,4,FALSE),0),"")</f>
        <v/>
      </c>
      <c r="AU1004" t="str">
        <f>IFERROR(ROUND(X1004*(W1004/$AY1004)/VLOOKUP(V1004,商品!$A$4:$D$67,4,FALSE),0),"")</f>
        <v/>
      </c>
      <c r="AW1004">
        <f t="shared" si="269"/>
        <v>0</v>
      </c>
      <c r="AX1004">
        <f t="shared" si="270"/>
        <v>0</v>
      </c>
      <c r="AY1004">
        <f t="shared" si="271"/>
        <v>0</v>
      </c>
    </row>
    <row r="1005" customHeight="1" spans="1:51">
      <c r="A1005" s="5" t="s">
        <v>468</v>
      </c>
      <c r="C1005" s="5">
        <v>5</v>
      </c>
      <c r="D1005" s="1" t="s">
        <v>220</v>
      </c>
      <c r="E1005" s="1" t="s">
        <v>222</v>
      </c>
      <c r="L1005" s="5">
        <f>IFERROR(VLOOKUP($D1005&amp;$C1005,生产方式定位!$A$2:$E$38,2,FALSE)+VLOOKUP($E1005&amp;$C1005,生产方式定位!$F$3:$J$38,2,FALSE),0)</f>
        <v>2175</v>
      </c>
      <c r="S1005" s="5">
        <f>IFERROR(VLOOKUP($D1005&amp;$C1005,生产方式定位!$A$2:$E$38,3,FALSE)+VLOOKUP($E1005&amp;$C1005,生产方式定位!$F$3:$J$38,3,FALSE),0)</f>
        <v>110</v>
      </c>
      <c r="X1005" s="5">
        <f>IFERROR(VLOOKUP($D1005&amp;$C1005,生产方式定位!$A$2:$E$38,5,FALSE)+VLOOKUP($E1005&amp;$C1005,生产方式定位!$F$3:$J$38,5,FALSE),"错误")</f>
        <v>2373</v>
      </c>
      <c r="Y1005" s="27" t="str">
        <f t="shared" si="255"/>
        <v/>
      </c>
      <c r="Z1005" s="50" t="str">
        <f t="shared" si="258"/>
        <v/>
      </c>
      <c r="AA1005" s="50" t="str">
        <f t="shared" si="256"/>
        <v/>
      </c>
      <c r="AB1005" s="28" t="str">
        <f t="shared" si="259"/>
        <v>9%</v>
      </c>
      <c r="AC1005" s="1">
        <f t="shared" si="260"/>
        <v>88</v>
      </c>
      <c r="AD1005" s="51">
        <f t="shared" si="257"/>
        <v>5</v>
      </c>
      <c r="AE1005" t="str">
        <f t="shared" si="261"/>
        <v/>
      </c>
      <c r="AF1005" t="str">
        <f t="shared" si="262"/>
        <v/>
      </c>
      <c r="AG1005" t="str">
        <f t="shared" si="263"/>
        <v/>
      </c>
      <c r="AH1005" t="str">
        <f t="shared" si="264"/>
        <v/>
      </c>
      <c r="AI1005" t="str">
        <f t="shared" si="265"/>
        <v/>
      </c>
      <c r="AJ1005" t="str">
        <f t="shared" si="266"/>
        <v/>
      </c>
      <c r="AK1005" t="str">
        <f t="shared" si="267"/>
        <v/>
      </c>
      <c r="AL1005" t="str">
        <f t="shared" si="268"/>
        <v/>
      </c>
      <c r="AN1005" t="str">
        <f>IFERROR(ROUND(L1005*(G1005/$AW1005)/VLOOKUP(F1005,商品!$A$4:$D$67,4,FALSE),0),"")</f>
        <v/>
      </c>
      <c r="AO1005" t="str">
        <f>IFERROR(ROUND(L1005*(I1005/$AW1005)/VLOOKUP(H1005,商品!$A$4:$D$67,4,FALSE),0),"")</f>
        <v/>
      </c>
      <c r="AP1005" t="str">
        <f>IFERROR(ROUND(L1005*(K1005/$AW1005)/VLOOKUP(J1005,商品!$A$4:$D$67,4,FALSE),0),"")</f>
        <v/>
      </c>
      <c r="AQ1005" t="str">
        <f>IFERROR(ROUND(S1005*(N1005/$AX1005)/VLOOKUP(M1005,职业!$A$3:$E$16,4,FALSE),0),"")</f>
        <v/>
      </c>
      <c r="AR1005" t="str">
        <f>IFERROR(ROUND(S1005*(P1005/$AX1005)/VLOOKUP(O1005,职业!$A$3:$E$16,4,FALSE),0),"")</f>
        <v/>
      </c>
      <c r="AS1005" t="str">
        <f>IFERROR(ROUND(S1005*(R1005/$AX1005)/VLOOKUP(Q1005,职业!$A$3:$E$16,4,FALSE),0),"")</f>
        <v/>
      </c>
      <c r="AT1005" t="str">
        <f>IFERROR(ROUND(X1005*(U1005/$AY1005)/VLOOKUP(T1005,商品!$A$4:$D$67,4,FALSE),0),"")</f>
        <v/>
      </c>
      <c r="AU1005" t="str">
        <f>IFERROR(ROUND(X1005*(W1005/$AY1005)/VLOOKUP(V1005,商品!$A$4:$D$67,4,FALSE),0),"")</f>
        <v/>
      </c>
      <c r="AW1005">
        <f t="shared" si="269"/>
        <v>0</v>
      </c>
      <c r="AX1005">
        <f t="shared" si="270"/>
        <v>0</v>
      </c>
      <c r="AY1005">
        <f t="shared" si="271"/>
        <v>0</v>
      </c>
    </row>
    <row r="1006" customHeight="1" spans="1:51">
      <c r="A1006" s="18" t="s">
        <v>469</v>
      </c>
      <c r="C1006" s="18">
        <v>1</v>
      </c>
      <c r="D1006" s="1" t="s">
        <v>220</v>
      </c>
      <c r="E1006" s="1" t="s">
        <v>224</v>
      </c>
      <c r="L1006" s="18">
        <f>IFERROR(VLOOKUP($D1006&amp;$C1006,生产方式定位!$A$2:$E$38,2,FALSE)+VLOOKUP($E1006&amp;$C1006,生产方式定位!$F$3:$J$38,2,FALSE),0)</f>
        <v>500</v>
      </c>
      <c r="S1006" s="18">
        <f>IFERROR(VLOOKUP($D1006&amp;$C1006,生产方式定位!$A$2:$E$38,3,FALSE)+VLOOKUP($E1006&amp;$C1006,生产方式定位!$F$3:$J$38,3,FALSE),0)</f>
        <v>150</v>
      </c>
      <c r="X1006" s="18">
        <f>IFERROR(VLOOKUP($D1006&amp;$C1006,生产方式定位!$A$2:$E$38,5,FALSE)+VLOOKUP($E1006&amp;$C1006,生产方式定位!$F$3:$J$38,5,FALSE),"错误")</f>
        <v>715</v>
      </c>
      <c r="Y1006" s="27" t="str">
        <f t="shared" si="255"/>
        <v/>
      </c>
      <c r="Z1006" s="50" t="str">
        <f t="shared" si="258"/>
        <v/>
      </c>
      <c r="AA1006" s="50" t="str">
        <f t="shared" si="256"/>
        <v/>
      </c>
      <c r="AB1006" s="28" t="str">
        <f t="shared" si="259"/>
        <v>43%</v>
      </c>
      <c r="AC1006" s="1">
        <f t="shared" si="260"/>
        <v>65</v>
      </c>
      <c r="AD1006" s="52">
        <f t="shared" si="257"/>
        <v>1</v>
      </c>
      <c r="AE1006" t="str">
        <f t="shared" si="261"/>
        <v/>
      </c>
      <c r="AF1006" t="str">
        <f t="shared" si="262"/>
        <v/>
      </c>
      <c r="AG1006" t="str">
        <f t="shared" si="263"/>
        <v/>
      </c>
      <c r="AH1006" t="str">
        <f t="shared" si="264"/>
        <v/>
      </c>
      <c r="AI1006" t="str">
        <f t="shared" si="265"/>
        <v/>
      </c>
      <c r="AJ1006" t="str">
        <f t="shared" si="266"/>
        <v/>
      </c>
      <c r="AK1006" t="str">
        <f t="shared" si="267"/>
        <v/>
      </c>
      <c r="AL1006" t="str">
        <f t="shared" si="268"/>
        <v/>
      </c>
      <c r="AN1006" t="str">
        <f>IFERROR(ROUND(L1006*(G1006/$AW1006)/VLOOKUP(F1006,商品!$A$4:$D$67,4,FALSE),0),"")</f>
        <v/>
      </c>
      <c r="AO1006" t="str">
        <f>IFERROR(ROUND(L1006*(I1006/$AW1006)/VLOOKUP(H1006,商品!$A$4:$D$67,4,FALSE),0),"")</f>
        <v/>
      </c>
      <c r="AP1006" t="str">
        <f>IFERROR(ROUND(L1006*(K1006/$AW1006)/VLOOKUP(J1006,商品!$A$4:$D$67,4,FALSE),0),"")</f>
        <v/>
      </c>
      <c r="AQ1006" t="str">
        <f>IFERROR(ROUND(S1006*(N1006/$AX1006)/VLOOKUP(M1006,职业!$A$3:$E$16,4,FALSE),0),"")</f>
        <v/>
      </c>
      <c r="AR1006" t="str">
        <f>IFERROR(ROUND(S1006*(P1006/$AX1006)/VLOOKUP(O1006,职业!$A$3:$E$16,4,FALSE),0),"")</f>
        <v/>
      </c>
      <c r="AS1006" t="str">
        <f>IFERROR(ROUND(S1006*(R1006/$AX1006)/VLOOKUP(Q1006,职业!$A$3:$E$16,4,FALSE),0),"")</f>
        <v/>
      </c>
      <c r="AT1006" t="str">
        <f>IFERROR(ROUND(X1006*(U1006/$AY1006)/VLOOKUP(T1006,商品!$A$4:$D$67,4,FALSE),0),"")</f>
        <v/>
      </c>
      <c r="AU1006" t="str">
        <f>IFERROR(ROUND(X1006*(W1006/$AY1006)/VLOOKUP(V1006,商品!$A$4:$D$67,4,FALSE),0),"")</f>
        <v/>
      </c>
      <c r="AW1006">
        <f t="shared" si="269"/>
        <v>0</v>
      </c>
      <c r="AX1006">
        <f t="shared" si="270"/>
        <v>0</v>
      </c>
      <c r="AY1006">
        <f t="shared" si="271"/>
        <v>0</v>
      </c>
    </row>
    <row r="1007" customHeight="1" spans="1:51">
      <c r="A1007" s="18" t="s">
        <v>469</v>
      </c>
      <c r="C1007" s="18">
        <v>2</v>
      </c>
      <c r="D1007" s="1" t="s">
        <v>220</v>
      </c>
      <c r="E1007" s="1" t="s">
        <v>224</v>
      </c>
      <c r="L1007" s="18">
        <f>IFERROR(VLOOKUP($D1007&amp;$C1007,生产方式定位!$A$2:$E$38,2,FALSE)+VLOOKUP($E1007&amp;$C1007,生产方式定位!$F$3:$J$38,2,FALSE),0)</f>
        <v>1200</v>
      </c>
      <c r="S1007" s="18">
        <f>IFERROR(VLOOKUP($D1007&amp;$C1007,生产方式定位!$A$2:$E$38,3,FALSE)+VLOOKUP($E1007&amp;$C1007,生产方式定位!$F$3:$J$38,3,FALSE),0)</f>
        <v>100</v>
      </c>
      <c r="X1007" s="18">
        <f>IFERROR(VLOOKUP($D1007&amp;$C1007,生产方式定位!$A$2:$E$38,5,FALSE)+VLOOKUP($E1007&amp;$C1007,生产方式定位!$F$3:$J$38,5,FALSE),"错误")</f>
        <v>1346</v>
      </c>
      <c r="Y1007" s="27" t="str">
        <f t="shared" si="255"/>
        <v/>
      </c>
      <c r="Z1007" s="50" t="str">
        <f t="shared" si="258"/>
        <v/>
      </c>
      <c r="AA1007" s="50" t="str">
        <f t="shared" si="256"/>
        <v/>
      </c>
      <c r="AB1007" s="28" t="str">
        <f t="shared" si="259"/>
        <v>12%</v>
      </c>
      <c r="AC1007" s="1">
        <f t="shared" si="260"/>
        <v>46</v>
      </c>
      <c r="AD1007" s="52">
        <f t="shared" si="257"/>
        <v>2</v>
      </c>
      <c r="AE1007" t="str">
        <f t="shared" si="261"/>
        <v/>
      </c>
      <c r="AF1007" t="str">
        <f t="shared" si="262"/>
        <v/>
      </c>
      <c r="AG1007" t="str">
        <f t="shared" si="263"/>
        <v/>
      </c>
      <c r="AH1007" t="str">
        <f t="shared" si="264"/>
        <v/>
      </c>
      <c r="AI1007" t="str">
        <f t="shared" si="265"/>
        <v/>
      </c>
      <c r="AJ1007" t="str">
        <f t="shared" si="266"/>
        <v/>
      </c>
      <c r="AK1007" t="str">
        <f t="shared" si="267"/>
        <v/>
      </c>
      <c r="AL1007" t="str">
        <f t="shared" si="268"/>
        <v/>
      </c>
      <c r="AN1007" t="str">
        <f>IFERROR(ROUND(L1007*(G1007/$AW1007)/VLOOKUP(F1007,商品!$A$4:$D$67,4,FALSE),0),"")</f>
        <v/>
      </c>
      <c r="AO1007" t="str">
        <f>IFERROR(ROUND(L1007*(I1007/$AW1007)/VLOOKUP(H1007,商品!$A$4:$D$67,4,FALSE),0),"")</f>
        <v/>
      </c>
      <c r="AP1007" t="str">
        <f>IFERROR(ROUND(L1007*(K1007/$AW1007)/VLOOKUP(J1007,商品!$A$4:$D$67,4,FALSE),0),"")</f>
        <v/>
      </c>
      <c r="AQ1007" t="str">
        <f>IFERROR(ROUND(S1007*(N1007/$AX1007)/VLOOKUP(M1007,职业!$A$3:$E$16,4,FALSE),0),"")</f>
        <v/>
      </c>
      <c r="AR1007" t="str">
        <f>IFERROR(ROUND(S1007*(P1007/$AX1007)/VLOOKUP(O1007,职业!$A$3:$E$16,4,FALSE),0),"")</f>
        <v/>
      </c>
      <c r="AS1007" t="str">
        <f>IFERROR(ROUND(S1007*(R1007/$AX1007)/VLOOKUP(Q1007,职业!$A$3:$E$16,4,FALSE),0),"")</f>
        <v/>
      </c>
      <c r="AT1007" t="str">
        <f>IFERROR(ROUND(X1007*(U1007/$AY1007)/VLOOKUP(T1007,商品!$A$4:$D$67,4,FALSE),0),"")</f>
        <v/>
      </c>
      <c r="AU1007" t="str">
        <f>IFERROR(ROUND(X1007*(W1007/$AY1007)/VLOOKUP(V1007,商品!$A$4:$D$67,4,FALSE),0),"")</f>
        <v/>
      </c>
      <c r="AW1007">
        <f t="shared" si="269"/>
        <v>0</v>
      </c>
      <c r="AX1007">
        <f t="shared" si="270"/>
        <v>0</v>
      </c>
      <c r="AY1007">
        <f t="shared" si="271"/>
        <v>0</v>
      </c>
    </row>
    <row r="1008" customHeight="1" spans="1:51">
      <c r="A1008" s="18" t="s">
        <v>469</v>
      </c>
      <c r="C1008" s="18">
        <v>3</v>
      </c>
      <c r="D1008" s="1" t="s">
        <v>220</v>
      </c>
      <c r="E1008" s="1" t="s">
        <v>224</v>
      </c>
      <c r="L1008" s="18">
        <f>IFERROR(VLOOKUP($D1008&amp;$C1008,生产方式定位!$A$2:$E$38,2,FALSE)+VLOOKUP($E1008&amp;$C1008,生产方式定位!$F$3:$J$38,2,FALSE),0)</f>
        <v>1900</v>
      </c>
      <c r="S1008" s="18">
        <f>IFERROR(VLOOKUP($D1008&amp;$C1008,生产方式定位!$A$2:$E$38,3,FALSE)+VLOOKUP($E1008&amp;$C1008,生产方式定位!$F$3:$J$38,3,FALSE),0)</f>
        <v>70</v>
      </c>
      <c r="X1008" s="18">
        <f>IFERROR(VLOOKUP($D1008&amp;$C1008,生产方式定位!$A$2:$E$38,5,FALSE)+VLOOKUP($E1008&amp;$C1008,生产方式定位!$F$3:$J$38,5,FALSE),"错误")</f>
        <v>2064</v>
      </c>
      <c r="Y1008" s="27" t="str">
        <f t="shared" si="255"/>
        <v/>
      </c>
      <c r="Z1008" s="50" t="str">
        <f t="shared" si="258"/>
        <v/>
      </c>
      <c r="AA1008" s="50" t="str">
        <f t="shared" si="256"/>
        <v/>
      </c>
      <c r="AB1008" s="28" t="str">
        <f t="shared" si="259"/>
        <v>9%</v>
      </c>
      <c r="AC1008" s="1">
        <f t="shared" si="260"/>
        <v>94</v>
      </c>
      <c r="AD1008" s="52">
        <f t="shared" si="257"/>
        <v>3</v>
      </c>
      <c r="AE1008" t="str">
        <f t="shared" si="261"/>
        <v/>
      </c>
      <c r="AF1008" t="str">
        <f t="shared" si="262"/>
        <v/>
      </c>
      <c r="AG1008" t="str">
        <f t="shared" si="263"/>
        <v/>
      </c>
      <c r="AH1008" t="str">
        <f t="shared" si="264"/>
        <v/>
      </c>
      <c r="AI1008" t="str">
        <f t="shared" si="265"/>
        <v/>
      </c>
      <c r="AJ1008" t="str">
        <f t="shared" si="266"/>
        <v/>
      </c>
      <c r="AK1008" t="str">
        <f t="shared" si="267"/>
        <v/>
      </c>
      <c r="AL1008" t="str">
        <f t="shared" si="268"/>
        <v/>
      </c>
      <c r="AN1008" t="str">
        <f>IFERROR(ROUND(L1008*(G1008/$AW1008)/VLOOKUP(F1008,商品!$A$4:$D$67,4,FALSE),0),"")</f>
        <v/>
      </c>
      <c r="AO1008" t="str">
        <f>IFERROR(ROUND(L1008*(I1008/$AW1008)/VLOOKUP(H1008,商品!$A$4:$D$67,4,FALSE),0),"")</f>
        <v/>
      </c>
      <c r="AP1008" t="str">
        <f>IFERROR(ROUND(L1008*(K1008/$AW1008)/VLOOKUP(J1008,商品!$A$4:$D$67,4,FALSE),0),"")</f>
        <v/>
      </c>
      <c r="AQ1008" t="str">
        <f>IFERROR(ROUND(S1008*(N1008/$AX1008)/VLOOKUP(M1008,职业!$A$3:$E$16,4,FALSE),0),"")</f>
        <v/>
      </c>
      <c r="AR1008" t="str">
        <f>IFERROR(ROUND(S1008*(P1008/$AX1008)/VLOOKUP(O1008,职业!$A$3:$E$16,4,FALSE),0),"")</f>
        <v/>
      </c>
      <c r="AS1008" t="str">
        <f>IFERROR(ROUND(S1008*(R1008/$AX1008)/VLOOKUP(Q1008,职业!$A$3:$E$16,4,FALSE),0),"")</f>
        <v/>
      </c>
      <c r="AT1008" t="str">
        <f>IFERROR(ROUND(X1008*(U1008/$AY1008)/VLOOKUP(T1008,商品!$A$4:$D$67,4,FALSE),0),"")</f>
        <v/>
      </c>
      <c r="AU1008" t="str">
        <f>IFERROR(ROUND(X1008*(W1008/$AY1008)/VLOOKUP(V1008,商品!$A$4:$D$67,4,FALSE),0),"")</f>
        <v/>
      </c>
      <c r="AW1008">
        <f t="shared" si="269"/>
        <v>0</v>
      </c>
      <c r="AX1008">
        <f t="shared" si="270"/>
        <v>0</v>
      </c>
      <c r="AY1008">
        <f t="shared" si="271"/>
        <v>0</v>
      </c>
    </row>
    <row r="1009" customHeight="1" spans="1:51">
      <c r="A1009" s="18" t="s">
        <v>469</v>
      </c>
      <c r="C1009" s="18">
        <v>4</v>
      </c>
      <c r="D1009" s="1" t="s">
        <v>220</v>
      </c>
      <c r="E1009" s="1" t="s">
        <v>224</v>
      </c>
      <c r="L1009" s="18">
        <f>IFERROR(VLOOKUP($D1009&amp;$C1009,生产方式定位!$A$2:$E$38,2,FALSE)+VLOOKUP($E1009&amp;$C1009,生产方式定位!$F$3:$J$38,2,FALSE),0)</f>
        <v>2600</v>
      </c>
      <c r="S1009" s="18">
        <f>IFERROR(VLOOKUP($D1009&amp;$C1009,生产方式定位!$A$2:$E$38,3,FALSE)+VLOOKUP($E1009&amp;$C1009,生产方式定位!$F$3:$J$38,3,FALSE),0)</f>
        <v>40</v>
      </c>
      <c r="X1009" s="18">
        <f>IFERROR(VLOOKUP($D1009&amp;$C1009,生产方式定位!$A$2:$E$38,5,FALSE)+VLOOKUP($E1009&amp;$C1009,生产方式定位!$F$3:$J$38,5,FALSE),"错误")</f>
        <v>2782</v>
      </c>
      <c r="Y1009" s="27" t="str">
        <f t="shared" si="255"/>
        <v/>
      </c>
      <c r="Z1009" s="50" t="str">
        <f t="shared" si="258"/>
        <v/>
      </c>
      <c r="AA1009" s="50" t="str">
        <f t="shared" si="256"/>
        <v/>
      </c>
      <c r="AB1009" s="28" t="str">
        <f t="shared" si="259"/>
        <v>7%</v>
      </c>
      <c r="AC1009" s="1">
        <f t="shared" si="260"/>
        <v>142</v>
      </c>
      <c r="AD1009" s="52">
        <f t="shared" si="257"/>
        <v>4</v>
      </c>
      <c r="AE1009" t="str">
        <f t="shared" si="261"/>
        <v/>
      </c>
      <c r="AF1009" t="str">
        <f t="shared" si="262"/>
        <v/>
      </c>
      <c r="AG1009" t="str">
        <f t="shared" si="263"/>
        <v/>
      </c>
      <c r="AH1009" t="str">
        <f t="shared" si="264"/>
        <v/>
      </c>
      <c r="AI1009" t="str">
        <f t="shared" si="265"/>
        <v/>
      </c>
      <c r="AJ1009" t="str">
        <f t="shared" si="266"/>
        <v/>
      </c>
      <c r="AK1009" t="str">
        <f t="shared" si="267"/>
        <v/>
      </c>
      <c r="AL1009" t="str">
        <f t="shared" si="268"/>
        <v/>
      </c>
      <c r="AN1009" t="str">
        <f>IFERROR(ROUND(L1009*(G1009/$AW1009)/VLOOKUP(F1009,商品!$A$4:$D$67,4,FALSE),0),"")</f>
        <v/>
      </c>
      <c r="AO1009" t="str">
        <f>IFERROR(ROUND(L1009*(I1009/$AW1009)/VLOOKUP(H1009,商品!$A$4:$D$67,4,FALSE),0),"")</f>
        <v/>
      </c>
      <c r="AP1009" t="str">
        <f>IFERROR(ROUND(L1009*(K1009/$AW1009)/VLOOKUP(J1009,商品!$A$4:$D$67,4,FALSE),0),"")</f>
        <v/>
      </c>
      <c r="AQ1009" t="str">
        <f>IFERROR(ROUND(S1009*(N1009/$AX1009)/VLOOKUP(M1009,职业!$A$3:$E$16,4,FALSE),0),"")</f>
        <v/>
      </c>
      <c r="AR1009" t="str">
        <f>IFERROR(ROUND(S1009*(P1009/$AX1009)/VLOOKUP(O1009,职业!$A$3:$E$16,4,FALSE),0),"")</f>
        <v/>
      </c>
      <c r="AS1009" t="str">
        <f>IFERROR(ROUND(S1009*(R1009/$AX1009)/VLOOKUP(Q1009,职业!$A$3:$E$16,4,FALSE),0),"")</f>
        <v/>
      </c>
      <c r="AT1009" t="str">
        <f>IFERROR(ROUND(X1009*(U1009/$AY1009)/VLOOKUP(T1009,商品!$A$4:$D$67,4,FALSE),0),"")</f>
        <v/>
      </c>
      <c r="AU1009" t="str">
        <f>IFERROR(ROUND(X1009*(W1009/$AY1009)/VLOOKUP(V1009,商品!$A$4:$D$67,4,FALSE),0),"")</f>
        <v/>
      </c>
      <c r="AW1009">
        <f t="shared" si="269"/>
        <v>0</v>
      </c>
      <c r="AX1009">
        <f t="shared" si="270"/>
        <v>0</v>
      </c>
      <c r="AY1009">
        <f t="shared" si="271"/>
        <v>0</v>
      </c>
    </row>
    <row r="1010" customHeight="1" spans="1:51">
      <c r="A1010" s="18" t="s">
        <v>469</v>
      </c>
      <c r="C1010" s="18">
        <v>5</v>
      </c>
      <c r="D1010" s="1" t="s">
        <v>220</v>
      </c>
      <c r="E1010" s="1" t="s">
        <v>224</v>
      </c>
      <c r="L1010" s="18">
        <f>IFERROR(VLOOKUP($D1010&amp;$C1010,生产方式定位!$A$2:$E$38,2,FALSE)+VLOOKUP($E1010&amp;$C1010,生产方式定位!$F$3:$J$38,2,FALSE),0)</f>
        <v>3300</v>
      </c>
      <c r="S1010" s="18">
        <f>IFERROR(VLOOKUP($D1010&amp;$C1010,生产方式定位!$A$2:$E$38,3,FALSE)+VLOOKUP($E1010&amp;$C1010,生产方式定位!$F$3:$J$38,3,FALSE),0)</f>
        <v>10</v>
      </c>
      <c r="X1010" s="18">
        <f>IFERROR(VLOOKUP($D1010&amp;$C1010,生产方式定位!$A$2:$E$38,5,FALSE)+VLOOKUP($E1010&amp;$C1010,生产方式定位!$F$3:$J$38,5,FALSE),"错误")</f>
        <v>3500</v>
      </c>
      <c r="Y1010" s="27" t="str">
        <f t="shared" si="255"/>
        <v/>
      </c>
      <c r="Z1010" s="50" t="str">
        <f t="shared" si="258"/>
        <v/>
      </c>
      <c r="AA1010" s="50" t="str">
        <f t="shared" si="256"/>
        <v/>
      </c>
      <c r="AB1010" s="28" t="str">
        <f t="shared" si="259"/>
        <v>6%</v>
      </c>
      <c r="AC1010" s="1">
        <f t="shared" si="260"/>
        <v>190</v>
      </c>
      <c r="AD1010" s="52">
        <f t="shared" si="257"/>
        <v>5</v>
      </c>
      <c r="AE1010" t="str">
        <f t="shared" si="261"/>
        <v/>
      </c>
      <c r="AF1010" t="str">
        <f t="shared" si="262"/>
        <v/>
      </c>
      <c r="AG1010" t="str">
        <f t="shared" si="263"/>
        <v/>
      </c>
      <c r="AH1010" t="str">
        <f t="shared" si="264"/>
        <v/>
      </c>
      <c r="AI1010" t="str">
        <f t="shared" si="265"/>
        <v/>
      </c>
      <c r="AJ1010" t="str">
        <f t="shared" si="266"/>
        <v/>
      </c>
      <c r="AK1010" t="str">
        <f t="shared" si="267"/>
        <v/>
      </c>
      <c r="AL1010" t="str">
        <f t="shared" si="268"/>
        <v/>
      </c>
      <c r="AN1010" t="str">
        <f>IFERROR(ROUND(L1010*(G1010/$AW1010)/VLOOKUP(F1010,商品!$A$4:$D$67,4,FALSE),0),"")</f>
        <v/>
      </c>
      <c r="AO1010" t="str">
        <f>IFERROR(ROUND(L1010*(I1010/$AW1010)/VLOOKUP(H1010,商品!$A$4:$D$67,4,FALSE),0),"")</f>
        <v/>
      </c>
      <c r="AP1010" t="str">
        <f>IFERROR(ROUND(L1010*(K1010/$AW1010)/VLOOKUP(J1010,商品!$A$4:$D$67,4,FALSE),0),"")</f>
        <v/>
      </c>
      <c r="AQ1010" t="str">
        <f>IFERROR(ROUND(S1010*(N1010/$AX1010)/VLOOKUP(M1010,职业!$A$3:$E$16,4,FALSE),0),"")</f>
        <v/>
      </c>
      <c r="AR1010" t="str">
        <f>IFERROR(ROUND(S1010*(P1010/$AX1010)/VLOOKUP(O1010,职业!$A$3:$E$16,4,FALSE),0),"")</f>
        <v/>
      </c>
      <c r="AS1010" t="str">
        <f>IFERROR(ROUND(S1010*(R1010/$AX1010)/VLOOKUP(Q1010,职业!$A$3:$E$16,4,FALSE),0),"")</f>
        <v/>
      </c>
      <c r="AT1010" t="str">
        <f>IFERROR(ROUND(X1010*(U1010/$AY1010)/VLOOKUP(T1010,商品!$A$4:$D$67,4,FALSE),0),"")</f>
        <v/>
      </c>
      <c r="AU1010" t="str">
        <f>IFERROR(ROUND(X1010*(W1010/$AY1010)/VLOOKUP(V1010,商品!$A$4:$D$67,4,FALSE),0),"")</f>
        <v/>
      </c>
      <c r="AW1010">
        <f t="shared" si="269"/>
        <v>0</v>
      </c>
      <c r="AX1010">
        <f t="shared" si="270"/>
        <v>0</v>
      </c>
      <c r="AY1010">
        <f t="shared" si="271"/>
        <v>0</v>
      </c>
    </row>
    <row r="1011" customHeight="1" spans="1:51">
      <c r="A1011" s="5" t="s">
        <v>469</v>
      </c>
      <c r="C1011" s="5">
        <v>1</v>
      </c>
      <c r="D1011" s="1" t="s">
        <v>220</v>
      </c>
      <c r="E1011" s="1" t="s">
        <v>224</v>
      </c>
      <c r="L1011" s="5">
        <f>IFERROR(VLOOKUP($D1011&amp;$C1011,生产方式定位!$A$2:$E$38,2,FALSE)+VLOOKUP($E1011&amp;$C1011,生产方式定位!$F$3:$J$38,2,FALSE),0)</f>
        <v>500</v>
      </c>
      <c r="S1011" s="5">
        <f>IFERROR(VLOOKUP($D1011&amp;$C1011,生产方式定位!$A$2:$E$38,3,FALSE)+VLOOKUP($E1011&amp;$C1011,生产方式定位!$F$3:$J$38,3,FALSE),0)</f>
        <v>150</v>
      </c>
      <c r="X1011" s="5">
        <f>IFERROR(VLOOKUP($D1011&amp;$C1011,生产方式定位!$A$2:$E$38,5,FALSE)+VLOOKUP($E1011&amp;$C1011,生产方式定位!$F$3:$J$38,5,FALSE),"错误")</f>
        <v>715</v>
      </c>
      <c r="Y1011" s="27" t="str">
        <f t="shared" si="255"/>
        <v/>
      </c>
      <c r="Z1011" s="50" t="str">
        <f t="shared" si="258"/>
        <v/>
      </c>
      <c r="AA1011" s="50" t="str">
        <f t="shared" si="256"/>
        <v/>
      </c>
      <c r="AB1011" s="28" t="str">
        <f t="shared" si="259"/>
        <v>43%</v>
      </c>
      <c r="AC1011" s="1">
        <f t="shared" si="260"/>
        <v>65</v>
      </c>
      <c r="AD1011" s="51">
        <f t="shared" si="257"/>
        <v>1</v>
      </c>
      <c r="AE1011" t="str">
        <f t="shared" si="261"/>
        <v/>
      </c>
      <c r="AF1011" t="str">
        <f t="shared" si="262"/>
        <v/>
      </c>
      <c r="AG1011" t="str">
        <f t="shared" si="263"/>
        <v/>
      </c>
      <c r="AH1011" t="str">
        <f t="shared" si="264"/>
        <v/>
      </c>
      <c r="AI1011" t="str">
        <f t="shared" si="265"/>
        <v/>
      </c>
      <c r="AJ1011" t="str">
        <f t="shared" si="266"/>
        <v/>
      </c>
      <c r="AK1011" t="str">
        <f t="shared" si="267"/>
        <v/>
      </c>
      <c r="AL1011" t="str">
        <f t="shared" si="268"/>
        <v/>
      </c>
      <c r="AN1011" t="str">
        <f>IFERROR(ROUND(L1011*(G1011/$AW1011)/VLOOKUP(F1011,商品!$A$4:$D$67,4,FALSE),0),"")</f>
        <v/>
      </c>
      <c r="AO1011" t="str">
        <f>IFERROR(ROUND(L1011*(I1011/$AW1011)/VLOOKUP(H1011,商品!$A$4:$D$67,4,FALSE),0),"")</f>
        <v/>
      </c>
      <c r="AP1011" t="str">
        <f>IFERROR(ROUND(L1011*(K1011/$AW1011)/VLOOKUP(J1011,商品!$A$4:$D$67,4,FALSE),0),"")</f>
        <v/>
      </c>
      <c r="AQ1011" t="str">
        <f>IFERROR(ROUND(S1011*(N1011/$AX1011)/VLOOKUP(M1011,职业!$A$3:$E$16,4,FALSE),0),"")</f>
        <v/>
      </c>
      <c r="AR1011" t="str">
        <f>IFERROR(ROUND(S1011*(P1011/$AX1011)/VLOOKUP(O1011,职业!$A$3:$E$16,4,FALSE),0),"")</f>
        <v/>
      </c>
      <c r="AS1011" t="str">
        <f>IFERROR(ROUND(S1011*(R1011/$AX1011)/VLOOKUP(Q1011,职业!$A$3:$E$16,4,FALSE),0),"")</f>
        <v/>
      </c>
      <c r="AT1011" t="str">
        <f>IFERROR(ROUND(X1011*(U1011/$AY1011)/VLOOKUP(T1011,商品!$A$4:$D$67,4,FALSE),0),"")</f>
        <v/>
      </c>
      <c r="AU1011" t="str">
        <f>IFERROR(ROUND(X1011*(W1011/$AY1011)/VLOOKUP(V1011,商品!$A$4:$D$67,4,FALSE),0),"")</f>
        <v/>
      </c>
      <c r="AW1011">
        <f t="shared" si="269"/>
        <v>0</v>
      </c>
      <c r="AX1011">
        <f t="shared" si="270"/>
        <v>0</v>
      </c>
      <c r="AY1011">
        <f t="shared" si="271"/>
        <v>0</v>
      </c>
    </row>
    <row r="1012" customHeight="1" spans="1:51">
      <c r="A1012" s="5" t="s">
        <v>469</v>
      </c>
      <c r="C1012" s="5">
        <v>2</v>
      </c>
      <c r="D1012" s="1" t="s">
        <v>220</v>
      </c>
      <c r="E1012" s="1" t="s">
        <v>224</v>
      </c>
      <c r="L1012" s="5">
        <f>IFERROR(VLOOKUP($D1012&amp;$C1012,生产方式定位!$A$2:$E$38,2,FALSE)+VLOOKUP($E1012&amp;$C1012,生产方式定位!$F$3:$J$38,2,FALSE),0)</f>
        <v>1200</v>
      </c>
      <c r="S1012" s="5">
        <f>IFERROR(VLOOKUP($D1012&amp;$C1012,生产方式定位!$A$2:$E$38,3,FALSE)+VLOOKUP($E1012&amp;$C1012,生产方式定位!$F$3:$J$38,3,FALSE),0)</f>
        <v>100</v>
      </c>
      <c r="X1012" s="5">
        <f>IFERROR(VLOOKUP($D1012&amp;$C1012,生产方式定位!$A$2:$E$38,5,FALSE)+VLOOKUP($E1012&amp;$C1012,生产方式定位!$F$3:$J$38,5,FALSE),"错误")</f>
        <v>1346</v>
      </c>
      <c r="Y1012" s="27" t="str">
        <f t="shared" si="255"/>
        <v/>
      </c>
      <c r="Z1012" s="50" t="str">
        <f t="shared" si="258"/>
        <v/>
      </c>
      <c r="AA1012" s="50" t="str">
        <f t="shared" si="256"/>
        <v/>
      </c>
      <c r="AB1012" s="28" t="str">
        <f t="shared" si="259"/>
        <v>12%</v>
      </c>
      <c r="AC1012" s="1">
        <f t="shared" si="260"/>
        <v>46</v>
      </c>
      <c r="AD1012" s="51">
        <f t="shared" si="257"/>
        <v>2</v>
      </c>
      <c r="AE1012" t="str">
        <f t="shared" si="261"/>
        <v/>
      </c>
      <c r="AF1012" t="str">
        <f t="shared" si="262"/>
        <v/>
      </c>
      <c r="AG1012" t="str">
        <f t="shared" si="263"/>
        <v/>
      </c>
      <c r="AH1012" t="str">
        <f t="shared" si="264"/>
        <v/>
      </c>
      <c r="AI1012" t="str">
        <f t="shared" si="265"/>
        <v/>
      </c>
      <c r="AJ1012" t="str">
        <f t="shared" si="266"/>
        <v/>
      </c>
      <c r="AK1012" t="str">
        <f t="shared" si="267"/>
        <v/>
      </c>
      <c r="AL1012" t="str">
        <f t="shared" si="268"/>
        <v/>
      </c>
      <c r="AN1012" t="str">
        <f>IFERROR(ROUND(L1012*(G1012/$AW1012)/VLOOKUP(F1012,商品!$A$4:$D$67,4,FALSE),0),"")</f>
        <v/>
      </c>
      <c r="AO1012" t="str">
        <f>IFERROR(ROUND(L1012*(I1012/$AW1012)/VLOOKUP(H1012,商品!$A$4:$D$67,4,FALSE),0),"")</f>
        <v/>
      </c>
      <c r="AP1012" t="str">
        <f>IFERROR(ROUND(L1012*(K1012/$AW1012)/VLOOKUP(J1012,商品!$A$4:$D$67,4,FALSE),0),"")</f>
        <v/>
      </c>
      <c r="AQ1012" t="str">
        <f>IFERROR(ROUND(S1012*(N1012/$AX1012)/VLOOKUP(M1012,职业!$A$3:$E$16,4,FALSE),0),"")</f>
        <v/>
      </c>
      <c r="AR1012" t="str">
        <f>IFERROR(ROUND(S1012*(P1012/$AX1012)/VLOOKUP(O1012,职业!$A$3:$E$16,4,FALSE),0),"")</f>
        <v/>
      </c>
      <c r="AS1012" t="str">
        <f>IFERROR(ROUND(S1012*(R1012/$AX1012)/VLOOKUP(Q1012,职业!$A$3:$E$16,4,FALSE),0),"")</f>
        <v/>
      </c>
      <c r="AT1012" t="str">
        <f>IFERROR(ROUND(X1012*(U1012/$AY1012)/VLOOKUP(T1012,商品!$A$4:$D$67,4,FALSE),0),"")</f>
        <v/>
      </c>
      <c r="AU1012" t="str">
        <f>IFERROR(ROUND(X1012*(W1012/$AY1012)/VLOOKUP(V1012,商品!$A$4:$D$67,4,FALSE),0),"")</f>
        <v/>
      </c>
      <c r="AW1012">
        <f t="shared" si="269"/>
        <v>0</v>
      </c>
      <c r="AX1012">
        <f t="shared" si="270"/>
        <v>0</v>
      </c>
      <c r="AY1012">
        <f t="shared" si="271"/>
        <v>0</v>
      </c>
    </row>
    <row r="1013" customHeight="1" spans="1:51">
      <c r="A1013" s="5" t="s">
        <v>469</v>
      </c>
      <c r="C1013" s="5">
        <v>3</v>
      </c>
      <c r="D1013" s="1" t="s">
        <v>220</v>
      </c>
      <c r="E1013" s="1" t="s">
        <v>224</v>
      </c>
      <c r="L1013" s="5">
        <f>IFERROR(VLOOKUP($D1013&amp;$C1013,生产方式定位!$A$2:$E$38,2,FALSE)+VLOOKUP($E1013&amp;$C1013,生产方式定位!$F$3:$J$38,2,FALSE),0)</f>
        <v>1900</v>
      </c>
      <c r="S1013" s="5">
        <f>IFERROR(VLOOKUP($D1013&amp;$C1013,生产方式定位!$A$2:$E$38,3,FALSE)+VLOOKUP($E1013&amp;$C1013,生产方式定位!$F$3:$J$38,3,FALSE),0)</f>
        <v>70</v>
      </c>
      <c r="X1013" s="5">
        <f>IFERROR(VLOOKUP($D1013&amp;$C1013,生产方式定位!$A$2:$E$38,5,FALSE)+VLOOKUP($E1013&amp;$C1013,生产方式定位!$F$3:$J$38,5,FALSE),"错误")</f>
        <v>2064</v>
      </c>
      <c r="Y1013" s="27" t="str">
        <f t="shared" si="255"/>
        <v/>
      </c>
      <c r="Z1013" s="50" t="str">
        <f t="shared" si="258"/>
        <v/>
      </c>
      <c r="AA1013" s="50" t="str">
        <f t="shared" si="256"/>
        <v/>
      </c>
      <c r="AB1013" s="28" t="str">
        <f t="shared" si="259"/>
        <v>9%</v>
      </c>
      <c r="AC1013" s="1">
        <f t="shared" si="260"/>
        <v>94</v>
      </c>
      <c r="AD1013" s="51">
        <f t="shared" si="257"/>
        <v>3</v>
      </c>
      <c r="AE1013" t="str">
        <f t="shared" si="261"/>
        <v/>
      </c>
      <c r="AF1013" t="str">
        <f t="shared" si="262"/>
        <v/>
      </c>
      <c r="AG1013" t="str">
        <f t="shared" si="263"/>
        <v/>
      </c>
      <c r="AH1013" t="str">
        <f t="shared" si="264"/>
        <v/>
      </c>
      <c r="AI1013" t="str">
        <f t="shared" si="265"/>
        <v/>
      </c>
      <c r="AJ1013" t="str">
        <f t="shared" si="266"/>
        <v/>
      </c>
      <c r="AK1013" t="str">
        <f t="shared" si="267"/>
        <v/>
      </c>
      <c r="AL1013" t="str">
        <f t="shared" si="268"/>
        <v/>
      </c>
      <c r="AN1013" t="str">
        <f>IFERROR(ROUND(L1013*(G1013/$AW1013)/VLOOKUP(F1013,商品!$A$4:$D$67,4,FALSE),0),"")</f>
        <v/>
      </c>
      <c r="AO1013" t="str">
        <f>IFERROR(ROUND(L1013*(I1013/$AW1013)/VLOOKUP(H1013,商品!$A$4:$D$67,4,FALSE),0),"")</f>
        <v/>
      </c>
      <c r="AP1013" t="str">
        <f>IFERROR(ROUND(L1013*(K1013/$AW1013)/VLOOKUP(J1013,商品!$A$4:$D$67,4,FALSE),0),"")</f>
        <v/>
      </c>
      <c r="AQ1013" t="str">
        <f>IFERROR(ROUND(S1013*(N1013/$AX1013)/VLOOKUP(M1013,职业!$A$3:$E$16,4,FALSE),0),"")</f>
        <v/>
      </c>
      <c r="AR1013" t="str">
        <f>IFERROR(ROUND(S1013*(P1013/$AX1013)/VLOOKUP(O1013,职业!$A$3:$E$16,4,FALSE),0),"")</f>
        <v/>
      </c>
      <c r="AS1013" t="str">
        <f>IFERROR(ROUND(S1013*(R1013/$AX1013)/VLOOKUP(Q1013,职业!$A$3:$E$16,4,FALSE),0),"")</f>
        <v/>
      </c>
      <c r="AT1013" t="str">
        <f>IFERROR(ROUND(X1013*(U1013/$AY1013)/VLOOKUP(T1013,商品!$A$4:$D$67,4,FALSE),0),"")</f>
        <v/>
      </c>
      <c r="AU1013" t="str">
        <f>IFERROR(ROUND(X1013*(W1013/$AY1013)/VLOOKUP(V1013,商品!$A$4:$D$67,4,FALSE),0),"")</f>
        <v/>
      </c>
      <c r="AW1013">
        <f t="shared" si="269"/>
        <v>0</v>
      </c>
      <c r="AX1013">
        <f t="shared" si="270"/>
        <v>0</v>
      </c>
      <c r="AY1013">
        <f t="shared" si="271"/>
        <v>0</v>
      </c>
    </row>
    <row r="1014" customHeight="1" spans="1:51">
      <c r="A1014" s="5" t="s">
        <v>469</v>
      </c>
      <c r="C1014" s="5">
        <v>4</v>
      </c>
      <c r="D1014" s="1" t="s">
        <v>220</v>
      </c>
      <c r="E1014" s="1" t="s">
        <v>224</v>
      </c>
      <c r="L1014" s="5">
        <f>IFERROR(VLOOKUP($D1014&amp;$C1014,生产方式定位!$A$2:$E$38,2,FALSE)+VLOOKUP($E1014&amp;$C1014,生产方式定位!$F$3:$J$38,2,FALSE),0)</f>
        <v>2600</v>
      </c>
      <c r="S1014" s="5">
        <f>IFERROR(VLOOKUP($D1014&amp;$C1014,生产方式定位!$A$2:$E$38,3,FALSE)+VLOOKUP($E1014&amp;$C1014,生产方式定位!$F$3:$J$38,3,FALSE),0)</f>
        <v>40</v>
      </c>
      <c r="X1014" s="5">
        <f>IFERROR(VLOOKUP($D1014&amp;$C1014,生产方式定位!$A$2:$E$38,5,FALSE)+VLOOKUP($E1014&amp;$C1014,生产方式定位!$F$3:$J$38,5,FALSE),"错误")</f>
        <v>2782</v>
      </c>
      <c r="Y1014" s="27" t="str">
        <f t="shared" si="255"/>
        <v/>
      </c>
      <c r="Z1014" s="50" t="str">
        <f t="shared" si="258"/>
        <v/>
      </c>
      <c r="AA1014" s="50" t="str">
        <f t="shared" si="256"/>
        <v/>
      </c>
      <c r="AB1014" s="28" t="str">
        <f t="shared" si="259"/>
        <v>7%</v>
      </c>
      <c r="AC1014" s="1">
        <f t="shared" si="260"/>
        <v>142</v>
      </c>
      <c r="AD1014" s="51">
        <f t="shared" si="257"/>
        <v>4</v>
      </c>
      <c r="AE1014" t="str">
        <f t="shared" si="261"/>
        <v/>
      </c>
      <c r="AF1014" t="str">
        <f t="shared" si="262"/>
        <v/>
      </c>
      <c r="AG1014" t="str">
        <f t="shared" si="263"/>
        <v/>
      </c>
      <c r="AH1014" t="str">
        <f t="shared" si="264"/>
        <v/>
      </c>
      <c r="AI1014" t="str">
        <f t="shared" si="265"/>
        <v/>
      </c>
      <c r="AJ1014" t="str">
        <f t="shared" si="266"/>
        <v/>
      </c>
      <c r="AK1014" t="str">
        <f t="shared" si="267"/>
        <v/>
      </c>
      <c r="AL1014" t="str">
        <f t="shared" si="268"/>
        <v/>
      </c>
      <c r="AN1014" t="str">
        <f>IFERROR(ROUND(L1014*(G1014/$AW1014)/VLOOKUP(F1014,商品!$A$4:$D$67,4,FALSE),0),"")</f>
        <v/>
      </c>
      <c r="AO1014" t="str">
        <f>IFERROR(ROUND(L1014*(I1014/$AW1014)/VLOOKUP(H1014,商品!$A$4:$D$67,4,FALSE),0),"")</f>
        <v/>
      </c>
      <c r="AP1014" t="str">
        <f>IFERROR(ROUND(L1014*(K1014/$AW1014)/VLOOKUP(J1014,商品!$A$4:$D$67,4,FALSE),0),"")</f>
        <v/>
      </c>
      <c r="AQ1014" t="str">
        <f>IFERROR(ROUND(S1014*(N1014/$AX1014)/VLOOKUP(M1014,职业!$A$3:$E$16,4,FALSE),0),"")</f>
        <v/>
      </c>
      <c r="AR1014" t="str">
        <f>IFERROR(ROUND(S1014*(P1014/$AX1014)/VLOOKUP(O1014,职业!$A$3:$E$16,4,FALSE),0),"")</f>
        <v/>
      </c>
      <c r="AS1014" t="str">
        <f>IFERROR(ROUND(S1014*(R1014/$AX1014)/VLOOKUP(Q1014,职业!$A$3:$E$16,4,FALSE),0),"")</f>
        <v/>
      </c>
      <c r="AT1014" t="str">
        <f>IFERROR(ROUND(X1014*(U1014/$AY1014)/VLOOKUP(T1014,商品!$A$4:$D$67,4,FALSE),0),"")</f>
        <v/>
      </c>
      <c r="AU1014" t="str">
        <f>IFERROR(ROUND(X1014*(W1014/$AY1014)/VLOOKUP(V1014,商品!$A$4:$D$67,4,FALSE),0),"")</f>
        <v/>
      </c>
      <c r="AW1014">
        <f t="shared" si="269"/>
        <v>0</v>
      </c>
      <c r="AX1014">
        <f t="shared" si="270"/>
        <v>0</v>
      </c>
      <c r="AY1014">
        <f t="shared" si="271"/>
        <v>0</v>
      </c>
    </row>
    <row r="1015" customHeight="1" spans="1:51">
      <c r="A1015" s="5" t="s">
        <v>469</v>
      </c>
      <c r="C1015" s="5">
        <v>5</v>
      </c>
      <c r="D1015" s="1" t="s">
        <v>220</v>
      </c>
      <c r="E1015" s="1" t="s">
        <v>224</v>
      </c>
      <c r="L1015" s="5">
        <f>IFERROR(VLOOKUP($D1015&amp;$C1015,生产方式定位!$A$2:$E$38,2,FALSE)+VLOOKUP($E1015&amp;$C1015,生产方式定位!$F$3:$J$38,2,FALSE),0)</f>
        <v>3300</v>
      </c>
      <c r="S1015" s="5">
        <f>IFERROR(VLOOKUP($D1015&amp;$C1015,生产方式定位!$A$2:$E$38,3,FALSE)+VLOOKUP($E1015&amp;$C1015,生产方式定位!$F$3:$J$38,3,FALSE),0)</f>
        <v>10</v>
      </c>
      <c r="X1015" s="5">
        <f>IFERROR(VLOOKUP($D1015&amp;$C1015,生产方式定位!$A$2:$E$38,5,FALSE)+VLOOKUP($E1015&amp;$C1015,生产方式定位!$F$3:$J$38,5,FALSE),"错误")</f>
        <v>3500</v>
      </c>
      <c r="Y1015" s="27" t="str">
        <f t="shared" si="255"/>
        <v/>
      </c>
      <c r="Z1015" s="50" t="str">
        <f t="shared" si="258"/>
        <v/>
      </c>
      <c r="AA1015" s="50" t="str">
        <f t="shared" si="256"/>
        <v/>
      </c>
      <c r="AB1015" s="28" t="str">
        <f t="shared" si="259"/>
        <v>6%</v>
      </c>
      <c r="AC1015" s="1">
        <f t="shared" si="260"/>
        <v>190</v>
      </c>
      <c r="AD1015" s="51">
        <f t="shared" si="257"/>
        <v>5</v>
      </c>
      <c r="AE1015" t="str">
        <f t="shared" si="261"/>
        <v/>
      </c>
      <c r="AF1015" t="str">
        <f t="shared" si="262"/>
        <v/>
      </c>
      <c r="AG1015" t="str">
        <f t="shared" si="263"/>
        <v/>
      </c>
      <c r="AH1015" t="str">
        <f t="shared" si="264"/>
        <v/>
      </c>
      <c r="AI1015" t="str">
        <f t="shared" si="265"/>
        <v/>
      </c>
      <c r="AJ1015" t="str">
        <f t="shared" si="266"/>
        <v/>
      </c>
      <c r="AK1015" t="str">
        <f t="shared" si="267"/>
        <v/>
      </c>
      <c r="AL1015" t="str">
        <f t="shared" si="268"/>
        <v/>
      </c>
      <c r="AN1015" t="str">
        <f>IFERROR(ROUND(L1015*(G1015/$AW1015)/VLOOKUP(F1015,商品!$A$4:$D$67,4,FALSE),0),"")</f>
        <v/>
      </c>
      <c r="AO1015" t="str">
        <f>IFERROR(ROUND(L1015*(I1015/$AW1015)/VLOOKUP(H1015,商品!$A$4:$D$67,4,FALSE),0),"")</f>
        <v/>
      </c>
      <c r="AP1015" t="str">
        <f>IFERROR(ROUND(L1015*(K1015/$AW1015)/VLOOKUP(J1015,商品!$A$4:$D$67,4,FALSE),0),"")</f>
        <v/>
      </c>
      <c r="AQ1015" t="str">
        <f>IFERROR(ROUND(S1015*(N1015/$AX1015)/VLOOKUP(M1015,职业!$A$3:$E$16,4,FALSE),0),"")</f>
        <v/>
      </c>
      <c r="AR1015" t="str">
        <f>IFERROR(ROUND(S1015*(P1015/$AX1015)/VLOOKUP(O1015,职业!$A$3:$E$16,4,FALSE),0),"")</f>
        <v/>
      </c>
      <c r="AS1015" t="str">
        <f>IFERROR(ROUND(S1015*(R1015/$AX1015)/VLOOKUP(Q1015,职业!$A$3:$E$16,4,FALSE),0),"")</f>
        <v/>
      </c>
      <c r="AT1015" t="str">
        <f>IFERROR(ROUND(X1015*(U1015/$AY1015)/VLOOKUP(T1015,商品!$A$4:$D$67,4,FALSE),0),"")</f>
        <v/>
      </c>
      <c r="AU1015" t="str">
        <f>IFERROR(ROUND(X1015*(W1015/$AY1015)/VLOOKUP(V1015,商品!$A$4:$D$67,4,FALSE),0),"")</f>
        <v/>
      </c>
      <c r="AW1015">
        <f t="shared" si="269"/>
        <v>0</v>
      </c>
      <c r="AX1015">
        <f t="shared" si="270"/>
        <v>0</v>
      </c>
      <c r="AY1015">
        <f t="shared" si="271"/>
        <v>0</v>
      </c>
    </row>
    <row r="1016" customHeight="1" spans="1:51">
      <c r="A1016" s="18" t="s">
        <v>470</v>
      </c>
      <c r="C1016" s="18">
        <v>1</v>
      </c>
      <c r="D1016" s="1" t="s">
        <v>291</v>
      </c>
      <c r="E1016" s="1" t="s">
        <v>225</v>
      </c>
      <c r="L1016" s="18">
        <f>IFERROR(VLOOKUP($D1016&amp;$C1016,生产方式定位!$A$2:$E$38,2,FALSE)+VLOOKUP($E1016&amp;$C1016,生产方式定位!$F$3:$J$38,2,FALSE),0)</f>
        <v>0</v>
      </c>
      <c r="S1016" s="18">
        <f>IFERROR(VLOOKUP($D1016&amp;$C1016,生产方式定位!$A$2:$E$38,3,FALSE)+VLOOKUP($E1016&amp;$C1016,生产方式定位!$F$3:$J$38,3,FALSE),0)</f>
        <v>100</v>
      </c>
      <c r="X1016" s="18">
        <f>IFERROR(VLOOKUP($D1016&amp;$C1016,生产方式定位!$A$2:$E$38,5,FALSE)+VLOOKUP($E1016&amp;$C1016,生产方式定位!$F$3:$J$38,5,FALSE),"错误")</f>
        <v>100</v>
      </c>
      <c r="Y1016" s="27" t="str">
        <f t="shared" si="255"/>
        <v/>
      </c>
      <c r="Z1016" s="50" t="str">
        <f t="shared" si="258"/>
        <v/>
      </c>
      <c r="AA1016" s="50" t="str">
        <f t="shared" si="256"/>
        <v/>
      </c>
      <c r="AB1016" s="28" t="str">
        <f t="shared" si="259"/>
        <v/>
      </c>
      <c r="AC1016" s="1" t="str">
        <f t="shared" si="260"/>
        <v/>
      </c>
      <c r="AD1016" s="52">
        <f t="shared" si="257"/>
        <v>1</v>
      </c>
      <c r="AE1016" t="str">
        <f t="shared" si="261"/>
        <v/>
      </c>
      <c r="AF1016" t="str">
        <f t="shared" si="262"/>
        <v/>
      </c>
      <c r="AG1016" t="str">
        <f t="shared" si="263"/>
        <v/>
      </c>
      <c r="AH1016" t="str">
        <f t="shared" si="264"/>
        <v/>
      </c>
      <c r="AI1016" t="str">
        <f t="shared" si="265"/>
        <v/>
      </c>
      <c r="AJ1016" t="str">
        <f t="shared" si="266"/>
        <v/>
      </c>
      <c r="AK1016" t="str">
        <f t="shared" si="267"/>
        <v/>
      </c>
      <c r="AL1016" t="str">
        <f t="shared" si="268"/>
        <v/>
      </c>
      <c r="AN1016" t="str">
        <f>IFERROR(ROUND(L1016*(G1016/$AW1016)/VLOOKUP(F1016,商品!$A$4:$D$67,4,FALSE),0),"")</f>
        <v/>
      </c>
      <c r="AO1016" t="str">
        <f>IFERROR(ROUND(L1016*(I1016/$AW1016)/VLOOKUP(H1016,商品!$A$4:$D$67,4,FALSE),0),"")</f>
        <v/>
      </c>
      <c r="AP1016" t="str">
        <f>IFERROR(ROUND(L1016*(K1016/$AW1016)/VLOOKUP(J1016,商品!$A$4:$D$67,4,FALSE),0),"")</f>
        <v/>
      </c>
      <c r="AQ1016" t="str">
        <f>IFERROR(ROUND(S1016*(N1016/$AX1016)/VLOOKUP(M1016,职业!$A$3:$E$16,4,FALSE),0),"")</f>
        <v/>
      </c>
      <c r="AR1016" t="str">
        <f>IFERROR(ROUND(S1016*(P1016/$AX1016)/VLOOKUP(O1016,职业!$A$3:$E$16,4,FALSE),0),"")</f>
        <v/>
      </c>
      <c r="AS1016" t="str">
        <f>IFERROR(ROUND(S1016*(R1016/$AX1016)/VLOOKUP(Q1016,职业!$A$3:$E$16,4,FALSE),0),"")</f>
        <v/>
      </c>
      <c r="AT1016" t="str">
        <f>IFERROR(ROUND(X1016*(U1016/$AY1016)/VLOOKUP(T1016,商品!$A$4:$D$67,4,FALSE),0),"")</f>
        <v/>
      </c>
      <c r="AU1016" t="str">
        <f>IFERROR(ROUND(X1016*(W1016/$AY1016)/VLOOKUP(V1016,商品!$A$4:$D$67,4,FALSE),0),"")</f>
        <v/>
      </c>
      <c r="AW1016">
        <f t="shared" si="269"/>
        <v>0</v>
      </c>
      <c r="AX1016">
        <f t="shared" si="270"/>
        <v>0</v>
      </c>
      <c r="AY1016">
        <f t="shared" si="271"/>
        <v>0</v>
      </c>
    </row>
    <row r="1017" customHeight="1" spans="1:51">
      <c r="A1017" s="18" t="s">
        <v>470</v>
      </c>
      <c r="C1017" s="18">
        <v>2</v>
      </c>
      <c r="D1017" s="1" t="s">
        <v>291</v>
      </c>
      <c r="E1017" s="1" t="s">
        <v>225</v>
      </c>
      <c r="L1017" s="18">
        <f>IFERROR(VLOOKUP($D1017&amp;$C1017,生产方式定位!$A$2:$E$38,2,FALSE)+VLOOKUP($E1017&amp;$C1017,生产方式定位!$F$3:$J$38,2,FALSE),0)</f>
        <v>0</v>
      </c>
      <c r="S1017" s="18">
        <f>IFERROR(VLOOKUP($D1017&amp;$C1017,生产方式定位!$A$2:$E$38,3,FALSE)+VLOOKUP($E1017&amp;$C1017,生产方式定位!$F$3:$J$38,3,FALSE),0)</f>
        <v>100</v>
      </c>
      <c r="X1017" s="18">
        <f>IFERROR(VLOOKUP($D1017&amp;$C1017,生产方式定位!$A$2:$E$38,5,FALSE)+VLOOKUP($E1017&amp;$C1017,生产方式定位!$F$3:$J$38,5,FALSE),"错误")</f>
        <v>100</v>
      </c>
      <c r="Y1017" s="27" t="str">
        <f t="shared" si="255"/>
        <v/>
      </c>
      <c r="Z1017" s="50" t="str">
        <f t="shared" si="258"/>
        <v/>
      </c>
      <c r="AA1017" s="50" t="str">
        <f t="shared" si="256"/>
        <v/>
      </c>
      <c r="AB1017" s="28" t="str">
        <f t="shared" si="259"/>
        <v/>
      </c>
      <c r="AC1017" s="1" t="str">
        <f t="shared" si="260"/>
        <v/>
      </c>
      <c r="AD1017" s="52">
        <f t="shared" si="257"/>
        <v>2</v>
      </c>
      <c r="AE1017" t="str">
        <f t="shared" si="261"/>
        <v/>
      </c>
      <c r="AF1017" t="str">
        <f t="shared" si="262"/>
        <v/>
      </c>
      <c r="AG1017" t="str">
        <f t="shared" si="263"/>
        <v/>
      </c>
      <c r="AH1017" t="str">
        <f t="shared" si="264"/>
        <v/>
      </c>
      <c r="AI1017" t="str">
        <f t="shared" si="265"/>
        <v/>
      </c>
      <c r="AJ1017" t="str">
        <f t="shared" si="266"/>
        <v/>
      </c>
      <c r="AK1017" t="str">
        <f t="shared" si="267"/>
        <v/>
      </c>
      <c r="AL1017" t="str">
        <f t="shared" si="268"/>
        <v/>
      </c>
      <c r="AN1017" t="str">
        <f>IFERROR(ROUND(L1017*(G1017/$AW1017)/VLOOKUP(F1017,商品!$A$4:$D$67,4,FALSE),0),"")</f>
        <v/>
      </c>
      <c r="AO1017" t="str">
        <f>IFERROR(ROUND(L1017*(I1017/$AW1017)/VLOOKUP(H1017,商品!$A$4:$D$67,4,FALSE),0),"")</f>
        <v/>
      </c>
      <c r="AP1017" t="str">
        <f>IFERROR(ROUND(L1017*(K1017/$AW1017)/VLOOKUP(J1017,商品!$A$4:$D$67,4,FALSE),0),"")</f>
        <v/>
      </c>
      <c r="AQ1017" t="str">
        <f>IFERROR(ROUND(S1017*(N1017/$AX1017)/VLOOKUP(M1017,职业!$A$3:$E$16,4,FALSE),0),"")</f>
        <v/>
      </c>
      <c r="AR1017" t="str">
        <f>IFERROR(ROUND(S1017*(P1017/$AX1017)/VLOOKUP(O1017,职业!$A$3:$E$16,4,FALSE),0),"")</f>
        <v/>
      </c>
      <c r="AS1017" t="str">
        <f>IFERROR(ROUND(S1017*(R1017/$AX1017)/VLOOKUP(Q1017,职业!$A$3:$E$16,4,FALSE),0),"")</f>
        <v/>
      </c>
      <c r="AT1017" t="str">
        <f>IFERROR(ROUND(X1017*(U1017/$AY1017)/VLOOKUP(T1017,商品!$A$4:$D$67,4,FALSE),0),"")</f>
        <v/>
      </c>
      <c r="AU1017" t="str">
        <f>IFERROR(ROUND(X1017*(W1017/$AY1017)/VLOOKUP(V1017,商品!$A$4:$D$67,4,FALSE),0),"")</f>
        <v/>
      </c>
      <c r="AW1017">
        <f t="shared" si="269"/>
        <v>0</v>
      </c>
      <c r="AX1017">
        <f t="shared" si="270"/>
        <v>0</v>
      </c>
      <c r="AY1017">
        <f t="shared" si="271"/>
        <v>0</v>
      </c>
    </row>
    <row r="1018" customHeight="1" spans="1:51">
      <c r="A1018" s="18" t="s">
        <v>470</v>
      </c>
      <c r="C1018" s="18">
        <v>3</v>
      </c>
      <c r="D1018" s="1" t="s">
        <v>291</v>
      </c>
      <c r="E1018" s="1" t="s">
        <v>225</v>
      </c>
      <c r="L1018" s="18">
        <f>IFERROR(VLOOKUP($D1018&amp;$C1018,生产方式定位!$A$2:$E$38,2,FALSE)+VLOOKUP($E1018&amp;$C1018,生产方式定位!$F$3:$J$38,2,FALSE),0)</f>
        <v>0</v>
      </c>
      <c r="S1018" s="18">
        <f>IFERROR(VLOOKUP($D1018&amp;$C1018,生产方式定位!$A$2:$E$38,3,FALSE)+VLOOKUP($E1018&amp;$C1018,生产方式定位!$F$3:$J$38,3,FALSE),0)</f>
        <v>100</v>
      </c>
      <c r="X1018" s="18">
        <f>IFERROR(VLOOKUP($D1018&amp;$C1018,生产方式定位!$A$2:$E$38,5,FALSE)+VLOOKUP($E1018&amp;$C1018,生产方式定位!$F$3:$J$38,5,FALSE),"错误")</f>
        <v>100</v>
      </c>
      <c r="Y1018" s="27" t="str">
        <f t="shared" si="255"/>
        <v/>
      </c>
      <c r="Z1018" s="50" t="str">
        <f t="shared" si="258"/>
        <v/>
      </c>
      <c r="AA1018" s="50" t="str">
        <f t="shared" si="256"/>
        <v/>
      </c>
      <c r="AB1018" s="28" t="str">
        <f t="shared" si="259"/>
        <v/>
      </c>
      <c r="AC1018" s="1" t="str">
        <f t="shared" si="260"/>
        <v/>
      </c>
      <c r="AD1018" s="52">
        <f t="shared" si="257"/>
        <v>3</v>
      </c>
      <c r="AE1018" t="str">
        <f t="shared" si="261"/>
        <v/>
      </c>
      <c r="AF1018" t="str">
        <f t="shared" si="262"/>
        <v/>
      </c>
      <c r="AG1018" t="str">
        <f t="shared" si="263"/>
        <v/>
      </c>
      <c r="AH1018" t="str">
        <f t="shared" si="264"/>
        <v/>
      </c>
      <c r="AI1018" t="str">
        <f t="shared" si="265"/>
        <v/>
      </c>
      <c r="AJ1018" t="str">
        <f t="shared" si="266"/>
        <v/>
      </c>
      <c r="AK1018" t="str">
        <f t="shared" si="267"/>
        <v/>
      </c>
      <c r="AL1018" t="str">
        <f t="shared" si="268"/>
        <v/>
      </c>
      <c r="AN1018" t="str">
        <f>IFERROR(ROUND(L1018*(G1018/$AW1018)/VLOOKUP(F1018,商品!$A$4:$D$67,4,FALSE),0),"")</f>
        <v/>
      </c>
      <c r="AO1018" t="str">
        <f>IFERROR(ROUND(L1018*(I1018/$AW1018)/VLOOKUP(H1018,商品!$A$4:$D$67,4,FALSE),0),"")</f>
        <v/>
      </c>
      <c r="AP1018" t="str">
        <f>IFERROR(ROUND(L1018*(K1018/$AW1018)/VLOOKUP(J1018,商品!$A$4:$D$67,4,FALSE),0),"")</f>
        <v/>
      </c>
      <c r="AQ1018" t="str">
        <f>IFERROR(ROUND(S1018*(N1018/$AX1018)/VLOOKUP(M1018,职业!$A$3:$E$16,4,FALSE),0),"")</f>
        <v/>
      </c>
      <c r="AR1018" t="str">
        <f>IFERROR(ROUND(S1018*(P1018/$AX1018)/VLOOKUP(O1018,职业!$A$3:$E$16,4,FALSE),0),"")</f>
        <v/>
      </c>
      <c r="AS1018" t="str">
        <f>IFERROR(ROUND(S1018*(R1018/$AX1018)/VLOOKUP(Q1018,职业!$A$3:$E$16,4,FALSE),0),"")</f>
        <v/>
      </c>
      <c r="AT1018" t="str">
        <f>IFERROR(ROUND(X1018*(U1018/$AY1018)/VLOOKUP(T1018,商品!$A$4:$D$67,4,FALSE),0),"")</f>
        <v/>
      </c>
      <c r="AU1018" t="str">
        <f>IFERROR(ROUND(X1018*(W1018/$AY1018)/VLOOKUP(V1018,商品!$A$4:$D$67,4,FALSE),0),"")</f>
        <v/>
      </c>
      <c r="AW1018">
        <f t="shared" si="269"/>
        <v>0</v>
      </c>
      <c r="AX1018">
        <f t="shared" si="270"/>
        <v>0</v>
      </c>
      <c r="AY1018">
        <f t="shared" si="271"/>
        <v>0</v>
      </c>
    </row>
    <row r="1019" customHeight="1" spans="1:51">
      <c r="A1019" s="18" t="s">
        <v>470</v>
      </c>
      <c r="C1019" s="18">
        <v>4</v>
      </c>
      <c r="D1019" s="1" t="s">
        <v>291</v>
      </c>
      <c r="E1019" s="1" t="s">
        <v>225</v>
      </c>
      <c r="L1019" s="18">
        <f>IFERROR(VLOOKUP($D1019&amp;$C1019,生产方式定位!$A$2:$E$38,2,FALSE)+VLOOKUP($E1019&amp;$C1019,生产方式定位!$F$3:$J$38,2,FALSE),0)</f>
        <v>0</v>
      </c>
      <c r="S1019" s="18">
        <f>IFERROR(VLOOKUP($D1019&amp;$C1019,生产方式定位!$A$2:$E$38,3,FALSE)+VLOOKUP($E1019&amp;$C1019,生产方式定位!$F$3:$J$38,3,FALSE),0)</f>
        <v>100</v>
      </c>
      <c r="X1019" s="18">
        <f>IFERROR(VLOOKUP($D1019&amp;$C1019,生产方式定位!$A$2:$E$38,5,FALSE)+VLOOKUP($E1019&amp;$C1019,生产方式定位!$F$3:$J$38,5,FALSE),"错误")</f>
        <v>100</v>
      </c>
      <c r="Y1019" s="27" t="str">
        <f t="shared" si="255"/>
        <v/>
      </c>
      <c r="Z1019" s="50" t="str">
        <f t="shared" si="258"/>
        <v/>
      </c>
      <c r="AA1019" s="50" t="str">
        <f t="shared" si="256"/>
        <v/>
      </c>
      <c r="AB1019" s="28" t="str">
        <f t="shared" si="259"/>
        <v/>
      </c>
      <c r="AC1019" s="1" t="str">
        <f t="shared" si="260"/>
        <v/>
      </c>
      <c r="AD1019" s="52">
        <f t="shared" si="257"/>
        <v>4</v>
      </c>
      <c r="AE1019" t="str">
        <f t="shared" si="261"/>
        <v/>
      </c>
      <c r="AF1019" t="str">
        <f t="shared" si="262"/>
        <v/>
      </c>
      <c r="AG1019" t="str">
        <f t="shared" si="263"/>
        <v/>
      </c>
      <c r="AH1019" t="str">
        <f t="shared" si="264"/>
        <v/>
      </c>
      <c r="AI1019" t="str">
        <f t="shared" si="265"/>
        <v/>
      </c>
      <c r="AJ1019" t="str">
        <f t="shared" si="266"/>
        <v/>
      </c>
      <c r="AK1019" t="str">
        <f t="shared" si="267"/>
        <v/>
      </c>
      <c r="AL1019" t="str">
        <f t="shared" si="268"/>
        <v/>
      </c>
      <c r="AN1019" t="str">
        <f>IFERROR(ROUND(L1019*(G1019/$AW1019)/VLOOKUP(F1019,商品!$A$4:$D$67,4,FALSE),0),"")</f>
        <v/>
      </c>
      <c r="AO1019" t="str">
        <f>IFERROR(ROUND(L1019*(I1019/$AW1019)/VLOOKUP(H1019,商品!$A$4:$D$67,4,FALSE),0),"")</f>
        <v/>
      </c>
      <c r="AP1019" t="str">
        <f>IFERROR(ROUND(L1019*(K1019/$AW1019)/VLOOKUP(J1019,商品!$A$4:$D$67,4,FALSE),0),"")</f>
        <v/>
      </c>
      <c r="AQ1019" t="str">
        <f>IFERROR(ROUND(S1019*(N1019/$AX1019)/VLOOKUP(M1019,职业!$A$3:$E$16,4,FALSE),0),"")</f>
        <v/>
      </c>
      <c r="AR1019" t="str">
        <f>IFERROR(ROUND(S1019*(P1019/$AX1019)/VLOOKUP(O1019,职业!$A$3:$E$16,4,FALSE),0),"")</f>
        <v/>
      </c>
      <c r="AS1019" t="str">
        <f>IFERROR(ROUND(S1019*(R1019/$AX1019)/VLOOKUP(Q1019,职业!$A$3:$E$16,4,FALSE),0),"")</f>
        <v/>
      </c>
      <c r="AT1019" t="str">
        <f>IFERROR(ROUND(X1019*(U1019/$AY1019)/VLOOKUP(T1019,商品!$A$4:$D$67,4,FALSE),0),"")</f>
        <v/>
      </c>
      <c r="AU1019" t="str">
        <f>IFERROR(ROUND(X1019*(W1019/$AY1019)/VLOOKUP(V1019,商品!$A$4:$D$67,4,FALSE),0),"")</f>
        <v/>
      </c>
      <c r="AW1019">
        <f t="shared" si="269"/>
        <v>0</v>
      </c>
      <c r="AX1019">
        <f t="shared" si="270"/>
        <v>0</v>
      </c>
      <c r="AY1019">
        <f t="shared" si="271"/>
        <v>0</v>
      </c>
    </row>
    <row r="1020" customHeight="1" spans="1:51">
      <c r="A1020" s="18" t="s">
        <v>470</v>
      </c>
      <c r="C1020" s="18">
        <v>5</v>
      </c>
      <c r="D1020" s="1" t="s">
        <v>291</v>
      </c>
      <c r="E1020" s="1" t="s">
        <v>225</v>
      </c>
      <c r="L1020" s="18">
        <f>IFERROR(VLOOKUP($D1020&amp;$C1020,生产方式定位!$A$2:$E$38,2,FALSE)+VLOOKUP($E1020&amp;$C1020,生产方式定位!$F$3:$J$38,2,FALSE),0)</f>
        <v>0</v>
      </c>
      <c r="S1020" s="18">
        <f>IFERROR(VLOOKUP($D1020&amp;$C1020,生产方式定位!$A$2:$E$38,3,FALSE)+VLOOKUP($E1020&amp;$C1020,生产方式定位!$F$3:$J$38,3,FALSE),0)</f>
        <v>100</v>
      </c>
      <c r="X1020" s="18">
        <f>IFERROR(VLOOKUP($D1020&amp;$C1020,生产方式定位!$A$2:$E$38,5,FALSE)+VLOOKUP($E1020&amp;$C1020,生产方式定位!$F$3:$J$38,5,FALSE),"错误")</f>
        <v>100</v>
      </c>
      <c r="Y1020" s="27" t="str">
        <f t="shared" si="255"/>
        <v/>
      </c>
      <c r="Z1020" s="50" t="str">
        <f t="shared" si="258"/>
        <v/>
      </c>
      <c r="AA1020" s="50" t="str">
        <f t="shared" si="256"/>
        <v/>
      </c>
      <c r="AB1020" s="28" t="str">
        <f t="shared" si="259"/>
        <v/>
      </c>
      <c r="AC1020" s="1" t="str">
        <f t="shared" si="260"/>
        <v/>
      </c>
      <c r="AD1020" s="52">
        <f t="shared" si="257"/>
        <v>5</v>
      </c>
      <c r="AE1020" t="str">
        <f t="shared" si="261"/>
        <v/>
      </c>
      <c r="AF1020" t="str">
        <f t="shared" si="262"/>
        <v/>
      </c>
      <c r="AG1020" t="str">
        <f t="shared" si="263"/>
        <v/>
      </c>
      <c r="AH1020" t="str">
        <f t="shared" si="264"/>
        <v/>
      </c>
      <c r="AI1020" t="str">
        <f t="shared" si="265"/>
        <v/>
      </c>
      <c r="AJ1020" t="str">
        <f t="shared" si="266"/>
        <v/>
      </c>
      <c r="AK1020" t="str">
        <f t="shared" si="267"/>
        <v/>
      </c>
      <c r="AL1020" t="str">
        <f t="shared" si="268"/>
        <v/>
      </c>
      <c r="AN1020" t="str">
        <f>IFERROR(ROUND(L1020*(G1020/$AW1020)/VLOOKUP(F1020,商品!$A$4:$D$67,4,FALSE),0),"")</f>
        <v/>
      </c>
      <c r="AO1020" t="str">
        <f>IFERROR(ROUND(L1020*(I1020/$AW1020)/VLOOKUP(H1020,商品!$A$4:$D$67,4,FALSE),0),"")</f>
        <v/>
      </c>
      <c r="AP1020" t="str">
        <f>IFERROR(ROUND(L1020*(K1020/$AW1020)/VLOOKUP(J1020,商品!$A$4:$D$67,4,FALSE),0),"")</f>
        <v/>
      </c>
      <c r="AQ1020" t="str">
        <f>IFERROR(ROUND(S1020*(N1020/$AX1020)/VLOOKUP(M1020,职业!$A$3:$E$16,4,FALSE),0),"")</f>
        <v/>
      </c>
      <c r="AR1020" t="str">
        <f>IFERROR(ROUND(S1020*(P1020/$AX1020)/VLOOKUP(O1020,职业!$A$3:$E$16,4,FALSE),0),"")</f>
        <v/>
      </c>
      <c r="AS1020" t="str">
        <f>IFERROR(ROUND(S1020*(R1020/$AX1020)/VLOOKUP(Q1020,职业!$A$3:$E$16,4,FALSE),0),"")</f>
        <v/>
      </c>
      <c r="AT1020" t="str">
        <f>IFERROR(ROUND(X1020*(U1020/$AY1020)/VLOOKUP(T1020,商品!$A$4:$D$67,4,FALSE),0),"")</f>
        <v/>
      </c>
      <c r="AU1020" t="str">
        <f>IFERROR(ROUND(X1020*(W1020/$AY1020)/VLOOKUP(V1020,商品!$A$4:$D$67,4,FALSE),0),"")</f>
        <v/>
      </c>
      <c r="AW1020">
        <f t="shared" si="269"/>
        <v>0</v>
      </c>
      <c r="AX1020">
        <f t="shared" si="270"/>
        <v>0</v>
      </c>
      <c r="AY1020">
        <f t="shared" si="271"/>
        <v>0</v>
      </c>
    </row>
    <row r="1021" customHeight="1" spans="1:51">
      <c r="A1021" s="18" t="s">
        <v>470</v>
      </c>
      <c r="C1021" s="18">
        <v>6</v>
      </c>
      <c r="D1021" s="1" t="s">
        <v>291</v>
      </c>
      <c r="E1021" s="1" t="s">
        <v>225</v>
      </c>
      <c r="L1021" s="18">
        <f>IFERROR(VLOOKUP($D1021&amp;$C1021,生产方式定位!$A$2:$E$38,2,FALSE)+VLOOKUP($E1021&amp;$C1021,生产方式定位!$F$3:$J$38,2,FALSE),0)</f>
        <v>0</v>
      </c>
      <c r="S1021" s="18">
        <f>IFERROR(VLOOKUP($D1021&amp;$C1021,生产方式定位!$A$2:$E$38,3,FALSE)+VLOOKUP($E1021&amp;$C1021,生产方式定位!$F$3:$J$38,3,FALSE),0)</f>
        <v>100</v>
      </c>
      <c r="X1021" s="18">
        <f>IFERROR(VLOOKUP($D1021&amp;$C1021,生产方式定位!$A$2:$E$38,5,FALSE)+VLOOKUP($E1021&amp;$C1021,生产方式定位!$F$3:$J$38,5,FALSE),"错误")</f>
        <v>100</v>
      </c>
      <c r="Y1021" s="27" t="str">
        <f t="shared" si="255"/>
        <v/>
      </c>
      <c r="Z1021" s="50" t="str">
        <f t="shared" si="258"/>
        <v/>
      </c>
      <c r="AA1021" s="50" t="str">
        <f t="shared" si="256"/>
        <v/>
      </c>
      <c r="AB1021" s="28" t="str">
        <f t="shared" si="259"/>
        <v/>
      </c>
      <c r="AC1021" s="1" t="str">
        <f t="shared" si="260"/>
        <v/>
      </c>
      <c r="AD1021" s="52">
        <f t="shared" si="257"/>
        <v>6</v>
      </c>
      <c r="AE1021" t="str">
        <f t="shared" si="261"/>
        <v/>
      </c>
      <c r="AF1021" t="str">
        <f t="shared" si="262"/>
        <v/>
      </c>
      <c r="AG1021" t="str">
        <f t="shared" si="263"/>
        <v/>
      </c>
      <c r="AH1021" t="str">
        <f t="shared" si="264"/>
        <v/>
      </c>
      <c r="AI1021" t="str">
        <f t="shared" si="265"/>
        <v/>
      </c>
      <c r="AJ1021" t="str">
        <f t="shared" si="266"/>
        <v/>
      </c>
      <c r="AK1021" t="str">
        <f t="shared" si="267"/>
        <v/>
      </c>
      <c r="AL1021" t="str">
        <f t="shared" si="268"/>
        <v/>
      </c>
      <c r="AN1021" t="str">
        <f>IFERROR(ROUND(L1021*(G1021/$AW1021)/VLOOKUP(F1021,商品!$A$4:$D$67,4,FALSE),0),"")</f>
        <v/>
      </c>
      <c r="AO1021" t="str">
        <f>IFERROR(ROUND(L1021*(I1021/$AW1021)/VLOOKUP(H1021,商品!$A$4:$D$67,4,FALSE),0),"")</f>
        <v/>
      </c>
      <c r="AP1021" t="str">
        <f>IFERROR(ROUND(L1021*(K1021/$AW1021)/VLOOKUP(J1021,商品!$A$4:$D$67,4,FALSE),0),"")</f>
        <v/>
      </c>
      <c r="AQ1021" t="str">
        <f>IFERROR(ROUND(S1021*(N1021/$AX1021)/VLOOKUP(M1021,职业!$A$3:$E$16,4,FALSE),0),"")</f>
        <v/>
      </c>
      <c r="AR1021" t="str">
        <f>IFERROR(ROUND(S1021*(P1021/$AX1021)/VLOOKUP(O1021,职业!$A$3:$E$16,4,FALSE),0),"")</f>
        <v/>
      </c>
      <c r="AS1021" t="str">
        <f>IFERROR(ROUND(S1021*(R1021/$AX1021)/VLOOKUP(Q1021,职业!$A$3:$E$16,4,FALSE),0),"")</f>
        <v/>
      </c>
      <c r="AT1021" t="str">
        <f>IFERROR(ROUND(X1021*(U1021/$AY1021)/VLOOKUP(T1021,商品!$A$4:$D$67,4,FALSE),0),"")</f>
        <v/>
      </c>
      <c r="AU1021" t="str">
        <f>IFERROR(ROUND(X1021*(W1021/$AY1021)/VLOOKUP(V1021,商品!$A$4:$D$67,4,FALSE),0),"")</f>
        <v/>
      </c>
      <c r="AW1021">
        <f t="shared" si="269"/>
        <v>0</v>
      </c>
      <c r="AX1021">
        <f t="shared" si="270"/>
        <v>0</v>
      </c>
      <c r="AY1021">
        <f t="shared" si="271"/>
        <v>0</v>
      </c>
    </row>
    <row r="1022" customHeight="1" spans="1:51">
      <c r="A1022" s="18" t="s">
        <v>470</v>
      </c>
      <c r="C1022" s="18">
        <v>7</v>
      </c>
      <c r="D1022" s="1" t="s">
        <v>291</v>
      </c>
      <c r="E1022" s="1" t="s">
        <v>225</v>
      </c>
      <c r="L1022" s="18">
        <f>IFERROR(VLOOKUP($D1022&amp;$C1022,生产方式定位!$A$2:$E$38,2,FALSE)+VLOOKUP($E1022&amp;$C1022,生产方式定位!$F$3:$J$38,2,FALSE),0)</f>
        <v>0</v>
      </c>
      <c r="S1022" s="18">
        <f>IFERROR(VLOOKUP($D1022&amp;$C1022,生产方式定位!$A$2:$E$38,3,FALSE)+VLOOKUP($E1022&amp;$C1022,生产方式定位!$F$3:$J$38,3,FALSE),0)</f>
        <v>100</v>
      </c>
      <c r="X1022" s="18">
        <f>IFERROR(VLOOKUP($D1022&amp;$C1022,生产方式定位!$A$2:$E$38,5,FALSE)+VLOOKUP($E1022&amp;$C1022,生产方式定位!$F$3:$J$38,5,FALSE),"错误")</f>
        <v>100</v>
      </c>
      <c r="Y1022" s="27" t="str">
        <f t="shared" si="255"/>
        <v/>
      </c>
      <c r="Z1022" s="50" t="str">
        <f t="shared" si="258"/>
        <v/>
      </c>
      <c r="AA1022" s="50" t="str">
        <f t="shared" si="256"/>
        <v/>
      </c>
      <c r="AB1022" s="28" t="str">
        <f t="shared" si="259"/>
        <v/>
      </c>
      <c r="AC1022" s="1" t="str">
        <f t="shared" si="260"/>
        <v/>
      </c>
      <c r="AD1022" s="52">
        <f t="shared" si="257"/>
        <v>7</v>
      </c>
      <c r="AE1022" t="str">
        <f t="shared" si="261"/>
        <v/>
      </c>
      <c r="AF1022" t="str">
        <f t="shared" si="262"/>
        <v/>
      </c>
      <c r="AG1022" t="str">
        <f t="shared" si="263"/>
        <v/>
      </c>
      <c r="AH1022" t="str">
        <f t="shared" si="264"/>
        <v/>
      </c>
      <c r="AI1022" t="str">
        <f t="shared" si="265"/>
        <v/>
      </c>
      <c r="AJ1022" t="str">
        <f t="shared" si="266"/>
        <v/>
      </c>
      <c r="AK1022" t="str">
        <f t="shared" si="267"/>
        <v/>
      </c>
      <c r="AL1022" t="str">
        <f t="shared" si="268"/>
        <v/>
      </c>
      <c r="AN1022" t="str">
        <f>IFERROR(ROUND(L1022*(G1022/$AW1022)/VLOOKUP(F1022,商品!$A$4:$D$67,4,FALSE),0),"")</f>
        <v/>
      </c>
      <c r="AO1022" t="str">
        <f>IFERROR(ROUND(L1022*(I1022/$AW1022)/VLOOKUP(H1022,商品!$A$4:$D$67,4,FALSE),0),"")</f>
        <v/>
      </c>
      <c r="AP1022" t="str">
        <f>IFERROR(ROUND(L1022*(K1022/$AW1022)/VLOOKUP(J1022,商品!$A$4:$D$67,4,FALSE),0),"")</f>
        <v/>
      </c>
      <c r="AQ1022" t="str">
        <f>IFERROR(ROUND(S1022*(N1022/$AX1022)/VLOOKUP(M1022,职业!$A$3:$E$16,4,FALSE),0),"")</f>
        <v/>
      </c>
      <c r="AR1022" t="str">
        <f>IFERROR(ROUND(S1022*(P1022/$AX1022)/VLOOKUP(O1022,职业!$A$3:$E$16,4,FALSE),0),"")</f>
        <v/>
      </c>
      <c r="AS1022" t="str">
        <f>IFERROR(ROUND(S1022*(R1022/$AX1022)/VLOOKUP(Q1022,职业!$A$3:$E$16,4,FALSE),0),"")</f>
        <v/>
      </c>
      <c r="AT1022" t="str">
        <f>IFERROR(ROUND(X1022*(U1022/$AY1022)/VLOOKUP(T1022,商品!$A$4:$D$67,4,FALSE),0),"")</f>
        <v/>
      </c>
      <c r="AU1022" t="str">
        <f>IFERROR(ROUND(X1022*(W1022/$AY1022)/VLOOKUP(V1022,商品!$A$4:$D$67,4,FALSE),0),"")</f>
        <v/>
      </c>
      <c r="AW1022">
        <f t="shared" si="269"/>
        <v>0</v>
      </c>
      <c r="AX1022">
        <f t="shared" si="270"/>
        <v>0</v>
      </c>
      <c r="AY1022">
        <f t="shared" si="271"/>
        <v>0</v>
      </c>
    </row>
    <row r="1023" customHeight="1" spans="1:51">
      <c r="A1023" s="18" t="s">
        <v>470</v>
      </c>
      <c r="C1023" s="18">
        <v>8</v>
      </c>
      <c r="D1023" s="1" t="s">
        <v>291</v>
      </c>
      <c r="E1023" s="1" t="s">
        <v>225</v>
      </c>
      <c r="L1023" s="18">
        <f>IFERROR(VLOOKUP($D1023&amp;$C1023,生产方式定位!$A$2:$E$38,2,FALSE)+VLOOKUP($E1023&amp;$C1023,生产方式定位!$F$3:$J$38,2,FALSE),0)</f>
        <v>0</v>
      </c>
      <c r="S1023" s="18">
        <f>IFERROR(VLOOKUP($D1023&amp;$C1023,生产方式定位!$A$2:$E$38,3,FALSE)+VLOOKUP($E1023&amp;$C1023,生产方式定位!$F$3:$J$38,3,FALSE),0)</f>
        <v>100</v>
      </c>
      <c r="X1023" s="18">
        <f>IFERROR(VLOOKUP($D1023&amp;$C1023,生产方式定位!$A$2:$E$38,5,FALSE)+VLOOKUP($E1023&amp;$C1023,生产方式定位!$F$3:$J$38,5,FALSE),"错误")</f>
        <v>100</v>
      </c>
      <c r="Y1023" s="27" t="str">
        <f t="shared" si="255"/>
        <v/>
      </c>
      <c r="Z1023" s="50" t="str">
        <f t="shared" si="258"/>
        <v/>
      </c>
      <c r="AA1023" s="50" t="str">
        <f t="shared" si="256"/>
        <v/>
      </c>
      <c r="AB1023" s="28" t="str">
        <f t="shared" si="259"/>
        <v/>
      </c>
      <c r="AC1023" s="1" t="str">
        <f t="shared" si="260"/>
        <v/>
      </c>
      <c r="AD1023" s="52">
        <f t="shared" si="257"/>
        <v>8</v>
      </c>
      <c r="AE1023" t="str">
        <f t="shared" si="261"/>
        <v/>
      </c>
      <c r="AF1023" t="str">
        <f t="shared" si="262"/>
        <v/>
      </c>
      <c r="AG1023" t="str">
        <f t="shared" si="263"/>
        <v/>
      </c>
      <c r="AH1023" t="str">
        <f t="shared" si="264"/>
        <v/>
      </c>
      <c r="AI1023" t="str">
        <f t="shared" si="265"/>
        <v/>
      </c>
      <c r="AJ1023" t="str">
        <f t="shared" si="266"/>
        <v/>
      </c>
      <c r="AK1023" t="str">
        <f t="shared" si="267"/>
        <v/>
      </c>
      <c r="AL1023" t="str">
        <f t="shared" si="268"/>
        <v/>
      </c>
      <c r="AN1023" t="str">
        <f>IFERROR(ROUND(L1023*(G1023/$AW1023)/VLOOKUP(F1023,商品!$A$4:$D$67,4,FALSE),0),"")</f>
        <v/>
      </c>
      <c r="AO1023" t="str">
        <f>IFERROR(ROUND(L1023*(I1023/$AW1023)/VLOOKUP(H1023,商品!$A$4:$D$67,4,FALSE),0),"")</f>
        <v/>
      </c>
      <c r="AP1023" t="str">
        <f>IFERROR(ROUND(L1023*(K1023/$AW1023)/VLOOKUP(J1023,商品!$A$4:$D$67,4,FALSE),0),"")</f>
        <v/>
      </c>
      <c r="AQ1023" t="str">
        <f>IFERROR(ROUND(S1023*(N1023/$AX1023)/VLOOKUP(M1023,职业!$A$3:$E$16,4,FALSE),0),"")</f>
        <v/>
      </c>
      <c r="AR1023" t="str">
        <f>IFERROR(ROUND(S1023*(P1023/$AX1023)/VLOOKUP(O1023,职业!$A$3:$E$16,4,FALSE),0),"")</f>
        <v/>
      </c>
      <c r="AS1023" t="str">
        <f>IFERROR(ROUND(S1023*(R1023/$AX1023)/VLOOKUP(Q1023,职业!$A$3:$E$16,4,FALSE),0),"")</f>
        <v/>
      </c>
      <c r="AT1023" t="str">
        <f>IFERROR(ROUND(X1023*(U1023/$AY1023)/VLOOKUP(T1023,商品!$A$4:$D$67,4,FALSE),0),"")</f>
        <v/>
      </c>
      <c r="AU1023" t="str">
        <f>IFERROR(ROUND(X1023*(W1023/$AY1023)/VLOOKUP(V1023,商品!$A$4:$D$67,4,FALSE),0),"")</f>
        <v/>
      </c>
      <c r="AW1023">
        <f t="shared" si="269"/>
        <v>0</v>
      </c>
      <c r="AX1023">
        <f t="shared" si="270"/>
        <v>0</v>
      </c>
      <c r="AY1023">
        <f t="shared" si="271"/>
        <v>0</v>
      </c>
    </row>
    <row r="1024" customHeight="1" spans="1:51">
      <c r="A1024" s="5" t="s">
        <v>472</v>
      </c>
      <c r="C1024" s="5">
        <v>1</v>
      </c>
      <c r="D1024" s="1" t="s">
        <v>220</v>
      </c>
      <c r="E1024" s="1" t="s">
        <v>222</v>
      </c>
      <c r="L1024" s="5">
        <f>IFERROR(VLOOKUP($D1024&amp;$C1024,生产方式定位!$A$2:$E$38,2,FALSE)+VLOOKUP($E1024&amp;$C1024,生产方式定位!$F$3:$J$38,2,FALSE),0)</f>
        <v>500</v>
      </c>
      <c r="S1024" s="5">
        <f>IFERROR(VLOOKUP($D1024&amp;$C1024,生产方式定位!$A$2:$E$38,3,FALSE)+VLOOKUP($E1024&amp;$C1024,生产方式定位!$F$3:$J$38,3,FALSE),0)</f>
        <v>150</v>
      </c>
      <c r="X1024" s="5">
        <f>IFERROR(VLOOKUP($D1024&amp;$C1024,生产方式定位!$A$2:$E$38,5,FALSE)+VLOOKUP($E1024&amp;$C1024,生产方式定位!$F$3:$J$38,5,FALSE),"错误")</f>
        <v>715</v>
      </c>
      <c r="Y1024" s="27" t="str">
        <f t="shared" si="255"/>
        <v/>
      </c>
      <c r="Z1024" s="50" t="str">
        <f t="shared" si="258"/>
        <v/>
      </c>
      <c r="AA1024" s="50" t="str">
        <f t="shared" si="256"/>
        <v/>
      </c>
      <c r="AB1024" s="28" t="str">
        <f t="shared" si="259"/>
        <v>43%</v>
      </c>
      <c r="AC1024" s="1">
        <f t="shared" si="260"/>
        <v>65</v>
      </c>
      <c r="AD1024" s="51">
        <f t="shared" si="257"/>
        <v>1</v>
      </c>
      <c r="AE1024" t="str">
        <f t="shared" si="261"/>
        <v/>
      </c>
      <c r="AF1024" t="str">
        <f t="shared" si="262"/>
        <v/>
      </c>
      <c r="AG1024" t="str">
        <f t="shared" si="263"/>
        <v/>
      </c>
      <c r="AH1024" t="str">
        <f t="shared" si="264"/>
        <v/>
      </c>
      <c r="AI1024" t="str">
        <f t="shared" si="265"/>
        <v/>
      </c>
      <c r="AJ1024" t="str">
        <f t="shared" si="266"/>
        <v/>
      </c>
      <c r="AK1024" t="str">
        <f t="shared" si="267"/>
        <v/>
      </c>
      <c r="AL1024" t="str">
        <f t="shared" si="268"/>
        <v/>
      </c>
      <c r="AN1024" t="str">
        <f>IFERROR(ROUND(L1024*(G1024/$AW1024)/VLOOKUP(F1024,商品!$A$4:$D$67,4,FALSE),0),"")</f>
        <v/>
      </c>
      <c r="AO1024" t="str">
        <f>IFERROR(ROUND(L1024*(I1024/$AW1024)/VLOOKUP(H1024,商品!$A$4:$D$67,4,FALSE),0),"")</f>
        <v/>
      </c>
      <c r="AP1024" t="str">
        <f>IFERROR(ROUND(L1024*(K1024/$AW1024)/VLOOKUP(J1024,商品!$A$4:$D$67,4,FALSE),0),"")</f>
        <v/>
      </c>
      <c r="AQ1024" t="str">
        <f>IFERROR(ROUND(S1024*(N1024/$AX1024)/VLOOKUP(M1024,职业!$A$3:$E$16,4,FALSE),0),"")</f>
        <v/>
      </c>
      <c r="AR1024" t="str">
        <f>IFERROR(ROUND(S1024*(P1024/$AX1024)/VLOOKUP(O1024,职业!$A$3:$E$16,4,FALSE),0),"")</f>
        <v/>
      </c>
      <c r="AS1024" t="str">
        <f>IFERROR(ROUND(S1024*(R1024/$AX1024)/VLOOKUP(Q1024,职业!$A$3:$E$16,4,FALSE),0),"")</f>
        <v/>
      </c>
      <c r="AT1024" t="str">
        <f>IFERROR(ROUND(X1024*(U1024/$AY1024)/VLOOKUP(T1024,商品!$A$4:$D$67,4,FALSE),0),"")</f>
        <v/>
      </c>
      <c r="AU1024" t="str">
        <f>IFERROR(ROUND(X1024*(W1024/$AY1024)/VLOOKUP(V1024,商品!$A$4:$D$67,4,FALSE),0),"")</f>
        <v/>
      </c>
      <c r="AW1024">
        <f t="shared" si="269"/>
        <v>0</v>
      </c>
      <c r="AX1024">
        <f t="shared" si="270"/>
        <v>0</v>
      </c>
      <c r="AY1024">
        <f t="shared" si="271"/>
        <v>0</v>
      </c>
    </row>
    <row r="1025" customHeight="1" spans="1:51">
      <c r="A1025" s="5" t="s">
        <v>472</v>
      </c>
      <c r="C1025" s="5">
        <v>2</v>
      </c>
      <c r="D1025" s="1" t="s">
        <v>220</v>
      </c>
      <c r="E1025" s="1" t="s">
        <v>222</v>
      </c>
      <c r="L1025" s="5">
        <f>IFERROR(VLOOKUP($D1025&amp;$C1025,生产方式定位!$A$2:$E$38,2,FALSE)+VLOOKUP($E1025&amp;$C1025,生产方式定位!$F$3:$J$38,2,FALSE),0)</f>
        <v>1200</v>
      </c>
      <c r="S1025" s="5">
        <f>IFERROR(VLOOKUP($D1025&amp;$C1025,生产方式定位!$A$2:$E$38,3,FALSE)+VLOOKUP($E1025&amp;$C1025,生产方式定位!$F$3:$J$38,3,FALSE),0)</f>
        <v>140</v>
      </c>
      <c r="X1025" s="5">
        <f>IFERROR(VLOOKUP($D1025&amp;$C1025,生产方式定位!$A$2:$E$38,5,FALSE)+VLOOKUP($E1025&amp;$C1025,生产方式定位!$F$3:$J$38,5,FALSE),"错误")</f>
        <v>1390</v>
      </c>
      <c r="Y1025" s="27" t="str">
        <f t="shared" si="255"/>
        <v/>
      </c>
      <c r="Z1025" s="50" t="str">
        <f t="shared" si="258"/>
        <v/>
      </c>
      <c r="AA1025" s="50" t="str">
        <f t="shared" si="256"/>
        <v/>
      </c>
      <c r="AB1025" s="28" t="str">
        <f t="shared" si="259"/>
        <v>16%</v>
      </c>
      <c r="AC1025" s="1">
        <f t="shared" si="260"/>
        <v>50</v>
      </c>
      <c r="AD1025" s="51">
        <f t="shared" si="257"/>
        <v>2</v>
      </c>
      <c r="AE1025" t="str">
        <f t="shared" si="261"/>
        <v/>
      </c>
      <c r="AF1025" t="str">
        <f t="shared" si="262"/>
        <v/>
      </c>
      <c r="AG1025" t="str">
        <f t="shared" si="263"/>
        <v/>
      </c>
      <c r="AH1025" t="str">
        <f t="shared" si="264"/>
        <v/>
      </c>
      <c r="AI1025" t="str">
        <f t="shared" si="265"/>
        <v/>
      </c>
      <c r="AJ1025" t="str">
        <f t="shared" si="266"/>
        <v/>
      </c>
      <c r="AK1025" t="str">
        <f t="shared" si="267"/>
        <v/>
      </c>
      <c r="AL1025" t="str">
        <f t="shared" si="268"/>
        <v/>
      </c>
      <c r="AN1025" t="str">
        <f>IFERROR(ROUND(L1025*(G1025/$AW1025)/VLOOKUP(F1025,商品!$A$4:$D$67,4,FALSE),0),"")</f>
        <v/>
      </c>
      <c r="AO1025" t="str">
        <f>IFERROR(ROUND(L1025*(I1025/$AW1025)/VLOOKUP(H1025,商品!$A$4:$D$67,4,FALSE),0),"")</f>
        <v/>
      </c>
      <c r="AP1025" t="str">
        <f>IFERROR(ROUND(L1025*(K1025/$AW1025)/VLOOKUP(J1025,商品!$A$4:$D$67,4,FALSE),0),"")</f>
        <v/>
      </c>
      <c r="AQ1025" t="str">
        <f>IFERROR(ROUND(S1025*(N1025/$AX1025)/VLOOKUP(M1025,职业!$A$3:$E$16,4,FALSE),0),"")</f>
        <v/>
      </c>
      <c r="AR1025" t="str">
        <f>IFERROR(ROUND(S1025*(P1025/$AX1025)/VLOOKUP(O1025,职业!$A$3:$E$16,4,FALSE),0),"")</f>
        <v/>
      </c>
      <c r="AS1025" t="str">
        <f>IFERROR(ROUND(S1025*(R1025/$AX1025)/VLOOKUP(Q1025,职业!$A$3:$E$16,4,FALSE),0),"")</f>
        <v/>
      </c>
      <c r="AT1025" t="str">
        <f>IFERROR(ROUND(X1025*(U1025/$AY1025)/VLOOKUP(T1025,商品!$A$4:$D$67,4,FALSE),0),"")</f>
        <v/>
      </c>
      <c r="AU1025" t="str">
        <f>IFERROR(ROUND(X1025*(W1025/$AY1025)/VLOOKUP(V1025,商品!$A$4:$D$67,4,FALSE),0),"")</f>
        <v/>
      </c>
      <c r="AW1025">
        <f t="shared" si="269"/>
        <v>0</v>
      </c>
      <c r="AX1025">
        <f t="shared" si="270"/>
        <v>0</v>
      </c>
      <c r="AY1025">
        <f t="shared" si="271"/>
        <v>0</v>
      </c>
    </row>
    <row r="1026" customHeight="1" spans="1:51">
      <c r="A1026" s="5" t="s">
        <v>472</v>
      </c>
      <c r="C1026" s="5">
        <v>3</v>
      </c>
      <c r="D1026" s="1" t="s">
        <v>220</v>
      </c>
      <c r="E1026" s="1" t="s">
        <v>222</v>
      </c>
      <c r="L1026" s="5">
        <f>IFERROR(VLOOKUP($D1026&amp;$C1026,生产方式定位!$A$2:$E$38,2,FALSE)+VLOOKUP($E1026&amp;$C1026,生产方式定位!$F$3:$J$38,2,FALSE),0)</f>
        <v>1525</v>
      </c>
      <c r="S1026" s="5">
        <f>IFERROR(VLOOKUP($D1026&amp;$C1026,生产方式定位!$A$2:$E$38,3,FALSE)+VLOOKUP($E1026&amp;$C1026,生产方式定位!$F$3:$J$38,3,FALSE),0)</f>
        <v>130</v>
      </c>
      <c r="X1026" s="5">
        <f>IFERROR(VLOOKUP($D1026&amp;$C1026,生产方式定位!$A$2:$E$38,5,FALSE)+VLOOKUP($E1026&amp;$C1026,生产方式定位!$F$3:$J$38,5,FALSE),"错误")</f>
        <v>1718</v>
      </c>
      <c r="Y1026" s="27" t="str">
        <f t="shared" si="255"/>
        <v/>
      </c>
      <c r="Z1026" s="50" t="str">
        <f t="shared" si="258"/>
        <v/>
      </c>
      <c r="AA1026" s="50" t="str">
        <f t="shared" si="256"/>
        <v/>
      </c>
      <c r="AB1026" s="28" t="str">
        <f t="shared" si="259"/>
        <v>13%</v>
      </c>
      <c r="AC1026" s="1">
        <f t="shared" si="260"/>
        <v>63</v>
      </c>
      <c r="AD1026" s="51">
        <f t="shared" si="257"/>
        <v>3</v>
      </c>
      <c r="AE1026" t="str">
        <f t="shared" si="261"/>
        <v/>
      </c>
      <c r="AF1026" t="str">
        <f t="shared" si="262"/>
        <v/>
      </c>
      <c r="AG1026" t="str">
        <f t="shared" si="263"/>
        <v/>
      </c>
      <c r="AH1026" t="str">
        <f t="shared" si="264"/>
        <v/>
      </c>
      <c r="AI1026" t="str">
        <f t="shared" si="265"/>
        <v/>
      </c>
      <c r="AJ1026" t="str">
        <f t="shared" si="266"/>
        <v/>
      </c>
      <c r="AK1026" t="str">
        <f t="shared" si="267"/>
        <v/>
      </c>
      <c r="AL1026" t="str">
        <f t="shared" si="268"/>
        <v/>
      </c>
      <c r="AN1026" t="str">
        <f>IFERROR(ROUND(L1026*(G1026/$AW1026)/VLOOKUP(F1026,商品!$A$4:$D$67,4,FALSE),0),"")</f>
        <v/>
      </c>
      <c r="AO1026" t="str">
        <f>IFERROR(ROUND(L1026*(I1026/$AW1026)/VLOOKUP(H1026,商品!$A$4:$D$67,4,FALSE),0),"")</f>
        <v/>
      </c>
      <c r="AP1026" t="str">
        <f>IFERROR(ROUND(L1026*(K1026/$AW1026)/VLOOKUP(J1026,商品!$A$4:$D$67,4,FALSE),0),"")</f>
        <v/>
      </c>
      <c r="AQ1026" t="str">
        <f>IFERROR(ROUND(S1026*(N1026/$AX1026)/VLOOKUP(M1026,职业!$A$3:$E$16,4,FALSE),0),"")</f>
        <v/>
      </c>
      <c r="AR1026" t="str">
        <f>IFERROR(ROUND(S1026*(P1026/$AX1026)/VLOOKUP(O1026,职业!$A$3:$E$16,4,FALSE),0),"")</f>
        <v/>
      </c>
      <c r="AS1026" t="str">
        <f>IFERROR(ROUND(S1026*(R1026/$AX1026)/VLOOKUP(Q1026,职业!$A$3:$E$16,4,FALSE),0),"")</f>
        <v/>
      </c>
      <c r="AT1026" t="str">
        <f>IFERROR(ROUND(X1026*(U1026/$AY1026)/VLOOKUP(T1026,商品!$A$4:$D$67,4,FALSE),0),"")</f>
        <v/>
      </c>
      <c r="AU1026" t="str">
        <f>IFERROR(ROUND(X1026*(W1026/$AY1026)/VLOOKUP(V1026,商品!$A$4:$D$67,4,FALSE),0),"")</f>
        <v/>
      </c>
      <c r="AW1026">
        <f t="shared" si="269"/>
        <v>0</v>
      </c>
      <c r="AX1026">
        <f t="shared" si="270"/>
        <v>0</v>
      </c>
      <c r="AY1026">
        <f t="shared" si="271"/>
        <v>0</v>
      </c>
    </row>
    <row r="1027" customHeight="1" spans="1:51">
      <c r="A1027" s="5" t="s">
        <v>472</v>
      </c>
      <c r="C1027" s="5">
        <v>4</v>
      </c>
      <c r="D1027" s="1" t="s">
        <v>220</v>
      </c>
      <c r="E1027" s="1" t="s">
        <v>222</v>
      </c>
      <c r="L1027" s="5">
        <f>IFERROR(VLOOKUP($D1027&amp;$C1027,生产方式定位!$A$2:$E$38,2,FALSE)+VLOOKUP($E1027&amp;$C1027,生产方式定位!$F$3:$J$38,2,FALSE),0)</f>
        <v>1850</v>
      </c>
      <c r="S1027" s="5">
        <f>IFERROR(VLOOKUP($D1027&amp;$C1027,生产方式定位!$A$2:$E$38,3,FALSE)+VLOOKUP($E1027&amp;$C1027,生产方式定位!$F$3:$J$38,3,FALSE),0)</f>
        <v>120</v>
      </c>
      <c r="X1027" s="5">
        <f>IFERROR(VLOOKUP($D1027&amp;$C1027,生产方式定位!$A$2:$E$38,5,FALSE)+VLOOKUP($E1027&amp;$C1027,生产方式定位!$F$3:$J$38,5,FALSE),"错误")</f>
        <v>2045</v>
      </c>
      <c r="Y1027" s="27" t="str">
        <f t="shared" si="255"/>
        <v/>
      </c>
      <c r="Z1027" s="50" t="str">
        <f t="shared" si="258"/>
        <v/>
      </c>
      <c r="AA1027" s="50" t="str">
        <f t="shared" si="256"/>
        <v/>
      </c>
      <c r="AB1027" s="28" t="str">
        <f t="shared" si="259"/>
        <v>11%</v>
      </c>
      <c r="AC1027" s="1">
        <f t="shared" si="260"/>
        <v>75</v>
      </c>
      <c r="AD1027" s="51">
        <f t="shared" si="257"/>
        <v>4</v>
      </c>
      <c r="AE1027" t="str">
        <f t="shared" si="261"/>
        <v/>
      </c>
      <c r="AF1027" t="str">
        <f t="shared" si="262"/>
        <v/>
      </c>
      <c r="AG1027" t="str">
        <f t="shared" si="263"/>
        <v/>
      </c>
      <c r="AH1027" t="str">
        <f t="shared" si="264"/>
        <v/>
      </c>
      <c r="AI1027" t="str">
        <f t="shared" si="265"/>
        <v/>
      </c>
      <c r="AJ1027" t="str">
        <f t="shared" si="266"/>
        <v/>
      </c>
      <c r="AK1027" t="str">
        <f t="shared" si="267"/>
        <v/>
      </c>
      <c r="AL1027" t="str">
        <f t="shared" si="268"/>
        <v/>
      </c>
      <c r="AN1027" t="str">
        <f>IFERROR(ROUND(L1027*(G1027/$AW1027)/VLOOKUP(F1027,商品!$A$4:$D$67,4,FALSE),0),"")</f>
        <v/>
      </c>
      <c r="AO1027" t="str">
        <f>IFERROR(ROUND(L1027*(I1027/$AW1027)/VLOOKUP(H1027,商品!$A$4:$D$67,4,FALSE),0),"")</f>
        <v/>
      </c>
      <c r="AP1027" t="str">
        <f>IFERROR(ROUND(L1027*(K1027/$AW1027)/VLOOKUP(J1027,商品!$A$4:$D$67,4,FALSE),0),"")</f>
        <v/>
      </c>
      <c r="AQ1027" t="str">
        <f>IFERROR(ROUND(S1027*(N1027/$AX1027)/VLOOKUP(M1027,职业!$A$3:$E$16,4,FALSE),0),"")</f>
        <v/>
      </c>
      <c r="AR1027" t="str">
        <f>IFERROR(ROUND(S1027*(P1027/$AX1027)/VLOOKUP(O1027,职业!$A$3:$E$16,4,FALSE),0),"")</f>
        <v/>
      </c>
      <c r="AS1027" t="str">
        <f>IFERROR(ROUND(S1027*(R1027/$AX1027)/VLOOKUP(Q1027,职业!$A$3:$E$16,4,FALSE),0),"")</f>
        <v/>
      </c>
      <c r="AT1027" t="str">
        <f>IFERROR(ROUND(X1027*(U1027/$AY1027)/VLOOKUP(T1027,商品!$A$4:$D$67,4,FALSE),0),"")</f>
        <v/>
      </c>
      <c r="AU1027" t="str">
        <f>IFERROR(ROUND(X1027*(W1027/$AY1027)/VLOOKUP(V1027,商品!$A$4:$D$67,4,FALSE),0),"")</f>
        <v/>
      </c>
      <c r="AW1027">
        <f t="shared" si="269"/>
        <v>0</v>
      </c>
      <c r="AX1027">
        <f t="shared" si="270"/>
        <v>0</v>
      </c>
      <c r="AY1027">
        <f t="shared" si="271"/>
        <v>0</v>
      </c>
    </row>
    <row r="1028" customHeight="1" spans="1:51">
      <c r="A1028" s="5" t="s">
        <v>472</v>
      </c>
      <c r="C1028" s="5">
        <v>5</v>
      </c>
      <c r="D1028" s="1" t="s">
        <v>220</v>
      </c>
      <c r="E1028" s="1" t="s">
        <v>222</v>
      </c>
      <c r="L1028" s="5">
        <f>IFERROR(VLOOKUP($D1028&amp;$C1028,生产方式定位!$A$2:$E$38,2,FALSE)+VLOOKUP($E1028&amp;$C1028,生产方式定位!$F$3:$J$38,2,FALSE),0)</f>
        <v>2175</v>
      </c>
      <c r="S1028" s="5">
        <f>IFERROR(VLOOKUP($D1028&amp;$C1028,生产方式定位!$A$2:$E$38,3,FALSE)+VLOOKUP($E1028&amp;$C1028,生产方式定位!$F$3:$J$38,3,FALSE),0)</f>
        <v>110</v>
      </c>
      <c r="X1028" s="5">
        <f>IFERROR(VLOOKUP($D1028&amp;$C1028,生产方式定位!$A$2:$E$38,5,FALSE)+VLOOKUP($E1028&amp;$C1028,生产方式定位!$F$3:$J$38,5,FALSE),"错误")</f>
        <v>2373</v>
      </c>
      <c r="Y1028" s="27" t="str">
        <f t="shared" si="255"/>
        <v/>
      </c>
      <c r="Z1028" s="50" t="str">
        <f t="shared" si="258"/>
        <v/>
      </c>
      <c r="AA1028" s="50" t="str">
        <f t="shared" si="256"/>
        <v/>
      </c>
      <c r="AB1028" s="28" t="str">
        <f t="shared" si="259"/>
        <v>9%</v>
      </c>
      <c r="AC1028" s="1">
        <f t="shared" si="260"/>
        <v>88</v>
      </c>
      <c r="AD1028" s="51">
        <f t="shared" si="257"/>
        <v>5</v>
      </c>
      <c r="AE1028" t="str">
        <f t="shared" si="261"/>
        <v/>
      </c>
      <c r="AF1028" t="str">
        <f t="shared" si="262"/>
        <v/>
      </c>
      <c r="AG1028" t="str">
        <f t="shared" si="263"/>
        <v/>
      </c>
      <c r="AH1028" t="str">
        <f t="shared" si="264"/>
        <v/>
      </c>
      <c r="AI1028" t="str">
        <f t="shared" si="265"/>
        <v/>
      </c>
      <c r="AJ1028" t="str">
        <f t="shared" si="266"/>
        <v/>
      </c>
      <c r="AK1028" t="str">
        <f t="shared" si="267"/>
        <v/>
      </c>
      <c r="AL1028" t="str">
        <f t="shared" si="268"/>
        <v/>
      </c>
      <c r="AN1028" t="str">
        <f>IFERROR(ROUND(L1028*(G1028/$AW1028)/VLOOKUP(F1028,商品!$A$4:$D$67,4,FALSE),0),"")</f>
        <v/>
      </c>
      <c r="AO1028" t="str">
        <f>IFERROR(ROUND(L1028*(I1028/$AW1028)/VLOOKUP(H1028,商品!$A$4:$D$67,4,FALSE),0),"")</f>
        <v/>
      </c>
      <c r="AP1028" t="str">
        <f>IFERROR(ROUND(L1028*(K1028/$AW1028)/VLOOKUP(J1028,商品!$A$4:$D$67,4,FALSE),0),"")</f>
        <v/>
      </c>
      <c r="AQ1028" t="str">
        <f>IFERROR(ROUND(S1028*(N1028/$AX1028)/VLOOKUP(M1028,职业!$A$3:$E$16,4,FALSE),0),"")</f>
        <v/>
      </c>
      <c r="AR1028" t="str">
        <f>IFERROR(ROUND(S1028*(P1028/$AX1028)/VLOOKUP(O1028,职业!$A$3:$E$16,4,FALSE),0),"")</f>
        <v/>
      </c>
      <c r="AS1028" t="str">
        <f>IFERROR(ROUND(S1028*(R1028/$AX1028)/VLOOKUP(Q1028,职业!$A$3:$E$16,4,FALSE),0),"")</f>
        <v/>
      </c>
      <c r="AT1028" t="str">
        <f>IFERROR(ROUND(X1028*(U1028/$AY1028)/VLOOKUP(T1028,商品!$A$4:$D$67,4,FALSE),0),"")</f>
        <v/>
      </c>
      <c r="AU1028" t="str">
        <f>IFERROR(ROUND(X1028*(W1028/$AY1028)/VLOOKUP(V1028,商品!$A$4:$D$67,4,FALSE),0),"")</f>
        <v/>
      </c>
      <c r="AW1028">
        <f t="shared" si="269"/>
        <v>0</v>
      </c>
      <c r="AX1028">
        <f t="shared" si="270"/>
        <v>0</v>
      </c>
      <c r="AY1028">
        <f t="shared" si="271"/>
        <v>0</v>
      </c>
    </row>
    <row r="1029" customHeight="1" spans="1:51">
      <c r="A1029" s="18" t="s">
        <v>473</v>
      </c>
      <c r="C1029" s="18">
        <v>1</v>
      </c>
      <c r="D1029" s="1" t="s">
        <v>220</v>
      </c>
      <c r="E1029" s="1" t="s">
        <v>224</v>
      </c>
      <c r="L1029" s="18">
        <f>IFERROR(VLOOKUP($D1029&amp;$C1029,生产方式定位!$A$2:$E$38,2,FALSE)+VLOOKUP($E1029&amp;$C1029,生产方式定位!$F$3:$J$38,2,FALSE),0)</f>
        <v>500</v>
      </c>
      <c r="S1029" s="18">
        <f>IFERROR(VLOOKUP($D1029&amp;$C1029,生产方式定位!$A$2:$E$38,3,FALSE)+VLOOKUP($E1029&amp;$C1029,生产方式定位!$F$3:$J$38,3,FALSE),0)</f>
        <v>150</v>
      </c>
      <c r="X1029" s="18">
        <f>IFERROR(VLOOKUP($D1029&amp;$C1029,生产方式定位!$A$2:$E$38,5,FALSE)+VLOOKUP($E1029&amp;$C1029,生产方式定位!$F$3:$J$38,5,FALSE),"错误")</f>
        <v>715</v>
      </c>
      <c r="Y1029" s="27" t="str">
        <f t="shared" ref="Y1029:Y1092" si="272">IF(AE1029="","",AE1029)&amp;IF(AF1029="","",","&amp;AF1029)&amp;IF(AG1029="","",","&amp;AG1029)</f>
        <v/>
      </c>
      <c r="Z1029" s="50" t="str">
        <f t="shared" si="258"/>
        <v/>
      </c>
      <c r="AA1029" s="50" t="str">
        <f t="shared" ref="AA1029:AA1092" si="273">IF(AK1029="","",AK1029)&amp;IF(AL1029="","",","&amp;AL1029)</f>
        <v/>
      </c>
      <c r="AB1029" s="28" t="str">
        <f t="shared" si="259"/>
        <v>43%</v>
      </c>
      <c r="AC1029" s="1">
        <f t="shared" si="260"/>
        <v>65</v>
      </c>
      <c r="AD1029" s="52">
        <f t="shared" ref="AD1029:AD1092" si="274">C1029</f>
        <v>1</v>
      </c>
      <c r="AE1029" t="str">
        <f t="shared" si="261"/>
        <v/>
      </c>
      <c r="AF1029" t="str">
        <f t="shared" si="262"/>
        <v/>
      </c>
      <c r="AG1029" t="str">
        <f t="shared" si="263"/>
        <v/>
      </c>
      <c r="AH1029" t="str">
        <f t="shared" si="264"/>
        <v/>
      </c>
      <c r="AI1029" t="str">
        <f t="shared" si="265"/>
        <v/>
      </c>
      <c r="AJ1029" t="str">
        <f t="shared" si="266"/>
        <v/>
      </c>
      <c r="AK1029" t="str">
        <f t="shared" si="267"/>
        <v/>
      </c>
      <c r="AL1029" t="str">
        <f t="shared" si="268"/>
        <v/>
      </c>
      <c r="AN1029" t="str">
        <f>IFERROR(ROUND(L1029*(G1029/$AW1029)/VLOOKUP(F1029,商品!$A$4:$D$67,4,FALSE),0),"")</f>
        <v/>
      </c>
      <c r="AO1029" t="str">
        <f>IFERROR(ROUND(L1029*(I1029/$AW1029)/VLOOKUP(H1029,商品!$A$4:$D$67,4,FALSE),0),"")</f>
        <v/>
      </c>
      <c r="AP1029" t="str">
        <f>IFERROR(ROUND(L1029*(K1029/$AW1029)/VLOOKUP(J1029,商品!$A$4:$D$67,4,FALSE),0),"")</f>
        <v/>
      </c>
      <c r="AQ1029" t="str">
        <f>IFERROR(ROUND(S1029*(N1029/$AX1029)/VLOOKUP(M1029,职业!$A$3:$E$16,4,FALSE),0),"")</f>
        <v/>
      </c>
      <c r="AR1029" t="str">
        <f>IFERROR(ROUND(S1029*(P1029/$AX1029)/VLOOKUP(O1029,职业!$A$3:$E$16,4,FALSE),0),"")</f>
        <v/>
      </c>
      <c r="AS1029" t="str">
        <f>IFERROR(ROUND(S1029*(R1029/$AX1029)/VLOOKUP(Q1029,职业!$A$3:$E$16,4,FALSE),0),"")</f>
        <v/>
      </c>
      <c r="AT1029" t="str">
        <f>IFERROR(ROUND(X1029*(U1029/$AY1029)/VLOOKUP(T1029,商品!$A$4:$D$67,4,FALSE),0),"")</f>
        <v/>
      </c>
      <c r="AU1029" t="str">
        <f>IFERROR(ROUND(X1029*(W1029/$AY1029)/VLOOKUP(V1029,商品!$A$4:$D$67,4,FALSE),0),"")</f>
        <v/>
      </c>
      <c r="AW1029">
        <f t="shared" si="269"/>
        <v>0</v>
      </c>
      <c r="AX1029">
        <f t="shared" si="270"/>
        <v>0</v>
      </c>
      <c r="AY1029">
        <f t="shared" si="271"/>
        <v>0</v>
      </c>
    </row>
    <row r="1030" customHeight="1" spans="1:51">
      <c r="A1030" s="18" t="s">
        <v>473</v>
      </c>
      <c r="C1030" s="18">
        <v>2</v>
      </c>
      <c r="D1030" s="1" t="s">
        <v>220</v>
      </c>
      <c r="E1030" s="1" t="s">
        <v>224</v>
      </c>
      <c r="L1030" s="18">
        <f>IFERROR(VLOOKUP($D1030&amp;$C1030,生产方式定位!$A$2:$E$38,2,FALSE)+VLOOKUP($E1030&amp;$C1030,生产方式定位!$F$3:$J$38,2,FALSE),0)</f>
        <v>1200</v>
      </c>
      <c r="S1030" s="18">
        <f>IFERROR(VLOOKUP($D1030&amp;$C1030,生产方式定位!$A$2:$E$38,3,FALSE)+VLOOKUP($E1030&amp;$C1030,生产方式定位!$F$3:$J$38,3,FALSE),0)</f>
        <v>100</v>
      </c>
      <c r="X1030" s="18">
        <f>IFERROR(VLOOKUP($D1030&amp;$C1030,生产方式定位!$A$2:$E$38,5,FALSE)+VLOOKUP($E1030&amp;$C1030,生产方式定位!$F$3:$J$38,5,FALSE),"错误")</f>
        <v>1346</v>
      </c>
      <c r="Y1030" s="27" t="str">
        <f t="shared" si="272"/>
        <v/>
      </c>
      <c r="Z1030" s="50" t="str">
        <f t="shared" ref="Z1030:Z1093" si="275">IF(AH1030="","",AH1030)&amp;IF(AI1030="","",","&amp;AI1030)&amp;IF(AJ1030="","",","&amp;AJ1030)</f>
        <v/>
      </c>
      <c r="AA1030" s="50" t="str">
        <f t="shared" si="273"/>
        <v/>
      </c>
      <c r="AB1030" s="28" t="str">
        <f t="shared" ref="AB1030:AB1093" si="276">IFERROR(ROUND(((X1030/L1030)-1)*100,0)&amp;"%","")</f>
        <v>12%</v>
      </c>
      <c r="AC1030" s="1">
        <f t="shared" ref="AC1030:AC1093" si="277">IF(X1030-S1030-L1030=0,"",X1030-S1030-L1030)</f>
        <v>46</v>
      </c>
      <c r="AD1030" s="52">
        <f t="shared" si="274"/>
        <v>2</v>
      </c>
      <c r="AE1030" t="str">
        <f t="shared" ref="AE1030:AE1093" si="278">IF(AN1030="","",F1030&amp;"*"&amp;AN1030)</f>
        <v/>
      </c>
      <c r="AF1030" t="str">
        <f t="shared" ref="AF1030:AF1093" si="279">IF(AO1030="","",H1030&amp;"*"&amp;AO1030)</f>
        <v/>
      </c>
      <c r="AG1030" t="str">
        <f t="shared" ref="AG1030:AG1093" si="280">IF(AP1030="","",J1030&amp;"*"&amp;AP1030)</f>
        <v/>
      </c>
      <c r="AH1030" t="str">
        <f t="shared" ref="AH1030:AH1093" si="281">IF(AQ1030="","",M1030&amp;"*"&amp;AQ1030)</f>
        <v/>
      </c>
      <c r="AI1030" t="str">
        <f t="shared" ref="AI1030:AI1093" si="282">IF(AR1030="","",O1030&amp;"*"&amp;AR1030)</f>
        <v/>
      </c>
      <c r="AJ1030" t="str">
        <f t="shared" ref="AJ1030:AJ1093" si="283">IF(AS1030="","",Q1030&amp;"*"&amp;AS1030)</f>
        <v/>
      </c>
      <c r="AK1030" t="str">
        <f t="shared" ref="AK1030:AK1093" si="284">IF(AT1030="","",T1030&amp;"*"&amp;AT1030)</f>
        <v/>
      </c>
      <c r="AL1030" t="str">
        <f t="shared" ref="AL1030:AL1093" si="285">IF(AU1030="","",V1030&amp;"*"&amp;AU1030)</f>
        <v/>
      </c>
      <c r="AN1030" t="str">
        <f>IFERROR(ROUND(L1030*(G1030/$AW1030)/VLOOKUP(F1030,商品!$A$4:$D$67,4,FALSE),0),"")</f>
        <v/>
      </c>
      <c r="AO1030" t="str">
        <f>IFERROR(ROUND(L1030*(I1030/$AW1030)/VLOOKUP(H1030,商品!$A$4:$D$67,4,FALSE),0),"")</f>
        <v/>
      </c>
      <c r="AP1030" t="str">
        <f>IFERROR(ROUND(L1030*(K1030/$AW1030)/VLOOKUP(J1030,商品!$A$4:$D$67,4,FALSE),0),"")</f>
        <v/>
      </c>
      <c r="AQ1030" t="str">
        <f>IFERROR(ROUND(S1030*(N1030/$AX1030)/VLOOKUP(M1030,职业!$A$3:$E$16,4,FALSE),0),"")</f>
        <v/>
      </c>
      <c r="AR1030" t="str">
        <f>IFERROR(ROUND(S1030*(P1030/$AX1030)/VLOOKUP(O1030,职业!$A$3:$E$16,4,FALSE),0),"")</f>
        <v/>
      </c>
      <c r="AS1030" t="str">
        <f>IFERROR(ROUND(S1030*(R1030/$AX1030)/VLOOKUP(Q1030,职业!$A$3:$E$16,4,FALSE),0),"")</f>
        <v/>
      </c>
      <c r="AT1030" t="str">
        <f>IFERROR(ROUND(X1030*(U1030/$AY1030)/VLOOKUP(T1030,商品!$A$4:$D$67,4,FALSE),0),"")</f>
        <v/>
      </c>
      <c r="AU1030" t="str">
        <f>IFERROR(ROUND(X1030*(W1030/$AY1030)/VLOOKUP(V1030,商品!$A$4:$D$67,4,FALSE),0),"")</f>
        <v/>
      </c>
      <c r="AW1030">
        <f t="shared" ref="AW1030:AW1093" si="286">G1030+I1030+K1030</f>
        <v>0</v>
      </c>
      <c r="AX1030">
        <f t="shared" ref="AX1030:AX1093" si="287">ABS(N1030)+ABS(P1030)+ABS(R1030)</f>
        <v>0</v>
      </c>
      <c r="AY1030">
        <f t="shared" ref="AY1030:AY1093" si="288">U1030+W1030</f>
        <v>0</v>
      </c>
    </row>
    <row r="1031" customHeight="1" spans="1:51">
      <c r="A1031" s="18" t="s">
        <v>473</v>
      </c>
      <c r="C1031" s="18">
        <v>3</v>
      </c>
      <c r="D1031" s="1" t="s">
        <v>220</v>
      </c>
      <c r="E1031" s="1" t="s">
        <v>224</v>
      </c>
      <c r="L1031" s="18">
        <f>IFERROR(VLOOKUP($D1031&amp;$C1031,生产方式定位!$A$2:$E$38,2,FALSE)+VLOOKUP($E1031&amp;$C1031,生产方式定位!$F$3:$J$38,2,FALSE),0)</f>
        <v>1900</v>
      </c>
      <c r="S1031" s="18">
        <f>IFERROR(VLOOKUP($D1031&amp;$C1031,生产方式定位!$A$2:$E$38,3,FALSE)+VLOOKUP($E1031&amp;$C1031,生产方式定位!$F$3:$J$38,3,FALSE),0)</f>
        <v>70</v>
      </c>
      <c r="X1031" s="18">
        <f>IFERROR(VLOOKUP($D1031&amp;$C1031,生产方式定位!$A$2:$E$38,5,FALSE)+VLOOKUP($E1031&amp;$C1031,生产方式定位!$F$3:$J$38,5,FALSE),"错误")</f>
        <v>2064</v>
      </c>
      <c r="Y1031" s="27" t="str">
        <f t="shared" si="272"/>
        <v/>
      </c>
      <c r="Z1031" s="50" t="str">
        <f t="shared" si="275"/>
        <v/>
      </c>
      <c r="AA1031" s="50" t="str">
        <f t="shared" si="273"/>
        <v/>
      </c>
      <c r="AB1031" s="28" t="str">
        <f t="shared" si="276"/>
        <v>9%</v>
      </c>
      <c r="AC1031" s="1">
        <f t="shared" si="277"/>
        <v>94</v>
      </c>
      <c r="AD1031" s="52">
        <f t="shared" si="274"/>
        <v>3</v>
      </c>
      <c r="AE1031" t="str">
        <f t="shared" si="278"/>
        <v/>
      </c>
      <c r="AF1031" t="str">
        <f t="shared" si="279"/>
        <v/>
      </c>
      <c r="AG1031" t="str">
        <f t="shared" si="280"/>
        <v/>
      </c>
      <c r="AH1031" t="str">
        <f t="shared" si="281"/>
        <v/>
      </c>
      <c r="AI1031" t="str">
        <f t="shared" si="282"/>
        <v/>
      </c>
      <c r="AJ1031" t="str">
        <f t="shared" si="283"/>
        <v/>
      </c>
      <c r="AK1031" t="str">
        <f t="shared" si="284"/>
        <v/>
      </c>
      <c r="AL1031" t="str">
        <f t="shared" si="285"/>
        <v/>
      </c>
      <c r="AN1031" t="str">
        <f>IFERROR(ROUND(L1031*(G1031/$AW1031)/VLOOKUP(F1031,商品!$A$4:$D$67,4,FALSE),0),"")</f>
        <v/>
      </c>
      <c r="AO1031" t="str">
        <f>IFERROR(ROUND(L1031*(I1031/$AW1031)/VLOOKUP(H1031,商品!$A$4:$D$67,4,FALSE),0),"")</f>
        <v/>
      </c>
      <c r="AP1031" t="str">
        <f>IFERROR(ROUND(L1031*(K1031/$AW1031)/VLOOKUP(J1031,商品!$A$4:$D$67,4,FALSE),0),"")</f>
        <v/>
      </c>
      <c r="AQ1031" t="str">
        <f>IFERROR(ROUND(S1031*(N1031/$AX1031)/VLOOKUP(M1031,职业!$A$3:$E$16,4,FALSE),0),"")</f>
        <v/>
      </c>
      <c r="AR1031" t="str">
        <f>IFERROR(ROUND(S1031*(P1031/$AX1031)/VLOOKUP(O1031,职业!$A$3:$E$16,4,FALSE),0),"")</f>
        <v/>
      </c>
      <c r="AS1031" t="str">
        <f>IFERROR(ROUND(S1031*(R1031/$AX1031)/VLOOKUP(Q1031,职业!$A$3:$E$16,4,FALSE),0),"")</f>
        <v/>
      </c>
      <c r="AT1031" t="str">
        <f>IFERROR(ROUND(X1031*(U1031/$AY1031)/VLOOKUP(T1031,商品!$A$4:$D$67,4,FALSE),0),"")</f>
        <v/>
      </c>
      <c r="AU1031" t="str">
        <f>IFERROR(ROUND(X1031*(W1031/$AY1031)/VLOOKUP(V1031,商品!$A$4:$D$67,4,FALSE),0),"")</f>
        <v/>
      </c>
      <c r="AW1031">
        <f t="shared" si="286"/>
        <v>0</v>
      </c>
      <c r="AX1031">
        <f t="shared" si="287"/>
        <v>0</v>
      </c>
      <c r="AY1031">
        <f t="shared" si="288"/>
        <v>0</v>
      </c>
    </row>
    <row r="1032" customHeight="1" spans="1:51">
      <c r="A1032" s="18" t="s">
        <v>473</v>
      </c>
      <c r="C1032" s="18">
        <v>4</v>
      </c>
      <c r="D1032" s="1" t="s">
        <v>220</v>
      </c>
      <c r="E1032" s="1" t="s">
        <v>224</v>
      </c>
      <c r="L1032" s="18">
        <f>IFERROR(VLOOKUP($D1032&amp;$C1032,生产方式定位!$A$2:$E$38,2,FALSE)+VLOOKUP($E1032&amp;$C1032,生产方式定位!$F$3:$J$38,2,FALSE),0)</f>
        <v>2600</v>
      </c>
      <c r="S1032" s="18">
        <f>IFERROR(VLOOKUP($D1032&amp;$C1032,生产方式定位!$A$2:$E$38,3,FALSE)+VLOOKUP($E1032&amp;$C1032,生产方式定位!$F$3:$J$38,3,FALSE),0)</f>
        <v>40</v>
      </c>
      <c r="X1032" s="18">
        <f>IFERROR(VLOOKUP($D1032&amp;$C1032,生产方式定位!$A$2:$E$38,5,FALSE)+VLOOKUP($E1032&amp;$C1032,生产方式定位!$F$3:$J$38,5,FALSE),"错误")</f>
        <v>2782</v>
      </c>
      <c r="Y1032" s="27" t="str">
        <f t="shared" si="272"/>
        <v/>
      </c>
      <c r="Z1032" s="50" t="str">
        <f t="shared" si="275"/>
        <v/>
      </c>
      <c r="AA1032" s="50" t="str">
        <f t="shared" si="273"/>
        <v/>
      </c>
      <c r="AB1032" s="28" t="str">
        <f t="shared" si="276"/>
        <v>7%</v>
      </c>
      <c r="AC1032" s="1">
        <f t="shared" si="277"/>
        <v>142</v>
      </c>
      <c r="AD1032" s="52">
        <f t="shared" si="274"/>
        <v>4</v>
      </c>
      <c r="AE1032" t="str">
        <f t="shared" si="278"/>
        <v/>
      </c>
      <c r="AF1032" t="str">
        <f t="shared" si="279"/>
        <v/>
      </c>
      <c r="AG1032" t="str">
        <f t="shared" si="280"/>
        <v/>
      </c>
      <c r="AH1032" t="str">
        <f t="shared" si="281"/>
        <v/>
      </c>
      <c r="AI1032" t="str">
        <f t="shared" si="282"/>
        <v/>
      </c>
      <c r="AJ1032" t="str">
        <f t="shared" si="283"/>
        <v/>
      </c>
      <c r="AK1032" t="str">
        <f t="shared" si="284"/>
        <v/>
      </c>
      <c r="AL1032" t="str">
        <f t="shared" si="285"/>
        <v/>
      </c>
      <c r="AN1032" t="str">
        <f>IFERROR(ROUND(L1032*(G1032/$AW1032)/VLOOKUP(F1032,商品!$A$4:$D$67,4,FALSE),0),"")</f>
        <v/>
      </c>
      <c r="AO1032" t="str">
        <f>IFERROR(ROUND(L1032*(I1032/$AW1032)/VLOOKUP(H1032,商品!$A$4:$D$67,4,FALSE),0),"")</f>
        <v/>
      </c>
      <c r="AP1032" t="str">
        <f>IFERROR(ROUND(L1032*(K1032/$AW1032)/VLOOKUP(J1032,商品!$A$4:$D$67,4,FALSE),0),"")</f>
        <v/>
      </c>
      <c r="AQ1032" t="str">
        <f>IFERROR(ROUND(S1032*(N1032/$AX1032)/VLOOKUP(M1032,职业!$A$3:$E$16,4,FALSE),0),"")</f>
        <v/>
      </c>
      <c r="AR1032" t="str">
        <f>IFERROR(ROUND(S1032*(P1032/$AX1032)/VLOOKUP(O1032,职业!$A$3:$E$16,4,FALSE),0),"")</f>
        <v/>
      </c>
      <c r="AS1032" t="str">
        <f>IFERROR(ROUND(S1032*(R1032/$AX1032)/VLOOKUP(Q1032,职业!$A$3:$E$16,4,FALSE),0),"")</f>
        <v/>
      </c>
      <c r="AT1032" t="str">
        <f>IFERROR(ROUND(X1032*(U1032/$AY1032)/VLOOKUP(T1032,商品!$A$4:$D$67,4,FALSE),0),"")</f>
        <v/>
      </c>
      <c r="AU1032" t="str">
        <f>IFERROR(ROUND(X1032*(W1032/$AY1032)/VLOOKUP(V1032,商品!$A$4:$D$67,4,FALSE),0),"")</f>
        <v/>
      </c>
      <c r="AW1032">
        <f t="shared" si="286"/>
        <v>0</v>
      </c>
      <c r="AX1032">
        <f t="shared" si="287"/>
        <v>0</v>
      </c>
      <c r="AY1032">
        <f t="shared" si="288"/>
        <v>0</v>
      </c>
    </row>
    <row r="1033" customHeight="1" spans="1:51">
      <c r="A1033" s="18" t="s">
        <v>473</v>
      </c>
      <c r="C1033" s="18">
        <v>5</v>
      </c>
      <c r="D1033" s="1" t="s">
        <v>220</v>
      </c>
      <c r="E1033" s="1" t="s">
        <v>224</v>
      </c>
      <c r="L1033" s="18">
        <f>IFERROR(VLOOKUP($D1033&amp;$C1033,生产方式定位!$A$2:$E$38,2,FALSE)+VLOOKUP($E1033&amp;$C1033,生产方式定位!$F$3:$J$38,2,FALSE),0)</f>
        <v>3300</v>
      </c>
      <c r="S1033" s="18">
        <f>IFERROR(VLOOKUP($D1033&amp;$C1033,生产方式定位!$A$2:$E$38,3,FALSE)+VLOOKUP($E1033&amp;$C1033,生产方式定位!$F$3:$J$38,3,FALSE),0)</f>
        <v>10</v>
      </c>
      <c r="X1033" s="18">
        <f>IFERROR(VLOOKUP($D1033&amp;$C1033,生产方式定位!$A$2:$E$38,5,FALSE)+VLOOKUP($E1033&amp;$C1033,生产方式定位!$F$3:$J$38,5,FALSE),"错误")</f>
        <v>3500</v>
      </c>
      <c r="Y1033" s="27" t="str">
        <f t="shared" si="272"/>
        <v/>
      </c>
      <c r="Z1033" s="50" t="str">
        <f t="shared" si="275"/>
        <v/>
      </c>
      <c r="AA1033" s="50" t="str">
        <f t="shared" si="273"/>
        <v/>
      </c>
      <c r="AB1033" s="28" t="str">
        <f t="shared" si="276"/>
        <v>6%</v>
      </c>
      <c r="AC1033" s="1">
        <f t="shared" si="277"/>
        <v>190</v>
      </c>
      <c r="AD1033" s="52">
        <f t="shared" si="274"/>
        <v>5</v>
      </c>
      <c r="AE1033" t="str">
        <f t="shared" si="278"/>
        <v/>
      </c>
      <c r="AF1033" t="str">
        <f t="shared" si="279"/>
        <v/>
      </c>
      <c r="AG1033" t="str">
        <f t="shared" si="280"/>
        <v/>
      </c>
      <c r="AH1033" t="str">
        <f t="shared" si="281"/>
        <v/>
      </c>
      <c r="AI1033" t="str">
        <f t="shared" si="282"/>
        <v/>
      </c>
      <c r="AJ1033" t="str">
        <f t="shared" si="283"/>
        <v/>
      </c>
      <c r="AK1033" t="str">
        <f t="shared" si="284"/>
        <v/>
      </c>
      <c r="AL1033" t="str">
        <f t="shared" si="285"/>
        <v/>
      </c>
      <c r="AN1033" t="str">
        <f>IFERROR(ROUND(L1033*(G1033/$AW1033)/VLOOKUP(F1033,商品!$A$4:$D$67,4,FALSE),0),"")</f>
        <v/>
      </c>
      <c r="AO1033" t="str">
        <f>IFERROR(ROUND(L1033*(I1033/$AW1033)/VLOOKUP(H1033,商品!$A$4:$D$67,4,FALSE),0),"")</f>
        <v/>
      </c>
      <c r="AP1033" t="str">
        <f>IFERROR(ROUND(L1033*(K1033/$AW1033)/VLOOKUP(J1033,商品!$A$4:$D$67,4,FALSE),0),"")</f>
        <v/>
      </c>
      <c r="AQ1033" t="str">
        <f>IFERROR(ROUND(S1033*(N1033/$AX1033)/VLOOKUP(M1033,职业!$A$3:$E$16,4,FALSE),0),"")</f>
        <v/>
      </c>
      <c r="AR1033" t="str">
        <f>IFERROR(ROUND(S1033*(P1033/$AX1033)/VLOOKUP(O1033,职业!$A$3:$E$16,4,FALSE),0),"")</f>
        <v/>
      </c>
      <c r="AS1033" t="str">
        <f>IFERROR(ROUND(S1033*(R1033/$AX1033)/VLOOKUP(Q1033,职业!$A$3:$E$16,4,FALSE),0),"")</f>
        <v/>
      </c>
      <c r="AT1033" t="str">
        <f>IFERROR(ROUND(X1033*(U1033/$AY1033)/VLOOKUP(T1033,商品!$A$4:$D$67,4,FALSE),0),"")</f>
        <v/>
      </c>
      <c r="AU1033" t="str">
        <f>IFERROR(ROUND(X1033*(W1033/$AY1033)/VLOOKUP(V1033,商品!$A$4:$D$67,4,FALSE),0),"")</f>
        <v/>
      </c>
      <c r="AW1033">
        <f t="shared" si="286"/>
        <v>0</v>
      </c>
      <c r="AX1033">
        <f t="shared" si="287"/>
        <v>0</v>
      </c>
      <c r="AY1033">
        <f t="shared" si="288"/>
        <v>0</v>
      </c>
    </row>
    <row r="1034" customHeight="1" spans="1:51">
      <c r="A1034" s="5" t="s">
        <v>473</v>
      </c>
      <c r="C1034" s="5">
        <v>1</v>
      </c>
      <c r="D1034" s="1" t="s">
        <v>220</v>
      </c>
      <c r="E1034" s="1" t="s">
        <v>224</v>
      </c>
      <c r="L1034" s="5">
        <f>IFERROR(VLOOKUP($D1034&amp;$C1034,生产方式定位!$A$2:$E$38,2,FALSE)+VLOOKUP($E1034&amp;$C1034,生产方式定位!$F$3:$J$38,2,FALSE),0)</f>
        <v>500</v>
      </c>
      <c r="S1034" s="5">
        <f>IFERROR(VLOOKUP($D1034&amp;$C1034,生产方式定位!$A$2:$E$38,3,FALSE)+VLOOKUP($E1034&amp;$C1034,生产方式定位!$F$3:$J$38,3,FALSE),0)</f>
        <v>150</v>
      </c>
      <c r="X1034" s="5">
        <f>IFERROR(VLOOKUP($D1034&amp;$C1034,生产方式定位!$A$2:$E$38,5,FALSE)+VLOOKUP($E1034&amp;$C1034,生产方式定位!$F$3:$J$38,5,FALSE),"错误")</f>
        <v>715</v>
      </c>
      <c r="Y1034" s="27" t="str">
        <f t="shared" si="272"/>
        <v/>
      </c>
      <c r="Z1034" s="50" t="str">
        <f t="shared" si="275"/>
        <v/>
      </c>
      <c r="AA1034" s="50" t="str">
        <f t="shared" si="273"/>
        <v/>
      </c>
      <c r="AB1034" s="28" t="str">
        <f t="shared" si="276"/>
        <v>43%</v>
      </c>
      <c r="AC1034" s="1">
        <f t="shared" si="277"/>
        <v>65</v>
      </c>
      <c r="AD1034" s="51">
        <f t="shared" si="274"/>
        <v>1</v>
      </c>
      <c r="AE1034" t="str">
        <f t="shared" si="278"/>
        <v/>
      </c>
      <c r="AF1034" t="str">
        <f t="shared" si="279"/>
        <v/>
      </c>
      <c r="AG1034" t="str">
        <f t="shared" si="280"/>
        <v/>
      </c>
      <c r="AH1034" t="str">
        <f t="shared" si="281"/>
        <v/>
      </c>
      <c r="AI1034" t="str">
        <f t="shared" si="282"/>
        <v/>
      </c>
      <c r="AJ1034" t="str">
        <f t="shared" si="283"/>
        <v/>
      </c>
      <c r="AK1034" t="str">
        <f t="shared" si="284"/>
        <v/>
      </c>
      <c r="AL1034" t="str">
        <f t="shared" si="285"/>
        <v/>
      </c>
      <c r="AN1034" t="str">
        <f>IFERROR(ROUND(L1034*(G1034/$AW1034)/VLOOKUP(F1034,商品!$A$4:$D$67,4,FALSE),0),"")</f>
        <v/>
      </c>
      <c r="AO1034" t="str">
        <f>IFERROR(ROUND(L1034*(I1034/$AW1034)/VLOOKUP(H1034,商品!$A$4:$D$67,4,FALSE),0),"")</f>
        <v/>
      </c>
      <c r="AP1034" t="str">
        <f>IFERROR(ROUND(L1034*(K1034/$AW1034)/VLOOKUP(J1034,商品!$A$4:$D$67,4,FALSE),0),"")</f>
        <v/>
      </c>
      <c r="AQ1034" t="str">
        <f>IFERROR(ROUND(S1034*(N1034/$AX1034)/VLOOKUP(M1034,职业!$A$3:$E$16,4,FALSE),0),"")</f>
        <v/>
      </c>
      <c r="AR1034" t="str">
        <f>IFERROR(ROUND(S1034*(P1034/$AX1034)/VLOOKUP(O1034,职业!$A$3:$E$16,4,FALSE),0),"")</f>
        <v/>
      </c>
      <c r="AS1034" t="str">
        <f>IFERROR(ROUND(S1034*(R1034/$AX1034)/VLOOKUP(Q1034,职业!$A$3:$E$16,4,FALSE),0),"")</f>
        <v/>
      </c>
      <c r="AT1034" t="str">
        <f>IFERROR(ROUND(X1034*(U1034/$AY1034)/VLOOKUP(T1034,商品!$A$4:$D$67,4,FALSE),0),"")</f>
        <v/>
      </c>
      <c r="AU1034" t="str">
        <f>IFERROR(ROUND(X1034*(W1034/$AY1034)/VLOOKUP(V1034,商品!$A$4:$D$67,4,FALSE),0),"")</f>
        <v/>
      </c>
      <c r="AW1034">
        <f t="shared" si="286"/>
        <v>0</v>
      </c>
      <c r="AX1034">
        <f t="shared" si="287"/>
        <v>0</v>
      </c>
      <c r="AY1034">
        <f t="shared" si="288"/>
        <v>0</v>
      </c>
    </row>
    <row r="1035" customHeight="1" spans="1:51">
      <c r="A1035" s="5" t="s">
        <v>473</v>
      </c>
      <c r="C1035" s="5">
        <v>2</v>
      </c>
      <c r="D1035" s="1" t="s">
        <v>220</v>
      </c>
      <c r="E1035" s="1" t="s">
        <v>224</v>
      </c>
      <c r="L1035" s="5">
        <f>IFERROR(VLOOKUP($D1035&amp;$C1035,生产方式定位!$A$2:$E$38,2,FALSE)+VLOOKUP($E1035&amp;$C1035,生产方式定位!$F$3:$J$38,2,FALSE),0)</f>
        <v>1200</v>
      </c>
      <c r="S1035" s="5">
        <f>IFERROR(VLOOKUP($D1035&amp;$C1035,生产方式定位!$A$2:$E$38,3,FALSE)+VLOOKUP($E1035&amp;$C1035,生产方式定位!$F$3:$J$38,3,FALSE),0)</f>
        <v>100</v>
      </c>
      <c r="X1035" s="5">
        <f>IFERROR(VLOOKUP($D1035&amp;$C1035,生产方式定位!$A$2:$E$38,5,FALSE)+VLOOKUP($E1035&amp;$C1035,生产方式定位!$F$3:$J$38,5,FALSE),"错误")</f>
        <v>1346</v>
      </c>
      <c r="Y1035" s="27" t="str">
        <f t="shared" si="272"/>
        <v/>
      </c>
      <c r="Z1035" s="50" t="str">
        <f t="shared" si="275"/>
        <v/>
      </c>
      <c r="AA1035" s="50" t="str">
        <f t="shared" si="273"/>
        <v/>
      </c>
      <c r="AB1035" s="28" t="str">
        <f t="shared" si="276"/>
        <v>12%</v>
      </c>
      <c r="AC1035" s="1">
        <f t="shared" si="277"/>
        <v>46</v>
      </c>
      <c r="AD1035" s="51">
        <f t="shared" si="274"/>
        <v>2</v>
      </c>
      <c r="AE1035" t="str">
        <f t="shared" si="278"/>
        <v/>
      </c>
      <c r="AF1035" t="str">
        <f t="shared" si="279"/>
        <v/>
      </c>
      <c r="AG1035" t="str">
        <f t="shared" si="280"/>
        <v/>
      </c>
      <c r="AH1035" t="str">
        <f t="shared" si="281"/>
        <v/>
      </c>
      <c r="AI1035" t="str">
        <f t="shared" si="282"/>
        <v/>
      </c>
      <c r="AJ1035" t="str">
        <f t="shared" si="283"/>
        <v/>
      </c>
      <c r="AK1035" t="str">
        <f t="shared" si="284"/>
        <v/>
      </c>
      <c r="AL1035" t="str">
        <f t="shared" si="285"/>
        <v/>
      </c>
      <c r="AN1035" t="str">
        <f>IFERROR(ROUND(L1035*(G1035/$AW1035)/VLOOKUP(F1035,商品!$A$4:$D$67,4,FALSE),0),"")</f>
        <v/>
      </c>
      <c r="AO1035" t="str">
        <f>IFERROR(ROUND(L1035*(I1035/$AW1035)/VLOOKUP(H1035,商品!$A$4:$D$67,4,FALSE),0),"")</f>
        <v/>
      </c>
      <c r="AP1035" t="str">
        <f>IFERROR(ROUND(L1035*(K1035/$AW1035)/VLOOKUP(J1035,商品!$A$4:$D$67,4,FALSE),0),"")</f>
        <v/>
      </c>
      <c r="AQ1035" t="str">
        <f>IFERROR(ROUND(S1035*(N1035/$AX1035)/VLOOKUP(M1035,职业!$A$3:$E$16,4,FALSE),0),"")</f>
        <v/>
      </c>
      <c r="AR1035" t="str">
        <f>IFERROR(ROUND(S1035*(P1035/$AX1035)/VLOOKUP(O1035,职业!$A$3:$E$16,4,FALSE),0),"")</f>
        <v/>
      </c>
      <c r="AS1035" t="str">
        <f>IFERROR(ROUND(S1035*(R1035/$AX1035)/VLOOKUP(Q1035,职业!$A$3:$E$16,4,FALSE),0),"")</f>
        <v/>
      </c>
      <c r="AT1035" t="str">
        <f>IFERROR(ROUND(X1035*(U1035/$AY1035)/VLOOKUP(T1035,商品!$A$4:$D$67,4,FALSE),0),"")</f>
        <v/>
      </c>
      <c r="AU1035" t="str">
        <f>IFERROR(ROUND(X1035*(W1035/$AY1035)/VLOOKUP(V1035,商品!$A$4:$D$67,4,FALSE),0),"")</f>
        <v/>
      </c>
      <c r="AW1035">
        <f t="shared" si="286"/>
        <v>0</v>
      </c>
      <c r="AX1035">
        <f t="shared" si="287"/>
        <v>0</v>
      </c>
      <c r="AY1035">
        <f t="shared" si="288"/>
        <v>0</v>
      </c>
    </row>
    <row r="1036" customHeight="1" spans="1:51">
      <c r="A1036" s="5" t="s">
        <v>473</v>
      </c>
      <c r="C1036" s="5">
        <v>3</v>
      </c>
      <c r="D1036" s="1" t="s">
        <v>220</v>
      </c>
      <c r="E1036" s="1" t="s">
        <v>224</v>
      </c>
      <c r="L1036" s="5">
        <f>IFERROR(VLOOKUP($D1036&amp;$C1036,生产方式定位!$A$2:$E$38,2,FALSE)+VLOOKUP($E1036&amp;$C1036,生产方式定位!$F$3:$J$38,2,FALSE),0)</f>
        <v>1900</v>
      </c>
      <c r="S1036" s="5">
        <f>IFERROR(VLOOKUP($D1036&amp;$C1036,生产方式定位!$A$2:$E$38,3,FALSE)+VLOOKUP($E1036&amp;$C1036,生产方式定位!$F$3:$J$38,3,FALSE),0)</f>
        <v>70</v>
      </c>
      <c r="X1036" s="5">
        <f>IFERROR(VLOOKUP($D1036&amp;$C1036,生产方式定位!$A$2:$E$38,5,FALSE)+VLOOKUP($E1036&amp;$C1036,生产方式定位!$F$3:$J$38,5,FALSE),"错误")</f>
        <v>2064</v>
      </c>
      <c r="Y1036" s="27" t="str">
        <f t="shared" si="272"/>
        <v/>
      </c>
      <c r="Z1036" s="50" t="str">
        <f t="shared" si="275"/>
        <v/>
      </c>
      <c r="AA1036" s="50" t="str">
        <f t="shared" si="273"/>
        <v/>
      </c>
      <c r="AB1036" s="28" t="str">
        <f t="shared" si="276"/>
        <v>9%</v>
      </c>
      <c r="AC1036" s="1">
        <f t="shared" si="277"/>
        <v>94</v>
      </c>
      <c r="AD1036" s="51">
        <f t="shared" si="274"/>
        <v>3</v>
      </c>
      <c r="AE1036" t="str">
        <f t="shared" si="278"/>
        <v/>
      </c>
      <c r="AF1036" t="str">
        <f t="shared" si="279"/>
        <v/>
      </c>
      <c r="AG1036" t="str">
        <f t="shared" si="280"/>
        <v/>
      </c>
      <c r="AH1036" t="str">
        <f t="shared" si="281"/>
        <v/>
      </c>
      <c r="AI1036" t="str">
        <f t="shared" si="282"/>
        <v/>
      </c>
      <c r="AJ1036" t="str">
        <f t="shared" si="283"/>
        <v/>
      </c>
      <c r="AK1036" t="str">
        <f t="shared" si="284"/>
        <v/>
      </c>
      <c r="AL1036" t="str">
        <f t="shared" si="285"/>
        <v/>
      </c>
      <c r="AN1036" t="str">
        <f>IFERROR(ROUND(L1036*(G1036/$AW1036)/VLOOKUP(F1036,商品!$A$4:$D$67,4,FALSE),0),"")</f>
        <v/>
      </c>
      <c r="AO1036" t="str">
        <f>IFERROR(ROUND(L1036*(I1036/$AW1036)/VLOOKUP(H1036,商品!$A$4:$D$67,4,FALSE),0),"")</f>
        <v/>
      </c>
      <c r="AP1036" t="str">
        <f>IFERROR(ROUND(L1036*(K1036/$AW1036)/VLOOKUP(J1036,商品!$A$4:$D$67,4,FALSE),0),"")</f>
        <v/>
      </c>
      <c r="AQ1036" t="str">
        <f>IFERROR(ROUND(S1036*(N1036/$AX1036)/VLOOKUP(M1036,职业!$A$3:$E$16,4,FALSE),0),"")</f>
        <v/>
      </c>
      <c r="AR1036" t="str">
        <f>IFERROR(ROUND(S1036*(P1036/$AX1036)/VLOOKUP(O1036,职业!$A$3:$E$16,4,FALSE),0),"")</f>
        <v/>
      </c>
      <c r="AS1036" t="str">
        <f>IFERROR(ROUND(S1036*(R1036/$AX1036)/VLOOKUP(Q1036,职业!$A$3:$E$16,4,FALSE),0),"")</f>
        <v/>
      </c>
      <c r="AT1036" t="str">
        <f>IFERROR(ROUND(X1036*(U1036/$AY1036)/VLOOKUP(T1036,商品!$A$4:$D$67,4,FALSE),0),"")</f>
        <v/>
      </c>
      <c r="AU1036" t="str">
        <f>IFERROR(ROUND(X1036*(W1036/$AY1036)/VLOOKUP(V1036,商品!$A$4:$D$67,4,FALSE),0),"")</f>
        <v/>
      </c>
      <c r="AW1036">
        <f t="shared" si="286"/>
        <v>0</v>
      </c>
      <c r="AX1036">
        <f t="shared" si="287"/>
        <v>0</v>
      </c>
      <c r="AY1036">
        <f t="shared" si="288"/>
        <v>0</v>
      </c>
    </row>
    <row r="1037" customHeight="1" spans="1:51">
      <c r="A1037" s="5" t="s">
        <v>473</v>
      </c>
      <c r="C1037" s="5">
        <v>4</v>
      </c>
      <c r="D1037" s="1" t="s">
        <v>220</v>
      </c>
      <c r="E1037" s="1" t="s">
        <v>224</v>
      </c>
      <c r="L1037" s="5">
        <f>IFERROR(VLOOKUP($D1037&amp;$C1037,生产方式定位!$A$2:$E$38,2,FALSE)+VLOOKUP($E1037&amp;$C1037,生产方式定位!$F$3:$J$38,2,FALSE),0)</f>
        <v>2600</v>
      </c>
      <c r="S1037" s="5">
        <f>IFERROR(VLOOKUP($D1037&amp;$C1037,生产方式定位!$A$2:$E$38,3,FALSE)+VLOOKUP($E1037&amp;$C1037,生产方式定位!$F$3:$J$38,3,FALSE),0)</f>
        <v>40</v>
      </c>
      <c r="X1037" s="5">
        <f>IFERROR(VLOOKUP($D1037&amp;$C1037,生产方式定位!$A$2:$E$38,5,FALSE)+VLOOKUP($E1037&amp;$C1037,生产方式定位!$F$3:$J$38,5,FALSE),"错误")</f>
        <v>2782</v>
      </c>
      <c r="Y1037" s="27" t="str">
        <f t="shared" si="272"/>
        <v/>
      </c>
      <c r="Z1037" s="50" t="str">
        <f t="shared" si="275"/>
        <v/>
      </c>
      <c r="AA1037" s="50" t="str">
        <f t="shared" si="273"/>
        <v/>
      </c>
      <c r="AB1037" s="28" t="str">
        <f t="shared" si="276"/>
        <v>7%</v>
      </c>
      <c r="AC1037" s="1">
        <f t="shared" si="277"/>
        <v>142</v>
      </c>
      <c r="AD1037" s="51">
        <f t="shared" si="274"/>
        <v>4</v>
      </c>
      <c r="AE1037" t="str">
        <f t="shared" si="278"/>
        <v/>
      </c>
      <c r="AF1037" t="str">
        <f t="shared" si="279"/>
        <v/>
      </c>
      <c r="AG1037" t="str">
        <f t="shared" si="280"/>
        <v/>
      </c>
      <c r="AH1037" t="str">
        <f t="shared" si="281"/>
        <v/>
      </c>
      <c r="AI1037" t="str">
        <f t="shared" si="282"/>
        <v/>
      </c>
      <c r="AJ1037" t="str">
        <f t="shared" si="283"/>
        <v/>
      </c>
      <c r="AK1037" t="str">
        <f t="shared" si="284"/>
        <v/>
      </c>
      <c r="AL1037" t="str">
        <f t="shared" si="285"/>
        <v/>
      </c>
      <c r="AN1037" t="str">
        <f>IFERROR(ROUND(L1037*(G1037/$AW1037)/VLOOKUP(F1037,商品!$A$4:$D$67,4,FALSE),0),"")</f>
        <v/>
      </c>
      <c r="AO1037" t="str">
        <f>IFERROR(ROUND(L1037*(I1037/$AW1037)/VLOOKUP(H1037,商品!$A$4:$D$67,4,FALSE),0),"")</f>
        <v/>
      </c>
      <c r="AP1037" t="str">
        <f>IFERROR(ROUND(L1037*(K1037/$AW1037)/VLOOKUP(J1037,商品!$A$4:$D$67,4,FALSE),0),"")</f>
        <v/>
      </c>
      <c r="AQ1037" t="str">
        <f>IFERROR(ROUND(S1037*(N1037/$AX1037)/VLOOKUP(M1037,职业!$A$3:$E$16,4,FALSE),0),"")</f>
        <v/>
      </c>
      <c r="AR1037" t="str">
        <f>IFERROR(ROUND(S1037*(P1037/$AX1037)/VLOOKUP(O1037,职业!$A$3:$E$16,4,FALSE),0),"")</f>
        <v/>
      </c>
      <c r="AS1037" t="str">
        <f>IFERROR(ROUND(S1037*(R1037/$AX1037)/VLOOKUP(Q1037,职业!$A$3:$E$16,4,FALSE),0),"")</f>
        <v/>
      </c>
      <c r="AT1037" t="str">
        <f>IFERROR(ROUND(X1037*(U1037/$AY1037)/VLOOKUP(T1037,商品!$A$4:$D$67,4,FALSE),0),"")</f>
        <v/>
      </c>
      <c r="AU1037" t="str">
        <f>IFERROR(ROUND(X1037*(W1037/$AY1037)/VLOOKUP(V1037,商品!$A$4:$D$67,4,FALSE),0),"")</f>
        <v/>
      </c>
      <c r="AW1037">
        <f t="shared" si="286"/>
        <v>0</v>
      </c>
      <c r="AX1037">
        <f t="shared" si="287"/>
        <v>0</v>
      </c>
      <c r="AY1037">
        <f t="shared" si="288"/>
        <v>0</v>
      </c>
    </row>
    <row r="1038" customHeight="1" spans="1:51">
      <c r="A1038" s="5" t="s">
        <v>473</v>
      </c>
      <c r="C1038" s="5">
        <v>5</v>
      </c>
      <c r="D1038" s="1" t="s">
        <v>220</v>
      </c>
      <c r="E1038" s="1" t="s">
        <v>224</v>
      </c>
      <c r="L1038" s="5">
        <f>IFERROR(VLOOKUP($D1038&amp;$C1038,生产方式定位!$A$2:$E$38,2,FALSE)+VLOOKUP($E1038&amp;$C1038,生产方式定位!$F$3:$J$38,2,FALSE),0)</f>
        <v>3300</v>
      </c>
      <c r="S1038" s="5">
        <f>IFERROR(VLOOKUP($D1038&amp;$C1038,生产方式定位!$A$2:$E$38,3,FALSE)+VLOOKUP($E1038&amp;$C1038,生产方式定位!$F$3:$J$38,3,FALSE),0)</f>
        <v>10</v>
      </c>
      <c r="X1038" s="5">
        <f>IFERROR(VLOOKUP($D1038&amp;$C1038,生产方式定位!$A$2:$E$38,5,FALSE)+VLOOKUP($E1038&amp;$C1038,生产方式定位!$F$3:$J$38,5,FALSE),"错误")</f>
        <v>3500</v>
      </c>
      <c r="Y1038" s="27" t="str">
        <f t="shared" si="272"/>
        <v/>
      </c>
      <c r="Z1038" s="50" t="str">
        <f t="shared" si="275"/>
        <v/>
      </c>
      <c r="AA1038" s="50" t="str">
        <f t="shared" si="273"/>
        <v/>
      </c>
      <c r="AB1038" s="28" t="str">
        <f t="shared" si="276"/>
        <v>6%</v>
      </c>
      <c r="AC1038" s="1">
        <f t="shared" si="277"/>
        <v>190</v>
      </c>
      <c r="AD1038" s="51">
        <f t="shared" si="274"/>
        <v>5</v>
      </c>
      <c r="AE1038" t="str">
        <f t="shared" si="278"/>
        <v/>
      </c>
      <c r="AF1038" t="str">
        <f t="shared" si="279"/>
        <v/>
      </c>
      <c r="AG1038" t="str">
        <f t="shared" si="280"/>
        <v/>
      </c>
      <c r="AH1038" t="str">
        <f t="shared" si="281"/>
        <v/>
      </c>
      <c r="AI1038" t="str">
        <f t="shared" si="282"/>
        <v/>
      </c>
      <c r="AJ1038" t="str">
        <f t="shared" si="283"/>
        <v/>
      </c>
      <c r="AK1038" t="str">
        <f t="shared" si="284"/>
        <v/>
      </c>
      <c r="AL1038" t="str">
        <f t="shared" si="285"/>
        <v/>
      </c>
      <c r="AN1038" t="str">
        <f>IFERROR(ROUND(L1038*(G1038/$AW1038)/VLOOKUP(F1038,商品!$A$4:$D$67,4,FALSE),0),"")</f>
        <v/>
      </c>
      <c r="AO1038" t="str">
        <f>IFERROR(ROUND(L1038*(I1038/$AW1038)/VLOOKUP(H1038,商品!$A$4:$D$67,4,FALSE),0),"")</f>
        <v/>
      </c>
      <c r="AP1038" t="str">
        <f>IFERROR(ROUND(L1038*(K1038/$AW1038)/VLOOKUP(J1038,商品!$A$4:$D$67,4,FALSE),0),"")</f>
        <v/>
      </c>
      <c r="AQ1038" t="str">
        <f>IFERROR(ROUND(S1038*(N1038/$AX1038)/VLOOKUP(M1038,职业!$A$3:$E$16,4,FALSE),0),"")</f>
        <v/>
      </c>
      <c r="AR1038" t="str">
        <f>IFERROR(ROUND(S1038*(P1038/$AX1038)/VLOOKUP(O1038,职业!$A$3:$E$16,4,FALSE),0),"")</f>
        <v/>
      </c>
      <c r="AS1038" t="str">
        <f>IFERROR(ROUND(S1038*(R1038/$AX1038)/VLOOKUP(Q1038,职业!$A$3:$E$16,4,FALSE),0),"")</f>
        <v/>
      </c>
      <c r="AT1038" t="str">
        <f>IFERROR(ROUND(X1038*(U1038/$AY1038)/VLOOKUP(T1038,商品!$A$4:$D$67,4,FALSE),0),"")</f>
        <v/>
      </c>
      <c r="AU1038" t="str">
        <f>IFERROR(ROUND(X1038*(W1038/$AY1038)/VLOOKUP(V1038,商品!$A$4:$D$67,4,FALSE),0),"")</f>
        <v/>
      </c>
      <c r="AW1038">
        <f t="shared" si="286"/>
        <v>0</v>
      </c>
      <c r="AX1038">
        <f t="shared" si="287"/>
        <v>0</v>
      </c>
      <c r="AY1038">
        <f t="shared" si="288"/>
        <v>0</v>
      </c>
    </row>
    <row r="1039" customHeight="1" spans="1:51">
      <c r="A1039" s="18" t="s">
        <v>474</v>
      </c>
      <c r="C1039" s="18">
        <v>1</v>
      </c>
      <c r="D1039" s="1" t="s">
        <v>291</v>
      </c>
      <c r="E1039" s="1" t="s">
        <v>225</v>
      </c>
      <c r="L1039" s="18">
        <f>IFERROR(VLOOKUP($D1039&amp;$C1039,生产方式定位!$A$2:$E$38,2,FALSE)+VLOOKUP($E1039&amp;$C1039,生产方式定位!$F$3:$J$38,2,FALSE),0)</f>
        <v>0</v>
      </c>
      <c r="S1039" s="18">
        <f>IFERROR(VLOOKUP($D1039&amp;$C1039,生产方式定位!$A$2:$E$38,3,FALSE)+VLOOKUP($E1039&amp;$C1039,生产方式定位!$F$3:$J$38,3,FALSE),0)</f>
        <v>100</v>
      </c>
      <c r="X1039" s="18">
        <f>IFERROR(VLOOKUP($D1039&amp;$C1039,生产方式定位!$A$2:$E$38,5,FALSE)+VLOOKUP($E1039&amp;$C1039,生产方式定位!$F$3:$J$38,5,FALSE),"错误")</f>
        <v>100</v>
      </c>
      <c r="Y1039" s="27" t="str">
        <f t="shared" si="272"/>
        <v/>
      </c>
      <c r="Z1039" s="50" t="str">
        <f t="shared" si="275"/>
        <v/>
      </c>
      <c r="AA1039" s="50" t="str">
        <f t="shared" si="273"/>
        <v/>
      </c>
      <c r="AB1039" s="28" t="str">
        <f t="shared" si="276"/>
        <v/>
      </c>
      <c r="AC1039" s="1" t="str">
        <f t="shared" si="277"/>
        <v/>
      </c>
      <c r="AD1039" s="52">
        <f t="shared" si="274"/>
        <v>1</v>
      </c>
      <c r="AE1039" t="str">
        <f t="shared" si="278"/>
        <v/>
      </c>
      <c r="AF1039" t="str">
        <f t="shared" si="279"/>
        <v/>
      </c>
      <c r="AG1039" t="str">
        <f t="shared" si="280"/>
        <v/>
      </c>
      <c r="AH1039" t="str">
        <f t="shared" si="281"/>
        <v/>
      </c>
      <c r="AI1039" t="str">
        <f t="shared" si="282"/>
        <v/>
      </c>
      <c r="AJ1039" t="str">
        <f t="shared" si="283"/>
        <v/>
      </c>
      <c r="AK1039" t="str">
        <f t="shared" si="284"/>
        <v/>
      </c>
      <c r="AL1039" t="str">
        <f t="shared" si="285"/>
        <v/>
      </c>
      <c r="AN1039" t="str">
        <f>IFERROR(ROUND(L1039*(G1039/$AW1039)/VLOOKUP(F1039,商品!$A$4:$D$67,4,FALSE),0),"")</f>
        <v/>
      </c>
      <c r="AO1039" t="str">
        <f>IFERROR(ROUND(L1039*(I1039/$AW1039)/VLOOKUP(H1039,商品!$A$4:$D$67,4,FALSE),0),"")</f>
        <v/>
      </c>
      <c r="AP1039" t="str">
        <f>IFERROR(ROUND(L1039*(K1039/$AW1039)/VLOOKUP(J1039,商品!$A$4:$D$67,4,FALSE),0),"")</f>
        <v/>
      </c>
      <c r="AQ1039" t="str">
        <f>IFERROR(ROUND(S1039*(N1039/$AX1039)/VLOOKUP(M1039,职业!$A$3:$E$16,4,FALSE),0),"")</f>
        <v/>
      </c>
      <c r="AR1039" t="str">
        <f>IFERROR(ROUND(S1039*(P1039/$AX1039)/VLOOKUP(O1039,职业!$A$3:$E$16,4,FALSE),0),"")</f>
        <v/>
      </c>
      <c r="AS1039" t="str">
        <f>IFERROR(ROUND(S1039*(R1039/$AX1039)/VLOOKUP(Q1039,职业!$A$3:$E$16,4,FALSE),0),"")</f>
        <v/>
      </c>
      <c r="AT1039" t="str">
        <f>IFERROR(ROUND(X1039*(U1039/$AY1039)/VLOOKUP(T1039,商品!$A$4:$D$67,4,FALSE),0),"")</f>
        <v/>
      </c>
      <c r="AU1039" t="str">
        <f>IFERROR(ROUND(X1039*(W1039/$AY1039)/VLOOKUP(V1039,商品!$A$4:$D$67,4,FALSE),0),"")</f>
        <v/>
      </c>
      <c r="AW1039">
        <f t="shared" si="286"/>
        <v>0</v>
      </c>
      <c r="AX1039">
        <f t="shared" si="287"/>
        <v>0</v>
      </c>
      <c r="AY1039">
        <f t="shared" si="288"/>
        <v>0</v>
      </c>
    </row>
    <row r="1040" customHeight="1" spans="1:51">
      <c r="A1040" s="18" t="s">
        <v>474</v>
      </c>
      <c r="C1040" s="18">
        <v>2</v>
      </c>
      <c r="D1040" s="1" t="s">
        <v>291</v>
      </c>
      <c r="E1040" s="1" t="s">
        <v>225</v>
      </c>
      <c r="L1040" s="18">
        <f>IFERROR(VLOOKUP($D1040&amp;$C1040,生产方式定位!$A$2:$E$38,2,FALSE)+VLOOKUP($E1040&amp;$C1040,生产方式定位!$F$3:$J$38,2,FALSE),0)</f>
        <v>0</v>
      </c>
      <c r="S1040" s="18">
        <f>IFERROR(VLOOKUP($D1040&amp;$C1040,生产方式定位!$A$2:$E$38,3,FALSE)+VLOOKUP($E1040&amp;$C1040,生产方式定位!$F$3:$J$38,3,FALSE),0)</f>
        <v>100</v>
      </c>
      <c r="X1040" s="18">
        <f>IFERROR(VLOOKUP($D1040&amp;$C1040,生产方式定位!$A$2:$E$38,5,FALSE)+VLOOKUP($E1040&amp;$C1040,生产方式定位!$F$3:$J$38,5,FALSE),"错误")</f>
        <v>100</v>
      </c>
      <c r="Y1040" s="27" t="str">
        <f t="shared" si="272"/>
        <v/>
      </c>
      <c r="Z1040" s="50" t="str">
        <f t="shared" si="275"/>
        <v/>
      </c>
      <c r="AA1040" s="50" t="str">
        <f t="shared" si="273"/>
        <v/>
      </c>
      <c r="AB1040" s="28" t="str">
        <f t="shared" si="276"/>
        <v/>
      </c>
      <c r="AC1040" s="1" t="str">
        <f t="shared" si="277"/>
        <v/>
      </c>
      <c r="AD1040" s="52">
        <f t="shared" si="274"/>
        <v>2</v>
      </c>
      <c r="AE1040" t="str">
        <f t="shared" si="278"/>
        <v/>
      </c>
      <c r="AF1040" t="str">
        <f t="shared" si="279"/>
        <v/>
      </c>
      <c r="AG1040" t="str">
        <f t="shared" si="280"/>
        <v/>
      </c>
      <c r="AH1040" t="str">
        <f t="shared" si="281"/>
        <v/>
      </c>
      <c r="AI1040" t="str">
        <f t="shared" si="282"/>
        <v/>
      </c>
      <c r="AJ1040" t="str">
        <f t="shared" si="283"/>
        <v/>
      </c>
      <c r="AK1040" t="str">
        <f t="shared" si="284"/>
        <v/>
      </c>
      <c r="AL1040" t="str">
        <f t="shared" si="285"/>
        <v/>
      </c>
      <c r="AN1040" t="str">
        <f>IFERROR(ROUND(L1040*(G1040/$AW1040)/VLOOKUP(F1040,商品!$A$4:$D$67,4,FALSE),0),"")</f>
        <v/>
      </c>
      <c r="AO1040" t="str">
        <f>IFERROR(ROUND(L1040*(I1040/$AW1040)/VLOOKUP(H1040,商品!$A$4:$D$67,4,FALSE),0),"")</f>
        <v/>
      </c>
      <c r="AP1040" t="str">
        <f>IFERROR(ROUND(L1040*(K1040/$AW1040)/VLOOKUP(J1040,商品!$A$4:$D$67,4,FALSE),0),"")</f>
        <v/>
      </c>
      <c r="AQ1040" t="str">
        <f>IFERROR(ROUND(S1040*(N1040/$AX1040)/VLOOKUP(M1040,职业!$A$3:$E$16,4,FALSE),0),"")</f>
        <v/>
      </c>
      <c r="AR1040" t="str">
        <f>IFERROR(ROUND(S1040*(P1040/$AX1040)/VLOOKUP(O1040,职业!$A$3:$E$16,4,FALSE),0),"")</f>
        <v/>
      </c>
      <c r="AS1040" t="str">
        <f>IFERROR(ROUND(S1040*(R1040/$AX1040)/VLOOKUP(Q1040,职业!$A$3:$E$16,4,FALSE),0),"")</f>
        <v/>
      </c>
      <c r="AT1040" t="str">
        <f>IFERROR(ROUND(X1040*(U1040/$AY1040)/VLOOKUP(T1040,商品!$A$4:$D$67,4,FALSE),0),"")</f>
        <v/>
      </c>
      <c r="AU1040" t="str">
        <f>IFERROR(ROUND(X1040*(W1040/$AY1040)/VLOOKUP(V1040,商品!$A$4:$D$67,4,FALSE),0),"")</f>
        <v/>
      </c>
      <c r="AW1040">
        <f t="shared" si="286"/>
        <v>0</v>
      </c>
      <c r="AX1040">
        <f t="shared" si="287"/>
        <v>0</v>
      </c>
      <c r="AY1040">
        <f t="shared" si="288"/>
        <v>0</v>
      </c>
    </row>
    <row r="1041" customHeight="1" spans="1:51">
      <c r="A1041" s="18" t="s">
        <v>474</v>
      </c>
      <c r="C1041" s="18">
        <v>3</v>
      </c>
      <c r="D1041" s="1" t="s">
        <v>291</v>
      </c>
      <c r="E1041" s="1" t="s">
        <v>225</v>
      </c>
      <c r="L1041" s="18">
        <f>IFERROR(VLOOKUP($D1041&amp;$C1041,生产方式定位!$A$2:$E$38,2,FALSE)+VLOOKUP($E1041&amp;$C1041,生产方式定位!$F$3:$J$38,2,FALSE),0)</f>
        <v>0</v>
      </c>
      <c r="S1041" s="18">
        <f>IFERROR(VLOOKUP($D1041&amp;$C1041,生产方式定位!$A$2:$E$38,3,FALSE)+VLOOKUP($E1041&amp;$C1041,生产方式定位!$F$3:$J$38,3,FALSE),0)</f>
        <v>100</v>
      </c>
      <c r="X1041" s="18">
        <f>IFERROR(VLOOKUP($D1041&amp;$C1041,生产方式定位!$A$2:$E$38,5,FALSE)+VLOOKUP($E1041&amp;$C1041,生产方式定位!$F$3:$J$38,5,FALSE),"错误")</f>
        <v>100</v>
      </c>
      <c r="Y1041" s="27" t="str">
        <f t="shared" si="272"/>
        <v/>
      </c>
      <c r="Z1041" s="50" t="str">
        <f t="shared" si="275"/>
        <v/>
      </c>
      <c r="AA1041" s="50" t="str">
        <f t="shared" si="273"/>
        <v/>
      </c>
      <c r="AB1041" s="28" t="str">
        <f t="shared" si="276"/>
        <v/>
      </c>
      <c r="AC1041" s="1" t="str">
        <f t="shared" si="277"/>
        <v/>
      </c>
      <c r="AD1041" s="52">
        <f t="shared" si="274"/>
        <v>3</v>
      </c>
      <c r="AE1041" t="str">
        <f t="shared" si="278"/>
        <v/>
      </c>
      <c r="AF1041" t="str">
        <f t="shared" si="279"/>
        <v/>
      </c>
      <c r="AG1041" t="str">
        <f t="shared" si="280"/>
        <v/>
      </c>
      <c r="AH1041" t="str">
        <f t="shared" si="281"/>
        <v/>
      </c>
      <c r="AI1041" t="str">
        <f t="shared" si="282"/>
        <v/>
      </c>
      <c r="AJ1041" t="str">
        <f t="shared" si="283"/>
        <v/>
      </c>
      <c r="AK1041" t="str">
        <f t="shared" si="284"/>
        <v/>
      </c>
      <c r="AL1041" t="str">
        <f t="shared" si="285"/>
        <v/>
      </c>
      <c r="AN1041" t="str">
        <f>IFERROR(ROUND(L1041*(G1041/$AW1041)/VLOOKUP(F1041,商品!$A$4:$D$67,4,FALSE),0),"")</f>
        <v/>
      </c>
      <c r="AO1041" t="str">
        <f>IFERROR(ROUND(L1041*(I1041/$AW1041)/VLOOKUP(H1041,商品!$A$4:$D$67,4,FALSE),0),"")</f>
        <v/>
      </c>
      <c r="AP1041" t="str">
        <f>IFERROR(ROUND(L1041*(K1041/$AW1041)/VLOOKUP(J1041,商品!$A$4:$D$67,4,FALSE),0),"")</f>
        <v/>
      </c>
      <c r="AQ1041" t="str">
        <f>IFERROR(ROUND(S1041*(N1041/$AX1041)/VLOOKUP(M1041,职业!$A$3:$E$16,4,FALSE),0),"")</f>
        <v/>
      </c>
      <c r="AR1041" t="str">
        <f>IFERROR(ROUND(S1041*(P1041/$AX1041)/VLOOKUP(O1041,职业!$A$3:$E$16,4,FALSE),0),"")</f>
        <v/>
      </c>
      <c r="AS1041" t="str">
        <f>IFERROR(ROUND(S1041*(R1041/$AX1041)/VLOOKUP(Q1041,职业!$A$3:$E$16,4,FALSE),0),"")</f>
        <v/>
      </c>
      <c r="AT1041" t="str">
        <f>IFERROR(ROUND(X1041*(U1041/$AY1041)/VLOOKUP(T1041,商品!$A$4:$D$67,4,FALSE),0),"")</f>
        <v/>
      </c>
      <c r="AU1041" t="str">
        <f>IFERROR(ROUND(X1041*(W1041/$AY1041)/VLOOKUP(V1041,商品!$A$4:$D$67,4,FALSE),0),"")</f>
        <v/>
      </c>
      <c r="AW1041">
        <f t="shared" si="286"/>
        <v>0</v>
      </c>
      <c r="AX1041">
        <f t="shared" si="287"/>
        <v>0</v>
      </c>
      <c r="AY1041">
        <f t="shared" si="288"/>
        <v>0</v>
      </c>
    </row>
    <row r="1042" customHeight="1" spans="1:51">
      <c r="A1042" s="18" t="s">
        <v>474</v>
      </c>
      <c r="C1042" s="18">
        <v>4</v>
      </c>
      <c r="D1042" s="1" t="s">
        <v>291</v>
      </c>
      <c r="E1042" s="1" t="s">
        <v>225</v>
      </c>
      <c r="L1042" s="18">
        <f>IFERROR(VLOOKUP($D1042&amp;$C1042,生产方式定位!$A$2:$E$38,2,FALSE)+VLOOKUP($E1042&amp;$C1042,生产方式定位!$F$3:$J$38,2,FALSE),0)</f>
        <v>0</v>
      </c>
      <c r="S1042" s="18">
        <f>IFERROR(VLOOKUP($D1042&amp;$C1042,生产方式定位!$A$2:$E$38,3,FALSE)+VLOOKUP($E1042&amp;$C1042,生产方式定位!$F$3:$J$38,3,FALSE),0)</f>
        <v>100</v>
      </c>
      <c r="X1042" s="18">
        <f>IFERROR(VLOOKUP($D1042&amp;$C1042,生产方式定位!$A$2:$E$38,5,FALSE)+VLOOKUP($E1042&amp;$C1042,生产方式定位!$F$3:$J$38,5,FALSE),"错误")</f>
        <v>100</v>
      </c>
      <c r="Y1042" s="27" t="str">
        <f t="shared" si="272"/>
        <v/>
      </c>
      <c r="Z1042" s="50" t="str">
        <f t="shared" si="275"/>
        <v/>
      </c>
      <c r="AA1042" s="50" t="str">
        <f t="shared" si="273"/>
        <v/>
      </c>
      <c r="AB1042" s="28" t="str">
        <f t="shared" si="276"/>
        <v/>
      </c>
      <c r="AC1042" s="1" t="str">
        <f t="shared" si="277"/>
        <v/>
      </c>
      <c r="AD1042" s="52">
        <f t="shared" si="274"/>
        <v>4</v>
      </c>
      <c r="AE1042" t="str">
        <f t="shared" si="278"/>
        <v/>
      </c>
      <c r="AF1042" t="str">
        <f t="shared" si="279"/>
        <v/>
      </c>
      <c r="AG1042" t="str">
        <f t="shared" si="280"/>
        <v/>
      </c>
      <c r="AH1042" t="str">
        <f t="shared" si="281"/>
        <v/>
      </c>
      <c r="AI1042" t="str">
        <f t="shared" si="282"/>
        <v/>
      </c>
      <c r="AJ1042" t="str">
        <f t="shared" si="283"/>
        <v/>
      </c>
      <c r="AK1042" t="str">
        <f t="shared" si="284"/>
        <v/>
      </c>
      <c r="AL1042" t="str">
        <f t="shared" si="285"/>
        <v/>
      </c>
      <c r="AN1042" t="str">
        <f>IFERROR(ROUND(L1042*(G1042/$AW1042)/VLOOKUP(F1042,商品!$A$4:$D$67,4,FALSE),0),"")</f>
        <v/>
      </c>
      <c r="AO1042" t="str">
        <f>IFERROR(ROUND(L1042*(I1042/$AW1042)/VLOOKUP(H1042,商品!$A$4:$D$67,4,FALSE),0),"")</f>
        <v/>
      </c>
      <c r="AP1042" t="str">
        <f>IFERROR(ROUND(L1042*(K1042/$AW1042)/VLOOKUP(J1042,商品!$A$4:$D$67,4,FALSE),0),"")</f>
        <v/>
      </c>
      <c r="AQ1042" t="str">
        <f>IFERROR(ROUND(S1042*(N1042/$AX1042)/VLOOKUP(M1042,职业!$A$3:$E$16,4,FALSE),0),"")</f>
        <v/>
      </c>
      <c r="AR1042" t="str">
        <f>IFERROR(ROUND(S1042*(P1042/$AX1042)/VLOOKUP(O1042,职业!$A$3:$E$16,4,FALSE),0),"")</f>
        <v/>
      </c>
      <c r="AS1042" t="str">
        <f>IFERROR(ROUND(S1042*(R1042/$AX1042)/VLOOKUP(Q1042,职业!$A$3:$E$16,4,FALSE),0),"")</f>
        <v/>
      </c>
      <c r="AT1042" t="str">
        <f>IFERROR(ROUND(X1042*(U1042/$AY1042)/VLOOKUP(T1042,商品!$A$4:$D$67,4,FALSE),0),"")</f>
        <v/>
      </c>
      <c r="AU1042" t="str">
        <f>IFERROR(ROUND(X1042*(W1042/$AY1042)/VLOOKUP(V1042,商品!$A$4:$D$67,4,FALSE),0),"")</f>
        <v/>
      </c>
      <c r="AW1042">
        <f t="shared" si="286"/>
        <v>0</v>
      </c>
      <c r="AX1042">
        <f t="shared" si="287"/>
        <v>0</v>
      </c>
      <c r="AY1042">
        <f t="shared" si="288"/>
        <v>0</v>
      </c>
    </row>
    <row r="1043" customHeight="1" spans="1:51">
      <c r="A1043" s="18" t="s">
        <v>474</v>
      </c>
      <c r="C1043" s="18">
        <v>5</v>
      </c>
      <c r="D1043" s="1" t="s">
        <v>291</v>
      </c>
      <c r="E1043" s="1" t="s">
        <v>225</v>
      </c>
      <c r="L1043" s="18">
        <f>IFERROR(VLOOKUP($D1043&amp;$C1043,生产方式定位!$A$2:$E$38,2,FALSE)+VLOOKUP($E1043&amp;$C1043,生产方式定位!$F$3:$J$38,2,FALSE),0)</f>
        <v>0</v>
      </c>
      <c r="S1043" s="18">
        <f>IFERROR(VLOOKUP($D1043&amp;$C1043,生产方式定位!$A$2:$E$38,3,FALSE)+VLOOKUP($E1043&amp;$C1043,生产方式定位!$F$3:$J$38,3,FALSE),0)</f>
        <v>100</v>
      </c>
      <c r="X1043" s="18">
        <f>IFERROR(VLOOKUP($D1043&amp;$C1043,生产方式定位!$A$2:$E$38,5,FALSE)+VLOOKUP($E1043&amp;$C1043,生产方式定位!$F$3:$J$38,5,FALSE),"错误")</f>
        <v>100</v>
      </c>
      <c r="Y1043" s="27" t="str">
        <f t="shared" si="272"/>
        <v/>
      </c>
      <c r="Z1043" s="50" t="str">
        <f t="shared" si="275"/>
        <v/>
      </c>
      <c r="AA1043" s="50" t="str">
        <f t="shared" si="273"/>
        <v/>
      </c>
      <c r="AB1043" s="28" t="str">
        <f t="shared" si="276"/>
        <v/>
      </c>
      <c r="AC1043" s="1" t="str">
        <f t="shared" si="277"/>
        <v/>
      </c>
      <c r="AD1043" s="52">
        <f t="shared" si="274"/>
        <v>5</v>
      </c>
      <c r="AE1043" t="str">
        <f t="shared" si="278"/>
        <v/>
      </c>
      <c r="AF1043" t="str">
        <f t="shared" si="279"/>
        <v/>
      </c>
      <c r="AG1043" t="str">
        <f t="shared" si="280"/>
        <v/>
      </c>
      <c r="AH1043" t="str">
        <f t="shared" si="281"/>
        <v/>
      </c>
      <c r="AI1043" t="str">
        <f t="shared" si="282"/>
        <v/>
      </c>
      <c r="AJ1043" t="str">
        <f t="shared" si="283"/>
        <v/>
      </c>
      <c r="AK1043" t="str">
        <f t="shared" si="284"/>
        <v/>
      </c>
      <c r="AL1043" t="str">
        <f t="shared" si="285"/>
        <v/>
      </c>
      <c r="AN1043" t="str">
        <f>IFERROR(ROUND(L1043*(G1043/$AW1043)/VLOOKUP(F1043,商品!$A$4:$D$67,4,FALSE),0),"")</f>
        <v/>
      </c>
      <c r="AO1043" t="str">
        <f>IFERROR(ROUND(L1043*(I1043/$AW1043)/VLOOKUP(H1043,商品!$A$4:$D$67,4,FALSE),0),"")</f>
        <v/>
      </c>
      <c r="AP1043" t="str">
        <f>IFERROR(ROUND(L1043*(K1043/$AW1043)/VLOOKUP(J1043,商品!$A$4:$D$67,4,FALSE),0),"")</f>
        <v/>
      </c>
      <c r="AQ1043" t="str">
        <f>IFERROR(ROUND(S1043*(N1043/$AX1043)/VLOOKUP(M1043,职业!$A$3:$E$16,4,FALSE),0),"")</f>
        <v/>
      </c>
      <c r="AR1043" t="str">
        <f>IFERROR(ROUND(S1043*(P1043/$AX1043)/VLOOKUP(O1043,职业!$A$3:$E$16,4,FALSE),0),"")</f>
        <v/>
      </c>
      <c r="AS1043" t="str">
        <f>IFERROR(ROUND(S1043*(R1043/$AX1043)/VLOOKUP(Q1043,职业!$A$3:$E$16,4,FALSE),0),"")</f>
        <v/>
      </c>
      <c r="AT1043" t="str">
        <f>IFERROR(ROUND(X1043*(U1043/$AY1043)/VLOOKUP(T1043,商品!$A$4:$D$67,4,FALSE),0),"")</f>
        <v/>
      </c>
      <c r="AU1043" t="str">
        <f>IFERROR(ROUND(X1043*(W1043/$AY1043)/VLOOKUP(V1043,商品!$A$4:$D$67,4,FALSE),0),"")</f>
        <v/>
      </c>
      <c r="AW1043">
        <f t="shared" si="286"/>
        <v>0</v>
      </c>
      <c r="AX1043">
        <f t="shared" si="287"/>
        <v>0</v>
      </c>
      <c r="AY1043">
        <f t="shared" si="288"/>
        <v>0</v>
      </c>
    </row>
    <row r="1044" customHeight="1" spans="1:51">
      <c r="A1044" s="18" t="s">
        <v>474</v>
      </c>
      <c r="C1044" s="18">
        <v>6</v>
      </c>
      <c r="D1044" s="1" t="s">
        <v>291</v>
      </c>
      <c r="E1044" s="1" t="s">
        <v>225</v>
      </c>
      <c r="L1044" s="18">
        <f>IFERROR(VLOOKUP($D1044&amp;$C1044,生产方式定位!$A$2:$E$38,2,FALSE)+VLOOKUP($E1044&amp;$C1044,生产方式定位!$F$3:$J$38,2,FALSE),0)</f>
        <v>0</v>
      </c>
      <c r="S1044" s="18">
        <f>IFERROR(VLOOKUP($D1044&amp;$C1044,生产方式定位!$A$2:$E$38,3,FALSE)+VLOOKUP($E1044&amp;$C1044,生产方式定位!$F$3:$J$38,3,FALSE),0)</f>
        <v>100</v>
      </c>
      <c r="X1044" s="18">
        <f>IFERROR(VLOOKUP($D1044&amp;$C1044,生产方式定位!$A$2:$E$38,5,FALSE)+VLOOKUP($E1044&amp;$C1044,生产方式定位!$F$3:$J$38,5,FALSE),"错误")</f>
        <v>100</v>
      </c>
      <c r="Y1044" s="27" t="str">
        <f t="shared" si="272"/>
        <v/>
      </c>
      <c r="Z1044" s="50" t="str">
        <f t="shared" si="275"/>
        <v/>
      </c>
      <c r="AA1044" s="50" t="str">
        <f t="shared" si="273"/>
        <v/>
      </c>
      <c r="AB1044" s="28" t="str">
        <f t="shared" si="276"/>
        <v/>
      </c>
      <c r="AC1044" s="1" t="str">
        <f t="shared" si="277"/>
        <v/>
      </c>
      <c r="AD1044" s="52">
        <f t="shared" si="274"/>
        <v>6</v>
      </c>
      <c r="AE1044" t="str">
        <f t="shared" si="278"/>
        <v/>
      </c>
      <c r="AF1044" t="str">
        <f t="shared" si="279"/>
        <v/>
      </c>
      <c r="AG1044" t="str">
        <f t="shared" si="280"/>
        <v/>
      </c>
      <c r="AH1044" t="str">
        <f t="shared" si="281"/>
        <v/>
      </c>
      <c r="AI1044" t="str">
        <f t="shared" si="282"/>
        <v/>
      </c>
      <c r="AJ1044" t="str">
        <f t="shared" si="283"/>
        <v/>
      </c>
      <c r="AK1044" t="str">
        <f t="shared" si="284"/>
        <v/>
      </c>
      <c r="AL1044" t="str">
        <f t="shared" si="285"/>
        <v/>
      </c>
      <c r="AN1044" t="str">
        <f>IFERROR(ROUND(L1044*(G1044/$AW1044)/VLOOKUP(F1044,商品!$A$4:$D$67,4,FALSE),0),"")</f>
        <v/>
      </c>
      <c r="AO1044" t="str">
        <f>IFERROR(ROUND(L1044*(I1044/$AW1044)/VLOOKUP(H1044,商品!$A$4:$D$67,4,FALSE),0),"")</f>
        <v/>
      </c>
      <c r="AP1044" t="str">
        <f>IFERROR(ROUND(L1044*(K1044/$AW1044)/VLOOKUP(J1044,商品!$A$4:$D$67,4,FALSE),0),"")</f>
        <v/>
      </c>
      <c r="AQ1044" t="str">
        <f>IFERROR(ROUND(S1044*(N1044/$AX1044)/VLOOKUP(M1044,职业!$A$3:$E$16,4,FALSE),0),"")</f>
        <v/>
      </c>
      <c r="AR1044" t="str">
        <f>IFERROR(ROUND(S1044*(P1044/$AX1044)/VLOOKUP(O1044,职业!$A$3:$E$16,4,FALSE),0),"")</f>
        <v/>
      </c>
      <c r="AS1044" t="str">
        <f>IFERROR(ROUND(S1044*(R1044/$AX1044)/VLOOKUP(Q1044,职业!$A$3:$E$16,4,FALSE),0),"")</f>
        <v/>
      </c>
      <c r="AT1044" t="str">
        <f>IFERROR(ROUND(X1044*(U1044/$AY1044)/VLOOKUP(T1044,商品!$A$4:$D$67,4,FALSE),0),"")</f>
        <v/>
      </c>
      <c r="AU1044" t="str">
        <f>IFERROR(ROUND(X1044*(W1044/$AY1044)/VLOOKUP(V1044,商品!$A$4:$D$67,4,FALSE),0),"")</f>
        <v/>
      </c>
      <c r="AW1044">
        <f t="shared" si="286"/>
        <v>0</v>
      </c>
      <c r="AX1044">
        <f t="shared" si="287"/>
        <v>0</v>
      </c>
      <c r="AY1044">
        <f t="shared" si="288"/>
        <v>0</v>
      </c>
    </row>
    <row r="1045" customHeight="1" spans="1:51">
      <c r="A1045" s="18" t="s">
        <v>474</v>
      </c>
      <c r="C1045" s="18">
        <v>7</v>
      </c>
      <c r="D1045" s="1" t="s">
        <v>291</v>
      </c>
      <c r="E1045" s="1" t="s">
        <v>225</v>
      </c>
      <c r="L1045" s="18">
        <f>IFERROR(VLOOKUP($D1045&amp;$C1045,生产方式定位!$A$2:$E$38,2,FALSE)+VLOOKUP($E1045&amp;$C1045,生产方式定位!$F$3:$J$38,2,FALSE),0)</f>
        <v>0</v>
      </c>
      <c r="S1045" s="18">
        <f>IFERROR(VLOOKUP($D1045&amp;$C1045,生产方式定位!$A$2:$E$38,3,FALSE)+VLOOKUP($E1045&amp;$C1045,生产方式定位!$F$3:$J$38,3,FALSE),0)</f>
        <v>100</v>
      </c>
      <c r="X1045" s="18">
        <f>IFERROR(VLOOKUP($D1045&amp;$C1045,生产方式定位!$A$2:$E$38,5,FALSE)+VLOOKUP($E1045&amp;$C1045,生产方式定位!$F$3:$J$38,5,FALSE),"错误")</f>
        <v>100</v>
      </c>
      <c r="Y1045" s="27" t="str">
        <f t="shared" si="272"/>
        <v/>
      </c>
      <c r="Z1045" s="50" t="str">
        <f t="shared" si="275"/>
        <v/>
      </c>
      <c r="AA1045" s="50" t="str">
        <f t="shared" si="273"/>
        <v/>
      </c>
      <c r="AB1045" s="28" t="str">
        <f t="shared" si="276"/>
        <v/>
      </c>
      <c r="AC1045" s="1" t="str">
        <f t="shared" si="277"/>
        <v/>
      </c>
      <c r="AD1045" s="52">
        <f t="shared" si="274"/>
        <v>7</v>
      </c>
      <c r="AE1045" t="str">
        <f t="shared" si="278"/>
        <v/>
      </c>
      <c r="AF1045" t="str">
        <f t="shared" si="279"/>
        <v/>
      </c>
      <c r="AG1045" t="str">
        <f t="shared" si="280"/>
        <v/>
      </c>
      <c r="AH1045" t="str">
        <f t="shared" si="281"/>
        <v/>
      </c>
      <c r="AI1045" t="str">
        <f t="shared" si="282"/>
        <v/>
      </c>
      <c r="AJ1045" t="str">
        <f t="shared" si="283"/>
        <v/>
      </c>
      <c r="AK1045" t="str">
        <f t="shared" si="284"/>
        <v/>
      </c>
      <c r="AL1045" t="str">
        <f t="shared" si="285"/>
        <v/>
      </c>
      <c r="AN1045" t="str">
        <f>IFERROR(ROUND(L1045*(G1045/$AW1045)/VLOOKUP(F1045,商品!$A$4:$D$67,4,FALSE),0),"")</f>
        <v/>
      </c>
      <c r="AO1045" t="str">
        <f>IFERROR(ROUND(L1045*(I1045/$AW1045)/VLOOKUP(H1045,商品!$A$4:$D$67,4,FALSE),0),"")</f>
        <v/>
      </c>
      <c r="AP1045" t="str">
        <f>IFERROR(ROUND(L1045*(K1045/$AW1045)/VLOOKUP(J1045,商品!$A$4:$D$67,4,FALSE),0),"")</f>
        <v/>
      </c>
      <c r="AQ1045" t="str">
        <f>IFERROR(ROUND(S1045*(N1045/$AX1045)/VLOOKUP(M1045,职业!$A$3:$E$16,4,FALSE),0),"")</f>
        <v/>
      </c>
      <c r="AR1045" t="str">
        <f>IFERROR(ROUND(S1045*(P1045/$AX1045)/VLOOKUP(O1045,职业!$A$3:$E$16,4,FALSE),0),"")</f>
        <v/>
      </c>
      <c r="AS1045" t="str">
        <f>IFERROR(ROUND(S1045*(R1045/$AX1045)/VLOOKUP(Q1045,职业!$A$3:$E$16,4,FALSE),0),"")</f>
        <v/>
      </c>
      <c r="AT1045" t="str">
        <f>IFERROR(ROUND(X1045*(U1045/$AY1045)/VLOOKUP(T1045,商品!$A$4:$D$67,4,FALSE),0),"")</f>
        <v/>
      </c>
      <c r="AU1045" t="str">
        <f>IFERROR(ROUND(X1045*(W1045/$AY1045)/VLOOKUP(V1045,商品!$A$4:$D$67,4,FALSE),0),"")</f>
        <v/>
      </c>
      <c r="AW1045">
        <f t="shared" si="286"/>
        <v>0</v>
      </c>
      <c r="AX1045">
        <f t="shared" si="287"/>
        <v>0</v>
      </c>
      <c r="AY1045">
        <f t="shared" si="288"/>
        <v>0</v>
      </c>
    </row>
    <row r="1046" customHeight="1" spans="1:51">
      <c r="A1046" s="18" t="s">
        <v>474</v>
      </c>
      <c r="C1046" s="18">
        <v>8</v>
      </c>
      <c r="D1046" s="1" t="s">
        <v>291</v>
      </c>
      <c r="E1046" s="1" t="s">
        <v>225</v>
      </c>
      <c r="L1046" s="18">
        <f>IFERROR(VLOOKUP($D1046&amp;$C1046,生产方式定位!$A$2:$E$38,2,FALSE)+VLOOKUP($E1046&amp;$C1046,生产方式定位!$F$3:$J$38,2,FALSE),0)</f>
        <v>0</v>
      </c>
      <c r="S1046" s="18">
        <f>IFERROR(VLOOKUP($D1046&amp;$C1046,生产方式定位!$A$2:$E$38,3,FALSE)+VLOOKUP($E1046&amp;$C1046,生产方式定位!$F$3:$J$38,3,FALSE),0)</f>
        <v>100</v>
      </c>
      <c r="X1046" s="18">
        <f>IFERROR(VLOOKUP($D1046&amp;$C1046,生产方式定位!$A$2:$E$38,5,FALSE)+VLOOKUP($E1046&amp;$C1046,生产方式定位!$F$3:$J$38,5,FALSE),"错误")</f>
        <v>100</v>
      </c>
      <c r="Y1046" s="27" t="str">
        <f t="shared" si="272"/>
        <v/>
      </c>
      <c r="Z1046" s="50" t="str">
        <f t="shared" si="275"/>
        <v/>
      </c>
      <c r="AA1046" s="50" t="str">
        <f t="shared" si="273"/>
        <v/>
      </c>
      <c r="AB1046" s="28" t="str">
        <f t="shared" si="276"/>
        <v/>
      </c>
      <c r="AC1046" s="1" t="str">
        <f t="shared" si="277"/>
        <v/>
      </c>
      <c r="AD1046" s="52">
        <f t="shared" si="274"/>
        <v>8</v>
      </c>
      <c r="AE1046" t="str">
        <f t="shared" si="278"/>
        <v/>
      </c>
      <c r="AF1046" t="str">
        <f t="shared" si="279"/>
        <v/>
      </c>
      <c r="AG1046" t="str">
        <f t="shared" si="280"/>
        <v/>
      </c>
      <c r="AH1046" t="str">
        <f t="shared" si="281"/>
        <v/>
      </c>
      <c r="AI1046" t="str">
        <f t="shared" si="282"/>
        <v/>
      </c>
      <c r="AJ1046" t="str">
        <f t="shared" si="283"/>
        <v/>
      </c>
      <c r="AK1046" t="str">
        <f t="shared" si="284"/>
        <v/>
      </c>
      <c r="AL1046" t="str">
        <f t="shared" si="285"/>
        <v/>
      </c>
      <c r="AN1046" t="str">
        <f>IFERROR(ROUND(L1046*(G1046/$AW1046)/VLOOKUP(F1046,商品!$A$4:$D$67,4,FALSE),0),"")</f>
        <v/>
      </c>
      <c r="AO1046" t="str">
        <f>IFERROR(ROUND(L1046*(I1046/$AW1046)/VLOOKUP(H1046,商品!$A$4:$D$67,4,FALSE),0),"")</f>
        <v/>
      </c>
      <c r="AP1046" t="str">
        <f>IFERROR(ROUND(L1046*(K1046/$AW1046)/VLOOKUP(J1046,商品!$A$4:$D$67,4,FALSE),0),"")</f>
        <v/>
      </c>
      <c r="AQ1046" t="str">
        <f>IFERROR(ROUND(S1046*(N1046/$AX1046)/VLOOKUP(M1046,职业!$A$3:$E$16,4,FALSE),0),"")</f>
        <v/>
      </c>
      <c r="AR1046" t="str">
        <f>IFERROR(ROUND(S1046*(P1046/$AX1046)/VLOOKUP(O1046,职业!$A$3:$E$16,4,FALSE),0),"")</f>
        <v/>
      </c>
      <c r="AS1046" t="str">
        <f>IFERROR(ROUND(S1046*(R1046/$AX1046)/VLOOKUP(Q1046,职业!$A$3:$E$16,4,FALSE),0),"")</f>
        <v/>
      </c>
      <c r="AT1046" t="str">
        <f>IFERROR(ROUND(X1046*(U1046/$AY1046)/VLOOKUP(T1046,商品!$A$4:$D$67,4,FALSE),0),"")</f>
        <v/>
      </c>
      <c r="AU1046" t="str">
        <f>IFERROR(ROUND(X1046*(W1046/$AY1046)/VLOOKUP(V1046,商品!$A$4:$D$67,4,FALSE),0),"")</f>
        <v/>
      </c>
      <c r="AW1046">
        <f t="shared" si="286"/>
        <v>0</v>
      </c>
      <c r="AX1046">
        <f t="shared" si="287"/>
        <v>0</v>
      </c>
      <c r="AY1046">
        <f t="shared" si="288"/>
        <v>0</v>
      </c>
    </row>
    <row r="1047" customHeight="1" spans="1:51">
      <c r="A1047" s="5" t="s">
        <v>476</v>
      </c>
      <c r="C1047" s="5">
        <v>1</v>
      </c>
      <c r="D1047" s="1" t="s">
        <v>220</v>
      </c>
      <c r="E1047" s="1" t="s">
        <v>222</v>
      </c>
      <c r="L1047" s="5">
        <f>IFERROR(VLOOKUP($D1047&amp;$C1047,生产方式定位!$A$2:$E$38,2,FALSE)+VLOOKUP($E1047&amp;$C1047,生产方式定位!$F$3:$J$38,2,FALSE),0)</f>
        <v>500</v>
      </c>
      <c r="S1047" s="5">
        <f>IFERROR(VLOOKUP($D1047&amp;$C1047,生产方式定位!$A$2:$E$38,3,FALSE)+VLOOKUP($E1047&amp;$C1047,生产方式定位!$F$3:$J$38,3,FALSE),0)</f>
        <v>150</v>
      </c>
      <c r="X1047" s="5">
        <f>IFERROR(VLOOKUP($D1047&amp;$C1047,生产方式定位!$A$2:$E$38,5,FALSE)+VLOOKUP($E1047&amp;$C1047,生产方式定位!$F$3:$J$38,5,FALSE),"错误")</f>
        <v>715</v>
      </c>
      <c r="Y1047" s="27" t="str">
        <f t="shared" si="272"/>
        <v/>
      </c>
      <c r="Z1047" s="50" t="str">
        <f t="shared" si="275"/>
        <v/>
      </c>
      <c r="AA1047" s="50" t="str">
        <f t="shared" si="273"/>
        <v/>
      </c>
      <c r="AB1047" s="28" t="str">
        <f t="shared" si="276"/>
        <v>43%</v>
      </c>
      <c r="AC1047" s="1">
        <f t="shared" si="277"/>
        <v>65</v>
      </c>
      <c r="AD1047" s="51">
        <f t="shared" si="274"/>
        <v>1</v>
      </c>
      <c r="AE1047" t="str">
        <f t="shared" si="278"/>
        <v/>
      </c>
      <c r="AF1047" t="str">
        <f t="shared" si="279"/>
        <v/>
      </c>
      <c r="AG1047" t="str">
        <f t="shared" si="280"/>
        <v/>
      </c>
      <c r="AH1047" t="str">
        <f t="shared" si="281"/>
        <v/>
      </c>
      <c r="AI1047" t="str">
        <f t="shared" si="282"/>
        <v/>
      </c>
      <c r="AJ1047" t="str">
        <f t="shared" si="283"/>
        <v/>
      </c>
      <c r="AK1047" t="str">
        <f t="shared" si="284"/>
        <v/>
      </c>
      <c r="AL1047" t="str">
        <f t="shared" si="285"/>
        <v/>
      </c>
      <c r="AN1047" t="str">
        <f>IFERROR(ROUND(L1047*(G1047/$AW1047)/VLOOKUP(F1047,商品!$A$4:$D$67,4,FALSE),0),"")</f>
        <v/>
      </c>
      <c r="AO1047" t="str">
        <f>IFERROR(ROUND(L1047*(I1047/$AW1047)/VLOOKUP(H1047,商品!$A$4:$D$67,4,FALSE),0),"")</f>
        <v/>
      </c>
      <c r="AP1047" t="str">
        <f>IFERROR(ROUND(L1047*(K1047/$AW1047)/VLOOKUP(J1047,商品!$A$4:$D$67,4,FALSE),0),"")</f>
        <v/>
      </c>
      <c r="AQ1047" t="str">
        <f>IFERROR(ROUND(S1047*(N1047/$AX1047)/VLOOKUP(M1047,职业!$A$3:$E$16,4,FALSE),0),"")</f>
        <v/>
      </c>
      <c r="AR1047" t="str">
        <f>IFERROR(ROUND(S1047*(P1047/$AX1047)/VLOOKUP(O1047,职业!$A$3:$E$16,4,FALSE),0),"")</f>
        <v/>
      </c>
      <c r="AS1047" t="str">
        <f>IFERROR(ROUND(S1047*(R1047/$AX1047)/VLOOKUP(Q1047,职业!$A$3:$E$16,4,FALSE),0),"")</f>
        <v/>
      </c>
      <c r="AT1047" t="str">
        <f>IFERROR(ROUND(X1047*(U1047/$AY1047)/VLOOKUP(T1047,商品!$A$4:$D$67,4,FALSE),0),"")</f>
        <v/>
      </c>
      <c r="AU1047" t="str">
        <f>IFERROR(ROUND(X1047*(W1047/$AY1047)/VLOOKUP(V1047,商品!$A$4:$D$67,4,FALSE),0),"")</f>
        <v/>
      </c>
      <c r="AW1047">
        <f t="shared" si="286"/>
        <v>0</v>
      </c>
      <c r="AX1047">
        <f t="shared" si="287"/>
        <v>0</v>
      </c>
      <c r="AY1047">
        <f t="shared" si="288"/>
        <v>0</v>
      </c>
    </row>
    <row r="1048" customHeight="1" spans="1:51">
      <c r="A1048" s="5" t="s">
        <v>476</v>
      </c>
      <c r="C1048" s="5">
        <v>2</v>
      </c>
      <c r="D1048" s="1" t="s">
        <v>220</v>
      </c>
      <c r="E1048" s="1" t="s">
        <v>222</v>
      </c>
      <c r="L1048" s="5">
        <f>IFERROR(VLOOKUP($D1048&amp;$C1048,生产方式定位!$A$2:$E$38,2,FALSE)+VLOOKUP($E1048&amp;$C1048,生产方式定位!$F$3:$J$38,2,FALSE),0)</f>
        <v>1200</v>
      </c>
      <c r="S1048" s="5">
        <f>IFERROR(VLOOKUP($D1048&amp;$C1048,生产方式定位!$A$2:$E$38,3,FALSE)+VLOOKUP($E1048&amp;$C1048,生产方式定位!$F$3:$J$38,3,FALSE),0)</f>
        <v>140</v>
      </c>
      <c r="X1048" s="5">
        <f>IFERROR(VLOOKUP($D1048&amp;$C1048,生产方式定位!$A$2:$E$38,5,FALSE)+VLOOKUP($E1048&amp;$C1048,生产方式定位!$F$3:$J$38,5,FALSE),"错误")</f>
        <v>1390</v>
      </c>
      <c r="Y1048" s="27" t="str">
        <f t="shared" si="272"/>
        <v/>
      </c>
      <c r="Z1048" s="50" t="str">
        <f t="shared" si="275"/>
        <v/>
      </c>
      <c r="AA1048" s="50" t="str">
        <f t="shared" si="273"/>
        <v/>
      </c>
      <c r="AB1048" s="28" t="str">
        <f t="shared" si="276"/>
        <v>16%</v>
      </c>
      <c r="AC1048" s="1">
        <f t="shared" si="277"/>
        <v>50</v>
      </c>
      <c r="AD1048" s="51">
        <f t="shared" si="274"/>
        <v>2</v>
      </c>
      <c r="AE1048" t="str">
        <f t="shared" si="278"/>
        <v/>
      </c>
      <c r="AF1048" t="str">
        <f t="shared" si="279"/>
        <v/>
      </c>
      <c r="AG1048" t="str">
        <f t="shared" si="280"/>
        <v/>
      </c>
      <c r="AH1048" t="str">
        <f t="shared" si="281"/>
        <v/>
      </c>
      <c r="AI1048" t="str">
        <f t="shared" si="282"/>
        <v/>
      </c>
      <c r="AJ1048" t="str">
        <f t="shared" si="283"/>
        <v/>
      </c>
      <c r="AK1048" t="str">
        <f t="shared" si="284"/>
        <v/>
      </c>
      <c r="AL1048" t="str">
        <f t="shared" si="285"/>
        <v/>
      </c>
      <c r="AN1048" t="str">
        <f>IFERROR(ROUND(L1048*(G1048/$AW1048)/VLOOKUP(F1048,商品!$A$4:$D$67,4,FALSE),0),"")</f>
        <v/>
      </c>
      <c r="AO1048" t="str">
        <f>IFERROR(ROUND(L1048*(I1048/$AW1048)/VLOOKUP(H1048,商品!$A$4:$D$67,4,FALSE),0),"")</f>
        <v/>
      </c>
      <c r="AP1048" t="str">
        <f>IFERROR(ROUND(L1048*(K1048/$AW1048)/VLOOKUP(J1048,商品!$A$4:$D$67,4,FALSE),0),"")</f>
        <v/>
      </c>
      <c r="AQ1048" t="str">
        <f>IFERROR(ROUND(S1048*(N1048/$AX1048)/VLOOKUP(M1048,职业!$A$3:$E$16,4,FALSE),0),"")</f>
        <v/>
      </c>
      <c r="AR1048" t="str">
        <f>IFERROR(ROUND(S1048*(P1048/$AX1048)/VLOOKUP(O1048,职业!$A$3:$E$16,4,FALSE),0),"")</f>
        <v/>
      </c>
      <c r="AS1048" t="str">
        <f>IFERROR(ROUND(S1048*(R1048/$AX1048)/VLOOKUP(Q1048,职业!$A$3:$E$16,4,FALSE),0),"")</f>
        <v/>
      </c>
      <c r="AT1048" t="str">
        <f>IFERROR(ROUND(X1048*(U1048/$AY1048)/VLOOKUP(T1048,商品!$A$4:$D$67,4,FALSE),0),"")</f>
        <v/>
      </c>
      <c r="AU1048" t="str">
        <f>IFERROR(ROUND(X1048*(W1048/$AY1048)/VLOOKUP(V1048,商品!$A$4:$D$67,4,FALSE),0),"")</f>
        <v/>
      </c>
      <c r="AW1048">
        <f t="shared" si="286"/>
        <v>0</v>
      </c>
      <c r="AX1048">
        <f t="shared" si="287"/>
        <v>0</v>
      </c>
      <c r="AY1048">
        <f t="shared" si="288"/>
        <v>0</v>
      </c>
    </row>
    <row r="1049" customHeight="1" spans="1:51">
      <c r="A1049" s="5" t="s">
        <v>476</v>
      </c>
      <c r="C1049" s="5">
        <v>3</v>
      </c>
      <c r="D1049" s="1" t="s">
        <v>220</v>
      </c>
      <c r="E1049" s="1" t="s">
        <v>222</v>
      </c>
      <c r="L1049" s="5">
        <f>IFERROR(VLOOKUP($D1049&amp;$C1049,生产方式定位!$A$2:$E$38,2,FALSE)+VLOOKUP($E1049&amp;$C1049,生产方式定位!$F$3:$J$38,2,FALSE),0)</f>
        <v>1525</v>
      </c>
      <c r="S1049" s="5">
        <f>IFERROR(VLOOKUP($D1049&amp;$C1049,生产方式定位!$A$2:$E$38,3,FALSE)+VLOOKUP($E1049&amp;$C1049,生产方式定位!$F$3:$J$38,3,FALSE),0)</f>
        <v>130</v>
      </c>
      <c r="X1049" s="5">
        <f>IFERROR(VLOOKUP($D1049&amp;$C1049,生产方式定位!$A$2:$E$38,5,FALSE)+VLOOKUP($E1049&amp;$C1049,生产方式定位!$F$3:$J$38,5,FALSE),"错误")</f>
        <v>1718</v>
      </c>
      <c r="Y1049" s="27" t="str">
        <f t="shared" si="272"/>
        <v/>
      </c>
      <c r="Z1049" s="50" t="str">
        <f t="shared" si="275"/>
        <v/>
      </c>
      <c r="AA1049" s="50" t="str">
        <f t="shared" si="273"/>
        <v/>
      </c>
      <c r="AB1049" s="28" t="str">
        <f t="shared" si="276"/>
        <v>13%</v>
      </c>
      <c r="AC1049" s="1">
        <f t="shared" si="277"/>
        <v>63</v>
      </c>
      <c r="AD1049" s="51">
        <f t="shared" si="274"/>
        <v>3</v>
      </c>
      <c r="AE1049" t="str">
        <f t="shared" si="278"/>
        <v/>
      </c>
      <c r="AF1049" t="str">
        <f t="shared" si="279"/>
        <v/>
      </c>
      <c r="AG1049" t="str">
        <f t="shared" si="280"/>
        <v/>
      </c>
      <c r="AH1049" t="str">
        <f t="shared" si="281"/>
        <v/>
      </c>
      <c r="AI1049" t="str">
        <f t="shared" si="282"/>
        <v/>
      </c>
      <c r="AJ1049" t="str">
        <f t="shared" si="283"/>
        <v/>
      </c>
      <c r="AK1049" t="str">
        <f t="shared" si="284"/>
        <v/>
      </c>
      <c r="AL1049" t="str">
        <f t="shared" si="285"/>
        <v/>
      </c>
      <c r="AN1049" t="str">
        <f>IFERROR(ROUND(L1049*(G1049/$AW1049)/VLOOKUP(F1049,商品!$A$4:$D$67,4,FALSE),0),"")</f>
        <v/>
      </c>
      <c r="AO1049" t="str">
        <f>IFERROR(ROUND(L1049*(I1049/$AW1049)/VLOOKUP(H1049,商品!$A$4:$D$67,4,FALSE),0),"")</f>
        <v/>
      </c>
      <c r="AP1049" t="str">
        <f>IFERROR(ROUND(L1049*(K1049/$AW1049)/VLOOKUP(J1049,商品!$A$4:$D$67,4,FALSE),0),"")</f>
        <v/>
      </c>
      <c r="AQ1049" t="str">
        <f>IFERROR(ROUND(S1049*(N1049/$AX1049)/VLOOKUP(M1049,职业!$A$3:$E$16,4,FALSE),0),"")</f>
        <v/>
      </c>
      <c r="AR1049" t="str">
        <f>IFERROR(ROUND(S1049*(P1049/$AX1049)/VLOOKUP(O1049,职业!$A$3:$E$16,4,FALSE),0),"")</f>
        <v/>
      </c>
      <c r="AS1049" t="str">
        <f>IFERROR(ROUND(S1049*(R1049/$AX1049)/VLOOKUP(Q1049,职业!$A$3:$E$16,4,FALSE),0),"")</f>
        <v/>
      </c>
      <c r="AT1049" t="str">
        <f>IFERROR(ROUND(X1049*(U1049/$AY1049)/VLOOKUP(T1049,商品!$A$4:$D$67,4,FALSE),0),"")</f>
        <v/>
      </c>
      <c r="AU1049" t="str">
        <f>IFERROR(ROUND(X1049*(W1049/$AY1049)/VLOOKUP(V1049,商品!$A$4:$D$67,4,FALSE),0),"")</f>
        <v/>
      </c>
      <c r="AW1049">
        <f t="shared" si="286"/>
        <v>0</v>
      </c>
      <c r="AX1049">
        <f t="shared" si="287"/>
        <v>0</v>
      </c>
      <c r="AY1049">
        <f t="shared" si="288"/>
        <v>0</v>
      </c>
    </row>
    <row r="1050" customHeight="1" spans="1:51">
      <c r="A1050" s="5" t="s">
        <v>476</v>
      </c>
      <c r="C1050" s="5">
        <v>4</v>
      </c>
      <c r="D1050" s="1" t="s">
        <v>220</v>
      </c>
      <c r="E1050" s="1" t="s">
        <v>222</v>
      </c>
      <c r="L1050" s="5">
        <f>IFERROR(VLOOKUP($D1050&amp;$C1050,生产方式定位!$A$2:$E$38,2,FALSE)+VLOOKUP($E1050&amp;$C1050,生产方式定位!$F$3:$J$38,2,FALSE),0)</f>
        <v>1850</v>
      </c>
      <c r="S1050" s="5">
        <f>IFERROR(VLOOKUP($D1050&amp;$C1050,生产方式定位!$A$2:$E$38,3,FALSE)+VLOOKUP($E1050&amp;$C1050,生产方式定位!$F$3:$J$38,3,FALSE),0)</f>
        <v>120</v>
      </c>
      <c r="X1050" s="5">
        <f>IFERROR(VLOOKUP($D1050&amp;$C1050,生产方式定位!$A$2:$E$38,5,FALSE)+VLOOKUP($E1050&amp;$C1050,生产方式定位!$F$3:$J$38,5,FALSE),"错误")</f>
        <v>2045</v>
      </c>
      <c r="Y1050" s="27" t="str">
        <f t="shared" si="272"/>
        <v/>
      </c>
      <c r="Z1050" s="50" t="str">
        <f t="shared" si="275"/>
        <v/>
      </c>
      <c r="AA1050" s="50" t="str">
        <f t="shared" si="273"/>
        <v/>
      </c>
      <c r="AB1050" s="28" t="str">
        <f t="shared" si="276"/>
        <v>11%</v>
      </c>
      <c r="AC1050" s="1">
        <f t="shared" si="277"/>
        <v>75</v>
      </c>
      <c r="AD1050" s="51">
        <f t="shared" si="274"/>
        <v>4</v>
      </c>
      <c r="AE1050" t="str">
        <f t="shared" si="278"/>
        <v/>
      </c>
      <c r="AF1050" t="str">
        <f t="shared" si="279"/>
        <v/>
      </c>
      <c r="AG1050" t="str">
        <f t="shared" si="280"/>
        <v/>
      </c>
      <c r="AH1050" t="str">
        <f t="shared" si="281"/>
        <v/>
      </c>
      <c r="AI1050" t="str">
        <f t="shared" si="282"/>
        <v/>
      </c>
      <c r="AJ1050" t="str">
        <f t="shared" si="283"/>
        <v/>
      </c>
      <c r="AK1050" t="str">
        <f t="shared" si="284"/>
        <v/>
      </c>
      <c r="AL1050" t="str">
        <f t="shared" si="285"/>
        <v/>
      </c>
      <c r="AN1050" t="str">
        <f>IFERROR(ROUND(L1050*(G1050/$AW1050)/VLOOKUP(F1050,商品!$A$4:$D$67,4,FALSE),0),"")</f>
        <v/>
      </c>
      <c r="AO1050" t="str">
        <f>IFERROR(ROUND(L1050*(I1050/$AW1050)/VLOOKUP(H1050,商品!$A$4:$D$67,4,FALSE),0),"")</f>
        <v/>
      </c>
      <c r="AP1050" t="str">
        <f>IFERROR(ROUND(L1050*(K1050/$AW1050)/VLOOKUP(J1050,商品!$A$4:$D$67,4,FALSE),0),"")</f>
        <v/>
      </c>
      <c r="AQ1050" t="str">
        <f>IFERROR(ROUND(S1050*(N1050/$AX1050)/VLOOKUP(M1050,职业!$A$3:$E$16,4,FALSE),0),"")</f>
        <v/>
      </c>
      <c r="AR1050" t="str">
        <f>IFERROR(ROUND(S1050*(P1050/$AX1050)/VLOOKUP(O1050,职业!$A$3:$E$16,4,FALSE),0),"")</f>
        <v/>
      </c>
      <c r="AS1050" t="str">
        <f>IFERROR(ROUND(S1050*(R1050/$AX1050)/VLOOKUP(Q1050,职业!$A$3:$E$16,4,FALSE),0),"")</f>
        <v/>
      </c>
      <c r="AT1050" t="str">
        <f>IFERROR(ROUND(X1050*(U1050/$AY1050)/VLOOKUP(T1050,商品!$A$4:$D$67,4,FALSE),0),"")</f>
        <v/>
      </c>
      <c r="AU1050" t="str">
        <f>IFERROR(ROUND(X1050*(W1050/$AY1050)/VLOOKUP(V1050,商品!$A$4:$D$67,4,FALSE),0),"")</f>
        <v/>
      </c>
      <c r="AW1050">
        <f t="shared" si="286"/>
        <v>0</v>
      </c>
      <c r="AX1050">
        <f t="shared" si="287"/>
        <v>0</v>
      </c>
      <c r="AY1050">
        <f t="shared" si="288"/>
        <v>0</v>
      </c>
    </row>
    <row r="1051" customHeight="1" spans="1:51">
      <c r="A1051" s="5" t="s">
        <v>476</v>
      </c>
      <c r="C1051" s="5">
        <v>5</v>
      </c>
      <c r="D1051" s="1" t="s">
        <v>220</v>
      </c>
      <c r="E1051" s="1" t="s">
        <v>222</v>
      </c>
      <c r="L1051" s="5">
        <f>IFERROR(VLOOKUP($D1051&amp;$C1051,生产方式定位!$A$2:$E$38,2,FALSE)+VLOOKUP($E1051&amp;$C1051,生产方式定位!$F$3:$J$38,2,FALSE),0)</f>
        <v>2175</v>
      </c>
      <c r="S1051" s="5">
        <f>IFERROR(VLOOKUP($D1051&amp;$C1051,生产方式定位!$A$2:$E$38,3,FALSE)+VLOOKUP($E1051&amp;$C1051,生产方式定位!$F$3:$J$38,3,FALSE),0)</f>
        <v>110</v>
      </c>
      <c r="X1051" s="5">
        <f>IFERROR(VLOOKUP($D1051&amp;$C1051,生产方式定位!$A$2:$E$38,5,FALSE)+VLOOKUP($E1051&amp;$C1051,生产方式定位!$F$3:$J$38,5,FALSE),"错误")</f>
        <v>2373</v>
      </c>
      <c r="Y1051" s="27" t="str">
        <f t="shared" si="272"/>
        <v/>
      </c>
      <c r="Z1051" s="50" t="str">
        <f t="shared" si="275"/>
        <v/>
      </c>
      <c r="AA1051" s="50" t="str">
        <f t="shared" si="273"/>
        <v/>
      </c>
      <c r="AB1051" s="28" t="str">
        <f t="shared" si="276"/>
        <v>9%</v>
      </c>
      <c r="AC1051" s="1">
        <f t="shared" si="277"/>
        <v>88</v>
      </c>
      <c r="AD1051" s="51">
        <f t="shared" si="274"/>
        <v>5</v>
      </c>
      <c r="AE1051" t="str">
        <f t="shared" si="278"/>
        <v/>
      </c>
      <c r="AF1051" t="str">
        <f t="shared" si="279"/>
        <v/>
      </c>
      <c r="AG1051" t="str">
        <f t="shared" si="280"/>
        <v/>
      </c>
      <c r="AH1051" t="str">
        <f t="shared" si="281"/>
        <v/>
      </c>
      <c r="AI1051" t="str">
        <f t="shared" si="282"/>
        <v/>
      </c>
      <c r="AJ1051" t="str">
        <f t="shared" si="283"/>
        <v/>
      </c>
      <c r="AK1051" t="str">
        <f t="shared" si="284"/>
        <v/>
      </c>
      <c r="AL1051" t="str">
        <f t="shared" si="285"/>
        <v/>
      </c>
      <c r="AN1051" t="str">
        <f>IFERROR(ROUND(L1051*(G1051/$AW1051)/VLOOKUP(F1051,商品!$A$4:$D$67,4,FALSE),0),"")</f>
        <v/>
      </c>
      <c r="AO1051" t="str">
        <f>IFERROR(ROUND(L1051*(I1051/$AW1051)/VLOOKUP(H1051,商品!$A$4:$D$67,4,FALSE),0),"")</f>
        <v/>
      </c>
      <c r="AP1051" t="str">
        <f>IFERROR(ROUND(L1051*(K1051/$AW1051)/VLOOKUP(J1051,商品!$A$4:$D$67,4,FALSE),0),"")</f>
        <v/>
      </c>
      <c r="AQ1051" t="str">
        <f>IFERROR(ROUND(S1051*(N1051/$AX1051)/VLOOKUP(M1051,职业!$A$3:$E$16,4,FALSE),0),"")</f>
        <v/>
      </c>
      <c r="AR1051" t="str">
        <f>IFERROR(ROUND(S1051*(P1051/$AX1051)/VLOOKUP(O1051,职业!$A$3:$E$16,4,FALSE),0),"")</f>
        <v/>
      </c>
      <c r="AS1051" t="str">
        <f>IFERROR(ROUND(S1051*(R1051/$AX1051)/VLOOKUP(Q1051,职业!$A$3:$E$16,4,FALSE),0),"")</f>
        <v/>
      </c>
      <c r="AT1051" t="str">
        <f>IFERROR(ROUND(X1051*(U1051/$AY1051)/VLOOKUP(T1051,商品!$A$4:$D$67,4,FALSE),0),"")</f>
        <v/>
      </c>
      <c r="AU1051" t="str">
        <f>IFERROR(ROUND(X1051*(W1051/$AY1051)/VLOOKUP(V1051,商品!$A$4:$D$67,4,FALSE),0),"")</f>
        <v/>
      </c>
      <c r="AW1051">
        <f t="shared" si="286"/>
        <v>0</v>
      </c>
      <c r="AX1051">
        <f t="shared" si="287"/>
        <v>0</v>
      </c>
      <c r="AY1051">
        <f t="shared" si="288"/>
        <v>0</v>
      </c>
    </row>
    <row r="1052" customHeight="1" spans="1:51">
      <c r="A1052" s="18" t="s">
        <v>477</v>
      </c>
      <c r="C1052" s="18">
        <v>1</v>
      </c>
      <c r="D1052" s="1" t="s">
        <v>220</v>
      </c>
      <c r="E1052" s="1" t="s">
        <v>224</v>
      </c>
      <c r="L1052" s="18">
        <f>IFERROR(VLOOKUP($D1052&amp;$C1052,生产方式定位!$A$2:$E$38,2,FALSE)+VLOOKUP($E1052&amp;$C1052,生产方式定位!$F$3:$J$38,2,FALSE),0)</f>
        <v>500</v>
      </c>
      <c r="S1052" s="18">
        <f>IFERROR(VLOOKUP($D1052&amp;$C1052,生产方式定位!$A$2:$E$38,3,FALSE)+VLOOKUP($E1052&amp;$C1052,生产方式定位!$F$3:$J$38,3,FALSE),0)</f>
        <v>150</v>
      </c>
      <c r="X1052" s="18">
        <f>IFERROR(VLOOKUP($D1052&amp;$C1052,生产方式定位!$A$2:$E$38,5,FALSE)+VLOOKUP($E1052&amp;$C1052,生产方式定位!$F$3:$J$38,5,FALSE),"错误")</f>
        <v>715</v>
      </c>
      <c r="Y1052" s="27" t="str">
        <f t="shared" si="272"/>
        <v/>
      </c>
      <c r="Z1052" s="50" t="str">
        <f t="shared" si="275"/>
        <v/>
      </c>
      <c r="AA1052" s="50" t="str">
        <f t="shared" si="273"/>
        <v/>
      </c>
      <c r="AB1052" s="28" t="str">
        <f t="shared" si="276"/>
        <v>43%</v>
      </c>
      <c r="AC1052" s="1">
        <f t="shared" si="277"/>
        <v>65</v>
      </c>
      <c r="AD1052" s="52">
        <f t="shared" si="274"/>
        <v>1</v>
      </c>
      <c r="AE1052" t="str">
        <f t="shared" si="278"/>
        <v/>
      </c>
      <c r="AF1052" t="str">
        <f t="shared" si="279"/>
        <v/>
      </c>
      <c r="AG1052" t="str">
        <f t="shared" si="280"/>
        <v/>
      </c>
      <c r="AH1052" t="str">
        <f t="shared" si="281"/>
        <v/>
      </c>
      <c r="AI1052" t="str">
        <f t="shared" si="282"/>
        <v/>
      </c>
      <c r="AJ1052" t="str">
        <f t="shared" si="283"/>
        <v/>
      </c>
      <c r="AK1052" t="str">
        <f t="shared" si="284"/>
        <v/>
      </c>
      <c r="AL1052" t="str">
        <f t="shared" si="285"/>
        <v/>
      </c>
      <c r="AN1052" t="str">
        <f>IFERROR(ROUND(L1052*(G1052/$AW1052)/VLOOKUP(F1052,商品!$A$4:$D$67,4,FALSE),0),"")</f>
        <v/>
      </c>
      <c r="AO1052" t="str">
        <f>IFERROR(ROUND(L1052*(I1052/$AW1052)/VLOOKUP(H1052,商品!$A$4:$D$67,4,FALSE),0),"")</f>
        <v/>
      </c>
      <c r="AP1052" t="str">
        <f>IFERROR(ROUND(L1052*(K1052/$AW1052)/VLOOKUP(J1052,商品!$A$4:$D$67,4,FALSE),0),"")</f>
        <v/>
      </c>
      <c r="AQ1052" t="str">
        <f>IFERROR(ROUND(S1052*(N1052/$AX1052)/VLOOKUP(M1052,职业!$A$3:$E$16,4,FALSE),0),"")</f>
        <v/>
      </c>
      <c r="AR1052" t="str">
        <f>IFERROR(ROUND(S1052*(P1052/$AX1052)/VLOOKUP(O1052,职业!$A$3:$E$16,4,FALSE),0),"")</f>
        <v/>
      </c>
      <c r="AS1052" t="str">
        <f>IFERROR(ROUND(S1052*(R1052/$AX1052)/VLOOKUP(Q1052,职业!$A$3:$E$16,4,FALSE),0),"")</f>
        <v/>
      </c>
      <c r="AT1052" t="str">
        <f>IFERROR(ROUND(X1052*(U1052/$AY1052)/VLOOKUP(T1052,商品!$A$4:$D$67,4,FALSE),0),"")</f>
        <v/>
      </c>
      <c r="AU1052" t="str">
        <f>IFERROR(ROUND(X1052*(W1052/$AY1052)/VLOOKUP(V1052,商品!$A$4:$D$67,4,FALSE),0),"")</f>
        <v/>
      </c>
      <c r="AW1052">
        <f t="shared" si="286"/>
        <v>0</v>
      </c>
      <c r="AX1052">
        <f t="shared" si="287"/>
        <v>0</v>
      </c>
      <c r="AY1052">
        <f t="shared" si="288"/>
        <v>0</v>
      </c>
    </row>
    <row r="1053" customHeight="1" spans="1:51">
      <c r="A1053" s="18" t="s">
        <v>477</v>
      </c>
      <c r="C1053" s="18">
        <v>2</v>
      </c>
      <c r="D1053" s="1" t="s">
        <v>220</v>
      </c>
      <c r="E1053" s="1" t="s">
        <v>224</v>
      </c>
      <c r="L1053" s="18">
        <f>IFERROR(VLOOKUP($D1053&amp;$C1053,生产方式定位!$A$2:$E$38,2,FALSE)+VLOOKUP($E1053&amp;$C1053,生产方式定位!$F$3:$J$38,2,FALSE),0)</f>
        <v>1200</v>
      </c>
      <c r="S1053" s="18">
        <f>IFERROR(VLOOKUP($D1053&amp;$C1053,生产方式定位!$A$2:$E$38,3,FALSE)+VLOOKUP($E1053&amp;$C1053,生产方式定位!$F$3:$J$38,3,FALSE),0)</f>
        <v>100</v>
      </c>
      <c r="X1053" s="18">
        <f>IFERROR(VLOOKUP($D1053&amp;$C1053,生产方式定位!$A$2:$E$38,5,FALSE)+VLOOKUP($E1053&amp;$C1053,生产方式定位!$F$3:$J$38,5,FALSE),"错误")</f>
        <v>1346</v>
      </c>
      <c r="Y1053" s="27" t="str">
        <f t="shared" si="272"/>
        <v/>
      </c>
      <c r="Z1053" s="50" t="str">
        <f t="shared" si="275"/>
        <v/>
      </c>
      <c r="AA1053" s="50" t="str">
        <f t="shared" si="273"/>
        <v/>
      </c>
      <c r="AB1053" s="28" t="str">
        <f t="shared" si="276"/>
        <v>12%</v>
      </c>
      <c r="AC1053" s="1">
        <f t="shared" si="277"/>
        <v>46</v>
      </c>
      <c r="AD1053" s="52">
        <f t="shared" si="274"/>
        <v>2</v>
      </c>
      <c r="AE1053" t="str">
        <f t="shared" si="278"/>
        <v/>
      </c>
      <c r="AF1053" t="str">
        <f t="shared" si="279"/>
        <v/>
      </c>
      <c r="AG1053" t="str">
        <f t="shared" si="280"/>
        <v/>
      </c>
      <c r="AH1053" t="str">
        <f t="shared" si="281"/>
        <v/>
      </c>
      <c r="AI1053" t="str">
        <f t="shared" si="282"/>
        <v/>
      </c>
      <c r="AJ1053" t="str">
        <f t="shared" si="283"/>
        <v/>
      </c>
      <c r="AK1053" t="str">
        <f t="shared" si="284"/>
        <v/>
      </c>
      <c r="AL1053" t="str">
        <f t="shared" si="285"/>
        <v/>
      </c>
      <c r="AN1053" t="str">
        <f>IFERROR(ROUND(L1053*(G1053/$AW1053)/VLOOKUP(F1053,商品!$A$4:$D$67,4,FALSE),0),"")</f>
        <v/>
      </c>
      <c r="AO1053" t="str">
        <f>IFERROR(ROUND(L1053*(I1053/$AW1053)/VLOOKUP(H1053,商品!$A$4:$D$67,4,FALSE),0),"")</f>
        <v/>
      </c>
      <c r="AP1053" t="str">
        <f>IFERROR(ROUND(L1053*(K1053/$AW1053)/VLOOKUP(J1053,商品!$A$4:$D$67,4,FALSE),0),"")</f>
        <v/>
      </c>
      <c r="AQ1053" t="str">
        <f>IFERROR(ROUND(S1053*(N1053/$AX1053)/VLOOKUP(M1053,职业!$A$3:$E$16,4,FALSE),0),"")</f>
        <v/>
      </c>
      <c r="AR1053" t="str">
        <f>IFERROR(ROUND(S1053*(P1053/$AX1053)/VLOOKUP(O1053,职业!$A$3:$E$16,4,FALSE),0),"")</f>
        <v/>
      </c>
      <c r="AS1053" t="str">
        <f>IFERROR(ROUND(S1053*(R1053/$AX1053)/VLOOKUP(Q1053,职业!$A$3:$E$16,4,FALSE),0),"")</f>
        <v/>
      </c>
      <c r="AT1053" t="str">
        <f>IFERROR(ROUND(X1053*(U1053/$AY1053)/VLOOKUP(T1053,商品!$A$4:$D$67,4,FALSE),0),"")</f>
        <v/>
      </c>
      <c r="AU1053" t="str">
        <f>IFERROR(ROUND(X1053*(W1053/$AY1053)/VLOOKUP(V1053,商品!$A$4:$D$67,4,FALSE),0),"")</f>
        <v/>
      </c>
      <c r="AW1053">
        <f t="shared" si="286"/>
        <v>0</v>
      </c>
      <c r="AX1053">
        <f t="shared" si="287"/>
        <v>0</v>
      </c>
      <c r="AY1053">
        <f t="shared" si="288"/>
        <v>0</v>
      </c>
    </row>
    <row r="1054" customHeight="1" spans="1:51">
      <c r="A1054" s="18" t="s">
        <v>477</v>
      </c>
      <c r="C1054" s="18">
        <v>3</v>
      </c>
      <c r="D1054" s="1" t="s">
        <v>220</v>
      </c>
      <c r="E1054" s="1" t="s">
        <v>224</v>
      </c>
      <c r="L1054" s="18">
        <f>IFERROR(VLOOKUP($D1054&amp;$C1054,生产方式定位!$A$2:$E$38,2,FALSE)+VLOOKUP($E1054&amp;$C1054,生产方式定位!$F$3:$J$38,2,FALSE),0)</f>
        <v>1900</v>
      </c>
      <c r="S1054" s="18">
        <f>IFERROR(VLOOKUP($D1054&amp;$C1054,生产方式定位!$A$2:$E$38,3,FALSE)+VLOOKUP($E1054&amp;$C1054,生产方式定位!$F$3:$J$38,3,FALSE),0)</f>
        <v>70</v>
      </c>
      <c r="X1054" s="18">
        <f>IFERROR(VLOOKUP($D1054&amp;$C1054,生产方式定位!$A$2:$E$38,5,FALSE)+VLOOKUP($E1054&amp;$C1054,生产方式定位!$F$3:$J$38,5,FALSE),"错误")</f>
        <v>2064</v>
      </c>
      <c r="Y1054" s="27" t="str">
        <f t="shared" si="272"/>
        <v/>
      </c>
      <c r="Z1054" s="50" t="str">
        <f t="shared" si="275"/>
        <v/>
      </c>
      <c r="AA1054" s="50" t="str">
        <f t="shared" si="273"/>
        <v/>
      </c>
      <c r="AB1054" s="28" t="str">
        <f t="shared" si="276"/>
        <v>9%</v>
      </c>
      <c r="AC1054" s="1">
        <f t="shared" si="277"/>
        <v>94</v>
      </c>
      <c r="AD1054" s="52">
        <f t="shared" si="274"/>
        <v>3</v>
      </c>
      <c r="AE1054" t="str">
        <f t="shared" si="278"/>
        <v/>
      </c>
      <c r="AF1054" t="str">
        <f t="shared" si="279"/>
        <v/>
      </c>
      <c r="AG1054" t="str">
        <f t="shared" si="280"/>
        <v/>
      </c>
      <c r="AH1054" t="str">
        <f t="shared" si="281"/>
        <v/>
      </c>
      <c r="AI1054" t="str">
        <f t="shared" si="282"/>
        <v/>
      </c>
      <c r="AJ1054" t="str">
        <f t="shared" si="283"/>
        <v/>
      </c>
      <c r="AK1054" t="str">
        <f t="shared" si="284"/>
        <v/>
      </c>
      <c r="AL1054" t="str">
        <f t="shared" si="285"/>
        <v/>
      </c>
      <c r="AN1054" t="str">
        <f>IFERROR(ROUND(L1054*(G1054/$AW1054)/VLOOKUP(F1054,商品!$A$4:$D$67,4,FALSE),0),"")</f>
        <v/>
      </c>
      <c r="AO1054" t="str">
        <f>IFERROR(ROUND(L1054*(I1054/$AW1054)/VLOOKUP(H1054,商品!$A$4:$D$67,4,FALSE),0),"")</f>
        <v/>
      </c>
      <c r="AP1054" t="str">
        <f>IFERROR(ROUND(L1054*(K1054/$AW1054)/VLOOKUP(J1054,商品!$A$4:$D$67,4,FALSE),0),"")</f>
        <v/>
      </c>
      <c r="AQ1054" t="str">
        <f>IFERROR(ROUND(S1054*(N1054/$AX1054)/VLOOKUP(M1054,职业!$A$3:$E$16,4,FALSE),0),"")</f>
        <v/>
      </c>
      <c r="AR1054" t="str">
        <f>IFERROR(ROUND(S1054*(P1054/$AX1054)/VLOOKUP(O1054,职业!$A$3:$E$16,4,FALSE),0),"")</f>
        <v/>
      </c>
      <c r="AS1054" t="str">
        <f>IFERROR(ROUND(S1054*(R1054/$AX1054)/VLOOKUP(Q1054,职业!$A$3:$E$16,4,FALSE),0),"")</f>
        <v/>
      </c>
      <c r="AT1054" t="str">
        <f>IFERROR(ROUND(X1054*(U1054/$AY1054)/VLOOKUP(T1054,商品!$A$4:$D$67,4,FALSE),0),"")</f>
        <v/>
      </c>
      <c r="AU1054" t="str">
        <f>IFERROR(ROUND(X1054*(W1054/$AY1054)/VLOOKUP(V1054,商品!$A$4:$D$67,4,FALSE),0),"")</f>
        <v/>
      </c>
      <c r="AW1054">
        <f t="shared" si="286"/>
        <v>0</v>
      </c>
      <c r="AX1054">
        <f t="shared" si="287"/>
        <v>0</v>
      </c>
      <c r="AY1054">
        <f t="shared" si="288"/>
        <v>0</v>
      </c>
    </row>
    <row r="1055" customHeight="1" spans="1:51">
      <c r="A1055" s="18" t="s">
        <v>477</v>
      </c>
      <c r="C1055" s="18">
        <v>4</v>
      </c>
      <c r="D1055" s="1" t="s">
        <v>220</v>
      </c>
      <c r="E1055" s="1" t="s">
        <v>224</v>
      </c>
      <c r="L1055" s="18">
        <f>IFERROR(VLOOKUP($D1055&amp;$C1055,生产方式定位!$A$2:$E$38,2,FALSE)+VLOOKUP($E1055&amp;$C1055,生产方式定位!$F$3:$J$38,2,FALSE),0)</f>
        <v>2600</v>
      </c>
      <c r="S1055" s="18">
        <f>IFERROR(VLOOKUP($D1055&amp;$C1055,生产方式定位!$A$2:$E$38,3,FALSE)+VLOOKUP($E1055&amp;$C1055,生产方式定位!$F$3:$J$38,3,FALSE),0)</f>
        <v>40</v>
      </c>
      <c r="X1055" s="18">
        <f>IFERROR(VLOOKUP($D1055&amp;$C1055,生产方式定位!$A$2:$E$38,5,FALSE)+VLOOKUP($E1055&amp;$C1055,生产方式定位!$F$3:$J$38,5,FALSE),"错误")</f>
        <v>2782</v>
      </c>
      <c r="Y1055" s="27" t="str">
        <f t="shared" si="272"/>
        <v/>
      </c>
      <c r="Z1055" s="50" t="str">
        <f t="shared" si="275"/>
        <v/>
      </c>
      <c r="AA1055" s="50" t="str">
        <f t="shared" si="273"/>
        <v/>
      </c>
      <c r="AB1055" s="28" t="str">
        <f t="shared" si="276"/>
        <v>7%</v>
      </c>
      <c r="AC1055" s="1">
        <f t="shared" si="277"/>
        <v>142</v>
      </c>
      <c r="AD1055" s="52">
        <f t="shared" si="274"/>
        <v>4</v>
      </c>
      <c r="AE1055" t="str">
        <f t="shared" si="278"/>
        <v/>
      </c>
      <c r="AF1055" t="str">
        <f t="shared" si="279"/>
        <v/>
      </c>
      <c r="AG1055" t="str">
        <f t="shared" si="280"/>
        <v/>
      </c>
      <c r="AH1055" t="str">
        <f t="shared" si="281"/>
        <v/>
      </c>
      <c r="AI1055" t="str">
        <f t="shared" si="282"/>
        <v/>
      </c>
      <c r="AJ1055" t="str">
        <f t="shared" si="283"/>
        <v/>
      </c>
      <c r="AK1055" t="str">
        <f t="shared" si="284"/>
        <v/>
      </c>
      <c r="AL1055" t="str">
        <f t="shared" si="285"/>
        <v/>
      </c>
      <c r="AN1055" t="str">
        <f>IFERROR(ROUND(L1055*(G1055/$AW1055)/VLOOKUP(F1055,商品!$A$4:$D$67,4,FALSE),0),"")</f>
        <v/>
      </c>
      <c r="AO1055" t="str">
        <f>IFERROR(ROUND(L1055*(I1055/$AW1055)/VLOOKUP(H1055,商品!$A$4:$D$67,4,FALSE),0),"")</f>
        <v/>
      </c>
      <c r="AP1055" t="str">
        <f>IFERROR(ROUND(L1055*(K1055/$AW1055)/VLOOKUP(J1055,商品!$A$4:$D$67,4,FALSE),0),"")</f>
        <v/>
      </c>
      <c r="AQ1055" t="str">
        <f>IFERROR(ROUND(S1055*(N1055/$AX1055)/VLOOKUP(M1055,职业!$A$3:$E$16,4,FALSE),0),"")</f>
        <v/>
      </c>
      <c r="AR1055" t="str">
        <f>IFERROR(ROUND(S1055*(P1055/$AX1055)/VLOOKUP(O1055,职业!$A$3:$E$16,4,FALSE),0),"")</f>
        <v/>
      </c>
      <c r="AS1055" t="str">
        <f>IFERROR(ROUND(S1055*(R1055/$AX1055)/VLOOKUP(Q1055,职业!$A$3:$E$16,4,FALSE),0),"")</f>
        <v/>
      </c>
      <c r="AT1055" t="str">
        <f>IFERROR(ROUND(X1055*(U1055/$AY1055)/VLOOKUP(T1055,商品!$A$4:$D$67,4,FALSE),0),"")</f>
        <v/>
      </c>
      <c r="AU1055" t="str">
        <f>IFERROR(ROUND(X1055*(W1055/$AY1055)/VLOOKUP(V1055,商品!$A$4:$D$67,4,FALSE),0),"")</f>
        <v/>
      </c>
      <c r="AW1055">
        <f t="shared" si="286"/>
        <v>0</v>
      </c>
      <c r="AX1055">
        <f t="shared" si="287"/>
        <v>0</v>
      </c>
      <c r="AY1055">
        <f t="shared" si="288"/>
        <v>0</v>
      </c>
    </row>
    <row r="1056" customHeight="1" spans="1:51">
      <c r="A1056" s="18" t="s">
        <v>477</v>
      </c>
      <c r="C1056" s="18">
        <v>5</v>
      </c>
      <c r="D1056" s="1" t="s">
        <v>220</v>
      </c>
      <c r="E1056" s="1" t="s">
        <v>224</v>
      </c>
      <c r="L1056" s="18">
        <f>IFERROR(VLOOKUP($D1056&amp;$C1056,生产方式定位!$A$2:$E$38,2,FALSE)+VLOOKUP($E1056&amp;$C1056,生产方式定位!$F$3:$J$38,2,FALSE),0)</f>
        <v>3300</v>
      </c>
      <c r="S1056" s="18">
        <f>IFERROR(VLOOKUP($D1056&amp;$C1056,生产方式定位!$A$2:$E$38,3,FALSE)+VLOOKUP($E1056&amp;$C1056,生产方式定位!$F$3:$J$38,3,FALSE),0)</f>
        <v>10</v>
      </c>
      <c r="X1056" s="18">
        <f>IFERROR(VLOOKUP($D1056&amp;$C1056,生产方式定位!$A$2:$E$38,5,FALSE)+VLOOKUP($E1056&amp;$C1056,生产方式定位!$F$3:$J$38,5,FALSE),"错误")</f>
        <v>3500</v>
      </c>
      <c r="Y1056" s="27" t="str">
        <f t="shared" si="272"/>
        <v/>
      </c>
      <c r="Z1056" s="50" t="str">
        <f t="shared" si="275"/>
        <v/>
      </c>
      <c r="AA1056" s="50" t="str">
        <f t="shared" si="273"/>
        <v/>
      </c>
      <c r="AB1056" s="28" t="str">
        <f t="shared" si="276"/>
        <v>6%</v>
      </c>
      <c r="AC1056" s="1">
        <f t="shared" si="277"/>
        <v>190</v>
      </c>
      <c r="AD1056" s="52">
        <f t="shared" si="274"/>
        <v>5</v>
      </c>
      <c r="AE1056" t="str">
        <f t="shared" si="278"/>
        <v/>
      </c>
      <c r="AF1056" t="str">
        <f t="shared" si="279"/>
        <v/>
      </c>
      <c r="AG1056" t="str">
        <f t="shared" si="280"/>
        <v/>
      </c>
      <c r="AH1056" t="str">
        <f t="shared" si="281"/>
        <v/>
      </c>
      <c r="AI1056" t="str">
        <f t="shared" si="282"/>
        <v/>
      </c>
      <c r="AJ1056" t="str">
        <f t="shared" si="283"/>
        <v/>
      </c>
      <c r="AK1056" t="str">
        <f t="shared" si="284"/>
        <v/>
      </c>
      <c r="AL1056" t="str">
        <f t="shared" si="285"/>
        <v/>
      </c>
      <c r="AN1056" t="str">
        <f>IFERROR(ROUND(L1056*(G1056/$AW1056)/VLOOKUP(F1056,商品!$A$4:$D$67,4,FALSE),0),"")</f>
        <v/>
      </c>
      <c r="AO1056" t="str">
        <f>IFERROR(ROUND(L1056*(I1056/$AW1056)/VLOOKUP(H1056,商品!$A$4:$D$67,4,FALSE),0),"")</f>
        <v/>
      </c>
      <c r="AP1056" t="str">
        <f>IFERROR(ROUND(L1056*(K1056/$AW1056)/VLOOKUP(J1056,商品!$A$4:$D$67,4,FALSE),0),"")</f>
        <v/>
      </c>
      <c r="AQ1056" t="str">
        <f>IFERROR(ROUND(S1056*(N1056/$AX1056)/VLOOKUP(M1056,职业!$A$3:$E$16,4,FALSE),0),"")</f>
        <v/>
      </c>
      <c r="AR1056" t="str">
        <f>IFERROR(ROUND(S1056*(P1056/$AX1056)/VLOOKUP(O1056,职业!$A$3:$E$16,4,FALSE),0),"")</f>
        <v/>
      </c>
      <c r="AS1056" t="str">
        <f>IFERROR(ROUND(S1056*(R1056/$AX1056)/VLOOKUP(Q1056,职业!$A$3:$E$16,4,FALSE),0),"")</f>
        <v/>
      </c>
      <c r="AT1056" t="str">
        <f>IFERROR(ROUND(X1056*(U1056/$AY1056)/VLOOKUP(T1056,商品!$A$4:$D$67,4,FALSE),0),"")</f>
        <v/>
      </c>
      <c r="AU1056" t="str">
        <f>IFERROR(ROUND(X1056*(W1056/$AY1056)/VLOOKUP(V1056,商品!$A$4:$D$67,4,FALSE),0),"")</f>
        <v/>
      </c>
      <c r="AW1056">
        <f t="shared" si="286"/>
        <v>0</v>
      </c>
      <c r="AX1056">
        <f t="shared" si="287"/>
        <v>0</v>
      </c>
      <c r="AY1056">
        <f t="shared" si="288"/>
        <v>0</v>
      </c>
    </row>
    <row r="1057" customHeight="1" spans="1:51">
      <c r="A1057" s="5" t="s">
        <v>477</v>
      </c>
      <c r="C1057" s="5">
        <v>1</v>
      </c>
      <c r="D1057" s="1" t="s">
        <v>220</v>
      </c>
      <c r="E1057" s="1" t="s">
        <v>224</v>
      </c>
      <c r="L1057" s="5">
        <f>IFERROR(VLOOKUP($D1057&amp;$C1057,生产方式定位!$A$2:$E$38,2,FALSE)+VLOOKUP($E1057&amp;$C1057,生产方式定位!$F$3:$J$38,2,FALSE),0)</f>
        <v>500</v>
      </c>
      <c r="S1057" s="5">
        <f>IFERROR(VLOOKUP($D1057&amp;$C1057,生产方式定位!$A$2:$E$38,3,FALSE)+VLOOKUP($E1057&amp;$C1057,生产方式定位!$F$3:$J$38,3,FALSE),0)</f>
        <v>150</v>
      </c>
      <c r="X1057" s="5">
        <f>IFERROR(VLOOKUP($D1057&amp;$C1057,生产方式定位!$A$2:$E$38,5,FALSE)+VLOOKUP($E1057&amp;$C1057,生产方式定位!$F$3:$J$38,5,FALSE),"错误")</f>
        <v>715</v>
      </c>
      <c r="Y1057" s="27" t="str">
        <f t="shared" si="272"/>
        <v/>
      </c>
      <c r="Z1057" s="50" t="str">
        <f t="shared" si="275"/>
        <v/>
      </c>
      <c r="AA1057" s="50" t="str">
        <f t="shared" si="273"/>
        <v/>
      </c>
      <c r="AB1057" s="28" t="str">
        <f t="shared" si="276"/>
        <v>43%</v>
      </c>
      <c r="AC1057" s="1">
        <f t="shared" si="277"/>
        <v>65</v>
      </c>
      <c r="AD1057" s="51">
        <f t="shared" si="274"/>
        <v>1</v>
      </c>
      <c r="AE1057" t="str">
        <f t="shared" si="278"/>
        <v/>
      </c>
      <c r="AF1057" t="str">
        <f t="shared" si="279"/>
        <v/>
      </c>
      <c r="AG1057" t="str">
        <f t="shared" si="280"/>
        <v/>
      </c>
      <c r="AH1057" t="str">
        <f t="shared" si="281"/>
        <v/>
      </c>
      <c r="AI1057" t="str">
        <f t="shared" si="282"/>
        <v/>
      </c>
      <c r="AJ1057" t="str">
        <f t="shared" si="283"/>
        <v/>
      </c>
      <c r="AK1057" t="str">
        <f t="shared" si="284"/>
        <v/>
      </c>
      <c r="AL1057" t="str">
        <f t="shared" si="285"/>
        <v/>
      </c>
      <c r="AN1057" t="str">
        <f>IFERROR(ROUND(L1057*(G1057/$AW1057)/VLOOKUP(F1057,商品!$A$4:$D$67,4,FALSE),0),"")</f>
        <v/>
      </c>
      <c r="AO1057" t="str">
        <f>IFERROR(ROUND(L1057*(I1057/$AW1057)/VLOOKUP(H1057,商品!$A$4:$D$67,4,FALSE),0),"")</f>
        <v/>
      </c>
      <c r="AP1057" t="str">
        <f>IFERROR(ROUND(L1057*(K1057/$AW1057)/VLOOKUP(J1057,商品!$A$4:$D$67,4,FALSE),0),"")</f>
        <v/>
      </c>
      <c r="AQ1057" t="str">
        <f>IFERROR(ROUND(S1057*(N1057/$AX1057)/VLOOKUP(M1057,职业!$A$3:$E$16,4,FALSE),0),"")</f>
        <v/>
      </c>
      <c r="AR1057" t="str">
        <f>IFERROR(ROUND(S1057*(P1057/$AX1057)/VLOOKUP(O1057,职业!$A$3:$E$16,4,FALSE),0),"")</f>
        <v/>
      </c>
      <c r="AS1057" t="str">
        <f>IFERROR(ROUND(S1057*(R1057/$AX1057)/VLOOKUP(Q1057,职业!$A$3:$E$16,4,FALSE),0),"")</f>
        <v/>
      </c>
      <c r="AT1057" t="str">
        <f>IFERROR(ROUND(X1057*(U1057/$AY1057)/VLOOKUP(T1057,商品!$A$4:$D$67,4,FALSE),0),"")</f>
        <v/>
      </c>
      <c r="AU1057" t="str">
        <f>IFERROR(ROUND(X1057*(W1057/$AY1057)/VLOOKUP(V1057,商品!$A$4:$D$67,4,FALSE),0),"")</f>
        <v/>
      </c>
      <c r="AW1057">
        <f t="shared" si="286"/>
        <v>0</v>
      </c>
      <c r="AX1057">
        <f t="shared" si="287"/>
        <v>0</v>
      </c>
      <c r="AY1057">
        <f t="shared" si="288"/>
        <v>0</v>
      </c>
    </row>
    <row r="1058" customHeight="1" spans="1:51">
      <c r="A1058" s="5" t="s">
        <v>477</v>
      </c>
      <c r="C1058" s="5">
        <v>2</v>
      </c>
      <c r="D1058" s="1" t="s">
        <v>220</v>
      </c>
      <c r="E1058" s="1" t="s">
        <v>224</v>
      </c>
      <c r="L1058" s="5">
        <f>IFERROR(VLOOKUP($D1058&amp;$C1058,生产方式定位!$A$2:$E$38,2,FALSE)+VLOOKUP($E1058&amp;$C1058,生产方式定位!$F$3:$J$38,2,FALSE),0)</f>
        <v>1200</v>
      </c>
      <c r="S1058" s="5">
        <f>IFERROR(VLOOKUP($D1058&amp;$C1058,生产方式定位!$A$2:$E$38,3,FALSE)+VLOOKUP($E1058&amp;$C1058,生产方式定位!$F$3:$J$38,3,FALSE),0)</f>
        <v>100</v>
      </c>
      <c r="X1058" s="5">
        <f>IFERROR(VLOOKUP($D1058&amp;$C1058,生产方式定位!$A$2:$E$38,5,FALSE)+VLOOKUP($E1058&amp;$C1058,生产方式定位!$F$3:$J$38,5,FALSE),"错误")</f>
        <v>1346</v>
      </c>
      <c r="Y1058" s="27" t="str">
        <f t="shared" si="272"/>
        <v/>
      </c>
      <c r="Z1058" s="50" t="str">
        <f t="shared" si="275"/>
        <v/>
      </c>
      <c r="AA1058" s="50" t="str">
        <f t="shared" si="273"/>
        <v/>
      </c>
      <c r="AB1058" s="28" t="str">
        <f t="shared" si="276"/>
        <v>12%</v>
      </c>
      <c r="AC1058" s="1">
        <f t="shared" si="277"/>
        <v>46</v>
      </c>
      <c r="AD1058" s="51">
        <f t="shared" si="274"/>
        <v>2</v>
      </c>
      <c r="AE1058" t="str">
        <f t="shared" si="278"/>
        <v/>
      </c>
      <c r="AF1058" t="str">
        <f t="shared" si="279"/>
        <v/>
      </c>
      <c r="AG1058" t="str">
        <f t="shared" si="280"/>
        <v/>
      </c>
      <c r="AH1058" t="str">
        <f t="shared" si="281"/>
        <v/>
      </c>
      <c r="AI1058" t="str">
        <f t="shared" si="282"/>
        <v/>
      </c>
      <c r="AJ1058" t="str">
        <f t="shared" si="283"/>
        <v/>
      </c>
      <c r="AK1058" t="str">
        <f t="shared" si="284"/>
        <v/>
      </c>
      <c r="AL1058" t="str">
        <f t="shared" si="285"/>
        <v/>
      </c>
      <c r="AN1058" t="str">
        <f>IFERROR(ROUND(L1058*(G1058/$AW1058)/VLOOKUP(F1058,商品!$A$4:$D$67,4,FALSE),0),"")</f>
        <v/>
      </c>
      <c r="AO1058" t="str">
        <f>IFERROR(ROUND(L1058*(I1058/$AW1058)/VLOOKUP(H1058,商品!$A$4:$D$67,4,FALSE),0),"")</f>
        <v/>
      </c>
      <c r="AP1058" t="str">
        <f>IFERROR(ROUND(L1058*(K1058/$AW1058)/VLOOKUP(J1058,商品!$A$4:$D$67,4,FALSE),0),"")</f>
        <v/>
      </c>
      <c r="AQ1058" t="str">
        <f>IFERROR(ROUND(S1058*(N1058/$AX1058)/VLOOKUP(M1058,职业!$A$3:$E$16,4,FALSE),0),"")</f>
        <v/>
      </c>
      <c r="AR1058" t="str">
        <f>IFERROR(ROUND(S1058*(P1058/$AX1058)/VLOOKUP(O1058,职业!$A$3:$E$16,4,FALSE),0),"")</f>
        <v/>
      </c>
      <c r="AS1058" t="str">
        <f>IFERROR(ROUND(S1058*(R1058/$AX1058)/VLOOKUP(Q1058,职业!$A$3:$E$16,4,FALSE),0),"")</f>
        <v/>
      </c>
      <c r="AT1058" t="str">
        <f>IFERROR(ROUND(X1058*(U1058/$AY1058)/VLOOKUP(T1058,商品!$A$4:$D$67,4,FALSE),0),"")</f>
        <v/>
      </c>
      <c r="AU1058" t="str">
        <f>IFERROR(ROUND(X1058*(W1058/$AY1058)/VLOOKUP(V1058,商品!$A$4:$D$67,4,FALSE),0),"")</f>
        <v/>
      </c>
      <c r="AW1058">
        <f t="shared" si="286"/>
        <v>0</v>
      </c>
      <c r="AX1058">
        <f t="shared" si="287"/>
        <v>0</v>
      </c>
      <c r="AY1058">
        <f t="shared" si="288"/>
        <v>0</v>
      </c>
    </row>
    <row r="1059" customHeight="1" spans="1:51">
      <c r="A1059" s="5" t="s">
        <v>477</v>
      </c>
      <c r="C1059" s="5">
        <v>3</v>
      </c>
      <c r="D1059" s="1" t="s">
        <v>220</v>
      </c>
      <c r="E1059" s="1" t="s">
        <v>224</v>
      </c>
      <c r="L1059" s="5">
        <f>IFERROR(VLOOKUP($D1059&amp;$C1059,生产方式定位!$A$2:$E$38,2,FALSE)+VLOOKUP($E1059&amp;$C1059,生产方式定位!$F$3:$J$38,2,FALSE),0)</f>
        <v>1900</v>
      </c>
      <c r="S1059" s="5">
        <f>IFERROR(VLOOKUP($D1059&amp;$C1059,生产方式定位!$A$2:$E$38,3,FALSE)+VLOOKUP($E1059&amp;$C1059,生产方式定位!$F$3:$J$38,3,FALSE),0)</f>
        <v>70</v>
      </c>
      <c r="X1059" s="5">
        <f>IFERROR(VLOOKUP($D1059&amp;$C1059,生产方式定位!$A$2:$E$38,5,FALSE)+VLOOKUP($E1059&amp;$C1059,生产方式定位!$F$3:$J$38,5,FALSE),"错误")</f>
        <v>2064</v>
      </c>
      <c r="Y1059" s="27" t="str">
        <f t="shared" si="272"/>
        <v/>
      </c>
      <c r="Z1059" s="50" t="str">
        <f t="shared" si="275"/>
        <v/>
      </c>
      <c r="AA1059" s="50" t="str">
        <f t="shared" si="273"/>
        <v/>
      </c>
      <c r="AB1059" s="28" t="str">
        <f t="shared" si="276"/>
        <v>9%</v>
      </c>
      <c r="AC1059" s="1">
        <f t="shared" si="277"/>
        <v>94</v>
      </c>
      <c r="AD1059" s="51">
        <f t="shared" si="274"/>
        <v>3</v>
      </c>
      <c r="AE1059" t="str">
        <f t="shared" si="278"/>
        <v/>
      </c>
      <c r="AF1059" t="str">
        <f t="shared" si="279"/>
        <v/>
      </c>
      <c r="AG1059" t="str">
        <f t="shared" si="280"/>
        <v/>
      </c>
      <c r="AH1059" t="str">
        <f t="shared" si="281"/>
        <v/>
      </c>
      <c r="AI1059" t="str">
        <f t="shared" si="282"/>
        <v/>
      </c>
      <c r="AJ1059" t="str">
        <f t="shared" si="283"/>
        <v/>
      </c>
      <c r="AK1059" t="str">
        <f t="shared" si="284"/>
        <v/>
      </c>
      <c r="AL1059" t="str">
        <f t="shared" si="285"/>
        <v/>
      </c>
      <c r="AN1059" t="str">
        <f>IFERROR(ROUND(L1059*(G1059/$AW1059)/VLOOKUP(F1059,商品!$A$4:$D$67,4,FALSE),0),"")</f>
        <v/>
      </c>
      <c r="AO1059" t="str">
        <f>IFERROR(ROUND(L1059*(I1059/$AW1059)/VLOOKUP(H1059,商品!$A$4:$D$67,4,FALSE),0),"")</f>
        <v/>
      </c>
      <c r="AP1059" t="str">
        <f>IFERROR(ROUND(L1059*(K1059/$AW1059)/VLOOKUP(J1059,商品!$A$4:$D$67,4,FALSE),0),"")</f>
        <v/>
      </c>
      <c r="AQ1059" t="str">
        <f>IFERROR(ROUND(S1059*(N1059/$AX1059)/VLOOKUP(M1059,职业!$A$3:$E$16,4,FALSE),0),"")</f>
        <v/>
      </c>
      <c r="AR1059" t="str">
        <f>IFERROR(ROUND(S1059*(P1059/$AX1059)/VLOOKUP(O1059,职业!$A$3:$E$16,4,FALSE),0),"")</f>
        <v/>
      </c>
      <c r="AS1059" t="str">
        <f>IFERROR(ROUND(S1059*(R1059/$AX1059)/VLOOKUP(Q1059,职业!$A$3:$E$16,4,FALSE),0),"")</f>
        <v/>
      </c>
      <c r="AT1059" t="str">
        <f>IFERROR(ROUND(X1059*(U1059/$AY1059)/VLOOKUP(T1059,商品!$A$4:$D$67,4,FALSE),0),"")</f>
        <v/>
      </c>
      <c r="AU1059" t="str">
        <f>IFERROR(ROUND(X1059*(W1059/$AY1059)/VLOOKUP(V1059,商品!$A$4:$D$67,4,FALSE),0),"")</f>
        <v/>
      </c>
      <c r="AW1059">
        <f t="shared" si="286"/>
        <v>0</v>
      </c>
      <c r="AX1059">
        <f t="shared" si="287"/>
        <v>0</v>
      </c>
      <c r="AY1059">
        <f t="shared" si="288"/>
        <v>0</v>
      </c>
    </row>
    <row r="1060" customHeight="1" spans="1:51">
      <c r="A1060" s="5" t="s">
        <v>477</v>
      </c>
      <c r="C1060" s="5">
        <v>4</v>
      </c>
      <c r="D1060" s="1" t="s">
        <v>220</v>
      </c>
      <c r="E1060" s="1" t="s">
        <v>224</v>
      </c>
      <c r="L1060" s="5">
        <f>IFERROR(VLOOKUP($D1060&amp;$C1060,生产方式定位!$A$2:$E$38,2,FALSE)+VLOOKUP($E1060&amp;$C1060,生产方式定位!$F$3:$J$38,2,FALSE),0)</f>
        <v>2600</v>
      </c>
      <c r="S1060" s="5">
        <f>IFERROR(VLOOKUP($D1060&amp;$C1060,生产方式定位!$A$2:$E$38,3,FALSE)+VLOOKUP($E1060&amp;$C1060,生产方式定位!$F$3:$J$38,3,FALSE),0)</f>
        <v>40</v>
      </c>
      <c r="X1060" s="5">
        <f>IFERROR(VLOOKUP($D1060&amp;$C1060,生产方式定位!$A$2:$E$38,5,FALSE)+VLOOKUP($E1060&amp;$C1060,生产方式定位!$F$3:$J$38,5,FALSE),"错误")</f>
        <v>2782</v>
      </c>
      <c r="Y1060" s="27" t="str">
        <f t="shared" si="272"/>
        <v/>
      </c>
      <c r="Z1060" s="50" t="str">
        <f t="shared" si="275"/>
        <v/>
      </c>
      <c r="AA1060" s="50" t="str">
        <f t="shared" si="273"/>
        <v/>
      </c>
      <c r="AB1060" s="28" t="str">
        <f t="shared" si="276"/>
        <v>7%</v>
      </c>
      <c r="AC1060" s="1">
        <f t="shared" si="277"/>
        <v>142</v>
      </c>
      <c r="AD1060" s="51">
        <f t="shared" si="274"/>
        <v>4</v>
      </c>
      <c r="AE1060" t="str">
        <f t="shared" si="278"/>
        <v/>
      </c>
      <c r="AF1060" t="str">
        <f t="shared" si="279"/>
        <v/>
      </c>
      <c r="AG1060" t="str">
        <f t="shared" si="280"/>
        <v/>
      </c>
      <c r="AH1060" t="str">
        <f t="shared" si="281"/>
        <v/>
      </c>
      <c r="AI1060" t="str">
        <f t="shared" si="282"/>
        <v/>
      </c>
      <c r="AJ1060" t="str">
        <f t="shared" si="283"/>
        <v/>
      </c>
      <c r="AK1060" t="str">
        <f t="shared" si="284"/>
        <v/>
      </c>
      <c r="AL1060" t="str">
        <f t="shared" si="285"/>
        <v/>
      </c>
      <c r="AN1060" t="str">
        <f>IFERROR(ROUND(L1060*(G1060/$AW1060)/VLOOKUP(F1060,商品!$A$4:$D$67,4,FALSE),0),"")</f>
        <v/>
      </c>
      <c r="AO1060" t="str">
        <f>IFERROR(ROUND(L1060*(I1060/$AW1060)/VLOOKUP(H1060,商品!$A$4:$D$67,4,FALSE),0),"")</f>
        <v/>
      </c>
      <c r="AP1060" t="str">
        <f>IFERROR(ROUND(L1060*(K1060/$AW1060)/VLOOKUP(J1060,商品!$A$4:$D$67,4,FALSE),0),"")</f>
        <v/>
      </c>
      <c r="AQ1060" t="str">
        <f>IFERROR(ROUND(S1060*(N1060/$AX1060)/VLOOKUP(M1060,职业!$A$3:$E$16,4,FALSE),0),"")</f>
        <v/>
      </c>
      <c r="AR1060" t="str">
        <f>IFERROR(ROUND(S1060*(P1060/$AX1060)/VLOOKUP(O1060,职业!$A$3:$E$16,4,FALSE),0),"")</f>
        <v/>
      </c>
      <c r="AS1060" t="str">
        <f>IFERROR(ROUND(S1060*(R1060/$AX1060)/VLOOKUP(Q1060,职业!$A$3:$E$16,4,FALSE),0),"")</f>
        <v/>
      </c>
      <c r="AT1060" t="str">
        <f>IFERROR(ROUND(X1060*(U1060/$AY1060)/VLOOKUP(T1060,商品!$A$4:$D$67,4,FALSE),0),"")</f>
        <v/>
      </c>
      <c r="AU1060" t="str">
        <f>IFERROR(ROUND(X1060*(W1060/$AY1060)/VLOOKUP(V1060,商品!$A$4:$D$67,4,FALSE),0),"")</f>
        <v/>
      </c>
      <c r="AW1060">
        <f t="shared" si="286"/>
        <v>0</v>
      </c>
      <c r="AX1060">
        <f t="shared" si="287"/>
        <v>0</v>
      </c>
      <c r="AY1060">
        <f t="shared" si="288"/>
        <v>0</v>
      </c>
    </row>
    <row r="1061" customHeight="1" spans="1:51">
      <c r="A1061" s="5" t="s">
        <v>477</v>
      </c>
      <c r="C1061" s="5">
        <v>5</v>
      </c>
      <c r="D1061" s="1" t="s">
        <v>220</v>
      </c>
      <c r="E1061" s="1" t="s">
        <v>224</v>
      </c>
      <c r="L1061" s="5">
        <f>IFERROR(VLOOKUP($D1061&amp;$C1061,生产方式定位!$A$2:$E$38,2,FALSE)+VLOOKUP($E1061&amp;$C1061,生产方式定位!$F$3:$J$38,2,FALSE),0)</f>
        <v>3300</v>
      </c>
      <c r="S1061" s="5">
        <f>IFERROR(VLOOKUP($D1061&amp;$C1061,生产方式定位!$A$2:$E$38,3,FALSE)+VLOOKUP($E1061&amp;$C1061,生产方式定位!$F$3:$J$38,3,FALSE),0)</f>
        <v>10</v>
      </c>
      <c r="X1061" s="5">
        <f>IFERROR(VLOOKUP($D1061&amp;$C1061,生产方式定位!$A$2:$E$38,5,FALSE)+VLOOKUP($E1061&amp;$C1061,生产方式定位!$F$3:$J$38,5,FALSE),"错误")</f>
        <v>3500</v>
      </c>
      <c r="Y1061" s="27" t="str">
        <f t="shared" si="272"/>
        <v/>
      </c>
      <c r="Z1061" s="50" t="str">
        <f t="shared" si="275"/>
        <v/>
      </c>
      <c r="AA1061" s="50" t="str">
        <f t="shared" si="273"/>
        <v/>
      </c>
      <c r="AB1061" s="28" t="str">
        <f t="shared" si="276"/>
        <v>6%</v>
      </c>
      <c r="AC1061" s="1">
        <f t="shared" si="277"/>
        <v>190</v>
      </c>
      <c r="AD1061" s="51">
        <f t="shared" si="274"/>
        <v>5</v>
      </c>
      <c r="AE1061" t="str">
        <f t="shared" si="278"/>
        <v/>
      </c>
      <c r="AF1061" t="str">
        <f t="shared" si="279"/>
        <v/>
      </c>
      <c r="AG1061" t="str">
        <f t="shared" si="280"/>
        <v/>
      </c>
      <c r="AH1061" t="str">
        <f t="shared" si="281"/>
        <v/>
      </c>
      <c r="AI1061" t="str">
        <f t="shared" si="282"/>
        <v/>
      </c>
      <c r="AJ1061" t="str">
        <f t="shared" si="283"/>
        <v/>
      </c>
      <c r="AK1061" t="str">
        <f t="shared" si="284"/>
        <v/>
      </c>
      <c r="AL1061" t="str">
        <f t="shared" si="285"/>
        <v/>
      </c>
      <c r="AN1061" t="str">
        <f>IFERROR(ROUND(L1061*(G1061/$AW1061)/VLOOKUP(F1061,商品!$A$4:$D$67,4,FALSE),0),"")</f>
        <v/>
      </c>
      <c r="AO1061" t="str">
        <f>IFERROR(ROUND(L1061*(I1061/$AW1061)/VLOOKUP(H1061,商品!$A$4:$D$67,4,FALSE),0),"")</f>
        <v/>
      </c>
      <c r="AP1061" t="str">
        <f>IFERROR(ROUND(L1061*(K1061/$AW1061)/VLOOKUP(J1061,商品!$A$4:$D$67,4,FALSE),0),"")</f>
        <v/>
      </c>
      <c r="AQ1061" t="str">
        <f>IFERROR(ROUND(S1061*(N1061/$AX1061)/VLOOKUP(M1061,职业!$A$3:$E$16,4,FALSE),0),"")</f>
        <v/>
      </c>
      <c r="AR1061" t="str">
        <f>IFERROR(ROUND(S1061*(P1061/$AX1061)/VLOOKUP(O1061,职业!$A$3:$E$16,4,FALSE),0),"")</f>
        <v/>
      </c>
      <c r="AS1061" t="str">
        <f>IFERROR(ROUND(S1061*(R1061/$AX1061)/VLOOKUP(Q1061,职业!$A$3:$E$16,4,FALSE),0),"")</f>
        <v/>
      </c>
      <c r="AT1061" t="str">
        <f>IFERROR(ROUND(X1061*(U1061/$AY1061)/VLOOKUP(T1061,商品!$A$4:$D$67,4,FALSE),0),"")</f>
        <v/>
      </c>
      <c r="AU1061" t="str">
        <f>IFERROR(ROUND(X1061*(W1061/$AY1061)/VLOOKUP(V1061,商品!$A$4:$D$67,4,FALSE),0),"")</f>
        <v/>
      </c>
      <c r="AW1061">
        <f t="shared" si="286"/>
        <v>0</v>
      </c>
      <c r="AX1061">
        <f t="shared" si="287"/>
        <v>0</v>
      </c>
      <c r="AY1061">
        <f t="shared" si="288"/>
        <v>0</v>
      </c>
    </row>
    <row r="1062" customHeight="1" spans="1:51">
      <c r="A1062" s="18" t="s">
        <v>478</v>
      </c>
      <c r="C1062" s="18">
        <v>1</v>
      </c>
      <c r="D1062" s="1" t="s">
        <v>291</v>
      </c>
      <c r="E1062" s="1" t="s">
        <v>225</v>
      </c>
      <c r="L1062" s="18">
        <f>IFERROR(VLOOKUP($D1062&amp;$C1062,生产方式定位!$A$2:$E$38,2,FALSE)+VLOOKUP($E1062&amp;$C1062,生产方式定位!$F$3:$J$38,2,FALSE),0)</f>
        <v>0</v>
      </c>
      <c r="S1062" s="18">
        <f>IFERROR(VLOOKUP($D1062&amp;$C1062,生产方式定位!$A$2:$E$38,3,FALSE)+VLOOKUP($E1062&amp;$C1062,生产方式定位!$F$3:$J$38,3,FALSE),0)</f>
        <v>100</v>
      </c>
      <c r="X1062" s="18">
        <f>IFERROR(VLOOKUP($D1062&amp;$C1062,生产方式定位!$A$2:$E$38,5,FALSE)+VLOOKUP($E1062&amp;$C1062,生产方式定位!$F$3:$J$38,5,FALSE),"错误")</f>
        <v>100</v>
      </c>
      <c r="Y1062" s="27" t="str">
        <f t="shared" si="272"/>
        <v/>
      </c>
      <c r="Z1062" s="50" t="str">
        <f t="shared" si="275"/>
        <v/>
      </c>
      <c r="AA1062" s="50" t="str">
        <f t="shared" si="273"/>
        <v/>
      </c>
      <c r="AB1062" s="28" t="str">
        <f t="shared" si="276"/>
        <v/>
      </c>
      <c r="AC1062" s="1" t="str">
        <f t="shared" si="277"/>
        <v/>
      </c>
      <c r="AD1062" s="52">
        <f t="shared" si="274"/>
        <v>1</v>
      </c>
      <c r="AE1062" t="str">
        <f t="shared" si="278"/>
        <v/>
      </c>
      <c r="AF1062" t="str">
        <f t="shared" si="279"/>
        <v/>
      </c>
      <c r="AG1062" t="str">
        <f t="shared" si="280"/>
        <v/>
      </c>
      <c r="AH1062" t="str">
        <f t="shared" si="281"/>
        <v/>
      </c>
      <c r="AI1062" t="str">
        <f t="shared" si="282"/>
        <v/>
      </c>
      <c r="AJ1062" t="str">
        <f t="shared" si="283"/>
        <v/>
      </c>
      <c r="AK1062" t="str">
        <f t="shared" si="284"/>
        <v/>
      </c>
      <c r="AL1062" t="str">
        <f t="shared" si="285"/>
        <v/>
      </c>
      <c r="AN1062" t="str">
        <f>IFERROR(ROUND(L1062*(G1062/$AW1062)/VLOOKUP(F1062,商品!$A$4:$D$67,4,FALSE),0),"")</f>
        <v/>
      </c>
      <c r="AO1062" t="str">
        <f>IFERROR(ROUND(L1062*(I1062/$AW1062)/VLOOKUP(H1062,商品!$A$4:$D$67,4,FALSE),0),"")</f>
        <v/>
      </c>
      <c r="AP1062" t="str">
        <f>IFERROR(ROUND(L1062*(K1062/$AW1062)/VLOOKUP(J1062,商品!$A$4:$D$67,4,FALSE),0),"")</f>
        <v/>
      </c>
      <c r="AQ1062" t="str">
        <f>IFERROR(ROUND(S1062*(N1062/$AX1062)/VLOOKUP(M1062,职业!$A$3:$E$16,4,FALSE),0),"")</f>
        <v/>
      </c>
      <c r="AR1062" t="str">
        <f>IFERROR(ROUND(S1062*(P1062/$AX1062)/VLOOKUP(O1062,职业!$A$3:$E$16,4,FALSE),0),"")</f>
        <v/>
      </c>
      <c r="AS1062" t="str">
        <f>IFERROR(ROUND(S1062*(R1062/$AX1062)/VLOOKUP(Q1062,职业!$A$3:$E$16,4,FALSE),0),"")</f>
        <v/>
      </c>
      <c r="AT1062" t="str">
        <f>IFERROR(ROUND(X1062*(U1062/$AY1062)/VLOOKUP(T1062,商品!$A$4:$D$67,4,FALSE),0),"")</f>
        <v/>
      </c>
      <c r="AU1062" t="str">
        <f>IFERROR(ROUND(X1062*(W1062/$AY1062)/VLOOKUP(V1062,商品!$A$4:$D$67,4,FALSE),0),"")</f>
        <v/>
      </c>
      <c r="AW1062">
        <f t="shared" si="286"/>
        <v>0</v>
      </c>
      <c r="AX1062">
        <f t="shared" si="287"/>
        <v>0</v>
      </c>
      <c r="AY1062">
        <f t="shared" si="288"/>
        <v>0</v>
      </c>
    </row>
    <row r="1063" customHeight="1" spans="1:51">
      <c r="A1063" s="18" t="s">
        <v>478</v>
      </c>
      <c r="C1063" s="18">
        <v>2</v>
      </c>
      <c r="D1063" s="1" t="s">
        <v>291</v>
      </c>
      <c r="E1063" s="1" t="s">
        <v>225</v>
      </c>
      <c r="L1063" s="18">
        <f>IFERROR(VLOOKUP($D1063&amp;$C1063,生产方式定位!$A$2:$E$38,2,FALSE)+VLOOKUP($E1063&amp;$C1063,生产方式定位!$F$3:$J$38,2,FALSE),0)</f>
        <v>0</v>
      </c>
      <c r="S1063" s="18">
        <f>IFERROR(VLOOKUP($D1063&amp;$C1063,生产方式定位!$A$2:$E$38,3,FALSE)+VLOOKUP($E1063&amp;$C1063,生产方式定位!$F$3:$J$38,3,FALSE),0)</f>
        <v>100</v>
      </c>
      <c r="X1063" s="18">
        <f>IFERROR(VLOOKUP($D1063&amp;$C1063,生产方式定位!$A$2:$E$38,5,FALSE)+VLOOKUP($E1063&amp;$C1063,生产方式定位!$F$3:$J$38,5,FALSE),"错误")</f>
        <v>100</v>
      </c>
      <c r="Y1063" s="27" t="str">
        <f t="shared" si="272"/>
        <v/>
      </c>
      <c r="Z1063" s="50" t="str">
        <f t="shared" si="275"/>
        <v/>
      </c>
      <c r="AA1063" s="50" t="str">
        <f t="shared" si="273"/>
        <v/>
      </c>
      <c r="AB1063" s="28" t="str">
        <f t="shared" si="276"/>
        <v/>
      </c>
      <c r="AC1063" s="1" t="str">
        <f t="shared" si="277"/>
        <v/>
      </c>
      <c r="AD1063" s="52">
        <f t="shared" si="274"/>
        <v>2</v>
      </c>
      <c r="AE1063" t="str">
        <f t="shared" si="278"/>
        <v/>
      </c>
      <c r="AF1063" t="str">
        <f t="shared" si="279"/>
        <v/>
      </c>
      <c r="AG1063" t="str">
        <f t="shared" si="280"/>
        <v/>
      </c>
      <c r="AH1063" t="str">
        <f t="shared" si="281"/>
        <v/>
      </c>
      <c r="AI1063" t="str">
        <f t="shared" si="282"/>
        <v/>
      </c>
      <c r="AJ1063" t="str">
        <f t="shared" si="283"/>
        <v/>
      </c>
      <c r="AK1063" t="str">
        <f t="shared" si="284"/>
        <v/>
      </c>
      <c r="AL1063" t="str">
        <f t="shared" si="285"/>
        <v/>
      </c>
      <c r="AN1063" t="str">
        <f>IFERROR(ROUND(L1063*(G1063/$AW1063)/VLOOKUP(F1063,商品!$A$4:$D$67,4,FALSE),0),"")</f>
        <v/>
      </c>
      <c r="AO1063" t="str">
        <f>IFERROR(ROUND(L1063*(I1063/$AW1063)/VLOOKUP(H1063,商品!$A$4:$D$67,4,FALSE),0),"")</f>
        <v/>
      </c>
      <c r="AP1063" t="str">
        <f>IFERROR(ROUND(L1063*(K1063/$AW1063)/VLOOKUP(J1063,商品!$A$4:$D$67,4,FALSE),0),"")</f>
        <v/>
      </c>
      <c r="AQ1063" t="str">
        <f>IFERROR(ROUND(S1063*(N1063/$AX1063)/VLOOKUP(M1063,职业!$A$3:$E$16,4,FALSE),0),"")</f>
        <v/>
      </c>
      <c r="AR1063" t="str">
        <f>IFERROR(ROUND(S1063*(P1063/$AX1063)/VLOOKUP(O1063,职业!$A$3:$E$16,4,FALSE),0),"")</f>
        <v/>
      </c>
      <c r="AS1063" t="str">
        <f>IFERROR(ROUND(S1063*(R1063/$AX1063)/VLOOKUP(Q1063,职业!$A$3:$E$16,4,FALSE),0),"")</f>
        <v/>
      </c>
      <c r="AT1063" t="str">
        <f>IFERROR(ROUND(X1063*(U1063/$AY1063)/VLOOKUP(T1063,商品!$A$4:$D$67,4,FALSE),0),"")</f>
        <v/>
      </c>
      <c r="AU1063" t="str">
        <f>IFERROR(ROUND(X1063*(W1063/$AY1063)/VLOOKUP(V1063,商品!$A$4:$D$67,4,FALSE),0),"")</f>
        <v/>
      </c>
      <c r="AW1063">
        <f t="shared" si="286"/>
        <v>0</v>
      </c>
      <c r="AX1063">
        <f t="shared" si="287"/>
        <v>0</v>
      </c>
      <c r="AY1063">
        <f t="shared" si="288"/>
        <v>0</v>
      </c>
    </row>
    <row r="1064" customHeight="1" spans="1:51">
      <c r="A1064" s="18" t="s">
        <v>478</v>
      </c>
      <c r="C1064" s="18">
        <v>3</v>
      </c>
      <c r="D1064" s="1" t="s">
        <v>291</v>
      </c>
      <c r="E1064" s="1" t="s">
        <v>225</v>
      </c>
      <c r="L1064" s="18">
        <f>IFERROR(VLOOKUP($D1064&amp;$C1064,生产方式定位!$A$2:$E$38,2,FALSE)+VLOOKUP($E1064&amp;$C1064,生产方式定位!$F$3:$J$38,2,FALSE),0)</f>
        <v>0</v>
      </c>
      <c r="S1064" s="18">
        <f>IFERROR(VLOOKUP($D1064&amp;$C1064,生产方式定位!$A$2:$E$38,3,FALSE)+VLOOKUP($E1064&amp;$C1064,生产方式定位!$F$3:$J$38,3,FALSE),0)</f>
        <v>100</v>
      </c>
      <c r="X1064" s="18">
        <f>IFERROR(VLOOKUP($D1064&amp;$C1064,生产方式定位!$A$2:$E$38,5,FALSE)+VLOOKUP($E1064&amp;$C1064,生产方式定位!$F$3:$J$38,5,FALSE),"错误")</f>
        <v>100</v>
      </c>
      <c r="Y1064" s="27" t="str">
        <f t="shared" si="272"/>
        <v/>
      </c>
      <c r="Z1064" s="50" t="str">
        <f t="shared" si="275"/>
        <v/>
      </c>
      <c r="AA1064" s="50" t="str">
        <f t="shared" si="273"/>
        <v/>
      </c>
      <c r="AB1064" s="28" t="str">
        <f t="shared" si="276"/>
        <v/>
      </c>
      <c r="AC1064" s="1" t="str">
        <f t="shared" si="277"/>
        <v/>
      </c>
      <c r="AD1064" s="52">
        <f t="shared" si="274"/>
        <v>3</v>
      </c>
      <c r="AE1064" t="str">
        <f t="shared" si="278"/>
        <v/>
      </c>
      <c r="AF1064" t="str">
        <f t="shared" si="279"/>
        <v/>
      </c>
      <c r="AG1064" t="str">
        <f t="shared" si="280"/>
        <v/>
      </c>
      <c r="AH1064" t="str">
        <f t="shared" si="281"/>
        <v/>
      </c>
      <c r="AI1064" t="str">
        <f t="shared" si="282"/>
        <v/>
      </c>
      <c r="AJ1064" t="str">
        <f t="shared" si="283"/>
        <v/>
      </c>
      <c r="AK1064" t="str">
        <f t="shared" si="284"/>
        <v/>
      </c>
      <c r="AL1064" t="str">
        <f t="shared" si="285"/>
        <v/>
      </c>
      <c r="AN1064" t="str">
        <f>IFERROR(ROUND(L1064*(G1064/$AW1064)/VLOOKUP(F1064,商品!$A$4:$D$67,4,FALSE),0),"")</f>
        <v/>
      </c>
      <c r="AO1064" t="str">
        <f>IFERROR(ROUND(L1064*(I1064/$AW1064)/VLOOKUP(H1064,商品!$A$4:$D$67,4,FALSE),0),"")</f>
        <v/>
      </c>
      <c r="AP1064" t="str">
        <f>IFERROR(ROUND(L1064*(K1064/$AW1064)/VLOOKUP(J1064,商品!$A$4:$D$67,4,FALSE),0),"")</f>
        <v/>
      </c>
      <c r="AQ1064" t="str">
        <f>IFERROR(ROUND(S1064*(N1064/$AX1064)/VLOOKUP(M1064,职业!$A$3:$E$16,4,FALSE),0),"")</f>
        <v/>
      </c>
      <c r="AR1064" t="str">
        <f>IFERROR(ROUND(S1064*(P1064/$AX1064)/VLOOKUP(O1064,职业!$A$3:$E$16,4,FALSE),0),"")</f>
        <v/>
      </c>
      <c r="AS1064" t="str">
        <f>IFERROR(ROUND(S1064*(R1064/$AX1064)/VLOOKUP(Q1064,职业!$A$3:$E$16,4,FALSE),0),"")</f>
        <v/>
      </c>
      <c r="AT1064" t="str">
        <f>IFERROR(ROUND(X1064*(U1064/$AY1064)/VLOOKUP(T1064,商品!$A$4:$D$67,4,FALSE),0),"")</f>
        <v/>
      </c>
      <c r="AU1064" t="str">
        <f>IFERROR(ROUND(X1064*(W1064/$AY1064)/VLOOKUP(V1064,商品!$A$4:$D$67,4,FALSE),0),"")</f>
        <v/>
      </c>
      <c r="AW1064">
        <f t="shared" si="286"/>
        <v>0</v>
      </c>
      <c r="AX1064">
        <f t="shared" si="287"/>
        <v>0</v>
      </c>
      <c r="AY1064">
        <f t="shared" si="288"/>
        <v>0</v>
      </c>
    </row>
    <row r="1065" customHeight="1" spans="1:51">
      <c r="A1065" s="18" t="s">
        <v>478</v>
      </c>
      <c r="C1065" s="18">
        <v>4</v>
      </c>
      <c r="D1065" s="1" t="s">
        <v>291</v>
      </c>
      <c r="E1065" s="1" t="s">
        <v>225</v>
      </c>
      <c r="L1065" s="18">
        <f>IFERROR(VLOOKUP($D1065&amp;$C1065,生产方式定位!$A$2:$E$38,2,FALSE)+VLOOKUP($E1065&amp;$C1065,生产方式定位!$F$3:$J$38,2,FALSE),0)</f>
        <v>0</v>
      </c>
      <c r="S1065" s="18">
        <f>IFERROR(VLOOKUP($D1065&amp;$C1065,生产方式定位!$A$2:$E$38,3,FALSE)+VLOOKUP($E1065&amp;$C1065,生产方式定位!$F$3:$J$38,3,FALSE),0)</f>
        <v>100</v>
      </c>
      <c r="X1065" s="18">
        <f>IFERROR(VLOOKUP($D1065&amp;$C1065,生产方式定位!$A$2:$E$38,5,FALSE)+VLOOKUP($E1065&amp;$C1065,生产方式定位!$F$3:$J$38,5,FALSE),"错误")</f>
        <v>100</v>
      </c>
      <c r="Y1065" s="27" t="str">
        <f t="shared" si="272"/>
        <v/>
      </c>
      <c r="Z1065" s="50" t="str">
        <f t="shared" si="275"/>
        <v/>
      </c>
      <c r="AA1065" s="50" t="str">
        <f t="shared" si="273"/>
        <v/>
      </c>
      <c r="AB1065" s="28" t="str">
        <f t="shared" si="276"/>
        <v/>
      </c>
      <c r="AC1065" s="1" t="str">
        <f t="shared" si="277"/>
        <v/>
      </c>
      <c r="AD1065" s="52">
        <f t="shared" si="274"/>
        <v>4</v>
      </c>
      <c r="AE1065" t="str">
        <f t="shared" si="278"/>
        <v/>
      </c>
      <c r="AF1065" t="str">
        <f t="shared" si="279"/>
        <v/>
      </c>
      <c r="AG1065" t="str">
        <f t="shared" si="280"/>
        <v/>
      </c>
      <c r="AH1065" t="str">
        <f t="shared" si="281"/>
        <v/>
      </c>
      <c r="AI1065" t="str">
        <f t="shared" si="282"/>
        <v/>
      </c>
      <c r="AJ1065" t="str">
        <f t="shared" si="283"/>
        <v/>
      </c>
      <c r="AK1065" t="str">
        <f t="shared" si="284"/>
        <v/>
      </c>
      <c r="AL1065" t="str">
        <f t="shared" si="285"/>
        <v/>
      </c>
      <c r="AN1065" t="str">
        <f>IFERROR(ROUND(L1065*(G1065/$AW1065)/VLOOKUP(F1065,商品!$A$4:$D$67,4,FALSE),0),"")</f>
        <v/>
      </c>
      <c r="AO1065" t="str">
        <f>IFERROR(ROUND(L1065*(I1065/$AW1065)/VLOOKUP(H1065,商品!$A$4:$D$67,4,FALSE),0),"")</f>
        <v/>
      </c>
      <c r="AP1065" t="str">
        <f>IFERROR(ROUND(L1065*(K1065/$AW1065)/VLOOKUP(J1065,商品!$A$4:$D$67,4,FALSE),0),"")</f>
        <v/>
      </c>
      <c r="AQ1065" t="str">
        <f>IFERROR(ROUND(S1065*(N1065/$AX1065)/VLOOKUP(M1065,职业!$A$3:$E$16,4,FALSE),0),"")</f>
        <v/>
      </c>
      <c r="AR1065" t="str">
        <f>IFERROR(ROUND(S1065*(P1065/$AX1065)/VLOOKUP(O1065,职业!$A$3:$E$16,4,FALSE),0),"")</f>
        <v/>
      </c>
      <c r="AS1065" t="str">
        <f>IFERROR(ROUND(S1065*(R1065/$AX1065)/VLOOKUP(Q1065,职业!$A$3:$E$16,4,FALSE),0),"")</f>
        <v/>
      </c>
      <c r="AT1065" t="str">
        <f>IFERROR(ROUND(X1065*(U1065/$AY1065)/VLOOKUP(T1065,商品!$A$4:$D$67,4,FALSE),0),"")</f>
        <v/>
      </c>
      <c r="AU1065" t="str">
        <f>IFERROR(ROUND(X1065*(W1065/$AY1065)/VLOOKUP(V1065,商品!$A$4:$D$67,4,FALSE),0),"")</f>
        <v/>
      </c>
      <c r="AW1065">
        <f t="shared" si="286"/>
        <v>0</v>
      </c>
      <c r="AX1065">
        <f t="shared" si="287"/>
        <v>0</v>
      </c>
      <c r="AY1065">
        <f t="shared" si="288"/>
        <v>0</v>
      </c>
    </row>
    <row r="1066" customHeight="1" spans="1:51">
      <c r="A1066" s="18" t="s">
        <v>478</v>
      </c>
      <c r="C1066" s="18">
        <v>5</v>
      </c>
      <c r="D1066" s="1" t="s">
        <v>291</v>
      </c>
      <c r="E1066" s="1" t="s">
        <v>225</v>
      </c>
      <c r="L1066" s="18">
        <f>IFERROR(VLOOKUP($D1066&amp;$C1066,生产方式定位!$A$2:$E$38,2,FALSE)+VLOOKUP($E1066&amp;$C1066,生产方式定位!$F$3:$J$38,2,FALSE),0)</f>
        <v>0</v>
      </c>
      <c r="S1066" s="18">
        <f>IFERROR(VLOOKUP($D1066&amp;$C1066,生产方式定位!$A$2:$E$38,3,FALSE)+VLOOKUP($E1066&amp;$C1066,生产方式定位!$F$3:$J$38,3,FALSE),0)</f>
        <v>100</v>
      </c>
      <c r="X1066" s="18">
        <f>IFERROR(VLOOKUP($D1066&amp;$C1066,生产方式定位!$A$2:$E$38,5,FALSE)+VLOOKUP($E1066&amp;$C1066,生产方式定位!$F$3:$J$38,5,FALSE),"错误")</f>
        <v>100</v>
      </c>
      <c r="Y1066" s="27" t="str">
        <f t="shared" si="272"/>
        <v/>
      </c>
      <c r="Z1066" s="50" t="str">
        <f t="shared" si="275"/>
        <v/>
      </c>
      <c r="AA1066" s="50" t="str">
        <f t="shared" si="273"/>
        <v/>
      </c>
      <c r="AB1066" s="28" t="str">
        <f t="shared" si="276"/>
        <v/>
      </c>
      <c r="AC1066" s="1" t="str">
        <f t="shared" si="277"/>
        <v/>
      </c>
      <c r="AD1066" s="52">
        <f t="shared" si="274"/>
        <v>5</v>
      </c>
      <c r="AE1066" t="str">
        <f t="shared" si="278"/>
        <v/>
      </c>
      <c r="AF1066" t="str">
        <f t="shared" si="279"/>
        <v/>
      </c>
      <c r="AG1066" t="str">
        <f t="shared" si="280"/>
        <v/>
      </c>
      <c r="AH1066" t="str">
        <f t="shared" si="281"/>
        <v/>
      </c>
      <c r="AI1066" t="str">
        <f t="shared" si="282"/>
        <v/>
      </c>
      <c r="AJ1066" t="str">
        <f t="shared" si="283"/>
        <v/>
      </c>
      <c r="AK1066" t="str">
        <f t="shared" si="284"/>
        <v/>
      </c>
      <c r="AL1066" t="str">
        <f t="shared" si="285"/>
        <v/>
      </c>
      <c r="AN1066" t="str">
        <f>IFERROR(ROUND(L1066*(G1066/$AW1066)/VLOOKUP(F1066,商品!$A$4:$D$67,4,FALSE),0),"")</f>
        <v/>
      </c>
      <c r="AO1066" t="str">
        <f>IFERROR(ROUND(L1066*(I1066/$AW1066)/VLOOKUP(H1066,商品!$A$4:$D$67,4,FALSE),0),"")</f>
        <v/>
      </c>
      <c r="AP1066" t="str">
        <f>IFERROR(ROUND(L1066*(K1066/$AW1066)/VLOOKUP(J1066,商品!$A$4:$D$67,4,FALSE),0),"")</f>
        <v/>
      </c>
      <c r="AQ1066" t="str">
        <f>IFERROR(ROUND(S1066*(N1066/$AX1066)/VLOOKUP(M1066,职业!$A$3:$E$16,4,FALSE),0),"")</f>
        <v/>
      </c>
      <c r="AR1066" t="str">
        <f>IFERROR(ROUND(S1066*(P1066/$AX1066)/VLOOKUP(O1066,职业!$A$3:$E$16,4,FALSE),0),"")</f>
        <v/>
      </c>
      <c r="AS1066" t="str">
        <f>IFERROR(ROUND(S1066*(R1066/$AX1066)/VLOOKUP(Q1066,职业!$A$3:$E$16,4,FALSE),0),"")</f>
        <v/>
      </c>
      <c r="AT1066" t="str">
        <f>IFERROR(ROUND(X1066*(U1066/$AY1066)/VLOOKUP(T1066,商品!$A$4:$D$67,4,FALSE),0),"")</f>
        <v/>
      </c>
      <c r="AU1066" t="str">
        <f>IFERROR(ROUND(X1066*(W1066/$AY1066)/VLOOKUP(V1066,商品!$A$4:$D$67,4,FALSE),0),"")</f>
        <v/>
      </c>
      <c r="AW1066">
        <f t="shared" si="286"/>
        <v>0</v>
      </c>
      <c r="AX1066">
        <f t="shared" si="287"/>
        <v>0</v>
      </c>
      <c r="AY1066">
        <f t="shared" si="288"/>
        <v>0</v>
      </c>
    </row>
    <row r="1067" customHeight="1" spans="1:51">
      <c r="A1067" s="18" t="s">
        <v>478</v>
      </c>
      <c r="C1067" s="18">
        <v>6</v>
      </c>
      <c r="D1067" s="1" t="s">
        <v>291</v>
      </c>
      <c r="E1067" s="1" t="s">
        <v>225</v>
      </c>
      <c r="L1067" s="18">
        <f>IFERROR(VLOOKUP($D1067&amp;$C1067,生产方式定位!$A$2:$E$38,2,FALSE)+VLOOKUP($E1067&amp;$C1067,生产方式定位!$F$3:$J$38,2,FALSE),0)</f>
        <v>0</v>
      </c>
      <c r="S1067" s="18">
        <f>IFERROR(VLOOKUP($D1067&amp;$C1067,生产方式定位!$A$2:$E$38,3,FALSE)+VLOOKUP($E1067&amp;$C1067,生产方式定位!$F$3:$J$38,3,FALSE),0)</f>
        <v>100</v>
      </c>
      <c r="X1067" s="18">
        <f>IFERROR(VLOOKUP($D1067&amp;$C1067,生产方式定位!$A$2:$E$38,5,FALSE)+VLOOKUP($E1067&amp;$C1067,生产方式定位!$F$3:$J$38,5,FALSE),"错误")</f>
        <v>100</v>
      </c>
      <c r="Y1067" s="27" t="str">
        <f t="shared" si="272"/>
        <v/>
      </c>
      <c r="Z1067" s="50" t="str">
        <f t="shared" si="275"/>
        <v/>
      </c>
      <c r="AA1067" s="50" t="str">
        <f t="shared" si="273"/>
        <v/>
      </c>
      <c r="AB1067" s="28" t="str">
        <f t="shared" si="276"/>
        <v/>
      </c>
      <c r="AC1067" s="1" t="str">
        <f t="shared" si="277"/>
        <v/>
      </c>
      <c r="AD1067" s="52">
        <f t="shared" si="274"/>
        <v>6</v>
      </c>
      <c r="AE1067" t="str">
        <f t="shared" si="278"/>
        <v/>
      </c>
      <c r="AF1067" t="str">
        <f t="shared" si="279"/>
        <v/>
      </c>
      <c r="AG1067" t="str">
        <f t="shared" si="280"/>
        <v/>
      </c>
      <c r="AH1067" t="str">
        <f t="shared" si="281"/>
        <v/>
      </c>
      <c r="AI1067" t="str">
        <f t="shared" si="282"/>
        <v/>
      </c>
      <c r="AJ1067" t="str">
        <f t="shared" si="283"/>
        <v/>
      </c>
      <c r="AK1067" t="str">
        <f t="shared" si="284"/>
        <v/>
      </c>
      <c r="AL1067" t="str">
        <f t="shared" si="285"/>
        <v/>
      </c>
      <c r="AN1067" t="str">
        <f>IFERROR(ROUND(L1067*(G1067/$AW1067)/VLOOKUP(F1067,商品!$A$4:$D$67,4,FALSE),0),"")</f>
        <v/>
      </c>
      <c r="AO1067" t="str">
        <f>IFERROR(ROUND(L1067*(I1067/$AW1067)/VLOOKUP(H1067,商品!$A$4:$D$67,4,FALSE),0),"")</f>
        <v/>
      </c>
      <c r="AP1067" t="str">
        <f>IFERROR(ROUND(L1067*(K1067/$AW1067)/VLOOKUP(J1067,商品!$A$4:$D$67,4,FALSE),0),"")</f>
        <v/>
      </c>
      <c r="AQ1067" t="str">
        <f>IFERROR(ROUND(S1067*(N1067/$AX1067)/VLOOKUP(M1067,职业!$A$3:$E$16,4,FALSE),0),"")</f>
        <v/>
      </c>
      <c r="AR1067" t="str">
        <f>IFERROR(ROUND(S1067*(P1067/$AX1067)/VLOOKUP(O1067,职业!$A$3:$E$16,4,FALSE),0),"")</f>
        <v/>
      </c>
      <c r="AS1067" t="str">
        <f>IFERROR(ROUND(S1067*(R1067/$AX1067)/VLOOKUP(Q1067,职业!$A$3:$E$16,4,FALSE),0),"")</f>
        <v/>
      </c>
      <c r="AT1067" t="str">
        <f>IFERROR(ROUND(X1067*(U1067/$AY1067)/VLOOKUP(T1067,商品!$A$4:$D$67,4,FALSE),0),"")</f>
        <v/>
      </c>
      <c r="AU1067" t="str">
        <f>IFERROR(ROUND(X1067*(W1067/$AY1067)/VLOOKUP(V1067,商品!$A$4:$D$67,4,FALSE),0),"")</f>
        <v/>
      </c>
      <c r="AW1067">
        <f t="shared" si="286"/>
        <v>0</v>
      </c>
      <c r="AX1067">
        <f t="shared" si="287"/>
        <v>0</v>
      </c>
      <c r="AY1067">
        <f t="shared" si="288"/>
        <v>0</v>
      </c>
    </row>
    <row r="1068" customHeight="1" spans="1:51">
      <c r="A1068" s="18" t="s">
        <v>478</v>
      </c>
      <c r="C1068" s="18">
        <v>7</v>
      </c>
      <c r="D1068" s="1" t="s">
        <v>291</v>
      </c>
      <c r="E1068" s="1" t="s">
        <v>225</v>
      </c>
      <c r="L1068" s="18">
        <f>IFERROR(VLOOKUP($D1068&amp;$C1068,生产方式定位!$A$2:$E$38,2,FALSE)+VLOOKUP($E1068&amp;$C1068,生产方式定位!$F$3:$J$38,2,FALSE),0)</f>
        <v>0</v>
      </c>
      <c r="S1068" s="18">
        <f>IFERROR(VLOOKUP($D1068&amp;$C1068,生产方式定位!$A$2:$E$38,3,FALSE)+VLOOKUP($E1068&amp;$C1068,生产方式定位!$F$3:$J$38,3,FALSE),0)</f>
        <v>100</v>
      </c>
      <c r="X1068" s="18">
        <f>IFERROR(VLOOKUP($D1068&amp;$C1068,生产方式定位!$A$2:$E$38,5,FALSE)+VLOOKUP($E1068&amp;$C1068,生产方式定位!$F$3:$J$38,5,FALSE),"错误")</f>
        <v>100</v>
      </c>
      <c r="Y1068" s="27" t="str">
        <f t="shared" si="272"/>
        <v/>
      </c>
      <c r="Z1068" s="50" t="str">
        <f t="shared" si="275"/>
        <v/>
      </c>
      <c r="AA1068" s="50" t="str">
        <f t="shared" si="273"/>
        <v/>
      </c>
      <c r="AB1068" s="28" t="str">
        <f t="shared" si="276"/>
        <v/>
      </c>
      <c r="AC1068" s="1" t="str">
        <f t="shared" si="277"/>
        <v/>
      </c>
      <c r="AD1068" s="52">
        <f t="shared" si="274"/>
        <v>7</v>
      </c>
      <c r="AE1068" t="str">
        <f t="shared" si="278"/>
        <v/>
      </c>
      <c r="AF1068" t="str">
        <f t="shared" si="279"/>
        <v/>
      </c>
      <c r="AG1068" t="str">
        <f t="shared" si="280"/>
        <v/>
      </c>
      <c r="AH1068" t="str">
        <f t="shared" si="281"/>
        <v/>
      </c>
      <c r="AI1068" t="str">
        <f t="shared" si="282"/>
        <v/>
      </c>
      <c r="AJ1068" t="str">
        <f t="shared" si="283"/>
        <v/>
      </c>
      <c r="AK1068" t="str">
        <f t="shared" si="284"/>
        <v/>
      </c>
      <c r="AL1068" t="str">
        <f t="shared" si="285"/>
        <v/>
      </c>
      <c r="AN1068" t="str">
        <f>IFERROR(ROUND(L1068*(G1068/$AW1068)/VLOOKUP(F1068,商品!$A$4:$D$67,4,FALSE),0),"")</f>
        <v/>
      </c>
      <c r="AO1068" t="str">
        <f>IFERROR(ROUND(L1068*(I1068/$AW1068)/VLOOKUP(H1068,商品!$A$4:$D$67,4,FALSE),0),"")</f>
        <v/>
      </c>
      <c r="AP1068" t="str">
        <f>IFERROR(ROUND(L1068*(K1068/$AW1068)/VLOOKUP(J1068,商品!$A$4:$D$67,4,FALSE),0),"")</f>
        <v/>
      </c>
      <c r="AQ1068" t="str">
        <f>IFERROR(ROUND(S1068*(N1068/$AX1068)/VLOOKUP(M1068,职业!$A$3:$E$16,4,FALSE),0),"")</f>
        <v/>
      </c>
      <c r="AR1068" t="str">
        <f>IFERROR(ROUND(S1068*(P1068/$AX1068)/VLOOKUP(O1068,职业!$A$3:$E$16,4,FALSE),0),"")</f>
        <v/>
      </c>
      <c r="AS1068" t="str">
        <f>IFERROR(ROUND(S1068*(R1068/$AX1068)/VLOOKUP(Q1068,职业!$A$3:$E$16,4,FALSE),0),"")</f>
        <v/>
      </c>
      <c r="AT1068" t="str">
        <f>IFERROR(ROUND(X1068*(U1068/$AY1068)/VLOOKUP(T1068,商品!$A$4:$D$67,4,FALSE),0),"")</f>
        <v/>
      </c>
      <c r="AU1068" t="str">
        <f>IFERROR(ROUND(X1068*(W1068/$AY1068)/VLOOKUP(V1068,商品!$A$4:$D$67,4,FALSE),0),"")</f>
        <v/>
      </c>
      <c r="AW1068">
        <f t="shared" si="286"/>
        <v>0</v>
      </c>
      <c r="AX1068">
        <f t="shared" si="287"/>
        <v>0</v>
      </c>
      <c r="AY1068">
        <f t="shared" si="288"/>
        <v>0</v>
      </c>
    </row>
    <row r="1069" customHeight="1" spans="1:51">
      <c r="A1069" s="18" t="s">
        <v>478</v>
      </c>
      <c r="C1069" s="18">
        <v>8</v>
      </c>
      <c r="D1069" s="1" t="s">
        <v>291</v>
      </c>
      <c r="E1069" s="1" t="s">
        <v>225</v>
      </c>
      <c r="L1069" s="18">
        <f>IFERROR(VLOOKUP($D1069&amp;$C1069,生产方式定位!$A$2:$E$38,2,FALSE)+VLOOKUP($E1069&amp;$C1069,生产方式定位!$F$3:$J$38,2,FALSE),0)</f>
        <v>0</v>
      </c>
      <c r="S1069" s="18">
        <f>IFERROR(VLOOKUP($D1069&amp;$C1069,生产方式定位!$A$2:$E$38,3,FALSE)+VLOOKUP($E1069&amp;$C1069,生产方式定位!$F$3:$J$38,3,FALSE),0)</f>
        <v>100</v>
      </c>
      <c r="X1069" s="18">
        <f>IFERROR(VLOOKUP($D1069&amp;$C1069,生产方式定位!$A$2:$E$38,5,FALSE)+VLOOKUP($E1069&amp;$C1069,生产方式定位!$F$3:$J$38,5,FALSE),"错误")</f>
        <v>100</v>
      </c>
      <c r="Y1069" s="27" t="str">
        <f t="shared" si="272"/>
        <v/>
      </c>
      <c r="Z1069" s="50" t="str">
        <f t="shared" si="275"/>
        <v/>
      </c>
      <c r="AA1069" s="50" t="str">
        <f t="shared" si="273"/>
        <v/>
      </c>
      <c r="AB1069" s="28" t="str">
        <f t="shared" si="276"/>
        <v/>
      </c>
      <c r="AC1069" s="1" t="str">
        <f t="shared" si="277"/>
        <v/>
      </c>
      <c r="AD1069" s="52">
        <f t="shared" si="274"/>
        <v>8</v>
      </c>
      <c r="AE1069" t="str">
        <f t="shared" si="278"/>
        <v/>
      </c>
      <c r="AF1069" t="str">
        <f t="shared" si="279"/>
        <v/>
      </c>
      <c r="AG1069" t="str">
        <f t="shared" si="280"/>
        <v/>
      </c>
      <c r="AH1069" t="str">
        <f t="shared" si="281"/>
        <v/>
      </c>
      <c r="AI1069" t="str">
        <f t="shared" si="282"/>
        <v/>
      </c>
      <c r="AJ1069" t="str">
        <f t="shared" si="283"/>
        <v/>
      </c>
      <c r="AK1069" t="str">
        <f t="shared" si="284"/>
        <v/>
      </c>
      <c r="AL1069" t="str">
        <f t="shared" si="285"/>
        <v/>
      </c>
      <c r="AN1069" t="str">
        <f>IFERROR(ROUND(L1069*(G1069/$AW1069)/VLOOKUP(F1069,商品!$A$4:$D$67,4,FALSE),0),"")</f>
        <v/>
      </c>
      <c r="AO1069" t="str">
        <f>IFERROR(ROUND(L1069*(I1069/$AW1069)/VLOOKUP(H1069,商品!$A$4:$D$67,4,FALSE),0),"")</f>
        <v/>
      </c>
      <c r="AP1069" t="str">
        <f>IFERROR(ROUND(L1069*(K1069/$AW1069)/VLOOKUP(J1069,商品!$A$4:$D$67,4,FALSE),0),"")</f>
        <v/>
      </c>
      <c r="AQ1069" t="str">
        <f>IFERROR(ROUND(S1069*(N1069/$AX1069)/VLOOKUP(M1069,职业!$A$3:$E$16,4,FALSE),0),"")</f>
        <v/>
      </c>
      <c r="AR1069" t="str">
        <f>IFERROR(ROUND(S1069*(P1069/$AX1069)/VLOOKUP(O1069,职业!$A$3:$E$16,4,FALSE),0),"")</f>
        <v/>
      </c>
      <c r="AS1069" t="str">
        <f>IFERROR(ROUND(S1069*(R1069/$AX1069)/VLOOKUP(Q1069,职业!$A$3:$E$16,4,FALSE),0),"")</f>
        <v/>
      </c>
      <c r="AT1069" t="str">
        <f>IFERROR(ROUND(X1069*(U1069/$AY1069)/VLOOKUP(T1069,商品!$A$4:$D$67,4,FALSE),0),"")</f>
        <v/>
      </c>
      <c r="AU1069" t="str">
        <f>IFERROR(ROUND(X1069*(W1069/$AY1069)/VLOOKUP(V1069,商品!$A$4:$D$67,4,FALSE),0),"")</f>
        <v/>
      </c>
      <c r="AW1069">
        <f t="shared" si="286"/>
        <v>0</v>
      </c>
      <c r="AX1069">
        <f t="shared" si="287"/>
        <v>0</v>
      </c>
      <c r="AY1069">
        <f t="shared" si="288"/>
        <v>0</v>
      </c>
    </row>
    <row r="1070" customHeight="1" spans="1:51">
      <c r="A1070" s="5" t="s">
        <v>480</v>
      </c>
      <c r="C1070" s="5">
        <v>1</v>
      </c>
      <c r="D1070" s="1" t="s">
        <v>220</v>
      </c>
      <c r="E1070" s="1" t="s">
        <v>222</v>
      </c>
      <c r="L1070" s="5">
        <f>IFERROR(VLOOKUP($D1070&amp;$C1070,生产方式定位!$A$2:$E$38,2,FALSE)+VLOOKUP($E1070&amp;$C1070,生产方式定位!$F$3:$J$38,2,FALSE),0)</f>
        <v>500</v>
      </c>
      <c r="S1070" s="5">
        <f>IFERROR(VLOOKUP($D1070&amp;$C1070,生产方式定位!$A$2:$E$38,3,FALSE)+VLOOKUP($E1070&amp;$C1070,生产方式定位!$F$3:$J$38,3,FALSE),0)</f>
        <v>150</v>
      </c>
      <c r="X1070" s="5">
        <f>IFERROR(VLOOKUP($D1070&amp;$C1070,生产方式定位!$A$2:$E$38,5,FALSE)+VLOOKUP($E1070&amp;$C1070,生产方式定位!$F$3:$J$38,5,FALSE),"错误")</f>
        <v>715</v>
      </c>
      <c r="Y1070" s="27" t="str">
        <f t="shared" si="272"/>
        <v/>
      </c>
      <c r="Z1070" s="50" t="str">
        <f t="shared" si="275"/>
        <v/>
      </c>
      <c r="AA1070" s="50" t="str">
        <f t="shared" si="273"/>
        <v/>
      </c>
      <c r="AB1070" s="28" t="str">
        <f t="shared" si="276"/>
        <v>43%</v>
      </c>
      <c r="AC1070" s="1">
        <f t="shared" si="277"/>
        <v>65</v>
      </c>
      <c r="AD1070" s="51">
        <f t="shared" si="274"/>
        <v>1</v>
      </c>
      <c r="AE1070" t="str">
        <f t="shared" si="278"/>
        <v/>
      </c>
      <c r="AF1070" t="str">
        <f t="shared" si="279"/>
        <v/>
      </c>
      <c r="AG1070" t="str">
        <f t="shared" si="280"/>
        <v/>
      </c>
      <c r="AH1070" t="str">
        <f t="shared" si="281"/>
        <v/>
      </c>
      <c r="AI1070" t="str">
        <f t="shared" si="282"/>
        <v/>
      </c>
      <c r="AJ1070" t="str">
        <f t="shared" si="283"/>
        <v/>
      </c>
      <c r="AK1070" t="str">
        <f t="shared" si="284"/>
        <v/>
      </c>
      <c r="AL1070" t="str">
        <f t="shared" si="285"/>
        <v/>
      </c>
      <c r="AN1070" t="str">
        <f>IFERROR(ROUND(L1070*(G1070/$AW1070)/VLOOKUP(F1070,商品!$A$4:$D$67,4,FALSE),0),"")</f>
        <v/>
      </c>
      <c r="AO1070" t="str">
        <f>IFERROR(ROUND(L1070*(I1070/$AW1070)/VLOOKUP(H1070,商品!$A$4:$D$67,4,FALSE),0),"")</f>
        <v/>
      </c>
      <c r="AP1070" t="str">
        <f>IFERROR(ROUND(L1070*(K1070/$AW1070)/VLOOKUP(J1070,商品!$A$4:$D$67,4,FALSE),0),"")</f>
        <v/>
      </c>
      <c r="AQ1070" t="str">
        <f>IFERROR(ROUND(S1070*(N1070/$AX1070)/VLOOKUP(M1070,职业!$A$3:$E$16,4,FALSE),0),"")</f>
        <v/>
      </c>
      <c r="AR1070" t="str">
        <f>IFERROR(ROUND(S1070*(P1070/$AX1070)/VLOOKUP(O1070,职业!$A$3:$E$16,4,FALSE),0),"")</f>
        <v/>
      </c>
      <c r="AS1070" t="str">
        <f>IFERROR(ROUND(S1070*(R1070/$AX1070)/VLOOKUP(Q1070,职业!$A$3:$E$16,4,FALSE),0),"")</f>
        <v/>
      </c>
      <c r="AT1070" t="str">
        <f>IFERROR(ROUND(X1070*(U1070/$AY1070)/VLOOKUP(T1070,商品!$A$4:$D$67,4,FALSE),0),"")</f>
        <v/>
      </c>
      <c r="AU1070" t="str">
        <f>IFERROR(ROUND(X1070*(W1070/$AY1070)/VLOOKUP(V1070,商品!$A$4:$D$67,4,FALSE),0),"")</f>
        <v/>
      </c>
      <c r="AW1070">
        <f t="shared" si="286"/>
        <v>0</v>
      </c>
      <c r="AX1070">
        <f t="shared" si="287"/>
        <v>0</v>
      </c>
      <c r="AY1070">
        <f t="shared" si="288"/>
        <v>0</v>
      </c>
    </row>
    <row r="1071" customHeight="1" spans="1:51">
      <c r="A1071" s="5" t="s">
        <v>480</v>
      </c>
      <c r="C1071" s="5">
        <v>2</v>
      </c>
      <c r="D1071" s="1" t="s">
        <v>220</v>
      </c>
      <c r="E1071" s="1" t="s">
        <v>222</v>
      </c>
      <c r="L1071" s="5">
        <f>IFERROR(VLOOKUP($D1071&amp;$C1071,生产方式定位!$A$2:$E$38,2,FALSE)+VLOOKUP($E1071&amp;$C1071,生产方式定位!$F$3:$J$38,2,FALSE),0)</f>
        <v>1200</v>
      </c>
      <c r="S1071" s="5">
        <f>IFERROR(VLOOKUP($D1071&amp;$C1071,生产方式定位!$A$2:$E$38,3,FALSE)+VLOOKUP($E1071&amp;$C1071,生产方式定位!$F$3:$J$38,3,FALSE),0)</f>
        <v>140</v>
      </c>
      <c r="X1071" s="5">
        <f>IFERROR(VLOOKUP($D1071&amp;$C1071,生产方式定位!$A$2:$E$38,5,FALSE)+VLOOKUP($E1071&amp;$C1071,生产方式定位!$F$3:$J$38,5,FALSE),"错误")</f>
        <v>1390</v>
      </c>
      <c r="Y1071" s="27" t="str">
        <f t="shared" si="272"/>
        <v/>
      </c>
      <c r="Z1071" s="50" t="str">
        <f t="shared" si="275"/>
        <v/>
      </c>
      <c r="AA1071" s="50" t="str">
        <f t="shared" si="273"/>
        <v/>
      </c>
      <c r="AB1071" s="28" t="str">
        <f t="shared" si="276"/>
        <v>16%</v>
      </c>
      <c r="AC1071" s="1">
        <f t="shared" si="277"/>
        <v>50</v>
      </c>
      <c r="AD1071" s="51">
        <f t="shared" si="274"/>
        <v>2</v>
      </c>
      <c r="AE1071" t="str">
        <f t="shared" si="278"/>
        <v/>
      </c>
      <c r="AF1071" t="str">
        <f t="shared" si="279"/>
        <v/>
      </c>
      <c r="AG1071" t="str">
        <f t="shared" si="280"/>
        <v/>
      </c>
      <c r="AH1071" t="str">
        <f t="shared" si="281"/>
        <v/>
      </c>
      <c r="AI1071" t="str">
        <f t="shared" si="282"/>
        <v/>
      </c>
      <c r="AJ1071" t="str">
        <f t="shared" si="283"/>
        <v/>
      </c>
      <c r="AK1071" t="str">
        <f t="shared" si="284"/>
        <v/>
      </c>
      <c r="AL1071" t="str">
        <f t="shared" si="285"/>
        <v/>
      </c>
      <c r="AN1071" t="str">
        <f>IFERROR(ROUND(L1071*(G1071/$AW1071)/VLOOKUP(F1071,商品!$A$4:$D$67,4,FALSE),0),"")</f>
        <v/>
      </c>
      <c r="AO1071" t="str">
        <f>IFERROR(ROUND(L1071*(I1071/$AW1071)/VLOOKUP(H1071,商品!$A$4:$D$67,4,FALSE),0),"")</f>
        <v/>
      </c>
      <c r="AP1071" t="str">
        <f>IFERROR(ROUND(L1071*(K1071/$AW1071)/VLOOKUP(J1071,商品!$A$4:$D$67,4,FALSE),0),"")</f>
        <v/>
      </c>
      <c r="AQ1071" t="str">
        <f>IFERROR(ROUND(S1071*(N1071/$AX1071)/VLOOKUP(M1071,职业!$A$3:$E$16,4,FALSE),0),"")</f>
        <v/>
      </c>
      <c r="AR1071" t="str">
        <f>IFERROR(ROUND(S1071*(P1071/$AX1071)/VLOOKUP(O1071,职业!$A$3:$E$16,4,FALSE),0),"")</f>
        <v/>
      </c>
      <c r="AS1071" t="str">
        <f>IFERROR(ROUND(S1071*(R1071/$AX1071)/VLOOKUP(Q1071,职业!$A$3:$E$16,4,FALSE),0),"")</f>
        <v/>
      </c>
      <c r="AT1071" t="str">
        <f>IFERROR(ROUND(X1071*(U1071/$AY1071)/VLOOKUP(T1071,商品!$A$4:$D$67,4,FALSE),0),"")</f>
        <v/>
      </c>
      <c r="AU1071" t="str">
        <f>IFERROR(ROUND(X1071*(W1071/$AY1071)/VLOOKUP(V1071,商品!$A$4:$D$67,4,FALSE),0),"")</f>
        <v/>
      </c>
      <c r="AW1071">
        <f t="shared" si="286"/>
        <v>0</v>
      </c>
      <c r="AX1071">
        <f t="shared" si="287"/>
        <v>0</v>
      </c>
      <c r="AY1071">
        <f t="shared" si="288"/>
        <v>0</v>
      </c>
    </row>
    <row r="1072" customHeight="1" spans="1:51">
      <c r="A1072" s="5" t="s">
        <v>480</v>
      </c>
      <c r="C1072" s="5">
        <v>3</v>
      </c>
      <c r="D1072" s="1" t="s">
        <v>220</v>
      </c>
      <c r="E1072" s="1" t="s">
        <v>222</v>
      </c>
      <c r="L1072" s="5">
        <f>IFERROR(VLOOKUP($D1072&amp;$C1072,生产方式定位!$A$2:$E$38,2,FALSE)+VLOOKUP($E1072&amp;$C1072,生产方式定位!$F$3:$J$38,2,FALSE),0)</f>
        <v>1525</v>
      </c>
      <c r="S1072" s="5">
        <f>IFERROR(VLOOKUP($D1072&amp;$C1072,生产方式定位!$A$2:$E$38,3,FALSE)+VLOOKUP($E1072&amp;$C1072,生产方式定位!$F$3:$J$38,3,FALSE),0)</f>
        <v>130</v>
      </c>
      <c r="X1072" s="5">
        <f>IFERROR(VLOOKUP($D1072&amp;$C1072,生产方式定位!$A$2:$E$38,5,FALSE)+VLOOKUP($E1072&amp;$C1072,生产方式定位!$F$3:$J$38,5,FALSE),"错误")</f>
        <v>1718</v>
      </c>
      <c r="Y1072" s="27" t="str">
        <f t="shared" si="272"/>
        <v/>
      </c>
      <c r="Z1072" s="50" t="str">
        <f t="shared" si="275"/>
        <v/>
      </c>
      <c r="AA1072" s="50" t="str">
        <f t="shared" si="273"/>
        <v/>
      </c>
      <c r="AB1072" s="28" t="str">
        <f t="shared" si="276"/>
        <v>13%</v>
      </c>
      <c r="AC1072" s="1">
        <f t="shared" si="277"/>
        <v>63</v>
      </c>
      <c r="AD1072" s="51">
        <f t="shared" si="274"/>
        <v>3</v>
      </c>
      <c r="AE1072" t="str">
        <f t="shared" si="278"/>
        <v/>
      </c>
      <c r="AF1072" t="str">
        <f t="shared" si="279"/>
        <v/>
      </c>
      <c r="AG1072" t="str">
        <f t="shared" si="280"/>
        <v/>
      </c>
      <c r="AH1072" t="str">
        <f t="shared" si="281"/>
        <v/>
      </c>
      <c r="AI1072" t="str">
        <f t="shared" si="282"/>
        <v/>
      </c>
      <c r="AJ1072" t="str">
        <f t="shared" si="283"/>
        <v/>
      </c>
      <c r="AK1072" t="str">
        <f t="shared" si="284"/>
        <v/>
      </c>
      <c r="AL1072" t="str">
        <f t="shared" si="285"/>
        <v/>
      </c>
      <c r="AN1072" t="str">
        <f>IFERROR(ROUND(L1072*(G1072/$AW1072)/VLOOKUP(F1072,商品!$A$4:$D$67,4,FALSE),0),"")</f>
        <v/>
      </c>
      <c r="AO1072" t="str">
        <f>IFERROR(ROUND(L1072*(I1072/$AW1072)/VLOOKUP(H1072,商品!$A$4:$D$67,4,FALSE),0),"")</f>
        <v/>
      </c>
      <c r="AP1072" t="str">
        <f>IFERROR(ROUND(L1072*(K1072/$AW1072)/VLOOKUP(J1072,商品!$A$4:$D$67,4,FALSE),0),"")</f>
        <v/>
      </c>
      <c r="AQ1072" t="str">
        <f>IFERROR(ROUND(S1072*(N1072/$AX1072)/VLOOKUP(M1072,职业!$A$3:$E$16,4,FALSE),0),"")</f>
        <v/>
      </c>
      <c r="AR1072" t="str">
        <f>IFERROR(ROUND(S1072*(P1072/$AX1072)/VLOOKUP(O1072,职业!$A$3:$E$16,4,FALSE),0),"")</f>
        <v/>
      </c>
      <c r="AS1072" t="str">
        <f>IFERROR(ROUND(S1072*(R1072/$AX1072)/VLOOKUP(Q1072,职业!$A$3:$E$16,4,FALSE),0),"")</f>
        <v/>
      </c>
      <c r="AT1072" t="str">
        <f>IFERROR(ROUND(X1072*(U1072/$AY1072)/VLOOKUP(T1072,商品!$A$4:$D$67,4,FALSE),0),"")</f>
        <v/>
      </c>
      <c r="AU1072" t="str">
        <f>IFERROR(ROUND(X1072*(W1072/$AY1072)/VLOOKUP(V1072,商品!$A$4:$D$67,4,FALSE),0),"")</f>
        <v/>
      </c>
      <c r="AW1072">
        <f t="shared" si="286"/>
        <v>0</v>
      </c>
      <c r="AX1072">
        <f t="shared" si="287"/>
        <v>0</v>
      </c>
      <c r="AY1072">
        <f t="shared" si="288"/>
        <v>0</v>
      </c>
    </row>
    <row r="1073" customHeight="1" spans="1:51">
      <c r="A1073" s="5" t="s">
        <v>480</v>
      </c>
      <c r="C1073" s="5">
        <v>4</v>
      </c>
      <c r="D1073" s="1" t="s">
        <v>220</v>
      </c>
      <c r="E1073" s="1" t="s">
        <v>222</v>
      </c>
      <c r="L1073" s="5">
        <f>IFERROR(VLOOKUP($D1073&amp;$C1073,生产方式定位!$A$2:$E$38,2,FALSE)+VLOOKUP($E1073&amp;$C1073,生产方式定位!$F$3:$J$38,2,FALSE),0)</f>
        <v>1850</v>
      </c>
      <c r="S1073" s="5">
        <f>IFERROR(VLOOKUP($D1073&amp;$C1073,生产方式定位!$A$2:$E$38,3,FALSE)+VLOOKUP($E1073&amp;$C1073,生产方式定位!$F$3:$J$38,3,FALSE),0)</f>
        <v>120</v>
      </c>
      <c r="X1073" s="5">
        <f>IFERROR(VLOOKUP($D1073&amp;$C1073,生产方式定位!$A$2:$E$38,5,FALSE)+VLOOKUP($E1073&amp;$C1073,生产方式定位!$F$3:$J$38,5,FALSE),"错误")</f>
        <v>2045</v>
      </c>
      <c r="Y1073" s="27" t="str">
        <f t="shared" si="272"/>
        <v/>
      </c>
      <c r="Z1073" s="50" t="str">
        <f t="shared" si="275"/>
        <v/>
      </c>
      <c r="AA1073" s="50" t="str">
        <f t="shared" si="273"/>
        <v/>
      </c>
      <c r="AB1073" s="28" t="str">
        <f t="shared" si="276"/>
        <v>11%</v>
      </c>
      <c r="AC1073" s="1">
        <f t="shared" si="277"/>
        <v>75</v>
      </c>
      <c r="AD1073" s="51">
        <f t="shared" si="274"/>
        <v>4</v>
      </c>
      <c r="AE1073" t="str">
        <f t="shared" si="278"/>
        <v/>
      </c>
      <c r="AF1073" t="str">
        <f t="shared" si="279"/>
        <v/>
      </c>
      <c r="AG1073" t="str">
        <f t="shared" si="280"/>
        <v/>
      </c>
      <c r="AH1073" t="str">
        <f t="shared" si="281"/>
        <v/>
      </c>
      <c r="AI1073" t="str">
        <f t="shared" si="282"/>
        <v/>
      </c>
      <c r="AJ1073" t="str">
        <f t="shared" si="283"/>
        <v/>
      </c>
      <c r="AK1073" t="str">
        <f t="shared" si="284"/>
        <v/>
      </c>
      <c r="AL1073" t="str">
        <f t="shared" si="285"/>
        <v/>
      </c>
      <c r="AN1073" t="str">
        <f>IFERROR(ROUND(L1073*(G1073/$AW1073)/VLOOKUP(F1073,商品!$A$4:$D$67,4,FALSE),0),"")</f>
        <v/>
      </c>
      <c r="AO1073" t="str">
        <f>IFERROR(ROUND(L1073*(I1073/$AW1073)/VLOOKUP(H1073,商品!$A$4:$D$67,4,FALSE),0),"")</f>
        <v/>
      </c>
      <c r="AP1073" t="str">
        <f>IFERROR(ROUND(L1073*(K1073/$AW1073)/VLOOKUP(J1073,商品!$A$4:$D$67,4,FALSE),0),"")</f>
        <v/>
      </c>
      <c r="AQ1073" t="str">
        <f>IFERROR(ROUND(S1073*(N1073/$AX1073)/VLOOKUP(M1073,职业!$A$3:$E$16,4,FALSE),0),"")</f>
        <v/>
      </c>
      <c r="AR1073" t="str">
        <f>IFERROR(ROUND(S1073*(P1073/$AX1073)/VLOOKUP(O1073,职业!$A$3:$E$16,4,FALSE),0),"")</f>
        <v/>
      </c>
      <c r="AS1073" t="str">
        <f>IFERROR(ROUND(S1073*(R1073/$AX1073)/VLOOKUP(Q1073,职业!$A$3:$E$16,4,FALSE),0),"")</f>
        <v/>
      </c>
      <c r="AT1073" t="str">
        <f>IFERROR(ROUND(X1073*(U1073/$AY1073)/VLOOKUP(T1073,商品!$A$4:$D$67,4,FALSE),0),"")</f>
        <v/>
      </c>
      <c r="AU1073" t="str">
        <f>IFERROR(ROUND(X1073*(W1073/$AY1073)/VLOOKUP(V1073,商品!$A$4:$D$67,4,FALSE),0),"")</f>
        <v/>
      </c>
      <c r="AW1073">
        <f t="shared" si="286"/>
        <v>0</v>
      </c>
      <c r="AX1073">
        <f t="shared" si="287"/>
        <v>0</v>
      </c>
      <c r="AY1073">
        <f t="shared" si="288"/>
        <v>0</v>
      </c>
    </row>
    <row r="1074" customHeight="1" spans="1:51">
      <c r="A1074" s="5" t="s">
        <v>480</v>
      </c>
      <c r="C1074" s="5">
        <v>5</v>
      </c>
      <c r="D1074" s="1" t="s">
        <v>220</v>
      </c>
      <c r="E1074" s="1" t="s">
        <v>222</v>
      </c>
      <c r="L1074" s="5">
        <f>IFERROR(VLOOKUP($D1074&amp;$C1074,生产方式定位!$A$2:$E$38,2,FALSE)+VLOOKUP($E1074&amp;$C1074,生产方式定位!$F$3:$J$38,2,FALSE),0)</f>
        <v>2175</v>
      </c>
      <c r="S1074" s="5">
        <f>IFERROR(VLOOKUP($D1074&amp;$C1074,生产方式定位!$A$2:$E$38,3,FALSE)+VLOOKUP($E1074&amp;$C1074,生产方式定位!$F$3:$J$38,3,FALSE),0)</f>
        <v>110</v>
      </c>
      <c r="X1074" s="5">
        <f>IFERROR(VLOOKUP($D1074&amp;$C1074,生产方式定位!$A$2:$E$38,5,FALSE)+VLOOKUP($E1074&amp;$C1074,生产方式定位!$F$3:$J$38,5,FALSE),"错误")</f>
        <v>2373</v>
      </c>
      <c r="Y1074" s="27" t="str">
        <f t="shared" si="272"/>
        <v/>
      </c>
      <c r="Z1074" s="50" t="str">
        <f t="shared" si="275"/>
        <v/>
      </c>
      <c r="AA1074" s="50" t="str">
        <f t="shared" si="273"/>
        <v/>
      </c>
      <c r="AB1074" s="28" t="str">
        <f t="shared" si="276"/>
        <v>9%</v>
      </c>
      <c r="AC1074" s="1">
        <f t="shared" si="277"/>
        <v>88</v>
      </c>
      <c r="AD1074" s="51">
        <f t="shared" si="274"/>
        <v>5</v>
      </c>
      <c r="AE1074" t="str">
        <f t="shared" si="278"/>
        <v/>
      </c>
      <c r="AF1074" t="str">
        <f t="shared" si="279"/>
        <v/>
      </c>
      <c r="AG1074" t="str">
        <f t="shared" si="280"/>
        <v/>
      </c>
      <c r="AH1074" t="str">
        <f t="shared" si="281"/>
        <v/>
      </c>
      <c r="AI1074" t="str">
        <f t="shared" si="282"/>
        <v/>
      </c>
      <c r="AJ1074" t="str">
        <f t="shared" si="283"/>
        <v/>
      </c>
      <c r="AK1074" t="str">
        <f t="shared" si="284"/>
        <v/>
      </c>
      <c r="AL1074" t="str">
        <f t="shared" si="285"/>
        <v/>
      </c>
      <c r="AN1074" t="str">
        <f>IFERROR(ROUND(L1074*(G1074/$AW1074)/VLOOKUP(F1074,商品!$A$4:$D$67,4,FALSE),0),"")</f>
        <v/>
      </c>
      <c r="AO1074" t="str">
        <f>IFERROR(ROUND(L1074*(I1074/$AW1074)/VLOOKUP(H1074,商品!$A$4:$D$67,4,FALSE),0),"")</f>
        <v/>
      </c>
      <c r="AP1074" t="str">
        <f>IFERROR(ROUND(L1074*(K1074/$AW1074)/VLOOKUP(J1074,商品!$A$4:$D$67,4,FALSE),0),"")</f>
        <v/>
      </c>
      <c r="AQ1074" t="str">
        <f>IFERROR(ROUND(S1074*(N1074/$AX1074)/VLOOKUP(M1074,职业!$A$3:$E$16,4,FALSE),0),"")</f>
        <v/>
      </c>
      <c r="AR1074" t="str">
        <f>IFERROR(ROUND(S1074*(P1074/$AX1074)/VLOOKUP(O1074,职业!$A$3:$E$16,4,FALSE),0),"")</f>
        <v/>
      </c>
      <c r="AS1074" t="str">
        <f>IFERROR(ROUND(S1074*(R1074/$AX1074)/VLOOKUP(Q1074,职业!$A$3:$E$16,4,FALSE),0),"")</f>
        <v/>
      </c>
      <c r="AT1074" t="str">
        <f>IFERROR(ROUND(X1074*(U1074/$AY1074)/VLOOKUP(T1074,商品!$A$4:$D$67,4,FALSE),0),"")</f>
        <v/>
      </c>
      <c r="AU1074" t="str">
        <f>IFERROR(ROUND(X1074*(W1074/$AY1074)/VLOOKUP(V1074,商品!$A$4:$D$67,4,FALSE),0),"")</f>
        <v/>
      </c>
      <c r="AW1074">
        <f t="shared" si="286"/>
        <v>0</v>
      </c>
      <c r="AX1074">
        <f t="shared" si="287"/>
        <v>0</v>
      </c>
      <c r="AY1074">
        <f t="shared" si="288"/>
        <v>0</v>
      </c>
    </row>
    <row r="1075" customHeight="1" spans="1:51">
      <c r="A1075" s="18" t="s">
        <v>481</v>
      </c>
      <c r="C1075" s="18">
        <v>1</v>
      </c>
      <c r="D1075" s="1" t="s">
        <v>220</v>
      </c>
      <c r="E1075" s="1" t="s">
        <v>224</v>
      </c>
      <c r="L1075" s="18">
        <f>IFERROR(VLOOKUP($D1075&amp;$C1075,生产方式定位!$A$2:$E$38,2,FALSE)+VLOOKUP($E1075&amp;$C1075,生产方式定位!$F$3:$J$38,2,FALSE),0)</f>
        <v>500</v>
      </c>
      <c r="S1075" s="18">
        <f>IFERROR(VLOOKUP($D1075&amp;$C1075,生产方式定位!$A$2:$E$38,3,FALSE)+VLOOKUP($E1075&amp;$C1075,生产方式定位!$F$3:$J$38,3,FALSE),0)</f>
        <v>150</v>
      </c>
      <c r="X1075" s="18">
        <f>IFERROR(VLOOKUP($D1075&amp;$C1075,生产方式定位!$A$2:$E$38,5,FALSE)+VLOOKUP($E1075&amp;$C1075,生产方式定位!$F$3:$J$38,5,FALSE),"错误")</f>
        <v>715</v>
      </c>
      <c r="Y1075" s="27" t="str">
        <f t="shared" si="272"/>
        <v/>
      </c>
      <c r="Z1075" s="50" t="str">
        <f t="shared" si="275"/>
        <v/>
      </c>
      <c r="AA1075" s="50" t="str">
        <f t="shared" si="273"/>
        <v/>
      </c>
      <c r="AB1075" s="28" t="str">
        <f t="shared" si="276"/>
        <v>43%</v>
      </c>
      <c r="AC1075" s="1">
        <f t="shared" si="277"/>
        <v>65</v>
      </c>
      <c r="AD1075" s="52">
        <f t="shared" si="274"/>
        <v>1</v>
      </c>
      <c r="AE1075" t="str">
        <f t="shared" si="278"/>
        <v/>
      </c>
      <c r="AF1075" t="str">
        <f t="shared" si="279"/>
        <v/>
      </c>
      <c r="AG1075" t="str">
        <f t="shared" si="280"/>
        <v/>
      </c>
      <c r="AH1075" t="str">
        <f t="shared" si="281"/>
        <v/>
      </c>
      <c r="AI1075" t="str">
        <f t="shared" si="282"/>
        <v/>
      </c>
      <c r="AJ1075" t="str">
        <f t="shared" si="283"/>
        <v/>
      </c>
      <c r="AK1075" t="str">
        <f t="shared" si="284"/>
        <v/>
      </c>
      <c r="AL1075" t="str">
        <f t="shared" si="285"/>
        <v/>
      </c>
      <c r="AN1075" t="str">
        <f>IFERROR(ROUND(L1075*(G1075/$AW1075)/VLOOKUP(F1075,商品!$A$4:$D$67,4,FALSE),0),"")</f>
        <v/>
      </c>
      <c r="AO1075" t="str">
        <f>IFERROR(ROUND(L1075*(I1075/$AW1075)/VLOOKUP(H1075,商品!$A$4:$D$67,4,FALSE),0),"")</f>
        <v/>
      </c>
      <c r="AP1075" t="str">
        <f>IFERROR(ROUND(L1075*(K1075/$AW1075)/VLOOKUP(J1075,商品!$A$4:$D$67,4,FALSE),0),"")</f>
        <v/>
      </c>
      <c r="AQ1075" t="str">
        <f>IFERROR(ROUND(S1075*(N1075/$AX1075)/VLOOKUP(M1075,职业!$A$3:$E$16,4,FALSE),0),"")</f>
        <v/>
      </c>
      <c r="AR1075" t="str">
        <f>IFERROR(ROUND(S1075*(P1075/$AX1075)/VLOOKUP(O1075,职业!$A$3:$E$16,4,FALSE),0),"")</f>
        <v/>
      </c>
      <c r="AS1075" t="str">
        <f>IFERROR(ROUND(S1075*(R1075/$AX1075)/VLOOKUP(Q1075,职业!$A$3:$E$16,4,FALSE),0),"")</f>
        <v/>
      </c>
      <c r="AT1075" t="str">
        <f>IFERROR(ROUND(X1075*(U1075/$AY1075)/VLOOKUP(T1075,商品!$A$4:$D$67,4,FALSE),0),"")</f>
        <v/>
      </c>
      <c r="AU1075" t="str">
        <f>IFERROR(ROUND(X1075*(W1075/$AY1075)/VLOOKUP(V1075,商品!$A$4:$D$67,4,FALSE),0),"")</f>
        <v/>
      </c>
      <c r="AW1075">
        <f t="shared" si="286"/>
        <v>0</v>
      </c>
      <c r="AX1075">
        <f t="shared" si="287"/>
        <v>0</v>
      </c>
      <c r="AY1075">
        <f t="shared" si="288"/>
        <v>0</v>
      </c>
    </row>
    <row r="1076" customHeight="1" spans="1:51">
      <c r="A1076" s="18" t="s">
        <v>481</v>
      </c>
      <c r="C1076" s="18">
        <v>2</v>
      </c>
      <c r="D1076" s="1" t="s">
        <v>220</v>
      </c>
      <c r="E1076" s="1" t="s">
        <v>224</v>
      </c>
      <c r="L1076" s="18">
        <f>IFERROR(VLOOKUP($D1076&amp;$C1076,生产方式定位!$A$2:$E$38,2,FALSE)+VLOOKUP($E1076&amp;$C1076,生产方式定位!$F$3:$J$38,2,FALSE),0)</f>
        <v>1200</v>
      </c>
      <c r="S1076" s="18">
        <f>IFERROR(VLOOKUP($D1076&amp;$C1076,生产方式定位!$A$2:$E$38,3,FALSE)+VLOOKUP($E1076&amp;$C1076,生产方式定位!$F$3:$J$38,3,FALSE),0)</f>
        <v>100</v>
      </c>
      <c r="X1076" s="18">
        <f>IFERROR(VLOOKUP($D1076&amp;$C1076,生产方式定位!$A$2:$E$38,5,FALSE)+VLOOKUP($E1076&amp;$C1076,生产方式定位!$F$3:$J$38,5,FALSE),"错误")</f>
        <v>1346</v>
      </c>
      <c r="Y1076" s="27" t="str">
        <f t="shared" si="272"/>
        <v/>
      </c>
      <c r="Z1076" s="50" t="str">
        <f t="shared" si="275"/>
        <v/>
      </c>
      <c r="AA1076" s="50" t="str">
        <f t="shared" si="273"/>
        <v/>
      </c>
      <c r="AB1076" s="28" t="str">
        <f t="shared" si="276"/>
        <v>12%</v>
      </c>
      <c r="AC1076" s="1">
        <f t="shared" si="277"/>
        <v>46</v>
      </c>
      <c r="AD1076" s="52">
        <f t="shared" si="274"/>
        <v>2</v>
      </c>
      <c r="AE1076" t="str">
        <f t="shared" si="278"/>
        <v/>
      </c>
      <c r="AF1076" t="str">
        <f t="shared" si="279"/>
        <v/>
      </c>
      <c r="AG1076" t="str">
        <f t="shared" si="280"/>
        <v/>
      </c>
      <c r="AH1076" t="str">
        <f t="shared" si="281"/>
        <v/>
      </c>
      <c r="AI1076" t="str">
        <f t="shared" si="282"/>
        <v/>
      </c>
      <c r="AJ1076" t="str">
        <f t="shared" si="283"/>
        <v/>
      </c>
      <c r="AK1076" t="str">
        <f t="shared" si="284"/>
        <v/>
      </c>
      <c r="AL1076" t="str">
        <f t="shared" si="285"/>
        <v/>
      </c>
      <c r="AN1076" t="str">
        <f>IFERROR(ROUND(L1076*(G1076/$AW1076)/VLOOKUP(F1076,商品!$A$4:$D$67,4,FALSE),0),"")</f>
        <v/>
      </c>
      <c r="AO1076" t="str">
        <f>IFERROR(ROUND(L1076*(I1076/$AW1076)/VLOOKUP(H1076,商品!$A$4:$D$67,4,FALSE),0),"")</f>
        <v/>
      </c>
      <c r="AP1076" t="str">
        <f>IFERROR(ROUND(L1076*(K1076/$AW1076)/VLOOKUP(J1076,商品!$A$4:$D$67,4,FALSE),0),"")</f>
        <v/>
      </c>
      <c r="AQ1076" t="str">
        <f>IFERROR(ROUND(S1076*(N1076/$AX1076)/VLOOKUP(M1076,职业!$A$3:$E$16,4,FALSE),0),"")</f>
        <v/>
      </c>
      <c r="AR1076" t="str">
        <f>IFERROR(ROUND(S1076*(P1076/$AX1076)/VLOOKUP(O1076,职业!$A$3:$E$16,4,FALSE),0),"")</f>
        <v/>
      </c>
      <c r="AS1076" t="str">
        <f>IFERROR(ROUND(S1076*(R1076/$AX1076)/VLOOKUP(Q1076,职业!$A$3:$E$16,4,FALSE),0),"")</f>
        <v/>
      </c>
      <c r="AT1076" t="str">
        <f>IFERROR(ROUND(X1076*(U1076/$AY1076)/VLOOKUP(T1076,商品!$A$4:$D$67,4,FALSE),0),"")</f>
        <v/>
      </c>
      <c r="AU1076" t="str">
        <f>IFERROR(ROUND(X1076*(W1076/$AY1076)/VLOOKUP(V1076,商品!$A$4:$D$67,4,FALSE),0),"")</f>
        <v/>
      </c>
      <c r="AW1076">
        <f t="shared" si="286"/>
        <v>0</v>
      </c>
      <c r="AX1076">
        <f t="shared" si="287"/>
        <v>0</v>
      </c>
      <c r="AY1076">
        <f t="shared" si="288"/>
        <v>0</v>
      </c>
    </row>
    <row r="1077" customHeight="1" spans="1:51">
      <c r="A1077" s="18" t="s">
        <v>481</v>
      </c>
      <c r="C1077" s="18">
        <v>3</v>
      </c>
      <c r="D1077" s="1" t="s">
        <v>220</v>
      </c>
      <c r="E1077" s="1" t="s">
        <v>224</v>
      </c>
      <c r="L1077" s="18">
        <f>IFERROR(VLOOKUP($D1077&amp;$C1077,生产方式定位!$A$2:$E$38,2,FALSE)+VLOOKUP($E1077&amp;$C1077,生产方式定位!$F$3:$J$38,2,FALSE),0)</f>
        <v>1900</v>
      </c>
      <c r="S1077" s="18">
        <f>IFERROR(VLOOKUP($D1077&amp;$C1077,生产方式定位!$A$2:$E$38,3,FALSE)+VLOOKUP($E1077&amp;$C1077,生产方式定位!$F$3:$J$38,3,FALSE),0)</f>
        <v>70</v>
      </c>
      <c r="X1077" s="18">
        <f>IFERROR(VLOOKUP($D1077&amp;$C1077,生产方式定位!$A$2:$E$38,5,FALSE)+VLOOKUP($E1077&amp;$C1077,生产方式定位!$F$3:$J$38,5,FALSE),"错误")</f>
        <v>2064</v>
      </c>
      <c r="Y1077" s="27" t="str">
        <f t="shared" si="272"/>
        <v/>
      </c>
      <c r="Z1077" s="50" t="str">
        <f t="shared" si="275"/>
        <v/>
      </c>
      <c r="AA1077" s="50" t="str">
        <f t="shared" si="273"/>
        <v/>
      </c>
      <c r="AB1077" s="28" t="str">
        <f t="shared" si="276"/>
        <v>9%</v>
      </c>
      <c r="AC1077" s="1">
        <f t="shared" si="277"/>
        <v>94</v>
      </c>
      <c r="AD1077" s="52">
        <f t="shared" si="274"/>
        <v>3</v>
      </c>
      <c r="AE1077" t="str">
        <f t="shared" si="278"/>
        <v/>
      </c>
      <c r="AF1077" t="str">
        <f t="shared" si="279"/>
        <v/>
      </c>
      <c r="AG1077" t="str">
        <f t="shared" si="280"/>
        <v/>
      </c>
      <c r="AH1077" t="str">
        <f t="shared" si="281"/>
        <v/>
      </c>
      <c r="AI1077" t="str">
        <f t="shared" si="282"/>
        <v/>
      </c>
      <c r="AJ1077" t="str">
        <f t="shared" si="283"/>
        <v/>
      </c>
      <c r="AK1077" t="str">
        <f t="shared" si="284"/>
        <v/>
      </c>
      <c r="AL1077" t="str">
        <f t="shared" si="285"/>
        <v/>
      </c>
      <c r="AN1077" t="str">
        <f>IFERROR(ROUND(L1077*(G1077/$AW1077)/VLOOKUP(F1077,商品!$A$4:$D$67,4,FALSE),0),"")</f>
        <v/>
      </c>
      <c r="AO1077" t="str">
        <f>IFERROR(ROUND(L1077*(I1077/$AW1077)/VLOOKUP(H1077,商品!$A$4:$D$67,4,FALSE),0),"")</f>
        <v/>
      </c>
      <c r="AP1077" t="str">
        <f>IFERROR(ROUND(L1077*(K1077/$AW1077)/VLOOKUP(J1077,商品!$A$4:$D$67,4,FALSE),0),"")</f>
        <v/>
      </c>
      <c r="AQ1077" t="str">
        <f>IFERROR(ROUND(S1077*(N1077/$AX1077)/VLOOKUP(M1077,职业!$A$3:$E$16,4,FALSE),0),"")</f>
        <v/>
      </c>
      <c r="AR1077" t="str">
        <f>IFERROR(ROUND(S1077*(P1077/$AX1077)/VLOOKUP(O1077,职业!$A$3:$E$16,4,FALSE),0),"")</f>
        <v/>
      </c>
      <c r="AS1077" t="str">
        <f>IFERROR(ROUND(S1077*(R1077/$AX1077)/VLOOKUP(Q1077,职业!$A$3:$E$16,4,FALSE),0),"")</f>
        <v/>
      </c>
      <c r="AT1077" t="str">
        <f>IFERROR(ROUND(X1077*(U1077/$AY1077)/VLOOKUP(T1077,商品!$A$4:$D$67,4,FALSE),0),"")</f>
        <v/>
      </c>
      <c r="AU1077" t="str">
        <f>IFERROR(ROUND(X1077*(W1077/$AY1077)/VLOOKUP(V1077,商品!$A$4:$D$67,4,FALSE),0),"")</f>
        <v/>
      </c>
      <c r="AW1077">
        <f t="shared" si="286"/>
        <v>0</v>
      </c>
      <c r="AX1077">
        <f t="shared" si="287"/>
        <v>0</v>
      </c>
      <c r="AY1077">
        <f t="shared" si="288"/>
        <v>0</v>
      </c>
    </row>
    <row r="1078" customHeight="1" spans="1:51">
      <c r="A1078" s="18" t="s">
        <v>481</v>
      </c>
      <c r="C1078" s="18">
        <v>4</v>
      </c>
      <c r="D1078" s="1" t="s">
        <v>220</v>
      </c>
      <c r="E1078" s="1" t="s">
        <v>224</v>
      </c>
      <c r="L1078" s="18">
        <f>IFERROR(VLOOKUP($D1078&amp;$C1078,生产方式定位!$A$2:$E$38,2,FALSE)+VLOOKUP($E1078&amp;$C1078,生产方式定位!$F$3:$J$38,2,FALSE),0)</f>
        <v>2600</v>
      </c>
      <c r="S1078" s="18">
        <f>IFERROR(VLOOKUP($D1078&amp;$C1078,生产方式定位!$A$2:$E$38,3,FALSE)+VLOOKUP($E1078&amp;$C1078,生产方式定位!$F$3:$J$38,3,FALSE),0)</f>
        <v>40</v>
      </c>
      <c r="X1078" s="18">
        <f>IFERROR(VLOOKUP($D1078&amp;$C1078,生产方式定位!$A$2:$E$38,5,FALSE)+VLOOKUP($E1078&amp;$C1078,生产方式定位!$F$3:$J$38,5,FALSE),"错误")</f>
        <v>2782</v>
      </c>
      <c r="Y1078" s="27" t="str">
        <f t="shared" si="272"/>
        <v/>
      </c>
      <c r="Z1078" s="50" t="str">
        <f t="shared" si="275"/>
        <v/>
      </c>
      <c r="AA1078" s="50" t="str">
        <f t="shared" si="273"/>
        <v/>
      </c>
      <c r="AB1078" s="28" t="str">
        <f t="shared" si="276"/>
        <v>7%</v>
      </c>
      <c r="AC1078" s="1">
        <f t="shared" si="277"/>
        <v>142</v>
      </c>
      <c r="AD1078" s="52">
        <f t="shared" si="274"/>
        <v>4</v>
      </c>
      <c r="AE1078" t="str">
        <f t="shared" si="278"/>
        <v/>
      </c>
      <c r="AF1078" t="str">
        <f t="shared" si="279"/>
        <v/>
      </c>
      <c r="AG1078" t="str">
        <f t="shared" si="280"/>
        <v/>
      </c>
      <c r="AH1078" t="str">
        <f t="shared" si="281"/>
        <v/>
      </c>
      <c r="AI1078" t="str">
        <f t="shared" si="282"/>
        <v/>
      </c>
      <c r="AJ1078" t="str">
        <f t="shared" si="283"/>
        <v/>
      </c>
      <c r="AK1078" t="str">
        <f t="shared" si="284"/>
        <v/>
      </c>
      <c r="AL1078" t="str">
        <f t="shared" si="285"/>
        <v/>
      </c>
      <c r="AN1078" t="str">
        <f>IFERROR(ROUND(L1078*(G1078/$AW1078)/VLOOKUP(F1078,商品!$A$4:$D$67,4,FALSE),0),"")</f>
        <v/>
      </c>
      <c r="AO1078" t="str">
        <f>IFERROR(ROUND(L1078*(I1078/$AW1078)/VLOOKUP(H1078,商品!$A$4:$D$67,4,FALSE),0),"")</f>
        <v/>
      </c>
      <c r="AP1078" t="str">
        <f>IFERROR(ROUND(L1078*(K1078/$AW1078)/VLOOKUP(J1078,商品!$A$4:$D$67,4,FALSE),0),"")</f>
        <v/>
      </c>
      <c r="AQ1078" t="str">
        <f>IFERROR(ROUND(S1078*(N1078/$AX1078)/VLOOKUP(M1078,职业!$A$3:$E$16,4,FALSE),0),"")</f>
        <v/>
      </c>
      <c r="AR1078" t="str">
        <f>IFERROR(ROUND(S1078*(P1078/$AX1078)/VLOOKUP(O1078,职业!$A$3:$E$16,4,FALSE),0),"")</f>
        <v/>
      </c>
      <c r="AS1078" t="str">
        <f>IFERROR(ROUND(S1078*(R1078/$AX1078)/VLOOKUP(Q1078,职业!$A$3:$E$16,4,FALSE),0),"")</f>
        <v/>
      </c>
      <c r="AT1078" t="str">
        <f>IFERROR(ROUND(X1078*(U1078/$AY1078)/VLOOKUP(T1078,商品!$A$4:$D$67,4,FALSE),0),"")</f>
        <v/>
      </c>
      <c r="AU1078" t="str">
        <f>IFERROR(ROUND(X1078*(W1078/$AY1078)/VLOOKUP(V1078,商品!$A$4:$D$67,4,FALSE),0),"")</f>
        <v/>
      </c>
      <c r="AW1078">
        <f t="shared" si="286"/>
        <v>0</v>
      </c>
      <c r="AX1078">
        <f t="shared" si="287"/>
        <v>0</v>
      </c>
      <c r="AY1078">
        <f t="shared" si="288"/>
        <v>0</v>
      </c>
    </row>
    <row r="1079" customHeight="1" spans="1:51">
      <c r="A1079" s="18" t="s">
        <v>481</v>
      </c>
      <c r="C1079" s="18">
        <v>5</v>
      </c>
      <c r="D1079" s="1" t="s">
        <v>220</v>
      </c>
      <c r="E1079" s="1" t="s">
        <v>224</v>
      </c>
      <c r="L1079" s="18">
        <f>IFERROR(VLOOKUP($D1079&amp;$C1079,生产方式定位!$A$2:$E$38,2,FALSE)+VLOOKUP($E1079&amp;$C1079,生产方式定位!$F$3:$J$38,2,FALSE),0)</f>
        <v>3300</v>
      </c>
      <c r="S1079" s="18">
        <f>IFERROR(VLOOKUP($D1079&amp;$C1079,生产方式定位!$A$2:$E$38,3,FALSE)+VLOOKUP($E1079&amp;$C1079,生产方式定位!$F$3:$J$38,3,FALSE),0)</f>
        <v>10</v>
      </c>
      <c r="X1079" s="18">
        <f>IFERROR(VLOOKUP($D1079&amp;$C1079,生产方式定位!$A$2:$E$38,5,FALSE)+VLOOKUP($E1079&amp;$C1079,生产方式定位!$F$3:$J$38,5,FALSE),"错误")</f>
        <v>3500</v>
      </c>
      <c r="Y1079" s="27" t="str">
        <f t="shared" si="272"/>
        <v/>
      </c>
      <c r="Z1079" s="50" t="str">
        <f t="shared" si="275"/>
        <v/>
      </c>
      <c r="AA1079" s="50" t="str">
        <f t="shared" si="273"/>
        <v/>
      </c>
      <c r="AB1079" s="28" t="str">
        <f t="shared" si="276"/>
        <v>6%</v>
      </c>
      <c r="AC1079" s="1">
        <f t="shared" si="277"/>
        <v>190</v>
      </c>
      <c r="AD1079" s="52">
        <f t="shared" si="274"/>
        <v>5</v>
      </c>
      <c r="AE1079" t="str">
        <f t="shared" si="278"/>
        <v/>
      </c>
      <c r="AF1079" t="str">
        <f t="shared" si="279"/>
        <v/>
      </c>
      <c r="AG1079" t="str">
        <f t="shared" si="280"/>
        <v/>
      </c>
      <c r="AH1079" t="str">
        <f t="shared" si="281"/>
        <v/>
      </c>
      <c r="AI1079" t="str">
        <f t="shared" si="282"/>
        <v/>
      </c>
      <c r="AJ1079" t="str">
        <f t="shared" si="283"/>
        <v/>
      </c>
      <c r="AK1079" t="str">
        <f t="shared" si="284"/>
        <v/>
      </c>
      <c r="AL1079" t="str">
        <f t="shared" si="285"/>
        <v/>
      </c>
      <c r="AN1079" t="str">
        <f>IFERROR(ROUND(L1079*(G1079/$AW1079)/VLOOKUP(F1079,商品!$A$4:$D$67,4,FALSE),0),"")</f>
        <v/>
      </c>
      <c r="AO1079" t="str">
        <f>IFERROR(ROUND(L1079*(I1079/$AW1079)/VLOOKUP(H1079,商品!$A$4:$D$67,4,FALSE),0),"")</f>
        <v/>
      </c>
      <c r="AP1079" t="str">
        <f>IFERROR(ROUND(L1079*(K1079/$AW1079)/VLOOKUP(J1079,商品!$A$4:$D$67,4,FALSE),0),"")</f>
        <v/>
      </c>
      <c r="AQ1079" t="str">
        <f>IFERROR(ROUND(S1079*(N1079/$AX1079)/VLOOKUP(M1079,职业!$A$3:$E$16,4,FALSE),0),"")</f>
        <v/>
      </c>
      <c r="AR1079" t="str">
        <f>IFERROR(ROUND(S1079*(P1079/$AX1079)/VLOOKUP(O1079,职业!$A$3:$E$16,4,FALSE),0),"")</f>
        <v/>
      </c>
      <c r="AS1079" t="str">
        <f>IFERROR(ROUND(S1079*(R1079/$AX1079)/VLOOKUP(Q1079,职业!$A$3:$E$16,4,FALSE),0),"")</f>
        <v/>
      </c>
      <c r="AT1079" t="str">
        <f>IFERROR(ROUND(X1079*(U1079/$AY1079)/VLOOKUP(T1079,商品!$A$4:$D$67,4,FALSE),0),"")</f>
        <v/>
      </c>
      <c r="AU1079" t="str">
        <f>IFERROR(ROUND(X1079*(W1079/$AY1079)/VLOOKUP(V1079,商品!$A$4:$D$67,4,FALSE),0),"")</f>
        <v/>
      </c>
      <c r="AW1079">
        <f t="shared" si="286"/>
        <v>0</v>
      </c>
      <c r="AX1079">
        <f t="shared" si="287"/>
        <v>0</v>
      </c>
      <c r="AY1079">
        <f t="shared" si="288"/>
        <v>0</v>
      </c>
    </row>
    <row r="1080" customHeight="1" spans="1:51">
      <c r="A1080" s="5" t="s">
        <v>481</v>
      </c>
      <c r="C1080" s="5">
        <v>1</v>
      </c>
      <c r="D1080" s="1" t="s">
        <v>220</v>
      </c>
      <c r="E1080" s="1" t="s">
        <v>224</v>
      </c>
      <c r="L1080" s="5">
        <f>IFERROR(VLOOKUP($D1080&amp;$C1080,生产方式定位!$A$2:$E$38,2,FALSE)+VLOOKUP($E1080&amp;$C1080,生产方式定位!$F$3:$J$38,2,FALSE),0)</f>
        <v>500</v>
      </c>
      <c r="S1080" s="5">
        <f>IFERROR(VLOOKUP($D1080&amp;$C1080,生产方式定位!$A$2:$E$38,3,FALSE)+VLOOKUP($E1080&amp;$C1080,生产方式定位!$F$3:$J$38,3,FALSE),0)</f>
        <v>150</v>
      </c>
      <c r="X1080" s="5">
        <f>IFERROR(VLOOKUP($D1080&amp;$C1080,生产方式定位!$A$2:$E$38,5,FALSE)+VLOOKUP($E1080&amp;$C1080,生产方式定位!$F$3:$J$38,5,FALSE),"错误")</f>
        <v>715</v>
      </c>
      <c r="Y1080" s="27" t="str">
        <f t="shared" si="272"/>
        <v/>
      </c>
      <c r="Z1080" s="50" t="str">
        <f t="shared" si="275"/>
        <v/>
      </c>
      <c r="AA1080" s="50" t="str">
        <f t="shared" si="273"/>
        <v/>
      </c>
      <c r="AB1080" s="28" t="str">
        <f t="shared" si="276"/>
        <v>43%</v>
      </c>
      <c r="AC1080" s="1">
        <f t="shared" si="277"/>
        <v>65</v>
      </c>
      <c r="AD1080" s="51">
        <f t="shared" si="274"/>
        <v>1</v>
      </c>
      <c r="AE1080" t="str">
        <f t="shared" si="278"/>
        <v/>
      </c>
      <c r="AF1080" t="str">
        <f t="shared" si="279"/>
        <v/>
      </c>
      <c r="AG1080" t="str">
        <f t="shared" si="280"/>
        <v/>
      </c>
      <c r="AH1080" t="str">
        <f t="shared" si="281"/>
        <v/>
      </c>
      <c r="AI1080" t="str">
        <f t="shared" si="282"/>
        <v/>
      </c>
      <c r="AJ1080" t="str">
        <f t="shared" si="283"/>
        <v/>
      </c>
      <c r="AK1080" t="str">
        <f t="shared" si="284"/>
        <v/>
      </c>
      <c r="AL1080" t="str">
        <f t="shared" si="285"/>
        <v/>
      </c>
      <c r="AN1080" t="str">
        <f>IFERROR(ROUND(L1080*(G1080/$AW1080)/VLOOKUP(F1080,商品!$A$4:$D$67,4,FALSE),0),"")</f>
        <v/>
      </c>
      <c r="AO1080" t="str">
        <f>IFERROR(ROUND(L1080*(I1080/$AW1080)/VLOOKUP(H1080,商品!$A$4:$D$67,4,FALSE),0),"")</f>
        <v/>
      </c>
      <c r="AP1080" t="str">
        <f>IFERROR(ROUND(L1080*(K1080/$AW1080)/VLOOKUP(J1080,商品!$A$4:$D$67,4,FALSE),0),"")</f>
        <v/>
      </c>
      <c r="AQ1080" t="str">
        <f>IFERROR(ROUND(S1080*(N1080/$AX1080)/VLOOKUP(M1080,职业!$A$3:$E$16,4,FALSE),0),"")</f>
        <v/>
      </c>
      <c r="AR1080" t="str">
        <f>IFERROR(ROUND(S1080*(P1080/$AX1080)/VLOOKUP(O1080,职业!$A$3:$E$16,4,FALSE),0),"")</f>
        <v/>
      </c>
      <c r="AS1080" t="str">
        <f>IFERROR(ROUND(S1080*(R1080/$AX1080)/VLOOKUP(Q1080,职业!$A$3:$E$16,4,FALSE),0),"")</f>
        <v/>
      </c>
      <c r="AT1080" t="str">
        <f>IFERROR(ROUND(X1080*(U1080/$AY1080)/VLOOKUP(T1080,商品!$A$4:$D$67,4,FALSE),0),"")</f>
        <v/>
      </c>
      <c r="AU1080" t="str">
        <f>IFERROR(ROUND(X1080*(W1080/$AY1080)/VLOOKUP(V1080,商品!$A$4:$D$67,4,FALSE),0),"")</f>
        <v/>
      </c>
      <c r="AW1080">
        <f t="shared" si="286"/>
        <v>0</v>
      </c>
      <c r="AX1080">
        <f t="shared" si="287"/>
        <v>0</v>
      </c>
      <c r="AY1080">
        <f t="shared" si="288"/>
        <v>0</v>
      </c>
    </row>
    <row r="1081" customHeight="1" spans="1:51">
      <c r="A1081" s="5" t="s">
        <v>481</v>
      </c>
      <c r="C1081" s="5">
        <v>2</v>
      </c>
      <c r="D1081" s="1" t="s">
        <v>220</v>
      </c>
      <c r="E1081" s="1" t="s">
        <v>224</v>
      </c>
      <c r="L1081" s="5">
        <f>IFERROR(VLOOKUP($D1081&amp;$C1081,生产方式定位!$A$2:$E$38,2,FALSE)+VLOOKUP($E1081&amp;$C1081,生产方式定位!$F$3:$J$38,2,FALSE),0)</f>
        <v>1200</v>
      </c>
      <c r="S1081" s="5">
        <f>IFERROR(VLOOKUP($D1081&amp;$C1081,生产方式定位!$A$2:$E$38,3,FALSE)+VLOOKUP($E1081&amp;$C1081,生产方式定位!$F$3:$J$38,3,FALSE),0)</f>
        <v>100</v>
      </c>
      <c r="X1081" s="5">
        <f>IFERROR(VLOOKUP($D1081&amp;$C1081,生产方式定位!$A$2:$E$38,5,FALSE)+VLOOKUP($E1081&amp;$C1081,生产方式定位!$F$3:$J$38,5,FALSE),"错误")</f>
        <v>1346</v>
      </c>
      <c r="Y1081" s="27" t="str">
        <f t="shared" si="272"/>
        <v/>
      </c>
      <c r="Z1081" s="50" t="str">
        <f t="shared" si="275"/>
        <v/>
      </c>
      <c r="AA1081" s="50" t="str">
        <f t="shared" si="273"/>
        <v/>
      </c>
      <c r="AB1081" s="28" t="str">
        <f t="shared" si="276"/>
        <v>12%</v>
      </c>
      <c r="AC1081" s="1">
        <f t="shared" si="277"/>
        <v>46</v>
      </c>
      <c r="AD1081" s="51">
        <f t="shared" si="274"/>
        <v>2</v>
      </c>
      <c r="AE1081" t="str">
        <f t="shared" si="278"/>
        <v/>
      </c>
      <c r="AF1081" t="str">
        <f t="shared" si="279"/>
        <v/>
      </c>
      <c r="AG1081" t="str">
        <f t="shared" si="280"/>
        <v/>
      </c>
      <c r="AH1081" t="str">
        <f t="shared" si="281"/>
        <v/>
      </c>
      <c r="AI1081" t="str">
        <f t="shared" si="282"/>
        <v/>
      </c>
      <c r="AJ1081" t="str">
        <f t="shared" si="283"/>
        <v/>
      </c>
      <c r="AK1081" t="str">
        <f t="shared" si="284"/>
        <v/>
      </c>
      <c r="AL1081" t="str">
        <f t="shared" si="285"/>
        <v/>
      </c>
      <c r="AN1081" t="str">
        <f>IFERROR(ROUND(L1081*(G1081/$AW1081)/VLOOKUP(F1081,商品!$A$4:$D$67,4,FALSE),0),"")</f>
        <v/>
      </c>
      <c r="AO1081" t="str">
        <f>IFERROR(ROUND(L1081*(I1081/$AW1081)/VLOOKUP(H1081,商品!$A$4:$D$67,4,FALSE),0),"")</f>
        <v/>
      </c>
      <c r="AP1081" t="str">
        <f>IFERROR(ROUND(L1081*(K1081/$AW1081)/VLOOKUP(J1081,商品!$A$4:$D$67,4,FALSE),0),"")</f>
        <v/>
      </c>
      <c r="AQ1081" t="str">
        <f>IFERROR(ROUND(S1081*(N1081/$AX1081)/VLOOKUP(M1081,职业!$A$3:$E$16,4,FALSE),0),"")</f>
        <v/>
      </c>
      <c r="AR1081" t="str">
        <f>IFERROR(ROUND(S1081*(P1081/$AX1081)/VLOOKUP(O1081,职业!$A$3:$E$16,4,FALSE),0),"")</f>
        <v/>
      </c>
      <c r="AS1081" t="str">
        <f>IFERROR(ROUND(S1081*(R1081/$AX1081)/VLOOKUP(Q1081,职业!$A$3:$E$16,4,FALSE),0),"")</f>
        <v/>
      </c>
      <c r="AT1081" t="str">
        <f>IFERROR(ROUND(X1081*(U1081/$AY1081)/VLOOKUP(T1081,商品!$A$4:$D$67,4,FALSE),0),"")</f>
        <v/>
      </c>
      <c r="AU1081" t="str">
        <f>IFERROR(ROUND(X1081*(W1081/$AY1081)/VLOOKUP(V1081,商品!$A$4:$D$67,4,FALSE),0),"")</f>
        <v/>
      </c>
      <c r="AW1081">
        <f t="shared" si="286"/>
        <v>0</v>
      </c>
      <c r="AX1081">
        <f t="shared" si="287"/>
        <v>0</v>
      </c>
      <c r="AY1081">
        <f t="shared" si="288"/>
        <v>0</v>
      </c>
    </row>
    <row r="1082" customHeight="1" spans="1:51">
      <c r="A1082" s="5" t="s">
        <v>481</v>
      </c>
      <c r="C1082" s="5">
        <v>3</v>
      </c>
      <c r="D1082" s="1" t="s">
        <v>220</v>
      </c>
      <c r="E1082" s="1" t="s">
        <v>224</v>
      </c>
      <c r="L1082" s="5">
        <f>IFERROR(VLOOKUP($D1082&amp;$C1082,生产方式定位!$A$2:$E$38,2,FALSE)+VLOOKUP($E1082&amp;$C1082,生产方式定位!$F$3:$J$38,2,FALSE),0)</f>
        <v>1900</v>
      </c>
      <c r="S1082" s="5">
        <f>IFERROR(VLOOKUP($D1082&amp;$C1082,生产方式定位!$A$2:$E$38,3,FALSE)+VLOOKUP($E1082&amp;$C1082,生产方式定位!$F$3:$J$38,3,FALSE),0)</f>
        <v>70</v>
      </c>
      <c r="X1082" s="5">
        <f>IFERROR(VLOOKUP($D1082&amp;$C1082,生产方式定位!$A$2:$E$38,5,FALSE)+VLOOKUP($E1082&amp;$C1082,生产方式定位!$F$3:$J$38,5,FALSE),"错误")</f>
        <v>2064</v>
      </c>
      <c r="Y1082" s="27" t="str">
        <f t="shared" si="272"/>
        <v/>
      </c>
      <c r="Z1082" s="50" t="str">
        <f t="shared" si="275"/>
        <v/>
      </c>
      <c r="AA1082" s="50" t="str">
        <f t="shared" si="273"/>
        <v/>
      </c>
      <c r="AB1082" s="28" t="str">
        <f t="shared" si="276"/>
        <v>9%</v>
      </c>
      <c r="AC1082" s="1">
        <f t="shared" si="277"/>
        <v>94</v>
      </c>
      <c r="AD1082" s="51">
        <f t="shared" si="274"/>
        <v>3</v>
      </c>
      <c r="AE1082" t="str">
        <f t="shared" si="278"/>
        <v/>
      </c>
      <c r="AF1082" t="str">
        <f t="shared" si="279"/>
        <v/>
      </c>
      <c r="AG1082" t="str">
        <f t="shared" si="280"/>
        <v/>
      </c>
      <c r="AH1082" t="str">
        <f t="shared" si="281"/>
        <v/>
      </c>
      <c r="AI1082" t="str">
        <f t="shared" si="282"/>
        <v/>
      </c>
      <c r="AJ1082" t="str">
        <f t="shared" si="283"/>
        <v/>
      </c>
      <c r="AK1082" t="str">
        <f t="shared" si="284"/>
        <v/>
      </c>
      <c r="AL1082" t="str">
        <f t="shared" si="285"/>
        <v/>
      </c>
      <c r="AN1082" t="str">
        <f>IFERROR(ROUND(L1082*(G1082/$AW1082)/VLOOKUP(F1082,商品!$A$4:$D$67,4,FALSE),0),"")</f>
        <v/>
      </c>
      <c r="AO1082" t="str">
        <f>IFERROR(ROUND(L1082*(I1082/$AW1082)/VLOOKUP(H1082,商品!$A$4:$D$67,4,FALSE),0),"")</f>
        <v/>
      </c>
      <c r="AP1082" t="str">
        <f>IFERROR(ROUND(L1082*(K1082/$AW1082)/VLOOKUP(J1082,商品!$A$4:$D$67,4,FALSE),0),"")</f>
        <v/>
      </c>
      <c r="AQ1082" t="str">
        <f>IFERROR(ROUND(S1082*(N1082/$AX1082)/VLOOKUP(M1082,职业!$A$3:$E$16,4,FALSE),0),"")</f>
        <v/>
      </c>
      <c r="AR1082" t="str">
        <f>IFERROR(ROUND(S1082*(P1082/$AX1082)/VLOOKUP(O1082,职业!$A$3:$E$16,4,FALSE),0),"")</f>
        <v/>
      </c>
      <c r="AS1082" t="str">
        <f>IFERROR(ROUND(S1082*(R1082/$AX1082)/VLOOKUP(Q1082,职业!$A$3:$E$16,4,FALSE),0),"")</f>
        <v/>
      </c>
      <c r="AT1082" t="str">
        <f>IFERROR(ROUND(X1082*(U1082/$AY1082)/VLOOKUP(T1082,商品!$A$4:$D$67,4,FALSE),0),"")</f>
        <v/>
      </c>
      <c r="AU1082" t="str">
        <f>IFERROR(ROUND(X1082*(W1082/$AY1082)/VLOOKUP(V1082,商品!$A$4:$D$67,4,FALSE),0),"")</f>
        <v/>
      </c>
      <c r="AW1082">
        <f t="shared" si="286"/>
        <v>0</v>
      </c>
      <c r="AX1082">
        <f t="shared" si="287"/>
        <v>0</v>
      </c>
      <c r="AY1082">
        <f t="shared" si="288"/>
        <v>0</v>
      </c>
    </row>
    <row r="1083" customHeight="1" spans="1:51">
      <c r="A1083" s="5" t="s">
        <v>481</v>
      </c>
      <c r="C1083" s="5">
        <v>4</v>
      </c>
      <c r="D1083" s="1" t="s">
        <v>220</v>
      </c>
      <c r="E1083" s="1" t="s">
        <v>224</v>
      </c>
      <c r="L1083" s="5">
        <f>IFERROR(VLOOKUP($D1083&amp;$C1083,生产方式定位!$A$2:$E$38,2,FALSE)+VLOOKUP($E1083&amp;$C1083,生产方式定位!$F$3:$J$38,2,FALSE),0)</f>
        <v>2600</v>
      </c>
      <c r="S1083" s="5">
        <f>IFERROR(VLOOKUP($D1083&amp;$C1083,生产方式定位!$A$2:$E$38,3,FALSE)+VLOOKUP($E1083&amp;$C1083,生产方式定位!$F$3:$J$38,3,FALSE),0)</f>
        <v>40</v>
      </c>
      <c r="X1083" s="5">
        <f>IFERROR(VLOOKUP($D1083&amp;$C1083,生产方式定位!$A$2:$E$38,5,FALSE)+VLOOKUP($E1083&amp;$C1083,生产方式定位!$F$3:$J$38,5,FALSE),"错误")</f>
        <v>2782</v>
      </c>
      <c r="Y1083" s="27" t="str">
        <f t="shared" si="272"/>
        <v/>
      </c>
      <c r="Z1083" s="50" t="str">
        <f t="shared" si="275"/>
        <v/>
      </c>
      <c r="AA1083" s="50" t="str">
        <f t="shared" si="273"/>
        <v/>
      </c>
      <c r="AB1083" s="28" t="str">
        <f t="shared" si="276"/>
        <v>7%</v>
      </c>
      <c r="AC1083" s="1">
        <f t="shared" si="277"/>
        <v>142</v>
      </c>
      <c r="AD1083" s="51">
        <f t="shared" si="274"/>
        <v>4</v>
      </c>
      <c r="AE1083" t="str">
        <f t="shared" si="278"/>
        <v/>
      </c>
      <c r="AF1083" t="str">
        <f t="shared" si="279"/>
        <v/>
      </c>
      <c r="AG1083" t="str">
        <f t="shared" si="280"/>
        <v/>
      </c>
      <c r="AH1083" t="str">
        <f t="shared" si="281"/>
        <v/>
      </c>
      <c r="AI1083" t="str">
        <f t="shared" si="282"/>
        <v/>
      </c>
      <c r="AJ1083" t="str">
        <f t="shared" si="283"/>
        <v/>
      </c>
      <c r="AK1083" t="str">
        <f t="shared" si="284"/>
        <v/>
      </c>
      <c r="AL1083" t="str">
        <f t="shared" si="285"/>
        <v/>
      </c>
      <c r="AN1083" t="str">
        <f>IFERROR(ROUND(L1083*(G1083/$AW1083)/VLOOKUP(F1083,商品!$A$4:$D$67,4,FALSE),0),"")</f>
        <v/>
      </c>
      <c r="AO1083" t="str">
        <f>IFERROR(ROUND(L1083*(I1083/$AW1083)/VLOOKUP(H1083,商品!$A$4:$D$67,4,FALSE),0),"")</f>
        <v/>
      </c>
      <c r="AP1083" t="str">
        <f>IFERROR(ROUND(L1083*(K1083/$AW1083)/VLOOKUP(J1083,商品!$A$4:$D$67,4,FALSE),0),"")</f>
        <v/>
      </c>
      <c r="AQ1083" t="str">
        <f>IFERROR(ROUND(S1083*(N1083/$AX1083)/VLOOKUP(M1083,职业!$A$3:$E$16,4,FALSE),0),"")</f>
        <v/>
      </c>
      <c r="AR1083" t="str">
        <f>IFERROR(ROUND(S1083*(P1083/$AX1083)/VLOOKUP(O1083,职业!$A$3:$E$16,4,FALSE),0),"")</f>
        <v/>
      </c>
      <c r="AS1083" t="str">
        <f>IFERROR(ROUND(S1083*(R1083/$AX1083)/VLOOKUP(Q1083,职业!$A$3:$E$16,4,FALSE),0),"")</f>
        <v/>
      </c>
      <c r="AT1083" t="str">
        <f>IFERROR(ROUND(X1083*(U1083/$AY1083)/VLOOKUP(T1083,商品!$A$4:$D$67,4,FALSE),0),"")</f>
        <v/>
      </c>
      <c r="AU1083" t="str">
        <f>IFERROR(ROUND(X1083*(W1083/$AY1083)/VLOOKUP(V1083,商品!$A$4:$D$67,4,FALSE),0),"")</f>
        <v/>
      </c>
      <c r="AW1083">
        <f t="shared" si="286"/>
        <v>0</v>
      </c>
      <c r="AX1083">
        <f t="shared" si="287"/>
        <v>0</v>
      </c>
      <c r="AY1083">
        <f t="shared" si="288"/>
        <v>0</v>
      </c>
    </row>
    <row r="1084" customHeight="1" spans="1:51">
      <c r="A1084" s="5" t="s">
        <v>481</v>
      </c>
      <c r="C1084" s="5">
        <v>5</v>
      </c>
      <c r="D1084" s="1" t="s">
        <v>220</v>
      </c>
      <c r="E1084" s="1" t="s">
        <v>224</v>
      </c>
      <c r="L1084" s="5">
        <f>IFERROR(VLOOKUP($D1084&amp;$C1084,生产方式定位!$A$2:$E$38,2,FALSE)+VLOOKUP($E1084&amp;$C1084,生产方式定位!$F$3:$J$38,2,FALSE),0)</f>
        <v>3300</v>
      </c>
      <c r="S1084" s="5">
        <f>IFERROR(VLOOKUP($D1084&amp;$C1084,生产方式定位!$A$2:$E$38,3,FALSE)+VLOOKUP($E1084&amp;$C1084,生产方式定位!$F$3:$J$38,3,FALSE),0)</f>
        <v>10</v>
      </c>
      <c r="X1084" s="5">
        <f>IFERROR(VLOOKUP($D1084&amp;$C1084,生产方式定位!$A$2:$E$38,5,FALSE)+VLOOKUP($E1084&amp;$C1084,生产方式定位!$F$3:$J$38,5,FALSE),"错误")</f>
        <v>3500</v>
      </c>
      <c r="Y1084" s="27" t="str">
        <f t="shared" si="272"/>
        <v/>
      </c>
      <c r="Z1084" s="50" t="str">
        <f t="shared" si="275"/>
        <v/>
      </c>
      <c r="AA1084" s="50" t="str">
        <f t="shared" si="273"/>
        <v/>
      </c>
      <c r="AB1084" s="28" t="str">
        <f t="shared" si="276"/>
        <v>6%</v>
      </c>
      <c r="AC1084" s="1">
        <f t="shared" si="277"/>
        <v>190</v>
      </c>
      <c r="AD1084" s="51">
        <f t="shared" si="274"/>
        <v>5</v>
      </c>
      <c r="AE1084" t="str">
        <f t="shared" si="278"/>
        <v/>
      </c>
      <c r="AF1084" t="str">
        <f t="shared" si="279"/>
        <v/>
      </c>
      <c r="AG1084" t="str">
        <f t="shared" si="280"/>
        <v/>
      </c>
      <c r="AH1084" t="str">
        <f t="shared" si="281"/>
        <v/>
      </c>
      <c r="AI1084" t="str">
        <f t="shared" si="282"/>
        <v/>
      </c>
      <c r="AJ1084" t="str">
        <f t="shared" si="283"/>
        <v/>
      </c>
      <c r="AK1084" t="str">
        <f t="shared" si="284"/>
        <v/>
      </c>
      <c r="AL1084" t="str">
        <f t="shared" si="285"/>
        <v/>
      </c>
      <c r="AN1084" t="str">
        <f>IFERROR(ROUND(L1084*(G1084/$AW1084)/VLOOKUP(F1084,商品!$A$4:$D$67,4,FALSE),0),"")</f>
        <v/>
      </c>
      <c r="AO1084" t="str">
        <f>IFERROR(ROUND(L1084*(I1084/$AW1084)/VLOOKUP(H1084,商品!$A$4:$D$67,4,FALSE),0),"")</f>
        <v/>
      </c>
      <c r="AP1084" t="str">
        <f>IFERROR(ROUND(L1084*(K1084/$AW1084)/VLOOKUP(J1084,商品!$A$4:$D$67,4,FALSE),0),"")</f>
        <v/>
      </c>
      <c r="AQ1084" t="str">
        <f>IFERROR(ROUND(S1084*(N1084/$AX1084)/VLOOKUP(M1084,职业!$A$3:$E$16,4,FALSE),0),"")</f>
        <v/>
      </c>
      <c r="AR1084" t="str">
        <f>IFERROR(ROUND(S1084*(P1084/$AX1084)/VLOOKUP(O1084,职业!$A$3:$E$16,4,FALSE),0),"")</f>
        <v/>
      </c>
      <c r="AS1084" t="str">
        <f>IFERROR(ROUND(S1084*(R1084/$AX1084)/VLOOKUP(Q1084,职业!$A$3:$E$16,4,FALSE),0),"")</f>
        <v/>
      </c>
      <c r="AT1084" t="str">
        <f>IFERROR(ROUND(X1084*(U1084/$AY1084)/VLOOKUP(T1084,商品!$A$4:$D$67,4,FALSE),0),"")</f>
        <v/>
      </c>
      <c r="AU1084" t="str">
        <f>IFERROR(ROUND(X1084*(W1084/$AY1084)/VLOOKUP(V1084,商品!$A$4:$D$67,4,FALSE),0),"")</f>
        <v/>
      </c>
      <c r="AW1084">
        <f t="shared" si="286"/>
        <v>0</v>
      </c>
      <c r="AX1084">
        <f t="shared" si="287"/>
        <v>0</v>
      </c>
      <c r="AY1084">
        <f t="shared" si="288"/>
        <v>0</v>
      </c>
    </row>
    <row r="1085" customHeight="1" spans="1:51">
      <c r="A1085" s="18" t="s">
        <v>482</v>
      </c>
      <c r="C1085" s="18">
        <v>1</v>
      </c>
      <c r="D1085" s="1" t="s">
        <v>291</v>
      </c>
      <c r="E1085" s="1" t="s">
        <v>225</v>
      </c>
      <c r="L1085" s="18">
        <f>IFERROR(VLOOKUP($D1085&amp;$C1085,生产方式定位!$A$2:$E$38,2,FALSE)+VLOOKUP($E1085&amp;$C1085,生产方式定位!$F$3:$J$38,2,FALSE),0)</f>
        <v>0</v>
      </c>
      <c r="S1085" s="18">
        <f>IFERROR(VLOOKUP($D1085&amp;$C1085,生产方式定位!$A$2:$E$38,3,FALSE)+VLOOKUP($E1085&amp;$C1085,生产方式定位!$F$3:$J$38,3,FALSE),0)</f>
        <v>100</v>
      </c>
      <c r="X1085" s="18">
        <f>IFERROR(VLOOKUP($D1085&amp;$C1085,生产方式定位!$A$2:$E$38,5,FALSE)+VLOOKUP($E1085&amp;$C1085,生产方式定位!$F$3:$J$38,5,FALSE),"错误")</f>
        <v>100</v>
      </c>
      <c r="Y1085" s="27" t="str">
        <f t="shared" si="272"/>
        <v/>
      </c>
      <c r="Z1085" s="50" t="str">
        <f t="shared" si="275"/>
        <v/>
      </c>
      <c r="AA1085" s="50" t="str">
        <f t="shared" si="273"/>
        <v/>
      </c>
      <c r="AB1085" s="28" t="str">
        <f t="shared" si="276"/>
        <v/>
      </c>
      <c r="AC1085" s="1" t="str">
        <f t="shared" si="277"/>
        <v/>
      </c>
      <c r="AD1085" s="52">
        <f t="shared" si="274"/>
        <v>1</v>
      </c>
      <c r="AE1085" t="str">
        <f t="shared" si="278"/>
        <v/>
      </c>
      <c r="AF1085" t="str">
        <f t="shared" si="279"/>
        <v/>
      </c>
      <c r="AG1085" t="str">
        <f t="shared" si="280"/>
        <v/>
      </c>
      <c r="AH1085" t="str">
        <f t="shared" si="281"/>
        <v/>
      </c>
      <c r="AI1085" t="str">
        <f t="shared" si="282"/>
        <v/>
      </c>
      <c r="AJ1085" t="str">
        <f t="shared" si="283"/>
        <v/>
      </c>
      <c r="AK1085" t="str">
        <f t="shared" si="284"/>
        <v/>
      </c>
      <c r="AL1085" t="str">
        <f t="shared" si="285"/>
        <v/>
      </c>
      <c r="AN1085" t="str">
        <f>IFERROR(ROUND(L1085*(G1085/$AW1085)/VLOOKUP(F1085,商品!$A$4:$D$67,4,FALSE),0),"")</f>
        <v/>
      </c>
      <c r="AO1085" t="str">
        <f>IFERROR(ROUND(L1085*(I1085/$AW1085)/VLOOKUP(H1085,商品!$A$4:$D$67,4,FALSE),0),"")</f>
        <v/>
      </c>
      <c r="AP1085" t="str">
        <f>IFERROR(ROUND(L1085*(K1085/$AW1085)/VLOOKUP(J1085,商品!$A$4:$D$67,4,FALSE),0),"")</f>
        <v/>
      </c>
      <c r="AQ1085" t="str">
        <f>IFERROR(ROUND(S1085*(N1085/$AX1085)/VLOOKUP(M1085,职业!$A$3:$E$16,4,FALSE),0),"")</f>
        <v/>
      </c>
      <c r="AR1085" t="str">
        <f>IFERROR(ROUND(S1085*(P1085/$AX1085)/VLOOKUP(O1085,职业!$A$3:$E$16,4,FALSE),0),"")</f>
        <v/>
      </c>
      <c r="AS1085" t="str">
        <f>IFERROR(ROUND(S1085*(R1085/$AX1085)/VLOOKUP(Q1085,职业!$A$3:$E$16,4,FALSE),0),"")</f>
        <v/>
      </c>
      <c r="AT1085" t="str">
        <f>IFERROR(ROUND(X1085*(U1085/$AY1085)/VLOOKUP(T1085,商品!$A$4:$D$67,4,FALSE),0),"")</f>
        <v/>
      </c>
      <c r="AU1085" t="str">
        <f>IFERROR(ROUND(X1085*(W1085/$AY1085)/VLOOKUP(V1085,商品!$A$4:$D$67,4,FALSE),0),"")</f>
        <v/>
      </c>
      <c r="AW1085">
        <f t="shared" si="286"/>
        <v>0</v>
      </c>
      <c r="AX1085">
        <f t="shared" si="287"/>
        <v>0</v>
      </c>
      <c r="AY1085">
        <f t="shared" si="288"/>
        <v>0</v>
      </c>
    </row>
    <row r="1086" customHeight="1" spans="1:51">
      <c r="A1086" s="18" t="s">
        <v>482</v>
      </c>
      <c r="C1086" s="18">
        <v>2</v>
      </c>
      <c r="D1086" s="1" t="s">
        <v>291</v>
      </c>
      <c r="E1086" s="1" t="s">
        <v>225</v>
      </c>
      <c r="L1086" s="18">
        <f>IFERROR(VLOOKUP($D1086&amp;$C1086,生产方式定位!$A$2:$E$38,2,FALSE)+VLOOKUP($E1086&amp;$C1086,生产方式定位!$F$3:$J$38,2,FALSE),0)</f>
        <v>0</v>
      </c>
      <c r="S1086" s="18">
        <f>IFERROR(VLOOKUP($D1086&amp;$C1086,生产方式定位!$A$2:$E$38,3,FALSE)+VLOOKUP($E1086&amp;$C1086,生产方式定位!$F$3:$J$38,3,FALSE),0)</f>
        <v>100</v>
      </c>
      <c r="X1086" s="18">
        <f>IFERROR(VLOOKUP($D1086&amp;$C1086,生产方式定位!$A$2:$E$38,5,FALSE)+VLOOKUP($E1086&amp;$C1086,生产方式定位!$F$3:$J$38,5,FALSE),"错误")</f>
        <v>100</v>
      </c>
      <c r="Y1086" s="27" t="str">
        <f t="shared" si="272"/>
        <v/>
      </c>
      <c r="Z1086" s="50" t="str">
        <f t="shared" si="275"/>
        <v/>
      </c>
      <c r="AA1086" s="50" t="str">
        <f t="shared" si="273"/>
        <v/>
      </c>
      <c r="AB1086" s="28" t="str">
        <f t="shared" si="276"/>
        <v/>
      </c>
      <c r="AC1086" s="1" t="str">
        <f t="shared" si="277"/>
        <v/>
      </c>
      <c r="AD1086" s="52">
        <f t="shared" si="274"/>
        <v>2</v>
      </c>
      <c r="AE1086" t="str">
        <f t="shared" si="278"/>
        <v/>
      </c>
      <c r="AF1086" t="str">
        <f t="shared" si="279"/>
        <v/>
      </c>
      <c r="AG1086" t="str">
        <f t="shared" si="280"/>
        <v/>
      </c>
      <c r="AH1086" t="str">
        <f t="shared" si="281"/>
        <v/>
      </c>
      <c r="AI1086" t="str">
        <f t="shared" si="282"/>
        <v/>
      </c>
      <c r="AJ1086" t="str">
        <f t="shared" si="283"/>
        <v/>
      </c>
      <c r="AK1086" t="str">
        <f t="shared" si="284"/>
        <v/>
      </c>
      <c r="AL1086" t="str">
        <f t="shared" si="285"/>
        <v/>
      </c>
      <c r="AN1086" t="str">
        <f>IFERROR(ROUND(L1086*(G1086/$AW1086)/VLOOKUP(F1086,商品!$A$4:$D$67,4,FALSE),0),"")</f>
        <v/>
      </c>
      <c r="AO1086" t="str">
        <f>IFERROR(ROUND(L1086*(I1086/$AW1086)/VLOOKUP(H1086,商品!$A$4:$D$67,4,FALSE),0),"")</f>
        <v/>
      </c>
      <c r="AP1086" t="str">
        <f>IFERROR(ROUND(L1086*(K1086/$AW1086)/VLOOKUP(J1086,商品!$A$4:$D$67,4,FALSE),0),"")</f>
        <v/>
      </c>
      <c r="AQ1086" t="str">
        <f>IFERROR(ROUND(S1086*(N1086/$AX1086)/VLOOKUP(M1086,职业!$A$3:$E$16,4,FALSE),0),"")</f>
        <v/>
      </c>
      <c r="AR1086" t="str">
        <f>IFERROR(ROUND(S1086*(P1086/$AX1086)/VLOOKUP(O1086,职业!$A$3:$E$16,4,FALSE),0),"")</f>
        <v/>
      </c>
      <c r="AS1086" t="str">
        <f>IFERROR(ROUND(S1086*(R1086/$AX1086)/VLOOKUP(Q1086,职业!$A$3:$E$16,4,FALSE),0),"")</f>
        <v/>
      </c>
      <c r="AT1086" t="str">
        <f>IFERROR(ROUND(X1086*(U1086/$AY1086)/VLOOKUP(T1086,商品!$A$4:$D$67,4,FALSE),0),"")</f>
        <v/>
      </c>
      <c r="AU1086" t="str">
        <f>IFERROR(ROUND(X1086*(W1086/$AY1086)/VLOOKUP(V1086,商品!$A$4:$D$67,4,FALSE),0),"")</f>
        <v/>
      </c>
      <c r="AW1086">
        <f t="shared" si="286"/>
        <v>0</v>
      </c>
      <c r="AX1086">
        <f t="shared" si="287"/>
        <v>0</v>
      </c>
      <c r="AY1086">
        <f t="shared" si="288"/>
        <v>0</v>
      </c>
    </row>
    <row r="1087" customHeight="1" spans="1:51">
      <c r="A1087" s="18" t="s">
        <v>482</v>
      </c>
      <c r="C1087" s="18">
        <v>3</v>
      </c>
      <c r="D1087" s="1" t="s">
        <v>291</v>
      </c>
      <c r="E1087" s="1" t="s">
        <v>225</v>
      </c>
      <c r="L1087" s="18">
        <f>IFERROR(VLOOKUP($D1087&amp;$C1087,生产方式定位!$A$2:$E$38,2,FALSE)+VLOOKUP($E1087&amp;$C1087,生产方式定位!$F$3:$J$38,2,FALSE),0)</f>
        <v>0</v>
      </c>
      <c r="S1087" s="18">
        <f>IFERROR(VLOOKUP($D1087&amp;$C1087,生产方式定位!$A$2:$E$38,3,FALSE)+VLOOKUP($E1087&amp;$C1087,生产方式定位!$F$3:$J$38,3,FALSE),0)</f>
        <v>100</v>
      </c>
      <c r="X1087" s="18">
        <f>IFERROR(VLOOKUP($D1087&amp;$C1087,生产方式定位!$A$2:$E$38,5,FALSE)+VLOOKUP($E1087&amp;$C1087,生产方式定位!$F$3:$J$38,5,FALSE),"错误")</f>
        <v>100</v>
      </c>
      <c r="Y1087" s="27" t="str">
        <f t="shared" si="272"/>
        <v/>
      </c>
      <c r="Z1087" s="50" t="str">
        <f t="shared" si="275"/>
        <v/>
      </c>
      <c r="AA1087" s="50" t="str">
        <f t="shared" si="273"/>
        <v/>
      </c>
      <c r="AB1087" s="28" t="str">
        <f t="shared" si="276"/>
        <v/>
      </c>
      <c r="AC1087" s="1" t="str">
        <f t="shared" si="277"/>
        <v/>
      </c>
      <c r="AD1087" s="52">
        <f t="shared" si="274"/>
        <v>3</v>
      </c>
      <c r="AE1087" t="str">
        <f t="shared" si="278"/>
        <v/>
      </c>
      <c r="AF1087" t="str">
        <f t="shared" si="279"/>
        <v/>
      </c>
      <c r="AG1087" t="str">
        <f t="shared" si="280"/>
        <v/>
      </c>
      <c r="AH1087" t="str">
        <f t="shared" si="281"/>
        <v/>
      </c>
      <c r="AI1087" t="str">
        <f t="shared" si="282"/>
        <v/>
      </c>
      <c r="AJ1087" t="str">
        <f t="shared" si="283"/>
        <v/>
      </c>
      <c r="AK1087" t="str">
        <f t="shared" si="284"/>
        <v/>
      </c>
      <c r="AL1087" t="str">
        <f t="shared" si="285"/>
        <v/>
      </c>
      <c r="AN1087" t="str">
        <f>IFERROR(ROUND(L1087*(G1087/$AW1087)/VLOOKUP(F1087,商品!$A$4:$D$67,4,FALSE),0),"")</f>
        <v/>
      </c>
      <c r="AO1087" t="str">
        <f>IFERROR(ROUND(L1087*(I1087/$AW1087)/VLOOKUP(H1087,商品!$A$4:$D$67,4,FALSE),0),"")</f>
        <v/>
      </c>
      <c r="AP1087" t="str">
        <f>IFERROR(ROUND(L1087*(K1087/$AW1087)/VLOOKUP(J1087,商品!$A$4:$D$67,4,FALSE),0),"")</f>
        <v/>
      </c>
      <c r="AQ1087" t="str">
        <f>IFERROR(ROUND(S1087*(N1087/$AX1087)/VLOOKUP(M1087,职业!$A$3:$E$16,4,FALSE),0),"")</f>
        <v/>
      </c>
      <c r="AR1087" t="str">
        <f>IFERROR(ROUND(S1087*(P1087/$AX1087)/VLOOKUP(O1087,职业!$A$3:$E$16,4,FALSE),0),"")</f>
        <v/>
      </c>
      <c r="AS1087" t="str">
        <f>IFERROR(ROUND(S1087*(R1087/$AX1087)/VLOOKUP(Q1087,职业!$A$3:$E$16,4,FALSE),0),"")</f>
        <v/>
      </c>
      <c r="AT1087" t="str">
        <f>IFERROR(ROUND(X1087*(U1087/$AY1087)/VLOOKUP(T1087,商品!$A$4:$D$67,4,FALSE),0),"")</f>
        <v/>
      </c>
      <c r="AU1087" t="str">
        <f>IFERROR(ROUND(X1087*(W1087/$AY1087)/VLOOKUP(V1087,商品!$A$4:$D$67,4,FALSE),0),"")</f>
        <v/>
      </c>
      <c r="AW1087">
        <f t="shared" si="286"/>
        <v>0</v>
      </c>
      <c r="AX1087">
        <f t="shared" si="287"/>
        <v>0</v>
      </c>
      <c r="AY1087">
        <f t="shared" si="288"/>
        <v>0</v>
      </c>
    </row>
    <row r="1088" customHeight="1" spans="1:51">
      <c r="A1088" s="18" t="s">
        <v>482</v>
      </c>
      <c r="C1088" s="18">
        <v>4</v>
      </c>
      <c r="D1088" s="1" t="s">
        <v>291</v>
      </c>
      <c r="E1088" s="1" t="s">
        <v>225</v>
      </c>
      <c r="L1088" s="18">
        <f>IFERROR(VLOOKUP($D1088&amp;$C1088,生产方式定位!$A$2:$E$38,2,FALSE)+VLOOKUP($E1088&amp;$C1088,生产方式定位!$F$3:$J$38,2,FALSE),0)</f>
        <v>0</v>
      </c>
      <c r="S1088" s="18">
        <f>IFERROR(VLOOKUP($D1088&amp;$C1088,生产方式定位!$A$2:$E$38,3,FALSE)+VLOOKUP($E1088&amp;$C1088,生产方式定位!$F$3:$J$38,3,FALSE),0)</f>
        <v>100</v>
      </c>
      <c r="X1088" s="18">
        <f>IFERROR(VLOOKUP($D1088&amp;$C1088,生产方式定位!$A$2:$E$38,5,FALSE)+VLOOKUP($E1088&amp;$C1088,生产方式定位!$F$3:$J$38,5,FALSE),"错误")</f>
        <v>100</v>
      </c>
      <c r="Y1088" s="27" t="str">
        <f t="shared" si="272"/>
        <v/>
      </c>
      <c r="Z1088" s="50" t="str">
        <f t="shared" si="275"/>
        <v/>
      </c>
      <c r="AA1088" s="50" t="str">
        <f t="shared" si="273"/>
        <v/>
      </c>
      <c r="AB1088" s="28" t="str">
        <f t="shared" si="276"/>
        <v/>
      </c>
      <c r="AC1088" s="1" t="str">
        <f t="shared" si="277"/>
        <v/>
      </c>
      <c r="AD1088" s="52">
        <f t="shared" si="274"/>
        <v>4</v>
      </c>
      <c r="AE1088" t="str">
        <f t="shared" si="278"/>
        <v/>
      </c>
      <c r="AF1088" t="str">
        <f t="shared" si="279"/>
        <v/>
      </c>
      <c r="AG1088" t="str">
        <f t="shared" si="280"/>
        <v/>
      </c>
      <c r="AH1088" t="str">
        <f t="shared" si="281"/>
        <v/>
      </c>
      <c r="AI1088" t="str">
        <f t="shared" si="282"/>
        <v/>
      </c>
      <c r="AJ1088" t="str">
        <f t="shared" si="283"/>
        <v/>
      </c>
      <c r="AK1088" t="str">
        <f t="shared" si="284"/>
        <v/>
      </c>
      <c r="AL1088" t="str">
        <f t="shared" si="285"/>
        <v/>
      </c>
      <c r="AN1088" t="str">
        <f>IFERROR(ROUND(L1088*(G1088/$AW1088)/VLOOKUP(F1088,商品!$A$4:$D$67,4,FALSE),0),"")</f>
        <v/>
      </c>
      <c r="AO1088" t="str">
        <f>IFERROR(ROUND(L1088*(I1088/$AW1088)/VLOOKUP(H1088,商品!$A$4:$D$67,4,FALSE),0),"")</f>
        <v/>
      </c>
      <c r="AP1088" t="str">
        <f>IFERROR(ROUND(L1088*(K1088/$AW1088)/VLOOKUP(J1088,商品!$A$4:$D$67,4,FALSE),0),"")</f>
        <v/>
      </c>
      <c r="AQ1088" t="str">
        <f>IFERROR(ROUND(S1088*(N1088/$AX1088)/VLOOKUP(M1088,职业!$A$3:$E$16,4,FALSE),0),"")</f>
        <v/>
      </c>
      <c r="AR1088" t="str">
        <f>IFERROR(ROUND(S1088*(P1088/$AX1088)/VLOOKUP(O1088,职业!$A$3:$E$16,4,FALSE),0),"")</f>
        <v/>
      </c>
      <c r="AS1088" t="str">
        <f>IFERROR(ROUND(S1088*(R1088/$AX1088)/VLOOKUP(Q1088,职业!$A$3:$E$16,4,FALSE),0),"")</f>
        <v/>
      </c>
      <c r="AT1088" t="str">
        <f>IFERROR(ROUND(X1088*(U1088/$AY1088)/VLOOKUP(T1088,商品!$A$4:$D$67,4,FALSE),0),"")</f>
        <v/>
      </c>
      <c r="AU1088" t="str">
        <f>IFERROR(ROUND(X1088*(W1088/$AY1088)/VLOOKUP(V1088,商品!$A$4:$D$67,4,FALSE),0),"")</f>
        <v/>
      </c>
      <c r="AW1088">
        <f t="shared" si="286"/>
        <v>0</v>
      </c>
      <c r="AX1088">
        <f t="shared" si="287"/>
        <v>0</v>
      </c>
      <c r="AY1088">
        <f t="shared" si="288"/>
        <v>0</v>
      </c>
    </row>
    <row r="1089" customHeight="1" spans="1:51">
      <c r="A1089" s="18" t="s">
        <v>482</v>
      </c>
      <c r="C1089" s="18">
        <v>5</v>
      </c>
      <c r="D1089" s="1" t="s">
        <v>291</v>
      </c>
      <c r="E1089" s="1" t="s">
        <v>225</v>
      </c>
      <c r="L1089" s="18">
        <f>IFERROR(VLOOKUP($D1089&amp;$C1089,生产方式定位!$A$2:$E$38,2,FALSE)+VLOOKUP($E1089&amp;$C1089,生产方式定位!$F$3:$J$38,2,FALSE),0)</f>
        <v>0</v>
      </c>
      <c r="S1089" s="18">
        <f>IFERROR(VLOOKUP($D1089&amp;$C1089,生产方式定位!$A$2:$E$38,3,FALSE)+VLOOKUP($E1089&amp;$C1089,生产方式定位!$F$3:$J$38,3,FALSE),0)</f>
        <v>100</v>
      </c>
      <c r="X1089" s="18">
        <f>IFERROR(VLOOKUP($D1089&amp;$C1089,生产方式定位!$A$2:$E$38,5,FALSE)+VLOOKUP($E1089&amp;$C1089,生产方式定位!$F$3:$J$38,5,FALSE),"错误")</f>
        <v>100</v>
      </c>
      <c r="Y1089" s="27" t="str">
        <f t="shared" si="272"/>
        <v/>
      </c>
      <c r="Z1089" s="50" t="str">
        <f t="shared" si="275"/>
        <v/>
      </c>
      <c r="AA1089" s="50" t="str">
        <f t="shared" si="273"/>
        <v/>
      </c>
      <c r="AB1089" s="28" t="str">
        <f t="shared" si="276"/>
        <v/>
      </c>
      <c r="AC1089" s="1" t="str">
        <f t="shared" si="277"/>
        <v/>
      </c>
      <c r="AD1089" s="52">
        <f t="shared" si="274"/>
        <v>5</v>
      </c>
      <c r="AE1089" t="str">
        <f t="shared" si="278"/>
        <v/>
      </c>
      <c r="AF1089" t="str">
        <f t="shared" si="279"/>
        <v/>
      </c>
      <c r="AG1089" t="str">
        <f t="shared" si="280"/>
        <v/>
      </c>
      <c r="AH1089" t="str">
        <f t="shared" si="281"/>
        <v/>
      </c>
      <c r="AI1089" t="str">
        <f t="shared" si="282"/>
        <v/>
      </c>
      <c r="AJ1089" t="str">
        <f t="shared" si="283"/>
        <v/>
      </c>
      <c r="AK1089" t="str">
        <f t="shared" si="284"/>
        <v/>
      </c>
      <c r="AL1089" t="str">
        <f t="shared" si="285"/>
        <v/>
      </c>
      <c r="AN1089" t="str">
        <f>IFERROR(ROUND(L1089*(G1089/$AW1089)/VLOOKUP(F1089,商品!$A$4:$D$67,4,FALSE),0),"")</f>
        <v/>
      </c>
      <c r="AO1089" t="str">
        <f>IFERROR(ROUND(L1089*(I1089/$AW1089)/VLOOKUP(H1089,商品!$A$4:$D$67,4,FALSE),0),"")</f>
        <v/>
      </c>
      <c r="AP1089" t="str">
        <f>IFERROR(ROUND(L1089*(K1089/$AW1089)/VLOOKUP(J1089,商品!$A$4:$D$67,4,FALSE),0),"")</f>
        <v/>
      </c>
      <c r="AQ1089" t="str">
        <f>IFERROR(ROUND(S1089*(N1089/$AX1089)/VLOOKUP(M1089,职业!$A$3:$E$16,4,FALSE),0),"")</f>
        <v/>
      </c>
      <c r="AR1089" t="str">
        <f>IFERROR(ROUND(S1089*(P1089/$AX1089)/VLOOKUP(O1089,职业!$A$3:$E$16,4,FALSE),0),"")</f>
        <v/>
      </c>
      <c r="AS1089" t="str">
        <f>IFERROR(ROUND(S1089*(R1089/$AX1089)/VLOOKUP(Q1089,职业!$A$3:$E$16,4,FALSE),0),"")</f>
        <v/>
      </c>
      <c r="AT1089" t="str">
        <f>IFERROR(ROUND(X1089*(U1089/$AY1089)/VLOOKUP(T1089,商品!$A$4:$D$67,4,FALSE),0),"")</f>
        <v/>
      </c>
      <c r="AU1089" t="str">
        <f>IFERROR(ROUND(X1089*(W1089/$AY1089)/VLOOKUP(V1089,商品!$A$4:$D$67,4,FALSE),0),"")</f>
        <v/>
      </c>
      <c r="AW1089">
        <f t="shared" si="286"/>
        <v>0</v>
      </c>
      <c r="AX1089">
        <f t="shared" si="287"/>
        <v>0</v>
      </c>
      <c r="AY1089">
        <f t="shared" si="288"/>
        <v>0</v>
      </c>
    </row>
    <row r="1090" customHeight="1" spans="1:51">
      <c r="A1090" s="18" t="s">
        <v>482</v>
      </c>
      <c r="C1090" s="18">
        <v>6</v>
      </c>
      <c r="D1090" s="1" t="s">
        <v>291</v>
      </c>
      <c r="E1090" s="1" t="s">
        <v>225</v>
      </c>
      <c r="L1090" s="18">
        <f>IFERROR(VLOOKUP($D1090&amp;$C1090,生产方式定位!$A$2:$E$38,2,FALSE)+VLOOKUP($E1090&amp;$C1090,生产方式定位!$F$3:$J$38,2,FALSE),0)</f>
        <v>0</v>
      </c>
      <c r="S1090" s="18">
        <f>IFERROR(VLOOKUP($D1090&amp;$C1090,生产方式定位!$A$2:$E$38,3,FALSE)+VLOOKUP($E1090&amp;$C1090,生产方式定位!$F$3:$J$38,3,FALSE),0)</f>
        <v>100</v>
      </c>
      <c r="X1090" s="18">
        <f>IFERROR(VLOOKUP($D1090&amp;$C1090,生产方式定位!$A$2:$E$38,5,FALSE)+VLOOKUP($E1090&amp;$C1090,生产方式定位!$F$3:$J$38,5,FALSE),"错误")</f>
        <v>100</v>
      </c>
      <c r="Y1090" s="27" t="str">
        <f t="shared" si="272"/>
        <v/>
      </c>
      <c r="Z1090" s="50" t="str">
        <f t="shared" si="275"/>
        <v/>
      </c>
      <c r="AA1090" s="50" t="str">
        <f t="shared" si="273"/>
        <v/>
      </c>
      <c r="AB1090" s="28" t="str">
        <f t="shared" si="276"/>
        <v/>
      </c>
      <c r="AC1090" s="1" t="str">
        <f t="shared" si="277"/>
        <v/>
      </c>
      <c r="AD1090" s="52">
        <f t="shared" si="274"/>
        <v>6</v>
      </c>
      <c r="AE1090" t="str">
        <f t="shared" si="278"/>
        <v/>
      </c>
      <c r="AF1090" t="str">
        <f t="shared" si="279"/>
        <v/>
      </c>
      <c r="AG1090" t="str">
        <f t="shared" si="280"/>
        <v/>
      </c>
      <c r="AH1090" t="str">
        <f t="shared" si="281"/>
        <v/>
      </c>
      <c r="AI1090" t="str">
        <f t="shared" si="282"/>
        <v/>
      </c>
      <c r="AJ1090" t="str">
        <f t="shared" si="283"/>
        <v/>
      </c>
      <c r="AK1090" t="str">
        <f t="shared" si="284"/>
        <v/>
      </c>
      <c r="AL1090" t="str">
        <f t="shared" si="285"/>
        <v/>
      </c>
      <c r="AN1090" t="str">
        <f>IFERROR(ROUND(L1090*(G1090/$AW1090)/VLOOKUP(F1090,商品!$A$4:$D$67,4,FALSE),0),"")</f>
        <v/>
      </c>
      <c r="AO1090" t="str">
        <f>IFERROR(ROUND(L1090*(I1090/$AW1090)/VLOOKUP(H1090,商品!$A$4:$D$67,4,FALSE),0),"")</f>
        <v/>
      </c>
      <c r="AP1090" t="str">
        <f>IFERROR(ROUND(L1090*(K1090/$AW1090)/VLOOKUP(J1090,商品!$A$4:$D$67,4,FALSE),0),"")</f>
        <v/>
      </c>
      <c r="AQ1090" t="str">
        <f>IFERROR(ROUND(S1090*(N1090/$AX1090)/VLOOKUP(M1090,职业!$A$3:$E$16,4,FALSE),0),"")</f>
        <v/>
      </c>
      <c r="AR1090" t="str">
        <f>IFERROR(ROUND(S1090*(P1090/$AX1090)/VLOOKUP(O1090,职业!$A$3:$E$16,4,FALSE),0),"")</f>
        <v/>
      </c>
      <c r="AS1090" t="str">
        <f>IFERROR(ROUND(S1090*(R1090/$AX1090)/VLOOKUP(Q1090,职业!$A$3:$E$16,4,FALSE),0),"")</f>
        <v/>
      </c>
      <c r="AT1090" t="str">
        <f>IFERROR(ROUND(X1090*(U1090/$AY1090)/VLOOKUP(T1090,商品!$A$4:$D$67,4,FALSE),0),"")</f>
        <v/>
      </c>
      <c r="AU1090" t="str">
        <f>IFERROR(ROUND(X1090*(W1090/$AY1090)/VLOOKUP(V1090,商品!$A$4:$D$67,4,FALSE),0),"")</f>
        <v/>
      </c>
      <c r="AW1090">
        <f t="shared" si="286"/>
        <v>0</v>
      </c>
      <c r="AX1090">
        <f t="shared" si="287"/>
        <v>0</v>
      </c>
      <c r="AY1090">
        <f t="shared" si="288"/>
        <v>0</v>
      </c>
    </row>
    <row r="1091" customHeight="1" spans="1:51">
      <c r="A1091" s="18" t="s">
        <v>482</v>
      </c>
      <c r="C1091" s="18">
        <v>7</v>
      </c>
      <c r="D1091" s="1" t="s">
        <v>291</v>
      </c>
      <c r="E1091" s="1" t="s">
        <v>225</v>
      </c>
      <c r="L1091" s="18">
        <f>IFERROR(VLOOKUP($D1091&amp;$C1091,生产方式定位!$A$2:$E$38,2,FALSE)+VLOOKUP($E1091&amp;$C1091,生产方式定位!$F$3:$J$38,2,FALSE),0)</f>
        <v>0</v>
      </c>
      <c r="S1091" s="18">
        <f>IFERROR(VLOOKUP($D1091&amp;$C1091,生产方式定位!$A$2:$E$38,3,FALSE)+VLOOKUP($E1091&amp;$C1091,生产方式定位!$F$3:$J$38,3,FALSE),0)</f>
        <v>100</v>
      </c>
      <c r="X1091" s="18">
        <f>IFERROR(VLOOKUP($D1091&amp;$C1091,生产方式定位!$A$2:$E$38,5,FALSE)+VLOOKUP($E1091&amp;$C1091,生产方式定位!$F$3:$J$38,5,FALSE),"错误")</f>
        <v>100</v>
      </c>
      <c r="Y1091" s="27" t="str">
        <f t="shared" si="272"/>
        <v/>
      </c>
      <c r="Z1091" s="50" t="str">
        <f t="shared" si="275"/>
        <v/>
      </c>
      <c r="AA1091" s="50" t="str">
        <f t="shared" si="273"/>
        <v/>
      </c>
      <c r="AB1091" s="28" t="str">
        <f t="shared" si="276"/>
        <v/>
      </c>
      <c r="AC1091" s="1" t="str">
        <f t="shared" si="277"/>
        <v/>
      </c>
      <c r="AD1091" s="52">
        <f t="shared" si="274"/>
        <v>7</v>
      </c>
      <c r="AE1091" t="str">
        <f t="shared" si="278"/>
        <v/>
      </c>
      <c r="AF1091" t="str">
        <f t="shared" si="279"/>
        <v/>
      </c>
      <c r="AG1091" t="str">
        <f t="shared" si="280"/>
        <v/>
      </c>
      <c r="AH1091" t="str">
        <f t="shared" si="281"/>
        <v/>
      </c>
      <c r="AI1091" t="str">
        <f t="shared" si="282"/>
        <v/>
      </c>
      <c r="AJ1091" t="str">
        <f t="shared" si="283"/>
        <v/>
      </c>
      <c r="AK1091" t="str">
        <f t="shared" si="284"/>
        <v/>
      </c>
      <c r="AL1091" t="str">
        <f t="shared" si="285"/>
        <v/>
      </c>
      <c r="AN1091" t="str">
        <f>IFERROR(ROUND(L1091*(G1091/$AW1091)/VLOOKUP(F1091,商品!$A$4:$D$67,4,FALSE),0),"")</f>
        <v/>
      </c>
      <c r="AO1091" t="str">
        <f>IFERROR(ROUND(L1091*(I1091/$AW1091)/VLOOKUP(H1091,商品!$A$4:$D$67,4,FALSE),0),"")</f>
        <v/>
      </c>
      <c r="AP1091" t="str">
        <f>IFERROR(ROUND(L1091*(K1091/$AW1091)/VLOOKUP(J1091,商品!$A$4:$D$67,4,FALSE),0),"")</f>
        <v/>
      </c>
      <c r="AQ1091" t="str">
        <f>IFERROR(ROUND(S1091*(N1091/$AX1091)/VLOOKUP(M1091,职业!$A$3:$E$16,4,FALSE),0),"")</f>
        <v/>
      </c>
      <c r="AR1091" t="str">
        <f>IFERROR(ROUND(S1091*(P1091/$AX1091)/VLOOKUP(O1091,职业!$A$3:$E$16,4,FALSE),0),"")</f>
        <v/>
      </c>
      <c r="AS1091" t="str">
        <f>IFERROR(ROUND(S1091*(R1091/$AX1091)/VLOOKUP(Q1091,职业!$A$3:$E$16,4,FALSE),0),"")</f>
        <v/>
      </c>
      <c r="AT1091" t="str">
        <f>IFERROR(ROUND(X1091*(U1091/$AY1091)/VLOOKUP(T1091,商品!$A$4:$D$67,4,FALSE),0),"")</f>
        <v/>
      </c>
      <c r="AU1091" t="str">
        <f>IFERROR(ROUND(X1091*(W1091/$AY1091)/VLOOKUP(V1091,商品!$A$4:$D$67,4,FALSE),0),"")</f>
        <v/>
      </c>
      <c r="AW1091">
        <f t="shared" si="286"/>
        <v>0</v>
      </c>
      <c r="AX1091">
        <f t="shared" si="287"/>
        <v>0</v>
      </c>
      <c r="AY1091">
        <f t="shared" si="288"/>
        <v>0</v>
      </c>
    </row>
    <row r="1092" customHeight="1" spans="1:51">
      <c r="A1092" s="18" t="s">
        <v>482</v>
      </c>
      <c r="C1092" s="18">
        <v>8</v>
      </c>
      <c r="D1092" s="1" t="s">
        <v>291</v>
      </c>
      <c r="E1092" s="1" t="s">
        <v>225</v>
      </c>
      <c r="L1092" s="18">
        <f>IFERROR(VLOOKUP($D1092&amp;$C1092,生产方式定位!$A$2:$E$38,2,FALSE)+VLOOKUP($E1092&amp;$C1092,生产方式定位!$F$3:$J$38,2,FALSE),0)</f>
        <v>0</v>
      </c>
      <c r="S1092" s="18">
        <f>IFERROR(VLOOKUP($D1092&amp;$C1092,生产方式定位!$A$2:$E$38,3,FALSE)+VLOOKUP($E1092&amp;$C1092,生产方式定位!$F$3:$J$38,3,FALSE),0)</f>
        <v>100</v>
      </c>
      <c r="X1092" s="18">
        <f>IFERROR(VLOOKUP($D1092&amp;$C1092,生产方式定位!$A$2:$E$38,5,FALSE)+VLOOKUP($E1092&amp;$C1092,生产方式定位!$F$3:$J$38,5,FALSE),"错误")</f>
        <v>100</v>
      </c>
      <c r="Y1092" s="27" t="str">
        <f t="shared" si="272"/>
        <v/>
      </c>
      <c r="Z1092" s="50" t="str">
        <f t="shared" si="275"/>
        <v/>
      </c>
      <c r="AA1092" s="50" t="str">
        <f t="shared" si="273"/>
        <v/>
      </c>
      <c r="AB1092" s="28" t="str">
        <f t="shared" si="276"/>
        <v/>
      </c>
      <c r="AC1092" s="1" t="str">
        <f t="shared" si="277"/>
        <v/>
      </c>
      <c r="AD1092" s="52">
        <f t="shared" si="274"/>
        <v>8</v>
      </c>
      <c r="AE1092" t="str">
        <f t="shared" si="278"/>
        <v/>
      </c>
      <c r="AF1092" t="str">
        <f t="shared" si="279"/>
        <v/>
      </c>
      <c r="AG1092" t="str">
        <f t="shared" si="280"/>
        <v/>
      </c>
      <c r="AH1092" t="str">
        <f t="shared" si="281"/>
        <v/>
      </c>
      <c r="AI1092" t="str">
        <f t="shared" si="282"/>
        <v/>
      </c>
      <c r="AJ1092" t="str">
        <f t="shared" si="283"/>
        <v/>
      </c>
      <c r="AK1092" t="str">
        <f t="shared" si="284"/>
        <v/>
      </c>
      <c r="AL1092" t="str">
        <f t="shared" si="285"/>
        <v/>
      </c>
      <c r="AN1092" t="str">
        <f>IFERROR(ROUND(L1092*(G1092/$AW1092)/VLOOKUP(F1092,商品!$A$4:$D$67,4,FALSE),0),"")</f>
        <v/>
      </c>
      <c r="AO1092" t="str">
        <f>IFERROR(ROUND(L1092*(I1092/$AW1092)/VLOOKUP(H1092,商品!$A$4:$D$67,4,FALSE),0),"")</f>
        <v/>
      </c>
      <c r="AP1092" t="str">
        <f>IFERROR(ROUND(L1092*(K1092/$AW1092)/VLOOKUP(J1092,商品!$A$4:$D$67,4,FALSE),0),"")</f>
        <v/>
      </c>
      <c r="AQ1092" t="str">
        <f>IFERROR(ROUND(S1092*(N1092/$AX1092)/VLOOKUP(M1092,职业!$A$3:$E$16,4,FALSE),0),"")</f>
        <v/>
      </c>
      <c r="AR1092" t="str">
        <f>IFERROR(ROUND(S1092*(P1092/$AX1092)/VLOOKUP(O1092,职业!$A$3:$E$16,4,FALSE),0),"")</f>
        <v/>
      </c>
      <c r="AS1092" t="str">
        <f>IFERROR(ROUND(S1092*(R1092/$AX1092)/VLOOKUP(Q1092,职业!$A$3:$E$16,4,FALSE),0),"")</f>
        <v/>
      </c>
      <c r="AT1092" t="str">
        <f>IFERROR(ROUND(X1092*(U1092/$AY1092)/VLOOKUP(T1092,商品!$A$4:$D$67,4,FALSE),0),"")</f>
        <v/>
      </c>
      <c r="AU1092" t="str">
        <f>IFERROR(ROUND(X1092*(W1092/$AY1092)/VLOOKUP(V1092,商品!$A$4:$D$67,4,FALSE),0),"")</f>
        <v/>
      </c>
      <c r="AW1092">
        <f t="shared" si="286"/>
        <v>0</v>
      </c>
      <c r="AX1092">
        <f t="shared" si="287"/>
        <v>0</v>
      </c>
      <c r="AY1092">
        <f t="shared" si="288"/>
        <v>0</v>
      </c>
    </row>
    <row r="1093" customHeight="1" spans="1:51">
      <c r="A1093" s="5" t="s">
        <v>484</v>
      </c>
      <c r="C1093" s="5">
        <v>1</v>
      </c>
      <c r="D1093" s="1" t="s">
        <v>220</v>
      </c>
      <c r="E1093" s="1" t="s">
        <v>222</v>
      </c>
      <c r="L1093" s="5">
        <f>IFERROR(VLOOKUP($D1093&amp;$C1093,生产方式定位!$A$2:$E$38,2,FALSE)+VLOOKUP($E1093&amp;$C1093,生产方式定位!$F$3:$J$38,2,FALSE),0)</f>
        <v>500</v>
      </c>
      <c r="S1093" s="5">
        <f>IFERROR(VLOOKUP($D1093&amp;$C1093,生产方式定位!$A$2:$E$38,3,FALSE)+VLOOKUP($E1093&amp;$C1093,生产方式定位!$F$3:$J$38,3,FALSE),0)</f>
        <v>150</v>
      </c>
      <c r="X1093" s="5">
        <f>IFERROR(VLOOKUP($D1093&amp;$C1093,生产方式定位!$A$2:$E$38,5,FALSE)+VLOOKUP($E1093&amp;$C1093,生产方式定位!$F$3:$J$38,5,FALSE),"错误")</f>
        <v>715</v>
      </c>
      <c r="Y1093" s="27" t="str">
        <f t="shared" ref="Y1093:Y1156" si="289">IF(AE1093="","",AE1093)&amp;IF(AF1093="","",","&amp;AF1093)&amp;IF(AG1093="","",","&amp;AG1093)</f>
        <v/>
      </c>
      <c r="Z1093" s="50" t="str">
        <f t="shared" si="275"/>
        <v/>
      </c>
      <c r="AA1093" s="50" t="str">
        <f t="shared" ref="AA1093:AA1156" si="290">IF(AK1093="","",AK1093)&amp;IF(AL1093="","",","&amp;AL1093)</f>
        <v/>
      </c>
      <c r="AB1093" s="28" t="str">
        <f t="shared" si="276"/>
        <v>43%</v>
      </c>
      <c r="AC1093" s="1">
        <f t="shared" si="277"/>
        <v>65</v>
      </c>
      <c r="AD1093" s="51">
        <f t="shared" ref="AD1093:AD1156" si="291">C1093</f>
        <v>1</v>
      </c>
      <c r="AE1093" t="str">
        <f t="shared" si="278"/>
        <v/>
      </c>
      <c r="AF1093" t="str">
        <f t="shared" si="279"/>
        <v/>
      </c>
      <c r="AG1093" t="str">
        <f t="shared" si="280"/>
        <v/>
      </c>
      <c r="AH1093" t="str">
        <f t="shared" si="281"/>
        <v/>
      </c>
      <c r="AI1093" t="str">
        <f t="shared" si="282"/>
        <v/>
      </c>
      <c r="AJ1093" t="str">
        <f t="shared" si="283"/>
        <v/>
      </c>
      <c r="AK1093" t="str">
        <f t="shared" si="284"/>
        <v/>
      </c>
      <c r="AL1093" t="str">
        <f t="shared" si="285"/>
        <v/>
      </c>
      <c r="AN1093" t="str">
        <f>IFERROR(ROUND(L1093*(G1093/$AW1093)/VLOOKUP(F1093,商品!$A$4:$D$67,4,FALSE),0),"")</f>
        <v/>
      </c>
      <c r="AO1093" t="str">
        <f>IFERROR(ROUND(L1093*(I1093/$AW1093)/VLOOKUP(H1093,商品!$A$4:$D$67,4,FALSE),0),"")</f>
        <v/>
      </c>
      <c r="AP1093" t="str">
        <f>IFERROR(ROUND(L1093*(K1093/$AW1093)/VLOOKUP(J1093,商品!$A$4:$D$67,4,FALSE),0),"")</f>
        <v/>
      </c>
      <c r="AQ1093" t="str">
        <f>IFERROR(ROUND(S1093*(N1093/$AX1093)/VLOOKUP(M1093,职业!$A$3:$E$16,4,FALSE),0),"")</f>
        <v/>
      </c>
      <c r="AR1093" t="str">
        <f>IFERROR(ROUND(S1093*(P1093/$AX1093)/VLOOKUP(O1093,职业!$A$3:$E$16,4,FALSE),0),"")</f>
        <v/>
      </c>
      <c r="AS1093" t="str">
        <f>IFERROR(ROUND(S1093*(R1093/$AX1093)/VLOOKUP(Q1093,职业!$A$3:$E$16,4,FALSE),0),"")</f>
        <v/>
      </c>
      <c r="AT1093" t="str">
        <f>IFERROR(ROUND(X1093*(U1093/$AY1093)/VLOOKUP(T1093,商品!$A$4:$D$67,4,FALSE),0),"")</f>
        <v/>
      </c>
      <c r="AU1093" t="str">
        <f>IFERROR(ROUND(X1093*(W1093/$AY1093)/VLOOKUP(V1093,商品!$A$4:$D$67,4,FALSE),0),"")</f>
        <v/>
      </c>
      <c r="AW1093">
        <f t="shared" si="286"/>
        <v>0</v>
      </c>
      <c r="AX1093">
        <f t="shared" si="287"/>
        <v>0</v>
      </c>
      <c r="AY1093">
        <f t="shared" si="288"/>
        <v>0</v>
      </c>
    </row>
    <row r="1094" customHeight="1" spans="1:51">
      <c r="A1094" s="5" t="s">
        <v>484</v>
      </c>
      <c r="C1094" s="5">
        <v>2</v>
      </c>
      <c r="D1094" s="1" t="s">
        <v>220</v>
      </c>
      <c r="E1094" s="1" t="s">
        <v>222</v>
      </c>
      <c r="L1094" s="5">
        <f>IFERROR(VLOOKUP($D1094&amp;$C1094,生产方式定位!$A$2:$E$38,2,FALSE)+VLOOKUP($E1094&amp;$C1094,生产方式定位!$F$3:$J$38,2,FALSE),0)</f>
        <v>1200</v>
      </c>
      <c r="S1094" s="5">
        <f>IFERROR(VLOOKUP($D1094&amp;$C1094,生产方式定位!$A$2:$E$38,3,FALSE)+VLOOKUP($E1094&amp;$C1094,生产方式定位!$F$3:$J$38,3,FALSE),0)</f>
        <v>140</v>
      </c>
      <c r="X1094" s="5">
        <f>IFERROR(VLOOKUP($D1094&amp;$C1094,生产方式定位!$A$2:$E$38,5,FALSE)+VLOOKUP($E1094&amp;$C1094,生产方式定位!$F$3:$J$38,5,FALSE),"错误")</f>
        <v>1390</v>
      </c>
      <c r="Y1094" s="27" t="str">
        <f t="shared" si="289"/>
        <v/>
      </c>
      <c r="Z1094" s="50" t="str">
        <f t="shared" ref="Z1094:Z1157" si="292">IF(AH1094="","",AH1094)&amp;IF(AI1094="","",","&amp;AI1094)&amp;IF(AJ1094="","",","&amp;AJ1094)</f>
        <v/>
      </c>
      <c r="AA1094" s="50" t="str">
        <f t="shared" si="290"/>
        <v/>
      </c>
      <c r="AB1094" s="28" t="str">
        <f t="shared" ref="AB1094:AB1157" si="293">IFERROR(ROUND(((X1094/L1094)-1)*100,0)&amp;"%","")</f>
        <v>16%</v>
      </c>
      <c r="AC1094" s="1">
        <f t="shared" ref="AC1094:AC1157" si="294">IF(X1094-S1094-L1094=0,"",X1094-S1094-L1094)</f>
        <v>50</v>
      </c>
      <c r="AD1094" s="51">
        <f t="shared" si="291"/>
        <v>2</v>
      </c>
      <c r="AE1094" t="str">
        <f t="shared" ref="AE1094:AE1157" si="295">IF(AN1094="","",F1094&amp;"*"&amp;AN1094)</f>
        <v/>
      </c>
      <c r="AF1094" t="str">
        <f t="shared" ref="AF1094:AF1157" si="296">IF(AO1094="","",H1094&amp;"*"&amp;AO1094)</f>
        <v/>
      </c>
      <c r="AG1094" t="str">
        <f t="shared" ref="AG1094:AG1157" si="297">IF(AP1094="","",J1094&amp;"*"&amp;AP1094)</f>
        <v/>
      </c>
      <c r="AH1094" t="str">
        <f t="shared" ref="AH1094:AH1157" si="298">IF(AQ1094="","",M1094&amp;"*"&amp;AQ1094)</f>
        <v/>
      </c>
      <c r="AI1094" t="str">
        <f t="shared" ref="AI1094:AI1157" si="299">IF(AR1094="","",O1094&amp;"*"&amp;AR1094)</f>
        <v/>
      </c>
      <c r="AJ1094" t="str">
        <f t="shared" ref="AJ1094:AJ1157" si="300">IF(AS1094="","",Q1094&amp;"*"&amp;AS1094)</f>
        <v/>
      </c>
      <c r="AK1094" t="str">
        <f t="shared" ref="AK1094:AK1157" si="301">IF(AT1094="","",T1094&amp;"*"&amp;AT1094)</f>
        <v/>
      </c>
      <c r="AL1094" t="str">
        <f t="shared" ref="AL1094:AL1157" si="302">IF(AU1094="","",V1094&amp;"*"&amp;AU1094)</f>
        <v/>
      </c>
      <c r="AN1094" t="str">
        <f>IFERROR(ROUND(L1094*(G1094/$AW1094)/VLOOKUP(F1094,商品!$A$4:$D$67,4,FALSE),0),"")</f>
        <v/>
      </c>
      <c r="AO1094" t="str">
        <f>IFERROR(ROUND(L1094*(I1094/$AW1094)/VLOOKUP(H1094,商品!$A$4:$D$67,4,FALSE),0),"")</f>
        <v/>
      </c>
      <c r="AP1094" t="str">
        <f>IFERROR(ROUND(L1094*(K1094/$AW1094)/VLOOKUP(J1094,商品!$A$4:$D$67,4,FALSE),0),"")</f>
        <v/>
      </c>
      <c r="AQ1094" t="str">
        <f>IFERROR(ROUND(S1094*(N1094/$AX1094)/VLOOKUP(M1094,职业!$A$3:$E$16,4,FALSE),0),"")</f>
        <v/>
      </c>
      <c r="AR1094" t="str">
        <f>IFERROR(ROUND(S1094*(P1094/$AX1094)/VLOOKUP(O1094,职业!$A$3:$E$16,4,FALSE),0),"")</f>
        <v/>
      </c>
      <c r="AS1094" t="str">
        <f>IFERROR(ROUND(S1094*(R1094/$AX1094)/VLOOKUP(Q1094,职业!$A$3:$E$16,4,FALSE),0),"")</f>
        <v/>
      </c>
      <c r="AT1094" t="str">
        <f>IFERROR(ROUND(X1094*(U1094/$AY1094)/VLOOKUP(T1094,商品!$A$4:$D$67,4,FALSE),0),"")</f>
        <v/>
      </c>
      <c r="AU1094" t="str">
        <f>IFERROR(ROUND(X1094*(W1094/$AY1094)/VLOOKUP(V1094,商品!$A$4:$D$67,4,FALSE),0),"")</f>
        <v/>
      </c>
      <c r="AW1094">
        <f t="shared" ref="AW1094:AW1157" si="303">G1094+I1094+K1094</f>
        <v>0</v>
      </c>
      <c r="AX1094">
        <f t="shared" ref="AX1094:AX1157" si="304">ABS(N1094)+ABS(P1094)+ABS(R1094)</f>
        <v>0</v>
      </c>
      <c r="AY1094">
        <f t="shared" ref="AY1094:AY1157" si="305">U1094+W1094</f>
        <v>0</v>
      </c>
    </row>
    <row r="1095" customHeight="1" spans="1:51">
      <c r="A1095" s="5" t="s">
        <v>484</v>
      </c>
      <c r="C1095" s="5">
        <v>3</v>
      </c>
      <c r="D1095" s="1" t="s">
        <v>220</v>
      </c>
      <c r="E1095" s="1" t="s">
        <v>222</v>
      </c>
      <c r="L1095" s="5">
        <f>IFERROR(VLOOKUP($D1095&amp;$C1095,生产方式定位!$A$2:$E$38,2,FALSE)+VLOOKUP($E1095&amp;$C1095,生产方式定位!$F$3:$J$38,2,FALSE),0)</f>
        <v>1525</v>
      </c>
      <c r="S1095" s="5">
        <f>IFERROR(VLOOKUP($D1095&amp;$C1095,生产方式定位!$A$2:$E$38,3,FALSE)+VLOOKUP($E1095&amp;$C1095,生产方式定位!$F$3:$J$38,3,FALSE),0)</f>
        <v>130</v>
      </c>
      <c r="X1095" s="5">
        <f>IFERROR(VLOOKUP($D1095&amp;$C1095,生产方式定位!$A$2:$E$38,5,FALSE)+VLOOKUP($E1095&amp;$C1095,生产方式定位!$F$3:$J$38,5,FALSE),"错误")</f>
        <v>1718</v>
      </c>
      <c r="Y1095" s="27" t="str">
        <f t="shared" si="289"/>
        <v/>
      </c>
      <c r="Z1095" s="50" t="str">
        <f t="shared" si="292"/>
        <v/>
      </c>
      <c r="AA1095" s="50" t="str">
        <f t="shared" si="290"/>
        <v/>
      </c>
      <c r="AB1095" s="28" t="str">
        <f t="shared" si="293"/>
        <v>13%</v>
      </c>
      <c r="AC1095" s="1">
        <f t="shared" si="294"/>
        <v>63</v>
      </c>
      <c r="AD1095" s="51">
        <f t="shared" si="291"/>
        <v>3</v>
      </c>
      <c r="AE1095" t="str">
        <f t="shared" si="295"/>
        <v/>
      </c>
      <c r="AF1095" t="str">
        <f t="shared" si="296"/>
        <v/>
      </c>
      <c r="AG1095" t="str">
        <f t="shared" si="297"/>
        <v/>
      </c>
      <c r="AH1095" t="str">
        <f t="shared" si="298"/>
        <v/>
      </c>
      <c r="AI1095" t="str">
        <f t="shared" si="299"/>
        <v/>
      </c>
      <c r="AJ1095" t="str">
        <f t="shared" si="300"/>
        <v/>
      </c>
      <c r="AK1095" t="str">
        <f t="shared" si="301"/>
        <v/>
      </c>
      <c r="AL1095" t="str">
        <f t="shared" si="302"/>
        <v/>
      </c>
      <c r="AN1095" t="str">
        <f>IFERROR(ROUND(L1095*(G1095/$AW1095)/VLOOKUP(F1095,商品!$A$4:$D$67,4,FALSE),0),"")</f>
        <v/>
      </c>
      <c r="AO1095" t="str">
        <f>IFERROR(ROUND(L1095*(I1095/$AW1095)/VLOOKUP(H1095,商品!$A$4:$D$67,4,FALSE),0),"")</f>
        <v/>
      </c>
      <c r="AP1095" t="str">
        <f>IFERROR(ROUND(L1095*(K1095/$AW1095)/VLOOKUP(J1095,商品!$A$4:$D$67,4,FALSE),0),"")</f>
        <v/>
      </c>
      <c r="AQ1095" t="str">
        <f>IFERROR(ROUND(S1095*(N1095/$AX1095)/VLOOKUP(M1095,职业!$A$3:$E$16,4,FALSE),0),"")</f>
        <v/>
      </c>
      <c r="AR1095" t="str">
        <f>IFERROR(ROUND(S1095*(P1095/$AX1095)/VLOOKUP(O1095,职业!$A$3:$E$16,4,FALSE),0),"")</f>
        <v/>
      </c>
      <c r="AS1095" t="str">
        <f>IFERROR(ROUND(S1095*(R1095/$AX1095)/VLOOKUP(Q1095,职业!$A$3:$E$16,4,FALSE),0),"")</f>
        <v/>
      </c>
      <c r="AT1095" t="str">
        <f>IFERROR(ROUND(X1095*(U1095/$AY1095)/VLOOKUP(T1095,商品!$A$4:$D$67,4,FALSE),0),"")</f>
        <v/>
      </c>
      <c r="AU1095" t="str">
        <f>IFERROR(ROUND(X1095*(W1095/$AY1095)/VLOOKUP(V1095,商品!$A$4:$D$67,4,FALSE),0),"")</f>
        <v/>
      </c>
      <c r="AW1095">
        <f t="shared" si="303"/>
        <v>0</v>
      </c>
      <c r="AX1095">
        <f t="shared" si="304"/>
        <v>0</v>
      </c>
      <c r="AY1095">
        <f t="shared" si="305"/>
        <v>0</v>
      </c>
    </row>
    <row r="1096" customHeight="1" spans="1:51">
      <c r="A1096" s="5" t="s">
        <v>484</v>
      </c>
      <c r="C1096" s="5">
        <v>4</v>
      </c>
      <c r="D1096" s="1" t="s">
        <v>220</v>
      </c>
      <c r="E1096" s="1" t="s">
        <v>222</v>
      </c>
      <c r="L1096" s="5">
        <f>IFERROR(VLOOKUP($D1096&amp;$C1096,生产方式定位!$A$2:$E$38,2,FALSE)+VLOOKUP($E1096&amp;$C1096,生产方式定位!$F$3:$J$38,2,FALSE),0)</f>
        <v>1850</v>
      </c>
      <c r="S1096" s="5">
        <f>IFERROR(VLOOKUP($D1096&amp;$C1096,生产方式定位!$A$2:$E$38,3,FALSE)+VLOOKUP($E1096&amp;$C1096,生产方式定位!$F$3:$J$38,3,FALSE),0)</f>
        <v>120</v>
      </c>
      <c r="X1096" s="5">
        <f>IFERROR(VLOOKUP($D1096&amp;$C1096,生产方式定位!$A$2:$E$38,5,FALSE)+VLOOKUP($E1096&amp;$C1096,生产方式定位!$F$3:$J$38,5,FALSE),"错误")</f>
        <v>2045</v>
      </c>
      <c r="Y1096" s="27" t="str">
        <f t="shared" si="289"/>
        <v/>
      </c>
      <c r="Z1096" s="50" t="str">
        <f t="shared" si="292"/>
        <v/>
      </c>
      <c r="AA1096" s="50" t="str">
        <f t="shared" si="290"/>
        <v/>
      </c>
      <c r="AB1096" s="28" t="str">
        <f t="shared" si="293"/>
        <v>11%</v>
      </c>
      <c r="AC1096" s="1">
        <f t="shared" si="294"/>
        <v>75</v>
      </c>
      <c r="AD1096" s="51">
        <f t="shared" si="291"/>
        <v>4</v>
      </c>
      <c r="AE1096" t="str">
        <f t="shared" si="295"/>
        <v/>
      </c>
      <c r="AF1096" t="str">
        <f t="shared" si="296"/>
        <v/>
      </c>
      <c r="AG1096" t="str">
        <f t="shared" si="297"/>
        <v/>
      </c>
      <c r="AH1096" t="str">
        <f t="shared" si="298"/>
        <v/>
      </c>
      <c r="AI1096" t="str">
        <f t="shared" si="299"/>
        <v/>
      </c>
      <c r="AJ1096" t="str">
        <f t="shared" si="300"/>
        <v/>
      </c>
      <c r="AK1096" t="str">
        <f t="shared" si="301"/>
        <v/>
      </c>
      <c r="AL1096" t="str">
        <f t="shared" si="302"/>
        <v/>
      </c>
      <c r="AN1096" t="str">
        <f>IFERROR(ROUND(L1096*(G1096/$AW1096)/VLOOKUP(F1096,商品!$A$4:$D$67,4,FALSE),0),"")</f>
        <v/>
      </c>
      <c r="AO1096" t="str">
        <f>IFERROR(ROUND(L1096*(I1096/$AW1096)/VLOOKUP(H1096,商品!$A$4:$D$67,4,FALSE),0),"")</f>
        <v/>
      </c>
      <c r="AP1096" t="str">
        <f>IFERROR(ROUND(L1096*(K1096/$AW1096)/VLOOKUP(J1096,商品!$A$4:$D$67,4,FALSE),0),"")</f>
        <v/>
      </c>
      <c r="AQ1096" t="str">
        <f>IFERROR(ROUND(S1096*(N1096/$AX1096)/VLOOKUP(M1096,职业!$A$3:$E$16,4,FALSE),0),"")</f>
        <v/>
      </c>
      <c r="AR1096" t="str">
        <f>IFERROR(ROUND(S1096*(P1096/$AX1096)/VLOOKUP(O1096,职业!$A$3:$E$16,4,FALSE),0),"")</f>
        <v/>
      </c>
      <c r="AS1096" t="str">
        <f>IFERROR(ROUND(S1096*(R1096/$AX1096)/VLOOKUP(Q1096,职业!$A$3:$E$16,4,FALSE),0),"")</f>
        <v/>
      </c>
      <c r="AT1096" t="str">
        <f>IFERROR(ROUND(X1096*(U1096/$AY1096)/VLOOKUP(T1096,商品!$A$4:$D$67,4,FALSE),0),"")</f>
        <v/>
      </c>
      <c r="AU1096" t="str">
        <f>IFERROR(ROUND(X1096*(W1096/$AY1096)/VLOOKUP(V1096,商品!$A$4:$D$67,4,FALSE),0),"")</f>
        <v/>
      </c>
      <c r="AW1096">
        <f t="shared" si="303"/>
        <v>0</v>
      </c>
      <c r="AX1096">
        <f t="shared" si="304"/>
        <v>0</v>
      </c>
      <c r="AY1096">
        <f t="shared" si="305"/>
        <v>0</v>
      </c>
    </row>
    <row r="1097" customHeight="1" spans="1:51">
      <c r="A1097" s="5" t="s">
        <v>484</v>
      </c>
      <c r="C1097" s="5">
        <v>5</v>
      </c>
      <c r="D1097" s="1" t="s">
        <v>220</v>
      </c>
      <c r="E1097" s="1" t="s">
        <v>222</v>
      </c>
      <c r="L1097" s="5">
        <f>IFERROR(VLOOKUP($D1097&amp;$C1097,生产方式定位!$A$2:$E$38,2,FALSE)+VLOOKUP($E1097&amp;$C1097,生产方式定位!$F$3:$J$38,2,FALSE),0)</f>
        <v>2175</v>
      </c>
      <c r="S1097" s="5">
        <f>IFERROR(VLOOKUP($D1097&amp;$C1097,生产方式定位!$A$2:$E$38,3,FALSE)+VLOOKUP($E1097&amp;$C1097,生产方式定位!$F$3:$J$38,3,FALSE),0)</f>
        <v>110</v>
      </c>
      <c r="X1097" s="5">
        <f>IFERROR(VLOOKUP($D1097&amp;$C1097,生产方式定位!$A$2:$E$38,5,FALSE)+VLOOKUP($E1097&amp;$C1097,生产方式定位!$F$3:$J$38,5,FALSE),"错误")</f>
        <v>2373</v>
      </c>
      <c r="Y1097" s="27" t="str">
        <f t="shared" si="289"/>
        <v/>
      </c>
      <c r="Z1097" s="50" t="str">
        <f t="shared" si="292"/>
        <v/>
      </c>
      <c r="AA1097" s="50" t="str">
        <f t="shared" si="290"/>
        <v/>
      </c>
      <c r="AB1097" s="28" t="str">
        <f t="shared" si="293"/>
        <v>9%</v>
      </c>
      <c r="AC1097" s="1">
        <f t="shared" si="294"/>
        <v>88</v>
      </c>
      <c r="AD1097" s="51">
        <f t="shared" si="291"/>
        <v>5</v>
      </c>
      <c r="AE1097" t="str">
        <f t="shared" si="295"/>
        <v/>
      </c>
      <c r="AF1097" t="str">
        <f t="shared" si="296"/>
        <v/>
      </c>
      <c r="AG1097" t="str">
        <f t="shared" si="297"/>
        <v/>
      </c>
      <c r="AH1097" t="str">
        <f t="shared" si="298"/>
        <v/>
      </c>
      <c r="AI1097" t="str">
        <f t="shared" si="299"/>
        <v/>
      </c>
      <c r="AJ1097" t="str">
        <f t="shared" si="300"/>
        <v/>
      </c>
      <c r="AK1097" t="str">
        <f t="shared" si="301"/>
        <v/>
      </c>
      <c r="AL1097" t="str">
        <f t="shared" si="302"/>
        <v/>
      </c>
      <c r="AN1097" t="str">
        <f>IFERROR(ROUND(L1097*(G1097/$AW1097)/VLOOKUP(F1097,商品!$A$4:$D$67,4,FALSE),0),"")</f>
        <v/>
      </c>
      <c r="AO1097" t="str">
        <f>IFERROR(ROUND(L1097*(I1097/$AW1097)/VLOOKUP(H1097,商品!$A$4:$D$67,4,FALSE),0),"")</f>
        <v/>
      </c>
      <c r="AP1097" t="str">
        <f>IFERROR(ROUND(L1097*(K1097/$AW1097)/VLOOKUP(J1097,商品!$A$4:$D$67,4,FALSE),0),"")</f>
        <v/>
      </c>
      <c r="AQ1097" t="str">
        <f>IFERROR(ROUND(S1097*(N1097/$AX1097)/VLOOKUP(M1097,职业!$A$3:$E$16,4,FALSE),0),"")</f>
        <v/>
      </c>
      <c r="AR1097" t="str">
        <f>IFERROR(ROUND(S1097*(P1097/$AX1097)/VLOOKUP(O1097,职业!$A$3:$E$16,4,FALSE),0),"")</f>
        <v/>
      </c>
      <c r="AS1097" t="str">
        <f>IFERROR(ROUND(S1097*(R1097/$AX1097)/VLOOKUP(Q1097,职业!$A$3:$E$16,4,FALSE),0),"")</f>
        <v/>
      </c>
      <c r="AT1097" t="str">
        <f>IFERROR(ROUND(X1097*(U1097/$AY1097)/VLOOKUP(T1097,商品!$A$4:$D$67,4,FALSE),0),"")</f>
        <v/>
      </c>
      <c r="AU1097" t="str">
        <f>IFERROR(ROUND(X1097*(W1097/$AY1097)/VLOOKUP(V1097,商品!$A$4:$D$67,4,FALSE),0),"")</f>
        <v/>
      </c>
      <c r="AW1097">
        <f t="shared" si="303"/>
        <v>0</v>
      </c>
      <c r="AX1097">
        <f t="shared" si="304"/>
        <v>0</v>
      </c>
      <c r="AY1097">
        <f t="shared" si="305"/>
        <v>0</v>
      </c>
    </row>
    <row r="1098" customHeight="1" spans="1:51">
      <c r="A1098" s="18" t="s">
        <v>485</v>
      </c>
      <c r="C1098" s="18">
        <v>1</v>
      </c>
      <c r="D1098" s="1" t="s">
        <v>220</v>
      </c>
      <c r="E1098" s="1" t="s">
        <v>224</v>
      </c>
      <c r="L1098" s="18">
        <f>IFERROR(VLOOKUP($D1098&amp;$C1098,生产方式定位!$A$2:$E$38,2,FALSE)+VLOOKUP($E1098&amp;$C1098,生产方式定位!$F$3:$J$38,2,FALSE),0)</f>
        <v>500</v>
      </c>
      <c r="S1098" s="18">
        <f>IFERROR(VLOOKUP($D1098&amp;$C1098,生产方式定位!$A$2:$E$38,3,FALSE)+VLOOKUP($E1098&amp;$C1098,生产方式定位!$F$3:$J$38,3,FALSE),0)</f>
        <v>150</v>
      </c>
      <c r="X1098" s="18">
        <f>IFERROR(VLOOKUP($D1098&amp;$C1098,生产方式定位!$A$2:$E$38,5,FALSE)+VLOOKUP($E1098&amp;$C1098,生产方式定位!$F$3:$J$38,5,FALSE),"错误")</f>
        <v>715</v>
      </c>
      <c r="Y1098" s="27" t="str">
        <f t="shared" si="289"/>
        <v/>
      </c>
      <c r="Z1098" s="50" t="str">
        <f t="shared" si="292"/>
        <v/>
      </c>
      <c r="AA1098" s="50" t="str">
        <f t="shared" si="290"/>
        <v/>
      </c>
      <c r="AB1098" s="28" t="str">
        <f t="shared" si="293"/>
        <v>43%</v>
      </c>
      <c r="AC1098" s="1">
        <f t="shared" si="294"/>
        <v>65</v>
      </c>
      <c r="AD1098" s="52">
        <f t="shared" si="291"/>
        <v>1</v>
      </c>
      <c r="AE1098" t="str">
        <f t="shared" si="295"/>
        <v/>
      </c>
      <c r="AF1098" t="str">
        <f t="shared" si="296"/>
        <v/>
      </c>
      <c r="AG1098" t="str">
        <f t="shared" si="297"/>
        <v/>
      </c>
      <c r="AH1098" t="str">
        <f t="shared" si="298"/>
        <v/>
      </c>
      <c r="AI1098" t="str">
        <f t="shared" si="299"/>
        <v/>
      </c>
      <c r="AJ1098" t="str">
        <f t="shared" si="300"/>
        <v/>
      </c>
      <c r="AK1098" t="str">
        <f t="shared" si="301"/>
        <v/>
      </c>
      <c r="AL1098" t="str">
        <f t="shared" si="302"/>
        <v/>
      </c>
      <c r="AN1098" t="str">
        <f>IFERROR(ROUND(L1098*(G1098/$AW1098)/VLOOKUP(F1098,商品!$A$4:$D$67,4,FALSE),0),"")</f>
        <v/>
      </c>
      <c r="AO1098" t="str">
        <f>IFERROR(ROUND(L1098*(I1098/$AW1098)/VLOOKUP(H1098,商品!$A$4:$D$67,4,FALSE),0),"")</f>
        <v/>
      </c>
      <c r="AP1098" t="str">
        <f>IFERROR(ROUND(L1098*(K1098/$AW1098)/VLOOKUP(J1098,商品!$A$4:$D$67,4,FALSE),0),"")</f>
        <v/>
      </c>
      <c r="AQ1098" t="str">
        <f>IFERROR(ROUND(S1098*(N1098/$AX1098)/VLOOKUP(M1098,职业!$A$3:$E$16,4,FALSE),0),"")</f>
        <v/>
      </c>
      <c r="AR1098" t="str">
        <f>IFERROR(ROUND(S1098*(P1098/$AX1098)/VLOOKUP(O1098,职业!$A$3:$E$16,4,FALSE),0),"")</f>
        <v/>
      </c>
      <c r="AS1098" t="str">
        <f>IFERROR(ROUND(S1098*(R1098/$AX1098)/VLOOKUP(Q1098,职业!$A$3:$E$16,4,FALSE),0),"")</f>
        <v/>
      </c>
      <c r="AT1098" t="str">
        <f>IFERROR(ROUND(X1098*(U1098/$AY1098)/VLOOKUP(T1098,商品!$A$4:$D$67,4,FALSE),0),"")</f>
        <v/>
      </c>
      <c r="AU1098" t="str">
        <f>IFERROR(ROUND(X1098*(W1098/$AY1098)/VLOOKUP(V1098,商品!$A$4:$D$67,4,FALSE),0),"")</f>
        <v/>
      </c>
      <c r="AW1098">
        <f t="shared" si="303"/>
        <v>0</v>
      </c>
      <c r="AX1098">
        <f t="shared" si="304"/>
        <v>0</v>
      </c>
      <c r="AY1098">
        <f t="shared" si="305"/>
        <v>0</v>
      </c>
    </row>
    <row r="1099" customHeight="1" spans="1:51">
      <c r="A1099" s="18" t="s">
        <v>485</v>
      </c>
      <c r="C1099" s="18">
        <v>2</v>
      </c>
      <c r="D1099" s="1" t="s">
        <v>220</v>
      </c>
      <c r="E1099" s="1" t="s">
        <v>224</v>
      </c>
      <c r="L1099" s="18">
        <f>IFERROR(VLOOKUP($D1099&amp;$C1099,生产方式定位!$A$2:$E$38,2,FALSE)+VLOOKUP($E1099&amp;$C1099,生产方式定位!$F$3:$J$38,2,FALSE),0)</f>
        <v>1200</v>
      </c>
      <c r="S1099" s="18">
        <f>IFERROR(VLOOKUP($D1099&amp;$C1099,生产方式定位!$A$2:$E$38,3,FALSE)+VLOOKUP($E1099&amp;$C1099,生产方式定位!$F$3:$J$38,3,FALSE),0)</f>
        <v>100</v>
      </c>
      <c r="X1099" s="18">
        <f>IFERROR(VLOOKUP($D1099&amp;$C1099,生产方式定位!$A$2:$E$38,5,FALSE)+VLOOKUP($E1099&amp;$C1099,生产方式定位!$F$3:$J$38,5,FALSE),"错误")</f>
        <v>1346</v>
      </c>
      <c r="Y1099" s="27" t="str">
        <f t="shared" si="289"/>
        <v/>
      </c>
      <c r="Z1099" s="50" t="str">
        <f t="shared" si="292"/>
        <v/>
      </c>
      <c r="AA1099" s="50" t="str">
        <f t="shared" si="290"/>
        <v/>
      </c>
      <c r="AB1099" s="28" t="str">
        <f t="shared" si="293"/>
        <v>12%</v>
      </c>
      <c r="AC1099" s="1">
        <f t="shared" si="294"/>
        <v>46</v>
      </c>
      <c r="AD1099" s="52">
        <f t="shared" si="291"/>
        <v>2</v>
      </c>
      <c r="AE1099" t="str">
        <f t="shared" si="295"/>
        <v/>
      </c>
      <c r="AF1099" t="str">
        <f t="shared" si="296"/>
        <v/>
      </c>
      <c r="AG1099" t="str">
        <f t="shared" si="297"/>
        <v/>
      </c>
      <c r="AH1099" t="str">
        <f t="shared" si="298"/>
        <v/>
      </c>
      <c r="AI1099" t="str">
        <f t="shared" si="299"/>
        <v/>
      </c>
      <c r="AJ1099" t="str">
        <f t="shared" si="300"/>
        <v/>
      </c>
      <c r="AK1099" t="str">
        <f t="shared" si="301"/>
        <v/>
      </c>
      <c r="AL1099" t="str">
        <f t="shared" si="302"/>
        <v/>
      </c>
      <c r="AN1099" t="str">
        <f>IFERROR(ROUND(L1099*(G1099/$AW1099)/VLOOKUP(F1099,商品!$A$4:$D$67,4,FALSE),0),"")</f>
        <v/>
      </c>
      <c r="AO1099" t="str">
        <f>IFERROR(ROUND(L1099*(I1099/$AW1099)/VLOOKUP(H1099,商品!$A$4:$D$67,4,FALSE),0),"")</f>
        <v/>
      </c>
      <c r="AP1099" t="str">
        <f>IFERROR(ROUND(L1099*(K1099/$AW1099)/VLOOKUP(J1099,商品!$A$4:$D$67,4,FALSE),0),"")</f>
        <v/>
      </c>
      <c r="AQ1099" t="str">
        <f>IFERROR(ROUND(S1099*(N1099/$AX1099)/VLOOKUP(M1099,职业!$A$3:$E$16,4,FALSE),0),"")</f>
        <v/>
      </c>
      <c r="AR1099" t="str">
        <f>IFERROR(ROUND(S1099*(P1099/$AX1099)/VLOOKUP(O1099,职业!$A$3:$E$16,4,FALSE),0),"")</f>
        <v/>
      </c>
      <c r="AS1099" t="str">
        <f>IFERROR(ROUND(S1099*(R1099/$AX1099)/VLOOKUP(Q1099,职业!$A$3:$E$16,4,FALSE),0),"")</f>
        <v/>
      </c>
      <c r="AT1099" t="str">
        <f>IFERROR(ROUND(X1099*(U1099/$AY1099)/VLOOKUP(T1099,商品!$A$4:$D$67,4,FALSE),0),"")</f>
        <v/>
      </c>
      <c r="AU1099" t="str">
        <f>IFERROR(ROUND(X1099*(W1099/$AY1099)/VLOOKUP(V1099,商品!$A$4:$D$67,4,FALSE),0),"")</f>
        <v/>
      </c>
      <c r="AW1099">
        <f t="shared" si="303"/>
        <v>0</v>
      </c>
      <c r="AX1099">
        <f t="shared" si="304"/>
        <v>0</v>
      </c>
      <c r="AY1099">
        <f t="shared" si="305"/>
        <v>0</v>
      </c>
    </row>
    <row r="1100" customHeight="1" spans="1:51">
      <c r="A1100" s="18" t="s">
        <v>485</v>
      </c>
      <c r="C1100" s="18">
        <v>3</v>
      </c>
      <c r="D1100" s="1" t="s">
        <v>220</v>
      </c>
      <c r="E1100" s="1" t="s">
        <v>224</v>
      </c>
      <c r="L1100" s="18">
        <f>IFERROR(VLOOKUP($D1100&amp;$C1100,生产方式定位!$A$2:$E$38,2,FALSE)+VLOOKUP($E1100&amp;$C1100,生产方式定位!$F$3:$J$38,2,FALSE),0)</f>
        <v>1900</v>
      </c>
      <c r="S1100" s="18">
        <f>IFERROR(VLOOKUP($D1100&amp;$C1100,生产方式定位!$A$2:$E$38,3,FALSE)+VLOOKUP($E1100&amp;$C1100,生产方式定位!$F$3:$J$38,3,FALSE),0)</f>
        <v>70</v>
      </c>
      <c r="X1100" s="18">
        <f>IFERROR(VLOOKUP($D1100&amp;$C1100,生产方式定位!$A$2:$E$38,5,FALSE)+VLOOKUP($E1100&amp;$C1100,生产方式定位!$F$3:$J$38,5,FALSE),"错误")</f>
        <v>2064</v>
      </c>
      <c r="Y1100" s="27" t="str">
        <f t="shared" si="289"/>
        <v/>
      </c>
      <c r="Z1100" s="50" t="str">
        <f t="shared" si="292"/>
        <v/>
      </c>
      <c r="AA1100" s="50" t="str">
        <f t="shared" si="290"/>
        <v/>
      </c>
      <c r="AB1100" s="28" t="str">
        <f t="shared" si="293"/>
        <v>9%</v>
      </c>
      <c r="AC1100" s="1">
        <f t="shared" si="294"/>
        <v>94</v>
      </c>
      <c r="AD1100" s="52">
        <f t="shared" si="291"/>
        <v>3</v>
      </c>
      <c r="AE1100" t="str">
        <f t="shared" si="295"/>
        <v/>
      </c>
      <c r="AF1100" t="str">
        <f t="shared" si="296"/>
        <v/>
      </c>
      <c r="AG1100" t="str">
        <f t="shared" si="297"/>
        <v/>
      </c>
      <c r="AH1100" t="str">
        <f t="shared" si="298"/>
        <v/>
      </c>
      <c r="AI1100" t="str">
        <f t="shared" si="299"/>
        <v/>
      </c>
      <c r="AJ1100" t="str">
        <f t="shared" si="300"/>
        <v/>
      </c>
      <c r="AK1100" t="str">
        <f t="shared" si="301"/>
        <v/>
      </c>
      <c r="AL1100" t="str">
        <f t="shared" si="302"/>
        <v/>
      </c>
      <c r="AN1100" t="str">
        <f>IFERROR(ROUND(L1100*(G1100/$AW1100)/VLOOKUP(F1100,商品!$A$4:$D$67,4,FALSE),0),"")</f>
        <v/>
      </c>
      <c r="AO1100" t="str">
        <f>IFERROR(ROUND(L1100*(I1100/$AW1100)/VLOOKUP(H1100,商品!$A$4:$D$67,4,FALSE),0),"")</f>
        <v/>
      </c>
      <c r="AP1100" t="str">
        <f>IFERROR(ROUND(L1100*(K1100/$AW1100)/VLOOKUP(J1100,商品!$A$4:$D$67,4,FALSE),0),"")</f>
        <v/>
      </c>
      <c r="AQ1100" t="str">
        <f>IFERROR(ROUND(S1100*(N1100/$AX1100)/VLOOKUP(M1100,职业!$A$3:$E$16,4,FALSE),0),"")</f>
        <v/>
      </c>
      <c r="AR1100" t="str">
        <f>IFERROR(ROUND(S1100*(P1100/$AX1100)/VLOOKUP(O1100,职业!$A$3:$E$16,4,FALSE),0),"")</f>
        <v/>
      </c>
      <c r="AS1100" t="str">
        <f>IFERROR(ROUND(S1100*(R1100/$AX1100)/VLOOKUP(Q1100,职业!$A$3:$E$16,4,FALSE),0),"")</f>
        <v/>
      </c>
      <c r="AT1100" t="str">
        <f>IFERROR(ROUND(X1100*(U1100/$AY1100)/VLOOKUP(T1100,商品!$A$4:$D$67,4,FALSE),0),"")</f>
        <v/>
      </c>
      <c r="AU1100" t="str">
        <f>IFERROR(ROUND(X1100*(W1100/$AY1100)/VLOOKUP(V1100,商品!$A$4:$D$67,4,FALSE),0),"")</f>
        <v/>
      </c>
      <c r="AW1100">
        <f t="shared" si="303"/>
        <v>0</v>
      </c>
      <c r="AX1100">
        <f t="shared" si="304"/>
        <v>0</v>
      </c>
      <c r="AY1100">
        <f t="shared" si="305"/>
        <v>0</v>
      </c>
    </row>
    <row r="1101" customHeight="1" spans="1:51">
      <c r="A1101" s="18" t="s">
        <v>485</v>
      </c>
      <c r="C1101" s="18">
        <v>4</v>
      </c>
      <c r="D1101" s="1" t="s">
        <v>220</v>
      </c>
      <c r="E1101" s="1" t="s">
        <v>224</v>
      </c>
      <c r="L1101" s="18">
        <f>IFERROR(VLOOKUP($D1101&amp;$C1101,生产方式定位!$A$2:$E$38,2,FALSE)+VLOOKUP($E1101&amp;$C1101,生产方式定位!$F$3:$J$38,2,FALSE),0)</f>
        <v>2600</v>
      </c>
      <c r="S1101" s="18">
        <f>IFERROR(VLOOKUP($D1101&amp;$C1101,生产方式定位!$A$2:$E$38,3,FALSE)+VLOOKUP($E1101&amp;$C1101,生产方式定位!$F$3:$J$38,3,FALSE),0)</f>
        <v>40</v>
      </c>
      <c r="X1101" s="18">
        <f>IFERROR(VLOOKUP($D1101&amp;$C1101,生产方式定位!$A$2:$E$38,5,FALSE)+VLOOKUP($E1101&amp;$C1101,生产方式定位!$F$3:$J$38,5,FALSE),"错误")</f>
        <v>2782</v>
      </c>
      <c r="Y1101" s="27" t="str">
        <f t="shared" si="289"/>
        <v/>
      </c>
      <c r="Z1101" s="50" t="str">
        <f t="shared" si="292"/>
        <v/>
      </c>
      <c r="AA1101" s="50" t="str">
        <f t="shared" si="290"/>
        <v/>
      </c>
      <c r="AB1101" s="28" t="str">
        <f t="shared" si="293"/>
        <v>7%</v>
      </c>
      <c r="AC1101" s="1">
        <f t="shared" si="294"/>
        <v>142</v>
      </c>
      <c r="AD1101" s="52">
        <f t="shared" si="291"/>
        <v>4</v>
      </c>
      <c r="AE1101" t="str">
        <f t="shared" si="295"/>
        <v/>
      </c>
      <c r="AF1101" t="str">
        <f t="shared" si="296"/>
        <v/>
      </c>
      <c r="AG1101" t="str">
        <f t="shared" si="297"/>
        <v/>
      </c>
      <c r="AH1101" t="str">
        <f t="shared" si="298"/>
        <v/>
      </c>
      <c r="AI1101" t="str">
        <f t="shared" si="299"/>
        <v/>
      </c>
      <c r="AJ1101" t="str">
        <f t="shared" si="300"/>
        <v/>
      </c>
      <c r="AK1101" t="str">
        <f t="shared" si="301"/>
        <v/>
      </c>
      <c r="AL1101" t="str">
        <f t="shared" si="302"/>
        <v/>
      </c>
      <c r="AN1101" t="str">
        <f>IFERROR(ROUND(L1101*(G1101/$AW1101)/VLOOKUP(F1101,商品!$A$4:$D$67,4,FALSE),0),"")</f>
        <v/>
      </c>
      <c r="AO1101" t="str">
        <f>IFERROR(ROUND(L1101*(I1101/$AW1101)/VLOOKUP(H1101,商品!$A$4:$D$67,4,FALSE),0),"")</f>
        <v/>
      </c>
      <c r="AP1101" t="str">
        <f>IFERROR(ROUND(L1101*(K1101/$AW1101)/VLOOKUP(J1101,商品!$A$4:$D$67,4,FALSE),0),"")</f>
        <v/>
      </c>
      <c r="AQ1101" t="str">
        <f>IFERROR(ROUND(S1101*(N1101/$AX1101)/VLOOKUP(M1101,职业!$A$3:$E$16,4,FALSE),0),"")</f>
        <v/>
      </c>
      <c r="AR1101" t="str">
        <f>IFERROR(ROUND(S1101*(P1101/$AX1101)/VLOOKUP(O1101,职业!$A$3:$E$16,4,FALSE),0),"")</f>
        <v/>
      </c>
      <c r="AS1101" t="str">
        <f>IFERROR(ROUND(S1101*(R1101/$AX1101)/VLOOKUP(Q1101,职业!$A$3:$E$16,4,FALSE),0),"")</f>
        <v/>
      </c>
      <c r="AT1101" t="str">
        <f>IFERROR(ROUND(X1101*(U1101/$AY1101)/VLOOKUP(T1101,商品!$A$4:$D$67,4,FALSE),0),"")</f>
        <v/>
      </c>
      <c r="AU1101" t="str">
        <f>IFERROR(ROUND(X1101*(W1101/$AY1101)/VLOOKUP(V1101,商品!$A$4:$D$67,4,FALSE),0),"")</f>
        <v/>
      </c>
      <c r="AW1101">
        <f t="shared" si="303"/>
        <v>0</v>
      </c>
      <c r="AX1101">
        <f t="shared" si="304"/>
        <v>0</v>
      </c>
      <c r="AY1101">
        <f t="shared" si="305"/>
        <v>0</v>
      </c>
    </row>
    <row r="1102" customHeight="1" spans="1:51">
      <c r="A1102" s="18" t="s">
        <v>485</v>
      </c>
      <c r="C1102" s="18">
        <v>5</v>
      </c>
      <c r="D1102" s="1" t="s">
        <v>220</v>
      </c>
      <c r="E1102" s="1" t="s">
        <v>224</v>
      </c>
      <c r="L1102" s="18">
        <f>IFERROR(VLOOKUP($D1102&amp;$C1102,生产方式定位!$A$2:$E$38,2,FALSE)+VLOOKUP($E1102&amp;$C1102,生产方式定位!$F$3:$J$38,2,FALSE),0)</f>
        <v>3300</v>
      </c>
      <c r="S1102" s="18">
        <f>IFERROR(VLOOKUP($D1102&amp;$C1102,生产方式定位!$A$2:$E$38,3,FALSE)+VLOOKUP($E1102&amp;$C1102,生产方式定位!$F$3:$J$38,3,FALSE),0)</f>
        <v>10</v>
      </c>
      <c r="X1102" s="18">
        <f>IFERROR(VLOOKUP($D1102&amp;$C1102,生产方式定位!$A$2:$E$38,5,FALSE)+VLOOKUP($E1102&amp;$C1102,生产方式定位!$F$3:$J$38,5,FALSE),"错误")</f>
        <v>3500</v>
      </c>
      <c r="Y1102" s="27" t="str">
        <f t="shared" si="289"/>
        <v/>
      </c>
      <c r="Z1102" s="50" t="str">
        <f t="shared" si="292"/>
        <v/>
      </c>
      <c r="AA1102" s="50" t="str">
        <f t="shared" si="290"/>
        <v/>
      </c>
      <c r="AB1102" s="28" t="str">
        <f t="shared" si="293"/>
        <v>6%</v>
      </c>
      <c r="AC1102" s="1">
        <f t="shared" si="294"/>
        <v>190</v>
      </c>
      <c r="AD1102" s="52">
        <f t="shared" si="291"/>
        <v>5</v>
      </c>
      <c r="AE1102" t="str">
        <f t="shared" si="295"/>
        <v/>
      </c>
      <c r="AF1102" t="str">
        <f t="shared" si="296"/>
        <v/>
      </c>
      <c r="AG1102" t="str">
        <f t="shared" si="297"/>
        <v/>
      </c>
      <c r="AH1102" t="str">
        <f t="shared" si="298"/>
        <v/>
      </c>
      <c r="AI1102" t="str">
        <f t="shared" si="299"/>
        <v/>
      </c>
      <c r="AJ1102" t="str">
        <f t="shared" si="300"/>
        <v/>
      </c>
      <c r="AK1102" t="str">
        <f t="shared" si="301"/>
        <v/>
      </c>
      <c r="AL1102" t="str">
        <f t="shared" si="302"/>
        <v/>
      </c>
      <c r="AN1102" t="str">
        <f>IFERROR(ROUND(L1102*(G1102/$AW1102)/VLOOKUP(F1102,商品!$A$4:$D$67,4,FALSE),0),"")</f>
        <v/>
      </c>
      <c r="AO1102" t="str">
        <f>IFERROR(ROUND(L1102*(I1102/$AW1102)/VLOOKUP(H1102,商品!$A$4:$D$67,4,FALSE),0),"")</f>
        <v/>
      </c>
      <c r="AP1102" t="str">
        <f>IFERROR(ROUND(L1102*(K1102/$AW1102)/VLOOKUP(J1102,商品!$A$4:$D$67,4,FALSE),0),"")</f>
        <v/>
      </c>
      <c r="AQ1102" t="str">
        <f>IFERROR(ROUND(S1102*(N1102/$AX1102)/VLOOKUP(M1102,职业!$A$3:$E$16,4,FALSE),0),"")</f>
        <v/>
      </c>
      <c r="AR1102" t="str">
        <f>IFERROR(ROUND(S1102*(P1102/$AX1102)/VLOOKUP(O1102,职业!$A$3:$E$16,4,FALSE),0),"")</f>
        <v/>
      </c>
      <c r="AS1102" t="str">
        <f>IFERROR(ROUND(S1102*(R1102/$AX1102)/VLOOKUP(Q1102,职业!$A$3:$E$16,4,FALSE),0),"")</f>
        <v/>
      </c>
      <c r="AT1102" t="str">
        <f>IFERROR(ROUND(X1102*(U1102/$AY1102)/VLOOKUP(T1102,商品!$A$4:$D$67,4,FALSE),0),"")</f>
        <v/>
      </c>
      <c r="AU1102" t="str">
        <f>IFERROR(ROUND(X1102*(W1102/$AY1102)/VLOOKUP(V1102,商品!$A$4:$D$67,4,FALSE),0),"")</f>
        <v/>
      </c>
      <c r="AW1102">
        <f t="shared" si="303"/>
        <v>0</v>
      </c>
      <c r="AX1102">
        <f t="shared" si="304"/>
        <v>0</v>
      </c>
      <c r="AY1102">
        <f t="shared" si="305"/>
        <v>0</v>
      </c>
    </row>
    <row r="1103" customHeight="1" spans="1:51">
      <c r="A1103" s="5" t="s">
        <v>485</v>
      </c>
      <c r="C1103" s="5">
        <v>1</v>
      </c>
      <c r="D1103" s="1" t="s">
        <v>220</v>
      </c>
      <c r="E1103" s="1" t="s">
        <v>224</v>
      </c>
      <c r="L1103" s="5">
        <f>IFERROR(VLOOKUP($D1103&amp;$C1103,生产方式定位!$A$2:$E$38,2,FALSE)+VLOOKUP($E1103&amp;$C1103,生产方式定位!$F$3:$J$38,2,FALSE),0)</f>
        <v>500</v>
      </c>
      <c r="S1103" s="5">
        <f>IFERROR(VLOOKUP($D1103&amp;$C1103,生产方式定位!$A$2:$E$38,3,FALSE)+VLOOKUP($E1103&amp;$C1103,生产方式定位!$F$3:$J$38,3,FALSE),0)</f>
        <v>150</v>
      </c>
      <c r="X1103" s="5">
        <f>IFERROR(VLOOKUP($D1103&amp;$C1103,生产方式定位!$A$2:$E$38,5,FALSE)+VLOOKUP($E1103&amp;$C1103,生产方式定位!$F$3:$J$38,5,FALSE),"错误")</f>
        <v>715</v>
      </c>
      <c r="Y1103" s="27" t="str">
        <f t="shared" si="289"/>
        <v/>
      </c>
      <c r="Z1103" s="50" t="str">
        <f t="shared" si="292"/>
        <v/>
      </c>
      <c r="AA1103" s="50" t="str">
        <f t="shared" si="290"/>
        <v/>
      </c>
      <c r="AB1103" s="28" t="str">
        <f t="shared" si="293"/>
        <v>43%</v>
      </c>
      <c r="AC1103" s="1">
        <f t="shared" si="294"/>
        <v>65</v>
      </c>
      <c r="AD1103" s="51">
        <f t="shared" si="291"/>
        <v>1</v>
      </c>
      <c r="AE1103" t="str">
        <f t="shared" si="295"/>
        <v/>
      </c>
      <c r="AF1103" t="str">
        <f t="shared" si="296"/>
        <v/>
      </c>
      <c r="AG1103" t="str">
        <f t="shared" si="297"/>
        <v/>
      </c>
      <c r="AH1103" t="str">
        <f t="shared" si="298"/>
        <v/>
      </c>
      <c r="AI1103" t="str">
        <f t="shared" si="299"/>
        <v/>
      </c>
      <c r="AJ1103" t="str">
        <f t="shared" si="300"/>
        <v/>
      </c>
      <c r="AK1103" t="str">
        <f t="shared" si="301"/>
        <v/>
      </c>
      <c r="AL1103" t="str">
        <f t="shared" si="302"/>
        <v/>
      </c>
      <c r="AN1103" t="str">
        <f>IFERROR(ROUND(L1103*(G1103/$AW1103)/VLOOKUP(F1103,商品!$A$4:$D$67,4,FALSE),0),"")</f>
        <v/>
      </c>
      <c r="AO1103" t="str">
        <f>IFERROR(ROUND(L1103*(I1103/$AW1103)/VLOOKUP(H1103,商品!$A$4:$D$67,4,FALSE),0),"")</f>
        <v/>
      </c>
      <c r="AP1103" t="str">
        <f>IFERROR(ROUND(L1103*(K1103/$AW1103)/VLOOKUP(J1103,商品!$A$4:$D$67,4,FALSE),0),"")</f>
        <v/>
      </c>
      <c r="AQ1103" t="str">
        <f>IFERROR(ROUND(S1103*(N1103/$AX1103)/VLOOKUP(M1103,职业!$A$3:$E$16,4,FALSE),0),"")</f>
        <v/>
      </c>
      <c r="AR1103" t="str">
        <f>IFERROR(ROUND(S1103*(P1103/$AX1103)/VLOOKUP(O1103,职业!$A$3:$E$16,4,FALSE),0),"")</f>
        <v/>
      </c>
      <c r="AS1103" t="str">
        <f>IFERROR(ROUND(S1103*(R1103/$AX1103)/VLOOKUP(Q1103,职业!$A$3:$E$16,4,FALSE),0),"")</f>
        <v/>
      </c>
      <c r="AT1103" t="str">
        <f>IFERROR(ROUND(X1103*(U1103/$AY1103)/VLOOKUP(T1103,商品!$A$4:$D$67,4,FALSE),0),"")</f>
        <v/>
      </c>
      <c r="AU1103" t="str">
        <f>IFERROR(ROUND(X1103*(W1103/$AY1103)/VLOOKUP(V1103,商品!$A$4:$D$67,4,FALSE),0),"")</f>
        <v/>
      </c>
      <c r="AW1103">
        <f t="shared" si="303"/>
        <v>0</v>
      </c>
      <c r="AX1103">
        <f t="shared" si="304"/>
        <v>0</v>
      </c>
      <c r="AY1103">
        <f t="shared" si="305"/>
        <v>0</v>
      </c>
    </row>
    <row r="1104" customHeight="1" spans="1:51">
      <c r="A1104" s="5" t="s">
        <v>485</v>
      </c>
      <c r="C1104" s="5">
        <v>2</v>
      </c>
      <c r="D1104" s="1" t="s">
        <v>220</v>
      </c>
      <c r="E1104" s="1" t="s">
        <v>224</v>
      </c>
      <c r="L1104" s="5">
        <f>IFERROR(VLOOKUP($D1104&amp;$C1104,生产方式定位!$A$2:$E$38,2,FALSE)+VLOOKUP($E1104&amp;$C1104,生产方式定位!$F$3:$J$38,2,FALSE),0)</f>
        <v>1200</v>
      </c>
      <c r="S1104" s="5">
        <f>IFERROR(VLOOKUP($D1104&amp;$C1104,生产方式定位!$A$2:$E$38,3,FALSE)+VLOOKUP($E1104&amp;$C1104,生产方式定位!$F$3:$J$38,3,FALSE),0)</f>
        <v>100</v>
      </c>
      <c r="X1104" s="5">
        <f>IFERROR(VLOOKUP($D1104&amp;$C1104,生产方式定位!$A$2:$E$38,5,FALSE)+VLOOKUP($E1104&amp;$C1104,生产方式定位!$F$3:$J$38,5,FALSE),"错误")</f>
        <v>1346</v>
      </c>
      <c r="Y1104" s="27" t="str">
        <f t="shared" si="289"/>
        <v/>
      </c>
      <c r="Z1104" s="50" t="str">
        <f t="shared" si="292"/>
        <v/>
      </c>
      <c r="AA1104" s="50" t="str">
        <f t="shared" si="290"/>
        <v/>
      </c>
      <c r="AB1104" s="28" t="str">
        <f t="shared" si="293"/>
        <v>12%</v>
      </c>
      <c r="AC1104" s="1">
        <f t="shared" si="294"/>
        <v>46</v>
      </c>
      <c r="AD1104" s="51">
        <f t="shared" si="291"/>
        <v>2</v>
      </c>
      <c r="AE1104" t="str">
        <f t="shared" si="295"/>
        <v/>
      </c>
      <c r="AF1104" t="str">
        <f t="shared" si="296"/>
        <v/>
      </c>
      <c r="AG1104" t="str">
        <f t="shared" si="297"/>
        <v/>
      </c>
      <c r="AH1104" t="str">
        <f t="shared" si="298"/>
        <v/>
      </c>
      <c r="AI1104" t="str">
        <f t="shared" si="299"/>
        <v/>
      </c>
      <c r="AJ1104" t="str">
        <f t="shared" si="300"/>
        <v/>
      </c>
      <c r="AK1104" t="str">
        <f t="shared" si="301"/>
        <v/>
      </c>
      <c r="AL1104" t="str">
        <f t="shared" si="302"/>
        <v/>
      </c>
      <c r="AN1104" t="str">
        <f>IFERROR(ROUND(L1104*(G1104/$AW1104)/VLOOKUP(F1104,商品!$A$4:$D$67,4,FALSE),0),"")</f>
        <v/>
      </c>
      <c r="AO1104" t="str">
        <f>IFERROR(ROUND(L1104*(I1104/$AW1104)/VLOOKUP(H1104,商品!$A$4:$D$67,4,FALSE),0),"")</f>
        <v/>
      </c>
      <c r="AP1104" t="str">
        <f>IFERROR(ROUND(L1104*(K1104/$AW1104)/VLOOKUP(J1104,商品!$A$4:$D$67,4,FALSE),0),"")</f>
        <v/>
      </c>
      <c r="AQ1104" t="str">
        <f>IFERROR(ROUND(S1104*(N1104/$AX1104)/VLOOKUP(M1104,职业!$A$3:$E$16,4,FALSE),0),"")</f>
        <v/>
      </c>
      <c r="AR1104" t="str">
        <f>IFERROR(ROUND(S1104*(P1104/$AX1104)/VLOOKUP(O1104,职业!$A$3:$E$16,4,FALSE),0),"")</f>
        <v/>
      </c>
      <c r="AS1104" t="str">
        <f>IFERROR(ROUND(S1104*(R1104/$AX1104)/VLOOKUP(Q1104,职业!$A$3:$E$16,4,FALSE),0),"")</f>
        <v/>
      </c>
      <c r="AT1104" t="str">
        <f>IFERROR(ROUND(X1104*(U1104/$AY1104)/VLOOKUP(T1104,商品!$A$4:$D$67,4,FALSE),0),"")</f>
        <v/>
      </c>
      <c r="AU1104" t="str">
        <f>IFERROR(ROUND(X1104*(W1104/$AY1104)/VLOOKUP(V1104,商品!$A$4:$D$67,4,FALSE),0),"")</f>
        <v/>
      </c>
      <c r="AW1104">
        <f t="shared" si="303"/>
        <v>0</v>
      </c>
      <c r="AX1104">
        <f t="shared" si="304"/>
        <v>0</v>
      </c>
      <c r="AY1104">
        <f t="shared" si="305"/>
        <v>0</v>
      </c>
    </row>
    <row r="1105" customHeight="1" spans="1:51">
      <c r="A1105" s="5" t="s">
        <v>485</v>
      </c>
      <c r="C1105" s="5">
        <v>3</v>
      </c>
      <c r="D1105" s="1" t="s">
        <v>220</v>
      </c>
      <c r="E1105" s="1" t="s">
        <v>224</v>
      </c>
      <c r="L1105" s="5">
        <f>IFERROR(VLOOKUP($D1105&amp;$C1105,生产方式定位!$A$2:$E$38,2,FALSE)+VLOOKUP($E1105&amp;$C1105,生产方式定位!$F$3:$J$38,2,FALSE),0)</f>
        <v>1900</v>
      </c>
      <c r="S1105" s="5">
        <f>IFERROR(VLOOKUP($D1105&amp;$C1105,生产方式定位!$A$2:$E$38,3,FALSE)+VLOOKUP($E1105&amp;$C1105,生产方式定位!$F$3:$J$38,3,FALSE),0)</f>
        <v>70</v>
      </c>
      <c r="X1105" s="5">
        <f>IFERROR(VLOOKUP($D1105&amp;$C1105,生产方式定位!$A$2:$E$38,5,FALSE)+VLOOKUP($E1105&amp;$C1105,生产方式定位!$F$3:$J$38,5,FALSE),"错误")</f>
        <v>2064</v>
      </c>
      <c r="Y1105" s="27" t="str">
        <f t="shared" si="289"/>
        <v/>
      </c>
      <c r="Z1105" s="50" t="str">
        <f t="shared" si="292"/>
        <v/>
      </c>
      <c r="AA1105" s="50" t="str">
        <f t="shared" si="290"/>
        <v/>
      </c>
      <c r="AB1105" s="28" t="str">
        <f t="shared" si="293"/>
        <v>9%</v>
      </c>
      <c r="AC1105" s="1">
        <f t="shared" si="294"/>
        <v>94</v>
      </c>
      <c r="AD1105" s="51">
        <f t="shared" si="291"/>
        <v>3</v>
      </c>
      <c r="AE1105" t="str">
        <f t="shared" si="295"/>
        <v/>
      </c>
      <c r="AF1105" t="str">
        <f t="shared" si="296"/>
        <v/>
      </c>
      <c r="AG1105" t="str">
        <f t="shared" si="297"/>
        <v/>
      </c>
      <c r="AH1105" t="str">
        <f t="shared" si="298"/>
        <v/>
      </c>
      <c r="AI1105" t="str">
        <f t="shared" si="299"/>
        <v/>
      </c>
      <c r="AJ1105" t="str">
        <f t="shared" si="300"/>
        <v/>
      </c>
      <c r="AK1105" t="str">
        <f t="shared" si="301"/>
        <v/>
      </c>
      <c r="AL1105" t="str">
        <f t="shared" si="302"/>
        <v/>
      </c>
      <c r="AN1105" t="str">
        <f>IFERROR(ROUND(L1105*(G1105/$AW1105)/VLOOKUP(F1105,商品!$A$4:$D$67,4,FALSE),0),"")</f>
        <v/>
      </c>
      <c r="AO1105" t="str">
        <f>IFERROR(ROUND(L1105*(I1105/$AW1105)/VLOOKUP(H1105,商品!$A$4:$D$67,4,FALSE),0),"")</f>
        <v/>
      </c>
      <c r="AP1105" t="str">
        <f>IFERROR(ROUND(L1105*(K1105/$AW1105)/VLOOKUP(J1105,商品!$A$4:$D$67,4,FALSE),0),"")</f>
        <v/>
      </c>
      <c r="AQ1105" t="str">
        <f>IFERROR(ROUND(S1105*(N1105/$AX1105)/VLOOKUP(M1105,职业!$A$3:$E$16,4,FALSE),0),"")</f>
        <v/>
      </c>
      <c r="AR1105" t="str">
        <f>IFERROR(ROUND(S1105*(P1105/$AX1105)/VLOOKUP(O1105,职业!$A$3:$E$16,4,FALSE),0),"")</f>
        <v/>
      </c>
      <c r="AS1105" t="str">
        <f>IFERROR(ROUND(S1105*(R1105/$AX1105)/VLOOKUP(Q1105,职业!$A$3:$E$16,4,FALSE),0),"")</f>
        <v/>
      </c>
      <c r="AT1105" t="str">
        <f>IFERROR(ROUND(X1105*(U1105/$AY1105)/VLOOKUP(T1105,商品!$A$4:$D$67,4,FALSE),0),"")</f>
        <v/>
      </c>
      <c r="AU1105" t="str">
        <f>IFERROR(ROUND(X1105*(W1105/$AY1105)/VLOOKUP(V1105,商品!$A$4:$D$67,4,FALSE),0),"")</f>
        <v/>
      </c>
      <c r="AW1105">
        <f t="shared" si="303"/>
        <v>0</v>
      </c>
      <c r="AX1105">
        <f t="shared" si="304"/>
        <v>0</v>
      </c>
      <c r="AY1105">
        <f t="shared" si="305"/>
        <v>0</v>
      </c>
    </row>
    <row r="1106" customHeight="1" spans="1:51">
      <c r="A1106" s="5" t="s">
        <v>485</v>
      </c>
      <c r="C1106" s="5">
        <v>4</v>
      </c>
      <c r="D1106" s="1" t="s">
        <v>220</v>
      </c>
      <c r="E1106" s="1" t="s">
        <v>224</v>
      </c>
      <c r="L1106" s="5">
        <f>IFERROR(VLOOKUP($D1106&amp;$C1106,生产方式定位!$A$2:$E$38,2,FALSE)+VLOOKUP($E1106&amp;$C1106,生产方式定位!$F$3:$J$38,2,FALSE),0)</f>
        <v>2600</v>
      </c>
      <c r="S1106" s="5">
        <f>IFERROR(VLOOKUP($D1106&amp;$C1106,生产方式定位!$A$2:$E$38,3,FALSE)+VLOOKUP($E1106&amp;$C1106,生产方式定位!$F$3:$J$38,3,FALSE),0)</f>
        <v>40</v>
      </c>
      <c r="X1106" s="5">
        <f>IFERROR(VLOOKUP($D1106&amp;$C1106,生产方式定位!$A$2:$E$38,5,FALSE)+VLOOKUP($E1106&amp;$C1106,生产方式定位!$F$3:$J$38,5,FALSE),"错误")</f>
        <v>2782</v>
      </c>
      <c r="Y1106" s="27" t="str">
        <f t="shared" si="289"/>
        <v/>
      </c>
      <c r="Z1106" s="50" t="str">
        <f t="shared" si="292"/>
        <v/>
      </c>
      <c r="AA1106" s="50" t="str">
        <f t="shared" si="290"/>
        <v/>
      </c>
      <c r="AB1106" s="28" t="str">
        <f t="shared" si="293"/>
        <v>7%</v>
      </c>
      <c r="AC1106" s="1">
        <f t="shared" si="294"/>
        <v>142</v>
      </c>
      <c r="AD1106" s="51">
        <f t="shared" si="291"/>
        <v>4</v>
      </c>
      <c r="AE1106" t="str">
        <f t="shared" si="295"/>
        <v/>
      </c>
      <c r="AF1106" t="str">
        <f t="shared" si="296"/>
        <v/>
      </c>
      <c r="AG1106" t="str">
        <f t="shared" si="297"/>
        <v/>
      </c>
      <c r="AH1106" t="str">
        <f t="shared" si="298"/>
        <v/>
      </c>
      <c r="AI1106" t="str">
        <f t="shared" si="299"/>
        <v/>
      </c>
      <c r="AJ1106" t="str">
        <f t="shared" si="300"/>
        <v/>
      </c>
      <c r="AK1106" t="str">
        <f t="shared" si="301"/>
        <v/>
      </c>
      <c r="AL1106" t="str">
        <f t="shared" si="302"/>
        <v/>
      </c>
      <c r="AN1106" t="str">
        <f>IFERROR(ROUND(L1106*(G1106/$AW1106)/VLOOKUP(F1106,商品!$A$4:$D$67,4,FALSE),0),"")</f>
        <v/>
      </c>
      <c r="AO1106" t="str">
        <f>IFERROR(ROUND(L1106*(I1106/$AW1106)/VLOOKUP(H1106,商品!$A$4:$D$67,4,FALSE),0),"")</f>
        <v/>
      </c>
      <c r="AP1106" t="str">
        <f>IFERROR(ROUND(L1106*(K1106/$AW1106)/VLOOKUP(J1106,商品!$A$4:$D$67,4,FALSE),0),"")</f>
        <v/>
      </c>
      <c r="AQ1106" t="str">
        <f>IFERROR(ROUND(S1106*(N1106/$AX1106)/VLOOKUP(M1106,职业!$A$3:$E$16,4,FALSE),0),"")</f>
        <v/>
      </c>
      <c r="AR1106" t="str">
        <f>IFERROR(ROUND(S1106*(P1106/$AX1106)/VLOOKUP(O1106,职业!$A$3:$E$16,4,FALSE),0),"")</f>
        <v/>
      </c>
      <c r="AS1106" t="str">
        <f>IFERROR(ROUND(S1106*(R1106/$AX1106)/VLOOKUP(Q1106,职业!$A$3:$E$16,4,FALSE),0),"")</f>
        <v/>
      </c>
      <c r="AT1106" t="str">
        <f>IFERROR(ROUND(X1106*(U1106/$AY1106)/VLOOKUP(T1106,商品!$A$4:$D$67,4,FALSE),0),"")</f>
        <v/>
      </c>
      <c r="AU1106" t="str">
        <f>IFERROR(ROUND(X1106*(W1106/$AY1106)/VLOOKUP(V1106,商品!$A$4:$D$67,4,FALSE),0),"")</f>
        <v/>
      </c>
      <c r="AW1106">
        <f t="shared" si="303"/>
        <v>0</v>
      </c>
      <c r="AX1106">
        <f t="shared" si="304"/>
        <v>0</v>
      </c>
      <c r="AY1106">
        <f t="shared" si="305"/>
        <v>0</v>
      </c>
    </row>
    <row r="1107" customHeight="1" spans="1:51">
      <c r="A1107" s="5" t="s">
        <v>485</v>
      </c>
      <c r="C1107" s="5">
        <v>5</v>
      </c>
      <c r="D1107" s="1" t="s">
        <v>220</v>
      </c>
      <c r="E1107" s="1" t="s">
        <v>224</v>
      </c>
      <c r="L1107" s="5">
        <f>IFERROR(VLOOKUP($D1107&amp;$C1107,生产方式定位!$A$2:$E$38,2,FALSE)+VLOOKUP($E1107&amp;$C1107,生产方式定位!$F$3:$J$38,2,FALSE),0)</f>
        <v>3300</v>
      </c>
      <c r="S1107" s="5">
        <f>IFERROR(VLOOKUP($D1107&amp;$C1107,生产方式定位!$A$2:$E$38,3,FALSE)+VLOOKUP($E1107&amp;$C1107,生产方式定位!$F$3:$J$38,3,FALSE),0)</f>
        <v>10</v>
      </c>
      <c r="X1107" s="5">
        <f>IFERROR(VLOOKUP($D1107&amp;$C1107,生产方式定位!$A$2:$E$38,5,FALSE)+VLOOKUP($E1107&amp;$C1107,生产方式定位!$F$3:$J$38,5,FALSE),"错误")</f>
        <v>3500</v>
      </c>
      <c r="Y1107" s="27" t="str">
        <f t="shared" si="289"/>
        <v/>
      </c>
      <c r="Z1107" s="50" t="str">
        <f t="shared" si="292"/>
        <v/>
      </c>
      <c r="AA1107" s="50" t="str">
        <f t="shared" si="290"/>
        <v/>
      </c>
      <c r="AB1107" s="28" t="str">
        <f t="shared" si="293"/>
        <v>6%</v>
      </c>
      <c r="AC1107" s="1">
        <f t="shared" si="294"/>
        <v>190</v>
      </c>
      <c r="AD1107" s="51">
        <f t="shared" si="291"/>
        <v>5</v>
      </c>
      <c r="AE1107" t="str">
        <f t="shared" si="295"/>
        <v/>
      </c>
      <c r="AF1107" t="str">
        <f t="shared" si="296"/>
        <v/>
      </c>
      <c r="AG1107" t="str">
        <f t="shared" si="297"/>
        <v/>
      </c>
      <c r="AH1107" t="str">
        <f t="shared" si="298"/>
        <v/>
      </c>
      <c r="AI1107" t="str">
        <f t="shared" si="299"/>
        <v/>
      </c>
      <c r="AJ1107" t="str">
        <f t="shared" si="300"/>
        <v/>
      </c>
      <c r="AK1107" t="str">
        <f t="shared" si="301"/>
        <v/>
      </c>
      <c r="AL1107" t="str">
        <f t="shared" si="302"/>
        <v/>
      </c>
      <c r="AN1107" t="str">
        <f>IFERROR(ROUND(L1107*(G1107/$AW1107)/VLOOKUP(F1107,商品!$A$4:$D$67,4,FALSE),0),"")</f>
        <v/>
      </c>
      <c r="AO1107" t="str">
        <f>IFERROR(ROUND(L1107*(I1107/$AW1107)/VLOOKUP(H1107,商品!$A$4:$D$67,4,FALSE),0),"")</f>
        <v/>
      </c>
      <c r="AP1107" t="str">
        <f>IFERROR(ROUND(L1107*(K1107/$AW1107)/VLOOKUP(J1107,商品!$A$4:$D$67,4,FALSE),0),"")</f>
        <v/>
      </c>
      <c r="AQ1107" t="str">
        <f>IFERROR(ROUND(S1107*(N1107/$AX1107)/VLOOKUP(M1107,职业!$A$3:$E$16,4,FALSE),0),"")</f>
        <v/>
      </c>
      <c r="AR1107" t="str">
        <f>IFERROR(ROUND(S1107*(P1107/$AX1107)/VLOOKUP(O1107,职业!$A$3:$E$16,4,FALSE),0),"")</f>
        <v/>
      </c>
      <c r="AS1107" t="str">
        <f>IFERROR(ROUND(S1107*(R1107/$AX1107)/VLOOKUP(Q1107,职业!$A$3:$E$16,4,FALSE),0),"")</f>
        <v/>
      </c>
      <c r="AT1107" t="str">
        <f>IFERROR(ROUND(X1107*(U1107/$AY1107)/VLOOKUP(T1107,商品!$A$4:$D$67,4,FALSE),0),"")</f>
        <v/>
      </c>
      <c r="AU1107" t="str">
        <f>IFERROR(ROUND(X1107*(W1107/$AY1107)/VLOOKUP(V1107,商品!$A$4:$D$67,4,FALSE),0),"")</f>
        <v/>
      </c>
      <c r="AW1107">
        <f t="shared" si="303"/>
        <v>0</v>
      </c>
      <c r="AX1107">
        <f t="shared" si="304"/>
        <v>0</v>
      </c>
      <c r="AY1107">
        <f t="shared" si="305"/>
        <v>0</v>
      </c>
    </row>
    <row r="1108" customHeight="1" spans="1:51">
      <c r="A1108" s="18" t="s">
        <v>486</v>
      </c>
      <c r="C1108" s="18">
        <v>1</v>
      </c>
      <c r="D1108" s="1" t="s">
        <v>291</v>
      </c>
      <c r="E1108" s="1" t="s">
        <v>225</v>
      </c>
      <c r="L1108" s="18">
        <f>IFERROR(VLOOKUP($D1108&amp;$C1108,生产方式定位!$A$2:$E$38,2,FALSE)+VLOOKUP($E1108&amp;$C1108,生产方式定位!$F$3:$J$38,2,FALSE),0)</f>
        <v>0</v>
      </c>
      <c r="S1108" s="18">
        <f>IFERROR(VLOOKUP($D1108&amp;$C1108,生产方式定位!$A$2:$E$38,3,FALSE)+VLOOKUP($E1108&amp;$C1108,生产方式定位!$F$3:$J$38,3,FALSE),0)</f>
        <v>100</v>
      </c>
      <c r="X1108" s="18">
        <f>IFERROR(VLOOKUP($D1108&amp;$C1108,生产方式定位!$A$2:$E$38,5,FALSE)+VLOOKUP($E1108&amp;$C1108,生产方式定位!$F$3:$J$38,5,FALSE),"错误")</f>
        <v>100</v>
      </c>
      <c r="Y1108" s="27" t="str">
        <f t="shared" si="289"/>
        <v/>
      </c>
      <c r="Z1108" s="50" t="str">
        <f t="shared" si="292"/>
        <v/>
      </c>
      <c r="AA1108" s="50" t="str">
        <f t="shared" si="290"/>
        <v/>
      </c>
      <c r="AB1108" s="28" t="str">
        <f t="shared" si="293"/>
        <v/>
      </c>
      <c r="AC1108" s="1" t="str">
        <f t="shared" si="294"/>
        <v/>
      </c>
      <c r="AD1108" s="52">
        <f t="shared" si="291"/>
        <v>1</v>
      </c>
      <c r="AE1108" t="str">
        <f t="shared" si="295"/>
        <v/>
      </c>
      <c r="AF1108" t="str">
        <f t="shared" si="296"/>
        <v/>
      </c>
      <c r="AG1108" t="str">
        <f t="shared" si="297"/>
        <v/>
      </c>
      <c r="AH1108" t="str">
        <f t="shared" si="298"/>
        <v/>
      </c>
      <c r="AI1108" t="str">
        <f t="shared" si="299"/>
        <v/>
      </c>
      <c r="AJ1108" t="str">
        <f t="shared" si="300"/>
        <v/>
      </c>
      <c r="AK1108" t="str">
        <f t="shared" si="301"/>
        <v/>
      </c>
      <c r="AL1108" t="str">
        <f t="shared" si="302"/>
        <v/>
      </c>
      <c r="AN1108" t="str">
        <f>IFERROR(ROUND(L1108*(G1108/$AW1108)/VLOOKUP(F1108,商品!$A$4:$D$67,4,FALSE),0),"")</f>
        <v/>
      </c>
      <c r="AO1108" t="str">
        <f>IFERROR(ROUND(L1108*(I1108/$AW1108)/VLOOKUP(H1108,商品!$A$4:$D$67,4,FALSE),0),"")</f>
        <v/>
      </c>
      <c r="AP1108" t="str">
        <f>IFERROR(ROUND(L1108*(K1108/$AW1108)/VLOOKUP(J1108,商品!$A$4:$D$67,4,FALSE),0),"")</f>
        <v/>
      </c>
      <c r="AQ1108" t="str">
        <f>IFERROR(ROUND(S1108*(N1108/$AX1108)/VLOOKUP(M1108,职业!$A$3:$E$16,4,FALSE),0),"")</f>
        <v/>
      </c>
      <c r="AR1108" t="str">
        <f>IFERROR(ROUND(S1108*(P1108/$AX1108)/VLOOKUP(O1108,职业!$A$3:$E$16,4,FALSE),0),"")</f>
        <v/>
      </c>
      <c r="AS1108" t="str">
        <f>IFERROR(ROUND(S1108*(R1108/$AX1108)/VLOOKUP(Q1108,职业!$A$3:$E$16,4,FALSE),0),"")</f>
        <v/>
      </c>
      <c r="AT1108" t="str">
        <f>IFERROR(ROUND(X1108*(U1108/$AY1108)/VLOOKUP(T1108,商品!$A$4:$D$67,4,FALSE),0),"")</f>
        <v/>
      </c>
      <c r="AU1108" t="str">
        <f>IFERROR(ROUND(X1108*(W1108/$AY1108)/VLOOKUP(V1108,商品!$A$4:$D$67,4,FALSE),0),"")</f>
        <v/>
      </c>
      <c r="AW1108">
        <f t="shared" si="303"/>
        <v>0</v>
      </c>
      <c r="AX1108">
        <f t="shared" si="304"/>
        <v>0</v>
      </c>
      <c r="AY1108">
        <f t="shared" si="305"/>
        <v>0</v>
      </c>
    </row>
    <row r="1109" customHeight="1" spans="1:51">
      <c r="A1109" s="18" t="s">
        <v>486</v>
      </c>
      <c r="C1109" s="18">
        <v>2</v>
      </c>
      <c r="D1109" s="1" t="s">
        <v>291</v>
      </c>
      <c r="E1109" s="1" t="s">
        <v>225</v>
      </c>
      <c r="L1109" s="18">
        <f>IFERROR(VLOOKUP($D1109&amp;$C1109,生产方式定位!$A$2:$E$38,2,FALSE)+VLOOKUP($E1109&amp;$C1109,生产方式定位!$F$3:$J$38,2,FALSE),0)</f>
        <v>0</v>
      </c>
      <c r="S1109" s="18">
        <f>IFERROR(VLOOKUP($D1109&amp;$C1109,生产方式定位!$A$2:$E$38,3,FALSE)+VLOOKUP($E1109&amp;$C1109,生产方式定位!$F$3:$J$38,3,FALSE),0)</f>
        <v>100</v>
      </c>
      <c r="X1109" s="18">
        <f>IFERROR(VLOOKUP($D1109&amp;$C1109,生产方式定位!$A$2:$E$38,5,FALSE)+VLOOKUP($E1109&amp;$C1109,生产方式定位!$F$3:$J$38,5,FALSE),"错误")</f>
        <v>100</v>
      </c>
      <c r="Y1109" s="27" t="str">
        <f t="shared" si="289"/>
        <v/>
      </c>
      <c r="Z1109" s="50" t="str">
        <f t="shared" si="292"/>
        <v/>
      </c>
      <c r="AA1109" s="50" t="str">
        <f t="shared" si="290"/>
        <v/>
      </c>
      <c r="AB1109" s="28" t="str">
        <f t="shared" si="293"/>
        <v/>
      </c>
      <c r="AC1109" s="1" t="str">
        <f t="shared" si="294"/>
        <v/>
      </c>
      <c r="AD1109" s="52">
        <f t="shared" si="291"/>
        <v>2</v>
      </c>
      <c r="AE1109" t="str">
        <f t="shared" si="295"/>
        <v/>
      </c>
      <c r="AF1109" t="str">
        <f t="shared" si="296"/>
        <v/>
      </c>
      <c r="AG1109" t="str">
        <f t="shared" si="297"/>
        <v/>
      </c>
      <c r="AH1109" t="str">
        <f t="shared" si="298"/>
        <v/>
      </c>
      <c r="AI1109" t="str">
        <f t="shared" si="299"/>
        <v/>
      </c>
      <c r="AJ1109" t="str">
        <f t="shared" si="300"/>
        <v/>
      </c>
      <c r="AK1109" t="str">
        <f t="shared" si="301"/>
        <v/>
      </c>
      <c r="AL1109" t="str">
        <f t="shared" si="302"/>
        <v/>
      </c>
      <c r="AN1109" t="str">
        <f>IFERROR(ROUND(L1109*(G1109/$AW1109)/VLOOKUP(F1109,商品!$A$4:$D$67,4,FALSE),0),"")</f>
        <v/>
      </c>
      <c r="AO1109" t="str">
        <f>IFERROR(ROUND(L1109*(I1109/$AW1109)/VLOOKUP(H1109,商品!$A$4:$D$67,4,FALSE),0),"")</f>
        <v/>
      </c>
      <c r="AP1109" t="str">
        <f>IFERROR(ROUND(L1109*(K1109/$AW1109)/VLOOKUP(J1109,商品!$A$4:$D$67,4,FALSE),0),"")</f>
        <v/>
      </c>
      <c r="AQ1109" t="str">
        <f>IFERROR(ROUND(S1109*(N1109/$AX1109)/VLOOKUP(M1109,职业!$A$3:$E$16,4,FALSE),0),"")</f>
        <v/>
      </c>
      <c r="AR1109" t="str">
        <f>IFERROR(ROUND(S1109*(P1109/$AX1109)/VLOOKUP(O1109,职业!$A$3:$E$16,4,FALSE),0),"")</f>
        <v/>
      </c>
      <c r="AS1109" t="str">
        <f>IFERROR(ROUND(S1109*(R1109/$AX1109)/VLOOKUP(Q1109,职业!$A$3:$E$16,4,FALSE),0),"")</f>
        <v/>
      </c>
      <c r="AT1109" t="str">
        <f>IFERROR(ROUND(X1109*(U1109/$AY1109)/VLOOKUP(T1109,商品!$A$4:$D$67,4,FALSE),0),"")</f>
        <v/>
      </c>
      <c r="AU1109" t="str">
        <f>IFERROR(ROUND(X1109*(W1109/$AY1109)/VLOOKUP(V1109,商品!$A$4:$D$67,4,FALSE),0),"")</f>
        <v/>
      </c>
      <c r="AW1109">
        <f t="shared" si="303"/>
        <v>0</v>
      </c>
      <c r="AX1109">
        <f t="shared" si="304"/>
        <v>0</v>
      </c>
      <c r="AY1109">
        <f t="shared" si="305"/>
        <v>0</v>
      </c>
    </row>
    <row r="1110" customHeight="1" spans="1:51">
      <c r="A1110" s="18" t="s">
        <v>486</v>
      </c>
      <c r="C1110" s="18">
        <v>3</v>
      </c>
      <c r="D1110" s="1" t="s">
        <v>291</v>
      </c>
      <c r="E1110" s="1" t="s">
        <v>225</v>
      </c>
      <c r="L1110" s="18">
        <f>IFERROR(VLOOKUP($D1110&amp;$C1110,生产方式定位!$A$2:$E$38,2,FALSE)+VLOOKUP($E1110&amp;$C1110,生产方式定位!$F$3:$J$38,2,FALSE),0)</f>
        <v>0</v>
      </c>
      <c r="S1110" s="18">
        <f>IFERROR(VLOOKUP($D1110&amp;$C1110,生产方式定位!$A$2:$E$38,3,FALSE)+VLOOKUP($E1110&amp;$C1110,生产方式定位!$F$3:$J$38,3,FALSE),0)</f>
        <v>100</v>
      </c>
      <c r="X1110" s="18">
        <f>IFERROR(VLOOKUP($D1110&amp;$C1110,生产方式定位!$A$2:$E$38,5,FALSE)+VLOOKUP($E1110&amp;$C1110,生产方式定位!$F$3:$J$38,5,FALSE),"错误")</f>
        <v>100</v>
      </c>
      <c r="Y1110" s="27" t="str">
        <f t="shared" si="289"/>
        <v/>
      </c>
      <c r="Z1110" s="50" t="str">
        <f t="shared" si="292"/>
        <v/>
      </c>
      <c r="AA1110" s="50" t="str">
        <f t="shared" si="290"/>
        <v/>
      </c>
      <c r="AB1110" s="28" t="str">
        <f t="shared" si="293"/>
        <v/>
      </c>
      <c r="AC1110" s="1" t="str">
        <f t="shared" si="294"/>
        <v/>
      </c>
      <c r="AD1110" s="52">
        <f t="shared" si="291"/>
        <v>3</v>
      </c>
      <c r="AE1110" t="str">
        <f t="shared" si="295"/>
        <v/>
      </c>
      <c r="AF1110" t="str">
        <f t="shared" si="296"/>
        <v/>
      </c>
      <c r="AG1110" t="str">
        <f t="shared" si="297"/>
        <v/>
      </c>
      <c r="AH1110" t="str">
        <f t="shared" si="298"/>
        <v/>
      </c>
      <c r="AI1110" t="str">
        <f t="shared" si="299"/>
        <v/>
      </c>
      <c r="AJ1110" t="str">
        <f t="shared" si="300"/>
        <v/>
      </c>
      <c r="AK1110" t="str">
        <f t="shared" si="301"/>
        <v/>
      </c>
      <c r="AL1110" t="str">
        <f t="shared" si="302"/>
        <v/>
      </c>
      <c r="AN1110" t="str">
        <f>IFERROR(ROUND(L1110*(G1110/$AW1110)/VLOOKUP(F1110,商品!$A$4:$D$67,4,FALSE),0),"")</f>
        <v/>
      </c>
      <c r="AO1110" t="str">
        <f>IFERROR(ROUND(L1110*(I1110/$AW1110)/VLOOKUP(H1110,商品!$A$4:$D$67,4,FALSE),0),"")</f>
        <v/>
      </c>
      <c r="AP1110" t="str">
        <f>IFERROR(ROUND(L1110*(K1110/$AW1110)/VLOOKUP(J1110,商品!$A$4:$D$67,4,FALSE),0),"")</f>
        <v/>
      </c>
      <c r="AQ1110" t="str">
        <f>IFERROR(ROUND(S1110*(N1110/$AX1110)/VLOOKUP(M1110,职业!$A$3:$E$16,4,FALSE),0),"")</f>
        <v/>
      </c>
      <c r="AR1110" t="str">
        <f>IFERROR(ROUND(S1110*(P1110/$AX1110)/VLOOKUP(O1110,职业!$A$3:$E$16,4,FALSE),0),"")</f>
        <v/>
      </c>
      <c r="AS1110" t="str">
        <f>IFERROR(ROUND(S1110*(R1110/$AX1110)/VLOOKUP(Q1110,职业!$A$3:$E$16,4,FALSE),0),"")</f>
        <v/>
      </c>
      <c r="AT1110" t="str">
        <f>IFERROR(ROUND(X1110*(U1110/$AY1110)/VLOOKUP(T1110,商品!$A$4:$D$67,4,FALSE),0),"")</f>
        <v/>
      </c>
      <c r="AU1110" t="str">
        <f>IFERROR(ROUND(X1110*(W1110/$AY1110)/VLOOKUP(V1110,商品!$A$4:$D$67,4,FALSE),0),"")</f>
        <v/>
      </c>
      <c r="AW1110">
        <f t="shared" si="303"/>
        <v>0</v>
      </c>
      <c r="AX1110">
        <f t="shared" si="304"/>
        <v>0</v>
      </c>
      <c r="AY1110">
        <f t="shared" si="305"/>
        <v>0</v>
      </c>
    </row>
    <row r="1111" customHeight="1" spans="1:51">
      <c r="A1111" s="18" t="s">
        <v>486</v>
      </c>
      <c r="C1111" s="18">
        <v>4</v>
      </c>
      <c r="D1111" s="1" t="s">
        <v>291</v>
      </c>
      <c r="E1111" s="1" t="s">
        <v>225</v>
      </c>
      <c r="L1111" s="18">
        <f>IFERROR(VLOOKUP($D1111&amp;$C1111,生产方式定位!$A$2:$E$38,2,FALSE)+VLOOKUP($E1111&amp;$C1111,生产方式定位!$F$3:$J$38,2,FALSE),0)</f>
        <v>0</v>
      </c>
      <c r="S1111" s="18">
        <f>IFERROR(VLOOKUP($D1111&amp;$C1111,生产方式定位!$A$2:$E$38,3,FALSE)+VLOOKUP($E1111&amp;$C1111,生产方式定位!$F$3:$J$38,3,FALSE),0)</f>
        <v>100</v>
      </c>
      <c r="X1111" s="18">
        <f>IFERROR(VLOOKUP($D1111&amp;$C1111,生产方式定位!$A$2:$E$38,5,FALSE)+VLOOKUP($E1111&amp;$C1111,生产方式定位!$F$3:$J$38,5,FALSE),"错误")</f>
        <v>100</v>
      </c>
      <c r="Y1111" s="27" t="str">
        <f t="shared" si="289"/>
        <v/>
      </c>
      <c r="Z1111" s="50" t="str">
        <f t="shared" si="292"/>
        <v/>
      </c>
      <c r="AA1111" s="50" t="str">
        <f t="shared" si="290"/>
        <v/>
      </c>
      <c r="AB1111" s="28" t="str">
        <f t="shared" si="293"/>
        <v/>
      </c>
      <c r="AC1111" s="1" t="str">
        <f t="shared" si="294"/>
        <v/>
      </c>
      <c r="AD1111" s="52">
        <f t="shared" si="291"/>
        <v>4</v>
      </c>
      <c r="AE1111" t="str">
        <f t="shared" si="295"/>
        <v/>
      </c>
      <c r="AF1111" t="str">
        <f t="shared" si="296"/>
        <v/>
      </c>
      <c r="AG1111" t="str">
        <f t="shared" si="297"/>
        <v/>
      </c>
      <c r="AH1111" t="str">
        <f t="shared" si="298"/>
        <v/>
      </c>
      <c r="AI1111" t="str">
        <f t="shared" si="299"/>
        <v/>
      </c>
      <c r="AJ1111" t="str">
        <f t="shared" si="300"/>
        <v/>
      </c>
      <c r="AK1111" t="str">
        <f t="shared" si="301"/>
        <v/>
      </c>
      <c r="AL1111" t="str">
        <f t="shared" si="302"/>
        <v/>
      </c>
      <c r="AN1111" t="str">
        <f>IFERROR(ROUND(L1111*(G1111/$AW1111)/VLOOKUP(F1111,商品!$A$4:$D$67,4,FALSE),0),"")</f>
        <v/>
      </c>
      <c r="AO1111" t="str">
        <f>IFERROR(ROUND(L1111*(I1111/$AW1111)/VLOOKUP(H1111,商品!$A$4:$D$67,4,FALSE),0),"")</f>
        <v/>
      </c>
      <c r="AP1111" t="str">
        <f>IFERROR(ROUND(L1111*(K1111/$AW1111)/VLOOKUP(J1111,商品!$A$4:$D$67,4,FALSE),0),"")</f>
        <v/>
      </c>
      <c r="AQ1111" t="str">
        <f>IFERROR(ROUND(S1111*(N1111/$AX1111)/VLOOKUP(M1111,职业!$A$3:$E$16,4,FALSE),0),"")</f>
        <v/>
      </c>
      <c r="AR1111" t="str">
        <f>IFERROR(ROUND(S1111*(P1111/$AX1111)/VLOOKUP(O1111,职业!$A$3:$E$16,4,FALSE),0),"")</f>
        <v/>
      </c>
      <c r="AS1111" t="str">
        <f>IFERROR(ROUND(S1111*(R1111/$AX1111)/VLOOKUP(Q1111,职业!$A$3:$E$16,4,FALSE),0),"")</f>
        <v/>
      </c>
      <c r="AT1111" t="str">
        <f>IFERROR(ROUND(X1111*(U1111/$AY1111)/VLOOKUP(T1111,商品!$A$4:$D$67,4,FALSE),0),"")</f>
        <v/>
      </c>
      <c r="AU1111" t="str">
        <f>IFERROR(ROUND(X1111*(W1111/$AY1111)/VLOOKUP(V1111,商品!$A$4:$D$67,4,FALSE),0),"")</f>
        <v/>
      </c>
      <c r="AW1111">
        <f t="shared" si="303"/>
        <v>0</v>
      </c>
      <c r="AX1111">
        <f t="shared" si="304"/>
        <v>0</v>
      </c>
      <c r="AY1111">
        <f t="shared" si="305"/>
        <v>0</v>
      </c>
    </row>
    <row r="1112" customHeight="1" spans="1:51">
      <c r="A1112" s="18" t="s">
        <v>486</v>
      </c>
      <c r="C1112" s="18">
        <v>5</v>
      </c>
      <c r="D1112" s="1" t="s">
        <v>291</v>
      </c>
      <c r="E1112" s="1" t="s">
        <v>225</v>
      </c>
      <c r="L1112" s="18">
        <f>IFERROR(VLOOKUP($D1112&amp;$C1112,生产方式定位!$A$2:$E$38,2,FALSE)+VLOOKUP($E1112&amp;$C1112,生产方式定位!$F$3:$J$38,2,FALSE),0)</f>
        <v>0</v>
      </c>
      <c r="S1112" s="18">
        <f>IFERROR(VLOOKUP($D1112&amp;$C1112,生产方式定位!$A$2:$E$38,3,FALSE)+VLOOKUP($E1112&amp;$C1112,生产方式定位!$F$3:$J$38,3,FALSE),0)</f>
        <v>100</v>
      </c>
      <c r="X1112" s="18">
        <f>IFERROR(VLOOKUP($D1112&amp;$C1112,生产方式定位!$A$2:$E$38,5,FALSE)+VLOOKUP($E1112&amp;$C1112,生产方式定位!$F$3:$J$38,5,FALSE),"错误")</f>
        <v>100</v>
      </c>
      <c r="Y1112" s="27" t="str">
        <f t="shared" si="289"/>
        <v/>
      </c>
      <c r="Z1112" s="50" t="str">
        <f t="shared" si="292"/>
        <v/>
      </c>
      <c r="AA1112" s="50" t="str">
        <f t="shared" si="290"/>
        <v/>
      </c>
      <c r="AB1112" s="28" t="str">
        <f t="shared" si="293"/>
        <v/>
      </c>
      <c r="AC1112" s="1" t="str">
        <f t="shared" si="294"/>
        <v/>
      </c>
      <c r="AD1112" s="52">
        <f t="shared" si="291"/>
        <v>5</v>
      </c>
      <c r="AE1112" t="str">
        <f t="shared" si="295"/>
        <v/>
      </c>
      <c r="AF1112" t="str">
        <f t="shared" si="296"/>
        <v/>
      </c>
      <c r="AG1112" t="str">
        <f t="shared" si="297"/>
        <v/>
      </c>
      <c r="AH1112" t="str">
        <f t="shared" si="298"/>
        <v/>
      </c>
      <c r="AI1112" t="str">
        <f t="shared" si="299"/>
        <v/>
      </c>
      <c r="AJ1112" t="str">
        <f t="shared" si="300"/>
        <v/>
      </c>
      <c r="AK1112" t="str">
        <f t="shared" si="301"/>
        <v/>
      </c>
      <c r="AL1112" t="str">
        <f t="shared" si="302"/>
        <v/>
      </c>
      <c r="AN1112" t="str">
        <f>IFERROR(ROUND(L1112*(G1112/$AW1112)/VLOOKUP(F1112,商品!$A$4:$D$67,4,FALSE),0),"")</f>
        <v/>
      </c>
      <c r="AO1112" t="str">
        <f>IFERROR(ROUND(L1112*(I1112/$AW1112)/VLOOKUP(H1112,商品!$A$4:$D$67,4,FALSE),0),"")</f>
        <v/>
      </c>
      <c r="AP1112" t="str">
        <f>IFERROR(ROUND(L1112*(K1112/$AW1112)/VLOOKUP(J1112,商品!$A$4:$D$67,4,FALSE),0),"")</f>
        <v/>
      </c>
      <c r="AQ1112" t="str">
        <f>IFERROR(ROUND(S1112*(N1112/$AX1112)/VLOOKUP(M1112,职业!$A$3:$E$16,4,FALSE),0),"")</f>
        <v/>
      </c>
      <c r="AR1112" t="str">
        <f>IFERROR(ROUND(S1112*(P1112/$AX1112)/VLOOKUP(O1112,职业!$A$3:$E$16,4,FALSE),0),"")</f>
        <v/>
      </c>
      <c r="AS1112" t="str">
        <f>IFERROR(ROUND(S1112*(R1112/$AX1112)/VLOOKUP(Q1112,职业!$A$3:$E$16,4,FALSE),0),"")</f>
        <v/>
      </c>
      <c r="AT1112" t="str">
        <f>IFERROR(ROUND(X1112*(U1112/$AY1112)/VLOOKUP(T1112,商品!$A$4:$D$67,4,FALSE),0),"")</f>
        <v/>
      </c>
      <c r="AU1112" t="str">
        <f>IFERROR(ROUND(X1112*(W1112/$AY1112)/VLOOKUP(V1112,商品!$A$4:$D$67,4,FALSE),0),"")</f>
        <v/>
      </c>
      <c r="AW1112">
        <f t="shared" si="303"/>
        <v>0</v>
      </c>
      <c r="AX1112">
        <f t="shared" si="304"/>
        <v>0</v>
      </c>
      <c r="AY1112">
        <f t="shared" si="305"/>
        <v>0</v>
      </c>
    </row>
    <row r="1113" customHeight="1" spans="1:51">
      <c r="A1113" s="18" t="s">
        <v>486</v>
      </c>
      <c r="C1113" s="18">
        <v>6</v>
      </c>
      <c r="D1113" s="1" t="s">
        <v>291</v>
      </c>
      <c r="E1113" s="1" t="s">
        <v>225</v>
      </c>
      <c r="L1113" s="18">
        <f>IFERROR(VLOOKUP($D1113&amp;$C1113,生产方式定位!$A$2:$E$38,2,FALSE)+VLOOKUP($E1113&amp;$C1113,生产方式定位!$F$3:$J$38,2,FALSE),0)</f>
        <v>0</v>
      </c>
      <c r="S1113" s="18">
        <f>IFERROR(VLOOKUP($D1113&amp;$C1113,生产方式定位!$A$2:$E$38,3,FALSE)+VLOOKUP($E1113&amp;$C1113,生产方式定位!$F$3:$J$38,3,FALSE),0)</f>
        <v>100</v>
      </c>
      <c r="X1113" s="18">
        <f>IFERROR(VLOOKUP($D1113&amp;$C1113,生产方式定位!$A$2:$E$38,5,FALSE)+VLOOKUP($E1113&amp;$C1113,生产方式定位!$F$3:$J$38,5,FALSE),"错误")</f>
        <v>100</v>
      </c>
      <c r="Y1113" s="27" t="str">
        <f t="shared" si="289"/>
        <v/>
      </c>
      <c r="Z1113" s="50" t="str">
        <f t="shared" si="292"/>
        <v/>
      </c>
      <c r="AA1113" s="50" t="str">
        <f t="shared" si="290"/>
        <v/>
      </c>
      <c r="AB1113" s="28" t="str">
        <f t="shared" si="293"/>
        <v/>
      </c>
      <c r="AC1113" s="1" t="str">
        <f t="shared" si="294"/>
        <v/>
      </c>
      <c r="AD1113" s="52">
        <f t="shared" si="291"/>
        <v>6</v>
      </c>
      <c r="AE1113" t="str">
        <f t="shared" si="295"/>
        <v/>
      </c>
      <c r="AF1113" t="str">
        <f t="shared" si="296"/>
        <v/>
      </c>
      <c r="AG1113" t="str">
        <f t="shared" si="297"/>
        <v/>
      </c>
      <c r="AH1113" t="str">
        <f t="shared" si="298"/>
        <v/>
      </c>
      <c r="AI1113" t="str">
        <f t="shared" si="299"/>
        <v/>
      </c>
      <c r="AJ1113" t="str">
        <f t="shared" si="300"/>
        <v/>
      </c>
      <c r="AK1113" t="str">
        <f t="shared" si="301"/>
        <v/>
      </c>
      <c r="AL1113" t="str">
        <f t="shared" si="302"/>
        <v/>
      </c>
      <c r="AN1113" t="str">
        <f>IFERROR(ROUND(L1113*(G1113/$AW1113)/VLOOKUP(F1113,商品!$A$4:$D$67,4,FALSE),0),"")</f>
        <v/>
      </c>
      <c r="AO1113" t="str">
        <f>IFERROR(ROUND(L1113*(I1113/$AW1113)/VLOOKUP(H1113,商品!$A$4:$D$67,4,FALSE),0),"")</f>
        <v/>
      </c>
      <c r="AP1113" t="str">
        <f>IFERROR(ROUND(L1113*(K1113/$AW1113)/VLOOKUP(J1113,商品!$A$4:$D$67,4,FALSE),0),"")</f>
        <v/>
      </c>
      <c r="AQ1113" t="str">
        <f>IFERROR(ROUND(S1113*(N1113/$AX1113)/VLOOKUP(M1113,职业!$A$3:$E$16,4,FALSE),0),"")</f>
        <v/>
      </c>
      <c r="AR1113" t="str">
        <f>IFERROR(ROUND(S1113*(P1113/$AX1113)/VLOOKUP(O1113,职业!$A$3:$E$16,4,FALSE),0),"")</f>
        <v/>
      </c>
      <c r="AS1113" t="str">
        <f>IFERROR(ROUND(S1113*(R1113/$AX1113)/VLOOKUP(Q1113,职业!$A$3:$E$16,4,FALSE),0),"")</f>
        <v/>
      </c>
      <c r="AT1113" t="str">
        <f>IFERROR(ROUND(X1113*(U1113/$AY1113)/VLOOKUP(T1113,商品!$A$4:$D$67,4,FALSE),0),"")</f>
        <v/>
      </c>
      <c r="AU1113" t="str">
        <f>IFERROR(ROUND(X1113*(W1113/$AY1113)/VLOOKUP(V1113,商品!$A$4:$D$67,4,FALSE),0),"")</f>
        <v/>
      </c>
      <c r="AW1113">
        <f t="shared" si="303"/>
        <v>0</v>
      </c>
      <c r="AX1113">
        <f t="shared" si="304"/>
        <v>0</v>
      </c>
      <c r="AY1113">
        <f t="shared" si="305"/>
        <v>0</v>
      </c>
    </row>
    <row r="1114" customHeight="1" spans="1:51">
      <c r="A1114" s="18" t="s">
        <v>486</v>
      </c>
      <c r="C1114" s="18">
        <v>7</v>
      </c>
      <c r="D1114" s="1" t="s">
        <v>291</v>
      </c>
      <c r="E1114" s="1" t="s">
        <v>225</v>
      </c>
      <c r="L1114" s="18">
        <f>IFERROR(VLOOKUP($D1114&amp;$C1114,生产方式定位!$A$2:$E$38,2,FALSE)+VLOOKUP($E1114&amp;$C1114,生产方式定位!$F$3:$J$38,2,FALSE),0)</f>
        <v>0</v>
      </c>
      <c r="S1114" s="18">
        <f>IFERROR(VLOOKUP($D1114&amp;$C1114,生产方式定位!$A$2:$E$38,3,FALSE)+VLOOKUP($E1114&amp;$C1114,生产方式定位!$F$3:$J$38,3,FALSE),0)</f>
        <v>100</v>
      </c>
      <c r="X1114" s="18">
        <f>IFERROR(VLOOKUP($D1114&amp;$C1114,生产方式定位!$A$2:$E$38,5,FALSE)+VLOOKUP($E1114&amp;$C1114,生产方式定位!$F$3:$J$38,5,FALSE),"错误")</f>
        <v>100</v>
      </c>
      <c r="Y1114" s="27" t="str">
        <f t="shared" si="289"/>
        <v/>
      </c>
      <c r="Z1114" s="50" t="str">
        <f t="shared" si="292"/>
        <v/>
      </c>
      <c r="AA1114" s="50" t="str">
        <f t="shared" si="290"/>
        <v/>
      </c>
      <c r="AB1114" s="28" t="str">
        <f t="shared" si="293"/>
        <v/>
      </c>
      <c r="AC1114" s="1" t="str">
        <f t="shared" si="294"/>
        <v/>
      </c>
      <c r="AD1114" s="52">
        <f t="shared" si="291"/>
        <v>7</v>
      </c>
      <c r="AE1114" t="str">
        <f t="shared" si="295"/>
        <v/>
      </c>
      <c r="AF1114" t="str">
        <f t="shared" si="296"/>
        <v/>
      </c>
      <c r="AG1114" t="str">
        <f t="shared" si="297"/>
        <v/>
      </c>
      <c r="AH1114" t="str">
        <f t="shared" si="298"/>
        <v/>
      </c>
      <c r="AI1114" t="str">
        <f t="shared" si="299"/>
        <v/>
      </c>
      <c r="AJ1114" t="str">
        <f t="shared" si="300"/>
        <v/>
      </c>
      <c r="AK1114" t="str">
        <f t="shared" si="301"/>
        <v/>
      </c>
      <c r="AL1114" t="str">
        <f t="shared" si="302"/>
        <v/>
      </c>
      <c r="AN1114" t="str">
        <f>IFERROR(ROUND(L1114*(G1114/$AW1114)/VLOOKUP(F1114,商品!$A$4:$D$67,4,FALSE),0),"")</f>
        <v/>
      </c>
      <c r="AO1114" t="str">
        <f>IFERROR(ROUND(L1114*(I1114/$AW1114)/VLOOKUP(H1114,商品!$A$4:$D$67,4,FALSE),0),"")</f>
        <v/>
      </c>
      <c r="AP1114" t="str">
        <f>IFERROR(ROUND(L1114*(K1114/$AW1114)/VLOOKUP(J1114,商品!$A$4:$D$67,4,FALSE),0),"")</f>
        <v/>
      </c>
      <c r="AQ1114" t="str">
        <f>IFERROR(ROUND(S1114*(N1114/$AX1114)/VLOOKUP(M1114,职业!$A$3:$E$16,4,FALSE),0),"")</f>
        <v/>
      </c>
      <c r="AR1114" t="str">
        <f>IFERROR(ROUND(S1114*(P1114/$AX1114)/VLOOKUP(O1114,职业!$A$3:$E$16,4,FALSE),0),"")</f>
        <v/>
      </c>
      <c r="AS1114" t="str">
        <f>IFERROR(ROUND(S1114*(R1114/$AX1114)/VLOOKUP(Q1114,职业!$A$3:$E$16,4,FALSE),0),"")</f>
        <v/>
      </c>
      <c r="AT1114" t="str">
        <f>IFERROR(ROUND(X1114*(U1114/$AY1114)/VLOOKUP(T1114,商品!$A$4:$D$67,4,FALSE),0),"")</f>
        <v/>
      </c>
      <c r="AU1114" t="str">
        <f>IFERROR(ROUND(X1114*(W1114/$AY1114)/VLOOKUP(V1114,商品!$A$4:$D$67,4,FALSE),0),"")</f>
        <v/>
      </c>
      <c r="AW1114">
        <f t="shared" si="303"/>
        <v>0</v>
      </c>
      <c r="AX1114">
        <f t="shared" si="304"/>
        <v>0</v>
      </c>
      <c r="AY1114">
        <f t="shared" si="305"/>
        <v>0</v>
      </c>
    </row>
    <row r="1115" customHeight="1" spans="1:51">
      <c r="A1115" s="18" t="s">
        <v>486</v>
      </c>
      <c r="C1115" s="18">
        <v>8</v>
      </c>
      <c r="D1115" s="1" t="s">
        <v>291</v>
      </c>
      <c r="E1115" s="1" t="s">
        <v>225</v>
      </c>
      <c r="L1115" s="18">
        <f>IFERROR(VLOOKUP($D1115&amp;$C1115,生产方式定位!$A$2:$E$38,2,FALSE)+VLOOKUP($E1115&amp;$C1115,生产方式定位!$F$3:$J$38,2,FALSE),0)</f>
        <v>0</v>
      </c>
      <c r="S1115" s="18">
        <f>IFERROR(VLOOKUP($D1115&amp;$C1115,生产方式定位!$A$2:$E$38,3,FALSE)+VLOOKUP($E1115&amp;$C1115,生产方式定位!$F$3:$J$38,3,FALSE),0)</f>
        <v>100</v>
      </c>
      <c r="X1115" s="18">
        <f>IFERROR(VLOOKUP($D1115&amp;$C1115,生产方式定位!$A$2:$E$38,5,FALSE)+VLOOKUP($E1115&amp;$C1115,生产方式定位!$F$3:$J$38,5,FALSE),"错误")</f>
        <v>100</v>
      </c>
      <c r="Y1115" s="27" t="str">
        <f t="shared" si="289"/>
        <v/>
      </c>
      <c r="Z1115" s="50" t="str">
        <f t="shared" si="292"/>
        <v/>
      </c>
      <c r="AA1115" s="50" t="str">
        <f t="shared" si="290"/>
        <v/>
      </c>
      <c r="AB1115" s="28" t="str">
        <f t="shared" si="293"/>
        <v/>
      </c>
      <c r="AC1115" s="1" t="str">
        <f t="shared" si="294"/>
        <v/>
      </c>
      <c r="AD1115" s="52">
        <f t="shared" si="291"/>
        <v>8</v>
      </c>
      <c r="AE1115" t="str">
        <f t="shared" si="295"/>
        <v/>
      </c>
      <c r="AF1115" t="str">
        <f t="shared" si="296"/>
        <v/>
      </c>
      <c r="AG1115" t="str">
        <f t="shared" si="297"/>
        <v/>
      </c>
      <c r="AH1115" t="str">
        <f t="shared" si="298"/>
        <v/>
      </c>
      <c r="AI1115" t="str">
        <f t="shared" si="299"/>
        <v/>
      </c>
      <c r="AJ1115" t="str">
        <f t="shared" si="300"/>
        <v/>
      </c>
      <c r="AK1115" t="str">
        <f t="shared" si="301"/>
        <v/>
      </c>
      <c r="AL1115" t="str">
        <f t="shared" si="302"/>
        <v/>
      </c>
      <c r="AN1115" t="str">
        <f>IFERROR(ROUND(L1115*(G1115/$AW1115)/VLOOKUP(F1115,商品!$A$4:$D$67,4,FALSE),0),"")</f>
        <v/>
      </c>
      <c r="AO1115" t="str">
        <f>IFERROR(ROUND(L1115*(I1115/$AW1115)/VLOOKUP(H1115,商品!$A$4:$D$67,4,FALSE),0),"")</f>
        <v/>
      </c>
      <c r="AP1115" t="str">
        <f>IFERROR(ROUND(L1115*(K1115/$AW1115)/VLOOKUP(J1115,商品!$A$4:$D$67,4,FALSE),0),"")</f>
        <v/>
      </c>
      <c r="AQ1115" t="str">
        <f>IFERROR(ROUND(S1115*(N1115/$AX1115)/VLOOKUP(M1115,职业!$A$3:$E$16,4,FALSE),0),"")</f>
        <v/>
      </c>
      <c r="AR1115" t="str">
        <f>IFERROR(ROUND(S1115*(P1115/$AX1115)/VLOOKUP(O1115,职业!$A$3:$E$16,4,FALSE),0),"")</f>
        <v/>
      </c>
      <c r="AS1115" t="str">
        <f>IFERROR(ROUND(S1115*(R1115/$AX1115)/VLOOKUP(Q1115,职业!$A$3:$E$16,4,FALSE),0),"")</f>
        <v/>
      </c>
      <c r="AT1115" t="str">
        <f>IFERROR(ROUND(X1115*(U1115/$AY1115)/VLOOKUP(T1115,商品!$A$4:$D$67,4,FALSE),0),"")</f>
        <v/>
      </c>
      <c r="AU1115" t="str">
        <f>IFERROR(ROUND(X1115*(W1115/$AY1115)/VLOOKUP(V1115,商品!$A$4:$D$67,4,FALSE),0),"")</f>
        <v/>
      </c>
      <c r="AW1115">
        <f t="shared" si="303"/>
        <v>0</v>
      </c>
      <c r="AX1115">
        <f t="shared" si="304"/>
        <v>0</v>
      </c>
      <c r="AY1115">
        <f t="shared" si="305"/>
        <v>0</v>
      </c>
    </row>
    <row r="1116" customHeight="1" spans="1:51">
      <c r="A1116" s="5" t="s">
        <v>488</v>
      </c>
      <c r="C1116" s="5">
        <v>1</v>
      </c>
      <c r="D1116" s="1" t="s">
        <v>220</v>
      </c>
      <c r="E1116" s="1" t="s">
        <v>222</v>
      </c>
      <c r="L1116" s="5">
        <f>IFERROR(VLOOKUP($D1116&amp;$C1116,生产方式定位!$A$2:$E$38,2,FALSE)+VLOOKUP($E1116&amp;$C1116,生产方式定位!$F$3:$J$38,2,FALSE),0)</f>
        <v>500</v>
      </c>
      <c r="S1116" s="5">
        <f>IFERROR(VLOOKUP($D1116&amp;$C1116,生产方式定位!$A$2:$E$38,3,FALSE)+VLOOKUP($E1116&amp;$C1116,生产方式定位!$F$3:$J$38,3,FALSE),0)</f>
        <v>150</v>
      </c>
      <c r="X1116" s="5">
        <f>IFERROR(VLOOKUP($D1116&amp;$C1116,生产方式定位!$A$2:$E$38,5,FALSE)+VLOOKUP($E1116&amp;$C1116,生产方式定位!$F$3:$J$38,5,FALSE),"错误")</f>
        <v>715</v>
      </c>
      <c r="Y1116" s="27" t="str">
        <f t="shared" si="289"/>
        <v/>
      </c>
      <c r="Z1116" s="50" t="str">
        <f t="shared" si="292"/>
        <v/>
      </c>
      <c r="AA1116" s="50" t="str">
        <f t="shared" si="290"/>
        <v/>
      </c>
      <c r="AB1116" s="28" t="str">
        <f t="shared" si="293"/>
        <v>43%</v>
      </c>
      <c r="AC1116" s="1">
        <f t="shared" si="294"/>
        <v>65</v>
      </c>
      <c r="AD1116" s="51">
        <f t="shared" si="291"/>
        <v>1</v>
      </c>
      <c r="AE1116" t="str">
        <f t="shared" si="295"/>
        <v/>
      </c>
      <c r="AF1116" t="str">
        <f t="shared" si="296"/>
        <v/>
      </c>
      <c r="AG1116" t="str">
        <f t="shared" si="297"/>
        <v/>
      </c>
      <c r="AH1116" t="str">
        <f t="shared" si="298"/>
        <v/>
      </c>
      <c r="AI1116" t="str">
        <f t="shared" si="299"/>
        <v/>
      </c>
      <c r="AJ1116" t="str">
        <f t="shared" si="300"/>
        <v/>
      </c>
      <c r="AK1116" t="str">
        <f t="shared" si="301"/>
        <v/>
      </c>
      <c r="AL1116" t="str">
        <f t="shared" si="302"/>
        <v/>
      </c>
      <c r="AN1116" t="str">
        <f>IFERROR(ROUND(L1116*(G1116/$AW1116)/VLOOKUP(F1116,商品!$A$4:$D$67,4,FALSE),0),"")</f>
        <v/>
      </c>
      <c r="AO1116" t="str">
        <f>IFERROR(ROUND(L1116*(I1116/$AW1116)/VLOOKUP(H1116,商品!$A$4:$D$67,4,FALSE),0),"")</f>
        <v/>
      </c>
      <c r="AP1116" t="str">
        <f>IFERROR(ROUND(L1116*(K1116/$AW1116)/VLOOKUP(J1116,商品!$A$4:$D$67,4,FALSE),0),"")</f>
        <v/>
      </c>
      <c r="AQ1116" t="str">
        <f>IFERROR(ROUND(S1116*(N1116/$AX1116)/VLOOKUP(M1116,职业!$A$3:$E$16,4,FALSE),0),"")</f>
        <v/>
      </c>
      <c r="AR1116" t="str">
        <f>IFERROR(ROUND(S1116*(P1116/$AX1116)/VLOOKUP(O1116,职业!$A$3:$E$16,4,FALSE),0),"")</f>
        <v/>
      </c>
      <c r="AS1116" t="str">
        <f>IFERROR(ROUND(S1116*(R1116/$AX1116)/VLOOKUP(Q1116,职业!$A$3:$E$16,4,FALSE),0),"")</f>
        <v/>
      </c>
      <c r="AT1116" t="str">
        <f>IFERROR(ROUND(X1116*(U1116/$AY1116)/VLOOKUP(T1116,商品!$A$4:$D$67,4,FALSE),0),"")</f>
        <v/>
      </c>
      <c r="AU1116" t="str">
        <f>IFERROR(ROUND(X1116*(W1116/$AY1116)/VLOOKUP(V1116,商品!$A$4:$D$67,4,FALSE),0),"")</f>
        <v/>
      </c>
      <c r="AW1116">
        <f t="shared" si="303"/>
        <v>0</v>
      </c>
      <c r="AX1116">
        <f t="shared" si="304"/>
        <v>0</v>
      </c>
      <c r="AY1116">
        <f t="shared" si="305"/>
        <v>0</v>
      </c>
    </row>
    <row r="1117" customHeight="1" spans="1:51">
      <c r="A1117" s="5" t="s">
        <v>488</v>
      </c>
      <c r="C1117" s="5">
        <v>2</v>
      </c>
      <c r="D1117" s="1" t="s">
        <v>220</v>
      </c>
      <c r="E1117" s="1" t="s">
        <v>222</v>
      </c>
      <c r="L1117" s="5">
        <f>IFERROR(VLOOKUP($D1117&amp;$C1117,生产方式定位!$A$2:$E$38,2,FALSE)+VLOOKUP($E1117&amp;$C1117,生产方式定位!$F$3:$J$38,2,FALSE),0)</f>
        <v>1200</v>
      </c>
      <c r="S1117" s="5">
        <f>IFERROR(VLOOKUP($D1117&amp;$C1117,生产方式定位!$A$2:$E$38,3,FALSE)+VLOOKUP($E1117&amp;$C1117,生产方式定位!$F$3:$J$38,3,FALSE),0)</f>
        <v>140</v>
      </c>
      <c r="X1117" s="5">
        <f>IFERROR(VLOOKUP($D1117&amp;$C1117,生产方式定位!$A$2:$E$38,5,FALSE)+VLOOKUP($E1117&amp;$C1117,生产方式定位!$F$3:$J$38,5,FALSE),"错误")</f>
        <v>1390</v>
      </c>
      <c r="Y1117" s="27" t="str">
        <f t="shared" si="289"/>
        <v/>
      </c>
      <c r="Z1117" s="50" t="str">
        <f t="shared" si="292"/>
        <v/>
      </c>
      <c r="AA1117" s="50" t="str">
        <f t="shared" si="290"/>
        <v/>
      </c>
      <c r="AB1117" s="28" t="str">
        <f t="shared" si="293"/>
        <v>16%</v>
      </c>
      <c r="AC1117" s="1">
        <f t="shared" si="294"/>
        <v>50</v>
      </c>
      <c r="AD1117" s="51">
        <f t="shared" si="291"/>
        <v>2</v>
      </c>
      <c r="AE1117" t="str">
        <f t="shared" si="295"/>
        <v/>
      </c>
      <c r="AF1117" t="str">
        <f t="shared" si="296"/>
        <v/>
      </c>
      <c r="AG1117" t="str">
        <f t="shared" si="297"/>
        <v/>
      </c>
      <c r="AH1117" t="str">
        <f t="shared" si="298"/>
        <v/>
      </c>
      <c r="AI1117" t="str">
        <f t="shared" si="299"/>
        <v/>
      </c>
      <c r="AJ1117" t="str">
        <f t="shared" si="300"/>
        <v/>
      </c>
      <c r="AK1117" t="str">
        <f t="shared" si="301"/>
        <v/>
      </c>
      <c r="AL1117" t="str">
        <f t="shared" si="302"/>
        <v/>
      </c>
      <c r="AN1117" t="str">
        <f>IFERROR(ROUND(L1117*(G1117/$AW1117)/VLOOKUP(F1117,商品!$A$4:$D$67,4,FALSE),0),"")</f>
        <v/>
      </c>
      <c r="AO1117" t="str">
        <f>IFERROR(ROUND(L1117*(I1117/$AW1117)/VLOOKUP(H1117,商品!$A$4:$D$67,4,FALSE),0),"")</f>
        <v/>
      </c>
      <c r="AP1117" t="str">
        <f>IFERROR(ROUND(L1117*(K1117/$AW1117)/VLOOKUP(J1117,商品!$A$4:$D$67,4,FALSE),0),"")</f>
        <v/>
      </c>
      <c r="AQ1117" t="str">
        <f>IFERROR(ROUND(S1117*(N1117/$AX1117)/VLOOKUP(M1117,职业!$A$3:$E$16,4,FALSE),0),"")</f>
        <v/>
      </c>
      <c r="AR1117" t="str">
        <f>IFERROR(ROUND(S1117*(P1117/$AX1117)/VLOOKUP(O1117,职业!$A$3:$E$16,4,FALSE),0),"")</f>
        <v/>
      </c>
      <c r="AS1117" t="str">
        <f>IFERROR(ROUND(S1117*(R1117/$AX1117)/VLOOKUP(Q1117,职业!$A$3:$E$16,4,FALSE),0),"")</f>
        <v/>
      </c>
      <c r="AT1117" t="str">
        <f>IFERROR(ROUND(X1117*(U1117/$AY1117)/VLOOKUP(T1117,商品!$A$4:$D$67,4,FALSE),0),"")</f>
        <v/>
      </c>
      <c r="AU1117" t="str">
        <f>IFERROR(ROUND(X1117*(W1117/$AY1117)/VLOOKUP(V1117,商品!$A$4:$D$67,4,FALSE),0),"")</f>
        <v/>
      </c>
      <c r="AW1117">
        <f t="shared" si="303"/>
        <v>0</v>
      </c>
      <c r="AX1117">
        <f t="shared" si="304"/>
        <v>0</v>
      </c>
      <c r="AY1117">
        <f t="shared" si="305"/>
        <v>0</v>
      </c>
    </row>
    <row r="1118" customHeight="1" spans="1:51">
      <c r="A1118" s="5" t="s">
        <v>488</v>
      </c>
      <c r="C1118" s="5">
        <v>3</v>
      </c>
      <c r="D1118" s="1" t="s">
        <v>220</v>
      </c>
      <c r="E1118" s="1" t="s">
        <v>222</v>
      </c>
      <c r="L1118" s="5">
        <f>IFERROR(VLOOKUP($D1118&amp;$C1118,生产方式定位!$A$2:$E$38,2,FALSE)+VLOOKUP($E1118&amp;$C1118,生产方式定位!$F$3:$J$38,2,FALSE),0)</f>
        <v>1525</v>
      </c>
      <c r="S1118" s="5">
        <f>IFERROR(VLOOKUP($D1118&amp;$C1118,生产方式定位!$A$2:$E$38,3,FALSE)+VLOOKUP($E1118&amp;$C1118,生产方式定位!$F$3:$J$38,3,FALSE),0)</f>
        <v>130</v>
      </c>
      <c r="X1118" s="5">
        <f>IFERROR(VLOOKUP($D1118&amp;$C1118,生产方式定位!$A$2:$E$38,5,FALSE)+VLOOKUP($E1118&amp;$C1118,生产方式定位!$F$3:$J$38,5,FALSE),"错误")</f>
        <v>1718</v>
      </c>
      <c r="Y1118" s="27" t="str">
        <f t="shared" si="289"/>
        <v/>
      </c>
      <c r="Z1118" s="50" t="str">
        <f t="shared" si="292"/>
        <v/>
      </c>
      <c r="AA1118" s="50" t="str">
        <f t="shared" si="290"/>
        <v/>
      </c>
      <c r="AB1118" s="28" t="str">
        <f t="shared" si="293"/>
        <v>13%</v>
      </c>
      <c r="AC1118" s="1">
        <f t="shared" si="294"/>
        <v>63</v>
      </c>
      <c r="AD1118" s="51">
        <f t="shared" si="291"/>
        <v>3</v>
      </c>
      <c r="AE1118" t="str">
        <f t="shared" si="295"/>
        <v/>
      </c>
      <c r="AF1118" t="str">
        <f t="shared" si="296"/>
        <v/>
      </c>
      <c r="AG1118" t="str">
        <f t="shared" si="297"/>
        <v/>
      </c>
      <c r="AH1118" t="str">
        <f t="shared" si="298"/>
        <v/>
      </c>
      <c r="AI1118" t="str">
        <f t="shared" si="299"/>
        <v/>
      </c>
      <c r="AJ1118" t="str">
        <f t="shared" si="300"/>
        <v/>
      </c>
      <c r="AK1118" t="str">
        <f t="shared" si="301"/>
        <v/>
      </c>
      <c r="AL1118" t="str">
        <f t="shared" si="302"/>
        <v/>
      </c>
      <c r="AN1118" t="str">
        <f>IFERROR(ROUND(L1118*(G1118/$AW1118)/VLOOKUP(F1118,商品!$A$4:$D$67,4,FALSE),0),"")</f>
        <v/>
      </c>
      <c r="AO1118" t="str">
        <f>IFERROR(ROUND(L1118*(I1118/$AW1118)/VLOOKUP(H1118,商品!$A$4:$D$67,4,FALSE),0),"")</f>
        <v/>
      </c>
      <c r="AP1118" t="str">
        <f>IFERROR(ROUND(L1118*(K1118/$AW1118)/VLOOKUP(J1118,商品!$A$4:$D$67,4,FALSE),0),"")</f>
        <v/>
      </c>
      <c r="AQ1118" t="str">
        <f>IFERROR(ROUND(S1118*(N1118/$AX1118)/VLOOKUP(M1118,职业!$A$3:$E$16,4,FALSE),0),"")</f>
        <v/>
      </c>
      <c r="AR1118" t="str">
        <f>IFERROR(ROUND(S1118*(P1118/$AX1118)/VLOOKUP(O1118,职业!$A$3:$E$16,4,FALSE),0),"")</f>
        <v/>
      </c>
      <c r="AS1118" t="str">
        <f>IFERROR(ROUND(S1118*(R1118/$AX1118)/VLOOKUP(Q1118,职业!$A$3:$E$16,4,FALSE),0),"")</f>
        <v/>
      </c>
      <c r="AT1118" t="str">
        <f>IFERROR(ROUND(X1118*(U1118/$AY1118)/VLOOKUP(T1118,商品!$A$4:$D$67,4,FALSE),0),"")</f>
        <v/>
      </c>
      <c r="AU1118" t="str">
        <f>IFERROR(ROUND(X1118*(W1118/$AY1118)/VLOOKUP(V1118,商品!$A$4:$D$67,4,FALSE),0),"")</f>
        <v/>
      </c>
      <c r="AW1118">
        <f t="shared" si="303"/>
        <v>0</v>
      </c>
      <c r="AX1118">
        <f t="shared" si="304"/>
        <v>0</v>
      </c>
      <c r="AY1118">
        <f t="shared" si="305"/>
        <v>0</v>
      </c>
    </row>
    <row r="1119" customHeight="1" spans="1:51">
      <c r="A1119" s="5" t="s">
        <v>488</v>
      </c>
      <c r="C1119" s="5">
        <v>4</v>
      </c>
      <c r="D1119" s="1" t="s">
        <v>220</v>
      </c>
      <c r="E1119" s="1" t="s">
        <v>222</v>
      </c>
      <c r="L1119" s="5">
        <f>IFERROR(VLOOKUP($D1119&amp;$C1119,生产方式定位!$A$2:$E$38,2,FALSE)+VLOOKUP($E1119&amp;$C1119,生产方式定位!$F$3:$J$38,2,FALSE),0)</f>
        <v>1850</v>
      </c>
      <c r="S1119" s="5">
        <f>IFERROR(VLOOKUP($D1119&amp;$C1119,生产方式定位!$A$2:$E$38,3,FALSE)+VLOOKUP($E1119&amp;$C1119,生产方式定位!$F$3:$J$38,3,FALSE),0)</f>
        <v>120</v>
      </c>
      <c r="X1119" s="5">
        <f>IFERROR(VLOOKUP($D1119&amp;$C1119,生产方式定位!$A$2:$E$38,5,FALSE)+VLOOKUP($E1119&amp;$C1119,生产方式定位!$F$3:$J$38,5,FALSE),"错误")</f>
        <v>2045</v>
      </c>
      <c r="Y1119" s="27" t="str">
        <f t="shared" si="289"/>
        <v/>
      </c>
      <c r="Z1119" s="50" t="str">
        <f t="shared" si="292"/>
        <v/>
      </c>
      <c r="AA1119" s="50" t="str">
        <f t="shared" si="290"/>
        <v/>
      </c>
      <c r="AB1119" s="28" t="str">
        <f t="shared" si="293"/>
        <v>11%</v>
      </c>
      <c r="AC1119" s="1">
        <f t="shared" si="294"/>
        <v>75</v>
      </c>
      <c r="AD1119" s="51">
        <f t="shared" si="291"/>
        <v>4</v>
      </c>
      <c r="AE1119" t="str">
        <f t="shared" si="295"/>
        <v/>
      </c>
      <c r="AF1119" t="str">
        <f t="shared" si="296"/>
        <v/>
      </c>
      <c r="AG1119" t="str">
        <f t="shared" si="297"/>
        <v/>
      </c>
      <c r="AH1119" t="str">
        <f t="shared" si="298"/>
        <v/>
      </c>
      <c r="AI1119" t="str">
        <f t="shared" si="299"/>
        <v/>
      </c>
      <c r="AJ1119" t="str">
        <f t="shared" si="300"/>
        <v/>
      </c>
      <c r="AK1119" t="str">
        <f t="shared" si="301"/>
        <v/>
      </c>
      <c r="AL1119" t="str">
        <f t="shared" si="302"/>
        <v/>
      </c>
      <c r="AN1119" t="str">
        <f>IFERROR(ROUND(L1119*(G1119/$AW1119)/VLOOKUP(F1119,商品!$A$4:$D$67,4,FALSE),0),"")</f>
        <v/>
      </c>
      <c r="AO1119" t="str">
        <f>IFERROR(ROUND(L1119*(I1119/$AW1119)/VLOOKUP(H1119,商品!$A$4:$D$67,4,FALSE),0),"")</f>
        <v/>
      </c>
      <c r="AP1119" t="str">
        <f>IFERROR(ROUND(L1119*(K1119/$AW1119)/VLOOKUP(J1119,商品!$A$4:$D$67,4,FALSE),0),"")</f>
        <v/>
      </c>
      <c r="AQ1119" t="str">
        <f>IFERROR(ROUND(S1119*(N1119/$AX1119)/VLOOKUP(M1119,职业!$A$3:$E$16,4,FALSE),0),"")</f>
        <v/>
      </c>
      <c r="AR1119" t="str">
        <f>IFERROR(ROUND(S1119*(P1119/$AX1119)/VLOOKUP(O1119,职业!$A$3:$E$16,4,FALSE),0),"")</f>
        <v/>
      </c>
      <c r="AS1119" t="str">
        <f>IFERROR(ROUND(S1119*(R1119/$AX1119)/VLOOKUP(Q1119,职业!$A$3:$E$16,4,FALSE),0),"")</f>
        <v/>
      </c>
      <c r="AT1119" t="str">
        <f>IFERROR(ROUND(X1119*(U1119/$AY1119)/VLOOKUP(T1119,商品!$A$4:$D$67,4,FALSE),0),"")</f>
        <v/>
      </c>
      <c r="AU1119" t="str">
        <f>IFERROR(ROUND(X1119*(W1119/$AY1119)/VLOOKUP(V1119,商品!$A$4:$D$67,4,FALSE),0),"")</f>
        <v/>
      </c>
      <c r="AW1119">
        <f t="shared" si="303"/>
        <v>0</v>
      </c>
      <c r="AX1119">
        <f t="shared" si="304"/>
        <v>0</v>
      </c>
      <c r="AY1119">
        <f t="shared" si="305"/>
        <v>0</v>
      </c>
    </row>
    <row r="1120" customHeight="1" spans="1:51">
      <c r="A1120" s="5" t="s">
        <v>488</v>
      </c>
      <c r="C1120" s="5">
        <v>5</v>
      </c>
      <c r="D1120" s="1" t="s">
        <v>220</v>
      </c>
      <c r="E1120" s="1" t="s">
        <v>222</v>
      </c>
      <c r="L1120" s="5">
        <f>IFERROR(VLOOKUP($D1120&amp;$C1120,生产方式定位!$A$2:$E$38,2,FALSE)+VLOOKUP($E1120&amp;$C1120,生产方式定位!$F$3:$J$38,2,FALSE),0)</f>
        <v>2175</v>
      </c>
      <c r="S1120" s="5">
        <f>IFERROR(VLOOKUP($D1120&amp;$C1120,生产方式定位!$A$2:$E$38,3,FALSE)+VLOOKUP($E1120&amp;$C1120,生产方式定位!$F$3:$J$38,3,FALSE),0)</f>
        <v>110</v>
      </c>
      <c r="X1120" s="5">
        <f>IFERROR(VLOOKUP($D1120&amp;$C1120,生产方式定位!$A$2:$E$38,5,FALSE)+VLOOKUP($E1120&amp;$C1120,生产方式定位!$F$3:$J$38,5,FALSE),"错误")</f>
        <v>2373</v>
      </c>
      <c r="Y1120" s="27" t="str">
        <f t="shared" si="289"/>
        <v/>
      </c>
      <c r="Z1120" s="50" t="str">
        <f t="shared" si="292"/>
        <v/>
      </c>
      <c r="AA1120" s="50" t="str">
        <f t="shared" si="290"/>
        <v/>
      </c>
      <c r="AB1120" s="28" t="str">
        <f t="shared" si="293"/>
        <v>9%</v>
      </c>
      <c r="AC1120" s="1">
        <f t="shared" si="294"/>
        <v>88</v>
      </c>
      <c r="AD1120" s="51">
        <f t="shared" si="291"/>
        <v>5</v>
      </c>
      <c r="AE1120" t="str">
        <f t="shared" si="295"/>
        <v/>
      </c>
      <c r="AF1120" t="str">
        <f t="shared" si="296"/>
        <v/>
      </c>
      <c r="AG1120" t="str">
        <f t="shared" si="297"/>
        <v/>
      </c>
      <c r="AH1120" t="str">
        <f t="shared" si="298"/>
        <v/>
      </c>
      <c r="AI1120" t="str">
        <f t="shared" si="299"/>
        <v/>
      </c>
      <c r="AJ1120" t="str">
        <f t="shared" si="300"/>
        <v/>
      </c>
      <c r="AK1120" t="str">
        <f t="shared" si="301"/>
        <v/>
      </c>
      <c r="AL1120" t="str">
        <f t="shared" si="302"/>
        <v/>
      </c>
      <c r="AN1120" t="str">
        <f>IFERROR(ROUND(L1120*(G1120/$AW1120)/VLOOKUP(F1120,商品!$A$4:$D$67,4,FALSE),0),"")</f>
        <v/>
      </c>
      <c r="AO1120" t="str">
        <f>IFERROR(ROUND(L1120*(I1120/$AW1120)/VLOOKUP(H1120,商品!$A$4:$D$67,4,FALSE),0),"")</f>
        <v/>
      </c>
      <c r="AP1120" t="str">
        <f>IFERROR(ROUND(L1120*(K1120/$AW1120)/VLOOKUP(J1120,商品!$A$4:$D$67,4,FALSE),0),"")</f>
        <v/>
      </c>
      <c r="AQ1120" t="str">
        <f>IFERROR(ROUND(S1120*(N1120/$AX1120)/VLOOKUP(M1120,职业!$A$3:$E$16,4,FALSE),0),"")</f>
        <v/>
      </c>
      <c r="AR1120" t="str">
        <f>IFERROR(ROUND(S1120*(P1120/$AX1120)/VLOOKUP(O1120,职业!$A$3:$E$16,4,FALSE),0),"")</f>
        <v/>
      </c>
      <c r="AS1120" t="str">
        <f>IFERROR(ROUND(S1120*(R1120/$AX1120)/VLOOKUP(Q1120,职业!$A$3:$E$16,4,FALSE),0),"")</f>
        <v/>
      </c>
      <c r="AT1120" t="str">
        <f>IFERROR(ROUND(X1120*(U1120/$AY1120)/VLOOKUP(T1120,商品!$A$4:$D$67,4,FALSE),0),"")</f>
        <v/>
      </c>
      <c r="AU1120" t="str">
        <f>IFERROR(ROUND(X1120*(W1120/$AY1120)/VLOOKUP(V1120,商品!$A$4:$D$67,4,FALSE),0),"")</f>
        <v/>
      </c>
      <c r="AW1120">
        <f t="shared" si="303"/>
        <v>0</v>
      </c>
      <c r="AX1120">
        <f t="shared" si="304"/>
        <v>0</v>
      </c>
      <c r="AY1120">
        <f t="shared" si="305"/>
        <v>0</v>
      </c>
    </row>
    <row r="1121" customHeight="1" spans="1:51">
      <c r="A1121" s="18" t="s">
        <v>489</v>
      </c>
      <c r="C1121" s="18">
        <v>1</v>
      </c>
      <c r="D1121" s="1" t="s">
        <v>220</v>
      </c>
      <c r="E1121" s="1" t="s">
        <v>224</v>
      </c>
      <c r="L1121" s="18">
        <f>IFERROR(VLOOKUP($D1121&amp;$C1121,生产方式定位!$A$2:$E$38,2,FALSE)+VLOOKUP($E1121&amp;$C1121,生产方式定位!$F$3:$J$38,2,FALSE),0)</f>
        <v>500</v>
      </c>
      <c r="S1121" s="18">
        <f>IFERROR(VLOOKUP($D1121&amp;$C1121,生产方式定位!$A$2:$E$38,3,FALSE)+VLOOKUP($E1121&amp;$C1121,生产方式定位!$F$3:$J$38,3,FALSE),0)</f>
        <v>150</v>
      </c>
      <c r="X1121" s="18">
        <f>IFERROR(VLOOKUP($D1121&amp;$C1121,生产方式定位!$A$2:$E$38,5,FALSE)+VLOOKUP($E1121&amp;$C1121,生产方式定位!$F$3:$J$38,5,FALSE),"错误")</f>
        <v>715</v>
      </c>
      <c r="Y1121" s="27" t="str">
        <f t="shared" si="289"/>
        <v/>
      </c>
      <c r="Z1121" s="50" t="str">
        <f t="shared" si="292"/>
        <v/>
      </c>
      <c r="AA1121" s="50" t="str">
        <f t="shared" si="290"/>
        <v/>
      </c>
      <c r="AB1121" s="28" t="str">
        <f t="shared" si="293"/>
        <v>43%</v>
      </c>
      <c r="AC1121" s="1">
        <f t="shared" si="294"/>
        <v>65</v>
      </c>
      <c r="AD1121" s="52">
        <f t="shared" si="291"/>
        <v>1</v>
      </c>
      <c r="AE1121" t="str">
        <f t="shared" si="295"/>
        <v/>
      </c>
      <c r="AF1121" t="str">
        <f t="shared" si="296"/>
        <v/>
      </c>
      <c r="AG1121" t="str">
        <f t="shared" si="297"/>
        <v/>
      </c>
      <c r="AH1121" t="str">
        <f t="shared" si="298"/>
        <v/>
      </c>
      <c r="AI1121" t="str">
        <f t="shared" si="299"/>
        <v/>
      </c>
      <c r="AJ1121" t="str">
        <f t="shared" si="300"/>
        <v/>
      </c>
      <c r="AK1121" t="str">
        <f t="shared" si="301"/>
        <v/>
      </c>
      <c r="AL1121" t="str">
        <f t="shared" si="302"/>
        <v/>
      </c>
      <c r="AN1121" t="str">
        <f>IFERROR(ROUND(L1121*(G1121/$AW1121)/VLOOKUP(F1121,商品!$A$4:$D$67,4,FALSE),0),"")</f>
        <v/>
      </c>
      <c r="AO1121" t="str">
        <f>IFERROR(ROUND(L1121*(I1121/$AW1121)/VLOOKUP(H1121,商品!$A$4:$D$67,4,FALSE),0),"")</f>
        <v/>
      </c>
      <c r="AP1121" t="str">
        <f>IFERROR(ROUND(L1121*(K1121/$AW1121)/VLOOKUP(J1121,商品!$A$4:$D$67,4,FALSE),0),"")</f>
        <v/>
      </c>
      <c r="AQ1121" t="str">
        <f>IFERROR(ROUND(S1121*(N1121/$AX1121)/VLOOKUP(M1121,职业!$A$3:$E$16,4,FALSE),0),"")</f>
        <v/>
      </c>
      <c r="AR1121" t="str">
        <f>IFERROR(ROUND(S1121*(P1121/$AX1121)/VLOOKUP(O1121,职业!$A$3:$E$16,4,FALSE),0),"")</f>
        <v/>
      </c>
      <c r="AS1121" t="str">
        <f>IFERROR(ROUND(S1121*(R1121/$AX1121)/VLOOKUP(Q1121,职业!$A$3:$E$16,4,FALSE),0),"")</f>
        <v/>
      </c>
      <c r="AT1121" t="str">
        <f>IFERROR(ROUND(X1121*(U1121/$AY1121)/VLOOKUP(T1121,商品!$A$4:$D$67,4,FALSE),0),"")</f>
        <v/>
      </c>
      <c r="AU1121" t="str">
        <f>IFERROR(ROUND(X1121*(W1121/$AY1121)/VLOOKUP(V1121,商品!$A$4:$D$67,4,FALSE),0),"")</f>
        <v/>
      </c>
      <c r="AW1121">
        <f t="shared" si="303"/>
        <v>0</v>
      </c>
      <c r="AX1121">
        <f t="shared" si="304"/>
        <v>0</v>
      </c>
      <c r="AY1121">
        <f t="shared" si="305"/>
        <v>0</v>
      </c>
    </row>
    <row r="1122" customHeight="1" spans="1:51">
      <c r="A1122" s="18" t="s">
        <v>489</v>
      </c>
      <c r="C1122" s="18">
        <v>2</v>
      </c>
      <c r="D1122" s="1" t="s">
        <v>220</v>
      </c>
      <c r="E1122" s="1" t="s">
        <v>224</v>
      </c>
      <c r="L1122" s="18">
        <f>IFERROR(VLOOKUP($D1122&amp;$C1122,生产方式定位!$A$2:$E$38,2,FALSE)+VLOOKUP($E1122&amp;$C1122,生产方式定位!$F$3:$J$38,2,FALSE),0)</f>
        <v>1200</v>
      </c>
      <c r="S1122" s="18">
        <f>IFERROR(VLOOKUP($D1122&amp;$C1122,生产方式定位!$A$2:$E$38,3,FALSE)+VLOOKUP($E1122&amp;$C1122,生产方式定位!$F$3:$J$38,3,FALSE),0)</f>
        <v>100</v>
      </c>
      <c r="X1122" s="18">
        <f>IFERROR(VLOOKUP($D1122&amp;$C1122,生产方式定位!$A$2:$E$38,5,FALSE)+VLOOKUP($E1122&amp;$C1122,生产方式定位!$F$3:$J$38,5,FALSE),"错误")</f>
        <v>1346</v>
      </c>
      <c r="Y1122" s="27" t="str">
        <f t="shared" si="289"/>
        <v/>
      </c>
      <c r="Z1122" s="50" t="str">
        <f t="shared" si="292"/>
        <v/>
      </c>
      <c r="AA1122" s="50" t="str">
        <f t="shared" si="290"/>
        <v/>
      </c>
      <c r="AB1122" s="28" t="str">
        <f t="shared" si="293"/>
        <v>12%</v>
      </c>
      <c r="AC1122" s="1">
        <f t="shared" si="294"/>
        <v>46</v>
      </c>
      <c r="AD1122" s="52">
        <f t="shared" si="291"/>
        <v>2</v>
      </c>
      <c r="AE1122" t="str">
        <f t="shared" si="295"/>
        <v/>
      </c>
      <c r="AF1122" t="str">
        <f t="shared" si="296"/>
        <v/>
      </c>
      <c r="AG1122" t="str">
        <f t="shared" si="297"/>
        <v/>
      </c>
      <c r="AH1122" t="str">
        <f t="shared" si="298"/>
        <v/>
      </c>
      <c r="AI1122" t="str">
        <f t="shared" si="299"/>
        <v/>
      </c>
      <c r="AJ1122" t="str">
        <f t="shared" si="300"/>
        <v/>
      </c>
      <c r="AK1122" t="str">
        <f t="shared" si="301"/>
        <v/>
      </c>
      <c r="AL1122" t="str">
        <f t="shared" si="302"/>
        <v/>
      </c>
      <c r="AN1122" t="str">
        <f>IFERROR(ROUND(L1122*(G1122/$AW1122)/VLOOKUP(F1122,商品!$A$4:$D$67,4,FALSE),0),"")</f>
        <v/>
      </c>
      <c r="AO1122" t="str">
        <f>IFERROR(ROUND(L1122*(I1122/$AW1122)/VLOOKUP(H1122,商品!$A$4:$D$67,4,FALSE),0),"")</f>
        <v/>
      </c>
      <c r="AP1122" t="str">
        <f>IFERROR(ROUND(L1122*(K1122/$AW1122)/VLOOKUP(J1122,商品!$A$4:$D$67,4,FALSE),0),"")</f>
        <v/>
      </c>
      <c r="AQ1122" t="str">
        <f>IFERROR(ROUND(S1122*(N1122/$AX1122)/VLOOKUP(M1122,职业!$A$3:$E$16,4,FALSE),0),"")</f>
        <v/>
      </c>
      <c r="AR1122" t="str">
        <f>IFERROR(ROUND(S1122*(P1122/$AX1122)/VLOOKUP(O1122,职业!$A$3:$E$16,4,FALSE),0),"")</f>
        <v/>
      </c>
      <c r="AS1122" t="str">
        <f>IFERROR(ROUND(S1122*(R1122/$AX1122)/VLOOKUP(Q1122,职业!$A$3:$E$16,4,FALSE),0),"")</f>
        <v/>
      </c>
      <c r="AT1122" t="str">
        <f>IFERROR(ROUND(X1122*(U1122/$AY1122)/VLOOKUP(T1122,商品!$A$4:$D$67,4,FALSE),0),"")</f>
        <v/>
      </c>
      <c r="AU1122" t="str">
        <f>IFERROR(ROUND(X1122*(W1122/$AY1122)/VLOOKUP(V1122,商品!$A$4:$D$67,4,FALSE),0),"")</f>
        <v/>
      </c>
      <c r="AW1122">
        <f t="shared" si="303"/>
        <v>0</v>
      </c>
      <c r="AX1122">
        <f t="shared" si="304"/>
        <v>0</v>
      </c>
      <c r="AY1122">
        <f t="shared" si="305"/>
        <v>0</v>
      </c>
    </row>
    <row r="1123" customHeight="1" spans="1:51">
      <c r="A1123" s="18" t="s">
        <v>489</v>
      </c>
      <c r="C1123" s="18">
        <v>3</v>
      </c>
      <c r="D1123" s="1" t="s">
        <v>220</v>
      </c>
      <c r="E1123" s="1" t="s">
        <v>224</v>
      </c>
      <c r="L1123" s="18">
        <f>IFERROR(VLOOKUP($D1123&amp;$C1123,生产方式定位!$A$2:$E$38,2,FALSE)+VLOOKUP($E1123&amp;$C1123,生产方式定位!$F$3:$J$38,2,FALSE),0)</f>
        <v>1900</v>
      </c>
      <c r="S1123" s="18">
        <f>IFERROR(VLOOKUP($D1123&amp;$C1123,生产方式定位!$A$2:$E$38,3,FALSE)+VLOOKUP($E1123&amp;$C1123,生产方式定位!$F$3:$J$38,3,FALSE),0)</f>
        <v>70</v>
      </c>
      <c r="X1123" s="18">
        <f>IFERROR(VLOOKUP($D1123&amp;$C1123,生产方式定位!$A$2:$E$38,5,FALSE)+VLOOKUP($E1123&amp;$C1123,生产方式定位!$F$3:$J$38,5,FALSE),"错误")</f>
        <v>2064</v>
      </c>
      <c r="Y1123" s="27" t="str">
        <f t="shared" si="289"/>
        <v/>
      </c>
      <c r="Z1123" s="50" t="str">
        <f t="shared" si="292"/>
        <v/>
      </c>
      <c r="AA1123" s="50" t="str">
        <f t="shared" si="290"/>
        <v/>
      </c>
      <c r="AB1123" s="28" t="str">
        <f t="shared" si="293"/>
        <v>9%</v>
      </c>
      <c r="AC1123" s="1">
        <f t="shared" si="294"/>
        <v>94</v>
      </c>
      <c r="AD1123" s="52">
        <f t="shared" si="291"/>
        <v>3</v>
      </c>
      <c r="AE1123" t="str">
        <f t="shared" si="295"/>
        <v/>
      </c>
      <c r="AF1123" t="str">
        <f t="shared" si="296"/>
        <v/>
      </c>
      <c r="AG1123" t="str">
        <f t="shared" si="297"/>
        <v/>
      </c>
      <c r="AH1123" t="str">
        <f t="shared" si="298"/>
        <v/>
      </c>
      <c r="AI1123" t="str">
        <f t="shared" si="299"/>
        <v/>
      </c>
      <c r="AJ1123" t="str">
        <f t="shared" si="300"/>
        <v/>
      </c>
      <c r="AK1123" t="str">
        <f t="shared" si="301"/>
        <v/>
      </c>
      <c r="AL1123" t="str">
        <f t="shared" si="302"/>
        <v/>
      </c>
      <c r="AN1123" t="str">
        <f>IFERROR(ROUND(L1123*(G1123/$AW1123)/VLOOKUP(F1123,商品!$A$4:$D$67,4,FALSE),0),"")</f>
        <v/>
      </c>
      <c r="AO1123" t="str">
        <f>IFERROR(ROUND(L1123*(I1123/$AW1123)/VLOOKUP(H1123,商品!$A$4:$D$67,4,FALSE),0),"")</f>
        <v/>
      </c>
      <c r="AP1123" t="str">
        <f>IFERROR(ROUND(L1123*(K1123/$AW1123)/VLOOKUP(J1123,商品!$A$4:$D$67,4,FALSE),0),"")</f>
        <v/>
      </c>
      <c r="AQ1123" t="str">
        <f>IFERROR(ROUND(S1123*(N1123/$AX1123)/VLOOKUP(M1123,职业!$A$3:$E$16,4,FALSE),0),"")</f>
        <v/>
      </c>
      <c r="AR1123" t="str">
        <f>IFERROR(ROUND(S1123*(P1123/$AX1123)/VLOOKUP(O1123,职业!$A$3:$E$16,4,FALSE),0),"")</f>
        <v/>
      </c>
      <c r="AS1123" t="str">
        <f>IFERROR(ROUND(S1123*(R1123/$AX1123)/VLOOKUP(Q1123,职业!$A$3:$E$16,4,FALSE),0),"")</f>
        <v/>
      </c>
      <c r="AT1123" t="str">
        <f>IFERROR(ROUND(X1123*(U1123/$AY1123)/VLOOKUP(T1123,商品!$A$4:$D$67,4,FALSE),0),"")</f>
        <v/>
      </c>
      <c r="AU1123" t="str">
        <f>IFERROR(ROUND(X1123*(W1123/$AY1123)/VLOOKUP(V1123,商品!$A$4:$D$67,4,FALSE),0),"")</f>
        <v/>
      </c>
      <c r="AW1123">
        <f t="shared" si="303"/>
        <v>0</v>
      </c>
      <c r="AX1123">
        <f t="shared" si="304"/>
        <v>0</v>
      </c>
      <c r="AY1123">
        <f t="shared" si="305"/>
        <v>0</v>
      </c>
    </row>
    <row r="1124" customHeight="1" spans="1:51">
      <c r="A1124" s="18" t="s">
        <v>489</v>
      </c>
      <c r="C1124" s="18">
        <v>4</v>
      </c>
      <c r="D1124" s="1" t="s">
        <v>220</v>
      </c>
      <c r="E1124" s="1" t="s">
        <v>224</v>
      </c>
      <c r="L1124" s="18">
        <f>IFERROR(VLOOKUP($D1124&amp;$C1124,生产方式定位!$A$2:$E$38,2,FALSE)+VLOOKUP($E1124&amp;$C1124,生产方式定位!$F$3:$J$38,2,FALSE),0)</f>
        <v>2600</v>
      </c>
      <c r="S1124" s="18">
        <f>IFERROR(VLOOKUP($D1124&amp;$C1124,生产方式定位!$A$2:$E$38,3,FALSE)+VLOOKUP($E1124&amp;$C1124,生产方式定位!$F$3:$J$38,3,FALSE),0)</f>
        <v>40</v>
      </c>
      <c r="X1124" s="18">
        <f>IFERROR(VLOOKUP($D1124&amp;$C1124,生产方式定位!$A$2:$E$38,5,FALSE)+VLOOKUP($E1124&amp;$C1124,生产方式定位!$F$3:$J$38,5,FALSE),"错误")</f>
        <v>2782</v>
      </c>
      <c r="Y1124" s="27" t="str">
        <f t="shared" si="289"/>
        <v/>
      </c>
      <c r="Z1124" s="50" t="str">
        <f t="shared" si="292"/>
        <v/>
      </c>
      <c r="AA1124" s="50" t="str">
        <f t="shared" si="290"/>
        <v/>
      </c>
      <c r="AB1124" s="28" t="str">
        <f t="shared" si="293"/>
        <v>7%</v>
      </c>
      <c r="AC1124" s="1">
        <f t="shared" si="294"/>
        <v>142</v>
      </c>
      <c r="AD1124" s="52">
        <f t="shared" si="291"/>
        <v>4</v>
      </c>
      <c r="AE1124" t="str">
        <f t="shared" si="295"/>
        <v/>
      </c>
      <c r="AF1124" t="str">
        <f t="shared" si="296"/>
        <v/>
      </c>
      <c r="AG1124" t="str">
        <f t="shared" si="297"/>
        <v/>
      </c>
      <c r="AH1124" t="str">
        <f t="shared" si="298"/>
        <v/>
      </c>
      <c r="AI1124" t="str">
        <f t="shared" si="299"/>
        <v/>
      </c>
      <c r="AJ1124" t="str">
        <f t="shared" si="300"/>
        <v/>
      </c>
      <c r="AK1124" t="str">
        <f t="shared" si="301"/>
        <v/>
      </c>
      <c r="AL1124" t="str">
        <f t="shared" si="302"/>
        <v/>
      </c>
      <c r="AN1124" t="str">
        <f>IFERROR(ROUND(L1124*(G1124/$AW1124)/VLOOKUP(F1124,商品!$A$4:$D$67,4,FALSE),0),"")</f>
        <v/>
      </c>
      <c r="AO1124" t="str">
        <f>IFERROR(ROUND(L1124*(I1124/$AW1124)/VLOOKUP(H1124,商品!$A$4:$D$67,4,FALSE),0),"")</f>
        <v/>
      </c>
      <c r="AP1124" t="str">
        <f>IFERROR(ROUND(L1124*(K1124/$AW1124)/VLOOKUP(J1124,商品!$A$4:$D$67,4,FALSE),0),"")</f>
        <v/>
      </c>
      <c r="AQ1124" t="str">
        <f>IFERROR(ROUND(S1124*(N1124/$AX1124)/VLOOKUP(M1124,职业!$A$3:$E$16,4,FALSE),0),"")</f>
        <v/>
      </c>
      <c r="AR1124" t="str">
        <f>IFERROR(ROUND(S1124*(P1124/$AX1124)/VLOOKUP(O1124,职业!$A$3:$E$16,4,FALSE),0),"")</f>
        <v/>
      </c>
      <c r="AS1124" t="str">
        <f>IFERROR(ROUND(S1124*(R1124/$AX1124)/VLOOKUP(Q1124,职业!$A$3:$E$16,4,FALSE),0),"")</f>
        <v/>
      </c>
      <c r="AT1124" t="str">
        <f>IFERROR(ROUND(X1124*(U1124/$AY1124)/VLOOKUP(T1124,商品!$A$4:$D$67,4,FALSE),0),"")</f>
        <v/>
      </c>
      <c r="AU1124" t="str">
        <f>IFERROR(ROUND(X1124*(W1124/$AY1124)/VLOOKUP(V1124,商品!$A$4:$D$67,4,FALSE),0),"")</f>
        <v/>
      </c>
      <c r="AW1124">
        <f t="shared" si="303"/>
        <v>0</v>
      </c>
      <c r="AX1124">
        <f t="shared" si="304"/>
        <v>0</v>
      </c>
      <c r="AY1124">
        <f t="shared" si="305"/>
        <v>0</v>
      </c>
    </row>
    <row r="1125" customHeight="1" spans="1:51">
      <c r="A1125" s="18" t="s">
        <v>489</v>
      </c>
      <c r="C1125" s="18">
        <v>5</v>
      </c>
      <c r="D1125" s="1" t="s">
        <v>220</v>
      </c>
      <c r="E1125" s="1" t="s">
        <v>224</v>
      </c>
      <c r="L1125" s="18">
        <f>IFERROR(VLOOKUP($D1125&amp;$C1125,生产方式定位!$A$2:$E$38,2,FALSE)+VLOOKUP($E1125&amp;$C1125,生产方式定位!$F$3:$J$38,2,FALSE),0)</f>
        <v>3300</v>
      </c>
      <c r="S1125" s="18">
        <f>IFERROR(VLOOKUP($D1125&amp;$C1125,生产方式定位!$A$2:$E$38,3,FALSE)+VLOOKUP($E1125&amp;$C1125,生产方式定位!$F$3:$J$38,3,FALSE),0)</f>
        <v>10</v>
      </c>
      <c r="X1125" s="18">
        <f>IFERROR(VLOOKUP($D1125&amp;$C1125,生产方式定位!$A$2:$E$38,5,FALSE)+VLOOKUP($E1125&amp;$C1125,生产方式定位!$F$3:$J$38,5,FALSE),"错误")</f>
        <v>3500</v>
      </c>
      <c r="Y1125" s="27" t="str">
        <f t="shared" si="289"/>
        <v/>
      </c>
      <c r="Z1125" s="50" t="str">
        <f t="shared" si="292"/>
        <v/>
      </c>
      <c r="AA1125" s="50" t="str">
        <f t="shared" si="290"/>
        <v/>
      </c>
      <c r="AB1125" s="28" t="str">
        <f t="shared" si="293"/>
        <v>6%</v>
      </c>
      <c r="AC1125" s="1">
        <f t="shared" si="294"/>
        <v>190</v>
      </c>
      <c r="AD1125" s="52">
        <f t="shared" si="291"/>
        <v>5</v>
      </c>
      <c r="AE1125" t="str">
        <f t="shared" si="295"/>
        <v/>
      </c>
      <c r="AF1125" t="str">
        <f t="shared" si="296"/>
        <v/>
      </c>
      <c r="AG1125" t="str">
        <f t="shared" si="297"/>
        <v/>
      </c>
      <c r="AH1125" t="str">
        <f t="shared" si="298"/>
        <v/>
      </c>
      <c r="AI1125" t="str">
        <f t="shared" si="299"/>
        <v/>
      </c>
      <c r="AJ1125" t="str">
        <f t="shared" si="300"/>
        <v/>
      </c>
      <c r="AK1125" t="str">
        <f t="shared" si="301"/>
        <v/>
      </c>
      <c r="AL1125" t="str">
        <f t="shared" si="302"/>
        <v/>
      </c>
      <c r="AN1125" t="str">
        <f>IFERROR(ROUND(L1125*(G1125/$AW1125)/VLOOKUP(F1125,商品!$A$4:$D$67,4,FALSE),0),"")</f>
        <v/>
      </c>
      <c r="AO1125" t="str">
        <f>IFERROR(ROUND(L1125*(I1125/$AW1125)/VLOOKUP(H1125,商品!$A$4:$D$67,4,FALSE),0),"")</f>
        <v/>
      </c>
      <c r="AP1125" t="str">
        <f>IFERROR(ROUND(L1125*(K1125/$AW1125)/VLOOKUP(J1125,商品!$A$4:$D$67,4,FALSE),0),"")</f>
        <v/>
      </c>
      <c r="AQ1125" t="str">
        <f>IFERROR(ROUND(S1125*(N1125/$AX1125)/VLOOKUP(M1125,职业!$A$3:$E$16,4,FALSE),0),"")</f>
        <v/>
      </c>
      <c r="AR1125" t="str">
        <f>IFERROR(ROUND(S1125*(P1125/$AX1125)/VLOOKUP(O1125,职业!$A$3:$E$16,4,FALSE),0),"")</f>
        <v/>
      </c>
      <c r="AS1125" t="str">
        <f>IFERROR(ROUND(S1125*(R1125/$AX1125)/VLOOKUP(Q1125,职业!$A$3:$E$16,4,FALSE),0),"")</f>
        <v/>
      </c>
      <c r="AT1125" t="str">
        <f>IFERROR(ROUND(X1125*(U1125/$AY1125)/VLOOKUP(T1125,商品!$A$4:$D$67,4,FALSE),0),"")</f>
        <v/>
      </c>
      <c r="AU1125" t="str">
        <f>IFERROR(ROUND(X1125*(W1125/$AY1125)/VLOOKUP(V1125,商品!$A$4:$D$67,4,FALSE),0),"")</f>
        <v/>
      </c>
      <c r="AW1125">
        <f t="shared" si="303"/>
        <v>0</v>
      </c>
      <c r="AX1125">
        <f t="shared" si="304"/>
        <v>0</v>
      </c>
      <c r="AY1125">
        <f t="shared" si="305"/>
        <v>0</v>
      </c>
    </row>
    <row r="1126" customHeight="1" spans="1:51">
      <c r="A1126" s="5" t="s">
        <v>489</v>
      </c>
      <c r="C1126" s="5">
        <v>1</v>
      </c>
      <c r="D1126" s="1" t="s">
        <v>220</v>
      </c>
      <c r="E1126" s="1" t="s">
        <v>224</v>
      </c>
      <c r="L1126" s="5">
        <f>IFERROR(VLOOKUP($D1126&amp;$C1126,生产方式定位!$A$2:$E$38,2,FALSE)+VLOOKUP($E1126&amp;$C1126,生产方式定位!$F$3:$J$38,2,FALSE),0)</f>
        <v>500</v>
      </c>
      <c r="S1126" s="5">
        <f>IFERROR(VLOOKUP($D1126&amp;$C1126,生产方式定位!$A$2:$E$38,3,FALSE)+VLOOKUP($E1126&amp;$C1126,生产方式定位!$F$3:$J$38,3,FALSE),0)</f>
        <v>150</v>
      </c>
      <c r="X1126" s="5">
        <f>IFERROR(VLOOKUP($D1126&amp;$C1126,生产方式定位!$A$2:$E$38,5,FALSE)+VLOOKUP($E1126&amp;$C1126,生产方式定位!$F$3:$J$38,5,FALSE),"错误")</f>
        <v>715</v>
      </c>
      <c r="Y1126" s="27" t="str">
        <f t="shared" si="289"/>
        <v/>
      </c>
      <c r="Z1126" s="50" t="str">
        <f t="shared" si="292"/>
        <v/>
      </c>
      <c r="AA1126" s="50" t="str">
        <f t="shared" si="290"/>
        <v/>
      </c>
      <c r="AB1126" s="28" t="str">
        <f t="shared" si="293"/>
        <v>43%</v>
      </c>
      <c r="AC1126" s="1">
        <f t="shared" si="294"/>
        <v>65</v>
      </c>
      <c r="AD1126" s="51">
        <f t="shared" si="291"/>
        <v>1</v>
      </c>
      <c r="AE1126" t="str">
        <f t="shared" si="295"/>
        <v/>
      </c>
      <c r="AF1126" t="str">
        <f t="shared" si="296"/>
        <v/>
      </c>
      <c r="AG1126" t="str">
        <f t="shared" si="297"/>
        <v/>
      </c>
      <c r="AH1126" t="str">
        <f t="shared" si="298"/>
        <v/>
      </c>
      <c r="AI1126" t="str">
        <f t="shared" si="299"/>
        <v/>
      </c>
      <c r="AJ1126" t="str">
        <f t="shared" si="300"/>
        <v/>
      </c>
      <c r="AK1126" t="str">
        <f t="shared" si="301"/>
        <v/>
      </c>
      <c r="AL1126" t="str">
        <f t="shared" si="302"/>
        <v/>
      </c>
      <c r="AN1126" t="str">
        <f>IFERROR(ROUND(L1126*(G1126/$AW1126)/VLOOKUP(F1126,商品!$A$4:$D$67,4,FALSE),0),"")</f>
        <v/>
      </c>
      <c r="AO1126" t="str">
        <f>IFERROR(ROUND(L1126*(I1126/$AW1126)/VLOOKUP(H1126,商品!$A$4:$D$67,4,FALSE),0),"")</f>
        <v/>
      </c>
      <c r="AP1126" t="str">
        <f>IFERROR(ROUND(L1126*(K1126/$AW1126)/VLOOKUP(J1126,商品!$A$4:$D$67,4,FALSE),0),"")</f>
        <v/>
      </c>
      <c r="AQ1126" t="str">
        <f>IFERROR(ROUND(S1126*(N1126/$AX1126)/VLOOKUP(M1126,职业!$A$3:$E$16,4,FALSE),0),"")</f>
        <v/>
      </c>
      <c r="AR1126" t="str">
        <f>IFERROR(ROUND(S1126*(P1126/$AX1126)/VLOOKUP(O1126,职业!$A$3:$E$16,4,FALSE),0),"")</f>
        <v/>
      </c>
      <c r="AS1126" t="str">
        <f>IFERROR(ROUND(S1126*(R1126/$AX1126)/VLOOKUP(Q1126,职业!$A$3:$E$16,4,FALSE),0),"")</f>
        <v/>
      </c>
      <c r="AT1126" t="str">
        <f>IFERROR(ROUND(X1126*(U1126/$AY1126)/VLOOKUP(T1126,商品!$A$4:$D$67,4,FALSE),0),"")</f>
        <v/>
      </c>
      <c r="AU1126" t="str">
        <f>IFERROR(ROUND(X1126*(W1126/$AY1126)/VLOOKUP(V1126,商品!$A$4:$D$67,4,FALSE),0),"")</f>
        <v/>
      </c>
      <c r="AW1126">
        <f t="shared" si="303"/>
        <v>0</v>
      </c>
      <c r="AX1126">
        <f t="shared" si="304"/>
        <v>0</v>
      </c>
      <c r="AY1126">
        <f t="shared" si="305"/>
        <v>0</v>
      </c>
    </row>
    <row r="1127" customHeight="1" spans="1:51">
      <c r="A1127" s="5" t="s">
        <v>489</v>
      </c>
      <c r="C1127" s="5">
        <v>2</v>
      </c>
      <c r="D1127" s="1" t="s">
        <v>220</v>
      </c>
      <c r="E1127" s="1" t="s">
        <v>224</v>
      </c>
      <c r="L1127" s="5">
        <f>IFERROR(VLOOKUP($D1127&amp;$C1127,生产方式定位!$A$2:$E$38,2,FALSE)+VLOOKUP($E1127&amp;$C1127,生产方式定位!$F$3:$J$38,2,FALSE),0)</f>
        <v>1200</v>
      </c>
      <c r="S1127" s="5">
        <f>IFERROR(VLOOKUP($D1127&amp;$C1127,生产方式定位!$A$2:$E$38,3,FALSE)+VLOOKUP($E1127&amp;$C1127,生产方式定位!$F$3:$J$38,3,FALSE),0)</f>
        <v>100</v>
      </c>
      <c r="X1127" s="5">
        <f>IFERROR(VLOOKUP($D1127&amp;$C1127,生产方式定位!$A$2:$E$38,5,FALSE)+VLOOKUP($E1127&amp;$C1127,生产方式定位!$F$3:$J$38,5,FALSE),"错误")</f>
        <v>1346</v>
      </c>
      <c r="Y1127" s="27" t="str">
        <f t="shared" si="289"/>
        <v/>
      </c>
      <c r="Z1127" s="50" t="str">
        <f t="shared" si="292"/>
        <v/>
      </c>
      <c r="AA1127" s="50" t="str">
        <f t="shared" si="290"/>
        <v/>
      </c>
      <c r="AB1127" s="28" t="str">
        <f t="shared" si="293"/>
        <v>12%</v>
      </c>
      <c r="AC1127" s="1">
        <f t="shared" si="294"/>
        <v>46</v>
      </c>
      <c r="AD1127" s="51">
        <f t="shared" si="291"/>
        <v>2</v>
      </c>
      <c r="AE1127" t="str">
        <f t="shared" si="295"/>
        <v/>
      </c>
      <c r="AF1127" t="str">
        <f t="shared" si="296"/>
        <v/>
      </c>
      <c r="AG1127" t="str">
        <f t="shared" si="297"/>
        <v/>
      </c>
      <c r="AH1127" t="str">
        <f t="shared" si="298"/>
        <v/>
      </c>
      <c r="AI1127" t="str">
        <f t="shared" si="299"/>
        <v/>
      </c>
      <c r="AJ1127" t="str">
        <f t="shared" si="300"/>
        <v/>
      </c>
      <c r="AK1127" t="str">
        <f t="shared" si="301"/>
        <v/>
      </c>
      <c r="AL1127" t="str">
        <f t="shared" si="302"/>
        <v/>
      </c>
      <c r="AN1127" t="str">
        <f>IFERROR(ROUND(L1127*(G1127/$AW1127)/VLOOKUP(F1127,商品!$A$4:$D$67,4,FALSE),0),"")</f>
        <v/>
      </c>
      <c r="AO1127" t="str">
        <f>IFERROR(ROUND(L1127*(I1127/$AW1127)/VLOOKUP(H1127,商品!$A$4:$D$67,4,FALSE),0),"")</f>
        <v/>
      </c>
      <c r="AP1127" t="str">
        <f>IFERROR(ROUND(L1127*(K1127/$AW1127)/VLOOKUP(J1127,商品!$A$4:$D$67,4,FALSE),0),"")</f>
        <v/>
      </c>
      <c r="AQ1127" t="str">
        <f>IFERROR(ROUND(S1127*(N1127/$AX1127)/VLOOKUP(M1127,职业!$A$3:$E$16,4,FALSE),0),"")</f>
        <v/>
      </c>
      <c r="AR1127" t="str">
        <f>IFERROR(ROUND(S1127*(P1127/$AX1127)/VLOOKUP(O1127,职业!$A$3:$E$16,4,FALSE),0),"")</f>
        <v/>
      </c>
      <c r="AS1127" t="str">
        <f>IFERROR(ROUND(S1127*(R1127/$AX1127)/VLOOKUP(Q1127,职业!$A$3:$E$16,4,FALSE),0),"")</f>
        <v/>
      </c>
      <c r="AT1127" t="str">
        <f>IFERROR(ROUND(X1127*(U1127/$AY1127)/VLOOKUP(T1127,商品!$A$4:$D$67,4,FALSE),0),"")</f>
        <v/>
      </c>
      <c r="AU1127" t="str">
        <f>IFERROR(ROUND(X1127*(W1127/$AY1127)/VLOOKUP(V1127,商品!$A$4:$D$67,4,FALSE),0),"")</f>
        <v/>
      </c>
      <c r="AW1127">
        <f t="shared" si="303"/>
        <v>0</v>
      </c>
      <c r="AX1127">
        <f t="shared" si="304"/>
        <v>0</v>
      </c>
      <c r="AY1127">
        <f t="shared" si="305"/>
        <v>0</v>
      </c>
    </row>
    <row r="1128" customHeight="1" spans="1:51">
      <c r="A1128" s="5" t="s">
        <v>489</v>
      </c>
      <c r="C1128" s="5">
        <v>3</v>
      </c>
      <c r="D1128" s="1" t="s">
        <v>220</v>
      </c>
      <c r="E1128" s="1" t="s">
        <v>224</v>
      </c>
      <c r="L1128" s="5">
        <f>IFERROR(VLOOKUP($D1128&amp;$C1128,生产方式定位!$A$2:$E$38,2,FALSE)+VLOOKUP($E1128&amp;$C1128,生产方式定位!$F$3:$J$38,2,FALSE),0)</f>
        <v>1900</v>
      </c>
      <c r="S1128" s="5">
        <f>IFERROR(VLOOKUP($D1128&amp;$C1128,生产方式定位!$A$2:$E$38,3,FALSE)+VLOOKUP($E1128&amp;$C1128,生产方式定位!$F$3:$J$38,3,FALSE),0)</f>
        <v>70</v>
      </c>
      <c r="X1128" s="5">
        <f>IFERROR(VLOOKUP($D1128&amp;$C1128,生产方式定位!$A$2:$E$38,5,FALSE)+VLOOKUP($E1128&amp;$C1128,生产方式定位!$F$3:$J$38,5,FALSE),"错误")</f>
        <v>2064</v>
      </c>
      <c r="Y1128" s="27" t="str">
        <f t="shared" si="289"/>
        <v/>
      </c>
      <c r="Z1128" s="50" t="str">
        <f t="shared" si="292"/>
        <v/>
      </c>
      <c r="AA1128" s="50" t="str">
        <f t="shared" si="290"/>
        <v/>
      </c>
      <c r="AB1128" s="28" t="str">
        <f t="shared" si="293"/>
        <v>9%</v>
      </c>
      <c r="AC1128" s="1">
        <f t="shared" si="294"/>
        <v>94</v>
      </c>
      <c r="AD1128" s="51">
        <f t="shared" si="291"/>
        <v>3</v>
      </c>
      <c r="AE1128" t="str">
        <f t="shared" si="295"/>
        <v/>
      </c>
      <c r="AF1128" t="str">
        <f t="shared" si="296"/>
        <v/>
      </c>
      <c r="AG1128" t="str">
        <f t="shared" si="297"/>
        <v/>
      </c>
      <c r="AH1128" t="str">
        <f t="shared" si="298"/>
        <v/>
      </c>
      <c r="AI1128" t="str">
        <f t="shared" si="299"/>
        <v/>
      </c>
      <c r="AJ1128" t="str">
        <f t="shared" si="300"/>
        <v/>
      </c>
      <c r="AK1128" t="str">
        <f t="shared" si="301"/>
        <v/>
      </c>
      <c r="AL1128" t="str">
        <f t="shared" si="302"/>
        <v/>
      </c>
      <c r="AN1128" t="str">
        <f>IFERROR(ROUND(L1128*(G1128/$AW1128)/VLOOKUP(F1128,商品!$A$4:$D$67,4,FALSE),0),"")</f>
        <v/>
      </c>
      <c r="AO1128" t="str">
        <f>IFERROR(ROUND(L1128*(I1128/$AW1128)/VLOOKUP(H1128,商品!$A$4:$D$67,4,FALSE),0),"")</f>
        <v/>
      </c>
      <c r="AP1128" t="str">
        <f>IFERROR(ROUND(L1128*(K1128/$AW1128)/VLOOKUP(J1128,商品!$A$4:$D$67,4,FALSE),0),"")</f>
        <v/>
      </c>
      <c r="AQ1128" t="str">
        <f>IFERROR(ROUND(S1128*(N1128/$AX1128)/VLOOKUP(M1128,职业!$A$3:$E$16,4,FALSE),0),"")</f>
        <v/>
      </c>
      <c r="AR1128" t="str">
        <f>IFERROR(ROUND(S1128*(P1128/$AX1128)/VLOOKUP(O1128,职业!$A$3:$E$16,4,FALSE),0),"")</f>
        <v/>
      </c>
      <c r="AS1128" t="str">
        <f>IFERROR(ROUND(S1128*(R1128/$AX1128)/VLOOKUP(Q1128,职业!$A$3:$E$16,4,FALSE),0),"")</f>
        <v/>
      </c>
      <c r="AT1128" t="str">
        <f>IFERROR(ROUND(X1128*(U1128/$AY1128)/VLOOKUP(T1128,商品!$A$4:$D$67,4,FALSE),0),"")</f>
        <v/>
      </c>
      <c r="AU1128" t="str">
        <f>IFERROR(ROUND(X1128*(W1128/$AY1128)/VLOOKUP(V1128,商品!$A$4:$D$67,4,FALSE),0),"")</f>
        <v/>
      </c>
      <c r="AW1128">
        <f t="shared" si="303"/>
        <v>0</v>
      </c>
      <c r="AX1128">
        <f t="shared" si="304"/>
        <v>0</v>
      </c>
      <c r="AY1128">
        <f t="shared" si="305"/>
        <v>0</v>
      </c>
    </row>
    <row r="1129" customHeight="1" spans="1:51">
      <c r="A1129" s="5" t="s">
        <v>489</v>
      </c>
      <c r="C1129" s="5">
        <v>4</v>
      </c>
      <c r="D1129" s="1" t="s">
        <v>220</v>
      </c>
      <c r="E1129" s="1" t="s">
        <v>224</v>
      </c>
      <c r="L1129" s="5">
        <f>IFERROR(VLOOKUP($D1129&amp;$C1129,生产方式定位!$A$2:$E$38,2,FALSE)+VLOOKUP($E1129&amp;$C1129,生产方式定位!$F$3:$J$38,2,FALSE),0)</f>
        <v>2600</v>
      </c>
      <c r="S1129" s="5">
        <f>IFERROR(VLOOKUP($D1129&amp;$C1129,生产方式定位!$A$2:$E$38,3,FALSE)+VLOOKUP($E1129&amp;$C1129,生产方式定位!$F$3:$J$38,3,FALSE),0)</f>
        <v>40</v>
      </c>
      <c r="X1129" s="5">
        <f>IFERROR(VLOOKUP($D1129&amp;$C1129,生产方式定位!$A$2:$E$38,5,FALSE)+VLOOKUP($E1129&amp;$C1129,生产方式定位!$F$3:$J$38,5,FALSE),"错误")</f>
        <v>2782</v>
      </c>
      <c r="Y1129" s="27" t="str">
        <f t="shared" si="289"/>
        <v/>
      </c>
      <c r="Z1129" s="50" t="str">
        <f t="shared" si="292"/>
        <v/>
      </c>
      <c r="AA1129" s="50" t="str">
        <f t="shared" si="290"/>
        <v/>
      </c>
      <c r="AB1129" s="28" t="str">
        <f t="shared" si="293"/>
        <v>7%</v>
      </c>
      <c r="AC1129" s="1">
        <f t="shared" si="294"/>
        <v>142</v>
      </c>
      <c r="AD1129" s="51">
        <f t="shared" si="291"/>
        <v>4</v>
      </c>
      <c r="AE1129" t="str">
        <f t="shared" si="295"/>
        <v/>
      </c>
      <c r="AF1129" t="str">
        <f t="shared" si="296"/>
        <v/>
      </c>
      <c r="AG1129" t="str">
        <f t="shared" si="297"/>
        <v/>
      </c>
      <c r="AH1129" t="str">
        <f t="shared" si="298"/>
        <v/>
      </c>
      <c r="AI1129" t="str">
        <f t="shared" si="299"/>
        <v/>
      </c>
      <c r="AJ1129" t="str">
        <f t="shared" si="300"/>
        <v/>
      </c>
      <c r="AK1129" t="str">
        <f t="shared" si="301"/>
        <v/>
      </c>
      <c r="AL1129" t="str">
        <f t="shared" si="302"/>
        <v/>
      </c>
      <c r="AN1129" t="str">
        <f>IFERROR(ROUND(L1129*(G1129/$AW1129)/VLOOKUP(F1129,商品!$A$4:$D$67,4,FALSE),0),"")</f>
        <v/>
      </c>
      <c r="AO1129" t="str">
        <f>IFERROR(ROUND(L1129*(I1129/$AW1129)/VLOOKUP(H1129,商品!$A$4:$D$67,4,FALSE),0),"")</f>
        <v/>
      </c>
      <c r="AP1129" t="str">
        <f>IFERROR(ROUND(L1129*(K1129/$AW1129)/VLOOKUP(J1129,商品!$A$4:$D$67,4,FALSE),0),"")</f>
        <v/>
      </c>
      <c r="AQ1129" t="str">
        <f>IFERROR(ROUND(S1129*(N1129/$AX1129)/VLOOKUP(M1129,职业!$A$3:$E$16,4,FALSE),0),"")</f>
        <v/>
      </c>
      <c r="AR1129" t="str">
        <f>IFERROR(ROUND(S1129*(P1129/$AX1129)/VLOOKUP(O1129,职业!$A$3:$E$16,4,FALSE),0),"")</f>
        <v/>
      </c>
      <c r="AS1129" t="str">
        <f>IFERROR(ROUND(S1129*(R1129/$AX1129)/VLOOKUP(Q1129,职业!$A$3:$E$16,4,FALSE),0),"")</f>
        <v/>
      </c>
      <c r="AT1129" t="str">
        <f>IFERROR(ROUND(X1129*(U1129/$AY1129)/VLOOKUP(T1129,商品!$A$4:$D$67,4,FALSE),0),"")</f>
        <v/>
      </c>
      <c r="AU1129" t="str">
        <f>IFERROR(ROUND(X1129*(W1129/$AY1129)/VLOOKUP(V1129,商品!$A$4:$D$67,4,FALSE),0),"")</f>
        <v/>
      </c>
      <c r="AW1129">
        <f t="shared" si="303"/>
        <v>0</v>
      </c>
      <c r="AX1129">
        <f t="shared" si="304"/>
        <v>0</v>
      </c>
      <c r="AY1129">
        <f t="shared" si="305"/>
        <v>0</v>
      </c>
    </row>
    <row r="1130" customHeight="1" spans="1:51">
      <c r="A1130" s="5" t="s">
        <v>489</v>
      </c>
      <c r="C1130" s="5">
        <v>5</v>
      </c>
      <c r="D1130" s="1" t="s">
        <v>220</v>
      </c>
      <c r="E1130" s="1" t="s">
        <v>224</v>
      </c>
      <c r="L1130" s="5">
        <f>IFERROR(VLOOKUP($D1130&amp;$C1130,生产方式定位!$A$2:$E$38,2,FALSE)+VLOOKUP($E1130&amp;$C1130,生产方式定位!$F$3:$J$38,2,FALSE),0)</f>
        <v>3300</v>
      </c>
      <c r="S1130" s="5">
        <f>IFERROR(VLOOKUP($D1130&amp;$C1130,生产方式定位!$A$2:$E$38,3,FALSE)+VLOOKUP($E1130&amp;$C1130,生产方式定位!$F$3:$J$38,3,FALSE),0)</f>
        <v>10</v>
      </c>
      <c r="X1130" s="5">
        <f>IFERROR(VLOOKUP($D1130&amp;$C1130,生产方式定位!$A$2:$E$38,5,FALSE)+VLOOKUP($E1130&amp;$C1130,生产方式定位!$F$3:$J$38,5,FALSE),"错误")</f>
        <v>3500</v>
      </c>
      <c r="Y1130" s="27" t="str">
        <f t="shared" si="289"/>
        <v/>
      </c>
      <c r="Z1130" s="50" t="str">
        <f t="shared" si="292"/>
        <v/>
      </c>
      <c r="AA1130" s="50" t="str">
        <f t="shared" si="290"/>
        <v/>
      </c>
      <c r="AB1130" s="28" t="str">
        <f t="shared" si="293"/>
        <v>6%</v>
      </c>
      <c r="AC1130" s="1">
        <f t="shared" si="294"/>
        <v>190</v>
      </c>
      <c r="AD1130" s="51">
        <f t="shared" si="291"/>
        <v>5</v>
      </c>
      <c r="AE1130" t="str">
        <f t="shared" si="295"/>
        <v/>
      </c>
      <c r="AF1130" t="str">
        <f t="shared" si="296"/>
        <v/>
      </c>
      <c r="AG1130" t="str">
        <f t="shared" si="297"/>
        <v/>
      </c>
      <c r="AH1130" t="str">
        <f t="shared" si="298"/>
        <v/>
      </c>
      <c r="AI1130" t="str">
        <f t="shared" si="299"/>
        <v/>
      </c>
      <c r="AJ1130" t="str">
        <f t="shared" si="300"/>
        <v/>
      </c>
      <c r="AK1130" t="str">
        <f t="shared" si="301"/>
        <v/>
      </c>
      <c r="AL1130" t="str">
        <f t="shared" si="302"/>
        <v/>
      </c>
      <c r="AN1130" t="str">
        <f>IFERROR(ROUND(L1130*(G1130/$AW1130)/VLOOKUP(F1130,商品!$A$4:$D$67,4,FALSE),0),"")</f>
        <v/>
      </c>
      <c r="AO1130" t="str">
        <f>IFERROR(ROUND(L1130*(I1130/$AW1130)/VLOOKUP(H1130,商品!$A$4:$D$67,4,FALSE),0),"")</f>
        <v/>
      </c>
      <c r="AP1130" t="str">
        <f>IFERROR(ROUND(L1130*(K1130/$AW1130)/VLOOKUP(J1130,商品!$A$4:$D$67,4,FALSE),0),"")</f>
        <v/>
      </c>
      <c r="AQ1130" t="str">
        <f>IFERROR(ROUND(S1130*(N1130/$AX1130)/VLOOKUP(M1130,职业!$A$3:$E$16,4,FALSE),0),"")</f>
        <v/>
      </c>
      <c r="AR1130" t="str">
        <f>IFERROR(ROUND(S1130*(P1130/$AX1130)/VLOOKUP(O1130,职业!$A$3:$E$16,4,FALSE),0),"")</f>
        <v/>
      </c>
      <c r="AS1130" t="str">
        <f>IFERROR(ROUND(S1130*(R1130/$AX1130)/VLOOKUP(Q1130,职业!$A$3:$E$16,4,FALSE),0),"")</f>
        <v/>
      </c>
      <c r="AT1130" t="str">
        <f>IFERROR(ROUND(X1130*(U1130/$AY1130)/VLOOKUP(T1130,商品!$A$4:$D$67,4,FALSE),0),"")</f>
        <v/>
      </c>
      <c r="AU1130" t="str">
        <f>IFERROR(ROUND(X1130*(W1130/$AY1130)/VLOOKUP(V1130,商品!$A$4:$D$67,4,FALSE),0),"")</f>
        <v/>
      </c>
      <c r="AW1130">
        <f t="shared" si="303"/>
        <v>0</v>
      </c>
      <c r="AX1130">
        <f t="shared" si="304"/>
        <v>0</v>
      </c>
      <c r="AY1130">
        <f t="shared" si="305"/>
        <v>0</v>
      </c>
    </row>
    <row r="1131" customHeight="1" spans="1:51">
      <c r="A1131" s="18" t="s">
        <v>490</v>
      </c>
      <c r="C1131" s="18">
        <v>1</v>
      </c>
      <c r="D1131" s="1" t="s">
        <v>291</v>
      </c>
      <c r="E1131" s="1" t="s">
        <v>225</v>
      </c>
      <c r="L1131" s="18">
        <f>IFERROR(VLOOKUP($D1131&amp;$C1131,生产方式定位!$A$2:$E$38,2,FALSE)+VLOOKUP($E1131&amp;$C1131,生产方式定位!$F$3:$J$38,2,FALSE),0)</f>
        <v>0</v>
      </c>
      <c r="S1131" s="18">
        <f>IFERROR(VLOOKUP($D1131&amp;$C1131,生产方式定位!$A$2:$E$38,3,FALSE)+VLOOKUP($E1131&amp;$C1131,生产方式定位!$F$3:$J$38,3,FALSE),0)</f>
        <v>100</v>
      </c>
      <c r="X1131" s="18">
        <f>IFERROR(VLOOKUP($D1131&amp;$C1131,生产方式定位!$A$2:$E$38,5,FALSE)+VLOOKUP($E1131&amp;$C1131,生产方式定位!$F$3:$J$38,5,FALSE),"错误")</f>
        <v>100</v>
      </c>
      <c r="Y1131" s="27" t="str">
        <f t="shared" si="289"/>
        <v/>
      </c>
      <c r="Z1131" s="50" t="str">
        <f t="shared" si="292"/>
        <v/>
      </c>
      <c r="AA1131" s="50" t="str">
        <f t="shared" si="290"/>
        <v/>
      </c>
      <c r="AB1131" s="28" t="str">
        <f t="shared" si="293"/>
        <v/>
      </c>
      <c r="AC1131" s="1" t="str">
        <f t="shared" si="294"/>
        <v/>
      </c>
      <c r="AD1131" s="52">
        <f t="shared" si="291"/>
        <v>1</v>
      </c>
      <c r="AE1131" t="str">
        <f t="shared" si="295"/>
        <v/>
      </c>
      <c r="AF1131" t="str">
        <f t="shared" si="296"/>
        <v/>
      </c>
      <c r="AG1131" t="str">
        <f t="shared" si="297"/>
        <v/>
      </c>
      <c r="AH1131" t="str">
        <f t="shared" si="298"/>
        <v/>
      </c>
      <c r="AI1131" t="str">
        <f t="shared" si="299"/>
        <v/>
      </c>
      <c r="AJ1131" t="str">
        <f t="shared" si="300"/>
        <v/>
      </c>
      <c r="AK1131" t="str">
        <f t="shared" si="301"/>
        <v/>
      </c>
      <c r="AL1131" t="str">
        <f t="shared" si="302"/>
        <v/>
      </c>
      <c r="AN1131" t="str">
        <f>IFERROR(ROUND(L1131*(G1131/$AW1131)/VLOOKUP(F1131,商品!$A$4:$D$67,4,FALSE),0),"")</f>
        <v/>
      </c>
      <c r="AO1131" t="str">
        <f>IFERROR(ROUND(L1131*(I1131/$AW1131)/VLOOKUP(H1131,商品!$A$4:$D$67,4,FALSE),0),"")</f>
        <v/>
      </c>
      <c r="AP1131" t="str">
        <f>IFERROR(ROUND(L1131*(K1131/$AW1131)/VLOOKUP(J1131,商品!$A$4:$D$67,4,FALSE),0),"")</f>
        <v/>
      </c>
      <c r="AQ1131" t="str">
        <f>IFERROR(ROUND(S1131*(N1131/$AX1131)/VLOOKUP(M1131,职业!$A$3:$E$16,4,FALSE),0),"")</f>
        <v/>
      </c>
      <c r="AR1131" t="str">
        <f>IFERROR(ROUND(S1131*(P1131/$AX1131)/VLOOKUP(O1131,职业!$A$3:$E$16,4,FALSE),0),"")</f>
        <v/>
      </c>
      <c r="AS1131" t="str">
        <f>IFERROR(ROUND(S1131*(R1131/$AX1131)/VLOOKUP(Q1131,职业!$A$3:$E$16,4,FALSE),0),"")</f>
        <v/>
      </c>
      <c r="AT1131" t="str">
        <f>IFERROR(ROUND(X1131*(U1131/$AY1131)/VLOOKUP(T1131,商品!$A$4:$D$67,4,FALSE),0),"")</f>
        <v/>
      </c>
      <c r="AU1131" t="str">
        <f>IFERROR(ROUND(X1131*(W1131/$AY1131)/VLOOKUP(V1131,商品!$A$4:$D$67,4,FALSE),0),"")</f>
        <v/>
      </c>
      <c r="AW1131">
        <f t="shared" si="303"/>
        <v>0</v>
      </c>
      <c r="AX1131">
        <f t="shared" si="304"/>
        <v>0</v>
      </c>
      <c r="AY1131">
        <f t="shared" si="305"/>
        <v>0</v>
      </c>
    </row>
    <row r="1132" customHeight="1" spans="1:51">
      <c r="A1132" s="18" t="s">
        <v>490</v>
      </c>
      <c r="C1132" s="18">
        <v>2</v>
      </c>
      <c r="D1132" s="1" t="s">
        <v>291</v>
      </c>
      <c r="E1132" s="1" t="s">
        <v>225</v>
      </c>
      <c r="L1132" s="18">
        <f>IFERROR(VLOOKUP($D1132&amp;$C1132,生产方式定位!$A$2:$E$38,2,FALSE)+VLOOKUP($E1132&amp;$C1132,生产方式定位!$F$3:$J$38,2,FALSE),0)</f>
        <v>0</v>
      </c>
      <c r="S1132" s="18">
        <f>IFERROR(VLOOKUP($D1132&amp;$C1132,生产方式定位!$A$2:$E$38,3,FALSE)+VLOOKUP($E1132&amp;$C1132,生产方式定位!$F$3:$J$38,3,FALSE),0)</f>
        <v>100</v>
      </c>
      <c r="X1132" s="18">
        <f>IFERROR(VLOOKUP($D1132&amp;$C1132,生产方式定位!$A$2:$E$38,5,FALSE)+VLOOKUP($E1132&amp;$C1132,生产方式定位!$F$3:$J$38,5,FALSE),"错误")</f>
        <v>100</v>
      </c>
      <c r="Y1132" s="27" t="str">
        <f t="shared" si="289"/>
        <v/>
      </c>
      <c r="Z1132" s="50" t="str">
        <f t="shared" si="292"/>
        <v/>
      </c>
      <c r="AA1132" s="50" t="str">
        <f t="shared" si="290"/>
        <v/>
      </c>
      <c r="AB1132" s="28" t="str">
        <f t="shared" si="293"/>
        <v/>
      </c>
      <c r="AC1132" s="1" t="str">
        <f t="shared" si="294"/>
        <v/>
      </c>
      <c r="AD1132" s="52">
        <f t="shared" si="291"/>
        <v>2</v>
      </c>
      <c r="AE1132" t="str">
        <f t="shared" si="295"/>
        <v/>
      </c>
      <c r="AF1132" t="str">
        <f t="shared" si="296"/>
        <v/>
      </c>
      <c r="AG1132" t="str">
        <f t="shared" si="297"/>
        <v/>
      </c>
      <c r="AH1132" t="str">
        <f t="shared" si="298"/>
        <v/>
      </c>
      <c r="AI1132" t="str">
        <f t="shared" si="299"/>
        <v/>
      </c>
      <c r="AJ1132" t="str">
        <f t="shared" si="300"/>
        <v/>
      </c>
      <c r="AK1132" t="str">
        <f t="shared" si="301"/>
        <v/>
      </c>
      <c r="AL1132" t="str">
        <f t="shared" si="302"/>
        <v/>
      </c>
      <c r="AN1132" t="str">
        <f>IFERROR(ROUND(L1132*(G1132/$AW1132)/VLOOKUP(F1132,商品!$A$4:$D$67,4,FALSE),0),"")</f>
        <v/>
      </c>
      <c r="AO1132" t="str">
        <f>IFERROR(ROUND(L1132*(I1132/$AW1132)/VLOOKUP(H1132,商品!$A$4:$D$67,4,FALSE),0),"")</f>
        <v/>
      </c>
      <c r="AP1132" t="str">
        <f>IFERROR(ROUND(L1132*(K1132/$AW1132)/VLOOKUP(J1132,商品!$A$4:$D$67,4,FALSE),0),"")</f>
        <v/>
      </c>
      <c r="AQ1132" t="str">
        <f>IFERROR(ROUND(S1132*(N1132/$AX1132)/VLOOKUP(M1132,职业!$A$3:$E$16,4,FALSE),0),"")</f>
        <v/>
      </c>
      <c r="AR1132" t="str">
        <f>IFERROR(ROUND(S1132*(P1132/$AX1132)/VLOOKUP(O1132,职业!$A$3:$E$16,4,FALSE),0),"")</f>
        <v/>
      </c>
      <c r="AS1132" t="str">
        <f>IFERROR(ROUND(S1132*(R1132/$AX1132)/VLOOKUP(Q1132,职业!$A$3:$E$16,4,FALSE),0),"")</f>
        <v/>
      </c>
      <c r="AT1132" t="str">
        <f>IFERROR(ROUND(X1132*(U1132/$AY1132)/VLOOKUP(T1132,商品!$A$4:$D$67,4,FALSE),0),"")</f>
        <v/>
      </c>
      <c r="AU1132" t="str">
        <f>IFERROR(ROUND(X1132*(W1132/$AY1132)/VLOOKUP(V1132,商品!$A$4:$D$67,4,FALSE),0),"")</f>
        <v/>
      </c>
      <c r="AW1132">
        <f t="shared" si="303"/>
        <v>0</v>
      </c>
      <c r="AX1132">
        <f t="shared" si="304"/>
        <v>0</v>
      </c>
      <c r="AY1132">
        <f t="shared" si="305"/>
        <v>0</v>
      </c>
    </row>
    <row r="1133" customHeight="1" spans="1:51">
      <c r="A1133" s="18" t="s">
        <v>490</v>
      </c>
      <c r="C1133" s="18">
        <v>3</v>
      </c>
      <c r="D1133" s="1" t="s">
        <v>291</v>
      </c>
      <c r="E1133" s="1" t="s">
        <v>225</v>
      </c>
      <c r="L1133" s="18">
        <f>IFERROR(VLOOKUP($D1133&amp;$C1133,生产方式定位!$A$2:$E$38,2,FALSE)+VLOOKUP($E1133&amp;$C1133,生产方式定位!$F$3:$J$38,2,FALSE),0)</f>
        <v>0</v>
      </c>
      <c r="S1133" s="18">
        <f>IFERROR(VLOOKUP($D1133&amp;$C1133,生产方式定位!$A$2:$E$38,3,FALSE)+VLOOKUP($E1133&amp;$C1133,生产方式定位!$F$3:$J$38,3,FALSE),0)</f>
        <v>100</v>
      </c>
      <c r="X1133" s="18">
        <f>IFERROR(VLOOKUP($D1133&amp;$C1133,生产方式定位!$A$2:$E$38,5,FALSE)+VLOOKUP($E1133&amp;$C1133,生产方式定位!$F$3:$J$38,5,FALSE),"错误")</f>
        <v>100</v>
      </c>
      <c r="Y1133" s="27" t="str">
        <f t="shared" si="289"/>
        <v/>
      </c>
      <c r="Z1133" s="50" t="str">
        <f t="shared" si="292"/>
        <v/>
      </c>
      <c r="AA1133" s="50" t="str">
        <f t="shared" si="290"/>
        <v/>
      </c>
      <c r="AB1133" s="28" t="str">
        <f t="shared" si="293"/>
        <v/>
      </c>
      <c r="AC1133" s="1" t="str">
        <f t="shared" si="294"/>
        <v/>
      </c>
      <c r="AD1133" s="52">
        <f t="shared" si="291"/>
        <v>3</v>
      </c>
      <c r="AE1133" t="str">
        <f t="shared" si="295"/>
        <v/>
      </c>
      <c r="AF1133" t="str">
        <f t="shared" si="296"/>
        <v/>
      </c>
      <c r="AG1133" t="str">
        <f t="shared" si="297"/>
        <v/>
      </c>
      <c r="AH1133" t="str">
        <f t="shared" si="298"/>
        <v/>
      </c>
      <c r="AI1133" t="str">
        <f t="shared" si="299"/>
        <v/>
      </c>
      <c r="AJ1133" t="str">
        <f t="shared" si="300"/>
        <v/>
      </c>
      <c r="AK1133" t="str">
        <f t="shared" si="301"/>
        <v/>
      </c>
      <c r="AL1133" t="str">
        <f t="shared" si="302"/>
        <v/>
      </c>
      <c r="AN1133" t="str">
        <f>IFERROR(ROUND(L1133*(G1133/$AW1133)/VLOOKUP(F1133,商品!$A$4:$D$67,4,FALSE),0),"")</f>
        <v/>
      </c>
      <c r="AO1133" t="str">
        <f>IFERROR(ROUND(L1133*(I1133/$AW1133)/VLOOKUP(H1133,商品!$A$4:$D$67,4,FALSE),0),"")</f>
        <v/>
      </c>
      <c r="AP1133" t="str">
        <f>IFERROR(ROUND(L1133*(K1133/$AW1133)/VLOOKUP(J1133,商品!$A$4:$D$67,4,FALSE),0),"")</f>
        <v/>
      </c>
      <c r="AQ1133" t="str">
        <f>IFERROR(ROUND(S1133*(N1133/$AX1133)/VLOOKUP(M1133,职业!$A$3:$E$16,4,FALSE),0),"")</f>
        <v/>
      </c>
      <c r="AR1133" t="str">
        <f>IFERROR(ROUND(S1133*(P1133/$AX1133)/VLOOKUP(O1133,职业!$A$3:$E$16,4,FALSE),0),"")</f>
        <v/>
      </c>
      <c r="AS1133" t="str">
        <f>IFERROR(ROUND(S1133*(R1133/$AX1133)/VLOOKUP(Q1133,职业!$A$3:$E$16,4,FALSE),0),"")</f>
        <v/>
      </c>
      <c r="AT1133" t="str">
        <f>IFERROR(ROUND(X1133*(U1133/$AY1133)/VLOOKUP(T1133,商品!$A$4:$D$67,4,FALSE),0),"")</f>
        <v/>
      </c>
      <c r="AU1133" t="str">
        <f>IFERROR(ROUND(X1133*(W1133/$AY1133)/VLOOKUP(V1133,商品!$A$4:$D$67,4,FALSE),0),"")</f>
        <v/>
      </c>
      <c r="AW1133">
        <f t="shared" si="303"/>
        <v>0</v>
      </c>
      <c r="AX1133">
        <f t="shared" si="304"/>
        <v>0</v>
      </c>
      <c r="AY1133">
        <f t="shared" si="305"/>
        <v>0</v>
      </c>
    </row>
    <row r="1134" customHeight="1" spans="1:51">
      <c r="A1134" s="18" t="s">
        <v>490</v>
      </c>
      <c r="C1134" s="18">
        <v>4</v>
      </c>
      <c r="D1134" s="1" t="s">
        <v>291</v>
      </c>
      <c r="E1134" s="1" t="s">
        <v>225</v>
      </c>
      <c r="L1134" s="18">
        <f>IFERROR(VLOOKUP($D1134&amp;$C1134,生产方式定位!$A$2:$E$38,2,FALSE)+VLOOKUP($E1134&amp;$C1134,生产方式定位!$F$3:$J$38,2,FALSE),0)</f>
        <v>0</v>
      </c>
      <c r="S1134" s="18">
        <f>IFERROR(VLOOKUP($D1134&amp;$C1134,生产方式定位!$A$2:$E$38,3,FALSE)+VLOOKUP($E1134&amp;$C1134,生产方式定位!$F$3:$J$38,3,FALSE),0)</f>
        <v>100</v>
      </c>
      <c r="X1134" s="18">
        <f>IFERROR(VLOOKUP($D1134&amp;$C1134,生产方式定位!$A$2:$E$38,5,FALSE)+VLOOKUP($E1134&amp;$C1134,生产方式定位!$F$3:$J$38,5,FALSE),"错误")</f>
        <v>100</v>
      </c>
      <c r="Y1134" s="27" t="str">
        <f t="shared" si="289"/>
        <v/>
      </c>
      <c r="Z1134" s="50" t="str">
        <f t="shared" si="292"/>
        <v/>
      </c>
      <c r="AA1134" s="50" t="str">
        <f t="shared" si="290"/>
        <v/>
      </c>
      <c r="AB1134" s="28" t="str">
        <f t="shared" si="293"/>
        <v/>
      </c>
      <c r="AC1134" s="1" t="str">
        <f t="shared" si="294"/>
        <v/>
      </c>
      <c r="AD1134" s="52">
        <f t="shared" si="291"/>
        <v>4</v>
      </c>
      <c r="AE1134" t="str">
        <f t="shared" si="295"/>
        <v/>
      </c>
      <c r="AF1134" t="str">
        <f t="shared" si="296"/>
        <v/>
      </c>
      <c r="AG1134" t="str">
        <f t="shared" si="297"/>
        <v/>
      </c>
      <c r="AH1134" t="str">
        <f t="shared" si="298"/>
        <v/>
      </c>
      <c r="AI1134" t="str">
        <f t="shared" si="299"/>
        <v/>
      </c>
      <c r="AJ1134" t="str">
        <f t="shared" si="300"/>
        <v/>
      </c>
      <c r="AK1134" t="str">
        <f t="shared" si="301"/>
        <v/>
      </c>
      <c r="AL1134" t="str">
        <f t="shared" si="302"/>
        <v/>
      </c>
      <c r="AN1134" t="str">
        <f>IFERROR(ROUND(L1134*(G1134/$AW1134)/VLOOKUP(F1134,商品!$A$4:$D$67,4,FALSE),0),"")</f>
        <v/>
      </c>
      <c r="AO1134" t="str">
        <f>IFERROR(ROUND(L1134*(I1134/$AW1134)/VLOOKUP(H1134,商品!$A$4:$D$67,4,FALSE),0),"")</f>
        <v/>
      </c>
      <c r="AP1134" t="str">
        <f>IFERROR(ROUND(L1134*(K1134/$AW1134)/VLOOKUP(J1134,商品!$A$4:$D$67,4,FALSE),0),"")</f>
        <v/>
      </c>
      <c r="AQ1134" t="str">
        <f>IFERROR(ROUND(S1134*(N1134/$AX1134)/VLOOKUP(M1134,职业!$A$3:$E$16,4,FALSE),0),"")</f>
        <v/>
      </c>
      <c r="AR1134" t="str">
        <f>IFERROR(ROUND(S1134*(P1134/$AX1134)/VLOOKUP(O1134,职业!$A$3:$E$16,4,FALSE),0),"")</f>
        <v/>
      </c>
      <c r="AS1134" t="str">
        <f>IFERROR(ROUND(S1134*(R1134/$AX1134)/VLOOKUP(Q1134,职业!$A$3:$E$16,4,FALSE),0),"")</f>
        <v/>
      </c>
      <c r="AT1134" t="str">
        <f>IFERROR(ROUND(X1134*(U1134/$AY1134)/VLOOKUP(T1134,商品!$A$4:$D$67,4,FALSE),0),"")</f>
        <v/>
      </c>
      <c r="AU1134" t="str">
        <f>IFERROR(ROUND(X1134*(W1134/$AY1134)/VLOOKUP(V1134,商品!$A$4:$D$67,4,FALSE),0),"")</f>
        <v/>
      </c>
      <c r="AW1134">
        <f t="shared" si="303"/>
        <v>0</v>
      </c>
      <c r="AX1134">
        <f t="shared" si="304"/>
        <v>0</v>
      </c>
      <c r="AY1134">
        <f t="shared" si="305"/>
        <v>0</v>
      </c>
    </row>
    <row r="1135" customHeight="1" spans="1:51">
      <c r="A1135" s="18" t="s">
        <v>490</v>
      </c>
      <c r="C1135" s="18">
        <v>5</v>
      </c>
      <c r="D1135" s="1" t="s">
        <v>291</v>
      </c>
      <c r="E1135" s="1" t="s">
        <v>225</v>
      </c>
      <c r="L1135" s="18">
        <f>IFERROR(VLOOKUP($D1135&amp;$C1135,生产方式定位!$A$2:$E$38,2,FALSE)+VLOOKUP($E1135&amp;$C1135,生产方式定位!$F$3:$J$38,2,FALSE),0)</f>
        <v>0</v>
      </c>
      <c r="S1135" s="18">
        <f>IFERROR(VLOOKUP($D1135&amp;$C1135,生产方式定位!$A$2:$E$38,3,FALSE)+VLOOKUP($E1135&amp;$C1135,生产方式定位!$F$3:$J$38,3,FALSE),0)</f>
        <v>100</v>
      </c>
      <c r="X1135" s="18">
        <f>IFERROR(VLOOKUP($D1135&amp;$C1135,生产方式定位!$A$2:$E$38,5,FALSE)+VLOOKUP($E1135&amp;$C1135,生产方式定位!$F$3:$J$38,5,FALSE),"错误")</f>
        <v>100</v>
      </c>
      <c r="Y1135" s="27" t="str">
        <f t="shared" si="289"/>
        <v/>
      </c>
      <c r="Z1135" s="50" t="str">
        <f t="shared" si="292"/>
        <v/>
      </c>
      <c r="AA1135" s="50" t="str">
        <f t="shared" si="290"/>
        <v/>
      </c>
      <c r="AB1135" s="28" t="str">
        <f t="shared" si="293"/>
        <v/>
      </c>
      <c r="AC1135" s="1" t="str">
        <f t="shared" si="294"/>
        <v/>
      </c>
      <c r="AD1135" s="52">
        <f t="shared" si="291"/>
        <v>5</v>
      </c>
      <c r="AE1135" t="str">
        <f t="shared" si="295"/>
        <v/>
      </c>
      <c r="AF1135" t="str">
        <f t="shared" si="296"/>
        <v/>
      </c>
      <c r="AG1135" t="str">
        <f t="shared" si="297"/>
        <v/>
      </c>
      <c r="AH1135" t="str">
        <f t="shared" si="298"/>
        <v/>
      </c>
      <c r="AI1135" t="str">
        <f t="shared" si="299"/>
        <v/>
      </c>
      <c r="AJ1135" t="str">
        <f t="shared" si="300"/>
        <v/>
      </c>
      <c r="AK1135" t="str">
        <f t="shared" si="301"/>
        <v/>
      </c>
      <c r="AL1135" t="str">
        <f t="shared" si="302"/>
        <v/>
      </c>
      <c r="AN1135" t="str">
        <f>IFERROR(ROUND(L1135*(G1135/$AW1135)/VLOOKUP(F1135,商品!$A$4:$D$67,4,FALSE),0),"")</f>
        <v/>
      </c>
      <c r="AO1135" t="str">
        <f>IFERROR(ROUND(L1135*(I1135/$AW1135)/VLOOKUP(H1135,商品!$A$4:$D$67,4,FALSE),0),"")</f>
        <v/>
      </c>
      <c r="AP1135" t="str">
        <f>IFERROR(ROUND(L1135*(K1135/$AW1135)/VLOOKUP(J1135,商品!$A$4:$D$67,4,FALSE),0),"")</f>
        <v/>
      </c>
      <c r="AQ1135" t="str">
        <f>IFERROR(ROUND(S1135*(N1135/$AX1135)/VLOOKUP(M1135,职业!$A$3:$E$16,4,FALSE),0),"")</f>
        <v/>
      </c>
      <c r="AR1135" t="str">
        <f>IFERROR(ROUND(S1135*(P1135/$AX1135)/VLOOKUP(O1135,职业!$A$3:$E$16,4,FALSE),0),"")</f>
        <v/>
      </c>
      <c r="AS1135" t="str">
        <f>IFERROR(ROUND(S1135*(R1135/$AX1135)/VLOOKUP(Q1135,职业!$A$3:$E$16,4,FALSE),0),"")</f>
        <v/>
      </c>
      <c r="AT1135" t="str">
        <f>IFERROR(ROUND(X1135*(U1135/$AY1135)/VLOOKUP(T1135,商品!$A$4:$D$67,4,FALSE),0),"")</f>
        <v/>
      </c>
      <c r="AU1135" t="str">
        <f>IFERROR(ROUND(X1135*(W1135/$AY1135)/VLOOKUP(V1135,商品!$A$4:$D$67,4,FALSE),0),"")</f>
        <v/>
      </c>
      <c r="AW1135">
        <f t="shared" si="303"/>
        <v>0</v>
      </c>
      <c r="AX1135">
        <f t="shared" si="304"/>
        <v>0</v>
      </c>
      <c r="AY1135">
        <f t="shared" si="305"/>
        <v>0</v>
      </c>
    </row>
    <row r="1136" customHeight="1" spans="1:51">
      <c r="A1136" s="18" t="s">
        <v>490</v>
      </c>
      <c r="C1136" s="18">
        <v>6</v>
      </c>
      <c r="D1136" s="1" t="s">
        <v>291</v>
      </c>
      <c r="E1136" s="1" t="s">
        <v>225</v>
      </c>
      <c r="L1136" s="18">
        <f>IFERROR(VLOOKUP($D1136&amp;$C1136,生产方式定位!$A$2:$E$38,2,FALSE)+VLOOKUP($E1136&amp;$C1136,生产方式定位!$F$3:$J$38,2,FALSE),0)</f>
        <v>0</v>
      </c>
      <c r="S1136" s="18">
        <f>IFERROR(VLOOKUP($D1136&amp;$C1136,生产方式定位!$A$2:$E$38,3,FALSE)+VLOOKUP($E1136&amp;$C1136,生产方式定位!$F$3:$J$38,3,FALSE),0)</f>
        <v>100</v>
      </c>
      <c r="X1136" s="18">
        <f>IFERROR(VLOOKUP($D1136&amp;$C1136,生产方式定位!$A$2:$E$38,5,FALSE)+VLOOKUP($E1136&amp;$C1136,生产方式定位!$F$3:$J$38,5,FALSE),"错误")</f>
        <v>100</v>
      </c>
      <c r="Y1136" s="27" t="str">
        <f t="shared" si="289"/>
        <v/>
      </c>
      <c r="Z1136" s="50" t="str">
        <f t="shared" si="292"/>
        <v/>
      </c>
      <c r="AA1136" s="50" t="str">
        <f t="shared" si="290"/>
        <v/>
      </c>
      <c r="AB1136" s="28" t="str">
        <f t="shared" si="293"/>
        <v/>
      </c>
      <c r="AC1136" s="1" t="str">
        <f t="shared" si="294"/>
        <v/>
      </c>
      <c r="AD1136" s="52">
        <f t="shared" si="291"/>
        <v>6</v>
      </c>
      <c r="AE1136" t="str">
        <f t="shared" si="295"/>
        <v/>
      </c>
      <c r="AF1136" t="str">
        <f t="shared" si="296"/>
        <v/>
      </c>
      <c r="AG1136" t="str">
        <f t="shared" si="297"/>
        <v/>
      </c>
      <c r="AH1136" t="str">
        <f t="shared" si="298"/>
        <v/>
      </c>
      <c r="AI1136" t="str">
        <f t="shared" si="299"/>
        <v/>
      </c>
      <c r="AJ1136" t="str">
        <f t="shared" si="300"/>
        <v/>
      </c>
      <c r="AK1136" t="str">
        <f t="shared" si="301"/>
        <v/>
      </c>
      <c r="AL1136" t="str">
        <f t="shared" si="302"/>
        <v/>
      </c>
      <c r="AN1136" t="str">
        <f>IFERROR(ROUND(L1136*(G1136/$AW1136)/VLOOKUP(F1136,商品!$A$4:$D$67,4,FALSE),0),"")</f>
        <v/>
      </c>
      <c r="AO1136" t="str">
        <f>IFERROR(ROUND(L1136*(I1136/$AW1136)/VLOOKUP(H1136,商品!$A$4:$D$67,4,FALSE),0),"")</f>
        <v/>
      </c>
      <c r="AP1136" t="str">
        <f>IFERROR(ROUND(L1136*(K1136/$AW1136)/VLOOKUP(J1136,商品!$A$4:$D$67,4,FALSE),0),"")</f>
        <v/>
      </c>
      <c r="AQ1136" t="str">
        <f>IFERROR(ROUND(S1136*(N1136/$AX1136)/VLOOKUP(M1136,职业!$A$3:$E$16,4,FALSE),0),"")</f>
        <v/>
      </c>
      <c r="AR1136" t="str">
        <f>IFERROR(ROUND(S1136*(P1136/$AX1136)/VLOOKUP(O1136,职业!$A$3:$E$16,4,FALSE),0),"")</f>
        <v/>
      </c>
      <c r="AS1136" t="str">
        <f>IFERROR(ROUND(S1136*(R1136/$AX1136)/VLOOKUP(Q1136,职业!$A$3:$E$16,4,FALSE),0),"")</f>
        <v/>
      </c>
      <c r="AT1136" t="str">
        <f>IFERROR(ROUND(X1136*(U1136/$AY1136)/VLOOKUP(T1136,商品!$A$4:$D$67,4,FALSE),0),"")</f>
        <v/>
      </c>
      <c r="AU1136" t="str">
        <f>IFERROR(ROUND(X1136*(W1136/$AY1136)/VLOOKUP(V1136,商品!$A$4:$D$67,4,FALSE),0),"")</f>
        <v/>
      </c>
      <c r="AW1136">
        <f t="shared" si="303"/>
        <v>0</v>
      </c>
      <c r="AX1136">
        <f t="shared" si="304"/>
        <v>0</v>
      </c>
      <c r="AY1136">
        <f t="shared" si="305"/>
        <v>0</v>
      </c>
    </row>
    <row r="1137" customHeight="1" spans="1:51">
      <c r="A1137" s="18" t="s">
        <v>490</v>
      </c>
      <c r="C1137" s="18">
        <v>7</v>
      </c>
      <c r="D1137" s="1" t="s">
        <v>291</v>
      </c>
      <c r="E1137" s="1" t="s">
        <v>225</v>
      </c>
      <c r="L1137" s="18">
        <f>IFERROR(VLOOKUP($D1137&amp;$C1137,生产方式定位!$A$2:$E$38,2,FALSE)+VLOOKUP($E1137&amp;$C1137,生产方式定位!$F$3:$J$38,2,FALSE),0)</f>
        <v>0</v>
      </c>
      <c r="S1137" s="18">
        <f>IFERROR(VLOOKUP($D1137&amp;$C1137,生产方式定位!$A$2:$E$38,3,FALSE)+VLOOKUP($E1137&amp;$C1137,生产方式定位!$F$3:$J$38,3,FALSE),0)</f>
        <v>100</v>
      </c>
      <c r="X1137" s="18">
        <f>IFERROR(VLOOKUP($D1137&amp;$C1137,生产方式定位!$A$2:$E$38,5,FALSE)+VLOOKUP($E1137&amp;$C1137,生产方式定位!$F$3:$J$38,5,FALSE),"错误")</f>
        <v>100</v>
      </c>
      <c r="Y1137" s="27" t="str">
        <f t="shared" si="289"/>
        <v/>
      </c>
      <c r="Z1137" s="50" t="str">
        <f t="shared" si="292"/>
        <v/>
      </c>
      <c r="AA1137" s="50" t="str">
        <f t="shared" si="290"/>
        <v/>
      </c>
      <c r="AB1137" s="28" t="str">
        <f t="shared" si="293"/>
        <v/>
      </c>
      <c r="AC1137" s="1" t="str">
        <f t="shared" si="294"/>
        <v/>
      </c>
      <c r="AD1137" s="52">
        <f t="shared" si="291"/>
        <v>7</v>
      </c>
      <c r="AE1137" t="str">
        <f t="shared" si="295"/>
        <v/>
      </c>
      <c r="AF1137" t="str">
        <f t="shared" si="296"/>
        <v/>
      </c>
      <c r="AG1137" t="str">
        <f t="shared" si="297"/>
        <v/>
      </c>
      <c r="AH1137" t="str">
        <f t="shared" si="298"/>
        <v/>
      </c>
      <c r="AI1137" t="str">
        <f t="shared" si="299"/>
        <v/>
      </c>
      <c r="AJ1137" t="str">
        <f t="shared" si="300"/>
        <v/>
      </c>
      <c r="AK1137" t="str">
        <f t="shared" si="301"/>
        <v/>
      </c>
      <c r="AL1137" t="str">
        <f t="shared" si="302"/>
        <v/>
      </c>
      <c r="AN1137" t="str">
        <f>IFERROR(ROUND(L1137*(G1137/$AW1137)/VLOOKUP(F1137,商品!$A$4:$D$67,4,FALSE),0),"")</f>
        <v/>
      </c>
      <c r="AO1137" t="str">
        <f>IFERROR(ROUND(L1137*(I1137/$AW1137)/VLOOKUP(H1137,商品!$A$4:$D$67,4,FALSE),0),"")</f>
        <v/>
      </c>
      <c r="AP1137" t="str">
        <f>IFERROR(ROUND(L1137*(K1137/$AW1137)/VLOOKUP(J1137,商品!$A$4:$D$67,4,FALSE),0),"")</f>
        <v/>
      </c>
      <c r="AQ1137" t="str">
        <f>IFERROR(ROUND(S1137*(N1137/$AX1137)/VLOOKUP(M1137,职业!$A$3:$E$16,4,FALSE),0),"")</f>
        <v/>
      </c>
      <c r="AR1137" t="str">
        <f>IFERROR(ROUND(S1137*(P1137/$AX1137)/VLOOKUP(O1137,职业!$A$3:$E$16,4,FALSE),0),"")</f>
        <v/>
      </c>
      <c r="AS1137" t="str">
        <f>IFERROR(ROUND(S1137*(R1137/$AX1137)/VLOOKUP(Q1137,职业!$A$3:$E$16,4,FALSE),0),"")</f>
        <v/>
      </c>
      <c r="AT1137" t="str">
        <f>IFERROR(ROUND(X1137*(U1137/$AY1137)/VLOOKUP(T1137,商品!$A$4:$D$67,4,FALSE),0),"")</f>
        <v/>
      </c>
      <c r="AU1137" t="str">
        <f>IFERROR(ROUND(X1137*(W1137/$AY1137)/VLOOKUP(V1137,商品!$A$4:$D$67,4,FALSE),0),"")</f>
        <v/>
      </c>
      <c r="AW1137">
        <f t="shared" si="303"/>
        <v>0</v>
      </c>
      <c r="AX1137">
        <f t="shared" si="304"/>
        <v>0</v>
      </c>
      <c r="AY1137">
        <f t="shared" si="305"/>
        <v>0</v>
      </c>
    </row>
    <row r="1138" customHeight="1" spans="1:51">
      <c r="A1138" s="18" t="s">
        <v>490</v>
      </c>
      <c r="C1138" s="18">
        <v>8</v>
      </c>
      <c r="D1138" s="1" t="s">
        <v>291</v>
      </c>
      <c r="E1138" s="1" t="s">
        <v>225</v>
      </c>
      <c r="L1138" s="18">
        <f>IFERROR(VLOOKUP($D1138&amp;$C1138,生产方式定位!$A$2:$E$38,2,FALSE)+VLOOKUP($E1138&amp;$C1138,生产方式定位!$F$3:$J$38,2,FALSE),0)</f>
        <v>0</v>
      </c>
      <c r="S1138" s="18">
        <f>IFERROR(VLOOKUP($D1138&amp;$C1138,生产方式定位!$A$2:$E$38,3,FALSE)+VLOOKUP($E1138&amp;$C1138,生产方式定位!$F$3:$J$38,3,FALSE),0)</f>
        <v>100</v>
      </c>
      <c r="X1138" s="18">
        <f>IFERROR(VLOOKUP($D1138&amp;$C1138,生产方式定位!$A$2:$E$38,5,FALSE)+VLOOKUP($E1138&amp;$C1138,生产方式定位!$F$3:$J$38,5,FALSE),"错误")</f>
        <v>100</v>
      </c>
      <c r="Y1138" s="27" t="str">
        <f t="shared" si="289"/>
        <v/>
      </c>
      <c r="Z1138" s="50" t="str">
        <f t="shared" si="292"/>
        <v/>
      </c>
      <c r="AA1138" s="50" t="str">
        <f t="shared" si="290"/>
        <v/>
      </c>
      <c r="AB1138" s="28" t="str">
        <f t="shared" si="293"/>
        <v/>
      </c>
      <c r="AC1138" s="1" t="str">
        <f t="shared" si="294"/>
        <v/>
      </c>
      <c r="AD1138" s="52">
        <f t="shared" si="291"/>
        <v>8</v>
      </c>
      <c r="AE1138" t="str">
        <f t="shared" si="295"/>
        <v/>
      </c>
      <c r="AF1138" t="str">
        <f t="shared" si="296"/>
        <v/>
      </c>
      <c r="AG1138" t="str">
        <f t="shared" si="297"/>
        <v/>
      </c>
      <c r="AH1138" t="str">
        <f t="shared" si="298"/>
        <v/>
      </c>
      <c r="AI1138" t="str">
        <f t="shared" si="299"/>
        <v/>
      </c>
      <c r="AJ1138" t="str">
        <f t="shared" si="300"/>
        <v/>
      </c>
      <c r="AK1138" t="str">
        <f t="shared" si="301"/>
        <v/>
      </c>
      <c r="AL1138" t="str">
        <f t="shared" si="302"/>
        <v/>
      </c>
      <c r="AN1138" t="str">
        <f>IFERROR(ROUND(L1138*(G1138/$AW1138)/VLOOKUP(F1138,商品!$A$4:$D$67,4,FALSE),0),"")</f>
        <v/>
      </c>
      <c r="AO1138" t="str">
        <f>IFERROR(ROUND(L1138*(I1138/$AW1138)/VLOOKUP(H1138,商品!$A$4:$D$67,4,FALSE),0),"")</f>
        <v/>
      </c>
      <c r="AP1138" t="str">
        <f>IFERROR(ROUND(L1138*(K1138/$AW1138)/VLOOKUP(J1138,商品!$A$4:$D$67,4,FALSE),0),"")</f>
        <v/>
      </c>
      <c r="AQ1138" t="str">
        <f>IFERROR(ROUND(S1138*(N1138/$AX1138)/VLOOKUP(M1138,职业!$A$3:$E$16,4,FALSE),0),"")</f>
        <v/>
      </c>
      <c r="AR1138" t="str">
        <f>IFERROR(ROUND(S1138*(P1138/$AX1138)/VLOOKUP(O1138,职业!$A$3:$E$16,4,FALSE),0),"")</f>
        <v/>
      </c>
      <c r="AS1138" t="str">
        <f>IFERROR(ROUND(S1138*(R1138/$AX1138)/VLOOKUP(Q1138,职业!$A$3:$E$16,4,FALSE),0),"")</f>
        <v/>
      </c>
      <c r="AT1138" t="str">
        <f>IFERROR(ROUND(X1138*(U1138/$AY1138)/VLOOKUP(T1138,商品!$A$4:$D$67,4,FALSE),0),"")</f>
        <v/>
      </c>
      <c r="AU1138" t="str">
        <f>IFERROR(ROUND(X1138*(W1138/$AY1138)/VLOOKUP(V1138,商品!$A$4:$D$67,4,FALSE),0),"")</f>
        <v/>
      </c>
      <c r="AW1138">
        <f t="shared" si="303"/>
        <v>0</v>
      </c>
      <c r="AX1138">
        <f t="shared" si="304"/>
        <v>0</v>
      </c>
      <c r="AY1138">
        <f t="shared" si="305"/>
        <v>0</v>
      </c>
    </row>
    <row r="1139" customHeight="1" spans="1:51">
      <c r="A1139" s="5" t="s">
        <v>492</v>
      </c>
      <c r="C1139" s="5">
        <v>1</v>
      </c>
      <c r="D1139" s="1" t="s">
        <v>220</v>
      </c>
      <c r="E1139" s="1" t="s">
        <v>222</v>
      </c>
      <c r="L1139" s="5">
        <f>IFERROR(VLOOKUP($D1139&amp;$C1139,生产方式定位!$A$2:$E$38,2,FALSE)+VLOOKUP($E1139&amp;$C1139,生产方式定位!$F$3:$J$38,2,FALSE),0)</f>
        <v>500</v>
      </c>
      <c r="S1139" s="5">
        <f>IFERROR(VLOOKUP($D1139&amp;$C1139,生产方式定位!$A$2:$E$38,3,FALSE)+VLOOKUP($E1139&amp;$C1139,生产方式定位!$F$3:$J$38,3,FALSE),0)</f>
        <v>150</v>
      </c>
      <c r="X1139" s="5">
        <f>IFERROR(VLOOKUP($D1139&amp;$C1139,生产方式定位!$A$2:$E$38,5,FALSE)+VLOOKUP($E1139&amp;$C1139,生产方式定位!$F$3:$J$38,5,FALSE),"错误")</f>
        <v>715</v>
      </c>
      <c r="Y1139" s="27" t="str">
        <f t="shared" si="289"/>
        <v/>
      </c>
      <c r="Z1139" s="50" t="str">
        <f t="shared" si="292"/>
        <v/>
      </c>
      <c r="AA1139" s="50" t="str">
        <f t="shared" si="290"/>
        <v/>
      </c>
      <c r="AB1139" s="28" t="str">
        <f t="shared" si="293"/>
        <v>43%</v>
      </c>
      <c r="AC1139" s="1">
        <f t="shared" si="294"/>
        <v>65</v>
      </c>
      <c r="AD1139" s="51">
        <f t="shared" si="291"/>
        <v>1</v>
      </c>
      <c r="AE1139" t="str">
        <f t="shared" si="295"/>
        <v/>
      </c>
      <c r="AF1139" t="str">
        <f t="shared" si="296"/>
        <v/>
      </c>
      <c r="AG1139" t="str">
        <f t="shared" si="297"/>
        <v/>
      </c>
      <c r="AH1139" t="str">
        <f t="shared" si="298"/>
        <v/>
      </c>
      <c r="AI1139" t="str">
        <f t="shared" si="299"/>
        <v/>
      </c>
      <c r="AJ1139" t="str">
        <f t="shared" si="300"/>
        <v/>
      </c>
      <c r="AK1139" t="str">
        <f t="shared" si="301"/>
        <v/>
      </c>
      <c r="AL1139" t="str">
        <f t="shared" si="302"/>
        <v/>
      </c>
      <c r="AN1139" t="str">
        <f>IFERROR(ROUND(L1139*(G1139/$AW1139)/VLOOKUP(F1139,商品!$A$4:$D$67,4,FALSE),0),"")</f>
        <v/>
      </c>
      <c r="AO1139" t="str">
        <f>IFERROR(ROUND(L1139*(I1139/$AW1139)/VLOOKUP(H1139,商品!$A$4:$D$67,4,FALSE),0),"")</f>
        <v/>
      </c>
      <c r="AP1139" t="str">
        <f>IFERROR(ROUND(L1139*(K1139/$AW1139)/VLOOKUP(J1139,商品!$A$4:$D$67,4,FALSE),0),"")</f>
        <v/>
      </c>
      <c r="AQ1139" t="str">
        <f>IFERROR(ROUND(S1139*(N1139/$AX1139)/VLOOKUP(M1139,职业!$A$3:$E$16,4,FALSE),0),"")</f>
        <v/>
      </c>
      <c r="AR1139" t="str">
        <f>IFERROR(ROUND(S1139*(P1139/$AX1139)/VLOOKUP(O1139,职业!$A$3:$E$16,4,FALSE),0),"")</f>
        <v/>
      </c>
      <c r="AS1139" t="str">
        <f>IFERROR(ROUND(S1139*(R1139/$AX1139)/VLOOKUP(Q1139,职业!$A$3:$E$16,4,FALSE),0),"")</f>
        <v/>
      </c>
      <c r="AT1139" t="str">
        <f>IFERROR(ROUND(X1139*(U1139/$AY1139)/VLOOKUP(T1139,商品!$A$4:$D$67,4,FALSE),0),"")</f>
        <v/>
      </c>
      <c r="AU1139" t="str">
        <f>IFERROR(ROUND(X1139*(W1139/$AY1139)/VLOOKUP(V1139,商品!$A$4:$D$67,4,FALSE),0),"")</f>
        <v/>
      </c>
      <c r="AW1139">
        <f t="shared" si="303"/>
        <v>0</v>
      </c>
      <c r="AX1139">
        <f t="shared" si="304"/>
        <v>0</v>
      </c>
      <c r="AY1139">
        <f t="shared" si="305"/>
        <v>0</v>
      </c>
    </row>
    <row r="1140" customHeight="1" spans="1:51">
      <c r="A1140" s="5" t="s">
        <v>492</v>
      </c>
      <c r="C1140" s="5">
        <v>2</v>
      </c>
      <c r="D1140" s="1" t="s">
        <v>220</v>
      </c>
      <c r="E1140" s="1" t="s">
        <v>222</v>
      </c>
      <c r="L1140" s="5">
        <f>IFERROR(VLOOKUP($D1140&amp;$C1140,生产方式定位!$A$2:$E$38,2,FALSE)+VLOOKUP($E1140&amp;$C1140,生产方式定位!$F$3:$J$38,2,FALSE),0)</f>
        <v>1200</v>
      </c>
      <c r="S1140" s="5">
        <f>IFERROR(VLOOKUP($D1140&amp;$C1140,生产方式定位!$A$2:$E$38,3,FALSE)+VLOOKUP($E1140&amp;$C1140,生产方式定位!$F$3:$J$38,3,FALSE),0)</f>
        <v>140</v>
      </c>
      <c r="X1140" s="5">
        <f>IFERROR(VLOOKUP($D1140&amp;$C1140,生产方式定位!$A$2:$E$38,5,FALSE)+VLOOKUP($E1140&amp;$C1140,生产方式定位!$F$3:$J$38,5,FALSE),"错误")</f>
        <v>1390</v>
      </c>
      <c r="Y1140" s="27" t="str">
        <f t="shared" si="289"/>
        <v/>
      </c>
      <c r="Z1140" s="50" t="str">
        <f t="shared" si="292"/>
        <v/>
      </c>
      <c r="AA1140" s="50" t="str">
        <f t="shared" si="290"/>
        <v/>
      </c>
      <c r="AB1140" s="28" t="str">
        <f t="shared" si="293"/>
        <v>16%</v>
      </c>
      <c r="AC1140" s="1">
        <f t="shared" si="294"/>
        <v>50</v>
      </c>
      <c r="AD1140" s="51">
        <f t="shared" si="291"/>
        <v>2</v>
      </c>
      <c r="AE1140" t="str">
        <f t="shared" si="295"/>
        <v/>
      </c>
      <c r="AF1140" t="str">
        <f t="shared" si="296"/>
        <v/>
      </c>
      <c r="AG1140" t="str">
        <f t="shared" si="297"/>
        <v/>
      </c>
      <c r="AH1140" t="str">
        <f t="shared" si="298"/>
        <v/>
      </c>
      <c r="AI1140" t="str">
        <f t="shared" si="299"/>
        <v/>
      </c>
      <c r="AJ1140" t="str">
        <f t="shared" si="300"/>
        <v/>
      </c>
      <c r="AK1140" t="str">
        <f t="shared" si="301"/>
        <v/>
      </c>
      <c r="AL1140" t="str">
        <f t="shared" si="302"/>
        <v/>
      </c>
      <c r="AN1140" t="str">
        <f>IFERROR(ROUND(L1140*(G1140/$AW1140)/VLOOKUP(F1140,商品!$A$4:$D$67,4,FALSE),0),"")</f>
        <v/>
      </c>
      <c r="AO1140" t="str">
        <f>IFERROR(ROUND(L1140*(I1140/$AW1140)/VLOOKUP(H1140,商品!$A$4:$D$67,4,FALSE),0),"")</f>
        <v/>
      </c>
      <c r="AP1140" t="str">
        <f>IFERROR(ROUND(L1140*(K1140/$AW1140)/VLOOKUP(J1140,商品!$A$4:$D$67,4,FALSE),0),"")</f>
        <v/>
      </c>
      <c r="AQ1140" t="str">
        <f>IFERROR(ROUND(S1140*(N1140/$AX1140)/VLOOKUP(M1140,职业!$A$3:$E$16,4,FALSE),0),"")</f>
        <v/>
      </c>
      <c r="AR1140" t="str">
        <f>IFERROR(ROUND(S1140*(P1140/$AX1140)/VLOOKUP(O1140,职业!$A$3:$E$16,4,FALSE),0),"")</f>
        <v/>
      </c>
      <c r="AS1140" t="str">
        <f>IFERROR(ROUND(S1140*(R1140/$AX1140)/VLOOKUP(Q1140,职业!$A$3:$E$16,4,FALSE),0),"")</f>
        <v/>
      </c>
      <c r="AT1140" t="str">
        <f>IFERROR(ROUND(X1140*(U1140/$AY1140)/VLOOKUP(T1140,商品!$A$4:$D$67,4,FALSE),0),"")</f>
        <v/>
      </c>
      <c r="AU1140" t="str">
        <f>IFERROR(ROUND(X1140*(W1140/$AY1140)/VLOOKUP(V1140,商品!$A$4:$D$67,4,FALSE),0),"")</f>
        <v/>
      </c>
      <c r="AW1140">
        <f t="shared" si="303"/>
        <v>0</v>
      </c>
      <c r="AX1140">
        <f t="shared" si="304"/>
        <v>0</v>
      </c>
      <c r="AY1140">
        <f t="shared" si="305"/>
        <v>0</v>
      </c>
    </row>
    <row r="1141" customHeight="1" spans="1:51">
      <c r="A1141" s="5" t="s">
        <v>492</v>
      </c>
      <c r="C1141" s="5">
        <v>3</v>
      </c>
      <c r="D1141" s="1" t="s">
        <v>220</v>
      </c>
      <c r="E1141" s="1" t="s">
        <v>222</v>
      </c>
      <c r="L1141" s="5">
        <f>IFERROR(VLOOKUP($D1141&amp;$C1141,生产方式定位!$A$2:$E$38,2,FALSE)+VLOOKUP($E1141&amp;$C1141,生产方式定位!$F$3:$J$38,2,FALSE),0)</f>
        <v>1525</v>
      </c>
      <c r="S1141" s="5">
        <f>IFERROR(VLOOKUP($D1141&amp;$C1141,生产方式定位!$A$2:$E$38,3,FALSE)+VLOOKUP($E1141&amp;$C1141,生产方式定位!$F$3:$J$38,3,FALSE),0)</f>
        <v>130</v>
      </c>
      <c r="X1141" s="5">
        <f>IFERROR(VLOOKUP($D1141&amp;$C1141,生产方式定位!$A$2:$E$38,5,FALSE)+VLOOKUP($E1141&amp;$C1141,生产方式定位!$F$3:$J$38,5,FALSE),"错误")</f>
        <v>1718</v>
      </c>
      <c r="Y1141" s="27" t="str">
        <f t="shared" si="289"/>
        <v/>
      </c>
      <c r="Z1141" s="50" t="str">
        <f t="shared" si="292"/>
        <v/>
      </c>
      <c r="AA1141" s="50" t="str">
        <f t="shared" si="290"/>
        <v/>
      </c>
      <c r="AB1141" s="28" t="str">
        <f t="shared" si="293"/>
        <v>13%</v>
      </c>
      <c r="AC1141" s="1">
        <f t="shared" si="294"/>
        <v>63</v>
      </c>
      <c r="AD1141" s="51">
        <f t="shared" si="291"/>
        <v>3</v>
      </c>
      <c r="AE1141" t="str">
        <f t="shared" si="295"/>
        <v/>
      </c>
      <c r="AF1141" t="str">
        <f t="shared" si="296"/>
        <v/>
      </c>
      <c r="AG1141" t="str">
        <f t="shared" si="297"/>
        <v/>
      </c>
      <c r="AH1141" t="str">
        <f t="shared" si="298"/>
        <v/>
      </c>
      <c r="AI1141" t="str">
        <f t="shared" si="299"/>
        <v/>
      </c>
      <c r="AJ1141" t="str">
        <f t="shared" si="300"/>
        <v/>
      </c>
      <c r="AK1141" t="str">
        <f t="shared" si="301"/>
        <v/>
      </c>
      <c r="AL1141" t="str">
        <f t="shared" si="302"/>
        <v/>
      </c>
      <c r="AN1141" t="str">
        <f>IFERROR(ROUND(L1141*(G1141/$AW1141)/VLOOKUP(F1141,商品!$A$4:$D$67,4,FALSE),0),"")</f>
        <v/>
      </c>
      <c r="AO1141" t="str">
        <f>IFERROR(ROUND(L1141*(I1141/$AW1141)/VLOOKUP(H1141,商品!$A$4:$D$67,4,FALSE),0),"")</f>
        <v/>
      </c>
      <c r="AP1141" t="str">
        <f>IFERROR(ROUND(L1141*(K1141/$AW1141)/VLOOKUP(J1141,商品!$A$4:$D$67,4,FALSE),0),"")</f>
        <v/>
      </c>
      <c r="AQ1141" t="str">
        <f>IFERROR(ROUND(S1141*(N1141/$AX1141)/VLOOKUP(M1141,职业!$A$3:$E$16,4,FALSE),0),"")</f>
        <v/>
      </c>
      <c r="AR1141" t="str">
        <f>IFERROR(ROUND(S1141*(P1141/$AX1141)/VLOOKUP(O1141,职业!$A$3:$E$16,4,FALSE),0),"")</f>
        <v/>
      </c>
      <c r="AS1141" t="str">
        <f>IFERROR(ROUND(S1141*(R1141/$AX1141)/VLOOKUP(Q1141,职业!$A$3:$E$16,4,FALSE),0),"")</f>
        <v/>
      </c>
      <c r="AT1141" t="str">
        <f>IFERROR(ROUND(X1141*(U1141/$AY1141)/VLOOKUP(T1141,商品!$A$4:$D$67,4,FALSE),0),"")</f>
        <v/>
      </c>
      <c r="AU1141" t="str">
        <f>IFERROR(ROUND(X1141*(W1141/$AY1141)/VLOOKUP(V1141,商品!$A$4:$D$67,4,FALSE),0),"")</f>
        <v/>
      </c>
      <c r="AW1141">
        <f t="shared" si="303"/>
        <v>0</v>
      </c>
      <c r="AX1141">
        <f t="shared" si="304"/>
        <v>0</v>
      </c>
      <c r="AY1141">
        <f t="shared" si="305"/>
        <v>0</v>
      </c>
    </row>
    <row r="1142" customHeight="1" spans="1:51">
      <c r="A1142" s="5" t="s">
        <v>492</v>
      </c>
      <c r="C1142" s="5">
        <v>4</v>
      </c>
      <c r="D1142" s="1" t="s">
        <v>220</v>
      </c>
      <c r="E1142" s="1" t="s">
        <v>222</v>
      </c>
      <c r="L1142" s="5">
        <f>IFERROR(VLOOKUP($D1142&amp;$C1142,生产方式定位!$A$2:$E$38,2,FALSE)+VLOOKUP($E1142&amp;$C1142,生产方式定位!$F$3:$J$38,2,FALSE),0)</f>
        <v>1850</v>
      </c>
      <c r="S1142" s="5">
        <f>IFERROR(VLOOKUP($D1142&amp;$C1142,生产方式定位!$A$2:$E$38,3,FALSE)+VLOOKUP($E1142&amp;$C1142,生产方式定位!$F$3:$J$38,3,FALSE),0)</f>
        <v>120</v>
      </c>
      <c r="X1142" s="5">
        <f>IFERROR(VLOOKUP($D1142&amp;$C1142,生产方式定位!$A$2:$E$38,5,FALSE)+VLOOKUP($E1142&amp;$C1142,生产方式定位!$F$3:$J$38,5,FALSE),"错误")</f>
        <v>2045</v>
      </c>
      <c r="Y1142" s="27" t="str">
        <f t="shared" si="289"/>
        <v/>
      </c>
      <c r="Z1142" s="50" t="str">
        <f t="shared" si="292"/>
        <v/>
      </c>
      <c r="AA1142" s="50" t="str">
        <f t="shared" si="290"/>
        <v/>
      </c>
      <c r="AB1142" s="28" t="str">
        <f t="shared" si="293"/>
        <v>11%</v>
      </c>
      <c r="AC1142" s="1">
        <f t="shared" si="294"/>
        <v>75</v>
      </c>
      <c r="AD1142" s="51">
        <f t="shared" si="291"/>
        <v>4</v>
      </c>
      <c r="AE1142" t="str">
        <f t="shared" si="295"/>
        <v/>
      </c>
      <c r="AF1142" t="str">
        <f t="shared" si="296"/>
        <v/>
      </c>
      <c r="AG1142" t="str">
        <f t="shared" si="297"/>
        <v/>
      </c>
      <c r="AH1142" t="str">
        <f t="shared" si="298"/>
        <v/>
      </c>
      <c r="AI1142" t="str">
        <f t="shared" si="299"/>
        <v/>
      </c>
      <c r="AJ1142" t="str">
        <f t="shared" si="300"/>
        <v/>
      </c>
      <c r="AK1142" t="str">
        <f t="shared" si="301"/>
        <v/>
      </c>
      <c r="AL1142" t="str">
        <f t="shared" si="302"/>
        <v/>
      </c>
      <c r="AN1142" t="str">
        <f>IFERROR(ROUND(L1142*(G1142/$AW1142)/VLOOKUP(F1142,商品!$A$4:$D$67,4,FALSE),0),"")</f>
        <v/>
      </c>
      <c r="AO1142" t="str">
        <f>IFERROR(ROUND(L1142*(I1142/$AW1142)/VLOOKUP(H1142,商品!$A$4:$D$67,4,FALSE),0),"")</f>
        <v/>
      </c>
      <c r="AP1142" t="str">
        <f>IFERROR(ROUND(L1142*(K1142/$AW1142)/VLOOKUP(J1142,商品!$A$4:$D$67,4,FALSE),0),"")</f>
        <v/>
      </c>
      <c r="AQ1142" t="str">
        <f>IFERROR(ROUND(S1142*(N1142/$AX1142)/VLOOKUP(M1142,职业!$A$3:$E$16,4,FALSE),0),"")</f>
        <v/>
      </c>
      <c r="AR1142" t="str">
        <f>IFERROR(ROUND(S1142*(P1142/$AX1142)/VLOOKUP(O1142,职业!$A$3:$E$16,4,FALSE),0),"")</f>
        <v/>
      </c>
      <c r="AS1142" t="str">
        <f>IFERROR(ROUND(S1142*(R1142/$AX1142)/VLOOKUP(Q1142,职业!$A$3:$E$16,4,FALSE),0),"")</f>
        <v/>
      </c>
      <c r="AT1142" t="str">
        <f>IFERROR(ROUND(X1142*(U1142/$AY1142)/VLOOKUP(T1142,商品!$A$4:$D$67,4,FALSE),0),"")</f>
        <v/>
      </c>
      <c r="AU1142" t="str">
        <f>IFERROR(ROUND(X1142*(W1142/$AY1142)/VLOOKUP(V1142,商品!$A$4:$D$67,4,FALSE),0),"")</f>
        <v/>
      </c>
      <c r="AW1142">
        <f t="shared" si="303"/>
        <v>0</v>
      </c>
      <c r="AX1142">
        <f t="shared" si="304"/>
        <v>0</v>
      </c>
      <c r="AY1142">
        <f t="shared" si="305"/>
        <v>0</v>
      </c>
    </row>
    <row r="1143" customHeight="1" spans="1:51">
      <c r="A1143" s="5" t="s">
        <v>492</v>
      </c>
      <c r="C1143" s="5">
        <v>5</v>
      </c>
      <c r="D1143" s="1" t="s">
        <v>220</v>
      </c>
      <c r="E1143" s="1" t="s">
        <v>222</v>
      </c>
      <c r="L1143" s="5">
        <f>IFERROR(VLOOKUP($D1143&amp;$C1143,生产方式定位!$A$2:$E$38,2,FALSE)+VLOOKUP($E1143&amp;$C1143,生产方式定位!$F$3:$J$38,2,FALSE),0)</f>
        <v>2175</v>
      </c>
      <c r="S1143" s="5">
        <f>IFERROR(VLOOKUP($D1143&amp;$C1143,生产方式定位!$A$2:$E$38,3,FALSE)+VLOOKUP($E1143&amp;$C1143,生产方式定位!$F$3:$J$38,3,FALSE),0)</f>
        <v>110</v>
      </c>
      <c r="X1143" s="5">
        <f>IFERROR(VLOOKUP($D1143&amp;$C1143,生产方式定位!$A$2:$E$38,5,FALSE)+VLOOKUP($E1143&amp;$C1143,生产方式定位!$F$3:$J$38,5,FALSE),"错误")</f>
        <v>2373</v>
      </c>
      <c r="Y1143" s="27" t="str">
        <f t="shared" si="289"/>
        <v/>
      </c>
      <c r="Z1143" s="50" t="str">
        <f t="shared" si="292"/>
        <v/>
      </c>
      <c r="AA1143" s="50" t="str">
        <f t="shared" si="290"/>
        <v/>
      </c>
      <c r="AB1143" s="28" t="str">
        <f t="shared" si="293"/>
        <v>9%</v>
      </c>
      <c r="AC1143" s="1">
        <f t="shared" si="294"/>
        <v>88</v>
      </c>
      <c r="AD1143" s="51">
        <f t="shared" si="291"/>
        <v>5</v>
      </c>
      <c r="AE1143" t="str">
        <f t="shared" si="295"/>
        <v/>
      </c>
      <c r="AF1143" t="str">
        <f t="shared" si="296"/>
        <v/>
      </c>
      <c r="AG1143" t="str">
        <f t="shared" si="297"/>
        <v/>
      </c>
      <c r="AH1143" t="str">
        <f t="shared" si="298"/>
        <v/>
      </c>
      <c r="AI1143" t="str">
        <f t="shared" si="299"/>
        <v/>
      </c>
      <c r="AJ1143" t="str">
        <f t="shared" si="300"/>
        <v/>
      </c>
      <c r="AK1143" t="str">
        <f t="shared" si="301"/>
        <v/>
      </c>
      <c r="AL1143" t="str">
        <f t="shared" si="302"/>
        <v/>
      </c>
      <c r="AN1143" t="str">
        <f>IFERROR(ROUND(L1143*(G1143/$AW1143)/VLOOKUP(F1143,商品!$A$4:$D$67,4,FALSE),0),"")</f>
        <v/>
      </c>
      <c r="AO1143" t="str">
        <f>IFERROR(ROUND(L1143*(I1143/$AW1143)/VLOOKUP(H1143,商品!$A$4:$D$67,4,FALSE),0),"")</f>
        <v/>
      </c>
      <c r="AP1143" t="str">
        <f>IFERROR(ROUND(L1143*(K1143/$AW1143)/VLOOKUP(J1143,商品!$A$4:$D$67,4,FALSE),0),"")</f>
        <v/>
      </c>
      <c r="AQ1143" t="str">
        <f>IFERROR(ROUND(S1143*(N1143/$AX1143)/VLOOKUP(M1143,职业!$A$3:$E$16,4,FALSE),0),"")</f>
        <v/>
      </c>
      <c r="AR1143" t="str">
        <f>IFERROR(ROUND(S1143*(P1143/$AX1143)/VLOOKUP(O1143,职业!$A$3:$E$16,4,FALSE),0),"")</f>
        <v/>
      </c>
      <c r="AS1143" t="str">
        <f>IFERROR(ROUND(S1143*(R1143/$AX1143)/VLOOKUP(Q1143,职业!$A$3:$E$16,4,FALSE),0),"")</f>
        <v/>
      </c>
      <c r="AT1143" t="str">
        <f>IFERROR(ROUND(X1143*(U1143/$AY1143)/VLOOKUP(T1143,商品!$A$4:$D$67,4,FALSE),0),"")</f>
        <v/>
      </c>
      <c r="AU1143" t="str">
        <f>IFERROR(ROUND(X1143*(W1143/$AY1143)/VLOOKUP(V1143,商品!$A$4:$D$67,4,FALSE),0),"")</f>
        <v/>
      </c>
      <c r="AW1143">
        <f t="shared" si="303"/>
        <v>0</v>
      </c>
      <c r="AX1143">
        <f t="shared" si="304"/>
        <v>0</v>
      </c>
      <c r="AY1143">
        <f t="shared" si="305"/>
        <v>0</v>
      </c>
    </row>
    <row r="1144" customHeight="1" spans="1:51">
      <c r="A1144" s="18" t="s">
        <v>493</v>
      </c>
      <c r="C1144" s="18">
        <v>1</v>
      </c>
      <c r="D1144" s="1" t="s">
        <v>220</v>
      </c>
      <c r="E1144" s="1" t="s">
        <v>224</v>
      </c>
      <c r="L1144" s="18">
        <f>IFERROR(VLOOKUP($D1144&amp;$C1144,生产方式定位!$A$2:$E$38,2,FALSE)+VLOOKUP($E1144&amp;$C1144,生产方式定位!$F$3:$J$38,2,FALSE),0)</f>
        <v>500</v>
      </c>
      <c r="S1144" s="18">
        <f>IFERROR(VLOOKUP($D1144&amp;$C1144,生产方式定位!$A$2:$E$38,3,FALSE)+VLOOKUP($E1144&amp;$C1144,生产方式定位!$F$3:$J$38,3,FALSE),0)</f>
        <v>150</v>
      </c>
      <c r="X1144" s="18">
        <f>IFERROR(VLOOKUP($D1144&amp;$C1144,生产方式定位!$A$2:$E$38,5,FALSE)+VLOOKUP($E1144&amp;$C1144,生产方式定位!$F$3:$J$38,5,FALSE),"错误")</f>
        <v>715</v>
      </c>
      <c r="Y1144" s="27" t="str">
        <f t="shared" si="289"/>
        <v/>
      </c>
      <c r="Z1144" s="50" t="str">
        <f t="shared" si="292"/>
        <v/>
      </c>
      <c r="AA1144" s="50" t="str">
        <f t="shared" si="290"/>
        <v/>
      </c>
      <c r="AB1144" s="28" t="str">
        <f t="shared" si="293"/>
        <v>43%</v>
      </c>
      <c r="AC1144" s="1">
        <f t="shared" si="294"/>
        <v>65</v>
      </c>
      <c r="AD1144" s="52">
        <f t="shared" si="291"/>
        <v>1</v>
      </c>
      <c r="AE1144" t="str">
        <f t="shared" si="295"/>
        <v/>
      </c>
      <c r="AF1144" t="str">
        <f t="shared" si="296"/>
        <v/>
      </c>
      <c r="AG1144" t="str">
        <f t="shared" si="297"/>
        <v/>
      </c>
      <c r="AH1144" t="str">
        <f t="shared" si="298"/>
        <v/>
      </c>
      <c r="AI1144" t="str">
        <f t="shared" si="299"/>
        <v/>
      </c>
      <c r="AJ1144" t="str">
        <f t="shared" si="300"/>
        <v/>
      </c>
      <c r="AK1144" t="str">
        <f t="shared" si="301"/>
        <v/>
      </c>
      <c r="AL1144" t="str">
        <f t="shared" si="302"/>
        <v/>
      </c>
      <c r="AN1144" t="str">
        <f>IFERROR(ROUND(L1144*(G1144/$AW1144)/VLOOKUP(F1144,商品!$A$4:$D$67,4,FALSE),0),"")</f>
        <v/>
      </c>
      <c r="AO1144" t="str">
        <f>IFERROR(ROUND(L1144*(I1144/$AW1144)/VLOOKUP(H1144,商品!$A$4:$D$67,4,FALSE),0),"")</f>
        <v/>
      </c>
      <c r="AP1144" t="str">
        <f>IFERROR(ROUND(L1144*(K1144/$AW1144)/VLOOKUP(J1144,商品!$A$4:$D$67,4,FALSE),0),"")</f>
        <v/>
      </c>
      <c r="AQ1144" t="str">
        <f>IFERROR(ROUND(S1144*(N1144/$AX1144)/VLOOKUP(M1144,职业!$A$3:$E$16,4,FALSE),0),"")</f>
        <v/>
      </c>
      <c r="AR1144" t="str">
        <f>IFERROR(ROUND(S1144*(P1144/$AX1144)/VLOOKUP(O1144,职业!$A$3:$E$16,4,FALSE),0),"")</f>
        <v/>
      </c>
      <c r="AS1144" t="str">
        <f>IFERROR(ROUND(S1144*(R1144/$AX1144)/VLOOKUP(Q1144,职业!$A$3:$E$16,4,FALSE),0),"")</f>
        <v/>
      </c>
      <c r="AT1144" t="str">
        <f>IFERROR(ROUND(X1144*(U1144/$AY1144)/VLOOKUP(T1144,商品!$A$4:$D$67,4,FALSE),0),"")</f>
        <v/>
      </c>
      <c r="AU1144" t="str">
        <f>IFERROR(ROUND(X1144*(W1144/$AY1144)/VLOOKUP(V1144,商品!$A$4:$D$67,4,FALSE),0),"")</f>
        <v/>
      </c>
      <c r="AW1144">
        <f t="shared" si="303"/>
        <v>0</v>
      </c>
      <c r="AX1144">
        <f t="shared" si="304"/>
        <v>0</v>
      </c>
      <c r="AY1144">
        <f t="shared" si="305"/>
        <v>0</v>
      </c>
    </row>
    <row r="1145" customHeight="1" spans="1:51">
      <c r="A1145" s="18" t="s">
        <v>493</v>
      </c>
      <c r="C1145" s="18">
        <v>2</v>
      </c>
      <c r="D1145" s="1" t="s">
        <v>220</v>
      </c>
      <c r="E1145" s="1" t="s">
        <v>224</v>
      </c>
      <c r="L1145" s="18">
        <f>IFERROR(VLOOKUP($D1145&amp;$C1145,生产方式定位!$A$2:$E$38,2,FALSE)+VLOOKUP($E1145&amp;$C1145,生产方式定位!$F$3:$J$38,2,FALSE),0)</f>
        <v>1200</v>
      </c>
      <c r="S1145" s="18">
        <f>IFERROR(VLOOKUP($D1145&amp;$C1145,生产方式定位!$A$2:$E$38,3,FALSE)+VLOOKUP($E1145&amp;$C1145,生产方式定位!$F$3:$J$38,3,FALSE),0)</f>
        <v>100</v>
      </c>
      <c r="X1145" s="18">
        <f>IFERROR(VLOOKUP($D1145&amp;$C1145,生产方式定位!$A$2:$E$38,5,FALSE)+VLOOKUP($E1145&amp;$C1145,生产方式定位!$F$3:$J$38,5,FALSE),"错误")</f>
        <v>1346</v>
      </c>
      <c r="Y1145" s="27" t="str">
        <f t="shared" si="289"/>
        <v/>
      </c>
      <c r="Z1145" s="50" t="str">
        <f t="shared" si="292"/>
        <v/>
      </c>
      <c r="AA1145" s="50" t="str">
        <f t="shared" si="290"/>
        <v/>
      </c>
      <c r="AB1145" s="28" t="str">
        <f t="shared" si="293"/>
        <v>12%</v>
      </c>
      <c r="AC1145" s="1">
        <f t="shared" si="294"/>
        <v>46</v>
      </c>
      <c r="AD1145" s="52">
        <f t="shared" si="291"/>
        <v>2</v>
      </c>
      <c r="AE1145" t="str">
        <f t="shared" si="295"/>
        <v/>
      </c>
      <c r="AF1145" t="str">
        <f t="shared" si="296"/>
        <v/>
      </c>
      <c r="AG1145" t="str">
        <f t="shared" si="297"/>
        <v/>
      </c>
      <c r="AH1145" t="str">
        <f t="shared" si="298"/>
        <v/>
      </c>
      <c r="AI1145" t="str">
        <f t="shared" si="299"/>
        <v/>
      </c>
      <c r="AJ1145" t="str">
        <f t="shared" si="300"/>
        <v/>
      </c>
      <c r="AK1145" t="str">
        <f t="shared" si="301"/>
        <v/>
      </c>
      <c r="AL1145" t="str">
        <f t="shared" si="302"/>
        <v/>
      </c>
      <c r="AN1145" t="str">
        <f>IFERROR(ROUND(L1145*(G1145/$AW1145)/VLOOKUP(F1145,商品!$A$4:$D$67,4,FALSE),0),"")</f>
        <v/>
      </c>
      <c r="AO1145" t="str">
        <f>IFERROR(ROUND(L1145*(I1145/$AW1145)/VLOOKUP(H1145,商品!$A$4:$D$67,4,FALSE),0),"")</f>
        <v/>
      </c>
      <c r="AP1145" t="str">
        <f>IFERROR(ROUND(L1145*(K1145/$AW1145)/VLOOKUP(J1145,商品!$A$4:$D$67,4,FALSE),0),"")</f>
        <v/>
      </c>
      <c r="AQ1145" t="str">
        <f>IFERROR(ROUND(S1145*(N1145/$AX1145)/VLOOKUP(M1145,职业!$A$3:$E$16,4,FALSE),0),"")</f>
        <v/>
      </c>
      <c r="AR1145" t="str">
        <f>IFERROR(ROUND(S1145*(P1145/$AX1145)/VLOOKUP(O1145,职业!$A$3:$E$16,4,FALSE),0),"")</f>
        <v/>
      </c>
      <c r="AS1145" t="str">
        <f>IFERROR(ROUND(S1145*(R1145/$AX1145)/VLOOKUP(Q1145,职业!$A$3:$E$16,4,FALSE),0),"")</f>
        <v/>
      </c>
      <c r="AT1145" t="str">
        <f>IFERROR(ROUND(X1145*(U1145/$AY1145)/VLOOKUP(T1145,商品!$A$4:$D$67,4,FALSE),0),"")</f>
        <v/>
      </c>
      <c r="AU1145" t="str">
        <f>IFERROR(ROUND(X1145*(W1145/$AY1145)/VLOOKUP(V1145,商品!$A$4:$D$67,4,FALSE),0),"")</f>
        <v/>
      </c>
      <c r="AW1145">
        <f t="shared" si="303"/>
        <v>0</v>
      </c>
      <c r="AX1145">
        <f t="shared" si="304"/>
        <v>0</v>
      </c>
      <c r="AY1145">
        <f t="shared" si="305"/>
        <v>0</v>
      </c>
    </row>
    <row r="1146" customHeight="1" spans="1:51">
      <c r="A1146" s="18" t="s">
        <v>493</v>
      </c>
      <c r="C1146" s="18">
        <v>3</v>
      </c>
      <c r="D1146" s="1" t="s">
        <v>220</v>
      </c>
      <c r="E1146" s="1" t="s">
        <v>224</v>
      </c>
      <c r="L1146" s="18">
        <f>IFERROR(VLOOKUP($D1146&amp;$C1146,生产方式定位!$A$2:$E$38,2,FALSE)+VLOOKUP($E1146&amp;$C1146,生产方式定位!$F$3:$J$38,2,FALSE),0)</f>
        <v>1900</v>
      </c>
      <c r="S1146" s="18">
        <f>IFERROR(VLOOKUP($D1146&amp;$C1146,生产方式定位!$A$2:$E$38,3,FALSE)+VLOOKUP($E1146&amp;$C1146,生产方式定位!$F$3:$J$38,3,FALSE),0)</f>
        <v>70</v>
      </c>
      <c r="X1146" s="18">
        <f>IFERROR(VLOOKUP($D1146&amp;$C1146,生产方式定位!$A$2:$E$38,5,FALSE)+VLOOKUP($E1146&amp;$C1146,生产方式定位!$F$3:$J$38,5,FALSE),"错误")</f>
        <v>2064</v>
      </c>
      <c r="Y1146" s="27" t="str">
        <f t="shared" si="289"/>
        <v/>
      </c>
      <c r="Z1146" s="50" t="str">
        <f t="shared" si="292"/>
        <v/>
      </c>
      <c r="AA1146" s="50" t="str">
        <f t="shared" si="290"/>
        <v/>
      </c>
      <c r="AB1146" s="28" t="str">
        <f t="shared" si="293"/>
        <v>9%</v>
      </c>
      <c r="AC1146" s="1">
        <f t="shared" si="294"/>
        <v>94</v>
      </c>
      <c r="AD1146" s="52">
        <f t="shared" si="291"/>
        <v>3</v>
      </c>
      <c r="AE1146" t="str">
        <f t="shared" si="295"/>
        <v/>
      </c>
      <c r="AF1146" t="str">
        <f t="shared" si="296"/>
        <v/>
      </c>
      <c r="AG1146" t="str">
        <f t="shared" si="297"/>
        <v/>
      </c>
      <c r="AH1146" t="str">
        <f t="shared" si="298"/>
        <v/>
      </c>
      <c r="AI1146" t="str">
        <f t="shared" si="299"/>
        <v/>
      </c>
      <c r="AJ1146" t="str">
        <f t="shared" si="300"/>
        <v/>
      </c>
      <c r="AK1146" t="str">
        <f t="shared" si="301"/>
        <v/>
      </c>
      <c r="AL1146" t="str">
        <f t="shared" si="302"/>
        <v/>
      </c>
      <c r="AN1146" t="str">
        <f>IFERROR(ROUND(L1146*(G1146/$AW1146)/VLOOKUP(F1146,商品!$A$4:$D$67,4,FALSE),0),"")</f>
        <v/>
      </c>
      <c r="AO1146" t="str">
        <f>IFERROR(ROUND(L1146*(I1146/$AW1146)/VLOOKUP(H1146,商品!$A$4:$D$67,4,FALSE),0),"")</f>
        <v/>
      </c>
      <c r="AP1146" t="str">
        <f>IFERROR(ROUND(L1146*(K1146/$AW1146)/VLOOKUP(J1146,商品!$A$4:$D$67,4,FALSE),0),"")</f>
        <v/>
      </c>
      <c r="AQ1146" t="str">
        <f>IFERROR(ROUND(S1146*(N1146/$AX1146)/VLOOKUP(M1146,职业!$A$3:$E$16,4,FALSE),0),"")</f>
        <v/>
      </c>
      <c r="AR1146" t="str">
        <f>IFERROR(ROUND(S1146*(P1146/$AX1146)/VLOOKUP(O1146,职业!$A$3:$E$16,4,FALSE),0),"")</f>
        <v/>
      </c>
      <c r="AS1146" t="str">
        <f>IFERROR(ROUND(S1146*(R1146/$AX1146)/VLOOKUP(Q1146,职业!$A$3:$E$16,4,FALSE),0),"")</f>
        <v/>
      </c>
      <c r="AT1146" t="str">
        <f>IFERROR(ROUND(X1146*(U1146/$AY1146)/VLOOKUP(T1146,商品!$A$4:$D$67,4,FALSE),0),"")</f>
        <v/>
      </c>
      <c r="AU1146" t="str">
        <f>IFERROR(ROUND(X1146*(W1146/$AY1146)/VLOOKUP(V1146,商品!$A$4:$D$67,4,FALSE),0),"")</f>
        <v/>
      </c>
      <c r="AW1146">
        <f t="shared" si="303"/>
        <v>0</v>
      </c>
      <c r="AX1146">
        <f t="shared" si="304"/>
        <v>0</v>
      </c>
      <c r="AY1146">
        <f t="shared" si="305"/>
        <v>0</v>
      </c>
    </row>
    <row r="1147" customHeight="1" spans="1:51">
      <c r="A1147" s="18" t="s">
        <v>493</v>
      </c>
      <c r="C1147" s="18">
        <v>4</v>
      </c>
      <c r="D1147" s="1" t="s">
        <v>220</v>
      </c>
      <c r="E1147" s="1" t="s">
        <v>224</v>
      </c>
      <c r="L1147" s="18">
        <f>IFERROR(VLOOKUP($D1147&amp;$C1147,生产方式定位!$A$2:$E$38,2,FALSE)+VLOOKUP($E1147&amp;$C1147,生产方式定位!$F$3:$J$38,2,FALSE),0)</f>
        <v>2600</v>
      </c>
      <c r="S1147" s="18">
        <f>IFERROR(VLOOKUP($D1147&amp;$C1147,生产方式定位!$A$2:$E$38,3,FALSE)+VLOOKUP($E1147&amp;$C1147,生产方式定位!$F$3:$J$38,3,FALSE),0)</f>
        <v>40</v>
      </c>
      <c r="X1147" s="18">
        <f>IFERROR(VLOOKUP($D1147&amp;$C1147,生产方式定位!$A$2:$E$38,5,FALSE)+VLOOKUP($E1147&amp;$C1147,生产方式定位!$F$3:$J$38,5,FALSE),"错误")</f>
        <v>2782</v>
      </c>
      <c r="Y1147" s="27" t="str">
        <f t="shared" si="289"/>
        <v/>
      </c>
      <c r="Z1147" s="50" t="str">
        <f t="shared" si="292"/>
        <v/>
      </c>
      <c r="AA1147" s="50" t="str">
        <f t="shared" si="290"/>
        <v/>
      </c>
      <c r="AB1147" s="28" t="str">
        <f t="shared" si="293"/>
        <v>7%</v>
      </c>
      <c r="AC1147" s="1">
        <f t="shared" si="294"/>
        <v>142</v>
      </c>
      <c r="AD1147" s="52">
        <f t="shared" si="291"/>
        <v>4</v>
      </c>
      <c r="AE1147" t="str">
        <f t="shared" si="295"/>
        <v/>
      </c>
      <c r="AF1147" t="str">
        <f t="shared" si="296"/>
        <v/>
      </c>
      <c r="AG1147" t="str">
        <f t="shared" si="297"/>
        <v/>
      </c>
      <c r="AH1147" t="str">
        <f t="shared" si="298"/>
        <v/>
      </c>
      <c r="AI1147" t="str">
        <f t="shared" si="299"/>
        <v/>
      </c>
      <c r="AJ1147" t="str">
        <f t="shared" si="300"/>
        <v/>
      </c>
      <c r="AK1147" t="str">
        <f t="shared" si="301"/>
        <v/>
      </c>
      <c r="AL1147" t="str">
        <f t="shared" si="302"/>
        <v/>
      </c>
      <c r="AN1147" t="str">
        <f>IFERROR(ROUND(L1147*(G1147/$AW1147)/VLOOKUP(F1147,商品!$A$4:$D$67,4,FALSE),0),"")</f>
        <v/>
      </c>
      <c r="AO1147" t="str">
        <f>IFERROR(ROUND(L1147*(I1147/$AW1147)/VLOOKUP(H1147,商品!$A$4:$D$67,4,FALSE),0),"")</f>
        <v/>
      </c>
      <c r="AP1147" t="str">
        <f>IFERROR(ROUND(L1147*(K1147/$AW1147)/VLOOKUP(J1147,商品!$A$4:$D$67,4,FALSE),0),"")</f>
        <v/>
      </c>
      <c r="AQ1147" t="str">
        <f>IFERROR(ROUND(S1147*(N1147/$AX1147)/VLOOKUP(M1147,职业!$A$3:$E$16,4,FALSE),0),"")</f>
        <v/>
      </c>
      <c r="AR1147" t="str">
        <f>IFERROR(ROUND(S1147*(P1147/$AX1147)/VLOOKUP(O1147,职业!$A$3:$E$16,4,FALSE),0),"")</f>
        <v/>
      </c>
      <c r="AS1147" t="str">
        <f>IFERROR(ROUND(S1147*(R1147/$AX1147)/VLOOKUP(Q1147,职业!$A$3:$E$16,4,FALSE),0),"")</f>
        <v/>
      </c>
      <c r="AT1147" t="str">
        <f>IFERROR(ROUND(X1147*(U1147/$AY1147)/VLOOKUP(T1147,商品!$A$4:$D$67,4,FALSE),0),"")</f>
        <v/>
      </c>
      <c r="AU1147" t="str">
        <f>IFERROR(ROUND(X1147*(W1147/$AY1147)/VLOOKUP(V1147,商品!$A$4:$D$67,4,FALSE),0),"")</f>
        <v/>
      </c>
      <c r="AW1147">
        <f t="shared" si="303"/>
        <v>0</v>
      </c>
      <c r="AX1147">
        <f t="shared" si="304"/>
        <v>0</v>
      </c>
      <c r="AY1147">
        <f t="shared" si="305"/>
        <v>0</v>
      </c>
    </row>
    <row r="1148" customHeight="1" spans="1:51">
      <c r="A1148" s="18" t="s">
        <v>493</v>
      </c>
      <c r="C1148" s="18">
        <v>5</v>
      </c>
      <c r="D1148" s="1" t="s">
        <v>220</v>
      </c>
      <c r="E1148" s="1" t="s">
        <v>224</v>
      </c>
      <c r="L1148" s="18">
        <f>IFERROR(VLOOKUP($D1148&amp;$C1148,生产方式定位!$A$2:$E$38,2,FALSE)+VLOOKUP($E1148&amp;$C1148,生产方式定位!$F$3:$J$38,2,FALSE),0)</f>
        <v>3300</v>
      </c>
      <c r="S1148" s="18">
        <f>IFERROR(VLOOKUP($D1148&amp;$C1148,生产方式定位!$A$2:$E$38,3,FALSE)+VLOOKUP($E1148&amp;$C1148,生产方式定位!$F$3:$J$38,3,FALSE),0)</f>
        <v>10</v>
      </c>
      <c r="X1148" s="18">
        <f>IFERROR(VLOOKUP($D1148&amp;$C1148,生产方式定位!$A$2:$E$38,5,FALSE)+VLOOKUP($E1148&amp;$C1148,生产方式定位!$F$3:$J$38,5,FALSE),"错误")</f>
        <v>3500</v>
      </c>
      <c r="Y1148" s="27" t="str">
        <f t="shared" si="289"/>
        <v/>
      </c>
      <c r="Z1148" s="50" t="str">
        <f t="shared" si="292"/>
        <v/>
      </c>
      <c r="AA1148" s="50" t="str">
        <f t="shared" si="290"/>
        <v/>
      </c>
      <c r="AB1148" s="28" t="str">
        <f t="shared" si="293"/>
        <v>6%</v>
      </c>
      <c r="AC1148" s="1">
        <f t="shared" si="294"/>
        <v>190</v>
      </c>
      <c r="AD1148" s="52">
        <f t="shared" si="291"/>
        <v>5</v>
      </c>
      <c r="AE1148" t="str">
        <f t="shared" si="295"/>
        <v/>
      </c>
      <c r="AF1148" t="str">
        <f t="shared" si="296"/>
        <v/>
      </c>
      <c r="AG1148" t="str">
        <f t="shared" si="297"/>
        <v/>
      </c>
      <c r="AH1148" t="str">
        <f t="shared" si="298"/>
        <v/>
      </c>
      <c r="AI1148" t="str">
        <f t="shared" si="299"/>
        <v/>
      </c>
      <c r="AJ1148" t="str">
        <f t="shared" si="300"/>
        <v/>
      </c>
      <c r="AK1148" t="str">
        <f t="shared" si="301"/>
        <v/>
      </c>
      <c r="AL1148" t="str">
        <f t="shared" si="302"/>
        <v/>
      </c>
      <c r="AN1148" t="str">
        <f>IFERROR(ROUND(L1148*(G1148/$AW1148)/VLOOKUP(F1148,商品!$A$4:$D$67,4,FALSE),0),"")</f>
        <v/>
      </c>
      <c r="AO1148" t="str">
        <f>IFERROR(ROUND(L1148*(I1148/$AW1148)/VLOOKUP(H1148,商品!$A$4:$D$67,4,FALSE),0),"")</f>
        <v/>
      </c>
      <c r="AP1148" t="str">
        <f>IFERROR(ROUND(L1148*(K1148/$AW1148)/VLOOKUP(J1148,商品!$A$4:$D$67,4,FALSE),0),"")</f>
        <v/>
      </c>
      <c r="AQ1148" t="str">
        <f>IFERROR(ROUND(S1148*(N1148/$AX1148)/VLOOKUP(M1148,职业!$A$3:$E$16,4,FALSE),0),"")</f>
        <v/>
      </c>
      <c r="AR1148" t="str">
        <f>IFERROR(ROUND(S1148*(P1148/$AX1148)/VLOOKUP(O1148,职业!$A$3:$E$16,4,FALSE),0),"")</f>
        <v/>
      </c>
      <c r="AS1148" t="str">
        <f>IFERROR(ROUND(S1148*(R1148/$AX1148)/VLOOKUP(Q1148,职业!$A$3:$E$16,4,FALSE),0),"")</f>
        <v/>
      </c>
      <c r="AT1148" t="str">
        <f>IFERROR(ROUND(X1148*(U1148/$AY1148)/VLOOKUP(T1148,商品!$A$4:$D$67,4,FALSE),0),"")</f>
        <v/>
      </c>
      <c r="AU1148" t="str">
        <f>IFERROR(ROUND(X1148*(W1148/$AY1148)/VLOOKUP(V1148,商品!$A$4:$D$67,4,FALSE),0),"")</f>
        <v/>
      </c>
      <c r="AW1148">
        <f t="shared" si="303"/>
        <v>0</v>
      </c>
      <c r="AX1148">
        <f t="shared" si="304"/>
        <v>0</v>
      </c>
      <c r="AY1148">
        <f t="shared" si="305"/>
        <v>0</v>
      </c>
    </row>
    <row r="1149" customHeight="1" spans="1:51">
      <c r="A1149" s="5" t="s">
        <v>493</v>
      </c>
      <c r="C1149" s="5">
        <v>1</v>
      </c>
      <c r="D1149" s="1" t="s">
        <v>220</v>
      </c>
      <c r="E1149" s="1" t="s">
        <v>224</v>
      </c>
      <c r="L1149" s="5">
        <f>IFERROR(VLOOKUP($D1149&amp;$C1149,生产方式定位!$A$2:$E$38,2,FALSE)+VLOOKUP($E1149&amp;$C1149,生产方式定位!$F$3:$J$38,2,FALSE),0)</f>
        <v>500</v>
      </c>
      <c r="S1149" s="5">
        <f>IFERROR(VLOOKUP($D1149&amp;$C1149,生产方式定位!$A$2:$E$38,3,FALSE)+VLOOKUP($E1149&amp;$C1149,生产方式定位!$F$3:$J$38,3,FALSE),0)</f>
        <v>150</v>
      </c>
      <c r="X1149" s="5">
        <f>IFERROR(VLOOKUP($D1149&amp;$C1149,生产方式定位!$A$2:$E$38,5,FALSE)+VLOOKUP($E1149&amp;$C1149,生产方式定位!$F$3:$J$38,5,FALSE),"错误")</f>
        <v>715</v>
      </c>
      <c r="Y1149" s="27" t="str">
        <f t="shared" si="289"/>
        <v/>
      </c>
      <c r="Z1149" s="50" t="str">
        <f t="shared" si="292"/>
        <v/>
      </c>
      <c r="AA1149" s="50" t="str">
        <f t="shared" si="290"/>
        <v/>
      </c>
      <c r="AB1149" s="28" t="str">
        <f t="shared" si="293"/>
        <v>43%</v>
      </c>
      <c r="AC1149" s="1">
        <f t="shared" si="294"/>
        <v>65</v>
      </c>
      <c r="AD1149" s="51">
        <f t="shared" si="291"/>
        <v>1</v>
      </c>
      <c r="AE1149" t="str">
        <f t="shared" si="295"/>
        <v/>
      </c>
      <c r="AF1149" t="str">
        <f t="shared" si="296"/>
        <v/>
      </c>
      <c r="AG1149" t="str">
        <f t="shared" si="297"/>
        <v/>
      </c>
      <c r="AH1149" t="str">
        <f t="shared" si="298"/>
        <v/>
      </c>
      <c r="AI1149" t="str">
        <f t="shared" si="299"/>
        <v/>
      </c>
      <c r="AJ1149" t="str">
        <f t="shared" si="300"/>
        <v/>
      </c>
      <c r="AK1149" t="str">
        <f t="shared" si="301"/>
        <v/>
      </c>
      <c r="AL1149" t="str">
        <f t="shared" si="302"/>
        <v/>
      </c>
      <c r="AN1149" t="str">
        <f>IFERROR(ROUND(L1149*(G1149/$AW1149)/VLOOKUP(F1149,商品!$A$4:$D$67,4,FALSE),0),"")</f>
        <v/>
      </c>
      <c r="AO1149" t="str">
        <f>IFERROR(ROUND(L1149*(I1149/$AW1149)/VLOOKUP(H1149,商品!$A$4:$D$67,4,FALSE),0),"")</f>
        <v/>
      </c>
      <c r="AP1149" t="str">
        <f>IFERROR(ROUND(L1149*(K1149/$AW1149)/VLOOKUP(J1149,商品!$A$4:$D$67,4,FALSE),0),"")</f>
        <v/>
      </c>
      <c r="AQ1149" t="str">
        <f>IFERROR(ROUND(S1149*(N1149/$AX1149)/VLOOKUP(M1149,职业!$A$3:$E$16,4,FALSE),0),"")</f>
        <v/>
      </c>
      <c r="AR1149" t="str">
        <f>IFERROR(ROUND(S1149*(P1149/$AX1149)/VLOOKUP(O1149,职业!$A$3:$E$16,4,FALSE),0),"")</f>
        <v/>
      </c>
      <c r="AS1149" t="str">
        <f>IFERROR(ROUND(S1149*(R1149/$AX1149)/VLOOKUP(Q1149,职业!$A$3:$E$16,4,FALSE),0),"")</f>
        <v/>
      </c>
      <c r="AT1149" t="str">
        <f>IFERROR(ROUND(X1149*(U1149/$AY1149)/VLOOKUP(T1149,商品!$A$4:$D$67,4,FALSE),0),"")</f>
        <v/>
      </c>
      <c r="AU1149" t="str">
        <f>IFERROR(ROUND(X1149*(W1149/$AY1149)/VLOOKUP(V1149,商品!$A$4:$D$67,4,FALSE),0),"")</f>
        <v/>
      </c>
      <c r="AW1149">
        <f t="shared" si="303"/>
        <v>0</v>
      </c>
      <c r="AX1149">
        <f t="shared" si="304"/>
        <v>0</v>
      </c>
      <c r="AY1149">
        <f t="shared" si="305"/>
        <v>0</v>
      </c>
    </row>
    <row r="1150" customHeight="1" spans="1:51">
      <c r="A1150" s="5" t="s">
        <v>493</v>
      </c>
      <c r="C1150" s="5">
        <v>2</v>
      </c>
      <c r="D1150" s="1" t="s">
        <v>220</v>
      </c>
      <c r="E1150" s="1" t="s">
        <v>224</v>
      </c>
      <c r="L1150" s="5">
        <f>IFERROR(VLOOKUP($D1150&amp;$C1150,生产方式定位!$A$2:$E$38,2,FALSE)+VLOOKUP($E1150&amp;$C1150,生产方式定位!$F$3:$J$38,2,FALSE),0)</f>
        <v>1200</v>
      </c>
      <c r="S1150" s="5">
        <f>IFERROR(VLOOKUP($D1150&amp;$C1150,生产方式定位!$A$2:$E$38,3,FALSE)+VLOOKUP($E1150&amp;$C1150,生产方式定位!$F$3:$J$38,3,FALSE),0)</f>
        <v>100</v>
      </c>
      <c r="X1150" s="5">
        <f>IFERROR(VLOOKUP($D1150&amp;$C1150,生产方式定位!$A$2:$E$38,5,FALSE)+VLOOKUP($E1150&amp;$C1150,生产方式定位!$F$3:$J$38,5,FALSE),"错误")</f>
        <v>1346</v>
      </c>
      <c r="Y1150" s="27" t="str">
        <f t="shared" si="289"/>
        <v/>
      </c>
      <c r="Z1150" s="50" t="str">
        <f t="shared" si="292"/>
        <v/>
      </c>
      <c r="AA1150" s="50" t="str">
        <f t="shared" si="290"/>
        <v/>
      </c>
      <c r="AB1150" s="28" t="str">
        <f t="shared" si="293"/>
        <v>12%</v>
      </c>
      <c r="AC1150" s="1">
        <f t="shared" si="294"/>
        <v>46</v>
      </c>
      <c r="AD1150" s="51">
        <f t="shared" si="291"/>
        <v>2</v>
      </c>
      <c r="AE1150" t="str">
        <f t="shared" si="295"/>
        <v/>
      </c>
      <c r="AF1150" t="str">
        <f t="shared" si="296"/>
        <v/>
      </c>
      <c r="AG1150" t="str">
        <f t="shared" si="297"/>
        <v/>
      </c>
      <c r="AH1150" t="str">
        <f t="shared" si="298"/>
        <v/>
      </c>
      <c r="AI1150" t="str">
        <f t="shared" si="299"/>
        <v/>
      </c>
      <c r="AJ1150" t="str">
        <f t="shared" si="300"/>
        <v/>
      </c>
      <c r="AK1150" t="str">
        <f t="shared" si="301"/>
        <v/>
      </c>
      <c r="AL1150" t="str">
        <f t="shared" si="302"/>
        <v/>
      </c>
      <c r="AN1150" t="str">
        <f>IFERROR(ROUND(L1150*(G1150/$AW1150)/VLOOKUP(F1150,商品!$A$4:$D$67,4,FALSE),0),"")</f>
        <v/>
      </c>
      <c r="AO1150" t="str">
        <f>IFERROR(ROUND(L1150*(I1150/$AW1150)/VLOOKUP(H1150,商品!$A$4:$D$67,4,FALSE),0),"")</f>
        <v/>
      </c>
      <c r="AP1150" t="str">
        <f>IFERROR(ROUND(L1150*(K1150/$AW1150)/VLOOKUP(J1150,商品!$A$4:$D$67,4,FALSE),0),"")</f>
        <v/>
      </c>
      <c r="AQ1150" t="str">
        <f>IFERROR(ROUND(S1150*(N1150/$AX1150)/VLOOKUP(M1150,职业!$A$3:$E$16,4,FALSE),0),"")</f>
        <v/>
      </c>
      <c r="AR1150" t="str">
        <f>IFERROR(ROUND(S1150*(P1150/$AX1150)/VLOOKUP(O1150,职业!$A$3:$E$16,4,FALSE),0),"")</f>
        <v/>
      </c>
      <c r="AS1150" t="str">
        <f>IFERROR(ROUND(S1150*(R1150/$AX1150)/VLOOKUP(Q1150,职业!$A$3:$E$16,4,FALSE),0),"")</f>
        <v/>
      </c>
      <c r="AT1150" t="str">
        <f>IFERROR(ROUND(X1150*(U1150/$AY1150)/VLOOKUP(T1150,商品!$A$4:$D$67,4,FALSE),0),"")</f>
        <v/>
      </c>
      <c r="AU1150" t="str">
        <f>IFERROR(ROUND(X1150*(W1150/$AY1150)/VLOOKUP(V1150,商品!$A$4:$D$67,4,FALSE),0),"")</f>
        <v/>
      </c>
      <c r="AW1150">
        <f t="shared" si="303"/>
        <v>0</v>
      </c>
      <c r="AX1150">
        <f t="shared" si="304"/>
        <v>0</v>
      </c>
      <c r="AY1150">
        <f t="shared" si="305"/>
        <v>0</v>
      </c>
    </row>
    <row r="1151" customHeight="1" spans="1:51">
      <c r="A1151" s="5" t="s">
        <v>493</v>
      </c>
      <c r="C1151" s="5">
        <v>3</v>
      </c>
      <c r="D1151" s="1" t="s">
        <v>220</v>
      </c>
      <c r="E1151" s="1" t="s">
        <v>224</v>
      </c>
      <c r="L1151" s="5">
        <f>IFERROR(VLOOKUP($D1151&amp;$C1151,生产方式定位!$A$2:$E$38,2,FALSE)+VLOOKUP($E1151&amp;$C1151,生产方式定位!$F$3:$J$38,2,FALSE),0)</f>
        <v>1900</v>
      </c>
      <c r="S1151" s="5">
        <f>IFERROR(VLOOKUP($D1151&amp;$C1151,生产方式定位!$A$2:$E$38,3,FALSE)+VLOOKUP($E1151&amp;$C1151,生产方式定位!$F$3:$J$38,3,FALSE),0)</f>
        <v>70</v>
      </c>
      <c r="X1151" s="5">
        <f>IFERROR(VLOOKUP($D1151&amp;$C1151,生产方式定位!$A$2:$E$38,5,FALSE)+VLOOKUP($E1151&amp;$C1151,生产方式定位!$F$3:$J$38,5,FALSE),"错误")</f>
        <v>2064</v>
      </c>
      <c r="Y1151" s="27" t="str">
        <f t="shared" si="289"/>
        <v/>
      </c>
      <c r="Z1151" s="50" t="str">
        <f t="shared" si="292"/>
        <v/>
      </c>
      <c r="AA1151" s="50" t="str">
        <f t="shared" si="290"/>
        <v/>
      </c>
      <c r="AB1151" s="28" t="str">
        <f t="shared" si="293"/>
        <v>9%</v>
      </c>
      <c r="AC1151" s="1">
        <f t="shared" si="294"/>
        <v>94</v>
      </c>
      <c r="AD1151" s="51">
        <f t="shared" si="291"/>
        <v>3</v>
      </c>
      <c r="AE1151" t="str">
        <f t="shared" si="295"/>
        <v/>
      </c>
      <c r="AF1151" t="str">
        <f t="shared" si="296"/>
        <v/>
      </c>
      <c r="AG1151" t="str">
        <f t="shared" si="297"/>
        <v/>
      </c>
      <c r="AH1151" t="str">
        <f t="shared" si="298"/>
        <v/>
      </c>
      <c r="AI1151" t="str">
        <f t="shared" si="299"/>
        <v/>
      </c>
      <c r="AJ1151" t="str">
        <f t="shared" si="300"/>
        <v/>
      </c>
      <c r="AK1151" t="str">
        <f t="shared" si="301"/>
        <v/>
      </c>
      <c r="AL1151" t="str">
        <f t="shared" si="302"/>
        <v/>
      </c>
      <c r="AN1151" t="str">
        <f>IFERROR(ROUND(L1151*(G1151/$AW1151)/VLOOKUP(F1151,商品!$A$4:$D$67,4,FALSE),0),"")</f>
        <v/>
      </c>
      <c r="AO1151" t="str">
        <f>IFERROR(ROUND(L1151*(I1151/$AW1151)/VLOOKUP(H1151,商品!$A$4:$D$67,4,FALSE),0),"")</f>
        <v/>
      </c>
      <c r="AP1151" t="str">
        <f>IFERROR(ROUND(L1151*(K1151/$AW1151)/VLOOKUP(J1151,商品!$A$4:$D$67,4,FALSE),0),"")</f>
        <v/>
      </c>
      <c r="AQ1151" t="str">
        <f>IFERROR(ROUND(S1151*(N1151/$AX1151)/VLOOKUP(M1151,职业!$A$3:$E$16,4,FALSE),0),"")</f>
        <v/>
      </c>
      <c r="AR1151" t="str">
        <f>IFERROR(ROUND(S1151*(P1151/$AX1151)/VLOOKUP(O1151,职业!$A$3:$E$16,4,FALSE),0),"")</f>
        <v/>
      </c>
      <c r="AS1151" t="str">
        <f>IFERROR(ROUND(S1151*(R1151/$AX1151)/VLOOKUP(Q1151,职业!$A$3:$E$16,4,FALSE),0),"")</f>
        <v/>
      </c>
      <c r="AT1151" t="str">
        <f>IFERROR(ROUND(X1151*(U1151/$AY1151)/VLOOKUP(T1151,商品!$A$4:$D$67,4,FALSE),0),"")</f>
        <v/>
      </c>
      <c r="AU1151" t="str">
        <f>IFERROR(ROUND(X1151*(W1151/$AY1151)/VLOOKUP(V1151,商品!$A$4:$D$67,4,FALSE),0),"")</f>
        <v/>
      </c>
      <c r="AW1151">
        <f t="shared" si="303"/>
        <v>0</v>
      </c>
      <c r="AX1151">
        <f t="shared" si="304"/>
        <v>0</v>
      </c>
      <c r="AY1151">
        <f t="shared" si="305"/>
        <v>0</v>
      </c>
    </row>
    <row r="1152" customHeight="1" spans="1:51">
      <c r="A1152" s="5" t="s">
        <v>493</v>
      </c>
      <c r="C1152" s="5">
        <v>4</v>
      </c>
      <c r="D1152" s="1" t="s">
        <v>220</v>
      </c>
      <c r="E1152" s="1" t="s">
        <v>224</v>
      </c>
      <c r="L1152" s="5">
        <f>IFERROR(VLOOKUP($D1152&amp;$C1152,生产方式定位!$A$2:$E$38,2,FALSE)+VLOOKUP($E1152&amp;$C1152,生产方式定位!$F$3:$J$38,2,FALSE),0)</f>
        <v>2600</v>
      </c>
      <c r="S1152" s="5">
        <f>IFERROR(VLOOKUP($D1152&amp;$C1152,生产方式定位!$A$2:$E$38,3,FALSE)+VLOOKUP($E1152&amp;$C1152,生产方式定位!$F$3:$J$38,3,FALSE),0)</f>
        <v>40</v>
      </c>
      <c r="X1152" s="5">
        <f>IFERROR(VLOOKUP($D1152&amp;$C1152,生产方式定位!$A$2:$E$38,5,FALSE)+VLOOKUP($E1152&amp;$C1152,生产方式定位!$F$3:$J$38,5,FALSE),"错误")</f>
        <v>2782</v>
      </c>
      <c r="Y1152" s="27" t="str">
        <f t="shared" si="289"/>
        <v/>
      </c>
      <c r="Z1152" s="50" t="str">
        <f t="shared" si="292"/>
        <v/>
      </c>
      <c r="AA1152" s="50" t="str">
        <f t="shared" si="290"/>
        <v/>
      </c>
      <c r="AB1152" s="28" t="str">
        <f t="shared" si="293"/>
        <v>7%</v>
      </c>
      <c r="AC1152" s="1">
        <f t="shared" si="294"/>
        <v>142</v>
      </c>
      <c r="AD1152" s="51">
        <f t="shared" si="291"/>
        <v>4</v>
      </c>
      <c r="AE1152" t="str">
        <f t="shared" si="295"/>
        <v/>
      </c>
      <c r="AF1152" t="str">
        <f t="shared" si="296"/>
        <v/>
      </c>
      <c r="AG1152" t="str">
        <f t="shared" si="297"/>
        <v/>
      </c>
      <c r="AH1152" t="str">
        <f t="shared" si="298"/>
        <v/>
      </c>
      <c r="AI1152" t="str">
        <f t="shared" si="299"/>
        <v/>
      </c>
      <c r="AJ1152" t="str">
        <f t="shared" si="300"/>
        <v/>
      </c>
      <c r="AK1152" t="str">
        <f t="shared" si="301"/>
        <v/>
      </c>
      <c r="AL1152" t="str">
        <f t="shared" si="302"/>
        <v/>
      </c>
      <c r="AN1152" t="str">
        <f>IFERROR(ROUND(L1152*(G1152/$AW1152)/VLOOKUP(F1152,商品!$A$4:$D$67,4,FALSE),0),"")</f>
        <v/>
      </c>
      <c r="AO1152" t="str">
        <f>IFERROR(ROUND(L1152*(I1152/$AW1152)/VLOOKUP(H1152,商品!$A$4:$D$67,4,FALSE),0),"")</f>
        <v/>
      </c>
      <c r="AP1152" t="str">
        <f>IFERROR(ROUND(L1152*(K1152/$AW1152)/VLOOKUP(J1152,商品!$A$4:$D$67,4,FALSE),0),"")</f>
        <v/>
      </c>
      <c r="AQ1152" t="str">
        <f>IFERROR(ROUND(S1152*(N1152/$AX1152)/VLOOKUP(M1152,职业!$A$3:$E$16,4,FALSE),0),"")</f>
        <v/>
      </c>
      <c r="AR1152" t="str">
        <f>IFERROR(ROUND(S1152*(P1152/$AX1152)/VLOOKUP(O1152,职业!$A$3:$E$16,4,FALSE),0),"")</f>
        <v/>
      </c>
      <c r="AS1152" t="str">
        <f>IFERROR(ROUND(S1152*(R1152/$AX1152)/VLOOKUP(Q1152,职业!$A$3:$E$16,4,FALSE),0),"")</f>
        <v/>
      </c>
      <c r="AT1152" t="str">
        <f>IFERROR(ROUND(X1152*(U1152/$AY1152)/VLOOKUP(T1152,商品!$A$4:$D$67,4,FALSE),0),"")</f>
        <v/>
      </c>
      <c r="AU1152" t="str">
        <f>IFERROR(ROUND(X1152*(W1152/$AY1152)/VLOOKUP(V1152,商品!$A$4:$D$67,4,FALSE),0),"")</f>
        <v/>
      </c>
      <c r="AW1152">
        <f t="shared" si="303"/>
        <v>0</v>
      </c>
      <c r="AX1152">
        <f t="shared" si="304"/>
        <v>0</v>
      </c>
      <c r="AY1152">
        <f t="shared" si="305"/>
        <v>0</v>
      </c>
    </row>
    <row r="1153" customHeight="1" spans="1:51">
      <c r="A1153" s="5" t="s">
        <v>493</v>
      </c>
      <c r="C1153" s="5">
        <v>5</v>
      </c>
      <c r="D1153" s="1" t="s">
        <v>220</v>
      </c>
      <c r="E1153" s="1" t="s">
        <v>224</v>
      </c>
      <c r="L1153" s="5">
        <f>IFERROR(VLOOKUP($D1153&amp;$C1153,生产方式定位!$A$2:$E$38,2,FALSE)+VLOOKUP($E1153&amp;$C1153,生产方式定位!$F$3:$J$38,2,FALSE),0)</f>
        <v>3300</v>
      </c>
      <c r="S1153" s="5">
        <f>IFERROR(VLOOKUP($D1153&amp;$C1153,生产方式定位!$A$2:$E$38,3,FALSE)+VLOOKUP($E1153&amp;$C1153,生产方式定位!$F$3:$J$38,3,FALSE),0)</f>
        <v>10</v>
      </c>
      <c r="X1153" s="5">
        <f>IFERROR(VLOOKUP($D1153&amp;$C1153,生产方式定位!$A$2:$E$38,5,FALSE)+VLOOKUP($E1153&amp;$C1153,生产方式定位!$F$3:$J$38,5,FALSE),"错误")</f>
        <v>3500</v>
      </c>
      <c r="Y1153" s="27" t="str">
        <f t="shared" si="289"/>
        <v/>
      </c>
      <c r="Z1153" s="50" t="str">
        <f t="shared" si="292"/>
        <v/>
      </c>
      <c r="AA1153" s="50" t="str">
        <f t="shared" si="290"/>
        <v/>
      </c>
      <c r="AB1153" s="28" t="str">
        <f t="shared" si="293"/>
        <v>6%</v>
      </c>
      <c r="AC1153" s="1">
        <f t="shared" si="294"/>
        <v>190</v>
      </c>
      <c r="AD1153" s="51">
        <f t="shared" si="291"/>
        <v>5</v>
      </c>
      <c r="AE1153" t="str">
        <f t="shared" si="295"/>
        <v/>
      </c>
      <c r="AF1153" t="str">
        <f t="shared" si="296"/>
        <v/>
      </c>
      <c r="AG1153" t="str">
        <f t="shared" si="297"/>
        <v/>
      </c>
      <c r="AH1153" t="str">
        <f t="shared" si="298"/>
        <v/>
      </c>
      <c r="AI1153" t="str">
        <f t="shared" si="299"/>
        <v/>
      </c>
      <c r="AJ1153" t="str">
        <f t="shared" si="300"/>
        <v/>
      </c>
      <c r="AK1153" t="str">
        <f t="shared" si="301"/>
        <v/>
      </c>
      <c r="AL1153" t="str">
        <f t="shared" si="302"/>
        <v/>
      </c>
      <c r="AN1153" t="str">
        <f>IFERROR(ROUND(L1153*(G1153/$AW1153)/VLOOKUP(F1153,商品!$A$4:$D$67,4,FALSE),0),"")</f>
        <v/>
      </c>
      <c r="AO1153" t="str">
        <f>IFERROR(ROUND(L1153*(I1153/$AW1153)/VLOOKUP(H1153,商品!$A$4:$D$67,4,FALSE),0),"")</f>
        <v/>
      </c>
      <c r="AP1153" t="str">
        <f>IFERROR(ROUND(L1153*(K1153/$AW1153)/VLOOKUP(J1153,商品!$A$4:$D$67,4,FALSE),0),"")</f>
        <v/>
      </c>
      <c r="AQ1153" t="str">
        <f>IFERROR(ROUND(S1153*(N1153/$AX1153)/VLOOKUP(M1153,职业!$A$3:$E$16,4,FALSE),0),"")</f>
        <v/>
      </c>
      <c r="AR1153" t="str">
        <f>IFERROR(ROUND(S1153*(P1153/$AX1153)/VLOOKUP(O1153,职业!$A$3:$E$16,4,FALSE),0),"")</f>
        <v/>
      </c>
      <c r="AS1153" t="str">
        <f>IFERROR(ROUND(S1153*(R1153/$AX1153)/VLOOKUP(Q1153,职业!$A$3:$E$16,4,FALSE),0),"")</f>
        <v/>
      </c>
      <c r="AT1153" t="str">
        <f>IFERROR(ROUND(X1153*(U1153/$AY1153)/VLOOKUP(T1153,商品!$A$4:$D$67,4,FALSE),0),"")</f>
        <v/>
      </c>
      <c r="AU1153" t="str">
        <f>IFERROR(ROUND(X1153*(W1153/$AY1153)/VLOOKUP(V1153,商品!$A$4:$D$67,4,FALSE),0),"")</f>
        <v/>
      </c>
      <c r="AW1153">
        <f t="shared" si="303"/>
        <v>0</v>
      </c>
      <c r="AX1153">
        <f t="shared" si="304"/>
        <v>0</v>
      </c>
      <c r="AY1153">
        <f t="shared" si="305"/>
        <v>0</v>
      </c>
    </row>
    <row r="1154" customHeight="1" spans="1:51">
      <c r="A1154" s="18" t="s">
        <v>494</v>
      </c>
      <c r="C1154" s="18">
        <v>1</v>
      </c>
      <c r="D1154" s="1" t="s">
        <v>291</v>
      </c>
      <c r="E1154" s="1" t="s">
        <v>225</v>
      </c>
      <c r="L1154" s="18">
        <f>IFERROR(VLOOKUP($D1154&amp;$C1154,生产方式定位!$A$2:$E$38,2,FALSE)+VLOOKUP($E1154&amp;$C1154,生产方式定位!$F$3:$J$38,2,FALSE),0)</f>
        <v>0</v>
      </c>
      <c r="S1154" s="18">
        <f>IFERROR(VLOOKUP($D1154&amp;$C1154,生产方式定位!$A$2:$E$38,3,FALSE)+VLOOKUP($E1154&amp;$C1154,生产方式定位!$F$3:$J$38,3,FALSE),0)</f>
        <v>100</v>
      </c>
      <c r="X1154" s="18">
        <f>IFERROR(VLOOKUP($D1154&amp;$C1154,生产方式定位!$A$2:$E$38,5,FALSE)+VLOOKUP($E1154&amp;$C1154,生产方式定位!$F$3:$J$38,5,FALSE),"错误")</f>
        <v>100</v>
      </c>
      <c r="Y1154" s="27" t="str">
        <f t="shared" si="289"/>
        <v/>
      </c>
      <c r="Z1154" s="50" t="str">
        <f t="shared" si="292"/>
        <v/>
      </c>
      <c r="AA1154" s="50" t="str">
        <f t="shared" si="290"/>
        <v/>
      </c>
      <c r="AB1154" s="28" t="str">
        <f t="shared" si="293"/>
        <v/>
      </c>
      <c r="AC1154" s="1" t="str">
        <f t="shared" si="294"/>
        <v/>
      </c>
      <c r="AD1154" s="52">
        <f t="shared" si="291"/>
        <v>1</v>
      </c>
      <c r="AE1154" t="str">
        <f t="shared" si="295"/>
        <v/>
      </c>
      <c r="AF1154" t="str">
        <f t="shared" si="296"/>
        <v/>
      </c>
      <c r="AG1154" t="str">
        <f t="shared" si="297"/>
        <v/>
      </c>
      <c r="AH1154" t="str">
        <f t="shared" si="298"/>
        <v/>
      </c>
      <c r="AI1154" t="str">
        <f t="shared" si="299"/>
        <v/>
      </c>
      <c r="AJ1154" t="str">
        <f t="shared" si="300"/>
        <v/>
      </c>
      <c r="AK1154" t="str">
        <f t="shared" si="301"/>
        <v/>
      </c>
      <c r="AL1154" t="str">
        <f t="shared" si="302"/>
        <v/>
      </c>
      <c r="AN1154" t="str">
        <f>IFERROR(ROUND(L1154*(G1154/$AW1154)/VLOOKUP(F1154,商品!$A$4:$D$67,4,FALSE),0),"")</f>
        <v/>
      </c>
      <c r="AO1154" t="str">
        <f>IFERROR(ROUND(L1154*(I1154/$AW1154)/VLOOKUP(H1154,商品!$A$4:$D$67,4,FALSE),0),"")</f>
        <v/>
      </c>
      <c r="AP1154" t="str">
        <f>IFERROR(ROUND(L1154*(K1154/$AW1154)/VLOOKUP(J1154,商品!$A$4:$D$67,4,FALSE),0),"")</f>
        <v/>
      </c>
      <c r="AQ1154" t="str">
        <f>IFERROR(ROUND(S1154*(N1154/$AX1154)/VLOOKUP(M1154,职业!$A$3:$E$16,4,FALSE),0),"")</f>
        <v/>
      </c>
      <c r="AR1154" t="str">
        <f>IFERROR(ROUND(S1154*(P1154/$AX1154)/VLOOKUP(O1154,职业!$A$3:$E$16,4,FALSE),0),"")</f>
        <v/>
      </c>
      <c r="AS1154" t="str">
        <f>IFERROR(ROUND(S1154*(R1154/$AX1154)/VLOOKUP(Q1154,职业!$A$3:$E$16,4,FALSE),0),"")</f>
        <v/>
      </c>
      <c r="AT1154" t="str">
        <f>IFERROR(ROUND(X1154*(U1154/$AY1154)/VLOOKUP(T1154,商品!$A$4:$D$67,4,FALSE),0),"")</f>
        <v/>
      </c>
      <c r="AU1154" t="str">
        <f>IFERROR(ROUND(X1154*(W1154/$AY1154)/VLOOKUP(V1154,商品!$A$4:$D$67,4,FALSE),0),"")</f>
        <v/>
      </c>
      <c r="AW1154">
        <f t="shared" si="303"/>
        <v>0</v>
      </c>
      <c r="AX1154">
        <f t="shared" si="304"/>
        <v>0</v>
      </c>
      <c r="AY1154">
        <f t="shared" si="305"/>
        <v>0</v>
      </c>
    </row>
    <row r="1155" customHeight="1" spans="1:51">
      <c r="A1155" s="18" t="s">
        <v>494</v>
      </c>
      <c r="C1155" s="18">
        <v>2</v>
      </c>
      <c r="D1155" s="1" t="s">
        <v>291</v>
      </c>
      <c r="E1155" s="1" t="s">
        <v>225</v>
      </c>
      <c r="L1155" s="18">
        <f>IFERROR(VLOOKUP($D1155&amp;$C1155,生产方式定位!$A$2:$E$38,2,FALSE)+VLOOKUP($E1155&amp;$C1155,生产方式定位!$F$3:$J$38,2,FALSE),0)</f>
        <v>0</v>
      </c>
      <c r="S1155" s="18">
        <f>IFERROR(VLOOKUP($D1155&amp;$C1155,生产方式定位!$A$2:$E$38,3,FALSE)+VLOOKUP($E1155&amp;$C1155,生产方式定位!$F$3:$J$38,3,FALSE),0)</f>
        <v>100</v>
      </c>
      <c r="X1155" s="18">
        <f>IFERROR(VLOOKUP($D1155&amp;$C1155,生产方式定位!$A$2:$E$38,5,FALSE)+VLOOKUP($E1155&amp;$C1155,生产方式定位!$F$3:$J$38,5,FALSE),"错误")</f>
        <v>100</v>
      </c>
      <c r="Y1155" s="27" t="str">
        <f t="shared" si="289"/>
        <v/>
      </c>
      <c r="Z1155" s="50" t="str">
        <f t="shared" si="292"/>
        <v/>
      </c>
      <c r="AA1155" s="50" t="str">
        <f t="shared" si="290"/>
        <v/>
      </c>
      <c r="AB1155" s="28" t="str">
        <f t="shared" si="293"/>
        <v/>
      </c>
      <c r="AC1155" s="1" t="str">
        <f t="shared" si="294"/>
        <v/>
      </c>
      <c r="AD1155" s="52">
        <f t="shared" si="291"/>
        <v>2</v>
      </c>
      <c r="AE1155" t="str">
        <f t="shared" si="295"/>
        <v/>
      </c>
      <c r="AF1155" t="str">
        <f t="shared" si="296"/>
        <v/>
      </c>
      <c r="AG1155" t="str">
        <f t="shared" si="297"/>
        <v/>
      </c>
      <c r="AH1155" t="str">
        <f t="shared" si="298"/>
        <v/>
      </c>
      <c r="AI1155" t="str">
        <f t="shared" si="299"/>
        <v/>
      </c>
      <c r="AJ1155" t="str">
        <f t="shared" si="300"/>
        <v/>
      </c>
      <c r="AK1155" t="str">
        <f t="shared" si="301"/>
        <v/>
      </c>
      <c r="AL1155" t="str">
        <f t="shared" si="302"/>
        <v/>
      </c>
      <c r="AN1155" t="str">
        <f>IFERROR(ROUND(L1155*(G1155/$AW1155)/VLOOKUP(F1155,商品!$A$4:$D$67,4,FALSE),0),"")</f>
        <v/>
      </c>
      <c r="AO1155" t="str">
        <f>IFERROR(ROUND(L1155*(I1155/$AW1155)/VLOOKUP(H1155,商品!$A$4:$D$67,4,FALSE),0),"")</f>
        <v/>
      </c>
      <c r="AP1155" t="str">
        <f>IFERROR(ROUND(L1155*(K1155/$AW1155)/VLOOKUP(J1155,商品!$A$4:$D$67,4,FALSE),0),"")</f>
        <v/>
      </c>
      <c r="AQ1155" t="str">
        <f>IFERROR(ROUND(S1155*(N1155/$AX1155)/VLOOKUP(M1155,职业!$A$3:$E$16,4,FALSE),0),"")</f>
        <v/>
      </c>
      <c r="AR1155" t="str">
        <f>IFERROR(ROUND(S1155*(P1155/$AX1155)/VLOOKUP(O1155,职业!$A$3:$E$16,4,FALSE),0),"")</f>
        <v/>
      </c>
      <c r="AS1155" t="str">
        <f>IFERROR(ROUND(S1155*(R1155/$AX1155)/VLOOKUP(Q1155,职业!$A$3:$E$16,4,FALSE),0),"")</f>
        <v/>
      </c>
      <c r="AT1155" t="str">
        <f>IFERROR(ROUND(X1155*(U1155/$AY1155)/VLOOKUP(T1155,商品!$A$4:$D$67,4,FALSE),0),"")</f>
        <v/>
      </c>
      <c r="AU1155" t="str">
        <f>IFERROR(ROUND(X1155*(W1155/$AY1155)/VLOOKUP(V1155,商品!$A$4:$D$67,4,FALSE),0),"")</f>
        <v/>
      </c>
      <c r="AW1155">
        <f t="shared" si="303"/>
        <v>0</v>
      </c>
      <c r="AX1155">
        <f t="shared" si="304"/>
        <v>0</v>
      </c>
      <c r="AY1155">
        <f t="shared" si="305"/>
        <v>0</v>
      </c>
    </row>
    <row r="1156" customHeight="1" spans="1:51">
      <c r="A1156" s="18" t="s">
        <v>494</v>
      </c>
      <c r="C1156" s="18">
        <v>3</v>
      </c>
      <c r="D1156" s="1" t="s">
        <v>291</v>
      </c>
      <c r="E1156" s="1" t="s">
        <v>225</v>
      </c>
      <c r="L1156" s="18">
        <f>IFERROR(VLOOKUP($D1156&amp;$C1156,生产方式定位!$A$2:$E$38,2,FALSE)+VLOOKUP($E1156&amp;$C1156,生产方式定位!$F$3:$J$38,2,FALSE),0)</f>
        <v>0</v>
      </c>
      <c r="S1156" s="18">
        <f>IFERROR(VLOOKUP($D1156&amp;$C1156,生产方式定位!$A$2:$E$38,3,FALSE)+VLOOKUP($E1156&amp;$C1156,生产方式定位!$F$3:$J$38,3,FALSE),0)</f>
        <v>100</v>
      </c>
      <c r="X1156" s="18">
        <f>IFERROR(VLOOKUP($D1156&amp;$C1156,生产方式定位!$A$2:$E$38,5,FALSE)+VLOOKUP($E1156&amp;$C1156,生产方式定位!$F$3:$J$38,5,FALSE),"错误")</f>
        <v>100</v>
      </c>
      <c r="Y1156" s="27" t="str">
        <f t="shared" si="289"/>
        <v/>
      </c>
      <c r="Z1156" s="50" t="str">
        <f t="shared" si="292"/>
        <v/>
      </c>
      <c r="AA1156" s="50" t="str">
        <f t="shared" si="290"/>
        <v/>
      </c>
      <c r="AB1156" s="28" t="str">
        <f t="shared" si="293"/>
        <v/>
      </c>
      <c r="AC1156" s="1" t="str">
        <f t="shared" si="294"/>
        <v/>
      </c>
      <c r="AD1156" s="52">
        <f t="shared" si="291"/>
        <v>3</v>
      </c>
      <c r="AE1156" t="str">
        <f t="shared" si="295"/>
        <v/>
      </c>
      <c r="AF1156" t="str">
        <f t="shared" si="296"/>
        <v/>
      </c>
      <c r="AG1156" t="str">
        <f t="shared" si="297"/>
        <v/>
      </c>
      <c r="AH1156" t="str">
        <f t="shared" si="298"/>
        <v/>
      </c>
      <c r="AI1156" t="str">
        <f t="shared" si="299"/>
        <v/>
      </c>
      <c r="AJ1156" t="str">
        <f t="shared" si="300"/>
        <v/>
      </c>
      <c r="AK1156" t="str">
        <f t="shared" si="301"/>
        <v/>
      </c>
      <c r="AL1156" t="str">
        <f t="shared" si="302"/>
        <v/>
      </c>
      <c r="AN1156" t="str">
        <f>IFERROR(ROUND(L1156*(G1156/$AW1156)/VLOOKUP(F1156,商品!$A$4:$D$67,4,FALSE),0),"")</f>
        <v/>
      </c>
      <c r="AO1156" t="str">
        <f>IFERROR(ROUND(L1156*(I1156/$AW1156)/VLOOKUP(H1156,商品!$A$4:$D$67,4,FALSE),0),"")</f>
        <v/>
      </c>
      <c r="AP1156" t="str">
        <f>IFERROR(ROUND(L1156*(K1156/$AW1156)/VLOOKUP(J1156,商品!$A$4:$D$67,4,FALSE),0),"")</f>
        <v/>
      </c>
      <c r="AQ1156" t="str">
        <f>IFERROR(ROUND(S1156*(N1156/$AX1156)/VLOOKUP(M1156,职业!$A$3:$E$16,4,FALSE),0),"")</f>
        <v/>
      </c>
      <c r="AR1156" t="str">
        <f>IFERROR(ROUND(S1156*(P1156/$AX1156)/VLOOKUP(O1156,职业!$A$3:$E$16,4,FALSE),0),"")</f>
        <v/>
      </c>
      <c r="AS1156" t="str">
        <f>IFERROR(ROUND(S1156*(R1156/$AX1156)/VLOOKUP(Q1156,职业!$A$3:$E$16,4,FALSE),0),"")</f>
        <v/>
      </c>
      <c r="AT1156" t="str">
        <f>IFERROR(ROUND(X1156*(U1156/$AY1156)/VLOOKUP(T1156,商品!$A$4:$D$67,4,FALSE),0),"")</f>
        <v/>
      </c>
      <c r="AU1156" t="str">
        <f>IFERROR(ROUND(X1156*(W1156/$AY1156)/VLOOKUP(V1156,商品!$A$4:$D$67,4,FALSE),0),"")</f>
        <v/>
      </c>
      <c r="AW1156">
        <f t="shared" si="303"/>
        <v>0</v>
      </c>
      <c r="AX1156">
        <f t="shared" si="304"/>
        <v>0</v>
      </c>
      <c r="AY1156">
        <f t="shared" si="305"/>
        <v>0</v>
      </c>
    </row>
    <row r="1157" customHeight="1" spans="1:51">
      <c r="A1157" s="18" t="s">
        <v>494</v>
      </c>
      <c r="C1157" s="18">
        <v>4</v>
      </c>
      <c r="D1157" s="1" t="s">
        <v>291</v>
      </c>
      <c r="E1157" s="1" t="s">
        <v>225</v>
      </c>
      <c r="L1157" s="18">
        <f>IFERROR(VLOOKUP($D1157&amp;$C1157,生产方式定位!$A$2:$E$38,2,FALSE)+VLOOKUP($E1157&amp;$C1157,生产方式定位!$F$3:$J$38,2,FALSE),0)</f>
        <v>0</v>
      </c>
      <c r="S1157" s="18">
        <f>IFERROR(VLOOKUP($D1157&amp;$C1157,生产方式定位!$A$2:$E$38,3,FALSE)+VLOOKUP($E1157&amp;$C1157,生产方式定位!$F$3:$J$38,3,FALSE),0)</f>
        <v>100</v>
      </c>
      <c r="X1157" s="18">
        <f>IFERROR(VLOOKUP($D1157&amp;$C1157,生产方式定位!$A$2:$E$38,5,FALSE)+VLOOKUP($E1157&amp;$C1157,生产方式定位!$F$3:$J$38,5,FALSE),"错误")</f>
        <v>100</v>
      </c>
      <c r="Y1157" s="27" t="str">
        <f t="shared" ref="Y1157:Y1207" si="306">IF(AE1157="","",AE1157)&amp;IF(AF1157="","",","&amp;AF1157)&amp;IF(AG1157="","",","&amp;AG1157)</f>
        <v/>
      </c>
      <c r="Z1157" s="50" t="str">
        <f t="shared" si="292"/>
        <v/>
      </c>
      <c r="AA1157" s="50" t="str">
        <f t="shared" ref="AA1157:AA1207" si="307">IF(AK1157="","",AK1157)&amp;IF(AL1157="","",","&amp;AL1157)</f>
        <v/>
      </c>
      <c r="AB1157" s="28" t="str">
        <f t="shared" si="293"/>
        <v/>
      </c>
      <c r="AC1157" s="1" t="str">
        <f t="shared" si="294"/>
        <v/>
      </c>
      <c r="AD1157" s="52">
        <f t="shared" ref="AD1157:AD1207" si="308">C1157</f>
        <v>4</v>
      </c>
      <c r="AE1157" t="str">
        <f t="shared" si="295"/>
        <v/>
      </c>
      <c r="AF1157" t="str">
        <f t="shared" si="296"/>
        <v/>
      </c>
      <c r="AG1157" t="str">
        <f t="shared" si="297"/>
        <v/>
      </c>
      <c r="AH1157" t="str">
        <f t="shared" si="298"/>
        <v/>
      </c>
      <c r="AI1157" t="str">
        <f t="shared" si="299"/>
        <v/>
      </c>
      <c r="AJ1157" t="str">
        <f t="shared" si="300"/>
        <v/>
      </c>
      <c r="AK1157" t="str">
        <f t="shared" si="301"/>
        <v/>
      </c>
      <c r="AL1157" t="str">
        <f t="shared" si="302"/>
        <v/>
      </c>
      <c r="AN1157" t="str">
        <f>IFERROR(ROUND(L1157*(G1157/$AW1157)/VLOOKUP(F1157,商品!$A$4:$D$67,4,FALSE),0),"")</f>
        <v/>
      </c>
      <c r="AO1157" t="str">
        <f>IFERROR(ROUND(L1157*(I1157/$AW1157)/VLOOKUP(H1157,商品!$A$4:$D$67,4,FALSE),0),"")</f>
        <v/>
      </c>
      <c r="AP1157" t="str">
        <f>IFERROR(ROUND(L1157*(K1157/$AW1157)/VLOOKUP(J1157,商品!$A$4:$D$67,4,FALSE),0),"")</f>
        <v/>
      </c>
      <c r="AQ1157" t="str">
        <f>IFERROR(ROUND(S1157*(N1157/$AX1157)/VLOOKUP(M1157,职业!$A$3:$E$16,4,FALSE),0),"")</f>
        <v/>
      </c>
      <c r="AR1157" t="str">
        <f>IFERROR(ROUND(S1157*(P1157/$AX1157)/VLOOKUP(O1157,职业!$A$3:$E$16,4,FALSE),0),"")</f>
        <v/>
      </c>
      <c r="AS1157" t="str">
        <f>IFERROR(ROUND(S1157*(R1157/$AX1157)/VLOOKUP(Q1157,职业!$A$3:$E$16,4,FALSE),0),"")</f>
        <v/>
      </c>
      <c r="AT1157" t="str">
        <f>IFERROR(ROUND(X1157*(U1157/$AY1157)/VLOOKUP(T1157,商品!$A$4:$D$67,4,FALSE),0),"")</f>
        <v/>
      </c>
      <c r="AU1157" t="str">
        <f>IFERROR(ROUND(X1157*(W1157/$AY1157)/VLOOKUP(V1157,商品!$A$4:$D$67,4,FALSE),0),"")</f>
        <v/>
      </c>
      <c r="AW1157">
        <f t="shared" si="303"/>
        <v>0</v>
      </c>
      <c r="AX1157">
        <f t="shared" si="304"/>
        <v>0</v>
      </c>
      <c r="AY1157">
        <f t="shared" si="305"/>
        <v>0</v>
      </c>
    </row>
    <row r="1158" customHeight="1" spans="1:51">
      <c r="A1158" s="18" t="s">
        <v>494</v>
      </c>
      <c r="C1158" s="18">
        <v>5</v>
      </c>
      <c r="D1158" s="1" t="s">
        <v>291</v>
      </c>
      <c r="E1158" s="1" t="s">
        <v>225</v>
      </c>
      <c r="L1158" s="18">
        <f>IFERROR(VLOOKUP($D1158&amp;$C1158,生产方式定位!$A$2:$E$38,2,FALSE)+VLOOKUP($E1158&amp;$C1158,生产方式定位!$F$3:$J$38,2,FALSE),0)</f>
        <v>0</v>
      </c>
      <c r="S1158" s="18">
        <f>IFERROR(VLOOKUP($D1158&amp;$C1158,生产方式定位!$A$2:$E$38,3,FALSE)+VLOOKUP($E1158&amp;$C1158,生产方式定位!$F$3:$J$38,3,FALSE),0)</f>
        <v>100</v>
      </c>
      <c r="X1158" s="18">
        <f>IFERROR(VLOOKUP($D1158&amp;$C1158,生产方式定位!$A$2:$E$38,5,FALSE)+VLOOKUP($E1158&amp;$C1158,生产方式定位!$F$3:$J$38,5,FALSE),"错误")</f>
        <v>100</v>
      </c>
      <c r="Y1158" s="27" t="str">
        <f t="shared" si="306"/>
        <v/>
      </c>
      <c r="Z1158" s="50" t="str">
        <f t="shared" ref="Z1158:Z1207" si="309">IF(AH1158="","",AH1158)&amp;IF(AI1158="","",","&amp;AI1158)&amp;IF(AJ1158="","",","&amp;AJ1158)</f>
        <v/>
      </c>
      <c r="AA1158" s="50" t="str">
        <f t="shared" si="307"/>
        <v/>
      </c>
      <c r="AB1158" s="28" t="str">
        <f t="shared" ref="AB1158:AB1207" si="310">IFERROR(ROUND(((X1158/L1158)-1)*100,0)&amp;"%","")</f>
        <v/>
      </c>
      <c r="AC1158" s="1" t="str">
        <f t="shared" ref="AC1158:AC1207" si="311">IF(X1158-S1158-L1158=0,"",X1158-S1158-L1158)</f>
        <v/>
      </c>
      <c r="AD1158" s="52">
        <f t="shared" si="308"/>
        <v>5</v>
      </c>
      <c r="AE1158" t="str">
        <f t="shared" ref="AE1158:AE1207" si="312">IF(AN1158="","",F1158&amp;"*"&amp;AN1158)</f>
        <v/>
      </c>
      <c r="AF1158" t="str">
        <f t="shared" ref="AF1158:AF1207" si="313">IF(AO1158="","",H1158&amp;"*"&amp;AO1158)</f>
        <v/>
      </c>
      <c r="AG1158" t="str">
        <f t="shared" ref="AG1158:AG1207" si="314">IF(AP1158="","",J1158&amp;"*"&amp;AP1158)</f>
        <v/>
      </c>
      <c r="AH1158" t="str">
        <f t="shared" ref="AH1158:AH1207" si="315">IF(AQ1158="","",M1158&amp;"*"&amp;AQ1158)</f>
        <v/>
      </c>
      <c r="AI1158" t="str">
        <f t="shared" ref="AI1158:AI1207" si="316">IF(AR1158="","",O1158&amp;"*"&amp;AR1158)</f>
        <v/>
      </c>
      <c r="AJ1158" t="str">
        <f t="shared" ref="AJ1158:AJ1207" si="317">IF(AS1158="","",Q1158&amp;"*"&amp;AS1158)</f>
        <v/>
      </c>
      <c r="AK1158" t="str">
        <f t="shared" ref="AK1158:AK1207" si="318">IF(AT1158="","",T1158&amp;"*"&amp;AT1158)</f>
        <v/>
      </c>
      <c r="AL1158" t="str">
        <f t="shared" ref="AL1158:AL1207" si="319">IF(AU1158="","",V1158&amp;"*"&amp;AU1158)</f>
        <v/>
      </c>
      <c r="AN1158" t="str">
        <f>IFERROR(ROUND(L1158*(G1158/$AW1158)/VLOOKUP(F1158,商品!$A$4:$D$67,4,FALSE),0),"")</f>
        <v/>
      </c>
      <c r="AO1158" t="str">
        <f>IFERROR(ROUND(L1158*(I1158/$AW1158)/VLOOKUP(H1158,商品!$A$4:$D$67,4,FALSE),0),"")</f>
        <v/>
      </c>
      <c r="AP1158" t="str">
        <f>IFERROR(ROUND(L1158*(K1158/$AW1158)/VLOOKUP(J1158,商品!$A$4:$D$67,4,FALSE),0),"")</f>
        <v/>
      </c>
      <c r="AQ1158" t="str">
        <f>IFERROR(ROUND(S1158*(N1158/$AX1158)/VLOOKUP(M1158,职业!$A$3:$E$16,4,FALSE),0),"")</f>
        <v/>
      </c>
      <c r="AR1158" t="str">
        <f>IFERROR(ROUND(S1158*(P1158/$AX1158)/VLOOKUP(O1158,职业!$A$3:$E$16,4,FALSE),0),"")</f>
        <v/>
      </c>
      <c r="AS1158" t="str">
        <f>IFERROR(ROUND(S1158*(R1158/$AX1158)/VLOOKUP(Q1158,职业!$A$3:$E$16,4,FALSE),0),"")</f>
        <v/>
      </c>
      <c r="AT1158" t="str">
        <f>IFERROR(ROUND(X1158*(U1158/$AY1158)/VLOOKUP(T1158,商品!$A$4:$D$67,4,FALSE),0),"")</f>
        <v/>
      </c>
      <c r="AU1158" t="str">
        <f>IFERROR(ROUND(X1158*(W1158/$AY1158)/VLOOKUP(V1158,商品!$A$4:$D$67,4,FALSE),0),"")</f>
        <v/>
      </c>
      <c r="AW1158">
        <f t="shared" ref="AW1158:AW1207" si="320">G1158+I1158+K1158</f>
        <v>0</v>
      </c>
      <c r="AX1158">
        <f t="shared" ref="AX1158:AX1207" si="321">ABS(N1158)+ABS(P1158)+ABS(R1158)</f>
        <v>0</v>
      </c>
      <c r="AY1158">
        <f t="shared" ref="AY1158:AY1207" si="322">U1158+W1158</f>
        <v>0</v>
      </c>
    </row>
    <row r="1159" customHeight="1" spans="1:51">
      <c r="A1159" s="18" t="s">
        <v>494</v>
      </c>
      <c r="C1159" s="18">
        <v>6</v>
      </c>
      <c r="D1159" s="1" t="s">
        <v>291</v>
      </c>
      <c r="E1159" s="1" t="s">
        <v>225</v>
      </c>
      <c r="L1159" s="18">
        <f>IFERROR(VLOOKUP($D1159&amp;$C1159,生产方式定位!$A$2:$E$38,2,FALSE)+VLOOKUP($E1159&amp;$C1159,生产方式定位!$F$3:$J$38,2,FALSE),0)</f>
        <v>0</v>
      </c>
      <c r="S1159" s="18">
        <f>IFERROR(VLOOKUP($D1159&amp;$C1159,生产方式定位!$A$2:$E$38,3,FALSE)+VLOOKUP($E1159&amp;$C1159,生产方式定位!$F$3:$J$38,3,FALSE),0)</f>
        <v>100</v>
      </c>
      <c r="X1159" s="18">
        <f>IFERROR(VLOOKUP($D1159&amp;$C1159,生产方式定位!$A$2:$E$38,5,FALSE)+VLOOKUP($E1159&amp;$C1159,生产方式定位!$F$3:$J$38,5,FALSE),"错误")</f>
        <v>100</v>
      </c>
      <c r="Y1159" s="27" t="str">
        <f t="shared" si="306"/>
        <v/>
      </c>
      <c r="Z1159" s="50" t="str">
        <f t="shared" si="309"/>
        <v/>
      </c>
      <c r="AA1159" s="50" t="str">
        <f t="shared" si="307"/>
        <v/>
      </c>
      <c r="AB1159" s="28" t="str">
        <f t="shared" si="310"/>
        <v/>
      </c>
      <c r="AC1159" s="1" t="str">
        <f t="shared" si="311"/>
        <v/>
      </c>
      <c r="AD1159" s="52">
        <f t="shared" si="308"/>
        <v>6</v>
      </c>
      <c r="AE1159" t="str">
        <f t="shared" si="312"/>
        <v/>
      </c>
      <c r="AF1159" t="str">
        <f t="shared" si="313"/>
        <v/>
      </c>
      <c r="AG1159" t="str">
        <f t="shared" si="314"/>
        <v/>
      </c>
      <c r="AH1159" t="str">
        <f t="shared" si="315"/>
        <v/>
      </c>
      <c r="AI1159" t="str">
        <f t="shared" si="316"/>
        <v/>
      </c>
      <c r="AJ1159" t="str">
        <f t="shared" si="317"/>
        <v/>
      </c>
      <c r="AK1159" t="str">
        <f t="shared" si="318"/>
        <v/>
      </c>
      <c r="AL1159" t="str">
        <f t="shared" si="319"/>
        <v/>
      </c>
      <c r="AN1159" t="str">
        <f>IFERROR(ROUND(L1159*(G1159/$AW1159)/VLOOKUP(F1159,商品!$A$4:$D$67,4,FALSE),0),"")</f>
        <v/>
      </c>
      <c r="AO1159" t="str">
        <f>IFERROR(ROUND(L1159*(I1159/$AW1159)/VLOOKUP(H1159,商品!$A$4:$D$67,4,FALSE),0),"")</f>
        <v/>
      </c>
      <c r="AP1159" t="str">
        <f>IFERROR(ROUND(L1159*(K1159/$AW1159)/VLOOKUP(J1159,商品!$A$4:$D$67,4,FALSE),0),"")</f>
        <v/>
      </c>
      <c r="AQ1159" t="str">
        <f>IFERROR(ROUND(S1159*(N1159/$AX1159)/VLOOKUP(M1159,职业!$A$3:$E$16,4,FALSE),0),"")</f>
        <v/>
      </c>
      <c r="AR1159" t="str">
        <f>IFERROR(ROUND(S1159*(P1159/$AX1159)/VLOOKUP(O1159,职业!$A$3:$E$16,4,FALSE),0),"")</f>
        <v/>
      </c>
      <c r="AS1159" t="str">
        <f>IFERROR(ROUND(S1159*(R1159/$AX1159)/VLOOKUP(Q1159,职业!$A$3:$E$16,4,FALSE),0),"")</f>
        <v/>
      </c>
      <c r="AT1159" t="str">
        <f>IFERROR(ROUND(X1159*(U1159/$AY1159)/VLOOKUP(T1159,商品!$A$4:$D$67,4,FALSE),0),"")</f>
        <v/>
      </c>
      <c r="AU1159" t="str">
        <f>IFERROR(ROUND(X1159*(W1159/$AY1159)/VLOOKUP(V1159,商品!$A$4:$D$67,4,FALSE),0),"")</f>
        <v/>
      </c>
      <c r="AW1159">
        <f t="shared" si="320"/>
        <v>0</v>
      </c>
      <c r="AX1159">
        <f t="shared" si="321"/>
        <v>0</v>
      </c>
      <c r="AY1159">
        <f t="shared" si="322"/>
        <v>0</v>
      </c>
    </row>
    <row r="1160" customHeight="1" spans="1:51">
      <c r="A1160" s="18" t="s">
        <v>494</v>
      </c>
      <c r="C1160" s="18">
        <v>7</v>
      </c>
      <c r="D1160" s="1" t="s">
        <v>291</v>
      </c>
      <c r="E1160" s="1" t="s">
        <v>225</v>
      </c>
      <c r="L1160" s="18">
        <f>IFERROR(VLOOKUP($D1160&amp;$C1160,生产方式定位!$A$2:$E$38,2,FALSE)+VLOOKUP($E1160&amp;$C1160,生产方式定位!$F$3:$J$38,2,FALSE),0)</f>
        <v>0</v>
      </c>
      <c r="S1160" s="18">
        <f>IFERROR(VLOOKUP($D1160&amp;$C1160,生产方式定位!$A$2:$E$38,3,FALSE)+VLOOKUP($E1160&amp;$C1160,生产方式定位!$F$3:$J$38,3,FALSE),0)</f>
        <v>100</v>
      </c>
      <c r="X1160" s="18">
        <f>IFERROR(VLOOKUP($D1160&amp;$C1160,生产方式定位!$A$2:$E$38,5,FALSE)+VLOOKUP($E1160&amp;$C1160,生产方式定位!$F$3:$J$38,5,FALSE),"错误")</f>
        <v>100</v>
      </c>
      <c r="Y1160" s="27" t="str">
        <f t="shared" si="306"/>
        <v/>
      </c>
      <c r="Z1160" s="50" t="str">
        <f t="shared" si="309"/>
        <v/>
      </c>
      <c r="AA1160" s="50" t="str">
        <f t="shared" si="307"/>
        <v/>
      </c>
      <c r="AB1160" s="28" t="str">
        <f t="shared" si="310"/>
        <v/>
      </c>
      <c r="AC1160" s="1" t="str">
        <f t="shared" si="311"/>
        <v/>
      </c>
      <c r="AD1160" s="52">
        <f t="shared" si="308"/>
        <v>7</v>
      </c>
      <c r="AE1160" t="str">
        <f t="shared" si="312"/>
        <v/>
      </c>
      <c r="AF1160" t="str">
        <f t="shared" si="313"/>
        <v/>
      </c>
      <c r="AG1160" t="str">
        <f t="shared" si="314"/>
        <v/>
      </c>
      <c r="AH1160" t="str">
        <f t="shared" si="315"/>
        <v/>
      </c>
      <c r="AI1160" t="str">
        <f t="shared" si="316"/>
        <v/>
      </c>
      <c r="AJ1160" t="str">
        <f t="shared" si="317"/>
        <v/>
      </c>
      <c r="AK1160" t="str">
        <f t="shared" si="318"/>
        <v/>
      </c>
      <c r="AL1160" t="str">
        <f t="shared" si="319"/>
        <v/>
      </c>
      <c r="AN1160" t="str">
        <f>IFERROR(ROUND(L1160*(G1160/$AW1160)/VLOOKUP(F1160,商品!$A$4:$D$67,4,FALSE),0),"")</f>
        <v/>
      </c>
      <c r="AO1160" t="str">
        <f>IFERROR(ROUND(L1160*(I1160/$AW1160)/VLOOKUP(H1160,商品!$A$4:$D$67,4,FALSE),0),"")</f>
        <v/>
      </c>
      <c r="AP1160" t="str">
        <f>IFERROR(ROUND(L1160*(K1160/$AW1160)/VLOOKUP(J1160,商品!$A$4:$D$67,4,FALSE),0),"")</f>
        <v/>
      </c>
      <c r="AQ1160" t="str">
        <f>IFERROR(ROUND(S1160*(N1160/$AX1160)/VLOOKUP(M1160,职业!$A$3:$E$16,4,FALSE),0),"")</f>
        <v/>
      </c>
      <c r="AR1160" t="str">
        <f>IFERROR(ROUND(S1160*(P1160/$AX1160)/VLOOKUP(O1160,职业!$A$3:$E$16,4,FALSE),0),"")</f>
        <v/>
      </c>
      <c r="AS1160" t="str">
        <f>IFERROR(ROUND(S1160*(R1160/$AX1160)/VLOOKUP(Q1160,职业!$A$3:$E$16,4,FALSE),0),"")</f>
        <v/>
      </c>
      <c r="AT1160" t="str">
        <f>IFERROR(ROUND(X1160*(U1160/$AY1160)/VLOOKUP(T1160,商品!$A$4:$D$67,4,FALSE),0),"")</f>
        <v/>
      </c>
      <c r="AU1160" t="str">
        <f>IFERROR(ROUND(X1160*(W1160/$AY1160)/VLOOKUP(V1160,商品!$A$4:$D$67,4,FALSE),0),"")</f>
        <v/>
      </c>
      <c r="AW1160">
        <f t="shared" si="320"/>
        <v>0</v>
      </c>
      <c r="AX1160">
        <f t="shared" si="321"/>
        <v>0</v>
      </c>
      <c r="AY1160">
        <f t="shared" si="322"/>
        <v>0</v>
      </c>
    </row>
    <row r="1161" customHeight="1" spans="1:51">
      <c r="A1161" s="18" t="s">
        <v>494</v>
      </c>
      <c r="C1161" s="18">
        <v>8</v>
      </c>
      <c r="D1161" s="1" t="s">
        <v>291</v>
      </c>
      <c r="E1161" s="1" t="s">
        <v>225</v>
      </c>
      <c r="L1161" s="18">
        <f>IFERROR(VLOOKUP($D1161&amp;$C1161,生产方式定位!$A$2:$E$38,2,FALSE)+VLOOKUP($E1161&amp;$C1161,生产方式定位!$F$3:$J$38,2,FALSE),0)</f>
        <v>0</v>
      </c>
      <c r="S1161" s="18">
        <f>IFERROR(VLOOKUP($D1161&amp;$C1161,生产方式定位!$A$2:$E$38,3,FALSE)+VLOOKUP($E1161&amp;$C1161,生产方式定位!$F$3:$J$38,3,FALSE),0)</f>
        <v>100</v>
      </c>
      <c r="X1161" s="18">
        <f>IFERROR(VLOOKUP($D1161&amp;$C1161,生产方式定位!$A$2:$E$38,5,FALSE)+VLOOKUP($E1161&amp;$C1161,生产方式定位!$F$3:$J$38,5,FALSE),"错误")</f>
        <v>100</v>
      </c>
      <c r="Y1161" s="27" t="str">
        <f t="shared" si="306"/>
        <v/>
      </c>
      <c r="Z1161" s="50" t="str">
        <f t="shared" si="309"/>
        <v/>
      </c>
      <c r="AA1161" s="50" t="str">
        <f t="shared" si="307"/>
        <v/>
      </c>
      <c r="AB1161" s="28" t="str">
        <f t="shared" si="310"/>
        <v/>
      </c>
      <c r="AC1161" s="1" t="str">
        <f t="shared" si="311"/>
        <v/>
      </c>
      <c r="AD1161" s="52">
        <f t="shared" si="308"/>
        <v>8</v>
      </c>
      <c r="AE1161" t="str">
        <f t="shared" si="312"/>
        <v/>
      </c>
      <c r="AF1161" t="str">
        <f t="shared" si="313"/>
        <v/>
      </c>
      <c r="AG1161" t="str">
        <f t="shared" si="314"/>
        <v/>
      </c>
      <c r="AH1161" t="str">
        <f t="shared" si="315"/>
        <v/>
      </c>
      <c r="AI1161" t="str">
        <f t="shared" si="316"/>
        <v/>
      </c>
      <c r="AJ1161" t="str">
        <f t="shared" si="317"/>
        <v/>
      </c>
      <c r="AK1161" t="str">
        <f t="shared" si="318"/>
        <v/>
      </c>
      <c r="AL1161" t="str">
        <f t="shared" si="319"/>
        <v/>
      </c>
      <c r="AN1161" t="str">
        <f>IFERROR(ROUND(L1161*(G1161/$AW1161)/VLOOKUP(F1161,商品!$A$4:$D$67,4,FALSE),0),"")</f>
        <v/>
      </c>
      <c r="AO1161" t="str">
        <f>IFERROR(ROUND(L1161*(I1161/$AW1161)/VLOOKUP(H1161,商品!$A$4:$D$67,4,FALSE),0),"")</f>
        <v/>
      </c>
      <c r="AP1161" t="str">
        <f>IFERROR(ROUND(L1161*(K1161/$AW1161)/VLOOKUP(J1161,商品!$A$4:$D$67,4,FALSE),0),"")</f>
        <v/>
      </c>
      <c r="AQ1161" t="str">
        <f>IFERROR(ROUND(S1161*(N1161/$AX1161)/VLOOKUP(M1161,职业!$A$3:$E$16,4,FALSE),0),"")</f>
        <v/>
      </c>
      <c r="AR1161" t="str">
        <f>IFERROR(ROUND(S1161*(P1161/$AX1161)/VLOOKUP(O1161,职业!$A$3:$E$16,4,FALSE),0),"")</f>
        <v/>
      </c>
      <c r="AS1161" t="str">
        <f>IFERROR(ROUND(S1161*(R1161/$AX1161)/VLOOKUP(Q1161,职业!$A$3:$E$16,4,FALSE),0),"")</f>
        <v/>
      </c>
      <c r="AT1161" t="str">
        <f>IFERROR(ROUND(X1161*(U1161/$AY1161)/VLOOKUP(T1161,商品!$A$4:$D$67,4,FALSE),0),"")</f>
        <v/>
      </c>
      <c r="AU1161" t="str">
        <f>IFERROR(ROUND(X1161*(W1161/$AY1161)/VLOOKUP(V1161,商品!$A$4:$D$67,4,FALSE),0),"")</f>
        <v/>
      </c>
      <c r="AW1161">
        <f t="shared" si="320"/>
        <v>0</v>
      </c>
      <c r="AX1161">
        <f t="shared" si="321"/>
        <v>0</v>
      </c>
      <c r="AY1161">
        <f t="shared" si="322"/>
        <v>0</v>
      </c>
    </row>
    <row r="1162" customHeight="1" spans="1:51">
      <c r="A1162" s="5" t="s">
        <v>496</v>
      </c>
      <c r="C1162" s="5">
        <v>1</v>
      </c>
      <c r="D1162" s="1" t="s">
        <v>220</v>
      </c>
      <c r="E1162" s="1" t="s">
        <v>222</v>
      </c>
      <c r="L1162" s="5">
        <f>IFERROR(VLOOKUP($D1162&amp;$C1162,生产方式定位!$A$2:$E$38,2,FALSE)+VLOOKUP($E1162&amp;$C1162,生产方式定位!$F$3:$J$38,2,FALSE),0)</f>
        <v>500</v>
      </c>
      <c r="S1162" s="5">
        <f>IFERROR(VLOOKUP($D1162&amp;$C1162,生产方式定位!$A$2:$E$38,3,FALSE)+VLOOKUP($E1162&amp;$C1162,生产方式定位!$F$3:$J$38,3,FALSE),0)</f>
        <v>150</v>
      </c>
      <c r="X1162" s="5">
        <f>IFERROR(VLOOKUP($D1162&amp;$C1162,生产方式定位!$A$2:$E$38,5,FALSE)+VLOOKUP($E1162&amp;$C1162,生产方式定位!$F$3:$J$38,5,FALSE),"错误")</f>
        <v>715</v>
      </c>
      <c r="Y1162" s="27" t="str">
        <f t="shared" si="306"/>
        <v/>
      </c>
      <c r="Z1162" s="50" t="str">
        <f t="shared" si="309"/>
        <v/>
      </c>
      <c r="AA1162" s="50" t="str">
        <f t="shared" si="307"/>
        <v/>
      </c>
      <c r="AB1162" s="28" t="str">
        <f t="shared" si="310"/>
        <v>43%</v>
      </c>
      <c r="AC1162" s="1">
        <f t="shared" si="311"/>
        <v>65</v>
      </c>
      <c r="AD1162" s="51">
        <f t="shared" si="308"/>
        <v>1</v>
      </c>
      <c r="AE1162" t="str">
        <f t="shared" si="312"/>
        <v/>
      </c>
      <c r="AF1162" t="str">
        <f t="shared" si="313"/>
        <v/>
      </c>
      <c r="AG1162" t="str">
        <f t="shared" si="314"/>
        <v/>
      </c>
      <c r="AH1162" t="str">
        <f t="shared" si="315"/>
        <v/>
      </c>
      <c r="AI1162" t="str">
        <f t="shared" si="316"/>
        <v/>
      </c>
      <c r="AJ1162" t="str">
        <f t="shared" si="317"/>
        <v/>
      </c>
      <c r="AK1162" t="str">
        <f t="shared" si="318"/>
        <v/>
      </c>
      <c r="AL1162" t="str">
        <f t="shared" si="319"/>
        <v/>
      </c>
      <c r="AN1162" t="str">
        <f>IFERROR(ROUND(L1162*(G1162/$AW1162)/VLOOKUP(F1162,商品!$A$4:$D$67,4,FALSE),0),"")</f>
        <v/>
      </c>
      <c r="AO1162" t="str">
        <f>IFERROR(ROUND(L1162*(I1162/$AW1162)/VLOOKUP(H1162,商品!$A$4:$D$67,4,FALSE),0),"")</f>
        <v/>
      </c>
      <c r="AP1162" t="str">
        <f>IFERROR(ROUND(L1162*(K1162/$AW1162)/VLOOKUP(J1162,商品!$A$4:$D$67,4,FALSE),0),"")</f>
        <v/>
      </c>
      <c r="AQ1162" t="str">
        <f>IFERROR(ROUND(S1162*(N1162/$AX1162)/VLOOKUP(M1162,职业!$A$3:$E$16,4,FALSE),0),"")</f>
        <v/>
      </c>
      <c r="AR1162" t="str">
        <f>IFERROR(ROUND(S1162*(P1162/$AX1162)/VLOOKUP(O1162,职业!$A$3:$E$16,4,FALSE),0),"")</f>
        <v/>
      </c>
      <c r="AS1162" t="str">
        <f>IFERROR(ROUND(S1162*(R1162/$AX1162)/VLOOKUP(Q1162,职业!$A$3:$E$16,4,FALSE),0),"")</f>
        <v/>
      </c>
      <c r="AT1162" t="str">
        <f>IFERROR(ROUND(X1162*(U1162/$AY1162)/VLOOKUP(T1162,商品!$A$4:$D$67,4,FALSE),0),"")</f>
        <v/>
      </c>
      <c r="AU1162" t="str">
        <f>IFERROR(ROUND(X1162*(W1162/$AY1162)/VLOOKUP(V1162,商品!$A$4:$D$67,4,FALSE),0),"")</f>
        <v/>
      </c>
      <c r="AW1162">
        <f t="shared" si="320"/>
        <v>0</v>
      </c>
      <c r="AX1162">
        <f t="shared" si="321"/>
        <v>0</v>
      </c>
      <c r="AY1162">
        <f t="shared" si="322"/>
        <v>0</v>
      </c>
    </row>
    <row r="1163" customHeight="1" spans="1:51">
      <c r="A1163" s="5" t="s">
        <v>496</v>
      </c>
      <c r="C1163" s="5">
        <v>2</v>
      </c>
      <c r="D1163" s="1" t="s">
        <v>220</v>
      </c>
      <c r="E1163" s="1" t="s">
        <v>222</v>
      </c>
      <c r="L1163" s="5">
        <f>IFERROR(VLOOKUP($D1163&amp;$C1163,生产方式定位!$A$2:$E$38,2,FALSE)+VLOOKUP($E1163&amp;$C1163,生产方式定位!$F$3:$J$38,2,FALSE),0)</f>
        <v>1200</v>
      </c>
      <c r="S1163" s="5">
        <f>IFERROR(VLOOKUP($D1163&amp;$C1163,生产方式定位!$A$2:$E$38,3,FALSE)+VLOOKUP($E1163&amp;$C1163,生产方式定位!$F$3:$J$38,3,FALSE),0)</f>
        <v>140</v>
      </c>
      <c r="X1163" s="5">
        <f>IFERROR(VLOOKUP($D1163&amp;$C1163,生产方式定位!$A$2:$E$38,5,FALSE)+VLOOKUP($E1163&amp;$C1163,生产方式定位!$F$3:$J$38,5,FALSE),"错误")</f>
        <v>1390</v>
      </c>
      <c r="Y1163" s="27" t="str">
        <f t="shared" si="306"/>
        <v/>
      </c>
      <c r="Z1163" s="50" t="str">
        <f t="shared" si="309"/>
        <v/>
      </c>
      <c r="AA1163" s="50" t="str">
        <f t="shared" si="307"/>
        <v/>
      </c>
      <c r="AB1163" s="28" t="str">
        <f t="shared" si="310"/>
        <v>16%</v>
      </c>
      <c r="AC1163" s="1">
        <f t="shared" si="311"/>
        <v>50</v>
      </c>
      <c r="AD1163" s="51">
        <f t="shared" si="308"/>
        <v>2</v>
      </c>
      <c r="AE1163" t="str">
        <f t="shared" si="312"/>
        <v/>
      </c>
      <c r="AF1163" t="str">
        <f t="shared" si="313"/>
        <v/>
      </c>
      <c r="AG1163" t="str">
        <f t="shared" si="314"/>
        <v/>
      </c>
      <c r="AH1163" t="str">
        <f t="shared" si="315"/>
        <v/>
      </c>
      <c r="AI1163" t="str">
        <f t="shared" si="316"/>
        <v/>
      </c>
      <c r="AJ1163" t="str">
        <f t="shared" si="317"/>
        <v/>
      </c>
      <c r="AK1163" t="str">
        <f t="shared" si="318"/>
        <v/>
      </c>
      <c r="AL1163" t="str">
        <f t="shared" si="319"/>
        <v/>
      </c>
      <c r="AN1163" t="str">
        <f>IFERROR(ROUND(L1163*(G1163/$AW1163)/VLOOKUP(F1163,商品!$A$4:$D$67,4,FALSE),0),"")</f>
        <v/>
      </c>
      <c r="AO1163" t="str">
        <f>IFERROR(ROUND(L1163*(I1163/$AW1163)/VLOOKUP(H1163,商品!$A$4:$D$67,4,FALSE),0),"")</f>
        <v/>
      </c>
      <c r="AP1163" t="str">
        <f>IFERROR(ROUND(L1163*(K1163/$AW1163)/VLOOKUP(J1163,商品!$A$4:$D$67,4,FALSE),0),"")</f>
        <v/>
      </c>
      <c r="AQ1163" t="str">
        <f>IFERROR(ROUND(S1163*(N1163/$AX1163)/VLOOKUP(M1163,职业!$A$3:$E$16,4,FALSE),0),"")</f>
        <v/>
      </c>
      <c r="AR1163" t="str">
        <f>IFERROR(ROUND(S1163*(P1163/$AX1163)/VLOOKUP(O1163,职业!$A$3:$E$16,4,FALSE),0),"")</f>
        <v/>
      </c>
      <c r="AS1163" t="str">
        <f>IFERROR(ROUND(S1163*(R1163/$AX1163)/VLOOKUP(Q1163,职业!$A$3:$E$16,4,FALSE),0),"")</f>
        <v/>
      </c>
      <c r="AT1163" t="str">
        <f>IFERROR(ROUND(X1163*(U1163/$AY1163)/VLOOKUP(T1163,商品!$A$4:$D$67,4,FALSE),0),"")</f>
        <v/>
      </c>
      <c r="AU1163" t="str">
        <f>IFERROR(ROUND(X1163*(W1163/$AY1163)/VLOOKUP(V1163,商品!$A$4:$D$67,4,FALSE),0),"")</f>
        <v/>
      </c>
      <c r="AW1163">
        <f t="shared" si="320"/>
        <v>0</v>
      </c>
      <c r="AX1163">
        <f t="shared" si="321"/>
        <v>0</v>
      </c>
      <c r="AY1163">
        <f t="shared" si="322"/>
        <v>0</v>
      </c>
    </row>
    <row r="1164" customHeight="1" spans="1:51">
      <c r="A1164" s="5" t="s">
        <v>496</v>
      </c>
      <c r="C1164" s="5">
        <v>3</v>
      </c>
      <c r="D1164" s="1" t="s">
        <v>220</v>
      </c>
      <c r="E1164" s="1" t="s">
        <v>222</v>
      </c>
      <c r="L1164" s="5">
        <f>IFERROR(VLOOKUP($D1164&amp;$C1164,生产方式定位!$A$2:$E$38,2,FALSE)+VLOOKUP($E1164&amp;$C1164,生产方式定位!$F$3:$J$38,2,FALSE),0)</f>
        <v>1525</v>
      </c>
      <c r="S1164" s="5">
        <f>IFERROR(VLOOKUP($D1164&amp;$C1164,生产方式定位!$A$2:$E$38,3,FALSE)+VLOOKUP($E1164&amp;$C1164,生产方式定位!$F$3:$J$38,3,FALSE),0)</f>
        <v>130</v>
      </c>
      <c r="X1164" s="5">
        <f>IFERROR(VLOOKUP($D1164&amp;$C1164,生产方式定位!$A$2:$E$38,5,FALSE)+VLOOKUP($E1164&amp;$C1164,生产方式定位!$F$3:$J$38,5,FALSE),"错误")</f>
        <v>1718</v>
      </c>
      <c r="Y1164" s="27" t="str">
        <f t="shared" si="306"/>
        <v/>
      </c>
      <c r="Z1164" s="50" t="str">
        <f t="shared" si="309"/>
        <v/>
      </c>
      <c r="AA1164" s="50" t="str">
        <f t="shared" si="307"/>
        <v/>
      </c>
      <c r="AB1164" s="28" t="str">
        <f t="shared" si="310"/>
        <v>13%</v>
      </c>
      <c r="AC1164" s="1">
        <f t="shared" si="311"/>
        <v>63</v>
      </c>
      <c r="AD1164" s="51">
        <f t="shared" si="308"/>
        <v>3</v>
      </c>
      <c r="AE1164" t="str">
        <f t="shared" si="312"/>
        <v/>
      </c>
      <c r="AF1164" t="str">
        <f t="shared" si="313"/>
        <v/>
      </c>
      <c r="AG1164" t="str">
        <f t="shared" si="314"/>
        <v/>
      </c>
      <c r="AH1164" t="str">
        <f t="shared" si="315"/>
        <v/>
      </c>
      <c r="AI1164" t="str">
        <f t="shared" si="316"/>
        <v/>
      </c>
      <c r="AJ1164" t="str">
        <f t="shared" si="317"/>
        <v/>
      </c>
      <c r="AK1164" t="str">
        <f t="shared" si="318"/>
        <v/>
      </c>
      <c r="AL1164" t="str">
        <f t="shared" si="319"/>
        <v/>
      </c>
      <c r="AN1164" t="str">
        <f>IFERROR(ROUND(L1164*(G1164/$AW1164)/VLOOKUP(F1164,商品!$A$4:$D$67,4,FALSE),0),"")</f>
        <v/>
      </c>
      <c r="AO1164" t="str">
        <f>IFERROR(ROUND(L1164*(I1164/$AW1164)/VLOOKUP(H1164,商品!$A$4:$D$67,4,FALSE),0),"")</f>
        <v/>
      </c>
      <c r="AP1164" t="str">
        <f>IFERROR(ROUND(L1164*(K1164/$AW1164)/VLOOKUP(J1164,商品!$A$4:$D$67,4,FALSE),0),"")</f>
        <v/>
      </c>
      <c r="AQ1164" t="str">
        <f>IFERROR(ROUND(S1164*(N1164/$AX1164)/VLOOKUP(M1164,职业!$A$3:$E$16,4,FALSE),0),"")</f>
        <v/>
      </c>
      <c r="AR1164" t="str">
        <f>IFERROR(ROUND(S1164*(P1164/$AX1164)/VLOOKUP(O1164,职业!$A$3:$E$16,4,FALSE),0),"")</f>
        <v/>
      </c>
      <c r="AS1164" t="str">
        <f>IFERROR(ROUND(S1164*(R1164/$AX1164)/VLOOKUP(Q1164,职业!$A$3:$E$16,4,FALSE),0),"")</f>
        <v/>
      </c>
      <c r="AT1164" t="str">
        <f>IFERROR(ROUND(X1164*(U1164/$AY1164)/VLOOKUP(T1164,商品!$A$4:$D$67,4,FALSE),0),"")</f>
        <v/>
      </c>
      <c r="AU1164" t="str">
        <f>IFERROR(ROUND(X1164*(W1164/$AY1164)/VLOOKUP(V1164,商品!$A$4:$D$67,4,FALSE),0),"")</f>
        <v/>
      </c>
      <c r="AW1164">
        <f t="shared" si="320"/>
        <v>0</v>
      </c>
      <c r="AX1164">
        <f t="shared" si="321"/>
        <v>0</v>
      </c>
      <c r="AY1164">
        <f t="shared" si="322"/>
        <v>0</v>
      </c>
    </row>
    <row r="1165" customHeight="1" spans="1:51">
      <c r="A1165" s="5" t="s">
        <v>496</v>
      </c>
      <c r="C1165" s="5">
        <v>4</v>
      </c>
      <c r="D1165" s="1" t="s">
        <v>220</v>
      </c>
      <c r="E1165" s="1" t="s">
        <v>222</v>
      </c>
      <c r="L1165" s="5">
        <f>IFERROR(VLOOKUP($D1165&amp;$C1165,生产方式定位!$A$2:$E$38,2,FALSE)+VLOOKUP($E1165&amp;$C1165,生产方式定位!$F$3:$J$38,2,FALSE),0)</f>
        <v>1850</v>
      </c>
      <c r="S1165" s="5">
        <f>IFERROR(VLOOKUP($D1165&amp;$C1165,生产方式定位!$A$2:$E$38,3,FALSE)+VLOOKUP($E1165&amp;$C1165,生产方式定位!$F$3:$J$38,3,FALSE),0)</f>
        <v>120</v>
      </c>
      <c r="X1165" s="5">
        <f>IFERROR(VLOOKUP($D1165&amp;$C1165,生产方式定位!$A$2:$E$38,5,FALSE)+VLOOKUP($E1165&amp;$C1165,生产方式定位!$F$3:$J$38,5,FALSE),"错误")</f>
        <v>2045</v>
      </c>
      <c r="Y1165" s="27" t="str">
        <f t="shared" si="306"/>
        <v/>
      </c>
      <c r="Z1165" s="50" t="str">
        <f t="shared" si="309"/>
        <v/>
      </c>
      <c r="AA1165" s="50" t="str">
        <f t="shared" si="307"/>
        <v/>
      </c>
      <c r="AB1165" s="28" t="str">
        <f t="shared" si="310"/>
        <v>11%</v>
      </c>
      <c r="AC1165" s="1">
        <f t="shared" si="311"/>
        <v>75</v>
      </c>
      <c r="AD1165" s="51">
        <f t="shared" si="308"/>
        <v>4</v>
      </c>
      <c r="AE1165" t="str">
        <f t="shared" si="312"/>
        <v/>
      </c>
      <c r="AF1165" t="str">
        <f t="shared" si="313"/>
        <v/>
      </c>
      <c r="AG1165" t="str">
        <f t="shared" si="314"/>
        <v/>
      </c>
      <c r="AH1165" t="str">
        <f t="shared" si="315"/>
        <v/>
      </c>
      <c r="AI1165" t="str">
        <f t="shared" si="316"/>
        <v/>
      </c>
      <c r="AJ1165" t="str">
        <f t="shared" si="317"/>
        <v/>
      </c>
      <c r="AK1165" t="str">
        <f t="shared" si="318"/>
        <v/>
      </c>
      <c r="AL1165" t="str">
        <f t="shared" si="319"/>
        <v/>
      </c>
      <c r="AN1165" t="str">
        <f>IFERROR(ROUND(L1165*(G1165/$AW1165)/VLOOKUP(F1165,商品!$A$4:$D$67,4,FALSE),0),"")</f>
        <v/>
      </c>
      <c r="AO1165" t="str">
        <f>IFERROR(ROUND(L1165*(I1165/$AW1165)/VLOOKUP(H1165,商品!$A$4:$D$67,4,FALSE),0),"")</f>
        <v/>
      </c>
      <c r="AP1165" t="str">
        <f>IFERROR(ROUND(L1165*(K1165/$AW1165)/VLOOKUP(J1165,商品!$A$4:$D$67,4,FALSE),0),"")</f>
        <v/>
      </c>
      <c r="AQ1165" t="str">
        <f>IFERROR(ROUND(S1165*(N1165/$AX1165)/VLOOKUP(M1165,职业!$A$3:$E$16,4,FALSE),0),"")</f>
        <v/>
      </c>
      <c r="AR1165" t="str">
        <f>IFERROR(ROUND(S1165*(P1165/$AX1165)/VLOOKUP(O1165,职业!$A$3:$E$16,4,FALSE),0),"")</f>
        <v/>
      </c>
      <c r="AS1165" t="str">
        <f>IFERROR(ROUND(S1165*(R1165/$AX1165)/VLOOKUP(Q1165,职业!$A$3:$E$16,4,FALSE),0),"")</f>
        <v/>
      </c>
      <c r="AT1165" t="str">
        <f>IFERROR(ROUND(X1165*(U1165/$AY1165)/VLOOKUP(T1165,商品!$A$4:$D$67,4,FALSE),0),"")</f>
        <v/>
      </c>
      <c r="AU1165" t="str">
        <f>IFERROR(ROUND(X1165*(W1165/$AY1165)/VLOOKUP(V1165,商品!$A$4:$D$67,4,FALSE),0),"")</f>
        <v/>
      </c>
      <c r="AW1165">
        <f t="shared" si="320"/>
        <v>0</v>
      </c>
      <c r="AX1165">
        <f t="shared" si="321"/>
        <v>0</v>
      </c>
      <c r="AY1165">
        <f t="shared" si="322"/>
        <v>0</v>
      </c>
    </row>
    <row r="1166" customHeight="1" spans="1:51">
      <c r="A1166" s="5" t="s">
        <v>496</v>
      </c>
      <c r="C1166" s="5">
        <v>5</v>
      </c>
      <c r="D1166" s="1" t="s">
        <v>220</v>
      </c>
      <c r="E1166" s="1" t="s">
        <v>222</v>
      </c>
      <c r="L1166" s="5">
        <f>IFERROR(VLOOKUP($D1166&amp;$C1166,生产方式定位!$A$2:$E$38,2,FALSE)+VLOOKUP($E1166&amp;$C1166,生产方式定位!$F$3:$J$38,2,FALSE),0)</f>
        <v>2175</v>
      </c>
      <c r="S1166" s="5">
        <f>IFERROR(VLOOKUP($D1166&amp;$C1166,生产方式定位!$A$2:$E$38,3,FALSE)+VLOOKUP($E1166&amp;$C1166,生产方式定位!$F$3:$J$38,3,FALSE),0)</f>
        <v>110</v>
      </c>
      <c r="X1166" s="5">
        <f>IFERROR(VLOOKUP($D1166&amp;$C1166,生产方式定位!$A$2:$E$38,5,FALSE)+VLOOKUP($E1166&amp;$C1166,生产方式定位!$F$3:$J$38,5,FALSE),"错误")</f>
        <v>2373</v>
      </c>
      <c r="Y1166" s="27" t="str">
        <f t="shared" si="306"/>
        <v/>
      </c>
      <c r="Z1166" s="50" t="str">
        <f t="shared" si="309"/>
        <v/>
      </c>
      <c r="AA1166" s="50" t="str">
        <f t="shared" si="307"/>
        <v/>
      </c>
      <c r="AB1166" s="28" t="str">
        <f t="shared" si="310"/>
        <v>9%</v>
      </c>
      <c r="AC1166" s="1">
        <f t="shared" si="311"/>
        <v>88</v>
      </c>
      <c r="AD1166" s="51">
        <f t="shared" si="308"/>
        <v>5</v>
      </c>
      <c r="AE1166" t="str">
        <f t="shared" si="312"/>
        <v/>
      </c>
      <c r="AF1166" t="str">
        <f t="shared" si="313"/>
        <v/>
      </c>
      <c r="AG1166" t="str">
        <f t="shared" si="314"/>
        <v/>
      </c>
      <c r="AH1166" t="str">
        <f t="shared" si="315"/>
        <v/>
      </c>
      <c r="AI1166" t="str">
        <f t="shared" si="316"/>
        <v/>
      </c>
      <c r="AJ1166" t="str">
        <f t="shared" si="317"/>
        <v/>
      </c>
      <c r="AK1166" t="str">
        <f t="shared" si="318"/>
        <v/>
      </c>
      <c r="AL1166" t="str">
        <f t="shared" si="319"/>
        <v/>
      </c>
      <c r="AN1166" t="str">
        <f>IFERROR(ROUND(L1166*(G1166/$AW1166)/VLOOKUP(F1166,商品!$A$4:$D$67,4,FALSE),0),"")</f>
        <v/>
      </c>
      <c r="AO1166" t="str">
        <f>IFERROR(ROUND(L1166*(I1166/$AW1166)/VLOOKUP(H1166,商品!$A$4:$D$67,4,FALSE),0),"")</f>
        <v/>
      </c>
      <c r="AP1166" t="str">
        <f>IFERROR(ROUND(L1166*(K1166/$AW1166)/VLOOKUP(J1166,商品!$A$4:$D$67,4,FALSE),0),"")</f>
        <v/>
      </c>
      <c r="AQ1166" t="str">
        <f>IFERROR(ROUND(S1166*(N1166/$AX1166)/VLOOKUP(M1166,职业!$A$3:$E$16,4,FALSE),0),"")</f>
        <v/>
      </c>
      <c r="AR1166" t="str">
        <f>IFERROR(ROUND(S1166*(P1166/$AX1166)/VLOOKUP(O1166,职业!$A$3:$E$16,4,FALSE),0),"")</f>
        <v/>
      </c>
      <c r="AS1166" t="str">
        <f>IFERROR(ROUND(S1166*(R1166/$AX1166)/VLOOKUP(Q1166,职业!$A$3:$E$16,4,FALSE),0),"")</f>
        <v/>
      </c>
      <c r="AT1166" t="str">
        <f>IFERROR(ROUND(X1166*(U1166/$AY1166)/VLOOKUP(T1166,商品!$A$4:$D$67,4,FALSE),0),"")</f>
        <v/>
      </c>
      <c r="AU1166" t="str">
        <f>IFERROR(ROUND(X1166*(W1166/$AY1166)/VLOOKUP(V1166,商品!$A$4:$D$67,4,FALSE),0),"")</f>
        <v/>
      </c>
      <c r="AW1166">
        <f t="shared" si="320"/>
        <v>0</v>
      </c>
      <c r="AX1166">
        <f t="shared" si="321"/>
        <v>0</v>
      </c>
      <c r="AY1166">
        <f t="shared" si="322"/>
        <v>0</v>
      </c>
    </row>
    <row r="1167" customHeight="1" spans="1:51">
      <c r="A1167" s="18" t="s">
        <v>497</v>
      </c>
      <c r="C1167" s="18">
        <v>1</v>
      </c>
      <c r="D1167" s="1" t="s">
        <v>220</v>
      </c>
      <c r="E1167" s="1" t="s">
        <v>224</v>
      </c>
      <c r="L1167" s="18">
        <f>IFERROR(VLOOKUP($D1167&amp;$C1167,生产方式定位!$A$2:$E$38,2,FALSE)+VLOOKUP($E1167&amp;$C1167,生产方式定位!$F$3:$J$38,2,FALSE),0)</f>
        <v>500</v>
      </c>
      <c r="S1167" s="18">
        <f>IFERROR(VLOOKUP($D1167&amp;$C1167,生产方式定位!$A$2:$E$38,3,FALSE)+VLOOKUP($E1167&amp;$C1167,生产方式定位!$F$3:$J$38,3,FALSE),0)</f>
        <v>150</v>
      </c>
      <c r="X1167" s="18">
        <f>IFERROR(VLOOKUP($D1167&amp;$C1167,生产方式定位!$A$2:$E$38,5,FALSE)+VLOOKUP($E1167&amp;$C1167,生产方式定位!$F$3:$J$38,5,FALSE),"错误")</f>
        <v>715</v>
      </c>
      <c r="Y1167" s="27" t="str">
        <f t="shared" si="306"/>
        <v/>
      </c>
      <c r="Z1167" s="50" t="str">
        <f t="shared" si="309"/>
        <v/>
      </c>
      <c r="AA1167" s="50" t="str">
        <f t="shared" si="307"/>
        <v/>
      </c>
      <c r="AB1167" s="28" t="str">
        <f t="shared" si="310"/>
        <v>43%</v>
      </c>
      <c r="AC1167" s="1">
        <f t="shared" si="311"/>
        <v>65</v>
      </c>
      <c r="AD1167" s="52">
        <f t="shared" si="308"/>
        <v>1</v>
      </c>
      <c r="AE1167" t="str">
        <f t="shared" si="312"/>
        <v/>
      </c>
      <c r="AF1167" t="str">
        <f t="shared" si="313"/>
        <v/>
      </c>
      <c r="AG1167" t="str">
        <f t="shared" si="314"/>
        <v/>
      </c>
      <c r="AH1167" t="str">
        <f t="shared" si="315"/>
        <v/>
      </c>
      <c r="AI1167" t="str">
        <f t="shared" si="316"/>
        <v/>
      </c>
      <c r="AJ1167" t="str">
        <f t="shared" si="317"/>
        <v/>
      </c>
      <c r="AK1167" t="str">
        <f t="shared" si="318"/>
        <v/>
      </c>
      <c r="AL1167" t="str">
        <f t="shared" si="319"/>
        <v/>
      </c>
      <c r="AN1167" t="str">
        <f>IFERROR(ROUND(L1167*(G1167/$AW1167)/VLOOKUP(F1167,商品!$A$4:$D$67,4,FALSE),0),"")</f>
        <v/>
      </c>
      <c r="AO1167" t="str">
        <f>IFERROR(ROUND(L1167*(I1167/$AW1167)/VLOOKUP(H1167,商品!$A$4:$D$67,4,FALSE),0),"")</f>
        <v/>
      </c>
      <c r="AP1167" t="str">
        <f>IFERROR(ROUND(L1167*(K1167/$AW1167)/VLOOKUP(J1167,商品!$A$4:$D$67,4,FALSE),0),"")</f>
        <v/>
      </c>
      <c r="AQ1167" t="str">
        <f>IFERROR(ROUND(S1167*(N1167/$AX1167)/VLOOKUP(M1167,职业!$A$3:$E$16,4,FALSE),0),"")</f>
        <v/>
      </c>
      <c r="AR1167" t="str">
        <f>IFERROR(ROUND(S1167*(P1167/$AX1167)/VLOOKUP(O1167,职业!$A$3:$E$16,4,FALSE),0),"")</f>
        <v/>
      </c>
      <c r="AS1167" t="str">
        <f>IFERROR(ROUND(S1167*(R1167/$AX1167)/VLOOKUP(Q1167,职业!$A$3:$E$16,4,FALSE),0),"")</f>
        <v/>
      </c>
      <c r="AT1167" t="str">
        <f>IFERROR(ROUND(X1167*(U1167/$AY1167)/VLOOKUP(T1167,商品!$A$4:$D$67,4,FALSE),0),"")</f>
        <v/>
      </c>
      <c r="AU1167" t="str">
        <f>IFERROR(ROUND(X1167*(W1167/$AY1167)/VLOOKUP(V1167,商品!$A$4:$D$67,4,FALSE),0),"")</f>
        <v/>
      </c>
      <c r="AW1167">
        <f t="shared" si="320"/>
        <v>0</v>
      </c>
      <c r="AX1167">
        <f t="shared" si="321"/>
        <v>0</v>
      </c>
      <c r="AY1167">
        <f t="shared" si="322"/>
        <v>0</v>
      </c>
    </row>
    <row r="1168" customHeight="1" spans="1:51">
      <c r="A1168" s="18" t="s">
        <v>497</v>
      </c>
      <c r="C1168" s="18">
        <v>2</v>
      </c>
      <c r="D1168" s="1" t="s">
        <v>220</v>
      </c>
      <c r="E1168" s="1" t="s">
        <v>224</v>
      </c>
      <c r="L1168" s="18">
        <f>IFERROR(VLOOKUP($D1168&amp;$C1168,生产方式定位!$A$2:$E$38,2,FALSE)+VLOOKUP($E1168&amp;$C1168,生产方式定位!$F$3:$J$38,2,FALSE),0)</f>
        <v>1200</v>
      </c>
      <c r="S1168" s="18">
        <f>IFERROR(VLOOKUP($D1168&amp;$C1168,生产方式定位!$A$2:$E$38,3,FALSE)+VLOOKUP($E1168&amp;$C1168,生产方式定位!$F$3:$J$38,3,FALSE),0)</f>
        <v>100</v>
      </c>
      <c r="X1168" s="18">
        <f>IFERROR(VLOOKUP($D1168&amp;$C1168,生产方式定位!$A$2:$E$38,5,FALSE)+VLOOKUP($E1168&amp;$C1168,生产方式定位!$F$3:$J$38,5,FALSE),"错误")</f>
        <v>1346</v>
      </c>
      <c r="Y1168" s="27" t="str">
        <f t="shared" si="306"/>
        <v/>
      </c>
      <c r="Z1168" s="50" t="str">
        <f t="shared" si="309"/>
        <v/>
      </c>
      <c r="AA1168" s="50" t="str">
        <f t="shared" si="307"/>
        <v/>
      </c>
      <c r="AB1168" s="28" t="str">
        <f t="shared" si="310"/>
        <v>12%</v>
      </c>
      <c r="AC1168" s="1">
        <f t="shared" si="311"/>
        <v>46</v>
      </c>
      <c r="AD1168" s="52">
        <f t="shared" si="308"/>
        <v>2</v>
      </c>
      <c r="AE1168" t="str">
        <f t="shared" si="312"/>
        <v/>
      </c>
      <c r="AF1168" t="str">
        <f t="shared" si="313"/>
        <v/>
      </c>
      <c r="AG1168" t="str">
        <f t="shared" si="314"/>
        <v/>
      </c>
      <c r="AH1168" t="str">
        <f t="shared" si="315"/>
        <v/>
      </c>
      <c r="AI1168" t="str">
        <f t="shared" si="316"/>
        <v/>
      </c>
      <c r="AJ1168" t="str">
        <f t="shared" si="317"/>
        <v/>
      </c>
      <c r="AK1168" t="str">
        <f t="shared" si="318"/>
        <v/>
      </c>
      <c r="AL1168" t="str">
        <f t="shared" si="319"/>
        <v/>
      </c>
      <c r="AN1168" t="str">
        <f>IFERROR(ROUND(L1168*(G1168/$AW1168)/VLOOKUP(F1168,商品!$A$4:$D$67,4,FALSE),0),"")</f>
        <v/>
      </c>
      <c r="AO1168" t="str">
        <f>IFERROR(ROUND(L1168*(I1168/$AW1168)/VLOOKUP(H1168,商品!$A$4:$D$67,4,FALSE),0),"")</f>
        <v/>
      </c>
      <c r="AP1168" t="str">
        <f>IFERROR(ROUND(L1168*(K1168/$AW1168)/VLOOKUP(J1168,商品!$A$4:$D$67,4,FALSE),0),"")</f>
        <v/>
      </c>
      <c r="AQ1168" t="str">
        <f>IFERROR(ROUND(S1168*(N1168/$AX1168)/VLOOKUP(M1168,职业!$A$3:$E$16,4,FALSE),0),"")</f>
        <v/>
      </c>
      <c r="AR1168" t="str">
        <f>IFERROR(ROUND(S1168*(P1168/$AX1168)/VLOOKUP(O1168,职业!$A$3:$E$16,4,FALSE),0),"")</f>
        <v/>
      </c>
      <c r="AS1168" t="str">
        <f>IFERROR(ROUND(S1168*(R1168/$AX1168)/VLOOKUP(Q1168,职业!$A$3:$E$16,4,FALSE),0),"")</f>
        <v/>
      </c>
      <c r="AT1168" t="str">
        <f>IFERROR(ROUND(X1168*(U1168/$AY1168)/VLOOKUP(T1168,商品!$A$4:$D$67,4,FALSE),0),"")</f>
        <v/>
      </c>
      <c r="AU1168" t="str">
        <f>IFERROR(ROUND(X1168*(W1168/$AY1168)/VLOOKUP(V1168,商品!$A$4:$D$67,4,FALSE),0),"")</f>
        <v/>
      </c>
      <c r="AW1168">
        <f t="shared" si="320"/>
        <v>0</v>
      </c>
      <c r="AX1168">
        <f t="shared" si="321"/>
        <v>0</v>
      </c>
      <c r="AY1168">
        <f t="shared" si="322"/>
        <v>0</v>
      </c>
    </row>
    <row r="1169" customHeight="1" spans="1:51">
      <c r="A1169" s="18" t="s">
        <v>497</v>
      </c>
      <c r="C1169" s="18">
        <v>3</v>
      </c>
      <c r="D1169" s="1" t="s">
        <v>220</v>
      </c>
      <c r="E1169" s="1" t="s">
        <v>224</v>
      </c>
      <c r="L1169" s="18">
        <f>IFERROR(VLOOKUP($D1169&amp;$C1169,生产方式定位!$A$2:$E$38,2,FALSE)+VLOOKUP($E1169&amp;$C1169,生产方式定位!$F$3:$J$38,2,FALSE),0)</f>
        <v>1900</v>
      </c>
      <c r="S1169" s="18">
        <f>IFERROR(VLOOKUP($D1169&amp;$C1169,生产方式定位!$A$2:$E$38,3,FALSE)+VLOOKUP($E1169&amp;$C1169,生产方式定位!$F$3:$J$38,3,FALSE),0)</f>
        <v>70</v>
      </c>
      <c r="X1169" s="18">
        <f>IFERROR(VLOOKUP($D1169&amp;$C1169,生产方式定位!$A$2:$E$38,5,FALSE)+VLOOKUP($E1169&amp;$C1169,生产方式定位!$F$3:$J$38,5,FALSE),"错误")</f>
        <v>2064</v>
      </c>
      <c r="Y1169" s="27" t="str">
        <f t="shared" si="306"/>
        <v/>
      </c>
      <c r="Z1169" s="50" t="str">
        <f t="shared" si="309"/>
        <v/>
      </c>
      <c r="AA1169" s="50" t="str">
        <f t="shared" si="307"/>
        <v/>
      </c>
      <c r="AB1169" s="28" t="str">
        <f t="shared" si="310"/>
        <v>9%</v>
      </c>
      <c r="AC1169" s="1">
        <f t="shared" si="311"/>
        <v>94</v>
      </c>
      <c r="AD1169" s="52">
        <f t="shared" si="308"/>
        <v>3</v>
      </c>
      <c r="AE1169" t="str">
        <f t="shared" si="312"/>
        <v/>
      </c>
      <c r="AF1169" t="str">
        <f t="shared" si="313"/>
        <v/>
      </c>
      <c r="AG1169" t="str">
        <f t="shared" si="314"/>
        <v/>
      </c>
      <c r="AH1169" t="str">
        <f t="shared" si="315"/>
        <v/>
      </c>
      <c r="AI1169" t="str">
        <f t="shared" si="316"/>
        <v/>
      </c>
      <c r="AJ1169" t="str">
        <f t="shared" si="317"/>
        <v/>
      </c>
      <c r="AK1169" t="str">
        <f t="shared" si="318"/>
        <v/>
      </c>
      <c r="AL1169" t="str">
        <f t="shared" si="319"/>
        <v/>
      </c>
      <c r="AN1169" t="str">
        <f>IFERROR(ROUND(L1169*(G1169/$AW1169)/VLOOKUP(F1169,商品!$A$4:$D$67,4,FALSE),0),"")</f>
        <v/>
      </c>
      <c r="AO1169" t="str">
        <f>IFERROR(ROUND(L1169*(I1169/$AW1169)/VLOOKUP(H1169,商品!$A$4:$D$67,4,FALSE),0),"")</f>
        <v/>
      </c>
      <c r="AP1169" t="str">
        <f>IFERROR(ROUND(L1169*(K1169/$AW1169)/VLOOKUP(J1169,商品!$A$4:$D$67,4,FALSE),0),"")</f>
        <v/>
      </c>
      <c r="AQ1169" t="str">
        <f>IFERROR(ROUND(S1169*(N1169/$AX1169)/VLOOKUP(M1169,职业!$A$3:$E$16,4,FALSE),0),"")</f>
        <v/>
      </c>
      <c r="AR1169" t="str">
        <f>IFERROR(ROUND(S1169*(P1169/$AX1169)/VLOOKUP(O1169,职业!$A$3:$E$16,4,FALSE),0),"")</f>
        <v/>
      </c>
      <c r="AS1169" t="str">
        <f>IFERROR(ROUND(S1169*(R1169/$AX1169)/VLOOKUP(Q1169,职业!$A$3:$E$16,4,FALSE),0),"")</f>
        <v/>
      </c>
      <c r="AT1169" t="str">
        <f>IFERROR(ROUND(X1169*(U1169/$AY1169)/VLOOKUP(T1169,商品!$A$4:$D$67,4,FALSE),0),"")</f>
        <v/>
      </c>
      <c r="AU1169" t="str">
        <f>IFERROR(ROUND(X1169*(W1169/$AY1169)/VLOOKUP(V1169,商品!$A$4:$D$67,4,FALSE),0),"")</f>
        <v/>
      </c>
      <c r="AW1169">
        <f t="shared" si="320"/>
        <v>0</v>
      </c>
      <c r="AX1169">
        <f t="shared" si="321"/>
        <v>0</v>
      </c>
      <c r="AY1169">
        <f t="shared" si="322"/>
        <v>0</v>
      </c>
    </row>
    <row r="1170" customHeight="1" spans="1:51">
      <c r="A1170" s="18" t="s">
        <v>497</v>
      </c>
      <c r="C1170" s="18">
        <v>4</v>
      </c>
      <c r="D1170" s="1" t="s">
        <v>220</v>
      </c>
      <c r="E1170" s="1" t="s">
        <v>224</v>
      </c>
      <c r="L1170" s="18">
        <f>IFERROR(VLOOKUP($D1170&amp;$C1170,生产方式定位!$A$2:$E$38,2,FALSE)+VLOOKUP($E1170&amp;$C1170,生产方式定位!$F$3:$J$38,2,FALSE),0)</f>
        <v>2600</v>
      </c>
      <c r="S1170" s="18">
        <f>IFERROR(VLOOKUP($D1170&amp;$C1170,生产方式定位!$A$2:$E$38,3,FALSE)+VLOOKUP($E1170&amp;$C1170,生产方式定位!$F$3:$J$38,3,FALSE),0)</f>
        <v>40</v>
      </c>
      <c r="X1170" s="18">
        <f>IFERROR(VLOOKUP($D1170&amp;$C1170,生产方式定位!$A$2:$E$38,5,FALSE)+VLOOKUP($E1170&amp;$C1170,生产方式定位!$F$3:$J$38,5,FALSE),"错误")</f>
        <v>2782</v>
      </c>
      <c r="Y1170" s="27" t="str">
        <f t="shared" si="306"/>
        <v/>
      </c>
      <c r="Z1170" s="50" t="str">
        <f t="shared" si="309"/>
        <v/>
      </c>
      <c r="AA1170" s="50" t="str">
        <f t="shared" si="307"/>
        <v/>
      </c>
      <c r="AB1170" s="28" t="str">
        <f t="shared" si="310"/>
        <v>7%</v>
      </c>
      <c r="AC1170" s="1">
        <f t="shared" si="311"/>
        <v>142</v>
      </c>
      <c r="AD1170" s="52">
        <f t="shared" si="308"/>
        <v>4</v>
      </c>
      <c r="AE1170" t="str">
        <f t="shared" si="312"/>
        <v/>
      </c>
      <c r="AF1170" t="str">
        <f t="shared" si="313"/>
        <v/>
      </c>
      <c r="AG1170" t="str">
        <f t="shared" si="314"/>
        <v/>
      </c>
      <c r="AH1170" t="str">
        <f t="shared" si="315"/>
        <v/>
      </c>
      <c r="AI1170" t="str">
        <f t="shared" si="316"/>
        <v/>
      </c>
      <c r="AJ1170" t="str">
        <f t="shared" si="317"/>
        <v/>
      </c>
      <c r="AK1170" t="str">
        <f t="shared" si="318"/>
        <v/>
      </c>
      <c r="AL1170" t="str">
        <f t="shared" si="319"/>
        <v/>
      </c>
      <c r="AN1170" t="str">
        <f>IFERROR(ROUND(L1170*(G1170/$AW1170)/VLOOKUP(F1170,商品!$A$4:$D$67,4,FALSE),0),"")</f>
        <v/>
      </c>
      <c r="AO1170" t="str">
        <f>IFERROR(ROUND(L1170*(I1170/$AW1170)/VLOOKUP(H1170,商品!$A$4:$D$67,4,FALSE),0),"")</f>
        <v/>
      </c>
      <c r="AP1170" t="str">
        <f>IFERROR(ROUND(L1170*(K1170/$AW1170)/VLOOKUP(J1170,商品!$A$4:$D$67,4,FALSE),0),"")</f>
        <v/>
      </c>
      <c r="AQ1170" t="str">
        <f>IFERROR(ROUND(S1170*(N1170/$AX1170)/VLOOKUP(M1170,职业!$A$3:$E$16,4,FALSE),0),"")</f>
        <v/>
      </c>
      <c r="AR1170" t="str">
        <f>IFERROR(ROUND(S1170*(P1170/$AX1170)/VLOOKUP(O1170,职业!$A$3:$E$16,4,FALSE),0),"")</f>
        <v/>
      </c>
      <c r="AS1170" t="str">
        <f>IFERROR(ROUND(S1170*(R1170/$AX1170)/VLOOKUP(Q1170,职业!$A$3:$E$16,4,FALSE),0),"")</f>
        <v/>
      </c>
      <c r="AT1170" t="str">
        <f>IFERROR(ROUND(X1170*(U1170/$AY1170)/VLOOKUP(T1170,商品!$A$4:$D$67,4,FALSE),0),"")</f>
        <v/>
      </c>
      <c r="AU1170" t="str">
        <f>IFERROR(ROUND(X1170*(W1170/$AY1170)/VLOOKUP(V1170,商品!$A$4:$D$67,4,FALSE),0),"")</f>
        <v/>
      </c>
      <c r="AW1170">
        <f t="shared" si="320"/>
        <v>0</v>
      </c>
      <c r="AX1170">
        <f t="shared" si="321"/>
        <v>0</v>
      </c>
      <c r="AY1170">
        <f t="shared" si="322"/>
        <v>0</v>
      </c>
    </row>
    <row r="1171" customHeight="1" spans="1:51">
      <c r="A1171" s="18" t="s">
        <v>497</v>
      </c>
      <c r="C1171" s="18">
        <v>5</v>
      </c>
      <c r="D1171" s="1" t="s">
        <v>220</v>
      </c>
      <c r="E1171" s="1" t="s">
        <v>224</v>
      </c>
      <c r="L1171" s="18">
        <f>IFERROR(VLOOKUP($D1171&amp;$C1171,生产方式定位!$A$2:$E$38,2,FALSE)+VLOOKUP($E1171&amp;$C1171,生产方式定位!$F$3:$J$38,2,FALSE),0)</f>
        <v>3300</v>
      </c>
      <c r="S1171" s="18">
        <f>IFERROR(VLOOKUP($D1171&amp;$C1171,生产方式定位!$A$2:$E$38,3,FALSE)+VLOOKUP($E1171&amp;$C1171,生产方式定位!$F$3:$J$38,3,FALSE),0)</f>
        <v>10</v>
      </c>
      <c r="X1171" s="18">
        <f>IFERROR(VLOOKUP($D1171&amp;$C1171,生产方式定位!$A$2:$E$38,5,FALSE)+VLOOKUP($E1171&amp;$C1171,生产方式定位!$F$3:$J$38,5,FALSE),"错误")</f>
        <v>3500</v>
      </c>
      <c r="Y1171" s="27" t="str">
        <f t="shared" si="306"/>
        <v/>
      </c>
      <c r="Z1171" s="50" t="str">
        <f t="shared" si="309"/>
        <v/>
      </c>
      <c r="AA1171" s="50" t="str">
        <f t="shared" si="307"/>
        <v/>
      </c>
      <c r="AB1171" s="28" t="str">
        <f t="shared" si="310"/>
        <v>6%</v>
      </c>
      <c r="AC1171" s="1">
        <f t="shared" si="311"/>
        <v>190</v>
      </c>
      <c r="AD1171" s="52">
        <f t="shared" si="308"/>
        <v>5</v>
      </c>
      <c r="AE1171" t="str">
        <f t="shared" si="312"/>
        <v/>
      </c>
      <c r="AF1171" t="str">
        <f t="shared" si="313"/>
        <v/>
      </c>
      <c r="AG1171" t="str">
        <f t="shared" si="314"/>
        <v/>
      </c>
      <c r="AH1171" t="str">
        <f t="shared" si="315"/>
        <v/>
      </c>
      <c r="AI1171" t="str">
        <f t="shared" si="316"/>
        <v/>
      </c>
      <c r="AJ1171" t="str">
        <f t="shared" si="317"/>
        <v/>
      </c>
      <c r="AK1171" t="str">
        <f t="shared" si="318"/>
        <v/>
      </c>
      <c r="AL1171" t="str">
        <f t="shared" si="319"/>
        <v/>
      </c>
      <c r="AN1171" t="str">
        <f>IFERROR(ROUND(L1171*(G1171/$AW1171)/VLOOKUP(F1171,商品!$A$4:$D$67,4,FALSE),0),"")</f>
        <v/>
      </c>
      <c r="AO1171" t="str">
        <f>IFERROR(ROUND(L1171*(I1171/$AW1171)/VLOOKUP(H1171,商品!$A$4:$D$67,4,FALSE),0),"")</f>
        <v/>
      </c>
      <c r="AP1171" t="str">
        <f>IFERROR(ROUND(L1171*(K1171/$AW1171)/VLOOKUP(J1171,商品!$A$4:$D$67,4,FALSE),0),"")</f>
        <v/>
      </c>
      <c r="AQ1171" t="str">
        <f>IFERROR(ROUND(S1171*(N1171/$AX1171)/VLOOKUP(M1171,职业!$A$3:$E$16,4,FALSE),0),"")</f>
        <v/>
      </c>
      <c r="AR1171" t="str">
        <f>IFERROR(ROUND(S1171*(P1171/$AX1171)/VLOOKUP(O1171,职业!$A$3:$E$16,4,FALSE),0),"")</f>
        <v/>
      </c>
      <c r="AS1171" t="str">
        <f>IFERROR(ROUND(S1171*(R1171/$AX1171)/VLOOKUP(Q1171,职业!$A$3:$E$16,4,FALSE),0),"")</f>
        <v/>
      </c>
      <c r="AT1171" t="str">
        <f>IFERROR(ROUND(X1171*(U1171/$AY1171)/VLOOKUP(T1171,商品!$A$4:$D$67,4,FALSE),0),"")</f>
        <v/>
      </c>
      <c r="AU1171" t="str">
        <f>IFERROR(ROUND(X1171*(W1171/$AY1171)/VLOOKUP(V1171,商品!$A$4:$D$67,4,FALSE),0),"")</f>
        <v/>
      </c>
      <c r="AW1171">
        <f t="shared" si="320"/>
        <v>0</v>
      </c>
      <c r="AX1171">
        <f t="shared" si="321"/>
        <v>0</v>
      </c>
      <c r="AY1171">
        <f t="shared" si="322"/>
        <v>0</v>
      </c>
    </row>
    <row r="1172" customHeight="1" spans="1:51">
      <c r="A1172" s="5" t="s">
        <v>497</v>
      </c>
      <c r="C1172" s="5">
        <v>1</v>
      </c>
      <c r="D1172" s="1" t="s">
        <v>220</v>
      </c>
      <c r="E1172" s="1" t="s">
        <v>224</v>
      </c>
      <c r="L1172" s="5">
        <f>IFERROR(VLOOKUP($D1172&amp;$C1172,生产方式定位!$A$2:$E$38,2,FALSE)+VLOOKUP($E1172&amp;$C1172,生产方式定位!$F$3:$J$38,2,FALSE),0)</f>
        <v>500</v>
      </c>
      <c r="S1172" s="5">
        <f>IFERROR(VLOOKUP($D1172&amp;$C1172,生产方式定位!$A$2:$E$38,3,FALSE)+VLOOKUP($E1172&amp;$C1172,生产方式定位!$F$3:$J$38,3,FALSE),0)</f>
        <v>150</v>
      </c>
      <c r="X1172" s="5">
        <f>IFERROR(VLOOKUP($D1172&amp;$C1172,生产方式定位!$A$2:$E$38,5,FALSE)+VLOOKUP($E1172&amp;$C1172,生产方式定位!$F$3:$J$38,5,FALSE),"错误")</f>
        <v>715</v>
      </c>
      <c r="Y1172" s="27" t="str">
        <f t="shared" si="306"/>
        <v/>
      </c>
      <c r="Z1172" s="50" t="str">
        <f t="shared" si="309"/>
        <v/>
      </c>
      <c r="AA1172" s="50" t="str">
        <f t="shared" si="307"/>
        <v/>
      </c>
      <c r="AB1172" s="28" t="str">
        <f t="shared" si="310"/>
        <v>43%</v>
      </c>
      <c r="AC1172" s="1">
        <f t="shared" si="311"/>
        <v>65</v>
      </c>
      <c r="AD1172" s="51">
        <f t="shared" si="308"/>
        <v>1</v>
      </c>
      <c r="AE1172" t="str">
        <f t="shared" si="312"/>
        <v/>
      </c>
      <c r="AF1172" t="str">
        <f t="shared" si="313"/>
        <v/>
      </c>
      <c r="AG1172" t="str">
        <f t="shared" si="314"/>
        <v/>
      </c>
      <c r="AH1172" t="str">
        <f t="shared" si="315"/>
        <v/>
      </c>
      <c r="AI1172" t="str">
        <f t="shared" si="316"/>
        <v/>
      </c>
      <c r="AJ1172" t="str">
        <f t="shared" si="317"/>
        <v/>
      </c>
      <c r="AK1172" t="str">
        <f t="shared" si="318"/>
        <v/>
      </c>
      <c r="AL1172" t="str">
        <f t="shared" si="319"/>
        <v/>
      </c>
      <c r="AN1172" t="str">
        <f>IFERROR(ROUND(L1172*(G1172/$AW1172)/VLOOKUP(F1172,商品!$A$4:$D$67,4,FALSE),0),"")</f>
        <v/>
      </c>
      <c r="AO1172" t="str">
        <f>IFERROR(ROUND(L1172*(I1172/$AW1172)/VLOOKUP(H1172,商品!$A$4:$D$67,4,FALSE),0),"")</f>
        <v/>
      </c>
      <c r="AP1172" t="str">
        <f>IFERROR(ROUND(L1172*(K1172/$AW1172)/VLOOKUP(J1172,商品!$A$4:$D$67,4,FALSE),0),"")</f>
        <v/>
      </c>
      <c r="AQ1172" t="str">
        <f>IFERROR(ROUND(S1172*(N1172/$AX1172)/VLOOKUP(M1172,职业!$A$3:$E$16,4,FALSE),0),"")</f>
        <v/>
      </c>
      <c r="AR1172" t="str">
        <f>IFERROR(ROUND(S1172*(P1172/$AX1172)/VLOOKUP(O1172,职业!$A$3:$E$16,4,FALSE),0),"")</f>
        <v/>
      </c>
      <c r="AS1172" t="str">
        <f>IFERROR(ROUND(S1172*(R1172/$AX1172)/VLOOKUP(Q1172,职业!$A$3:$E$16,4,FALSE),0),"")</f>
        <v/>
      </c>
      <c r="AT1172" t="str">
        <f>IFERROR(ROUND(X1172*(U1172/$AY1172)/VLOOKUP(T1172,商品!$A$4:$D$67,4,FALSE),0),"")</f>
        <v/>
      </c>
      <c r="AU1172" t="str">
        <f>IFERROR(ROUND(X1172*(W1172/$AY1172)/VLOOKUP(V1172,商品!$A$4:$D$67,4,FALSE),0),"")</f>
        <v/>
      </c>
      <c r="AW1172">
        <f t="shared" si="320"/>
        <v>0</v>
      </c>
      <c r="AX1172">
        <f t="shared" si="321"/>
        <v>0</v>
      </c>
      <c r="AY1172">
        <f t="shared" si="322"/>
        <v>0</v>
      </c>
    </row>
    <row r="1173" customHeight="1" spans="1:51">
      <c r="A1173" s="5" t="s">
        <v>497</v>
      </c>
      <c r="C1173" s="5">
        <v>2</v>
      </c>
      <c r="D1173" s="1" t="s">
        <v>220</v>
      </c>
      <c r="E1173" s="1" t="s">
        <v>224</v>
      </c>
      <c r="L1173" s="5">
        <f>IFERROR(VLOOKUP($D1173&amp;$C1173,生产方式定位!$A$2:$E$38,2,FALSE)+VLOOKUP($E1173&amp;$C1173,生产方式定位!$F$3:$J$38,2,FALSE),0)</f>
        <v>1200</v>
      </c>
      <c r="S1173" s="5">
        <f>IFERROR(VLOOKUP($D1173&amp;$C1173,生产方式定位!$A$2:$E$38,3,FALSE)+VLOOKUP($E1173&amp;$C1173,生产方式定位!$F$3:$J$38,3,FALSE),0)</f>
        <v>100</v>
      </c>
      <c r="X1173" s="5">
        <f>IFERROR(VLOOKUP($D1173&amp;$C1173,生产方式定位!$A$2:$E$38,5,FALSE)+VLOOKUP($E1173&amp;$C1173,生产方式定位!$F$3:$J$38,5,FALSE),"错误")</f>
        <v>1346</v>
      </c>
      <c r="Y1173" s="27" t="str">
        <f t="shared" si="306"/>
        <v/>
      </c>
      <c r="Z1173" s="50" t="str">
        <f t="shared" si="309"/>
        <v/>
      </c>
      <c r="AA1173" s="50" t="str">
        <f t="shared" si="307"/>
        <v/>
      </c>
      <c r="AB1173" s="28" t="str">
        <f t="shared" si="310"/>
        <v>12%</v>
      </c>
      <c r="AC1173" s="1">
        <f t="shared" si="311"/>
        <v>46</v>
      </c>
      <c r="AD1173" s="51">
        <f t="shared" si="308"/>
        <v>2</v>
      </c>
      <c r="AE1173" t="str">
        <f t="shared" si="312"/>
        <v/>
      </c>
      <c r="AF1173" t="str">
        <f t="shared" si="313"/>
        <v/>
      </c>
      <c r="AG1173" t="str">
        <f t="shared" si="314"/>
        <v/>
      </c>
      <c r="AH1173" t="str">
        <f t="shared" si="315"/>
        <v/>
      </c>
      <c r="AI1173" t="str">
        <f t="shared" si="316"/>
        <v/>
      </c>
      <c r="AJ1173" t="str">
        <f t="shared" si="317"/>
        <v/>
      </c>
      <c r="AK1173" t="str">
        <f t="shared" si="318"/>
        <v/>
      </c>
      <c r="AL1173" t="str">
        <f t="shared" si="319"/>
        <v/>
      </c>
      <c r="AN1173" t="str">
        <f>IFERROR(ROUND(L1173*(G1173/$AW1173)/VLOOKUP(F1173,商品!$A$4:$D$67,4,FALSE),0),"")</f>
        <v/>
      </c>
      <c r="AO1173" t="str">
        <f>IFERROR(ROUND(L1173*(I1173/$AW1173)/VLOOKUP(H1173,商品!$A$4:$D$67,4,FALSE),0),"")</f>
        <v/>
      </c>
      <c r="AP1173" t="str">
        <f>IFERROR(ROUND(L1173*(K1173/$AW1173)/VLOOKUP(J1173,商品!$A$4:$D$67,4,FALSE),0),"")</f>
        <v/>
      </c>
      <c r="AQ1173" t="str">
        <f>IFERROR(ROUND(S1173*(N1173/$AX1173)/VLOOKUP(M1173,职业!$A$3:$E$16,4,FALSE),0),"")</f>
        <v/>
      </c>
      <c r="AR1173" t="str">
        <f>IFERROR(ROUND(S1173*(P1173/$AX1173)/VLOOKUP(O1173,职业!$A$3:$E$16,4,FALSE),0),"")</f>
        <v/>
      </c>
      <c r="AS1173" t="str">
        <f>IFERROR(ROUND(S1173*(R1173/$AX1173)/VLOOKUP(Q1173,职业!$A$3:$E$16,4,FALSE),0),"")</f>
        <v/>
      </c>
      <c r="AT1173" t="str">
        <f>IFERROR(ROUND(X1173*(U1173/$AY1173)/VLOOKUP(T1173,商品!$A$4:$D$67,4,FALSE),0),"")</f>
        <v/>
      </c>
      <c r="AU1173" t="str">
        <f>IFERROR(ROUND(X1173*(W1173/$AY1173)/VLOOKUP(V1173,商品!$A$4:$D$67,4,FALSE),0),"")</f>
        <v/>
      </c>
      <c r="AW1173">
        <f t="shared" si="320"/>
        <v>0</v>
      </c>
      <c r="AX1173">
        <f t="shared" si="321"/>
        <v>0</v>
      </c>
      <c r="AY1173">
        <f t="shared" si="322"/>
        <v>0</v>
      </c>
    </row>
    <row r="1174" customHeight="1" spans="1:51">
      <c r="A1174" s="5" t="s">
        <v>497</v>
      </c>
      <c r="C1174" s="5">
        <v>3</v>
      </c>
      <c r="D1174" s="1" t="s">
        <v>220</v>
      </c>
      <c r="E1174" s="1" t="s">
        <v>224</v>
      </c>
      <c r="L1174" s="5">
        <f>IFERROR(VLOOKUP($D1174&amp;$C1174,生产方式定位!$A$2:$E$38,2,FALSE)+VLOOKUP($E1174&amp;$C1174,生产方式定位!$F$3:$J$38,2,FALSE),0)</f>
        <v>1900</v>
      </c>
      <c r="S1174" s="5">
        <f>IFERROR(VLOOKUP($D1174&amp;$C1174,生产方式定位!$A$2:$E$38,3,FALSE)+VLOOKUP($E1174&amp;$C1174,生产方式定位!$F$3:$J$38,3,FALSE),0)</f>
        <v>70</v>
      </c>
      <c r="X1174" s="5">
        <f>IFERROR(VLOOKUP($D1174&amp;$C1174,生产方式定位!$A$2:$E$38,5,FALSE)+VLOOKUP($E1174&amp;$C1174,生产方式定位!$F$3:$J$38,5,FALSE),"错误")</f>
        <v>2064</v>
      </c>
      <c r="Y1174" s="27" t="str">
        <f t="shared" si="306"/>
        <v/>
      </c>
      <c r="Z1174" s="50" t="str">
        <f t="shared" si="309"/>
        <v/>
      </c>
      <c r="AA1174" s="50" t="str">
        <f t="shared" si="307"/>
        <v/>
      </c>
      <c r="AB1174" s="28" t="str">
        <f t="shared" si="310"/>
        <v>9%</v>
      </c>
      <c r="AC1174" s="1">
        <f t="shared" si="311"/>
        <v>94</v>
      </c>
      <c r="AD1174" s="51">
        <f t="shared" si="308"/>
        <v>3</v>
      </c>
      <c r="AE1174" t="str">
        <f t="shared" si="312"/>
        <v/>
      </c>
      <c r="AF1174" t="str">
        <f t="shared" si="313"/>
        <v/>
      </c>
      <c r="AG1174" t="str">
        <f t="shared" si="314"/>
        <v/>
      </c>
      <c r="AH1174" t="str">
        <f t="shared" si="315"/>
        <v/>
      </c>
      <c r="AI1174" t="str">
        <f t="shared" si="316"/>
        <v/>
      </c>
      <c r="AJ1174" t="str">
        <f t="shared" si="317"/>
        <v/>
      </c>
      <c r="AK1174" t="str">
        <f t="shared" si="318"/>
        <v/>
      </c>
      <c r="AL1174" t="str">
        <f t="shared" si="319"/>
        <v/>
      </c>
      <c r="AN1174" t="str">
        <f>IFERROR(ROUND(L1174*(G1174/$AW1174)/VLOOKUP(F1174,商品!$A$4:$D$67,4,FALSE),0),"")</f>
        <v/>
      </c>
      <c r="AO1174" t="str">
        <f>IFERROR(ROUND(L1174*(I1174/$AW1174)/VLOOKUP(H1174,商品!$A$4:$D$67,4,FALSE),0),"")</f>
        <v/>
      </c>
      <c r="AP1174" t="str">
        <f>IFERROR(ROUND(L1174*(K1174/$AW1174)/VLOOKUP(J1174,商品!$A$4:$D$67,4,FALSE),0),"")</f>
        <v/>
      </c>
      <c r="AQ1174" t="str">
        <f>IFERROR(ROUND(S1174*(N1174/$AX1174)/VLOOKUP(M1174,职业!$A$3:$E$16,4,FALSE),0),"")</f>
        <v/>
      </c>
      <c r="AR1174" t="str">
        <f>IFERROR(ROUND(S1174*(P1174/$AX1174)/VLOOKUP(O1174,职业!$A$3:$E$16,4,FALSE),0),"")</f>
        <v/>
      </c>
      <c r="AS1174" t="str">
        <f>IFERROR(ROUND(S1174*(R1174/$AX1174)/VLOOKUP(Q1174,职业!$A$3:$E$16,4,FALSE),0),"")</f>
        <v/>
      </c>
      <c r="AT1174" t="str">
        <f>IFERROR(ROUND(X1174*(U1174/$AY1174)/VLOOKUP(T1174,商品!$A$4:$D$67,4,FALSE),0),"")</f>
        <v/>
      </c>
      <c r="AU1174" t="str">
        <f>IFERROR(ROUND(X1174*(W1174/$AY1174)/VLOOKUP(V1174,商品!$A$4:$D$67,4,FALSE),0),"")</f>
        <v/>
      </c>
      <c r="AW1174">
        <f t="shared" si="320"/>
        <v>0</v>
      </c>
      <c r="AX1174">
        <f t="shared" si="321"/>
        <v>0</v>
      </c>
      <c r="AY1174">
        <f t="shared" si="322"/>
        <v>0</v>
      </c>
    </row>
    <row r="1175" customHeight="1" spans="1:51">
      <c r="A1175" s="5" t="s">
        <v>497</v>
      </c>
      <c r="C1175" s="5">
        <v>4</v>
      </c>
      <c r="D1175" s="1" t="s">
        <v>220</v>
      </c>
      <c r="E1175" s="1" t="s">
        <v>224</v>
      </c>
      <c r="L1175" s="5">
        <f>IFERROR(VLOOKUP($D1175&amp;$C1175,生产方式定位!$A$2:$E$38,2,FALSE)+VLOOKUP($E1175&amp;$C1175,生产方式定位!$F$3:$J$38,2,FALSE),0)</f>
        <v>2600</v>
      </c>
      <c r="S1175" s="5">
        <f>IFERROR(VLOOKUP($D1175&amp;$C1175,生产方式定位!$A$2:$E$38,3,FALSE)+VLOOKUP($E1175&amp;$C1175,生产方式定位!$F$3:$J$38,3,FALSE),0)</f>
        <v>40</v>
      </c>
      <c r="X1175" s="5">
        <f>IFERROR(VLOOKUP($D1175&amp;$C1175,生产方式定位!$A$2:$E$38,5,FALSE)+VLOOKUP($E1175&amp;$C1175,生产方式定位!$F$3:$J$38,5,FALSE),"错误")</f>
        <v>2782</v>
      </c>
      <c r="Y1175" s="27" t="str">
        <f t="shared" si="306"/>
        <v/>
      </c>
      <c r="Z1175" s="50" t="str">
        <f t="shared" si="309"/>
        <v/>
      </c>
      <c r="AA1175" s="50" t="str">
        <f t="shared" si="307"/>
        <v/>
      </c>
      <c r="AB1175" s="28" t="str">
        <f t="shared" si="310"/>
        <v>7%</v>
      </c>
      <c r="AC1175" s="1">
        <f t="shared" si="311"/>
        <v>142</v>
      </c>
      <c r="AD1175" s="51">
        <f t="shared" si="308"/>
        <v>4</v>
      </c>
      <c r="AE1175" t="str">
        <f t="shared" si="312"/>
        <v/>
      </c>
      <c r="AF1175" t="str">
        <f t="shared" si="313"/>
        <v/>
      </c>
      <c r="AG1175" t="str">
        <f t="shared" si="314"/>
        <v/>
      </c>
      <c r="AH1175" t="str">
        <f t="shared" si="315"/>
        <v/>
      </c>
      <c r="AI1175" t="str">
        <f t="shared" si="316"/>
        <v/>
      </c>
      <c r="AJ1175" t="str">
        <f t="shared" si="317"/>
        <v/>
      </c>
      <c r="AK1175" t="str">
        <f t="shared" si="318"/>
        <v/>
      </c>
      <c r="AL1175" t="str">
        <f t="shared" si="319"/>
        <v/>
      </c>
      <c r="AN1175" t="str">
        <f>IFERROR(ROUND(L1175*(G1175/$AW1175)/VLOOKUP(F1175,商品!$A$4:$D$67,4,FALSE),0),"")</f>
        <v/>
      </c>
      <c r="AO1175" t="str">
        <f>IFERROR(ROUND(L1175*(I1175/$AW1175)/VLOOKUP(H1175,商品!$A$4:$D$67,4,FALSE),0),"")</f>
        <v/>
      </c>
      <c r="AP1175" t="str">
        <f>IFERROR(ROUND(L1175*(K1175/$AW1175)/VLOOKUP(J1175,商品!$A$4:$D$67,4,FALSE),0),"")</f>
        <v/>
      </c>
      <c r="AQ1175" t="str">
        <f>IFERROR(ROUND(S1175*(N1175/$AX1175)/VLOOKUP(M1175,职业!$A$3:$E$16,4,FALSE),0),"")</f>
        <v/>
      </c>
      <c r="AR1175" t="str">
        <f>IFERROR(ROUND(S1175*(P1175/$AX1175)/VLOOKUP(O1175,职业!$A$3:$E$16,4,FALSE),0),"")</f>
        <v/>
      </c>
      <c r="AS1175" t="str">
        <f>IFERROR(ROUND(S1175*(R1175/$AX1175)/VLOOKUP(Q1175,职业!$A$3:$E$16,4,FALSE),0),"")</f>
        <v/>
      </c>
      <c r="AT1175" t="str">
        <f>IFERROR(ROUND(X1175*(U1175/$AY1175)/VLOOKUP(T1175,商品!$A$4:$D$67,4,FALSE),0),"")</f>
        <v/>
      </c>
      <c r="AU1175" t="str">
        <f>IFERROR(ROUND(X1175*(W1175/$AY1175)/VLOOKUP(V1175,商品!$A$4:$D$67,4,FALSE),0),"")</f>
        <v/>
      </c>
      <c r="AW1175">
        <f t="shared" si="320"/>
        <v>0</v>
      </c>
      <c r="AX1175">
        <f t="shared" si="321"/>
        <v>0</v>
      </c>
      <c r="AY1175">
        <f t="shared" si="322"/>
        <v>0</v>
      </c>
    </row>
    <row r="1176" customHeight="1" spans="1:51">
      <c r="A1176" s="5" t="s">
        <v>497</v>
      </c>
      <c r="C1176" s="5">
        <v>5</v>
      </c>
      <c r="D1176" s="1" t="s">
        <v>220</v>
      </c>
      <c r="E1176" s="1" t="s">
        <v>224</v>
      </c>
      <c r="L1176" s="5">
        <f>IFERROR(VLOOKUP($D1176&amp;$C1176,生产方式定位!$A$2:$E$38,2,FALSE)+VLOOKUP($E1176&amp;$C1176,生产方式定位!$F$3:$J$38,2,FALSE),0)</f>
        <v>3300</v>
      </c>
      <c r="S1176" s="5">
        <f>IFERROR(VLOOKUP($D1176&amp;$C1176,生产方式定位!$A$2:$E$38,3,FALSE)+VLOOKUP($E1176&amp;$C1176,生产方式定位!$F$3:$J$38,3,FALSE),0)</f>
        <v>10</v>
      </c>
      <c r="X1176" s="5">
        <f>IFERROR(VLOOKUP($D1176&amp;$C1176,生产方式定位!$A$2:$E$38,5,FALSE)+VLOOKUP($E1176&amp;$C1176,生产方式定位!$F$3:$J$38,5,FALSE),"错误")</f>
        <v>3500</v>
      </c>
      <c r="Y1176" s="27" t="str">
        <f t="shared" si="306"/>
        <v/>
      </c>
      <c r="Z1176" s="50" t="str">
        <f t="shared" si="309"/>
        <v/>
      </c>
      <c r="AA1176" s="50" t="str">
        <f t="shared" si="307"/>
        <v/>
      </c>
      <c r="AB1176" s="28" t="str">
        <f t="shared" si="310"/>
        <v>6%</v>
      </c>
      <c r="AC1176" s="1">
        <f t="shared" si="311"/>
        <v>190</v>
      </c>
      <c r="AD1176" s="51">
        <f t="shared" si="308"/>
        <v>5</v>
      </c>
      <c r="AE1176" t="str">
        <f t="shared" si="312"/>
        <v/>
      </c>
      <c r="AF1176" t="str">
        <f t="shared" si="313"/>
        <v/>
      </c>
      <c r="AG1176" t="str">
        <f t="shared" si="314"/>
        <v/>
      </c>
      <c r="AH1176" t="str">
        <f t="shared" si="315"/>
        <v/>
      </c>
      <c r="AI1176" t="str">
        <f t="shared" si="316"/>
        <v/>
      </c>
      <c r="AJ1176" t="str">
        <f t="shared" si="317"/>
        <v/>
      </c>
      <c r="AK1176" t="str">
        <f t="shared" si="318"/>
        <v/>
      </c>
      <c r="AL1176" t="str">
        <f t="shared" si="319"/>
        <v/>
      </c>
      <c r="AN1176" t="str">
        <f>IFERROR(ROUND(L1176*(G1176/$AW1176)/VLOOKUP(F1176,商品!$A$4:$D$67,4,FALSE),0),"")</f>
        <v/>
      </c>
      <c r="AO1176" t="str">
        <f>IFERROR(ROUND(L1176*(I1176/$AW1176)/VLOOKUP(H1176,商品!$A$4:$D$67,4,FALSE),0),"")</f>
        <v/>
      </c>
      <c r="AP1176" t="str">
        <f>IFERROR(ROUND(L1176*(K1176/$AW1176)/VLOOKUP(J1176,商品!$A$4:$D$67,4,FALSE),0),"")</f>
        <v/>
      </c>
      <c r="AQ1176" t="str">
        <f>IFERROR(ROUND(S1176*(N1176/$AX1176)/VLOOKUP(M1176,职业!$A$3:$E$16,4,FALSE),0),"")</f>
        <v/>
      </c>
      <c r="AR1176" t="str">
        <f>IFERROR(ROUND(S1176*(P1176/$AX1176)/VLOOKUP(O1176,职业!$A$3:$E$16,4,FALSE),0),"")</f>
        <v/>
      </c>
      <c r="AS1176" t="str">
        <f>IFERROR(ROUND(S1176*(R1176/$AX1176)/VLOOKUP(Q1176,职业!$A$3:$E$16,4,FALSE),0),"")</f>
        <v/>
      </c>
      <c r="AT1176" t="str">
        <f>IFERROR(ROUND(X1176*(U1176/$AY1176)/VLOOKUP(T1176,商品!$A$4:$D$67,4,FALSE),0),"")</f>
        <v/>
      </c>
      <c r="AU1176" t="str">
        <f>IFERROR(ROUND(X1176*(W1176/$AY1176)/VLOOKUP(V1176,商品!$A$4:$D$67,4,FALSE),0),"")</f>
        <v/>
      </c>
      <c r="AW1176">
        <f t="shared" si="320"/>
        <v>0</v>
      </c>
      <c r="AX1176">
        <f t="shared" si="321"/>
        <v>0</v>
      </c>
      <c r="AY1176">
        <f t="shared" si="322"/>
        <v>0</v>
      </c>
    </row>
    <row r="1177" customHeight="1" spans="1:51">
      <c r="A1177" s="18" t="s">
        <v>498</v>
      </c>
      <c r="C1177" s="18">
        <v>1</v>
      </c>
      <c r="D1177" s="1" t="s">
        <v>291</v>
      </c>
      <c r="E1177" s="1" t="s">
        <v>225</v>
      </c>
      <c r="L1177" s="18">
        <f>IFERROR(VLOOKUP($D1177&amp;$C1177,生产方式定位!$A$2:$E$38,2,FALSE)+VLOOKUP($E1177&amp;$C1177,生产方式定位!$F$3:$J$38,2,FALSE),0)</f>
        <v>0</v>
      </c>
      <c r="S1177" s="18">
        <f>IFERROR(VLOOKUP($D1177&amp;$C1177,生产方式定位!$A$2:$E$38,3,FALSE)+VLOOKUP($E1177&amp;$C1177,生产方式定位!$F$3:$J$38,3,FALSE),0)</f>
        <v>100</v>
      </c>
      <c r="X1177" s="18">
        <f>IFERROR(VLOOKUP($D1177&amp;$C1177,生产方式定位!$A$2:$E$38,5,FALSE)+VLOOKUP($E1177&amp;$C1177,生产方式定位!$F$3:$J$38,5,FALSE),"错误")</f>
        <v>100</v>
      </c>
      <c r="Y1177" s="27" t="str">
        <f t="shared" si="306"/>
        <v/>
      </c>
      <c r="Z1177" s="50" t="str">
        <f t="shared" si="309"/>
        <v/>
      </c>
      <c r="AA1177" s="50" t="str">
        <f t="shared" si="307"/>
        <v/>
      </c>
      <c r="AB1177" s="28" t="str">
        <f t="shared" si="310"/>
        <v/>
      </c>
      <c r="AC1177" s="1" t="str">
        <f t="shared" si="311"/>
        <v/>
      </c>
      <c r="AD1177" s="52">
        <f t="shared" si="308"/>
        <v>1</v>
      </c>
      <c r="AE1177" t="str">
        <f t="shared" si="312"/>
        <v/>
      </c>
      <c r="AF1177" t="str">
        <f t="shared" si="313"/>
        <v/>
      </c>
      <c r="AG1177" t="str">
        <f t="shared" si="314"/>
        <v/>
      </c>
      <c r="AH1177" t="str">
        <f t="shared" si="315"/>
        <v/>
      </c>
      <c r="AI1177" t="str">
        <f t="shared" si="316"/>
        <v/>
      </c>
      <c r="AJ1177" t="str">
        <f t="shared" si="317"/>
        <v/>
      </c>
      <c r="AK1177" t="str">
        <f t="shared" si="318"/>
        <v/>
      </c>
      <c r="AL1177" t="str">
        <f t="shared" si="319"/>
        <v/>
      </c>
      <c r="AN1177" t="str">
        <f>IFERROR(ROUND(L1177*(G1177/$AW1177)/VLOOKUP(F1177,商品!$A$4:$D$67,4,FALSE),0),"")</f>
        <v/>
      </c>
      <c r="AO1177" t="str">
        <f>IFERROR(ROUND(L1177*(I1177/$AW1177)/VLOOKUP(H1177,商品!$A$4:$D$67,4,FALSE),0),"")</f>
        <v/>
      </c>
      <c r="AP1177" t="str">
        <f>IFERROR(ROUND(L1177*(K1177/$AW1177)/VLOOKUP(J1177,商品!$A$4:$D$67,4,FALSE),0),"")</f>
        <v/>
      </c>
      <c r="AQ1177" t="str">
        <f>IFERROR(ROUND(S1177*(N1177/$AX1177)/VLOOKUP(M1177,职业!$A$3:$E$16,4,FALSE),0),"")</f>
        <v/>
      </c>
      <c r="AR1177" t="str">
        <f>IFERROR(ROUND(S1177*(P1177/$AX1177)/VLOOKUP(O1177,职业!$A$3:$E$16,4,FALSE),0),"")</f>
        <v/>
      </c>
      <c r="AS1177" t="str">
        <f>IFERROR(ROUND(S1177*(R1177/$AX1177)/VLOOKUP(Q1177,职业!$A$3:$E$16,4,FALSE),0),"")</f>
        <v/>
      </c>
      <c r="AT1177" t="str">
        <f>IFERROR(ROUND(X1177*(U1177/$AY1177)/VLOOKUP(T1177,商品!$A$4:$D$67,4,FALSE),0),"")</f>
        <v/>
      </c>
      <c r="AU1177" t="str">
        <f>IFERROR(ROUND(X1177*(W1177/$AY1177)/VLOOKUP(V1177,商品!$A$4:$D$67,4,FALSE),0),"")</f>
        <v/>
      </c>
      <c r="AW1177">
        <f t="shared" si="320"/>
        <v>0</v>
      </c>
      <c r="AX1177">
        <f t="shared" si="321"/>
        <v>0</v>
      </c>
      <c r="AY1177">
        <f t="shared" si="322"/>
        <v>0</v>
      </c>
    </row>
    <row r="1178" customHeight="1" spans="1:51">
      <c r="A1178" s="18" t="s">
        <v>498</v>
      </c>
      <c r="C1178" s="18">
        <v>2</v>
      </c>
      <c r="D1178" s="1" t="s">
        <v>291</v>
      </c>
      <c r="E1178" s="1" t="s">
        <v>225</v>
      </c>
      <c r="L1178" s="18">
        <f>IFERROR(VLOOKUP($D1178&amp;$C1178,生产方式定位!$A$2:$E$38,2,FALSE)+VLOOKUP($E1178&amp;$C1178,生产方式定位!$F$3:$J$38,2,FALSE),0)</f>
        <v>0</v>
      </c>
      <c r="S1178" s="18">
        <f>IFERROR(VLOOKUP($D1178&amp;$C1178,生产方式定位!$A$2:$E$38,3,FALSE)+VLOOKUP($E1178&amp;$C1178,生产方式定位!$F$3:$J$38,3,FALSE),0)</f>
        <v>100</v>
      </c>
      <c r="X1178" s="18">
        <f>IFERROR(VLOOKUP($D1178&amp;$C1178,生产方式定位!$A$2:$E$38,5,FALSE)+VLOOKUP($E1178&amp;$C1178,生产方式定位!$F$3:$J$38,5,FALSE),"错误")</f>
        <v>100</v>
      </c>
      <c r="Y1178" s="27" t="str">
        <f t="shared" si="306"/>
        <v/>
      </c>
      <c r="Z1178" s="50" t="str">
        <f t="shared" si="309"/>
        <v/>
      </c>
      <c r="AA1178" s="50" t="str">
        <f t="shared" si="307"/>
        <v/>
      </c>
      <c r="AB1178" s="28" t="str">
        <f t="shared" si="310"/>
        <v/>
      </c>
      <c r="AC1178" s="1" t="str">
        <f t="shared" si="311"/>
        <v/>
      </c>
      <c r="AD1178" s="52">
        <f t="shared" si="308"/>
        <v>2</v>
      </c>
      <c r="AE1178" t="str">
        <f t="shared" si="312"/>
        <v/>
      </c>
      <c r="AF1178" t="str">
        <f t="shared" si="313"/>
        <v/>
      </c>
      <c r="AG1178" t="str">
        <f t="shared" si="314"/>
        <v/>
      </c>
      <c r="AH1178" t="str">
        <f t="shared" si="315"/>
        <v/>
      </c>
      <c r="AI1178" t="str">
        <f t="shared" si="316"/>
        <v/>
      </c>
      <c r="AJ1178" t="str">
        <f t="shared" si="317"/>
        <v/>
      </c>
      <c r="AK1178" t="str">
        <f t="shared" si="318"/>
        <v/>
      </c>
      <c r="AL1178" t="str">
        <f t="shared" si="319"/>
        <v/>
      </c>
      <c r="AN1178" t="str">
        <f>IFERROR(ROUND(L1178*(G1178/$AW1178)/VLOOKUP(F1178,商品!$A$4:$D$67,4,FALSE),0),"")</f>
        <v/>
      </c>
      <c r="AO1178" t="str">
        <f>IFERROR(ROUND(L1178*(I1178/$AW1178)/VLOOKUP(H1178,商品!$A$4:$D$67,4,FALSE),0),"")</f>
        <v/>
      </c>
      <c r="AP1178" t="str">
        <f>IFERROR(ROUND(L1178*(K1178/$AW1178)/VLOOKUP(J1178,商品!$A$4:$D$67,4,FALSE),0),"")</f>
        <v/>
      </c>
      <c r="AQ1178" t="str">
        <f>IFERROR(ROUND(S1178*(N1178/$AX1178)/VLOOKUP(M1178,职业!$A$3:$E$16,4,FALSE),0),"")</f>
        <v/>
      </c>
      <c r="AR1178" t="str">
        <f>IFERROR(ROUND(S1178*(P1178/$AX1178)/VLOOKUP(O1178,职业!$A$3:$E$16,4,FALSE),0),"")</f>
        <v/>
      </c>
      <c r="AS1178" t="str">
        <f>IFERROR(ROUND(S1178*(R1178/$AX1178)/VLOOKUP(Q1178,职业!$A$3:$E$16,4,FALSE),0),"")</f>
        <v/>
      </c>
      <c r="AT1178" t="str">
        <f>IFERROR(ROUND(X1178*(U1178/$AY1178)/VLOOKUP(T1178,商品!$A$4:$D$67,4,FALSE),0),"")</f>
        <v/>
      </c>
      <c r="AU1178" t="str">
        <f>IFERROR(ROUND(X1178*(W1178/$AY1178)/VLOOKUP(V1178,商品!$A$4:$D$67,4,FALSE),0),"")</f>
        <v/>
      </c>
      <c r="AW1178">
        <f t="shared" si="320"/>
        <v>0</v>
      </c>
      <c r="AX1178">
        <f t="shared" si="321"/>
        <v>0</v>
      </c>
      <c r="AY1178">
        <f t="shared" si="322"/>
        <v>0</v>
      </c>
    </row>
    <row r="1179" customHeight="1" spans="1:51">
      <c r="A1179" s="18" t="s">
        <v>498</v>
      </c>
      <c r="C1179" s="18">
        <v>3</v>
      </c>
      <c r="D1179" s="1" t="s">
        <v>291</v>
      </c>
      <c r="E1179" s="1" t="s">
        <v>225</v>
      </c>
      <c r="L1179" s="18">
        <f>IFERROR(VLOOKUP($D1179&amp;$C1179,生产方式定位!$A$2:$E$38,2,FALSE)+VLOOKUP($E1179&amp;$C1179,生产方式定位!$F$3:$J$38,2,FALSE),0)</f>
        <v>0</v>
      </c>
      <c r="S1179" s="18">
        <f>IFERROR(VLOOKUP($D1179&amp;$C1179,生产方式定位!$A$2:$E$38,3,FALSE)+VLOOKUP($E1179&amp;$C1179,生产方式定位!$F$3:$J$38,3,FALSE),0)</f>
        <v>100</v>
      </c>
      <c r="X1179" s="18">
        <f>IFERROR(VLOOKUP($D1179&amp;$C1179,生产方式定位!$A$2:$E$38,5,FALSE)+VLOOKUP($E1179&amp;$C1179,生产方式定位!$F$3:$J$38,5,FALSE),"错误")</f>
        <v>100</v>
      </c>
      <c r="Y1179" s="27" t="str">
        <f t="shared" si="306"/>
        <v/>
      </c>
      <c r="Z1179" s="50" t="str">
        <f t="shared" si="309"/>
        <v/>
      </c>
      <c r="AA1179" s="50" t="str">
        <f t="shared" si="307"/>
        <v/>
      </c>
      <c r="AB1179" s="28" t="str">
        <f t="shared" si="310"/>
        <v/>
      </c>
      <c r="AC1179" s="1" t="str">
        <f t="shared" si="311"/>
        <v/>
      </c>
      <c r="AD1179" s="52">
        <f t="shared" si="308"/>
        <v>3</v>
      </c>
      <c r="AE1179" t="str">
        <f t="shared" si="312"/>
        <v/>
      </c>
      <c r="AF1179" t="str">
        <f t="shared" si="313"/>
        <v/>
      </c>
      <c r="AG1179" t="str">
        <f t="shared" si="314"/>
        <v/>
      </c>
      <c r="AH1179" t="str">
        <f t="shared" si="315"/>
        <v/>
      </c>
      <c r="AI1179" t="str">
        <f t="shared" si="316"/>
        <v/>
      </c>
      <c r="AJ1179" t="str">
        <f t="shared" si="317"/>
        <v/>
      </c>
      <c r="AK1179" t="str">
        <f t="shared" si="318"/>
        <v/>
      </c>
      <c r="AL1179" t="str">
        <f t="shared" si="319"/>
        <v/>
      </c>
      <c r="AN1179" t="str">
        <f>IFERROR(ROUND(L1179*(G1179/$AW1179)/VLOOKUP(F1179,商品!$A$4:$D$67,4,FALSE),0),"")</f>
        <v/>
      </c>
      <c r="AO1179" t="str">
        <f>IFERROR(ROUND(L1179*(I1179/$AW1179)/VLOOKUP(H1179,商品!$A$4:$D$67,4,FALSE),0),"")</f>
        <v/>
      </c>
      <c r="AP1179" t="str">
        <f>IFERROR(ROUND(L1179*(K1179/$AW1179)/VLOOKUP(J1179,商品!$A$4:$D$67,4,FALSE),0),"")</f>
        <v/>
      </c>
      <c r="AQ1179" t="str">
        <f>IFERROR(ROUND(S1179*(N1179/$AX1179)/VLOOKUP(M1179,职业!$A$3:$E$16,4,FALSE),0),"")</f>
        <v/>
      </c>
      <c r="AR1179" t="str">
        <f>IFERROR(ROUND(S1179*(P1179/$AX1179)/VLOOKUP(O1179,职业!$A$3:$E$16,4,FALSE),0),"")</f>
        <v/>
      </c>
      <c r="AS1179" t="str">
        <f>IFERROR(ROUND(S1179*(R1179/$AX1179)/VLOOKUP(Q1179,职业!$A$3:$E$16,4,FALSE),0),"")</f>
        <v/>
      </c>
      <c r="AT1179" t="str">
        <f>IFERROR(ROUND(X1179*(U1179/$AY1179)/VLOOKUP(T1179,商品!$A$4:$D$67,4,FALSE),0),"")</f>
        <v/>
      </c>
      <c r="AU1179" t="str">
        <f>IFERROR(ROUND(X1179*(W1179/$AY1179)/VLOOKUP(V1179,商品!$A$4:$D$67,4,FALSE),0),"")</f>
        <v/>
      </c>
      <c r="AW1179">
        <f t="shared" si="320"/>
        <v>0</v>
      </c>
      <c r="AX1179">
        <f t="shared" si="321"/>
        <v>0</v>
      </c>
      <c r="AY1179">
        <f t="shared" si="322"/>
        <v>0</v>
      </c>
    </row>
    <row r="1180" customHeight="1" spans="1:51">
      <c r="A1180" s="18" t="s">
        <v>498</v>
      </c>
      <c r="C1180" s="18">
        <v>4</v>
      </c>
      <c r="D1180" s="1" t="s">
        <v>291</v>
      </c>
      <c r="E1180" s="1" t="s">
        <v>225</v>
      </c>
      <c r="L1180" s="18">
        <f>IFERROR(VLOOKUP($D1180&amp;$C1180,生产方式定位!$A$2:$E$38,2,FALSE)+VLOOKUP($E1180&amp;$C1180,生产方式定位!$F$3:$J$38,2,FALSE),0)</f>
        <v>0</v>
      </c>
      <c r="S1180" s="18">
        <f>IFERROR(VLOOKUP($D1180&amp;$C1180,生产方式定位!$A$2:$E$38,3,FALSE)+VLOOKUP($E1180&amp;$C1180,生产方式定位!$F$3:$J$38,3,FALSE),0)</f>
        <v>100</v>
      </c>
      <c r="X1180" s="18">
        <f>IFERROR(VLOOKUP($D1180&amp;$C1180,生产方式定位!$A$2:$E$38,5,FALSE)+VLOOKUP($E1180&amp;$C1180,生产方式定位!$F$3:$J$38,5,FALSE),"错误")</f>
        <v>100</v>
      </c>
      <c r="Y1180" s="27" t="str">
        <f t="shared" si="306"/>
        <v/>
      </c>
      <c r="Z1180" s="50" t="str">
        <f t="shared" si="309"/>
        <v/>
      </c>
      <c r="AA1180" s="50" t="str">
        <f t="shared" si="307"/>
        <v/>
      </c>
      <c r="AB1180" s="28" t="str">
        <f t="shared" si="310"/>
        <v/>
      </c>
      <c r="AC1180" s="1" t="str">
        <f t="shared" si="311"/>
        <v/>
      </c>
      <c r="AD1180" s="52">
        <f t="shared" si="308"/>
        <v>4</v>
      </c>
      <c r="AE1180" t="str">
        <f t="shared" si="312"/>
        <v/>
      </c>
      <c r="AF1180" t="str">
        <f t="shared" si="313"/>
        <v/>
      </c>
      <c r="AG1180" t="str">
        <f t="shared" si="314"/>
        <v/>
      </c>
      <c r="AH1180" t="str">
        <f t="shared" si="315"/>
        <v/>
      </c>
      <c r="AI1180" t="str">
        <f t="shared" si="316"/>
        <v/>
      </c>
      <c r="AJ1180" t="str">
        <f t="shared" si="317"/>
        <v/>
      </c>
      <c r="AK1180" t="str">
        <f t="shared" si="318"/>
        <v/>
      </c>
      <c r="AL1180" t="str">
        <f t="shared" si="319"/>
        <v/>
      </c>
      <c r="AN1180" t="str">
        <f>IFERROR(ROUND(L1180*(G1180/$AW1180)/VLOOKUP(F1180,商品!$A$4:$D$67,4,FALSE),0),"")</f>
        <v/>
      </c>
      <c r="AO1180" t="str">
        <f>IFERROR(ROUND(L1180*(I1180/$AW1180)/VLOOKUP(H1180,商品!$A$4:$D$67,4,FALSE),0),"")</f>
        <v/>
      </c>
      <c r="AP1180" t="str">
        <f>IFERROR(ROUND(L1180*(K1180/$AW1180)/VLOOKUP(J1180,商品!$A$4:$D$67,4,FALSE),0),"")</f>
        <v/>
      </c>
      <c r="AQ1180" t="str">
        <f>IFERROR(ROUND(S1180*(N1180/$AX1180)/VLOOKUP(M1180,职业!$A$3:$E$16,4,FALSE),0),"")</f>
        <v/>
      </c>
      <c r="AR1180" t="str">
        <f>IFERROR(ROUND(S1180*(P1180/$AX1180)/VLOOKUP(O1180,职业!$A$3:$E$16,4,FALSE),0),"")</f>
        <v/>
      </c>
      <c r="AS1180" t="str">
        <f>IFERROR(ROUND(S1180*(R1180/$AX1180)/VLOOKUP(Q1180,职业!$A$3:$E$16,4,FALSE),0),"")</f>
        <v/>
      </c>
      <c r="AT1180" t="str">
        <f>IFERROR(ROUND(X1180*(U1180/$AY1180)/VLOOKUP(T1180,商品!$A$4:$D$67,4,FALSE),0),"")</f>
        <v/>
      </c>
      <c r="AU1180" t="str">
        <f>IFERROR(ROUND(X1180*(W1180/$AY1180)/VLOOKUP(V1180,商品!$A$4:$D$67,4,FALSE),0),"")</f>
        <v/>
      </c>
      <c r="AW1180">
        <f t="shared" si="320"/>
        <v>0</v>
      </c>
      <c r="AX1180">
        <f t="shared" si="321"/>
        <v>0</v>
      </c>
      <c r="AY1180">
        <f t="shared" si="322"/>
        <v>0</v>
      </c>
    </row>
    <row r="1181" customHeight="1" spans="1:51">
      <c r="A1181" s="18" t="s">
        <v>498</v>
      </c>
      <c r="C1181" s="18">
        <v>5</v>
      </c>
      <c r="D1181" s="1" t="s">
        <v>291</v>
      </c>
      <c r="E1181" s="1" t="s">
        <v>225</v>
      </c>
      <c r="L1181" s="18">
        <f>IFERROR(VLOOKUP($D1181&amp;$C1181,生产方式定位!$A$2:$E$38,2,FALSE)+VLOOKUP($E1181&amp;$C1181,生产方式定位!$F$3:$J$38,2,FALSE),0)</f>
        <v>0</v>
      </c>
      <c r="S1181" s="18">
        <f>IFERROR(VLOOKUP($D1181&amp;$C1181,生产方式定位!$A$2:$E$38,3,FALSE)+VLOOKUP($E1181&amp;$C1181,生产方式定位!$F$3:$J$38,3,FALSE),0)</f>
        <v>100</v>
      </c>
      <c r="X1181" s="18">
        <f>IFERROR(VLOOKUP($D1181&amp;$C1181,生产方式定位!$A$2:$E$38,5,FALSE)+VLOOKUP($E1181&amp;$C1181,生产方式定位!$F$3:$J$38,5,FALSE),"错误")</f>
        <v>100</v>
      </c>
      <c r="Y1181" s="27" t="str">
        <f t="shared" si="306"/>
        <v/>
      </c>
      <c r="Z1181" s="50" t="str">
        <f t="shared" si="309"/>
        <v/>
      </c>
      <c r="AA1181" s="50" t="str">
        <f t="shared" si="307"/>
        <v/>
      </c>
      <c r="AB1181" s="28" t="str">
        <f t="shared" si="310"/>
        <v/>
      </c>
      <c r="AC1181" s="1" t="str">
        <f t="shared" si="311"/>
        <v/>
      </c>
      <c r="AD1181" s="52">
        <f t="shared" si="308"/>
        <v>5</v>
      </c>
      <c r="AE1181" t="str">
        <f t="shared" si="312"/>
        <v/>
      </c>
      <c r="AF1181" t="str">
        <f t="shared" si="313"/>
        <v/>
      </c>
      <c r="AG1181" t="str">
        <f t="shared" si="314"/>
        <v/>
      </c>
      <c r="AH1181" t="str">
        <f t="shared" si="315"/>
        <v/>
      </c>
      <c r="AI1181" t="str">
        <f t="shared" si="316"/>
        <v/>
      </c>
      <c r="AJ1181" t="str">
        <f t="shared" si="317"/>
        <v/>
      </c>
      <c r="AK1181" t="str">
        <f t="shared" si="318"/>
        <v/>
      </c>
      <c r="AL1181" t="str">
        <f t="shared" si="319"/>
        <v/>
      </c>
      <c r="AN1181" t="str">
        <f>IFERROR(ROUND(L1181*(G1181/$AW1181)/VLOOKUP(F1181,商品!$A$4:$D$67,4,FALSE),0),"")</f>
        <v/>
      </c>
      <c r="AO1181" t="str">
        <f>IFERROR(ROUND(L1181*(I1181/$AW1181)/VLOOKUP(H1181,商品!$A$4:$D$67,4,FALSE),0),"")</f>
        <v/>
      </c>
      <c r="AP1181" t="str">
        <f>IFERROR(ROUND(L1181*(K1181/$AW1181)/VLOOKUP(J1181,商品!$A$4:$D$67,4,FALSE),0),"")</f>
        <v/>
      </c>
      <c r="AQ1181" t="str">
        <f>IFERROR(ROUND(S1181*(N1181/$AX1181)/VLOOKUP(M1181,职业!$A$3:$E$16,4,FALSE),0),"")</f>
        <v/>
      </c>
      <c r="AR1181" t="str">
        <f>IFERROR(ROUND(S1181*(P1181/$AX1181)/VLOOKUP(O1181,职业!$A$3:$E$16,4,FALSE),0),"")</f>
        <v/>
      </c>
      <c r="AS1181" t="str">
        <f>IFERROR(ROUND(S1181*(R1181/$AX1181)/VLOOKUP(Q1181,职业!$A$3:$E$16,4,FALSE),0),"")</f>
        <v/>
      </c>
      <c r="AT1181" t="str">
        <f>IFERROR(ROUND(X1181*(U1181/$AY1181)/VLOOKUP(T1181,商品!$A$4:$D$67,4,FALSE),0),"")</f>
        <v/>
      </c>
      <c r="AU1181" t="str">
        <f>IFERROR(ROUND(X1181*(W1181/$AY1181)/VLOOKUP(V1181,商品!$A$4:$D$67,4,FALSE),0),"")</f>
        <v/>
      </c>
      <c r="AW1181">
        <f t="shared" si="320"/>
        <v>0</v>
      </c>
      <c r="AX1181">
        <f t="shared" si="321"/>
        <v>0</v>
      </c>
      <c r="AY1181">
        <f t="shared" si="322"/>
        <v>0</v>
      </c>
    </row>
    <row r="1182" customHeight="1" spans="1:51">
      <c r="A1182" s="18" t="s">
        <v>498</v>
      </c>
      <c r="C1182" s="18">
        <v>6</v>
      </c>
      <c r="D1182" s="1" t="s">
        <v>291</v>
      </c>
      <c r="E1182" s="1" t="s">
        <v>225</v>
      </c>
      <c r="L1182" s="18">
        <f>IFERROR(VLOOKUP($D1182&amp;$C1182,生产方式定位!$A$2:$E$38,2,FALSE)+VLOOKUP($E1182&amp;$C1182,生产方式定位!$F$3:$J$38,2,FALSE),0)</f>
        <v>0</v>
      </c>
      <c r="S1182" s="18">
        <f>IFERROR(VLOOKUP($D1182&amp;$C1182,生产方式定位!$A$2:$E$38,3,FALSE)+VLOOKUP($E1182&amp;$C1182,生产方式定位!$F$3:$J$38,3,FALSE),0)</f>
        <v>100</v>
      </c>
      <c r="X1182" s="18">
        <f>IFERROR(VLOOKUP($D1182&amp;$C1182,生产方式定位!$A$2:$E$38,5,FALSE)+VLOOKUP($E1182&amp;$C1182,生产方式定位!$F$3:$J$38,5,FALSE),"错误")</f>
        <v>100</v>
      </c>
      <c r="Y1182" s="27" t="str">
        <f t="shared" si="306"/>
        <v/>
      </c>
      <c r="Z1182" s="50" t="str">
        <f t="shared" si="309"/>
        <v/>
      </c>
      <c r="AA1182" s="50" t="str">
        <f t="shared" si="307"/>
        <v/>
      </c>
      <c r="AB1182" s="28" t="str">
        <f t="shared" si="310"/>
        <v/>
      </c>
      <c r="AC1182" s="1" t="str">
        <f t="shared" si="311"/>
        <v/>
      </c>
      <c r="AD1182" s="52">
        <f t="shared" si="308"/>
        <v>6</v>
      </c>
      <c r="AE1182" t="str">
        <f t="shared" si="312"/>
        <v/>
      </c>
      <c r="AF1182" t="str">
        <f t="shared" si="313"/>
        <v/>
      </c>
      <c r="AG1182" t="str">
        <f t="shared" si="314"/>
        <v/>
      </c>
      <c r="AH1182" t="str">
        <f t="shared" si="315"/>
        <v/>
      </c>
      <c r="AI1182" t="str">
        <f t="shared" si="316"/>
        <v/>
      </c>
      <c r="AJ1182" t="str">
        <f t="shared" si="317"/>
        <v/>
      </c>
      <c r="AK1182" t="str">
        <f t="shared" si="318"/>
        <v/>
      </c>
      <c r="AL1182" t="str">
        <f t="shared" si="319"/>
        <v/>
      </c>
      <c r="AN1182" t="str">
        <f>IFERROR(ROUND(L1182*(G1182/$AW1182)/VLOOKUP(F1182,商品!$A$4:$D$67,4,FALSE),0),"")</f>
        <v/>
      </c>
      <c r="AO1182" t="str">
        <f>IFERROR(ROUND(L1182*(I1182/$AW1182)/VLOOKUP(H1182,商品!$A$4:$D$67,4,FALSE),0),"")</f>
        <v/>
      </c>
      <c r="AP1182" t="str">
        <f>IFERROR(ROUND(L1182*(K1182/$AW1182)/VLOOKUP(J1182,商品!$A$4:$D$67,4,FALSE),0),"")</f>
        <v/>
      </c>
      <c r="AQ1182" t="str">
        <f>IFERROR(ROUND(S1182*(N1182/$AX1182)/VLOOKUP(M1182,职业!$A$3:$E$16,4,FALSE),0),"")</f>
        <v/>
      </c>
      <c r="AR1182" t="str">
        <f>IFERROR(ROUND(S1182*(P1182/$AX1182)/VLOOKUP(O1182,职业!$A$3:$E$16,4,FALSE),0),"")</f>
        <v/>
      </c>
      <c r="AS1182" t="str">
        <f>IFERROR(ROUND(S1182*(R1182/$AX1182)/VLOOKUP(Q1182,职业!$A$3:$E$16,4,FALSE),0),"")</f>
        <v/>
      </c>
      <c r="AT1182" t="str">
        <f>IFERROR(ROUND(X1182*(U1182/$AY1182)/VLOOKUP(T1182,商品!$A$4:$D$67,4,FALSE),0),"")</f>
        <v/>
      </c>
      <c r="AU1182" t="str">
        <f>IFERROR(ROUND(X1182*(W1182/$AY1182)/VLOOKUP(V1182,商品!$A$4:$D$67,4,FALSE),0),"")</f>
        <v/>
      </c>
      <c r="AW1182">
        <f t="shared" si="320"/>
        <v>0</v>
      </c>
      <c r="AX1182">
        <f t="shared" si="321"/>
        <v>0</v>
      </c>
      <c r="AY1182">
        <f t="shared" si="322"/>
        <v>0</v>
      </c>
    </row>
    <row r="1183" customHeight="1" spans="1:51">
      <c r="A1183" s="18" t="s">
        <v>498</v>
      </c>
      <c r="C1183" s="18">
        <v>7</v>
      </c>
      <c r="D1183" s="1" t="s">
        <v>291</v>
      </c>
      <c r="E1183" s="1" t="s">
        <v>225</v>
      </c>
      <c r="L1183" s="18">
        <f>IFERROR(VLOOKUP($D1183&amp;$C1183,生产方式定位!$A$2:$E$38,2,FALSE)+VLOOKUP($E1183&amp;$C1183,生产方式定位!$F$3:$J$38,2,FALSE),0)</f>
        <v>0</v>
      </c>
      <c r="S1183" s="18">
        <f>IFERROR(VLOOKUP($D1183&amp;$C1183,生产方式定位!$A$2:$E$38,3,FALSE)+VLOOKUP($E1183&amp;$C1183,生产方式定位!$F$3:$J$38,3,FALSE),0)</f>
        <v>100</v>
      </c>
      <c r="X1183" s="18">
        <f>IFERROR(VLOOKUP($D1183&amp;$C1183,生产方式定位!$A$2:$E$38,5,FALSE)+VLOOKUP($E1183&amp;$C1183,生产方式定位!$F$3:$J$38,5,FALSE),"错误")</f>
        <v>100</v>
      </c>
      <c r="Y1183" s="27" t="str">
        <f t="shared" si="306"/>
        <v/>
      </c>
      <c r="Z1183" s="50" t="str">
        <f t="shared" si="309"/>
        <v/>
      </c>
      <c r="AA1183" s="50" t="str">
        <f t="shared" si="307"/>
        <v/>
      </c>
      <c r="AB1183" s="28" t="str">
        <f t="shared" si="310"/>
        <v/>
      </c>
      <c r="AC1183" s="1" t="str">
        <f t="shared" si="311"/>
        <v/>
      </c>
      <c r="AD1183" s="52">
        <f t="shared" si="308"/>
        <v>7</v>
      </c>
      <c r="AE1183" t="str">
        <f t="shared" si="312"/>
        <v/>
      </c>
      <c r="AF1183" t="str">
        <f t="shared" si="313"/>
        <v/>
      </c>
      <c r="AG1183" t="str">
        <f t="shared" si="314"/>
        <v/>
      </c>
      <c r="AH1183" t="str">
        <f t="shared" si="315"/>
        <v/>
      </c>
      <c r="AI1183" t="str">
        <f t="shared" si="316"/>
        <v/>
      </c>
      <c r="AJ1183" t="str">
        <f t="shared" si="317"/>
        <v/>
      </c>
      <c r="AK1183" t="str">
        <f t="shared" si="318"/>
        <v/>
      </c>
      <c r="AL1183" t="str">
        <f t="shared" si="319"/>
        <v/>
      </c>
      <c r="AN1183" t="str">
        <f>IFERROR(ROUND(L1183*(G1183/$AW1183)/VLOOKUP(F1183,商品!$A$4:$D$67,4,FALSE),0),"")</f>
        <v/>
      </c>
      <c r="AO1183" t="str">
        <f>IFERROR(ROUND(L1183*(I1183/$AW1183)/VLOOKUP(H1183,商品!$A$4:$D$67,4,FALSE),0),"")</f>
        <v/>
      </c>
      <c r="AP1183" t="str">
        <f>IFERROR(ROUND(L1183*(K1183/$AW1183)/VLOOKUP(J1183,商品!$A$4:$D$67,4,FALSE),0),"")</f>
        <v/>
      </c>
      <c r="AQ1183" t="str">
        <f>IFERROR(ROUND(S1183*(N1183/$AX1183)/VLOOKUP(M1183,职业!$A$3:$E$16,4,FALSE),0),"")</f>
        <v/>
      </c>
      <c r="AR1183" t="str">
        <f>IFERROR(ROUND(S1183*(P1183/$AX1183)/VLOOKUP(O1183,职业!$A$3:$E$16,4,FALSE),0),"")</f>
        <v/>
      </c>
      <c r="AS1183" t="str">
        <f>IFERROR(ROUND(S1183*(R1183/$AX1183)/VLOOKUP(Q1183,职业!$A$3:$E$16,4,FALSE),0),"")</f>
        <v/>
      </c>
      <c r="AT1183" t="str">
        <f>IFERROR(ROUND(X1183*(U1183/$AY1183)/VLOOKUP(T1183,商品!$A$4:$D$67,4,FALSE),0),"")</f>
        <v/>
      </c>
      <c r="AU1183" t="str">
        <f>IFERROR(ROUND(X1183*(W1183/$AY1183)/VLOOKUP(V1183,商品!$A$4:$D$67,4,FALSE),0),"")</f>
        <v/>
      </c>
      <c r="AW1183">
        <f t="shared" si="320"/>
        <v>0</v>
      </c>
      <c r="AX1183">
        <f t="shared" si="321"/>
        <v>0</v>
      </c>
      <c r="AY1183">
        <f t="shared" si="322"/>
        <v>0</v>
      </c>
    </row>
    <row r="1184" customHeight="1" spans="1:51">
      <c r="A1184" s="18" t="s">
        <v>498</v>
      </c>
      <c r="C1184" s="18">
        <v>8</v>
      </c>
      <c r="D1184" s="1" t="s">
        <v>291</v>
      </c>
      <c r="E1184" s="1" t="s">
        <v>225</v>
      </c>
      <c r="L1184" s="18">
        <f>IFERROR(VLOOKUP($D1184&amp;$C1184,生产方式定位!$A$2:$E$38,2,FALSE)+VLOOKUP($E1184&amp;$C1184,生产方式定位!$F$3:$J$38,2,FALSE),0)</f>
        <v>0</v>
      </c>
      <c r="S1184" s="18">
        <f>IFERROR(VLOOKUP($D1184&amp;$C1184,生产方式定位!$A$2:$E$38,3,FALSE)+VLOOKUP($E1184&amp;$C1184,生产方式定位!$F$3:$J$38,3,FALSE),0)</f>
        <v>100</v>
      </c>
      <c r="X1184" s="18">
        <f>IFERROR(VLOOKUP($D1184&amp;$C1184,生产方式定位!$A$2:$E$38,5,FALSE)+VLOOKUP($E1184&amp;$C1184,生产方式定位!$F$3:$J$38,5,FALSE),"错误")</f>
        <v>100</v>
      </c>
      <c r="Y1184" s="27" t="str">
        <f t="shared" si="306"/>
        <v/>
      </c>
      <c r="Z1184" s="50" t="str">
        <f t="shared" si="309"/>
        <v/>
      </c>
      <c r="AA1184" s="50" t="str">
        <f t="shared" si="307"/>
        <v/>
      </c>
      <c r="AB1184" s="28" t="str">
        <f t="shared" si="310"/>
        <v/>
      </c>
      <c r="AC1184" s="1" t="str">
        <f t="shared" si="311"/>
        <v/>
      </c>
      <c r="AD1184" s="52">
        <f t="shared" si="308"/>
        <v>8</v>
      </c>
      <c r="AE1184" t="str">
        <f t="shared" si="312"/>
        <v/>
      </c>
      <c r="AF1184" t="str">
        <f t="shared" si="313"/>
        <v/>
      </c>
      <c r="AG1184" t="str">
        <f t="shared" si="314"/>
        <v/>
      </c>
      <c r="AH1184" t="str">
        <f t="shared" si="315"/>
        <v/>
      </c>
      <c r="AI1184" t="str">
        <f t="shared" si="316"/>
        <v/>
      </c>
      <c r="AJ1184" t="str">
        <f t="shared" si="317"/>
        <v/>
      </c>
      <c r="AK1184" t="str">
        <f t="shared" si="318"/>
        <v/>
      </c>
      <c r="AL1184" t="str">
        <f t="shared" si="319"/>
        <v/>
      </c>
      <c r="AN1184" t="str">
        <f>IFERROR(ROUND(L1184*(G1184/$AW1184)/VLOOKUP(F1184,商品!$A$4:$D$67,4,FALSE),0),"")</f>
        <v/>
      </c>
      <c r="AO1184" t="str">
        <f>IFERROR(ROUND(L1184*(I1184/$AW1184)/VLOOKUP(H1184,商品!$A$4:$D$67,4,FALSE),0),"")</f>
        <v/>
      </c>
      <c r="AP1184" t="str">
        <f>IFERROR(ROUND(L1184*(K1184/$AW1184)/VLOOKUP(J1184,商品!$A$4:$D$67,4,FALSE),0),"")</f>
        <v/>
      </c>
      <c r="AQ1184" t="str">
        <f>IFERROR(ROUND(S1184*(N1184/$AX1184)/VLOOKUP(M1184,职业!$A$3:$E$16,4,FALSE),0),"")</f>
        <v/>
      </c>
      <c r="AR1184" t="str">
        <f>IFERROR(ROUND(S1184*(P1184/$AX1184)/VLOOKUP(O1184,职业!$A$3:$E$16,4,FALSE),0),"")</f>
        <v/>
      </c>
      <c r="AS1184" t="str">
        <f>IFERROR(ROUND(S1184*(R1184/$AX1184)/VLOOKUP(Q1184,职业!$A$3:$E$16,4,FALSE),0),"")</f>
        <v/>
      </c>
      <c r="AT1184" t="str">
        <f>IFERROR(ROUND(X1184*(U1184/$AY1184)/VLOOKUP(T1184,商品!$A$4:$D$67,4,FALSE),0),"")</f>
        <v/>
      </c>
      <c r="AU1184" t="str">
        <f>IFERROR(ROUND(X1184*(W1184/$AY1184)/VLOOKUP(V1184,商品!$A$4:$D$67,4,FALSE),0),"")</f>
        <v/>
      </c>
      <c r="AW1184">
        <f t="shared" si="320"/>
        <v>0</v>
      </c>
      <c r="AX1184">
        <f t="shared" si="321"/>
        <v>0</v>
      </c>
      <c r="AY1184">
        <f t="shared" si="322"/>
        <v>0</v>
      </c>
    </row>
    <row r="1185" customHeight="1" spans="1:51">
      <c r="A1185" s="5" t="s">
        <v>500</v>
      </c>
      <c r="C1185" s="5">
        <v>1</v>
      </c>
      <c r="D1185" s="1" t="s">
        <v>220</v>
      </c>
      <c r="E1185" s="1" t="s">
        <v>222</v>
      </c>
      <c r="L1185" s="5">
        <f>IFERROR(VLOOKUP($D1185&amp;$C1185,生产方式定位!$A$2:$E$38,2,FALSE)+VLOOKUP($E1185&amp;$C1185,生产方式定位!$F$3:$J$38,2,FALSE),0)</f>
        <v>500</v>
      </c>
      <c r="S1185" s="5">
        <f>IFERROR(VLOOKUP($D1185&amp;$C1185,生产方式定位!$A$2:$E$38,3,FALSE)+VLOOKUP($E1185&amp;$C1185,生产方式定位!$F$3:$J$38,3,FALSE),0)</f>
        <v>150</v>
      </c>
      <c r="X1185" s="5">
        <f>IFERROR(VLOOKUP($D1185&amp;$C1185,生产方式定位!$A$2:$E$38,5,FALSE)+VLOOKUP($E1185&amp;$C1185,生产方式定位!$F$3:$J$38,5,FALSE),"错误")</f>
        <v>715</v>
      </c>
      <c r="Y1185" s="27" t="str">
        <f t="shared" si="306"/>
        <v/>
      </c>
      <c r="Z1185" s="50" t="str">
        <f t="shared" si="309"/>
        <v/>
      </c>
      <c r="AA1185" s="50" t="str">
        <f t="shared" si="307"/>
        <v/>
      </c>
      <c r="AB1185" s="28" t="str">
        <f t="shared" si="310"/>
        <v>43%</v>
      </c>
      <c r="AC1185" s="1">
        <f t="shared" si="311"/>
        <v>65</v>
      </c>
      <c r="AD1185" s="51">
        <f t="shared" si="308"/>
        <v>1</v>
      </c>
      <c r="AE1185" t="str">
        <f t="shared" si="312"/>
        <v/>
      </c>
      <c r="AF1185" t="str">
        <f t="shared" si="313"/>
        <v/>
      </c>
      <c r="AG1185" t="str">
        <f t="shared" si="314"/>
        <v/>
      </c>
      <c r="AH1185" t="str">
        <f t="shared" si="315"/>
        <v/>
      </c>
      <c r="AI1185" t="str">
        <f t="shared" si="316"/>
        <v/>
      </c>
      <c r="AJ1185" t="str">
        <f t="shared" si="317"/>
        <v/>
      </c>
      <c r="AK1185" t="str">
        <f t="shared" si="318"/>
        <v/>
      </c>
      <c r="AL1185" t="str">
        <f t="shared" si="319"/>
        <v/>
      </c>
      <c r="AN1185" t="str">
        <f>IFERROR(ROUND(L1185*(G1185/$AW1185)/VLOOKUP(F1185,商品!$A$4:$D$67,4,FALSE),0),"")</f>
        <v/>
      </c>
      <c r="AO1185" t="str">
        <f>IFERROR(ROUND(L1185*(I1185/$AW1185)/VLOOKUP(H1185,商品!$A$4:$D$67,4,FALSE),0),"")</f>
        <v/>
      </c>
      <c r="AP1185" t="str">
        <f>IFERROR(ROUND(L1185*(K1185/$AW1185)/VLOOKUP(J1185,商品!$A$4:$D$67,4,FALSE),0),"")</f>
        <v/>
      </c>
      <c r="AQ1185" t="str">
        <f>IFERROR(ROUND(S1185*(N1185/$AX1185)/VLOOKUP(M1185,职业!$A$3:$E$16,4,FALSE),0),"")</f>
        <v/>
      </c>
      <c r="AR1185" t="str">
        <f>IFERROR(ROUND(S1185*(P1185/$AX1185)/VLOOKUP(O1185,职业!$A$3:$E$16,4,FALSE),0),"")</f>
        <v/>
      </c>
      <c r="AS1185" t="str">
        <f>IFERROR(ROUND(S1185*(R1185/$AX1185)/VLOOKUP(Q1185,职业!$A$3:$E$16,4,FALSE),0),"")</f>
        <v/>
      </c>
      <c r="AT1185" t="str">
        <f>IFERROR(ROUND(X1185*(U1185/$AY1185)/VLOOKUP(T1185,商品!$A$4:$D$67,4,FALSE),0),"")</f>
        <v/>
      </c>
      <c r="AU1185" t="str">
        <f>IFERROR(ROUND(X1185*(W1185/$AY1185)/VLOOKUP(V1185,商品!$A$4:$D$67,4,FALSE),0),"")</f>
        <v/>
      </c>
      <c r="AW1185">
        <f t="shared" si="320"/>
        <v>0</v>
      </c>
      <c r="AX1185">
        <f t="shared" si="321"/>
        <v>0</v>
      </c>
      <c r="AY1185">
        <f t="shared" si="322"/>
        <v>0</v>
      </c>
    </row>
    <row r="1186" customHeight="1" spans="1:51">
      <c r="A1186" s="5" t="s">
        <v>500</v>
      </c>
      <c r="C1186" s="5">
        <v>2</v>
      </c>
      <c r="D1186" s="1" t="s">
        <v>220</v>
      </c>
      <c r="E1186" s="1" t="s">
        <v>222</v>
      </c>
      <c r="L1186" s="5">
        <f>IFERROR(VLOOKUP($D1186&amp;$C1186,生产方式定位!$A$2:$E$38,2,FALSE)+VLOOKUP($E1186&amp;$C1186,生产方式定位!$F$3:$J$38,2,FALSE),0)</f>
        <v>1200</v>
      </c>
      <c r="S1186" s="5">
        <f>IFERROR(VLOOKUP($D1186&amp;$C1186,生产方式定位!$A$2:$E$38,3,FALSE)+VLOOKUP($E1186&amp;$C1186,生产方式定位!$F$3:$J$38,3,FALSE),0)</f>
        <v>140</v>
      </c>
      <c r="X1186" s="5">
        <f>IFERROR(VLOOKUP($D1186&amp;$C1186,生产方式定位!$A$2:$E$38,5,FALSE)+VLOOKUP($E1186&amp;$C1186,生产方式定位!$F$3:$J$38,5,FALSE),"错误")</f>
        <v>1390</v>
      </c>
      <c r="Y1186" s="27" t="str">
        <f t="shared" si="306"/>
        <v/>
      </c>
      <c r="Z1186" s="50" t="str">
        <f t="shared" si="309"/>
        <v/>
      </c>
      <c r="AA1186" s="50" t="str">
        <f t="shared" si="307"/>
        <v/>
      </c>
      <c r="AB1186" s="28" t="str">
        <f t="shared" si="310"/>
        <v>16%</v>
      </c>
      <c r="AC1186" s="1">
        <f t="shared" si="311"/>
        <v>50</v>
      </c>
      <c r="AD1186" s="51">
        <f t="shared" si="308"/>
        <v>2</v>
      </c>
      <c r="AE1186" t="str">
        <f t="shared" si="312"/>
        <v/>
      </c>
      <c r="AF1186" t="str">
        <f t="shared" si="313"/>
        <v/>
      </c>
      <c r="AG1186" t="str">
        <f t="shared" si="314"/>
        <v/>
      </c>
      <c r="AH1186" t="str">
        <f t="shared" si="315"/>
        <v/>
      </c>
      <c r="AI1186" t="str">
        <f t="shared" si="316"/>
        <v/>
      </c>
      <c r="AJ1186" t="str">
        <f t="shared" si="317"/>
        <v/>
      </c>
      <c r="AK1186" t="str">
        <f t="shared" si="318"/>
        <v/>
      </c>
      <c r="AL1186" t="str">
        <f t="shared" si="319"/>
        <v/>
      </c>
      <c r="AN1186" t="str">
        <f>IFERROR(ROUND(L1186*(G1186/$AW1186)/VLOOKUP(F1186,商品!$A$4:$D$67,4,FALSE),0),"")</f>
        <v/>
      </c>
      <c r="AO1186" t="str">
        <f>IFERROR(ROUND(L1186*(I1186/$AW1186)/VLOOKUP(H1186,商品!$A$4:$D$67,4,FALSE),0),"")</f>
        <v/>
      </c>
      <c r="AP1186" t="str">
        <f>IFERROR(ROUND(L1186*(K1186/$AW1186)/VLOOKUP(J1186,商品!$A$4:$D$67,4,FALSE),0),"")</f>
        <v/>
      </c>
      <c r="AQ1186" t="str">
        <f>IFERROR(ROUND(S1186*(N1186/$AX1186)/VLOOKUP(M1186,职业!$A$3:$E$16,4,FALSE),0),"")</f>
        <v/>
      </c>
      <c r="AR1186" t="str">
        <f>IFERROR(ROUND(S1186*(P1186/$AX1186)/VLOOKUP(O1186,职业!$A$3:$E$16,4,FALSE),0),"")</f>
        <v/>
      </c>
      <c r="AS1186" t="str">
        <f>IFERROR(ROUND(S1186*(R1186/$AX1186)/VLOOKUP(Q1186,职业!$A$3:$E$16,4,FALSE),0),"")</f>
        <v/>
      </c>
      <c r="AT1186" t="str">
        <f>IFERROR(ROUND(X1186*(U1186/$AY1186)/VLOOKUP(T1186,商品!$A$4:$D$67,4,FALSE),0),"")</f>
        <v/>
      </c>
      <c r="AU1186" t="str">
        <f>IFERROR(ROUND(X1186*(W1186/$AY1186)/VLOOKUP(V1186,商品!$A$4:$D$67,4,FALSE),0),"")</f>
        <v/>
      </c>
      <c r="AW1186">
        <f t="shared" si="320"/>
        <v>0</v>
      </c>
      <c r="AX1186">
        <f t="shared" si="321"/>
        <v>0</v>
      </c>
      <c r="AY1186">
        <f t="shared" si="322"/>
        <v>0</v>
      </c>
    </row>
    <row r="1187" customHeight="1" spans="1:51">
      <c r="A1187" s="5" t="s">
        <v>500</v>
      </c>
      <c r="C1187" s="5">
        <v>3</v>
      </c>
      <c r="D1187" s="1" t="s">
        <v>220</v>
      </c>
      <c r="E1187" s="1" t="s">
        <v>222</v>
      </c>
      <c r="L1187" s="5">
        <f>IFERROR(VLOOKUP($D1187&amp;$C1187,生产方式定位!$A$2:$E$38,2,FALSE)+VLOOKUP($E1187&amp;$C1187,生产方式定位!$F$3:$J$38,2,FALSE),0)</f>
        <v>1525</v>
      </c>
      <c r="S1187" s="5">
        <f>IFERROR(VLOOKUP($D1187&amp;$C1187,生产方式定位!$A$2:$E$38,3,FALSE)+VLOOKUP($E1187&amp;$C1187,生产方式定位!$F$3:$J$38,3,FALSE),0)</f>
        <v>130</v>
      </c>
      <c r="X1187" s="5">
        <f>IFERROR(VLOOKUP($D1187&amp;$C1187,生产方式定位!$A$2:$E$38,5,FALSE)+VLOOKUP($E1187&amp;$C1187,生产方式定位!$F$3:$J$38,5,FALSE),"错误")</f>
        <v>1718</v>
      </c>
      <c r="Y1187" s="27" t="str">
        <f t="shared" si="306"/>
        <v/>
      </c>
      <c r="Z1187" s="50" t="str">
        <f t="shared" si="309"/>
        <v/>
      </c>
      <c r="AA1187" s="50" t="str">
        <f t="shared" si="307"/>
        <v/>
      </c>
      <c r="AB1187" s="28" t="str">
        <f t="shared" si="310"/>
        <v>13%</v>
      </c>
      <c r="AC1187" s="1">
        <f t="shared" si="311"/>
        <v>63</v>
      </c>
      <c r="AD1187" s="51">
        <f t="shared" si="308"/>
        <v>3</v>
      </c>
      <c r="AE1187" t="str">
        <f t="shared" si="312"/>
        <v/>
      </c>
      <c r="AF1187" t="str">
        <f t="shared" si="313"/>
        <v/>
      </c>
      <c r="AG1187" t="str">
        <f t="shared" si="314"/>
        <v/>
      </c>
      <c r="AH1187" t="str">
        <f t="shared" si="315"/>
        <v/>
      </c>
      <c r="AI1187" t="str">
        <f t="shared" si="316"/>
        <v/>
      </c>
      <c r="AJ1187" t="str">
        <f t="shared" si="317"/>
        <v/>
      </c>
      <c r="AK1187" t="str">
        <f t="shared" si="318"/>
        <v/>
      </c>
      <c r="AL1187" t="str">
        <f t="shared" si="319"/>
        <v/>
      </c>
      <c r="AN1187" t="str">
        <f>IFERROR(ROUND(L1187*(G1187/$AW1187)/VLOOKUP(F1187,商品!$A$4:$D$67,4,FALSE),0),"")</f>
        <v/>
      </c>
      <c r="AO1187" t="str">
        <f>IFERROR(ROUND(L1187*(I1187/$AW1187)/VLOOKUP(H1187,商品!$A$4:$D$67,4,FALSE),0),"")</f>
        <v/>
      </c>
      <c r="AP1187" t="str">
        <f>IFERROR(ROUND(L1187*(K1187/$AW1187)/VLOOKUP(J1187,商品!$A$4:$D$67,4,FALSE),0),"")</f>
        <v/>
      </c>
      <c r="AQ1187" t="str">
        <f>IFERROR(ROUND(S1187*(N1187/$AX1187)/VLOOKUP(M1187,职业!$A$3:$E$16,4,FALSE),0),"")</f>
        <v/>
      </c>
      <c r="AR1187" t="str">
        <f>IFERROR(ROUND(S1187*(P1187/$AX1187)/VLOOKUP(O1187,职业!$A$3:$E$16,4,FALSE),0),"")</f>
        <v/>
      </c>
      <c r="AS1187" t="str">
        <f>IFERROR(ROUND(S1187*(R1187/$AX1187)/VLOOKUP(Q1187,职业!$A$3:$E$16,4,FALSE),0),"")</f>
        <v/>
      </c>
      <c r="AT1187" t="str">
        <f>IFERROR(ROUND(X1187*(U1187/$AY1187)/VLOOKUP(T1187,商品!$A$4:$D$67,4,FALSE),0),"")</f>
        <v/>
      </c>
      <c r="AU1187" t="str">
        <f>IFERROR(ROUND(X1187*(W1187/$AY1187)/VLOOKUP(V1187,商品!$A$4:$D$67,4,FALSE),0),"")</f>
        <v/>
      </c>
      <c r="AW1187">
        <f t="shared" si="320"/>
        <v>0</v>
      </c>
      <c r="AX1187">
        <f t="shared" si="321"/>
        <v>0</v>
      </c>
      <c r="AY1187">
        <f t="shared" si="322"/>
        <v>0</v>
      </c>
    </row>
    <row r="1188" customHeight="1" spans="1:51">
      <c r="A1188" s="5" t="s">
        <v>500</v>
      </c>
      <c r="C1188" s="5">
        <v>4</v>
      </c>
      <c r="D1188" s="1" t="s">
        <v>220</v>
      </c>
      <c r="E1188" s="1" t="s">
        <v>222</v>
      </c>
      <c r="L1188" s="5">
        <f>IFERROR(VLOOKUP($D1188&amp;$C1188,生产方式定位!$A$2:$E$38,2,FALSE)+VLOOKUP($E1188&amp;$C1188,生产方式定位!$F$3:$J$38,2,FALSE),0)</f>
        <v>1850</v>
      </c>
      <c r="S1188" s="5">
        <f>IFERROR(VLOOKUP($D1188&amp;$C1188,生产方式定位!$A$2:$E$38,3,FALSE)+VLOOKUP($E1188&amp;$C1188,生产方式定位!$F$3:$J$38,3,FALSE),0)</f>
        <v>120</v>
      </c>
      <c r="X1188" s="5">
        <f>IFERROR(VLOOKUP($D1188&amp;$C1188,生产方式定位!$A$2:$E$38,5,FALSE)+VLOOKUP($E1188&amp;$C1188,生产方式定位!$F$3:$J$38,5,FALSE),"错误")</f>
        <v>2045</v>
      </c>
      <c r="Y1188" s="27" t="str">
        <f t="shared" si="306"/>
        <v/>
      </c>
      <c r="Z1188" s="50" t="str">
        <f t="shared" si="309"/>
        <v/>
      </c>
      <c r="AA1188" s="50" t="str">
        <f t="shared" si="307"/>
        <v/>
      </c>
      <c r="AB1188" s="28" t="str">
        <f t="shared" si="310"/>
        <v>11%</v>
      </c>
      <c r="AC1188" s="1">
        <f t="shared" si="311"/>
        <v>75</v>
      </c>
      <c r="AD1188" s="51">
        <f t="shared" si="308"/>
        <v>4</v>
      </c>
      <c r="AE1188" t="str">
        <f t="shared" si="312"/>
        <v/>
      </c>
      <c r="AF1188" t="str">
        <f t="shared" si="313"/>
        <v/>
      </c>
      <c r="AG1188" t="str">
        <f t="shared" si="314"/>
        <v/>
      </c>
      <c r="AH1188" t="str">
        <f t="shared" si="315"/>
        <v/>
      </c>
      <c r="AI1188" t="str">
        <f t="shared" si="316"/>
        <v/>
      </c>
      <c r="AJ1188" t="str">
        <f t="shared" si="317"/>
        <v/>
      </c>
      <c r="AK1188" t="str">
        <f t="shared" si="318"/>
        <v/>
      </c>
      <c r="AL1188" t="str">
        <f t="shared" si="319"/>
        <v/>
      </c>
      <c r="AN1188" t="str">
        <f>IFERROR(ROUND(L1188*(G1188/$AW1188)/VLOOKUP(F1188,商品!$A$4:$D$67,4,FALSE),0),"")</f>
        <v/>
      </c>
      <c r="AO1188" t="str">
        <f>IFERROR(ROUND(L1188*(I1188/$AW1188)/VLOOKUP(H1188,商品!$A$4:$D$67,4,FALSE),0),"")</f>
        <v/>
      </c>
      <c r="AP1188" t="str">
        <f>IFERROR(ROUND(L1188*(K1188/$AW1188)/VLOOKUP(J1188,商品!$A$4:$D$67,4,FALSE),0),"")</f>
        <v/>
      </c>
      <c r="AQ1188" t="str">
        <f>IFERROR(ROUND(S1188*(N1188/$AX1188)/VLOOKUP(M1188,职业!$A$3:$E$16,4,FALSE),0),"")</f>
        <v/>
      </c>
      <c r="AR1188" t="str">
        <f>IFERROR(ROUND(S1188*(P1188/$AX1188)/VLOOKUP(O1188,职业!$A$3:$E$16,4,FALSE),0),"")</f>
        <v/>
      </c>
      <c r="AS1188" t="str">
        <f>IFERROR(ROUND(S1188*(R1188/$AX1188)/VLOOKUP(Q1188,职业!$A$3:$E$16,4,FALSE),0),"")</f>
        <v/>
      </c>
      <c r="AT1188" t="str">
        <f>IFERROR(ROUND(X1188*(U1188/$AY1188)/VLOOKUP(T1188,商品!$A$4:$D$67,4,FALSE),0),"")</f>
        <v/>
      </c>
      <c r="AU1188" t="str">
        <f>IFERROR(ROUND(X1188*(W1188/$AY1188)/VLOOKUP(V1188,商品!$A$4:$D$67,4,FALSE),0),"")</f>
        <v/>
      </c>
      <c r="AW1188">
        <f t="shared" si="320"/>
        <v>0</v>
      </c>
      <c r="AX1188">
        <f t="shared" si="321"/>
        <v>0</v>
      </c>
      <c r="AY1188">
        <f t="shared" si="322"/>
        <v>0</v>
      </c>
    </row>
    <row r="1189" customHeight="1" spans="1:51">
      <c r="A1189" s="5" t="s">
        <v>500</v>
      </c>
      <c r="C1189" s="5">
        <v>5</v>
      </c>
      <c r="D1189" s="1" t="s">
        <v>220</v>
      </c>
      <c r="E1189" s="1" t="s">
        <v>222</v>
      </c>
      <c r="L1189" s="5">
        <f>IFERROR(VLOOKUP($D1189&amp;$C1189,生产方式定位!$A$2:$E$38,2,FALSE)+VLOOKUP($E1189&amp;$C1189,生产方式定位!$F$3:$J$38,2,FALSE),0)</f>
        <v>2175</v>
      </c>
      <c r="S1189" s="5">
        <f>IFERROR(VLOOKUP($D1189&amp;$C1189,生产方式定位!$A$2:$E$38,3,FALSE)+VLOOKUP($E1189&amp;$C1189,生产方式定位!$F$3:$J$38,3,FALSE),0)</f>
        <v>110</v>
      </c>
      <c r="X1189" s="5">
        <f>IFERROR(VLOOKUP($D1189&amp;$C1189,生产方式定位!$A$2:$E$38,5,FALSE)+VLOOKUP($E1189&amp;$C1189,生产方式定位!$F$3:$J$38,5,FALSE),"错误")</f>
        <v>2373</v>
      </c>
      <c r="Y1189" s="27" t="str">
        <f t="shared" si="306"/>
        <v/>
      </c>
      <c r="Z1189" s="50" t="str">
        <f t="shared" si="309"/>
        <v/>
      </c>
      <c r="AA1189" s="50" t="str">
        <f t="shared" si="307"/>
        <v/>
      </c>
      <c r="AB1189" s="28" t="str">
        <f t="shared" si="310"/>
        <v>9%</v>
      </c>
      <c r="AC1189" s="1">
        <f t="shared" si="311"/>
        <v>88</v>
      </c>
      <c r="AD1189" s="51">
        <f t="shared" si="308"/>
        <v>5</v>
      </c>
      <c r="AE1189" t="str">
        <f t="shared" si="312"/>
        <v/>
      </c>
      <c r="AF1189" t="str">
        <f t="shared" si="313"/>
        <v/>
      </c>
      <c r="AG1189" t="str">
        <f t="shared" si="314"/>
        <v/>
      </c>
      <c r="AH1189" t="str">
        <f t="shared" si="315"/>
        <v/>
      </c>
      <c r="AI1189" t="str">
        <f t="shared" si="316"/>
        <v/>
      </c>
      <c r="AJ1189" t="str">
        <f t="shared" si="317"/>
        <v/>
      </c>
      <c r="AK1189" t="str">
        <f t="shared" si="318"/>
        <v/>
      </c>
      <c r="AL1189" t="str">
        <f t="shared" si="319"/>
        <v/>
      </c>
      <c r="AN1189" t="str">
        <f>IFERROR(ROUND(L1189*(G1189/$AW1189)/VLOOKUP(F1189,商品!$A$4:$D$67,4,FALSE),0),"")</f>
        <v/>
      </c>
      <c r="AO1189" t="str">
        <f>IFERROR(ROUND(L1189*(I1189/$AW1189)/VLOOKUP(H1189,商品!$A$4:$D$67,4,FALSE),0),"")</f>
        <v/>
      </c>
      <c r="AP1189" t="str">
        <f>IFERROR(ROUND(L1189*(K1189/$AW1189)/VLOOKUP(J1189,商品!$A$4:$D$67,4,FALSE),0),"")</f>
        <v/>
      </c>
      <c r="AQ1189" t="str">
        <f>IFERROR(ROUND(S1189*(N1189/$AX1189)/VLOOKUP(M1189,职业!$A$3:$E$16,4,FALSE),0),"")</f>
        <v/>
      </c>
      <c r="AR1189" t="str">
        <f>IFERROR(ROUND(S1189*(P1189/$AX1189)/VLOOKUP(O1189,职业!$A$3:$E$16,4,FALSE),0),"")</f>
        <v/>
      </c>
      <c r="AS1189" t="str">
        <f>IFERROR(ROUND(S1189*(R1189/$AX1189)/VLOOKUP(Q1189,职业!$A$3:$E$16,4,FALSE),0),"")</f>
        <v/>
      </c>
      <c r="AT1189" t="str">
        <f>IFERROR(ROUND(X1189*(U1189/$AY1189)/VLOOKUP(T1189,商品!$A$4:$D$67,4,FALSE),0),"")</f>
        <v/>
      </c>
      <c r="AU1189" t="str">
        <f>IFERROR(ROUND(X1189*(W1189/$AY1189)/VLOOKUP(V1189,商品!$A$4:$D$67,4,FALSE),0),"")</f>
        <v/>
      </c>
      <c r="AW1189">
        <f t="shared" si="320"/>
        <v>0</v>
      </c>
      <c r="AX1189">
        <f t="shared" si="321"/>
        <v>0</v>
      </c>
      <c r="AY1189">
        <f t="shared" si="322"/>
        <v>0</v>
      </c>
    </row>
    <row r="1190" customHeight="1" spans="1:51">
      <c r="A1190" s="18" t="s">
        <v>501</v>
      </c>
      <c r="C1190" s="18">
        <v>1</v>
      </c>
      <c r="D1190" s="1" t="s">
        <v>220</v>
      </c>
      <c r="E1190" s="1" t="s">
        <v>224</v>
      </c>
      <c r="L1190" s="18">
        <f>IFERROR(VLOOKUP($D1190&amp;$C1190,生产方式定位!$A$2:$E$38,2,FALSE)+VLOOKUP($E1190&amp;$C1190,生产方式定位!$F$3:$J$38,2,FALSE),0)</f>
        <v>500</v>
      </c>
      <c r="S1190" s="18">
        <f>IFERROR(VLOOKUP($D1190&amp;$C1190,生产方式定位!$A$2:$E$38,3,FALSE)+VLOOKUP($E1190&amp;$C1190,生产方式定位!$F$3:$J$38,3,FALSE),0)</f>
        <v>150</v>
      </c>
      <c r="X1190" s="18">
        <f>IFERROR(VLOOKUP($D1190&amp;$C1190,生产方式定位!$A$2:$E$38,5,FALSE)+VLOOKUP($E1190&amp;$C1190,生产方式定位!$F$3:$J$38,5,FALSE),"错误")</f>
        <v>715</v>
      </c>
      <c r="Y1190" s="27" t="str">
        <f t="shared" si="306"/>
        <v/>
      </c>
      <c r="Z1190" s="50" t="str">
        <f t="shared" si="309"/>
        <v/>
      </c>
      <c r="AA1190" s="50" t="str">
        <f t="shared" si="307"/>
        <v/>
      </c>
      <c r="AB1190" s="28" t="str">
        <f t="shared" si="310"/>
        <v>43%</v>
      </c>
      <c r="AC1190" s="1">
        <f t="shared" si="311"/>
        <v>65</v>
      </c>
      <c r="AD1190" s="52">
        <f t="shared" si="308"/>
        <v>1</v>
      </c>
      <c r="AE1190" t="str">
        <f t="shared" si="312"/>
        <v/>
      </c>
      <c r="AF1190" t="str">
        <f t="shared" si="313"/>
        <v/>
      </c>
      <c r="AG1190" t="str">
        <f t="shared" si="314"/>
        <v/>
      </c>
      <c r="AH1190" t="str">
        <f t="shared" si="315"/>
        <v/>
      </c>
      <c r="AI1190" t="str">
        <f t="shared" si="316"/>
        <v/>
      </c>
      <c r="AJ1190" t="str">
        <f t="shared" si="317"/>
        <v/>
      </c>
      <c r="AK1190" t="str">
        <f t="shared" si="318"/>
        <v/>
      </c>
      <c r="AL1190" t="str">
        <f t="shared" si="319"/>
        <v/>
      </c>
      <c r="AN1190" t="str">
        <f>IFERROR(ROUND(L1190*(G1190/$AW1190)/VLOOKUP(F1190,商品!$A$4:$D$67,4,FALSE),0),"")</f>
        <v/>
      </c>
      <c r="AO1190" t="str">
        <f>IFERROR(ROUND(L1190*(I1190/$AW1190)/VLOOKUP(H1190,商品!$A$4:$D$67,4,FALSE),0),"")</f>
        <v/>
      </c>
      <c r="AP1190" t="str">
        <f>IFERROR(ROUND(L1190*(K1190/$AW1190)/VLOOKUP(J1190,商品!$A$4:$D$67,4,FALSE),0),"")</f>
        <v/>
      </c>
      <c r="AQ1190" t="str">
        <f>IFERROR(ROUND(S1190*(N1190/$AX1190)/VLOOKUP(M1190,职业!$A$3:$E$16,4,FALSE),0),"")</f>
        <v/>
      </c>
      <c r="AR1190" t="str">
        <f>IFERROR(ROUND(S1190*(P1190/$AX1190)/VLOOKUP(O1190,职业!$A$3:$E$16,4,FALSE),0),"")</f>
        <v/>
      </c>
      <c r="AS1190" t="str">
        <f>IFERROR(ROUND(S1190*(R1190/$AX1190)/VLOOKUP(Q1190,职业!$A$3:$E$16,4,FALSE),0),"")</f>
        <v/>
      </c>
      <c r="AT1190" t="str">
        <f>IFERROR(ROUND(X1190*(U1190/$AY1190)/VLOOKUP(T1190,商品!$A$4:$D$67,4,FALSE),0),"")</f>
        <v/>
      </c>
      <c r="AU1190" t="str">
        <f>IFERROR(ROUND(X1190*(W1190/$AY1190)/VLOOKUP(V1190,商品!$A$4:$D$67,4,FALSE),0),"")</f>
        <v/>
      </c>
      <c r="AW1190">
        <f t="shared" si="320"/>
        <v>0</v>
      </c>
      <c r="AX1190">
        <f t="shared" si="321"/>
        <v>0</v>
      </c>
      <c r="AY1190">
        <f t="shared" si="322"/>
        <v>0</v>
      </c>
    </row>
    <row r="1191" customHeight="1" spans="1:51">
      <c r="A1191" s="18" t="s">
        <v>501</v>
      </c>
      <c r="C1191" s="18">
        <v>2</v>
      </c>
      <c r="D1191" s="1" t="s">
        <v>220</v>
      </c>
      <c r="E1191" s="1" t="s">
        <v>224</v>
      </c>
      <c r="L1191" s="18">
        <f>IFERROR(VLOOKUP($D1191&amp;$C1191,生产方式定位!$A$2:$E$38,2,FALSE)+VLOOKUP($E1191&amp;$C1191,生产方式定位!$F$3:$J$38,2,FALSE),0)</f>
        <v>1200</v>
      </c>
      <c r="S1191" s="18">
        <f>IFERROR(VLOOKUP($D1191&amp;$C1191,生产方式定位!$A$2:$E$38,3,FALSE)+VLOOKUP($E1191&amp;$C1191,生产方式定位!$F$3:$J$38,3,FALSE),0)</f>
        <v>100</v>
      </c>
      <c r="X1191" s="18">
        <f>IFERROR(VLOOKUP($D1191&amp;$C1191,生产方式定位!$A$2:$E$38,5,FALSE)+VLOOKUP($E1191&amp;$C1191,生产方式定位!$F$3:$J$38,5,FALSE),"错误")</f>
        <v>1346</v>
      </c>
      <c r="Y1191" s="27" t="str">
        <f t="shared" si="306"/>
        <v/>
      </c>
      <c r="Z1191" s="50" t="str">
        <f t="shared" si="309"/>
        <v/>
      </c>
      <c r="AA1191" s="50" t="str">
        <f t="shared" si="307"/>
        <v/>
      </c>
      <c r="AB1191" s="28" t="str">
        <f t="shared" si="310"/>
        <v>12%</v>
      </c>
      <c r="AC1191" s="1">
        <f t="shared" si="311"/>
        <v>46</v>
      </c>
      <c r="AD1191" s="52">
        <f t="shared" si="308"/>
        <v>2</v>
      </c>
      <c r="AE1191" t="str">
        <f t="shared" si="312"/>
        <v/>
      </c>
      <c r="AF1191" t="str">
        <f t="shared" si="313"/>
        <v/>
      </c>
      <c r="AG1191" t="str">
        <f t="shared" si="314"/>
        <v/>
      </c>
      <c r="AH1191" t="str">
        <f t="shared" si="315"/>
        <v/>
      </c>
      <c r="AI1191" t="str">
        <f t="shared" si="316"/>
        <v/>
      </c>
      <c r="AJ1191" t="str">
        <f t="shared" si="317"/>
        <v/>
      </c>
      <c r="AK1191" t="str">
        <f t="shared" si="318"/>
        <v/>
      </c>
      <c r="AL1191" t="str">
        <f t="shared" si="319"/>
        <v/>
      </c>
      <c r="AN1191" t="str">
        <f>IFERROR(ROUND(L1191*(G1191/$AW1191)/VLOOKUP(F1191,商品!$A$4:$D$67,4,FALSE),0),"")</f>
        <v/>
      </c>
      <c r="AO1191" t="str">
        <f>IFERROR(ROUND(L1191*(I1191/$AW1191)/VLOOKUP(H1191,商品!$A$4:$D$67,4,FALSE),0),"")</f>
        <v/>
      </c>
      <c r="AP1191" t="str">
        <f>IFERROR(ROUND(L1191*(K1191/$AW1191)/VLOOKUP(J1191,商品!$A$4:$D$67,4,FALSE),0),"")</f>
        <v/>
      </c>
      <c r="AQ1191" t="str">
        <f>IFERROR(ROUND(S1191*(N1191/$AX1191)/VLOOKUP(M1191,职业!$A$3:$E$16,4,FALSE),0),"")</f>
        <v/>
      </c>
      <c r="AR1191" t="str">
        <f>IFERROR(ROUND(S1191*(P1191/$AX1191)/VLOOKUP(O1191,职业!$A$3:$E$16,4,FALSE),0),"")</f>
        <v/>
      </c>
      <c r="AS1191" t="str">
        <f>IFERROR(ROUND(S1191*(R1191/$AX1191)/VLOOKUP(Q1191,职业!$A$3:$E$16,4,FALSE),0),"")</f>
        <v/>
      </c>
      <c r="AT1191" t="str">
        <f>IFERROR(ROUND(X1191*(U1191/$AY1191)/VLOOKUP(T1191,商品!$A$4:$D$67,4,FALSE),0),"")</f>
        <v/>
      </c>
      <c r="AU1191" t="str">
        <f>IFERROR(ROUND(X1191*(W1191/$AY1191)/VLOOKUP(V1191,商品!$A$4:$D$67,4,FALSE),0),"")</f>
        <v/>
      </c>
      <c r="AW1191">
        <f t="shared" si="320"/>
        <v>0</v>
      </c>
      <c r="AX1191">
        <f t="shared" si="321"/>
        <v>0</v>
      </c>
      <c r="AY1191">
        <f t="shared" si="322"/>
        <v>0</v>
      </c>
    </row>
    <row r="1192" customHeight="1" spans="1:51">
      <c r="A1192" s="18" t="s">
        <v>501</v>
      </c>
      <c r="C1192" s="18">
        <v>3</v>
      </c>
      <c r="D1192" s="1" t="s">
        <v>220</v>
      </c>
      <c r="E1192" s="1" t="s">
        <v>224</v>
      </c>
      <c r="L1192" s="18">
        <f>IFERROR(VLOOKUP($D1192&amp;$C1192,生产方式定位!$A$2:$E$38,2,FALSE)+VLOOKUP($E1192&amp;$C1192,生产方式定位!$F$3:$J$38,2,FALSE),0)</f>
        <v>1900</v>
      </c>
      <c r="S1192" s="18">
        <f>IFERROR(VLOOKUP($D1192&amp;$C1192,生产方式定位!$A$2:$E$38,3,FALSE)+VLOOKUP($E1192&amp;$C1192,生产方式定位!$F$3:$J$38,3,FALSE),0)</f>
        <v>70</v>
      </c>
      <c r="X1192" s="18">
        <f>IFERROR(VLOOKUP($D1192&amp;$C1192,生产方式定位!$A$2:$E$38,5,FALSE)+VLOOKUP($E1192&amp;$C1192,生产方式定位!$F$3:$J$38,5,FALSE),"错误")</f>
        <v>2064</v>
      </c>
      <c r="Y1192" s="27" t="str">
        <f t="shared" si="306"/>
        <v/>
      </c>
      <c r="Z1192" s="50" t="str">
        <f t="shared" si="309"/>
        <v/>
      </c>
      <c r="AA1192" s="50" t="str">
        <f t="shared" si="307"/>
        <v/>
      </c>
      <c r="AB1192" s="28" t="str">
        <f t="shared" si="310"/>
        <v>9%</v>
      </c>
      <c r="AC1192" s="1">
        <f t="shared" si="311"/>
        <v>94</v>
      </c>
      <c r="AD1192" s="52">
        <f t="shared" si="308"/>
        <v>3</v>
      </c>
      <c r="AE1192" t="str">
        <f t="shared" si="312"/>
        <v/>
      </c>
      <c r="AF1192" t="str">
        <f t="shared" si="313"/>
        <v/>
      </c>
      <c r="AG1192" t="str">
        <f t="shared" si="314"/>
        <v/>
      </c>
      <c r="AH1192" t="str">
        <f t="shared" si="315"/>
        <v/>
      </c>
      <c r="AI1192" t="str">
        <f t="shared" si="316"/>
        <v/>
      </c>
      <c r="AJ1192" t="str">
        <f t="shared" si="317"/>
        <v/>
      </c>
      <c r="AK1192" t="str">
        <f t="shared" si="318"/>
        <v/>
      </c>
      <c r="AL1192" t="str">
        <f t="shared" si="319"/>
        <v/>
      </c>
      <c r="AN1192" t="str">
        <f>IFERROR(ROUND(L1192*(G1192/$AW1192)/VLOOKUP(F1192,商品!$A$4:$D$67,4,FALSE),0),"")</f>
        <v/>
      </c>
      <c r="AO1192" t="str">
        <f>IFERROR(ROUND(L1192*(I1192/$AW1192)/VLOOKUP(H1192,商品!$A$4:$D$67,4,FALSE),0),"")</f>
        <v/>
      </c>
      <c r="AP1192" t="str">
        <f>IFERROR(ROUND(L1192*(K1192/$AW1192)/VLOOKUP(J1192,商品!$A$4:$D$67,4,FALSE),0),"")</f>
        <v/>
      </c>
      <c r="AQ1192" t="str">
        <f>IFERROR(ROUND(S1192*(N1192/$AX1192)/VLOOKUP(M1192,职业!$A$3:$E$16,4,FALSE),0),"")</f>
        <v/>
      </c>
      <c r="AR1192" t="str">
        <f>IFERROR(ROUND(S1192*(P1192/$AX1192)/VLOOKUP(O1192,职业!$A$3:$E$16,4,FALSE),0),"")</f>
        <v/>
      </c>
      <c r="AS1192" t="str">
        <f>IFERROR(ROUND(S1192*(R1192/$AX1192)/VLOOKUP(Q1192,职业!$A$3:$E$16,4,FALSE),0),"")</f>
        <v/>
      </c>
      <c r="AT1192" t="str">
        <f>IFERROR(ROUND(X1192*(U1192/$AY1192)/VLOOKUP(T1192,商品!$A$4:$D$67,4,FALSE),0),"")</f>
        <v/>
      </c>
      <c r="AU1192" t="str">
        <f>IFERROR(ROUND(X1192*(W1192/$AY1192)/VLOOKUP(V1192,商品!$A$4:$D$67,4,FALSE),0),"")</f>
        <v/>
      </c>
      <c r="AW1192">
        <f t="shared" si="320"/>
        <v>0</v>
      </c>
      <c r="AX1192">
        <f t="shared" si="321"/>
        <v>0</v>
      </c>
      <c r="AY1192">
        <f t="shared" si="322"/>
        <v>0</v>
      </c>
    </row>
    <row r="1193" customHeight="1" spans="1:51">
      <c r="A1193" s="18" t="s">
        <v>501</v>
      </c>
      <c r="C1193" s="18">
        <v>4</v>
      </c>
      <c r="D1193" s="1" t="s">
        <v>220</v>
      </c>
      <c r="E1193" s="1" t="s">
        <v>224</v>
      </c>
      <c r="L1193" s="18">
        <f>IFERROR(VLOOKUP($D1193&amp;$C1193,生产方式定位!$A$2:$E$38,2,FALSE)+VLOOKUP($E1193&amp;$C1193,生产方式定位!$F$3:$J$38,2,FALSE),0)</f>
        <v>2600</v>
      </c>
      <c r="S1193" s="18">
        <f>IFERROR(VLOOKUP($D1193&amp;$C1193,生产方式定位!$A$2:$E$38,3,FALSE)+VLOOKUP($E1193&amp;$C1193,生产方式定位!$F$3:$J$38,3,FALSE),0)</f>
        <v>40</v>
      </c>
      <c r="X1193" s="18">
        <f>IFERROR(VLOOKUP($D1193&amp;$C1193,生产方式定位!$A$2:$E$38,5,FALSE)+VLOOKUP($E1193&amp;$C1193,生产方式定位!$F$3:$J$38,5,FALSE),"错误")</f>
        <v>2782</v>
      </c>
      <c r="Y1193" s="27" t="str">
        <f t="shared" si="306"/>
        <v/>
      </c>
      <c r="Z1193" s="50" t="str">
        <f t="shared" si="309"/>
        <v/>
      </c>
      <c r="AA1193" s="50" t="str">
        <f t="shared" si="307"/>
        <v/>
      </c>
      <c r="AB1193" s="28" t="str">
        <f t="shared" si="310"/>
        <v>7%</v>
      </c>
      <c r="AC1193" s="1">
        <f t="shared" si="311"/>
        <v>142</v>
      </c>
      <c r="AD1193" s="52">
        <f t="shared" si="308"/>
        <v>4</v>
      </c>
      <c r="AE1193" t="str">
        <f t="shared" si="312"/>
        <v/>
      </c>
      <c r="AF1193" t="str">
        <f t="shared" si="313"/>
        <v/>
      </c>
      <c r="AG1193" t="str">
        <f t="shared" si="314"/>
        <v/>
      </c>
      <c r="AH1193" t="str">
        <f t="shared" si="315"/>
        <v/>
      </c>
      <c r="AI1193" t="str">
        <f t="shared" si="316"/>
        <v/>
      </c>
      <c r="AJ1193" t="str">
        <f t="shared" si="317"/>
        <v/>
      </c>
      <c r="AK1193" t="str">
        <f t="shared" si="318"/>
        <v/>
      </c>
      <c r="AL1193" t="str">
        <f t="shared" si="319"/>
        <v/>
      </c>
      <c r="AN1193" t="str">
        <f>IFERROR(ROUND(L1193*(G1193/$AW1193)/VLOOKUP(F1193,商品!$A$4:$D$67,4,FALSE),0),"")</f>
        <v/>
      </c>
      <c r="AO1193" t="str">
        <f>IFERROR(ROUND(L1193*(I1193/$AW1193)/VLOOKUP(H1193,商品!$A$4:$D$67,4,FALSE),0),"")</f>
        <v/>
      </c>
      <c r="AP1193" t="str">
        <f>IFERROR(ROUND(L1193*(K1193/$AW1193)/VLOOKUP(J1193,商品!$A$4:$D$67,4,FALSE),0),"")</f>
        <v/>
      </c>
      <c r="AQ1193" t="str">
        <f>IFERROR(ROUND(S1193*(N1193/$AX1193)/VLOOKUP(M1193,职业!$A$3:$E$16,4,FALSE),0),"")</f>
        <v/>
      </c>
      <c r="AR1193" t="str">
        <f>IFERROR(ROUND(S1193*(P1193/$AX1193)/VLOOKUP(O1193,职业!$A$3:$E$16,4,FALSE),0),"")</f>
        <v/>
      </c>
      <c r="AS1193" t="str">
        <f>IFERROR(ROUND(S1193*(R1193/$AX1193)/VLOOKUP(Q1193,职业!$A$3:$E$16,4,FALSE),0),"")</f>
        <v/>
      </c>
      <c r="AT1193" t="str">
        <f>IFERROR(ROUND(X1193*(U1193/$AY1193)/VLOOKUP(T1193,商品!$A$4:$D$67,4,FALSE),0),"")</f>
        <v/>
      </c>
      <c r="AU1193" t="str">
        <f>IFERROR(ROUND(X1193*(W1193/$AY1193)/VLOOKUP(V1193,商品!$A$4:$D$67,4,FALSE),0),"")</f>
        <v/>
      </c>
      <c r="AW1193">
        <f t="shared" si="320"/>
        <v>0</v>
      </c>
      <c r="AX1193">
        <f t="shared" si="321"/>
        <v>0</v>
      </c>
      <c r="AY1193">
        <f t="shared" si="322"/>
        <v>0</v>
      </c>
    </row>
    <row r="1194" customHeight="1" spans="1:51">
      <c r="A1194" s="18" t="s">
        <v>501</v>
      </c>
      <c r="C1194" s="18">
        <v>5</v>
      </c>
      <c r="D1194" s="1" t="s">
        <v>220</v>
      </c>
      <c r="E1194" s="1" t="s">
        <v>224</v>
      </c>
      <c r="L1194" s="18">
        <f>IFERROR(VLOOKUP($D1194&amp;$C1194,生产方式定位!$A$2:$E$38,2,FALSE)+VLOOKUP($E1194&amp;$C1194,生产方式定位!$F$3:$J$38,2,FALSE),0)</f>
        <v>3300</v>
      </c>
      <c r="S1194" s="18">
        <f>IFERROR(VLOOKUP($D1194&amp;$C1194,生产方式定位!$A$2:$E$38,3,FALSE)+VLOOKUP($E1194&amp;$C1194,生产方式定位!$F$3:$J$38,3,FALSE),0)</f>
        <v>10</v>
      </c>
      <c r="X1194" s="18">
        <f>IFERROR(VLOOKUP($D1194&amp;$C1194,生产方式定位!$A$2:$E$38,5,FALSE)+VLOOKUP($E1194&amp;$C1194,生产方式定位!$F$3:$J$38,5,FALSE),"错误")</f>
        <v>3500</v>
      </c>
      <c r="Y1194" s="27" t="str">
        <f t="shared" si="306"/>
        <v/>
      </c>
      <c r="Z1194" s="50" t="str">
        <f t="shared" si="309"/>
        <v/>
      </c>
      <c r="AA1194" s="50" t="str">
        <f t="shared" si="307"/>
        <v/>
      </c>
      <c r="AB1194" s="28" t="str">
        <f t="shared" si="310"/>
        <v>6%</v>
      </c>
      <c r="AC1194" s="1">
        <f t="shared" si="311"/>
        <v>190</v>
      </c>
      <c r="AD1194" s="52">
        <f t="shared" si="308"/>
        <v>5</v>
      </c>
      <c r="AE1194" t="str">
        <f t="shared" si="312"/>
        <v/>
      </c>
      <c r="AF1194" t="str">
        <f t="shared" si="313"/>
        <v/>
      </c>
      <c r="AG1194" t="str">
        <f t="shared" si="314"/>
        <v/>
      </c>
      <c r="AH1194" t="str">
        <f t="shared" si="315"/>
        <v/>
      </c>
      <c r="AI1194" t="str">
        <f t="shared" si="316"/>
        <v/>
      </c>
      <c r="AJ1194" t="str">
        <f t="shared" si="317"/>
        <v/>
      </c>
      <c r="AK1194" t="str">
        <f t="shared" si="318"/>
        <v/>
      </c>
      <c r="AL1194" t="str">
        <f t="shared" si="319"/>
        <v/>
      </c>
      <c r="AN1194" t="str">
        <f>IFERROR(ROUND(L1194*(G1194/$AW1194)/VLOOKUP(F1194,商品!$A$4:$D$67,4,FALSE),0),"")</f>
        <v/>
      </c>
      <c r="AO1194" t="str">
        <f>IFERROR(ROUND(L1194*(I1194/$AW1194)/VLOOKUP(H1194,商品!$A$4:$D$67,4,FALSE),0),"")</f>
        <v/>
      </c>
      <c r="AP1194" t="str">
        <f>IFERROR(ROUND(L1194*(K1194/$AW1194)/VLOOKUP(J1194,商品!$A$4:$D$67,4,FALSE),0),"")</f>
        <v/>
      </c>
      <c r="AQ1194" t="str">
        <f>IFERROR(ROUND(S1194*(N1194/$AX1194)/VLOOKUP(M1194,职业!$A$3:$E$16,4,FALSE),0),"")</f>
        <v/>
      </c>
      <c r="AR1194" t="str">
        <f>IFERROR(ROUND(S1194*(P1194/$AX1194)/VLOOKUP(O1194,职业!$A$3:$E$16,4,FALSE),0),"")</f>
        <v/>
      </c>
      <c r="AS1194" t="str">
        <f>IFERROR(ROUND(S1194*(R1194/$AX1194)/VLOOKUP(Q1194,职业!$A$3:$E$16,4,FALSE),0),"")</f>
        <v/>
      </c>
      <c r="AT1194" t="str">
        <f>IFERROR(ROUND(X1194*(U1194/$AY1194)/VLOOKUP(T1194,商品!$A$4:$D$67,4,FALSE),0),"")</f>
        <v/>
      </c>
      <c r="AU1194" t="str">
        <f>IFERROR(ROUND(X1194*(W1194/$AY1194)/VLOOKUP(V1194,商品!$A$4:$D$67,4,FALSE),0),"")</f>
        <v/>
      </c>
      <c r="AW1194">
        <f t="shared" si="320"/>
        <v>0</v>
      </c>
      <c r="AX1194">
        <f t="shared" si="321"/>
        <v>0</v>
      </c>
      <c r="AY1194">
        <f t="shared" si="322"/>
        <v>0</v>
      </c>
    </row>
    <row r="1195" customHeight="1" spans="1:51">
      <c r="A1195" s="5" t="s">
        <v>501</v>
      </c>
      <c r="C1195" s="5">
        <v>1</v>
      </c>
      <c r="D1195" s="1" t="s">
        <v>220</v>
      </c>
      <c r="E1195" s="1" t="s">
        <v>224</v>
      </c>
      <c r="L1195" s="5">
        <f>IFERROR(VLOOKUP($D1195&amp;$C1195,生产方式定位!$A$2:$E$38,2,FALSE)+VLOOKUP($E1195&amp;$C1195,生产方式定位!$F$3:$J$38,2,FALSE),0)</f>
        <v>500</v>
      </c>
      <c r="S1195" s="5">
        <f>IFERROR(VLOOKUP($D1195&amp;$C1195,生产方式定位!$A$2:$E$38,3,FALSE)+VLOOKUP($E1195&amp;$C1195,生产方式定位!$F$3:$J$38,3,FALSE),0)</f>
        <v>150</v>
      </c>
      <c r="X1195" s="5">
        <f>IFERROR(VLOOKUP($D1195&amp;$C1195,生产方式定位!$A$2:$E$38,5,FALSE)+VLOOKUP($E1195&amp;$C1195,生产方式定位!$F$3:$J$38,5,FALSE),"错误")</f>
        <v>715</v>
      </c>
      <c r="Y1195" s="27" t="str">
        <f t="shared" si="306"/>
        <v/>
      </c>
      <c r="Z1195" s="50" t="str">
        <f t="shared" si="309"/>
        <v/>
      </c>
      <c r="AA1195" s="50" t="str">
        <f t="shared" si="307"/>
        <v/>
      </c>
      <c r="AB1195" s="28" t="str">
        <f t="shared" si="310"/>
        <v>43%</v>
      </c>
      <c r="AC1195" s="1">
        <f t="shared" si="311"/>
        <v>65</v>
      </c>
      <c r="AD1195" s="51">
        <f t="shared" si="308"/>
        <v>1</v>
      </c>
      <c r="AE1195" t="str">
        <f t="shared" si="312"/>
        <v/>
      </c>
      <c r="AF1195" t="str">
        <f t="shared" si="313"/>
        <v/>
      </c>
      <c r="AG1195" t="str">
        <f t="shared" si="314"/>
        <v/>
      </c>
      <c r="AH1195" t="str">
        <f t="shared" si="315"/>
        <v/>
      </c>
      <c r="AI1195" t="str">
        <f t="shared" si="316"/>
        <v/>
      </c>
      <c r="AJ1195" t="str">
        <f t="shared" si="317"/>
        <v/>
      </c>
      <c r="AK1195" t="str">
        <f t="shared" si="318"/>
        <v/>
      </c>
      <c r="AL1195" t="str">
        <f t="shared" si="319"/>
        <v/>
      </c>
      <c r="AN1195" t="str">
        <f>IFERROR(ROUND(L1195*(G1195/$AW1195)/VLOOKUP(F1195,商品!$A$4:$D$67,4,FALSE),0),"")</f>
        <v/>
      </c>
      <c r="AO1195" t="str">
        <f>IFERROR(ROUND(L1195*(I1195/$AW1195)/VLOOKUP(H1195,商品!$A$4:$D$67,4,FALSE),0),"")</f>
        <v/>
      </c>
      <c r="AP1195" t="str">
        <f>IFERROR(ROUND(L1195*(K1195/$AW1195)/VLOOKUP(J1195,商品!$A$4:$D$67,4,FALSE),0),"")</f>
        <v/>
      </c>
      <c r="AQ1195" t="str">
        <f>IFERROR(ROUND(S1195*(N1195/$AX1195)/VLOOKUP(M1195,职业!$A$3:$E$16,4,FALSE),0),"")</f>
        <v/>
      </c>
      <c r="AR1195" t="str">
        <f>IFERROR(ROUND(S1195*(P1195/$AX1195)/VLOOKUP(O1195,职业!$A$3:$E$16,4,FALSE),0),"")</f>
        <v/>
      </c>
      <c r="AS1195" t="str">
        <f>IFERROR(ROUND(S1195*(R1195/$AX1195)/VLOOKUP(Q1195,职业!$A$3:$E$16,4,FALSE),0),"")</f>
        <v/>
      </c>
      <c r="AT1195" t="str">
        <f>IFERROR(ROUND(X1195*(U1195/$AY1195)/VLOOKUP(T1195,商品!$A$4:$D$67,4,FALSE),0),"")</f>
        <v/>
      </c>
      <c r="AU1195" t="str">
        <f>IFERROR(ROUND(X1195*(W1195/$AY1195)/VLOOKUP(V1195,商品!$A$4:$D$67,4,FALSE),0),"")</f>
        <v/>
      </c>
      <c r="AW1195">
        <f t="shared" si="320"/>
        <v>0</v>
      </c>
      <c r="AX1195">
        <f t="shared" si="321"/>
        <v>0</v>
      </c>
      <c r="AY1195">
        <f t="shared" si="322"/>
        <v>0</v>
      </c>
    </row>
    <row r="1196" customHeight="1" spans="1:51">
      <c r="A1196" s="5" t="s">
        <v>501</v>
      </c>
      <c r="C1196" s="5">
        <v>2</v>
      </c>
      <c r="D1196" s="1" t="s">
        <v>220</v>
      </c>
      <c r="E1196" s="1" t="s">
        <v>224</v>
      </c>
      <c r="L1196" s="5">
        <f>IFERROR(VLOOKUP($D1196&amp;$C1196,生产方式定位!$A$2:$E$38,2,FALSE)+VLOOKUP($E1196&amp;$C1196,生产方式定位!$F$3:$J$38,2,FALSE),0)</f>
        <v>1200</v>
      </c>
      <c r="S1196" s="5">
        <f>IFERROR(VLOOKUP($D1196&amp;$C1196,生产方式定位!$A$2:$E$38,3,FALSE)+VLOOKUP($E1196&amp;$C1196,生产方式定位!$F$3:$J$38,3,FALSE),0)</f>
        <v>100</v>
      </c>
      <c r="X1196" s="5">
        <f>IFERROR(VLOOKUP($D1196&amp;$C1196,生产方式定位!$A$2:$E$38,5,FALSE)+VLOOKUP($E1196&amp;$C1196,生产方式定位!$F$3:$J$38,5,FALSE),"错误")</f>
        <v>1346</v>
      </c>
      <c r="Y1196" s="27" t="str">
        <f t="shared" si="306"/>
        <v/>
      </c>
      <c r="Z1196" s="50" t="str">
        <f t="shared" si="309"/>
        <v/>
      </c>
      <c r="AA1196" s="50" t="str">
        <f t="shared" si="307"/>
        <v/>
      </c>
      <c r="AB1196" s="28" t="str">
        <f t="shared" si="310"/>
        <v>12%</v>
      </c>
      <c r="AC1196" s="1">
        <f t="shared" si="311"/>
        <v>46</v>
      </c>
      <c r="AD1196" s="51">
        <f t="shared" si="308"/>
        <v>2</v>
      </c>
      <c r="AE1196" t="str">
        <f t="shared" si="312"/>
        <v/>
      </c>
      <c r="AF1196" t="str">
        <f t="shared" si="313"/>
        <v/>
      </c>
      <c r="AG1196" t="str">
        <f t="shared" si="314"/>
        <v/>
      </c>
      <c r="AH1196" t="str">
        <f t="shared" si="315"/>
        <v/>
      </c>
      <c r="AI1196" t="str">
        <f t="shared" si="316"/>
        <v/>
      </c>
      <c r="AJ1196" t="str">
        <f t="shared" si="317"/>
        <v/>
      </c>
      <c r="AK1196" t="str">
        <f t="shared" si="318"/>
        <v/>
      </c>
      <c r="AL1196" t="str">
        <f t="shared" si="319"/>
        <v/>
      </c>
      <c r="AN1196" t="str">
        <f>IFERROR(ROUND(L1196*(G1196/$AW1196)/VLOOKUP(F1196,商品!$A$4:$D$67,4,FALSE),0),"")</f>
        <v/>
      </c>
      <c r="AO1196" t="str">
        <f>IFERROR(ROUND(L1196*(I1196/$AW1196)/VLOOKUP(H1196,商品!$A$4:$D$67,4,FALSE),0),"")</f>
        <v/>
      </c>
      <c r="AP1196" t="str">
        <f>IFERROR(ROUND(L1196*(K1196/$AW1196)/VLOOKUP(J1196,商品!$A$4:$D$67,4,FALSE),0),"")</f>
        <v/>
      </c>
      <c r="AQ1196" t="str">
        <f>IFERROR(ROUND(S1196*(N1196/$AX1196)/VLOOKUP(M1196,职业!$A$3:$E$16,4,FALSE),0),"")</f>
        <v/>
      </c>
      <c r="AR1196" t="str">
        <f>IFERROR(ROUND(S1196*(P1196/$AX1196)/VLOOKUP(O1196,职业!$A$3:$E$16,4,FALSE),0),"")</f>
        <v/>
      </c>
      <c r="AS1196" t="str">
        <f>IFERROR(ROUND(S1196*(R1196/$AX1196)/VLOOKUP(Q1196,职业!$A$3:$E$16,4,FALSE),0),"")</f>
        <v/>
      </c>
      <c r="AT1196" t="str">
        <f>IFERROR(ROUND(X1196*(U1196/$AY1196)/VLOOKUP(T1196,商品!$A$4:$D$67,4,FALSE),0),"")</f>
        <v/>
      </c>
      <c r="AU1196" t="str">
        <f>IFERROR(ROUND(X1196*(W1196/$AY1196)/VLOOKUP(V1196,商品!$A$4:$D$67,4,FALSE),0),"")</f>
        <v/>
      </c>
      <c r="AW1196">
        <f t="shared" si="320"/>
        <v>0</v>
      </c>
      <c r="AX1196">
        <f t="shared" si="321"/>
        <v>0</v>
      </c>
      <c r="AY1196">
        <f t="shared" si="322"/>
        <v>0</v>
      </c>
    </row>
    <row r="1197" customHeight="1" spans="1:51">
      <c r="A1197" s="5" t="s">
        <v>501</v>
      </c>
      <c r="C1197" s="5">
        <v>3</v>
      </c>
      <c r="D1197" s="1" t="s">
        <v>220</v>
      </c>
      <c r="E1197" s="1" t="s">
        <v>224</v>
      </c>
      <c r="L1197" s="5">
        <f>IFERROR(VLOOKUP($D1197&amp;$C1197,生产方式定位!$A$2:$E$38,2,FALSE)+VLOOKUP($E1197&amp;$C1197,生产方式定位!$F$3:$J$38,2,FALSE),0)</f>
        <v>1900</v>
      </c>
      <c r="S1197" s="5">
        <f>IFERROR(VLOOKUP($D1197&amp;$C1197,生产方式定位!$A$2:$E$38,3,FALSE)+VLOOKUP($E1197&amp;$C1197,生产方式定位!$F$3:$J$38,3,FALSE),0)</f>
        <v>70</v>
      </c>
      <c r="X1197" s="5">
        <f>IFERROR(VLOOKUP($D1197&amp;$C1197,生产方式定位!$A$2:$E$38,5,FALSE)+VLOOKUP($E1197&amp;$C1197,生产方式定位!$F$3:$J$38,5,FALSE),"错误")</f>
        <v>2064</v>
      </c>
      <c r="Y1197" s="27" t="str">
        <f t="shared" si="306"/>
        <v/>
      </c>
      <c r="Z1197" s="50" t="str">
        <f t="shared" si="309"/>
        <v/>
      </c>
      <c r="AA1197" s="50" t="str">
        <f t="shared" si="307"/>
        <v/>
      </c>
      <c r="AB1197" s="28" t="str">
        <f t="shared" si="310"/>
        <v>9%</v>
      </c>
      <c r="AC1197" s="1">
        <f t="shared" si="311"/>
        <v>94</v>
      </c>
      <c r="AD1197" s="51">
        <f t="shared" si="308"/>
        <v>3</v>
      </c>
      <c r="AE1197" t="str">
        <f t="shared" si="312"/>
        <v/>
      </c>
      <c r="AF1197" t="str">
        <f t="shared" si="313"/>
        <v/>
      </c>
      <c r="AG1197" t="str">
        <f t="shared" si="314"/>
        <v/>
      </c>
      <c r="AH1197" t="str">
        <f t="shared" si="315"/>
        <v/>
      </c>
      <c r="AI1197" t="str">
        <f t="shared" si="316"/>
        <v/>
      </c>
      <c r="AJ1197" t="str">
        <f t="shared" si="317"/>
        <v/>
      </c>
      <c r="AK1197" t="str">
        <f t="shared" si="318"/>
        <v/>
      </c>
      <c r="AL1197" t="str">
        <f t="shared" si="319"/>
        <v/>
      </c>
      <c r="AN1197" t="str">
        <f>IFERROR(ROUND(L1197*(G1197/$AW1197)/VLOOKUP(F1197,商品!$A$4:$D$67,4,FALSE),0),"")</f>
        <v/>
      </c>
      <c r="AO1197" t="str">
        <f>IFERROR(ROUND(L1197*(I1197/$AW1197)/VLOOKUP(H1197,商品!$A$4:$D$67,4,FALSE),0),"")</f>
        <v/>
      </c>
      <c r="AP1197" t="str">
        <f>IFERROR(ROUND(L1197*(K1197/$AW1197)/VLOOKUP(J1197,商品!$A$4:$D$67,4,FALSE),0),"")</f>
        <v/>
      </c>
      <c r="AQ1197" t="str">
        <f>IFERROR(ROUND(S1197*(N1197/$AX1197)/VLOOKUP(M1197,职业!$A$3:$E$16,4,FALSE),0),"")</f>
        <v/>
      </c>
      <c r="AR1197" t="str">
        <f>IFERROR(ROUND(S1197*(P1197/$AX1197)/VLOOKUP(O1197,职业!$A$3:$E$16,4,FALSE),0),"")</f>
        <v/>
      </c>
      <c r="AS1197" t="str">
        <f>IFERROR(ROUND(S1197*(R1197/$AX1197)/VLOOKUP(Q1197,职业!$A$3:$E$16,4,FALSE),0),"")</f>
        <v/>
      </c>
      <c r="AT1197" t="str">
        <f>IFERROR(ROUND(X1197*(U1197/$AY1197)/VLOOKUP(T1197,商品!$A$4:$D$67,4,FALSE),0),"")</f>
        <v/>
      </c>
      <c r="AU1197" t="str">
        <f>IFERROR(ROUND(X1197*(W1197/$AY1197)/VLOOKUP(V1197,商品!$A$4:$D$67,4,FALSE),0),"")</f>
        <v/>
      </c>
      <c r="AW1197">
        <f t="shared" si="320"/>
        <v>0</v>
      </c>
      <c r="AX1197">
        <f t="shared" si="321"/>
        <v>0</v>
      </c>
      <c r="AY1197">
        <f t="shared" si="322"/>
        <v>0</v>
      </c>
    </row>
    <row r="1198" customHeight="1" spans="1:51">
      <c r="A1198" s="5" t="s">
        <v>501</v>
      </c>
      <c r="C1198" s="5">
        <v>4</v>
      </c>
      <c r="D1198" s="1" t="s">
        <v>220</v>
      </c>
      <c r="E1198" s="1" t="s">
        <v>224</v>
      </c>
      <c r="L1198" s="5">
        <f>IFERROR(VLOOKUP($D1198&amp;$C1198,生产方式定位!$A$2:$E$38,2,FALSE)+VLOOKUP($E1198&amp;$C1198,生产方式定位!$F$3:$J$38,2,FALSE),0)</f>
        <v>2600</v>
      </c>
      <c r="S1198" s="5">
        <f>IFERROR(VLOOKUP($D1198&amp;$C1198,生产方式定位!$A$2:$E$38,3,FALSE)+VLOOKUP($E1198&amp;$C1198,生产方式定位!$F$3:$J$38,3,FALSE),0)</f>
        <v>40</v>
      </c>
      <c r="X1198" s="5">
        <f>IFERROR(VLOOKUP($D1198&amp;$C1198,生产方式定位!$A$2:$E$38,5,FALSE)+VLOOKUP($E1198&amp;$C1198,生产方式定位!$F$3:$J$38,5,FALSE),"错误")</f>
        <v>2782</v>
      </c>
      <c r="Y1198" s="27" t="str">
        <f t="shared" si="306"/>
        <v/>
      </c>
      <c r="Z1198" s="50" t="str">
        <f t="shared" si="309"/>
        <v/>
      </c>
      <c r="AA1198" s="50" t="str">
        <f t="shared" si="307"/>
        <v/>
      </c>
      <c r="AB1198" s="28" t="str">
        <f t="shared" si="310"/>
        <v>7%</v>
      </c>
      <c r="AC1198" s="1">
        <f t="shared" si="311"/>
        <v>142</v>
      </c>
      <c r="AD1198" s="51">
        <f t="shared" si="308"/>
        <v>4</v>
      </c>
      <c r="AE1198" t="str">
        <f t="shared" si="312"/>
        <v/>
      </c>
      <c r="AF1198" t="str">
        <f t="shared" si="313"/>
        <v/>
      </c>
      <c r="AG1198" t="str">
        <f t="shared" si="314"/>
        <v/>
      </c>
      <c r="AH1198" t="str">
        <f t="shared" si="315"/>
        <v/>
      </c>
      <c r="AI1198" t="str">
        <f t="shared" si="316"/>
        <v/>
      </c>
      <c r="AJ1198" t="str">
        <f t="shared" si="317"/>
        <v/>
      </c>
      <c r="AK1198" t="str">
        <f t="shared" si="318"/>
        <v/>
      </c>
      <c r="AL1198" t="str">
        <f t="shared" si="319"/>
        <v/>
      </c>
      <c r="AN1198" t="str">
        <f>IFERROR(ROUND(L1198*(G1198/$AW1198)/VLOOKUP(F1198,商品!$A$4:$D$67,4,FALSE),0),"")</f>
        <v/>
      </c>
      <c r="AO1198" t="str">
        <f>IFERROR(ROUND(L1198*(I1198/$AW1198)/VLOOKUP(H1198,商品!$A$4:$D$67,4,FALSE),0),"")</f>
        <v/>
      </c>
      <c r="AP1198" t="str">
        <f>IFERROR(ROUND(L1198*(K1198/$AW1198)/VLOOKUP(J1198,商品!$A$4:$D$67,4,FALSE),0),"")</f>
        <v/>
      </c>
      <c r="AQ1198" t="str">
        <f>IFERROR(ROUND(S1198*(N1198/$AX1198)/VLOOKUP(M1198,职业!$A$3:$E$16,4,FALSE),0),"")</f>
        <v/>
      </c>
      <c r="AR1198" t="str">
        <f>IFERROR(ROUND(S1198*(P1198/$AX1198)/VLOOKUP(O1198,职业!$A$3:$E$16,4,FALSE),0),"")</f>
        <v/>
      </c>
      <c r="AS1198" t="str">
        <f>IFERROR(ROUND(S1198*(R1198/$AX1198)/VLOOKUP(Q1198,职业!$A$3:$E$16,4,FALSE),0),"")</f>
        <v/>
      </c>
      <c r="AT1198" t="str">
        <f>IFERROR(ROUND(X1198*(U1198/$AY1198)/VLOOKUP(T1198,商品!$A$4:$D$67,4,FALSE),0),"")</f>
        <v/>
      </c>
      <c r="AU1198" t="str">
        <f>IFERROR(ROUND(X1198*(W1198/$AY1198)/VLOOKUP(V1198,商品!$A$4:$D$67,4,FALSE),0),"")</f>
        <v/>
      </c>
      <c r="AW1198">
        <f t="shared" si="320"/>
        <v>0</v>
      </c>
      <c r="AX1198">
        <f t="shared" si="321"/>
        <v>0</v>
      </c>
      <c r="AY1198">
        <f t="shared" si="322"/>
        <v>0</v>
      </c>
    </row>
    <row r="1199" customHeight="1" spans="1:51">
      <c r="A1199" s="5" t="s">
        <v>501</v>
      </c>
      <c r="C1199" s="5">
        <v>5</v>
      </c>
      <c r="D1199" s="1" t="s">
        <v>220</v>
      </c>
      <c r="E1199" s="1" t="s">
        <v>224</v>
      </c>
      <c r="L1199" s="5">
        <f>IFERROR(VLOOKUP($D1199&amp;$C1199,生产方式定位!$A$2:$E$38,2,FALSE)+VLOOKUP($E1199&amp;$C1199,生产方式定位!$F$3:$J$38,2,FALSE),0)</f>
        <v>3300</v>
      </c>
      <c r="S1199" s="5">
        <f>IFERROR(VLOOKUP($D1199&amp;$C1199,生产方式定位!$A$2:$E$38,3,FALSE)+VLOOKUP($E1199&amp;$C1199,生产方式定位!$F$3:$J$38,3,FALSE),0)</f>
        <v>10</v>
      </c>
      <c r="X1199" s="5">
        <f>IFERROR(VLOOKUP($D1199&amp;$C1199,生产方式定位!$A$2:$E$38,5,FALSE)+VLOOKUP($E1199&amp;$C1199,生产方式定位!$F$3:$J$38,5,FALSE),"错误")</f>
        <v>3500</v>
      </c>
      <c r="Y1199" s="27" t="str">
        <f t="shared" si="306"/>
        <v/>
      </c>
      <c r="Z1199" s="50" t="str">
        <f t="shared" si="309"/>
        <v/>
      </c>
      <c r="AA1199" s="50" t="str">
        <f t="shared" si="307"/>
        <v/>
      </c>
      <c r="AB1199" s="28" t="str">
        <f t="shared" si="310"/>
        <v>6%</v>
      </c>
      <c r="AC1199" s="1">
        <f t="shared" si="311"/>
        <v>190</v>
      </c>
      <c r="AD1199" s="51">
        <f t="shared" si="308"/>
        <v>5</v>
      </c>
      <c r="AE1199" t="str">
        <f t="shared" si="312"/>
        <v/>
      </c>
      <c r="AF1199" t="str">
        <f t="shared" si="313"/>
        <v/>
      </c>
      <c r="AG1199" t="str">
        <f t="shared" si="314"/>
        <v/>
      </c>
      <c r="AH1199" t="str">
        <f t="shared" si="315"/>
        <v/>
      </c>
      <c r="AI1199" t="str">
        <f t="shared" si="316"/>
        <v/>
      </c>
      <c r="AJ1199" t="str">
        <f t="shared" si="317"/>
        <v/>
      </c>
      <c r="AK1199" t="str">
        <f t="shared" si="318"/>
        <v/>
      </c>
      <c r="AL1199" t="str">
        <f t="shared" si="319"/>
        <v/>
      </c>
      <c r="AN1199" t="str">
        <f>IFERROR(ROUND(L1199*(G1199/$AW1199)/VLOOKUP(F1199,商品!$A$4:$D$67,4,FALSE),0),"")</f>
        <v/>
      </c>
      <c r="AO1199" t="str">
        <f>IFERROR(ROUND(L1199*(I1199/$AW1199)/VLOOKUP(H1199,商品!$A$4:$D$67,4,FALSE),0),"")</f>
        <v/>
      </c>
      <c r="AP1199" t="str">
        <f>IFERROR(ROUND(L1199*(K1199/$AW1199)/VLOOKUP(J1199,商品!$A$4:$D$67,4,FALSE),0),"")</f>
        <v/>
      </c>
      <c r="AQ1199" t="str">
        <f>IFERROR(ROUND(S1199*(N1199/$AX1199)/VLOOKUP(M1199,职业!$A$3:$E$16,4,FALSE),0),"")</f>
        <v/>
      </c>
      <c r="AR1199" t="str">
        <f>IFERROR(ROUND(S1199*(P1199/$AX1199)/VLOOKUP(O1199,职业!$A$3:$E$16,4,FALSE),0),"")</f>
        <v/>
      </c>
      <c r="AS1199" t="str">
        <f>IFERROR(ROUND(S1199*(R1199/$AX1199)/VLOOKUP(Q1199,职业!$A$3:$E$16,4,FALSE),0),"")</f>
        <v/>
      </c>
      <c r="AT1199" t="str">
        <f>IFERROR(ROUND(X1199*(U1199/$AY1199)/VLOOKUP(T1199,商品!$A$4:$D$67,4,FALSE),0),"")</f>
        <v/>
      </c>
      <c r="AU1199" t="str">
        <f>IFERROR(ROUND(X1199*(W1199/$AY1199)/VLOOKUP(V1199,商品!$A$4:$D$67,4,FALSE),0),"")</f>
        <v/>
      </c>
      <c r="AW1199">
        <f t="shared" si="320"/>
        <v>0</v>
      </c>
      <c r="AX1199">
        <f t="shared" si="321"/>
        <v>0</v>
      </c>
      <c r="AY1199">
        <f t="shared" si="322"/>
        <v>0</v>
      </c>
    </row>
    <row r="1200" customHeight="1" spans="1:51">
      <c r="A1200" s="18" t="s">
        <v>502</v>
      </c>
      <c r="C1200" s="18">
        <v>1</v>
      </c>
      <c r="D1200" s="1" t="s">
        <v>291</v>
      </c>
      <c r="E1200" s="1" t="s">
        <v>225</v>
      </c>
      <c r="L1200" s="18">
        <f>IFERROR(VLOOKUP($D1200&amp;$C1200,生产方式定位!$A$2:$E$38,2,FALSE)+VLOOKUP($E1200&amp;$C1200,生产方式定位!$F$3:$J$38,2,FALSE),0)</f>
        <v>0</v>
      </c>
      <c r="S1200" s="18">
        <f>IFERROR(VLOOKUP($D1200&amp;$C1200,生产方式定位!$A$2:$E$38,3,FALSE)+VLOOKUP($E1200&amp;$C1200,生产方式定位!$F$3:$J$38,3,FALSE),0)</f>
        <v>100</v>
      </c>
      <c r="X1200" s="18">
        <f>IFERROR(VLOOKUP($D1200&amp;$C1200,生产方式定位!$A$2:$E$38,5,FALSE)+VLOOKUP($E1200&amp;$C1200,生产方式定位!$F$3:$J$38,5,FALSE),"错误")</f>
        <v>100</v>
      </c>
      <c r="Y1200" s="27" t="str">
        <f t="shared" si="306"/>
        <v/>
      </c>
      <c r="Z1200" s="50" t="str">
        <f t="shared" si="309"/>
        <v/>
      </c>
      <c r="AA1200" s="50" t="str">
        <f t="shared" si="307"/>
        <v/>
      </c>
      <c r="AB1200" s="28" t="str">
        <f t="shared" si="310"/>
        <v/>
      </c>
      <c r="AC1200" s="1" t="str">
        <f t="shared" si="311"/>
        <v/>
      </c>
      <c r="AD1200" s="52">
        <f t="shared" si="308"/>
        <v>1</v>
      </c>
      <c r="AE1200" t="str">
        <f t="shared" si="312"/>
        <v/>
      </c>
      <c r="AF1200" t="str">
        <f t="shared" si="313"/>
        <v/>
      </c>
      <c r="AG1200" t="str">
        <f t="shared" si="314"/>
        <v/>
      </c>
      <c r="AH1200" t="str">
        <f t="shared" si="315"/>
        <v/>
      </c>
      <c r="AI1200" t="str">
        <f t="shared" si="316"/>
        <v/>
      </c>
      <c r="AJ1200" t="str">
        <f t="shared" si="317"/>
        <v/>
      </c>
      <c r="AK1200" t="str">
        <f t="shared" si="318"/>
        <v/>
      </c>
      <c r="AL1200" t="str">
        <f t="shared" si="319"/>
        <v/>
      </c>
      <c r="AN1200" t="str">
        <f>IFERROR(ROUND(L1200*(G1200/$AW1200)/VLOOKUP(F1200,商品!$A$4:$D$67,4,FALSE),0),"")</f>
        <v/>
      </c>
      <c r="AO1200" t="str">
        <f>IFERROR(ROUND(L1200*(I1200/$AW1200)/VLOOKUP(H1200,商品!$A$4:$D$67,4,FALSE),0),"")</f>
        <v/>
      </c>
      <c r="AP1200" t="str">
        <f>IFERROR(ROUND(L1200*(K1200/$AW1200)/VLOOKUP(J1200,商品!$A$4:$D$67,4,FALSE),0),"")</f>
        <v/>
      </c>
      <c r="AQ1200" t="str">
        <f>IFERROR(ROUND(S1200*(N1200/$AX1200)/VLOOKUP(M1200,职业!$A$3:$E$16,4,FALSE),0),"")</f>
        <v/>
      </c>
      <c r="AR1200" t="str">
        <f>IFERROR(ROUND(S1200*(P1200/$AX1200)/VLOOKUP(O1200,职业!$A$3:$E$16,4,FALSE),0),"")</f>
        <v/>
      </c>
      <c r="AS1200" t="str">
        <f>IFERROR(ROUND(S1200*(R1200/$AX1200)/VLOOKUP(Q1200,职业!$A$3:$E$16,4,FALSE),0),"")</f>
        <v/>
      </c>
      <c r="AT1200" t="str">
        <f>IFERROR(ROUND(X1200*(U1200/$AY1200)/VLOOKUP(T1200,商品!$A$4:$D$67,4,FALSE),0),"")</f>
        <v/>
      </c>
      <c r="AU1200" t="str">
        <f>IFERROR(ROUND(X1200*(W1200/$AY1200)/VLOOKUP(V1200,商品!$A$4:$D$67,4,FALSE),0),"")</f>
        <v/>
      </c>
      <c r="AW1200">
        <f t="shared" si="320"/>
        <v>0</v>
      </c>
      <c r="AX1200">
        <f t="shared" si="321"/>
        <v>0</v>
      </c>
      <c r="AY1200">
        <f t="shared" si="322"/>
        <v>0</v>
      </c>
    </row>
    <row r="1201" customHeight="1" spans="1:51">
      <c r="A1201" s="18" t="s">
        <v>502</v>
      </c>
      <c r="C1201" s="18">
        <v>2</v>
      </c>
      <c r="D1201" s="1" t="s">
        <v>291</v>
      </c>
      <c r="E1201" s="1" t="s">
        <v>225</v>
      </c>
      <c r="L1201" s="18">
        <f>IFERROR(VLOOKUP($D1201&amp;$C1201,生产方式定位!$A$2:$E$38,2,FALSE)+VLOOKUP($E1201&amp;$C1201,生产方式定位!$F$3:$J$38,2,FALSE),0)</f>
        <v>0</v>
      </c>
      <c r="S1201" s="18">
        <f>IFERROR(VLOOKUP($D1201&amp;$C1201,生产方式定位!$A$2:$E$38,3,FALSE)+VLOOKUP($E1201&amp;$C1201,生产方式定位!$F$3:$J$38,3,FALSE),0)</f>
        <v>100</v>
      </c>
      <c r="X1201" s="18">
        <f>IFERROR(VLOOKUP($D1201&amp;$C1201,生产方式定位!$A$2:$E$38,5,FALSE)+VLOOKUP($E1201&amp;$C1201,生产方式定位!$F$3:$J$38,5,FALSE),"错误")</f>
        <v>100</v>
      </c>
      <c r="Y1201" s="27" t="str">
        <f t="shared" si="306"/>
        <v/>
      </c>
      <c r="Z1201" s="50" t="str">
        <f t="shared" si="309"/>
        <v/>
      </c>
      <c r="AA1201" s="50" t="str">
        <f t="shared" si="307"/>
        <v/>
      </c>
      <c r="AB1201" s="28" t="str">
        <f t="shared" si="310"/>
        <v/>
      </c>
      <c r="AC1201" s="1" t="str">
        <f t="shared" si="311"/>
        <v/>
      </c>
      <c r="AD1201" s="52">
        <f t="shared" si="308"/>
        <v>2</v>
      </c>
      <c r="AE1201" t="str">
        <f t="shared" si="312"/>
        <v/>
      </c>
      <c r="AF1201" t="str">
        <f t="shared" si="313"/>
        <v/>
      </c>
      <c r="AG1201" t="str">
        <f t="shared" si="314"/>
        <v/>
      </c>
      <c r="AH1201" t="str">
        <f t="shared" si="315"/>
        <v/>
      </c>
      <c r="AI1201" t="str">
        <f t="shared" si="316"/>
        <v/>
      </c>
      <c r="AJ1201" t="str">
        <f t="shared" si="317"/>
        <v/>
      </c>
      <c r="AK1201" t="str">
        <f t="shared" si="318"/>
        <v/>
      </c>
      <c r="AL1201" t="str">
        <f t="shared" si="319"/>
        <v/>
      </c>
      <c r="AN1201" t="str">
        <f>IFERROR(ROUND(L1201*(G1201/$AW1201)/VLOOKUP(F1201,商品!$A$4:$D$67,4,FALSE),0),"")</f>
        <v/>
      </c>
      <c r="AO1201" t="str">
        <f>IFERROR(ROUND(L1201*(I1201/$AW1201)/VLOOKUP(H1201,商品!$A$4:$D$67,4,FALSE),0),"")</f>
        <v/>
      </c>
      <c r="AP1201" t="str">
        <f>IFERROR(ROUND(L1201*(K1201/$AW1201)/VLOOKUP(J1201,商品!$A$4:$D$67,4,FALSE),0),"")</f>
        <v/>
      </c>
      <c r="AQ1201" t="str">
        <f>IFERROR(ROUND(S1201*(N1201/$AX1201)/VLOOKUP(M1201,职业!$A$3:$E$16,4,FALSE),0),"")</f>
        <v/>
      </c>
      <c r="AR1201" t="str">
        <f>IFERROR(ROUND(S1201*(P1201/$AX1201)/VLOOKUP(O1201,职业!$A$3:$E$16,4,FALSE),0),"")</f>
        <v/>
      </c>
      <c r="AS1201" t="str">
        <f>IFERROR(ROUND(S1201*(R1201/$AX1201)/VLOOKUP(Q1201,职业!$A$3:$E$16,4,FALSE),0),"")</f>
        <v/>
      </c>
      <c r="AT1201" t="str">
        <f>IFERROR(ROUND(X1201*(U1201/$AY1201)/VLOOKUP(T1201,商品!$A$4:$D$67,4,FALSE),0),"")</f>
        <v/>
      </c>
      <c r="AU1201" t="str">
        <f>IFERROR(ROUND(X1201*(W1201/$AY1201)/VLOOKUP(V1201,商品!$A$4:$D$67,4,FALSE),0),"")</f>
        <v/>
      </c>
      <c r="AW1201">
        <f t="shared" si="320"/>
        <v>0</v>
      </c>
      <c r="AX1201">
        <f t="shared" si="321"/>
        <v>0</v>
      </c>
      <c r="AY1201">
        <f t="shared" si="322"/>
        <v>0</v>
      </c>
    </row>
    <row r="1202" customHeight="1" spans="1:51">
      <c r="A1202" s="18" t="s">
        <v>502</v>
      </c>
      <c r="C1202" s="18">
        <v>3</v>
      </c>
      <c r="D1202" s="1" t="s">
        <v>291</v>
      </c>
      <c r="E1202" s="1" t="s">
        <v>225</v>
      </c>
      <c r="L1202" s="18">
        <f>IFERROR(VLOOKUP($D1202&amp;$C1202,生产方式定位!$A$2:$E$38,2,FALSE)+VLOOKUP($E1202&amp;$C1202,生产方式定位!$F$3:$J$38,2,FALSE),0)</f>
        <v>0</v>
      </c>
      <c r="S1202" s="18">
        <f>IFERROR(VLOOKUP($D1202&amp;$C1202,生产方式定位!$A$2:$E$38,3,FALSE)+VLOOKUP($E1202&amp;$C1202,生产方式定位!$F$3:$J$38,3,FALSE),0)</f>
        <v>100</v>
      </c>
      <c r="X1202" s="18">
        <f>IFERROR(VLOOKUP($D1202&amp;$C1202,生产方式定位!$A$2:$E$38,5,FALSE)+VLOOKUP($E1202&amp;$C1202,生产方式定位!$F$3:$J$38,5,FALSE),"错误")</f>
        <v>100</v>
      </c>
      <c r="Y1202" s="27" t="str">
        <f t="shared" si="306"/>
        <v/>
      </c>
      <c r="Z1202" s="50" t="str">
        <f t="shared" si="309"/>
        <v/>
      </c>
      <c r="AA1202" s="50" t="str">
        <f t="shared" si="307"/>
        <v/>
      </c>
      <c r="AB1202" s="28" t="str">
        <f t="shared" si="310"/>
        <v/>
      </c>
      <c r="AC1202" s="1" t="str">
        <f t="shared" si="311"/>
        <v/>
      </c>
      <c r="AD1202" s="52">
        <f t="shared" si="308"/>
        <v>3</v>
      </c>
      <c r="AE1202" t="str">
        <f t="shared" si="312"/>
        <v/>
      </c>
      <c r="AF1202" t="str">
        <f t="shared" si="313"/>
        <v/>
      </c>
      <c r="AG1202" t="str">
        <f t="shared" si="314"/>
        <v/>
      </c>
      <c r="AH1202" t="str">
        <f t="shared" si="315"/>
        <v/>
      </c>
      <c r="AI1202" t="str">
        <f t="shared" si="316"/>
        <v/>
      </c>
      <c r="AJ1202" t="str">
        <f t="shared" si="317"/>
        <v/>
      </c>
      <c r="AK1202" t="str">
        <f t="shared" si="318"/>
        <v/>
      </c>
      <c r="AL1202" t="str">
        <f t="shared" si="319"/>
        <v/>
      </c>
      <c r="AN1202" t="str">
        <f>IFERROR(ROUND(L1202*(G1202/$AW1202)/VLOOKUP(F1202,商品!$A$4:$D$67,4,FALSE),0),"")</f>
        <v/>
      </c>
      <c r="AO1202" t="str">
        <f>IFERROR(ROUND(L1202*(I1202/$AW1202)/VLOOKUP(H1202,商品!$A$4:$D$67,4,FALSE),0),"")</f>
        <v/>
      </c>
      <c r="AP1202" t="str">
        <f>IFERROR(ROUND(L1202*(K1202/$AW1202)/VLOOKUP(J1202,商品!$A$4:$D$67,4,FALSE),0),"")</f>
        <v/>
      </c>
      <c r="AQ1202" t="str">
        <f>IFERROR(ROUND(S1202*(N1202/$AX1202)/VLOOKUP(M1202,职业!$A$3:$E$16,4,FALSE),0),"")</f>
        <v/>
      </c>
      <c r="AR1202" t="str">
        <f>IFERROR(ROUND(S1202*(P1202/$AX1202)/VLOOKUP(O1202,职业!$A$3:$E$16,4,FALSE),0),"")</f>
        <v/>
      </c>
      <c r="AS1202" t="str">
        <f>IFERROR(ROUND(S1202*(R1202/$AX1202)/VLOOKUP(Q1202,职业!$A$3:$E$16,4,FALSE),0),"")</f>
        <v/>
      </c>
      <c r="AT1202" t="str">
        <f>IFERROR(ROUND(X1202*(U1202/$AY1202)/VLOOKUP(T1202,商品!$A$4:$D$67,4,FALSE),0),"")</f>
        <v/>
      </c>
      <c r="AU1202" t="str">
        <f>IFERROR(ROUND(X1202*(W1202/$AY1202)/VLOOKUP(V1202,商品!$A$4:$D$67,4,FALSE),0),"")</f>
        <v/>
      </c>
      <c r="AW1202">
        <f t="shared" si="320"/>
        <v>0</v>
      </c>
      <c r="AX1202">
        <f t="shared" si="321"/>
        <v>0</v>
      </c>
      <c r="AY1202">
        <f t="shared" si="322"/>
        <v>0</v>
      </c>
    </row>
    <row r="1203" customHeight="1" spans="1:51">
      <c r="A1203" s="18" t="s">
        <v>502</v>
      </c>
      <c r="C1203" s="18">
        <v>4</v>
      </c>
      <c r="D1203" s="1" t="s">
        <v>291</v>
      </c>
      <c r="E1203" s="1" t="s">
        <v>225</v>
      </c>
      <c r="L1203" s="18">
        <f>IFERROR(VLOOKUP($D1203&amp;$C1203,生产方式定位!$A$2:$E$38,2,FALSE)+VLOOKUP($E1203&amp;$C1203,生产方式定位!$F$3:$J$38,2,FALSE),0)</f>
        <v>0</v>
      </c>
      <c r="S1203" s="18">
        <f>IFERROR(VLOOKUP($D1203&amp;$C1203,生产方式定位!$A$2:$E$38,3,FALSE)+VLOOKUP($E1203&amp;$C1203,生产方式定位!$F$3:$J$38,3,FALSE),0)</f>
        <v>100</v>
      </c>
      <c r="X1203" s="18">
        <f>IFERROR(VLOOKUP($D1203&amp;$C1203,生产方式定位!$A$2:$E$38,5,FALSE)+VLOOKUP($E1203&amp;$C1203,生产方式定位!$F$3:$J$38,5,FALSE),"错误")</f>
        <v>100</v>
      </c>
      <c r="Y1203" s="27" t="str">
        <f t="shared" si="306"/>
        <v/>
      </c>
      <c r="Z1203" s="50" t="str">
        <f t="shared" si="309"/>
        <v/>
      </c>
      <c r="AA1203" s="50" t="str">
        <f t="shared" si="307"/>
        <v/>
      </c>
      <c r="AB1203" s="28" t="str">
        <f t="shared" si="310"/>
        <v/>
      </c>
      <c r="AC1203" s="1" t="str">
        <f t="shared" si="311"/>
        <v/>
      </c>
      <c r="AD1203" s="52">
        <f t="shared" si="308"/>
        <v>4</v>
      </c>
      <c r="AE1203" t="str">
        <f t="shared" si="312"/>
        <v/>
      </c>
      <c r="AF1203" t="str">
        <f t="shared" si="313"/>
        <v/>
      </c>
      <c r="AG1203" t="str">
        <f t="shared" si="314"/>
        <v/>
      </c>
      <c r="AH1203" t="str">
        <f t="shared" si="315"/>
        <v/>
      </c>
      <c r="AI1203" t="str">
        <f t="shared" si="316"/>
        <v/>
      </c>
      <c r="AJ1203" t="str">
        <f t="shared" si="317"/>
        <v/>
      </c>
      <c r="AK1203" t="str">
        <f t="shared" si="318"/>
        <v/>
      </c>
      <c r="AL1203" t="str">
        <f t="shared" si="319"/>
        <v/>
      </c>
      <c r="AN1203" t="str">
        <f>IFERROR(ROUND(L1203*(G1203/$AW1203)/VLOOKUP(F1203,商品!$A$4:$D$67,4,FALSE),0),"")</f>
        <v/>
      </c>
      <c r="AO1203" t="str">
        <f>IFERROR(ROUND(L1203*(I1203/$AW1203)/VLOOKUP(H1203,商品!$A$4:$D$67,4,FALSE),0),"")</f>
        <v/>
      </c>
      <c r="AP1203" t="str">
        <f>IFERROR(ROUND(L1203*(K1203/$AW1203)/VLOOKUP(J1203,商品!$A$4:$D$67,4,FALSE),0),"")</f>
        <v/>
      </c>
      <c r="AQ1203" t="str">
        <f>IFERROR(ROUND(S1203*(N1203/$AX1203)/VLOOKUP(M1203,职业!$A$3:$E$16,4,FALSE),0),"")</f>
        <v/>
      </c>
      <c r="AR1203" t="str">
        <f>IFERROR(ROUND(S1203*(P1203/$AX1203)/VLOOKUP(O1203,职业!$A$3:$E$16,4,FALSE),0),"")</f>
        <v/>
      </c>
      <c r="AS1203" t="str">
        <f>IFERROR(ROUND(S1203*(R1203/$AX1203)/VLOOKUP(Q1203,职业!$A$3:$E$16,4,FALSE),0),"")</f>
        <v/>
      </c>
      <c r="AT1203" t="str">
        <f>IFERROR(ROUND(X1203*(U1203/$AY1203)/VLOOKUP(T1203,商品!$A$4:$D$67,4,FALSE),0),"")</f>
        <v/>
      </c>
      <c r="AU1203" t="str">
        <f>IFERROR(ROUND(X1203*(W1203/$AY1203)/VLOOKUP(V1203,商品!$A$4:$D$67,4,FALSE),0),"")</f>
        <v/>
      </c>
      <c r="AW1203">
        <f t="shared" si="320"/>
        <v>0</v>
      </c>
      <c r="AX1203">
        <f t="shared" si="321"/>
        <v>0</v>
      </c>
      <c r="AY1203">
        <f t="shared" si="322"/>
        <v>0</v>
      </c>
    </row>
    <row r="1204" customHeight="1" spans="1:51">
      <c r="A1204" s="18" t="s">
        <v>502</v>
      </c>
      <c r="C1204" s="18">
        <v>5</v>
      </c>
      <c r="D1204" s="1" t="s">
        <v>291</v>
      </c>
      <c r="E1204" s="1" t="s">
        <v>225</v>
      </c>
      <c r="L1204" s="18">
        <f>IFERROR(VLOOKUP($D1204&amp;$C1204,生产方式定位!$A$2:$E$38,2,FALSE)+VLOOKUP($E1204&amp;$C1204,生产方式定位!$F$3:$J$38,2,FALSE),0)</f>
        <v>0</v>
      </c>
      <c r="S1204" s="18">
        <f>IFERROR(VLOOKUP($D1204&amp;$C1204,生产方式定位!$A$2:$E$38,3,FALSE)+VLOOKUP($E1204&amp;$C1204,生产方式定位!$F$3:$J$38,3,FALSE),0)</f>
        <v>100</v>
      </c>
      <c r="X1204" s="18">
        <f>IFERROR(VLOOKUP($D1204&amp;$C1204,生产方式定位!$A$2:$E$38,5,FALSE)+VLOOKUP($E1204&amp;$C1204,生产方式定位!$F$3:$J$38,5,FALSE),"错误")</f>
        <v>100</v>
      </c>
      <c r="Y1204" s="27" t="str">
        <f t="shared" si="306"/>
        <v/>
      </c>
      <c r="Z1204" s="50" t="str">
        <f t="shared" si="309"/>
        <v/>
      </c>
      <c r="AA1204" s="50" t="str">
        <f t="shared" si="307"/>
        <v/>
      </c>
      <c r="AB1204" s="28" t="str">
        <f t="shared" si="310"/>
        <v/>
      </c>
      <c r="AC1204" s="1" t="str">
        <f t="shared" si="311"/>
        <v/>
      </c>
      <c r="AD1204" s="52">
        <f t="shared" si="308"/>
        <v>5</v>
      </c>
      <c r="AE1204" t="str">
        <f t="shared" si="312"/>
        <v/>
      </c>
      <c r="AF1204" t="str">
        <f t="shared" si="313"/>
        <v/>
      </c>
      <c r="AG1204" t="str">
        <f t="shared" si="314"/>
        <v/>
      </c>
      <c r="AH1204" t="str">
        <f t="shared" si="315"/>
        <v/>
      </c>
      <c r="AI1204" t="str">
        <f t="shared" si="316"/>
        <v/>
      </c>
      <c r="AJ1204" t="str">
        <f t="shared" si="317"/>
        <v/>
      </c>
      <c r="AK1204" t="str">
        <f t="shared" si="318"/>
        <v/>
      </c>
      <c r="AL1204" t="str">
        <f t="shared" si="319"/>
        <v/>
      </c>
      <c r="AN1204" t="str">
        <f>IFERROR(ROUND(L1204*(G1204/$AW1204)/VLOOKUP(F1204,商品!$A$4:$D$67,4,FALSE),0),"")</f>
        <v/>
      </c>
      <c r="AO1204" t="str">
        <f>IFERROR(ROUND(L1204*(I1204/$AW1204)/VLOOKUP(H1204,商品!$A$4:$D$67,4,FALSE),0),"")</f>
        <v/>
      </c>
      <c r="AP1204" t="str">
        <f>IFERROR(ROUND(L1204*(K1204/$AW1204)/VLOOKUP(J1204,商品!$A$4:$D$67,4,FALSE),0),"")</f>
        <v/>
      </c>
      <c r="AQ1204" t="str">
        <f>IFERROR(ROUND(S1204*(N1204/$AX1204)/VLOOKUP(M1204,职业!$A$3:$E$16,4,FALSE),0),"")</f>
        <v/>
      </c>
      <c r="AR1204" t="str">
        <f>IFERROR(ROUND(S1204*(P1204/$AX1204)/VLOOKUP(O1204,职业!$A$3:$E$16,4,FALSE),0),"")</f>
        <v/>
      </c>
      <c r="AS1204" t="str">
        <f>IFERROR(ROUND(S1204*(R1204/$AX1204)/VLOOKUP(Q1204,职业!$A$3:$E$16,4,FALSE),0),"")</f>
        <v/>
      </c>
      <c r="AT1204" t="str">
        <f>IFERROR(ROUND(X1204*(U1204/$AY1204)/VLOOKUP(T1204,商品!$A$4:$D$67,4,FALSE),0),"")</f>
        <v/>
      </c>
      <c r="AU1204" t="str">
        <f>IFERROR(ROUND(X1204*(W1204/$AY1204)/VLOOKUP(V1204,商品!$A$4:$D$67,4,FALSE),0),"")</f>
        <v/>
      </c>
      <c r="AW1204">
        <f t="shared" si="320"/>
        <v>0</v>
      </c>
      <c r="AX1204">
        <f t="shared" si="321"/>
        <v>0</v>
      </c>
      <c r="AY1204">
        <f t="shared" si="322"/>
        <v>0</v>
      </c>
    </row>
    <row r="1205" customHeight="1" spans="1:51">
      <c r="A1205" s="18" t="s">
        <v>502</v>
      </c>
      <c r="C1205" s="18">
        <v>6</v>
      </c>
      <c r="D1205" s="1" t="s">
        <v>291</v>
      </c>
      <c r="E1205" s="1" t="s">
        <v>225</v>
      </c>
      <c r="L1205" s="18">
        <f>IFERROR(VLOOKUP($D1205&amp;$C1205,生产方式定位!$A$2:$E$38,2,FALSE)+VLOOKUP($E1205&amp;$C1205,生产方式定位!$F$3:$J$38,2,FALSE),0)</f>
        <v>0</v>
      </c>
      <c r="S1205" s="18">
        <f>IFERROR(VLOOKUP($D1205&amp;$C1205,生产方式定位!$A$2:$E$38,3,FALSE)+VLOOKUP($E1205&amp;$C1205,生产方式定位!$F$3:$J$38,3,FALSE),0)</f>
        <v>100</v>
      </c>
      <c r="X1205" s="18">
        <f>IFERROR(VLOOKUP($D1205&amp;$C1205,生产方式定位!$A$2:$E$38,5,FALSE)+VLOOKUP($E1205&amp;$C1205,生产方式定位!$F$3:$J$38,5,FALSE),"错误")</f>
        <v>100</v>
      </c>
      <c r="Y1205" s="27" t="str">
        <f t="shared" si="306"/>
        <v/>
      </c>
      <c r="Z1205" s="50" t="str">
        <f t="shared" si="309"/>
        <v/>
      </c>
      <c r="AA1205" s="50" t="str">
        <f t="shared" si="307"/>
        <v/>
      </c>
      <c r="AB1205" s="28" t="str">
        <f t="shared" si="310"/>
        <v/>
      </c>
      <c r="AC1205" s="1" t="str">
        <f t="shared" si="311"/>
        <v/>
      </c>
      <c r="AD1205" s="52">
        <f t="shared" si="308"/>
        <v>6</v>
      </c>
      <c r="AE1205" t="str">
        <f t="shared" si="312"/>
        <v/>
      </c>
      <c r="AF1205" t="str">
        <f t="shared" si="313"/>
        <v/>
      </c>
      <c r="AG1205" t="str">
        <f t="shared" si="314"/>
        <v/>
      </c>
      <c r="AH1205" t="str">
        <f t="shared" si="315"/>
        <v/>
      </c>
      <c r="AI1205" t="str">
        <f t="shared" si="316"/>
        <v/>
      </c>
      <c r="AJ1205" t="str">
        <f t="shared" si="317"/>
        <v/>
      </c>
      <c r="AK1205" t="str">
        <f t="shared" si="318"/>
        <v/>
      </c>
      <c r="AL1205" t="str">
        <f t="shared" si="319"/>
        <v/>
      </c>
      <c r="AN1205" t="str">
        <f>IFERROR(ROUND(L1205*(G1205/$AW1205)/VLOOKUP(F1205,商品!$A$4:$D$67,4,FALSE),0),"")</f>
        <v/>
      </c>
      <c r="AO1205" t="str">
        <f>IFERROR(ROUND(L1205*(I1205/$AW1205)/VLOOKUP(H1205,商品!$A$4:$D$67,4,FALSE),0),"")</f>
        <v/>
      </c>
      <c r="AP1205" t="str">
        <f>IFERROR(ROUND(L1205*(K1205/$AW1205)/VLOOKUP(J1205,商品!$A$4:$D$67,4,FALSE),0),"")</f>
        <v/>
      </c>
      <c r="AQ1205" t="str">
        <f>IFERROR(ROUND(S1205*(N1205/$AX1205)/VLOOKUP(M1205,职业!$A$3:$E$16,4,FALSE),0),"")</f>
        <v/>
      </c>
      <c r="AR1205" t="str">
        <f>IFERROR(ROUND(S1205*(P1205/$AX1205)/VLOOKUP(O1205,职业!$A$3:$E$16,4,FALSE),0),"")</f>
        <v/>
      </c>
      <c r="AS1205" t="str">
        <f>IFERROR(ROUND(S1205*(R1205/$AX1205)/VLOOKUP(Q1205,职业!$A$3:$E$16,4,FALSE),0),"")</f>
        <v/>
      </c>
      <c r="AT1205" t="str">
        <f>IFERROR(ROUND(X1205*(U1205/$AY1205)/VLOOKUP(T1205,商品!$A$4:$D$67,4,FALSE),0),"")</f>
        <v/>
      </c>
      <c r="AU1205" t="str">
        <f>IFERROR(ROUND(X1205*(W1205/$AY1205)/VLOOKUP(V1205,商品!$A$4:$D$67,4,FALSE),0),"")</f>
        <v/>
      </c>
      <c r="AW1205">
        <f t="shared" si="320"/>
        <v>0</v>
      </c>
      <c r="AX1205">
        <f t="shared" si="321"/>
        <v>0</v>
      </c>
      <c r="AY1205">
        <f t="shared" si="322"/>
        <v>0</v>
      </c>
    </row>
    <row r="1206" customHeight="1" spans="1:51">
      <c r="A1206" s="18" t="s">
        <v>502</v>
      </c>
      <c r="C1206" s="18">
        <v>7</v>
      </c>
      <c r="D1206" s="1" t="s">
        <v>291</v>
      </c>
      <c r="E1206" s="1" t="s">
        <v>225</v>
      </c>
      <c r="L1206" s="18">
        <f>IFERROR(VLOOKUP($D1206&amp;$C1206,生产方式定位!$A$2:$E$38,2,FALSE)+VLOOKUP($E1206&amp;$C1206,生产方式定位!$F$3:$J$38,2,FALSE),0)</f>
        <v>0</v>
      </c>
      <c r="S1206" s="18">
        <f>IFERROR(VLOOKUP($D1206&amp;$C1206,生产方式定位!$A$2:$E$38,3,FALSE)+VLOOKUP($E1206&amp;$C1206,生产方式定位!$F$3:$J$38,3,FALSE),0)</f>
        <v>100</v>
      </c>
      <c r="X1206" s="18">
        <f>IFERROR(VLOOKUP($D1206&amp;$C1206,生产方式定位!$A$2:$E$38,5,FALSE)+VLOOKUP($E1206&amp;$C1206,生产方式定位!$F$3:$J$38,5,FALSE),"错误")</f>
        <v>100</v>
      </c>
      <c r="Y1206" s="27" t="str">
        <f t="shared" si="306"/>
        <v/>
      </c>
      <c r="Z1206" s="50" t="str">
        <f t="shared" si="309"/>
        <v/>
      </c>
      <c r="AA1206" s="50" t="str">
        <f t="shared" si="307"/>
        <v/>
      </c>
      <c r="AB1206" s="28" t="str">
        <f t="shared" si="310"/>
        <v/>
      </c>
      <c r="AC1206" s="1" t="str">
        <f t="shared" si="311"/>
        <v/>
      </c>
      <c r="AD1206" s="52">
        <f t="shared" si="308"/>
        <v>7</v>
      </c>
      <c r="AE1206" t="str">
        <f t="shared" si="312"/>
        <v/>
      </c>
      <c r="AF1206" t="str">
        <f t="shared" si="313"/>
        <v/>
      </c>
      <c r="AG1206" t="str">
        <f t="shared" si="314"/>
        <v/>
      </c>
      <c r="AH1206" t="str">
        <f t="shared" si="315"/>
        <v/>
      </c>
      <c r="AI1206" t="str">
        <f t="shared" si="316"/>
        <v/>
      </c>
      <c r="AJ1206" t="str">
        <f t="shared" si="317"/>
        <v/>
      </c>
      <c r="AK1206" t="str">
        <f t="shared" si="318"/>
        <v/>
      </c>
      <c r="AL1206" t="str">
        <f t="shared" si="319"/>
        <v/>
      </c>
      <c r="AN1206" t="str">
        <f>IFERROR(ROUND(L1206*(G1206/$AW1206)/VLOOKUP(F1206,商品!$A$4:$D$67,4,FALSE),0),"")</f>
        <v/>
      </c>
      <c r="AO1206" t="str">
        <f>IFERROR(ROUND(L1206*(I1206/$AW1206)/VLOOKUP(H1206,商品!$A$4:$D$67,4,FALSE),0),"")</f>
        <v/>
      </c>
      <c r="AP1206" t="str">
        <f>IFERROR(ROUND(L1206*(K1206/$AW1206)/VLOOKUP(J1206,商品!$A$4:$D$67,4,FALSE),0),"")</f>
        <v/>
      </c>
      <c r="AQ1206" t="str">
        <f>IFERROR(ROUND(S1206*(N1206/$AX1206)/VLOOKUP(M1206,职业!$A$3:$E$16,4,FALSE),0),"")</f>
        <v/>
      </c>
      <c r="AR1206" t="str">
        <f>IFERROR(ROUND(S1206*(P1206/$AX1206)/VLOOKUP(O1206,职业!$A$3:$E$16,4,FALSE),0),"")</f>
        <v/>
      </c>
      <c r="AS1206" t="str">
        <f>IFERROR(ROUND(S1206*(R1206/$AX1206)/VLOOKUP(Q1206,职业!$A$3:$E$16,4,FALSE),0),"")</f>
        <v/>
      </c>
      <c r="AT1206" t="str">
        <f>IFERROR(ROUND(X1206*(U1206/$AY1206)/VLOOKUP(T1206,商品!$A$4:$D$67,4,FALSE),0),"")</f>
        <v/>
      </c>
      <c r="AU1206" t="str">
        <f>IFERROR(ROUND(X1206*(W1206/$AY1206)/VLOOKUP(V1206,商品!$A$4:$D$67,4,FALSE),0),"")</f>
        <v/>
      </c>
      <c r="AW1206">
        <f t="shared" si="320"/>
        <v>0</v>
      </c>
      <c r="AX1206">
        <f t="shared" si="321"/>
        <v>0</v>
      </c>
      <c r="AY1206">
        <f t="shared" si="322"/>
        <v>0</v>
      </c>
    </row>
    <row r="1207" customHeight="1" spans="1:51">
      <c r="A1207" s="18" t="s">
        <v>502</v>
      </c>
      <c r="C1207" s="18">
        <v>8</v>
      </c>
      <c r="D1207" s="1" t="s">
        <v>291</v>
      </c>
      <c r="E1207" s="1" t="s">
        <v>225</v>
      </c>
      <c r="L1207" s="18">
        <f>IFERROR(VLOOKUP($D1207&amp;$C1207,生产方式定位!$A$2:$E$38,2,FALSE)+VLOOKUP($E1207&amp;$C1207,生产方式定位!$F$3:$J$38,2,FALSE),0)</f>
        <v>0</v>
      </c>
      <c r="S1207" s="18">
        <f>IFERROR(VLOOKUP($D1207&amp;$C1207,生产方式定位!$A$2:$E$38,3,FALSE)+VLOOKUP($E1207&amp;$C1207,生产方式定位!$F$3:$J$38,3,FALSE),0)</f>
        <v>100</v>
      </c>
      <c r="X1207" s="18">
        <f>IFERROR(VLOOKUP($D1207&amp;$C1207,生产方式定位!$A$2:$E$38,5,FALSE)+VLOOKUP($E1207&amp;$C1207,生产方式定位!$F$3:$J$38,5,FALSE),"错误")</f>
        <v>100</v>
      </c>
      <c r="Y1207" s="27" t="str">
        <f t="shared" si="306"/>
        <v/>
      </c>
      <c r="Z1207" s="50" t="str">
        <f t="shared" si="309"/>
        <v/>
      </c>
      <c r="AA1207" s="50" t="str">
        <f t="shared" si="307"/>
        <v/>
      </c>
      <c r="AB1207" s="28" t="str">
        <f t="shared" si="310"/>
        <v/>
      </c>
      <c r="AC1207" s="1" t="str">
        <f t="shared" si="311"/>
        <v/>
      </c>
      <c r="AD1207" s="52">
        <f t="shared" si="308"/>
        <v>8</v>
      </c>
      <c r="AE1207" t="str">
        <f t="shared" si="312"/>
        <v/>
      </c>
      <c r="AF1207" t="str">
        <f t="shared" si="313"/>
        <v/>
      </c>
      <c r="AG1207" t="str">
        <f t="shared" si="314"/>
        <v/>
      </c>
      <c r="AH1207" t="str">
        <f t="shared" si="315"/>
        <v/>
      </c>
      <c r="AI1207" t="str">
        <f t="shared" si="316"/>
        <v/>
      </c>
      <c r="AJ1207" t="str">
        <f t="shared" si="317"/>
        <v/>
      </c>
      <c r="AK1207" t="str">
        <f t="shared" si="318"/>
        <v/>
      </c>
      <c r="AL1207" t="str">
        <f t="shared" si="319"/>
        <v/>
      </c>
      <c r="AN1207" t="str">
        <f>IFERROR(ROUND(L1207*(G1207/$AW1207)/VLOOKUP(F1207,商品!$A$4:$D$67,4,FALSE),0),"")</f>
        <v/>
      </c>
      <c r="AO1207" t="str">
        <f>IFERROR(ROUND(L1207*(I1207/$AW1207)/VLOOKUP(H1207,商品!$A$4:$D$67,4,FALSE),0),"")</f>
        <v/>
      </c>
      <c r="AP1207" t="str">
        <f>IFERROR(ROUND(L1207*(K1207/$AW1207)/VLOOKUP(J1207,商品!$A$4:$D$67,4,FALSE),0),"")</f>
        <v/>
      </c>
      <c r="AQ1207" t="str">
        <f>IFERROR(ROUND(S1207*(N1207/$AX1207)/VLOOKUP(M1207,职业!$A$3:$E$16,4,FALSE),0),"")</f>
        <v/>
      </c>
      <c r="AR1207" t="str">
        <f>IFERROR(ROUND(S1207*(P1207/$AX1207)/VLOOKUP(O1207,职业!$A$3:$E$16,4,FALSE),0),"")</f>
        <v/>
      </c>
      <c r="AS1207" t="str">
        <f>IFERROR(ROUND(S1207*(R1207/$AX1207)/VLOOKUP(Q1207,职业!$A$3:$E$16,4,FALSE),0),"")</f>
        <v/>
      </c>
      <c r="AT1207" t="str">
        <f>IFERROR(ROUND(X1207*(U1207/$AY1207)/VLOOKUP(T1207,商品!$A$4:$D$67,4,FALSE),0),"")</f>
        <v/>
      </c>
      <c r="AU1207" t="str">
        <f>IFERROR(ROUND(X1207*(W1207/$AY1207)/VLOOKUP(V1207,商品!$A$4:$D$67,4,FALSE),0),"")</f>
        <v/>
      </c>
      <c r="AW1207">
        <f t="shared" si="320"/>
        <v>0</v>
      </c>
      <c r="AX1207">
        <f t="shared" si="321"/>
        <v>0</v>
      </c>
      <c r="AY1207">
        <f t="shared" si="322"/>
        <v>0</v>
      </c>
    </row>
  </sheetData>
  <mergeCells count="5">
    <mergeCell ref="AD1:AD4"/>
    <mergeCell ref="AM1:AM4"/>
    <mergeCell ref="AV1:AV4"/>
    <mergeCell ref="AZ1:AZ4"/>
    <mergeCell ref="A1:C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2050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390525</xdr:colOff>
                <xdr:row>2</xdr:row>
                <xdr:rowOff>196850</xdr:rowOff>
              </to>
            </anchor>
          </controlPr>
        </control>
      </mc:Choice>
      <mc:Fallback>
        <control shapeId="2050" r:id="rId3" name="pmTransformer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AG1207"/>
  <sheetViews>
    <sheetView showGridLines="0" workbookViewId="0">
      <pane xSplit="3" ySplit="4" topLeftCell="D5" activePane="bottomRight" state="frozen"/>
      <selection/>
      <selection pane="topRight"/>
      <selection pane="bottomLeft"/>
      <selection pane="bottomRight" activeCell="L7" sqref="L7"/>
    </sheetView>
  </sheetViews>
  <sheetFormatPr defaultColWidth="9" defaultRowHeight="19" customHeight="1"/>
  <cols>
    <col min="1" max="1" width="21.9583333333333" style="1" customWidth="1"/>
    <col min="2" max="2" width="13.475" style="1" customWidth="1"/>
    <col min="3" max="3" width="5.625" style="1" customWidth="1"/>
    <col min="4" max="4" width="6.75" style="1" customWidth="1"/>
    <col min="5" max="5" width="5.625" style="1" customWidth="1"/>
    <col min="6" max="6" width="6.75" style="1" customWidth="1"/>
    <col min="7" max="7" width="5.625" style="1" customWidth="1"/>
    <col min="8" max="8" width="6.75" style="1" customWidth="1"/>
    <col min="9" max="9" width="5.625" style="1" customWidth="1"/>
    <col min="10" max="10" width="6.75" style="1" customWidth="1"/>
    <col min="11" max="11" width="5.625" style="1" customWidth="1"/>
    <col min="12" max="12" width="7" style="1" customWidth="1"/>
    <col min="13" max="13" width="5.625" style="1" customWidth="1"/>
    <col min="14" max="14" width="7" style="1" customWidth="1"/>
    <col min="15" max="15" width="5.625" style="1" customWidth="1"/>
    <col min="16" max="16" width="6.75" style="1" customWidth="1"/>
    <col min="17" max="17" width="5.625" style="1" customWidth="1"/>
    <col min="18" max="18" width="6.75" style="1" customWidth="1"/>
    <col min="19" max="19" width="5.625" style="16" customWidth="1"/>
    <col min="20" max="21" width="11.25" style="1" customWidth="1"/>
    <col min="22" max="22" width="11.25" style="13" customWidth="1"/>
    <col min="23" max="23" width="9.875" style="13" customWidth="1"/>
    <col min="24" max="24" width="4.875" style="17" customWidth="1"/>
    <col min="25" max="32" width="6.75" customWidth="1"/>
    <col min="33" max="33" width="4.875" style="17" customWidth="1"/>
  </cols>
  <sheetData>
    <row r="1" customHeight="1" spans="1:33">
      <c r="A1" s="6"/>
      <c r="B1" s="6"/>
      <c r="X1" s="19" t="s">
        <v>573</v>
      </c>
      <c r="AG1" s="24" t="s">
        <v>573</v>
      </c>
    </row>
    <row r="2" customHeight="1" spans="1:33">
      <c r="A2" s="6"/>
      <c r="B2" s="6"/>
      <c r="X2" s="20"/>
      <c r="AG2" s="25"/>
    </row>
    <row r="3" customHeight="1" spans="1:33">
      <c r="A3" s="6"/>
      <c r="B3" s="6"/>
      <c r="X3" s="20"/>
      <c r="Y3" s="1"/>
      <c r="Z3" s="1"/>
      <c r="AA3" s="1"/>
      <c r="AB3" s="1"/>
      <c r="AG3" s="25"/>
    </row>
    <row r="4" ht="41" customHeight="1" spans="1:33">
      <c r="A4" s="2" t="s">
        <v>285</v>
      </c>
      <c r="B4" s="2" t="s">
        <v>574</v>
      </c>
      <c r="C4" s="3" t="s">
        <v>216</v>
      </c>
      <c r="D4" s="4" t="s">
        <v>577</v>
      </c>
      <c r="E4" s="4" t="s">
        <v>598</v>
      </c>
      <c r="F4" s="4" t="s">
        <v>579</v>
      </c>
      <c r="G4" s="4" t="s">
        <v>598</v>
      </c>
      <c r="H4" s="4" t="s">
        <v>580</v>
      </c>
      <c r="I4" s="4" t="s">
        <v>216</v>
      </c>
      <c r="J4" s="2" t="s">
        <v>582</v>
      </c>
      <c r="K4" s="2" t="s">
        <v>598</v>
      </c>
      <c r="L4" s="2" t="s">
        <v>583</v>
      </c>
      <c r="M4" s="2" t="s">
        <v>598</v>
      </c>
      <c r="N4" s="2" t="s">
        <v>584</v>
      </c>
      <c r="O4" s="2" t="s">
        <v>216</v>
      </c>
      <c r="P4" s="8" t="s">
        <v>217</v>
      </c>
      <c r="Q4" s="8" t="s">
        <v>598</v>
      </c>
      <c r="R4" s="8" t="s">
        <v>218</v>
      </c>
      <c r="S4" s="21" t="s">
        <v>216</v>
      </c>
      <c r="T4" s="22" t="s">
        <v>599</v>
      </c>
      <c r="U4" s="9" t="s">
        <v>600</v>
      </c>
      <c r="V4" s="10" t="s">
        <v>601</v>
      </c>
      <c r="W4" s="11" t="s">
        <v>602</v>
      </c>
      <c r="X4" s="23"/>
      <c r="Y4" s="4" t="s">
        <v>577</v>
      </c>
      <c r="Z4" s="4" t="s">
        <v>579</v>
      </c>
      <c r="AA4" s="4" t="s">
        <v>580</v>
      </c>
      <c r="AB4" s="2" t="s">
        <v>582</v>
      </c>
      <c r="AC4" s="2" t="s">
        <v>583</v>
      </c>
      <c r="AD4" s="2" t="s">
        <v>584</v>
      </c>
      <c r="AE4" s="8" t="s">
        <v>217</v>
      </c>
      <c r="AF4" s="8" t="s">
        <v>218</v>
      </c>
      <c r="AG4" s="26"/>
    </row>
    <row r="5" customHeight="1" spans="1:32">
      <c r="A5" s="5" t="s">
        <v>288</v>
      </c>
      <c r="B5" s="6"/>
      <c r="C5" s="5">
        <v>1</v>
      </c>
      <c r="D5" s="1" t="s">
        <v>106</v>
      </c>
      <c r="E5" s="1">
        <v>0</v>
      </c>
      <c r="J5" s="1" t="s">
        <v>207</v>
      </c>
      <c r="K5" s="1">
        <v>4900</v>
      </c>
      <c r="L5" s="1" t="s">
        <v>199</v>
      </c>
      <c r="M5" s="1">
        <v>150</v>
      </c>
      <c r="N5" s="1" t="s">
        <v>206</v>
      </c>
      <c r="O5" s="1">
        <v>750</v>
      </c>
      <c r="P5" s="1" t="s">
        <v>106</v>
      </c>
      <c r="Q5" s="1">
        <v>30</v>
      </c>
      <c r="T5" s="1">
        <f>SUM(Y5:AA5)</f>
        <v>0</v>
      </c>
      <c r="U5" s="1">
        <f>SUM(AB5:AC5)</f>
        <v>113</v>
      </c>
      <c r="V5" s="13">
        <f>SUM(AE5:AF5)</f>
        <v>600</v>
      </c>
      <c r="W5" s="13">
        <f>V5-T5-U5</f>
        <v>487</v>
      </c>
      <c r="Y5">
        <f>IFERROR(ROUND(E5*VLOOKUP(D5,商品!$A$4:$D$67,4,FALSE),0),"")</f>
        <v>0</v>
      </c>
      <c r="Z5" t="str">
        <f>IFERROR(ROUND(G5*VLOOKUP(F5,商品!$A$4:$D$67,4,FALSE),0),"")</f>
        <v/>
      </c>
      <c r="AA5" t="str">
        <f>IFERROR(ROUND(I5*VLOOKUP(H5,商品!$A$4:$D$67,4,FALSE),0),"")</f>
        <v/>
      </c>
      <c r="AB5">
        <f>IFERROR(ROUND(K5*VLOOKUP(J5,职业!$A$3:$E$16,4,FALSE),0),"")</f>
        <v>108</v>
      </c>
      <c r="AC5">
        <f>IFERROR(ROUND(M5*VLOOKUP(L5,职业!$A$3:$E$16,4,FALSE),0),"")</f>
        <v>5</v>
      </c>
      <c r="AD5">
        <f>IFERROR(ROUND(O5*VLOOKUP(N5,职业!$A$3:$E$16,4,FALSE),0),"")</f>
        <v>17</v>
      </c>
      <c r="AE5">
        <f>IFERROR(ROUND(Q5*VLOOKUP(P5,商品!$A$4:$D$67,4,FALSE),0),"")</f>
        <v>600</v>
      </c>
      <c r="AF5" t="str">
        <f>IFERROR(ROUND(S5*VLOOKUP(R5,商品!$A$4:$D$67,4,FALSE),0),"")</f>
        <v/>
      </c>
    </row>
    <row r="6" customHeight="1" spans="1:3">
      <c r="A6" s="5" t="s">
        <v>288</v>
      </c>
      <c r="B6" s="6"/>
      <c r="C6" s="5">
        <v>2</v>
      </c>
    </row>
    <row r="7" customHeight="1" spans="1:3">
      <c r="A7" s="5" t="s">
        <v>288</v>
      </c>
      <c r="C7" s="5">
        <v>3</v>
      </c>
    </row>
    <row r="8" customHeight="1" spans="1:3">
      <c r="A8" s="5" t="s">
        <v>288</v>
      </c>
      <c r="C8" s="5">
        <v>4</v>
      </c>
    </row>
    <row r="9" customHeight="1" spans="1:3">
      <c r="A9" s="5" t="s">
        <v>288</v>
      </c>
      <c r="C9" s="5">
        <v>5</v>
      </c>
    </row>
    <row r="10" customHeight="1" spans="1:3">
      <c r="A10" s="18" t="s">
        <v>289</v>
      </c>
      <c r="C10" s="18">
        <v>1</v>
      </c>
    </row>
    <row r="11" customHeight="1" spans="1:3">
      <c r="A11" s="18" t="s">
        <v>289</v>
      </c>
      <c r="C11" s="18">
        <v>2</v>
      </c>
    </row>
    <row r="12" customHeight="1" spans="1:3">
      <c r="A12" s="18" t="s">
        <v>289</v>
      </c>
      <c r="C12" s="18">
        <v>3</v>
      </c>
    </row>
    <row r="13" customHeight="1" spans="1:3">
      <c r="A13" s="18" t="s">
        <v>289</v>
      </c>
      <c r="C13" s="18">
        <v>4</v>
      </c>
    </row>
    <row r="14" customHeight="1" spans="1:3">
      <c r="A14" s="18" t="s">
        <v>289</v>
      </c>
      <c r="C14" s="18">
        <v>5</v>
      </c>
    </row>
    <row r="15" customHeight="1" spans="1:3">
      <c r="A15" s="5" t="s">
        <v>290</v>
      </c>
      <c r="C15" s="5">
        <v>1</v>
      </c>
    </row>
    <row r="16" customHeight="1" spans="1:3">
      <c r="A16" s="5" t="s">
        <v>290</v>
      </c>
      <c r="C16" s="5">
        <v>2</v>
      </c>
    </row>
    <row r="17" customHeight="1" spans="1:3">
      <c r="A17" s="5" t="s">
        <v>290</v>
      </c>
      <c r="C17" s="5">
        <v>3</v>
      </c>
    </row>
    <row r="18" customHeight="1" spans="1:3">
      <c r="A18" s="5" t="s">
        <v>290</v>
      </c>
      <c r="C18" s="5">
        <v>4</v>
      </c>
    </row>
    <row r="19" customHeight="1" spans="1:3">
      <c r="A19" s="5" t="s">
        <v>290</v>
      </c>
      <c r="C19" s="5">
        <v>5</v>
      </c>
    </row>
    <row r="20" customHeight="1" spans="1:3">
      <c r="A20" s="18" t="s">
        <v>290</v>
      </c>
      <c r="C20" s="18">
        <v>1</v>
      </c>
    </row>
    <row r="21" customHeight="1" spans="1:3">
      <c r="A21" s="18" t="s">
        <v>290</v>
      </c>
      <c r="C21" s="18">
        <v>2</v>
      </c>
    </row>
    <row r="22" customHeight="1" spans="1:3">
      <c r="A22" s="18" t="s">
        <v>290</v>
      </c>
      <c r="C22" s="18">
        <v>3</v>
      </c>
    </row>
    <row r="23" customHeight="1" spans="1:3">
      <c r="A23" s="18" t="s">
        <v>290</v>
      </c>
      <c r="C23" s="18">
        <v>4</v>
      </c>
    </row>
    <row r="24" customHeight="1" spans="1:3">
      <c r="A24" s="18" t="s">
        <v>290</v>
      </c>
      <c r="C24" s="18">
        <v>5</v>
      </c>
    </row>
    <row r="25" customHeight="1" spans="1:3">
      <c r="A25" s="5" t="s">
        <v>292</v>
      </c>
      <c r="C25" s="5">
        <v>1</v>
      </c>
    </row>
    <row r="26" customHeight="1" spans="1:3">
      <c r="A26" s="5" t="s">
        <v>292</v>
      </c>
      <c r="C26" s="5">
        <v>2</v>
      </c>
    </row>
    <row r="27" customHeight="1" spans="1:3">
      <c r="A27" s="5" t="s">
        <v>292</v>
      </c>
      <c r="C27" s="5">
        <v>3</v>
      </c>
    </row>
    <row r="28" customHeight="1" spans="1:3">
      <c r="A28" s="5" t="s">
        <v>292</v>
      </c>
      <c r="C28" s="5">
        <v>4</v>
      </c>
    </row>
    <row r="29" customHeight="1" spans="1:3">
      <c r="A29" s="5" t="s">
        <v>292</v>
      </c>
      <c r="C29" s="5">
        <v>5</v>
      </c>
    </row>
    <row r="30" customHeight="1" spans="1:3">
      <c r="A30" s="5" t="s">
        <v>292</v>
      </c>
      <c r="C30" s="5">
        <v>6</v>
      </c>
    </row>
    <row r="31" customHeight="1" spans="1:3">
      <c r="A31" s="5" t="s">
        <v>292</v>
      </c>
      <c r="C31" s="5">
        <v>7</v>
      </c>
    </row>
    <row r="32" customHeight="1" spans="1:3">
      <c r="A32" s="5" t="s">
        <v>292</v>
      </c>
      <c r="C32" s="5">
        <v>8</v>
      </c>
    </row>
    <row r="33" customHeight="1" spans="1:3">
      <c r="A33" s="18" t="s">
        <v>294</v>
      </c>
      <c r="C33" s="18">
        <v>1</v>
      </c>
    </row>
    <row r="34" customHeight="1" spans="1:3">
      <c r="A34" s="18" t="s">
        <v>294</v>
      </c>
      <c r="C34" s="18">
        <v>2</v>
      </c>
    </row>
    <row r="35" customHeight="1" spans="1:3">
      <c r="A35" s="18" t="s">
        <v>294</v>
      </c>
      <c r="C35" s="18">
        <v>3</v>
      </c>
    </row>
    <row r="36" customHeight="1" spans="1:3">
      <c r="A36" s="18" t="s">
        <v>294</v>
      </c>
      <c r="C36" s="18">
        <v>4</v>
      </c>
    </row>
    <row r="37" customHeight="1" spans="1:3">
      <c r="A37" s="18" t="s">
        <v>294</v>
      </c>
      <c r="C37" s="18">
        <v>5</v>
      </c>
    </row>
    <row r="38" customHeight="1" spans="1:3">
      <c r="A38" s="5" t="s">
        <v>295</v>
      </c>
      <c r="C38" s="5">
        <v>1</v>
      </c>
    </row>
    <row r="39" customHeight="1" spans="1:3">
      <c r="A39" s="5" t="s">
        <v>295</v>
      </c>
      <c r="C39" s="5">
        <v>2</v>
      </c>
    </row>
    <row r="40" customHeight="1" spans="1:3">
      <c r="A40" s="5" t="s">
        <v>295</v>
      </c>
      <c r="C40" s="5">
        <v>3</v>
      </c>
    </row>
    <row r="41" customHeight="1" spans="1:3">
      <c r="A41" s="5" t="s">
        <v>295</v>
      </c>
      <c r="C41" s="5">
        <v>4</v>
      </c>
    </row>
    <row r="42" customHeight="1" spans="1:3">
      <c r="A42" s="5" t="s">
        <v>295</v>
      </c>
      <c r="C42" s="5">
        <v>5</v>
      </c>
    </row>
    <row r="43" customHeight="1" spans="1:3">
      <c r="A43" s="18" t="s">
        <v>296</v>
      </c>
      <c r="C43" s="18">
        <v>1</v>
      </c>
    </row>
    <row r="44" customHeight="1" spans="1:3">
      <c r="A44" s="18" t="s">
        <v>296</v>
      </c>
      <c r="C44" s="18">
        <v>2</v>
      </c>
    </row>
    <row r="45" customHeight="1" spans="1:3">
      <c r="A45" s="18" t="s">
        <v>296</v>
      </c>
      <c r="C45" s="18">
        <v>3</v>
      </c>
    </row>
    <row r="46" customHeight="1" spans="1:3">
      <c r="A46" s="18" t="s">
        <v>296</v>
      </c>
      <c r="C46" s="18">
        <v>4</v>
      </c>
    </row>
    <row r="47" customHeight="1" spans="1:3">
      <c r="A47" s="18" t="s">
        <v>296</v>
      </c>
      <c r="C47" s="18">
        <v>5</v>
      </c>
    </row>
    <row r="48" customHeight="1" spans="1:3">
      <c r="A48" s="5" t="s">
        <v>296</v>
      </c>
      <c r="C48" s="5">
        <v>1</v>
      </c>
    </row>
    <row r="49" customHeight="1" spans="1:3">
      <c r="A49" s="5" t="s">
        <v>296</v>
      </c>
      <c r="C49" s="5">
        <v>2</v>
      </c>
    </row>
    <row r="50" customHeight="1" spans="1:3">
      <c r="A50" s="5" t="s">
        <v>296</v>
      </c>
      <c r="C50" s="5">
        <v>3</v>
      </c>
    </row>
    <row r="51" customHeight="1" spans="1:3">
      <c r="A51" s="5" t="s">
        <v>296</v>
      </c>
      <c r="C51" s="5">
        <v>4</v>
      </c>
    </row>
    <row r="52" customHeight="1" spans="1:3">
      <c r="A52" s="5" t="s">
        <v>296</v>
      </c>
      <c r="C52" s="5">
        <v>5</v>
      </c>
    </row>
    <row r="53" customHeight="1" spans="1:3">
      <c r="A53" s="18" t="s">
        <v>297</v>
      </c>
      <c r="C53" s="18">
        <v>1</v>
      </c>
    </row>
    <row r="54" customHeight="1" spans="1:3">
      <c r="A54" s="18" t="s">
        <v>297</v>
      </c>
      <c r="C54" s="18">
        <v>2</v>
      </c>
    </row>
    <row r="55" customHeight="1" spans="1:3">
      <c r="A55" s="18" t="s">
        <v>297</v>
      </c>
      <c r="C55" s="18">
        <v>3</v>
      </c>
    </row>
    <row r="56" customHeight="1" spans="1:3">
      <c r="A56" s="18" t="s">
        <v>297</v>
      </c>
      <c r="C56" s="18">
        <v>4</v>
      </c>
    </row>
    <row r="57" customHeight="1" spans="1:3">
      <c r="A57" s="18" t="s">
        <v>297</v>
      </c>
      <c r="C57" s="18">
        <v>5</v>
      </c>
    </row>
    <row r="58" customHeight="1" spans="1:3">
      <c r="A58" s="18" t="s">
        <v>297</v>
      </c>
      <c r="C58" s="18">
        <v>6</v>
      </c>
    </row>
    <row r="59" customHeight="1" spans="1:3">
      <c r="A59" s="18" t="s">
        <v>297</v>
      </c>
      <c r="C59" s="18">
        <v>7</v>
      </c>
    </row>
    <row r="60" customHeight="1" spans="1:3">
      <c r="A60" s="18" t="s">
        <v>297</v>
      </c>
      <c r="C60" s="18">
        <v>8</v>
      </c>
    </row>
    <row r="61" customHeight="1" spans="1:3">
      <c r="A61" s="5" t="s">
        <v>299</v>
      </c>
      <c r="C61" s="5">
        <v>1</v>
      </c>
    </row>
    <row r="62" customHeight="1" spans="1:3">
      <c r="A62" s="5" t="s">
        <v>299</v>
      </c>
      <c r="C62" s="5">
        <v>2</v>
      </c>
    </row>
    <row r="63" customHeight="1" spans="1:3">
      <c r="A63" s="5" t="s">
        <v>299</v>
      </c>
      <c r="C63" s="5">
        <v>3</v>
      </c>
    </row>
    <row r="64" customHeight="1" spans="1:3">
      <c r="A64" s="5" t="s">
        <v>299</v>
      </c>
      <c r="C64" s="5">
        <v>4</v>
      </c>
    </row>
    <row r="65" customHeight="1" spans="1:3">
      <c r="A65" s="5" t="s">
        <v>299</v>
      </c>
      <c r="C65" s="5">
        <v>5</v>
      </c>
    </row>
    <row r="66" customHeight="1" spans="1:3">
      <c r="A66" s="18" t="s">
        <v>300</v>
      </c>
      <c r="C66" s="18">
        <v>1</v>
      </c>
    </row>
    <row r="67" customHeight="1" spans="1:3">
      <c r="A67" s="18" t="s">
        <v>300</v>
      </c>
      <c r="C67" s="18">
        <v>2</v>
      </c>
    </row>
    <row r="68" customHeight="1" spans="1:3">
      <c r="A68" s="18" t="s">
        <v>300</v>
      </c>
      <c r="C68" s="18">
        <v>3</v>
      </c>
    </row>
    <row r="69" customHeight="1" spans="1:3">
      <c r="A69" s="18" t="s">
        <v>300</v>
      </c>
      <c r="C69" s="18">
        <v>4</v>
      </c>
    </row>
    <row r="70" customHeight="1" spans="1:3">
      <c r="A70" s="18" t="s">
        <v>300</v>
      </c>
      <c r="C70" s="18">
        <v>5</v>
      </c>
    </row>
    <row r="71" customHeight="1" spans="1:3">
      <c r="A71" s="5" t="s">
        <v>300</v>
      </c>
      <c r="C71" s="5">
        <v>1</v>
      </c>
    </row>
    <row r="72" customHeight="1" spans="1:3">
      <c r="A72" s="5" t="s">
        <v>300</v>
      </c>
      <c r="C72" s="5">
        <v>2</v>
      </c>
    </row>
    <row r="73" customHeight="1" spans="1:3">
      <c r="A73" s="5" t="s">
        <v>300</v>
      </c>
      <c r="C73" s="5">
        <v>3</v>
      </c>
    </row>
    <row r="74" customHeight="1" spans="1:3">
      <c r="A74" s="5" t="s">
        <v>300</v>
      </c>
      <c r="C74" s="5">
        <v>4</v>
      </c>
    </row>
    <row r="75" customHeight="1" spans="1:3">
      <c r="A75" s="5" t="s">
        <v>300</v>
      </c>
      <c r="C75" s="5">
        <v>5</v>
      </c>
    </row>
    <row r="76" customHeight="1" spans="1:3">
      <c r="A76" s="18" t="s">
        <v>301</v>
      </c>
      <c r="C76" s="18">
        <v>1</v>
      </c>
    </row>
    <row r="77" customHeight="1" spans="1:3">
      <c r="A77" s="18" t="s">
        <v>301</v>
      </c>
      <c r="C77" s="18">
        <v>2</v>
      </c>
    </row>
    <row r="78" customHeight="1" spans="1:3">
      <c r="A78" s="18" t="s">
        <v>301</v>
      </c>
      <c r="C78" s="18">
        <v>3</v>
      </c>
    </row>
    <row r="79" customHeight="1" spans="1:3">
      <c r="A79" s="18" t="s">
        <v>301</v>
      </c>
      <c r="C79" s="18">
        <v>4</v>
      </c>
    </row>
    <row r="80" customHeight="1" spans="1:3">
      <c r="A80" s="18" t="s">
        <v>301</v>
      </c>
      <c r="C80" s="18">
        <v>5</v>
      </c>
    </row>
    <row r="81" customHeight="1" spans="1:3">
      <c r="A81" s="18" t="s">
        <v>301</v>
      </c>
      <c r="C81" s="18">
        <v>6</v>
      </c>
    </row>
    <row r="82" customHeight="1" spans="1:3">
      <c r="A82" s="18" t="s">
        <v>301</v>
      </c>
      <c r="C82" s="18">
        <v>7</v>
      </c>
    </row>
    <row r="83" customHeight="1" spans="1:3">
      <c r="A83" s="18" t="s">
        <v>301</v>
      </c>
      <c r="C83" s="18">
        <v>8</v>
      </c>
    </row>
    <row r="84" customHeight="1" spans="1:3">
      <c r="A84" s="5" t="s">
        <v>303</v>
      </c>
      <c r="C84" s="5">
        <v>1</v>
      </c>
    </row>
    <row r="85" customHeight="1" spans="1:3">
      <c r="A85" s="5" t="s">
        <v>303</v>
      </c>
      <c r="C85" s="5">
        <v>2</v>
      </c>
    </row>
    <row r="86" customHeight="1" spans="1:3">
      <c r="A86" s="5" t="s">
        <v>303</v>
      </c>
      <c r="C86" s="5">
        <v>3</v>
      </c>
    </row>
    <row r="87" customHeight="1" spans="1:3">
      <c r="A87" s="5" t="s">
        <v>303</v>
      </c>
      <c r="C87" s="5">
        <v>4</v>
      </c>
    </row>
    <row r="88" customHeight="1" spans="1:3">
      <c r="A88" s="5" t="s">
        <v>303</v>
      </c>
      <c r="C88" s="5">
        <v>5</v>
      </c>
    </row>
    <row r="89" customHeight="1" spans="1:3">
      <c r="A89" s="18" t="s">
        <v>304</v>
      </c>
      <c r="C89" s="18">
        <v>1</v>
      </c>
    </row>
    <row r="90" customHeight="1" spans="1:3">
      <c r="A90" s="18" t="s">
        <v>304</v>
      </c>
      <c r="C90" s="18">
        <v>2</v>
      </c>
    </row>
    <row r="91" customHeight="1" spans="1:3">
      <c r="A91" s="18" t="s">
        <v>304</v>
      </c>
      <c r="C91" s="18">
        <v>3</v>
      </c>
    </row>
    <row r="92" customHeight="1" spans="1:3">
      <c r="A92" s="18" t="s">
        <v>304</v>
      </c>
      <c r="C92" s="18">
        <v>4</v>
      </c>
    </row>
    <row r="93" customHeight="1" spans="1:3">
      <c r="A93" s="18" t="s">
        <v>304</v>
      </c>
      <c r="C93" s="18">
        <v>5</v>
      </c>
    </row>
    <row r="94" customHeight="1" spans="1:3">
      <c r="A94" s="5" t="s">
        <v>305</v>
      </c>
      <c r="C94" s="5">
        <v>1</v>
      </c>
    </row>
    <row r="95" customHeight="1" spans="1:3">
      <c r="A95" s="5" t="s">
        <v>305</v>
      </c>
      <c r="C95" s="5">
        <v>2</v>
      </c>
    </row>
    <row r="96" customHeight="1" spans="1:3">
      <c r="A96" s="5" t="s">
        <v>305</v>
      </c>
      <c r="C96" s="5">
        <v>3</v>
      </c>
    </row>
    <row r="97" customHeight="1" spans="1:3">
      <c r="A97" s="5" t="s">
        <v>305</v>
      </c>
      <c r="C97" s="5">
        <v>4</v>
      </c>
    </row>
    <row r="98" customHeight="1" spans="1:3">
      <c r="A98" s="5" t="s">
        <v>305</v>
      </c>
      <c r="C98" s="5">
        <v>5</v>
      </c>
    </row>
    <row r="99" customHeight="1" spans="1:3">
      <c r="A99" s="18" t="s">
        <v>305</v>
      </c>
      <c r="C99" s="18">
        <v>1</v>
      </c>
    </row>
    <row r="100" customHeight="1" spans="1:3">
      <c r="A100" s="18" t="s">
        <v>305</v>
      </c>
      <c r="C100" s="18">
        <v>2</v>
      </c>
    </row>
    <row r="101" customHeight="1" spans="1:3">
      <c r="A101" s="18" t="s">
        <v>305</v>
      </c>
      <c r="C101" s="18">
        <v>3</v>
      </c>
    </row>
    <row r="102" customHeight="1" spans="1:3">
      <c r="A102" s="18" t="s">
        <v>305</v>
      </c>
      <c r="C102" s="18">
        <v>4</v>
      </c>
    </row>
    <row r="103" customHeight="1" spans="1:3">
      <c r="A103" s="18" t="s">
        <v>305</v>
      </c>
      <c r="C103" s="18">
        <v>5</v>
      </c>
    </row>
    <row r="104" customHeight="1" spans="1:3">
      <c r="A104" s="5" t="s">
        <v>306</v>
      </c>
      <c r="C104" s="5">
        <v>1</v>
      </c>
    </row>
    <row r="105" customHeight="1" spans="1:3">
      <c r="A105" s="5" t="s">
        <v>306</v>
      </c>
      <c r="C105" s="5">
        <v>2</v>
      </c>
    </row>
    <row r="106" customHeight="1" spans="1:3">
      <c r="A106" s="5" t="s">
        <v>306</v>
      </c>
      <c r="C106" s="5">
        <v>3</v>
      </c>
    </row>
    <row r="107" customHeight="1" spans="1:3">
      <c r="A107" s="5" t="s">
        <v>306</v>
      </c>
      <c r="C107" s="5">
        <v>4</v>
      </c>
    </row>
    <row r="108" customHeight="1" spans="1:3">
      <c r="A108" s="5" t="s">
        <v>306</v>
      </c>
      <c r="C108" s="5">
        <v>5</v>
      </c>
    </row>
    <row r="109" customHeight="1" spans="1:3">
      <c r="A109" s="5" t="s">
        <v>306</v>
      </c>
      <c r="C109" s="5">
        <v>6</v>
      </c>
    </row>
    <row r="110" customHeight="1" spans="1:3">
      <c r="A110" s="5" t="s">
        <v>306</v>
      </c>
      <c r="C110" s="5">
        <v>7</v>
      </c>
    </row>
    <row r="111" customHeight="1" spans="1:3">
      <c r="A111" s="5" t="s">
        <v>306</v>
      </c>
      <c r="C111" s="5">
        <v>8</v>
      </c>
    </row>
    <row r="112" customHeight="1" spans="1:3">
      <c r="A112" s="18" t="s">
        <v>308</v>
      </c>
      <c r="C112" s="18">
        <v>1</v>
      </c>
    </row>
    <row r="113" customHeight="1" spans="1:3">
      <c r="A113" s="18" t="s">
        <v>308</v>
      </c>
      <c r="C113" s="18">
        <v>2</v>
      </c>
    </row>
    <row r="114" customHeight="1" spans="1:3">
      <c r="A114" s="18" t="s">
        <v>308</v>
      </c>
      <c r="C114" s="18">
        <v>3</v>
      </c>
    </row>
    <row r="115" customHeight="1" spans="1:3">
      <c r="A115" s="18" t="s">
        <v>308</v>
      </c>
      <c r="C115" s="18">
        <v>4</v>
      </c>
    </row>
    <row r="116" customHeight="1" spans="1:3">
      <c r="A116" s="18" t="s">
        <v>308</v>
      </c>
      <c r="C116" s="18">
        <v>5</v>
      </c>
    </row>
    <row r="117" customHeight="1" spans="1:3">
      <c r="A117" s="5" t="s">
        <v>309</v>
      </c>
      <c r="C117" s="5">
        <v>1</v>
      </c>
    </row>
    <row r="118" customHeight="1" spans="1:3">
      <c r="A118" s="5" t="s">
        <v>309</v>
      </c>
      <c r="C118" s="5">
        <v>2</v>
      </c>
    </row>
    <row r="119" customHeight="1" spans="1:3">
      <c r="A119" s="5" t="s">
        <v>309</v>
      </c>
      <c r="C119" s="5">
        <v>3</v>
      </c>
    </row>
    <row r="120" customHeight="1" spans="1:3">
      <c r="A120" s="5" t="s">
        <v>309</v>
      </c>
      <c r="C120" s="5">
        <v>4</v>
      </c>
    </row>
    <row r="121" customHeight="1" spans="1:3">
      <c r="A121" s="5" t="s">
        <v>309</v>
      </c>
      <c r="C121" s="5">
        <v>5</v>
      </c>
    </row>
    <row r="122" customHeight="1" spans="1:3">
      <c r="A122" s="18" t="s">
        <v>310</v>
      </c>
      <c r="C122" s="18">
        <v>1</v>
      </c>
    </row>
    <row r="123" customHeight="1" spans="1:3">
      <c r="A123" s="18" t="s">
        <v>310</v>
      </c>
      <c r="C123" s="18">
        <v>2</v>
      </c>
    </row>
    <row r="124" customHeight="1" spans="1:3">
      <c r="A124" s="18" t="s">
        <v>310</v>
      </c>
      <c r="C124" s="18">
        <v>3</v>
      </c>
    </row>
    <row r="125" customHeight="1" spans="1:3">
      <c r="A125" s="18" t="s">
        <v>310</v>
      </c>
      <c r="C125" s="18">
        <v>4</v>
      </c>
    </row>
    <row r="126" customHeight="1" spans="1:3">
      <c r="A126" s="18" t="s">
        <v>310</v>
      </c>
      <c r="C126" s="18">
        <v>5</v>
      </c>
    </row>
    <row r="127" customHeight="1" spans="1:3">
      <c r="A127" s="5" t="s">
        <v>310</v>
      </c>
      <c r="C127" s="5">
        <v>1</v>
      </c>
    </row>
    <row r="128" customHeight="1" spans="1:3">
      <c r="A128" s="5" t="s">
        <v>310</v>
      </c>
      <c r="C128" s="5">
        <v>2</v>
      </c>
    </row>
    <row r="129" customHeight="1" spans="1:3">
      <c r="A129" s="5" t="s">
        <v>310</v>
      </c>
      <c r="C129" s="5">
        <v>3</v>
      </c>
    </row>
    <row r="130" customHeight="1" spans="1:3">
      <c r="A130" s="5" t="s">
        <v>310</v>
      </c>
      <c r="C130" s="5">
        <v>4</v>
      </c>
    </row>
    <row r="131" customHeight="1" spans="1:3">
      <c r="A131" s="5" t="s">
        <v>310</v>
      </c>
      <c r="C131" s="5">
        <v>5</v>
      </c>
    </row>
    <row r="132" customHeight="1" spans="1:3">
      <c r="A132" s="18" t="s">
        <v>311</v>
      </c>
      <c r="C132" s="18">
        <v>1</v>
      </c>
    </row>
    <row r="133" customHeight="1" spans="1:3">
      <c r="A133" s="18" t="s">
        <v>311</v>
      </c>
      <c r="C133" s="18">
        <v>2</v>
      </c>
    </row>
    <row r="134" customHeight="1" spans="1:3">
      <c r="A134" s="18" t="s">
        <v>311</v>
      </c>
      <c r="C134" s="18">
        <v>3</v>
      </c>
    </row>
    <row r="135" customHeight="1" spans="1:3">
      <c r="A135" s="18" t="s">
        <v>311</v>
      </c>
      <c r="C135" s="18">
        <v>4</v>
      </c>
    </row>
    <row r="136" customHeight="1" spans="1:3">
      <c r="A136" s="18" t="s">
        <v>311</v>
      </c>
      <c r="C136" s="18">
        <v>5</v>
      </c>
    </row>
    <row r="137" customHeight="1" spans="1:3">
      <c r="A137" s="18" t="s">
        <v>311</v>
      </c>
      <c r="C137" s="18">
        <v>6</v>
      </c>
    </row>
    <row r="138" customHeight="1" spans="1:3">
      <c r="A138" s="18" t="s">
        <v>311</v>
      </c>
      <c r="C138" s="18">
        <v>7</v>
      </c>
    </row>
    <row r="139" customHeight="1" spans="1:3">
      <c r="A139" s="18" t="s">
        <v>311</v>
      </c>
      <c r="C139" s="18">
        <v>8</v>
      </c>
    </row>
    <row r="140" customHeight="1" spans="1:3">
      <c r="A140" s="5" t="s">
        <v>313</v>
      </c>
      <c r="C140" s="5">
        <v>1</v>
      </c>
    </row>
    <row r="141" customHeight="1" spans="1:3">
      <c r="A141" s="5" t="s">
        <v>313</v>
      </c>
      <c r="C141" s="5">
        <v>2</v>
      </c>
    </row>
    <row r="142" customHeight="1" spans="1:3">
      <c r="A142" s="5" t="s">
        <v>313</v>
      </c>
      <c r="C142" s="5">
        <v>3</v>
      </c>
    </row>
    <row r="143" customHeight="1" spans="1:3">
      <c r="A143" s="5" t="s">
        <v>313</v>
      </c>
      <c r="C143" s="5">
        <v>4</v>
      </c>
    </row>
    <row r="144" customHeight="1" spans="1:3">
      <c r="A144" s="5" t="s">
        <v>313</v>
      </c>
      <c r="C144" s="5">
        <v>5</v>
      </c>
    </row>
    <row r="145" customHeight="1" spans="1:3">
      <c r="A145" s="18" t="s">
        <v>314</v>
      </c>
      <c r="C145" s="18">
        <v>1</v>
      </c>
    </row>
    <row r="146" customHeight="1" spans="1:3">
      <c r="A146" s="18" t="s">
        <v>314</v>
      </c>
      <c r="C146" s="18">
        <v>2</v>
      </c>
    </row>
    <row r="147" customHeight="1" spans="1:3">
      <c r="A147" s="18" t="s">
        <v>314</v>
      </c>
      <c r="C147" s="18">
        <v>3</v>
      </c>
    </row>
    <row r="148" customHeight="1" spans="1:3">
      <c r="A148" s="18" t="s">
        <v>314</v>
      </c>
      <c r="C148" s="18">
        <v>4</v>
      </c>
    </row>
    <row r="149" customHeight="1" spans="1:3">
      <c r="A149" s="18" t="s">
        <v>314</v>
      </c>
      <c r="C149" s="18">
        <v>5</v>
      </c>
    </row>
    <row r="150" customHeight="1" spans="1:3">
      <c r="A150" s="5" t="s">
        <v>315</v>
      </c>
      <c r="C150" s="5">
        <v>1</v>
      </c>
    </row>
    <row r="151" customHeight="1" spans="1:3">
      <c r="A151" s="5" t="s">
        <v>315</v>
      </c>
      <c r="C151" s="5">
        <v>2</v>
      </c>
    </row>
    <row r="152" customHeight="1" spans="1:3">
      <c r="A152" s="5" t="s">
        <v>315</v>
      </c>
      <c r="C152" s="5">
        <v>3</v>
      </c>
    </row>
    <row r="153" customHeight="1" spans="1:3">
      <c r="A153" s="5" t="s">
        <v>315</v>
      </c>
      <c r="C153" s="5">
        <v>4</v>
      </c>
    </row>
    <row r="154" customHeight="1" spans="1:3">
      <c r="A154" s="5" t="s">
        <v>315</v>
      </c>
      <c r="C154" s="5">
        <v>5</v>
      </c>
    </row>
    <row r="155" customHeight="1" spans="1:3">
      <c r="A155" s="18" t="s">
        <v>315</v>
      </c>
      <c r="C155" s="18">
        <v>1</v>
      </c>
    </row>
    <row r="156" customHeight="1" spans="1:3">
      <c r="A156" s="18" t="s">
        <v>315</v>
      </c>
      <c r="C156" s="18">
        <v>2</v>
      </c>
    </row>
    <row r="157" customHeight="1" spans="1:3">
      <c r="A157" s="18" t="s">
        <v>315</v>
      </c>
      <c r="C157" s="18">
        <v>3</v>
      </c>
    </row>
    <row r="158" customHeight="1" spans="1:3">
      <c r="A158" s="18" t="s">
        <v>315</v>
      </c>
      <c r="C158" s="18">
        <v>4</v>
      </c>
    </row>
    <row r="159" customHeight="1" spans="1:3">
      <c r="A159" s="18" t="s">
        <v>315</v>
      </c>
      <c r="C159" s="18">
        <v>5</v>
      </c>
    </row>
    <row r="160" customHeight="1" spans="1:3">
      <c r="A160" s="5" t="s">
        <v>316</v>
      </c>
      <c r="C160" s="5">
        <v>1</v>
      </c>
    </row>
    <row r="161" customHeight="1" spans="1:3">
      <c r="A161" s="5" t="s">
        <v>316</v>
      </c>
      <c r="C161" s="5">
        <v>2</v>
      </c>
    </row>
    <row r="162" customHeight="1" spans="1:3">
      <c r="A162" s="5" t="s">
        <v>316</v>
      </c>
      <c r="C162" s="5">
        <v>3</v>
      </c>
    </row>
    <row r="163" customHeight="1" spans="1:3">
      <c r="A163" s="5" t="s">
        <v>316</v>
      </c>
      <c r="C163" s="5">
        <v>4</v>
      </c>
    </row>
    <row r="164" customHeight="1" spans="1:3">
      <c r="A164" s="5" t="s">
        <v>316</v>
      </c>
      <c r="C164" s="5">
        <v>5</v>
      </c>
    </row>
    <row r="165" customHeight="1" spans="1:3">
      <c r="A165" s="5" t="s">
        <v>316</v>
      </c>
      <c r="C165" s="5">
        <v>6</v>
      </c>
    </row>
    <row r="166" customHeight="1" spans="1:3">
      <c r="A166" s="5" t="s">
        <v>316</v>
      </c>
      <c r="C166" s="5">
        <v>7</v>
      </c>
    </row>
    <row r="167" customHeight="1" spans="1:3">
      <c r="A167" s="5" t="s">
        <v>316</v>
      </c>
      <c r="C167" s="5">
        <v>8</v>
      </c>
    </row>
    <row r="168" customHeight="1" spans="1:3">
      <c r="A168" s="18" t="s">
        <v>318</v>
      </c>
      <c r="C168" s="18">
        <v>1</v>
      </c>
    </row>
    <row r="169" customHeight="1" spans="1:3">
      <c r="A169" s="18" t="s">
        <v>318</v>
      </c>
      <c r="C169" s="18">
        <v>2</v>
      </c>
    </row>
    <row r="170" customHeight="1" spans="1:3">
      <c r="A170" s="18" t="s">
        <v>318</v>
      </c>
      <c r="C170" s="18">
        <v>3</v>
      </c>
    </row>
    <row r="171" customHeight="1" spans="1:3">
      <c r="A171" s="18" t="s">
        <v>318</v>
      </c>
      <c r="C171" s="18">
        <v>4</v>
      </c>
    </row>
    <row r="172" customHeight="1" spans="1:3">
      <c r="A172" s="18" t="s">
        <v>318</v>
      </c>
      <c r="C172" s="18">
        <v>5</v>
      </c>
    </row>
    <row r="173" customHeight="1" spans="1:3">
      <c r="A173" s="5" t="s">
        <v>319</v>
      </c>
      <c r="C173" s="5">
        <v>1</v>
      </c>
    </row>
    <row r="174" customHeight="1" spans="1:3">
      <c r="A174" s="5" t="s">
        <v>319</v>
      </c>
      <c r="C174" s="5">
        <v>2</v>
      </c>
    </row>
    <row r="175" customHeight="1" spans="1:3">
      <c r="A175" s="5" t="s">
        <v>319</v>
      </c>
      <c r="C175" s="5">
        <v>3</v>
      </c>
    </row>
    <row r="176" customHeight="1" spans="1:3">
      <c r="A176" s="5" t="s">
        <v>319</v>
      </c>
      <c r="C176" s="5">
        <v>4</v>
      </c>
    </row>
    <row r="177" customHeight="1" spans="1:3">
      <c r="A177" s="5" t="s">
        <v>319</v>
      </c>
      <c r="C177" s="5">
        <v>5</v>
      </c>
    </row>
    <row r="178" customHeight="1" spans="1:3">
      <c r="A178" s="18" t="s">
        <v>320</v>
      </c>
      <c r="C178" s="18">
        <v>1</v>
      </c>
    </row>
    <row r="179" customHeight="1" spans="1:3">
      <c r="A179" s="18" t="s">
        <v>320</v>
      </c>
      <c r="C179" s="18">
        <v>2</v>
      </c>
    </row>
    <row r="180" customHeight="1" spans="1:3">
      <c r="A180" s="18" t="s">
        <v>320</v>
      </c>
      <c r="C180" s="18">
        <v>3</v>
      </c>
    </row>
    <row r="181" customHeight="1" spans="1:3">
      <c r="A181" s="18" t="s">
        <v>320</v>
      </c>
      <c r="C181" s="18">
        <v>4</v>
      </c>
    </row>
    <row r="182" customHeight="1" spans="1:3">
      <c r="A182" s="18" t="s">
        <v>320</v>
      </c>
      <c r="C182" s="18">
        <v>5</v>
      </c>
    </row>
    <row r="183" customHeight="1" spans="1:3">
      <c r="A183" s="5" t="s">
        <v>320</v>
      </c>
      <c r="C183" s="5">
        <v>1</v>
      </c>
    </row>
    <row r="184" customHeight="1" spans="1:3">
      <c r="A184" s="5" t="s">
        <v>320</v>
      </c>
      <c r="C184" s="5">
        <v>2</v>
      </c>
    </row>
    <row r="185" customHeight="1" spans="1:3">
      <c r="A185" s="5" t="s">
        <v>320</v>
      </c>
      <c r="C185" s="5">
        <v>3</v>
      </c>
    </row>
    <row r="186" customHeight="1" spans="1:3">
      <c r="A186" s="5" t="s">
        <v>320</v>
      </c>
      <c r="C186" s="5">
        <v>4</v>
      </c>
    </row>
    <row r="187" customHeight="1" spans="1:3">
      <c r="A187" s="5" t="s">
        <v>320</v>
      </c>
      <c r="C187" s="5">
        <v>5</v>
      </c>
    </row>
    <row r="188" customHeight="1" spans="1:3">
      <c r="A188" s="18" t="s">
        <v>321</v>
      </c>
      <c r="C188" s="18">
        <v>1</v>
      </c>
    </row>
    <row r="189" customHeight="1" spans="1:3">
      <c r="A189" s="18" t="s">
        <v>321</v>
      </c>
      <c r="C189" s="18">
        <v>2</v>
      </c>
    </row>
    <row r="190" customHeight="1" spans="1:3">
      <c r="A190" s="18" t="s">
        <v>321</v>
      </c>
      <c r="C190" s="18">
        <v>3</v>
      </c>
    </row>
    <row r="191" customHeight="1" spans="1:3">
      <c r="A191" s="18" t="s">
        <v>321</v>
      </c>
      <c r="C191" s="18">
        <v>4</v>
      </c>
    </row>
    <row r="192" customHeight="1" spans="1:3">
      <c r="A192" s="18" t="s">
        <v>321</v>
      </c>
      <c r="C192" s="18">
        <v>5</v>
      </c>
    </row>
    <row r="193" customHeight="1" spans="1:3">
      <c r="A193" s="18" t="s">
        <v>321</v>
      </c>
      <c r="C193" s="18">
        <v>6</v>
      </c>
    </row>
    <row r="194" customHeight="1" spans="1:3">
      <c r="A194" s="18" t="s">
        <v>321</v>
      </c>
      <c r="C194" s="18">
        <v>7</v>
      </c>
    </row>
    <row r="195" customHeight="1" spans="1:3">
      <c r="A195" s="18" t="s">
        <v>321</v>
      </c>
      <c r="C195" s="18">
        <v>8</v>
      </c>
    </row>
    <row r="196" customHeight="1" spans="1:3">
      <c r="A196" s="5" t="s">
        <v>323</v>
      </c>
      <c r="C196" s="5">
        <v>1</v>
      </c>
    </row>
    <row r="197" customHeight="1" spans="1:3">
      <c r="A197" s="5" t="s">
        <v>323</v>
      </c>
      <c r="C197" s="5">
        <v>2</v>
      </c>
    </row>
    <row r="198" customHeight="1" spans="1:3">
      <c r="A198" s="5" t="s">
        <v>323</v>
      </c>
      <c r="C198" s="5">
        <v>3</v>
      </c>
    </row>
    <row r="199" customHeight="1" spans="1:3">
      <c r="A199" s="5" t="s">
        <v>323</v>
      </c>
      <c r="C199" s="5">
        <v>4</v>
      </c>
    </row>
    <row r="200" customHeight="1" spans="1:3">
      <c r="A200" s="5" t="s">
        <v>323</v>
      </c>
      <c r="C200" s="5">
        <v>5</v>
      </c>
    </row>
    <row r="201" customHeight="1" spans="1:3">
      <c r="A201" s="18" t="s">
        <v>324</v>
      </c>
      <c r="C201" s="18">
        <v>1</v>
      </c>
    </row>
    <row r="202" customHeight="1" spans="1:3">
      <c r="A202" s="18" t="s">
        <v>324</v>
      </c>
      <c r="C202" s="18">
        <v>2</v>
      </c>
    </row>
    <row r="203" customHeight="1" spans="1:3">
      <c r="A203" s="18" t="s">
        <v>324</v>
      </c>
      <c r="C203" s="18">
        <v>3</v>
      </c>
    </row>
    <row r="204" customHeight="1" spans="1:3">
      <c r="A204" s="18" t="s">
        <v>324</v>
      </c>
      <c r="C204" s="18">
        <v>4</v>
      </c>
    </row>
    <row r="205" customHeight="1" spans="1:3">
      <c r="A205" s="18" t="s">
        <v>324</v>
      </c>
      <c r="C205" s="18">
        <v>5</v>
      </c>
    </row>
    <row r="206" customHeight="1" spans="1:3">
      <c r="A206" s="5" t="s">
        <v>324</v>
      </c>
      <c r="C206" s="5">
        <v>1</v>
      </c>
    </row>
    <row r="207" customHeight="1" spans="1:3">
      <c r="A207" s="5" t="s">
        <v>324</v>
      </c>
      <c r="C207" s="5">
        <v>2</v>
      </c>
    </row>
    <row r="208" customHeight="1" spans="1:3">
      <c r="A208" s="5" t="s">
        <v>324</v>
      </c>
      <c r="C208" s="5">
        <v>3</v>
      </c>
    </row>
    <row r="209" customHeight="1" spans="1:3">
      <c r="A209" s="5" t="s">
        <v>324</v>
      </c>
      <c r="C209" s="5">
        <v>4</v>
      </c>
    </row>
    <row r="210" customHeight="1" spans="1:3">
      <c r="A210" s="5" t="s">
        <v>324</v>
      </c>
      <c r="C210" s="5">
        <v>5</v>
      </c>
    </row>
    <row r="211" customHeight="1" spans="1:3">
      <c r="A211" s="18" t="s">
        <v>325</v>
      </c>
      <c r="C211" s="18">
        <v>1</v>
      </c>
    </row>
    <row r="212" customHeight="1" spans="1:3">
      <c r="A212" s="18" t="s">
        <v>325</v>
      </c>
      <c r="C212" s="18">
        <v>2</v>
      </c>
    </row>
    <row r="213" customHeight="1" spans="1:3">
      <c r="A213" s="18" t="s">
        <v>325</v>
      </c>
      <c r="C213" s="18">
        <v>3</v>
      </c>
    </row>
    <row r="214" customHeight="1" spans="1:3">
      <c r="A214" s="18" t="s">
        <v>325</v>
      </c>
      <c r="C214" s="18">
        <v>4</v>
      </c>
    </row>
    <row r="215" customHeight="1" spans="1:3">
      <c r="A215" s="18" t="s">
        <v>325</v>
      </c>
      <c r="C215" s="18">
        <v>5</v>
      </c>
    </row>
    <row r="216" customHeight="1" spans="1:3">
      <c r="A216" s="18" t="s">
        <v>325</v>
      </c>
      <c r="C216" s="18">
        <v>6</v>
      </c>
    </row>
    <row r="217" customHeight="1" spans="1:3">
      <c r="A217" s="18" t="s">
        <v>325</v>
      </c>
      <c r="C217" s="18">
        <v>7</v>
      </c>
    </row>
    <row r="218" customHeight="1" spans="1:3">
      <c r="A218" s="18" t="s">
        <v>325</v>
      </c>
      <c r="C218" s="18">
        <v>8</v>
      </c>
    </row>
    <row r="219" customHeight="1" spans="1:3">
      <c r="A219" s="5" t="s">
        <v>327</v>
      </c>
      <c r="C219" s="5">
        <v>1</v>
      </c>
    </row>
    <row r="220" customHeight="1" spans="1:3">
      <c r="A220" s="5" t="s">
        <v>327</v>
      </c>
      <c r="C220" s="5">
        <v>2</v>
      </c>
    </row>
    <row r="221" customHeight="1" spans="1:3">
      <c r="A221" s="5" t="s">
        <v>327</v>
      </c>
      <c r="C221" s="5">
        <v>3</v>
      </c>
    </row>
    <row r="222" customHeight="1" spans="1:3">
      <c r="A222" s="5" t="s">
        <v>327</v>
      </c>
      <c r="C222" s="5">
        <v>4</v>
      </c>
    </row>
    <row r="223" customHeight="1" spans="1:3">
      <c r="A223" s="5" t="s">
        <v>327</v>
      </c>
      <c r="C223" s="5">
        <v>5</v>
      </c>
    </row>
    <row r="224" customHeight="1" spans="1:3">
      <c r="A224" s="18" t="s">
        <v>328</v>
      </c>
      <c r="C224" s="18">
        <v>1</v>
      </c>
    </row>
    <row r="225" customHeight="1" spans="1:3">
      <c r="A225" s="18" t="s">
        <v>328</v>
      </c>
      <c r="C225" s="18">
        <v>2</v>
      </c>
    </row>
    <row r="226" customHeight="1" spans="1:3">
      <c r="A226" s="18" t="s">
        <v>328</v>
      </c>
      <c r="C226" s="18">
        <v>3</v>
      </c>
    </row>
    <row r="227" customHeight="1" spans="1:3">
      <c r="A227" s="18" t="s">
        <v>328</v>
      </c>
      <c r="C227" s="18">
        <v>4</v>
      </c>
    </row>
    <row r="228" customHeight="1" spans="1:3">
      <c r="A228" s="18" t="s">
        <v>328</v>
      </c>
      <c r="C228" s="18">
        <v>5</v>
      </c>
    </row>
    <row r="229" customHeight="1" spans="1:3">
      <c r="A229" s="5" t="s">
        <v>328</v>
      </c>
      <c r="C229" s="5">
        <v>1</v>
      </c>
    </row>
    <row r="230" customHeight="1" spans="1:3">
      <c r="A230" s="5" t="s">
        <v>328</v>
      </c>
      <c r="C230" s="5">
        <v>2</v>
      </c>
    </row>
    <row r="231" customHeight="1" spans="1:3">
      <c r="A231" s="5" t="s">
        <v>328</v>
      </c>
      <c r="C231" s="5">
        <v>3</v>
      </c>
    </row>
    <row r="232" customHeight="1" spans="1:3">
      <c r="A232" s="5" t="s">
        <v>328</v>
      </c>
      <c r="C232" s="5">
        <v>4</v>
      </c>
    </row>
    <row r="233" customHeight="1" spans="1:3">
      <c r="A233" s="5" t="s">
        <v>328</v>
      </c>
      <c r="C233" s="5">
        <v>5</v>
      </c>
    </row>
    <row r="234" customHeight="1" spans="1:3">
      <c r="A234" s="18" t="s">
        <v>329</v>
      </c>
      <c r="C234" s="18">
        <v>1</v>
      </c>
    </row>
    <row r="235" customHeight="1" spans="1:3">
      <c r="A235" s="18" t="s">
        <v>329</v>
      </c>
      <c r="C235" s="18">
        <v>2</v>
      </c>
    </row>
    <row r="236" customHeight="1" spans="1:3">
      <c r="A236" s="18" t="s">
        <v>329</v>
      </c>
      <c r="C236" s="18">
        <v>3</v>
      </c>
    </row>
    <row r="237" customHeight="1" spans="1:3">
      <c r="A237" s="18" t="s">
        <v>329</v>
      </c>
      <c r="C237" s="18">
        <v>4</v>
      </c>
    </row>
    <row r="238" customHeight="1" spans="1:3">
      <c r="A238" s="18" t="s">
        <v>329</v>
      </c>
      <c r="C238" s="18">
        <v>5</v>
      </c>
    </row>
    <row r="239" customHeight="1" spans="1:3">
      <c r="A239" s="18" t="s">
        <v>329</v>
      </c>
      <c r="C239" s="18">
        <v>6</v>
      </c>
    </row>
    <row r="240" customHeight="1" spans="1:3">
      <c r="A240" s="18" t="s">
        <v>329</v>
      </c>
      <c r="C240" s="18">
        <v>7</v>
      </c>
    </row>
    <row r="241" customHeight="1" spans="1:3">
      <c r="A241" s="18" t="s">
        <v>329</v>
      </c>
      <c r="C241" s="18">
        <v>8</v>
      </c>
    </row>
    <row r="242" customHeight="1" spans="1:3">
      <c r="A242" s="5" t="s">
        <v>331</v>
      </c>
      <c r="C242" s="5">
        <v>1</v>
      </c>
    </row>
    <row r="243" customHeight="1" spans="1:3">
      <c r="A243" s="5" t="s">
        <v>331</v>
      </c>
      <c r="C243" s="5">
        <v>2</v>
      </c>
    </row>
    <row r="244" customHeight="1" spans="1:3">
      <c r="A244" s="5" t="s">
        <v>331</v>
      </c>
      <c r="C244" s="5">
        <v>3</v>
      </c>
    </row>
    <row r="245" customHeight="1" spans="1:3">
      <c r="A245" s="5" t="s">
        <v>331</v>
      </c>
      <c r="C245" s="5">
        <v>4</v>
      </c>
    </row>
    <row r="246" customHeight="1" spans="1:3">
      <c r="A246" s="5" t="s">
        <v>331</v>
      </c>
      <c r="C246" s="5">
        <v>5</v>
      </c>
    </row>
    <row r="247" customHeight="1" spans="1:3">
      <c r="A247" s="18" t="s">
        <v>332</v>
      </c>
      <c r="C247" s="18">
        <v>1</v>
      </c>
    </row>
    <row r="248" customHeight="1" spans="1:3">
      <c r="A248" s="18" t="s">
        <v>332</v>
      </c>
      <c r="C248" s="18">
        <v>2</v>
      </c>
    </row>
    <row r="249" customHeight="1" spans="1:3">
      <c r="A249" s="18" t="s">
        <v>332</v>
      </c>
      <c r="C249" s="18">
        <v>3</v>
      </c>
    </row>
    <row r="250" customHeight="1" spans="1:3">
      <c r="A250" s="18" t="s">
        <v>332</v>
      </c>
      <c r="C250" s="18">
        <v>4</v>
      </c>
    </row>
    <row r="251" customHeight="1" spans="1:3">
      <c r="A251" s="18" t="s">
        <v>332</v>
      </c>
      <c r="C251" s="18">
        <v>5</v>
      </c>
    </row>
    <row r="252" customHeight="1" spans="1:3">
      <c r="A252" s="5" t="s">
        <v>333</v>
      </c>
      <c r="C252" s="5">
        <v>1</v>
      </c>
    </row>
    <row r="253" customHeight="1" spans="1:3">
      <c r="A253" s="5" t="s">
        <v>333</v>
      </c>
      <c r="C253" s="5">
        <v>2</v>
      </c>
    </row>
    <row r="254" customHeight="1" spans="1:3">
      <c r="A254" s="5" t="s">
        <v>333</v>
      </c>
      <c r="C254" s="5">
        <v>3</v>
      </c>
    </row>
    <row r="255" customHeight="1" spans="1:3">
      <c r="A255" s="5" t="s">
        <v>333</v>
      </c>
      <c r="C255" s="5">
        <v>4</v>
      </c>
    </row>
    <row r="256" customHeight="1" spans="1:3">
      <c r="A256" s="5" t="s">
        <v>333</v>
      </c>
      <c r="C256" s="5">
        <v>5</v>
      </c>
    </row>
    <row r="257" customHeight="1" spans="1:3">
      <c r="A257" s="18" t="s">
        <v>333</v>
      </c>
      <c r="C257" s="18">
        <v>1</v>
      </c>
    </row>
    <row r="258" customHeight="1" spans="1:3">
      <c r="A258" s="18" t="s">
        <v>333</v>
      </c>
      <c r="C258" s="18">
        <v>2</v>
      </c>
    </row>
    <row r="259" customHeight="1" spans="1:3">
      <c r="A259" s="18" t="s">
        <v>333</v>
      </c>
      <c r="C259" s="18">
        <v>3</v>
      </c>
    </row>
    <row r="260" customHeight="1" spans="1:3">
      <c r="A260" s="18" t="s">
        <v>333</v>
      </c>
      <c r="C260" s="18">
        <v>4</v>
      </c>
    </row>
    <row r="261" customHeight="1" spans="1:3">
      <c r="A261" s="18" t="s">
        <v>333</v>
      </c>
      <c r="C261" s="18">
        <v>5</v>
      </c>
    </row>
    <row r="262" customHeight="1" spans="1:3">
      <c r="A262" s="5" t="s">
        <v>334</v>
      </c>
      <c r="C262" s="5">
        <v>1</v>
      </c>
    </row>
    <row r="263" customHeight="1" spans="1:3">
      <c r="A263" s="5" t="s">
        <v>334</v>
      </c>
      <c r="C263" s="5">
        <v>2</v>
      </c>
    </row>
    <row r="264" customHeight="1" spans="1:3">
      <c r="A264" s="5" t="s">
        <v>334</v>
      </c>
      <c r="C264" s="5">
        <v>3</v>
      </c>
    </row>
    <row r="265" customHeight="1" spans="1:3">
      <c r="A265" s="5" t="s">
        <v>334</v>
      </c>
      <c r="C265" s="5">
        <v>4</v>
      </c>
    </row>
    <row r="266" customHeight="1" spans="1:3">
      <c r="A266" s="5" t="s">
        <v>334</v>
      </c>
      <c r="C266" s="5">
        <v>5</v>
      </c>
    </row>
    <row r="267" customHeight="1" spans="1:3">
      <c r="A267" s="5" t="s">
        <v>334</v>
      </c>
      <c r="C267" s="5">
        <v>6</v>
      </c>
    </row>
    <row r="268" customHeight="1" spans="1:3">
      <c r="A268" s="5" t="s">
        <v>334</v>
      </c>
      <c r="C268" s="5">
        <v>7</v>
      </c>
    </row>
    <row r="269" customHeight="1" spans="1:3">
      <c r="A269" s="5" t="s">
        <v>334</v>
      </c>
      <c r="C269" s="5">
        <v>8</v>
      </c>
    </row>
    <row r="270" customHeight="1" spans="1:3">
      <c r="A270" s="18" t="s">
        <v>336</v>
      </c>
      <c r="C270" s="18">
        <v>1</v>
      </c>
    </row>
    <row r="271" customHeight="1" spans="1:3">
      <c r="A271" s="18" t="s">
        <v>336</v>
      </c>
      <c r="C271" s="18">
        <v>2</v>
      </c>
    </row>
    <row r="272" customHeight="1" spans="1:3">
      <c r="A272" s="18" t="s">
        <v>336</v>
      </c>
      <c r="C272" s="18">
        <v>3</v>
      </c>
    </row>
    <row r="273" customHeight="1" spans="1:3">
      <c r="A273" s="18" t="s">
        <v>336</v>
      </c>
      <c r="C273" s="18">
        <v>4</v>
      </c>
    </row>
    <row r="274" customHeight="1" spans="1:3">
      <c r="A274" s="18" t="s">
        <v>336</v>
      </c>
      <c r="C274" s="18">
        <v>5</v>
      </c>
    </row>
    <row r="275" customHeight="1" spans="1:3">
      <c r="A275" s="5" t="s">
        <v>337</v>
      </c>
      <c r="C275" s="5">
        <v>1</v>
      </c>
    </row>
    <row r="276" customHeight="1" spans="1:3">
      <c r="A276" s="5" t="s">
        <v>337</v>
      </c>
      <c r="C276" s="5">
        <v>2</v>
      </c>
    </row>
    <row r="277" customHeight="1" spans="1:3">
      <c r="A277" s="5" t="s">
        <v>337</v>
      </c>
      <c r="C277" s="5">
        <v>3</v>
      </c>
    </row>
    <row r="278" customHeight="1" spans="1:3">
      <c r="A278" s="5" t="s">
        <v>337</v>
      </c>
      <c r="C278" s="5">
        <v>4</v>
      </c>
    </row>
    <row r="279" customHeight="1" spans="1:3">
      <c r="A279" s="5" t="s">
        <v>337</v>
      </c>
      <c r="C279" s="5">
        <v>5</v>
      </c>
    </row>
    <row r="280" customHeight="1" spans="1:3">
      <c r="A280" s="18" t="s">
        <v>338</v>
      </c>
      <c r="C280" s="18">
        <v>1</v>
      </c>
    </row>
    <row r="281" customHeight="1" spans="1:3">
      <c r="A281" s="18" t="s">
        <v>338</v>
      </c>
      <c r="C281" s="18">
        <v>2</v>
      </c>
    </row>
    <row r="282" customHeight="1" spans="1:3">
      <c r="A282" s="18" t="s">
        <v>338</v>
      </c>
      <c r="C282" s="18">
        <v>3</v>
      </c>
    </row>
    <row r="283" customHeight="1" spans="1:3">
      <c r="A283" s="18" t="s">
        <v>338</v>
      </c>
      <c r="C283" s="18">
        <v>4</v>
      </c>
    </row>
    <row r="284" customHeight="1" spans="1:3">
      <c r="A284" s="18" t="s">
        <v>338</v>
      </c>
      <c r="C284" s="18">
        <v>5</v>
      </c>
    </row>
    <row r="285" customHeight="1" spans="1:3">
      <c r="A285" s="5" t="s">
        <v>338</v>
      </c>
      <c r="C285" s="5">
        <v>1</v>
      </c>
    </row>
    <row r="286" customHeight="1" spans="1:3">
      <c r="A286" s="5" t="s">
        <v>338</v>
      </c>
      <c r="C286" s="5">
        <v>2</v>
      </c>
    </row>
    <row r="287" customHeight="1" spans="1:3">
      <c r="A287" s="5" t="s">
        <v>338</v>
      </c>
      <c r="C287" s="5">
        <v>3</v>
      </c>
    </row>
    <row r="288" customHeight="1" spans="1:3">
      <c r="A288" s="5" t="s">
        <v>338</v>
      </c>
      <c r="C288" s="5">
        <v>4</v>
      </c>
    </row>
    <row r="289" customHeight="1" spans="1:3">
      <c r="A289" s="5" t="s">
        <v>338</v>
      </c>
      <c r="C289" s="5">
        <v>5</v>
      </c>
    </row>
    <row r="290" customHeight="1" spans="1:3">
      <c r="A290" s="18" t="s">
        <v>339</v>
      </c>
      <c r="C290" s="18">
        <v>1</v>
      </c>
    </row>
    <row r="291" customHeight="1" spans="1:3">
      <c r="A291" s="18" t="s">
        <v>339</v>
      </c>
      <c r="C291" s="18">
        <v>2</v>
      </c>
    </row>
    <row r="292" customHeight="1" spans="1:3">
      <c r="A292" s="18" t="s">
        <v>339</v>
      </c>
      <c r="C292" s="18">
        <v>3</v>
      </c>
    </row>
    <row r="293" customHeight="1" spans="1:3">
      <c r="A293" s="18" t="s">
        <v>339</v>
      </c>
      <c r="C293" s="18">
        <v>4</v>
      </c>
    </row>
    <row r="294" customHeight="1" spans="1:3">
      <c r="A294" s="18" t="s">
        <v>339</v>
      </c>
      <c r="C294" s="18">
        <v>5</v>
      </c>
    </row>
    <row r="295" customHeight="1" spans="1:3">
      <c r="A295" s="18" t="s">
        <v>339</v>
      </c>
      <c r="C295" s="18">
        <v>6</v>
      </c>
    </row>
    <row r="296" customHeight="1" spans="1:3">
      <c r="A296" s="18" t="s">
        <v>339</v>
      </c>
      <c r="C296" s="18">
        <v>7</v>
      </c>
    </row>
    <row r="297" customHeight="1" spans="1:3">
      <c r="A297" s="18" t="s">
        <v>339</v>
      </c>
      <c r="C297" s="18">
        <v>8</v>
      </c>
    </row>
    <row r="298" customHeight="1" spans="1:3">
      <c r="A298" s="5" t="s">
        <v>341</v>
      </c>
      <c r="C298" s="5">
        <v>1</v>
      </c>
    </row>
    <row r="299" customHeight="1" spans="1:3">
      <c r="A299" s="5" t="s">
        <v>341</v>
      </c>
      <c r="C299" s="5">
        <v>2</v>
      </c>
    </row>
    <row r="300" customHeight="1" spans="1:3">
      <c r="A300" s="5" t="s">
        <v>341</v>
      </c>
      <c r="C300" s="5">
        <v>3</v>
      </c>
    </row>
    <row r="301" customHeight="1" spans="1:3">
      <c r="A301" s="5" t="s">
        <v>341</v>
      </c>
      <c r="C301" s="5">
        <v>4</v>
      </c>
    </row>
    <row r="302" customHeight="1" spans="1:3">
      <c r="A302" s="5" t="s">
        <v>341</v>
      </c>
      <c r="C302" s="5">
        <v>5</v>
      </c>
    </row>
    <row r="303" customHeight="1" spans="1:3">
      <c r="A303" s="18" t="s">
        <v>342</v>
      </c>
      <c r="C303" s="18">
        <v>1</v>
      </c>
    </row>
    <row r="304" customHeight="1" spans="1:3">
      <c r="A304" s="18" t="s">
        <v>342</v>
      </c>
      <c r="C304" s="18">
        <v>2</v>
      </c>
    </row>
    <row r="305" customHeight="1" spans="1:3">
      <c r="A305" s="18" t="s">
        <v>342</v>
      </c>
      <c r="C305" s="18">
        <v>3</v>
      </c>
    </row>
    <row r="306" customHeight="1" spans="1:3">
      <c r="A306" s="18" t="s">
        <v>342</v>
      </c>
      <c r="C306" s="18">
        <v>4</v>
      </c>
    </row>
    <row r="307" customHeight="1" spans="1:3">
      <c r="A307" s="18" t="s">
        <v>342</v>
      </c>
      <c r="C307" s="18">
        <v>5</v>
      </c>
    </row>
    <row r="308" customHeight="1" spans="1:3">
      <c r="A308" s="5" t="s">
        <v>342</v>
      </c>
      <c r="C308" s="5">
        <v>1</v>
      </c>
    </row>
    <row r="309" customHeight="1" spans="1:3">
      <c r="A309" s="5" t="s">
        <v>342</v>
      </c>
      <c r="C309" s="5">
        <v>2</v>
      </c>
    </row>
    <row r="310" customHeight="1" spans="1:3">
      <c r="A310" s="5" t="s">
        <v>342</v>
      </c>
      <c r="C310" s="5">
        <v>3</v>
      </c>
    </row>
    <row r="311" customHeight="1" spans="1:3">
      <c r="A311" s="5" t="s">
        <v>342</v>
      </c>
      <c r="C311" s="5">
        <v>4</v>
      </c>
    </row>
    <row r="312" customHeight="1" spans="1:3">
      <c r="A312" s="5" t="s">
        <v>342</v>
      </c>
      <c r="C312" s="5">
        <v>5</v>
      </c>
    </row>
    <row r="313" customHeight="1" spans="1:3">
      <c r="A313" s="18" t="s">
        <v>343</v>
      </c>
      <c r="C313" s="18">
        <v>1</v>
      </c>
    </row>
    <row r="314" customHeight="1" spans="1:3">
      <c r="A314" s="18" t="s">
        <v>343</v>
      </c>
      <c r="C314" s="18">
        <v>2</v>
      </c>
    </row>
    <row r="315" customHeight="1" spans="1:3">
      <c r="A315" s="18" t="s">
        <v>343</v>
      </c>
      <c r="C315" s="18">
        <v>3</v>
      </c>
    </row>
    <row r="316" customHeight="1" spans="1:3">
      <c r="A316" s="18" t="s">
        <v>343</v>
      </c>
      <c r="C316" s="18">
        <v>4</v>
      </c>
    </row>
    <row r="317" customHeight="1" spans="1:3">
      <c r="A317" s="18" t="s">
        <v>343</v>
      </c>
      <c r="C317" s="18">
        <v>5</v>
      </c>
    </row>
    <row r="318" customHeight="1" spans="1:3">
      <c r="A318" s="18" t="s">
        <v>343</v>
      </c>
      <c r="C318" s="18">
        <v>6</v>
      </c>
    </row>
    <row r="319" customHeight="1" spans="1:3">
      <c r="A319" s="18" t="s">
        <v>343</v>
      </c>
      <c r="C319" s="18">
        <v>7</v>
      </c>
    </row>
    <row r="320" customHeight="1" spans="1:3">
      <c r="A320" s="18" t="s">
        <v>343</v>
      </c>
      <c r="C320" s="18">
        <v>8</v>
      </c>
    </row>
    <row r="321" customHeight="1" spans="1:3">
      <c r="A321" s="5" t="s">
        <v>345</v>
      </c>
      <c r="C321" s="5">
        <v>1</v>
      </c>
    </row>
    <row r="322" customHeight="1" spans="1:3">
      <c r="A322" s="5" t="s">
        <v>345</v>
      </c>
      <c r="C322" s="5">
        <v>2</v>
      </c>
    </row>
    <row r="323" customHeight="1" spans="1:3">
      <c r="A323" s="5" t="s">
        <v>345</v>
      </c>
      <c r="C323" s="5">
        <v>3</v>
      </c>
    </row>
    <row r="324" customHeight="1" spans="1:3">
      <c r="A324" s="5" t="s">
        <v>345</v>
      </c>
      <c r="C324" s="5">
        <v>4</v>
      </c>
    </row>
    <row r="325" customHeight="1" spans="1:3">
      <c r="A325" s="5" t="s">
        <v>345</v>
      </c>
      <c r="C325" s="5">
        <v>5</v>
      </c>
    </row>
    <row r="326" customHeight="1" spans="1:3">
      <c r="A326" s="18" t="s">
        <v>346</v>
      </c>
      <c r="C326" s="18">
        <v>1</v>
      </c>
    </row>
    <row r="327" customHeight="1" spans="1:3">
      <c r="A327" s="18" t="s">
        <v>346</v>
      </c>
      <c r="C327" s="18">
        <v>2</v>
      </c>
    </row>
    <row r="328" customHeight="1" spans="1:3">
      <c r="A328" s="18" t="s">
        <v>346</v>
      </c>
      <c r="C328" s="18">
        <v>3</v>
      </c>
    </row>
    <row r="329" customHeight="1" spans="1:3">
      <c r="A329" s="18" t="s">
        <v>346</v>
      </c>
      <c r="C329" s="18">
        <v>4</v>
      </c>
    </row>
    <row r="330" customHeight="1" spans="1:3">
      <c r="A330" s="18" t="s">
        <v>346</v>
      </c>
      <c r="C330" s="18">
        <v>5</v>
      </c>
    </row>
    <row r="331" customHeight="1" spans="1:3">
      <c r="A331" s="5" t="s">
        <v>346</v>
      </c>
      <c r="C331" s="5">
        <v>1</v>
      </c>
    </row>
    <row r="332" customHeight="1" spans="1:3">
      <c r="A332" s="5" t="s">
        <v>346</v>
      </c>
      <c r="C332" s="5">
        <v>2</v>
      </c>
    </row>
    <row r="333" customHeight="1" spans="1:3">
      <c r="A333" s="5" t="s">
        <v>346</v>
      </c>
      <c r="C333" s="5">
        <v>3</v>
      </c>
    </row>
    <row r="334" customHeight="1" spans="1:3">
      <c r="A334" s="5" t="s">
        <v>346</v>
      </c>
      <c r="C334" s="5">
        <v>4</v>
      </c>
    </row>
    <row r="335" customHeight="1" spans="1:3">
      <c r="A335" s="5" t="s">
        <v>346</v>
      </c>
      <c r="C335" s="5">
        <v>5</v>
      </c>
    </row>
    <row r="336" customHeight="1" spans="1:3">
      <c r="A336" s="18" t="s">
        <v>347</v>
      </c>
      <c r="C336" s="18">
        <v>1</v>
      </c>
    </row>
    <row r="337" customHeight="1" spans="1:3">
      <c r="A337" s="18" t="s">
        <v>347</v>
      </c>
      <c r="C337" s="18">
        <v>2</v>
      </c>
    </row>
    <row r="338" customHeight="1" spans="1:3">
      <c r="A338" s="18" t="s">
        <v>347</v>
      </c>
      <c r="C338" s="18">
        <v>3</v>
      </c>
    </row>
    <row r="339" customHeight="1" spans="1:3">
      <c r="A339" s="18" t="s">
        <v>347</v>
      </c>
      <c r="C339" s="18">
        <v>4</v>
      </c>
    </row>
    <row r="340" customHeight="1" spans="1:3">
      <c r="A340" s="18" t="s">
        <v>347</v>
      </c>
      <c r="C340" s="18">
        <v>5</v>
      </c>
    </row>
    <row r="341" customHeight="1" spans="1:3">
      <c r="A341" s="18" t="s">
        <v>347</v>
      </c>
      <c r="C341" s="18">
        <v>6</v>
      </c>
    </row>
    <row r="342" customHeight="1" spans="1:3">
      <c r="A342" s="18" t="s">
        <v>347</v>
      </c>
      <c r="C342" s="18">
        <v>7</v>
      </c>
    </row>
    <row r="343" customHeight="1" spans="1:3">
      <c r="A343" s="18" t="s">
        <v>347</v>
      </c>
      <c r="C343" s="18">
        <v>8</v>
      </c>
    </row>
    <row r="344" customHeight="1" spans="1:3">
      <c r="A344" s="5" t="s">
        <v>349</v>
      </c>
      <c r="C344" s="5">
        <v>1</v>
      </c>
    </row>
    <row r="345" customHeight="1" spans="1:3">
      <c r="A345" s="5" t="s">
        <v>349</v>
      </c>
      <c r="C345" s="5">
        <v>2</v>
      </c>
    </row>
    <row r="346" customHeight="1" spans="1:3">
      <c r="A346" s="5" t="s">
        <v>349</v>
      </c>
      <c r="C346" s="5">
        <v>3</v>
      </c>
    </row>
    <row r="347" customHeight="1" spans="1:3">
      <c r="A347" s="5" t="s">
        <v>349</v>
      </c>
      <c r="C347" s="5">
        <v>4</v>
      </c>
    </row>
    <row r="348" customHeight="1" spans="1:3">
      <c r="A348" s="5" t="s">
        <v>349</v>
      </c>
      <c r="C348" s="5">
        <v>5</v>
      </c>
    </row>
    <row r="349" customHeight="1" spans="1:3">
      <c r="A349" s="18" t="s">
        <v>350</v>
      </c>
      <c r="C349" s="18">
        <v>1</v>
      </c>
    </row>
    <row r="350" customHeight="1" spans="1:3">
      <c r="A350" s="18" t="s">
        <v>350</v>
      </c>
      <c r="C350" s="18">
        <v>2</v>
      </c>
    </row>
    <row r="351" customHeight="1" spans="1:3">
      <c r="A351" s="18" t="s">
        <v>350</v>
      </c>
      <c r="C351" s="18">
        <v>3</v>
      </c>
    </row>
    <row r="352" customHeight="1" spans="1:3">
      <c r="A352" s="18" t="s">
        <v>350</v>
      </c>
      <c r="C352" s="18">
        <v>4</v>
      </c>
    </row>
    <row r="353" customHeight="1" spans="1:3">
      <c r="A353" s="18" t="s">
        <v>350</v>
      </c>
      <c r="C353" s="18">
        <v>5</v>
      </c>
    </row>
    <row r="354" customHeight="1" spans="1:3">
      <c r="A354" s="5" t="s">
        <v>350</v>
      </c>
      <c r="C354" s="5">
        <v>1</v>
      </c>
    </row>
    <row r="355" customHeight="1" spans="1:3">
      <c r="A355" s="5" t="s">
        <v>350</v>
      </c>
      <c r="C355" s="5">
        <v>2</v>
      </c>
    </row>
    <row r="356" customHeight="1" spans="1:3">
      <c r="A356" s="5" t="s">
        <v>350</v>
      </c>
      <c r="C356" s="5">
        <v>3</v>
      </c>
    </row>
    <row r="357" customHeight="1" spans="1:3">
      <c r="A357" s="5" t="s">
        <v>350</v>
      </c>
      <c r="C357" s="5">
        <v>4</v>
      </c>
    </row>
    <row r="358" customHeight="1" spans="1:3">
      <c r="A358" s="5" t="s">
        <v>350</v>
      </c>
      <c r="C358" s="5">
        <v>5</v>
      </c>
    </row>
    <row r="359" customHeight="1" spans="1:3">
      <c r="A359" s="18" t="s">
        <v>351</v>
      </c>
      <c r="C359" s="18">
        <v>1</v>
      </c>
    </row>
    <row r="360" customHeight="1" spans="1:3">
      <c r="A360" s="18" t="s">
        <v>351</v>
      </c>
      <c r="C360" s="18">
        <v>2</v>
      </c>
    </row>
    <row r="361" customHeight="1" spans="1:3">
      <c r="A361" s="18" t="s">
        <v>351</v>
      </c>
      <c r="C361" s="18">
        <v>3</v>
      </c>
    </row>
    <row r="362" customHeight="1" spans="1:3">
      <c r="A362" s="18" t="s">
        <v>351</v>
      </c>
      <c r="C362" s="18">
        <v>4</v>
      </c>
    </row>
    <row r="363" customHeight="1" spans="1:3">
      <c r="A363" s="18" t="s">
        <v>351</v>
      </c>
      <c r="C363" s="18">
        <v>5</v>
      </c>
    </row>
    <row r="364" customHeight="1" spans="1:3">
      <c r="A364" s="18" t="s">
        <v>351</v>
      </c>
      <c r="C364" s="18">
        <v>6</v>
      </c>
    </row>
    <row r="365" customHeight="1" spans="1:3">
      <c r="A365" s="18" t="s">
        <v>351</v>
      </c>
      <c r="C365" s="18">
        <v>7</v>
      </c>
    </row>
    <row r="366" customHeight="1" spans="1:3">
      <c r="A366" s="18" t="s">
        <v>351</v>
      </c>
      <c r="C366" s="18">
        <v>8</v>
      </c>
    </row>
    <row r="367" customHeight="1" spans="1:3">
      <c r="A367" s="5" t="s">
        <v>353</v>
      </c>
      <c r="C367" s="5">
        <v>1</v>
      </c>
    </row>
    <row r="368" customHeight="1" spans="1:3">
      <c r="A368" s="5" t="s">
        <v>353</v>
      </c>
      <c r="C368" s="5">
        <v>2</v>
      </c>
    </row>
    <row r="369" customHeight="1" spans="1:3">
      <c r="A369" s="5" t="s">
        <v>353</v>
      </c>
      <c r="C369" s="5">
        <v>3</v>
      </c>
    </row>
    <row r="370" customHeight="1" spans="1:3">
      <c r="A370" s="5" t="s">
        <v>353</v>
      </c>
      <c r="C370" s="5">
        <v>4</v>
      </c>
    </row>
    <row r="371" customHeight="1" spans="1:3">
      <c r="A371" s="5" t="s">
        <v>353</v>
      </c>
      <c r="C371" s="5">
        <v>5</v>
      </c>
    </row>
    <row r="372" customHeight="1" spans="1:3">
      <c r="A372" s="18" t="s">
        <v>354</v>
      </c>
      <c r="C372" s="18">
        <v>1</v>
      </c>
    </row>
    <row r="373" customHeight="1" spans="1:3">
      <c r="A373" s="18" t="s">
        <v>354</v>
      </c>
      <c r="C373" s="18">
        <v>2</v>
      </c>
    </row>
    <row r="374" customHeight="1" spans="1:3">
      <c r="A374" s="18" t="s">
        <v>354</v>
      </c>
      <c r="C374" s="18">
        <v>3</v>
      </c>
    </row>
    <row r="375" customHeight="1" spans="1:3">
      <c r="A375" s="18" t="s">
        <v>354</v>
      </c>
      <c r="C375" s="18">
        <v>4</v>
      </c>
    </row>
    <row r="376" customHeight="1" spans="1:3">
      <c r="A376" s="18" t="s">
        <v>354</v>
      </c>
      <c r="C376" s="18">
        <v>5</v>
      </c>
    </row>
    <row r="377" customHeight="1" spans="1:3">
      <c r="A377" s="5" t="s">
        <v>354</v>
      </c>
      <c r="C377" s="5">
        <v>1</v>
      </c>
    </row>
    <row r="378" customHeight="1" spans="1:3">
      <c r="A378" s="5" t="s">
        <v>354</v>
      </c>
      <c r="C378" s="5">
        <v>2</v>
      </c>
    </row>
    <row r="379" customHeight="1" spans="1:3">
      <c r="A379" s="5" t="s">
        <v>354</v>
      </c>
      <c r="C379" s="5">
        <v>3</v>
      </c>
    </row>
    <row r="380" customHeight="1" spans="1:3">
      <c r="A380" s="5" t="s">
        <v>354</v>
      </c>
      <c r="C380" s="5">
        <v>4</v>
      </c>
    </row>
    <row r="381" customHeight="1" spans="1:3">
      <c r="A381" s="5" t="s">
        <v>354</v>
      </c>
      <c r="C381" s="5">
        <v>5</v>
      </c>
    </row>
    <row r="382" customHeight="1" spans="1:3">
      <c r="A382" s="18" t="s">
        <v>355</v>
      </c>
      <c r="C382" s="18">
        <v>1</v>
      </c>
    </row>
    <row r="383" customHeight="1" spans="1:3">
      <c r="A383" s="18" t="s">
        <v>355</v>
      </c>
      <c r="C383" s="18">
        <v>2</v>
      </c>
    </row>
    <row r="384" customHeight="1" spans="1:3">
      <c r="A384" s="18" t="s">
        <v>355</v>
      </c>
      <c r="C384" s="18">
        <v>3</v>
      </c>
    </row>
    <row r="385" customHeight="1" spans="1:3">
      <c r="A385" s="18" t="s">
        <v>355</v>
      </c>
      <c r="C385" s="18">
        <v>4</v>
      </c>
    </row>
    <row r="386" customHeight="1" spans="1:3">
      <c r="A386" s="18" t="s">
        <v>355</v>
      </c>
      <c r="C386" s="18">
        <v>5</v>
      </c>
    </row>
    <row r="387" customHeight="1" spans="1:3">
      <c r="A387" s="18" t="s">
        <v>355</v>
      </c>
      <c r="C387" s="18">
        <v>6</v>
      </c>
    </row>
    <row r="388" customHeight="1" spans="1:3">
      <c r="A388" s="18" t="s">
        <v>355</v>
      </c>
      <c r="C388" s="18">
        <v>7</v>
      </c>
    </row>
    <row r="389" customHeight="1" spans="1:3">
      <c r="A389" s="18" t="s">
        <v>355</v>
      </c>
      <c r="C389" s="18">
        <v>8</v>
      </c>
    </row>
    <row r="390" customHeight="1" spans="1:3">
      <c r="A390" s="5" t="s">
        <v>357</v>
      </c>
      <c r="C390" s="5">
        <v>1</v>
      </c>
    </row>
    <row r="391" customHeight="1" spans="1:3">
      <c r="A391" s="5" t="s">
        <v>357</v>
      </c>
      <c r="C391" s="5">
        <v>2</v>
      </c>
    </row>
    <row r="392" customHeight="1" spans="1:3">
      <c r="A392" s="5" t="s">
        <v>357</v>
      </c>
      <c r="C392" s="5">
        <v>3</v>
      </c>
    </row>
    <row r="393" customHeight="1" spans="1:3">
      <c r="A393" s="5" t="s">
        <v>357</v>
      </c>
      <c r="C393" s="5">
        <v>4</v>
      </c>
    </row>
    <row r="394" customHeight="1" spans="1:3">
      <c r="A394" s="5" t="s">
        <v>357</v>
      </c>
      <c r="C394" s="5">
        <v>5</v>
      </c>
    </row>
    <row r="395" customHeight="1" spans="1:3">
      <c r="A395" s="18" t="s">
        <v>358</v>
      </c>
      <c r="C395" s="18">
        <v>1</v>
      </c>
    </row>
    <row r="396" customHeight="1" spans="1:3">
      <c r="A396" s="18" t="s">
        <v>358</v>
      </c>
      <c r="C396" s="18">
        <v>2</v>
      </c>
    </row>
    <row r="397" customHeight="1" spans="1:3">
      <c r="A397" s="18" t="s">
        <v>358</v>
      </c>
      <c r="C397" s="18">
        <v>3</v>
      </c>
    </row>
    <row r="398" customHeight="1" spans="1:3">
      <c r="A398" s="18" t="s">
        <v>358</v>
      </c>
      <c r="C398" s="18">
        <v>4</v>
      </c>
    </row>
    <row r="399" customHeight="1" spans="1:3">
      <c r="A399" s="18" t="s">
        <v>358</v>
      </c>
      <c r="C399" s="18">
        <v>5</v>
      </c>
    </row>
    <row r="400" customHeight="1" spans="1:3">
      <c r="A400" s="5" t="s">
        <v>358</v>
      </c>
      <c r="C400" s="5">
        <v>1</v>
      </c>
    </row>
    <row r="401" customHeight="1" spans="1:3">
      <c r="A401" s="5" t="s">
        <v>358</v>
      </c>
      <c r="C401" s="5">
        <v>2</v>
      </c>
    </row>
    <row r="402" customHeight="1" spans="1:3">
      <c r="A402" s="5" t="s">
        <v>358</v>
      </c>
      <c r="C402" s="5">
        <v>3</v>
      </c>
    </row>
    <row r="403" customHeight="1" spans="1:3">
      <c r="A403" s="5" t="s">
        <v>358</v>
      </c>
      <c r="C403" s="5">
        <v>4</v>
      </c>
    </row>
    <row r="404" customHeight="1" spans="1:3">
      <c r="A404" s="5" t="s">
        <v>358</v>
      </c>
      <c r="C404" s="5">
        <v>5</v>
      </c>
    </row>
    <row r="405" customHeight="1" spans="1:3">
      <c r="A405" s="18" t="s">
        <v>359</v>
      </c>
      <c r="C405" s="18">
        <v>1</v>
      </c>
    </row>
    <row r="406" customHeight="1" spans="1:3">
      <c r="A406" s="18" t="s">
        <v>359</v>
      </c>
      <c r="C406" s="18">
        <v>2</v>
      </c>
    </row>
    <row r="407" customHeight="1" spans="1:3">
      <c r="A407" s="18" t="s">
        <v>359</v>
      </c>
      <c r="C407" s="18">
        <v>3</v>
      </c>
    </row>
    <row r="408" customHeight="1" spans="1:3">
      <c r="A408" s="18" t="s">
        <v>359</v>
      </c>
      <c r="C408" s="18">
        <v>4</v>
      </c>
    </row>
    <row r="409" customHeight="1" spans="1:3">
      <c r="A409" s="18" t="s">
        <v>359</v>
      </c>
      <c r="C409" s="18">
        <v>5</v>
      </c>
    </row>
    <row r="410" customHeight="1" spans="1:3">
      <c r="A410" s="18" t="s">
        <v>359</v>
      </c>
      <c r="C410" s="18">
        <v>6</v>
      </c>
    </row>
    <row r="411" customHeight="1" spans="1:3">
      <c r="A411" s="18" t="s">
        <v>359</v>
      </c>
      <c r="C411" s="18">
        <v>7</v>
      </c>
    </row>
    <row r="412" customHeight="1" spans="1:3">
      <c r="A412" s="18" t="s">
        <v>359</v>
      </c>
      <c r="C412" s="18">
        <v>8</v>
      </c>
    </row>
    <row r="413" customHeight="1" spans="1:3">
      <c r="A413" s="5" t="s">
        <v>361</v>
      </c>
      <c r="C413" s="5">
        <v>1</v>
      </c>
    </row>
    <row r="414" customHeight="1" spans="1:3">
      <c r="A414" s="5" t="s">
        <v>361</v>
      </c>
      <c r="C414" s="5">
        <v>2</v>
      </c>
    </row>
    <row r="415" customHeight="1" spans="1:3">
      <c r="A415" s="5" t="s">
        <v>361</v>
      </c>
      <c r="C415" s="5">
        <v>3</v>
      </c>
    </row>
    <row r="416" customHeight="1" spans="1:3">
      <c r="A416" s="5" t="s">
        <v>361</v>
      </c>
      <c r="C416" s="5">
        <v>4</v>
      </c>
    </row>
    <row r="417" customHeight="1" spans="1:3">
      <c r="A417" s="5" t="s">
        <v>361</v>
      </c>
      <c r="C417" s="5">
        <v>5</v>
      </c>
    </row>
    <row r="418" customHeight="1" spans="1:3">
      <c r="A418" s="18" t="s">
        <v>362</v>
      </c>
      <c r="C418" s="18">
        <v>1</v>
      </c>
    </row>
    <row r="419" customHeight="1" spans="1:3">
      <c r="A419" s="18" t="s">
        <v>362</v>
      </c>
      <c r="C419" s="18">
        <v>2</v>
      </c>
    </row>
    <row r="420" customHeight="1" spans="1:3">
      <c r="A420" s="18" t="s">
        <v>362</v>
      </c>
      <c r="C420" s="18">
        <v>3</v>
      </c>
    </row>
    <row r="421" customHeight="1" spans="1:3">
      <c r="A421" s="18" t="s">
        <v>362</v>
      </c>
      <c r="C421" s="18">
        <v>4</v>
      </c>
    </row>
    <row r="422" customHeight="1" spans="1:3">
      <c r="A422" s="18" t="s">
        <v>362</v>
      </c>
      <c r="C422" s="18">
        <v>5</v>
      </c>
    </row>
    <row r="423" customHeight="1" spans="1:3">
      <c r="A423" s="5" t="s">
        <v>362</v>
      </c>
      <c r="C423" s="5">
        <v>1</v>
      </c>
    </row>
    <row r="424" customHeight="1" spans="1:3">
      <c r="A424" s="5" t="s">
        <v>362</v>
      </c>
      <c r="C424" s="5">
        <v>2</v>
      </c>
    </row>
    <row r="425" customHeight="1" spans="1:3">
      <c r="A425" s="5" t="s">
        <v>362</v>
      </c>
      <c r="C425" s="5">
        <v>3</v>
      </c>
    </row>
    <row r="426" customHeight="1" spans="1:3">
      <c r="A426" s="5" t="s">
        <v>362</v>
      </c>
      <c r="C426" s="5">
        <v>4</v>
      </c>
    </row>
    <row r="427" customHeight="1" spans="1:3">
      <c r="A427" s="5" t="s">
        <v>362</v>
      </c>
      <c r="C427" s="5">
        <v>5</v>
      </c>
    </row>
    <row r="428" customHeight="1" spans="1:3">
      <c r="A428" s="18" t="s">
        <v>363</v>
      </c>
      <c r="C428" s="18">
        <v>1</v>
      </c>
    </row>
    <row r="429" customHeight="1" spans="1:3">
      <c r="A429" s="18" t="s">
        <v>363</v>
      </c>
      <c r="C429" s="18">
        <v>2</v>
      </c>
    </row>
    <row r="430" customHeight="1" spans="1:3">
      <c r="A430" s="18" t="s">
        <v>363</v>
      </c>
      <c r="C430" s="18">
        <v>3</v>
      </c>
    </row>
    <row r="431" customHeight="1" spans="1:3">
      <c r="A431" s="18" t="s">
        <v>363</v>
      </c>
      <c r="C431" s="18">
        <v>4</v>
      </c>
    </row>
    <row r="432" customHeight="1" spans="1:3">
      <c r="A432" s="18" t="s">
        <v>363</v>
      </c>
      <c r="C432" s="18">
        <v>5</v>
      </c>
    </row>
    <row r="433" customHeight="1" spans="1:3">
      <c r="A433" s="18" t="s">
        <v>363</v>
      </c>
      <c r="C433" s="18">
        <v>6</v>
      </c>
    </row>
    <row r="434" customHeight="1" spans="1:3">
      <c r="A434" s="18" t="s">
        <v>363</v>
      </c>
      <c r="C434" s="18">
        <v>7</v>
      </c>
    </row>
    <row r="435" customHeight="1" spans="1:3">
      <c r="A435" s="18" t="s">
        <v>363</v>
      </c>
      <c r="C435" s="18">
        <v>8</v>
      </c>
    </row>
    <row r="436" customHeight="1" spans="1:3">
      <c r="A436" s="5" t="s">
        <v>365</v>
      </c>
      <c r="C436" s="5">
        <v>1</v>
      </c>
    </row>
    <row r="437" customHeight="1" spans="1:3">
      <c r="A437" s="5" t="s">
        <v>365</v>
      </c>
      <c r="C437" s="5">
        <v>2</v>
      </c>
    </row>
    <row r="438" customHeight="1" spans="1:3">
      <c r="A438" s="5" t="s">
        <v>365</v>
      </c>
      <c r="C438" s="5">
        <v>3</v>
      </c>
    </row>
    <row r="439" customHeight="1" spans="1:3">
      <c r="A439" s="5" t="s">
        <v>365</v>
      </c>
      <c r="C439" s="5">
        <v>4</v>
      </c>
    </row>
    <row r="440" customHeight="1" spans="1:3">
      <c r="A440" s="5" t="s">
        <v>365</v>
      </c>
      <c r="C440" s="5">
        <v>5</v>
      </c>
    </row>
    <row r="441" customHeight="1" spans="1:3">
      <c r="A441" s="18" t="s">
        <v>366</v>
      </c>
      <c r="C441" s="18">
        <v>1</v>
      </c>
    </row>
    <row r="442" customHeight="1" spans="1:3">
      <c r="A442" s="18" t="s">
        <v>366</v>
      </c>
      <c r="C442" s="18">
        <v>2</v>
      </c>
    </row>
    <row r="443" customHeight="1" spans="1:3">
      <c r="A443" s="18" t="s">
        <v>366</v>
      </c>
      <c r="C443" s="18">
        <v>3</v>
      </c>
    </row>
    <row r="444" customHeight="1" spans="1:3">
      <c r="A444" s="18" t="s">
        <v>366</v>
      </c>
      <c r="C444" s="18">
        <v>4</v>
      </c>
    </row>
    <row r="445" customHeight="1" spans="1:3">
      <c r="A445" s="18" t="s">
        <v>366</v>
      </c>
      <c r="C445" s="18">
        <v>5</v>
      </c>
    </row>
    <row r="446" customHeight="1" spans="1:3">
      <c r="A446" s="5" t="s">
        <v>367</v>
      </c>
      <c r="C446" s="5">
        <v>1</v>
      </c>
    </row>
    <row r="447" customHeight="1" spans="1:3">
      <c r="A447" s="5" t="s">
        <v>367</v>
      </c>
      <c r="C447" s="5">
        <v>2</v>
      </c>
    </row>
    <row r="448" customHeight="1" spans="1:3">
      <c r="A448" s="5" t="s">
        <v>367</v>
      </c>
      <c r="C448" s="5">
        <v>3</v>
      </c>
    </row>
    <row r="449" customHeight="1" spans="1:3">
      <c r="A449" s="5" t="s">
        <v>367</v>
      </c>
      <c r="C449" s="5">
        <v>4</v>
      </c>
    </row>
    <row r="450" customHeight="1" spans="1:3">
      <c r="A450" s="5" t="s">
        <v>367</v>
      </c>
      <c r="C450" s="5">
        <v>5</v>
      </c>
    </row>
    <row r="451" customHeight="1" spans="1:3">
      <c r="A451" s="18" t="s">
        <v>367</v>
      </c>
      <c r="C451" s="18">
        <v>1</v>
      </c>
    </row>
    <row r="452" customHeight="1" spans="1:3">
      <c r="A452" s="18" t="s">
        <v>367</v>
      </c>
      <c r="C452" s="18">
        <v>2</v>
      </c>
    </row>
    <row r="453" customHeight="1" spans="1:3">
      <c r="A453" s="18" t="s">
        <v>367</v>
      </c>
      <c r="C453" s="18">
        <v>3</v>
      </c>
    </row>
    <row r="454" customHeight="1" spans="1:3">
      <c r="A454" s="18" t="s">
        <v>367</v>
      </c>
      <c r="C454" s="18">
        <v>4</v>
      </c>
    </row>
    <row r="455" customHeight="1" spans="1:3">
      <c r="A455" s="18" t="s">
        <v>367</v>
      </c>
      <c r="C455" s="18">
        <v>5</v>
      </c>
    </row>
    <row r="456" customHeight="1" spans="1:3">
      <c r="A456" s="5" t="s">
        <v>368</v>
      </c>
      <c r="C456" s="5">
        <v>1</v>
      </c>
    </row>
    <row r="457" customHeight="1" spans="1:3">
      <c r="A457" s="5" t="s">
        <v>368</v>
      </c>
      <c r="C457" s="5">
        <v>2</v>
      </c>
    </row>
    <row r="458" customHeight="1" spans="1:3">
      <c r="A458" s="5" t="s">
        <v>368</v>
      </c>
      <c r="C458" s="5">
        <v>3</v>
      </c>
    </row>
    <row r="459" customHeight="1" spans="1:3">
      <c r="A459" s="5" t="s">
        <v>368</v>
      </c>
      <c r="C459" s="5">
        <v>4</v>
      </c>
    </row>
    <row r="460" customHeight="1" spans="1:3">
      <c r="A460" s="5" t="s">
        <v>368</v>
      </c>
      <c r="C460" s="5">
        <v>5</v>
      </c>
    </row>
    <row r="461" customHeight="1" spans="1:3">
      <c r="A461" s="5" t="s">
        <v>368</v>
      </c>
      <c r="C461" s="5">
        <v>6</v>
      </c>
    </row>
    <row r="462" customHeight="1" spans="1:3">
      <c r="A462" s="5" t="s">
        <v>368</v>
      </c>
      <c r="C462" s="5">
        <v>7</v>
      </c>
    </row>
    <row r="463" customHeight="1" spans="1:3">
      <c r="A463" s="5" t="s">
        <v>368</v>
      </c>
      <c r="C463" s="5">
        <v>8</v>
      </c>
    </row>
    <row r="464" customHeight="1" spans="1:3">
      <c r="A464" s="18" t="s">
        <v>370</v>
      </c>
      <c r="C464" s="18">
        <v>1</v>
      </c>
    </row>
    <row r="465" customHeight="1" spans="1:3">
      <c r="A465" s="18" t="s">
        <v>370</v>
      </c>
      <c r="C465" s="18">
        <v>2</v>
      </c>
    </row>
    <row r="466" customHeight="1" spans="1:3">
      <c r="A466" s="18" t="s">
        <v>370</v>
      </c>
      <c r="C466" s="18">
        <v>3</v>
      </c>
    </row>
    <row r="467" customHeight="1" spans="1:3">
      <c r="A467" s="18" t="s">
        <v>370</v>
      </c>
      <c r="C467" s="18">
        <v>4</v>
      </c>
    </row>
    <row r="468" customHeight="1" spans="1:3">
      <c r="A468" s="18" t="s">
        <v>370</v>
      </c>
      <c r="C468" s="18">
        <v>5</v>
      </c>
    </row>
    <row r="469" customHeight="1" spans="1:3">
      <c r="A469" s="5" t="s">
        <v>371</v>
      </c>
      <c r="C469" s="5">
        <v>1</v>
      </c>
    </row>
    <row r="470" customHeight="1" spans="1:3">
      <c r="A470" s="5" t="s">
        <v>371</v>
      </c>
      <c r="C470" s="5">
        <v>2</v>
      </c>
    </row>
    <row r="471" customHeight="1" spans="1:3">
      <c r="A471" s="5" t="s">
        <v>371</v>
      </c>
      <c r="C471" s="5">
        <v>3</v>
      </c>
    </row>
    <row r="472" customHeight="1" spans="1:3">
      <c r="A472" s="5" t="s">
        <v>371</v>
      </c>
      <c r="C472" s="5">
        <v>4</v>
      </c>
    </row>
    <row r="473" customHeight="1" spans="1:3">
      <c r="A473" s="5" t="s">
        <v>371</v>
      </c>
      <c r="C473" s="5">
        <v>5</v>
      </c>
    </row>
    <row r="474" customHeight="1" spans="1:3">
      <c r="A474" s="18" t="s">
        <v>372</v>
      </c>
      <c r="C474" s="18">
        <v>1</v>
      </c>
    </row>
    <row r="475" customHeight="1" spans="1:3">
      <c r="A475" s="18" t="s">
        <v>372</v>
      </c>
      <c r="C475" s="18">
        <v>2</v>
      </c>
    </row>
    <row r="476" customHeight="1" spans="1:3">
      <c r="A476" s="18" t="s">
        <v>372</v>
      </c>
      <c r="C476" s="18">
        <v>3</v>
      </c>
    </row>
    <row r="477" customHeight="1" spans="1:3">
      <c r="A477" s="18" t="s">
        <v>372</v>
      </c>
      <c r="C477" s="18">
        <v>4</v>
      </c>
    </row>
    <row r="478" customHeight="1" spans="1:3">
      <c r="A478" s="18" t="s">
        <v>372</v>
      </c>
      <c r="C478" s="18">
        <v>5</v>
      </c>
    </row>
    <row r="479" customHeight="1" spans="1:3">
      <c r="A479" s="5" t="s">
        <v>372</v>
      </c>
      <c r="C479" s="5">
        <v>1</v>
      </c>
    </row>
    <row r="480" customHeight="1" spans="1:3">
      <c r="A480" s="5" t="s">
        <v>372</v>
      </c>
      <c r="C480" s="5">
        <v>2</v>
      </c>
    </row>
    <row r="481" customHeight="1" spans="1:3">
      <c r="A481" s="5" t="s">
        <v>372</v>
      </c>
      <c r="C481" s="5">
        <v>3</v>
      </c>
    </row>
    <row r="482" customHeight="1" spans="1:3">
      <c r="A482" s="5" t="s">
        <v>372</v>
      </c>
      <c r="C482" s="5">
        <v>4</v>
      </c>
    </row>
    <row r="483" customHeight="1" spans="1:3">
      <c r="A483" s="5" t="s">
        <v>372</v>
      </c>
      <c r="C483" s="5">
        <v>5</v>
      </c>
    </row>
    <row r="484" customHeight="1" spans="1:3">
      <c r="A484" s="18" t="s">
        <v>373</v>
      </c>
      <c r="C484" s="18">
        <v>1</v>
      </c>
    </row>
    <row r="485" customHeight="1" spans="1:3">
      <c r="A485" s="18" t="s">
        <v>373</v>
      </c>
      <c r="C485" s="18">
        <v>2</v>
      </c>
    </row>
    <row r="486" customHeight="1" spans="1:3">
      <c r="A486" s="18" t="s">
        <v>373</v>
      </c>
      <c r="C486" s="18">
        <v>3</v>
      </c>
    </row>
    <row r="487" customHeight="1" spans="1:3">
      <c r="A487" s="18" t="s">
        <v>373</v>
      </c>
      <c r="C487" s="18">
        <v>4</v>
      </c>
    </row>
    <row r="488" customHeight="1" spans="1:3">
      <c r="A488" s="18" t="s">
        <v>373</v>
      </c>
      <c r="C488" s="18">
        <v>5</v>
      </c>
    </row>
    <row r="489" customHeight="1" spans="1:3">
      <c r="A489" s="18" t="s">
        <v>373</v>
      </c>
      <c r="C489" s="18">
        <v>6</v>
      </c>
    </row>
    <row r="490" customHeight="1" spans="1:3">
      <c r="A490" s="18" t="s">
        <v>373</v>
      </c>
      <c r="C490" s="18">
        <v>7</v>
      </c>
    </row>
    <row r="491" customHeight="1" spans="1:3">
      <c r="A491" s="18" t="s">
        <v>373</v>
      </c>
      <c r="C491" s="18">
        <v>8</v>
      </c>
    </row>
    <row r="492" customHeight="1" spans="1:3">
      <c r="A492" s="5" t="s">
        <v>375</v>
      </c>
      <c r="C492" s="5">
        <v>1</v>
      </c>
    </row>
    <row r="493" customHeight="1" spans="1:3">
      <c r="A493" s="5" t="s">
        <v>375</v>
      </c>
      <c r="C493" s="5">
        <v>2</v>
      </c>
    </row>
    <row r="494" customHeight="1" spans="1:3">
      <c r="A494" s="5" t="s">
        <v>375</v>
      </c>
      <c r="C494" s="5">
        <v>3</v>
      </c>
    </row>
    <row r="495" customHeight="1" spans="1:3">
      <c r="A495" s="5" t="s">
        <v>375</v>
      </c>
      <c r="C495" s="5">
        <v>4</v>
      </c>
    </row>
    <row r="496" customHeight="1" spans="1:3">
      <c r="A496" s="5" t="s">
        <v>375</v>
      </c>
      <c r="C496" s="5">
        <v>5</v>
      </c>
    </row>
    <row r="497" customHeight="1" spans="1:3">
      <c r="A497" s="18" t="s">
        <v>376</v>
      </c>
      <c r="C497" s="18">
        <v>1</v>
      </c>
    </row>
    <row r="498" customHeight="1" spans="1:3">
      <c r="A498" s="18" t="s">
        <v>376</v>
      </c>
      <c r="C498" s="18">
        <v>2</v>
      </c>
    </row>
    <row r="499" customHeight="1" spans="1:3">
      <c r="A499" s="18" t="s">
        <v>376</v>
      </c>
      <c r="C499" s="18">
        <v>3</v>
      </c>
    </row>
    <row r="500" customHeight="1" spans="1:3">
      <c r="A500" s="18" t="s">
        <v>376</v>
      </c>
      <c r="C500" s="18">
        <v>4</v>
      </c>
    </row>
    <row r="501" customHeight="1" spans="1:3">
      <c r="A501" s="18" t="s">
        <v>376</v>
      </c>
      <c r="C501" s="18">
        <v>5</v>
      </c>
    </row>
    <row r="502" customHeight="1" spans="1:3">
      <c r="A502" s="5" t="s">
        <v>378</v>
      </c>
      <c r="C502" s="5">
        <v>1</v>
      </c>
    </row>
    <row r="503" customHeight="1" spans="1:3">
      <c r="A503" s="5" t="s">
        <v>378</v>
      </c>
      <c r="C503" s="5">
        <v>2</v>
      </c>
    </row>
    <row r="504" customHeight="1" spans="1:3">
      <c r="A504" s="5" t="s">
        <v>378</v>
      </c>
      <c r="C504" s="5">
        <v>3</v>
      </c>
    </row>
    <row r="505" customHeight="1" spans="1:3">
      <c r="A505" s="5" t="s">
        <v>378</v>
      </c>
      <c r="C505" s="5">
        <v>4</v>
      </c>
    </row>
    <row r="506" customHeight="1" spans="1:3">
      <c r="A506" s="5" t="s">
        <v>378</v>
      </c>
      <c r="C506" s="5">
        <v>5</v>
      </c>
    </row>
    <row r="507" customHeight="1" spans="1:3">
      <c r="A507" s="18" t="s">
        <v>379</v>
      </c>
      <c r="C507" s="18">
        <v>1</v>
      </c>
    </row>
    <row r="508" customHeight="1" spans="1:3">
      <c r="A508" s="18" t="s">
        <v>379</v>
      </c>
      <c r="C508" s="18">
        <v>2</v>
      </c>
    </row>
    <row r="509" customHeight="1" spans="1:3">
      <c r="A509" s="18" t="s">
        <v>379</v>
      </c>
      <c r="C509" s="18">
        <v>3</v>
      </c>
    </row>
    <row r="510" customHeight="1" spans="1:3">
      <c r="A510" s="18" t="s">
        <v>379</v>
      </c>
      <c r="C510" s="18">
        <v>4</v>
      </c>
    </row>
    <row r="511" customHeight="1" spans="1:3">
      <c r="A511" s="18" t="s">
        <v>379</v>
      </c>
      <c r="C511" s="18">
        <v>5</v>
      </c>
    </row>
    <row r="512" customHeight="1" spans="1:3">
      <c r="A512" s="5" t="s">
        <v>381</v>
      </c>
      <c r="C512" s="5">
        <v>1</v>
      </c>
    </row>
    <row r="513" customHeight="1" spans="1:3">
      <c r="A513" s="5" t="s">
        <v>381</v>
      </c>
      <c r="C513" s="5">
        <v>2</v>
      </c>
    </row>
    <row r="514" customHeight="1" spans="1:3">
      <c r="A514" s="5" t="s">
        <v>381</v>
      </c>
      <c r="C514" s="5">
        <v>3</v>
      </c>
    </row>
    <row r="515" customHeight="1" spans="1:3">
      <c r="A515" s="5" t="s">
        <v>381</v>
      </c>
      <c r="C515" s="5">
        <v>4</v>
      </c>
    </row>
    <row r="516" customHeight="1" spans="1:3">
      <c r="A516" s="5" t="s">
        <v>381</v>
      </c>
      <c r="C516" s="5">
        <v>5</v>
      </c>
    </row>
    <row r="517" customHeight="1" spans="1:3">
      <c r="A517" s="18" t="s">
        <v>382</v>
      </c>
      <c r="C517" s="18">
        <v>1</v>
      </c>
    </row>
    <row r="518" customHeight="1" spans="1:3">
      <c r="A518" s="18" t="s">
        <v>382</v>
      </c>
      <c r="C518" s="18">
        <v>2</v>
      </c>
    </row>
    <row r="519" customHeight="1" spans="1:3">
      <c r="A519" s="18" t="s">
        <v>382</v>
      </c>
      <c r="C519" s="18">
        <v>3</v>
      </c>
    </row>
    <row r="520" customHeight="1" spans="1:3">
      <c r="A520" s="18" t="s">
        <v>382</v>
      </c>
      <c r="C520" s="18">
        <v>4</v>
      </c>
    </row>
    <row r="521" customHeight="1" spans="1:3">
      <c r="A521" s="18" t="s">
        <v>382</v>
      </c>
      <c r="C521" s="18">
        <v>5</v>
      </c>
    </row>
    <row r="522" customHeight="1" spans="1:3">
      <c r="A522" s="5" t="s">
        <v>384</v>
      </c>
      <c r="C522" s="5">
        <v>1</v>
      </c>
    </row>
    <row r="523" customHeight="1" spans="1:3">
      <c r="A523" s="5" t="s">
        <v>384</v>
      </c>
      <c r="C523" s="5">
        <v>2</v>
      </c>
    </row>
    <row r="524" customHeight="1" spans="1:3">
      <c r="A524" s="5" t="s">
        <v>384</v>
      </c>
      <c r="C524" s="5">
        <v>3</v>
      </c>
    </row>
    <row r="525" customHeight="1" spans="1:3">
      <c r="A525" s="5" t="s">
        <v>384</v>
      </c>
      <c r="C525" s="5">
        <v>4</v>
      </c>
    </row>
    <row r="526" customHeight="1" spans="1:3">
      <c r="A526" s="5" t="s">
        <v>384</v>
      </c>
      <c r="C526" s="5">
        <v>5</v>
      </c>
    </row>
    <row r="527" customHeight="1" spans="1:3">
      <c r="A527" s="18" t="s">
        <v>385</v>
      </c>
      <c r="C527" s="18">
        <v>1</v>
      </c>
    </row>
    <row r="528" customHeight="1" spans="1:3">
      <c r="A528" s="18" t="s">
        <v>385</v>
      </c>
      <c r="C528" s="18">
        <v>2</v>
      </c>
    </row>
    <row r="529" customHeight="1" spans="1:3">
      <c r="A529" s="18" t="s">
        <v>385</v>
      </c>
      <c r="C529" s="18">
        <v>3</v>
      </c>
    </row>
    <row r="530" customHeight="1" spans="1:3">
      <c r="A530" s="18" t="s">
        <v>385</v>
      </c>
      <c r="C530" s="18">
        <v>4</v>
      </c>
    </row>
    <row r="531" customHeight="1" spans="1:3">
      <c r="A531" s="18" t="s">
        <v>385</v>
      </c>
      <c r="C531" s="18">
        <v>5</v>
      </c>
    </row>
    <row r="532" customHeight="1" spans="1:3">
      <c r="A532" s="18" t="s">
        <v>385</v>
      </c>
      <c r="C532" s="18">
        <v>6</v>
      </c>
    </row>
    <row r="533" customHeight="1" spans="1:3">
      <c r="A533" s="18" t="s">
        <v>385</v>
      </c>
      <c r="C533" s="18">
        <v>7</v>
      </c>
    </row>
    <row r="534" customHeight="1" spans="1:3">
      <c r="A534" s="18" t="s">
        <v>385</v>
      </c>
      <c r="C534" s="18">
        <v>8</v>
      </c>
    </row>
    <row r="535" customHeight="1" spans="1:3">
      <c r="A535" s="5" t="s">
        <v>385</v>
      </c>
      <c r="C535" s="5">
        <v>1</v>
      </c>
    </row>
    <row r="536" customHeight="1" spans="1:3">
      <c r="A536" s="5" t="s">
        <v>385</v>
      </c>
      <c r="C536" s="5">
        <v>2</v>
      </c>
    </row>
    <row r="537" customHeight="1" spans="1:3">
      <c r="A537" s="5" t="s">
        <v>385</v>
      </c>
      <c r="C537" s="5">
        <v>3</v>
      </c>
    </row>
    <row r="538" customHeight="1" spans="1:3">
      <c r="A538" s="5" t="s">
        <v>385</v>
      </c>
      <c r="C538" s="5">
        <v>4</v>
      </c>
    </row>
    <row r="539" customHeight="1" spans="1:3">
      <c r="A539" s="5" t="s">
        <v>385</v>
      </c>
      <c r="C539" s="5">
        <v>5</v>
      </c>
    </row>
    <row r="540" customHeight="1" spans="1:3">
      <c r="A540" s="5" t="s">
        <v>385</v>
      </c>
      <c r="C540" s="5">
        <v>6</v>
      </c>
    </row>
    <row r="541" customHeight="1" spans="1:3">
      <c r="A541" s="5" t="s">
        <v>385</v>
      </c>
      <c r="C541" s="5">
        <v>7</v>
      </c>
    </row>
    <row r="542" customHeight="1" spans="1:3">
      <c r="A542" s="5" t="s">
        <v>385</v>
      </c>
      <c r="C542" s="5">
        <v>8</v>
      </c>
    </row>
    <row r="543" customHeight="1" spans="1:3">
      <c r="A543" s="18" t="s">
        <v>387</v>
      </c>
      <c r="C543" s="18">
        <v>1</v>
      </c>
    </row>
    <row r="544" customHeight="1" spans="1:3">
      <c r="A544" s="18" t="s">
        <v>387</v>
      </c>
      <c r="C544" s="18">
        <v>2</v>
      </c>
    </row>
    <row r="545" customHeight="1" spans="1:3">
      <c r="A545" s="18" t="s">
        <v>387</v>
      </c>
      <c r="C545" s="18">
        <v>3</v>
      </c>
    </row>
    <row r="546" customHeight="1" spans="1:3">
      <c r="A546" s="18" t="s">
        <v>387</v>
      </c>
      <c r="C546" s="18">
        <v>4</v>
      </c>
    </row>
    <row r="547" customHeight="1" spans="1:3">
      <c r="A547" s="18" t="s">
        <v>387</v>
      </c>
      <c r="C547" s="18">
        <v>5</v>
      </c>
    </row>
    <row r="548" customHeight="1" spans="1:3">
      <c r="A548" s="5" t="s">
        <v>387</v>
      </c>
      <c r="C548" s="5">
        <v>1</v>
      </c>
    </row>
    <row r="549" customHeight="1" spans="1:3">
      <c r="A549" s="5" t="s">
        <v>387</v>
      </c>
      <c r="C549" s="5">
        <v>2</v>
      </c>
    </row>
    <row r="550" customHeight="1" spans="1:3">
      <c r="A550" s="5" t="s">
        <v>387</v>
      </c>
      <c r="C550" s="5">
        <v>3</v>
      </c>
    </row>
    <row r="551" customHeight="1" spans="1:3">
      <c r="A551" s="5" t="s">
        <v>387</v>
      </c>
      <c r="C551" s="5">
        <v>4</v>
      </c>
    </row>
    <row r="552" customHeight="1" spans="1:3">
      <c r="A552" s="5" t="s">
        <v>387</v>
      </c>
      <c r="C552" s="5">
        <v>5</v>
      </c>
    </row>
    <row r="553" customHeight="1" spans="1:3">
      <c r="A553" s="18" t="s">
        <v>388</v>
      </c>
      <c r="C553" s="18">
        <v>1</v>
      </c>
    </row>
    <row r="554" customHeight="1" spans="1:3">
      <c r="A554" s="18" t="s">
        <v>388</v>
      </c>
      <c r="C554" s="18">
        <v>2</v>
      </c>
    </row>
    <row r="555" customHeight="1" spans="1:3">
      <c r="A555" s="18" t="s">
        <v>388</v>
      </c>
      <c r="C555" s="18">
        <v>3</v>
      </c>
    </row>
    <row r="556" customHeight="1" spans="1:3">
      <c r="A556" s="18" t="s">
        <v>388</v>
      </c>
      <c r="C556" s="18">
        <v>4</v>
      </c>
    </row>
    <row r="557" customHeight="1" spans="1:3">
      <c r="A557" s="18" t="s">
        <v>388</v>
      </c>
      <c r="C557" s="18">
        <v>5</v>
      </c>
    </row>
    <row r="558" customHeight="1" spans="1:3">
      <c r="A558" s="5" t="s">
        <v>389</v>
      </c>
      <c r="C558" s="5">
        <v>1</v>
      </c>
    </row>
    <row r="559" customHeight="1" spans="1:3">
      <c r="A559" s="5" t="s">
        <v>389</v>
      </c>
      <c r="C559" s="5">
        <v>2</v>
      </c>
    </row>
    <row r="560" customHeight="1" spans="1:3">
      <c r="A560" s="5" t="s">
        <v>389</v>
      </c>
      <c r="C560" s="5">
        <v>3</v>
      </c>
    </row>
    <row r="561" customHeight="1" spans="1:3">
      <c r="A561" s="5" t="s">
        <v>389</v>
      </c>
      <c r="C561" s="5">
        <v>4</v>
      </c>
    </row>
    <row r="562" customHeight="1" spans="1:3">
      <c r="A562" s="5" t="s">
        <v>389</v>
      </c>
      <c r="C562" s="5">
        <v>5</v>
      </c>
    </row>
    <row r="563" customHeight="1" spans="1:3">
      <c r="A563" s="5" t="s">
        <v>389</v>
      </c>
      <c r="C563" s="5">
        <v>6</v>
      </c>
    </row>
    <row r="564" customHeight="1" spans="1:3">
      <c r="A564" s="5" t="s">
        <v>389</v>
      </c>
      <c r="C564" s="5">
        <v>7</v>
      </c>
    </row>
    <row r="565" customHeight="1" spans="1:3">
      <c r="A565" s="5" t="s">
        <v>389</v>
      </c>
      <c r="C565" s="5">
        <v>8</v>
      </c>
    </row>
    <row r="566" customHeight="1" spans="1:3">
      <c r="A566" s="18" t="s">
        <v>391</v>
      </c>
      <c r="C566" s="18">
        <v>1</v>
      </c>
    </row>
    <row r="567" customHeight="1" spans="1:3">
      <c r="A567" s="18" t="s">
        <v>391</v>
      </c>
      <c r="C567" s="18">
        <v>2</v>
      </c>
    </row>
    <row r="568" customHeight="1" spans="1:3">
      <c r="A568" s="18" t="s">
        <v>391</v>
      </c>
      <c r="C568" s="18">
        <v>3</v>
      </c>
    </row>
    <row r="569" customHeight="1" spans="1:3">
      <c r="A569" s="18" t="s">
        <v>391</v>
      </c>
      <c r="C569" s="18">
        <v>4</v>
      </c>
    </row>
    <row r="570" customHeight="1" spans="1:3">
      <c r="A570" s="18" t="s">
        <v>391</v>
      </c>
      <c r="C570" s="18">
        <v>5</v>
      </c>
    </row>
    <row r="571" customHeight="1" spans="1:3">
      <c r="A571" s="5" t="s">
        <v>393</v>
      </c>
      <c r="C571" s="5">
        <v>1</v>
      </c>
    </row>
    <row r="572" customHeight="1" spans="1:3">
      <c r="A572" s="5" t="s">
        <v>393</v>
      </c>
      <c r="C572" s="5">
        <v>2</v>
      </c>
    </row>
    <row r="573" customHeight="1" spans="1:3">
      <c r="A573" s="5" t="s">
        <v>393</v>
      </c>
      <c r="C573" s="5">
        <v>3</v>
      </c>
    </row>
    <row r="574" customHeight="1" spans="1:3">
      <c r="A574" s="5" t="s">
        <v>393</v>
      </c>
      <c r="C574" s="5">
        <v>4</v>
      </c>
    </row>
    <row r="575" customHeight="1" spans="1:3">
      <c r="A575" s="5" t="s">
        <v>393</v>
      </c>
      <c r="C575" s="5">
        <v>5</v>
      </c>
    </row>
    <row r="576" customHeight="1" spans="1:3">
      <c r="A576" s="18" t="s">
        <v>394</v>
      </c>
      <c r="C576" s="18">
        <v>1</v>
      </c>
    </row>
    <row r="577" customHeight="1" spans="1:3">
      <c r="A577" s="18" t="s">
        <v>394</v>
      </c>
      <c r="C577" s="18">
        <v>2</v>
      </c>
    </row>
    <row r="578" customHeight="1" spans="1:3">
      <c r="A578" s="18" t="s">
        <v>394</v>
      </c>
      <c r="C578" s="18">
        <v>3</v>
      </c>
    </row>
    <row r="579" customHeight="1" spans="1:3">
      <c r="A579" s="18" t="s">
        <v>394</v>
      </c>
      <c r="C579" s="18">
        <v>4</v>
      </c>
    </row>
    <row r="580" customHeight="1" spans="1:3">
      <c r="A580" s="18" t="s">
        <v>394</v>
      </c>
      <c r="C580" s="18">
        <v>5</v>
      </c>
    </row>
    <row r="581" customHeight="1" spans="1:3">
      <c r="A581" s="18" t="s">
        <v>394</v>
      </c>
      <c r="C581" s="18">
        <v>6</v>
      </c>
    </row>
    <row r="582" customHeight="1" spans="1:3">
      <c r="A582" s="18" t="s">
        <v>394</v>
      </c>
      <c r="C582" s="18">
        <v>7</v>
      </c>
    </row>
    <row r="583" customHeight="1" spans="1:3">
      <c r="A583" s="18" t="s">
        <v>394</v>
      </c>
      <c r="C583" s="18">
        <v>8</v>
      </c>
    </row>
    <row r="584" customHeight="1" spans="1:3">
      <c r="A584" s="5" t="s">
        <v>396</v>
      </c>
      <c r="C584" s="5">
        <v>1</v>
      </c>
    </row>
    <row r="585" customHeight="1" spans="1:3">
      <c r="A585" s="5" t="s">
        <v>396</v>
      </c>
      <c r="C585" s="5">
        <v>2</v>
      </c>
    </row>
    <row r="586" customHeight="1" spans="1:3">
      <c r="A586" s="5" t="s">
        <v>396</v>
      </c>
      <c r="C586" s="5">
        <v>3</v>
      </c>
    </row>
    <row r="587" customHeight="1" spans="1:3">
      <c r="A587" s="5" t="s">
        <v>396</v>
      </c>
      <c r="C587" s="5">
        <v>4</v>
      </c>
    </row>
    <row r="588" customHeight="1" spans="1:3">
      <c r="A588" s="5" t="s">
        <v>396</v>
      </c>
      <c r="C588" s="5">
        <v>5</v>
      </c>
    </row>
    <row r="589" customHeight="1" spans="1:3">
      <c r="A589" s="18" t="s">
        <v>397</v>
      </c>
      <c r="C589" s="18">
        <v>1</v>
      </c>
    </row>
    <row r="590" customHeight="1" spans="1:3">
      <c r="A590" s="18" t="s">
        <v>397</v>
      </c>
      <c r="C590" s="18">
        <v>2</v>
      </c>
    </row>
    <row r="591" customHeight="1" spans="1:3">
      <c r="A591" s="18" t="s">
        <v>397</v>
      </c>
      <c r="C591" s="18">
        <v>3</v>
      </c>
    </row>
    <row r="592" customHeight="1" spans="1:3">
      <c r="A592" s="18" t="s">
        <v>397</v>
      </c>
      <c r="C592" s="18">
        <v>4</v>
      </c>
    </row>
    <row r="593" customHeight="1" spans="1:3">
      <c r="A593" s="18" t="s">
        <v>397</v>
      </c>
      <c r="C593" s="18">
        <v>5</v>
      </c>
    </row>
    <row r="594" customHeight="1" spans="1:3">
      <c r="A594" s="18" t="s">
        <v>397</v>
      </c>
      <c r="C594" s="18">
        <v>6</v>
      </c>
    </row>
    <row r="595" customHeight="1" spans="1:3">
      <c r="A595" s="18" t="s">
        <v>397</v>
      </c>
      <c r="C595" s="18">
        <v>7</v>
      </c>
    </row>
    <row r="596" customHeight="1" spans="1:3">
      <c r="A596" s="18" t="s">
        <v>397</v>
      </c>
      <c r="C596" s="18">
        <v>8</v>
      </c>
    </row>
    <row r="597" customHeight="1" spans="1:3">
      <c r="A597" s="5" t="s">
        <v>397</v>
      </c>
      <c r="C597" s="5">
        <v>1</v>
      </c>
    </row>
    <row r="598" customHeight="1" spans="1:3">
      <c r="A598" s="5" t="s">
        <v>397</v>
      </c>
      <c r="C598" s="5">
        <v>2</v>
      </c>
    </row>
    <row r="599" customHeight="1" spans="1:3">
      <c r="A599" s="5" t="s">
        <v>397</v>
      </c>
      <c r="C599" s="5">
        <v>3</v>
      </c>
    </row>
    <row r="600" customHeight="1" spans="1:3">
      <c r="A600" s="5" t="s">
        <v>397</v>
      </c>
      <c r="C600" s="5">
        <v>4</v>
      </c>
    </row>
    <row r="601" customHeight="1" spans="1:3">
      <c r="A601" s="5" t="s">
        <v>397</v>
      </c>
      <c r="C601" s="5">
        <v>5</v>
      </c>
    </row>
    <row r="602" customHeight="1" spans="1:3">
      <c r="A602" s="5" t="s">
        <v>397</v>
      </c>
      <c r="C602" s="5">
        <v>6</v>
      </c>
    </row>
    <row r="603" customHeight="1" spans="1:3">
      <c r="A603" s="5" t="s">
        <v>397</v>
      </c>
      <c r="C603" s="5">
        <v>7</v>
      </c>
    </row>
    <row r="604" customHeight="1" spans="1:3">
      <c r="A604" s="5" t="s">
        <v>397</v>
      </c>
      <c r="C604" s="5">
        <v>8</v>
      </c>
    </row>
    <row r="605" customHeight="1" spans="1:3">
      <c r="A605" s="18" t="s">
        <v>399</v>
      </c>
      <c r="C605" s="18">
        <v>1</v>
      </c>
    </row>
    <row r="606" customHeight="1" spans="1:3">
      <c r="A606" s="18" t="s">
        <v>399</v>
      </c>
      <c r="C606" s="18">
        <v>2</v>
      </c>
    </row>
    <row r="607" customHeight="1" spans="1:3">
      <c r="A607" s="18" t="s">
        <v>399</v>
      </c>
      <c r="C607" s="18">
        <v>3</v>
      </c>
    </row>
    <row r="608" customHeight="1" spans="1:3">
      <c r="A608" s="18" t="s">
        <v>399</v>
      </c>
      <c r="C608" s="18">
        <v>4</v>
      </c>
    </row>
    <row r="609" customHeight="1" spans="1:3">
      <c r="A609" s="18" t="s">
        <v>399</v>
      </c>
      <c r="C609" s="18">
        <v>5</v>
      </c>
    </row>
    <row r="610" customHeight="1" spans="1:3">
      <c r="A610" s="5" t="s">
        <v>400</v>
      </c>
      <c r="C610" s="5">
        <v>1</v>
      </c>
    </row>
    <row r="611" customHeight="1" spans="1:3">
      <c r="A611" s="5" t="s">
        <v>400</v>
      </c>
      <c r="C611" s="5">
        <v>2</v>
      </c>
    </row>
    <row r="612" customHeight="1" spans="1:3">
      <c r="A612" s="5" t="s">
        <v>400</v>
      </c>
      <c r="C612" s="5">
        <v>3</v>
      </c>
    </row>
    <row r="613" customHeight="1" spans="1:3">
      <c r="A613" s="5" t="s">
        <v>400</v>
      </c>
      <c r="C613" s="5">
        <v>4</v>
      </c>
    </row>
    <row r="614" customHeight="1" spans="1:3">
      <c r="A614" s="5" t="s">
        <v>400</v>
      </c>
      <c r="C614" s="5">
        <v>5</v>
      </c>
    </row>
    <row r="615" customHeight="1" spans="1:3">
      <c r="A615" s="5" t="s">
        <v>400</v>
      </c>
      <c r="C615" s="5">
        <v>6</v>
      </c>
    </row>
    <row r="616" customHeight="1" spans="1:3">
      <c r="A616" s="5" t="s">
        <v>400</v>
      </c>
      <c r="C616" s="5">
        <v>7</v>
      </c>
    </row>
    <row r="617" customHeight="1" spans="1:3">
      <c r="A617" s="5" t="s">
        <v>400</v>
      </c>
      <c r="C617" s="5">
        <v>8</v>
      </c>
    </row>
    <row r="618" customHeight="1" spans="1:3">
      <c r="A618" s="18" t="s">
        <v>400</v>
      </c>
      <c r="C618" s="18">
        <v>1</v>
      </c>
    </row>
    <row r="619" customHeight="1" spans="1:3">
      <c r="A619" s="18" t="s">
        <v>400</v>
      </c>
      <c r="C619" s="18">
        <v>2</v>
      </c>
    </row>
    <row r="620" customHeight="1" spans="1:3">
      <c r="A620" s="18" t="s">
        <v>400</v>
      </c>
      <c r="C620" s="18">
        <v>3</v>
      </c>
    </row>
    <row r="621" customHeight="1" spans="1:3">
      <c r="A621" s="18" t="s">
        <v>400</v>
      </c>
      <c r="C621" s="18">
        <v>4</v>
      </c>
    </row>
    <row r="622" customHeight="1" spans="1:3">
      <c r="A622" s="18" t="s">
        <v>400</v>
      </c>
      <c r="C622" s="18">
        <v>5</v>
      </c>
    </row>
    <row r="623" customHeight="1" spans="1:3">
      <c r="A623" s="18" t="s">
        <v>400</v>
      </c>
      <c r="C623" s="18">
        <v>6</v>
      </c>
    </row>
    <row r="624" customHeight="1" spans="1:3">
      <c r="A624" s="18" t="s">
        <v>400</v>
      </c>
      <c r="C624" s="18">
        <v>7</v>
      </c>
    </row>
    <row r="625" customHeight="1" spans="1:3">
      <c r="A625" s="18" t="s">
        <v>400</v>
      </c>
      <c r="C625" s="18">
        <v>8</v>
      </c>
    </row>
    <row r="626" customHeight="1" spans="1:3">
      <c r="A626" s="5" t="s">
        <v>402</v>
      </c>
      <c r="C626" s="5">
        <v>1</v>
      </c>
    </row>
    <row r="627" customHeight="1" spans="1:3">
      <c r="A627" s="5" t="s">
        <v>402</v>
      </c>
      <c r="C627" s="5">
        <v>2</v>
      </c>
    </row>
    <row r="628" customHeight="1" spans="1:3">
      <c r="A628" s="5" t="s">
        <v>402</v>
      </c>
      <c r="C628" s="5">
        <v>3</v>
      </c>
    </row>
    <row r="629" customHeight="1" spans="1:3">
      <c r="A629" s="5" t="s">
        <v>402</v>
      </c>
      <c r="C629" s="5">
        <v>4</v>
      </c>
    </row>
    <row r="630" customHeight="1" spans="1:3">
      <c r="A630" s="5" t="s">
        <v>402</v>
      </c>
      <c r="C630" s="5">
        <v>5</v>
      </c>
    </row>
    <row r="631" customHeight="1" spans="1:3">
      <c r="A631" s="18" t="s">
        <v>403</v>
      </c>
      <c r="C631" s="18">
        <v>1</v>
      </c>
    </row>
    <row r="632" customHeight="1" spans="1:3">
      <c r="A632" s="18" t="s">
        <v>403</v>
      </c>
      <c r="C632" s="18">
        <v>2</v>
      </c>
    </row>
    <row r="633" customHeight="1" spans="1:3">
      <c r="A633" s="18" t="s">
        <v>403</v>
      </c>
      <c r="C633" s="18">
        <v>3</v>
      </c>
    </row>
    <row r="634" customHeight="1" spans="1:3">
      <c r="A634" s="18" t="s">
        <v>403</v>
      </c>
      <c r="C634" s="18">
        <v>4</v>
      </c>
    </row>
    <row r="635" customHeight="1" spans="1:3">
      <c r="A635" s="18" t="s">
        <v>403</v>
      </c>
      <c r="C635" s="18">
        <v>5</v>
      </c>
    </row>
    <row r="636" customHeight="1" spans="1:3">
      <c r="A636" s="5" t="s">
        <v>404</v>
      </c>
      <c r="C636" s="5">
        <v>1</v>
      </c>
    </row>
    <row r="637" customHeight="1" spans="1:3">
      <c r="A637" s="5" t="s">
        <v>404</v>
      </c>
      <c r="C637" s="5">
        <v>2</v>
      </c>
    </row>
    <row r="638" customHeight="1" spans="1:3">
      <c r="A638" s="5" t="s">
        <v>404</v>
      </c>
      <c r="C638" s="5">
        <v>3</v>
      </c>
    </row>
    <row r="639" customHeight="1" spans="1:3">
      <c r="A639" s="5" t="s">
        <v>404</v>
      </c>
      <c r="C639" s="5">
        <v>4</v>
      </c>
    </row>
    <row r="640" customHeight="1" spans="1:3">
      <c r="A640" s="5" t="s">
        <v>404</v>
      </c>
      <c r="C640" s="5">
        <v>5</v>
      </c>
    </row>
    <row r="641" customHeight="1" spans="1:3">
      <c r="A641" s="18" t="s">
        <v>404</v>
      </c>
      <c r="C641" s="18">
        <v>1</v>
      </c>
    </row>
    <row r="642" customHeight="1" spans="1:3">
      <c r="A642" s="18" t="s">
        <v>404</v>
      </c>
      <c r="C642" s="18">
        <v>2</v>
      </c>
    </row>
    <row r="643" customHeight="1" spans="1:3">
      <c r="A643" s="18" t="s">
        <v>404</v>
      </c>
      <c r="C643" s="18">
        <v>3</v>
      </c>
    </row>
    <row r="644" customHeight="1" spans="1:3">
      <c r="A644" s="18" t="s">
        <v>404</v>
      </c>
      <c r="C644" s="18">
        <v>4</v>
      </c>
    </row>
    <row r="645" customHeight="1" spans="1:3">
      <c r="A645" s="18" t="s">
        <v>404</v>
      </c>
      <c r="C645" s="18">
        <v>5</v>
      </c>
    </row>
    <row r="646" customHeight="1" spans="1:3">
      <c r="A646" s="5" t="s">
        <v>405</v>
      </c>
      <c r="C646" s="5">
        <v>1</v>
      </c>
    </row>
    <row r="647" customHeight="1" spans="1:3">
      <c r="A647" s="5" t="s">
        <v>405</v>
      </c>
      <c r="C647" s="5">
        <v>2</v>
      </c>
    </row>
    <row r="648" customHeight="1" spans="1:3">
      <c r="A648" s="5" t="s">
        <v>405</v>
      </c>
      <c r="C648" s="5">
        <v>3</v>
      </c>
    </row>
    <row r="649" customHeight="1" spans="1:3">
      <c r="A649" s="5" t="s">
        <v>405</v>
      </c>
      <c r="C649" s="5">
        <v>4</v>
      </c>
    </row>
    <row r="650" customHeight="1" spans="1:3">
      <c r="A650" s="5" t="s">
        <v>405</v>
      </c>
      <c r="C650" s="5">
        <v>5</v>
      </c>
    </row>
    <row r="651" customHeight="1" spans="1:3">
      <c r="A651" s="5" t="s">
        <v>405</v>
      </c>
      <c r="C651" s="5">
        <v>6</v>
      </c>
    </row>
    <row r="652" customHeight="1" spans="1:3">
      <c r="A652" s="5" t="s">
        <v>405</v>
      </c>
      <c r="C652" s="5">
        <v>7</v>
      </c>
    </row>
    <row r="653" customHeight="1" spans="1:3">
      <c r="A653" s="5" t="s">
        <v>405</v>
      </c>
      <c r="C653" s="5">
        <v>8</v>
      </c>
    </row>
    <row r="654" customHeight="1" spans="1:3">
      <c r="A654" s="18" t="s">
        <v>407</v>
      </c>
      <c r="C654" s="18">
        <v>1</v>
      </c>
    </row>
    <row r="655" customHeight="1" spans="1:3">
      <c r="A655" s="18" t="s">
        <v>407</v>
      </c>
      <c r="C655" s="18">
        <v>2</v>
      </c>
    </row>
    <row r="656" customHeight="1" spans="1:3">
      <c r="A656" s="18" t="s">
        <v>407</v>
      </c>
      <c r="C656" s="18">
        <v>3</v>
      </c>
    </row>
    <row r="657" customHeight="1" spans="1:3">
      <c r="A657" s="18" t="s">
        <v>407</v>
      </c>
      <c r="C657" s="18">
        <v>4</v>
      </c>
    </row>
    <row r="658" customHeight="1" spans="1:3">
      <c r="A658" s="18" t="s">
        <v>407</v>
      </c>
      <c r="C658" s="18">
        <v>5</v>
      </c>
    </row>
    <row r="659" customHeight="1" spans="1:3">
      <c r="A659" s="5" t="s">
        <v>408</v>
      </c>
      <c r="C659" s="5">
        <v>1</v>
      </c>
    </row>
    <row r="660" customHeight="1" spans="1:3">
      <c r="A660" s="5" t="s">
        <v>408</v>
      </c>
      <c r="C660" s="5">
        <v>2</v>
      </c>
    </row>
    <row r="661" customHeight="1" spans="1:3">
      <c r="A661" s="5" t="s">
        <v>408</v>
      </c>
      <c r="C661" s="5">
        <v>3</v>
      </c>
    </row>
    <row r="662" customHeight="1" spans="1:3">
      <c r="A662" s="5" t="s">
        <v>408</v>
      </c>
      <c r="C662" s="5">
        <v>4</v>
      </c>
    </row>
    <row r="663" customHeight="1" spans="1:3">
      <c r="A663" s="5" t="s">
        <v>408</v>
      </c>
      <c r="C663" s="5">
        <v>5</v>
      </c>
    </row>
    <row r="664" customHeight="1" spans="1:3">
      <c r="A664" s="18" t="s">
        <v>409</v>
      </c>
      <c r="C664" s="18">
        <v>1</v>
      </c>
    </row>
    <row r="665" customHeight="1" spans="1:3">
      <c r="A665" s="18" t="s">
        <v>409</v>
      </c>
      <c r="C665" s="18">
        <v>2</v>
      </c>
    </row>
    <row r="666" customHeight="1" spans="1:3">
      <c r="A666" s="18" t="s">
        <v>409</v>
      </c>
      <c r="C666" s="18">
        <v>3</v>
      </c>
    </row>
    <row r="667" customHeight="1" spans="1:3">
      <c r="A667" s="18" t="s">
        <v>409</v>
      </c>
      <c r="C667" s="18">
        <v>4</v>
      </c>
    </row>
    <row r="668" customHeight="1" spans="1:3">
      <c r="A668" s="18" t="s">
        <v>409</v>
      </c>
      <c r="C668" s="18">
        <v>5</v>
      </c>
    </row>
    <row r="669" customHeight="1" spans="1:3">
      <c r="A669" s="5" t="s">
        <v>409</v>
      </c>
      <c r="C669" s="5">
        <v>1</v>
      </c>
    </row>
    <row r="670" customHeight="1" spans="1:3">
      <c r="A670" s="5" t="s">
        <v>409</v>
      </c>
      <c r="C670" s="5">
        <v>2</v>
      </c>
    </row>
    <row r="671" customHeight="1" spans="1:3">
      <c r="A671" s="5" t="s">
        <v>409</v>
      </c>
      <c r="C671" s="5">
        <v>3</v>
      </c>
    </row>
    <row r="672" customHeight="1" spans="1:3">
      <c r="A672" s="5" t="s">
        <v>409</v>
      </c>
      <c r="C672" s="5">
        <v>4</v>
      </c>
    </row>
    <row r="673" customHeight="1" spans="1:3">
      <c r="A673" s="5" t="s">
        <v>409</v>
      </c>
      <c r="C673" s="5">
        <v>5</v>
      </c>
    </row>
    <row r="674" customHeight="1" spans="1:3">
      <c r="A674" s="18" t="s">
        <v>410</v>
      </c>
      <c r="C674" s="18">
        <v>1</v>
      </c>
    </row>
    <row r="675" customHeight="1" spans="1:3">
      <c r="A675" s="18" t="s">
        <v>410</v>
      </c>
      <c r="C675" s="18">
        <v>2</v>
      </c>
    </row>
    <row r="676" customHeight="1" spans="1:3">
      <c r="A676" s="18" t="s">
        <v>410</v>
      </c>
      <c r="C676" s="18">
        <v>3</v>
      </c>
    </row>
    <row r="677" customHeight="1" spans="1:3">
      <c r="A677" s="18" t="s">
        <v>410</v>
      </c>
      <c r="C677" s="18">
        <v>4</v>
      </c>
    </row>
    <row r="678" customHeight="1" spans="1:3">
      <c r="A678" s="18" t="s">
        <v>410</v>
      </c>
      <c r="C678" s="18">
        <v>5</v>
      </c>
    </row>
    <row r="679" customHeight="1" spans="1:3">
      <c r="A679" s="18" t="s">
        <v>410</v>
      </c>
      <c r="C679" s="18">
        <v>6</v>
      </c>
    </row>
    <row r="680" customHeight="1" spans="1:3">
      <c r="A680" s="18" t="s">
        <v>410</v>
      </c>
      <c r="C680" s="18">
        <v>7</v>
      </c>
    </row>
    <row r="681" customHeight="1" spans="1:3">
      <c r="A681" s="18" t="s">
        <v>410</v>
      </c>
      <c r="C681" s="18">
        <v>8</v>
      </c>
    </row>
    <row r="682" customHeight="1" spans="1:3">
      <c r="A682" s="5" t="s">
        <v>412</v>
      </c>
      <c r="C682" s="5">
        <v>1</v>
      </c>
    </row>
    <row r="683" customHeight="1" spans="1:3">
      <c r="A683" s="5" t="s">
        <v>412</v>
      </c>
      <c r="C683" s="5">
        <v>2</v>
      </c>
    </row>
    <row r="684" customHeight="1" spans="1:3">
      <c r="A684" s="5" t="s">
        <v>412</v>
      </c>
      <c r="C684" s="5">
        <v>3</v>
      </c>
    </row>
    <row r="685" customHeight="1" spans="1:3">
      <c r="A685" s="5" t="s">
        <v>412</v>
      </c>
      <c r="C685" s="5">
        <v>4</v>
      </c>
    </row>
    <row r="686" customHeight="1" spans="1:3">
      <c r="A686" s="5" t="s">
        <v>412</v>
      </c>
      <c r="C686" s="5">
        <v>5</v>
      </c>
    </row>
    <row r="687" customHeight="1" spans="1:3">
      <c r="A687" s="18" t="s">
        <v>413</v>
      </c>
      <c r="C687" s="18">
        <v>1</v>
      </c>
    </row>
    <row r="688" customHeight="1" spans="1:3">
      <c r="A688" s="18" t="s">
        <v>413</v>
      </c>
      <c r="C688" s="18">
        <v>2</v>
      </c>
    </row>
    <row r="689" customHeight="1" spans="1:3">
      <c r="A689" s="18" t="s">
        <v>413</v>
      </c>
      <c r="C689" s="18">
        <v>3</v>
      </c>
    </row>
    <row r="690" customHeight="1" spans="1:3">
      <c r="A690" s="18" t="s">
        <v>413</v>
      </c>
      <c r="C690" s="18">
        <v>4</v>
      </c>
    </row>
    <row r="691" customHeight="1" spans="1:3">
      <c r="A691" s="18" t="s">
        <v>413</v>
      </c>
      <c r="C691" s="18">
        <v>5</v>
      </c>
    </row>
    <row r="692" customHeight="1" spans="1:3">
      <c r="A692" s="5" t="s">
        <v>414</v>
      </c>
      <c r="C692" s="5">
        <v>1</v>
      </c>
    </row>
    <row r="693" customHeight="1" spans="1:3">
      <c r="A693" s="5" t="s">
        <v>414</v>
      </c>
      <c r="C693" s="5">
        <v>2</v>
      </c>
    </row>
    <row r="694" customHeight="1" spans="1:3">
      <c r="A694" s="5" t="s">
        <v>414</v>
      </c>
      <c r="C694" s="5">
        <v>3</v>
      </c>
    </row>
    <row r="695" customHeight="1" spans="1:3">
      <c r="A695" s="5" t="s">
        <v>414</v>
      </c>
      <c r="C695" s="5">
        <v>4</v>
      </c>
    </row>
    <row r="696" customHeight="1" spans="1:3">
      <c r="A696" s="5" t="s">
        <v>414</v>
      </c>
      <c r="C696" s="5">
        <v>5</v>
      </c>
    </row>
    <row r="697" customHeight="1" spans="1:3">
      <c r="A697" s="18" t="s">
        <v>414</v>
      </c>
      <c r="C697" s="18">
        <v>1</v>
      </c>
    </row>
    <row r="698" customHeight="1" spans="1:3">
      <c r="A698" s="18" t="s">
        <v>414</v>
      </c>
      <c r="C698" s="18">
        <v>2</v>
      </c>
    </row>
    <row r="699" customHeight="1" spans="1:3">
      <c r="A699" s="18" t="s">
        <v>414</v>
      </c>
      <c r="C699" s="18">
        <v>3</v>
      </c>
    </row>
    <row r="700" customHeight="1" spans="1:3">
      <c r="A700" s="18" t="s">
        <v>414</v>
      </c>
      <c r="C700" s="18">
        <v>4</v>
      </c>
    </row>
    <row r="701" customHeight="1" spans="1:3">
      <c r="A701" s="18" t="s">
        <v>414</v>
      </c>
      <c r="C701" s="18">
        <v>5</v>
      </c>
    </row>
    <row r="702" customHeight="1" spans="1:3">
      <c r="A702" s="5" t="s">
        <v>415</v>
      </c>
      <c r="C702" s="5">
        <v>1</v>
      </c>
    </row>
    <row r="703" customHeight="1" spans="1:3">
      <c r="A703" s="5" t="s">
        <v>415</v>
      </c>
      <c r="C703" s="5">
        <v>2</v>
      </c>
    </row>
    <row r="704" customHeight="1" spans="1:3">
      <c r="A704" s="5" t="s">
        <v>415</v>
      </c>
      <c r="C704" s="5">
        <v>3</v>
      </c>
    </row>
    <row r="705" customHeight="1" spans="1:3">
      <c r="A705" s="5" t="s">
        <v>415</v>
      </c>
      <c r="C705" s="5">
        <v>4</v>
      </c>
    </row>
    <row r="706" customHeight="1" spans="1:3">
      <c r="A706" s="5" t="s">
        <v>415</v>
      </c>
      <c r="C706" s="5">
        <v>5</v>
      </c>
    </row>
    <row r="707" customHeight="1" spans="1:3">
      <c r="A707" s="5" t="s">
        <v>415</v>
      </c>
      <c r="C707" s="5">
        <v>6</v>
      </c>
    </row>
    <row r="708" customHeight="1" spans="1:3">
      <c r="A708" s="5" t="s">
        <v>415</v>
      </c>
      <c r="C708" s="5">
        <v>7</v>
      </c>
    </row>
    <row r="709" customHeight="1" spans="1:3">
      <c r="A709" s="5" t="s">
        <v>415</v>
      </c>
      <c r="C709" s="5">
        <v>8</v>
      </c>
    </row>
    <row r="710" customHeight="1" spans="1:3">
      <c r="A710" s="18" t="s">
        <v>417</v>
      </c>
      <c r="C710" s="18">
        <v>1</v>
      </c>
    </row>
    <row r="711" customHeight="1" spans="1:3">
      <c r="A711" s="18" t="s">
        <v>417</v>
      </c>
      <c r="C711" s="18">
        <v>2</v>
      </c>
    </row>
    <row r="712" customHeight="1" spans="1:3">
      <c r="A712" s="18" t="s">
        <v>417</v>
      </c>
      <c r="C712" s="18">
        <v>3</v>
      </c>
    </row>
    <row r="713" customHeight="1" spans="1:3">
      <c r="A713" s="18" t="s">
        <v>417</v>
      </c>
      <c r="C713" s="18">
        <v>4</v>
      </c>
    </row>
    <row r="714" customHeight="1" spans="1:3">
      <c r="A714" s="18" t="s">
        <v>417</v>
      </c>
      <c r="C714" s="18">
        <v>5</v>
      </c>
    </row>
    <row r="715" customHeight="1" spans="1:3">
      <c r="A715" s="5" t="s">
        <v>418</v>
      </c>
      <c r="C715" s="5">
        <v>1</v>
      </c>
    </row>
    <row r="716" customHeight="1" spans="1:3">
      <c r="A716" s="5" t="s">
        <v>418</v>
      </c>
      <c r="C716" s="5">
        <v>2</v>
      </c>
    </row>
    <row r="717" customHeight="1" spans="1:3">
      <c r="A717" s="5" t="s">
        <v>418</v>
      </c>
      <c r="C717" s="5">
        <v>3</v>
      </c>
    </row>
    <row r="718" customHeight="1" spans="1:3">
      <c r="A718" s="5" t="s">
        <v>418</v>
      </c>
      <c r="C718" s="5">
        <v>4</v>
      </c>
    </row>
    <row r="719" customHeight="1" spans="1:3">
      <c r="A719" s="5" t="s">
        <v>418</v>
      </c>
      <c r="C719" s="5">
        <v>5</v>
      </c>
    </row>
    <row r="720" customHeight="1" spans="1:3">
      <c r="A720" s="18" t="s">
        <v>419</v>
      </c>
      <c r="C720" s="18">
        <v>1</v>
      </c>
    </row>
    <row r="721" customHeight="1" spans="1:3">
      <c r="A721" s="18" t="s">
        <v>419</v>
      </c>
      <c r="C721" s="18">
        <v>2</v>
      </c>
    </row>
    <row r="722" customHeight="1" spans="1:3">
      <c r="A722" s="18" t="s">
        <v>419</v>
      </c>
      <c r="C722" s="18">
        <v>3</v>
      </c>
    </row>
    <row r="723" customHeight="1" spans="1:3">
      <c r="A723" s="18" t="s">
        <v>419</v>
      </c>
      <c r="C723" s="18">
        <v>4</v>
      </c>
    </row>
    <row r="724" customHeight="1" spans="1:3">
      <c r="A724" s="18" t="s">
        <v>419</v>
      </c>
      <c r="C724" s="18">
        <v>5</v>
      </c>
    </row>
    <row r="725" customHeight="1" spans="1:3">
      <c r="A725" s="5" t="s">
        <v>419</v>
      </c>
      <c r="C725" s="5">
        <v>1</v>
      </c>
    </row>
    <row r="726" customHeight="1" spans="1:3">
      <c r="A726" s="5" t="s">
        <v>419</v>
      </c>
      <c r="C726" s="5">
        <v>2</v>
      </c>
    </row>
    <row r="727" customHeight="1" spans="1:3">
      <c r="A727" s="5" t="s">
        <v>419</v>
      </c>
      <c r="C727" s="5">
        <v>3</v>
      </c>
    </row>
    <row r="728" customHeight="1" spans="1:3">
      <c r="A728" s="5" t="s">
        <v>419</v>
      </c>
      <c r="C728" s="5">
        <v>4</v>
      </c>
    </row>
    <row r="729" customHeight="1" spans="1:3">
      <c r="A729" s="5" t="s">
        <v>419</v>
      </c>
      <c r="C729" s="5">
        <v>5</v>
      </c>
    </row>
    <row r="730" customHeight="1" spans="1:3">
      <c r="A730" s="18" t="s">
        <v>420</v>
      </c>
      <c r="C730" s="18">
        <v>1</v>
      </c>
    </row>
    <row r="731" customHeight="1" spans="1:3">
      <c r="A731" s="18" t="s">
        <v>420</v>
      </c>
      <c r="C731" s="18">
        <v>2</v>
      </c>
    </row>
    <row r="732" customHeight="1" spans="1:3">
      <c r="A732" s="18" t="s">
        <v>420</v>
      </c>
      <c r="C732" s="18">
        <v>3</v>
      </c>
    </row>
    <row r="733" customHeight="1" spans="1:3">
      <c r="A733" s="18" t="s">
        <v>420</v>
      </c>
      <c r="C733" s="18">
        <v>4</v>
      </c>
    </row>
    <row r="734" customHeight="1" spans="1:3">
      <c r="A734" s="18" t="s">
        <v>420</v>
      </c>
      <c r="C734" s="18">
        <v>5</v>
      </c>
    </row>
    <row r="735" customHeight="1" spans="1:3">
      <c r="A735" s="18" t="s">
        <v>420</v>
      </c>
      <c r="C735" s="18">
        <v>6</v>
      </c>
    </row>
    <row r="736" customHeight="1" spans="1:3">
      <c r="A736" s="18" t="s">
        <v>420</v>
      </c>
      <c r="C736" s="18">
        <v>7</v>
      </c>
    </row>
    <row r="737" customHeight="1" spans="1:3">
      <c r="A737" s="18" t="s">
        <v>420</v>
      </c>
      <c r="C737" s="18">
        <v>8</v>
      </c>
    </row>
    <row r="738" customHeight="1" spans="1:3">
      <c r="A738" s="5" t="s">
        <v>422</v>
      </c>
      <c r="C738" s="5">
        <v>1</v>
      </c>
    </row>
    <row r="739" customHeight="1" spans="1:3">
      <c r="A739" s="5" t="s">
        <v>422</v>
      </c>
      <c r="C739" s="5">
        <v>2</v>
      </c>
    </row>
    <row r="740" customHeight="1" spans="1:3">
      <c r="A740" s="5" t="s">
        <v>422</v>
      </c>
      <c r="C740" s="5">
        <v>3</v>
      </c>
    </row>
    <row r="741" customHeight="1" spans="1:3">
      <c r="A741" s="5" t="s">
        <v>422</v>
      </c>
      <c r="C741" s="5">
        <v>4</v>
      </c>
    </row>
    <row r="742" customHeight="1" spans="1:3">
      <c r="A742" s="5" t="s">
        <v>422</v>
      </c>
      <c r="C742" s="5">
        <v>5</v>
      </c>
    </row>
    <row r="743" customHeight="1" spans="1:3">
      <c r="A743" s="18" t="s">
        <v>423</v>
      </c>
      <c r="C743" s="18">
        <v>1</v>
      </c>
    </row>
    <row r="744" customHeight="1" spans="1:3">
      <c r="A744" s="18" t="s">
        <v>423</v>
      </c>
      <c r="C744" s="18">
        <v>2</v>
      </c>
    </row>
    <row r="745" customHeight="1" spans="1:3">
      <c r="A745" s="18" t="s">
        <v>423</v>
      </c>
      <c r="C745" s="18">
        <v>3</v>
      </c>
    </row>
    <row r="746" customHeight="1" spans="1:3">
      <c r="A746" s="18" t="s">
        <v>423</v>
      </c>
      <c r="C746" s="18">
        <v>4</v>
      </c>
    </row>
    <row r="747" customHeight="1" spans="1:3">
      <c r="A747" s="18" t="s">
        <v>423</v>
      </c>
      <c r="C747" s="18">
        <v>5</v>
      </c>
    </row>
    <row r="748" customHeight="1" spans="1:3">
      <c r="A748" s="5" t="s">
        <v>424</v>
      </c>
      <c r="C748" s="5">
        <v>1</v>
      </c>
    </row>
    <row r="749" customHeight="1" spans="1:3">
      <c r="A749" s="5" t="s">
        <v>424</v>
      </c>
      <c r="C749" s="5">
        <v>2</v>
      </c>
    </row>
    <row r="750" customHeight="1" spans="1:3">
      <c r="A750" s="5" t="s">
        <v>424</v>
      </c>
      <c r="C750" s="5">
        <v>3</v>
      </c>
    </row>
    <row r="751" customHeight="1" spans="1:3">
      <c r="A751" s="5" t="s">
        <v>424</v>
      </c>
      <c r="C751" s="5">
        <v>4</v>
      </c>
    </row>
    <row r="752" customHeight="1" spans="1:3">
      <c r="A752" s="5" t="s">
        <v>424</v>
      </c>
      <c r="C752" s="5">
        <v>5</v>
      </c>
    </row>
    <row r="753" customHeight="1" spans="1:3">
      <c r="A753" s="18" t="s">
        <v>424</v>
      </c>
      <c r="C753" s="18">
        <v>1</v>
      </c>
    </row>
    <row r="754" customHeight="1" spans="1:3">
      <c r="A754" s="18" t="s">
        <v>424</v>
      </c>
      <c r="C754" s="18">
        <v>2</v>
      </c>
    </row>
    <row r="755" customHeight="1" spans="1:3">
      <c r="A755" s="18" t="s">
        <v>424</v>
      </c>
      <c r="C755" s="18">
        <v>3</v>
      </c>
    </row>
    <row r="756" customHeight="1" spans="1:3">
      <c r="A756" s="18" t="s">
        <v>424</v>
      </c>
      <c r="C756" s="18">
        <v>4</v>
      </c>
    </row>
    <row r="757" customHeight="1" spans="1:3">
      <c r="A757" s="18" t="s">
        <v>424</v>
      </c>
      <c r="C757" s="18">
        <v>5</v>
      </c>
    </row>
    <row r="758" customHeight="1" spans="1:3">
      <c r="A758" s="5" t="s">
        <v>425</v>
      </c>
      <c r="C758" s="5">
        <v>1</v>
      </c>
    </row>
    <row r="759" customHeight="1" spans="1:3">
      <c r="A759" s="5" t="s">
        <v>425</v>
      </c>
      <c r="C759" s="5">
        <v>2</v>
      </c>
    </row>
    <row r="760" customHeight="1" spans="1:3">
      <c r="A760" s="5" t="s">
        <v>425</v>
      </c>
      <c r="C760" s="5">
        <v>3</v>
      </c>
    </row>
    <row r="761" customHeight="1" spans="1:3">
      <c r="A761" s="5" t="s">
        <v>425</v>
      </c>
      <c r="C761" s="5">
        <v>4</v>
      </c>
    </row>
    <row r="762" customHeight="1" spans="1:3">
      <c r="A762" s="5" t="s">
        <v>425</v>
      </c>
      <c r="C762" s="5">
        <v>5</v>
      </c>
    </row>
    <row r="763" customHeight="1" spans="1:3">
      <c r="A763" s="5" t="s">
        <v>425</v>
      </c>
      <c r="C763" s="5">
        <v>6</v>
      </c>
    </row>
    <row r="764" customHeight="1" spans="1:3">
      <c r="A764" s="5" t="s">
        <v>425</v>
      </c>
      <c r="C764" s="5">
        <v>7</v>
      </c>
    </row>
    <row r="765" customHeight="1" spans="1:3">
      <c r="A765" s="5" t="s">
        <v>425</v>
      </c>
      <c r="C765" s="5">
        <v>8</v>
      </c>
    </row>
    <row r="766" customHeight="1" spans="1:3">
      <c r="A766" s="18" t="s">
        <v>427</v>
      </c>
      <c r="C766" s="18">
        <v>1</v>
      </c>
    </row>
    <row r="767" customHeight="1" spans="1:3">
      <c r="A767" s="18" t="s">
        <v>427</v>
      </c>
      <c r="C767" s="18">
        <v>2</v>
      </c>
    </row>
    <row r="768" customHeight="1" spans="1:3">
      <c r="A768" s="18" t="s">
        <v>427</v>
      </c>
      <c r="C768" s="18">
        <v>3</v>
      </c>
    </row>
    <row r="769" customHeight="1" spans="1:3">
      <c r="A769" s="18" t="s">
        <v>427</v>
      </c>
      <c r="C769" s="18">
        <v>4</v>
      </c>
    </row>
    <row r="770" customHeight="1" spans="1:3">
      <c r="A770" s="18" t="s">
        <v>427</v>
      </c>
      <c r="C770" s="18">
        <v>5</v>
      </c>
    </row>
    <row r="771" customHeight="1" spans="1:3">
      <c r="A771" s="5" t="s">
        <v>428</v>
      </c>
      <c r="C771" s="5">
        <v>1</v>
      </c>
    </row>
    <row r="772" customHeight="1" spans="1:3">
      <c r="A772" s="5" t="s">
        <v>428</v>
      </c>
      <c r="C772" s="5">
        <v>2</v>
      </c>
    </row>
    <row r="773" customHeight="1" spans="1:3">
      <c r="A773" s="5" t="s">
        <v>428</v>
      </c>
      <c r="C773" s="5">
        <v>3</v>
      </c>
    </row>
    <row r="774" customHeight="1" spans="1:3">
      <c r="A774" s="5" t="s">
        <v>428</v>
      </c>
      <c r="C774" s="5">
        <v>4</v>
      </c>
    </row>
    <row r="775" customHeight="1" spans="1:3">
      <c r="A775" s="5" t="s">
        <v>428</v>
      </c>
      <c r="C775" s="5">
        <v>5</v>
      </c>
    </row>
    <row r="776" customHeight="1" spans="1:3">
      <c r="A776" s="18" t="s">
        <v>429</v>
      </c>
      <c r="C776" s="18">
        <v>1</v>
      </c>
    </row>
    <row r="777" customHeight="1" spans="1:3">
      <c r="A777" s="18" t="s">
        <v>429</v>
      </c>
      <c r="C777" s="18">
        <v>2</v>
      </c>
    </row>
    <row r="778" customHeight="1" spans="1:3">
      <c r="A778" s="18" t="s">
        <v>429</v>
      </c>
      <c r="C778" s="18">
        <v>3</v>
      </c>
    </row>
    <row r="779" customHeight="1" spans="1:3">
      <c r="A779" s="18" t="s">
        <v>429</v>
      </c>
      <c r="C779" s="18">
        <v>4</v>
      </c>
    </row>
    <row r="780" customHeight="1" spans="1:3">
      <c r="A780" s="18" t="s">
        <v>429</v>
      </c>
      <c r="C780" s="18">
        <v>5</v>
      </c>
    </row>
    <row r="781" customHeight="1" spans="1:3">
      <c r="A781" s="5" t="s">
        <v>429</v>
      </c>
      <c r="C781" s="5">
        <v>1</v>
      </c>
    </row>
    <row r="782" customHeight="1" spans="1:3">
      <c r="A782" s="5" t="s">
        <v>429</v>
      </c>
      <c r="C782" s="5">
        <v>2</v>
      </c>
    </row>
    <row r="783" customHeight="1" spans="1:3">
      <c r="A783" s="5" t="s">
        <v>429</v>
      </c>
      <c r="C783" s="5">
        <v>3</v>
      </c>
    </row>
    <row r="784" customHeight="1" spans="1:3">
      <c r="A784" s="5" t="s">
        <v>429</v>
      </c>
      <c r="C784" s="5">
        <v>4</v>
      </c>
    </row>
    <row r="785" customHeight="1" spans="1:3">
      <c r="A785" s="5" t="s">
        <v>429</v>
      </c>
      <c r="C785" s="5">
        <v>5</v>
      </c>
    </row>
    <row r="786" customHeight="1" spans="1:3">
      <c r="A786" s="18" t="s">
        <v>430</v>
      </c>
      <c r="C786" s="18">
        <v>1</v>
      </c>
    </row>
    <row r="787" customHeight="1" spans="1:3">
      <c r="A787" s="18" t="s">
        <v>430</v>
      </c>
      <c r="C787" s="18">
        <v>2</v>
      </c>
    </row>
    <row r="788" customHeight="1" spans="1:3">
      <c r="A788" s="18" t="s">
        <v>430</v>
      </c>
      <c r="C788" s="18">
        <v>3</v>
      </c>
    </row>
    <row r="789" customHeight="1" spans="1:3">
      <c r="A789" s="18" t="s">
        <v>430</v>
      </c>
      <c r="C789" s="18">
        <v>4</v>
      </c>
    </row>
    <row r="790" customHeight="1" spans="1:3">
      <c r="A790" s="18" t="s">
        <v>430</v>
      </c>
      <c r="C790" s="18">
        <v>5</v>
      </c>
    </row>
    <row r="791" customHeight="1" spans="1:3">
      <c r="A791" s="18" t="s">
        <v>430</v>
      </c>
      <c r="C791" s="18">
        <v>6</v>
      </c>
    </row>
    <row r="792" customHeight="1" spans="1:3">
      <c r="A792" s="18" t="s">
        <v>430</v>
      </c>
      <c r="C792" s="18">
        <v>7</v>
      </c>
    </row>
    <row r="793" customHeight="1" spans="1:3">
      <c r="A793" s="18" t="s">
        <v>430</v>
      </c>
      <c r="C793" s="18">
        <v>8</v>
      </c>
    </row>
    <row r="794" customHeight="1" spans="1:3">
      <c r="A794" s="5" t="s">
        <v>432</v>
      </c>
      <c r="C794" s="5">
        <v>1</v>
      </c>
    </row>
    <row r="795" customHeight="1" spans="1:3">
      <c r="A795" s="5" t="s">
        <v>432</v>
      </c>
      <c r="C795" s="5">
        <v>2</v>
      </c>
    </row>
    <row r="796" customHeight="1" spans="1:3">
      <c r="A796" s="5" t="s">
        <v>432</v>
      </c>
      <c r="C796" s="5">
        <v>3</v>
      </c>
    </row>
    <row r="797" customHeight="1" spans="1:3">
      <c r="A797" s="5" t="s">
        <v>432</v>
      </c>
      <c r="C797" s="5">
        <v>4</v>
      </c>
    </row>
    <row r="798" customHeight="1" spans="1:3">
      <c r="A798" s="5" t="s">
        <v>432</v>
      </c>
      <c r="C798" s="5">
        <v>5</v>
      </c>
    </row>
    <row r="799" customHeight="1" spans="1:3">
      <c r="A799" s="18" t="s">
        <v>433</v>
      </c>
      <c r="C799" s="18">
        <v>1</v>
      </c>
    </row>
    <row r="800" customHeight="1" spans="1:3">
      <c r="A800" s="18" t="s">
        <v>433</v>
      </c>
      <c r="C800" s="18">
        <v>2</v>
      </c>
    </row>
    <row r="801" customHeight="1" spans="1:3">
      <c r="A801" s="18" t="s">
        <v>433</v>
      </c>
      <c r="C801" s="18">
        <v>3</v>
      </c>
    </row>
    <row r="802" customHeight="1" spans="1:3">
      <c r="A802" s="18" t="s">
        <v>433</v>
      </c>
      <c r="C802" s="18">
        <v>4</v>
      </c>
    </row>
    <row r="803" customHeight="1" spans="1:3">
      <c r="A803" s="18" t="s">
        <v>433</v>
      </c>
      <c r="C803" s="18">
        <v>5</v>
      </c>
    </row>
    <row r="804" customHeight="1" spans="1:3">
      <c r="A804" s="5" t="s">
        <v>433</v>
      </c>
      <c r="C804" s="5">
        <v>1</v>
      </c>
    </row>
    <row r="805" customHeight="1" spans="1:3">
      <c r="A805" s="5" t="s">
        <v>433</v>
      </c>
      <c r="C805" s="5">
        <v>2</v>
      </c>
    </row>
    <row r="806" customHeight="1" spans="1:3">
      <c r="A806" s="5" t="s">
        <v>433</v>
      </c>
      <c r="C806" s="5">
        <v>3</v>
      </c>
    </row>
    <row r="807" customHeight="1" spans="1:3">
      <c r="A807" s="5" t="s">
        <v>433</v>
      </c>
      <c r="C807" s="5">
        <v>4</v>
      </c>
    </row>
    <row r="808" customHeight="1" spans="1:3">
      <c r="A808" s="5" t="s">
        <v>433</v>
      </c>
      <c r="C808" s="5">
        <v>5</v>
      </c>
    </row>
    <row r="809" customHeight="1" spans="1:3">
      <c r="A809" s="18" t="s">
        <v>434</v>
      </c>
      <c r="C809" s="18">
        <v>1</v>
      </c>
    </row>
    <row r="810" customHeight="1" spans="1:3">
      <c r="A810" s="18" t="s">
        <v>434</v>
      </c>
      <c r="C810" s="18">
        <v>2</v>
      </c>
    </row>
    <row r="811" customHeight="1" spans="1:3">
      <c r="A811" s="18" t="s">
        <v>434</v>
      </c>
      <c r="C811" s="18">
        <v>3</v>
      </c>
    </row>
    <row r="812" customHeight="1" spans="1:3">
      <c r="A812" s="18" t="s">
        <v>434</v>
      </c>
      <c r="C812" s="18">
        <v>4</v>
      </c>
    </row>
    <row r="813" customHeight="1" spans="1:3">
      <c r="A813" s="18" t="s">
        <v>434</v>
      </c>
      <c r="C813" s="18">
        <v>5</v>
      </c>
    </row>
    <row r="814" customHeight="1" spans="1:3">
      <c r="A814" s="18" t="s">
        <v>434</v>
      </c>
      <c r="C814" s="18">
        <v>6</v>
      </c>
    </row>
    <row r="815" customHeight="1" spans="1:3">
      <c r="A815" s="18" t="s">
        <v>434</v>
      </c>
      <c r="C815" s="18">
        <v>7</v>
      </c>
    </row>
    <row r="816" customHeight="1" spans="1:3">
      <c r="A816" s="18" t="s">
        <v>434</v>
      </c>
      <c r="C816" s="18">
        <v>8</v>
      </c>
    </row>
    <row r="817" customHeight="1" spans="1:3">
      <c r="A817" s="5" t="s">
        <v>436</v>
      </c>
      <c r="C817" s="5">
        <v>1</v>
      </c>
    </row>
    <row r="818" customHeight="1" spans="1:3">
      <c r="A818" s="5" t="s">
        <v>436</v>
      </c>
      <c r="C818" s="5">
        <v>2</v>
      </c>
    </row>
    <row r="819" customHeight="1" spans="1:3">
      <c r="A819" s="5" t="s">
        <v>436</v>
      </c>
      <c r="C819" s="5">
        <v>3</v>
      </c>
    </row>
    <row r="820" customHeight="1" spans="1:3">
      <c r="A820" s="5" t="s">
        <v>436</v>
      </c>
      <c r="C820" s="5">
        <v>4</v>
      </c>
    </row>
    <row r="821" customHeight="1" spans="1:3">
      <c r="A821" s="5" t="s">
        <v>436</v>
      </c>
      <c r="C821" s="5">
        <v>5</v>
      </c>
    </row>
    <row r="822" customHeight="1" spans="1:3">
      <c r="A822" s="18" t="s">
        <v>437</v>
      </c>
      <c r="C822" s="18">
        <v>1</v>
      </c>
    </row>
    <row r="823" customHeight="1" spans="1:3">
      <c r="A823" s="18" t="s">
        <v>437</v>
      </c>
      <c r="C823" s="18">
        <v>2</v>
      </c>
    </row>
    <row r="824" customHeight="1" spans="1:3">
      <c r="A824" s="18" t="s">
        <v>437</v>
      </c>
      <c r="C824" s="18">
        <v>3</v>
      </c>
    </row>
    <row r="825" customHeight="1" spans="1:3">
      <c r="A825" s="18" t="s">
        <v>437</v>
      </c>
      <c r="C825" s="18">
        <v>4</v>
      </c>
    </row>
    <row r="826" customHeight="1" spans="1:3">
      <c r="A826" s="18" t="s">
        <v>437</v>
      </c>
      <c r="C826" s="18">
        <v>5</v>
      </c>
    </row>
    <row r="827" customHeight="1" spans="1:3">
      <c r="A827" s="5" t="s">
        <v>437</v>
      </c>
      <c r="C827" s="5">
        <v>1</v>
      </c>
    </row>
    <row r="828" customHeight="1" spans="1:3">
      <c r="A828" s="5" t="s">
        <v>437</v>
      </c>
      <c r="C828" s="5">
        <v>2</v>
      </c>
    </row>
    <row r="829" customHeight="1" spans="1:3">
      <c r="A829" s="5" t="s">
        <v>437</v>
      </c>
      <c r="C829" s="5">
        <v>3</v>
      </c>
    </row>
    <row r="830" customHeight="1" spans="1:3">
      <c r="A830" s="5" t="s">
        <v>437</v>
      </c>
      <c r="C830" s="5">
        <v>4</v>
      </c>
    </row>
    <row r="831" customHeight="1" spans="1:3">
      <c r="A831" s="5" t="s">
        <v>437</v>
      </c>
      <c r="C831" s="5">
        <v>5</v>
      </c>
    </row>
    <row r="832" customHeight="1" spans="1:3">
      <c r="A832" s="18" t="s">
        <v>438</v>
      </c>
      <c r="C832" s="18">
        <v>1</v>
      </c>
    </row>
    <row r="833" customHeight="1" spans="1:3">
      <c r="A833" s="18" t="s">
        <v>438</v>
      </c>
      <c r="C833" s="18">
        <v>2</v>
      </c>
    </row>
    <row r="834" customHeight="1" spans="1:3">
      <c r="A834" s="18" t="s">
        <v>438</v>
      </c>
      <c r="C834" s="18">
        <v>3</v>
      </c>
    </row>
    <row r="835" customHeight="1" spans="1:3">
      <c r="A835" s="18" t="s">
        <v>438</v>
      </c>
      <c r="C835" s="18">
        <v>4</v>
      </c>
    </row>
    <row r="836" customHeight="1" spans="1:3">
      <c r="A836" s="18" t="s">
        <v>438</v>
      </c>
      <c r="C836" s="18">
        <v>5</v>
      </c>
    </row>
    <row r="837" customHeight="1" spans="1:3">
      <c r="A837" s="18" t="s">
        <v>438</v>
      </c>
      <c r="C837" s="18">
        <v>6</v>
      </c>
    </row>
    <row r="838" customHeight="1" spans="1:3">
      <c r="A838" s="18" t="s">
        <v>438</v>
      </c>
      <c r="C838" s="18">
        <v>7</v>
      </c>
    </row>
    <row r="839" customHeight="1" spans="1:3">
      <c r="A839" s="18" t="s">
        <v>438</v>
      </c>
      <c r="C839" s="18">
        <v>8</v>
      </c>
    </row>
    <row r="840" customHeight="1" spans="1:3">
      <c r="A840" s="5" t="s">
        <v>440</v>
      </c>
      <c r="C840" s="5">
        <v>1</v>
      </c>
    </row>
    <row r="841" customHeight="1" spans="1:3">
      <c r="A841" s="5" t="s">
        <v>440</v>
      </c>
      <c r="C841" s="5">
        <v>2</v>
      </c>
    </row>
    <row r="842" customHeight="1" spans="1:3">
      <c r="A842" s="5" t="s">
        <v>440</v>
      </c>
      <c r="C842" s="5">
        <v>3</v>
      </c>
    </row>
    <row r="843" customHeight="1" spans="1:3">
      <c r="A843" s="5" t="s">
        <v>440</v>
      </c>
      <c r="C843" s="5">
        <v>4</v>
      </c>
    </row>
    <row r="844" customHeight="1" spans="1:3">
      <c r="A844" s="5" t="s">
        <v>440</v>
      </c>
      <c r="C844" s="5">
        <v>5</v>
      </c>
    </row>
    <row r="845" customHeight="1" spans="1:3">
      <c r="A845" s="18" t="s">
        <v>441</v>
      </c>
      <c r="C845" s="18">
        <v>1</v>
      </c>
    </row>
    <row r="846" customHeight="1" spans="1:3">
      <c r="A846" s="18" t="s">
        <v>441</v>
      </c>
      <c r="C846" s="18">
        <v>2</v>
      </c>
    </row>
    <row r="847" customHeight="1" spans="1:3">
      <c r="A847" s="18" t="s">
        <v>441</v>
      </c>
      <c r="C847" s="18">
        <v>3</v>
      </c>
    </row>
    <row r="848" customHeight="1" spans="1:3">
      <c r="A848" s="18" t="s">
        <v>441</v>
      </c>
      <c r="C848" s="18">
        <v>4</v>
      </c>
    </row>
    <row r="849" customHeight="1" spans="1:3">
      <c r="A849" s="18" t="s">
        <v>441</v>
      </c>
      <c r="C849" s="18">
        <v>5</v>
      </c>
    </row>
    <row r="850" customHeight="1" spans="1:3">
      <c r="A850" s="5" t="s">
        <v>441</v>
      </c>
      <c r="C850" s="5">
        <v>1</v>
      </c>
    </row>
    <row r="851" customHeight="1" spans="1:3">
      <c r="A851" s="5" t="s">
        <v>441</v>
      </c>
      <c r="C851" s="5">
        <v>2</v>
      </c>
    </row>
    <row r="852" customHeight="1" spans="1:3">
      <c r="A852" s="5" t="s">
        <v>441</v>
      </c>
      <c r="C852" s="5">
        <v>3</v>
      </c>
    </row>
    <row r="853" customHeight="1" spans="1:3">
      <c r="A853" s="5" t="s">
        <v>441</v>
      </c>
      <c r="C853" s="5">
        <v>4</v>
      </c>
    </row>
    <row r="854" customHeight="1" spans="1:3">
      <c r="A854" s="5" t="s">
        <v>441</v>
      </c>
      <c r="C854" s="5">
        <v>5</v>
      </c>
    </row>
    <row r="855" customHeight="1" spans="1:3">
      <c r="A855" s="18" t="s">
        <v>442</v>
      </c>
      <c r="C855" s="18">
        <v>1</v>
      </c>
    </row>
    <row r="856" customHeight="1" spans="1:3">
      <c r="A856" s="18" t="s">
        <v>442</v>
      </c>
      <c r="C856" s="18">
        <v>2</v>
      </c>
    </row>
    <row r="857" customHeight="1" spans="1:3">
      <c r="A857" s="18" t="s">
        <v>442</v>
      </c>
      <c r="C857" s="18">
        <v>3</v>
      </c>
    </row>
    <row r="858" customHeight="1" spans="1:3">
      <c r="A858" s="18" t="s">
        <v>442</v>
      </c>
      <c r="C858" s="18">
        <v>4</v>
      </c>
    </row>
    <row r="859" customHeight="1" spans="1:3">
      <c r="A859" s="18" t="s">
        <v>442</v>
      </c>
      <c r="C859" s="18">
        <v>5</v>
      </c>
    </row>
    <row r="860" customHeight="1" spans="1:3">
      <c r="A860" s="18" t="s">
        <v>442</v>
      </c>
      <c r="C860" s="18">
        <v>6</v>
      </c>
    </row>
    <row r="861" customHeight="1" spans="1:3">
      <c r="A861" s="18" t="s">
        <v>442</v>
      </c>
      <c r="C861" s="18">
        <v>7</v>
      </c>
    </row>
    <row r="862" customHeight="1" spans="1:3">
      <c r="A862" s="18" t="s">
        <v>442</v>
      </c>
      <c r="C862" s="18">
        <v>8</v>
      </c>
    </row>
    <row r="863" customHeight="1" spans="1:3">
      <c r="A863" s="5" t="s">
        <v>444</v>
      </c>
      <c r="C863" s="5">
        <v>1</v>
      </c>
    </row>
    <row r="864" customHeight="1" spans="1:3">
      <c r="A864" s="5" t="s">
        <v>444</v>
      </c>
      <c r="C864" s="5">
        <v>2</v>
      </c>
    </row>
    <row r="865" customHeight="1" spans="1:3">
      <c r="A865" s="5" t="s">
        <v>444</v>
      </c>
      <c r="C865" s="5">
        <v>3</v>
      </c>
    </row>
    <row r="866" customHeight="1" spans="1:3">
      <c r="A866" s="5" t="s">
        <v>444</v>
      </c>
      <c r="C866" s="5">
        <v>4</v>
      </c>
    </row>
    <row r="867" customHeight="1" spans="1:3">
      <c r="A867" s="5" t="s">
        <v>444</v>
      </c>
      <c r="C867" s="5">
        <v>5</v>
      </c>
    </row>
    <row r="868" customHeight="1" spans="1:3">
      <c r="A868" s="18" t="s">
        <v>445</v>
      </c>
      <c r="C868" s="18">
        <v>1</v>
      </c>
    </row>
    <row r="869" customHeight="1" spans="1:3">
      <c r="A869" s="18" t="s">
        <v>445</v>
      </c>
      <c r="C869" s="18">
        <v>2</v>
      </c>
    </row>
    <row r="870" customHeight="1" spans="1:3">
      <c r="A870" s="18" t="s">
        <v>445</v>
      </c>
      <c r="C870" s="18">
        <v>3</v>
      </c>
    </row>
    <row r="871" customHeight="1" spans="1:3">
      <c r="A871" s="18" t="s">
        <v>445</v>
      </c>
      <c r="C871" s="18">
        <v>4</v>
      </c>
    </row>
    <row r="872" customHeight="1" spans="1:3">
      <c r="A872" s="18" t="s">
        <v>445</v>
      </c>
      <c r="C872" s="18">
        <v>5</v>
      </c>
    </row>
    <row r="873" customHeight="1" spans="1:3">
      <c r="A873" s="5" t="s">
        <v>445</v>
      </c>
      <c r="C873" s="5">
        <v>1</v>
      </c>
    </row>
    <row r="874" customHeight="1" spans="1:3">
      <c r="A874" s="5" t="s">
        <v>445</v>
      </c>
      <c r="C874" s="5">
        <v>2</v>
      </c>
    </row>
    <row r="875" customHeight="1" spans="1:3">
      <c r="A875" s="5" t="s">
        <v>445</v>
      </c>
      <c r="C875" s="5">
        <v>3</v>
      </c>
    </row>
    <row r="876" customHeight="1" spans="1:3">
      <c r="A876" s="5" t="s">
        <v>445</v>
      </c>
      <c r="C876" s="5">
        <v>4</v>
      </c>
    </row>
    <row r="877" customHeight="1" spans="1:3">
      <c r="A877" s="5" t="s">
        <v>445</v>
      </c>
      <c r="C877" s="5">
        <v>5</v>
      </c>
    </row>
    <row r="878" customHeight="1" spans="1:3">
      <c r="A878" s="18" t="s">
        <v>446</v>
      </c>
      <c r="C878" s="18">
        <v>1</v>
      </c>
    </row>
    <row r="879" customHeight="1" spans="1:3">
      <c r="A879" s="18" t="s">
        <v>446</v>
      </c>
      <c r="C879" s="18">
        <v>2</v>
      </c>
    </row>
    <row r="880" customHeight="1" spans="1:3">
      <c r="A880" s="18" t="s">
        <v>446</v>
      </c>
      <c r="C880" s="18">
        <v>3</v>
      </c>
    </row>
    <row r="881" customHeight="1" spans="1:3">
      <c r="A881" s="18" t="s">
        <v>446</v>
      </c>
      <c r="C881" s="18">
        <v>4</v>
      </c>
    </row>
    <row r="882" customHeight="1" spans="1:3">
      <c r="A882" s="18" t="s">
        <v>446</v>
      </c>
      <c r="C882" s="18">
        <v>5</v>
      </c>
    </row>
    <row r="883" customHeight="1" spans="1:3">
      <c r="A883" s="18" t="s">
        <v>446</v>
      </c>
      <c r="C883" s="18">
        <v>6</v>
      </c>
    </row>
    <row r="884" customHeight="1" spans="1:3">
      <c r="A884" s="18" t="s">
        <v>446</v>
      </c>
      <c r="C884" s="18">
        <v>7</v>
      </c>
    </row>
    <row r="885" customHeight="1" spans="1:3">
      <c r="A885" s="18" t="s">
        <v>446</v>
      </c>
      <c r="C885" s="18">
        <v>8</v>
      </c>
    </row>
    <row r="886" customHeight="1" spans="1:3">
      <c r="A886" s="5" t="s">
        <v>448</v>
      </c>
      <c r="C886" s="5">
        <v>1</v>
      </c>
    </row>
    <row r="887" customHeight="1" spans="1:3">
      <c r="A887" s="5" t="s">
        <v>448</v>
      </c>
      <c r="C887" s="5">
        <v>2</v>
      </c>
    </row>
    <row r="888" customHeight="1" spans="1:3">
      <c r="A888" s="5" t="s">
        <v>448</v>
      </c>
      <c r="C888" s="5">
        <v>3</v>
      </c>
    </row>
    <row r="889" customHeight="1" spans="1:3">
      <c r="A889" s="5" t="s">
        <v>448</v>
      </c>
      <c r="C889" s="5">
        <v>4</v>
      </c>
    </row>
    <row r="890" customHeight="1" spans="1:3">
      <c r="A890" s="5" t="s">
        <v>448</v>
      </c>
      <c r="C890" s="5">
        <v>5</v>
      </c>
    </row>
    <row r="891" customHeight="1" spans="1:3">
      <c r="A891" s="18" t="s">
        <v>449</v>
      </c>
      <c r="C891" s="18">
        <v>1</v>
      </c>
    </row>
    <row r="892" customHeight="1" spans="1:3">
      <c r="A892" s="18" t="s">
        <v>449</v>
      </c>
      <c r="C892" s="18">
        <v>2</v>
      </c>
    </row>
    <row r="893" customHeight="1" spans="1:3">
      <c r="A893" s="18" t="s">
        <v>449</v>
      </c>
      <c r="C893" s="18">
        <v>3</v>
      </c>
    </row>
    <row r="894" customHeight="1" spans="1:3">
      <c r="A894" s="18" t="s">
        <v>449</v>
      </c>
      <c r="C894" s="18">
        <v>4</v>
      </c>
    </row>
    <row r="895" customHeight="1" spans="1:3">
      <c r="A895" s="18" t="s">
        <v>449</v>
      </c>
      <c r="C895" s="18">
        <v>5</v>
      </c>
    </row>
    <row r="896" customHeight="1" spans="1:3">
      <c r="A896" s="5" t="s">
        <v>449</v>
      </c>
      <c r="C896" s="5">
        <v>1</v>
      </c>
    </row>
    <row r="897" customHeight="1" spans="1:3">
      <c r="A897" s="5" t="s">
        <v>449</v>
      </c>
      <c r="C897" s="5">
        <v>2</v>
      </c>
    </row>
    <row r="898" customHeight="1" spans="1:3">
      <c r="A898" s="5" t="s">
        <v>449</v>
      </c>
      <c r="C898" s="5">
        <v>3</v>
      </c>
    </row>
    <row r="899" customHeight="1" spans="1:3">
      <c r="A899" s="5" t="s">
        <v>449</v>
      </c>
      <c r="C899" s="5">
        <v>4</v>
      </c>
    </row>
    <row r="900" customHeight="1" spans="1:3">
      <c r="A900" s="5" t="s">
        <v>449</v>
      </c>
      <c r="C900" s="5">
        <v>5</v>
      </c>
    </row>
    <row r="901" customHeight="1" spans="1:3">
      <c r="A901" s="18" t="s">
        <v>450</v>
      </c>
      <c r="C901" s="18">
        <v>1</v>
      </c>
    </row>
    <row r="902" customHeight="1" spans="1:3">
      <c r="A902" s="18" t="s">
        <v>450</v>
      </c>
      <c r="C902" s="18">
        <v>2</v>
      </c>
    </row>
    <row r="903" customHeight="1" spans="1:3">
      <c r="A903" s="18" t="s">
        <v>450</v>
      </c>
      <c r="C903" s="18">
        <v>3</v>
      </c>
    </row>
    <row r="904" customHeight="1" spans="1:3">
      <c r="A904" s="18" t="s">
        <v>450</v>
      </c>
      <c r="C904" s="18">
        <v>4</v>
      </c>
    </row>
    <row r="905" customHeight="1" spans="1:3">
      <c r="A905" s="18" t="s">
        <v>450</v>
      </c>
      <c r="C905" s="18">
        <v>5</v>
      </c>
    </row>
    <row r="906" customHeight="1" spans="1:3">
      <c r="A906" s="18" t="s">
        <v>450</v>
      </c>
      <c r="C906" s="18">
        <v>6</v>
      </c>
    </row>
    <row r="907" customHeight="1" spans="1:3">
      <c r="A907" s="18" t="s">
        <v>450</v>
      </c>
      <c r="C907" s="18">
        <v>7</v>
      </c>
    </row>
    <row r="908" customHeight="1" spans="1:3">
      <c r="A908" s="18" t="s">
        <v>450</v>
      </c>
      <c r="C908" s="18">
        <v>8</v>
      </c>
    </row>
    <row r="909" customHeight="1" spans="1:3">
      <c r="A909" s="5" t="s">
        <v>452</v>
      </c>
      <c r="C909" s="5">
        <v>1</v>
      </c>
    </row>
    <row r="910" customHeight="1" spans="1:3">
      <c r="A910" s="5" t="s">
        <v>452</v>
      </c>
      <c r="C910" s="5">
        <v>2</v>
      </c>
    </row>
    <row r="911" customHeight="1" spans="1:3">
      <c r="A911" s="5" t="s">
        <v>452</v>
      </c>
      <c r="C911" s="5">
        <v>3</v>
      </c>
    </row>
    <row r="912" customHeight="1" spans="1:3">
      <c r="A912" s="5" t="s">
        <v>452</v>
      </c>
      <c r="C912" s="5">
        <v>4</v>
      </c>
    </row>
    <row r="913" customHeight="1" spans="1:3">
      <c r="A913" s="5" t="s">
        <v>452</v>
      </c>
      <c r="C913" s="5">
        <v>5</v>
      </c>
    </row>
    <row r="914" customHeight="1" spans="1:3">
      <c r="A914" s="18" t="s">
        <v>453</v>
      </c>
      <c r="C914" s="18">
        <v>1</v>
      </c>
    </row>
    <row r="915" customHeight="1" spans="1:3">
      <c r="A915" s="18" t="s">
        <v>453</v>
      </c>
      <c r="C915" s="18">
        <v>2</v>
      </c>
    </row>
    <row r="916" customHeight="1" spans="1:3">
      <c r="A916" s="18" t="s">
        <v>453</v>
      </c>
      <c r="C916" s="18">
        <v>3</v>
      </c>
    </row>
    <row r="917" customHeight="1" spans="1:3">
      <c r="A917" s="18" t="s">
        <v>453</v>
      </c>
      <c r="C917" s="18">
        <v>4</v>
      </c>
    </row>
    <row r="918" customHeight="1" spans="1:3">
      <c r="A918" s="18" t="s">
        <v>453</v>
      </c>
      <c r="C918" s="18">
        <v>5</v>
      </c>
    </row>
    <row r="919" customHeight="1" spans="1:3">
      <c r="A919" s="5" t="s">
        <v>453</v>
      </c>
      <c r="C919" s="5">
        <v>1</v>
      </c>
    </row>
    <row r="920" customHeight="1" spans="1:3">
      <c r="A920" s="5" t="s">
        <v>453</v>
      </c>
      <c r="C920" s="5">
        <v>2</v>
      </c>
    </row>
    <row r="921" customHeight="1" spans="1:3">
      <c r="A921" s="5" t="s">
        <v>453</v>
      </c>
      <c r="C921" s="5">
        <v>3</v>
      </c>
    </row>
    <row r="922" customHeight="1" spans="1:3">
      <c r="A922" s="5" t="s">
        <v>453</v>
      </c>
      <c r="C922" s="5">
        <v>4</v>
      </c>
    </row>
    <row r="923" customHeight="1" spans="1:3">
      <c r="A923" s="5" t="s">
        <v>453</v>
      </c>
      <c r="C923" s="5">
        <v>5</v>
      </c>
    </row>
    <row r="924" customHeight="1" spans="1:3">
      <c r="A924" s="18" t="s">
        <v>454</v>
      </c>
      <c r="C924" s="18">
        <v>1</v>
      </c>
    </row>
    <row r="925" customHeight="1" spans="1:3">
      <c r="A925" s="18" t="s">
        <v>454</v>
      </c>
      <c r="C925" s="18">
        <v>2</v>
      </c>
    </row>
    <row r="926" customHeight="1" spans="1:3">
      <c r="A926" s="18" t="s">
        <v>454</v>
      </c>
      <c r="C926" s="18">
        <v>3</v>
      </c>
    </row>
    <row r="927" customHeight="1" spans="1:3">
      <c r="A927" s="18" t="s">
        <v>454</v>
      </c>
      <c r="C927" s="18">
        <v>4</v>
      </c>
    </row>
    <row r="928" customHeight="1" spans="1:3">
      <c r="A928" s="18" t="s">
        <v>454</v>
      </c>
      <c r="C928" s="18">
        <v>5</v>
      </c>
    </row>
    <row r="929" customHeight="1" spans="1:3">
      <c r="A929" s="18" t="s">
        <v>454</v>
      </c>
      <c r="C929" s="18">
        <v>6</v>
      </c>
    </row>
    <row r="930" customHeight="1" spans="1:3">
      <c r="A930" s="18" t="s">
        <v>454</v>
      </c>
      <c r="C930" s="18">
        <v>7</v>
      </c>
    </row>
    <row r="931" customHeight="1" spans="1:3">
      <c r="A931" s="18" t="s">
        <v>454</v>
      </c>
      <c r="C931" s="18">
        <v>8</v>
      </c>
    </row>
    <row r="932" customHeight="1" spans="1:3">
      <c r="A932" s="5" t="s">
        <v>456</v>
      </c>
      <c r="C932" s="5">
        <v>1</v>
      </c>
    </row>
    <row r="933" customHeight="1" spans="1:3">
      <c r="A933" s="5" t="s">
        <v>456</v>
      </c>
      <c r="C933" s="5">
        <v>2</v>
      </c>
    </row>
    <row r="934" customHeight="1" spans="1:3">
      <c r="A934" s="5" t="s">
        <v>456</v>
      </c>
      <c r="C934" s="5">
        <v>3</v>
      </c>
    </row>
    <row r="935" customHeight="1" spans="1:3">
      <c r="A935" s="5" t="s">
        <v>456</v>
      </c>
      <c r="C935" s="5">
        <v>4</v>
      </c>
    </row>
    <row r="936" customHeight="1" spans="1:3">
      <c r="A936" s="5" t="s">
        <v>456</v>
      </c>
      <c r="C936" s="5">
        <v>5</v>
      </c>
    </row>
    <row r="937" customHeight="1" spans="1:3">
      <c r="A937" s="18" t="s">
        <v>457</v>
      </c>
      <c r="C937" s="18">
        <v>1</v>
      </c>
    </row>
    <row r="938" customHeight="1" spans="1:3">
      <c r="A938" s="18" t="s">
        <v>457</v>
      </c>
      <c r="C938" s="18">
        <v>2</v>
      </c>
    </row>
    <row r="939" customHeight="1" spans="1:3">
      <c r="A939" s="18" t="s">
        <v>457</v>
      </c>
      <c r="C939" s="18">
        <v>3</v>
      </c>
    </row>
    <row r="940" customHeight="1" spans="1:3">
      <c r="A940" s="18" t="s">
        <v>457</v>
      </c>
      <c r="C940" s="18">
        <v>4</v>
      </c>
    </row>
    <row r="941" customHeight="1" spans="1:3">
      <c r="A941" s="18" t="s">
        <v>457</v>
      </c>
      <c r="C941" s="18">
        <v>5</v>
      </c>
    </row>
    <row r="942" customHeight="1" spans="1:3">
      <c r="A942" s="5" t="s">
        <v>457</v>
      </c>
      <c r="C942" s="5">
        <v>1</v>
      </c>
    </row>
    <row r="943" customHeight="1" spans="1:3">
      <c r="A943" s="5" t="s">
        <v>457</v>
      </c>
      <c r="C943" s="5">
        <v>2</v>
      </c>
    </row>
    <row r="944" customHeight="1" spans="1:3">
      <c r="A944" s="5" t="s">
        <v>457</v>
      </c>
      <c r="C944" s="5">
        <v>3</v>
      </c>
    </row>
    <row r="945" customHeight="1" spans="1:3">
      <c r="A945" s="5" t="s">
        <v>457</v>
      </c>
      <c r="C945" s="5">
        <v>4</v>
      </c>
    </row>
    <row r="946" customHeight="1" spans="1:3">
      <c r="A946" s="5" t="s">
        <v>457</v>
      </c>
      <c r="C946" s="5">
        <v>5</v>
      </c>
    </row>
    <row r="947" customHeight="1" spans="1:3">
      <c r="A947" s="18" t="s">
        <v>458</v>
      </c>
      <c r="C947" s="18">
        <v>1</v>
      </c>
    </row>
    <row r="948" customHeight="1" spans="1:3">
      <c r="A948" s="18" t="s">
        <v>458</v>
      </c>
      <c r="C948" s="18">
        <v>2</v>
      </c>
    </row>
    <row r="949" customHeight="1" spans="1:3">
      <c r="A949" s="18" t="s">
        <v>458</v>
      </c>
      <c r="C949" s="18">
        <v>3</v>
      </c>
    </row>
    <row r="950" customHeight="1" spans="1:3">
      <c r="A950" s="18" t="s">
        <v>458</v>
      </c>
      <c r="C950" s="18">
        <v>4</v>
      </c>
    </row>
    <row r="951" customHeight="1" spans="1:3">
      <c r="A951" s="18" t="s">
        <v>458</v>
      </c>
      <c r="C951" s="18">
        <v>5</v>
      </c>
    </row>
    <row r="952" customHeight="1" spans="1:3">
      <c r="A952" s="18" t="s">
        <v>458</v>
      </c>
      <c r="C952" s="18">
        <v>6</v>
      </c>
    </row>
    <row r="953" customHeight="1" spans="1:3">
      <c r="A953" s="18" t="s">
        <v>458</v>
      </c>
      <c r="C953" s="18">
        <v>7</v>
      </c>
    </row>
    <row r="954" customHeight="1" spans="1:3">
      <c r="A954" s="18" t="s">
        <v>458</v>
      </c>
      <c r="C954" s="18">
        <v>8</v>
      </c>
    </row>
    <row r="955" customHeight="1" spans="1:3">
      <c r="A955" s="5" t="s">
        <v>460</v>
      </c>
      <c r="C955" s="5">
        <v>1</v>
      </c>
    </row>
    <row r="956" customHeight="1" spans="1:3">
      <c r="A956" s="5" t="s">
        <v>460</v>
      </c>
      <c r="C956" s="5">
        <v>2</v>
      </c>
    </row>
    <row r="957" customHeight="1" spans="1:3">
      <c r="A957" s="5" t="s">
        <v>460</v>
      </c>
      <c r="C957" s="5">
        <v>3</v>
      </c>
    </row>
    <row r="958" customHeight="1" spans="1:3">
      <c r="A958" s="5" t="s">
        <v>460</v>
      </c>
      <c r="C958" s="5">
        <v>4</v>
      </c>
    </row>
    <row r="959" customHeight="1" spans="1:3">
      <c r="A959" s="5" t="s">
        <v>460</v>
      </c>
      <c r="C959" s="5">
        <v>5</v>
      </c>
    </row>
    <row r="960" customHeight="1" spans="1:3">
      <c r="A960" s="18" t="s">
        <v>461</v>
      </c>
      <c r="C960" s="18">
        <v>1</v>
      </c>
    </row>
    <row r="961" customHeight="1" spans="1:3">
      <c r="A961" s="18" t="s">
        <v>461</v>
      </c>
      <c r="C961" s="18">
        <v>2</v>
      </c>
    </row>
    <row r="962" customHeight="1" spans="1:3">
      <c r="A962" s="18" t="s">
        <v>461</v>
      </c>
      <c r="C962" s="18">
        <v>3</v>
      </c>
    </row>
    <row r="963" customHeight="1" spans="1:3">
      <c r="A963" s="18" t="s">
        <v>461</v>
      </c>
      <c r="C963" s="18">
        <v>4</v>
      </c>
    </row>
    <row r="964" customHeight="1" spans="1:3">
      <c r="A964" s="18" t="s">
        <v>461</v>
      </c>
      <c r="C964" s="18">
        <v>5</v>
      </c>
    </row>
    <row r="965" customHeight="1" spans="1:3">
      <c r="A965" s="5" t="s">
        <v>461</v>
      </c>
      <c r="C965" s="5">
        <v>1</v>
      </c>
    </row>
    <row r="966" customHeight="1" spans="1:3">
      <c r="A966" s="5" t="s">
        <v>461</v>
      </c>
      <c r="C966" s="5">
        <v>2</v>
      </c>
    </row>
    <row r="967" customHeight="1" spans="1:3">
      <c r="A967" s="5" t="s">
        <v>461</v>
      </c>
      <c r="C967" s="5">
        <v>3</v>
      </c>
    </row>
    <row r="968" customHeight="1" spans="1:3">
      <c r="A968" s="5" t="s">
        <v>461</v>
      </c>
      <c r="C968" s="5">
        <v>4</v>
      </c>
    </row>
    <row r="969" customHeight="1" spans="1:3">
      <c r="A969" s="5" t="s">
        <v>461</v>
      </c>
      <c r="C969" s="5">
        <v>5</v>
      </c>
    </row>
    <row r="970" customHeight="1" spans="1:3">
      <c r="A970" s="18" t="s">
        <v>462</v>
      </c>
      <c r="C970" s="18">
        <v>1</v>
      </c>
    </row>
    <row r="971" customHeight="1" spans="1:3">
      <c r="A971" s="18" t="s">
        <v>462</v>
      </c>
      <c r="C971" s="18">
        <v>2</v>
      </c>
    </row>
    <row r="972" customHeight="1" spans="1:3">
      <c r="A972" s="18" t="s">
        <v>462</v>
      </c>
      <c r="C972" s="18">
        <v>3</v>
      </c>
    </row>
    <row r="973" customHeight="1" spans="1:3">
      <c r="A973" s="18" t="s">
        <v>462</v>
      </c>
      <c r="C973" s="18">
        <v>4</v>
      </c>
    </row>
    <row r="974" customHeight="1" spans="1:3">
      <c r="A974" s="18" t="s">
        <v>462</v>
      </c>
      <c r="C974" s="18">
        <v>5</v>
      </c>
    </row>
    <row r="975" customHeight="1" spans="1:3">
      <c r="A975" s="18" t="s">
        <v>462</v>
      </c>
      <c r="C975" s="18">
        <v>6</v>
      </c>
    </row>
    <row r="976" customHeight="1" spans="1:3">
      <c r="A976" s="18" t="s">
        <v>462</v>
      </c>
      <c r="C976" s="18">
        <v>7</v>
      </c>
    </row>
    <row r="977" customHeight="1" spans="1:3">
      <c r="A977" s="18" t="s">
        <v>462</v>
      </c>
      <c r="C977" s="18">
        <v>8</v>
      </c>
    </row>
    <row r="978" customHeight="1" spans="1:3">
      <c r="A978" s="5" t="s">
        <v>464</v>
      </c>
      <c r="C978" s="5">
        <v>1</v>
      </c>
    </row>
    <row r="979" customHeight="1" spans="1:3">
      <c r="A979" s="5" t="s">
        <v>464</v>
      </c>
      <c r="C979" s="5">
        <v>2</v>
      </c>
    </row>
    <row r="980" customHeight="1" spans="1:3">
      <c r="A980" s="5" t="s">
        <v>464</v>
      </c>
      <c r="C980" s="5">
        <v>3</v>
      </c>
    </row>
    <row r="981" customHeight="1" spans="1:3">
      <c r="A981" s="5" t="s">
        <v>464</v>
      </c>
      <c r="C981" s="5">
        <v>4</v>
      </c>
    </row>
    <row r="982" customHeight="1" spans="1:3">
      <c r="A982" s="5" t="s">
        <v>464</v>
      </c>
      <c r="C982" s="5">
        <v>5</v>
      </c>
    </row>
    <row r="983" customHeight="1" spans="1:3">
      <c r="A983" s="18" t="s">
        <v>465</v>
      </c>
      <c r="C983" s="18">
        <v>1</v>
      </c>
    </row>
    <row r="984" customHeight="1" spans="1:3">
      <c r="A984" s="18" t="s">
        <v>465</v>
      </c>
      <c r="C984" s="18">
        <v>2</v>
      </c>
    </row>
    <row r="985" customHeight="1" spans="1:3">
      <c r="A985" s="18" t="s">
        <v>465</v>
      </c>
      <c r="C985" s="18">
        <v>3</v>
      </c>
    </row>
    <row r="986" customHeight="1" spans="1:3">
      <c r="A986" s="18" t="s">
        <v>465</v>
      </c>
      <c r="C986" s="18">
        <v>4</v>
      </c>
    </row>
    <row r="987" customHeight="1" spans="1:3">
      <c r="A987" s="18" t="s">
        <v>465</v>
      </c>
      <c r="C987" s="18">
        <v>5</v>
      </c>
    </row>
    <row r="988" customHeight="1" spans="1:3">
      <c r="A988" s="5" t="s">
        <v>465</v>
      </c>
      <c r="C988" s="5">
        <v>1</v>
      </c>
    </row>
    <row r="989" customHeight="1" spans="1:3">
      <c r="A989" s="5" t="s">
        <v>465</v>
      </c>
      <c r="C989" s="5">
        <v>2</v>
      </c>
    </row>
    <row r="990" customHeight="1" spans="1:3">
      <c r="A990" s="5" t="s">
        <v>465</v>
      </c>
      <c r="C990" s="5">
        <v>3</v>
      </c>
    </row>
    <row r="991" customHeight="1" spans="1:3">
      <c r="A991" s="5" t="s">
        <v>465</v>
      </c>
      <c r="C991" s="5">
        <v>4</v>
      </c>
    </row>
    <row r="992" customHeight="1" spans="1:3">
      <c r="A992" s="5" t="s">
        <v>465</v>
      </c>
      <c r="C992" s="5">
        <v>5</v>
      </c>
    </row>
    <row r="993" customHeight="1" spans="1:3">
      <c r="A993" s="18" t="s">
        <v>466</v>
      </c>
      <c r="C993" s="18">
        <v>1</v>
      </c>
    </row>
    <row r="994" customHeight="1" spans="1:3">
      <c r="A994" s="18" t="s">
        <v>466</v>
      </c>
      <c r="C994" s="18">
        <v>2</v>
      </c>
    </row>
    <row r="995" customHeight="1" spans="1:3">
      <c r="A995" s="18" t="s">
        <v>466</v>
      </c>
      <c r="C995" s="18">
        <v>3</v>
      </c>
    </row>
    <row r="996" customHeight="1" spans="1:3">
      <c r="A996" s="18" t="s">
        <v>466</v>
      </c>
      <c r="C996" s="18">
        <v>4</v>
      </c>
    </row>
    <row r="997" customHeight="1" spans="1:3">
      <c r="A997" s="18" t="s">
        <v>466</v>
      </c>
      <c r="C997" s="18">
        <v>5</v>
      </c>
    </row>
    <row r="998" customHeight="1" spans="1:3">
      <c r="A998" s="18" t="s">
        <v>466</v>
      </c>
      <c r="C998" s="18">
        <v>6</v>
      </c>
    </row>
    <row r="999" customHeight="1" spans="1:3">
      <c r="A999" s="18" t="s">
        <v>466</v>
      </c>
      <c r="C999" s="18">
        <v>7</v>
      </c>
    </row>
    <row r="1000" customHeight="1" spans="1:3">
      <c r="A1000" s="18" t="s">
        <v>466</v>
      </c>
      <c r="C1000" s="18">
        <v>8</v>
      </c>
    </row>
    <row r="1001" customHeight="1" spans="1:3">
      <c r="A1001" s="5" t="s">
        <v>468</v>
      </c>
      <c r="C1001" s="5">
        <v>1</v>
      </c>
    </row>
    <row r="1002" customHeight="1" spans="1:3">
      <c r="A1002" s="5" t="s">
        <v>468</v>
      </c>
      <c r="C1002" s="5">
        <v>2</v>
      </c>
    </row>
    <row r="1003" customHeight="1" spans="1:3">
      <c r="A1003" s="5" t="s">
        <v>468</v>
      </c>
      <c r="C1003" s="5">
        <v>3</v>
      </c>
    </row>
    <row r="1004" customHeight="1" spans="1:3">
      <c r="A1004" s="5" t="s">
        <v>468</v>
      </c>
      <c r="C1004" s="5">
        <v>4</v>
      </c>
    </row>
    <row r="1005" customHeight="1" spans="1:3">
      <c r="A1005" s="5" t="s">
        <v>468</v>
      </c>
      <c r="C1005" s="5">
        <v>5</v>
      </c>
    </row>
    <row r="1006" customHeight="1" spans="1:3">
      <c r="A1006" s="18" t="s">
        <v>469</v>
      </c>
      <c r="C1006" s="18">
        <v>1</v>
      </c>
    </row>
    <row r="1007" customHeight="1" spans="1:3">
      <c r="A1007" s="18" t="s">
        <v>469</v>
      </c>
      <c r="C1007" s="18">
        <v>2</v>
      </c>
    </row>
    <row r="1008" customHeight="1" spans="1:3">
      <c r="A1008" s="18" t="s">
        <v>469</v>
      </c>
      <c r="C1008" s="18">
        <v>3</v>
      </c>
    </row>
    <row r="1009" customHeight="1" spans="1:3">
      <c r="A1009" s="18" t="s">
        <v>469</v>
      </c>
      <c r="C1009" s="18">
        <v>4</v>
      </c>
    </row>
    <row r="1010" customHeight="1" spans="1:3">
      <c r="A1010" s="18" t="s">
        <v>469</v>
      </c>
      <c r="C1010" s="18">
        <v>5</v>
      </c>
    </row>
    <row r="1011" customHeight="1" spans="1:3">
      <c r="A1011" s="5" t="s">
        <v>469</v>
      </c>
      <c r="C1011" s="5">
        <v>1</v>
      </c>
    </row>
    <row r="1012" customHeight="1" spans="1:3">
      <c r="A1012" s="5" t="s">
        <v>469</v>
      </c>
      <c r="C1012" s="5">
        <v>2</v>
      </c>
    </row>
    <row r="1013" customHeight="1" spans="1:3">
      <c r="A1013" s="5" t="s">
        <v>469</v>
      </c>
      <c r="C1013" s="5">
        <v>3</v>
      </c>
    </row>
    <row r="1014" customHeight="1" spans="1:3">
      <c r="A1014" s="5" t="s">
        <v>469</v>
      </c>
      <c r="C1014" s="5">
        <v>4</v>
      </c>
    </row>
    <row r="1015" customHeight="1" spans="1:3">
      <c r="A1015" s="5" t="s">
        <v>469</v>
      </c>
      <c r="C1015" s="5">
        <v>5</v>
      </c>
    </row>
    <row r="1016" customHeight="1" spans="1:3">
      <c r="A1016" s="18" t="s">
        <v>470</v>
      </c>
      <c r="C1016" s="18">
        <v>1</v>
      </c>
    </row>
    <row r="1017" customHeight="1" spans="1:3">
      <c r="A1017" s="18" t="s">
        <v>470</v>
      </c>
      <c r="C1017" s="18">
        <v>2</v>
      </c>
    </row>
    <row r="1018" customHeight="1" spans="1:3">
      <c r="A1018" s="18" t="s">
        <v>470</v>
      </c>
      <c r="C1018" s="18">
        <v>3</v>
      </c>
    </row>
    <row r="1019" customHeight="1" spans="1:3">
      <c r="A1019" s="18" t="s">
        <v>470</v>
      </c>
      <c r="C1019" s="18">
        <v>4</v>
      </c>
    </row>
    <row r="1020" customHeight="1" spans="1:3">
      <c r="A1020" s="18" t="s">
        <v>470</v>
      </c>
      <c r="C1020" s="18">
        <v>5</v>
      </c>
    </row>
    <row r="1021" customHeight="1" spans="1:3">
      <c r="A1021" s="18" t="s">
        <v>470</v>
      </c>
      <c r="C1021" s="18">
        <v>6</v>
      </c>
    </row>
    <row r="1022" customHeight="1" spans="1:3">
      <c r="A1022" s="18" t="s">
        <v>470</v>
      </c>
      <c r="C1022" s="18">
        <v>7</v>
      </c>
    </row>
    <row r="1023" customHeight="1" spans="1:3">
      <c r="A1023" s="18" t="s">
        <v>470</v>
      </c>
      <c r="C1023" s="18">
        <v>8</v>
      </c>
    </row>
    <row r="1024" customHeight="1" spans="1:3">
      <c r="A1024" s="5" t="s">
        <v>472</v>
      </c>
      <c r="C1024" s="5">
        <v>1</v>
      </c>
    </row>
    <row r="1025" customHeight="1" spans="1:3">
      <c r="A1025" s="5" t="s">
        <v>472</v>
      </c>
      <c r="C1025" s="5">
        <v>2</v>
      </c>
    </row>
    <row r="1026" customHeight="1" spans="1:3">
      <c r="A1026" s="5" t="s">
        <v>472</v>
      </c>
      <c r="C1026" s="5">
        <v>3</v>
      </c>
    </row>
    <row r="1027" customHeight="1" spans="1:3">
      <c r="A1027" s="5" t="s">
        <v>472</v>
      </c>
      <c r="C1027" s="5">
        <v>4</v>
      </c>
    </row>
    <row r="1028" customHeight="1" spans="1:3">
      <c r="A1028" s="5" t="s">
        <v>472</v>
      </c>
      <c r="C1028" s="5">
        <v>5</v>
      </c>
    </row>
    <row r="1029" customHeight="1" spans="1:3">
      <c r="A1029" s="18" t="s">
        <v>473</v>
      </c>
      <c r="C1029" s="18">
        <v>1</v>
      </c>
    </row>
    <row r="1030" customHeight="1" spans="1:3">
      <c r="A1030" s="18" t="s">
        <v>473</v>
      </c>
      <c r="C1030" s="18">
        <v>2</v>
      </c>
    </row>
    <row r="1031" customHeight="1" spans="1:3">
      <c r="A1031" s="18" t="s">
        <v>473</v>
      </c>
      <c r="C1031" s="18">
        <v>3</v>
      </c>
    </row>
    <row r="1032" customHeight="1" spans="1:3">
      <c r="A1032" s="18" t="s">
        <v>473</v>
      </c>
      <c r="C1032" s="18">
        <v>4</v>
      </c>
    </row>
    <row r="1033" customHeight="1" spans="1:3">
      <c r="A1033" s="18" t="s">
        <v>473</v>
      </c>
      <c r="C1033" s="18">
        <v>5</v>
      </c>
    </row>
    <row r="1034" customHeight="1" spans="1:3">
      <c r="A1034" s="5" t="s">
        <v>473</v>
      </c>
      <c r="C1034" s="5">
        <v>1</v>
      </c>
    </row>
    <row r="1035" customHeight="1" spans="1:3">
      <c r="A1035" s="5" t="s">
        <v>473</v>
      </c>
      <c r="C1035" s="5">
        <v>2</v>
      </c>
    </row>
    <row r="1036" customHeight="1" spans="1:3">
      <c r="A1036" s="5" t="s">
        <v>473</v>
      </c>
      <c r="C1036" s="5">
        <v>3</v>
      </c>
    </row>
    <row r="1037" customHeight="1" spans="1:3">
      <c r="A1037" s="5" t="s">
        <v>473</v>
      </c>
      <c r="C1037" s="5">
        <v>4</v>
      </c>
    </row>
    <row r="1038" customHeight="1" spans="1:3">
      <c r="A1038" s="5" t="s">
        <v>473</v>
      </c>
      <c r="C1038" s="5">
        <v>5</v>
      </c>
    </row>
    <row r="1039" customHeight="1" spans="1:3">
      <c r="A1039" s="18" t="s">
        <v>474</v>
      </c>
      <c r="C1039" s="18">
        <v>1</v>
      </c>
    </row>
    <row r="1040" customHeight="1" spans="1:3">
      <c r="A1040" s="18" t="s">
        <v>474</v>
      </c>
      <c r="C1040" s="18">
        <v>2</v>
      </c>
    </row>
    <row r="1041" customHeight="1" spans="1:3">
      <c r="A1041" s="18" t="s">
        <v>474</v>
      </c>
      <c r="C1041" s="18">
        <v>3</v>
      </c>
    </row>
    <row r="1042" customHeight="1" spans="1:3">
      <c r="A1042" s="18" t="s">
        <v>474</v>
      </c>
      <c r="C1042" s="18">
        <v>4</v>
      </c>
    </row>
    <row r="1043" customHeight="1" spans="1:3">
      <c r="A1043" s="18" t="s">
        <v>474</v>
      </c>
      <c r="C1043" s="18">
        <v>5</v>
      </c>
    </row>
    <row r="1044" customHeight="1" spans="1:3">
      <c r="A1044" s="18" t="s">
        <v>474</v>
      </c>
      <c r="C1044" s="18">
        <v>6</v>
      </c>
    </row>
    <row r="1045" customHeight="1" spans="1:3">
      <c r="A1045" s="18" t="s">
        <v>474</v>
      </c>
      <c r="C1045" s="18">
        <v>7</v>
      </c>
    </row>
    <row r="1046" customHeight="1" spans="1:3">
      <c r="A1046" s="18" t="s">
        <v>474</v>
      </c>
      <c r="C1046" s="18">
        <v>8</v>
      </c>
    </row>
    <row r="1047" customHeight="1" spans="1:3">
      <c r="A1047" s="5" t="s">
        <v>476</v>
      </c>
      <c r="C1047" s="5">
        <v>1</v>
      </c>
    </row>
    <row r="1048" customHeight="1" spans="1:3">
      <c r="A1048" s="5" t="s">
        <v>476</v>
      </c>
      <c r="C1048" s="5">
        <v>2</v>
      </c>
    </row>
    <row r="1049" customHeight="1" spans="1:3">
      <c r="A1049" s="5" t="s">
        <v>476</v>
      </c>
      <c r="C1049" s="5">
        <v>3</v>
      </c>
    </row>
    <row r="1050" customHeight="1" spans="1:3">
      <c r="A1050" s="5" t="s">
        <v>476</v>
      </c>
      <c r="C1050" s="5">
        <v>4</v>
      </c>
    </row>
    <row r="1051" customHeight="1" spans="1:3">
      <c r="A1051" s="5" t="s">
        <v>476</v>
      </c>
      <c r="C1051" s="5">
        <v>5</v>
      </c>
    </row>
    <row r="1052" customHeight="1" spans="1:3">
      <c r="A1052" s="18" t="s">
        <v>477</v>
      </c>
      <c r="C1052" s="18">
        <v>1</v>
      </c>
    </row>
    <row r="1053" customHeight="1" spans="1:3">
      <c r="A1053" s="18" t="s">
        <v>477</v>
      </c>
      <c r="C1053" s="18">
        <v>2</v>
      </c>
    </row>
    <row r="1054" customHeight="1" spans="1:3">
      <c r="A1054" s="18" t="s">
        <v>477</v>
      </c>
      <c r="C1054" s="18">
        <v>3</v>
      </c>
    </row>
    <row r="1055" customHeight="1" spans="1:3">
      <c r="A1055" s="18" t="s">
        <v>477</v>
      </c>
      <c r="C1055" s="18">
        <v>4</v>
      </c>
    </row>
    <row r="1056" customHeight="1" spans="1:3">
      <c r="A1056" s="18" t="s">
        <v>477</v>
      </c>
      <c r="C1056" s="18">
        <v>5</v>
      </c>
    </row>
    <row r="1057" customHeight="1" spans="1:3">
      <c r="A1057" s="5" t="s">
        <v>477</v>
      </c>
      <c r="C1057" s="5">
        <v>1</v>
      </c>
    </row>
    <row r="1058" customHeight="1" spans="1:3">
      <c r="A1058" s="5" t="s">
        <v>477</v>
      </c>
      <c r="C1058" s="5">
        <v>2</v>
      </c>
    </row>
    <row r="1059" customHeight="1" spans="1:3">
      <c r="A1059" s="5" t="s">
        <v>477</v>
      </c>
      <c r="C1059" s="5">
        <v>3</v>
      </c>
    </row>
    <row r="1060" customHeight="1" spans="1:3">
      <c r="A1060" s="5" t="s">
        <v>477</v>
      </c>
      <c r="C1060" s="5">
        <v>4</v>
      </c>
    </row>
    <row r="1061" customHeight="1" spans="1:3">
      <c r="A1061" s="5" t="s">
        <v>477</v>
      </c>
      <c r="C1061" s="5">
        <v>5</v>
      </c>
    </row>
    <row r="1062" customHeight="1" spans="1:3">
      <c r="A1062" s="18" t="s">
        <v>478</v>
      </c>
      <c r="C1062" s="18">
        <v>1</v>
      </c>
    </row>
    <row r="1063" customHeight="1" spans="1:3">
      <c r="A1063" s="18" t="s">
        <v>478</v>
      </c>
      <c r="C1063" s="18">
        <v>2</v>
      </c>
    </row>
    <row r="1064" customHeight="1" spans="1:3">
      <c r="A1064" s="18" t="s">
        <v>478</v>
      </c>
      <c r="C1064" s="18">
        <v>3</v>
      </c>
    </row>
    <row r="1065" customHeight="1" spans="1:3">
      <c r="A1065" s="18" t="s">
        <v>478</v>
      </c>
      <c r="C1065" s="18">
        <v>4</v>
      </c>
    </row>
    <row r="1066" customHeight="1" spans="1:3">
      <c r="A1066" s="18" t="s">
        <v>478</v>
      </c>
      <c r="C1066" s="18">
        <v>5</v>
      </c>
    </row>
    <row r="1067" customHeight="1" spans="1:3">
      <c r="A1067" s="18" t="s">
        <v>478</v>
      </c>
      <c r="C1067" s="18">
        <v>6</v>
      </c>
    </row>
    <row r="1068" customHeight="1" spans="1:3">
      <c r="A1068" s="18" t="s">
        <v>478</v>
      </c>
      <c r="C1068" s="18">
        <v>7</v>
      </c>
    </row>
    <row r="1069" customHeight="1" spans="1:3">
      <c r="A1069" s="18" t="s">
        <v>478</v>
      </c>
      <c r="C1069" s="18">
        <v>8</v>
      </c>
    </row>
    <row r="1070" customHeight="1" spans="1:3">
      <c r="A1070" s="5" t="s">
        <v>480</v>
      </c>
      <c r="C1070" s="5">
        <v>1</v>
      </c>
    </row>
    <row r="1071" customHeight="1" spans="1:3">
      <c r="A1071" s="5" t="s">
        <v>480</v>
      </c>
      <c r="C1071" s="5">
        <v>2</v>
      </c>
    </row>
    <row r="1072" customHeight="1" spans="1:3">
      <c r="A1072" s="5" t="s">
        <v>480</v>
      </c>
      <c r="C1072" s="5">
        <v>3</v>
      </c>
    </row>
    <row r="1073" customHeight="1" spans="1:3">
      <c r="A1073" s="5" t="s">
        <v>480</v>
      </c>
      <c r="C1073" s="5">
        <v>4</v>
      </c>
    </row>
    <row r="1074" customHeight="1" spans="1:3">
      <c r="A1074" s="5" t="s">
        <v>480</v>
      </c>
      <c r="C1074" s="5">
        <v>5</v>
      </c>
    </row>
    <row r="1075" customHeight="1" spans="1:3">
      <c r="A1075" s="18" t="s">
        <v>481</v>
      </c>
      <c r="C1075" s="18">
        <v>1</v>
      </c>
    </row>
    <row r="1076" customHeight="1" spans="1:3">
      <c r="A1076" s="18" t="s">
        <v>481</v>
      </c>
      <c r="C1076" s="18">
        <v>2</v>
      </c>
    </row>
    <row r="1077" customHeight="1" spans="1:3">
      <c r="A1077" s="18" t="s">
        <v>481</v>
      </c>
      <c r="C1077" s="18">
        <v>3</v>
      </c>
    </row>
    <row r="1078" customHeight="1" spans="1:3">
      <c r="A1078" s="18" t="s">
        <v>481</v>
      </c>
      <c r="C1078" s="18">
        <v>4</v>
      </c>
    </row>
    <row r="1079" customHeight="1" spans="1:3">
      <c r="A1079" s="18" t="s">
        <v>481</v>
      </c>
      <c r="C1079" s="18">
        <v>5</v>
      </c>
    </row>
    <row r="1080" customHeight="1" spans="1:3">
      <c r="A1080" s="5" t="s">
        <v>481</v>
      </c>
      <c r="C1080" s="5">
        <v>1</v>
      </c>
    </row>
    <row r="1081" customHeight="1" spans="1:3">
      <c r="A1081" s="5" t="s">
        <v>481</v>
      </c>
      <c r="C1081" s="5">
        <v>2</v>
      </c>
    </row>
    <row r="1082" customHeight="1" spans="1:3">
      <c r="A1082" s="5" t="s">
        <v>481</v>
      </c>
      <c r="C1082" s="5">
        <v>3</v>
      </c>
    </row>
    <row r="1083" customHeight="1" spans="1:3">
      <c r="A1083" s="5" t="s">
        <v>481</v>
      </c>
      <c r="C1083" s="5">
        <v>4</v>
      </c>
    </row>
    <row r="1084" customHeight="1" spans="1:3">
      <c r="A1084" s="5" t="s">
        <v>481</v>
      </c>
      <c r="C1084" s="5">
        <v>5</v>
      </c>
    </row>
    <row r="1085" customHeight="1" spans="1:3">
      <c r="A1085" s="18" t="s">
        <v>482</v>
      </c>
      <c r="C1085" s="18">
        <v>1</v>
      </c>
    </row>
    <row r="1086" customHeight="1" spans="1:3">
      <c r="A1086" s="18" t="s">
        <v>482</v>
      </c>
      <c r="C1086" s="18">
        <v>2</v>
      </c>
    </row>
    <row r="1087" customHeight="1" spans="1:3">
      <c r="A1087" s="18" t="s">
        <v>482</v>
      </c>
      <c r="C1087" s="18">
        <v>3</v>
      </c>
    </row>
    <row r="1088" customHeight="1" spans="1:3">
      <c r="A1088" s="18" t="s">
        <v>482</v>
      </c>
      <c r="C1088" s="18">
        <v>4</v>
      </c>
    </row>
    <row r="1089" customHeight="1" spans="1:3">
      <c r="A1089" s="18" t="s">
        <v>482</v>
      </c>
      <c r="C1089" s="18">
        <v>5</v>
      </c>
    </row>
    <row r="1090" customHeight="1" spans="1:3">
      <c r="A1090" s="18" t="s">
        <v>482</v>
      </c>
      <c r="C1090" s="18">
        <v>6</v>
      </c>
    </row>
    <row r="1091" customHeight="1" spans="1:3">
      <c r="A1091" s="18" t="s">
        <v>482</v>
      </c>
      <c r="C1091" s="18">
        <v>7</v>
      </c>
    </row>
    <row r="1092" customHeight="1" spans="1:3">
      <c r="A1092" s="18" t="s">
        <v>482</v>
      </c>
      <c r="C1092" s="18">
        <v>8</v>
      </c>
    </row>
    <row r="1093" customHeight="1" spans="1:3">
      <c r="A1093" s="5" t="s">
        <v>484</v>
      </c>
      <c r="C1093" s="5">
        <v>1</v>
      </c>
    </row>
    <row r="1094" customHeight="1" spans="1:3">
      <c r="A1094" s="5" t="s">
        <v>484</v>
      </c>
      <c r="C1094" s="5">
        <v>2</v>
      </c>
    </row>
    <row r="1095" customHeight="1" spans="1:3">
      <c r="A1095" s="5" t="s">
        <v>484</v>
      </c>
      <c r="C1095" s="5">
        <v>3</v>
      </c>
    </row>
    <row r="1096" customHeight="1" spans="1:3">
      <c r="A1096" s="5" t="s">
        <v>484</v>
      </c>
      <c r="C1096" s="5">
        <v>4</v>
      </c>
    </row>
    <row r="1097" customHeight="1" spans="1:3">
      <c r="A1097" s="5" t="s">
        <v>484</v>
      </c>
      <c r="C1097" s="5">
        <v>5</v>
      </c>
    </row>
    <row r="1098" customHeight="1" spans="1:3">
      <c r="A1098" s="18" t="s">
        <v>485</v>
      </c>
      <c r="C1098" s="18">
        <v>1</v>
      </c>
    </row>
    <row r="1099" customHeight="1" spans="1:3">
      <c r="A1099" s="18" t="s">
        <v>485</v>
      </c>
      <c r="C1099" s="18">
        <v>2</v>
      </c>
    </row>
    <row r="1100" customHeight="1" spans="1:3">
      <c r="A1100" s="18" t="s">
        <v>485</v>
      </c>
      <c r="C1100" s="18">
        <v>3</v>
      </c>
    </row>
    <row r="1101" customHeight="1" spans="1:3">
      <c r="A1101" s="18" t="s">
        <v>485</v>
      </c>
      <c r="C1101" s="18">
        <v>4</v>
      </c>
    </row>
    <row r="1102" customHeight="1" spans="1:3">
      <c r="A1102" s="18" t="s">
        <v>485</v>
      </c>
      <c r="C1102" s="18">
        <v>5</v>
      </c>
    </row>
    <row r="1103" customHeight="1" spans="1:3">
      <c r="A1103" s="5" t="s">
        <v>485</v>
      </c>
      <c r="C1103" s="5">
        <v>1</v>
      </c>
    </row>
    <row r="1104" customHeight="1" spans="1:3">
      <c r="A1104" s="5" t="s">
        <v>485</v>
      </c>
      <c r="C1104" s="5">
        <v>2</v>
      </c>
    </row>
    <row r="1105" customHeight="1" spans="1:3">
      <c r="A1105" s="5" t="s">
        <v>485</v>
      </c>
      <c r="C1105" s="5">
        <v>3</v>
      </c>
    </row>
    <row r="1106" customHeight="1" spans="1:3">
      <c r="A1106" s="5" t="s">
        <v>485</v>
      </c>
      <c r="C1106" s="5">
        <v>4</v>
      </c>
    </row>
    <row r="1107" customHeight="1" spans="1:3">
      <c r="A1107" s="5" t="s">
        <v>485</v>
      </c>
      <c r="C1107" s="5">
        <v>5</v>
      </c>
    </row>
    <row r="1108" customHeight="1" spans="1:3">
      <c r="A1108" s="18" t="s">
        <v>486</v>
      </c>
      <c r="C1108" s="18">
        <v>1</v>
      </c>
    </row>
    <row r="1109" customHeight="1" spans="1:3">
      <c r="A1109" s="18" t="s">
        <v>486</v>
      </c>
      <c r="C1109" s="18">
        <v>2</v>
      </c>
    </row>
    <row r="1110" customHeight="1" spans="1:3">
      <c r="A1110" s="18" t="s">
        <v>486</v>
      </c>
      <c r="C1110" s="18">
        <v>3</v>
      </c>
    </row>
    <row r="1111" customHeight="1" spans="1:3">
      <c r="A1111" s="18" t="s">
        <v>486</v>
      </c>
      <c r="C1111" s="18">
        <v>4</v>
      </c>
    </row>
    <row r="1112" customHeight="1" spans="1:3">
      <c r="A1112" s="18" t="s">
        <v>486</v>
      </c>
      <c r="C1112" s="18">
        <v>5</v>
      </c>
    </row>
    <row r="1113" customHeight="1" spans="1:3">
      <c r="A1113" s="18" t="s">
        <v>486</v>
      </c>
      <c r="C1113" s="18">
        <v>6</v>
      </c>
    </row>
    <row r="1114" customHeight="1" spans="1:3">
      <c r="A1114" s="18" t="s">
        <v>486</v>
      </c>
      <c r="C1114" s="18">
        <v>7</v>
      </c>
    </row>
    <row r="1115" customHeight="1" spans="1:3">
      <c r="A1115" s="18" t="s">
        <v>486</v>
      </c>
      <c r="C1115" s="18">
        <v>8</v>
      </c>
    </row>
    <row r="1116" customHeight="1" spans="1:3">
      <c r="A1116" s="5" t="s">
        <v>488</v>
      </c>
      <c r="C1116" s="5">
        <v>1</v>
      </c>
    </row>
    <row r="1117" customHeight="1" spans="1:3">
      <c r="A1117" s="5" t="s">
        <v>488</v>
      </c>
      <c r="C1117" s="5">
        <v>2</v>
      </c>
    </row>
    <row r="1118" customHeight="1" spans="1:3">
      <c r="A1118" s="5" t="s">
        <v>488</v>
      </c>
      <c r="C1118" s="5">
        <v>3</v>
      </c>
    </row>
    <row r="1119" customHeight="1" spans="1:3">
      <c r="A1119" s="5" t="s">
        <v>488</v>
      </c>
      <c r="C1119" s="5">
        <v>4</v>
      </c>
    </row>
    <row r="1120" customHeight="1" spans="1:3">
      <c r="A1120" s="5" t="s">
        <v>488</v>
      </c>
      <c r="C1120" s="5">
        <v>5</v>
      </c>
    </row>
    <row r="1121" customHeight="1" spans="1:3">
      <c r="A1121" s="18" t="s">
        <v>489</v>
      </c>
      <c r="C1121" s="18">
        <v>1</v>
      </c>
    </row>
    <row r="1122" customHeight="1" spans="1:3">
      <c r="A1122" s="18" t="s">
        <v>489</v>
      </c>
      <c r="C1122" s="18">
        <v>2</v>
      </c>
    </row>
    <row r="1123" customHeight="1" spans="1:3">
      <c r="A1123" s="18" t="s">
        <v>489</v>
      </c>
      <c r="C1123" s="18">
        <v>3</v>
      </c>
    </row>
    <row r="1124" customHeight="1" spans="1:3">
      <c r="A1124" s="18" t="s">
        <v>489</v>
      </c>
      <c r="C1124" s="18">
        <v>4</v>
      </c>
    </row>
    <row r="1125" customHeight="1" spans="1:3">
      <c r="A1125" s="18" t="s">
        <v>489</v>
      </c>
      <c r="C1125" s="18">
        <v>5</v>
      </c>
    </row>
    <row r="1126" customHeight="1" spans="1:3">
      <c r="A1126" s="5" t="s">
        <v>489</v>
      </c>
      <c r="C1126" s="5">
        <v>1</v>
      </c>
    </row>
    <row r="1127" customHeight="1" spans="1:3">
      <c r="A1127" s="5" t="s">
        <v>489</v>
      </c>
      <c r="C1127" s="5">
        <v>2</v>
      </c>
    </row>
    <row r="1128" customHeight="1" spans="1:3">
      <c r="A1128" s="5" t="s">
        <v>489</v>
      </c>
      <c r="C1128" s="5">
        <v>3</v>
      </c>
    </row>
    <row r="1129" customHeight="1" spans="1:3">
      <c r="A1129" s="5" t="s">
        <v>489</v>
      </c>
      <c r="C1129" s="5">
        <v>4</v>
      </c>
    </row>
    <row r="1130" customHeight="1" spans="1:3">
      <c r="A1130" s="5" t="s">
        <v>489</v>
      </c>
      <c r="C1130" s="5">
        <v>5</v>
      </c>
    </row>
    <row r="1131" customHeight="1" spans="1:3">
      <c r="A1131" s="18" t="s">
        <v>490</v>
      </c>
      <c r="C1131" s="18">
        <v>1</v>
      </c>
    </row>
    <row r="1132" customHeight="1" spans="1:3">
      <c r="A1132" s="18" t="s">
        <v>490</v>
      </c>
      <c r="C1132" s="18">
        <v>2</v>
      </c>
    </row>
    <row r="1133" customHeight="1" spans="1:3">
      <c r="A1133" s="18" t="s">
        <v>490</v>
      </c>
      <c r="C1133" s="18">
        <v>3</v>
      </c>
    </row>
    <row r="1134" customHeight="1" spans="1:3">
      <c r="A1134" s="18" t="s">
        <v>490</v>
      </c>
      <c r="C1134" s="18">
        <v>4</v>
      </c>
    </row>
    <row r="1135" customHeight="1" spans="1:3">
      <c r="A1135" s="18" t="s">
        <v>490</v>
      </c>
      <c r="C1135" s="18">
        <v>5</v>
      </c>
    </row>
    <row r="1136" customHeight="1" spans="1:3">
      <c r="A1136" s="18" t="s">
        <v>490</v>
      </c>
      <c r="C1136" s="18">
        <v>6</v>
      </c>
    </row>
    <row r="1137" customHeight="1" spans="1:3">
      <c r="A1137" s="18" t="s">
        <v>490</v>
      </c>
      <c r="C1137" s="18">
        <v>7</v>
      </c>
    </row>
    <row r="1138" customHeight="1" spans="1:3">
      <c r="A1138" s="18" t="s">
        <v>490</v>
      </c>
      <c r="C1138" s="18">
        <v>8</v>
      </c>
    </row>
    <row r="1139" customHeight="1" spans="1:3">
      <c r="A1139" s="5" t="s">
        <v>492</v>
      </c>
      <c r="C1139" s="5">
        <v>1</v>
      </c>
    </row>
    <row r="1140" customHeight="1" spans="1:3">
      <c r="A1140" s="5" t="s">
        <v>492</v>
      </c>
      <c r="C1140" s="5">
        <v>2</v>
      </c>
    </row>
    <row r="1141" customHeight="1" spans="1:3">
      <c r="A1141" s="5" t="s">
        <v>492</v>
      </c>
      <c r="C1141" s="5">
        <v>3</v>
      </c>
    </row>
    <row r="1142" customHeight="1" spans="1:3">
      <c r="A1142" s="5" t="s">
        <v>492</v>
      </c>
      <c r="C1142" s="5">
        <v>4</v>
      </c>
    </row>
    <row r="1143" customHeight="1" spans="1:3">
      <c r="A1143" s="5" t="s">
        <v>492</v>
      </c>
      <c r="C1143" s="5">
        <v>5</v>
      </c>
    </row>
    <row r="1144" customHeight="1" spans="1:3">
      <c r="A1144" s="18" t="s">
        <v>493</v>
      </c>
      <c r="C1144" s="18">
        <v>1</v>
      </c>
    </row>
    <row r="1145" customHeight="1" spans="1:3">
      <c r="A1145" s="18" t="s">
        <v>493</v>
      </c>
      <c r="C1145" s="18">
        <v>2</v>
      </c>
    </row>
    <row r="1146" customHeight="1" spans="1:3">
      <c r="A1146" s="18" t="s">
        <v>493</v>
      </c>
      <c r="C1146" s="18">
        <v>3</v>
      </c>
    </row>
    <row r="1147" customHeight="1" spans="1:3">
      <c r="A1147" s="18" t="s">
        <v>493</v>
      </c>
      <c r="C1147" s="18">
        <v>4</v>
      </c>
    </row>
    <row r="1148" customHeight="1" spans="1:3">
      <c r="A1148" s="18" t="s">
        <v>493</v>
      </c>
      <c r="C1148" s="18">
        <v>5</v>
      </c>
    </row>
    <row r="1149" customHeight="1" spans="1:3">
      <c r="A1149" s="5" t="s">
        <v>493</v>
      </c>
      <c r="C1149" s="5">
        <v>1</v>
      </c>
    </row>
    <row r="1150" customHeight="1" spans="1:3">
      <c r="A1150" s="5" t="s">
        <v>493</v>
      </c>
      <c r="C1150" s="5">
        <v>2</v>
      </c>
    </row>
    <row r="1151" customHeight="1" spans="1:3">
      <c r="A1151" s="5" t="s">
        <v>493</v>
      </c>
      <c r="C1151" s="5">
        <v>3</v>
      </c>
    </row>
    <row r="1152" customHeight="1" spans="1:3">
      <c r="A1152" s="5" t="s">
        <v>493</v>
      </c>
      <c r="C1152" s="5">
        <v>4</v>
      </c>
    </row>
    <row r="1153" customHeight="1" spans="1:3">
      <c r="A1153" s="5" t="s">
        <v>493</v>
      </c>
      <c r="C1153" s="5">
        <v>5</v>
      </c>
    </row>
    <row r="1154" customHeight="1" spans="1:3">
      <c r="A1154" s="18" t="s">
        <v>494</v>
      </c>
      <c r="C1154" s="18">
        <v>1</v>
      </c>
    </row>
    <row r="1155" customHeight="1" spans="1:3">
      <c r="A1155" s="18" t="s">
        <v>494</v>
      </c>
      <c r="C1155" s="18">
        <v>2</v>
      </c>
    </row>
    <row r="1156" customHeight="1" spans="1:3">
      <c r="A1156" s="18" t="s">
        <v>494</v>
      </c>
      <c r="C1156" s="18">
        <v>3</v>
      </c>
    </row>
    <row r="1157" customHeight="1" spans="1:3">
      <c r="A1157" s="18" t="s">
        <v>494</v>
      </c>
      <c r="C1157" s="18">
        <v>4</v>
      </c>
    </row>
    <row r="1158" customHeight="1" spans="1:3">
      <c r="A1158" s="18" t="s">
        <v>494</v>
      </c>
      <c r="C1158" s="18">
        <v>5</v>
      </c>
    </row>
    <row r="1159" customHeight="1" spans="1:3">
      <c r="A1159" s="18" t="s">
        <v>494</v>
      </c>
      <c r="C1159" s="18">
        <v>6</v>
      </c>
    </row>
    <row r="1160" customHeight="1" spans="1:3">
      <c r="A1160" s="18" t="s">
        <v>494</v>
      </c>
      <c r="C1160" s="18">
        <v>7</v>
      </c>
    </row>
    <row r="1161" customHeight="1" spans="1:3">
      <c r="A1161" s="18" t="s">
        <v>494</v>
      </c>
      <c r="C1161" s="18">
        <v>8</v>
      </c>
    </row>
    <row r="1162" customHeight="1" spans="1:3">
      <c r="A1162" s="5" t="s">
        <v>496</v>
      </c>
      <c r="C1162" s="5">
        <v>1</v>
      </c>
    </row>
    <row r="1163" customHeight="1" spans="1:3">
      <c r="A1163" s="5" t="s">
        <v>496</v>
      </c>
      <c r="C1163" s="5">
        <v>2</v>
      </c>
    </row>
    <row r="1164" customHeight="1" spans="1:3">
      <c r="A1164" s="5" t="s">
        <v>496</v>
      </c>
      <c r="C1164" s="5">
        <v>3</v>
      </c>
    </row>
    <row r="1165" customHeight="1" spans="1:3">
      <c r="A1165" s="5" t="s">
        <v>496</v>
      </c>
      <c r="C1165" s="5">
        <v>4</v>
      </c>
    </row>
    <row r="1166" customHeight="1" spans="1:3">
      <c r="A1166" s="5" t="s">
        <v>496</v>
      </c>
      <c r="C1166" s="5">
        <v>5</v>
      </c>
    </row>
    <row r="1167" customHeight="1" spans="1:3">
      <c r="A1167" s="18" t="s">
        <v>497</v>
      </c>
      <c r="C1167" s="18">
        <v>1</v>
      </c>
    </row>
    <row r="1168" customHeight="1" spans="1:3">
      <c r="A1168" s="18" t="s">
        <v>497</v>
      </c>
      <c r="C1168" s="18">
        <v>2</v>
      </c>
    </row>
    <row r="1169" customHeight="1" spans="1:3">
      <c r="A1169" s="18" t="s">
        <v>497</v>
      </c>
      <c r="C1169" s="18">
        <v>3</v>
      </c>
    </row>
    <row r="1170" customHeight="1" spans="1:3">
      <c r="A1170" s="18" t="s">
        <v>497</v>
      </c>
      <c r="C1170" s="18">
        <v>4</v>
      </c>
    </row>
    <row r="1171" customHeight="1" spans="1:3">
      <c r="A1171" s="18" t="s">
        <v>497</v>
      </c>
      <c r="C1171" s="18">
        <v>5</v>
      </c>
    </row>
    <row r="1172" customHeight="1" spans="1:3">
      <c r="A1172" s="5" t="s">
        <v>497</v>
      </c>
      <c r="C1172" s="5">
        <v>1</v>
      </c>
    </row>
    <row r="1173" customHeight="1" spans="1:3">
      <c r="A1173" s="5" t="s">
        <v>497</v>
      </c>
      <c r="C1173" s="5">
        <v>2</v>
      </c>
    </row>
    <row r="1174" customHeight="1" spans="1:3">
      <c r="A1174" s="5" t="s">
        <v>497</v>
      </c>
      <c r="C1174" s="5">
        <v>3</v>
      </c>
    </row>
    <row r="1175" customHeight="1" spans="1:3">
      <c r="A1175" s="5" t="s">
        <v>497</v>
      </c>
      <c r="C1175" s="5">
        <v>4</v>
      </c>
    </row>
    <row r="1176" customHeight="1" spans="1:3">
      <c r="A1176" s="5" t="s">
        <v>497</v>
      </c>
      <c r="C1176" s="5">
        <v>5</v>
      </c>
    </row>
    <row r="1177" customHeight="1" spans="1:3">
      <c r="A1177" s="18" t="s">
        <v>498</v>
      </c>
      <c r="C1177" s="18">
        <v>1</v>
      </c>
    </row>
    <row r="1178" customHeight="1" spans="1:3">
      <c r="A1178" s="18" t="s">
        <v>498</v>
      </c>
      <c r="C1178" s="18">
        <v>2</v>
      </c>
    </row>
    <row r="1179" customHeight="1" spans="1:3">
      <c r="A1179" s="18" t="s">
        <v>498</v>
      </c>
      <c r="C1179" s="18">
        <v>3</v>
      </c>
    </row>
    <row r="1180" customHeight="1" spans="1:3">
      <c r="A1180" s="18" t="s">
        <v>498</v>
      </c>
      <c r="C1180" s="18">
        <v>4</v>
      </c>
    </row>
    <row r="1181" customHeight="1" spans="1:3">
      <c r="A1181" s="18" t="s">
        <v>498</v>
      </c>
      <c r="C1181" s="18">
        <v>5</v>
      </c>
    </row>
    <row r="1182" customHeight="1" spans="1:3">
      <c r="A1182" s="18" t="s">
        <v>498</v>
      </c>
      <c r="C1182" s="18">
        <v>6</v>
      </c>
    </row>
    <row r="1183" customHeight="1" spans="1:3">
      <c r="A1183" s="18" t="s">
        <v>498</v>
      </c>
      <c r="C1183" s="18">
        <v>7</v>
      </c>
    </row>
    <row r="1184" customHeight="1" spans="1:3">
      <c r="A1184" s="18" t="s">
        <v>498</v>
      </c>
      <c r="C1184" s="18">
        <v>8</v>
      </c>
    </row>
    <row r="1185" customHeight="1" spans="1:3">
      <c r="A1185" s="5" t="s">
        <v>500</v>
      </c>
      <c r="C1185" s="5">
        <v>1</v>
      </c>
    </row>
    <row r="1186" customHeight="1" spans="1:3">
      <c r="A1186" s="5" t="s">
        <v>500</v>
      </c>
      <c r="C1186" s="5">
        <v>2</v>
      </c>
    </row>
    <row r="1187" customHeight="1" spans="1:3">
      <c r="A1187" s="5" t="s">
        <v>500</v>
      </c>
      <c r="C1187" s="5">
        <v>3</v>
      </c>
    </row>
    <row r="1188" customHeight="1" spans="1:3">
      <c r="A1188" s="5" t="s">
        <v>500</v>
      </c>
      <c r="C1188" s="5">
        <v>4</v>
      </c>
    </row>
    <row r="1189" customHeight="1" spans="1:3">
      <c r="A1189" s="5" t="s">
        <v>500</v>
      </c>
      <c r="C1189" s="5">
        <v>5</v>
      </c>
    </row>
    <row r="1190" customHeight="1" spans="1:3">
      <c r="A1190" s="18" t="s">
        <v>501</v>
      </c>
      <c r="C1190" s="18">
        <v>1</v>
      </c>
    </row>
    <row r="1191" customHeight="1" spans="1:3">
      <c r="A1191" s="18" t="s">
        <v>501</v>
      </c>
      <c r="C1191" s="18">
        <v>2</v>
      </c>
    </row>
    <row r="1192" customHeight="1" spans="1:3">
      <c r="A1192" s="18" t="s">
        <v>501</v>
      </c>
      <c r="C1192" s="18">
        <v>3</v>
      </c>
    </row>
    <row r="1193" customHeight="1" spans="1:3">
      <c r="A1193" s="18" t="s">
        <v>501</v>
      </c>
      <c r="C1193" s="18">
        <v>4</v>
      </c>
    </row>
    <row r="1194" customHeight="1" spans="1:3">
      <c r="A1194" s="18" t="s">
        <v>501</v>
      </c>
      <c r="C1194" s="18">
        <v>5</v>
      </c>
    </row>
    <row r="1195" customHeight="1" spans="1:3">
      <c r="A1195" s="5" t="s">
        <v>501</v>
      </c>
      <c r="C1195" s="5">
        <v>1</v>
      </c>
    </row>
    <row r="1196" customHeight="1" spans="1:3">
      <c r="A1196" s="5" t="s">
        <v>501</v>
      </c>
      <c r="C1196" s="5">
        <v>2</v>
      </c>
    </row>
    <row r="1197" customHeight="1" spans="1:3">
      <c r="A1197" s="5" t="s">
        <v>501</v>
      </c>
      <c r="C1197" s="5">
        <v>3</v>
      </c>
    </row>
    <row r="1198" customHeight="1" spans="1:3">
      <c r="A1198" s="5" t="s">
        <v>501</v>
      </c>
      <c r="C1198" s="5">
        <v>4</v>
      </c>
    </row>
    <row r="1199" customHeight="1" spans="1:3">
      <c r="A1199" s="5" t="s">
        <v>501</v>
      </c>
      <c r="C1199" s="5">
        <v>5</v>
      </c>
    </row>
    <row r="1200" customHeight="1" spans="1:3">
      <c r="A1200" s="18" t="s">
        <v>502</v>
      </c>
      <c r="C1200" s="18">
        <v>1</v>
      </c>
    </row>
    <row r="1201" customHeight="1" spans="1:3">
      <c r="A1201" s="18" t="s">
        <v>502</v>
      </c>
      <c r="C1201" s="18">
        <v>2</v>
      </c>
    </row>
    <row r="1202" customHeight="1" spans="1:3">
      <c r="A1202" s="18" t="s">
        <v>502</v>
      </c>
      <c r="C1202" s="18">
        <v>3</v>
      </c>
    </row>
    <row r="1203" customHeight="1" spans="1:3">
      <c r="A1203" s="18" t="s">
        <v>502</v>
      </c>
      <c r="C1203" s="18">
        <v>4</v>
      </c>
    </row>
    <row r="1204" customHeight="1" spans="1:3">
      <c r="A1204" s="18" t="s">
        <v>502</v>
      </c>
      <c r="C1204" s="18">
        <v>5</v>
      </c>
    </row>
    <row r="1205" customHeight="1" spans="1:3">
      <c r="A1205" s="18" t="s">
        <v>502</v>
      </c>
      <c r="C1205" s="18">
        <v>6</v>
      </c>
    </row>
    <row r="1206" customHeight="1" spans="1:3">
      <c r="A1206" s="18" t="s">
        <v>502</v>
      </c>
      <c r="C1206" s="18">
        <v>7</v>
      </c>
    </row>
    <row r="1207" customHeight="1" spans="1:3">
      <c r="A1207" s="18" t="s">
        <v>502</v>
      </c>
      <c r="C1207" s="18">
        <v>8</v>
      </c>
    </row>
  </sheetData>
  <mergeCells count="2">
    <mergeCell ref="X1:X4"/>
    <mergeCell ref="AG1:AG4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4:AG16"/>
  <sheetViews>
    <sheetView showGridLines="0" zoomScale="90" zoomScaleNormal="90" workbookViewId="0">
      <selection activeCell="T16" sqref="T16"/>
    </sheetView>
  </sheetViews>
  <sheetFormatPr defaultColWidth="9" defaultRowHeight="20" customHeight="1"/>
  <cols>
    <col min="1" max="1" width="20.625" style="1" customWidth="1"/>
    <col min="2" max="2" width="15" style="1" customWidth="1"/>
    <col min="3" max="3" width="9" style="1"/>
    <col min="4" max="4" width="8.875" style="1" customWidth="1"/>
    <col min="5" max="5" width="5.625" style="1" customWidth="1"/>
    <col min="6" max="6" width="8.875" style="1" customWidth="1"/>
    <col min="7" max="7" width="5.625" style="1" customWidth="1"/>
    <col min="8" max="8" width="6.75" style="1" customWidth="1"/>
    <col min="9" max="9" width="5.625" style="1" customWidth="1"/>
    <col min="10" max="10" width="6.75" style="1" customWidth="1"/>
    <col min="11" max="11" width="5.625" style="1" customWidth="1"/>
    <col min="12" max="12" width="6.75" style="1" customWidth="1"/>
    <col min="13" max="13" width="5.625" style="1" customWidth="1"/>
    <col min="14" max="14" width="6.75" style="1" customWidth="1"/>
    <col min="15" max="15" width="5.625" style="1" customWidth="1"/>
    <col min="16" max="16" width="6.75" style="1" customWidth="1"/>
    <col min="17" max="17" width="5.625" style="1" customWidth="1"/>
    <col min="18" max="18" width="6.75" style="1" customWidth="1"/>
    <col min="19" max="19" width="5.625" style="1" customWidth="1"/>
    <col min="20" max="22" width="7" style="1" customWidth="1"/>
    <col min="23" max="23" width="9.875" style="1" customWidth="1"/>
    <col min="24" max="24" width="9" style="1"/>
    <col min="25" max="32" width="6.75" style="1" customWidth="1"/>
    <col min="33" max="16384" width="9" style="1"/>
  </cols>
  <sheetData>
    <row r="4" ht="36" customHeight="1" spans="1:33">
      <c r="A4" s="2" t="s">
        <v>285</v>
      </c>
      <c r="B4" s="2" t="s">
        <v>574</v>
      </c>
      <c r="C4" s="3" t="s">
        <v>216</v>
      </c>
      <c r="D4" s="4" t="s">
        <v>577</v>
      </c>
      <c r="E4" s="4" t="s">
        <v>598</v>
      </c>
      <c r="F4" s="4" t="s">
        <v>579</v>
      </c>
      <c r="G4" s="4" t="s">
        <v>598</v>
      </c>
      <c r="H4" s="4" t="s">
        <v>580</v>
      </c>
      <c r="I4" s="4" t="s">
        <v>598</v>
      </c>
      <c r="J4" s="2" t="s">
        <v>582</v>
      </c>
      <c r="K4" s="2" t="s">
        <v>598</v>
      </c>
      <c r="L4" s="2" t="s">
        <v>583</v>
      </c>
      <c r="M4" s="2" t="s">
        <v>598</v>
      </c>
      <c r="N4" s="2" t="s">
        <v>584</v>
      </c>
      <c r="O4" s="2" t="s">
        <v>598</v>
      </c>
      <c r="P4" s="8" t="s">
        <v>217</v>
      </c>
      <c r="Q4" s="8" t="s">
        <v>598</v>
      </c>
      <c r="R4" s="8" t="s">
        <v>218</v>
      </c>
      <c r="S4" s="8" t="s">
        <v>598</v>
      </c>
      <c r="T4" s="4" t="s">
        <v>603</v>
      </c>
      <c r="U4" s="9" t="s">
        <v>604</v>
      </c>
      <c r="V4" s="10" t="s">
        <v>605</v>
      </c>
      <c r="W4" s="11" t="s">
        <v>606</v>
      </c>
      <c r="X4" s="12"/>
      <c r="Y4" s="4" t="s">
        <v>577</v>
      </c>
      <c r="Z4" s="4" t="s">
        <v>579</v>
      </c>
      <c r="AA4" s="4" t="s">
        <v>580</v>
      </c>
      <c r="AB4" s="2" t="s">
        <v>582</v>
      </c>
      <c r="AC4" s="2" t="s">
        <v>583</v>
      </c>
      <c r="AD4" s="2" t="s">
        <v>584</v>
      </c>
      <c r="AE4" s="8" t="s">
        <v>217</v>
      </c>
      <c r="AF4" s="8" t="s">
        <v>218</v>
      </c>
      <c r="AG4" s="12"/>
    </row>
    <row r="5" customHeight="1" spans="1:32">
      <c r="A5" s="5" t="s">
        <v>607</v>
      </c>
      <c r="B5" s="6" t="s">
        <v>608</v>
      </c>
      <c r="C5" s="1">
        <v>1</v>
      </c>
      <c r="D5" s="1" t="s">
        <v>106</v>
      </c>
      <c r="E5" s="1">
        <v>0</v>
      </c>
      <c r="J5" s="1" t="s">
        <v>207</v>
      </c>
      <c r="K5" s="1">
        <v>4000</v>
      </c>
      <c r="L5" s="1" t="s">
        <v>199</v>
      </c>
      <c r="M5" s="1">
        <v>150</v>
      </c>
      <c r="N5" s="1" t="s">
        <v>206</v>
      </c>
      <c r="O5" s="1">
        <v>750</v>
      </c>
      <c r="P5" s="1" t="s">
        <v>106</v>
      </c>
      <c r="Q5" s="1">
        <v>30</v>
      </c>
      <c r="T5" s="1">
        <f t="shared" ref="T5:T8" si="0">SUM(Y5:AA5)</f>
        <v>0</v>
      </c>
      <c r="U5" s="1">
        <f>SUM(AB5:AD5)</f>
        <v>110</v>
      </c>
      <c r="V5" s="13">
        <f t="shared" ref="V5:V8" si="1">SUM(AE5:AF5)</f>
        <v>600</v>
      </c>
      <c r="W5" s="14">
        <f t="shared" ref="W5:W8" si="2">V5-T5-U5</f>
        <v>490</v>
      </c>
      <c r="Y5" s="1">
        <f>IFERROR(ROUND(E5*VLOOKUP(D5,商品!$A$4:$D$67,4,FALSE),0),"")</f>
        <v>0</v>
      </c>
      <c r="Z5" s="1" t="str">
        <f>IFERROR(ROUND(G5*VLOOKUP(F5,商品!$A$4:$D$67,4,FALSE),0),"")</f>
        <v/>
      </c>
      <c r="AA5" s="1" t="str">
        <f>IFERROR(ROUND(I5*VLOOKUP(H5,商品!$A$4:$D$67,4,FALSE),0),"")</f>
        <v/>
      </c>
      <c r="AB5" s="1">
        <f>IFERROR(ROUND(K5*VLOOKUP(J5,职业!$A$3:$E$16,4,FALSE),0),"")</f>
        <v>88</v>
      </c>
      <c r="AC5" s="1">
        <f>IFERROR(ROUND(M5*VLOOKUP(L5,职业!$A$3:$E$16,4,FALSE),0),"")</f>
        <v>5</v>
      </c>
      <c r="AD5" s="1">
        <f>IFERROR(ROUND(O5*VLOOKUP(N5,职业!$A$3:$E$16,4,FALSE),0),"")</f>
        <v>17</v>
      </c>
      <c r="AE5" s="1">
        <f>IFERROR(ROUND(Q5*VLOOKUP(P5,商品!$A$4:$D$67,4,FALSE),0),"")</f>
        <v>600</v>
      </c>
      <c r="AF5" s="1" t="str">
        <f>IFERROR(ROUND(S5*VLOOKUP(R5,商品!$A$4:$D$67,4,FALSE),0),"")</f>
        <v/>
      </c>
    </row>
    <row r="6" customHeight="1" spans="1:32">
      <c r="A6" s="5" t="s">
        <v>607</v>
      </c>
      <c r="B6" s="1" t="s">
        <v>609</v>
      </c>
      <c r="C6" s="1">
        <v>2</v>
      </c>
      <c r="D6" s="1" t="s">
        <v>128</v>
      </c>
      <c r="E6" s="1">
        <v>10</v>
      </c>
      <c r="J6" s="1" t="s">
        <v>207</v>
      </c>
      <c r="K6" s="1">
        <v>3750</v>
      </c>
      <c r="L6" s="1" t="s">
        <v>199</v>
      </c>
      <c r="M6" s="1">
        <v>150</v>
      </c>
      <c r="N6" s="1" t="s">
        <v>206</v>
      </c>
      <c r="O6" s="1">
        <v>1000</v>
      </c>
      <c r="P6" s="1" t="s">
        <v>106</v>
      </c>
      <c r="Q6" s="1">
        <v>50</v>
      </c>
      <c r="T6" s="1">
        <f t="shared" si="0"/>
        <v>600</v>
      </c>
      <c r="U6" s="1">
        <f>SUM(AB6:AD6)</f>
        <v>110</v>
      </c>
      <c r="V6" s="13">
        <f t="shared" si="1"/>
        <v>1000</v>
      </c>
      <c r="W6" s="14">
        <f t="shared" si="2"/>
        <v>290</v>
      </c>
      <c r="Y6" s="1">
        <f>IFERROR(ROUND(E6*VLOOKUP(D6,商品!$A$4:$D$67,4,FALSE),0),"")</f>
        <v>600</v>
      </c>
      <c r="Z6" s="1" t="str">
        <f>IFERROR(ROUND(G6*VLOOKUP(F6,商品!$A$4:$D$67,4,FALSE),0),"")</f>
        <v/>
      </c>
      <c r="AA6" s="1" t="str">
        <f>IFERROR(ROUND(I6*VLOOKUP(H6,商品!$A$4:$D$67,4,FALSE),0),"")</f>
        <v/>
      </c>
      <c r="AB6" s="1">
        <f>IFERROR(ROUND(K6*VLOOKUP(J6,职业!$A$3:$E$16,4,FALSE),0),"")</f>
        <v>83</v>
      </c>
      <c r="AC6" s="1">
        <f>IFERROR(ROUND(M6*VLOOKUP(L6,职业!$A$3:$E$16,4,FALSE),0),"")</f>
        <v>5</v>
      </c>
      <c r="AD6" s="1">
        <f>IFERROR(ROUND(O6*VLOOKUP(N6,职业!$A$3:$E$16,4,FALSE),0),"")</f>
        <v>22</v>
      </c>
      <c r="AE6" s="1">
        <f>IFERROR(ROUND(Q6*VLOOKUP(P6,商品!$A$4:$D$67,4,FALSE),0),"")</f>
        <v>1000</v>
      </c>
      <c r="AF6" s="1" t="str">
        <f>IFERROR(ROUND(S6*VLOOKUP(R6,商品!$A$4:$D$67,4,FALSE),0),"")</f>
        <v/>
      </c>
    </row>
    <row r="7" customHeight="1" spans="1:32">
      <c r="A7" s="5" t="s">
        <v>607</v>
      </c>
      <c r="B7" s="1" t="s">
        <v>128</v>
      </c>
      <c r="C7" s="1">
        <v>3</v>
      </c>
      <c r="D7" s="1" t="s">
        <v>128</v>
      </c>
      <c r="E7" s="1">
        <v>30</v>
      </c>
      <c r="J7" s="1" t="s">
        <v>207</v>
      </c>
      <c r="K7" s="1">
        <v>3250</v>
      </c>
      <c r="L7" s="1" t="s">
        <v>199</v>
      </c>
      <c r="M7" s="1">
        <v>150</v>
      </c>
      <c r="N7" s="1" t="s">
        <v>206</v>
      </c>
      <c r="O7" s="1">
        <v>1500</v>
      </c>
      <c r="P7" s="1" t="s">
        <v>106</v>
      </c>
      <c r="Q7" s="1">
        <v>95</v>
      </c>
      <c r="T7" s="1">
        <f t="shared" si="0"/>
        <v>1800</v>
      </c>
      <c r="U7" s="1">
        <f>SUM(AB7:AD7)</f>
        <v>110</v>
      </c>
      <c r="V7" s="13">
        <f t="shared" si="1"/>
        <v>1900</v>
      </c>
      <c r="W7" s="14">
        <f t="shared" si="2"/>
        <v>-10</v>
      </c>
      <c r="Y7" s="1">
        <f>IFERROR(ROUND(E7*VLOOKUP(D7,商品!$A$4:$D$67,4,FALSE),0),"")</f>
        <v>1800</v>
      </c>
      <c r="Z7" s="1" t="str">
        <f>IFERROR(ROUND(G7*VLOOKUP(F7,商品!$A$4:$D$67,4,FALSE),0),"")</f>
        <v/>
      </c>
      <c r="AA7" s="1" t="str">
        <f>IFERROR(ROUND(I7*VLOOKUP(H7,商品!$A$4:$D$67,4,FALSE),0),"")</f>
        <v/>
      </c>
      <c r="AB7" s="1">
        <f>IFERROR(ROUND(K7*VLOOKUP(J7,职业!$A$3:$E$16,4,FALSE),0),"")</f>
        <v>72</v>
      </c>
      <c r="AC7" s="1">
        <f>IFERROR(ROUND(M7*VLOOKUP(L7,职业!$A$3:$E$16,4,FALSE),0),"")</f>
        <v>5</v>
      </c>
      <c r="AD7" s="1">
        <f>IFERROR(ROUND(O7*VLOOKUP(N7,职业!$A$3:$E$16,4,FALSE),0),"")</f>
        <v>33</v>
      </c>
      <c r="AE7" s="1">
        <f>IFERROR(ROUND(Q7*VLOOKUP(P7,商品!$A$4:$D$67,4,FALSE),0),"")</f>
        <v>1900</v>
      </c>
      <c r="AF7" s="1" t="str">
        <f>IFERROR(ROUND(S7*VLOOKUP(R7,商品!$A$4:$D$67,4,FALSE),0),"")</f>
        <v/>
      </c>
    </row>
    <row r="8" customHeight="1" spans="1:32">
      <c r="A8" s="5" t="s">
        <v>607</v>
      </c>
      <c r="B8" s="1" t="s">
        <v>610</v>
      </c>
      <c r="C8" s="1">
        <v>4</v>
      </c>
      <c r="D8" s="1" t="s">
        <v>128</v>
      </c>
      <c r="E8" s="1">
        <v>60</v>
      </c>
      <c r="J8" s="1" t="s">
        <v>207</v>
      </c>
      <c r="K8" s="1">
        <v>2500</v>
      </c>
      <c r="L8" s="1" t="s">
        <v>199</v>
      </c>
      <c r="M8" s="1">
        <v>150</v>
      </c>
      <c r="N8" s="1" t="s">
        <v>206</v>
      </c>
      <c r="O8" s="1">
        <v>2250</v>
      </c>
      <c r="P8" s="1" t="s">
        <v>106</v>
      </c>
      <c r="Q8" s="1">
        <v>165</v>
      </c>
      <c r="T8" s="1">
        <f t="shared" si="0"/>
        <v>3600</v>
      </c>
      <c r="U8" s="1">
        <f>SUM(AB8:AD8)</f>
        <v>110</v>
      </c>
      <c r="V8" s="13">
        <f t="shared" si="1"/>
        <v>3300</v>
      </c>
      <c r="W8" s="14">
        <f t="shared" si="2"/>
        <v>-410</v>
      </c>
      <c r="Y8" s="1">
        <f>IFERROR(ROUND(E8*VLOOKUP(D8,商品!$A$4:$D$67,4,FALSE),0),"")</f>
        <v>3600</v>
      </c>
      <c r="Z8" s="1" t="str">
        <f>IFERROR(ROUND(G8*VLOOKUP(F8,商品!$A$4:$D$67,4,FALSE),0),"")</f>
        <v/>
      </c>
      <c r="AA8" s="1" t="str">
        <f>IFERROR(ROUND(I8*VLOOKUP(H8,商品!$A$4:$D$67,4,FALSE),0),"")</f>
        <v/>
      </c>
      <c r="AB8" s="1">
        <f>IFERROR(ROUND(K8*VLOOKUP(J8,职业!$A$3:$E$16,4,FALSE),0),"")</f>
        <v>55</v>
      </c>
      <c r="AC8" s="1">
        <f>IFERROR(ROUND(M8*VLOOKUP(L8,职业!$A$3:$E$16,4,FALSE),0),"")</f>
        <v>5</v>
      </c>
      <c r="AD8" s="1">
        <f>IFERROR(ROUND(O8*VLOOKUP(N8,职业!$A$3:$E$16,4,FALSE),0),"")</f>
        <v>50</v>
      </c>
      <c r="AE8" s="1">
        <f>IFERROR(ROUND(Q8*VLOOKUP(P8,商品!$A$4:$D$67,4,FALSE),0),"")</f>
        <v>3300</v>
      </c>
      <c r="AF8" s="1" t="str">
        <f>IFERROR(ROUND(S8*VLOOKUP(R8,商品!$A$4:$D$67,4,FALSE),0),"")</f>
        <v/>
      </c>
    </row>
    <row r="9" customHeight="1" spans="1:23">
      <c r="A9" s="7" t="s">
        <v>611</v>
      </c>
      <c r="B9" s="1" t="s">
        <v>612</v>
      </c>
      <c r="C9" s="1">
        <v>1</v>
      </c>
      <c r="W9" s="15"/>
    </row>
    <row r="10" customHeight="1" spans="1:32">
      <c r="A10" s="7" t="s">
        <v>611</v>
      </c>
      <c r="B10" s="1" t="s">
        <v>613</v>
      </c>
      <c r="C10" s="1">
        <v>2</v>
      </c>
      <c r="D10" s="1" t="s">
        <v>106</v>
      </c>
      <c r="E10" s="1">
        <v>15</v>
      </c>
      <c r="P10" s="1" t="s">
        <v>115</v>
      </c>
      <c r="Q10" s="1">
        <v>6</v>
      </c>
      <c r="R10" s="1" t="s">
        <v>113</v>
      </c>
      <c r="S10" s="1">
        <v>4</v>
      </c>
      <c r="T10" s="1">
        <f t="shared" ref="T10:T16" si="3">SUM(Y10:AA10)</f>
        <v>300</v>
      </c>
      <c r="U10" s="1">
        <f>SUM(AB10:AC10)</f>
        <v>0</v>
      </c>
      <c r="V10" s="13">
        <f t="shared" ref="V10:V16" si="4">SUM(AE10:AF10)</f>
        <v>400</v>
      </c>
      <c r="W10" s="14">
        <f t="shared" ref="W10:W16" si="5">V10-T10-U10</f>
        <v>100</v>
      </c>
      <c r="Y10" s="1">
        <f>IFERROR(ROUND(E10*VLOOKUP(D10,商品!$A$4:$D$67,4,FALSE),0),"")</f>
        <v>300</v>
      </c>
      <c r="Z10" s="1" t="str">
        <f>IFERROR(ROUND(G10*VLOOKUP(F10,商品!$A$4:$D$67,4,FALSE),0),"")</f>
        <v/>
      </c>
      <c r="AA10" s="1" t="str">
        <f>IFERROR(ROUND(I10*VLOOKUP(H10,商品!$A$4:$D$67,4,FALSE),0),"")</f>
        <v/>
      </c>
      <c r="AB10" s="1" t="str">
        <f>IFERROR(ROUND(K10*VLOOKUP(J10,职业!$A$3:$E$16,4,FALSE),0),"")</f>
        <v/>
      </c>
      <c r="AC10" s="1" t="str">
        <f>IFERROR(ROUND(M10*VLOOKUP(L10,职业!$A$3:$E$16,4,FALSE),0),"")</f>
        <v/>
      </c>
      <c r="AD10" s="1" t="str">
        <f>IFERROR(ROUND(O10*VLOOKUP(N10,职业!$A$3:$E$16,4,FALSE),0),"")</f>
        <v/>
      </c>
      <c r="AE10" s="1">
        <f>IFERROR(ROUND(Q10*VLOOKUP(P10,商品!$A$4:$D$67,4,FALSE),0),"")</f>
        <v>240</v>
      </c>
      <c r="AF10" s="1">
        <f>IFERROR(ROUND(S10*VLOOKUP(R10,商品!$A$4:$D$67,4,FALSE),0),"")</f>
        <v>160</v>
      </c>
    </row>
    <row r="11" customHeight="1" spans="1:32">
      <c r="A11" s="7" t="s">
        <v>611</v>
      </c>
      <c r="B11" s="1" t="s">
        <v>614</v>
      </c>
      <c r="C11" s="1">
        <v>3</v>
      </c>
      <c r="D11" s="1" t="s">
        <v>106</v>
      </c>
      <c r="E11" s="1">
        <v>20</v>
      </c>
      <c r="P11" s="1" t="s">
        <v>139</v>
      </c>
      <c r="Q11" s="1">
        <v>8</v>
      </c>
      <c r="T11" s="1">
        <f t="shared" si="3"/>
        <v>400</v>
      </c>
      <c r="U11" s="1">
        <f>SUM(AB11:AC11)</f>
        <v>0</v>
      </c>
      <c r="V11" s="13">
        <f t="shared" si="4"/>
        <v>240</v>
      </c>
      <c r="W11" s="14">
        <f t="shared" si="5"/>
        <v>-160</v>
      </c>
      <c r="Y11" s="1">
        <f>IFERROR(ROUND(E11*VLOOKUP(D11,商品!$A$4:$D$67,4,FALSE),0),"")</f>
        <v>400</v>
      </c>
      <c r="Z11" s="1" t="str">
        <f>IFERROR(ROUND(G11*VLOOKUP(F11,商品!$A$4:$D$67,4,FALSE),0),"")</f>
        <v/>
      </c>
      <c r="AA11" s="1" t="str">
        <f>IFERROR(ROUND(I11*VLOOKUP(H11,商品!$A$4:$D$67,4,FALSE),0),"")</f>
        <v/>
      </c>
      <c r="AB11" s="1" t="str">
        <f>IFERROR(ROUND(K11*VLOOKUP(J11,职业!$A$3:$E$16,4,FALSE),0),"")</f>
        <v/>
      </c>
      <c r="AC11" s="1" t="str">
        <f>IFERROR(ROUND(M11*VLOOKUP(L11,职业!$A$3:$E$16,4,FALSE),0),"")</f>
        <v/>
      </c>
      <c r="AD11" s="1" t="str">
        <f>IFERROR(ROUND(O11*VLOOKUP(N11,职业!$A$3:$E$16,4,FALSE),0),"")</f>
        <v/>
      </c>
      <c r="AE11" s="1">
        <f>IFERROR(ROUND(Q11*VLOOKUP(P11,商品!$A$4:$D$67,4,FALSE),0),"")</f>
        <v>240</v>
      </c>
      <c r="AF11" s="1" t="str">
        <f>IFERROR(ROUND(S11*VLOOKUP(R11,商品!$A$4:$D$67,4,FALSE),0),"")</f>
        <v/>
      </c>
    </row>
    <row r="12" customHeight="1" spans="1:23">
      <c r="A12" s="5" t="s">
        <v>615</v>
      </c>
      <c r="B12" s="1" t="s">
        <v>616</v>
      </c>
      <c r="C12" s="1">
        <v>1</v>
      </c>
      <c r="W12" s="15"/>
    </row>
    <row r="13" customHeight="1" spans="1:32">
      <c r="A13" s="5" t="s">
        <v>615</v>
      </c>
      <c r="B13" s="1" t="s">
        <v>617</v>
      </c>
      <c r="C13" s="1">
        <v>2</v>
      </c>
      <c r="D13" s="1" t="s">
        <v>145</v>
      </c>
      <c r="E13" s="1">
        <v>5</v>
      </c>
      <c r="J13" s="1" t="s">
        <v>207</v>
      </c>
      <c r="K13" s="1">
        <v>-1000</v>
      </c>
      <c r="L13" s="1" t="s">
        <v>206</v>
      </c>
      <c r="M13" s="1">
        <v>200</v>
      </c>
      <c r="T13" s="1">
        <f t="shared" si="3"/>
        <v>200</v>
      </c>
      <c r="U13" s="1">
        <f t="shared" ref="U13:U16" si="6">SUM(AB13:AD13)</f>
        <v>-18</v>
      </c>
      <c r="V13" s="13">
        <f t="shared" si="4"/>
        <v>0</v>
      </c>
      <c r="W13" s="14">
        <f t="shared" si="5"/>
        <v>-182</v>
      </c>
      <c r="Y13" s="1">
        <f>IFERROR(ROUND(E13*VLOOKUP(D13,商品!$A$4:$D$67,4,FALSE),0),"")</f>
        <v>200</v>
      </c>
      <c r="Z13" s="1" t="str">
        <f>IFERROR(ROUND(G13*VLOOKUP(F13,商品!$A$4:$D$67,4,FALSE),0),"")</f>
        <v/>
      </c>
      <c r="AA13" s="1" t="str">
        <f>IFERROR(ROUND(I13*VLOOKUP(H13,商品!$A$4:$D$67,4,FALSE),0),"")</f>
        <v/>
      </c>
      <c r="AB13" s="1">
        <f>IFERROR(ROUND(K13*VLOOKUP(J13,职业!$A$3:$E$16,4,FALSE),0),"")</f>
        <v>-22</v>
      </c>
      <c r="AC13" s="1">
        <f>IFERROR(ROUND(M13*VLOOKUP(L13,职业!$A$3:$E$16,4,FALSE),0),"")</f>
        <v>4</v>
      </c>
      <c r="AD13" s="1" t="str">
        <f>IFERROR(ROUND(O13*VLOOKUP(N13,职业!$A$3:$E$16,4,FALSE),0),"")</f>
        <v/>
      </c>
      <c r="AE13" s="1" t="str">
        <f>IFERROR(ROUND(Q13*VLOOKUP(P13,商品!$A$4:$D$67,4,FALSE),0),"")</f>
        <v/>
      </c>
      <c r="AF13" s="1" t="str">
        <f>IFERROR(ROUND(S13*VLOOKUP(R13,商品!$A$4:$D$67,4,FALSE),0),"")</f>
        <v/>
      </c>
    </row>
    <row r="14" customHeight="1" spans="1:32">
      <c r="A14" s="5" t="s">
        <v>615</v>
      </c>
      <c r="B14" s="1" t="s">
        <v>618</v>
      </c>
      <c r="C14" s="1">
        <v>3</v>
      </c>
      <c r="D14" s="1" t="s">
        <v>145</v>
      </c>
      <c r="E14" s="1">
        <v>5</v>
      </c>
      <c r="F14" s="1" t="s">
        <v>122</v>
      </c>
      <c r="G14" s="1">
        <v>5</v>
      </c>
      <c r="J14" s="1" t="s">
        <v>207</v>
      </c>
      <c r="K14" s="1">
        <v>-2000</v>
      </c>
      <c r="L14" s="1" t="s">
        <v>206</v>
      </c>
      <c r="M14" s="1">
        <v>400</v>
      </c>
      <c r="T14" s="1">
        <f t="shared" si="3"/>
        <v>350</v>
      </c>
      <c r="U14" s="1">
        <f t="shared" si="6"/>
        <v>-35</v>
      </c>
      <c r="V14" s="13">
        <f t="shared" si="4"/>
        <v>0</v>
      </c>
      <c r="W14" s="14">
        <f t="shared" si="5"/>
        <v>-315</v>
      </c>
      <c r="Y14" s="1">
        <f>IFERROR(ROUND(E14*VLOOKUP(D14,商品!$A$4:$D$67,4,FALSE),0),"")</f>
        <v>200</v>
      </c>
      <c r="Z14" s="1">
        <f>IFERROR(ROUND(G14*VLOOKUP(F14,商品!$A$4:$D$67,4,FALSE),0),"")</f>
        <v>150</v>
      </c>
      <c r="AA14" s="1" t="str">
        <f>IFERROR(ROUND(I14*VLOOKUP(H14,商品!$A$4:$D$67,4,FALSE),0),"")</f>
        <v/>
      </c>
      <c r="AB14" s="1">
        <f>IFERROR(ROUND(K14*VLOOKUP(J14,职业!$A$3:$E$16,4,FALSE),0),"")</f>
        <v>-44</v>
      </c>
      <c r="AC14" s="1">
        <f>IFERROR(ROUND(M14*VLOOKUP(L14,职业!$A$3:$E$16,4,FALSE),0),"")</f>
        <v>9</v>
      </c>
      <c r="AD14" s="1" t="str">
        <f>IFERROR(ROUND(O14*VLOOKUP(N14,职业!$A$3:$E$16,4,FALSE),0),"")</f>
        <v/>
      </c>
      <c r="AE14" s="1" t="str">
        <f>IFERROR(ROUND(Q14*VLOOKUP(P14,商品!$A$4:$D$67,4,FALSE),0),"")</f>
        <v/>
      </c>
      <c r="AF14" s="1" t="str">
        <f>IFERROR(ROUND(S14*VLOOKUP(R14,商品!$A$4:$D$67,4,FALSE),0),"")</f>
        <v/>
      </c>
    </row>
    <row r="15" customHeight="1" spans="1:32">
      <c r="A15" s="5" t="s">
        <v>615</v>
      </c>
      <c r="B15" s="1" t="s">
        <v>619</v>
      </c>
      <c r="C15" s="1">
        <v>4</v>
      </c>
      <c r="D15" s="1" t="s">
        <v>122</v>
      </c>
      <c r="E15" s="1">
        <v>10</v>
      </c>
      <c r="F15" s="1" t="s">
        <v>149</v>
      </c>
      <c r="G15" s="1">
        <v>1</v>
      </c>
      <c r="J15" s="1" t="s">
        <v>207</v>
      </c>
      <c r="K15" s="1">
        <v>-2500</v>
      </c>
      <c r="L15" s="1" t="s">
        <v>206</v>
      </c>
      <c r="M15" s="1">
        <v>-500</v>
      </c>
      <c r="N15" s="1" t="s">
        <v>620</v>
      </c>
      <c r="O15" s="1">
        <v>150</v>
      </c>
      <c r="T15" s="1">
        <f t="shared" si="3"/>
        <v>380</v>
      </c>
      <c r="U15" s="1">
        <f t="shared" si="6"/>
        <v>-66</v>
      </c>
      <c r="V15" s="13">
        <f t="shared" si="4"/>
        <v>0</v>
      </c>
      <c r="W15" s="14">
        <f t="shared" si="5"/>
        <v>-314</v>
      </c>
      <c r="Y15" s="1">
        <f>IFERROR(ROUND(E15*VLOOKUP(D15,商品!$A$4:$D$67,4,FALSE),0),"")</f>
        <v>300</v>
      </c>
      <c r="Z15" s="1">
        <f>IFERROR(ROUND(G15*VLOOKUP(F15,商品!$A$4:$D$67,4,FALSE),0),"")</f>
        <v>80</v>
      </c>
      <c r="AA15" s="1" t="str">
        <f>IFERROR(ROUND(I15*VLOOKUP(H15,商品!$A$4:$D$67,4,FALSE),0),"")</f>
        <v/>
      </c>
      <c r="AB15" s="1">
        <f>IFERROR(ROUND(K15*VLOOKUP(J15,职业!$A$3:$E$16,4,FALSE),0),"")</f>
        <v>-55</v>
      </c>
      <c r="AC15" s="1">
        <f>IFERROR(ROUND(M15*VLOOKUP(L15,职业!$A$3:$E$16,4,FALSE),0),"")</f>
        <v>-11</v>
      </c>
      <c r="AD15" s="1" t="str">
        <f>IFERROR(ROUND(O15*VLOOKUP(N15,职业!$A$3:$E$16,4,FALSE),0),"")</f>
        <v/>
      </c>
      <c r="AE15" s="1" t="str">
        <f>IFERROR(ROUND(Q15*VLOOKUP(P15,商品!$A$4:$D$67,4,FALSE),0),"")</f>
        <v/>
      </c>
      <c r="AF15" s="1" t="str">
        <f>IFERROR(ROUND(S15*VLOOKUP(R15,商品!$A$4:$D$67,4,FALSE),0),"")</f>
        <v/>
      </c>
    </row>
    <row r="16" customHeight="1" spans="1:32">
      <c r="A16" s="5" t="s">
        <v>615</v>
      </c>
      <c r="B16" s="1" t="s">
        <v>621</v>
      </c>
      <c r="C16" s="1">
        <v>5</v>
      </c>
      <c r="D16" s="1" t="s">
        <v>149</v>
      </c>
      <c r="E16" s="1">
        <v>1</v>
      </c>
      <c r="F16" s="1" t="s">
        <v>622</v>
      </c>
      <c r="G16" s="1">
        <v>5</v>
      </c>
      <c r="J16" s="1" t="s">
        <v>207</v>
      </c>
      <c r="K16" s="1">
        <v>-3000</v>
      </c>
      <c r="L16" s="1" t="s">
        <v>206</v>
      </c>
      <c r="M16" s="1">
        <v>-750</v>
      </c>
      <c r="N16" s="1" t="s">
        <v>620</v>
      </c>
      <c r="O16" s="1">
        <v>300</v>
      </c>
      <c r="T16" s="1">
        <f t="shared" si="3"/>
        <v>80</v>
      </c>
      <c r="U16" s="1">
        <f t="shared" si="6"/>
        <v>-83</v>
      </c>
      <c r="V16" s="13">
        <f t="shared" si="4"/>
        <v>0</v>
      </c>
      <c r="W16" s="14">
        <f t="shared" si="5"/>
        <v>3</v>
      </c>
      <c r="Y16" s="1">
        <f>IFERROR(ROUND(E16*VLOOKUP(D16,商品!$A$4:$D$67,4,FALSE),0),"")</f>
        <v>80</v>
      </c>
      <c r="Z16" s="1" t="str">
        <f>IFERROR(ROUND(G16*VLOOKUP(F16,商品!$A$4:$D$67,4,FALSE),0),"")</f>
        <v/>
      </c>
      <c r="AA16" s="1" t="str">
        <f>IFERROR(ROUND(I16*VLOOKUP(H16,商品!$A$4:$D$67,4,FALSE),0),"")</f>
        <v/>
      </c>
      <c r="AB16" s="1">
        <f>IFERROR(ROUND(K16*VLOOKUP(J16,职业!$A$3:$E$16,4,FALSE),0),"")</f>
        <v>-66</v>
      </c>
      <c r="AC16" s="1">
        <f>IFERROR(ROUND(M16*VLOOKUP(L16,职业!$A$3:$E$16,4,FALSE),0),"")</f>
        <v>-17</v>
      </c>
      <c r="AD16" s="1" t="str">
        <f>IFERROR(ROUND(O16*VLOOKUP(N16,职业!$A$3:$E$16,4,FALSE),0),"")</f>
        <v/>
      </c>
      <c r="AE16" s="1" t="str">
        <f>IFERROR(ROUND(Q16*VLOOKUP(P16,商品!$A$4:$D$67,4,FALSE),0),"")</f>
        <v/>
      </c>
      <c r="AF16" s="1" t="str">
        <f>IFERROR(ROUND(S16*VLOOKUP(R16,商品!$A$4:$D$67,4,FALSE),0),"")</f>
        <v/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商品定位</vt:lpstr>
      <vt:lpstr>商品</vt:lpstr>
      <vt:lpstr>生活水平</vt:lpstr>
      <vt:lpstr>职业</vt:lpstr>
      <vt:lpstr>建筑</vt:lpstr>
      <vt:lpstr>生产方式组</vt:lpstr>
      <vt:lpstr>生产方式定位</vt:lpstr>
      <vt:lpstr>生产方式A</vt:lpstr>
      <vt:lpstr>生产方式B</vt:lpstr>
      <vt:lpstr>临时演算表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稿子写完了吗</cp:lastModifiedBy>
  <dcterms:created xsi:type="dcterms:W3CDTF">2022-05-30T14:57:00Z</dcterms:created>
  <dcterms:modified xsi:type="dcterms:W3CDTF">2022-06-23T17:16:10Z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2052-11.1.0.11744</vt:lpwstr>
  </property>
</Properties>
</file>