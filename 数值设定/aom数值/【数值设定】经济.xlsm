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A054FCC1-35B6-497C-BED1-6538DEA66D23}" xr6:coauthVersionLast="47" xr6:coauthVersionMax="47" xr10:uidLastSave="{00000000-0000-0000-0000-000000000000}"/>
  <bookViews>
    <workbookView xWindow="-98" yWindow="-98" windowWidth="28996" windowHeight="15796" activeTab="7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6" i="11" l="1"/>
  <c r="AE16" i="11"/>
  <c r="AD16" i="11"/>
  <c r="AA16" i="11"/>
  <c r="Z16" i="11"/>
  <c r="T16" i="11" s="1"/>
  <c r="Y16" i="11"/>
  <c r="V16" i="11"/>
  <c r="AF15" i="11"/>
  <c r="AE15" i="11"/>
  <c r="V15" i="11" s="1"/>
  <c r="AD15" i="11"/>
  <c r="AA15" i="11"/>
  <c r="Z15" i="11"/>
  <c r="Y15" i="11"/>
  <c r="T15" i="11" s="1"/>
  <c r="AF14" i="11"/>
  <c r="AE14" i="11"/>
  <c r="V14" i="11" s="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T13" i="11"/>
  <c r="AF11" i="11"/>
  <c r="V11" i="11" s="1"/>
  <c r="W11" i="11" s="1"/>
  <c r="AE11" i="11"/>
  <c r="AD11" i="11"/>
  <c r="AC11" i="11"/>
  <c r="U11" i="11" s="1"/>
  <c r="AB11" i="11"/>
  <c r="AA11" i="11"/>
  <c r="Z11" i="11"/>
  <c r="T11" i="11" s="1"/>
  <c r="Y11" i="11"/>
  <c r="AF10" i="11"/>
  <c r="AE10" i="11"/>
  <c r="V10" i="11" s="1"/>
  <c r="AD10" i="11"/>
  <c r="AC10" i="11"/>
  <c r="AB10" i="11"/>
  <c r="AA10" i="11"/>
  <c r="Z10" i="11"/>
  <c r="Y10" i="11"/>
  <c r="T10" i="11" s="1"/>
  <c r="U10" i="11"/>
  <c r="AF8" i="11"/>
  <c r="AE8" i="11"/>
  <c r="V8" i="11" s="1"/>
  <c r="AA8" i="11"/>
  <c r="Z8" i="11"/>
  <c r="Y8" i="11"/>
  <c r="T8" i="11"/>
  <c r="AF7" i="11"/>
  <c r="AE7" i="11"/>
  <c r="AA7" i="11"/>
  <c r="Z7" i="11"/>
  <c r="Y7" i="11"/>
  <c r="V7" i="11"/>
  <c r="T7" i="11"/>
  <c r="AF6" i="11"/>
  <c r="V6" i="11" s="1"/>
  <c r="AE6" i="11"/>
  <c r="AA6" i="11"/>
  <c r="Z6" i="11"/>
  <c r="T6" i="11" s="1"/>
  <c r="Y6" i="11"/>
  <c r="AF5" i="11"/>
  <c r="AE5" i="11"/>
  <c r="V5" i="11" s="1"/>
  <c r="AA5" i="11"/>
  <c r="Z5" i="11"/>
  <c r="Y5" i="11"/>
  <c r="T5" i="11" s="1"/>
  <c r="AF1207" i="9"/>
  <c r="AE1207" i="9"/>
  <c r="V1207" i="9" s="1"/>
  <c r="W1207" i="9" s="1"/>
  <c r="AD1207" i="9"/>
  <c r="AC1207" i="9"/>
  <c r="AB1207" i="9"/>
  <c r="AA1207" i="9"/>
  <c r="Z1207" i="9"/>
  <c r="Y1207" i="9"/>
  <c r="U1207" i="9"/>
  <c r="T1207" i="9"/>
  <c r="AF1206" i="9"/>
  <c r="AE1206" i="9"/>
  <c r="AD1206" i="9"/>
  <c r="AC1206" i="9"/>
  <c r="AB1206" i="9"/>
  <c r="AA1206" i="9"/>
  <c r="Z1206" i="9"/>
  <c r="Y1206" i="9"/>
  <c r="V1206" i="9"/>
  <c r="W1206" i="9" s="1"/>
  <c r="U1206" i="9"/>
  <c r="T1206" i="9"/>
  <c r="AF1205" i="9"/>
  <c r="V1205" i="9" s="1"/>
  <c r="AE1205" i="9"/>
  <c r="AD1205" i="9"/>
  <c r="AC1205" i="9"/>
  <c r="U1205" i="9" s="1"/>
  <c r="AB1205" i="9"/>
  <c r="AA1205" i="9"/>
  <c r="Z1205" i="9"/>
  <c r="T1205" i="9" s="1"/>
  <c r="Y1205" i="9"/>
  <c r="AF1204" i="9"/>
  <c r="AE1204" i="9"/>
  <c r="V1204" i="9" s="1"/>
  <c r="AD1204" i="9"/>
  <c r="AC1204" i="9"/>
  <c r="AB1204" i="9"/>
  <c r="AA1204" i="9"/>
  <c r="Z1204" i="9"/>
  <c r="Y1204" i="9"/>
  <c r="T1204" i="9" s="1"/>
  <c r="U1204" i="9"/>
  <c r="AF1203" i="9"/>
  <c r="AE1203" i="9"/>
  <c r="V1203" i="9" s="1"/>
  <c r="W1203" i="9" s="1"/>
  <c r="AD1203" i="9"/>
  <c r="AC1203" i="9"/>
  <c r="AB1203" i="9"/>
  <c r="AA1203" i="9"/>
  <c r="Z1203" i="9"/>
  <c r="Y1203" i="9"/>
  <c r="U1203" i="9"/>
  <c r="T1203" i="9"/>
  <c r="AF1202" i="9"/>
  <c r="AE1202" i="9"/>
  <c r="AD1202" i="9"/>
  <c r="AC1202" i="9"/>
  <c r="AB1202" i="9"/>
  <c r="AA1202" i="9"/>
  <c r="Z1202" i="9"/>
  <c r="Y1202" i="9"/>
  <c r="V1202" i="9"/>
  <c r="W1202" i="9" s="1"/>
  <c r="U1202" i="9"/>
  <c r="T1202" i="9"/>
  <c r="AF1201" i="9"/>
  <c r="V1201" i="9" s="1"/>
  <c r="AE1201" i="9"/>
  <c r="AD1201" i="9"/>
  <c r="AC1201" i="9"/>
  <c r="U1201" i="9" s="1"/>
  <c r="AB1201" i="9"/>
  <c r="AA1201" i="9"/>
  <c r="Z1201" i="9"/>
  <c r="T1201" i="9" s="1"/>
  <c r="Y1201" i="9"/>
  <c r="AF1200" i="9"/>
  <c r="AE1200" i="9"/>
  <c r="V1200" i="9" s="1"/>
  <c r="W1200" i="9" s="1"/>
  <c r="AD1200" i="9"/>
  <c r="AC1200" i="9"/>
  <c r="AB1200" i="9"/>
  <c r="AA1200" i="9"/>
  <c r="Z1200" i="9"/>
  <c r="Y1200" i="9"/>
  <c r="T1200" i="9" s="1"/>
  <c r="U1200" i="9"/>
  <c r="AF1199" i="9"/>
  <c r="AE1199" i="9"/>
  <c r="V1199" i="9" s="1"/>
  <c r="W1199" i="9" s="1"/>
  <c r="AD1199" i="9"/>
  <c r="AC1199" i="9"/>
  <c r="AB1199" i="9"/>
  <c r="AA1199" i="9"/>
  <c r="Z1199" i="9"/>
  <c r="Y1199" i="9"/>
  <c r="U1199" i="9"/>
  <c r="T1199" i="9"/>
  <c r="AF1198" i="9"/>
  <c r="AE1198" i="9"/>
  <c r="AD1198" i="9"/>
  <c r="AC1198" i="9"/>
  <c r="AB1198" i="9"/>
  <c r="AA1198" i="9"/>
  <c r="Z1198" i="9"/>
  <c r="Y1198" i="9"/>
  <c r="V1198" i="9"/>
  <c r="W1198" i="9" s="1"/>
  <c r="U1198" i="9"/>
  <c r="T1198" i="9"/>
  <c r="AF1197" i="9"/>
  <c r="V1197" i="9" s="1"/>
  <c r="AE1197" i="9"/>
  <c r="AD1197" i="9"/>
  <c r="AC1197" i="9"/>
  <c r="U1197" i="9" s="1"/>
  <c r="AB1197" i="9"/>
  <c r="AA1197" i="9"/>
  <c r="Z1197" i="9"/>
  <c r="T1197" i="9" s="1"/>
  <c r="Y1197" i="9"/>
  <c r="AF1196" i="9"/>
  <c r="AE1196" i="9"/>
  <c r="V1196" i="9" s="1"/>
  <c r="AD1196" i="9"/>
  <c r="AC1196" i="9"/>
  <c r="AB1196" i="9"/>
  <c r="AA1196" i="9"/>
  <c r="Z1196" i="9"/>
  <c r="Y1196" i="9"/>
  <c r="T1196" i="9" s="1"/>
  <c r="U1196" i="9"/>
  <c r="AF1195" i="9"/>
  <c r="AE1195" i="9"/>
  <c r="V1195" i="9" s="1"/>
  <c r="W1195" i="9" s="1"/>
  <c r="AD1195" i="9"/>
  <c r="AC1195" i="9"/>
  <c r="AB1195" i="9"/>
  <c r="AA1195" i="9"/>
  <c r="Z1195" i="9"/>
  <c r="Y1195" i="9"/>
  <c r="U1195" i="9"/>
  <c r="T1195" i="9"/>
  <c r="AF1194" i="9"/>
  <c r="AE1194" i="9"/>
  <c r="AD1194" i="9"/>
  <c r="AC1194" i="9"/>
  <c r="AB1194" i="9"/>
  <c r="AA1194" i="9"/>
  <c r="Z1194" i="9"/>
  <c r="Y1194" i="9"/>
  <c r="V1194" i="9"/>
  <c r="W1194" i="9" s="1"/>
  <c r="U1194" i="9"/>
  <c r="T1194" i="9"/>
  <c r="AF1193" i="9"/>
  <c r="V1193" i="9" s="1"/>
  <c r="W1193" i="9" s="1"/>
  <c r="AE1193" i="9"/>
  <c r="AD1193" i="9"/>
  <c r="AC1193" i="9"/>
  <c r="U1193" i="9" s="1"/>
  <c r="AB1193" i="9"/>
  <c r="AA1193" i="9"/>
  <c r="Z1193" i="9"/>
  <c r="T1193" i="9" s="1"/>
  <c r="Y1193" i="9"/>
  <c r="AF1192" i="9"/>
  <c r="AE1192" i="9"/>
  <c r="V1192" i="9" s="1"/>
  <c r="AD1192" i="9"/>
  <c r="AC1192" i="9"/>
  <c r="AB1192" i="9"/>
  <c r="AA1192" i="9"/>
  <c r="Z1192" i="9"/>
  <c r="Y1192" i="9"/>
  <c r="T1192" i="9" s="1"/>
  <c r="U1192" i="9"/>
  <c r="AF1191" i="9"/>
  <c r="AE1191" i="9"/>
  <c r="V1191" i="9" s="1"/>
  <c r="AD1191" i="9"/>
  <c r="AC1191" i="9"/>
  <c r="AB1191" i="9"/>
  <c r="AA1191" i="9"/>
  <c r="Z1191" i="9"/>
  <c r="Y1191" i="9"/>
  <c r="U1191" i="9"/>
  <c r="T1191" i="9"/>
  <c r="AF1190" i="9"/>
  <c r="AE1190" i="9"/>
  <c r="AD1190" i="9"/>
  <c r="AC1190" i="9"/>
  <c r="AB1190" i="9"/>
  <c r="AA1190" i="9"/>
  <c r="Z1190" i="9"/>
  <c r="Y1190" i="9"/>
  <c r="V1190" i="9"/>
  <c r="W1190" i="9" s="1"/>
  <c r="U1190" i="9"/>
  <c r="T1190" i="9"/>
  <c r="AF1189" i="9"/>
  <c r="V1189" i="9" s="1"/>
  <c r="AE1189" i="9"/>
  <c r="AD1189" i="9"/>
  <c r="AC1189" i="9"/>
  <c r="U1189" i="9" s="1"/>
  <c r="AB1189" i="9"/>
  <c r="AA1189" i="9"/>
  <c r="Z1189" i="9"/>
  <c r="T1189" i="9" s="1"/>
  <c r="Y1189" i="9"/>
  <c r="AF1188" i="9"/>
  <c r="AE1188" i="9"/>
  <c r="V1188" i="9" s="1"/>
  <c r="W1188" i="9" s="1"/>
  <c r="AD1188" i="9"/>
  <c r="AC1188" i="9"/>
  <c r="AB1188" i="9"/>
  <c r="AA1188" i="9"/>
  <c r="Z1188" i="9"/>
  <c r="Y1188" i="9"/>
  <c r="T1188" i="9" s="1"/>
  <c r="U1188" i="9"/>
  <c r="AF1187" i="9"/>
  <c r="AE1187" i="9"/>
  <c r="V1187" i="9" s="1"/>
  <c r="AD1187" i="9"/>
  <c r="AC1187" i="9"/>
  <c r="AB1187" i="9"/>
  <c r="AA1187" i="9"/>
  <c r="Z1187" i="9"/>
  <c r="Y1187" i="9"/>
  <c r="U1187" i="9"/>
  <c r="T1187" i="9"/>
  <c r="AF1186" i="9"/>
  <c r="AE1186" i="9"/>
  <c r="AD1186" i="9"/>
  <c r="AC1186" i="9"/>
  <c r="AB1186" i="9"/>
  <c r="AA1186" i="9"/>
  <c r="Z1186" i="9"/>
  <c r="Y1186" i="9"/>
  <c r="V1186" i="9"/>
  <c r="W1186" i="9" s="1"/>
  <c r="U1186" i="9"/>
  <c r="T1186" i="9"/>
  <c r="AF1185" i="9"/>
  <c r="V1185" i="9" s="1"/>
  <c r="AE1185" i="9"/>
  <c r="AD1185" i="9"/>
  <c r="AC1185" i="9"/>
  <c r="U1185" i="9" s="1"/>
  <c r="AB1185" i="9"/>
  <c r="AA1185" i="9"/>
  <c r="Z1185" i="9"/>
  <c r="T1185" i="9" s="1"/>
  <c r="Y1185" i="9"/>
  <c r="AF1184" i="9"/>
  <c r="AE1184" i="9"/>
  <c r="V1184" i="9" s="1"/>
  <c r="AD1184" i="9"/>
  <c r="AC1184" i="9"/>
  <c r="AB1184" i="9"/>
  <c r="AA1184" i="9"/>
  <c r="Z1184" i="9"/>
  <c r="Y1184" i="9"/>
  <c r="T1184" i="9" s="1"/>
  <c r="U1184" i="9"/>
  <c r="AF1183" i="9"/>
  <c r="AE1183" i="9"/>
  <c r="V1183" i="9" s="1"/>
  <c r="W1183" i="9" s="1"/>
  <c r="AD1183" i="9"/>
  <c r="AC1183" i="9"/>
  <c r="AB1183" i="9"/>
  <c r="AA1183" i="9"/>
  <c r="Z1183" i="9"/>
  <c r="Y1183" i="9"/>
  <c r="U1183" i="9"/>
  <c r="T1183" i="9"/>
  <c r="AF1182" i="9"/>
  <c r="AE1182" i="9"/>
  <c r="AD1182" i="9"/>
  <c r="AC1182" i="9"/>
  <c r="AB1182" i="9"/>
  <c r="AA1182" i="9"/>
  <c r="Z1182" i="9"/>
  <c r="Y1182" i="9"/>
  <c r="V1182" i="9"/>
  <c r="W1182" i="9" s="1"/>
  <c r="U1182" i="9"/>
  <c r="T1182" i="9"/>
  <c r="AF1181" i="9"/>
  <c r="V1181" i="9" s="1"/>
  <c r="AE1181" i="9"/>
  <c r="AD1181" i="9"/>
  <c r="AC1181" i="9"/>
  <c r="U1181" i="9" s="1"/>
  <c r="AB1181" i="9"/>
  <c r="AA1181" i="9"/>
  <c r="Z1181" i="9"/>
  <c r="T1181" i="9" s="1"/>
  <c r="Y1181" i="9"/>
  <c r="AF1180" i="9"/>
  <c r="AE1180" i="9"/>
  <c r="V1180" i="9" s="1"/>
  <c r="AD1180" i="9"/>
  <c r="AC1180" i="9"/>
  <c r="AB1180" i="9"/>
  <c r="U1180" i="9" s="1"/>
  <c r="AA1180" i="9"/>
  <c r="Z1180" i="9"/>
  <c r="Y1180" i="9"/>
  <c r="T1180" i="9" s="1"/>
  <c r="AF1179" i="9"/>
  <c r="AE1179" i="9"/>
  <c r="V1179" i="9" s="1"/>
  <c r="AD1179" i="9"/>
  <c r="AC1179" i="9"/>
  <c r="AB1179" i="9"/>
  <c r="AA1179" i="9"/>
  <c r="Z1179" i="9"/>
  <c r="Y1179" i="9"/>
  <c r="W1179" i="9"/>
  <c r="U1179" i="9"/>
  <c r="T1179" i="9"/>
  <c r="AF1178" i="9"/>
  <c r="AE1178" i="9"/>
  <c r="AD1178" i="9"/>
  <c r="AC1178" i="9"/>
  <c r="AB1178" i="9"/>
  <c r="AA1178" i="9"/>
  <c r="Z1178" i="9"/>
  <c r="Y1178" i="9"/>
  <c r="V1178" i="9"/>
  <c r="W1178" i="9" s="1"/>
  <c r="U1178" i="9"/>
  <c r="T1178" i="9"/>
  <c r="AF1177" i="9"/>
  <c r="V1177" i="9" s="1"/>
  <c r="AE1177" i="9"/>
  <c r="AD1177" i="9"/>
  <c r="AC1177" i="9"/>
  <c r="U1177" i="9" s="1"/>
  <c r="AB1177" i="9"/>
  <c r="AA1177" i="9"/>
  <c r="Z1177" i="9"/>
  <c r="T1177" i="9" s="1"/>
  <c r="Y1177" i="9"/>
  <c r="AF1176" i="9"/>
  <c r="AE1176" i="9"/>
  <c r="V1176" i="9" s="1"/>
  <c r="AD1176" i="9"/>
  <c r="AC1176" i="9"/>
  <c r="AB1176" i="9"/>
  <c r="AA1176" i="9"/>
  <c r="Z1176" i="9"/>
  <c r="Y1176" i="9"/>
  <c r="T1176" i="9" s="1"/>
  <c r="U1176" i="9"/>
  <c r="AF1175" i="9"/>
  <c r="AE1175" i="9"/>
  <c r="V1175" i="9" s="1"/>
  <c r="W1175" i="9" s="1"/>
  <c r="AD1175" i="9"/>
  <c r="AC1175" i="9"/>
  <c r="AB1175" i="9"/>
  <c r="AA1175" i="9"/>
  <c r="Z1175" i="9"/>
  <c r="Y1175" i="9"/>
  <c r="U1175" i="9"/>
  <c r="T1175" i="9"/>
  <c r="AF1174" i="9"/>
  <c r="AE1174" i="9"/>
  <c r="AD1174" i="9"/>
  <c r="AC1174" i="9"/>
  <c r="AB1174" i="9"/>
  <c r="AA1174" i="9"/>
  <c r="Z1174" i="9"/>
  <c r="Y1174" i="9"/>
  <c r="V1174" i="9"/>
  <c r="W1174" i="9" s="1"/>
  <c r="U1174" i="9"/>
  <c r="T1174" i="9"/>
  <c r="AF1173" i="9"/>
  <c r="V1173" i="9" s="1"/>
  <c r="W1173" i="9" s="1"/>
  <c r="AE1173" i="9"/>
  <c r="AD1173" i="9"/>
  <c r="AC1173" i="9"/>
  <c r="U1173" i="9" s="1"/>
  <c r="AB1173" i="9"/>
  <c r="AA1173" i="9"/>
  <c r="Z1173" i="9"/>
  <c r="T1173" i="9" s="1"/>
  <c r="Y1173" i="9"/>
  <c r="AF1172" i="9"/>
  <c r="AE1172" i="9"/>
  <c r="V1172" i="9" s="1"/>
  <c r="AD1172" i="9"/>
  <c r="AC1172" i="9"/>
  <c r="AB1172" i="9"/>
  <c r="AA1172" i="9"/>
  <c r="Z1172" i="9"/>
  <c r="Y1172" i="9"/>
  <c r="T1172" i="9" s="1"/>
  <c r="U1172" i="9"/>
  <c r="AF1171" i="9"/>
  <c r="AE1171" i="9"/>
  <c r="V1171" i="9" s="1"/>
  <c r="AD1171" i="9"/>
  <c r="AC1171" i="9"/>
  <c r="AB1171" i="9"/>
  <c r="AA1171" i="9"/>
  <c r="Z1171" i="9"/>
  <c r="Y1171" i="9"/>
  <c r="U1171" i="9"/>
  <c r="T1171" i="9"/>
  <c r="W1171" i="9" s="1"/>
  <c r="AF1170" i="9"/>
  <c r="AE1170" i="9"/>
  <c r="AD1170" i="9"/>
  <c r="AC1170" i="9"/>
  <c r="AB1170" i="9"/>
  <c r="AA1170" i="9"/>
  <c r="Z1170" i="9"/>
  <c r="Y1170" i="9"/>
  <c r="V1170" i="9"/>
  <c r="W1170" i="9" s="1"/>
  <c r="U1170" i="9"/>
  <c r="T1170" i="9"/>
  <c r="AF1169" i="9"/>
  <c r="V1169" i="9" s="1"/>
  <c r="W1169" i="9" s="1"/>
  <c r="AE1169" i="9"/>
  <c r="AD1169" i="9"/>
  <c r="AC1169" i="9"/>
  <c r="U1169" i="9" s="1"/>
  <c r="AB1169" i="9"/>
  <c r="AA1169" i="9"/>
  <c r="Z1169" i="9"/>
  <c r="T1169" i="9" s="1"/>
  <c r="Y1169" i="9"/>
  <c r="AF1168" i="9"/>
  <c r="AE1168" i="9"/>
  <c r="V1168" i="9" s="1"/>
  <c r="W1168" i="9" s="1"/>
  <c r="AD1168" i="9"/>
  <c r="AC1168" i="9"/>
  <c r="AB1168" i="9"/>
  <c r="AA1168" i="9"/>
  <c r="Z1168" i="9"/>
  <c r="Y1168" i="9"/>
  <c r="T1168" i="9" s="1"/>
  <c r="U1168" i="9"/>
  <c r="AF1167" i="9"/>
  <c r="AE1167" i="9"/>
  <c r="V1167" i="9" s="1"/>
  <c r="AD1167" i="9"/>
  <c r="AC1167" i="9"/>
  <c r="AB1167" i="9"/>
  <c r="AA1167" i="9"/>
  <c r="Z1167" i="9"/>
  <c r="Y1167" i="9"/>
  <c r="W1167" i="9"/>
  <c r="U1167" i="9"/>
  <c r="T1167" i="9"/>
  <c r="AF1166" i="9"/>
  <c r="AE1166" i="9"/>
  <c r="AD1166" i="9"/>
  <c r="AC1166" i="9"/>
  <c r="AB1166" i="9"/>
  <c r="AA1166" i="9"/>
  <c r="Z1166" i="9"/>
  <c r="Y1166" i="9"/>
  <c r="V1166" i="9"/>
  <c r="W1166" i="9" s="1"/>
  <c r="U1166" i="9"/>
  <c r="T1166" i="9"/>
  <c r="AF1165" i="9"/>
  <c r="V1165" i="9" s="1"/>
  <c r="AE1165" i="9"/>
  <c r="AD1165" i="9"/>
  <c r="AC1165" i="9"/>
  <c r="U1165" i="9" s="1"/>
  <c r="AB1165" i="9"/>
  <c r="AA1165" i="9"/>
  <c r="Z1165" i="9"/>
  <c r="T1165" i="9" s="1"/>
  <c r="Y1165" i="9"/>
  <c r="AF1164" i="9"/>
  <c r="AE1164" i="9"/>
  <c r="V1164" i="9" s="1"/>
  <c r="AD1164" i="9"/>
  <c r="AC1164" i="9"/>
  <c r="AB1164" i="9"/>
  <c r="U1164" i="9" s="1"/>
  <c r="AA1164" i="9"/>
  <c r="Z1164" i="9"/>
  <c r="Y1164" i="9"/>
  <c r="AF1163" i="9"/>
  <c r="AE1163" i="9"/>
  <c r="V1163" i="9" s="1"/>
  <c r="W1163" i="9" s="1"/>
  <c r="AD1163" i="9"/>
  <c r="AC1163" i="9"/>
  <c r="AB1163" i="9"/>
  <c r="AA1163" i="9"/>
  <c r="Z1163" i="9"/>
  <c r="Y1163" i="9"/>
  <c r="U1163" i="9"/>
  <c r="T1163" i="9"/>
  <c r="AF1162" i="9"/>
  <c r="AE1162" i="9"/>
  <c r="AD1162" i="9"/>
  <c r="AC1162" i="9"/>
  <c r="AB1162" i="9"/>
  <c r="AA1162" i="9"/>
  <c r="Z1162" i="9"/>
  <c r="Y1162" i="9"/>
  <c r="V1162" i="9"/>
  <c r="W1162" i="9" s="1"/>
  <c r="U1162" i="9"/>
  <c r="T1162" i="9"/>
  <c r="AF1161" i="9"/>
  <c r="V1161" i="9" s="1"/>
  <c r="AE1161" i="9"/>
  <c r="AD1161" i="9"/>
  <c r="AC1161" i="9"/>
  <c r="U1161" i="9" s="1"/>
  <c r="AB1161" i="9"/>
  <c r="AA1161" i="9"/>
  <c r="Z1161" i="9"/>
  <c r="T1161" i="9" s="1"/>
  <c r="Y1161" i="9"/>
  <c r="AF1160" i="9"/>
  <c r="AE1160" i="9"/>
  <c r="V1160" i="9" s="1"/>
  <c r="AD1160" i="9"/>
  <c r="AC1160" i="9"/>
  <c r="AB1160" i="9"/>
  <c r="U1160" i="9" s="1"/>
  <c r="AA1160" i="9"/>
  <c r="Z1160" i="9"/>
  <c r="Y1160" i="9"/>
  <c r="AF1159" i="9"/>
  <c r="AE1159" i="9"/>
  <c r="V1159" i="9" s="1"/>
  <c r="W1159" i="9" s="1"/>
  <c r="AD1159" i="9"/>
  <c r="AC1159" i="9"/>
  <c r="AB1159" i="9"/>
  <c r="AA1159" i="9"/>
  <c r="Z1159" i="9"/>
  <c r="Y1159" i="9"/>
  <c r="U1159" i="9"/>
  <c r="T1159" i="9"/>
  <c r="AF1158" i="9"/>
  <c r="AE1158" i="9"/>
  <c r="AD1158" i="9"/>
  <c r="AC1158" i="9"/>
  <c r="AB1158" i="9"/>
  <c r="AA1158" i="9"/>
  <c r="Z1158" i="9"/>
  <c r="Y1158" i="9"/>
  <c r="V1158" i="9"/>
  <c r="W1158" i="9" s="1"/>
  <c r="U1158" i="9"/>
  <c r="T1158" i="9"/>
  <c r="AF1157" i="9"/>
  <c r="V1157" i="9" s="1"/>
  <c r="AE1157" i="9"/>
  <c r="AD1157" i="9"/>
  <c r="AC1157" i="9"/>
  <c r="U1157" i="9" s="1"/>
  <c r="AB1157" i="9"/>
  <c r="AA1157" i="9"/>
  <c r="Z1157" i="9"/>
  <c r="T1157" i="9" s="1"/>
  <c r="Y1157" i="9"/>
  <c r="AF1156" i="9"/>
  <c r="AE1156" i="9"/>
  <c r="V1156" i="9" s="1"/>
  <c r="AD1156" i="9"/>
  <c r="AC1156" i="9"/>
  <c r="AB1156" i="9"/>
  <c r="U1156" i="9" s="1"/>
  <c r="AA1156" i="9"/>
  <c r="Z1156" i="9"/>
  <c r="Y1156" i="9"/>
  <c r="T1156" i="9" s="1"/>
  <c r="AF1155" i="9"/>
  <c r="AE1155" i="9"/>
  <c r="V1155" i="9" s="1"/>
  <c r="W1155" i="9" s="1"/>
  <c r="AD1155" i="9"/>
  <c r="AC1155" i="9"/>
  <c r="AB1155" i="9"/>
  <c r="AA1155" i="9"/>
  <c r="Z1155" i="9"/>
  <c r="Y1155" i="9"/>
  <c r="U1155" i="9"/>
  <c r="T1155" i="9"/>
  <c r="AF1154" i="9"/>
  <c r="AE1154" i="9"/>
  <c r="AD1154" i="9"/>
  <c r="AC1154" i="9"/>
  <c r="AB1154" i="9"/>
  <c r="AA1154" i="9"/>
  <c r="Z1154" i="9"/>
  <c r="Y1154" i="9"/>
  <c r="V1154" i="9"/>
  <c r="W1154" i="9" s="1"/>
  <c r="U1154" i="9"/>
  <c r="T1154" i="9"/>
  <c r="AF1153" i="9"/>
  <c r="V1153" i="9" s="1"/>
  <c r="W1153" i="9" s="1"/>
  <c r="AE1153" i="9"/>
  <c r="AD1153" i="9"/>
  <c r="AC1153" i="9"/>
  <c r="U1153" i="9" s="1"/>
  <c r="AB1153" i="9"/>
  <c r="AA1153" i="9"/>
  <c r="Z1153" i="9"/>
  <c r="T1153" i="9" s="1"/>
  <c r="Y1153" i="9"/>
  <c r="AF1152" i="9"/>
  <c r="AE1152" i="9"/>
  <c r="V1152" i="9" s="1"/>
  <c r="AD1152" i="9"/>
  <c r="AC1152" i="9"/>
  <c r="AB1152" i="9"/>
  <c r="U1152" i="9" s="1"/>
  <c r="AA1152" i="9"/>
  <c r="Z1152" i="9"/>
  <c r="Y1152" i="9"/>
  <c r="AF1151" i="9"/>
  <c r="AE1151" i="9"/>
  <c r="V1151" i="9" s="1"/>
  <c r="AD1151" i="9"/>
  <c r="AC1151" i="9"/>
  <c r="AB1151" i="9"/>
  <c r="AA1151" i="9"/>
  <c r="Z1151" i="9"/>
  <c r="Y1151" i="9"/>
  <c r="T1151" i="9" s="1"/>
  <c r="U1151" i="9"/>
  <c r="AF1150" i="9"/>
  <c r="AE1150" i="9"/>
  <c r="AD1150" i="9"/>
  <c r="AC1150" i="9"/>
  <c r="AB1150" i="9"/>
  <c r="AA1150" i="9"/>
  <c r="Z1150" i="9"/>
  <c r="Y1150" i="9"/>
  <c r="V1150" i="9"/>
  <c r="W1150" i="9" s="1"/>
  <c r="U1150" i="9"/>
  <c r="T1150" i="9"/>
  <c r="AF1149" i="9"/>
  <c r="V1149" i="9" s="1"/>
  <c r="AE1149" i="9"/>
  <c r="AD1149" i="9"/>
  <c r="AC1149" i="9"/>
  <c r="U1149" i="9" s="1"/>
  <c r="AB1149" i="9"/>
  <c r="AA1149" i="9"/>
  <c r="Z1149" i="9"/>
  <c r="T1149" i="9" s="1"/>
  <c r="Y1149" i="9"/>
  <c r="AF1148" i="9"/>
  <c r="AE1148" i="9"/>
  <c r="V1148" i="9" s="1"/>
  <c r="AD1148" i="9"/>
  <c r="AC1148" i="9"/>
  <c r="U1148" i="9" s="1"/>
  <c r="AB1148" i="9"/>
  <c r="AA1148" i="9"/>
  <c r="Z1148" i="9"/>
  <c r="Y1148" i="9"/>
  <c r="AF1147" i="9"/>
  <c r="AE1147" i="9"/>
  <c r="V1147" i="9" s="1"/>
  <c r="AD1147" i="9"/>
  <c r="AC1147" i="9"/>
  <c r="AB1147" i="9"/>
  <c r="AA1147" i="9"/>
  <c r="Z1147" i="9"/>
  <c r="Y1147" i="9"/>
  <c r="U1147" i="9"/>
  <c r="T1147" i="9"/>
  <c r="W1147" i="9" s="1"/>
  <c r="AF1146" i="9"/>
  <c r="AE1146" i="9"/>
  <c r="AD1146" i="9"/>
  <c r="AC1146" i="9"/>
  <c r="AB1146" i="9"/>
  <c r="AA1146" i="9"/>
  <c r="Z1146" i="9"/>
  <c r="Y1146" i="9"/>
  <c r="V1146" i="9"/>
  <c r="U1146" i="9"/>
  <c r="T1146" i="9"/>
  <c r="AF1145" i="9"/>
  <c r="V1145" i="9" s="1"/>
  <c r="W1145" i="9" s="1"/>
  <c r="AE1145" i="9"/>
  <c r="AD1145" i="9"/>
  <c r="AC1145" i="9"/>
  <c r="U1145" i="9" s="1"/>
  <c r="AB1145" i="9"/>
  <c r="AA1145" i="9"/>
  <c r="Z1145" i="9"/>
  <c r="T1145" i="9" s="1"/>
  <c r="Y1145" i="9"/>
  <c r="AF1144" i="9"/>
  <c r="AE1144" i="9"/>
  <c r="V1144" i="9" s="1"/>
  <c r="AD1144" i="9"/>
  <c r="AC1144" i="9"/>
  <c r="AB1144" i="9"/>
  <c r="AA1144" i="9"/>
  <c r="Z1144" i="9"/>
  <c r="Y1144" i="9"/>
  <c r="T1144" i="9" s="1"/>
  <c r="U1144" i="9"/>
  <c r="AF1143" i="9"/>
  <c r="AE1143" i="9"/>
  <c r="V1143" i="9" s="1"/>
  <c r="W1143" i="9" s="1"/>
  <c r="AD1143" i="9"/>
  <c r="AC1143" i="9"/>
  <c r="AB1143" i="9"/>
  <c r="AA1143" i="9"/>
  <c r="Z1143" i="9"/>
  <c r="Y1143" i="9"/>
  <c r="U1143" i="9"/>
  <c r="T1143" i="9"/>
  <c r="AF1142" i="9"/>
  <c r="AE1142" i="9"/>
  <c r="AD1142" i="9"/>
  <c r="AC1142" i="9"/>
  <c r="AB1142" i="9"/>
  <c r="AA1142" i="9"/>
  <c r="Z1142" i="9"/>
  <c r="Y1142" i="9"/>
  <c r="V1142" i="9"/>
  <c r="U1142" i="9"/>
  <c r="T1142" i="9"/>
  <c r="AF1141" i="9"/>
  <c r="V1141" i="9" s="1"/>
  <c r="AE1141" i="9"/>
  <c r="AD1141" i="9"/>
  <c r="AC1141" i="9"/>
  <c r="U1141" i="9" s="1"/>
  <c r="AB1141" i="9"/>
  <c r="AA1141" i="9"/>
  <c r="Z1141" i="9"/>
  <c r="T1141" i="9" s="1"/>
  <c r="Y1141" i="9"/>
  <c r="AF1140" i="9"/>
  <c r="AE1140" i="9"/>
  <c r="V1140" i="9" s="1"/>
  <c r="W1140" i="9" s="1"/>
  <c r="AD1140" i="9"/>
  <c r="AC1140" i="9"/>
  <c r="AB1140" i="9"/>
  <c r="AA1140" i="9"/>
  <c r="Z1140" i="9"/>
  <c r="Y1140" i="9"/>
  <c r="T1140" i="9" s="1"/>
  <c r="U1140" i="9"/>
  <c r="AF1139" i="9"/>
  <c r="AE1139" i="9"/>
  <c r="V1139" i="9" s="1"/>
  <c r="AD1139" i="9"/>
  <c r="AC1139" i="9"/>
  <c r="AB1139" i="9"/>
  <c r="AA1139" i="9"/>
  <c r="Z1139" i="9"/>
  <c r="Y1139" i="9"/>
  <c r="T1139" i="9" s="1"/>
  <c r="W1139" i="9" s="1"/>
  <c r="U1139" i="9"/>
  <c r="AF1138" i="9"/>
  <c r="AE1138" i="9"/>
  <c r="AD1138" i="9"/>
  <c r="AC1138" i="9"/>
  <c r="AB1138" i="9"/>
  <c r="AA1138" i="9"/>
  <c r="Z1138" i="9"/>
  <c r="Y1138" i="9"/>
  <c r="V1138" i="9"/>
  <c r="W1138" i="9" s="1"/>
  <c r="U1138" i="9"/>
  <c r="T1138" i="9"/>
  <c r="AF1137" i="9"/>
  <c r="V1137" i="9" s="1"/>
  <c r="W1137" i="9" s="1"/>
  <c r="AE1137" i="9"/>
  <c r="AD1137" i="9"/>
  <c r="AC1137" i="9"/>
  <c r="U1137" i="9" s="1"/>
  <c r="AB1137" i="9"/>
  <c r="AA1137" i="9"/>
  <c r="Z1137" i="9"/>
  <c r="T1137" i="9" s="1"/>
  <c r="Y1137" i="9"/>
  <c r="AF1136" i="9"/>
  <c r="AE1136" i="9"/>
  <c r="V1136" i="9" s="1"/>
  <c r="AD1136" i="9"/>
  <c r="AC1136" i="9"/>
  <c r="AB1136" i="9"/>
  <c r="U1136" i="9" s="1"/>
  <c r="AA1136" i="9"/>
  <c r="Z1136" i="9"/>
  <c r="Y1136" i="9"/>
  <c r="T1136" i="9" s="1"/>
  <c r="AF1135" i="9"/>
  <c r="AE1135" i="9"/>
  <c r="V1135" i="9" s="1"/>
  <c r="W1135" i="9" s="1"/>
  <c r="AD1135" i="9"/>
  <c r="AC1135" i="9"/>
  <c r="AB1135" i="9"/>
  <c r="AA1135" i="9"/>
  <c r="Z1135" i="9"/>
  <c r="Y1135" i="9"/>
  <c r="T1135" i="9" s="1"/>
  <c r="U1135" i="9"/>
  <c r="AF1134" i="9"/>
  <c r="AE1134" i="9"/>
  <c r="AD1134" i="9"/>
  <c r="AC1134" i="9"/>
  <c r="AB1134" i="9"/>
  <c r="AA1134" i="9"/>
  <c r="Z1134" i="9"/>
  <c r="Y1134" i="9"/>
  <c r="V1134" i="9"/>
  <c r="W1134" i="9" s="1"/>
  <c r="U1134" i="9"/>
  <c r="T1134" i="9"/>
  <c r="AF1133" i="9"/>
  <c r="V1133" i="9" s="1"/>
  <c r="AE1133" i="9"/>
  <c r="AD1133" i="9"/>
  <c r="AC1133" i="9"/>
  <c r="U1133" i="9" s="1"/>
  <c r="AB1133" i="9"/>
  <c r="AA1133" i="9"/>
  <c r="Z1133" i="9"/>
  <c r="T1133" i="9" s="1"/>
  <c r="Y1133" i="9"/>
  <c r="AF1132" i="9"/>
  <c r="AE1132" i="9"/>
  <c r="V1132" i="9" s="1"/>
  <c r="AD1132" i="9"/>
  <c r="AC1132" i="9"/>
  <c r="U1132" i="9" s="1"/>
  <c r="AB1132" i="9"/>
  <c r="AA1132" i="9"/>
  <c r="Z1132" i="9"/>
  <c r="Y1132" i="9"/>
  <c r="T1132" i="9" s="1"/>
  <c r="AF1131" i="9"/>
  <c r="AE1131" i="9"/>
  <c r="V1131" i="9" s="1"/>
  <c r="W1131" i="9" s="1"/>
  <c r="AD1131" i="9"/>
  <c r="AC1131" i="9"/>
  <c r="AB1131" i="9"/>
  <c r="AA1131" i="9"/>
  <c r="Z1131" i="9"/>
  <c r="Y1131" i="9"/>
  <c r="U1131" i="9"/>
  <c r="T1131" i="9"/>
  <c r="AF1130" i="9"/>
  <c r="AE1130" i="9"/>
  <c r="AD1130" i="9"/>
  <c r="AC1130" i="9"/>
  <c r="AB1130" i="9"/>
  <c r="AA1130" i="9"/>
  <c r="Z1130" i="9"/>
  <c r="Y1130" i="9"/>
  <c r="V1130" i="9"/>
  <c r="W1130" i="9" s="1"/>
  <c r="U1130" i="9"/>
  <c r="T1130" i="9"/>
  <c r="AF1129" i="9"/>
  <c r="V1129" i="9" s="1"/>
  <c r="AE1129" i="9"/>
  <c r="AD1129" i="9"/>
  <c r="AC1129" i="9"/>
  <c r="U1129" i="9" s="1"/>
  <c r="AB1129" i="9"/>
  <c r="AA1129" i="9"/>
  <c r="Z1129" i="9"/>
  <c r="T1129" i="9" s="1"/>
  <c r="Y1129" i="9"/>
  <c r="AF1128" i="9"/>
  <c r="AE1128" i="9"/>
  <c r="V1128" i="9" s="1"/>
  <c r="AD1128" i="9"/>
  <c r="AC1128" i="9"/>
  <c r="AB1128" i="9"/>
  <c r="U1128" i="9" s="1"/>
  <c r="AA1128" i="9"/>
  <c r="Z1128" i="9"/>
  <c r="Y1128" i="9"/>
  <c r="AF1127" i="9"/>
  <c r="AE1127" i="9"/>
  <c r="V1127" i="9" s="1"/>
  <c r="W1127" i="9" s="1"/>
  <c r="AD1127" i="9"/>
  <c r="AC1127" i="9"/>
  <c r="AB1127" i="9"/>
  <c r="AA1127" i="9"/>
  <c r="Z1127" i="9"/>
  <c r="Y1127" i="9"/>
  <c r="U1127" i="9"/>
  <c r="T1127" i="9"/>
  <c r="AF1126" i="9"/>
  <c r="AE1126" i="9"/>
  <c r="AD1126" i="9"/>
  <c r="AC1126" i="9"/>
  <c r="AB1126" i="9"/>
  <c r="AA1126" i="9"/>
  <c r="Z1126" i="9"/>
  <c r="Y1126" i="9"/>
  <c r="V1126" i="9"/>
  <c r="W1126" i="9" s="1"/>
  <c r="U1126" i="9"/>
  <c r="T1126" i="9"/>
  <c r="AF1125" i="9"/>
  <c r="V1125" i="9" s="1"/>
  <c r="AE1125" i="9"/>
  <c r="AD1125" i="9"/>
  <c r="AC1125" i="9"/>
  <c r="U1125" i="9" s="1"/>
  <c r="AB1125" i="9"/>
  <c r="AA1125" i="9"/>
  <c r="Z1125" i="9"/>
  <c r="T1125" i="9" s="1"/>
  <c r="Y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V1123" i="9" s="1"/>
  <c r="W1123" i="9" s="1"/>
  <c r="AD1123" i="9"/>
  <c r="AC1123" i="9"/>
  <c r="AB1123" i="9"/>
  <c r="AA1123" i="9"/>
  <c r="Z1123" i="9"/>
  <c r="Y1123" i="9"/>
  <c r="U1123" i="9"/>
  <c r="T1123" i="9"/>
  <c r="AF1122" i="9"/>
  <c r="AE1122" i="9"/>
  <c r="AD1122" i="9"/>
  <c r="AC1122" i="9"/>
  <c r="AB1122" i="9"/>
  <c r="AA1122" i="9"/>
  <c r="Z1122" i="9"/>
  <c r="Y1122" i="9"/>
  <c r="V1122" i="9"/>
  <c r="W1122" i="9" s="1"/>
  <c r="U1122" i="9"/>
  <c r="T1122" i="9"/>
  <c r="AF1121" i="9"/>
  <c r="V1121" i="9" s="1"/>
  <c r="AE1121" i="9"/>
  <c r="AD1121" i="9"/>
  <c r="AC1121" i="9"/>
  <c r="U1121" i="9" s="1"/>
  <c r="AB1121" i="9"/>
  <c r="AA1121" i="9"/>
  <c r="Z1121" i="9"/>
  <c r="T1121" i="9" s="1"/>
  <c r="Y1121" i="9"/>
  <c r="AF1120" i="9"/>
  <c r="AE1120" i="9"/>
  <c r="V1120" i="9" s="1"/>
  <c r="AD1120" i="9"/>
  <c r="AC1120" i="9"/>
  <c r="AB1120" i="9"/>
  <c r="AA1120" i="9"/>
  <c r="Z1120" i="9"/>
  <c r="Y1120" i="9"/>
  <c r="T1120" i="9" s="1"/>
  <c r="U1120" i="9"/>
  <c r="AF1119" i="9"/>
  <c r="AE1119" i="9"/>
  <c r="V1119" i="9" s="1"/>
  <c r="W1119" i="9" s="1"/>
  <c r="AD1119" i="9"/>
  <c r="AC1119" i="9"/>
  <c r="AB1119" i="9"/>
  <c r="AA1119" i="9"/>
  <c r="Z1119" i="9"/>
  <c r="Y1119" i="9"/>
  <c r="T1119" i="9" s="1"/>
  <c r="U1119" i="9"/>
  <c r="AF1118" i="9"/>
  <c r="AE1118" i="9"/>
  <c r="AD1118" i="9"/>
  <c r="AC1118" i="9"/>
  <c r="AB1118" i="9"/>
  <c r="AA1118" i="9"/>
  <c r="Z1118" i="9"/>
  <c r="Y1118" i="9"/>
  <c r="V1118" i="9"/>
  <c r="U1118" i="9"/>
  <c r="T1118" i="9"/>
  <c r="AF1117" i="9"/>
  <c r="V1117" i="9" s="1"/>
  <c r="AE1117" i="9"/>
  <c r="AD1117" i="9"/>
  <c r="AC1117" i="9"/>
  <c r="U1117" i="9" s="1"/>
  <c r="AB1117" i="9"/>
  <c r="AA1117" i="9"/>
  <c r="Z1117" i="9"/>
  <c r="T1117" i="9" s="1"/>
  <c r="Y1117" i="9"/>
  <c r="AF1116" i="9"/>
  <c r="AE1116" i="9"/>
  <c r="V1116" i="9" s="1"/>
  <c r="AD1116" i="9"/>
  <c r="AC1116" i="9"/>
  <c r="AB1116" i="9"/>
  <c r="U1116" i="9" s="1"/>
  <c r="AA1116" i="9"/>
  <c r="Z1116" i="9"/>
  <c r="Y1116" i="9"/>
  <c r="T1116" i="9" s="1"/>
  <c r="AF1115" i="9"/>
  <c r="AE1115" i="9"/>
  <c r="V1115" i="9" s="1"/>
  <c r="AD1115" i="9"/>
  <c r="AC1115" i="9"/>
  <c r="AB1115" i="9"/>
  <c r="AA1115" i="9"/>
  <c r="Z1115" i="9"/>
  <c r="Y1115" i="9"/>
  <c r="T1115" i="9" s="1"/>
  <c r="W1115" i="9" s="1"/>
  <c r="U1115" i="9"/>
  <c r="AF1114" i="9"/>
  <c r="AE1114" i="9"/>
  <c r="AD1114" i="9"/>
  <c r="AC1114" i="9"/>
  <c r="AB1114" i="9"/>
  <c r="AA1114" i="9"/>
  <c r="Z1114" i="9"/>
  <c r="Y1114" i="9"/>
  <c r="V1114" i="9"/>
  <c r="U1114" i="9"/>
  <c r="T1114" i="9"/>
  <c r="AF1113" i="9"/>
  <c r="V1113" i="9" s="1"/>
  <c r="AE1113" i="9"/>
  <c r="AD1113" i="9"/>
  <c r="AC1113" i="9"/>
  <c r="U1113" i="9" s="1"/>
  <c r="AB1113" i="9"/>
  <c r="AA1113" i="9"/>
  <c r="Z1113" i="9"/>
  <c r="T1113" i="9" s="1"/>
  <c r="Y1113" i="9"/>
  <c r="AF1112" i="9"/>
  <c r="AE1112" i="9"/>
  <c r="V1112" i="9" s="1"/>
  <c r="AD1112" i="9"/>
  <c r="AC1112" i="9"/>
  <c r="AB1112" i="9"/>
  <c r="U1112" i="9" s="1"/>
  <c r="AA1112" i="9"/>
  <c r="Z1112" i="9"/>
  <c r="Y1112" i="9"/>
  <c r="T1112" i="9" s="1"/>
  <c r="AF1111" i="9"/>
  <c r="AE1111" i="9"/>
  <c r="V1111" i="9" s="1"/>
  <c r="AD1111" i="9"/>
  <c r="AC1111" i="9"/>
  <c r="AB1111" i="9"/>
  <c r="AA1111" i="9"/>
  <c r="Z1111" i="9"/>
  <c r="Y1111" i="9"/>
  <c r="T1111" i="9" s="1"/>
  <c r="U1111" i="9"/>
  <c r="AF1110" i="9"/>
  <c r="AE1110" i="9"/>
  <c r="AD1110" i="9"/>
  <c r="AC1110" i="9"/>
  <c r="AB1110" i="9"/>
  <c r="AA1110" i="9"/>
  <c r="Z1110" i="9"/>
  <c r="Y1110" i="9"/>
  <c r="V1110" i="9"/>
  <c r="U1110" i="9"/>
  <c r="T1110" i="9"/>
  <c r="AF1109" i="9"/>
  <c r="V1109" i="9" s="1"/>
  <c r="W1109" i="9" s="1"/>
  <c r="AE1109" i="9"/>
  <c r="AD1109" i="9"/>
  <c r="AC1109" i="9"/>
  <c r="U1109" i="9" s="1"/>
  <c r="AB1109" i="9"/>
  <c r="AA1109" i="9"/>
  <c r="Z1109" i="9"/>
  <c r="T1109" i="9" s="1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U1108" i="9"/>
  <c r="AF1107" i="9"/>
  <c r="AE1107" i="9"/>
  <c r="V1107" i="9" s="1"/>
  <c r="W1107" i="9" s="1"/>
  <c r="AD1107" i="9"/>
  <c r="AC1107" i="9"/>
  <c r="AB1107" i="9"/>
  <c r="AA1107" i="9"/>
  <c r="Z1107" i="9"/>
  <c r="Y1107" i="9"/>
  <c r="U1107" i="9"/>
  <c r="T1107" i="9"/>
  <c r="AF1106" i="9"/>
  <c r="AE1106" i="9"/>
  <c r="AD1106" i="9"/>
  <c r="AC1106" i="9"/>
  <c r="AB1106" i="9"/>
  <c r="AA1106" i="9"/>
  <c r="Z1106" i="9"/>
  <c r="Y1106" i="9"/>
  <c r="V1106" i="9"/>
  <c r="U1106" i="9"/>
  <c r="T1106" i="9"/>
  <c r="W1106" i="9" s="1"/>
  <c r="AF1105" i="9"/>
  <c r="AE1105" i="9"/>
  <c r="AD1105" i="9"/>
  <c r="AC1105" i="9"/>
  <c r="U1105" i="9" s="1"/>
  <c r="AB1105" i="9"/>
  <c r="AA1105" i="9"/>
  <c r="Z1105" i="9"/>
  <c r="T1105" i="9" s="1"/>
  <c r="Y1105" i="9"/>
  <c r="V1105" i="9"/>
  <c r="W1105" i="9" s="1"/>
  <c r="AF1104" i="9"/>
  <c r="AE1104" i="9"/>
  <c r="V1104" i="9" s="1"/>
  <c r="AD1104" i="9"/>
  <c r="AC1104" i="9"/>
  <c r="U1104" i="9" s="1"/>
  <c r="AB1104" i="9"/>
  <c r="AA1104" i="9"/>
  <c r="Z1104" i="9"/>
  <c r="Y1104" i="9"/>
  <c r="AF1103" i="9"/>
  <c r="AE1103" i="9"/>
  <c r="V1103" i="9" s="1"/>
  <c r="AD1103" i="9"/>
  <c r="AC1103" i="9"/>
  <c r="AB1103" i="9"/>
  <c r="U1103" i="9" s="1"/>
  <c r="AA1103" i="9"/>
  <c r="T1103" i="9" s="1"/>
  <c r="Z1103" i="9"/>
  <c r="Y1103" i="9"/>
  <c r="AF1102" i="9"/>
  <c r="AE1102" i="9"/>
  <c r="AD1102" i="9"/>
  <c r="AC1102" i="9"/>
  <c r="AB1102" i="9"/>
  <c r="AA1102" i="9"/>
  <c r="Z1102" i="9"/>
  <c r="Y1102" i="9"/>
  <c r="V1102" i="9"/>
  <c r="U1102" i="9"/>
  <c r="T1102" i="9"/>
  <c r="AF1101" i="9"/>
  <c r="AE1101" i="9"/>
  <c r="AD1101" i="9"/>
  <c r="AC1101" i="9"/>
  <c r="U1101" i="9" s="1"/>
  <c r="AB1101" i="9"/>
  <c r="AA1101" i="9"/>
  <c r="Z1101" i="9"/>
  <c r="T1101" i="9" s="1"/>
  <c r="Y1101" i="9"/>
  <c r="V1101" i="9"/>
  <c r="AF1100" i="9"/>
  <c r="AE1100" i="9"/>
  <c r="AD1100" i="9"/>
  <c r="AC1100" i="9"/>
  <c r="AB1100" i="9"/>
  <c r="U1100" i="9" s="1"/>
  <c r="AA1100" i="9"/>
  <c r="Z1100" i="9"/>
  <c r="Y1100" i="9"/>
  <c r="AF1099" i="9"/>
  <c r="AE1099" i="9"/>
  <c r="V1099" i="9" s="1"/>
  <c r="AD1099" i="9"/>
  <c r="AC1099" i="9"/>
  <c r="AB1099" i="9"/>
  <c r="U1099" i="9" s="1"/>
  <c r="AA1099" i="9"/>
  <c r="Z1099" i="9"/>
  <c r="Y1099" i="9"/>
  <c r="T1099" i="9" s="1"/>
  <c r="AF1098" i="9"/>
  <c r="AE1098" i="9"/>
  <c r="AD1098" i="9"/>
  <c r="AC1098" i="9"/>
  <c r="AB1098" i="9"/>
  <c r="AA1098" i="9"/>
  <c r="Z1098" i="9"/>
  <c r="Y1098" i="9"/>
  <c r="V1098" i="9"/>
  <c r="W1098" i="9" s="1"/>
  <c r="U1098" i="9"/>
  <c r="T1098" i="9"/>
  <c r="AF1097" i="9"/>
  <c r="V1097" i="9" s="1"/>
  <c r="AE1097" i="9"/>
  <c r="AD1097" i="9"/>
  <c r="AC1097" i="9"/>
  <c r="U1097" i="9" s="1"/>
  <c r="AB1097" i="9"/>
  <c r="AA1097" i="9"/>
  <c r="Z1097" i="9"/>
  <c r="T1097" i="9" s="1"/>
  <c r="Y1097" i="9"/>
  <c r="AF1096" i="9"/>
  <c r="AE1096" i="9"/>
  <c r="V1096" i="9" s="1"/>
  <c r="AD1096" i="9"/>
  <c r="AC1096" i="9"/>
  <c r="AB1096" i="9"/>
  <c r="U1096" i="9" s="1"/>
  <c r="AA1096" i="9"/>
  <c r="Z1096" i="9"/>
  <c r="Y1096" i="9"/>
  <c r="T1096" i="9" s="1"/>
  <c r="AF1095" i="9"/>
  <c r="AE1095" i="9"/>
  <c r="V1095" i="9" s="1"/>
  <c r="AD1095" i="9"/>
  <c r="AC1095" i="9"/>
  <c r="AB1095" i="9"/>
  <c r="U1095" i="9" s="1"/>
  <c r="W1095" i="9" s="1"/>
  <c r="AA1095" i="9"/>
  <c r="Z1095" i="9"/>
  <c r="Y1095" i="9"/>
  <c r="T1095" i="9"/>
  <c r="AF1094" i="9"/>
  <c r="AE1094" i="9"/>
  <c r="AD1094" i="9"/>
  <c r="AC1094" i="9"/>
  <c r="AB1094" i="9"/>
  <c r="AA1094" i="9"/>
  <c r="Z1094" i="9"/>
  <c r="Y1094" i="9"/>
  <c r="W1094" i="9"/>
  <c r="V1094" i="9"/>
  <c r="U1094" i="9"/>
  <c r="T1094" i="9"/>
  <c r="AF1093" i="9"/>
  <c r="AE1093" i="9"/>
  <c r="AD1093" i="9"/>
  <c r="AC1093" i="9"/>
  <c r="U1093" i="9" s="1"/>
  <c r="AB1093" i="9"/>
  <c r="AA1093" i="9"/>
  <c r="Z1093" i="9"/>
  <c r="T1093" i="9" s="1"/>
  <c r="Y1093" i="9"/>
  <c r="V1093" i="9"/>
  <c r="W1093" i="9" s="1"/>
  <c r="AF1092" i="9"/>
  <c r="AE1092" i="9"/>
  <c r="V1092" i="9" s="1"/>
  <c r="AD1092" i="9"/>
  <c r="AC1092" i="9"/>
  <c r="AB1092" i="9"/>
  <c r="AA1092" i="9"/>
  <c r="Z1092" i="9"/>
  <c r="Y1092" i="9"/>
  <c r="AF1091" i="9"/>
  <c r="AE1091" i="9"/>
  <c r="V1091" i="9" s="1"/>
  <c r="AD1091" i="9"/>
  <c r="AC1091" i="9"/>
  <c r="AB1091" i="9"/>
  <c r="AA1091" i="9"/>
  <c r="Z1091" i="9"/>
  <c r="Y1091" i="9"/>
  <c r="U1091" i="9"/>
  <c r="T1091" i="9"/>
  <c r="W1091" i="9" s="1"/>
  <c r="AF1090" i="9"/>
  <c r="AE1090" i="9"/>
  <c r="AD1090" i="9"/>
  <c r="AC1090" i="9"/>
  <c r="AB1090" i="9"/>
  <c r="AA1090" i="9"/>
  <c r="Z1090" i="9"/>
  <c r="Y1090" i="9"/>
  <c r="V1090" i="9"/>
  <c r="W1090" i="9" s="1"/>
  <c r="U1090" i="9"/>
  <c r="T1090" i="9"/>
  <c r="AF1089" i="9"/>
  <c r="AE1089" i="9"/>
  <c r="AD1089" i="9"/>
  <c r="AC1089" i="9"/>
  <c r="U1089" i="9" s="1"/>
  <c r="AB1089" i="9"/>
  <c r="AA1089" i="9"/>
  <c r="Z1089" i="9"/>
  <c r="T1089" i="9" s="1"/>
  <c r="Y1089" i="9"/>
  <c r="V1089" i="9"/>
  <c r="AF1088" i="9"/>
  <c r="AE1088" i="9"/>
  <c r="V1088" i="9" s="1"/>
  <c r="AD1088" i="9"/>
  <c r="AC1088" i="9"/>
  <c r="AB1088" i="9"/>
  <c r="U1088" i="9" s="1"/>
  <c r="AA1088" i="9"/>
  <c r="Z1088" i="9"/>
  <c r="Y1088" i="9"/>
  <c r="AF1087" i="9"/>
  <c r="AE1087" i="9"/>
  <c r="V1087" i="9" s="1"/>
  <c r="W1087" i="9" s="1"/>
  <c r="AD1087" i="9"/>
  <c r="AC1087" i="9"/>
  <c r="AB1087" i="9"/>
  <c r="AA1087" i="9"/>
  <c r="Z1087" i="9"/>
  <c r="Y1087" i="9"/>
  <c r="U1087" i="9"/>
  <c r="T1087" i="9"/>
  <c r="AF1086" i="9"/>
  <c r="AE1086" i="9"/>
  <c r="AD1086" i="9"/>
  <c r="AC1086" i="9"/>
  <c r="AB1086" i="9"/>
  <c r="AA1086" i="9"/>
  <c r="T1086" i="9" s="1"/>
  <c r="Z1086" i="9"/>
  <c r="Y1086" i="9"/>
  <c r="V1086" i="9"/>
  <c r="W1086" i="9" s="1"/>
  <c r="U1086" i="9"/>
  <c r="AF1085" i="9"/>
  <c r="AE1085" i="9"/>
  <c r="AD1085" i="9"/>
  <c r="AC1085" i="9"/>
  <c r="U1085" i="9" s="1"/>
  <c r="AB1085" i="9"/>
  <c r="AA1085" i="9"/>
  <c r="Z1085" i="9"/>
  <c r="T1085" i="9" s="1"/>
  <c r="Y1085" i="9"/>
  <c r="V1085" i="9"/>
  <c r="AF1084" i="9"/>
  <c r="AE1084" i="9"/>
  <c r="V1084" i="9" s="1"/>
  <c r="AD1084" i="9"/>
  <c r="AC1084" i="9"/>
  <c r="AB1084" i="9"/>
  <c r="U1084" i="9" s="1"/>
  <c r="AA1084" i="9"/>
  <c r="Z1084" i="9"/>
  <c r="Y1084" i="9"/>
  <c r="AF1083" i="9"/>
  <c r="AE1083" i="9"/>
  <c r="V1083" i="9" s="1"/>
  <c r="AD1083" i="9"/>
  <c r="AC1083" i="9"/>
  <c r="AB1083" i="9"/>
  <c r="AA1083" i="9"/>
  <c r="Z1083" i="9"/>
  <c r="Y1083" i="9"/>
  <c r="T1083" i="9" s="1"/>
  <c r="W1083" i="9"/>
  <c r="U1083" i="9"/>
  <c r="AF1082" i="9"/>
  <c r="AE1082" i="9"/>
  <c r="AD1082" i="9"/>
  <c r="AC1082" i="9"/>
  <c r="AB1082" i="9"/>
  <c r="AA1082" i="9"/>
  <c r="T1082" i="9" s="1"/>
  <c r="W1082" i="9" s="1"/>
  <c r="Z1082" i="9"/>
  <c r="Y1082" i="9"/>
  <c r="V1082" i="9"/>
  <c r="U1082" i="9"/>
  <c r="AF1081" i="9"/>
  <c r="V1081" i="9" s="1"/>
  <c r="W1081" i="9" s="1"/>
  <c r="AE1081" i="9"/>
  <c r="AD1081" i="9"/>
  <c r="AC1081" i="9"/>
  <c r="U1081" i="9" s="1"/>
  <c r="AB1081" i="9"/>
  <c r="AA1081" i="9"/>
  <c r="Z1081" i="9"/>
  <c r="T1081" i="9" s="1"/>
  <c r="Y1081" i="9"/>
  <c r="AF1080" i="9"/>
  <c r="AE1080" i="9"/>
  <c r="AD1080" i="9"/>
  <c r="AC1080" i="9"/>
  <c r="AB1080" i="9"/>
  <c r="AA1080" i="9"/>
  <c r="Z1080" i="9"/>
  <c r="Y1080" i="9"/>
  <c r="T1080" i="9" s="1"/>
  <c r="U1080" i="9"/>
  <c r="AF1079" i="9"/>
  <c r="AE1079" i="9"/>
  <c r="V1079" i="9" s="1"/>
  <c r="AD1079" i="9"/>
  <c r="AC1079" i="9"/>
  <c r="AB1079" i="9"/>
  <c r="U1079" i="9" s="1"/>
  <c r="AA1079" i="9"/>
  <c r="Z1079" i="9"/>
  <c r="Y1079" i="9"/>
  <c r="T1079" i="9"/>
  <c r="W1079" i="9" s="1"/>
  <c r="AF1078" i="9"/>
  <c r="AE1078" i="9"/>
  <c r="AD1078" i="9"/>
  <c r="AC1078" i="9"/>
  <c r="AB1078" i="9"/>
  <c r="AA1078" i="9"/>
  <c r="T1078" i="9" s="1"/>
  <c r="Z1078" i="9"/>
  <c r="Y1078" i="9"/>
  <c r="V1078" i="9"/>
  <c r="W1078" i="9" s="1"/>
  <c r="U1078" i="9"/>
  <c r="AF1077" i="9"/>
  <c r="AE1077" i="9"/>
  <c r="AD1077" i="9"/>
  <c r="AC1077" i="9"/>
  <c r="U1077" i="9" s="1"/>
  <c r="AB1077" i="9"/>
  <c r="AA1077" i="9"/>
  <c r="Z1077" i="9"/>
  <c r="T1077" i="9" s="1"/>
  <c r="Y1077" i="9"/>
  <c r="V1077" i="9"/>
  <c r="W1077" i="9" s="1"/>
  <c r="AF1076" i="9"/>
  <c r="AE1076" i="9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AA1075" i="9"/>
  <c r="Z1075" i="9"/>
  <c r="Y1075" i="9"/>
  <c r="T1075" i="9" s="1"/>
  <c r="U1075" i="9"/>
  <c r="AF1074" i="9"/>
  <c r="AE1074" i="9"/>
  <c r="AD1074" i="9"/>
  <c r="AC1074" i="9"/>
  <c r="AB1074" i="9"/>
  <c r="AA1074" i="9"/>
  <c r="Z1074" i="9"/>
  <c r="Y1074" i="9"/>
  <c r="V1074" i="9"/>
  <c r="U1074" i="9"/>
  <c r="T1074" i="9"/>
  <c r="AF1073" i="9"/>
  <c r="V1073" i="9" s="1"/>
  <c r="W1073" i="9" s="1"/>
  <c r="AE1073" i="9"/>
  <c r="AD1073" i="9"/>
  <c r="AC1073" i="9"/>
  <c r="U1073" i="9" s="1"/>
  <c r="AB1073" i="9"/>
  <c r="AA1073" i="9"/>
  <c r="Z1073" i="9"/>
  <c r="T1073" i="9" s="1"/>
  <c r="Y1073" i="9"/>
  <c r="AF1072" i="9"/>
  <c r="AE1072" i="9"/>
  <c r="V1072" i="9" s="1"/>
  <c r="AD1072" i="9"/>
  <c r="AC1072" i="9"/>
  <c r="AB1072" i="9"/>
  <c r="U1072" i="9" s="1"/>
  <c r="AA1072" i="9"/>
  <c r="Z1072" i="9"/>
  <c r="Y1072" i="9"/>
  <c r="T1072" i="9" s="1"/>
  <c r="AF1071" i="9"/>
  <c r="AE1071" i="9"/>
  <c r="V1071" i="9" s="1"/>
  <c r="AD1071" i="9"/>
  <c r="AC1071" i="9"/>
  <c r="AB1071" i="9"/>
  <c r="AA1071" i="9"/>
  <c r="Z1071" i="9"/>
  <c r="Y1071" i="9"/>
  <c r="T1071" i="9" s="1"/>
  <c r="W1071" i="9" s="1"/>
  <c r="U1071" i="9"/>
  <c r="AF1070" i="9"/>
  <c r="AE1070" i="9"/>
  <c r="AD1070" i="9"/>
  <c r="AC1070" i="9"/>
  <c r="AB1070" i="9"/>
  <c r="AA1070" i="9"/>
  <c r="T1070" i="9" s="1"/>
  <c r="Z1070" i="9"/>
  <c r="Y1070" i="9"/>
  <c r="V1070" i="9"/>
  <c r="U1070" i="9"/>
  <c r="AF1069" i="9"/>
  <c r="V1069" i="9" s="1"/>
  <c r="AE1069" i="9"/>
  <c r="AD1069" i="9"/>
  <c r="AC1069" i="9"/>
  <c r="U1069" i="9" s="1"/>
  <c r="AB1069" i="9"/>
  <c r="AA1069" i="9"/>
  <c r="Z1069" i="9"/>
  <c r="T1069" i="9" s="1"/>
  <c r="Y1069" i="9"/>
  <c r="AF1068" i="9"/>
  <c r="AE1068" i="9"/>
  <c r="V1068" i="9" s="1"/>
  <c r="AD1068" i="9"/>
  <c r="AC1068" i="9"/>
  <c r="AB1068" i="9"/>
  <c r="U1068" i="9" s="1"/>
  <c r="AA1068" i="9"/>
  <c r="Z1068" i="9"/>
  <c r="Y1068" i="9"/>
  <c r="T1068" i="9" s="1"/>
  <c r="AF1067" i="9"/>
  <c r="AE1067" i="9"/>
  <c r="V1067" i="9" s="1"/>
  <c r="AD1067" i="9"/>
  <c r="AC1067" i="9"/>
  <c r="AB1067" i="9"/>
  <c r="AA1067" i="9"/>
  <c r="Z1067" i="9"/>
  <c r="Y1067" i="9"/>
  <c r="T1067" i="9"/>
  <c r="AF1066" i="9"/>
  <c r="AE1066" i="9"/>
  <c r="AD1066" i="9"/>
  <c r="AC1066" i="9"/>
  <c r="AB1066" i="9"/>
  <c r="AA1066" i="9"/>
  <c r="Z1066" i="9"/>
  <c r="Y1066" i="9"/>
  <c r="T1066" i="9" s="1"/>
  <c r="W1066" i="9" s="1"/>
  <c r="V1066" i="9"/>
  <c r="U1066" i="9"/>
  <c r="AF1065" i="9"/>
  <c r="AE1065" i="9"/>
  <c r="AD1065" i="9"/>
  <c r="AC1065" i="9"/>
  <c r="U1065" i="9" s="1"/>
  <c r="AB1065" i="9"/>
  <c r="AA1065" i="9"/>
  <c r="Z1065" i="9"/>
  <c r="T1065" i="9" s="1"/>
  <c r="Y1065" i="9"/>
  <c r="V1065" i="9"/>
  <c r="AF1064" i="9"/>
  <c r="AE1064" i="9"/>
  <c r="V1064" i="9" s="1"/>
  <c r="AD1064" i="9"/>
  <c r="AC1064" i="9"/>
  <c r="U1064" i="9" s="1"/>
  <c r="AB1064" i="9"/>
  <c r="AA1064" i="9"/>
  <c r="Z1064" i="9"/>
  <c r="Y1064" i="9"/>
  <c r="T1064" i="9" s="1"/>
  <c r="AF1063" i="9"/>
  <c r="AE1063" i="9"/>
  <c r="V1063" i="9" s="1"/>
  <c r="W1063" i="9" s="1"/>
  <c r="AD1063" i="9"/>
  <c r="AC1063" i="9"/>
  <c r="AB1063" i="9"/>
  <c r="AA1063" i="9"/>
  <c r="Z1063" i="9"/>
  <c r="Y1063" i="9"/>
  <c r="U1063" i="9"/>
  <c r="T1063" i="9"/>
  <c r="AF1062" i="9"/>
  <c r="AE1062" i="9"/>
  <c r="AD1062" i="9"/>
  <c r="AC1062" i="9"/>
  <c r="AB1062" i="9"/>
  <c r="AA1062" i="9"/>
  <c r="Z1062" i="9"/>
  <c r="Y1062" i="9"/>
  <c r="T1062" i="9" s="1"/>
  <c r="V1062" i="9"/>
  <c r="U1062" i="9"/>
  <c r="AF1061" i="9"/>
  <c r="V1061" i="9" s="1"/>
  <c r="AE1061" i="9"/>
  <c r="AD1061" i="9"/>
  <c r="AC1061" i="9"/>
  <c r="U1061" i="9" s="1"/>
  <c r="AB1061" i="9"/>
  <c r="AA1061" i="9"/>
  <c r="Z1061" i="9"/>
  <c r="Y1061" i="9"/>
  <c r="T1061" i="9"/>
  <c r="AF1060" i="9"/>
  <c r="AE1060" i="9"/>
  <c r="AD1060" i="9"/>
  <c r="AC1060" i="9"/>
  <c r="AB1060" i="9"/>
  <c r="AA1060" i="9"/>
  <c r="Z1060" i="9"/>
  <c r="Y1060" i="9"/>
  <c r="T1060" i="9" s="1"/>
  <c r="U1060" i="9"/>
  <c r="AF1059" i="9"/>
  <c r="AE1059" i="9"/>
  <c r="V1059" i="9" s="1"/>
  <c r="AD1059" i="9"/>
  <c r="AC1059" i="9"/>
  <c r="AB1059" i="9"/>
  <c r="AA1059" i="9"/>
  <c r="Z1059" i="9"/>
  <c r="Y1059" i="9"/>
  <c r="U1059" i="9"/>
  <c r="T1059" i="9"/>
  <c r="W1059" i="9" s="1"/>
  <c r="AF1058" i="9"/>
  <c r="AE1058" i="9"/>
  <c r="AD1058" i="9"/>
  <c r="AC1058" i="9"/>
  <c r="AB1058" i="9"/>
  <c r="AA1058" i="9"/>
  <c r="T1058" i="9" s="1"/>
  <c r="Z1058" i="9"/>
  <c r="Y1058" i="9"/>
  <c r="V1058" i="9"/>
  <c r="W1058" i="9" s="1"/>
  <c r="U1058" i="9"/>
  <c r="AF1057" i="9"/>
  <c r="AE1057" i="9"/>
  <c r="AD1057" i="9"/>
  <c r="AC1057" i="9"/>
  <c r="AB1057" i="9"/>
  <c r="AA1057" i="9"/>
  <c r="Z1057" i="9"/>
  <c r="T1057" i="9" s="1"/>
  <c r="Y1057" i="9"/>
  <c r="V1057" i="9"/>
  <c r="U1057" i="9"/>
  <c r="AF1056" i="9"/>
  <c r="AE1056" i="9"/>
  <c r="AD1056" i="9"/>
  <c r="AC1056" i="9"/>
  <c r="AB1056" i="9"/>
  <c r="U1056" i="9" s="1"/>
  <c r="AA1056" i="9"/>
  <c r="Z1056" i="9"/>
  <c r="Y1056" i="9"/>
  <c r="T1056" i="9" s="1"/>
  <c r="AF1055" i="9"/>
  <c r="AE1055" i="9"/>
  <c r="V1055" i="9" s="1"/>
  <c r="AD1055" i="9"/>
  <c r="AC1055" i="9"/>
  <c r="AB1055" i="9"/>
  <c r="U1055" i="9" s="1"/>
  <c r="W1055" i="9" s="1"/>
  <c r="AA1055" i="9"/>
  <c r="Z1055" i="9"/>
  <c r="Y1055" i="9"/>
  <c r="T1055" i="9"/>
  <c r="AF1054" i="9"/>
  <c r="AE1054" i="9"/>
  <c r="AD1054" i="9"/>
  <c r="AC1054" i="9"/>
  <c r="AB1054" i="9"/>
  <c r="AA1054" i="9"/>
  <c r="Z1054" i="9"/>
  <c r="Y1054" i="9"/>
  <c r="T1054" i="9" s="1"/>
  <c r="V1054" i="9"/>
  <c r="W1054" i="9" s="1"/>
  <c r="U1054" i="9"/>
  <c r="AF1053" i="9"/>
  <c r="AE1053" i="9"/>
  <c r="AD1053" i="9"/>
  <c r="AC1053" i="9"/>
  <c r="AB1053" i="9"/>
  <c r="U1053" i="9" s="1"/>
  <c r="AA1053" i="9"/>
  <c r="Z1053" i="9"/>
  <c r="T1053" i="9" s="1"/>
  <c r="Y1053" i="9"/>
  <c r="V1053" i="9"/>
  <c r="AF1052" i="9"/>
  <c r="AE1052" i="9"/>
  <c r="V1052" i="9" s="1"/>
  <c r="AD1052" i="9"/>
  <c r="AC1052" i="9"/>
  <c r="AB1052" i="9"/>
  <c r="AA1052" i="9"/>
  <c r="Z1052" i="9"/>
  <c r="Y1052" i="9"/>
  <c r="U1052" i="9"/>
  <c r="AF1051" i="9"/>
  <c r="AE1051" i="9"/>
  <c r="V1051" i="9" s="1"/>
  <c r="AD1051" i="9"/>
  <c r="AC1051" i="9"/>
  <c r="AB1051" i="9"/>
  <c r="U1051" i="9" s="1"/>
  <c r="AA1051" i="9"/>
  <c r="Z1051" i="9"/>
  <c r="Y1051" i="9"/>
  <c r="T1051" i="9" s="1"/>
  <c r="W1051" i="9"/>
  <c r="AF1050" i="9"/>
  <c r="V1050" i="9" s="1"/>
  <c r="W1050" i="9" s="1"/>
  <c r="AE1050" i="9"/>
  <c r="AD1050" i="9"/>
  <c r="AC1050" i="9"/>
  <c r="AB1050" i="9"/>
  <c r="AA1050" i="9"/>
  <c r="Z1050" i="9"/>
  <c r="Y1050" i="9"/>
  <c r="T1050" i="9" s="1"/>
  <c r="U1050" i="9"/>
  <c r="AF1049" i="9"/>
  <c r="V1049" i="9" s="1"/>
  <c r="AE1049" i="9"/>
  <c r="AD1049" i="9"/>
  <c r="AC1049" i="9"/>
  <c r="AB1049" i="9"/>
  <c r="U1049" i="9" s="1"/>
  <c r="AA1049" i="9"/>
  <c r="Z1049" i="9"/>
  <c r="Y1049" i="9"/>
  <c r="T1049" i="9"/>
  <c r="AF1048" i="9"/>
  <c r="AE1048" i="9"/>
  <c r="AD1048" i="9"/>
  <c r="AC1048" i="9"/>
  <c r="AB1048" i="9"/>
  <c r="U1048" i="9" s="1"/>
  <c r="AA1048" i="9"/>
  <c r="Z1048" i="9"/>
  <c r="Y1048" i="9"/>
  <c r="AF1047" i="9"/>
  <c r="AE1047" i="9"/>
  <c r="V1047" i="9" s="1"/>
  <c r="AD1047" i="9"/>
  <c r="AC1047" i="9"/>
  <c r="U1047" i="9" s="1"/>
  <c r="AB1047" i="9"/>
  <c r="AA1047" i="9"/>
  <c r="Z1047" i="9"/>
  <c r="T1047" i="9" s="1"/>
  <c r="Y1047" i="9"/>
  <c r="AF1046" i="9"/>
  <c r="V1046" i="9" s="1"/>
  <c r="W1046" i="9" s="1"/>
  <c r="AE1046" i="9"/>
  <c r="AD1046" i="9"/>
  <c r="AC1046" i="9"/>
  <c r="AB1046" i="9"/>
  <c r="AA1046" i="9"/>
  <c r="Z1046" i="9"/>
  <c r="Y1046" i="9"/>
  <c r="U1046" i="9"/>
  <c r="T1046" i="9"/>
  <c r="AF1045" i="9"/>
  <c r="V1045" i="9" s="1"/>
  <c r="AE1045" i="9"/>
  <c r="AD1045" i="9"/>
  <c r="AC1045" i="9"/>
  <c r="AB1045" i="9"/>
  <c r="U1045" i="9" s="1"/>
  <c r="AA1045" i="9"/>
  <c r="Z1045" i="9"/>
  <c r="Y1045" i="9"/>
  <c r="T1045" i="9"/>
  <c r="AF1044" i="9"/>
  <c r="AE1044" i="9"/>
  <c r="V1044" i="9" s="1"/>
  <c r="W1044" i="9" s="1"/>
  <c r="AD1044" i="9"/>
  <c r="AC1044" i="9"/>
  <c r="AB1044" i="9"/>
  <c r="AA1044" i="9"/>
  <c r="Z1044" i="9"/>
  <c r="Y1044" i="9"/>
  <c r="T1044" i="9" s="1"/>
  <c r="U1044" i="9"/>
  <c r="AF1043" i="9"/>
  <c r="AE1043" i="9"/>
  <c r="V1043" i="9" s="1"/>
  <c r="AD1043" i="9"/>
  <c r="AC1043" i="9"/>
  <c r="AB1043" i="9"/>
  <c r="AA1043" i="9"/>
  <c r="Z1043" i="9"/>
  <c r="Y1043" i="9"/>
  <c r="U1043" i="9"/>
  <c r="T1043" i="9"/>
  <c r="W1043" i="9" s="1"/>
  <c r="AF1042" i="9"/>
  <c r="AE1042" i="9"/>
  <c r="AD1042" i="9"/>
  <c r="AC1042" i="9"/>
  <c r="AB1042" i="9"/>
  <c r="AA1042" i="9"/>
  <c r="T1042" i="9" s="1"/>
  <c r="Z1042" i="9"/>
  <c r="Y1042" i="9"/>
  <c r="V1042" i="9"/>
  <c r="W1042" i="9" s="1"/>
  <c r="U1042" i="9"/>
  <c r="AF1041" i="9"/>
  <c r="AE1041" i="9"/>
  <c r="AD1041" i="9"/>
  <c r="AC1041" i="9"/>
  <c r="AB1041" i="9"/>
  <c r="AA1041" i="9"/>
  <c r="Z1041" i="9"/>
  <c r="T1041" i="9" s="1"/>
  <c r="Y1041" i="9"/>
  <c r="V1041" i="9"/>
  <c r="U1041" i="9"/>
  <c r="AF1040" i="9"/>
  <c r="AE1040" i="9"/>
  <c r="AD1040" i="9"/>
  <c r="AC1040" i="9"/>
  <c r="AB1040" i="9"/>
  <c r="U1040" i="9" s="1"/>
  <c r="AA1040" i="9"/>
  <c r="Z1040" i="9"/>
  <c r="Y1040" i="9"/>
  <c r="T1040" i="9" s="1"/>
  <c r="AF1039" i="9"/>
  <c r="AE1039" i="9"/>
  <c r="V1039" i="9" s="1"/>
  <c r="W1039" i="9" s="1"/>
  <c r="AD1039" i="9"/>
  <c r="AC1039" i="9"/>
  <c r="AB1039" i="9"/>
  <c r="U1039" i="9" s="1"/>
  <c r="AA1039" i="9"/>
  <c r="Z1039" i="9"/>
  <c r="T1039" i="9" s="1"/>
  <c r="Y1039" i="9"/>
  <c r="AF1038" i="9"/>
  <c r="AE1038" i="9"/>
  <c r="AD1038" i="9"/>
  <c r="AC1038" i="9"/>
  <c r="AB1038" i="9"/>
  <c r="AA1038" i="9"/>
  <c r="Z1038" i="9"/>
  <c r="Y1038" i="9"/>
  <c r="T1038" i="9" s="1"/>
  <c r="V1038" i="9"/>
  <c r="W1038" i="9" s="1"/>
  <c r="U1038" i="9"/>
  <c r="AF1037" i="9"/>
  <c r="AE1037" i="9"/>
  <c r="AD1037" i="9"/>
  <c r="AC1037" i="9"/>
  <c r="AB1037" i="9"/>
  <c r="U1037" i="9" s="1"/>
  <c r="AA1037" i="9"/>
  <c r="Z1037" i="9"/>
  <c r="T1037" i="9" s="1"/>
  <c r="Y1037" i="9"/>
  <c r="V1037" i="9"/>
  <c r="AF1036" i="9"/>
  <c r="AE1036" i="9"/>
  <c r="V1036" i="9" s="1"/>
  <c r="AD1036" i="9"/>
  <c r="AC1036" i="9"/>
  <c r="AB1036" i="9"/>
  <c r="AA1036" i="9"/>
  <c r="Z1036" i="9"/>
  <c r="Y1036" i="9"/>
  <c r="U1036" i="9"/>
  <c r="AF1035" i="9"/>
  <c r="AE1035" i="9"/>
  <c r="V1035" i="9" s="1"/>
  <c r="AD1035" i="9"/>
  <c r="AC1035" i="9"/>
  <c r="AB1035" i="9"/>
  <c r="U1035" i="9" s="1"/>
  <c r="AA1035" i="9"/>
  <c r="Z1035" i="9"/>
  <c r="Y1035" i="9"/>
  <c r="T1035" i="9" s="1"/>
  <c r="W1035" i="9" s="1"/>
  <c r="AF1034" i="9"/>
  <c r="V1034" i="9" s="1"/>
  <c r="W1034" i="9" s="1"/>
  <c r="AE1034" i="9"/>
  <c r="AD1034" i="9"/>
  <c r="AC1034" i="9"/>
  <c r="AB1034" i="9"/>
  <c r="AA1034" i="9"/>
  <c r="Z1034" i="9"/>
  <c r="Y1034" i="9"/>
  <c r="T1034" i="9" s="1"/>
  <c r="U1034" i="9"/>
  <c r="AF1033" i="9"/>
  <c r="V1033" i="9" s="1"/>
  <c r="AE1033" i="9"/>
  <c r="AD1033" i="9"/>
  <c r="AC1033" i="9"/>
  <c r="AB1033" i="9"/>
  <c r="U1033" i="9" s="1"/>
  <c r="AA1033" i="9"/>
  <c r="Z1033" i="9"/>
  <c r="Y1033" i="9"/>
  <c r="T1033" i="9"/>
  <c r="AF1032" i="9"/>
  <c r="AE1032" i="9"/>
  <c r="AD1032" i="9"/>
  <c r="AC1032" i="9"/>
  <c r="AB1032" i="9"/>
  <c r="U1032" i="9" s="1"/>
  <c r="AA1032" i="9"/>
  <c r="Z1032" i="9"/>
  <c r="T1032" i="9" s="1"/>
  <c r="Y1032" i="9"/>
  <c r="AF1031" i="9"/>
  <c r="AE1031" i="9"/>
  <c r="V1031" i="9" s="1"/>
  <c r="AD1031" i="9"/>
  <c r="AC1031" i="9"/>
  <c r="AB1031" i="9"/>
  <c r="U1031" i="9" s="1"/>
  <c r="AA1031" i="9"/>
  <c r="Z1031" i="9"/>
  <c r="Y1031" i="9"/>
  <c r="T1031" i="9"/>
  <c r="AF1030" i="9"/>
  <c r="V1030" i="9" s="1"/>
  <c r="W1030" i="9" s="1"/>
  <c r="AE1030" i="9"/>
  <c r="AD1030" i="9"/>
  <c r="AC1030" i="9"/>
  <c r="AB1030" i="9"/>
  <c r="AA1030" i="9"/>
  <c r="Z1030" i="9"/>
  <c r="Y1030" i="9"/>
  <c r="T1030" i="9" s="1"/>
  <c r="U1030" i="9"/>
  <c r="AF1029" i="9"/>
  <c r="AE1029" i="9"/>
  <c r="AD1029" i="9"/>
  <c r="AC1029" i="9"/>
  <c r="AB1029" i="9"/>
  <c r="AA1029" i="9"/>
  <c r="Z1029" i="9"/>
  <c r="Y1029" i="9"/>
  <c r="V1029" i="9"/>
  <c r="T1029" i="9"/>
  <c r="AF1028" i="9"/>
  <c r="AE1028" i="9"/>
  <c r="V1028" i="9" s="1"/>
  <c r="AD1028" i="9"/>
  <c r="AC1028" i="9"/>
  <c r="AB1028" i="9"/>
  <c r="U1028" i="9" s="1"/>
  <c r="AA1028" i="9"/>
  <c r="Z1028" i="9"/>
  <c r="Y1028" i="9"/>
  <c r="T1028" i="9" s="1"/>
  <c r="W1028" i="9"/>
  <c r="AF1027" i="9"/>
  <c r="AE1027" i="9"/>
  <c r="AD1027" i="9"/>
  <c r="AC1027" i="9"/>
  <c r="AB1027" i="9"/>
  <c r="U1027" i="9" s="1"/>
  <c r="AA1027" i="9"/>
  <c r="Z1027" i="9"/>
  <c r="Y1027" i="9"/>
  <c r="T1027" i="9" s="1"/>
  <c r="AF1026" i="9"/>
  <c r="AE1026" i="9"/>
  <c r="AD1026" i="9"/>
  <c r="AC1026" i="9"/>
  <c r="AB1026" i="9"/>
  <c r="U1026" i="9" s="1"/>
  <c r="AA1026" i="9"/>
  <c r="Z1026" i="9"/>
  <c r="Y1026" i="9"/>
  <c r="V1026" i="9"/>
  <c r="T1026" i="9"/>
  <c r="AF1025" i="9"/>
  <c r="V1025" i="9" s="1"/>
  <c r="W1025" i="9" s="1"/>
  <c r="AE1025" i="9"/>
  <c r="AD1025" i="9"/>
  <c r="AC1025" i="9"/>
  <c r="AB1025" i="9"/>
  <c r="U1025" i="9" s="1"/>
  <c r="AA1025" i="9"/>
  <c r="Z1025" i="9"/>
  <c r="T1025" i="9" s="1"/>
  <c r="Y1025" i="9"/>
  <c r="AF1024" i="9"/>
  <c r="AE1024" i="9"/>
  <c r="V1024" i="9" s="1"/>
  <c r="AD1024" i="9"/>
  <c r="AC1024" i="9"/>
  <c r="AB1024" i="9"/>
  <c r="AA1024" i="9"/>
  <c r="Z1024" i="9"/>
  <c r="Y1024" i="9"/>
  <c r="U1024" i="9"/>
  <c r="T1024" i="9"/>
  <c r="AF1023" i="9"/>
  <c r="AE1023" i="9"/>
  <c r="V1023" i="9" s="1"/>
  <c r="AD1023" i="9"/>
  <c r="AC1023" i="9"/>
  <c r="AB1023" i="9"/>
  <c r="AA1023" i="9"/>
  <c r="Z1023" i="9"/>
  <c r="T1023" i="9" s="1"/>
  <c r="W1023" i="9" s="1"/>
  <c r="Y1023" i="9"/>
  <c r="U1023" i="9"/>
  <c r="AF1022" i="9"/>
  <c r="AE1022" i="9"/>
  <c r="AD1022" i="9"/>
  <c r="AC1022" i="9"/>
  <c r="AB1022" i="9"/>
  <c r="AA1022" i="9"/>
  <c r="Z1022" i="9"/>
  <c r="Y1022" i="9"/>
  <c r="V1022" i="9"/>
  <c r="T1022" i="9"/>
  <c r="AF1021" i="9"/>
  <c r="V1021" i="9" s="1"/>
  <c r="AE1021" i="9"/>
  <c r="AD1021" i="9"/>
  <c r="AC1021" i="9"/>
  <c r="AB1021" i="9"/>
  <c r="AA1021" i="9"/>
  <c r="Z1021" i="9"/>
  <c r="Y1021" i="9"/>
  <c r="T1021" i="9" s="1"/>
  <c r="W1021" i="9"/>
  <c r="U1021" i="9"/>
  <c r="AF1020" i="9"/>
  <c r="AE1020" i="9"/>
  <c r="AD1020" i="9"/>
  <c r="AC1020" i="9"/>
  <c r="U1020" i="9" s="1"/>
  <c r="AB1020" i="9"/>
  <c r="AA1020" i="9"/>
  <c r="Z1020" i="9"/>
  <c r="T1020" i="9" s="1"/>
  <c r="Y1020" i="9"/>
  <c r="AF1019" i="9"/>
  <c r="AE1019" i="9"/>
  <c r="V1019" i="9" s="1"/>
  <c r="W1019" i="9" s="1"/>
  <c r="AD1019" i="9"/>
  <c r="AC1019" i="9"/>
  <c r="AB1019" i="9"/>
  <c r="U1019" i="9" s="1"/>
  <c r="AA1019" i="9"/>
  <c r="Z1019" i="9"/>
  <c r="Y1019" i="9"/>
  <c r="T1019" i="9"/>
  <c r="AF1018" i="9"/>
  <c r="V1018" i="9" s="1"/>
  <c r="AE1018" i="9"/>
  <c r="AD1018" i="9"/>
  <c r="AC1018" i="9"/>
  <c r="AB1018" i="9"/>
  <c r="U1018" i="9" s="1"/>
  <c r="AA1018" i="9"/>
  <c r="Z1018" i="9"/>
  <c r="Y1018" i="9"/>
  <c r="AF1017" i="9"/>
  <c r="AE1017" i="9"/>
  <c r="AD1017" i="9"/>
  <c r="AC1017" i="9"/>
  <c r="AB1017" i="9"/>
  <c r="AA1017" i="9"/>
  <c r="Z1017" i="9"/>
  <c r="Y1017" i="9"/>
  <c r="T1017" i="9" s="1"/>
  <c r="V1017" i="9"/>
  <c r="W1017" i="9" s="1"/>
  <c r="U1017" i="9"/>
  <c r="AF1016" i="9"/>
  <c r="AE1016" i="9"/>
  <c r="AD1016" i="9"/>
  <c r="AC1016" i="9"/>
  <c r="AB1016" i="9"/>
  <c r="U1016" i="9" s="1"/>
  <c r="AA1016" i="9"/>
  <c r="Z1016" i="9"/>
  <c r="Y1016" i="9"/>
  <c r="T1016" i="9" s="1"/>
  <c r="AF1015" i="9"/>
  <c r="AE1015" i="9"/>
  <c r="AD1015" i="9"/>
  <c r="AC1015" i="9"/>
  <c r="U1015" i="9" s="1"/>
  <c r="AB1015" i="9"/>
  <c r="AA1015" i="9"/>
  <c r="Z1015" i="9"/>
  <c r="Y1015" i="9"/>
  <c r="T1015" i="9"/>
  <c r="AF1014" i="9"/>
  <c r="V1014" i="9" s="1"/>
  <c r="W1014" i="9" s="1"/>
  <c r="AE1014" i="9"/>
  <c r="AD1014" i="9"/>
  <c r="AC1014" i="9"/>
  <c r="AB1014" i="9"/>
  <c r="AA1014" i="9"/>
  <c r="Z1014" i="9"/>
  <c r="Y1014" i="9"/>
  <c r="T1014" i="9" s="1"/>
  <c r="U1014" i="9"/>
  <c r="AF1013" i="9"/>
  <c r="AE1013" i="9"/>
  <c r="AD1013" i="9"/>
  <c r="AC1013" i="9"/>
  <c r="U1013" i="9" s="1"/>
  <c r="AB1013" i="9"/>
  <c r="AA1013" i="9"/>
  <c r="Z1013" i="9"/>
  <c r="Y1013" i="9"/>
  <c r="V1013" i="9"/>
  <c r="T1013" i="9"/>
  <c r="AF1012" i="9"/>
  <c r="AE1012" i="9"/>
  <c r="AD1012" i="9"/>
  <c r="AC1012" i="9"/>
  <c r="AB1012" i="9"/>
  <c r="AA1012" i="9"/>
  <c r="Z1012" i="9"/>
  <c r="Y1012" i="9"/>
  <c r="U1012" i="9"/>
  <c r="T1012" i="9"/>
  <c r="AF1011" i="9"/>
  <c r="AE1011" i="9"/>
  <c r="AD1011" i="9"/>
  <c r="AC1011" i="9"/>
  <c r="AB1011" i="9"/>
  <c r="U1011" i="9" s="1"/>
  <c r="AA1011" i="9"/>
  <c r="Z1011" i="9"/>
  <c r="Y1011" i="9"/>
  <c r="T1011" i="9" s="1"/>
  <c r="AF1010" i="9"/>
  <c r="AE1010" i="9"/>
  <c r="AD1010" i="9"/>
  <c r="AC1010" i="9"/>
  <c r="AB1010" i="9"/>
  <c r="AA1010" i="9"/>
  <c r="Z1010" i="9"/>
  <c r="Y1010" i="9"/>
  <c r="T1010" i="9" s="1"/>
  <c r="V1010" i="9"/>
  <c r="U1010" i="9"/>
  <c r="AF1009" i="9"/>
  <c r="V1009" i="9" s="1"/>
  <c r="W1009" i="9" s="1"/>
  <c r="AE1009" i="9"/>
  <c r="AD1009" i="9"/>
  <c r="AC1009" i="9"/>
  <c r="AB1009" i="9"/>
  <c r="U1009" i="9" s="1"/>
  <c r="AA1009" i="9"/>
  <c r="Z1009" i="9"/>
  <c r="Y1009" i="9"/>
  <c r="T1009" i="9" s="1"/>
  <c r="AF1008" i="9"/>
  <c r="AE1008" i="9"/>
  <c r="V1008" i="9" s="1"/>
  <c r="AD1008" i="9"/>
  <c r="AC1008" i="9"/>
  <c r="AB1008" i="9"/>
  <c r="AA1008" i="9"/>
  <c r="Z1008" i="9"/>
  <c r="T1008" i="9" s="1"/>
  <c r="Y1008" i="9"/>
  <c r="U1008" i="9"/>
  <c r="AF1007" i="9"/>
  <c r="AE1007" i="9"/>
  <c r="V1007" i="9" s="1"/>
  <c r="AD1007" i="9"/>
  <c r="AC1007" i="9"/>
  <c r="AB1007" i="9"/>
  <c r="U1007" i="9" s="1"/>
  <c r="AA1007" i="9"/>
  <c r="Z1007" i="9"/>
  <c r="Y1007" i="9"/>
  <c r="AF1006" i="9"/>
  <c r="AE1006" i="9"/>
  <c r="AD1006" i="9"/>
  <c r="AC1006" i="9"/>
  <c r="U1006" i="9" s="1"/>
  <c r="AB1006" i="9"/>
  <c r="AA1006" i="9"/>
  <c r="Z1006" i="9"/>
  <c r="Y1006" i="9"/>
  <c r="V1006" i="9"/>
  <c r="T1006" i="9"/>
  <c r="AF1005" i="9"/>
  <c r="V1005" i="9" s="1"/>
  <c r="AE1005" i="9"/>
  <c r="AD1005" i="9"/>
  <c r="AC1005" i="9"/>
  <c r="AB1005" i="9"/>
  <c r="AA1005" i="9"/>
  <c r="Z1005" i="9"/>
  <c r="Y1005" i="9"/>
  <c r="T1005" i="9" s="1"/>
  <c r="U1005" i="9"/>
  <c r="AF1004" i="9"/>
  <c r="AE1004" i="9"/>
  <c r="V1004" i="9" s="1"/>
  <c r="AD1004" i="9"/>
  <c r="AC1004" i="9"/>
  <c r="AB1004" i="9"/>
  <c r="U1004" i="9" s="1"/>
  <c r="AA1004" i="9"/>
  <c r="Z1004" i="9"/>
  <c r="T1004" i="9" s="1"/>
  <c r="Y1004" i="9"/>
  <c r="AF1003" i="9"/>
  <c r="AE1003" i="9"/>
  <c r="AD1003" i="9"/>
  <c r="AC1003" i="9"/>
  <c r="AB1003" i="9"/>
  <c r="AA1003" i="9"/>
  <c r="Z1003" i="9"/>
  <c r="Y1003" i="9"/>
  <c r="T1003" i="9" s="1"/>
  <c r="U1003" i="9"/>
  <c r="AF1002" i="9"/>
  <c r="V1002" i="9" s="1"/>
  <c r="W1002" i="9" s="1"/>
  <c r="AE1002" i="9"/>
  <c r="AD1002" i="9"/>
  <c r="AC1002" i="9"/>
  <c r="AB1002" i="9"/>
  <c r="U1002" i="9" s="1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T1001" i="9"/>
  <c r="AF1000" i="9"/>
  <c r="AE1000" i="9"/>
  <c r="AD1000" i="9"/>
  <c r="AC1000" i="9"/>
  <c r="AB1000" i="9"/>
  <c r="U1000" i="9" s="1"/>
  <c r="AA1000" i="9"/>
  <c r="Z1000" i="9"/>
  <c r="T1000" i="9" s="1"/>
  <c r="Y1000" i="9"/>
  <c r="AF999" i="9"/>
  <c r="AE999" i="9"/>
  <c r="V999" i="9" s="1"/>
  <c r="AD999" i="9"/>
  <c r="AC999" i="9"/>
  <c r="AB999" i="9"/>
  <c r="U999" i="9" s="1"/>
  <c r="AA999" i="9"/>
  <c r="Z999" i="9"/>
  <c r="Y999" i="9"/>
  <c r="T999" i="9"/>
  <c r="W999" i="9" s="1"/>
  <c r="AF998" i="9"/>
  <c r="V998" i="9" s="1"/>
  <c r="AE998" i="9"/>
  <c r="AD998" i="9"/>
  <c r="AC998" i="9"/>
  <c r="AB998" i="9"/>
  <c r="AA998" i="9"/>
  <c r="Z998" i="9"/>
  <c r="Y998" i="9"/>
  <c r="T998" i="9" s="1"/>
  <c r="U998" i="9"/>
  <c r="AF997" i="9"/>
  <c r="AE997" i="9"/>
  <c r="AD997" i="9"/>
  <c r="AC997" i="9"/>
  <c r="AB997" i="9"/>
  <c r="AA997" i="9"/>
  <c r="Z997" i="9"/>
  <c r="Y997" i="9"/>
  <c r="V997" i="9"/>
  <c r="T997" i="9"/>
  <c r="AF996" i="9"/>
  <c r="AE996" i="9"/>
  <c r="V996" i="9" s="1"/>
  <c r="AD996" i="9"/>
  <c r="AC996" i="9"/>
  <c r="AB996" i="9"/>
  <c r="U996" i="9" s="1"/>
  <c r="AA996" i="9"/>
  <c r="Z996" i="9"/>
  <c r="Y996" i="9"/>
  <c r="T996" i="9" s="1"/>
  <c r="W996" i="9" s="1"/>
  <c r="AF995" i="9"/>
  <c r="AE995" i="9"/>
  <c r="V995" i="9" s="1"/>
  <c r="W995" i="9" s="1"/>
  <c r="AD995" i="9"/>
  <c r="AC995" i="9"/>
  <c r="AB995" i="9"/>
  <c r="U995" i="9" s="1"/>
  <c r="AA995" i="9"/>
  <c r="Z995" i="9"/>
  <c r="Y995" i="9"/>
  <c r="T995" i="9" s="1"/>
  <c r="AF994" i="9"/>
  <c r="AE994" i="9"/>
  <c r="AD994" i="9"/>
  <c r="AC994" i="9"/>
  <c r="AB994" i="9"/>
  <c r="U994" i="9" s="1"/>
  <c r="AA994" i="9"/>
  <c r="Z994" i="9"/>
  <c r="Y994" i="9"/>
  <c r="V994" i="9"/>
  <c r="W994" i="9" s="1"/>
  <c r="T994" i="9"/>
  <c r="AF993" i="9"/>
  <c r="V993" i="9" s="1"/>
  <c r="W993" i="9" s="1"/>
  <c r="AE993" i="9"/>
  <c r="AD993" i="9"/>
  <c r="AC993" i="9"/>
  <c r="AB993" i="9"/>
  <c r="AA993" i="9"/>
  <c r="Z993" i="9"/>
  <c r="T993" i="9" s="1"/>
  <c r="Y993" i="9"/>
  <c r="U993" i="9"/>
  <c r="AF992" i="9"/>
  <c r="AE992" i="9"/>
  <c r="V992" i="9" s="1"/>
  <c r="AD992" i="9"/>
  <c r="AC992" i="9"/>
  <c r="AB992" i="9"/>
  <c r="AA992" i="9"/>
  <c r="Z992" i="9"/>
  <c r="Y992" i="9"/>
  <c r="U992" i="9"/>
  <c r="T992" i="9"/>
  <c r="AF991" i="9"/>
  <c r="AE991" i="9"/>
  <c r="V991" i="9" s="1"/>
  <c r="AD991" i="9"/>
  <c r="AC991" i="9"/>
  <c r="AB991" i="9"/>
  <c r="AA991" i="9"/>
  <c r="Z991" i="9"/>
  <c r="Y991" i="9"/>
  <c r="T991" i="9" s="1"/>
  <c r="W991" i="9" s="1"/>
  <c r="U991" i="9"/>
  <c r="AF990" i="9"/>
  <c r="AE990" i="9"/>
  <c r="AD990" i="9"/>
  <c r="AC990" i="9"/>
  <c r="AB990" i="9"/>
  <c r="U990" i="9" s="1"/>
  <c r="AA990" i="9"/>
  <c r="Z990" i="9"/>
  <c r="Y990" i="9"/>
  <c r="V990" i="9"/>
  <c r="T990" i="9"/>
  <c r="AF989" i="9"/>
  <c r="V989" i="9" s="1"/>
  <c r="AE989" i="9"/>
  <c r="AD989" i="9"/>
  <c r="AC989" i="9"/>
  <c r="AB989" i="9"/>
  <c r="AA989" i="9"/>
  <c r="Z989" i="9"/>
  <c r="Y989" i="9"/>
  <c r="T989" i="9" s="1"/>
  <c r="W989" i="9"/>
  <c r="U989" i="9"/>
  <c r="AF988" i="9"/>
  <c r="AE988" i="9"/>
  <c r="AD988" i="9"/>
  <c r="AC988" i="9"/>
  <c r="U988" i="9" s="1"/>
  <c r="AB988" i="9"/>
  <c r="AA988" i="9"/>
  <c r="Z988" i="9"/>
  <c r="T988" i="9" s="1"/>
  <c r="Y988" i="9"/>
  <c r="AF987" i="9"/>
  <c r="AE987" i="9"/>
  <c r="AD987" i="9"/>
  <c r="AC987" i="9"/>
  <c r="U987" i="9" s="1"/>
  <c r="AB987" i="9"/>
  <c r="AA987" i="9"/>
  <c r="Z987" i="9"/>
  <c r="Y987" i="9"/>
  <c r="T987" i="9"/>
  <c r="AF986" i="9"/>
  <c r="V986" i="9" s="1"/>
  <c r="AE986" i="9"/>
  <c r="AD986" i="9"/>
  <c r="AC986" i="9"/>
  <c r="AB986" i="9"/>
  <c r="AA986" i="9"/>
  <c r="Z986" i="9"/>
  <c r="Y986" i="9"/>
  <c r="U986" i="9"/>
  <c r="AF985" i="9"/>
  <c r="AE985" i="9"/>
  <c r="AD985" i="9"/>
  <c r="AC985" i="9"/>
  <c r="AB985" i="9"/>
  <c r="AA985" i="9"/>
  <c r="Z985" i="9"/>
  <c r="Y985" i="9"/>
  <c r="T985" i="9" s="1"/>
  <c r="V985" i="9"/>
  <c r="U985" i="9"/>
  <c r="AF984" i="9"/>
  <c r="AE984" i="9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U983" i="9" s="1"/>
  <c r="AB983" i="9"/>
  <c r="AA983" i="9"/>
  <c r="Z983" i="9"/>
  <c r="Y983" i="9"/>
  <c r="T983" i="9"/>
  <c r="AF982" i="9"/>
  <c r="V982" i="9" s="1"/>
  <c r="W982" i="9" s="1"/>
  <c r="AE982" i="9"/>
  <c r="AD982" i="9"/>
  <c r="AC982" i="9"/>
  <c r="AB982" i="9"/>
  <c r="AA982" i="9"/>
  <c r="Z982" i="9"/>
  <c r="Y982" i="9"/>
  <c r="T982" i="9" s="1"/>
  <c r="U982" i="9"/>
  <c r="AF981" i="9"/>
  <c r="V981" i="9" s="1"/>
  <c r="W981" i="9" s="1"/>
  <c r="AE981" i="9"/>
  <c r="AD981" i="9"/>
  <c r="AC981" i="9"/>
  <c r="AB981" i="9"/>
  <c r="U981" i="9" s="1"/>
  <c r="AA981" i="9"/>
  <c r="Z981" i="9"/>
  <c r="Y981" i="9"/>
  <c r="T981" i="9"/>
  <c r="AF980" i="9"/>
  <c r="AE980" i="9"/>
  <c r="AD980" i="9"/>
  <c r="AC980" i="9"/>
  <c r="AB980" i="9"/>
  <c r="U980" i="9" s="1"/>
  <c r="AA980" i="9"/>
  <c r="Z980" i="9"/>
  <c r="Y980" i="9"/>
  <c r="T980" i="9"/>
  <c r="AF979" i="9"/>
  <c r="AE979" i="9"/>
  <c r="AD979" i="9"/>
  <c r="AC979" i="9"/>
  <c r="AB979" i="9"/>
  <c r="U979" i="9" s="1"/>
  <c r="AA979" i="9"/>
  <c r="Z979" i="9"/>
  <c r="Y979" i="9"/>
  <c r="T979" i="9" s="1"/>
  <c r="AF978" i="9"/>
  <c r="AE978" i="9"/>
  <c r="AD978" i="9"/>
  <c r="AC978" i="9"/>
  <c r="AB978" i="9"/>
  <c r="AA978" i="9"/>
  <c r="Z978" i="9"/>
  <c r="Y978" i="9"/>
  <c r="T978" i="9" s="1"/>
  <c r="V978" i="9"/>
  <c r="W978" i="9" s="1"/>
  <c r="U978" i="9"/>
  <c r="AF977" i="9"/>
  <c r="V977" i="9" s="1"/>
  <c r="AE977" i="9"/>
  <c r="AD977" i="9"/>
  <c r="AC977" i="9"/>
  <c r="AB977" i="9"/>
  <c r="U977" i="9" s="1"/>
  <c r="AA977" i="9"/>
  <c r="Z977" i="9"/>
  <c r="Y977" i="9"/>
  <c r="T977" i="9" s="1"/>
  <c r="AF976" i="9"/>
  <c r="AE976" i="9"/>
  <c r="V976" i="9" s="1"/>
  <c r="AD976" i="9"/>
  <c r="AC976" i="9"/>
  <c r="AB976" i="9"/>
  <c r="U976" i="9" s="1"/>
  <c r="AA976" i="9"/>
  <c r="Z976" i="9"/>
  <c r="T976" i="9" s="1"/>
  <c r="Y976" i="9"/>
  <c r="AF975" i="9"/>
  <c r="AE975" i="9"/>
  <c r="V975" i="9" s="1"/>
  <c r="AD975" i="9"/>
  <c r="AC975" i="9"/>
  <c r="AB975" i="9"/>
  <c r="AA975" i="9"/>
  <c r="Z975" i="9"/>
  <c r="Y975" i="9"/>
  <c r="T975" i="9" s="1"/>
  <c r="U975" i="9"/>
  <c r="AF974" i="9"/>
  <c r="V974" i="9" s="1"/>
  <c r="AE974" i="9"/>
  <c r="AD974" i="9"/>
  <c r="AC974" i="9"/>
  <c r="AB974" i="9"/>
  <c r="U974" i="9" s="1"/>
  <c r="AA974" i="9"/>
  <c r="Z974" i="9"/>
  <c r="Y974" i="9"/>
  <c r="T974" i="9"/>
  <c r="AF973" i="9"/>
  <c r="V973" i="9" s="1"/>
  <c r="AE973" i="9"/>
  <c r="AD973" i="9"/>
  <c r="AC973" i="9"/>
  <c r="AB973" i="9"/>
  <c r="AA973" i="9"/>
  <c r="Z973" i="9"/>
  <c r="Y973" i="9"/>
  <c r="T973" i="9" s="1"/>
  <c r="U973" i="9"/>
  <c r="AF972" i="9"/>
  <c r="AE972" i="9"/>
  <c r="V972" i="9" s="1"/>
  <c r="AD972" i="9"/>
  <c r="AC972" i="9"/>
  <c r="AB972" i="9"/>
  <c r="AA972" i="9"/>
  <c r="Z972" i="9"/>
  <c r="T972" i="9" s="1"/>
  <c r="Y972" i="9"/>
  <c r="AF971" i="9"/>
  <c r="AE971" i="9"/>
  <c r="AD971" i="9"/>
  <c r="AC971" i="9"/>
  <c r="AB971" i="9"/>
  <c r="AA971" i="9"/>
  <c r="Z971" i="9"/>
  <c r="Y971" i="9"/>
  <c r="T971" i="9" s="1"/>
  <c r="U971" i="9"/>
  <c r="AF970" i="9"/>
  <c r="V970" i="9" s="1"/>
  <c r="W970" i="9" s="1"/>
  <c r="AE970" i="9"/>
  <c r="AD970" i="9"/>
  <c r="AC970" i="9"/>
  <c r="AB970" i="9"/>
  <c r="U970" i="9" s="1"/>
  <c r="AA970" i="9"/>
  <c r="Z970" i="9"/>
  <c r="Y970" i="9"/>
  <c r="T970" i="9" s="1"/>
  <c r="AF969" i="9"/>
  <c r="AE969" i="9"/>
  <c r="AD969" i="9"/>
  <c r="AC969" i="9"/>
  <c r="AB969" i="9"/>
  <c r="U969" i="9" s="1"/>
  <c r="AA969" i="9"/>
  <c r="Z969" i="9"/>
  <c r="T969" i="9" s="1"/>
  <c r="Y969" i="9"/>
  <c r="V969" i="9"/>
  <c r="W969" i="9" s="1"/>
  <c r="AF968" i="9"/>
  <c r="AE968" i="9"/>
  <c r="AD968" i="9"/>
  <c r="AC968" i="9"/>
  <c r="AB968" i="9"/>
  <c r="U968" i="9" s="1"/>
  <c r="AA968" i="9"/>
  <c r="Z968" i="9"/>
  <c r="T968" i="9" s="1"/>
  <c r="Y968" i="9"/>
  <c r="AF967" i="9"/>
  <c r="AE967" i="9"/>
  <c r="V967" i="9" s="1"/>
  <c r="AD967" i="9"/>
  <c r="AC967" i="9"/>
  <c r="AB967" i="9"/>
  <c r="U967" i="9" s="1"/>
  <c r="AA967" i="9"/>
  <c r="Z967" i="9"/>
  <c r="Y967" i="9"/>
  <c r="T967" i="9"/>
  <c r="W967" i="9" s="1"/>
  <c r="AF966" i="9"/>
  <c r="V966" i="9" s="1"/>
  <c r="AE966" i="9"/>
  <c r="AD966" i="9"/>
  <c r="AC966" i="9"/>
  <c r="AB966" i="9"/>
  <c r="AA966" i="9"/>
  <c r="Z966" i="9"/>
  <c r="Y966" i="9"/>
  <c r="T966" i="9" s="1"/>
  <c r="U966" i="9"/>
  <c r="AF965" i="9"/>
  <c r="AE965" i="9"/>
  <c r="AD965" i="9"/>
  <c r="AC965" i="9"/>
  <c r="AB965" i="9"/>
  <c r="U965" i="9" s="1"/>
  <c r="AA965" i="9"/>
  <c r="Z965" i="9"/>
  <c r="T965" i="9" s="1"/>
  <c r="W965" i="9" s="1"/>
  <c r="Y965" i="9"/>
  <c r="V965" i="9"/>
  <c r="AF964" i="9"/>
  <c r="AE964" i="9"/>
  <c r="V964" i="9" s="1"/>
  <c r="AD964" i="9"/>
  <c r="AC964" i="9"/>
  <c r="AB964" i="9"/>
  <c r="U964" i="9" s="1"/>
  <c r="AA964" i="9"/>
  <c r="Z964" i="9"/>
  <c r="Y964" i="9"/>
  <c r="T964" i="9" s="1"/>
  <c r="W964" i="9" s="1"/>
  <c r="AF963" i="9"/>
  <c r="AE963" i="9"/>
  <c r="V963" i="9" s="1"/>
  <c r="AD963" i="9"/>
  <c r="AC963" i="9"/>
  <c r="AB963" i="9"/>
  <c r="U963" i="9" s="1"/>
  <c r="AA963" i="9"/>
  <c r="Z963" i="9"/>
  <c r="Y963" i="9"/>
  <c r="T963" i="9" s="1"/>
  <c r="AF962" i="9"/>
  <c r="AE962" i="9"/>
  <c r="AD962" i="9"/>
  <c r="AC962" i="9"/>
  <c r="AB962" i="9"/>
  <c r="U962" i="9" s="1"/>
  <c r="AA962" i="9"/>
  <c r="Z962" i="9"/>
  <c r="T962" i="9" s="1"/>
  <c r="Y962" i="9"/>
  <c r="V962" i="9"/>
  <c r="AF961" i="9"/>
  <c r="V961" i="9" s="1"/>
  <c r="W961" i="9" s="1"/>
  <c r="AE961" i="9"/>
  <c r="AD961" i="9"/>
  <c r="AC961" i="9"/>
  <c r="AB961" i="9"/>
  <c r="AA961" i="9"/>
  <c r="Z961" i="9"/>
  <c r="T961" i="9" s="1"/>
  <c r="Y961" i="9"/>
  <c r="U961" i="9"/>
  <c r="AF960" i="9"/>
  <c r="AE960" i="9"/>
  <c r="V960" i="9" s="1"/>
  <c r="AD960" i="9"/>
  <c r="AC960" i="9"/>
  <c r="AB960" i="9"/>
  <c r="AA960" i="9"/>
  <c r="Z960" i="9"/>
  <c r="Y960" i="9"/>
  <c r="U960" i="9"/>
  <c r="T960" i="9"/>
  <c r="AF959" i="9"/>
  <c r="AE959" i="9"/>
  <c r="V959" i="9" s="1"/>
  <c r="AD959" i="9"/>
  <c r="AC959" i="9"/>
  <c r="AB959" i="9"/>
  <c r="AA959" i="9"/>
  <c r="Z959" i="9"/>
  <c r="Y959" i="9"/>
  <c r="T959" i="9" s="1"/>
  <c r="U959" i="9"/>
  <c r="AF958" i="9"/>
  <c r="AE958" i="9"/>
  <c r="AD958" i="9"/>
  <c r="AC958" i="9"/>
  <c r="AB958" i="9"/>
  <c r="U958" i="9" s="1"/>
  <c r="AA958" i="9"/>
  <c r="Z958" i="9"/>
  <c r="T958" i="9" s="1"/>
  <c r="W958" i="9" s="1"/>
  <c r="Y958" i="9"/>
  <c r="V958" i="9"/>
  <c r="AF957" i="9"/>
  <c r="V957" i="9" s="1"/>
  <c r="AE957" i="9"/>
  <c r="AD957" i="9"/>
  <c r="AC957" i="9"/>
  <c r="AB957" i="9"/>
  <c r="AA957" i="9"/>
  <c r="Z957" i="9"/>
  <c r="Y957" i="9"/>
  <c r="T957" i="9" s="1"/>
  <c r="W957" i="9"/>
  <c r="U957" i="9"/>
  <c r="AF956" i="9"/>
  <c r="AE956" i="9"/>
  <c r="AD956" i="9"/>
  <c r="AC956" i="9"/>
  <c r="AB956" i="9"/>
  <c r="U956" i="9" s="1"/>
  <c r="AA956" i="9"/>
  <c r="Z956" i="9"/>
  <c r="T956" i="9" s="1"/>
  <c r="Y956" i="9"/>
  <c r="AF955" i="9"/>
  <c r="AE955" i="9"/>
  <c r="V955" i="9" s="1"/>
  <c r="AD955" i="9"/>
  <c r="AC955" i="9"/>
  <c r="U955" i="9" s="1"/>
  <c r="AB955" i="9"/>
  <c r="AA955" i="9"/>
  <c r="T955" i="9" s="1"/>
  <c r="Z955" i="9"/>
  <c r="Y955" i="9"/>
  <c r="AF954" i="9"/>
  <c r="V954" i="9" s="1"/>
  <c r="AE954" i="9"/>
  <c r="AD954" i="9"/>
  <c r="AC954" i="9"/>
  <c r="AB954" i="9"/>
  <c r="AA954" i="9"/>
  <c r="Z954" i="9"/>
  <c r="T954" i="9" s="1"/>
  <c r="Y954" i="9"/>
  <c r="U954" i="9"/>
  <c r="AF953" i="9"/>
  <c r="AE953" i="9"/>
  <c r="AD953" i="9"/>
  <c r="AC953" i="9"/>
  <c r="AB953" i="9"/>
  <c r="AA953" i="9"/>
  <c r="Z953" i="9"/>
  <c r="Y953" i="9"/>
  <c r="T953" i="9" s="1"/>
  <c r="V953" i="9"/>
  <c r="U953" i="9"/>
  <c r="AF952" i="9"/>
  <c r="AE952" i="9"/>
  <c r="AD952" i="9"/>
  <c r="AC952" i="9"/>
  <c r="AB952" i="9"/>
  <c r="U952" i="9" s="1"/>
  <c r="AA952" i="9"/>
  <c r="Z952" i="9"/>
  <c r="Y952" i="9"/>
  <c r="T952" i="9" s="1"/>
  <c r="AF951" i="9"/>
  <c r="AE951" i="9"/>
  <c r="V951" i="9" s="1"/>
  <c r="AD951" i="9"/>
  <c r="AC951" i="9"/>
  <c r="U951" i="9" s="1"/>
  <c r="AB951" i="9"/>
  <c r="AA951" i="9"/>
  <c r="Z951" i="9"/>
  <c r="Y951" i="9"/>
  <c r="T951" i="9" s="1"/>
  <c r="AF950" i="9"/>
  <c r="V950" i="9" s="1"/>
  <c r="W950" i="9" s="1"/>
  <c r="AE950" i="9"/>
  <c r="AD950" i="9"/>
  <c r="AC950" i="9"/>
  <c r="AB950" i="9"/>
  <c r="AA950" i="9"/>
  <c r="Z950" i="9"/>
  <c r="Y950" i="9"/>
  <c r="T950" i="9" s="1"/>
  <c r="U950" i="9"/>
  <c r="AF949" i="9"/>
  <c r="V949" i="9" s="1"/>
  <c r="AE949" i="9"/>
  <c r="AD949" i="9"/>
  <c r="AC949" i="9"/>
  <c r="AB949" i="9"/>
  <c r="U949" i="9" s="1"/>
  <c r="AA949" i="9"/>
  <c r="Z949" i="9"/>
  <c r="Y949" i="9"/>
  <c r="T949" i="9"/>
  <c r="AF948" i="9"/>
  <c r="AE948" i="9"/>
  <c r="AD948" i="9"/>
  <c r="AC948" i="9"/>
  <c r="AB948" i="9"/>
  <c r="U948" i="9" s="1"/>
  <c r="AA948" i="9"/>
  <c r="Z948" i="9"/>
  <c r="Y948" i="9"/>
  <c r="T948" i="9"/>
  <c r="AF947" i="9"/>
  <c r="AE947" i="9"/>
  <c r="AD947" i="9"/>
  <c r="AC947" i="9"/>
  <c r="AB947" i="9"/>
  <c r="U947" i="9" s="1"/>
  <c r="AA947" i="9"/>
  <c r="Z947" i="9"/>
  <c r="Y947" i="9"/>
  <c r="AF946" i="9"/>
  <c r="AE946" i="9"/>
  <c r="AD946" i="9"/>
  <c r="AC946" i="9"/>
  <c r="AB946" i="9"/>
  <c r="AA946" i="9"/>
  <c r="Z946" i="9"/>
  <c r="Y946" i="9"/>
  <c r="T946" i="9" s="1"/>
  <c r="V946" i="9"/>
  <c r="U946" i="9"/>
  <c r="AF945" i="9"/>
  <c r="V945" i="9" s="1"/>
  <c r="W945" i="9" s="1"/>
  <c r="AE945" i="9"/>
  <c r="AD945" i="9"/>
  <c r="AC945" i="9"/>
  <c r="AB945" i="9"/>
  <c r="U945" i="9" s="1"/>
  <c r="AA945" i="9"/>
  <c r="Z945" i="9"/>
  <c r="Y945" i="9"/>
  <c r="T945" i="9" s="1"/>
  <c r="AF944" i="9"/>
  <c r="AE944" i="9"/>
  <c r="V944" i="9" s="1"/>
  <c r="AD944" i="9"/>
  <c r="AC944" i="9"/>
  <c r="AB944" i="9"/>
  <c r="U944" i="9" s="1"/>
  <c r="AA944" i="9"/>
  <c r="Z944" i="9"/>
  <c r="T944" i="9" s="1"/>
  <c r="Y944" i="9"/>
  <c r="AF943" i="9"/>
  <c r="AE943" i="9"/>
  <c r="V943" i="9" s="1"/>
  <c r="W943" i="9" s="1"/>
  <c r="AD943" i="9"/>
  <c r="AC943" i="9"/>
  <c r="AB943" i="9"/>
  <c r="AA943" i="9"/>
  <c r="Z943" i="9"/>
  <c r="Y943" i="9"/>
  <c r="T943" i="9" s="1"/>
  <c r="U943" i="9"/>
  <c r="AF942" i="9"/>
  <c r="V942" i="9" s="1"/>
  <c r="AE942" i="9"/>
  <c r="AD942" i="9"/>
  <c r="AC942" i="9"/>
  <c r="AB942" i="9"/>
  <c r="U942" i="9" s="1"/>
  <c r="AA942" i="9"/>
  <c r="Z942" i="9"/>
  <c r="Y942" i="9"/>
  <c r="T942" i="9"/>
  <c r="AF941" i="9"/>
  <c r="V941" i="9" s="1"/>
  <c r="W941" i="9" s="1"/>
  <c r="AE941" i="9"/>
  <c r="AD941" i="9"/>
  <c r="AC941" i="9"/>
  <c r="AB941" i="9"/>
  <c r="AA941" i="9"/>
  <c r="Z941" i="9"/>
  <c r="Y941" i="9"/>
  <c r="T941" i="9" s="1"/>
  <c r="U941" i="9"/>
  <c r="AF940" i="9"/>
  <c r="AE940" i="9"/>
  <c r="V940" i="9" s="1"/>
  <c r="AD940" i="9"/>
  <c r="AC940" i="9"/>
  <c r="AB940" i="9"/>
  <c r="AA940" i="9"/>
  <c r="Z940" i="9"/>
  <c r="T940" i="9" s="1"/>
  <c r="Y940" i="9"/>
  <c r="AF939" i="9"/>
  <c r="AE939" i="9"/>
  <c r="AD939" i="9"/>
  <c r="AC939" i="9"/>
  <c r="AB939" i="9"/>
  <c r="AA939" i="9"/>
  <c r="Z939" i="9"/>
  <c r="Y939" i="9"/>
  <c r="T939" i="9" s="1"/>
  <c r="U939" i="9"/>
  <c r="AF938" i="9"/>
  <c r="V938" i="9" s="1"/>
  <c r="W938" i="9" s="1"/>
  <c r="AE938" i="9"/>
  <c r="AD938" i="9"/>
  <c r="AC938" i="9"/>
  <c r="AB938" i="9"/>
  <c r="U938" i="9" s="1"/>
  <c r="AA938" i="9"/>
  <c r="Z938" i="9"/>
  <c r="Y938" i="9"/>
  <c r="T938" i="9" s="1"/>
  <c r="AF937" i="9"/>
  <c r="AE937" i="9"/>
  <c r="AD937" i="9"/>
  <c r="AC937" i="9"/>
  <c r="AB937" i="9"/>
  <c r="U937" i="9" s="1"/>
  <c r="AA937" i="9"/>
  <c r="Z937" i="9"/>
  <c r="T937" i="9" s="1"/>
  <c r="Y937" i="9"/>
  <c r="V937" i="9"/>
  <c r="W937" i="9" s="1"/>
  <c r="AF936" i="9"/>
  <c r="AE936" i="9"/>
  <c r="AD936" i="9"/>
  <c r="AC936" i="9"/>
  <c r="AB936" i="9"/>
  <c r="U936" i="9" s="1"/>
  <c r="AA936" i="9"/>
  <c r="Z936" i="9"/>
  <c r="T936" i="9" s="1"/>
  <c r="Y936" i="9"/>
  <c r="AF935" i="9"/>
  <c r="AE935" i="9"/>
  <c r="V935" i="9" s="1"/>
  <c r="AD935" i="9"/>
  <c r="AC935" i="9"/>
  <c r="AB935" i="9"/>
  <c r="U935" i="9" s="1"/>
  <c r="AA935" i="9"/>
  <c r="Z935" i="9"/>
  <c r="Y935" i="9"/>
  <c r="T935" i="9"/>
  <c r="AF934" i="9"/>
  <c r="V934" i="9" s="1"/>
  <c r="W934" i="9" s="1"/>
  <c r="AE934" i="9"/>
  <c r="AD934" i="9"/>
  <c r="AC934" i="9"/>
  <c r="AB934" i="9"/>
  <c r="AA934" i="9"/>
  <c r="Z934" i="9"/>
  <c r="Y934" i="9"/>
  <c r="T934" i="9" s="1"/>
  <c r="U934" i="9"/>
  <c r="AF933" i="9"/>
  <c r="AE933" i="9"/>
  <c r="AD933" i="9"/>
  <c r="AC933" i="9"/>
  <c r="AB933" i="9"/>
  <c r="U933" i="9" s="1"/>
  <c r="AA933" i="9"/>
  <c r="Z933" i="9"/>
  <c r="T933" i="9" s="1"/>
  <c r="Y933" i="9"/>
  <c r="V933" i="9"/>
  <c r="AF932" i="9"/>
  <c r="AE932" i="9"/>
  <c r="AD932" i="9"/>
  <c r="AC932" i="9"/>
  <c r="AB932" i="9"/>
  <c r="U932" i="9" s="1"/>
  <c r="AA932" i="9"/>
  <c r="Z932" i="9"/>
  <c r="Y932" i="9"/>
  <c r="T932" i="9" s="1"/>
  <c r="AF931" i="9"/>
  <c r="AE931" i="9"/>
  <c r="V931" i="9" s="1"/>
  <c r="AD931" i="9"/>
  <c r="AC931" i="9"/>
  <c r="AB931" i="9"/>
  <c r="U931" i="9" s="1"/>
  <c r="AA931" i="9"/>
  <c r="Z931" i="9"/>
  <c r="Y931" i="9"/>
  <c r="T931" i="9" s="1"/>
  <c r="AF930" i="9"/>
  <c r="AE930" i="9"/>
  <c r="AD930" i="9"/>
  <c r="AC930" i="9"/>
  <c r="AB930" i="9"/>
  <c r="U930" i="9" s="1"/>
  <c r="AA930" i="9"/>
  <c r="Z930" i="9"/>
  <c r="T930" i="9" s="1"/>
  <c r="Y930" i="9"/>
  <c r="V930" i="9"/>
  <c r="W930" i="9" s="1"/>
  <c r="AF929" i="9"/>
  <c r="V929" i="9" s="1"/>
  <c r="AE929" i="9"/>
  <c r="AD929" i="9"/>
  <c r="AC929" i="9"/>
  <c r="AB929" i="9"/>
  <c r="AA929" i="9"/>
  <c r="Z929" i="9"/>
  <c r="T929" i="9" s="1"/>
  <c r="Y929" i="9"/>
  <c r="U929" i="9"/>
  <c r="AF928" i="9"/>
  <c r="AE928" i="9"/>
  <c r="V928" i="9" s="1"/>
  <c r="AD928" i="9"/>
  <c r="AC928" i="9"/>
  <c r="AB928" i="9"/>
  <c r="AA928" i="9"/>
  <c r="Z928" i="9"/>
  <c r="Y928" i="9"/>
  <c r="U928" i="9"/>
  <c r="T928" i="9"/>
  <c r="AF927" i="9"/>
  <c r="AE927" i="9"/>
  <c r="V927" i="9" s="1"/>
  <c r="AD927" i="9"/>
  <c r="AC927" i="9"/>
  <c r="AB927" i="9"/>
  <c r="AA927" i="9"/>
  <c r="Z927" i="9"/>
  <c r="Y927" i="9"/>
  <c r="T927" i="9" s="1"/>
  <c r="U927" i="9"/>
  <c r="AF926" i="9"/>
  <c r="AE926" i="9"/>
  <c r="AD926" i="9"/>
  <c r="AC926" i="9"/>
  <c r="AB926" i="9"/>
  <c r="AA926" i="9"/>
  <c r="Z926" i="9"/>
  <c r="T926" i="9" s="1"/>
  <c r="Y926" i="9"/>
  <c r="V926" i="9"/>
  <c r="AF925" i="9"/>
  <c r="V925" i="9" s="1"/>
  <c r="W925" i="9" s="1"/>
  <c r="AE925" i="9"/>
  <c r="AD925" i="9"/>
  <c r="AC925" i="9"/>
  <c r="AB925" i="9"/>
  <c r="AA925" i="9"/>
  <c r="Z925" i="9"/>
  <c r="Y925" i="9"/>
  <c r="T925" i="9" s="1"/>
  <c r="U925" i="9"/>
  <c r="AF924" i="9"/>
  <c r="AE924" i="9"/>
  <c r="AD924" i="9"/>
  <c r="AC924" i="9"/>
  <c r="AB924" i="9"/>
  <c r="U924" i="9" s="1"/>
  <c r="AA924" i="9"/>
  <c r="Z924" i="9"/>
  <c r="T924" i="9" s="1"/>
  <c r="Y924" i="9"/>
  <c r="AF923" i="9"/>
  <c r="AE923" i="9"/>
  <c r="V923" i="9" s="1"/>
  <c r="W923" i="9" s="1"/>
  <c r="AD923" i="9"/>
  <c r="AC923" i="9"/>
  <c r="U923" i="9" s="1"/>
  <c r="AB923" i="9"/>
  <c r="AA923" i="9"/>
  <c r="T923" i="9" s="1"/>
  <c r="Z923" i="9"/>
  <c r="Y923" i="9"/>
  <c r="AF922" i="9"/>
  <c r="V922" i="9" s="1"/>
  <c r="AE922" i="9"/>
  <c r="AD922" i="9"/>
  <c r="AC922" i="9"/>
  <c r="AB922" i="9"/>
  <c r="AA922" i="9"/>
  <c r="Z922" i="9"/>
  <c r="T922" i="9" s="1"/>
  <c r="Y922" i="9"/>
  <c r="U922" i="9"/>
  <c r="AF921" i="9"/>
  <c r="AE921" i="9"/>
  <c r="AD921" i="9"/>
  <c r="AC921" i="9"/>
  <c r="AB921" i="9"/>
  <c r="AA921" i="9"/>
  <c r="Z921" i="9"/>
  <c r="Y921" i="9"/>
  <c r="T921" i="9" s="1"/>
  <c r="V921" i="9"/>
  <c r="U921" i="9"/>
  <c r="AF920" i="9"/>
  <c r="AE920" i="9"/>
  <c r="AD920" i="9"/>
  <c r="AC920" i="9"/>
  <c r="AB920" i="9"/>
  <c r="U920" i="9" s="1"/>
  <c r="AA920" i="9"/>
  <c r="Z920" i="9"/>
  <c r="Y920" i="9"/>
  <c r="T920" i="9" s="1"/>
  <c r="AF919" i="9"/>
  <c r="AE919" i="9"/>
  <c r="V919" i="9" s="1"/>
  <c r="AD919" i="9"/>
  <c r="AC919" i="9"/>
  <c r="U919" i="9" s="1"/>
  <c r="AB919" i="9"/>
  <c r="AA919" i="9"/>
  <c r="Z919" i="9"/>
  <c r="Y919" i="9"/>
  <c r="T919" i="9" s="1"/>
  <c r="AF918" i="9"/>
  <c r="V918" i="9" s="1"/>
  <c r="W918" i="9" s="1"/>
  <c r="AE918" i="9"/>
  <c r="AD918" i="9"/>
  <c r="AC918" i="9"/>
  <c r="AB918" i="9"/>
  <c r="AA918" i="9"/>
  <c r="Z918" i="9"/>
  <c r="Y918" i="9"/>
  <c r="T918" i="9" s="1"/>
  <c r="U918" i="9"/>
  <c r="AF917" i="9"/>
  <c r="V917" i="9" s="1"/>
  <c r="W917" i="9" s="1"/>
  <c r="AE917" i="9"/>
  <c r="AD917" i="9"/>
  <c r="AC917" i="9"/>
  <c r="AB917" i="9"/>
  <c r="U917" i="9" s="1"/>
  <c r="AA917" i="9"/>
  <c r="Z917" i="9"/>
  <c r="Y917" i="9"/>
  <c r="T917" i="9"/>
  <c r="AF916" i="9"/>
  <c r="AE916" i="9"/>
  <c r="AD916" i="9"/>
  <c r="AC916" i="9"/>
  <c r="AB916" i="9"/>
  <c r="U916" i="9" s="1"/>
  <c r="AA916" i="9"/>
  <c r="Z916" i="9"/>
  <c r="Y916" i="9"/>
  <c r="T916" i="9"/>
  <c r="AF915" i="9"/>
  <c r="AE915" i="9"/>
  <c r="AD915" i="9"/>
  <c r="AC915" i="9"/>
  <c r="AB915" i="9"/>
  <c r="U915" i="9" s="1"/>
  <c r="AA915" i="9"/>
  <c r="Z915" i="9"/>
  <c r="Y915" i="9"/>
  <c r="T915" i="9" s="1"/>
  <c r="AF914" i="9"/>
  <c r="AE914" i="9"/>
  <c r="AD914" i="9"/>
  <c r="AC914" i="9"/>
  <c r="AB914" i="9"/>
  <c r="AA914" i="9"/>
  <c r="Z914" i="9"/>
  <c r="Y914" i="9"/>
  <c r="T914" i="9" s="1"/>
  <c r="V914" i="9"/>
  <c r="U914" i="9"/>
  <c r="AF913" i="9"/>
  <c r="V913" i="9" s="1"/>
  <c r="AE913" i="9"/>
  <c r="AD913" i="9"/>
  <c r="AC913" i="9"/>
  <c r="AB913" i="9"/>
  <c r="U913" i="9" s="1"/>
  <c r="AA913" i="9"/>
  <c r="Z913" i="9"/>
  <c r="Y913" i="9"/>
  <c r="T913" i="9" s="1"/>
  <c r="AF912" i="9"/>
  <c r="AE912" i="9"/>
  <c r="V912" i="9" s="1"/>
  <c r="AD912" i="9"/>
  <c r="AC912" i="9"/>
  <c r="AB912" i="9"/>
  <c r="U912" i="9" s="1"/>
  <c r="AA912" i="9"/>
  <c r="Z912" i="9"/>
  <c r="T912" i="9" s="1"/>
  <c r="Y912" i="9"/>
  <c r="AF911" i="9"/>
  <c r="AE911" i="9"/>
  <c r="V911" i="9" s="1"/>
  <c r="AD911" i="9"/>
  <c r="AC911" i="9"/>
  <c r="AB911" i="9"/>
  <c r="AA911" i="9"/>
  <c r="Z911" i="9"/>
  <c r="Y911" i="9"/>
  <c r="T911" i="9" s="1"/>
  <c r="U911" i="9"/>
  <c r="AF910" i="9"/>
  <c r="V910" i="9" s="1"/>
  <c r="AE910" i="9"/>
  <c r="AD910" i="9"/>
  <c r="AC910" i="9"/>
  <c r="AB910" i="9"/>
  <c r="U910" i="9" s="1"/>
  <c r="AA910" i="9"/>
  <c r="Z910" i="9"/>
  <c r="Y910" i="9"/>
  <c r="T910" i="9"/>
  <c r="AF909" i="9"/>
  <c r="V909" i="9" s="1"/>
  <c r="W909" i="9" s="1"/>
  <c r="AE909" i="9"/>
  <c r="AD909" i="9"/>
  <c r="AC909" i="9"/>
  <c r="AB909" i="9"/>
  <c r="AA909" i="9"/>
  <c r="Z909" i="9"/>
  <c r="Y909" i="9"/>
  <c r="T909" i="9" s="1"/>
  <c r="U909" i="9"/>
  <c r="AF908" i="9"/>
  <c r="AE908" i="9"/>
  <c r="V908" i="9" s="1"/>
  <c r="AD908" i="9"/>
  <c r="AC908" i="9"/>
  <c r="AB908" i="9"/>
  <c r="U908" i="9" s="1"/>
  <c r="AA908" i="9"/>
  <c r="Z908" i="9"/>
  <c r="T908" i="9" s="1"/>
  <c r="Y908" i="9"/>
  <c r="AF907" i="9"/>
  <c r="AE907" i="9"/>
  <c r="AD907" i="9"/>
  <c r="AC907" i="9"/>
  <c r="AB907" i="9"/>
  <c r="U907" i="9" s="1"/>
  <c r="AA907" i="9"/>
  <c r="Z907" i="9"/>
  <c r="Y907" i="9"/>
  <c r="T907" i="9" s="1"/>
  <c r="AF906" i="9"/>
  <c r="AE906" i="9"/>
  <c r="V906" i="9" s="1"/>
  <c r="W906" i="9" s="1"/>
  <c r="AD906" i="9"/>
  <c r="AC906" i="9"/>
  <c r="AB906" i="9"/>
  <c r="U906" i="9" s="1"/>
  <c r="AA906" i="9"/>
  <c r="Z906" i="9"/>
  <c r="Y906" i="9"/>
  <c r="T906" i="9" s="1"/>
  <c r="AF905" i="9"/>
  <c r="V905" i="9" s="1"/>
  <c r="AE905" i="9"/>
  <c r="AD905" i="9"/>
  <c r="AC905" i="9"/>
  <c r="U905" i="9" s="1"/>
  <c r="AB905" i="9"/>
  <c r="AA905" i="9"/>
  <c r="Z905" i="9"/>
  <c r="Y905" i="9"/>
  <c r="T905" i="9"/>
  <c r="AF904" i="9"/>
  <c r="AE904" i="9"/>
  <c r="AD904" i="9"/>
  <c r="AC904" i="9"/>
  <c r="AB904" i="9"/>
  <c r="U904" i="9" s="1"/>
  <c r="AA904" i="9"/>
  <c r="Z904" i="9"/>
  <c r="Y904" i="9"/>
  <c r="T904" i="9" s="1"/>
  <c r="V904" i="9"/>
  <c r="W904" i="9" s="1"/>
  <c r="AF903" i="9"/>
  <c r="AE903" i="9"/>
  <c r="V903" i="9" s="1"/>
  <c r="AD903" i="9"/>
  <c r="AC903" i="9"/>
  <c r="AB903" i="9"/>
  <c r="AA903" i="9"/>
  <c r="Z903" i="9"/>
  <c r="Y903" i="9"/>
  <c r="T903" i="9" s="1"/>
  <c r="W903" i="9" s="1"/>
  <c r="U903" i="9"/>
  <c r="AF902" i="9"/>
  <c r="AE902" i="9"/>
  <c r="V902" i="9" s="1"/>
  <c r="AD902" i="9"/>
  <c r="AC902" i="9"/>
  <c r="AB902" i="9"/>
  <c r="U902" i="9" s="1"/>
  <c r="AA902" i="9"/>
  <c r="Z902" i="9"/>
  <c r="Y902" i="9"/>
  <c r="T902" i="9" s="1"/>
  <c r="AF901" i="9"/>
  <c r="AE901" i="9"/>
  <c r="AD901" i="9"/>
  <c r="AC901" i="9"/>
  <c r="AB901" i="9"/>
  <c r="U901" i="9" s="1"/>
  <c r="AA901" i="9"/>
  <c r="Z901" i="9"/>
  <c r="T901" i="9" s="1"/>
  <c r="Y901" i="9"/>
  <c r="V901" i="9"/>
  <c r="AF900" i="9"/>
  <c r="V900" i="9" s="1"/>
  <c r="AE900" i="9"/>
  <c r="AD900" i="9"/>
  <c r="AC900" i="9"/>
  <c r="AB900" i="9"/>
  <c r="AA900" i="9"/>
  <c r="Z900" i="9"/>
  <c r="T900" i="9" s="1"/>
  <c r="Y900" i="9"/>
  <c r="U900" i="9"/>
  <c r="AF899" i="9"/>
  <c r="AE899" i="9"/>
  <c r="V899" i="9" s="1"/>
  <c r="AD899" i="9"/>
  <c r="AC899" i="9"/>
  <c r="AB899" i="9"/>
  <c r="AA899" i="9"/>
  <c r="Z899" i="9"/>
  <c r="Y899" i="9"/>
  <c r="U899" i="9"/>
  <c r="T899" i="9"/>
  <c r="AF898" i="9"/>
  <c r="AE898" i="9"/>
  <c r="AD898" i="9"/>
  <c r="AC898" i="9"/>
  <c r="AB898" i="9"/>
  <c r="U898" i="9" s="1"/>
  <c r="AA898" i="9"/>
  <c r="Z898" i="9"/>
  <c r="Y898" i="9"/>
  <c r="T898" i="9" s="1"/>
  <c r="V898" i="9"/>
  <c r="AF897" i="9"/>
  <c r="AE897" i="9"/>
  <c r="AD897" i="9"/>
  <c r="AC897" i="9"/>
  <c r="U897" i="9" s="1"/>
  <c r="AB897" i="9"/>
  <c r="AA897" i="9"/>
  <c r="Z897" i="9"/>
  <c r="Y897" i="9"/>
  <c r="T897" i="9" s="1"/>
  <c r="V897" i="9"/>
  <c r="W897" i="9" s="1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V895" i="9" s="1"/>
  <c r="AD895" i="9"/>
  <c r="AC895" i="9"/>
  <c r="AB895" i="9"/>
  <c r="U895" i="9" s="1"/>
  <c r="AA895" i="9"/>
  <c r="Z895" i="9"/>
  <c r="Y895" i="9"/>
  <c r="T895" i="9"/>
  <c r="AF894" i="9"/>
  <c r="V894" i="9" s="1"/>
  <c r="W894" i="9" s="1"/>
  <c r="AE894" i="9"/>
  <c r="AD894" i="9"/>
  <c r="AC894" i="9"/>
  <c r="AB894" i="9"/>
  <c r="AA894" i="9"/>
  <c r="Z894" i="9"/>
  <c r="Y894" i="9"/>
  <c r="T894" i="9" s="1"/>
  <c r="U894" i="9"/>
  <c r="AF893" i="9"/>
  <c r="AE893" i="9"/>
  <c r="AD893" i="9"/>
  <c r="AC893" i="9"/>
  <c r="AB893" i="9"/>
  <c r="AA893" i="9"/>
  <c r="Z893" i="9"/>
  <c r="T893" i="9" s="1"/>
  <c r="Y893" i="9"/>
  <c r="V893" i="9"/>
  <c r="AF892" i="9"/>
  <c r="AE892" i="9"/>
  <c r="V892" i="9" s="1"/>
  <c r="AD892" i="9"/>
  <c r="AC892" i="9"/>
  <c r="AB892" i="9"/>
  <c r="AA892" i="9"/>
  <c r="Z892" i="9"/>
  <c r="Y892" i="9"/>
  <c r="T892" i="9" s="1"/>
  <c r="W892" i="9"/>
  <c r="U892" i="9"/>
  <c r="AF891" i="9"/>
  <c r="AE891" i="9"/>
  <c r="AD891" i="9"/>
  <c r="AC891" i="9"/>
  <c r="AB891" i="9"/>
  <c r="U891" i="9" s="1"/>
  <c r="AA891" i="9"/>
  <c r="Z891" i="9"/>
  <c r="T891" i="9" s="1"/>
  <c r="Y891" i="9"/>
  <c r="AF890" i="9"/>
  <c r="AE890" i="9"/>
  <c r="V890" i="9" s="1"/>
  <c r="W890" i="9" s="1"/>
  <c r="AD890" i="9"/>
  <c r="AC890" i="9"/>
  <c r="U890" i="9" s="1"/>
  <c r="AB890" i="9"/>
  <c r="AA890" i="9"/>
  <c r="Z890" i="9"/>
  <c r="Y890" i="9"/>
  <c r="T890" i="9"/>
  <c r="AF889" i="9"/>
  <c r="AE889" i="9"/>
  <c r="AD889" i="9"/>
  <c r="AC889" i="9"/>
  <c r="AB889" i="9"/>
  <c r="U889" i="9" s="1"/>
  <c r="AA889" i="9"/>
  <c r="Z889" i="9"/>
  <c r="Y889" i="9"/>
  <c r="T889" i="9" s="1"/>
  <c r="V889" i="9"/>
  <c r="AF888" i="9"/>
  <c r="AE888" i="9"/>
  <c r="AD888" i="9"/>
  <c r="AC888" i="9"/>
  <c r="AB888" i="9"/>
  <c r="U888" i="9" s="1"/>
  <c r="AA888" i="9"/>
  <c r="Z888" i="9"/>
  <c r="Y888" i="9"/>
  <c r="V888" i="9"/>
  <c r="W888" i="9" s="1"/>
  <c r="T888" i="9"/>
  <c r="AF887" i="9"/>
  <c r="AE887" i="9"/>
  <c r="V887" i="9" s="1"/>
  <c r="AD887" i="9"/>
  <c r="AC887" i="9"/>
  <c r="AB887" i="9"/>
  <c r="U887" i="9" s="1"/>
  <c r="AA887" i="9"/>
  <c r="Z887" i="9"/>
  <c r="Y887" i="9"/>
  <c r="T887" i="9" s="1"/>
  <c r="AF886" i="9"/>
  <c r="AE886" i="9"/>
  <c r="V886" i="9" s="1"/>
  <c r="AD886" i="9"/>
  <c r="AC886" i="9"/>
  <c r="AB886" i="9"/>
  <c r="U886" i="9" s="1"/>
  <c r="AA886" i="9"/>
  <c r="Z886" i="9"/>
  <c r="T886" i="9" s="1"/>
  <c r="Y886" i="9"/>
  <c r="AF885" i="9"/>
  <c r="V885" i="9" s="1"/>
  <c r="AE885" i="9"/>
  <c r="AD885" i="9"/>
  <c r="AC885" i="9"/>
  <c r="AB885" i="9"/>
  <c r="AA885" i="9"/>
  <c r="Z885" i="9"/>
  <c r="Y885" i="9"/>
  <c r="U885" i="9"/>
  <c r="AF884" i="9"/>
  <c r="AE884" i="9"/>
  <c r="AD884" i="9"/>
  <c r="AC884" i="9"/>
  <c r="AB884" i="9"/>
  <c r="U884" i="9" s="1"/>
  <c r="AA884" i="9"/>
  <c r="Z884" i="9"/>
  <c r="Y884" i="9"/>
  <c r="T884" i="9" s="1"/>
  <c r="V884" i="9"/>
  <c r="AF883" i="9"/>
  <c r="AE883" i="9"/>
  <c r="AD883" i="9"/>
  <c r="AC883" i="9"/>
  <c r="AB883" i="9"/>
  <c r="U883" i="9" s="1"/>
  <c r="AA883" i="9"/>
  <c r="Z883" i="9"/>
  <c r="Y883" i="9"/>
  <c r="T883" i="9" s="1"/>
  <c r="AF882" i="9"/>
  <c r="AE882" i="9"/>
  <c r="AD882" i="9"/>
  <c r="AC882" i="9"/>
  <c r="U882" i="9" s="1"/>
  <c r="AB882" i="9"/>
  <c r="AA882" i="9"/>
  <c r="Z882" i="9"/>
  <c r="Y882" i="9"/>
  <c r="T882" i="9" s="1"/>
  <c r="V882" i="9"/>
  <c r="AF881" i="9"/>
  <c r="AE881" i="9"/>
  <c r="AD881" i="9"/>
  <c r="AC881" i="9"/>
  <c r="AB881" i="9"/>
  <c r="AA881" i="9"/>
  <c r="Z881" i="9"/>
  <c r="Y881" i="9"/>
  <c r="V881" i="9"/>
  <c r="U881" i="9"/>
  <c r="AF880" i="9"/>
  <c r="AE880" i="9"/>
  <c r="V880" i="9" s="1"/>
  <c r="W880" i="9" s="1"/>
  <c r="AD880" i="9"/>
  <c r="AC880" i="9"/>
  <c r="AB880" i="9"/>
  <c r="AA880" i="9"/>
  <c r="Z880" i="9"/>
  <c r="Y880" i="9"/>
  <c r="U880" i="9"/>
  <c r="T880" i="9"/>
  <c r="AF879" i="9"/>
  <c r="AE879" i="9"/>
  <c r="V879" i="9" s="1"/>
  <c r="AD879" i="9"/>
  <c r="AC879" i="9"/>
  <c r="AB879" i="9"/>
  <c r="AA879" i="9"/>
  <c r="Z879" i="9"/>
  <c r="Y879" i="9"/>
  <c r="T879" i="9" s="1"/>
  <c r="U879" i="9"/>
  <c r="AF878" i="9"/>
  <c r="AE878" i="9"/>
  <c r="V878" i="9" s="1"/>
  <c r="AD878" i="9"/>
  <c r="AC878" i="9"/>
  <c r="AB878" i="9"/>
  <c r="AA878" i="9"/>
  <c r="Z878" i="9"/>
  <c r="T878" i="9" s="1"/>
  <c r="Y878" i="9"/>
  <c r="AF877" i="9"/>
  <c r="AE877" i="9"/>
  <c r="V877" i="9" s="1"/>
  <c r="W877" i="9" s="1"/>
  <c r="AD877" i="9"/>
  <c r="AC877" i="9"/>
  <c r="AB877" i="9"/>
  <c r="AA877" i="9"/>
  <c r="Z877" i="9"/>
  <c r="Y877" i="9"/>
  <c r="T877" i="9" s="1"/>
  <c r="U877" i="9"/>
  <c r="AF876" i="9"/>
  <c r="V876" i="9" s="1"/>
  <c r="AE876" i="9"/>
  <c r="AD876" i="9"/>
  <c r="AC876" i="9"/>
  <c r="AB876" i="9"/>
  <c r="U876" i="9" s="1"/>
  <c r="AA876" i="9"/>
  <c r="Z876" i="9"/>
  <c r="T876" i="9" s="1"/>
  <c r="Y876" i="9"/>
  <c r="AF875" i="9"/>
  <c r="V875" i="9" s="1"/>
  <c r="W875" i="9" s="1"/>
  <c r="AE875" i="9"/>
  <c r="AD875" i="9"/>
  <c r="AC875" i="9"/>
  <c r="AB875" i="9"/>
  <c r="AA875" i="9"/>
  <c r="Z875" i="9"/>
  <c r="Y875" i="9"/>
  <c r="T875" i="9" s="1"/>
  <c r="U875" i="9"/>
  <c r="AF874" i="9"/>
  <c r="AE874" i="9"/>
  <c r="V874" i="9" s="1"/>
  <c r="AD874" i="9"/>
  <c r="AC874" i="9"/>
  <c r="AB874" i="9"/>
  <c r="U874" i="9" s="1"/>
  <c r="AA874" i="9"/>
  <c r="Z874" i="9"/>
  <c r="T874" i="9" s="1"/>
  <c r="Y874" i="9"/>
  <c r="AF873" i="9"/>
  <c r="AE873" i="9"/>
  <c r="V873" i="9" s="1"/>
  <c r="W873" i="9" s="1"/>
  <c r="AD873" i="9"/>
  <c r="AC873" i="9"/>
  <c r="AB873" i="9"/>
  <c r="AA873" i="9"/>
  <c r="Z873" i="9"/>
  <c r="Y873" i="9"/>
  <c r="T873" i="9" s="1"/>
  <c r="U873" i="9"/>
  <c r="AF872" i="9"/>
  <c r="V872" i="9" s="1"/>
  <c r="AE872" i="9"/>
  <c r="AD872" i="9"/>
  <c r="AC872" i="9"/>
  <c r="AB872" i="9"/>
  <c r="U872" i="9" s="1"/>
  <c r="AA872" i="9"/>
  <c r="Z872" i="9"/>
  <c r="Y872" i="9"/>
  <c r="T872" i="9"/>
  <c r="AF871" i="9"/>
  <c r="V871" i="9" s="1"/>
  <c r="AE871" i="9"/>
  <c r="AD871" i="9"/>
  <c r="AC871" i="9"/>
  <c r="AB871" i="9"/>
  <c r="AA871" i="9"/>
  <c r="Z871" i="9"/>
  <c r="Y871" i="9"/>
  <c r="T871" i="9" s="1"/>
  <c r="U871" i="9"/>
  <c r="AF870" i="9"/>
  <c r="AE870" i="9"/>
  <c r="V870" i="9" s="1"/>
  <c r="AD870" i="9"/>
  <c r="AC870" i="9"/>
  <c r="AB870" i="9"/>
  <c r="AA870" i="9"/>
  <c r="Z870" i="9"/>
  <c r="T870" i="9" s="1"/>
  <c r="Y870" i="9"/>
  <c r="AF869" i="9"/>
  <c r="AE869" i="9"/>
  <c r="V869" i="9" s="1"/>
  <c r="AD869" i="9"/>
  <c r="AC869" i="9"/>
  <c r="AB869" i="9"/>
  <c r="AA869" i="9"/>
  <c r="Z869" i="9"/>
  <c r="Y869" i="9"/>
  <c r="T869" i="9" s="1"/>
  <c r="W869" i="9"/>
  <c r="U869" i="9"/>
  <c r="AF868" i="9"/>
  <c r="V868" i="9" s="1"/>
  <c r="AE868" i="9"/>
  <c r="AD868" i="9"/>
  <c r="AC868" i="9"/>
  <c r="AB868" i="9"/>
  <c r="U868" i="9" s="1"/>
  <c r="AA868" i="9"/>
  <c r="Z868" i="9"/>
  <c r="Y868" i="9"/>
  <c r="T868" i="9"/>
  <c r="AF867" i="9"/>
  <c r="V867" i="9" s="1"/>
  <c r="AE867" i="9"/>
  <c r="AD867" i="9"/>
  <c r="AC867" i="9"/>
  <c r="AB867" i="9"/>
  <c r="AA867" i="9"/>
  <c r="Z867" i="9"/>
  <c r="Y867" i="9"/>
  <c r="T867" i="9" s="1"/>
  <c r="U867" i="9"/>
  <c r="AF866" i="9"/>
  <c r="AE866" i="9"/>
  <c r="V866" i="9" s="1"/>
  <c r="W866" i="9" s="1"/>
  <c r="AD866" i="9"/>
  <c r="AC866" i="9"/>
  <c r="AB866" i="9"/>
  <c r="U866" i="9" s="1"/>
  <c r="AA866" i="9"/>
  <c r="Z866" i="9"/>
  <c r="T866" i="9" s="1"/>
  <c r="Y866" i="9"/>
  <c r="AF865" i="9"/>
  <c r="AE865" i="9"/>
  <c r="V865" i="9" s="1"/>
  <c r="AD865" i="9"/>
  <c r="AC865" i="9"/>
  <c r="AB865" i="9"/>
  <c r="AA865" i="9"/>
  <c r="Z865" i="9"/>
  <c r="Y865" i="9"/>
  <c r="T865" i="9" s="1"/>
  <c r="W865" i="9" s="1"/>
  <c r="U865" i="9"/>
  <c r="AF864" i="9"/>
  <c r="V864" i="9" s="1"/>
  <c r="AE864" i="9"/>
  <c r="AD864" i="9"/>
  <c r="AC864" i="9"/>
  <c r="AB864" i="9"/>
  <c r="U864" i="9" s="1"/>
  <c r="AA864" i="9"/>
  <c r="Z864" i="9"/>
  <c r="T864" i="9" s="1"/>
  <c r="Y864" i="9"/>
  <c r="AF863" i="9"/>
  <c r="V863" i="9" s="1"/>
  <c r="AE863" i="9"/>
  <c r="AD863" i="9"/>
  <c r="AC863" i="9"/>
  <c r="AB863" i="9"/>
  <c r="AA863" i="9"/>
  <c r="Z863" i="9"/>
  <c r="Y863" i="9"/>
  <c r="T863" i="9" s="1"/>
  <c r="U863" i="9"/>
  <c r="AF862" i="9"/>
  <c r="AE862" i="9"/>
  <c r="V862" i="9" s="1"/>
  <c r="AD862" i="9"/>
  <c r="AC862" i="9"/>
  <c r="AB862" i="9"/>
  <c r="AA862" i="9"/>
  <c r="Z862" i="9"/>
  <c r="T862" i="9" s="1"/>
  <c r="Y862" i="9"/>
  <c r="AF861" i="9"/>
  <c r="AE861" i="9"/>
  <c r="V861" i="9" s="1"/>
  <c r="W861" i="9" s="1"/>
  <c r="AD861" i="9"/>
  <c r="AC861" i="9"/>
  <c r="AB861" i="9"/>
  <c r="AA861" i="9"/>
  <c r="Z861" i="9"/>
  <c r="Y861" i="9"/>
  <c r="T861" i="9" s="1"/>
  <c r="U861" i="9"/>
  <c r="AF860" i="9"/>
  <c r="V860" i="9" s="1"/>
  <c r="AE860" i="9"/>
  <c r="AD860" i="9"/>
  <c r="AC860" i="9"/>
  <c r="AB860" i="9"/>
  <c r="U860" i="9" s="1"/>
  <c r="AA860" i="9"/>
  <c r="Z860" i="9"/>
  <c r="T860" i="9" s="1"/>
  <c r="Y860" i="9"/>
  <c r="AF859" i="9"/>
  <c r="V859" i="9" s="1"/>
  <c r="W859" i="9" s="1"/>
  <c r="AE859" i="9"/>
  <c r="AD859" i="9"/>
  <c r="AC859" i="9"/>
  <c r="AB859" i="9"/>
  <c r="AA859" i="9"/>
  <c r="Z859" i="9"/>
  <c r="Y859" i="9"/>
  <c r="T859" i="9" s="1"/>
  <c r="U859" i="9"/>
  <c r="AF858" i="9"/>
  <c r="AE858" i="9"/>
  <c r="V858" i="9" s="1"/>
  <c r="AD858" i="9"/>
  <c r="AC858" i="9"/>
  <c r="AB858" i="9"/>
  <c r="U858" i="9" s="1"/>
  <c r="AA858" i="9"/>
  <c r="Z858" i="9"/>
  <c r="T858" i="9" s="1"/>
  <c r="Y858" i="9"/>
  <c r="AF857" i="9"/>
  <c r="AE857" i="9"/>
  <c r="V857" i="9" s="1"/>
  <c r="W857" i="9" s="1"/>
  <c r="AD857" i="9"/>
  <c r="AC857" i="9"/>
  <c r="AB857" i="9"/>
  <c r="AA857" i="9"/>
  <c r="Z857" i="9"/>
  <c r="Y857" i="9"/>
  <c r="T857" i="9" s="1"/>
  <c r="U857" i="9"/>
  <c r="AF856" i="9"/>
  <c r="V856" i="9" s="1"/>
  <c r="AE856" i="9"/>
  <c r="AD856" i="9"/>
  <c r="AC856" i="9"/>
  <c r="AB856" i="9"/>
  <c r="U856" i="9" s="1"/>
  <c r="AA856" i="9"/>
  <c r="Z856" i="9"/>
  <c r="Y856" i="9"/>
  <c r="T856" i="9"/>
  <c r="AF855" i="9"/>
  <c r="V855" i="9" s="1"/>
  <c r="AE855" i="9"/>
  <c r="AD855" i="9"/>
  <c r="AC855" i="9"/>
  <c r="AB855" i="9"/>
  <c r="AA855" i="9"/>
  <c r="Z855" i="9"/>
  <c r="Y855" i="9"/>
  <c r="T855" i="9" s="1"/>
  <c r="U855" i="9"/>
  <c r="W855" i="9" s="1"/>
  <c r="AF854" i="9"/>
  <c r="AE854" i="9"/>
  <c r="V854" i="9" s="1"/>
  <c r="W854" i="9" s="1"/>
  <c r="AD854" i="9"/>
  <c r="AC854" i="9"/>
  <c r="AB854" i="9"/>
  <c r="U854" i="9" s="1"/>
  <c r="AA854" i="9"/>
  <c r="Z854" i="9"/>
  <c r="T854" i="9" s="1"/>
  <c r="Y854" i="9"/>
  <c r="AF853" i="9"/>
  <c r="AE853" i="9"/>
  <c r="V853" i="9" s="1"/>
  <c r="W853" i="9" s="1"/>
  <c r="AD853" i="9"/>
  <c r="AC853" i="9"/>
  <c r="AB853" i="9"/>
  <c r="AA853" i="9"/>
  <c r="Z853" i="9"/>
  <c r="Y853" i="9"/>
  <c r="T853" i="9" s="1"/>
  <c r="U853" i="9"/>
  <c r="AF852" i="9"/>
  <c r="V852" i="9" s="1"/>
  <c r="AE852" i="9"/>
  <c r="AD852" i="9"/>
  <c r="AC852" i="9"/>
  <c r="AB852" i="9"/>
  <c r="U852" i="9" s="1"/>
  <c r="AA852" i="9"/>
  <c r="Z852" i="9"/>
  <c r="T852" i="9" s="1"/>
  <c r="Y852" i="9"/>
  <c r="AF851" i="9"/>
  <c r="V851" i="9" s="1"/>
  <c r="AE851" i="9"/>
  <c r="AD851" i="9"/>
  <c r="AC851" i="9"/>
  <c r="AB851" i="9"/>
  <c r="AA851" i="9"/>
  <c r="Z851" i="9"/>
  <c r="Y851" i="9"/>
  <c r="T851" i="9" s="1"/>
  <c r="U851" i="9"/>
  <c r="W851" i="9" s="1"/>
  <c r="AF850" i="9"/>
  <c r="AE850" i="9"/>
  <c r="AD850" i="9"/>
  <c r="AC850" i="9"/>
  <c r="AB850" i="9"/>
  <c r="U850" i="9" s="1"/>
  <c r="AA850" i="9"/>
  <c r="Z850" i="9"/>
  <c r="T850" i="9" s="1"/>
  <c r="W850" i="9" s="1"/>
  <c r="Y850" i="9"/>
  <c r="V850" i="9"/>
  <c r="AF849" i="9"/>
  <c r="AE849" i="9"/>
  <c r="V849" i="9" s="1"/>
  <c r="W849" i="9" s="1"/>
  <c r="AD849" i="9"/>
  <c r="AC849" i="9"/>
  <c r="AB849" i="9"/>
  <c r="AA849" i="9"/>
  <c r="Z849" i="9"/>
  <c r="Y849" i="9"/>
  <c r="T849" i="9" s="1"/>
  <c r="U849" i="9"/>
  <c r="AF848" i="9"/>
  <c r="AE848" i="9"/>
  <c r="AD848" i="9"/>
  <c r="AC848" i="9"/>
  <c r="AB848" i="9"/>
  <c r="U848" i="9" s="1"/>
  <c r="AA848" i="9"/>
  <c r="Z848" i="9"/>
  <c r="Y848" i="9"/>
  <c r="T848" i="9"/>
  <c r="AF847" i="9"/>
  <c r="V847" i="9" s="1"/>
  <c r="W847" i="9" s="1"/>
  <c r="AE847" i="9"/>
  <c r="AD847" i="9"/>
  <c r="AC847" i="9"/>
  <c r="AB847" i="9"/>
  <c r="AA847" i="9"/>
  <c r="Z847" i="9"/>
  <c r="Y847" i="9"/>
  <c r="T847" i="9" s="1"/>
  <c r="U847" i="9"/>
  <c r="AF846" i="9"/>
  <c r="AE846" i="9"/>
  <c r="AD846" i="9"/>
  <c r="AC846" i="9"/>
  <c r="AB846" i="9"/>
  <c r="U846" i="9" s="1"/>
  <c r="AA846" i="9"/>
  <c r="Z846" i="9"/>
  <c r="T846" i="9" s="1"/>
  <c r="W846" i="9" s="1"/>
  <c r="Y846" i="9"/>
  <c r="V846" i="9"/>
  <c r="AF845" i="9"/>
  <c r="AE845" i="9"/>
  <c r="AD845" i="9"/>
  <c r="AC845" i="9"/>
  <c r="AB845" i="9"/>
  <c r="AA845" i="9"/>
  <c r="Z845" i="9"/>
  <c r="Y845" i="9"/>
  <c r="T845" i="9" s="1"/>
  <c r="U845" i="9"/>
  <c r="AF844" i="9"/>
  <c r="V844" i="9" s="1"/>
  <c r="W844" i="9" s="1"/>
  <c r="AE844" i="9"/>
  <c r="AD844" i="9"/>
  <c r="AC844" i="9"/>
  <c r="AB844" i="9"/>
  <c r="U844" i="9" s="1"/>
  <c r="AA844" i="9"/>
  <c r="Z844" i="9"/>
  <c r="Y844" i="9"/>
  <c r="T844" i="9"/>
  <c r="AF843" i="9"/>
  <c r="AE843" i="9"/>
  <c r="AD843" i="9"/>
  <c r="AC843" i="9"/>
  <c r="AB843" i="9"/>
  <c r="U843" i="9" s="1"/>
  <c r="AA843" i="9"/>
  <c r="Z843" i="9"/>
  <c r="Y843" i="9"/>
  <c r="T843" i="9" s="1"/>
  <c r="V843" i="9"/>
  <c r="W843" i="9" s="1"/>
  <c r="AF842" i="9"/>
  <c r="AE842" i="9"/>
  <c r="V842" i="9" s="1"/>
  <c r="AD842" i="9"/>
  <c r="AC842" i="9"/>
  <c r="AB842" i="9"/>
  <c r="U842" i="9" s="1"/>
  <c r="AA842" i="9"/>
  <c r="Z842" i="9"/>
  <c r="Y842" i="9"/>
  <c r="T842" i="9" s="1"/>
  <c r="W842" i="9" s="1"/>
  <c r="AF841" i="9"/>
  <c r="AE841" i="9"/>
  <c r="V841" i="9" s="1"/>
  <c r="W841" i="9" s="1"/>
  <c r="AD841" i="9"/>
  <c r="AC841" i="9"/>
  <c r="AB841" i="9"/>
  <c r="AA841" i="9"/>
  <c r="Z841" i="9"/>
  <c r="Y841" i="9"/>
  <c r="U841" i="9"/>
  <c r="T841" i="9"/>
  <c r="AF840" i="9"/>
  <c r="V840" i="9" s="1"/>
  <c r="AE840" i="9"/>
  <c r="AD840" i="9"/>
  <c r="AC840" i="9"/>
  <c r="AB840" i="9"/>
  <c r="AA840" i="9"/>
  <c r="Z840" i="9"/>
  <c r="Y840" i="9"/>
  <c r="T840" i="9"/>
  <c r="AF839" i="9"/>
  <c r="V839" i="9" s="1"/>
  <c r="AE839" i="9"/>
  <c r="AD839" i="9"/>
  <c r="AC839" i="9"/>
  <c r="AB839" i="9"/>
  <c r="AA839" i="9"/>
  <c r="Z839" i="9"/>
  <c r="Y839" i="9"/>
  <c r="U839" i="9"/>
  <c r="AF838" i="9"/>
  <c r="AE838" i="9"/>
  <c r="V838" i="9" s="1"/>
  <c r="AD838" i="9"/>
  <c r="AC838" i="9"/>
  <c r="AB838" i="9"/>
  <c r="U838" i="9" s="1"/>
  <c r="AA838" i="9"/>
  <c r="Z838" i="9"/>
  <c r="Y838" i="9"/>
  <c r="T838" i="9"/>
  <c r="AF837" i="9"/>
  <c r="AE837" i="9"/>
  <c r="AD837" i="9"/>
  <c r="AC837" i="9"/>
  <c r="AB837" i="9"/>
  <c r="AA837" i="9"/>
  <c r="Z837" i="9"/>
  <c r="Y837" i="9"/>
  <c r="U837" i="9"/>
  <c r="T837" i="9"/>
  <c r="AF836" i="9"/>
  <c r="AE836" i="9"/>
  <c r="AD836" i="9"/>
  <c r="AC836" i="9"/>
  <c r="AB836" i="9"/>
  <c r="AA836" i="9"/>
  <c r="Z836" i="9"/>
  <c r="T836" i="9" s="1"/>
  <c r="Y836" i="9"/>
  <c r="V836" i="9"/>
  <c r="U836" i="9"/>
  <c r="AF835" i="9"/>
  <c r="AE835" i="9"/>
  <c r="AD835" i="9"/>
  <c r="AC835" i="9"/>
  <c r="AB835" i="9"/>
  <c r="U835" i="9" s="1"/>
  <c r="W835" i="9" s="1"/>
  <c r="AA835" i="9"/>
  <c r="Z835" i="9"/>
  <c r="Y835" i="9"/>
  <c r="V835" i="9"/>
  <c r="T835" i="9"/>
  <c r="AF834" i="9"/>
  <c r="AE834" i="9"/>
  <c r="V834" i="9" s="1"/>
  <c r="AD834" i="9"/>
  <c r="AC834" i="9"/>
  <c r="AB834" i="9"/>
  <c r="U834" i="9" s="1"/>
  <c r="AA834" i="9"/>
  <c r="Z834" i="9"/>
  <c r="Y834" i="9"/>
  <c r="T834" i="9" s="1"/>
  <c r="W834" i="9"/>
  <c r="AF833" i="9"/>
  <c r="AE833" i="9"/>
  <c r="AD833" i="9"/>
  <c r="AC833" i="9"/>
  <c r="AB833" i="9"/>
  <c r="AA833" i="9"/>
  <c r="Z833" i="9"/>
  <c r="T833" i="9" s="1"/>
  <c r="Y833" i="9"/>
  <c r="U833" i="9"/>
  <c r="AF832" i="9"/>
  <c r="AE832" i="9"/>
  <c r="V832" i="9" s="1"/>
  <c r="AD832" i="9"/>
  <c r="AC832" i="9"/>
  <c r="AB832" i="9"/>
  <c r="U832" i="9" s="1"/>
  <c r="AA832" i="9"/>
  <c r="Z832" i="9"/>
  <c r="Y832" i="9"/>
  <c r="T832" i="9" s="1"/>
  <c r="AF831" i="9"/>
  <c r="V831" i="9" s="1"/>
  <c r="AE831" i="9"/>
  <c r="AD831" i="9"/>
  <c r="AC831" i="9"/>
  <c r="AB831" i="9"/>
  <c r="U831" i="9" s="1"/>
  <c r="AA831" i="9"/>
  <c r="Z831" i="9"/>
  <c r="T831" i="9" s="1"/>
  <c r="Y831" i="9"/>
  <c r="AF830" i="9"/>
  <c r="AE830" i="9"/>
  <c r="AD830" i="9"/>
  <c r="AC830" i="9"/>
  <c r="AB830" i="9"/>
  <c r="AA830" i="9"/>
  <c r="Z830" i="9"/>
  <c r="Y830" i="9"/>
  <c r="T830" i="9" s="1"/>
  <c r="V830" i="9"/>
  <c r="W830" i="9" s="1"/>
  <c r="U830" i="9"/>
  <c r="AF829" i="9"/>
  <c r="AE829" i="9"/>
  <c r="AD829" i="9"/>
  <c r="AC829" i="9"/>
  <c r="U829" i="9" s="1"/>
  <c r="AB829" i="9"/>
  <c r="AA829" i="9"/>
  <c r="Z829" i="9"/>
  <c r="Y829" i="9"/>
  <c r="T829" i="9" s="1"/>
  <c r="AF828" i="9"/>
  <c r="AE828" i="9"/>
  <c r="V828" i="9" s="1"/>
  <c r="AD828" i="9"/>
  <c r="AC828" i="9"/>
  <c r="U828" i="9" s="1"/>
  <c r="AB828" i="9"/>
  <c r="AA828" i="9"/>
  <c r="Z828" i="9"/>
  <c r="Y828" i="9"/>
  <c r="T828" i="9" s="1"/>
  <c r="AF827" i="9"/>
  <c r="V827" i="9" s="1"/>
  <c r="W827" i="9" s="1"/>
  <c r="AE827" i="9"/>
  <c r="AD827" i="9"/>
  <c r="AC827" i="9"/>
  <c r="AB827" i="9"/>
  <c r="U827" i="9" s="1"/>
  <c r="AA827" i="9"/>
  <c r="Z827" i="9"/>
  <c r="Y827" i="9"/>
  <c r="T827" i="9" s="1"/>
  <c r="AF826" i="9"/>
  <c r="AE826" i="9"/>
  <c r="AD826" i="9"/>
  <c r="AC826" i="9"/>
  <c r="AB826" i="9"/>
  <c r="AA826" i="9"/>
  <c r="Z826" i="9"/>
  <c r="Y826" i="9"/>
  <c r="V826" i="9"/>
  <c r="W826" i="9" s="1"/>
  <c r="U826" i="9"/>
  <c r="T826" i="9"/>
  <c r="AF825" i="9"/>
  <c r="AE825" i="9"/>
  <c r="AD825" i="9"/>
  <c r="AC825" i="9"/>
  <c r="AB825" i="9"/>
  <c r="AA825" i="9"/>
  <c r="Z825" i="9"/>
  <c r="Y825" i="9"/>
  <c r="U825" i="9"/>
  <c r="T825" i="9"/>
  <c r="AF824" i="9"/>
  <c r="AE824" i="9"/>
  <c r="V824" i="9" s="1"/>
  <c r="AD824" i="9"/>
  <c r="AC824" i="9"/>
  <c r="AB824" i="9"/>
  <c r="U824" i="9" s="1"/>
  <c r="AA824" i="9"/>
  <c r="T824" i="9" s="1"/>
  <c r="Z824" i="9"/>
  <c r="Y824" i="9"/>
  <c r="AF823" i="9"/>
  <c r="AE823" i="9"/>
  <c r="AD823" i="9"/>
  <c r="AC823" i="9"/>
  <c r="AB823" i="9"/>
  <c r="AA823" i="9"/>
  <c r="Z823" i="9"/>
  <c r="Y823" i="9"/>
  <c r="T823" i="9" s="1"/>
  <c r="V823" i="9"/>
  <c r="W823" i="9" s="1"/>
  <c r="U823" i="9"/>
  <c r="AF822" i="9"/>
  <c r="AE822" i="9"/>
  <c r="AD822" i="9"/>
  <c r="AC822" i="9"/>
  <c r="AB822" i="9"/>
  <c r="U822" i="9" s="1"/>
  <c r="W822" i="9" s="1"/>
  <c r="AA822" i="9"/>
  <c r="Z822" i="9"/>
  <c r="Y822" i="9"/>
  <c r="V822" i="9"/>
  <c r="T822" i="9"/>
  <c r="AF821" i="9"/>
  <c r="AE821" i="9"/>
  <c r="V821" i="9" s="1"/>
  <c r="AD821" i="9"/>
  <c r="AC821" i="9"/>
  <c r="AB821" i="9"/>
  <c r="AA821" i="9"/>
  <c r="Z821" i="9"/>
  <c r="Y821" i="9"/>
  <c r="T821" i="9" s="1"/>
  <c r="U821" i="9"/>
  <c r="AF820" i="9"/>
  <c r="AE820" i="9"/>
  <c r="V820" i="9" s="1"/>
  <c r="AD820" i="9"/>
  <c r="AC820" i="9"/>
  <c r="AB820" i="9"/>
  <c r="U820" i="9" s="1"/>
  <c r="AA820" i="9"/>
  <c r="Z820" i="9"/>
  <c r="Y820" i="9"/>
  <c r="T820" i="9" s="1"/>
  <c r="AF819" i="9"/>
  <c r="AE819" i="9"/>
  <c r="AD819" i="9"/>
  <c r="AC819" i="9"/>
  <c r="AB819" i="9"/>
  <c r="AA819" i="9"/>
  <c r="Z819" i="9"/>
  <c r="Y819" i="9"/>
  <c r="V819" i="9"/>
  <c r="W819" i="9" s="1"/>
  <c r="U819" i="9"/>
  <c r="T819" i="9"/>
  <c r="AF818" i="9"/>
  <c r="AE818" i="9"/>
  <c r="AD818" i="9"/>
  <c r="AC818" i="9"/>
  <c r="AB818" i="9"/>
  <c r="U818" i="9" s="1"/>
  <c r="AA818" i="9"/>
  <c r="Z818" i="9"/>
  <c r="T818" i="9" s="1"/>
  <c r="Y818" i="9"/>
  <c r="V818" i="9"/>
  <c r="AF817" i="9"/>
  <c r="AE817" i="9"/>
  <c r="V817" i="9" s="1"/>
  <c r="AD817" i="9"/>
  <c r="AC817" i="9"/>
  <c r="U817" i="9" s="1"/>
  <c r="AB817" i="9"/>
  <c r="AA817" i="9"/>
  <c r="Z817" i="9"/>
  <c r="Y817" i="9"/>
  <c r="T817" i="9" s="1"/>
  <c r="AF816" i="9"/>
  <c r="AE816" i="9"/>
  <c r="V816" i="9" s="1"/>
  <c r="AD816" i="9"/>
  <c r="AC816" i="9"/>
  <c r="AB816" i="9"/>
  <c r="U816" i="9" s="1"/>
  <c r="AA816" i="9"/>
  <c r="Z816" i="9"/>
  <c r="Y816" i="9"/>
  <c r="T816" i="9" s="1"/>
  <c r="W816" i="9" s="1"/>
  <c r="AF815" i="9"/>
  <c r="AE815" i="9"/>
  <c r="AD815" i="9"/>
  <c r="AC815" i="9"/>
  <c r="AB815" i="9"/>
  <c r="AA815" i="9"/>
  <c r="Z815" i="9"/>
  <c r="Y815" i="9"/>
  <c r="V815" i="9"/>
  <c r="W815" i="9" s="1"/>
  <c r="U815" i="9"/>
  <c r="T815" i="9"/>
  <c r="AF814" i="9"/>
  <c r="V814" i="9" s="1"/>
  <c r="AE814" i="9"/>
  <c r="AD814" i="9"/>
  <c r="AC814" i="9"/>
  <c r="AB814" i="9"/>
  <c r="AA814" i="9"/>
  <c r="Z814" i="9"/>
  <c r="Y814" i="9"/>
  <c r="T814" i="9" s="1"/>
  <c r="U814" i="9"/>
  <c r="AF813" i="9"/>
  <c r="AE813" i="9"/>
  <c r="V813" i="9" s="1"/>
  <c r="AD813" i="9"/>
  <c r="AC813" i="9"/>
  <c r="AB813" i="9"/>
  <c r="U813" i="9" s="1"/>
  <c r="AA813" i="9"/>
  <c r="Z813" i="9"/>
  <c r="Y813" i="9"/>
  <c r="T813" i="9"/>
  <c r="AF812" i="9"/>
  <c r="AE812" i="9"/>
  <c r="AD812" i="9"/>
  <c r="AC812" i="9"/>
  <c r="AB812" i="9"/>
  <c r="U812" i="9" s="1"/>
  <c r="AA812" i="9"/>
  <c r="Z812" i="9"/>
  <c r="Y812" i="9"/>
  <c r="T812" i="9" s="1"/>
  <c r="V812" i="9"/>
  <c r="AF811" i="9"/>
  <c r="AE811" i="9"/>
  <c r="AD811" i="9"/>
  <c r="AC811" i="9"/>
  <c r="AB811" i="9"/>
  <c r="AA811" i="9"/>
  <c r="Z811" i="9"/>
  <c r="Y811" i="9"/>
  <c r="T811" i="9" s="1"/>
  <c r="W811" i="9" s="1"/>
  <c r="V811" i="9"/>
  <c r="U811" i="9"/>
  <c r="AF810" i="9"/>
  <c r="AE810" i="9"/>
  <c r="V810" i="9" s="1"/>
  <c r="W810" i="9" s="1"/>
  <c r="AD810" i="9"/>
  <c r="AC810" i="9"/>
  <c r="AB810" i="9"/>
  <c r="AA810" i="9"/>
  <c r="Z810" i="9"/>
  <c r="Y810" i="9"/>
  <c r="U810" i="9"/>
  <c r="T810" i="9"/>
  <c r="AF809" i="9"/>
  <c r="AE809" i="9"/>
  <c r="AD809" i="9"/>
  <c r="AC809" i="9"/>
  <c r="AB809" i="9"/>
  <c r="U809" i="9" s="1"/>
  <c r="AA809" i="9"/>
  <c r="T809" i="9" s="1"/>
  <c r="Z809" i="9"/>
  <c r="Y809" i="9"/>
  <c r="AF808" i="9"/>
  <c r="AE808" i="9"/>
  <c r="AD808" i="9"/>
  <c r="AC808" i="9"/>
  <c r="AB808" i="9"/>
  <c r="AA808" i="9"/>
  <c r="Z808" i="9"/>
  <c r="Y808" i="9"/>
  <c r="T808" i="9" s="1"/>
  <c r="V808" i="9"/>
  <c r="U808" i="9"/>
  <c r="AF807" i="9"/>
  <c r="V807" i="9" s="1"/>
  <c r="W807" i="9" s="1"/>
  <c r="AE807" i="9"/>
  <c r="AD807" i="9"/>
  <c r="AC807" i="9"/>
  <c r="AB807" i="9"/>
  <c r="U807" i="9" s="1"/>
  <c r="AA807" i="9"/>
  <c r="Z807" i="9"/>
  <c r="Y807" i="9"/>
  <c r="T807" i="9"/>
  <c r="AF806" i="9"/>
  <c r="AE806" i="9"/>
  <c r="V806" i="9" s="1"/>
  <c r="W806" i="9" s="1"/>
  <c r="AD806" i="9"/>
  <c r="AC806" i="9"/>
  <c r="AB806" i="9"/>
  <c r="U806" i="9" s="1"/>
  <c r="AA806" i="9"/>
  <c r="Z806" i="9"/>
  <c r="Y806" i="9"/>
  <c r="T806" i="9"/>
  <c r="AF805" i="9"/>
  <c r="AE805" i="9"/>
  <c r="AD805" i="9"/>
  <c r="AC805" i="9"/>
  <c r="AB805" i="9"/>
  <c r="U805" i="9" s="1"/>
  <c r="AA805" i="9"/>
  <c r="Z805" i="9"/>
  <c r="T805" i="9" s="1"/>
  <c r="Y805" i="9"/>
  <c r="AF804" i="9"/>
  <c r="AE804" i="9"/>
  <c r="AD804" i="9"/>
  <c r="AC804" i="9"/>
  <c r="AB804" i="9"/>
  <c r="AA804" i="9"/>
  <c r="Z804" i="9"/>
  <c r="Y804" i="9"/>
  <c r="V804" i="9"/>
  <c r="U804" i="9"/>
  <c r="T804" i="9"/>
  <c r="AF803" i="9"/>
  <c r="AE803" i="9"/>
  <c r="AD803" i="9"/>
  <c r="AC803" i="9"/>
  <c r="AB803" i="9"/>
  <c r="U803" i="9" s="1"/>
  <c r="AA803" i="9"/>
  <c r="Z803" i="9"/>
  <c r="Y803" i="9"/>
  <c r="T803" i="9" s="1"/>
  <c r="V803" i="9"/>
  <c r="AF802" i="9"/>
  <c r="AE802" i="9"/>
  <c r="V802" i="9" s="1"/>
  <c r="AD802" i="9"/>
  <c r="AC802" i="9"/>
  <c r="U802" i="9" s="1"/>
  <c r="AB802" i="9"/>
  <c r="AA802" i="9"/>
  <c r="Z802" i="9"/>
  <c r="Y802" i="9"/>
  <c r="T802" i="9" s="1"/>
  <c r="AF801" i="9"/>
  <c r="AE801" i="9"/>
  <c r="V801" i="9" s="1"/>
  <c r="AD801" i="9"/>
  <c r="AC801" i="9"/>
  <c r="AB801" i="9"/>
  <c r="U801" i="9" s="1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V800" i="9"/>
  <c r="W800" i="9" s="1"/>
  <c r="U800" i="9"/>
  <c r="T800" i="9"/>
  <c r="AF799" i="9"/>
  <c r="V799" i="9" s="1"/>
  <c r="AE799" i="9"/>
  <c r="AD799" i="9"/>
  <c r="AC799" i="9"/>
  <c r="AB799" i="9"/>
  <c r="AA799" i="9"/>
  <c r="Z799" i="9"/>
  <c r="Y799" i="9"/>
  <c r="T799" i="9" s="1"/>
  <c r="U799" i="9"/>
  <c r="AF798" i="9"/>
  <c r="AE798" i="9"/>
  <c r="V798" i="9" s="1"/>
  <c r="AD798" i="9"/>
  <c r="AC798" i="9"/>
  <c r="AB798" i="9"/>
  <c r="U798" i="9" s="1"/>
  <c r="AA798" i="9"/>
  <c r="Z798" i="9"/>
  <c r="Y798" i="9"/>
  <c r="T798" i="9"/>
  <c r="AF797" i="9"/>
  <c r="AE797" i="9"/>
  <c r="V797" i="9" s="1"/>
  <c r="AD797" i="9"/>
  <c r="AC797" i="9"/>
  <c r="AB797" i="9"/>
  <c r="U797" i="9" s="1"/>
  <c r="AA797" i="9"/>
  <c r="Z797" i="9"/>
  <c r="Y797" i="9"/>
  <c r="T797" i="9" s="1"/>
  <c r="W797" i="9" s="1"/>
  <c r="AF796" i="9"/>
  <c r="AE796" i="9"/>
  <c r="V796" i="9" s="1"/>
  <c r="W796" i="9" s="1"/>
  <c r="AD796" i="9"/>
  <c r="AC796" i="9"/>
  <c r="AB796" i="9"/>
  <c r="AA796" i="9"/>
  <c r="Z796" i="9"/>
  <c r="Y796" i="9"/>
  <c r="T796" i="9" s="1"/>
  <c r="U796" i="9"/>
  <c r="AF795" i="9"/>
  <c r="V795" i="9" s="1"/>
  <c r="W795" i="9" s="1"/>
  <c r="AE795" i="9"/>
  <c r="AD795" i="9"/>
  <c r="AC795" i="9"/>
  <c r="AB795" i="9"/>
  <c r="AA795" i="9"/>
  <c r="Z795" i="9"/>
  <c r="Y795" i="9"/>
  <c r="U795" i="9"/>
  <c r="T795" i="9"/>
  <c r="AF794" i="9"/>
  <c r="AE794" i="9"/>
  <c r="AD794" i="9"/>
  <c r="AC794" i="9"/>
  <c r="AB794" i="9"/>
  <c r="U794" i="9" s="1"/>
  <c r="AA794" i="9"/>
  <c r="Z794" i="9"/>
  <c r="Y794" i="9"/>
  <c r="V794" i="9"/>
  <c r="W794" i="9" s="1"/>
  <c r="T794" i="9"/>
  <c r="AF793" i="9"/>
  <c r="AE793" i="9"/>
  <c r="AD793" i="9"/>
  <c r="AC793" i="9"/>
  <c r="AB793" i="9"/>
  <c r="AA793" i="9"/>
  <c r="Z793" i="9"/>
  <c r="Y793" i="9"/>
  <c r="T793" i="9" s="1"/>
  <c r="U793" i="9"/>
  <c r="AF792" i="9"/>
  <c r="V792" i="9" s="1"/>
  <c r="AE792" i="9"/>
  <c r="AD792" i="9"/>
  <c r="AC792" i="9"/>
  <c r="AB792" i="9"/>
  <c r="U792" i="9" s="1"/>
  <c r="AA792" i="9"/>
  <c r="Z792" i="9"/>
  <c r="Y792" i="9"/>
  <c r="T792" i="9"/>
  <c r="AF791" i="9"/>
  <c r="V791" i="9" s="1"/>
  <c r="W791" i="9" s="1"/>
  <c r="AE791" i="9"/>
  <c r="AD791" i="9"/>
  <c r="AC791" i="9"/>
  <c r="AB791" i="9"/>
  <c r="U791" i="9" s="1"/>
  <c r="AA791" i="9"/>
  <c r="Z791" i="9"/>
  <c r="Y791" i="9"/>
  <c r="T791" i="9" s="1"/>
  <c r="AF790" i="9"/>
  <c r="AE790" i="9"/>
  <c r="V790" i="9" s="1"/>
  <c r="AD790" i="9"/>
  <c r="AC790" i="9"/>
  <c r="AB790" i="9"/>
  <c r="U790" i="9" s="1"/>
  <c r="AA790" i="9"/>
  <c r="Z790" i="9"/>
  <c r="T790" i="9" s="1"/>
  <c r="Y790" i="9"/>
  <c r="AF789" i="9"/>
  <c r="AE789" i="9"/>
  <c r="AD789" i="9"/>
  <c r="AC789" i="9"/>
  <c r="AB789" i="9"/>
  <c r="AA789" i="9"/>
  <c r="Z789" i="9"/>
  <c r="Y789" i="9"/>
  <c r="U789" i="9"/>
  <c r="T789" i="9"/>
  <c r="AF788" i="9"/>
  <c r="AE788" i="9"/>
  <c r="AD788" i="9"/>
  <c r="AC788" i="9"/>
  <c r="AB788" i="9"/>
  <c r="U788" i="9" s="1"/>
  <c r="AA788" i="9"/>
  <c r="Z788" i="9"/>
  <c r="Y788" i="9"/>
  <c r="T788" i="9" s="1"/>
  <c r="V788" i="9"/>
  <c r="W788" i="9" s="1"/>
  <c r="AF787" i="9"/>
  <c r="V787" i="9" s="1"/>
  <c r="W787" i="9" s="1"/>
  <c r="AE787" i="9"/>
  <c r="AD787" i="9"/>
  <c r="AC787" i="9"/>
  <c r="U787" i="9" s="1"/>
  <c r="AB787" i="9"/>
  <c r="AA787" i="9"/>
  <c r="Z787" i="9"/>
  <c r="Y787" i="9"/>
  <c r="T787" i="9" s="1"/>
  <c r="AF786" i="9"/>
  <c r="AE786" i="9"/>
  <c r="V786" i="9" s="1"/>
  <c r="AD786" i="9"/>
  <c r="AC786" i="9"/>
  <c r="AB786" i="9"/>
  <c r="U786" i="9" s="1"/>
  <c r="AA786" i="9"/>
  <c r="Z786" i="9"/>
  <c r="Y786" i="9"/>
  <c r="T786" i="9" s="1"/>
  <c r="AF785" i="9"/>
  <c r="AE785" i="9"/>
  <c r="V785" i="9" s="1"/>
  <c r="AD785" i="9"/>
  <c r="AC785" i="9"/>
  <c r="AB785" i="9"/>
  <c r="AA785" i="9"/>
  <c r="Z785" i="9"/>
  <c r="Y785" i="9"/>
  <c r="U785" i="9"/>
  <c r="T785" i="9"/>
  <c r="W785" i="9" s="1"/>
  <c r="AF784" i="9"/>
  <c r="V784" i="9" s="1"/>
  <c r="W784" i="9" s="1"/>
  <c r="AE784" i="9"/>
  <c r="AD784" i="9"/>
  <c r="AC784" i="9"/>
  <c r="AB784" i="9"/>
  <c r="AA784" i="9"/>
  <c r="Z784" i="9"/>
  <c r="Y784" i="9"/>
  <c r="T784" i="9" s="1"/>
  <c r="U784" i="9"/>
  <c r="AF783" i="9"/>
  <c r="AE783" i="9"/>
  <c r="AD783" i="9"/>
  <c r="AC783" i="9"/>
  <c r="AB783" i="9"/>
  <c r="U783" i="9" s="1"/>
  <c r="W783" i="9" s="1"/>
  <c r="AA783" i="9"/>
  <c r="Z783" i="9"/>
  <c r="Y783" i="9"/>
  <c r="V783" i="9"/>
  <c r="T783" i="9"/>
  <c r="AF782" i="9"/>
  <c r="AE782" i="9"/>
  <c r="V782" i="9" s="1"/>
  <c r="W782" i="9" s="1"/>
  <c r="AD782" i="9"/>
  <c r="AC782" i="9"/>
  <c r="AB782" i="9"/>
  <c r="AA782" i="9"/>
  <c r="Z782" i="9"/>
  <c r="Y782" i="9"/>
  <c r="T782" i="9" s="1"/>
  <c r="U782" i="9"/>
  <c r="AF781" i="9"/>
  <c r="AE781" i="9"/>
  <c r="AD781" i="9"/>
  <c r="AC781" i="9"/>
  <c r="AB781" i="9"/>
  <c r="AA781" i="9"/>
  <c r="Z781" i="9"/>
  <c r="T781" i="9" s="1"/>
  <c r="Y781" i="9"/>
  <c r="U781" i="9"/>
  <c r="AF780" i="9"/>
  <c r="AE780" i="9"/>
  <c r="V780" i="9" s="1"/>
  <c r="W780" i="9" s="1"/>
  <c r="AD780" i="9"/>
  <c r="AC780" i="9"/>
  <c r="AB780" i="9"/>
  <c r="AA780" i="9"/>
  <c r="Z780" i="9"/>
  <c r="Y780" i="9"/>
  <c r="U780" i="9"/>
  <c r="T780" i="9"/>
  <c r="AF779" i="9"/>
  <c r="AE779" i="9"/>
  <c r="AD779" i="9"/>
  <c r="AC779" i="9"/>
  <c r="AB779" i="9"/>
  <c r="U779" i="9" s="1"/>
  <c r="AA779" i="9"/>
  <c r="T779" i="9" s="1"/>
  <c r="Z779" i="9"/>
  <c r="Y779" i="9"/>
  <c r="V779" i="9"/>
  <c r="AF778" i="9"/>
  <c r="AE778" i="9"/>
  <c r="AD778" i="9"/>
  <c r="AC778" i="9"/>
  <c r="AB778" i="9"/>
  <c r="U778" i="9" s="1"/>
  <c r="AA778" i="9"/>
  <c r="Z778" i="9"/>
  <c r="Y778" i="9"/>
  <c r="T778" i="9" s="1"/>
  <c r="V778" i="9"/>
  <c r="AF777" i="9"/>
  <c r="AE777" i="9"/>
  <c r="V777" i="9" s="1"/>
  <c r="W777" i="9" s="1"/>
  <c r="AD777" i="9"/>
  <c r="AC777" i="9"/>
  <c r="AB777" i="9"/>
  <c r="AA777" i="9"/>
  <c r="Z777" i="9"/>
  <c r="Y777" i="9"/>
  <c r="T777" i="9" s="1"/>
  <c r="U777" i="9"/>
  <c r="AF776" i="9"/>
  <c r="AE776" i="9"/>
  <c r="V776" i="9" s="1"/>
  <c r="W776" i="9" s="1"/>
  <c r="AD776" i="9"/>
  <c r="AC776" i="9"/>
  <c r="AB776" i="9"/>
  <c r="AA776" i="9"/>
  <c r="Z776" i="9"/>
  <c r="Y776" i="9"/>
  <c r="U776" i="9"/>
  <c r="T776" i="9"/>
  <c r="AF775" i="9"/>
  <c r="AE775" i="9"/>
  <c r="AD775" i="9"/>
  <c r="AC775" i="9"/>
  <c r="AB775" i="9"/>
  <c r="U775" i="9" s="1"/>
  <c r="AA775" i="9"/>
  <c r="T775" i="9" s="1"/>
  <c r="Z775" i="9"/>
  <c r="Y775" i="9"/>
  <c r="V775" i="9"/>
  <c r="W775" i="9" s="1"/>
  <c r="AF774" i="9"/>
  <c r="AE774" i="9"/>
  <c r="AD774" i="9"/>
  <c r="AC774" i="9"/>
  <c r="AB774" i="9"/>
  <c r="U774" i="9" s="1"/>
  <c r="AA774" i="9"/>
  <c r="Z774" i="9"/>
  <c r="Y774" i="9"/>
  <c r="T774" i="9" s="1"/>
  <c r="V774" i="9"/>
  <c r="W774" i="9" s="1"/>
  <c r="AF773" i="9"/>
  <c r="AE773" i="9"/>
  <c r="V773" i="9" s="1"/>
  <c r="AD773" i="9"/>
  <c r="AC773" i="9"/>
  <c r="AB773" i="9"/>
  <c r="AA773" i="9"/>
  <c r="Z773" i="9"/>
  <c r="Y773" i="9"/>
  <c r="T773" i="9" s="1"/>
  <c r="U773" i="9"/>
  <c r="AF772" i="9"/>
  <c r="AE772" i="9"/>
  <c r="V772" i="9" s="1"/>
  <c r="W772" i="9" s="1"/>
  <c r="AD772" i="9"/>
  <c r="AC772" i="9"/>
  <c r="AB772" i="9"/>
  <c r="AA772" i="9"/>
  <c r="Z772" i="9"/>
  <c r="Y772" i="9"/>
  <c r="U772" i="9"/>
  <c r="T772" i="9"/>
  <c r="AF771" i="9"/>
  <c r="AE771" i="9"/>
  <c r="AD771" i="9"/>
  <c r="AC771" i="9"/>
  <c r="AB771" i="9"/>
  <c r="U771" i="9" s="1"/>
  <c r="AA771" i="9"/>
  <c r="T771" i="9" s="1"/>
  <c r="Z771" i="9"/>
  <c r="Y771" i="9"/>
  <c r="V771" i="9"/>
  <c r="AF770" i="9"/>
  <c r="AE770" i="9"/>
  <c r="AD770" i="9"/>
  <c r="AC770" i="9"/>
  <c r="AB770" i="9"/>
  <c r="U770" i="9" s="1"/>
  <c r="AA770" i="9"/>
  <c r="Z770" i="9"/>
  <c r="Y770" i="9"/>
  <c r="T770" i="9" s="1"/>
  <c r="V770" i="9"/>
  <c r="W770" i="9" s="1"/>
  <c r="AF769" i="9"/>
  <c r="AE769" i="9"/>
  <c r="V769" i="9" s="1"/>
  <c r="AD769" i="9"/>
  <c r="AC769" i="9"/>
  <c r="AB769" i="9"/>
  <c r="AA769" i="9"/>
  <c r="Z769" i="9"/>
  <c r="Y769" i="9"/>
  <c r="T769" i="9" s="1"/>
  <c r="U769" i="9"/>
  <c r="AF768" i="9"/>
  <c r="AE768" i="9"/>
  <c r="V768" i="9" s="1"/>
  <c r="W768" i="9" s="1"/>
  <c r="AD768" i="9"/>
  <c r="AC768" i="9"/>
  <c r="AB768" i="9"/>
  <c r="AA768" i="9"/>
  <c r="Z768" i="9"/>
  <c r="Y768" i="9"/>
  <c r="U768" i="9"/>
  <c r="T768" i="9"/>
  <c r="AF767" i="9"/>
  <c r="AE767" i="9"/>
  <c r="AD767" i="9"/>
  <c r="AC767" i="9"/>
  <c r="AB767" i="9"/>
  <c r="U767" i="9" s="1"/>
  <c r="AA767" i="9"/>
  <c r="T767" i="9" s="1"/>
  <c r="Z767" i="9"/>
  <c r="Y767" i="9"/>
  <c r="V767" i="9"/>
  <c r="AF766" i="9"/>
  <c r="AE766" i="9"/>
  <c r="AD766" i="9"/>
  <c r="AC766" i="9"/>
  <c r="AB766" i="9"/>
  <c r="U766" i="9" s="1"/>
  <c r="AA766" i="9"/>
  <c r="Z766" i="9"/>
  <c r="Y766" i="9"/>
  <c r="T766" i="9" s="1"/>
  <c r="V766" i="9"/>
  <c r="W766" i="9" s="1"/>
  <c r="AF765" i="9"/>
  <c r="AE765" i="9"/>
  <c r="V765" i="9" s="1"/>
  <c r="W765" i="9" s="1"/>
  <c r="AD765" i="9"/>
  <c r="AC765" i="9"/>
  <c r="AB765" i="9"/>
  <c r="AA765" i="9"/>
  <c r="Z765" i="9"/>
  <c r="Y765" i="9"/>
  <c r="T765" i="9" s="1"/>
  <c r="U765" i="9"/>
  <c r="AF764" i="9"/>
  <c r="AE764" i="9"/>
  <c r="V764" i="9" s="1"/>
  <c r="W764" i="9" s="1"/>
  <c r="AD764" i="9"/>
  <c r="AC764" i="9"/>
  <c r="AB764" i="9"/>
  <c r="AA764" i="9"/>
  <c r="Z764" i="9"/>
  <c r="Y764" i="9"/>
  <c r="U764" i="9"/>
  <c r="T764" i="9"/>
  <c r="AF763" i="9"/>
  <c r="AE763" i="9"/>
  <c r="AD763" i="9"/>
  <c r="AC763" i="9"/>
  <c r="AB763" i="9"/>
  <c r="U763" i="9" s="1"/>
  <c r="AA763" i="9"/>
  <c r="T763" i="9" s="1"/>
  <c r="Z763" i="9"/>
  <c r="Y763" i="9"/>
  <c r="V763" i="9"/>
  <c r="AF762" i="9"/>
  <c r="AE762" i="9"/>
  <c r="AD762" i="9"/>
  <c r="AC762" i="9"/>
  <c r="AB762" i="9"/>
  <c r="U762" i="9" s="1"/>
  <c r="AA762" i="9"/>
  <c r="Z762" i="9"/>
  <c r="Y762" i="9"/>
  <c r="T762" i="9" s="1"/>
  <c r="V762" i="9"/>
  <c r="W762" i="9" s="1"/>
  <c r="AF761" i="9"/>
  <c r="AE761" i="9"/>
  <c r="V761" i="9" s="1"/>
  <c r="AD761" i="9"/>
  <c r="AC761" i="9"/>
  <c r="AB761" i="9"/>
  <c r="AA761" i="9"/>
  <c r="Z761" i="9"/>
  <c r="Y761" i="9"/>
  <c r="T761" i="9" s="1"/>
  <c r="U761" i="9"/>
  <c r="AF760" i="9"/>
  <c r="AE760" i="9"/>
  <c r="V760" i="9" s="1"/>
  <c r="W760" i="9" s="1"/>
  <c r="AD760" i="9"/>
  <c r="AC760" i="9"/>
  <c r="AB760" i="9"/>
  <c r="AA760" i="9"/>
  <c r="Z760" i="9"/>
  <c r="Y760" i="9"/>
  <c r="U760" i="9"/>
  <c r="T760" i="9"/>
  <c r="AF759" i="9"/>
  <c r="AE759" i="9"/>
  <c r="AD759" i="9"/>
  <c r="AC759" i="9"/>
  <c r="AB759" i="9"/>
  <c r="U759" i="9" s="1"/>
  <c r="AA759" i="9"/>
  <c r="T759" i="9" s="1"/>
  <c r="Z759" i="9"/>
  <c r="Y759" i="9"/>
  <c r="V759" i="9"/>
  <c r="W759" i="9" s="1"/>
  <c r="AF758" i="9"/>
  <c r="AE758" i="9"/>
  <c r="AD758" i="9"/>
  <c r="AC758" i="9"/>
  <c r="AB758" i="9"/>
  <c r="U758" i="9" s="1"/>
  <c r="AA758" i="9"/>
  <c r="Z758" i="9"/>
  <c r="Y758" i="9"/>
  <c r="T758" i="9" s="1"/>
  <c r="V758" i="9"/>
  <c r="AF757" i="9"/>
  <c r="AE757" i="9"/>
  <c r="V757" i="9" s="1"/>
  <c r="AD757" i="9"/>
  <c r="AC757" i="9"/>
  <c r="AB757" i="9"/>
  <c r="AA757" i="9"/>
  <c r="Z757" i="9"/>
  <c r="Y757" i="9"/>
  <c r="T757" i="9" s="1"/>
  <c r="U757" i="9"/>
  <c r="AF756" i="9"/>
  <c r="AE756" i="9"/>
  <c r="V756" i="9" s="1"/>
  <c r="W756" i="9" s="1"/>
  <c r="AD756" i="9"/>
  <c r="AC756" i="9"/>
  <c r="AB756" i="9"/>
  <c r="AA756" i="9"/>
  <c r="Z756" i="9"/>
  <c r="Y756" i="9"/>
  <c r="U756" i="9"/>
  <c r="T756" i="9"/>
  <c r="AF755" i="9"/>
  <c r="AE755" i="9"/>
  <c r="AD755" i="9"/>
  <c r="AC755" i="9"/>
  <c r="AB755" i="9"/>
  <c r="U755" i="9" s="1"/>
  <c r="AA755" i="9"/>
  <c r="T755" i="9" s="1"/>
  <c r="Z755" i="9"/>
  <c r="Y755" i="9"/>
  <c r="V755" i="9"/>
  <c r="W755" i="9" s="1"/>
  <c r="AF754" i="9"/>
  <c r="AE754" i="9"/>
  <c r="AD754" i="9"/>
  <c r="AC754" i="9"/>
  <c r="AB754" i="9"/>
  <c r="U754" i="9" s="1"/>
  <c r="AA754" i="9"/>
  <c r="Z754" i="9"/>
  <c r="Y754" i="9"/>
  <c r="T754" i="9" s="1"/>
  <c r="V754" i="9"/>
  <c r="W754" i="9" s="1"/>
  <c r="AF753" i="9"/>
  <c r="AE753" i="9"/>
  <c r="V753" i="9" s="1"/>
  <c r="W753" i="9" s="1"/>
  <c r="AD753" i="9"/>
  <c r="AC753" i="9"/>
  <c r="AB753" i="9"/>
  <c r="AA753" i="9"/>
  <c r="Z753" i="9"/>
  <c r="Y753" i="9"/>
  <c r="T753" i="9" s="1"/>
  <c r="U753" i="9"/>
  <c r="AF752" i="9"/>
  <c r="AE752" i="9"/>
  <c r="V752" i="9" s="1"/>
  <c r="W752" i="9" s="1"/>
  <c r="AD752" i="9"/>
  <c r="AC752" i="9"/>
  <c r="AB752" i="9"/>
  <c r="AA752" i="9"/>
  <c r="Z752" i="9"/>
  <c r="Y752" i="9"/>
  <c r="U752" i="9"/>
  <c r="T752" i="9"/>
  <c r="AF751" i="9"/>
  <c r="AE751" i="9"/>
  <c r="AD751" i="9"/>
  <c r="AC751" i="9"/>
  <c r="AB751" i="9"/>
  <c r="U751" i="9" s="1"/>
  <c r="AA751" i="9"/>
  <c r="T751" i="9" s="1"/>
  <c r="Z751" i="9"/>
  <c r="Y751" i="9"/>
  <c r="V751" i="9"/>
  <c r="W751" i="9" s="1"/>
  <c r="AF750" i="9"/>
  <c r="AE750" i="9"/>
  <c r="AD750" i="9"/>
  <c r="AC750" i="9"/>
  <c r="AB750" i="9"/>
  <c r="U750" i="9" s="1"/>
  <c r="AA750" i="9"/>
  <c r="Z750" i="9"/>
  <c r="Y750" i="9"/>
  <c r="T750" i="9" s="1"/>
  <c r="V750" i="9"/>
  <c r="AF749" i="9"/>
  <c r="AE749" i="9"/>
  <c r="V749" i="9" s="1"/>
  <c r="W749" i="9" s="1"/>
  <c r="AD749" i="9"/>
  <c r="AC749" i="9"/>
  <c r="AB749" i="9"/>
  <c r="AA749" i="9"/>
  <c r="Z749" i="9"/>
  <c r="Y749" i="9"/>
  <c r="T749" i="9" s="1"/>
  <c r="U749" i="9"/>
  <c r="AF748" i="9"/>
  <c r="AE748" i="9"/>
  <c r="V748" i="9" s="1"/>
  <c r="W748" i="9" s="1"/>
  <c r="AD748" i="9"/>
  <c r="AC748" i="9"/>
  <c r="AB748" i="9"/>
  <c r="AA748" i="9"/>
  <c r="Z748" i="9"/>
  <c r="Y748" i="9"/>
  <c r="U748" i="9"/>
  <c r="T748" i="9"/>
  <c r="AF747" i="9"/>
  <c r="AE747" i="9"/>
  <c r="AD747" i="9"/>
  <c r="AC747" i="9"/>
  <c r="AB747" i="9"/>
  <c r="U747" i="9" s="1"/>
  <c r="AA747" i="9"/>
  <c r="T747" i="9" s="1"/>
  <c r="Z747" i="9"/>
  <c r="Y747" i="9"/>
  <c r="V747" i="9"/>
  <c r="W747" i="9" s="1"/>
  <c r="AF746" i="9"/>
  <c r="AE746" i="9"/>
  <c r="AD746" i="9"/>
  <c r="AC746" i="9"/>
  <c r="AB746" i="9"/>
  <c r="U746" i="9" s="1"/>
  <c r="AA746" i="9"/>
  <c r="Z746" i="9"/>
  <c r="Y746" i="9"/>
  <c r="T746" i="9" s="1"/>
  <c r="V746" i="9"/>
  <c r="AF745" i="9"/>
  <c r="AE745" i="9"/>
  <c r="V745" i="9" s="1"/>
  <c r="AD745" i="9"/>
  <c r="AC745" i="9"/>
  <c r="AB745" i="9"/>
  <c r="AA745" i="9"/>
  <c r="Z745" i="9"/>
  <c r="Y745" i="9"/>
  <c r="T745" i="9" s="1"/>
  <c r="U745" i="9"/>
  <c r="AF744" i="9"/>
  <c r="AE744" i="9"/>
  <c r="V744" i="9" s="1"/>
  <c r="W744" i="9" s="1"/>
  <c r="AD744" i="9"/>
  <c r="AC744" i="9"/>
  <c r="AB744" i="9"/>
  <c r="AA744" i="9"/>
  <c r="Z744" i="9"/>
  <c r="Y744" i="9"/>
  <c r="U744" i="9"/>
  <c r="T744" i="9"/>
  <c r="AF743" i="9"/>
  <c r="AE743" i="9"/>
  <c r="AD743" i="9"/>
  <c r="AC743" i="9"/>
  <c r="AB743" i="9"/>
  <c r="U743" i="9" s="1"/>
  <c r="AA743" i="9"/>
  <c r="T743" i="9" s="1"/>
  <c r="Z743" i="9"/>
  <c r="Y743" i="9"/>
  <c r="V743" i="9"/>
  <c r="W743" i="9" s="1"/>
  <c r="AF742" i="9"/>
  <c r="AE742" i="9"/>
  <c r="AD742" i="9"/>
  <c r="AC742" i="9"/>
  <c r="AB742" i="9"/>
  <c r="U742" i="9" s="1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U741" i="9"/>
  <c r="AF740" i="9"/>
  <c r="AE740" i="9"/>
  <c r="V740" i="9" s="1"/>
  <c r="W740" i="9" s="1"/>
  <c r="AD740" i="9"/>
  <c r="AC740" i="9"/>
  <c r="AB740" i="9"/>
  <c r="AA740" i="9"/>
  <c r="Z740" i="9"/>
  <c r="Y740" i="9"/>
  <c r="U740" i="9"/>
  <c r="T740" i="9"/>
  <c r="AF739" i="9"/>
  <c r="AE739" i="9"/>
  <c r="AD739" i="9"/>
  <c r="AC739" i="9"/>
  <c r="AB739" i="9"/>
  <c r="U739" i="9" s="1"/>
  <c r="AA739" i="9"/>
  <c r="T739" i="9" s="1"/>
  <c r="Z739" i="9"/>
  <c r="Y739" i="9"/>
  <c r="V739" i="9"/>
  <c r="AF738" i="9"/>
  <c r="AE738" i="9"/>
  <c r="AD738" i="9"/>
  <c r="AC738" i="9"/>
  <c r="AB738" i="9"/>
  <c r="U738" i="9" s="1"/>
  <c r="AA738" i="9"/>
  <c r="Z738" i="9"/>
  <c r="Y738" i="9"/>
  <c r="T738" i="9" s="1"/>
  <c r="V738" i="9"/>
  <c r="AF737" i="9"/>
  <c r="AE737" i="9"/>
  <c r="V737" i="9" s="1"/>
  <c r="W737" i="9" s="1"/>
  <c r="AD737" i="9"/>
  <c r="AC737" i="9"/>
  <c r="AB737" i="9"/>
  <c r="AA737" i="9"/>
  <c r="Z737" i="9"/>
  <c r="Y737" i="9"/>
  <c r="T737" i="9" s="1"/>
  <c r="U737" i="9"/>
  <c r="AF736" i="9"/>
  <c r="AE736" i="9"/>
  <c r="V736" i="9" s="1"/>
  <c r="W736" i="9" s="1"/>
  <c r="AD736" i="9"/>
  <c r="AC736" i="9"/>
  <c r="AB736" i="9"/>
  <c r="AA736" i="9"/>
  <c r="Z736" i="9"/>
  <c r="Y736" i="9"/>
  <c r="U736" i="9"/>
  <c r="T736" i="9"/>
  <c r="AF735" i="9"/>
  <c r="AE735" i="9"/>
  <c r="AD735" i="9"/>
  <c r="AC735" i="9"/>
  <c r="AB735" i="9"/>
  <c r="U735" i="9" s="1"/>
  <c r="AA735" i="9"/>
  <c r="T735" i="9" s="1"/>
  <c r="Z735" i="9"/>
  <c r="Y735" i="9"/>
  <c r="V735" i="9"/>
  <c r="W735" i="9" s="1"/>
  <c r="AF734" i="9"/>
  <c r="AE734" i="9"/>
  <c r="AD734" i="9"/>
  <c r="AC734" i="9"/>
  <c r="AB734" i="9"/>
  <c r="U734" i="9" s="1"/>
  <c r="AA734" i="9"/>
  <c r="Z734" i="9"/>
  <c r="Y734" i="9"/>
  <c r="T734" i="9" s="1"/>
  <c r="V734" i="9"/>
  <c r="AF733" i="9"/>
  <c r="AE733" i="9"/>
  <c r="V733" i="9" s="1"/>
  <c r="AD733" i="9"/>
  <c r="AC733" i="9"/>
  <c r="AB733" i="9"/>
  <c r="AA733" i="9"/>
  <c r="Z733" i="9"/>
  <c r="Y733" i="9"/>
  <c r="T733" i="9" s="1"/>
  <c r="U733" i="9"/>
  <c r="AF732" i="9"/>
  <c r="AE732" i="9"/>
  <c r="V732" i="9" s="1"/>
  <c r="W732" i="9" s="1"/>
  <c r="AD732" i="9"/>
  <c r="AC732" i="9"/>
  <c r="AB732" i="9"/>
  <c r="AA732" i="9"/>
  <c r="Z732" i="9"/>
  <c r="Y732" i="9"/>
  <c r="U732" i="9"/>
  <c r="T732" i="9"/>
  <c r="AF731" i="9"/>
  <c r="AE731" i="9"/>
  <c r="AD731" i="9"/>
  <c r="AC731" i="9"/>
  <c r="AB731" i="9"/>
  <c r="U731" i="9" s="1"/>
  <c r="AA731" i="9"/>
  <c r="T731" i="9" s="1"/>
  <c r="Z731" i="9"/>
  <c r="Y731" i="9"/>
  <c r="V731" i="9"/>
  <c r="AF730" i="9"/>
  <c r="AE730" i="9"/>
  <c r="AD730" i="9"/>
  <c r="AC730" i="9"/>
  <c r="AB730" i="9"/>
  <c r="U730" i="9" s="1"/>
  <c r="AA730" i="9"/>
  <c r="Z730" i="9"/>
  <c r="Y730" i="9"/>
  <c r="T730" i="9" s="1"/>
  <c r="V730" i="9"/>
  <c r="W730" i="9" s="1"/>
  <c r="AF729" i="9"/>
  <c r="AE729" i="9"/>
  <c r="V729" i="9" s="1"/>
  <c r="AD729" i="9"/>
  <c r="AC729" i="9"/>
  <c r="U729" i="9" s="1"/>
  <c r="AB729" i="9"/>
  <c r="AA729" i="9"/>
  <c r="Z729" i="9"/>
  <c r="Y729" i="9"/>
  <c r="T729" i="9" s="1"/>
  <c r="AF728" i="9"/>
  <c r="AE728" i="9"/>
  <c r="V728" i="9" s="1"/>
  <c r="W728" i="9" s="1"/>
  <c r="AD728" i="9"/>
  <c r="AC728" i="9"/>
  <c r="AB728" i="9"/>
  <c r="AA728" i="9"/>
  <c r="Z728" i="9"/>
  <c r="Y728" i="9"/>
  <c r="U728" i="9"/>
  <c r="T728" i="9"/>
  <c r="AF727" i="9"/>
  <c r="AE727" i="9"/>
  <c r="AD727" i="9"/>
  <c r="AC727" i="9"/>
  <c r="AB727" i="9"/>
  <c r="U727" i="9" s="1"/>
  <c r="AA727" i="9"/>
  <c r="T727" i="9" s="1"/>
  <c r="Z727" i="9"/>
  <c r="Y727" i="9"/>
  <c r="V727" i="9"/>
  <c r="AF726" i="9"/>
  <c r="AE726" i="9"/>
  <c r="AD726" i="9"/>
  <c r="AC726" i="9"/>
  <c r="AB726" i="9"/>
  <c r="U726" i="9" s="1"/>
  <c r="AA726" i="9"/>
  <c r="Z726" i="9"/>
  <c r="Y726" i="9"/>
  <c r="T726" i="9" s="1"/>
  <c r="V726" i="9"/>
  <c r="AF725" i="9"/>
  <c r="AE725" i="9"/>
  <c r="V725" i="9" s="1"/>
  <c r="W725" i="9" s="1"/>
  <c r="AD725" i="9"/>
  <c r="AC725" i="9"/>
  <c r="AB725" i="9"/>
  <c r="AA725" i="9"/>
  <c r="Z725" i="9"/>
  <c r="Y725" i="9"/>
  <c r="T725" i="9" s="1"/>
  <c r="U725" i="9"/>
  <c r="AF724" i="9"/>
  <c r="AE724" i="9"/>
  <c r="V724" i="9" s="1"/>
  <c r="W724" i="9" s="1"/>
  <c r="AD724" i="9"/>
  <c r="AC724" i="9"/>
  <c r="AB724" i="9"/>
  <c r="AA724" i="9"/>
  <c r="Z724" i="9"/>
  <c r="Y724" i="9"/>
  <c r="U724" i="9"/>
  <c r="T724" i="9"/>
  <c r="AF723" i="9"/>
  <c r="AE723" i="9"/>
  <c r="AD723" i="9"/>
  <c r="AC723" i="9"/>
  <c r="AB723" i="9"/>
  <c r="U723" i="9" s="1"/>
  <c r="AA723" i="9"/>
  <c r="T723" i="9" s="1"/>
  <c r="Z723" i="9"/>
  <c r="Y723" i="9"/>
  <c r="V723" i="9"/>
  <c r="AF722" i="9"/>
  <c r="AE722" i="9"/>
  <c r="AD722" i="9"/>
  <c r="AC722" i="9"/>
  <c r="AB722" i="9"/>
  <c r="U722" i="9" s="1"/>
  <c r="AA722" i="9"/>
  <c r="Z722" i="9"/>
  <c r="Y722" i="9"/>
  <c r="T722" i="9" s="1"/>
  <c r="V722" i="9"/>
  <c r="W722" i="9" s="1"/>
  <c r="AF721" i="9"/>
  <c r="AE721" i="9"/>
  <c r="V721" i="9" s="1"/>
  <c r="AD721" i="9"/>
  <c r="AC721" i="9"/>
  <c r="AB721" i="9"/>
  <c r="AA721" i="9"/>
  <c r="Z721" i="9"/>
  <c r="Y721" i="9"/>
  <c r="T721" i="9" s="1"/>
  <c r="U721" i="9"/>
  <c r="AF720" i="9"/>
  <c r="AE720" i="9"/>
  <c r="V720" i="9" s="1"/>
  <c r="W720" i="9" s="1"/>
  <c r="AD720" i="9"/>
  <c r="AC720" i="9"/>
  <c r="AB720" i="9"/>
  <c r="AA720" i="9"/>
  <c r="Z720" i="9"/>
  <c r="Y720" i="9"/>
  <c r="U720" i="9"/>
  <c r="T720" i="9"/>
  <c r="AF719" i="9"/>
  <c r="AE719" i="9"/>
  <c r="AD719" i="9"/>
  <c r="AC719" i="9"/>
  <c r="AB719" i="9"/>
  <c r="U719" i="9" s="1"/>
  <c r="AA719" i="9"/>
  <c r="T719" i="9" s="1"/>
  <c r="W719" i="9" s="1"/>
  <c r="Z719" i="9"/>
  <c r="Y719" i="9"/>
  <c r="V719" i="9"/>
  <c r="AF718" i="9"/>
  <c r="AE718" i="9"/>
  <c r="AD718" i="9"/>
  <c r="AC718" i="9"/>
  <c r="AB718" i="9"/>
  <c r="U718" i="9" s="1"/>
  <c r="AA718" i="9"/>
  <c r="Z718" i="9"/>
  <c r="Y718" i="9"/>
  <c r="T718" i="9" s="1"/>
  <c r="V718" i="9"/>
  <c r="AF717" i="9"/>
  <c r="AE717" i="9"/>
  <c r="V717" i="9" s="1"/>
  <c r="AD717" i="9"/>
  <c r="AC717" i="9"/>
  <c r="AB717" i="9"/>
  <c r="AA717" i="9"/>
  <c r="Z717" i="9"/>
  <c r="Y717" i="9"/>
  <c r="T717" i="9" s="1"/>
  <c r="U717" i="9"/>
  <c r="AF716" i="9"/>
  <c r="AE716" i="9"/>
  <c r="V716" i="9" s="1"/>
  <c r="W716" i="9" s="1"/>
  <c r="AD716" i="9"/>
  <c r="AC716" i="9"/>
  <c r="AB716" i="9"/>
  <c r="AA716" i="9"/>
  <c r="Z716" i="9"/>
  <c r="Y716" i="9"/>
  <c r="U716" i="9"/>
  <c r="T716" i="9"/>
  <c r="AF715" i="9"/>
  <c r="AE715" i="9"/>
  <c r="AD715" i="9"/>
  <c r="AC715" i="9"/>
  <c r="AB715" i="9"/>
  <c r="U715" i="9" s="1"/>
  <c r="AA715" i="9"/>
  <c r="T715" i="9" s="1"/>
  <c r="W715" i="9" s="1"/>
  <c r="Z715" i="9"/>
  <c r="Y715" i="9"/>
  <c r="V715" i="9"/>
  <c r="AF714" i="9"/>
  <c r="AE714" i="9"/>
  <c r="AD714" i="9"/>
  <c r="AC714" i="9"/>
  <c r="AB714" i="9"/>
  <c r="U714" i="9" s="1"/>
  <c r="AA714" i="9"/>
  <c r="Z714" i="9"/>
  <c r="Y714" i="9"/>
  <c r="T714" i="9" s="1"/>
  <c r="V714" i="9"/>
  <c r="AF713" i="9"/>
  <c r="AE713" i="9"/>
  <c r="V713" i="9" s="1"/>
  <c r="W713" i="9" s="1"/>
  <c r="AD713" i="9"/>
  <c r="AC713" i="9"/>
  <c r="AB713" i="9"/>
  <c r="AA713" i="9"/>
  <c r="Z713" i="9"/>
  <c r="Y713" i="9"/>
  <c r="T713" i="9" s="1"/>
  <c r="U713" i="9"/>
  <c r="AF712" i="9"/>
  <c r="AE712" i="9"/>
  <c r="V712" i="9" s="1"/>
  <c r="W712" i="9" s="1"/>
  <c r="AD712" i="9"/>
  <c r="AC712" i="9"/>
  <c r="AB712" i="9"/>
  <c r="AA712" i="9"/>
  <c r="Z712" i="9"/>
  <c r="Y712" i="9"/>
  <c r="U712" i="9"/>
  <c r="T712" i="9"/>
  <c r="AF711" i="9"/>
  <c r="AE711" i="9"/>
  <c r="AD711" i="9"/>
  <c r="AC711" i="9"/>
  <c r="AB711" i="9"/>
  <c r="U711" i="9" s="1"/>
  <c r="AA711" i="9"/>
  <c r="T711" i="9" s="1"/>
  <c r="W711" i="9" s="1"/>
  <c r="Z711" i="9"/>
  <c r="Y711" i="9"/>
  <c r="V711" i="9"/>
  <c r="AF710" i="9"/>
  <c r="AE710" i="9"/>
  <c r="AD710" i="9"/>
  <c r="AC710" i="9"/>
  <c r="AB710" i="9"/>
  <c r="U710" i="9" s="1"/>
  <c r="AA710" i="9"/>
  <c r="Z710" i="9"/>
  <c r="Y710" i="9"/>
  <c r="T710" i="9" s="1"/>
  <c r="V710" i="9"/>
  <c r="W710" i="9" s="1"/>
  <c r="AF709" i="9"/>
  <c r="AE709" i="9"/>
  <c r="V709" i="9" s="1"/>
  <c r="AD709" i="9"/>
  <c r="AC709" i="9"/>
  <c r="AB709" i="9"/>
  <c r="AA709" i="9"/>
  <c r="Z709" i="9"/>
  <c r="Y709" i="9"/>
  <c r="T709" i="9" s="1"/>
  <c r="U709" i="9"/>
  <c r="AF708" i="9"/>
  <c r="AE708" i="9"/>
  <c r="V708" i="9" s="1"/>
  <c r="W708" i="9" s="1"/>
  <c r="AD708" i="9"/>
  <c r="AC708" i="9"/>
  <c r="AB708" i="9"/>
  <c r="AA708" i="9"/>
  <c r="Z708" i="9"/>
  <c r="Y708" i="9"/>
  <c r="U708" i="9"/>
  <c r="T708" i="9"/>
  <c r="AF707" i="9"/>
  <c r="AE707" i="9"/>
  <c r="AD707" i="9"/>
  <c r="AC707" i="9"/>
  <c r="AB707" i="9"/>
  <c r="U707" i="9" s="1"/>
  <c r="AA707" i="9"/>
  <c r="T707" i="9" s="1"/>
  <c r="W707" i="9" s="1"/>
  <c r="Z707" i="9"/>
  <c r="Y707" i="9"/>
  <c r="V707" i="9"/>
  <c r="AF706" i="9"/>
  <c r="AE706" i="9"/>
  <c r="AD706" i="9"/>
  <c r="AC706" i="9"/>
  <c r="AB706" i="9"/>
  <c r="U706" i="9" s="1"/>
  <c r="AA706" i="9"/>
  <c r="Z706" i="9"/>
  <c r="Y706" i="9"/>
  <c r="T706" i="9" s="1"/>
  <c r="V706" i="9"/>
  <c r="AF705" i="9"/>
  <c r="AE705" i="9"/>
  <c r="V705" i="9" s="1"/>
  <c r="AD705" i="9"/>
  <c r="AC705" i="9"/>
  <c r="AB705" i="9"/>
  <c r="AA705" i="9"/>
  <c r="Z705" i="9"/>
  <c r="Y705" i="9"/>
  <c r="T705" i="9" s="1"/>
  <c r="U705" i="9"/>
  <c r="AF704" i="9"/>
  <c r="AE704" i="9"/>
  <c r="V704" i="9" s="1"/>
  <c r="W704" i="9" s="1"/>
  <c r="AD704" i="9"/>
  <c r="AC704" i="9"/>
  <c r="AB704" i="9"/>
  <c r="AA704" i="9"/>
  <c r="Z704" i="9"/>
  <c r="Y704" i="9"/>
  <c r="U704" i="9"/>
  <c r="T704" i="9"/>
  <c r="AF703" i="9"/>
  <c r="AE703" i="9"/>
  <c r="AD703" i="9"/>
  <c r="AC703" i="9"/>
  <c r="AB703" i="9"/>
  <c r="U703" i="9" s="1"/>
  <c r="AA703" i="9"/>
  <c r="T703" i="9" s="1"/>
  <c r="W703" i="9" s="1"/>
  <c r="Z703" i="9"/>
  <c r="Y703" i="9"/>
  <c r="V703" i="9"/>
  <c r="AF702" i="9"/>
  <c r="AE702" i="9"/>
  <c r="AD702" i="9"/>
  <c r="AC702" i="9"/>
  <c r="AB702" i="9"/>
  <c r="U702" i="9" s="1"/>
  <c r="AA702" i="9"/>
  <c r="Z702" i="9"/>
  <c r="Y702" i="9"/>
  <c r="T702" i="9" s="1"/>
  <c r="V702" i="9"/>
  <c r="W702" i="9" s="1"/>
  <c r="AF701" i="9"/>
  <c r="AE701" i="9"/>
  <c r="V701" i="9" s="1"/>
  <c r="W701" i="9" s="1"/>
  <c r="AD701" i="9"/>
  <c r="AC701" i="9"/>
  <c r="AB701" i="9"/>
  <c r="AA701" i="9"/>
  <c r="Z701" i="9"/>
  <c r="Y701" i="9"/>
  <c r="T701" i="9" s="1"/>
  <c r="U701" i="9"/>
  <c r="AF700" i="9"/>
  <c r="AE700" i="9"/>
  <c r="V700" i="9" s="1"/>
  <c r="W700" i="9" s="1"/>
  <c r="AD700" i="9"/>
  <c r="AC700" i="9"/>
  <c r="AB700" i="9"/>
  <c r="AA700" i="9"/>
  <c r="Z700" i="9"/>
  <c r="Y700" i="9"/>
  <c r="U700" i="9"/>
  <c r="T700" i="9"/>
  <c r="AF699" i="9"/>
  <c r="AE699" i="9"/>
  <c r="AD699" i="9"/>
  <c r="AC699" i="9"/>
  <c r="AB699" i="9"/>
  <c r="U699" i="9" s="1"/>
  <c r="AA699" i="9"/>
  <c r="T699" i="9" s="1"/>
  <c r="W699" i="9" s="1"/>
  <c r="Z699" i="9"/>
  <c r="Y699" i="9"/>
  <c r="V699" i="9"/>
  <c r="AF698" i="9"/>
  <c r="AE698" i="9"/>
  <c r="AD698" i="9"/>
  <c r="AC698" i="9"/>
  <c r="AB698" i="9"/>
  <c r="U698" i="9" s="1"/>
  <c r="AA698" i="9"/>
  <c r="Z698" i="9"/>
  <c r="Y698" i="9"/>
  <c r="T698" i="9" s="1"/>
  <c r="V698" i="9"/>
  <c r="AF697" i="9"/>
  <c r="AE697" i="9"/>
  <c r="V697" i="9" s="1"/>
  <c r="W697" i="9" s="1"/>
  <c r="AD697" i="9"/>
  <c r="AC697" i="9"/>
  <c r="AB697" i="9"/>
  <c r="AA697" i="9"/>
  <c r="Z697" i="9"/>
  <c r="Y697" i="9"/>
  <c r="T697" i="9" s="1"/>
  <c r="U697" i="9"/>
  <c r="AF696" i="9"/>
  <c r="AE696" i="9"/>
  <c r="V696" i="9" s="1"/>
  <c r="W696" i="9" s="1"/>
  <c r="AD696" i="9"/>
  <c r="AC696" i="9"/>
  <c r="AB696" i="9"/>
  <c r="AA696" i="9"/>
  <c r="Z696" i="9"/>
  <c r="Y696" i="9"/>
  <c r="U696" i="9"/>
  <c r="T696" i="9"/>
  <c r="AF695" i="9"/>
  <c r="AE695" i="9"/>
  <c r="AD695" i="9"/>
  <c r="AC695" i="9"/>
  <c r="AB695" i="9"/>
  <c r="U695" i="9" s="1"/>
  <c r="AA695" i="9"/>
  <c r="T695" i="9" s="1"/>
  <c r="W695" i="9" s="1"/>
  <c r="Z695" i="9"/>
  <c r="Y695" i="9"/>
  <c r="V695" i="9"/>
  <c r="AF694" i="9"/>
  <c r="AE694" i="9"/>
  <c r="AD694" i="9"/>
  <c r="AC694" i="9"/>
  <c r="AB694" i="9"/>
  <c r="U694" i="9" s="1"/>
  <c r="AA694" i="9"/>
  <c r="Z694" i="9"/>
  <c r="Y694" i="9"/>
  <c r="T694" i="9" s="1"/>
  <c r="V694" i="9"/>
  <c r="AF693" i="9"/>
  <c r="AE693" i="9"/>
  <c r="V693" i="9" s="1"/>
  <c r="AD693" i="9"/>
  <c r="AC693" i="9"/>
  <c r="AB693" i="9"/>
  <c r="AA693" i="9"/>
  <c r="Z693" i="9"/>
  <c r="Y693" i="9"/>
  <c r="T693" i="9" s="1"/>
  <c r="U693" i="9"/>
  <c r="AF692" i="9"/>
  <c r="AE692" i="9"/>
  <c r="V692" i="9" s="1"/>
  <c r="W692" i="9" s="1"/>
  <c r="AD692" i="9"/>
  <c r="AC692" i="9"/>
  <c r="AB692" i="9"/>
  <c r="AA692" i="9"/>
  <c r="Z692" i="9"/>
  <c r="Y692" i="9"/>
  <c r="U692" i="9"/>
  <c r="T692" i="9"/>
  <c r="AF691" i="9"/>
  <c r="AE691" i="9"/>
  <c r="AD691" i="9"/>
  <c r="AC691" i="9"/>
  <c r="AB691" i="9"/>
  <c r="U691" i="9" s="1"/>
  <c r="AA691" i="9"/>
  <c r="T691" i="9" s="1"/>
  <c r="Z691" i="9"/>
  <c r="Y691" i="9"/>
  <c r="V691" i="9"/>
  <c r="AF690" i="9"/>
  <c r="AE690" i="9"/>
  <c r="AD690" i="9"/>
  <c r="AC690" i="9"/>
  <c r="AB690" i="9"/>
  <c r="U690" i="9" s="1"/>
  <c r="AA690" i="9"/>
  <c r="Z690" i="9"/>
  <c r="Y690" i="9"/>
  <c r="T690" i="9" s="1"/>
  <c r="V690" i="9"/>
  <c r="W690" i="9" s="1"/>
  <c r="AF689" i="9"/>
  <c r="AE689" i="9"/>
  <c r="V689" i="9" s="1"/>
  <c r="AD689" i="9"/>
  <c r="AC689" i="9"/>
  <c r="AB689" i="9"/>
  <c r="AA689" i="9"/>
  <c r="Z689" i="9"/>
  <c r="Y689" i="9"/>
  <c r="T689" i="9" s="1"/>
  <c r="U689" i="9"/>
  <c r="AF688" i="9"/>
  <c r="AE688" i="9"/>
  <c r="V688" i="9" s="1"/>
  <c r="W688" i="9" s="1"/>
  <c r="AD688" i="9"/>
  <c r="AC688" i="9"/>
  <c r="AB688" i="9"/>
  <c r="AA688" i="9"/>
  <c r="Z688" i="9"/>
  <c r="Y688" i="9"/>
  <c r="U688" i="9"/>
  <c r="T688" i="9"/>
  <c r="AF687" i="9"/>
  <c r="AE687" i="9"/>
  <c r="AD687" i="9"/>
  <c r="AC687" i="9"/>
  <c r="AB687" i="9"/>
  <c r="U687" i="9" s="1"/>
  <c r="AA687" i="9"/>
  <c r="T687" i="9" s="1"/>
  <c r="Z687" i="9"/>
  <c r="Y687" i="9"/>
  <c r="V687" i="9"/>
  <c r="AF686" i="9"/>
  <c r="AE686" i="9"/>
  <c r="AD686" i="9"/>
  <c r="AC686" i="9"/>
  <c r="AB686" i="9"/>
  <c r="U686" i="9" s="1"/>
  <c r="AA686" i="9"/>
  <c r="Z686" i="9"/>
  <c r="Y686" i="9"/>
  <c r="T686" i="9" s="1"/>
  <c r="V686" i="9"/>
  <c r="AF685" i="9"/>
  <c r="AE685" i="9"/>
  <c r="V685" i="9" s="1"/>
  <c r="W685" i="9" s="1"/>
  <c r="AD685" i="9"/>
  <c r="AC685" i="9"/>
  <c r="AB685" i="9"/>
  <c r="AA685" i="9"/>
  <c r="Z685" i="9"/>
  <c r="Y685" i="9"/>
  <c r="T685" i="9" s="1"/>
  <c r="U685" i="9"/>
  <c r="AF684" i="9"/>
  <c r="AE684" i="9"/>
  <c r="V684" i="9" s="1"/>
  <c r="W684" i="9" s="1"/>
  <c r="AD684" i="9"/>
  <c r="AC684" i="9"/>
  <c r="AB684" i="9"/>
  <c r="AA684" i="9"/>
  <c r="Z684" i="9"/>
  <c r="Y684" i="9"/>
  <c r="U684" i="9"/>
  <c r="T684" i="9"/>
  <c r="AF683" i="9"/>
  <c r="AE683" i="9"/>
  <c r="AD683" i="9"/>
  <c r="AC683" i="9"/>
  <c r="AB683" i="9"/>
  <c r="U683" i="9" s="1"/>
  <c r="AA683" i="9"/>
  <c r="T683" i="9" s="1"/>
  <c r="Z683" i="9"/>
  <c r="Y683" i="9"/>
  <c r="V683" i="9"/>
  <c r="AF682" i="9"/>
  <c r="AE682" i="9"/>
  <c r="AD682" i="9"/>
  <c r="AC682" i="9"/>
  <c r="AB682" i="9"/>
  <c r="U682" i="9" s="1"/>
  <c r="AA682" i="9"/>
  <c r="Z682" i="9"/>
  <c r="Y682" i="9"/>
  <c r="T682" i="9" s="1"/>
  <c r="V682" i="9"/>
  <c r="AF681" i="9"/>
  <c r="AE681" i="9"/>
  <c r="V681" i="9" s="1"/>
  <c r="AD681" i="9"/>
  <c r="AC681" i="9"/>
  <c r="AB681" i="9"/>
  <c r="AA681" i="9"/>
  <c r="Z681" i="9"/>
  <c r="Y681" i="9"/>
  <c r="T681" i="9" s="1"/>
  <c r="U681" i="9"/>
  <c r="AF680" i="9"/>
  <c r="AE680" i="9"/>
  <c r="V680" i="9" s="1"/>
  <c r="W680" i="9" s="1"/>
  <c r="AD680" i="9"/>
  <c r="AC680" i="9"/>
  <c r="AB680" i="9"/>
  <c r="AA680" i="9"/>
  <c r="Z680" i="9"/>
  <c r="Y680" i="9"/>
  <c r="U680" i="9"/>
  <c r="T680" i="9"/>
  <c r="AF679" i="9"/>
  <c r="AE679" i="9"/>
  <c r="AD679" i="9"/>
  <c r="AC679" i="9"/>
  <c r="AB679" i="9"/>
  <c r="U679" i="9" s="1"/>
  <c r="AA679" i="9"/>
  <c r="T679" i="9" s="1"/>
  <c r="Z679" i="9"/>
  <c r="Y679" i="9"/>
  <c r="V679" i="9"/>
  <c r="AF678" i="9"/>
  <c r="AE678" i="9"/>
  <c r="AD678" i="9"/>
  <c r="AC678" i="9"/>
  <c r="AB678" i="9"/>
  <c r="U678" i="9" s="1"/>
  <c r="AA678" i="9"/>
  <c r="Z678" i="9"/>
  <c r="Y678" i="9"/>
  <c r="T678" i="9" s="1"/>
  <c r="V678" i="9"/>
  <c r="W678" i="9" s="1"/>
  <c r="AF677" i="9"/>
  <c r="AE677" i="9"/>
  <c r="V677" i="9" s="1"/>
  <c r="AD677" i="9"/>
  <c r="AC677" i="9"/>
  <c r="AB677" i="9"/>
  <c r="AA677" i="9"/>
  <c r="Z677" i="9"/>
  <c r="Y677" i="9"/>
  <c r="T677" i="9" s="1"/>
  <c r="U677" i="9"/>
  <c r="AF676" i="9"/>
  <c r="AE676" i="9"/>
  <c r="V676" i="9" s="1"/>
  <c r="W676" i="9" s="1"/>
  <c r="AD676" i="9"/>
  <c r="AC676" i="9"/>
  <c r="AB676" i="9"/>
  <c r="AA676" i="9"/>
  <c r="Z676" i="9"/>
  <c r="Y676" i="9"/>
  <c r="U676" i="9"/>
  <c r="T676" i="9"/>
  <c r="AF675" i="9"/>
  <c r="AE675" i="9"/>
  <c r="AD675" i="9"/>
  <c r="AC675" i="9"/>
  <c r="AB675" i="9"/>
  <c r="U675" i="9" s="1"/>
  <c r="AA675" i="9"/>
  <c r="T675" i="9" s="1"/>
  <c r="W675" i="9" s="1"/>
  <c r="Z675" i="9"/>
  <c r="Y675" i="9"/>
  <c r="V675" i="9"/>
  <c r="AF674" i="9"/>
  <c r="AE674" i="9"/>
  <c r="AD674" i="9"/>
  <c r="AC674" i="9"/>
  <c r="AB674" i="9"/>
  <c r="U674" i="9" s="1"/>
  <c r="AA674" i="9"/>
  <c r="Z674" i="9"/>
  <c r="Y674" i="9"/>
  <c r="T674" i="9" s="1"/>
  <c r="V674" i="9"/>
  <c r="AF673" i="9"/>
  <c r="AE673" i="9"/>
  <c r="V673" i="9" s="1"/>
  <c r="W673" i="9" s="1"/>
  <c r="AD673" i="9"/>
  <c r="AC673" i="9"/>
  <c r="AB673" i="9"/>
  <c r="AA673" i="9"/>
  <c r="Z673" i="9"/>
  <c r="Y673" i="9"/>
  <c r="T673" i="9" s="1"/>
  <c r="U673" i="9"/>
  <c r="AF672" i="9"/>
  <c r="AE672" i="9"/>
  <c r="V672" i="9" s="1"/>
  <c r="W672" i="9" s="1"/>
  <c r="AD672" i="9"/>
  <c r="AC672" i="9"/>
  <c r="AB672" i="9"/>
  <c r="AA672" i="9"/>
  <c r="Z672" i="9"/>
  <c r="Y672" i="9"/>
  <c r="U672" i="9"/>
  <c r="T672" i="9"/>
  <c r="AF671" i="9"/>
  <c r="AE671" i="9"/>
  <c r="AD671" i="9"/>
  <c r="AC671" i="9"/>
  <c r="AB671" i="9"/>
  <c r="U671" i="9" s="1"/>
  <c r="AA671" i="9"/>
  <c r="T671" i="9" s="1"/>
  <c r="W671" i="9" s="1"/>
  <c r="Z671" i="9"/>
  <c r="Y671" i="9"/>
  <c r="V671" i="9"/>
  <c r="AF670" i="9"/>
  <c r="AE670" i="9"/>
  <c r="AD670" i="9"/>
  <c r="AC670" i="9"/>
  <c r="AB670" i="9"/>
  <c r="U670" i="9" s="1"/>
  <c r="AA670" i="9"/>
  <c r="Z670" i="9"/>
  <c r="Y670" i="9"/>
  <c r="T670" i="9" s="1"/>
  <c r="V670" i="9"/>
  <c r="AF669" i="9"/>
  <c r="AE669" i="9"/>
  <c r="V669" i="9" s="1"/>
  <c r="AD669" i="9"/>
  <c r="AC669" i="9"/>
  <c r="AB669" i="9"/>
  <c r="AA669" i="9"/>
  <c r="Z669" i="9"/>
  <c r="Y669" i="9"/>
  <c r="T669" i="9" s="1"/>
  <c r="U669" i="9"/>
  <c r="AF668" i="9"/>
  <c r="AE668" i="9"/>
  <c r="V668" i="9" s="1"/>
  <c r="W668" i="9" s="1"/>
  <c r="AD668" i="9"/>
  <c r="AC668" i="9"/>
  <c r="AB668" i="9"/>
  <c r="AA668" i="9"/>
  <c r="Z668" i="9"/>
  <c r="Y668" i="9"/>
  <c r="U668" i="9"/>
  <c r="T668" i="9"/>
  <c r="AF667" i="9"/>
  <c r="AE667" i="9"/>
  <c r="AD667" i="9"/>
  <c r="AC667" i="9"/>
  <c r="AB667" i="9"/>
  <c r="U667" i="9" s="1"/>
  <c r="AA667" i="9"/>
  <c r="T667" i="9" s="1"/>
  <c r="W667" i="9" s="1"/>
  <c r="Z667" i="9"/>
  <c r="Y667" i="9"/>
  <c r="V667" i="9"/>
  <c r="AF666" i="9"/>
  <c r="AE666" i="9"/>
  <c r="AD666" i="9"/>
  <c r="AC666" i="9"/>
  <c r="AB666" i="9"/>
  <c r="U666" i="9" s="1"/>
  <c r="AA666" i="9"/>
  <c r="Z666" i="9"/>
  <c r="Y666" i="9"/>
  <c r="T666" i="9" s="1"/>
  <c r="V666" i="9"/>
  <c r="AF665" i="9"/>
  <c r="AE665" i="9"/>
  <c r="V665" i="9" s="1"/>
  <c r="AD665" i="9"/>
  <c r="AC665" i="9"/>
  <c r="AB665" i="9"/>
  <c r="AA665" i="9"/>
  <c r="Z665" i="9"/>
  <c r="Y665" i="9"/>
  <c r="T665" i="9" s="1"/>
  <c r="U665" i="9"/>
  <c r="AF664" i="9"/>
  <c r="AE664" i="9"/>
  <c r="V664" i="9" s="1"/>
  <c r="W664" i="9" s="1"/>
  <c r="AD664" i="9"/>
  <c r="AC664" i="9"/>
  <c r="AB664" i="9"/>
  <c r="AA664" i="9"/>
  <c r="Z664" i="9"/>
  <c r="Y664" i="9"/>
  <c r="U664" i="9"/>
  <c r="T664" i="9"/>
  <c r="AF663" i="9"/>
  <c r="AE663" i="9"/>
  <c r="AD663" i="9"/>
  <c r="AC663" i="9"/>
  <c r="AB663" i="9"/>
  <c r="U663" i="9" s="1"/>
  <c r="AA663" i="9"/>
  <c r="T663" i="9" s="1"/>
  <c r="W663" i="9" s="1"/>
  <c r="Z663" i="9"/>
  <c r="Y663" i="9"/>
  <c r="V663" i="9"/>
  <c r="AF662" i="9"/>
  <c r="AE662" i="9"/>
  <c r="AD662" i="9"/>
  <c r="AC662" i="9"/>
  <c r="AB662" i="9"/>
  <c r="U662" i="9" s="1"/>
  <c r="AA662" i="9"/>
  <c r="Z662" i="9"/>
  <c r="Y662" i="9"/>
  <c r="T662" i="9" s="1"/>
  <c r="V662" i="9"/>
  <c r="AF661" i="9"/>
  <c r="AE661" i="9"/>
  <c r="V661" i="9" s="1"/>
  <c r="W661" i="9" s="1"/>
  <c r="AD661" i="9"/>
  <c r="AC661" i="9"/>
  <c r="AB661" i="9"/>
  <c r="AA661" i="9"/>
  <c r="Z661" i="9"/>
  <c r="Y661" i="9"/>
  <c r="T661" i="9" s="1"/>
  <c r="U661" i="9"/>
  <c r="AF660" i="9"/>
  <c r="AE660" i="9"/>
  <c r="V660" i="9" s="1"/>
  <c r="W660" i="9" s="1"/>
  <c r="AD660" i="9"/>
  <c r="AC660" i="9"/>
  <c r="AB660" i="9"/>
  <c r="AA660" i="9"/>
  <c r="Z660" i="9"/>
  <c r="Y660" i="9"/>
  <c r="U660" i="9"/>
  <c r="T660" i="9"/>
  <c r="AF659" i="9"/>
  <c r="AE659" i="9"/>
  <c r="AD659" i="9"/>
  <c r="AC659" i="9"/>
  <c r="AB659" i="9"/>
  <c r="U659" i="9" s="1"/>
  <c r="AA659" i="9"/>
  <c r="T659" i="9" s="1"/>
  <c r="W659" i="9" s="1"/>
  <c r="Z659" i="9"/>
  <c r="Y659" i="9"/>
  <c r="V659" i="9"/>
  <c r="AF658" i="9"/>
  <c r="AE658" i="9"/>
  <c r="AD658" i="9"/>
  <c r="AC658" i="9"/>
  <c r="AB658" i="9"/>
  <c r="U658" i="9" s="1"/>
  <c r="AA658" i="9"/>
  <c r="Z658" i="9"/>
  <c r="Y658" i="9"/>
  <c r="T658" i="9" s="1"/>
  <c r="V658" i="9"/>
  <c r="W658" i="9" s="1"/>
  <c r="AF657" i="9"/>
  <c r="AE657" i="9"/>
  <c r="V657" i="9" s="1"/>
  <c r="AD657" i="9"/>
  <c r="AC657" i="9"/>
  <c r="AB657" i="9"/>
  <c r="AA657" i="9"/>
  <c r="Z657" i="9"/>
  <c r="Y657" i="9"/>
  <c r="T657" i="9" s="1"/>
  <c r="U657" i="9"/>
  <c r="AF656" i="9"/>
  <c r="AE656" i="9"/>
  <c r="V656" i="9" s="1"/>
  <c r="W656" i="9" s="1"/>
  <c r="AD656" i="9"/>
  <c r="AC656" i="9"/>
  <c r="AB656" i="9"/>
  <c r="AA656" i="9"/>
  <c r="Z656" i="9"/>
  <c r="Y656" i="9"/>
  <c r="U656" i="9"/>
  <c r="T656" i="9"/>
  <c r="AF655" i="9"/>
  <c r="AE655" i="9"/>
  <c r="AD655" i="9"/>
  <c r="AC655" i="9"/>
  <c r="AB655" i="9"/>
  <c r="U655" i="9" s="1"/>
  <c r="AA655" i="9"/>
  <c r="T655" i="9" s="1"/>
  <c r="W655" i="9" s="1"/>
  <c r="Z655" i="9"/>
  <c r="Y655" i="9"/>
  <c r="V655" i="9"/>
  <c r="AF654" i="9"/>
  <c r="AE654" i="9"/>
  <c r="AD654" i="9"/>
  <c r="AC654" i="9"/>
  <c r="AB654" i="9"/>
  <c r="U654" i="9" s="1"/>
  <c r="AA654" i="9"/>
  <c r="Z654" i="9"/>
  <c r="Y654" i="9"/>
  <c r="T654" i="9" s="1"/>
  <c r="V654" i="9"/>
  <c r="AF653" i="9"/>
  <c r="AE653" i="9"/>
  <c r="V653" i="9" s="1"/>
  <c r="AD653" i="9"/>
  <c r="AC653" i="9"/>
  <c r="AB653" i="9"/>
  <c r="AA653" i="9"/>
  <c r="Z653" i="9"/>
  <c r="Y653" i="9"/>
  <c r="T653" i="9" s="1"/>
  <c r="U653" i="9"/>
  <c r="AF652" i="9"/>
  <c r="AE652" i="9"/>
  <c r="V652" i="9" s="1"/>
  <c r="W652" i="9" s="1"/>
  <c r="AD652" i="9"/>
  <c r="AC652" i="9"/>
  <c r="AB652" i="9"/>
  <c r="AA652" i="9"/>
  <c r="Z652" i="9"/>
  <c r="Y652" i="9"/>
  <c r="U652" i="9"/>
  <c r="T652" i="9"/>
  <c r="AF651" i="9"/>
  <c r="AE651" i="9"/>
  <c r="AD651" i="9"/>
  <c r="AC651" i="9"/>
  <c r="AB651" i="9"/>
  <c r="U651" i="9" s="1"/>
  <c r="AA651" i="9"/>
  <c r="T651" i="9" s="1"/>
  <c r="W651" i="9" s="1"/>
  <c r="Z651" i="9"/>
  <c r="Y651" i="9"/>
  <c r="V651" i="9"/>
  <c r="AF650" i="9"/>
  <c r="AE650" i="9"/>
  <c r="AD650" i="9"/>
  <c r="AC650" i="9"/>
  <c r="AB650" i="9"/>
  <c r="U650" i="9" s="1"/>
  <c r="AA650" i="9"/>
  <c r="Z650" i="9"/>
  <c r="Y650" i="9"/>
  <c r="T650" i="9" s="1"/>
  <c r="V650" i="9"/>
  <c r="AF649" i="9"/>
  <c r="AE649" i="9"/>
  <c r="V649" i="9" s="1"/>
  <c r="W649" i="9" s="1"/>
  <c r="AD649" i="9"/>
  <c r="AC649" i="9"/>
  <c r="AB649" i="9"/>
  <c r="AA649" i="9"/>
  <c r="Z649" i="9"/>
  <c r="Y649" i="9"/>
  <c r="T649" i="9" s="1"/>
  <c r="U649" i="9"/>
  <c r="AF648" i="9"/>
  <c r="AE648" i="9"/>
  <c r="V648" i="9" s="1"/>
  <c r="W648" i="9" s="1"/>
  <c r="AD648" i="9"/>
  <c r="AC648" i="9"/>
  <c r="AB648" i="9"/>
  <c r="AA648" i="9"/>
  <c r="Z648" i="9"/>
  <c r="Y648" i="9"/>
  <c r="U648" i="9"/>
  <c r="T648" i="9"/>
  <c r="AF647" i="9"/>
  <c r="AE647" i="9"/>
  <c r="AD647" i="9"/>
  <c r="AC647" i="9"/>
  <c r="AB647" i="9"/>
  <c r="U647" i="9" s="1"/>
  <c r="AA647" i="9"/>
  <c r="T647" i="9" s="1"/>
  <c r="W647" i="9" s="1"/>
  <c r="Z647" i="9"/>
  <c r="Y647" i="9"/>
  <c r="V647" i="9"/>
  <c r="AF646" i="9"/>
  <c r="AE646" i="9"/>
  <c r="AD646" i="9"/>
  <c r="AC646" i="9"/>
  <c r="AB646" i="9"/>
  <c r="U646" i="9" s="1"/>
  <c r="AA646" i="9"/>
  <c r="Z646" i="9"/>
  <c r="Y646" i="9"/>
  <c r="T646" i="9" s="1"/>
  <c r="V646" i="9"/>
  <c r="W646" i="9" s="1"/>
  <c r="AF645" i="9"/>
  <c r="AE645" i="9"/>
  <c r="V645" i="9" s="1"/>
  <c r="AD645" i="9"/>
  <c r="AC645" i="9"/>
  <c r="AB645" i="9"/>
  <c r="AA645" i="9"/>
  <c r="Z645" i="9"/>
  <c r="Y645" i="9"/>
  <c r="T645" i="9" s="1"/>
  <c r="U645" i="9"/>
  <c r="AF644" i="9"/>
  <c r="AE644" i="9"/>
  <c r="V644" i="9" s="1"/>
  <c r="W644" i="9" s="1"/>
  <c r="AD644" i="9"/>
  <c r="AC644" i="9"/>
  <c r="AB644" i="9"/>
  <c r="AA644" i="9"/>
  <c r="Z644" i="9"/>
  <c r="Y644" i="9"/>
  <c r="U644" i="9"/>
  <c r="T644" i="9"/>
  <c r="AF643" i="9"/>
  <c r="AE643" i="9"/>
  <c r="AD643" i="9"/>
  <c r="AC643" i="9"/>
  <c r="AB643" i="9"/>
  <c r="U643" i="9" s="1"/>
  <c r="AA643" i="9"/>
  <c r="T643" i="9" s="1"/>
  <c r="W643" i="9" s="1"/>
  <c r="Z643" i="9"/>
  <c r="Y643" i="9"/>
  <c r="V643" i="9"/>
  <c r="AF642" i="9"/>
  <c r="AE642" i="9"/>
  <c r="AD642" i="9"/>
  <c r="AC642" i="9"/>
  <c r="AB642" i="9"/>
  <c r="U642" i="9" s="1"/>
  <c r="AA642" i="9"/>
  <c r="Z642" i="9"/>
  <c r="Y642" i="9"/>
  <c r="T642" i="9" s="1"/>
  <c r="V642" i="9"/>
  <c r="AF641" i="9"/>
  <c r="AE641" i="9"/>
  <c r="V641" i="9" s="1"/>
  <c r="AD641" i="9"/>
  <c r="AC641" i="9"/>
  <c r="AB641" i="9"/>
  <c r="AA641" i="9"/>
  <c r="Z641" i="9"/>
  <c r="Y641" i="9"/>
  <c r="T641" i="9" s="1"/>
  <c r="U641" i="9"/>
  <c r="AF640" i="9"/>
  <c r="AE640" i="9"/>
  <c r="V640" i="9" s="1"/>
  <c r="W640" i="9" s="1"/>
  <c r="AD640" i="9"/>
  <c r="AC640" i="9"/>
  <c r="AB640" i="9"/>
  <c r="AA640" i="9"/>
  <c r="Z640" i="9"/>
  <c r="Y640" i="9"/>
  <c r="U640" i="9"/>
  <c r="T640" i="9"/>
  <c r="AF639" i="9"/>
  <c r="AE639" i="9"/>
  <c r="AD639" i="9"/>
  <c r="AC639" i="9"/>
  <c r="AB639" i="9"/>
  <c r="U639" i="9" s="1"/>
  <c r="AA639" i="9"/>
  <c r="T639" i="9" s="1"/>
  <c r="W639" i="9" s="1"/>
  <c r="Z639" i="9"/>
  <c r="Y639" i="9"/>
  <c r="V639" i="9"/>
  <c r="AF638" i="9"/>
  <c r="AE638" i="9"/>
  <c r="AD638" i="9"/>
  <c r="AC638" i="9"/>
  <c r="AB638" i="9"/>
  <c r="U638" i="9" s="1"/>
  <c r="AA638" i="9"/>
  <c r="Z638" i="9"/>
  <c r="Y638" i="9"/>
  <c r="T638" i="9" s="1"/>
  <c r="V638" i="9"/>
  <c r="W638" i="9" s="1"/>
  <c r="AF637" i="9"/>
  <c r="AE637" i="9"/>
  <c r="V637" i="9" s="1"/>
  <c r="W637" i="9" s="1"/>
  <c r="AD637" i="9"/>
  <c r="AC637" i="9"/>
  <c r="AB637" i="9"/>
  <c r="AA637" i="9"/>
  <c r="Z637" i="9"/>
  <c r="Y637" i="9"/>
  <c r="T637" i="9" s="1"/>
  <c r="U637" i="9"/>
  <c r="AF636" i="9"/>
  <c r="AE636" i="9"/>
  <c r="V636" i="9" s="1"/>
  <c r="W636" i="9" s="1"/>
  <c r="AD636" i="9"/>
  <c r="AC636" i="9"/>
  <c r="AB636" i="9"/>
  <c r="AA636" i="9"/>
  <c r="Z636" i="9"/>
  <c r="Y636" i="9"/>
  <c r="U636" i="9"/>
  <c r="T636" i="9"/>
  <c r="AF635" i="9"/>
  <c r="AE635" i="9"/>
  <c r="AD635" i="9"/>
  <c r="AC635" i="9"/>
  <c r="AB635" i="9"/>
  <c r="U635" i="9" s="1"/>
  <c r="AA635" i="9"/>
  <c r="T635" i="9" s="1"/>
  <c r="W635" i="9" s="1"/>
  <c r="Z635" i="9"/>
  <c r="Y635" i="9"/>
  <c r="V635" i="9"/>
  <c r="AF634" i="9"/>
  <c r="AE634" i="9"/>
  <c r="AD634" i="9"/>
  <c r="AC634" i="9"/>
  <c r="AB634" i="9"/>
  <c r="U634" i="9" s="1"/>
  <c r="AA634" i="9"/>
  <c r="Z634" i="9"/>
  <c r="Y634" i="9"/>
  <c r="T634" i="9" s="1"/>
  <c r="V634" i="9"/>
  <c r="AF633" i="9"/>
  <c r="AE633" i="9"/>
  <c r="V633" i="9" s="1"/>
  <c r="W633" i="9" s="1"/>
  <c r="AD633" i="9"/>
  <c r="AC633" i="9"/>
  <c r="AB633" i="9"/>
  <c r="AA633" i="9"/>
  <c r="Z633" i="9"/>
  <c r="Y633" i="9"/>
  <c r="T633" i="9" s="1"/>
  <c r="U633" i="9"/>
  <c r="AF632" i="9"/>
  <c r="AE632" i="9"/>
  <c r="V632" i="9" s="1"/>
  <c r="W632" i="9" s="1"/>
  <c r="AD632" i="9"/>
  <c r="AC632" i="9"/>
  <c r="AB632" i="9"/>
  <c r="AA632" i="9"/>
  <c r="Z632" i="9"/>
  <c r="Y632" i="9"/>
  <c r="U632" i="9"/>
  <c r="T632" i="9"/>
  <c r="AF631" i="9"/>
  <c r="V631" i="9" s="1"/>
  <c r="AE631" i="9"/>
  <c r="AD631" i="9"/>
  <c r="AC631" i="9"/>
  <c r="AB631" i="9"/>
  <c r="U631" i="9" s="1"/>
  <c r="AA631" i="9"/>
  <c r="T631" i="9" s="1"/>
  <c r="Z631" i="9"/>
  <c r="Y631" i="9"/>
  <c r="AF630" i="9"/>
  <c r="AE630" i="9"/>
  <c r="AD630" i="9"/>
  <c r="AC630" i="9"/>
  <c r="AB630" i="9"/>
  <c r="U630" i="9" s="1"/>
  <c r="AA630" i="9"/>
  <c r="Z630" i="9"/>
  <c r="Y630" i="9"/>
  <c r="T630" i="9" s="1"/>
  <c r="V630" i="9"/>
  <c r="AF629" i="9"/>
  <c r="AE629" i="9"/>
  <c r="V629" i="9" s="1"/>
  <c r="AD629" i="9"/>
  <c r="AC629" i="9"/>
  <c r="AB629" i="9"/>
  <c r="AA629" i="9"/>
  <c r="Z629" i="9"/>
  <c r="Y629" i="9"/>
  <c r="T629" i="9" s="1"/>
  <c r="U629" i="9"/>
  <c r="AF628" i="9"/>
  <c r="AE628" i="9"/>
  <c r="V628" i="9" s="1"/>
  <c r="W628" i="9" s="1"/>
  <c r="AD628" i="9"/>
  <c r="AC628" i="9"/>
  <c r="AB628" i="9"/>
  <c r="AA628" i="9"/>
  <c r="Z628" i="9"/>
  <c r="Y628" i="9"/>
  <c r="U628" i="9"/>
  <c r="T628" i="9"/>
  <c r="AF627" i="9"/>
  <c r="V627" i="9" s="1"/>
  <c r="AE627" i="9"/>
  <c r="AD627" i="9"/>
  <c r="AC627" i="9"/>
  <c r="AB627" i="9"/>
  <c r="U627" i="9" s="1"/>
  <c r="AA627" i="9"/>
  <c r="T627" i="9" s="1"/>
  <c r="Z627" i="9"/>
  <c r="Y627" i="9"/>
  <c r="AF626" i="9"/>
  <c r="AE626" i="9"/>
  <c r="AD626" i="9"/>
  <c r="AC626" i="9"/>
  <c r="AB626" i="9"/>
  <c r="U626" i="9" s="1"/>
  <c r="AA626" i="9"/>
  <c r="Z626" i="9"/>
  <c r="Y626" i="9"/>
  <c r="T626" i="9" s="1"/>
  <c r="V626" i="9"/>
  <c r="AF625" i="9"/>
  <c r="AE625" i="9"/>
  <c r="V625" i="9" s="1"/>
  <c r="AD625" i="9"/>
  <c r="AC625" i="9"/>
  <c r="AB625" i="9"/>
  <c r="AA625" i="9"/>
  <c r="Z625" i="9"/>
  <c r="Y625" i="9"/>
  <c r="T625" i="9" s="1"/>
  <c r="U625" i="9"/>
  <c r="AF624" i="9"/>
  <c r="AE624" i="9"/>
  <c r="V624" i="9" s="1"/>
  <c r="W624" i="9" s="1"/>
  <c r="AD624" i="9"/>
  <c r="AC624" i="9"/>
  <c r="AB624" i="9"/>
  <c r="AA624" i="9"/>
  <c r="Z624" i="9"/>
  <c r="Y624" i="9"/>
  <c r="U624" i="9"/>
  <c r="T624" i="9"/>
  <c r="AF623" i="9"/>
  <c r="V623" i="9" s="1"/>
  <c r="AE623" i="9"/>
  <c r="AD623" i="9"/>
  <c r="AC623" i="9"/>
  <c r="AB623" i="9"/>
  <c r="U623" i="9" s="1"/>
  <c r="AA623" i="9"/>
  <c r="T623" i="9" s="1"/>
  <c r="Z623" i="9"/>
  <c r="Y623" i="9"/>
  <c r="AF622" i="9"/>
  <c r="AE622" i="9"/>
  <c r="AD622" i="9"/>
  <c r="AC622" i="9"/>
  <c r="AB622" i="9"/>
  <c r="U622" i="9" s="1"/>
  <c r="AA622" i="9"/>
  <c r="Z622" i="9"/>
  <c r="Y622" i="9"/>
  <c r="T622" i="9" s="1"/>
  <c r="V622" i="9"/>
  <c r="W622" i="9" s="1"/>
  <c r="AF621" i="9"/>
  <c r="AE621" i="9"/>
  <c r="V621" i="9" s="1"/>
  <c r="W621" i="9" s="1"/>
  <c r="AD621" i="9"/>
  <c r="AC621" i="9"/>
  <c r="AB621" i="9"/>
  <c r="AA621" i="9"/>
  <c r="Z621" i="9"/>
  <c r="Y621" i="9"/>
  <c r="T621" i="9" s="1"/>
  <c r="U621" i="9"/>
  <c r="AF620" i="9"/>
  <c r="AE620" i="9"/>
  <c r="V620" i="9" s="1"/>
  <c r="W620" i="9" s="1"/>
  <c r="AD620" i="9"/>
  <c r="AC620" i="9"/>
  <c r="AB620" i="9"/>
  <c r="AA620" i="9"/>
  <c r="Z620" i="9"/>
  <c r="Y620" i="9"/>
  <c r="U620" i="9"/>
  <c r="T620" i="9"/>
  <c r="AF619" i="9"/>
  <c r="V619" i="9" s="1"/>
  <c r="W619" i="9" s="1"/>
  <c r="AE619" i="9"/>
  <c r="AD619" i="9"/>
  <c r="AC619" i="9"/>
  <c r="AB619" i="9"/>
  <c r="U619" i="9" s="1"/>
  <c r="AA619" i="9"/>
  <c r="T619" i="9" s="1"/>
  <c r="Z619" i="9"/>
  <c r="Y619" i="9"/>
  <c r="AF618" i="9"/>
  <c r="AE618" i="9"/>
  <c r="AD618" i="9"/>
  <c r="AC618" i="9"/>
  <c r="AB618" i="9"/>
  <c r="U618" i="9" s="1"/>
  <c r="AA618" i="9"/>
  <c r="Z618" i="9"/>
  <c r="Y618" i="9"/>
  <c r="T618" i="9" s="1"/>
  <c r="V618" i="9"/>
  <c r="AF617" i="9"/>
  <c r="AE617" i="9"/>
  <c r="V617" i="9" s="1"/>
  <c r="W617" i="9" s="1"/>
  <c r="AD617" i="9"/>
  <c r="AC617" i="9"/>
  <c r="AB617" i="9"/>
  <c r="AA617" i="9"/>
  <c r="Z617" i="9"/>
  <c r="Y617" i="9"/>
  <c r="T617" i="9" s="1"/>
  <c r="U617" i="9"/>
  <c r="AF616" i="9"/>
  <c r="AE616" i="9"/>
  <c r="V616" i="9" s="1"/>
  <c r="W616" i="9" s="1"/>
  <c r="AD616" i="9"/>
  <c r="AC616" i="9"/>
  <c r="AB616" i="9"/>
  <c r="AA616" i="9"/>
  <c r="Z616" i="9"/>
  <c r="Y616" i="9"/>
  <c r="U616" i="9"/>
  <c r="T616" i="9"/>
  <c r="AF615" i="9"/>
  <c r="V615" i="9" s="1"/>
  <c r="AE615" i="9"/>
  <c r="AD615" i="9"/>
  <c r="AC615" i="9"/>
  <c r="AB615" i="9"/>
  <c r="U615" i="9" s="1"/>
  <c r="AA615" i="9"/>
  <c r="T615" i="9" s="1"/>
  <c r="Z615" i="9"/>
  <c r="Y615" i="9"/>
  <c r="AF614" i="9"/>
  <c r="AE614" i="9"/>
  <c r="AD614" i="9"/>
  <c r="AC614" i="9"/>
  <c r="AB614" i="9"/>
  <c r="AA614" i="9"/>
  <c r="Z614" i="9"/>
  <c r="Y614" i="9"/>
  <c r="T614" i="9" s="1"/>
  <c r="V614" i="9"/>
  <c r="AF613" i="9"/>
  <c r="AE613" i="9"/>
  <c r="V613" i="9" s="1"/>
  <c r="AD613" i="9"/>
  <c r="AC613" i="9"/>
  <c r="AB613" i="9"/>
  <c r="AA613" i="9"/>
  <c r="Z613" i="9"/>
  <c r="Y613" i="9"/>
  <c r="T613" i="9" s="1"/>
  <c r="U613" i="9"/>
  <c r="AF612" i="9"/>
  <c r="AE612" i="9"/>
  <c r="V612" i="9" s="1"/>
  <c r="W612" i="9" s="1"/>
  <c r="AD612" i="9"/>
  <c r="AC612" i="9"/>
  <c r="AB612" i="9"/>
  <c r="AA612" i="9"/>
  <c r="Z612" i="9"/>
  <c r="Y612" i="9"/>
  <c r="U612" i="9"/>
  <c r="T612" i="9"/>
  <c r="AF611" i="9"/>
  <c r="V611" i="9" s="1"/>
  <c r="AE611" i="9"/>
  <c r="AD611" i="9"/>
  <c r="AC611" i="9"/>
  <c r="AB611" i="9"/>
  <c r="U611" i="9" s="1"/>
  <c r="AA611" i="9"/>
  <c r="T611" i="9" s="1"/>
  <c r="Z611" i="9"/>
  <c r="Y611" i="9"/>
  <c r="AF610" i="9"/>
  <c r="AE610" i="9"/>
  <c r="AD610" i="9"/>
  <c r="AC610" i="9"/>
  <c r="AB610" i="9"/>
  <c r="U610" i="9" s="1"/>
  <c r="AA610" i="9"/>
  <c r="Z610" i="9"/>
  <c r="Y610" i="9"/>
  <c r="T610" i="9" s="1"/>
  <c r="V610" i="9"/>
  <c r="W610" i="9" s="1"/>
  <c r="AF609" i="9"/>
  <c r="AE609" i="9"/>
  <c r="V609" i="9" s="1"/>
  <c r="AD609" i="9"/>
  <c r="AC609" i="9"/>
  <c r="AB609" i="9"/>
  <c r="AA609" i="9"/>
  <c r="Z609" i="9"/>
  <c r="Y609" i="9"/>
  <c r="T609" i="9" s="1"/>
  <c r="U609" i="9"/>
  <c r="AF608" i="9"/>
  <c r="AE608" i="9"/>
  <c r="V608" i="9" s="1"/>
  <c r="AD608" i="9"/>
  <c r="AC608" i="9"/>
  <c r="AB608" i="9"/>
  <c r="AA608" i="9"/>
  <c r="Z608" i="9"/>
  <c r="Y608" i="9"/>
  <c r="U608" i="9"/>
  <c r="T608" i="9"/>
  <c r="AF607" i="9"/>
  <c r="V607" i="9" s="1"/>
  <c r="AE607" i="9"/>
  <c r="AD607" i="9"/>
  <c r="AC607" i="9"/>
  <c r="AB607" i="9"/>
  <c r="U607" i="9" s="1"/>
  <c r="AA607" i="9"/>
  <c r="T607" i="9" s="1"/>
  <c r="Z607" i="9"/>
  <c r="Y607" i="9"/>
  <c r="AF606" i="9"/>
  <c r="AE606" i="9"/>
  <c r="AD606" i="9"/>
  <c r="AC606" i="9"/>
  <c r="AB606" i="9"/>
  <c r="U606" i="9" s="1"/>
  <c r="AA606" i="9"/>
  <c r="Z606" i="9"/>
  <c r="Y606" i="9"/>
  <c r="T606" i="9" s="1"/>
  <c r="W606" i="9" s="1"/>
  <c r="V606" i="9"/>
  <c r="AF605" i="9"/>
  <c r="AE605" i="9"/>
  <c r="V605" i="9" s="1"/>
  <c r="AD605" i="9"/>
  <c r="AC605" i="9"/>
  <c r="AB605" i="9"/>
  <c r="AA605" i="9"/>
  <c r="Z605" i="9"/>
  <c r="Y605" i="9"/>
  <c r="T605" i="9" s="1"/>
  <c r="U605" i="9"/>
  <c r="AF604" i="9"/>
  <c r="AE604" i="9"/>
  <c r="AD604" i="9"/>
  <c r="AC604" i="9"/>
  <c r="AB604" i="9"/>
  <c r="AA604" i="9"/>
  <c r="Z604" i="9"/>
  <c r="Y604" i="9"/>
  <c r="U604" i="9"/>
  <c r="T604" i="9"/>
  <c r="AF603" i="9"/>
  <c r="V603" i="9" s="1"/>
  <c r="AE603" i="9"/>
  <c r="AD603" i="9"/>
  <c r="AC603" i="9"/>
  <c r="AB603" i="9"/>
  <c r="AA603" i="9"/>
  <c r="Z603" i="9"/>
  <c r="Y603" i="9"/>
  <c r="U603" i="9"/>
  <c r="T603" i="9"/>
  <c r="AF602" i="9"/>
  <c r="AE602" i="9"/>
  <c r="AD602" i="9"/>
  <c r="AC602" i="9"/>
  <c r="AB602" i="9"/>
  <c r="U602" i="9" s="1"/>
  <c r="AA602" i="9"/>
  <c r="Z602" i="9"/>
  <c r="Y602" i="9"/>
  <c r="T602" i="9" s="1"/>
  <c r="V602" i="9"/>
  <c r="W602" i="9" s="1"/>
  <c r="AF601" i="9"/>
  <c r="AE601" i="9"/>
  <c r="V601" i="9" s="1"/>
  <c r="AD601" i="9"/>
  <c r="AC601" i="9"/>
  <c r="AB601" i="9"/>
  <c r="AA601" i="9"/>
  <c r="Z601" i="9"/>
  <c r="Y601" i="9"/>
  <c r="U601" i="9"/>
  <c r="T601" i="9"/>
  <c r="AF600" i="9"/>
  <c r="AE600" i="9"/>
  <c r="V600" i="9" s="1"/>
  <c r="W600" i="9" s="1"/>
  <c r="AD600" i="9"/>
  <c r="AC600" i="9"/>
  <c r="AB600" i="9"/>
  <c r="AA600" i="9"/>
  <c r="Z600" i="9"/>
  <c r="Y600" i="9"/>
  <c r="U600" i="9"/>
  <c r="T600" i="9"/>
  <c r="AF599" i="9"/>
  <c r="V599" i="9" s="1"/>
  <c r="AE599" i="9"/>
  <c r="AD599" i="9"/>
  <c r="AC599" i="9"/>
  <c r="AB599" i="9"/>
  <c r="U599" i="9" s="1"/>
  <c r="AA599" i="9"/>
  <c r="T599" i="9" s="1"/>
  <c r="Z599" i="9"/>
  <c r="Y599" i="9"/>
  <c r="AF598" i="9"/>
  <c r="AE598" i="9"/>
  <c r="AD598" i="9"/>
  <c r="AC598" i="9"/>
  <c r="AB598" i="9"/>
  <c r="AA598" i="9"/>
  <c r="Z598" i="9"/>
  <c r="Y598" i="9"/>
  <c r="V598" i="9"/>
  <c r="AF597" i="9"/>
  <c r="AE597" i="9"/>
  <c r="V597" i="9" s="1"/>
  <c r="AD597" i="9"/>
  <c r="AC597" i="9"/>
  <c r="AB597" i="9"/>
  <c r="U597" i="9" s="1"/>
  <c r="AA597" i="9"/>
  <c r="Z597" i="9"/>
  <c r="Y597" i="9"/>
  <c r="T597" i="9" s="1"/>
  <c r="AF596" i="9"/>
  <c r="AE596" i="9"/>
  <c r="V596" i="9" s="1"/>
  <c r="AD596" i="9"/>
  <c r="AC596" i="9"/>
  <c r="AB596" i="9"/>
  <c r="AA596" i="9"/>
  <c r="Z596" i="9"/>
  <c r="Y596" i="9"/>
  <c r="T596" i="9" s="1"/>
  <c r="W596" i="9"/>
  <c r="U596" i="9"/>
  <c r="AF595" i="9"/>
  <c r="V595" i="9" s="1"/>
  <c r="AE595" i="9"/>
  <c r="AD595" i="9"/>
  <c r="AC595" i="9"/>
  <c r="AB595" i="9"/>
  <c r="AA595" i="9"/>
  <c r="T595" i="9" s="1"/>
  <c r="Z595" i="9"/>
  <c r="Y595" i="9"/>
  <c r="U595" i="9"/>
  <c r="AF594" i="9"/>
  <c r="V594" i="9" s="1"/>
  <c r="AE594" i="9"/>
  <c r="AD594" i="9"/>
  <c r="AC594" i="9"/>
  <c r="AB594" i="9"/>
  <c r="AA594" i="9"/>
  <c r="Z594" i="9"/>
  <c r="Y594" i="9"/>
  <c r="T594" i="9" s="1"/>
  <c r="AF593" i="9"/>
  <c r="AE593" i="9"/>
  <c r="V593" i="9" s="1"/>
  <c r="AD593" i="9"/>
  <c r="AC593" i="9"/>
  <c r="AB593" i="9"/>
  <c r="AA593" i="9"/>
  <c r="Z593" i="9"/>
  <c r="Y593" i="9"/>
  <c r="U593" i="9"/>
  <c r="T593" i="9"/>
  <c r="AF592" i="9"/>
  <c r="AE592" i="9"/>
  <c r="V592" i="9" s="1"/>
  <c r="AD592" i="9"/>
  <c r="AC592" i="9"/>
  <c r="AB592" i="9"/>
  <c r="AA592" i="9"/>
  <c r="Z592" i="9"/>
  <c r="Y592" i="9"/>
  <c r="U592" i="9"/>
  <c r="W592" i="9" s="1"/>
  <c r="T592" i="9"/>
  <c r="AF591" i="9"/>
  <c r="V591" i="9" s="1"/>
  <c r="AE591" i="9"/>
  <c r="AD591" i="9"/>
  <c r="AC591" i="9"/>
  <c r="AB591" i="9"/>
  <c r="U591" i="9" s="1"/>
  <c r="AA591" i="9"/>
  <c r="Z591" i="9"/>
  <c r="Y591" i="9"/>
  <c r="T591" i="9"/>
  <c r="AF590" i="9"/>
  <c r="AE590" i="9"/>
  <c r="AD590" i="9"/>
  <c r="AC590" i="9"/>
  <c r="AB590" i="9"/>
  <c r="U590" i="9" s="1"/>
  <c r="AA590" i="9"/>
  <c r="Z590" i="9"/>
  <c r="Y590" i="9"/>
  <c r="V590" i="9"/>
  <c r="W590" i="9" s="1"/>
  <c r="T590" i="9"/>
  <c r="AF589" i="9"/>
  <c r="AE589" i="9"/>
  <c r="V589" i="9" s="1"/>
  <c r="AD589" i="9"/>
  <c r="AC589" i="9"/>
  <c r="AB589" i="9"/>
  <c r="AA589" i="9"/>
  <c r="Z589" i="9"/>
  <c r="Y589" i="9"/>
  <c r="U589" i="9"/>
  <c r="T589" i="9"/>
  <c r="AF588" i="9"/>
  <c r="AE588" i="9"/>
  <c r="AD588" i="9"/>
  <c r="AC588" i="9"/>
  <c r="U588" i="9" s="1"/>
  <c r="AB588" i="9"/>
  <c r="AA588" i="9"/>
  <c r="Z588" i="9"/>
  <c r="Y588" i="9"/>
  <c r="T588" i="9"/>
  <c r="AF587" i="9"/>
  <c r="V587" i="9" s="1"/>
  <c r="AE587" i="9"/>
  <c r="AD587" i="9"/>
  <c r="AC587" i="9"/>
  <c r="AB587" i="9"/>
  <c r="AA587" i="9"/>
  <c r="Z587" i="9"/>
  <c r="Y587" i="9"/>
  <c r="U587" i="9"/>
  <c r="T587" i="9"/>
  <c r="W587" i="9" s="1"/>
  <c r="AF586" i="9"/>
  <c r="AE586" i="9"/>
  <c r="AD586" i="9"/>
  <c r="AC586" i="9"/>
  <c r="AB586" i="9"/>
  <c r="U586" i="9" s="1"/>
  <c r="AA586" i="9"/>
  <c r="Z586" i="9"/>
  <c r="Y586" i="9"/>
  <c r="V586" i="9"/>
  <c r="W586" i="9" s="1"/>
  <c r="T586" i="9"/>
  <c r="AF585" i="9"/>
  <c r="AE585" i="9"/>
  <c r="V585" i="9" s="1"/>
  <c r="AD585" i="9"/>
  <c r="AC585" i="9"/>
  <c r="AB585" i="9"/>
  <c r="U585" i="9" s="1"/>
  <c r="AA585" i="9"/>
  <c r="Z585" i="9"/>
  <c r="Y585" i="9"/>
  <c r="T585" i="9"/>
  <c r="AF584" i="9"/>
  <c r="AE584" i="9"/>
  <c r="V584" i="9" s="1"/>
  <c r="AD584" i="9"/>
  <c r="AC584" i="9"/>
  <c r="AB584" i="9"/>
  <c r="AA584" i="9"/>
  <c r="Z584" i="9"/>
  <c r="Y584" i="9"/>
  <c r="U584" i="9"/>
  <c r="T584" i="9"/>
  <c r="W584" i="9" s="1"/>
  <c r="AF583" i="9"/>
  <c r="V583" i="9" s="1"/>
  <c r="AE583" i="9"/>
  <c r="AD583" i="9"/>
  <c r="AC583" i="9"/>
  <c r="AB583" i="9"/>
  <c r="AA583" i="9"/>
  <c r="Z583" i="9"/>
  <c r="Y583" i="9"/>
  <c r="T583" i="9" s="1"/>
  <c r="W583" i="9" s="1"/>
  <c r="U583" i="9"/>
  <c r="AF582" i="9"/>
  <c r="AE582" i="9"/>
  <c r="AD582" i="9"/>
  <c r="AC582" i="9"/>
  <c r="AB582" i="9"/>
  <c r="U582" i="9" s="1"/>
  <c r="AA582" i="9"/>
  <c r="Z582" i="9"/>
  <c r="Y582" i="9"/>
  <c r="T582" i="9" s="1"/>
  <c r="V582" i="9"/>
  <c r="W582" i="9" s="1"/>
  <c r="AF581" i="9"/>
  <c r="AE581" i="9"/>
  <c r="V581" i="9" s="1"/>
  <c r="AD581" i="9"/>
  <c r="AC581" i="9"/>
  <c r="AB581" i="9"/>
  <c r="AA581" i="9"/>
  <c r="Z581" i="9"/>
  <c r="Y581" i="9"/>
  <c r="U581" i="9"/>
  <c r="T581" i="9"/>
  <c r="AF580" i="9"/>
  <c r="AE580" i="9"/>
  <c r="V580" i="9" s="1"/>
  <c r="AD580" i="9"/>
  <c r="AC580" i="9"/>
  <c r="AB580" i="9"/>
  <c r="AA580" i="9"/>
  <c r="Z580" i="9"/>
  <c r="Y580" i="9"/>
  <c r="T580" i="9" s="1"/>
  <c r="W580" i="9" s="1"/>
  <c r="U580" i="9"/>
  <c r="AF579" i="9"/>
  <c r="AE579" i="9"/>
  <c r="AD579" i="9"/>
  <c r="AC579" i="9"/>
  <c r="AB579" i="9"/>
  <c r="U579" i="9" s="1"/>
  <c r="AA579" i="9"/>
  <c r="Z579" i="9"/>
  <c r="Y579" i="9"/>
  <c r="V579" i="9"/>
  <c r="T579" i="9"/>
  <c r="AF578" i="9"/>
  <c r="V578" i="9" s="1"/>
  <c r="AE578" i="9"/>
  <c r="AD578" i="9"/>
  <c r="AC578" i="9"/>
  <c r="AB578" i="9"/>
  <c r="AA578" i="9"/>
  <c r="Z578" i="9"/>
  <c r="Y578" i="9"/>
  <c r="T578" i="9" s="1"/>
  <c r="AF577" i="9"/>
  <c r="AE577" i="9"/>
  <c r="V577" i="9" s="1"/>
  <c r="AD577" i="9"/>
  <c r="AC577" i="9"/>
  <c r="AB577" i="9"/>
  <c r="U577" i="9" s="1"/>
  <c r="AA577" i="9"/>
  <c r="Z577" i="9"/>
  <c r="Y577" i="9"/>
  <c r="T577" i="9" s="1"/>
  <c r="AF576" i="9"/>
  <c r="AE576" i="9"/>
  <c r="V576" i="9" s="1"/>
  <c r="W576" i="9" s="1"/>
  <c r="AD576" i="9"/>
  <c r="AC576" i="9"/>
  <c r="AB576" i="9"/>
  <c r="AA576" i="9"/>
  <c r="Z576" i="9"/>
  <c r="Y576" i="9"/>
  <c r="U576" i="9"/>
  <c r="T576" i="9"/>
  <c r="AF575" i="9"/>
  <c r="V575" i="9" s="1"/>
  <c r="W575" i="9" s="1"/>
  <c r="AE575" i="9"/>
  <c r="AD575" i="9"/>
  <c r="AC575" i="9"/>
  <c r="AB575" i="9"/>
  <c r="U575" i="9" s="1"/>
  <c r="AA575" i="9"/>
  <c r="T575" i="9" s="1"/>
  <c r="Z575" i="9"/>
  <c r="Y575" i="9"/>
  <c r="AF574" i="9"/>
  <c r="AE574" i="9"/>
  <c r="AD574" i="9"/>
  <c r="AC574" i="9"/>
  <c r="AB574" i="9"/>
  <c r="U574" i="9" s="1"/>
  <c r="AA574" i="9"/>
  <c r="Z574" i="9"/>
  <c r="Y574" i="9"/>
  <c r="V574" i="9"/>
  <c r="W574" i="9" s="1"/>
  <c r="T574" i="9"/>
  <c r="AF573" i="9"/>
  <c r="AE573" i="9"/>
  <c r="V573" i="9" s="1"/>
  <c r="AD573" i="9"/>
  <c r="AC573" i="9"/>
  <c r="AB573" i="9"/>
  <c r="AA573" i="9"/>
  <c r="Z573" i="9"/>
  <c r="Y573" i="9"/>
  <c r="T573" i="9" s="1"/>
  <c r="W573" i="9" s="1"/>
  <c r="U573" i="9"/>
  <c r="AF572" i="9"/>
  <c r="AE572" i="9"/>
  <c r="V572" i="9" s="1"/>
  <c r="W572" i="9" s="1"/>
  <c r="AD572" i="9"/>
  <c r="AC572" i="9"/>
  <c r="AB572" i="9"/>
  <c r="U572" i="9" s="1"/>
  <c r="AA572" i="9"/>
  <c r="Z572" i="9"/>
  <c r="Y572" i="9"/>
  <c r="T572" i="9"/>
  <c r="AF571" i="9"/>
  <c r="V571" i="9" s="1"/>
  <c r="AE571" i="9"/>
  <c r="AD571" i="9"/>
  <c r="AC571" i="9"/>
  <c r="AB571" i="9"/>
  <c r="U571" i="9" s="1"/>
  <c r="AA571" i="9"/>
  <c r="Z571" i="9"/>
  <c r="Y571" i="9"/>
  <c r="T571" i="9" s="1"/>
  <c r="W571" i="9"/>
  <c r="AF570" i="9"/>
  <c r="AE570" i="9"/>
  <c r="AD570" i="9"/>
  <c r="AC570" i="9"/>
  <c r="AB570" i="9"/>
  <c r="AA570" i="9"/>
  <c r="Z570" i="9"/>
  <c r="Y570" i="9"/>
  <c r="V570" i="9"/>
  <c r="W570" i="9" s="1"/>
  <c r="U570" i="9"/>
  <c r="T570" i="9"/>
  <c r="AF569" i="9"/>
  <c r="AE569" i="9"/>
  <c r="AD569" i="9"/>
  <c r="AC569" i="9"/>
  <c r="AB569" i="9"/>
  <c r="AA569" i="9"/>
  <c r="Z569" i="9"/>
  <c r="Y569" i="9"/>
  <c r="U569" i="9"/>
  <c r="T569" i="9"/>
  <c r="AF568" i="9"/>
  <c r="AE568" i="9"/>
  <c r="V568" i="9" s="1"/>
  <c r="AD568" i="9"/>
  <c r="AC568" i="9"/>
  <c r="AB568" i="9"/>
  <c r="U568" i="9" s="1"/>
  <c r="AA568" i="9"/>
  <c r="Z568" i="9"/>
  <c r="Y568" i="9"/>
  <c r="T568" i="9" s="1"/>
  <c r="AF567" i="9"/>
  <c r="AE567" i="9"/>
  <c r="AD567" i="9"/>
  <c r="AC567" i="9"/>
  <c r="AB567" i="9"/>
  <c r="U567" i="9" s="1"/>
  <c r="AA567" i="9"/>
  <c r="Z567" i="9"/>
  <c r="Y567" i="9"/>
  <c r="T567" i="9" s="1"/>
  <c r="V567" i="9"/>
  <c r="AF566" i="9"/>
  <c r="AE566" i="9"/>
  <c r="AD566" i="9"/>
  <c r="AC566" i="9"/>
  <c r="AB566" i="9"/>
  <c r="AA566" i="9"/>
  <c r="Z566" i="9"/>
  <c r="Y566" i="9"/>
  <c r="T566" i="9" s="1"/>
  <c r="V566" i="9"/>
  <c r="U566" i="9"/>
  <c r="AF565" i="9"/>
  <c r="AE565" i="9"/>
  <c r="V565" i="9" s="1"/>
  <c r="W565" i="9" s="1"/>
  <c r="AD565" i="9"/>
  <c r="AC565" i="9"/>
  <c r="AB565" i="9"/>
  <c r="AA565" i="9"/>
  <c r="Z565" i="9"/>
  <c r="Y565" i="9"/>
  <c r="U565" i="9"/>
  <c r="T565" i="9"/>
  <c r="AF564" i="9"/>
  <c r="AE564" i="9"/>
  <c r="V564" i="9" s="1"/>
  <c r="AD564" i="9"/>
  <c r="AC564" i="9"/>
  <c r="AB564" i="9"/>
  <c r="U564" i="9" s="1"/>
  <c r="AA564" i="9"/>
  <c r="Z564" i="9"/>
  <c r="Y564" i="9"/>
  <c r="T564" i="9" s="1"/>
  <c r="AF563" i="9"/>
  <c r="AE563" i="9"/>
  <c r="AD563" i="9"/>
  <c r="AC563" i="9"/>
  <c r="AB563" i="9"/>
  <c r="U563" i="9" s="1"/>
  <c r="AA563" i="9"/>
  <c r="Z563" i="9"/>
  <c r="Y563" i="9"/>
  <c r="T563" i="9" s="1"/>
  <c r="V563" i="9"/>
  <c r="W563" i="9" s="1"/>
  <c r="AF562" i="9"/>
  <c r="AE562" i="9"/>
  <c r="AD562" i="9"/>
  <c r="AC562" i="9"/>
  <c r="AB562" i="9"/>
  <c r="AA562" i="9"/>
  <c r="Z562" i="9"/>
  <c r="Y562" i="9"/>
  <c r="T562" i="9" s="1"/>
  <c r="V562" i="9"/>
  <c r="W562" i="9" s="1"/>
  <c r="U562" i="9"/>
  <c r="AF561" i="9"/>
  <c r="AE561" i="9"/>
  <c r="V561" i="9" s="1"/>
  <c r="W561" i="9" s="1"/>
  <c r="AD561" i="9"/>
  <c r="AC561" i="9"/>
  <c r="AB561" i="9"/>
  <c r="AA561" i="9"/>
  <c r="Z561" i="9"/>
  <c r="Y561" i="9"/>
  <c r="U561" i="9"/>
  <c r="T561" i="9"/>
  <c r="AF560" i="9"/>
  <c r="AE560" i="9"/>
  <c r="V560" i="9" s="1"/>
  <c r="W560" i="9" s="1"/>
  <c r="AD560" i="9"/>
  <c r="AC560" i="9"/>
  <c r="AB560" i="9"/>
  <c r="U560" i="9" s="1"/>
  <c r="AA560" i="9"/>
  <c r="Z560" i="9"/>
  <c r="Y560" i="9"/>
  <c r="T560" i="9" s="1"/>
  <c r="AF559" i="9"/>
  <c r="AE559" i="9"/>
  <c r="AD559" i="9"/>
  <c r="AC559" i="9"/>
  <c r="AB559" i="9"/>
  <c r="U559" i="9" s="1"/>
  <c r="AA559" i="9"/>
  <c r="Z559" i="9"/>
  <c r="Y559" i="9"/>
  <c r="T559" i="9" s="1"/>
  <c r="V559" i="9"/>
  <c r="W559" i="9" s="1"/>
  <c r="AF558" i="9"/>
  <c r="AE558" i="9"/>
  <c r="AD558" i="9"/>
  <c r="AC558" i="9"/>
  <c r="AB558" i="9"/>
  <c r="AA558" i="9"/>
  <c r="Z558" i="9"/>
  <c r="Y558" i="9"/>
  <c r="T558" i="9" s="1"/>
  <c r="V558" i="9"/>
  <c r="U558" i="9"/>
  <c r="AF557" i="9"/>
  <c r="AE557" i="9"/>
  <c r="V557" i="9" s="1"/>
  <c r="W557" i="9" s="1"/>
  <c r="AD557" i="9"/>
  <c r="AC557" i="9"/>
  <c r="AB557" i="9"/>
  <c r="AA557" i="9"/>
  <c r="Z557" i="9"/>
  <c r="Y557" i="9"/>
  <c r="U557" i="9"/>
  <c r="T557" i="9"/>
  <c r="AF556" i="9"/>
  <c r="AE556" i="9"/>
  <c r="V556" i="9" s="1"/>
  <c r="AD556" i="9"/>
  <c r="AC556" i="9"/>
  <c r="AB556" i="9"/>
  <c r="U556" i="9" s="1"/>
  <c r="AA556" i="9"/>
  <c r="Z556" i="9"/>
  <c r="Y556" i="9"/>
  <c r="T556" i="9" s="1"/>
  <c r="AF555" i="9"/>
  <c r="AE555" i="9"/>
  <c r="AD555" i="9"/>
  <c r="AC555" i="9"/>
  <c r="AB555" i="9"/>
  <c r="U555" i="9" s="1"/>
  <c r="AA555" i="9"/>
  <c r="Z555" i="9"/>
  <c r="Y555" i="9"/>
  <c r="T555" i="9" s="1"/>
  <c r="V555" i="9"/>
  <c r="AF554" i="9"/>
  <c r="AE554" i="9"/>
  <c r="AD554" i="9"/>
  <c r="AC554" i="9"/>
  <c r="AB554" i="9"/>
  <c r="AA554" i="9"/>
  <c r="Z554" i="9"/>
  <c r="Y554" i="9"/>
  <c r="T554" i="9" s="1"/>
  <c r="V554" i="9"/>
  <c r="W554" i="9" s="1"/>
  <c r="U554" i="9"/>
  <c r="AF553" i="9"/>
  <c r="AE553" i="9"/>
  <c r="V553" i="9" s="1"/>
  <c r="W553" i="9" s="1"/>
  <c r="AD553" i="9"/>
  <c r="AC553" i="9"/>
  <c r="AB553" i="9"/>
  <c r="AA553" i="9"/>
  <c r="Z553" i="9"/>
  <c r="Y553" i="9"/>
  <c r="U553" i="9"/>
  <c r="T553" i="9"/>
  <c r="AF552" i="9"/>
  <c r="AE552" i="9"/>
  <c r="V552" i="9" s="1"/>
  <c r="AD552" i="9"/>
  <c r="AC552" i="9"/>
  <c r="AB552" i="9"/>
  <c r="U552" i="9" s="1"/>
  <c r="AA552" i="9"/>
  <c r="Z552" i="9"/>
  <c r="Y552" i="9"/>
  <c r="T552" i="9" s="1"/>
  <c r="AF551" i="9"/>
  <c r="AE551" i="9"/>
  <c r="AD551" i="9"/>
  <c r="AC551" i="9"/>
  <c r="AB551" i="9"/>
  <c r="U551" i="9" s="1"/>
  <c r="AA551" i="9"/>
  <c r="Z551" i="9"/>
  <c r="Y551" i="9"/>
  <c r="T551" i="9" s="1"/>
  <c r="V551" i="9"/>
  <c r="W551" i="9" s="1"/>
  <c r="AF550" i="9"/>
  <c r="AE550" i="9"/>
  <c r="AD550" i="9"/>
  <c r="AC550" i="9"/>
  <c r="AB550" i="9"/>
  <c r="U550" i="9" s="1"/>
  <c r="AA550" i="9"/>
  <c r="Z550" i="9"/>
  <c r="Y550" i="9"/>
  <c r="T550" i="9" s="1"/>
  <c r="V550" i="9"/>
  <c r="AF549" i="9"/>
  <c r="AE549" i="9"/>
  <c r="V549" i="9" s="1"/>
  <c r="W549" i="9" s="1"/>
  <c r="AD549" i="9"/>
  <c r="AC549" i="9"/>
  <c r="AB549" i="9"/>
  <c r="AA549" i="9"/>
  <c r="Z549" i="9"/>
  <c r="Y549" i="9"/>
  <c r="U549" i="9"/>
  <c r="T549" i="9"/>
  <c r="AF548" i="9"/>
  <c r="AE548" i="9"/>
  <c r="V548" i="9" s="1"/>
  <c r="AD548" i="9"/>
  <c r="AC548" i="9"/>
  <c r="AB548" i="9"/>
  <c r="U548" i="9" s="1"/>
  <c r="AA548" i="9"/>
  <c r="Z548" i="9"/>
  <c r="Y548" i="9"/>
  <c r="AF547" i="9"/>
  <c r="AE547" i="9"/>
  <c r="AD547" i="9"/>
  <c r="AC547" i="9"/>
  <c r="AB547" i="9"/>
  <c r="U547" i="9" s="1"/>
  <c r="AA547" i="9"/>
  <c r="Z547" i="9"/>
  <c r="Y547" i="9"/>
  <c r="T547" i="9" s="1"/>
  <c r="V547" i="9"/>
  <c r="W547" i="9" s="1"/>
  <c r="AF546" i="9"/>
  <c r="AE546" i="9"/>
  <c r="AD546" i="9"/>
  <c r="AC546" i="9"/>
  <c r="AB546" i="9"/>
  <c r="U546" i="9" s="1"/>
  <c r="AA546" i="9"/>
  <c r="Z546" i="9"/>
  <c r="Y546" i="9"/>
  <c r="T546" i="9" s="1"/>
  <c r="V546" i="9"/>
  <c r="AF545" i="9"/>
  <c r="AE545" i="9"/>
  <c r="V545" i="9" s="1"/>
  <c r="W545" i="9" s="1"/>
  <c r="AD545" i="9"/>
  <c r="AC545" i="9"/>
  <c r="AB545" i="9"/>
  <c r="AA545" i="9"/>
  <c r="Z545" i="9"/>
  <c r="Y545" i="9"/>
  <c r="U545" i="9"/>
  <c r="T545" i="9"/>
  <c r="AF544" i="9"/>
  <c r="AE544" i="9"/>
  <c r="V544" i="9" s="1"/>
  <c r="AD544" i="9"/>
  <c r="AC544" i="9"/>
  <c r="AB544" i="9"/>
  <c r="U544" i="9" s="1"/>
  <c r="AA544" i="9"/>
  <c r="Z544" i="9"/>
  <c r="Y544" i="9"/>
  <c r="AF543" i="9"/>
  <c r="AE543" i="9"/>
  <c r="AD543" i="9"/>
  <c r="AC543" i="9"/>
  <c r="AB543" i="9"/>
  <c r="U543" i="9" s="1"/>
  <c r="AA543" i="9"/>
  <c r="Z543" i="9"/>
  <c r="Y543" i="9"/>
  <c r="T543" i="9" s="1"/>
  <c r="V543" i="9"/>
  <c r="W543" i="9" s="1"/>
  <c r="AF542" i="9"/>
  <c r="AE542" i="9"/>
  <c r="AD542" i="9"/>
  <c r="AC542" i="9"/>
  <c r="AB542" i="9"/>
  <c r="AA542" i="9"/>
  <c r="Z542" i="9"/>
  <c r="Y542" i="9"/>
  <c r="T542" i="9" s="1"/>
  <c r="V542" i="9"/>
  <c r="U542" i="9"/>
  <c r="AF541" i="9"/>
  <c r="AE541" i="9"/>
  <c r="V541" i="9" s="1"/>
  <c r="W541" i="9" s="1"/>
  <c r="AD541" i="9"/>
  <c r="AC541" i="9"/>
  <c r="AB541" i="9"/>
  <c r="AA541" i="9"/>
  <c r="Z541" i="9"/>
  <c r="Y541" i="9"/>
  <c r="U541" i="9"/>
  <c r="T541" i="9"/>
  <c r="AF540" i="9"/>
  <c r="AE540" i="9"/>
  <c r="V540" i="9" s="1"/>
  <c r="AD540" i="9"/>
  <c r="AC540" i="9"/>
  <c r="AB540" i="9"/>
  <c r="U540" i="9" s="1"/>
  <c r="AA540" i="9"/>
  <c r="Z540" i="9"/>
  <c r="Y540" i="9"/>
  <c r="T540" i="9" s="1"/>
  <c r="AF539" i="9"/>
  <c r="AE539" i="9"/>
  <c r="AD539" i="9"/>
  <c r="AC539" i="9"/>
  <c r="AB539" i="9"/>
  <c r="U539" i="9" s="1"/>
  <c r="AA539" i="9"/>
  <c r="Z539" i="9"/>
  <c r="Y539" i="9"/>
  <c r="T539" i="9" s="1"/>
  <c r="V539" i="9"/>
  <c r="AF538" i="9"/>
  <c r="AE538" i="9"/>
  <c r="AD538" i="9"/>
  <c r="AC538" i="9"/>
  <c r="AB538" i="9"/>
  <c r="U538" i="9" s="1"/>
  <c r="AA538" i="9"/>
  <c r="Z538" i="9"/>
  <c r="Y538" i="9"/>
  <c r="T538" i="9" s="1"/>
  <c r="V538" i="9"/>
  <c r="AF537" i="9"/>
  <c r="AE537" i="9"/>
  <c r="V537" i="9" s="1"/>
  <c r="W537" i="9" s="1"/>
  <c r="AD537" i="9"/>
  <c r="AC537" i="9"/>
  <c r="AB537" i="9"/>
  <c r="AA537" i="9"/>
  <c r="Z537" i="9"/>
  <c r="Y537" i="9"/>
  <c r="U537" i="9"/>
  <c r="T537" i="9"/>
  <c r="AF536" i="9"/>
  <c r="AE536" i="9"/>
  <c r="V536" i="9" s="1"/>
  <c r="AD536" i="9"/>
  <c r="AC536" i="9"/>
  <c r="AB536" i="9"/>
  <c r="U536" i="9" s="1"/>
  <c r="AA536" i="9"/>
  <c r="Z536" i="9"/>
  <c r="Y536" i="9"/>
  <c r="T536" i="9" s="1"/>
  <c r="AF535" i="9"/>
  <c r="AE535" i="9"/>
  <c r="AD535" i="9"/>
  <c r="AC535" i="9"/>
  <c r="AB535" i="9"/>
  <c r="U535" i="9" s="1"/>
  <c r="AA535" i="9"/>
  <c r="Z535" i="9"/>
  <c r="Y535" i="9"/>
  <c r="T535" i="9" s="1"/>
  <c r="V535" i="9"/>
  <c r="AF534" i="9"/>
  <c r="AE534" i="9"/>
  <c r="AD534" i="9"/>
  <c r="AC534" i="9"/>
  <c r="AB534" i="9"/>
  <c r="AA534" i="9"/>
  <c r="Z534" i="9"/>
  <c r="Y534" i="9"/>
  <c r="T534" i="9" s="1"/>
  <c r="V534" i="9"/>
  <c r="W534" i="9" s="1"/>
  <c r="U534" i="9"/>
  <c r="AF533" i="9"/>
  <c r="AE533" i="9"/>
  <c r="V533" i="9" s="1"/>
  <c r="W533" i="9" s="1"/>
  <c r="AD533" i="9"/>
  <c r="AC533" i="9"/>
  <c r="AB533" i="9"/>
  <c r="AA533" i="9"/>
  <c r="Z533" i="9"/>
  <c r="Y533" i="9"/>
  <c r="U533" i="9"/>
  <c r="T533" i="9"/>
  <c r="AF532" i="9"/>
  <c r="AE532" i="9"/>
  <c r="V532" i="9" s="1"/>
  <c r="W532" i="9" s="1"/>
  <c r="AD532" i="9"/>
  <c r="AC532" i="9"/>
  <c r="AB532" i="9"/>
  <c r="U532" i="9" s="1"/>
  <c r="AA532" i="9"/>
  <c r="Z532" i="9"/>
  <c r="Y532" i="9"/>
  <c r="T532" i="9" s="1"/>
  <c r="AF531" i="9"/>
  <c r="AE531" i="9"/>
  <c r="AD531" i="9"/>
  <c r="AC531" i="9"/>
  <c r="AB531" i="9"/>
  <c r="U531" i="9" s="1"/>
  <c r="AA531" i="9"/>
  <c r="Z531" i="9"/>
  <c r="Y531" i="9"/>
  <c r="T531" i="9" s="1"/>
  <c r="V531" i="9"/>
  <c r="W531" i="9" s="1"/>
  <c r="AF530" i="9"/>
  <c r="AE530" i="9"/>
  <c r="AD530" i="9"/>
  <c r="AC530" i="9"/>
  <c r="AB530" i="9"/>
  <c r="AA530" i="9"/>
  <c r="Z530" i="9"/>
  <c r="Y530" i="9"/>
  <c r="T530" i="9" s="1"/>
  <c r="W530" i="9" s="1"/>
  <c r="V530" i="9"/>
  <c r="U530" i="9"/>
  <c r="AF529" i="9"/>
  <c r="AE529" i="9"/>
  <c r="V529" i="9" s="1"/>
  <c r="W529" i="9" s="1"/>
  <c r="AD529" i="9"/>
  <c r="AC529" i="9"/>
  <c r="AB529" i="9"/>
  <c r="AA529" i="9"/>
  <c r="Z529" i="9"/>
  <c r="Y529" i="9"/>
  <c r="U529" i="9"/>
  <c r="T529" i="9"/>
  <c r="AF528" i="9"/>
  <c r="AE528" i="9"/>
  <c r="V528" i="9" s="1"/>
  <c r="AD528" i="9"/>
  <c r="AC528" i="9"/>
  <c r="AB528" i="9"/>
  <c r="U528" i="9" s="1"/>
  <c r="AA528" i="9"/>
  <c r="Z528" i="9"/>
  <c r="Y528" i="9"/>
  <c r="T528" i="9" s="1"/>
  <c r="AF527" i="9"/>
  <c r="AE527" i="9"/>
  <c r="AD527" i="9"/>
  <c r="AC527" i="9"/>
  <c r="AB527" i="9"/>
  <c r="U527" i="9" s="1"/>
  <c r="AA527" i="9"/>
  <c r="Z527" i="9"/>
  <c r="Y527" i="9"/>
  <c r="T527" i="9" s="1"/>
  <c r="V527" i="9"/>
  <c r="AF526" i="9"/>
  <c r="AE526" i="9"/>
  <c r="AD526" i="9"/>
  <c r="AC526" i="9"/>
  <c r="AB526" i="9"/>
  <c r="AA526" i="9"/>
  <c r="Z526" i="9"/>
  <c r="Y526" i="9"/>
  <c r="T526" i="9" s="1"/>
  <c r="V526" i="9"/>
  <c r="W526" i="9" s="1"/>
  <c r="U526" i="9"/>
  <c r="AF525" i="9"/>
  <c r="AE525" i="9"/>
  <c r="V525" i="9" s="1"/>
  <c r="W525" i="9" s="1"/>
  <c r="AD525" i="9"/>
  <c r="AC525" i="9"/>
  <c r="AB525" i="9"/>
  <c r="AA525" i="9"/>
  <c r="Z525" i="9"/>
  <c r="Y525" i="9"/>
  <c r="U525" i="9"/>
  <c r="T525" i="9"/>
  <c r="AF524" i="9"/>
  <c r="AE524" i="9"/>
  <c r="V524" i="9" s="1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U523" i="9" s="1"/>
  <c r="AA523" i="9"/>
  <c r="Z523" i="9"/>
  <c r="Y523" i="9"/>
  <c r="T523" i="9" s="1"/>
  <c r="V523" i="9"/>
  <c r="W523" i="9" s="1"/>
  <c r="AF522" i="9"/>
  <c r="AE522" i="9"/>
  <c r="AD522" i="9"/>
  <c r="AC522" i="9"/>
  <c r="AB522" i="9"/>
  <c r="AA522" i="9"/>
  <c r="Z522" i="9"/>
  <c r="Y522" i="9"/>
  <c r="T522" i="9" s="1"/>
  <c r="V522" i="9"/>
  <c r="U522" i="9"/>
  <c r="AF521" i="9"/>
  <c r="AE521" i="9"/>
  <c r="V521" i="9" s="1"/>
  <c r="W521" i="9" s="1"/>
  <c r="AD521" i="9"/>
  <c r="AC521" i="9"/>
  <c r="AB521" i="9"/>
  <c r="AA521" i="9"/>
  <c r="Z521" i="9"/>
  <c r="Y521" i="9"/>
  <c r="U521" i="9"/>
  <c r="T521" i="9"/>
  <c r="AF520" i="9"/>
  <c r="AE520" i="9"/>
  <c r="V520" i="9" s="1"/>
  <c r="AD520" i="9"/>
  <c r="AC520" i="9"/>
  <c r="AB520" i="9"/>
  <c r="U520" i="9" s="1"/>
  <c r="AA520" i="9"/>
  <c r="Z520" i="9"/>
  <c r="Y520" i="9"/>
  <c r="AF519" i="9"/>
  <c r="AE519" i="9"/>
  <c r="AD519" i="9"/>
  <c r="AC519" i="9"/>
  <c r="AB519" i="9"/>
  <c r="U519" i="9" s="1"/>
  <c r="AA519" i="9"/>
  <c r="Z519" i="9"/>
  <c r="Y519" i="9"/>
  <c r="T519" i="9" s="1"/>
  <c r="V519" i="9"/>
  <c r="AF518" i="9"/>
  <c r="AE518" i="9"/>
  <c r="AD518" i="9"/>
  <c r="AC518" i="9"/>
  <c r="AB518" i="9"/>
  <c r="AA518" i="9"/>
  <c r="Z518" i="9"/>
  <c r="Y518" i="9"/>
  <c r="T518" i="9" s="1"/>
  <c r="W518" i="9" s="1"/>
  <c r="V518" i="9"/>
  <c r="U518" i="9"/>
  <c r="AF517" i="9"/>
  <c r="AE517" i="9"/>
  <c r="V517" i="9" s="1"/>
  <c r="W517" i="9" s="1"/>
  <c r="AD517" i="9"/>
  <c r="AC517" i="9"/>
  <c r="AB517" i="9"/>
  <c r="AA517" i="9"/>
  <c r="Z517" i="9"/>
  <c r="Y517" i="9"/>
  <c r="U517" i="9"/>
  <c r="T517" i="9"/>
  <c r="AF516" i="9"/>
  <c r="AE516" i="9"/>
  <c r="V516" i="9" s="1"/>
  <c r="AD516" i="9"/>
  <c r="AC516" i="9"/>
  <c r="AB516" i="9"/>
  <c r="U516" i="9" s="1"/>
  <c r="AA516" i="9"/>
  <c r="Z516" i="9"/>
  <c r="Y516" i="9"/>
  <c r="T516" i="9" s="1"/>
  <c r="AF515" i="9"/>
  <c r="AE515" i="9"/>
  <c r="AD515" i="9"/>
  <c r="AC515" i="9"/>
  <c r="AB515" i="9"/>
  <c r="U515" i="9" s="1"/>
  <c r="AA515" i="9"/>
  <c r="Z515" i="9"/>
  <c r="Y515" i="9"/>
  <c r="T515" i="9" s="1"/>
  <c r="V515" i="9"/>
  <c r="AF514" i="9"/>
  <c r="AE514" i="9"/>
  <c r="AD514" i="9"/>
  <c r="AC514" i="9"/>
  <c r="AB514" i="9"/>
  <c r="AA514" i="9"/>
  <c r="Z514" i="9"/>
  <c r="Y514" i="9"/>
  <c r="T514" i="9" s="1"/>
  <c r="V514" i="9"/>
  <c r="U514" i="9"/>
  <c r="AF513" i="9"/>
  <c r="AE513" i="9"/>
  <c r="V513" i="9" s="1"/>
  <c r="W513" i="9" s="1"/>
  <c r="AD513" i="9"/>
  <c r="AC513" i="9"/>
  <c r="AB513" i="9"/>
  <c r="AA513" i="9"/>
  <c r="Z513" i="9"/>
  <c r="Y513" i="9"/>
  <c r="U513" i="9"/>
  <c r="T513" i="9"/>
  <c r="AF512" i="9"/>
  <c r="AE512" i="9"/>
  <c r="V512" i="9" s="1"/>
  <c r="AD512" i="9"/>
  <c r="AC512" i="9"/>
  <c r="AB512" i="9"/>
  <c r="U512" i="9" s="1"/>
  <c r="AA512" i="9"/>
  <c r="Z512" i="9"/>
  <c r="Y512" i="9"/>
  <c r="T512" i="9" s="1"/>
  <c r="AF511" i="9"/>
  <c r="AE511" i="9"/>
  <c r="AD511" i="9"/>
  <c r="AC511" i="9"/>
  <c r="AB511" i="9"/>
  <c r="U511" i="9" s="1"/>
  <c r="AA511" i="9"/>
  <c r="Z511" i="9"/>
  <c r="Y511" i="9"/>
  <c r="T511" i="9" s="1"/>
  <c r="V511" i="9"/>
  <c r="AF510" i="9"/>
  <c r="AE510" i="9"/>
  <c r="AD510" i="9"/>
  <c r="AC510" i="9"/>
  <c r="AB510" i="9"/>
  <c r="AA510" i="9"/>
  <c r="Z510" i="9"/>
  <c r="Y510" i="9"/>
  <c r="T510" i="9" s="1"/>
  <c r="W510" i="9" s="1"/>
  <c r="V510" i="9"/>
  <c r="U510" i="9"/>
  <c r="AF509" i="9"/>
  <c r="AE509" i="9"/>
  <c r="V509" i="9" s="1"/>
  <c r="W509" i="9" s="1"/>
  <c r="AD509" i="9"/>
  <c r="AC509" i="9"/>
  <c r="AB509" i="9"/>
  <c r="AA509" i="9"/>
  <c r="Z509" i="9"/>
  <c r="Y509" i="9"/>
  <c r="U509" i="9"/>
  <c r="T509" i="9"/>
  <c r="AF508" i="9"/>
  <c r="AE508" i="9"/>
  <c r="V508" i="9" s="1"/>
  <c r="AD508" i="9"/>
  <c r="AC508" i="9"/>
  <c r="AB508" i="9"/>
  <c r="U508" i="9" s="1"/>
  <c r="AA508" i="9"/>
  <c r="Z508" i="9"/>
  <c r="Y508" i="9"/>
  <c r="AF507" i="9"/>
  <c r="AE507" i="9"/>
  <c r="AD507" i="9"/>
  <c r="AC507" i="9"/>
  <c r="AB507" i="9"/>
  <c r="U507" i="9" s="1"/>
  <c r="AA507" i="9"/>
  <c r="Z507" i="9"/>
  <c r="Y507" i="9"/>
  <c r="T507" i="9" s="1"/>
  <c r="V507" i="9"/>
  <c r="AF506" i="9"/>
  <c r="AE506" i="9"/>
  <c r="AD506" i="9"/>
  <c r="AC506" i="9"/>
  <c r="AB506" i="9"/>
  <c r="AA506" i="9"/>
  <c r="Z506" i="9"/>
  <c r="Y506" i="9"/>
  <c r="T506" i="9" s="1"/>
  <c r="W506" i="9" s="1"/>
  <c r="V506" i="9"/>
  <c r="U506" i="9"/>
  <c r="AF505" i="9"/>
  <c r="AE505" i="9"/>
  <c r="V505" i="9" s="1"/>
  <c r="W505" i="9" s="1"/>
  <c r="AD505" i="9"/>
  <c r="AC505" i="9"/>
  <c r="AB505" i="9"/>
  <c r="AA505" i="9"/>
  <c r="Z505" i="9"/>
  <c r="Y505" i="9"/>
  <c r="U505" i="9"/>
  <c r="T505" i="9"/>
  <c r="AF504" i="9"/>
  <c r="AE504" i="9"/>
  <c r="V504" i="9" s="1"/>
  <c r="W504" i="9" s="1"/>
  <c r="AD504" i="9"/>
  <c r="AC504" i="9"/>
  <c r="AB504" i="9"/>
  <c r="U504" i="9" s="1"/>
  <c r="AA504" i="9"/>
  <c r="Z504" i="9"/>
  <c r="Y504" i="9"/>
  <c r="T504" i="9" s="1"/>
  <c r="AF503" i="9"/>
  <c r="AE503" i="9"/>
  <c r="AD503" i="9"/>
  <c r="AC503" i="9"/>
  <c r="U503" i="9" s="1"/>
  <c r="AB503" i="9"/>
  <c r="AA503" i="9"/>
  <c r="Z503" i="9"/>
  <c r="Y503" i="9"/>
  <c r="T503" i="9" s="1"/>
  <c r="V503" i="9"/>
  <c r="AF502" i="9"/>
  <c r="AE502" i="9"/>
  <c r="AD502" i="9"/>
  <c r="AC502" i="9"/>
  <c r="AB502" i="9"/>
  <c r="AA502" i="9"/>
  <c r="Z502" i="9"/>
  <c r="Y502" i="9"/>
  <c r="T502" i="9" s="1"/>
  <c r="W502" i="9" s="1"/>
  <c r="V502" i="9"/>
  <c r="U502" i="9"/>
  <c r="AF501" i="9"/>
  <c r="AE501" i="9"/>
  <c r="V501" i="9" s="1"/>
  <c r="W501" i="9" s="1"/>
  <c r="AD501" i="9"/>
  <c r="AC501" i="9"/>
  <c r="AB501" i="9"/>
  <c r="AA501" i="9"/>
  <c r="Z501" i="9"/>
  <c r="Y501" i="9"/>
  <c r="U501" i="9"/>
  <c r="T501" i="9"/>
  <c r="AF500" i="9"/>
  <c r="AE500" i="9"/>
  <c r="V500" i="9" s="1"/>
  <c r="AD500" i="9"/>
  <c r="AC500" i="9"/>
  <c r="AB500" i="9"/>
  <c r="U500" i="9" s="1"/>
  <c r="AA500" i="9"/>
  <c r="Z500" i="9"/>
  <c r="Y500" i="9"/>
  <c r="AF499" i="9"/>
  <c r="AE499" i="9"/>
  <c r="AD499" i="9"/>
  <c r="AC499" i="9"/>
  <c r="U499" i="9" s="1"/>
  <c r="AB499" i="9"/>
  <c r="AA499" i="9"/>
  <c r="Z499" i="9"/>
  <c r="Y499" i="9"/>
  <c r="T499" i="9" s="1"/>
  <c r="V499" i="9"/>
  <c r="AF498" i="9"/>
  <c r="AE498" i="9"/>
  <c r="AD498" i="9"/>
  <c r="AC498" i="9"/>
  <c r="AB498" i="9"/>
  <c r="AA498" i="9"/>
  <c r="Z498" i="9"/>
  <c r="Y498" i="9"/>
  <c r="T498" i="9" s="1"/>
  <c r="W498" i="9" s="1"/>
  <c r="V498" i="9"/>
  <c r="U498" i="9"/>
  <c r="AF497" i="9"/>
  <c r="AE497" i="9"/>
  <c r="V497" i="9" s="1"/>
  <c r="W497" i="9" s="1"/>
  <c r="AD497" i="9"/>
  <c r="AC497" i="9"/>
  <c r="AB497" i="9"/>
  <c r="AA497" i="9"/>
  <c r="Z497" i="9"/>
  <c r="Y497" i="9"/>
  <c r="U497" i="9"/>
  <c r="T497" i="9"/>
  <c r="AF496" i="9"/>
  <c r="AE496" i="9"/>
  <c r="V496" i="9" s="1"/>
  <c r="AD496" i="9"/>
  <c r="AC496" i="9"/>
  <c r="AB496" i="9"/>
  <c r="U496" i="9" s="1"/>
  <c r="AA496" i="9"/>
  <c r="Z496" i="9"/>
  <c r="Y496" i="9"/>
  <c r="AF495" i="9"/>
  <c r="AE495" i="9"/>
  <c r="AD495" i="9"/>
  <c r="AC495" i="9"/>
  <c r="U495" i="9" s="1"/>
  <c r="AB495" i="9"/>
  <c r="AA495" i="9"/>
  <c r="Z495" i="9"/>
  <c r="Y495" i="9"/>
  <c r="T495" i="9" s="1"/>
  <c r="V495" i="9"/>
  <c r="W495" i="9" s="1"/>
  <c r="AF494" i="9"/>
  <c r="AE494" i="9"/>
  <c r="AD494" i="9"/>
  <c r="AC494" i="9"/>
  <c r="AB494" i="9"/>
  <c r="AA494" i="9"/>
  <c r="Z494" i="9"/>
  <c r="Y494" i="9"/>
  <c r="T494" i="9" s="1"/>
  <c r="W494" i="9" s="1"/>
  <c r="V494" i="9"/>
  <c r="U494" i="9"/>
  <c r="AF493" i="9"/>
  <c r="AE493" i="9"/>
  <c r="V493" i="9" s="1"/>
  <c r="W493" i="9" s="1"/>
  <c r="AD493" i="9"/>
  <c r="AC493" i="9"/>
  <c r="AB493" i="9"/>
  <c r="AA493" i="9"/>
  <c r="Z493" i="9"/>
  <c r="Y493" i="9"/>
  <c r="U493" i="9"/>
  <c r="T493" i="9"/>
  <c r="AF492" i="9"/>
  <c r="AE492" i="9"/>
  <c r="V492" i="9" s="1"/>
  <c r="AD492" i="9"/>
  <c r="AC492" i="9"/>
  <c r="AB492" i="9"/>
  <c r="U492" i="9" s="1"/>
  <c r="AA492" i="9"/>
  <c r="Z492" i="9"/>
  <c r="Y492" i="9"/>
  <c r="AF491" i="9"/>
  <c r="AE491" i="9"/>
  <c r="AD491" i="9"/>
  <c r="AC491" i="9"/>
  <c r="AB491" i="9"/>
  <c r="U491" i="9" s="1"/>
  <c r="AA491" i="9"/>
  <c r="Z491" i="9"/>
  <c r="Y491" i="9"/>
  <c r="T491" i="9" s="1"/>
  <c r="V491" i="9"/>
  <c r="W491" i="9" s="1"/>
  <c r="AF490" i="9"/>
  <c r="AE490" i="9"/>
  <c r="AD490" i="9"/>
  <c r="AC490" i="9"/>
  <c r="AB490" i="9"/>
  <c r="AA490" i="9"/>
  <c r="Z490" i="9"/>
  <c r="Y490" i="9"/>
  <c r="T490" i="9" s="1"/>
  <c r="W490" i="9" s="1"/>
  <c r="V490" i="9"/>
  <c r="U490" i="9"/>
  <c r="AF489" i="9"/>
  <c r="AE489" i="9"/>
  <c r="V489" i="9" s="1"/>
  <c r="AD489" i="9"/>
  <c r="AC489" i="9"/>
  <c r="U489" i="9" s="1"/>
  <c r="AB489" i="9"/>
  <c r="AA489" i="9"/>
  <c r="Z489" i="9"/>
  <c r="Y489" i="9"/>
  <c r="T489" i="9"/>
  <c r="AF488" i="9"/>
  <c r="AE488" i="9"/>
  <c r="V488" i="9" s="1"/>
  <c r="AD488" i="9"/>
  <c r="AC488" i="9"/>
  <c r="AB488" i="9"/>
  <c r="U488" i="9" s="1"/>
  <c r="AA488" i="9"/>
  <c r="Z488" i="9"/>
  <c r="Y488" i="9"/>
  <c r="T488" i="9" s="1"/>
  <c r="AF487" i="9"/>
  <c r="AE487" i="9"/>
  <c r="AD487" i="9"/>
  <c r="AC487" i="9"/>
  <c r="AB487" i="9"/>
  <c r="U487" i="9" s="1"/>
  <c r="AA487" i="9"/>
  <c r="Z487" i="9"/>
  <c r="Y487" i="9"/>
  <c r="T487" i="9" s="1"/>
  <c r="V487" i="9"/>
  <c r="AF486" i="9"/>
  <c r="AE486" i="9"/>
  <c r="AD486" i="9"/>
  <c r="AC486" i="9"/>
  <c r="AB486" i="9"/>
  <c r="AA486" i="9"/>
  <c r="Z486" i="9"/>
  <c r="Y486" i="9"/>
  <c r="T486" i="9" s="1"/>
  <c r="W486" i="9" s="1"/>
  <c r="V486" i="9"/>
  <c r="U486" i="9"/>
  <c r="AF485" i="9"/>
  <c r="AE485" i="9"/>
  <c r="V485" i="9" s="1"/>
  <c r="W485" i="9" s="1"/>
  <c r="AD485" i="9"/>
  <c r="AC485" i="9"/>
  <c r="U485" i="9" s="1"/>
  <c r="AB485" i="9"/>
  <c r="AA485" i="9"/>
  <c r="Z485" i="9"/>
  <c r="Y485" i="9"/>
  <c r="T485" i="9"/>
  <c r="AF484" i="9"/>
  <c r="AE484" i="9"/>
  <c r="V484" i="9" s="1"/>
  <c r="AD484" i="9"/>
  <c r="AC484" i="9"/>
  <c r="AB484" i="9"/>
  <c r="U484" i="9" s="1"/>
  <c r="AA484" i="9"/>
  <c r="Z484" i="9"/>
  <c r="Y484" i="9"/>
  <c r="T484" i="9" s="1"/>
  <c r="AF483" i="9"/>
  <c r="AE483" i="9"/>
  <c r="AD483" i="9"/>
  <c r="AC483" i="9"/>
  <c r="AB483" i="9"/>
  <c r="U483" i="9" s="1"/>
  <c r="AA483" i="9"/>
  <c r="Z483" i="9"/>
  <c r="Y483" i="9"/>
  <c r="T483" i="9" s="1"/>
  <c r="V483" i="9"/>
  <c r="W483" i="9" s="1"/>
  <c r="AF482" i="9"/>
  <c r="AE482" i="9"/>
  <c r="AD482" i="9"/>
  <c r="AC482" i="9"/>
  <c r="AB482" i="9"/>
  <c r="AA482" i="9"/>
  <c r="Z482" i="9"/>
  <c r="Y482" i="9"/>
  <c r="T482" i="9" s="1"/>
  <c r="W482" i="9" s="1"/>
  <c r="V482" i="9"/>
  <c r="U482" i="9"/>
  <c r="AF481" i="9"/>
  <c r="AE481" i="9"/>
  <c r="V481" i="9" s="1"/>
  <c r="W481" i="9" s="1"/>
  <c r="AD481" i="9"/>
  <c r="AC481" i="9"/>
  <c r="U481" i="9" s="1"/>
  <c r="AB481" i="9"/>
  <c r="AA481" i="9"/>
  <c r="Z481" i="9"/>
  <c r="Y481" i="9"/>
  <c r="T481" i="9"/>
  <c r="AF480" i="9"/>
  <c r="AE480" i="9"/>
  <c r="V480" i="9" s="1"/>
  <c r="AD480" i="9"/>
  <c r="AC480" i="9"/>
  <c r="AB480" i="9"/>
  <c r="U480" i="9" s="1"/>
  <c r="AA480" i="9"/>
  <c r="Z480" i="9"/>
  <c r="Y480" i="9"/>
  <c r="AF479" i="9"/>
  <c r="AE479" i="9"/>
  <c r="AD479" i="9"/>
  <c r="AC479" i="9"/>
  <c r="U479" i="9" s="1"/>
  <c r="AB479" i="9"/>
  <c r="AA479" i="9"/>
  <c r="Z479" i="9"/>
  <c r="Y479" i="9"/>
  <c r="T479" i="9" s="1"/>
  <c r="V479" i="9"/>
  <c r="AF478" i="9"/>
  <c r="AE478" i="9"/>
  <c r="AD478" i="9"/>
  <c r="AC478" i="9"/>
  <c r="AB478" i="9"/>
  <c r="AA478" i="9"/>
  <c r="Z478" i="9"/>
  <c r="Y478" i="9"/>
  <c r="T478" i="9" s="1"/>
  <c r="W478" i="9" s="1"/>
  <c r="V478" i="9"/>
  <c r="U478" i="9"/>
  <c r="AF477" i="9"/>
  <c r="AE477" i="9"/>
  <c r="V477" i="9" s="1"/>
  <c r="AD477" i="9"/>
  <c r="AC477" i="9"/>
  <c r="U477" i="9" s="1"/>
  <c r="AB477" i="9"/>
  <c r="AA477" i="9"/>
  <c r="Z477" i="9"/>
  <c r="Y477" i="9"/>
  <c r="T477" i="9"/>
  <c r="AF476" i="9"/>
  <c r="AE476" i="9"/>
  <c r="V476" i="9" s="1"/>
  <c r="AD476" i="9"/>
  <c r="AC476" i="9"/>
  <c r="AB476" i="9"/>
  <c r="U476" i="9" s="1"/>
  <c r="AA476" i="9"/>
  <c r="Z476" i="9"/>
  <c r="Y476" i="9"/>
  <c r="AF475" i="9"/>
  <c r="AE475" i="9"/>
  <c r="AD475" i="9"/>
  <c r="AC475" i="9"/>
  <c r="U475" i="9" s="1"/>
  <c r="AB475" i="9"/>
  <c r="AA475" i="9"/>
  <c r="Z475" i="9"/>
  <c r="Y475" i="9"/>
  <c r="T475" i="9" s="1"/>
  <c r="V475" i="9"/>
  <c r="W475" i="9" s="1"/>
  <c r="AF474" i="9"/>
  <c r="AE474" i="9"/>
  <c r="AD474" i="9"/>
  <c r="AC474" i="9"/>
  <c r="AB474" i="9"/>
  <c r="AA474" i="9"/>
  <c r="Z474" i="9"/>
  <c r="Y474" i="9"/>
  <c r="T474" i="9" s="1"/>
  <c r="W474" i="9" s="1"/>
  <c r="V474" i="9"/>
  <c r="U474" i="9"/>
  <c r="AF473" i="9"/>
  <c r="AE473" i="9"/>
  <c r="V473" i="9" s="1"/>
  <c r="AD473" i="9"/>
  <c r="AC473" i="9"/>
  <c r="U473" i="9" s="1"/>
  <c r="AB473" i="9"/>
  <c r="AA473" i="9"/>
  <c r="Z473" i="9"/>
  <c r="Y473" i="9"/>
  <c r="T473" i="9"/>
  <c r="AF472" i="9"/>
  <c r="AE472" i="9"/>
  <c r="V472" i="9" s="1"/>
  <c r="AD472" i="9"/>
  <c r="AC472" i="9"/>
  <c r="AB472" i="9"/>
  <c r="U472" i="9" s="1"/>
  <c r="AA472" i="9"/>
  <c r="Z472" i="9"/>
  <c r="Y472" i="9"/>
  <c r="T472" i="9" s="1"/>
  <c r="AF471" i="9"/>
  <c r="AE471" i="9"/>
  <c r="AD471" i="9"/>
  <c r="AC471" i="9"/>
  <c r="U471" i="9" s="1"/>
  <c r="AB471" i="9"/>
  <c r="AA471" i="9"/>
  <c r="Z471" i="9"/>
  <c r="Y471" i="9"/>
  <c r="T471" i="9" s="1"/>
  <c r="V471" i="9"/>
  <c r="W471" i="9" s="1"/>
  <c r="AF470" i="9"/>
  <c r="AE470" i="9"/>
  <c r="AD470" i="9"/>
  <c r="AC470" i="9"/>
  <c r="AB470" i="9"/>
  <c r="U470" i="9" s="1"/>
  <c r="AA470" i="9"/>
  <c r="Z470" i="9"/>
  <c r="Y470" i="9"/>
  <c r="T470" i="9" s="1"/>
  <c r="W470" i="9" s="1"/>
  <c r="V470" i="9"/>
  <c r="AF469" i="9"/>
  <c r="AE469" i="9"/>
  <c r="V469" i="9" s="1"/>
  <c r="AD469" i="9"/>
  <c r="AC469" i="9"/>
  <c r="U469" i="9" s="1"/>
  <c r="AB469" i="9"/>
  <c r="AA469" i="9"/>
  <c r="Z469" i="9"/>
  <c r="T469" i="9" s="1"/>
  <c r="Y469" i="9"/>
  <c r="AF468" i="9"/>
  <c r="AE468" i="9"/>
  <c r="V468" i="9" s="1"/>
  <c r="AD468" i="9"/>
  <c r="AC468" i="9"/>
  <c r="AB468" i="9"/>
  <c r="U468" i="9" s="1"/>
  <c r="AA468" i="9"/>
  <c r="Z468" i="9"/>
  <c r="Y468" i="9"/>
  <c r="AF467" i="9"/>
  <c r="AE467" i="9"/>
  <c r="AD467" i="9"/>
  <c r="AC467" i="9"/>
  <c r="U467" i="9" s="1"/>
  <c r="AB467" i="9"/>
  <c r="AA467" i="9"/>
  <c r="Z467" i="9"/>
  <c r="Y467" i="9"/>
  <c r="T467" i="9" s="1"/>
  <c r="V467" i="9"/>
  <c r="AF466" i="9"/>
  <c r="AE466" i="9"/>
  <c r="AD466" i="9"/>
  <c r="AC466" i="9"/>
  <c r="AB466" i="9"/>
  <c r="U466" i="9" s="1"/>
  <c r="AA466" i="9"/>
  <c r="Z466" i="9"/>
  <c r="Y466" i="9"/>
  <c r="T466" i="9" s="1"/>
  <c r="W466" i="9" s="1"/>
  <c r="V466" i="9"/>
  <c r="AF465" i="9"/>
  <c r="AE465" i="9"/>
  <c r="V465" i="9" s="1"/>
  <c r="W465" i="9" s="1"/>
  <c r="AD465" i="9"/>
  <c r="AC465" i="9"/>
  <c r="U465" i="9" s="1"/>
  <c r="AB465" i="9"/>
  <c r="AA465" i="9"/>
  <c r="Z465" i="9"/>
  <c r="T465" i="9" s="1"/>
  <c r="Y465" i="9"/>
  <c r="AF464" i="9"/>
  <c r="AE464" i="9"/>
  <c r="V464" i="9" s="1"/>
  <c r="AD464" i="9"/>
  <c r="AC464" i="9"/>
  <c r="AB464" i="9"/>
  <c r="U464" i="9" s="1"/>
  <c r="AA464" i="9"/>
  <c r="Z464" i="9"/>
  <c r="Y464" i="9"/>
  <c r="T464" i="9" s="1"/>
  <c r="AF463" i="9"/>
  <c r="AE463" i="9"/>
  <c r="AD463" i="9"/>
  <c r="AC463" i="9"/>
  <c r="U463" i="9" s="1"/>
  <c r="AB463" i="9"/>
  <c r="AA463" i="9"/>
  <c r="Z463" i="9"/>
  <c r="Y463" i="9"/>
  <c r="T463" i="9" s="1"/>
  <c r="V463" i="9"/>
  <c r="W463" i="9" s="1"/>
  <c r="AF462" i="9"/>
  <c r="AE462" i="9"/>
  <c r="AD462" i="9"/>
  <c r="AC462" i="9"/>
  <c r="AB462" i="9"/>
  <c r="AA462" i="9"/>
  <c r="Z462" i="9"/>
  <c r="Y462" i="9"/>
  <c r="T462" i="9" s="1"/>
  <c r="W462" i="9" s="1"/>
  <c r="V462" i="9"/>
  <c r="U462" i="9"/>
  <c r="AF461" i="9"/>
  <c r="AE461" i="9"/>
  <c r="V461" i="9" s="1"/>
  <c r="W461" i="9" s="1"/>
  <c r="AD461" i="9"/>
  <c r="AC461" i="9"/>
  <c r="U461" i="9" s="1"/>
  <c r="AB461" i="9"/>
  <c r="AA461" i="9"/>
  <c r="Z461" i="9"/>
  <c r="T461" i="9" s="1"/>
  <c r="Y461" i="9"/>
  <c r="AF460" i="9"/>
  <c r="AE460" i="9"/>
  <c r="V460" i="9" s="1"/>
  <c r="AD460" i="9"/>
  <c r="AC460" i="9"/>
  <c r="AB460" i="9"/>
  <c r="U460" i="9" s="1"/>
  <c r="AA460" i="9"/>
  <c r="Z460" i="9"/>
  <c r="Y460" i="9"/>
  <c r="AF459" i="9"/>
  <c r="AE459" i="9"/>
  <c r="AD459" i="9"/>
  <c r="AC459" i="9"/>
  <c r="U459" i="9" s="1"/>
  <c r="AB459" i="9"/>
  <c r="AA459" i="9"/>
  <c r="Z459" i="9"/>
  <c r="Y459" i="9"/>
  <c r="T459" i="9" s="1"/>
  <c r="V459" i="9"/>
  <c r="W459" i="9" s="1"/>
  <c r="AF458" i="9"/>
  <c r="AE458" i="9"/>
  <c r="AD458" i="9"/>
  <c r="AC458" i="9"/>
  <c r="AB458" i="9"/>
  <c r="AA458" i="9"/>
  <c r="Z458" i="9"/>
  <c r="Y458" i="9"/>
  <c r="T458" i="9" s="1"/>
  <c r="W458" i="9" s="1"/>
  <c r="V458" i="9"/>
  <c r="U458" i="9"/>
  <c r="AF457" i="9"/>
  <c r="AE457" i="9"/>
  <c r="V457" i="9" s="1"/>
  <c r="AD457" i="9"/>
  <c r="AC457" i="9"/>
  <c r="U457" i="9" s="1"/>
  <c r="AB457" i="9"/>
  <c r="AA457" i="9"/>
  <c r="Z457" i="9"/>
  <c r="T457" i="9" s="1"/>
  <c r="Y457" i="9"/>
  <c r="AF456" i="9"/>
  <c r="AE456" i="9"/>
  <c r="V456" i="9" s="1"/>
  <c r="W456" i="9" s="1"/>
  <c r="AD456" i="9"/>
  <c r="AC456" i="9"/>
  <c r="AB456" i="9"/>
  <c r="U456" i="9" s="1"/>
  <c r="AA456" i="9"/>
  <c r="Z456" i="9"/>
  <c r="Y456" i="9"/>
  <c r="T456" i="9" s="1"/>
  <c r="AF455" i="9"/>
  <c r="AE455" i="9"/>
  <c r="AD455" i="9"/>
  <c r="AC455" i="9"/>
  <c r="U455" i="9" s="1"/>
  <c r="AB455" i="9"/>
  <c r="AA455" i="9"/>
  <c r="Z455" i="9"/>
  <c r="Y455" i="9"/>
  <c r="T455" i="9" s="1"/>
  <c r="V455" i="9"/>
  <c r="W455" i="9" s="1"/>
  <c r="AF454" i="9"/>
  <c r="AE454" i="9"/>
  <c r="AD454" i="9"/>
  <c r="AC454" i="9"/>
  <c r="AB454" i="9"/>
  <c r="AA454" i="9"/>
  <c r="Z454" i="9"/>
  <c r="Y454" i="9"/>
  <c r="T454" i="9" s="1"/>
  <c r="W454" i="9" s="1"/>
  <c r="V454" i="9"/>
  <c r="U454" i="9"/>
  <c r="AF453" i="9"/>
  <c r="AE453" i="9"/>
  <c r="V453" i="9" s="1"/>
  <c r="AD453" i="9"/>
  <c r="AC453" i="9"/>
  <c r="U453" i="9" s="1"/>
  <c r="AB453" i="9"/>
  <c r="AA453" i="9"/>
  <c r="Z453" i="9"/>
  <c r="Y453" i="9"/>
  <c r="T453" i="9"/>
  <c r="AF452" i="9"/>
  <c r="AE452" i="9"/>
  <c r="V452" i="9" s="1"/>
  <c r="AD452" i="9"/>
  <c r="AC452" i="9"/>
  <c r="AB452" i="9"/>
  <c r="U452" i="9" s="1"/>
  <c r="AA452" i="9"/>
  <c r="Z452" i="9"/>
  <c r="Y452" i="9"/>
  <c r="T452" i="9" s="1"/>
  <c r="AF451" i="9"/>
  <c r="AE451" i="9"/>
  <c r="AD451" i="9"/>
  <c r="AC451" i="9"/>
  <c r="U451" i="9" s="1"/>
  <c r="AB451" i="9"/>
  <c r="AA451" i="9"/>
  <c r="Z451" i="9"/>
  <c r="Y451" i="9"/>
  <c r="V451" i="9"/>
  <c r="W451" i="9" s="1"/>
  <c r="T451" i="9"/>
  <c r="AF450" i="9"/>
  <c r="AE450" i="9"/>
  <c r="AD450" i="9"/>
  <c r="AC450" i="9"/>
  <c r="AB450" i="9"/>
  <c r="AA450" i="9"/>
  <c r="Z450" i="9"/>
  <c r="Y450" i="9"/>
  <c r="T450" i="9" s="1"/>
  <c r="W450" i="9" s="1"/>
  <c r="V450" i="9"/>
  <c r="U450" i="9"/>
  <c r="AF449" i="9"/>
  <c r="AE449" i="9"/>
  <c r="V449" i="9" s="1"/>
  <c r="W449" i="9" s="1"/>
  <c r="AD449" i="9"/>
  <c r="AC449" i="9"/>
  <c r="U449" i="9" s="1"/>
  <c r="AB449" i="9"/>
  <c r="AA449" i="9"/>
  <c r="Z449" i="9"/>
  <c r="Y449" i="9"/>
  <c r="T449" i="9"/>
  <c r="AF448" i="9"/>
  <c r="AE448" i="9"/>
  <c r="V448" i="9" s="1"/>
  <c r="AD448" i="9"/>
  <c r="AC448" i="9"/>
  <c r="AB448" i="9"/>
  <c r="U448" i="9" s="1"/>
  <c r="AA448" i="9"/>
  <c r="Z448" i="9"/>
  <c r="Y448" i="9"/>
  <c r="T448" i="9" s="1"/>
  <c r="AF447" i="9"/>
  <c r="AE447" i="9"/>
  <c r="AD447" i="9"/>
  <c r="AC447" i="9"/>
  <c r="U447" i="9" s="1"/>
  <c r="AB447" i="9"/>
  <c r="AA447" i="9"/>
  <c r="Z447" i="9"/>
  <c r="Y447" i="9"/>
  <c r="T447" i="9" s="1"/>
  <c r="V447" i="9"/>
  <c r="AF446" i="9"/>
  <c r="AE446" i="9"/>
  <c r="AD446" i="9"/>
  <c r="AC446" i="9"/>
  <c r="AB446" i="9"/>
  <c r="AA446" i="9"/>
  <c r="Z446" i="9"/>
  <c r="Y446" i="9"/>
  <c r="T446" i="9" s="1"/>
  <c r="W446" i="9" s="1"/>
  <c r="V446" i="9"/>
  <c r="U446" i="9"/>
  <c r="AF445" i="9"/>
  <c r="AE445" i="9"/>
  <c r="V445" i="9" s="1"/>
  <c r="AD445" i="9"/>
  <c r="AC445" i="9"/>
  <c r="U445" i="9" s="1"/>
  <c r="AB445" i="9"/>
  <c r="AA445" i="9"/>
  <c r="Z445" i="9"/>
  <c r="Y445" i="9"/>
  <c r="T445" i="9"/>
  <c r="AF444" i="9"/>
  <c r="AE444" i="9"/>
  <c r="V444" i="9" s="1"/>
  <c r="AD444" i="9"/>
  <c r="AC444" i="9"/>
  <c r="U444" i="9" s="1"/>
  <c r="AB444" i="9"/>
  <c r="AA444" i="9"/>
  <c r="Z444" i="9"/>
  <c r="Y444" i="9"/>
  <c r="AF443" i="9"/>
  <c r="AE443" i="9"/>
  <c r="AD443" i="9"/>
  <c r="AC443" i="9"/>
  <c r="U443" i="9" s="1"/>
  <c r="AB443" i="9"/>
  <c r="AA443" i="9"/>
  <c r="Z443" i="9"/>
  <c r="Y443" i="9"/>
  <c r="T443" i="9" s="1"/>
  <c r="V443" i="9"/>
  <c r="W443" i="9" s="1"/>
  <c r="AF442" i="9"/>
  <c r="AE442" i="9"/>
  <c r="AD442" i="9"/>
  <c r="AC442" i="9"/>
  <c r="AB442" i="9"/>
  <c r="AA442" i="9"/>
  <c r="Z442" i="9"/>
  <c r="Y442" i="9"/>
  <c r="T442" i="9" s="1"/>
  <c r="W442" i="9" s="1"/>
  <c r="V442" i="9"/>
  <c r="U442" i="9"/>
  <c r="AF441" i="9"/>
  <c r="AE441" i="9"/>
  <c r="V441" i="9" s="1"/>
  <c r="AD441" i="9"/>
  <c r="AC441" i="9"/>
  <c r="U441" i="9" s="1"/>
  <c r="AB441" i="9"/>
  <c r="AA441" i="9"/>
  <c r="Z441" i="9"/>
  <c r="Y441" i="9"/>
  <c r="T441" i="9"/>
  <c r="AF440" i="9"/>
  <c r="AE440" i="9"/>
  <c r="V440" i="9" s="1"/>
  <c r="AD440" i="9"/>
  <c r="AC440" i="9"/>
  <c r="AB440" i="9"/>
  <c r="AA440" i="9"/>
  <c r="Z440" i="9"/>
  <c r="Y440" i="9"/>
  <c r="U440" i="9"/>
  <c r="AF439" i="9"/>
  <c r="AE439" i="9"/>
  <c r="AD439" i="9"/>
  <c r="AC439" i="9"/>
  <c r="U439" i="9" s="1"/>
  <c r="AB439" i="9"/>
  <c r="AA439" i="9"/>
  <c r="Z439" i="9"/>
  <c r="Y439" i="9"/>
  <c r="T439" i="9" s="1"/>
  <c r="V439" i="9"/>
  <c r="W439" i="9" s="1"/>
  <c r="AF438" i="9"/>
  <c r="AE438" i="9"/>
  <c r="AD438" i="9"/>
  <c r="AC438" i="9"/>
  <c r="AB438" i="9"/>
  <c r="AA438" i="9"/>
  <c r="Z438" i="9"/>
  <c r="Y438" i="9"/>
  <c r="T438" i="9" s="1"/>
  <c r="W438" i="9" s="1"/>
  <c r="V438" i="9"/>
  <c r="U438" i="9"/>
  <c r="AF437" i="9"/>
  <c r="AE437" i="9"/>
  <c r="V437" i="9" s="1"/>
  <c r="AD437" i="9"/>
  <c r="AC437" i="9"/>
  <c r="U437" i="9" s="1"/>
  <c r="AB437" i="9"/>
  <c r="AA437" i="9"/>
  <c r="Z437" i="9"/>
  <c r="Y437" i="9"/>
  <c r="T437" i="9"/>
  <c r="AF436" i="9"/>
  <c r="AE436" i="9"/>
  <c r="V436" i="9" s="1"/>
  <c r="AD436" i="9"/>
  <c r="AC436" i="9"/>
  <c r="AB436" i="9"/>
  <c r="AA436" i="9"/>
  <c r="Z436" i="9"/>
  <c r="Y436" i="9"/>
  <c r="T436" i="9" s="1"/>
  <c r="U436" i="9"/>
  <c r="AF435" i="9"/>
  <c r="AE435" i="9"/>
  <c r="AD435" i="9"/>
  <c r="AC435" i="9"/>
  <c r="U435" i="9" s="1"/>
  <c r="AB435" i="9"/>
  <c r="AA435" i="9"/>
  <c r="Z435" i="9"/>
  <c r="T435" i="9" s="1"/>
  <c r="Y435" i="9"/>
  <c r="V435" i="9"/>
  <c r="AF434" i="9"/>
  <c r="AE434" i="9"/>
  <c r="AD434" i="9"/>
  <c r="AC434" i="9"/>
  <c r="AB434" i="9"/>
  <c r="AA434" i="9"/>
  <c r="Z434" i="9"/>
  <c r="Y434" i="9"/>
  <c r="T434" i="9" s="1"/>
  <c r="W434" i="9" s="1"/>
  <c r="V434" i="9"/>
  <c r="U434" i="9"/>
  <c r="AF433" i="9"/>
  <c r="AE433" i="9"/>
  <c r="V433" i="9" s="1"/>
  <c r="W433" i="9" s="1"/>
  <c r="AD433" i="9"/>
  <c r="AC433" i="9"/>
  <c r="U433" i="9" s="1"/>
  <c r="AB433" i="9"/>
  <c r="AA433" i="9"/>
  <c r="Z433" i="9"/>
  <c r="Y433" i="9"/>
  <c r="T433" i="9"/>
  <c r="AF432" i="9"/>
  <c r="AE432" i="9"/>
  <c r="V432" i="9" s="1"/>
  <c r="AD432" i="9"/>
  <c r="AC432" i="9"/>
  <c r="AB432" i="9"/>
  <c r="AA432" i="9"/>
  <c r="Z432" i="9"/>
  <c r="Y432" i="9"/>
  <c r="T432" i="9" s="1"/>
  <c r="U432" i="9"/>
  <c r="AF431" i="9"/>
  <c r="AE431" i="9"/>
  <c r="AD431" i="9"/>
  <c r="AC431" i="9"/>
  <c r="U431" i="9" s="1"/>
  <c r="AB431" i="9"/>
  <c r="AA431" i="9"/>
  <c r="Z431" i="9"/>
  <c r="Y431" i="9"/>
  <c r="V431" i="9"/>
  <c r="W431" i="9" s="1"/>
  <c r="T431" i="9"/>
  <c r="AF430" i="9"/>
  <c r="AE430" i="9"/>
  <c r="AD430" i="9"/>
  <c r="AC430" i="9"/>
  <c r="AB430" i="9"/>
  <c r="AA430" i="9"/>
  <c r="Z430" i="9"/>
  <c r="Y430" i="9"/>
  <c r="T430" i="9" s="1"/>
  <c r="W430" i="9" s="1"/>
  <c r="V430" i="9"/>
  <c r="U430" i="9"/>
  <c r="AF429" i="9"/>
  <c r="AE429" i="9"/>
  <c r="V429" i="9" s="1"/>
  <c r="AD429" i="9"/>
  <c r="AC429" i="9"/>
  <c r="U429" i="9" s="1"/>
  <c r="AB429" i="9"/>
  <c r="AA429" i="9"/>
  <c r="Z429" i="9"/>
  <c r="Y429" i="9"/>
  <c r="T429" i="9"/>
  <c r="AF428" i="9"/>
  <c r="AE428" i="9"/>
  <c r="V428" i="9" s="1"/>
  <c r="AD428" i="9"/>
  <c r="AC428" i="9"/>
  <c r="AB428" i="9"/>
  <c r="AA428" i="9"/>
  <c r="Z428" i="9"/>
  <c r="Y428" i="9"/>
  <c r="U428" i="9"/>
  <c r="AF427" i="9"/>
  <c r="AE427" i="9"/>
  <c r="AD427" i="9"/>
  <c r="AC427" i="9"/>
  <c r="U427" i="9" s="1"/>
  <c r="AB427" i="9"/>
  <c r="AA427" i="9"/>
  <c r="Z427" i="9"/>
  <c r="T427" i="9" s="1"/>
  <c r="Y427" i="9"/>
  <c r="V427" i="9"/>
  <c r="W427" i="9" s="1"/>
  <c r="AF426" i="9"/>
  <c r="AE426" i="9"/>
  <c r="AD426" i="9"/>
  <c r="AC426" i="9"/>
  <c r="AB426" i="9"/>
  <c r="AA426" i="9"/>
  <c r="Z426" i="9"/>
  <c r="Y426" i="9"/>
  <c r="T426" i="9" s="1"/>
  <c r="W426" i="9" s="1"/>
  <c r="V426" i="9"/>
  <c r="U426" i="9"/>
  <c r="AF425" i="9"/>
  <c r="AE425" i="9"/>
  <c r="V425" i="9" s="1"/>
  <c r="AD425" i="9"/>
  <c r="AC425" i="9"/>
  <c r="U425" i="9" s="1"/>
  <c r="AB425" i="9"/>
  <c r="AA425" i="9"/>
  <c r="Z425" i="9"/>
  <c r="Y425" i="9"/>
  <c r="T425" i="9"/>
  <c r="AF424" i="9"/>
  <c r="AE424" i="9"/>
  <c r="V424" i="9" s="1"/>
  <c r="AD424" i="9"/>
  <c r="AC424" i="9"/>
  <c r="U424" i="9" s="1"/>
  <c r="AB424" i="9"/>
  <c r="AA424" i="9"/>
  <c r="Z424" i="9"/>
  <c r="Y424" i="9"/>
  <c r="T424" i="9" s="1"/>
  <c r="AF423" i="9"/>
  <c r="AE423" i="9"/>
  <c r="AD423" i="9"/>
  <c r="AC423" i="9"/>
  <c r="U423" i="9" s="1"/>
  <c r="AB423" i="9"/>
  <c r="AA423" i="9"/>
  <c r="Z423" i="9"/>
  <c r="Y423" i="9"/>
  <c r="V423" i="9"/>
  <c r="W423" i="9" s="1"/>
  <c r="T423" i="9"/>
  <c r="AF422" i="9"/>
  <c r="V422" i="9" s="1"/>
  <c r="AE422" i="9"/>
  <c r="AD422" i="9"/>
  <c r="AC422" i="9"/>
  <c r="AB422" i="9"/>
  <c r="AA422" i="9"/>
  <c r="Z422" i="9"/>
  <c r="Y422" i="9"/>
  <c r="T422" i="9" s="1"/>
  <c r="U422" i="9"/>
  <c r="AF421" i="9"/>
  <c r="AE421" i="9"/>
  <c r="V421" i="9" s="1"/>
  <c r="W421" i="9" s="1"/>
  <c r="AD421" i="9"/>
  <c r="AC421" i="9"/>
  <c r="U421" i="9" s="1"/>
  <c r="AB421" i="9"/>
  <c r="AA421" i="9"/>
  <c r="Z421" i="9"/>
  <c r="Y421" i="9"/>
  <c r="T421" i="9"/>
  <c r="AF420" i="9"/>
  <c r="AE420" i="9"/>
  <c r="V420" i="9" s="1"/>
  <c r="AD420" i="9"/>
  <c r="AC420" i="9"/>
  <c r="AB420" i="9"/>
  <c r="U420" i="9" s="1"/>
  <c r="AA420" i="9"/>
  <c r="Z420" i="9"/>
  <c r="Y420" i="9"/>
  <c r="T420" i="9" s="1"/>
  <c r="AF419" i="9"/>
  <c r="AE419" i="9"/>
  <c r="AD419" i="9"/>
  <c r="AC419" i="9"/>
  <c r="U419" i="9" s="1"/>
  <c r="AB419" i="9"/>
  <c r="AA419" i="9"/>
  <c r="Z419" i="9"/>
  <c r="T419" i="9" s="1"/>
  <c r="Y419" i="9"/>
  <c r="V419" i="9"/>
  <c r="W419" i="9" s="1"/>
  <c r="AF418" i="9"/>
  <c r="AE418" i="9"/>
  <c r="AD418" i="9"/>
  <c r="AC418" i="9"/>
  <c r="AB418" i="9"/>
  <c r="AA418" i="9"/>
  <c r="Z418" i="9"/>
  <c r="Y418" i="9"/>
  <c r="T418" i="9" s="1"/>
  <c r="W418" i="9" s="1"/>
  <c r="V418" i="9"/>
  <c r="U418" i="9"/>
  <c r="AF417" i="9"/>
  <c r="AE417" i="9"/>
  <c r="V417" i="9" s="1"/>
  <c r="W417" i="9" s="1"/>
  <c r="AD417" i="9"/>
  <c r="AC417" i="9"/>
  <c r="U417" i="9" s="1"/>
  <c r="AB417" i="9"/>
  <c r="AA417" i="9"/>
  <c r="Z417" i="9"/>
  <c r="Y417" i="9"/>
  <c r="T417" i="9"/>
  <c r="AF416" i="9"/>
  <c r="AE416" i="9"/>
  <c r="V416" i="9" s="1"/>
  <c r="AD416" i="9"/>
  <c r="AC416" i="9"/>
  <c r="U416" i="9" s="1"/>
  <c r="AB416" i="9"/>
  <c r="AA416" i="9"/>
  <c r="Z416" i="9"/>
  <c r="Y416" i="9"/>
  <c r="AF415" i="9"/>
  <c r="AE415" i="9"/>
  <c r="AD415" i="9"/>
  <c r="AC415" i="9"/>
  <c r="U415" i="9" s="1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W414" i="9" s="1"/>
  <c r="V414" i="9"/>
  <c r="U414" i="9"/>
  <c r="AF413" i="9"/>
  <c r="AE413" i="9"/>
  <c r="V413" i="9" s="1"/>
  <c r="AD413" i="9"/>
  <c r="AC413" i="9"/>
  <c r="U413" i="9" s="1"/>
  <c r="AB413" i="9"/>
  <c r="AA413" i="9"/>
  <c r="Z413" i="9"/>
  <c r="Y413" i="9"/>
  <c r="T413" i="9"/>
  <c r="AF412" i="9"/>
  <c r="AE412" i="9"/>
  <c r="V412" i="9" s="1"/>
  <c r="AD412" i="9"/>
  <c r="AC412" i="9"/>
  <c r="U412" i="9" s="1"/>
  <c r="AB412" i="9"/>
  <c r="AA412" i="9"/>
  <c r="Z412" i="9"/>
  <c r="Y412" i="9"/>
  <c r="AF411" i="9"/>
  <c r="AE411" i="9"/>
  <c r="AD411" i="9"/>
  <c r="AC411" i="9"/>
  <c r="U411" i="9" s="1"/>
  <c r="AB411" i="9"/>
  <c r="AA411" i="9"/>
  <c r="Z411" i="9"/>
  <c r="Y411" i="9"/>
  <c r="T411" i="9" s="1"/>
  <c r="V411" i="9"/>
  <c r="W411" i="9" s="1"/>
  <c r="AF410" i="9"/>
  <c r="AE410" i="9"/>
  <c r="AD410" i="9"/>
  <c r="AC410" i="9"/>
  <c r="AB410" i="9"/>
  <c r="AA410" i="9"/>
  <c r="Z410" i="9"/>
  <c r="Y410" i="9"/>
  <c r="T410" i="9" s="1"/>
  <c r="W410" i="9" s="1"/>
  <c r="V410" i="9"/>
  <c r="U410" i="9"/>
  <c r="AF409" i="9"/>
  <c r="AE409" i="9"/>
  <c r="V409" i="9" s="1"/>
  <c r="AD409" i="9"/>
  <c r="AC409" i="9"/>
  <c r="U409" i="9" s="1"/>
  <c r="AB409" i="9"/>
  <c r="AA409" i="9"/>
  <c r="Z409" i="9"/>
  <c r="Y409" i="9"/>
  <c r="T409" i="9"/>
  <c r="AF408" i="9"/>
  <c r="AE408" i="9"/>
  <c r="V408" i="9" s="1"/>
  <c r="AD408" i="9"/>
  <c r="AC408" i="9"/>
  <c r="U408" i="9" s="1"/>
  <c r="AB408" i="9"/>
  <c r="AA408" i="9"/>
  <c r="Z408" i="9"/>
  <c r="Y408" i="9"/>
  <c r="T408" i="9" s="1"/>
  <c r="AF407" i="9"/>
  <c r="AE407" i="9"/>
  <c r="AD407" i="9"/>
  <c r="AC407" i="9"/>
  <c r="U407" i="9" s="1"/>
  <c r="AB407" i="9"/>
  <c r="AA407" i="9"/>
  <c r="Z407" i="9"/>
  <c r="Y407" i="9"/>
  <c r="T407" i="9" s="1"/>
  <c r="V407" i="9"/>
  <c r="W407" i="9" s="1"/>
  <c r="AF406" i="9"/>
  <c r="AE406" i="9"/>
  <c r="AD406" i="9"/>
  <c r="AC406" i="9"/>
  <c r="AB406" i="9"/>
  <c r="AA406" i="9"/>
  <c r="Z406" i="9"/>
  <c r="Y406" i="9"/>
  <c r="T406" i="9" s="1"/>
  <c r="W406" i="9" s="1"/>
  <c r="V406" i="9"/>
  <c r="U406" i="9"/>
  <c r="AF405" i="9"/>
  <c r="AE405" i="9"/>
  <c r="V405" i="9" s="1"/>
  <c r="W405" i="9" s="1"/>
  <c r="AD405" i="9"/>
  <c r="AC405" i="9"/>
  <c r="U405" i="9" s="1"/>
  <c r="AB405" i="9"/>
  <c r="AA405" i="9"/>
  <c r="Z405" i="9"/>
  <c r="Y405" i="9"/>
  <c r="T405" i="9"/>
  <c r="AF404" i="9"/>
  <c r="AE404" i="9"/>
  <c r="V404" i="9" s="1"/>
  <c r="AD404" i="9"/>
  <c r="AC404" i="9"/>
  <c r="U404" i="9" s="1"/>
  <c r="AB404" i="9"/>
  <c r="AA404" i="9"/>
  <c r="Z404" i="9"/>
  <c r="Y404" i="9"/>
  <c r="T404" i="9" s="1"/>
  <c r="AF403" i="9"/>
  <c r="AE403" i="9"/>
  <c r="AD403" i="9"/>
  <c r="AC403" i="9"/>
  <c r="U403" i="9" s="1"/>
  <c r="AB403" i="9"/>
  <c r="AA403" i="9"/>
  <c r="Z403" i="9"/>
  <c r="Y403" i="9"/>
  <c r="T403" i="9" s="1"/>
  <c r="V403" i="9"/>
  <c r="W403" i="9" s="1"/>
  <c r="AF402" i="9"/>
  <c r="AE402" i="9"/>
  <c r="AD402" i="9"/>
  <c r="AC402" i="9"/>
  <c r="AB402" i="9"/>
  <c r="AA402" i="9"/>
  <c r="Z402" i="9"/>
  <c r="Y402" i="9"/>
  <c r="T402" i="9" s="1"/>
  <c r="W402" i="9" s="1"/>
  <c r="V402" i="9"/>
  <c r="U402" i="9"/>
  <c r="AF401" i="9"/>
  <c r="AE401" i="9"/>
  <c r="V401" i="9" s="1"/>
  <c r="W401" i="9" s="1"/>
  <c r="AD401" i="9"/>
  <c r="AC401" i="9"/>
  <c r="U401" i="9" s="1"/>
  <c r="AB401" i="9"/>
  <c r="AA401" i="9"/>
  <c r="Z401" i="9"/>
  <c r="Y401" i="9"/>
  <c r="T401" i="9"/>
  <c r="AF400" i="9"/>
  <c r="AE400" i="9"/>
  <c r="V400" i="9" s="1"/>
  <c r="AD400" i="9"/>
  <c r="AC400" i="9"/>
  <c r="U400" i="9" s="1"/>
  <c r="AB400" i="9"/>
  <c r="AA400" i="9"/>
  <c r="Z400" i="9"/>
  <c r="Y400" i="9"/>
  <c r="AF399" i="9"/>
  <c r="AE399" i="9"/>
  <c r="AD399" i="9"/>
  <c r="AC399" i="9"/>
  <c r="U399" i="9" s="1"/>
  <c r="AB399" i="9"/>
  <c r="AA399" i="9"/>
  <c r="Z399" i="9"/>
  <c r="Y399" i="9"/>
  <c r="T399" i="9" s="1"/>
  <c r="V399" i="9"/>
  <c r="W399" i="9" s="1"/>
  <c r="AF398" i="9"/>
  <c r="AE398" i="9"/>
  <c r="AD398" i="9"/>
  <c r="AC398" i="9"/>
  <c r="AB398" i="9"/>
  <c r="AA398" i="9"/>
  <c r="Z398" i="9"/>
  <c r="Y398" i="9"/>
  <c r="T398" i="9" s="1"/>
  <c r="V398" i="9"/>
  <c r="U398" i="9"/>
  <c r="AF397" i="9"/>
  <c r="AE397" i="9"/>
  <c r="V397" i="9" s="1"/>
  <c r="W397" i="9" s="1"/>
  <c r="AD397" i="9"/>
  <c r="AC397" i="9"/>
  <c r="U397" i="9" s="1"/>
  <c r="AB397" i="9"/>
  <c r="AA397" i="9"/>
  <c r="Z397" i="9"/>
  <c r="Y397" i="9"/>
  <c r="T397" i="9"/>
  <c r="AF396" i="9"/>
  <c r="AE396" i="9"/>
  <c r="V396" i="9" s="1"/>
  <c r="AD396" i="9"/>
  <c r="AC396" i="9"/>
  <c r="U396" i="9" s="1"/>
  <c r="AB396" i="9"/>
  <c r="AA396" i="9"/>
  <c r="Z396" i="9"/>
  <c r="Y396" i="9"/>
  <c r="AF395" i="9"/>
  <c r="AE395" i="9"/>
  <c r="AD395" i="9"/>
  <c r="AC395" i="9"/>
  <c r="U395" i="9" s="1"/>
  <c r="AB395" i="9"/>
  <c r="AA395" i="9"/>
  <c r="Z395" i="9"/>
  <c r="Y395" i="9"/>
  <c r="T395" i="9" s="1"/>
  <c r="V395" i="9"/>
  <c r="W395" i="9" s="1"/>
  <c r="AF394" i="9"/>
  <c r="AE394" i="9"/>
  <c r="AD394" i="9"/>
  <c r="AC394" i="9"/>
  <c r="AB394" i="9"/>
  <c r="U394" i="9" s="1"/>
  <c r="AA394" i="9"/>
  <c r="Z394" i="9"/>
  <c r="Y394" i="9"/>
  <c r="T394" i="9" s="1"/>
  <c r="W394" i="9" s="1"/>
  <c r="V394" i="9"/>
  <c r="AF393" i="9"/>
  <c r="AE393" i="9"/>
  <c r="V393" i="9" s="1"/>
  <c r="W393" i="9" s="1"/>
  <c r="AD393" i="9"/>
  <c r="AC393" i="9"/>
  <c r="U393" i="9" s="1"/>
  <c r="AB393" i="9"/>
  <c r="AA393" i="9"/>
  <c r="Z393" i="9"/>
  <c r="Y393" i="9"/>
  <c r="T393" i="9"/>
  <c r="AF392" i="9"/>
  <c r="AE392" i="9"/>
  <c r="V392" i="9" s="1"/>
  <c r="AD392" i="9"/>
  <c r="AC392" i="9"/>
  <c r="U392" i="9" s="1"/>
  <c r="AB392" i="9"/>
  <c r="AA392" i="9"/>
  <c r="Z392" i="9"/>
  <c r="Y392" i="9"/>
  <c r="AF391" i="9"/>
  <c r="AE391" i="9"/>
  <c r="AD391" i="9"/>
  <c r="AC391" i="9"/>
  <c r="U391" i="9" s="1"/>
  <c r="AB391" i="9"/>
  <c r="AA391" i="9"/>
  <c r="Z391" i="9"/>
  <c r="Y391" i="9"/>
  <c r="V391" i="9"/>
  <c r="T391" i="9"/>
  <c r="AF390" i="9"/>
  <c r="AE390" i="9"/>
  <c r="AD390" i="9"/>
  <c r="AC390" i="9"/>
  <c r="AB390" i="9"/>
  <c r="U390" i="9" s="1"/>
  <c r="AA390" i="9"/>
  <c r="Z390" i="9"/>
  <c r="Y390" i="9"/>
  <c r="T390" i="9" s="1"/>
  <c r="V390" i="9"/>
  <c r="AF389" i="9"/>
  <c r="AE389" i="9"/>
  <c r="V389" i="9" s="1"/>
  <c r="W389" i="9" s="1"/>
  <c r="AD389" i="9"/>
  <c r="AC389" i="9"/>
  <c r="U389" i="9" s="1"/>
  <c r="AB389" i="9"/>
  <c r="AA389" i="9"/>
  <c r="Z389" i="9"/>
  <c r="Y389" i="9"/>
  <c r="T389" i="9"/>
  <c r="AF388" i="9"/>
  <c r="AE388" i="9"/>
  <c r="V388" i="9" s="1"/>
  <c r="AD388" i="9"/>
  <c r="AC388" i="9"/>
  <c r="U388" i="9" s="1"/>
  <c r="AB388" i="9"/>
  <c r="AA388" i="9"/>
  <c r="Z388" i="9"/>
  <c r="Y388" i="9"/>
  <c r="T388" i="9" s="1"/>
  <c r="AF387" i="9"/>
  <c r="AE387" i="9"/>
  <c r="AD387" i="9"/>
  <c r="AC387" i="9"/>
  <c r="AB387" i="9"/>
  <c r="AA387" i="9"/>
  <c r="Z387" i="9"/>
  <c r="Y387" i="9"/>
  <c r="V387" i="9"/>
  <c r="W387" i="9" s="1"/>
  <c r="U387" i="9"/>
  <c r="T387" i="9"/>
  <c r="AF386" i="9"/>
  <c r="AE386" i="9"/>
  <c r="AD386" i="9"/>
  <c r="AC386" i="9"/>
  <c r="AB386" i="9"/>
  <c r="U386" i="9" s="1"/>
  <c r="AA386" i="9"/>
  <c r="Z386" i="9"/>
  <c r="Y386" i="9"/>
  <c r="T386" i="9" s="1"/>
  <c r="V386" i="9"/>
  <c r="AF385" i="9"/>
  <c r="AE385" i="9"/>
  <c r="V385" i="9" s="1"/>
  <c r="W385" i="9" s="1"/>
  <c r="AD385" i="9"/>
  <c r="AC385" i="9"/>
  <c r="U385" i="9" s="1"/>
  <c r="AB385" i="9"/>
  <c r="AA385" i="9"/>
  <c r="Z385" i="9"/>
  <c r="Y385" i="9"/>
  <c r="T385" i="9"/>
  <c r="AF384" i="9"/>
  <c r="AE384" i="9"/>
  <c r="V384" i="9" s="1"/>
  <c r="AD384" i="9"/>
  <c r="AC384" i="9"/>
  <c r="U384" i="9" s="1"/>
  <c r="AB384" i="9"/>
  <c r="AA384" i="9"/>
  <c r="Z384" i="9"/>
  <c r="Y384" i="9"/>
  <c r="AF383" i="9"/>
  <c r="AE383" i="9"/>
  <c r="AD383" i="9"/>
  <c r="AC383" i="9"/>
  <c r="AB383" i="9"/>
  <c r="AA383" i="9"/>
  <c r="Z383" i="9"/>
  <c r="Y383" i="9"/>
  <c r="V383" i="9"/>
  <c r="W383" i="9" s="1"/>
  <c r="U383" i="9"/>
  <c r="T383" i="9"/>
  <c r="AF382" i="9"/>
  <c r="AE382" i="9"/>
  <c r="AD382" i="9"/>
  <c r="AC382" i="9"/>
  <c r="AB382" i="9"/>
  <c r="U382" i="9" s="1"/>
  <c r="AA382" i="9"/>
  <c r="Z382" i="9"/>
  <c r="Y382" i="9"/>
  <c r="T382" i="9" s="1"/>
  <c r="W382" i="9" s="1"/>
  <c r="V382" i="9"/>
  <c r="AF381" i="9"/>
  <c r="AE381" i="9"/>
  <c r="V381" i="9" s="1"/>
  <c r="AD381" i="9"/>
  <c r="AC381" i="9"/>
  <c r="U381" i="9" s="1"/>
  <c r="AB381" i="9"/>
  <c r="AA381" i="9"/>
  <c r="Z381" i="9"/>
  <c r="Y381" i="9"/>
  <c r="T381" i="9"/>
  <c r="AF380" i="9"/>
  <c r="AE380" i="9"/>
  <c r="V380" i="9" s="1"/>
  <c r="AD380" i="9"/>
  <c r="AC380" i="9"/>
  <c r="U380" i="9" s="1"/>
  <c r="AB380" i="9"/>
  <c r="AA380" i="9"/>
  <c r="Z380" i="9"/>
  <c r="Y380" i="9"/>
  <c r="T380" i="9" s="1"/>
  <c r="AF379" i="9"/>
  <c r="AE379" i="9"/>
  <c r="AD379" i="9"/>
  <c r="AC379" i="9"/>
  <c r="AB379" i="9"/>
  <c r="AA379" i="9"/>
  <c r="Z379" i="9"/>
  <c r="Y379" i="9"/>
  <c r="V379" i="9"/>
  <c r="W379" i="9" s="1"/>
  <c r="U379" i="9"/>
  <c r="T379" i="9"/>
  <c r="AF378" i="9"/>
  <c r="V378" i="9" s="1"/>
  <c r="W378" i="9" s="1"/>
  <c r="AE378" i="9"/>
  <c r="AD378" i="9"/>
  <c r="AC378" i="9"/>
  <c r="AB378" i="9"/>
  <c r="U378" i="9" s="1"/>
  <c r="AA378" i="9"/>
  <c r="Z378" i="9"/>
  <c r="Y378" i="9"/>
  <c r="T378" i="9" s="1"/>
  <c r="AF377" i="9"/>
  <c r="AE377" i="9"/>
  <c r="V377" i="9" s="1"/>
  <c r="AD377" i="9"/>
  <c r="AC377" i="9"/>
  <c r="U377" i="9" s="1"/>
  <c r="AB377" i="9"/>
  <c r="AA377" i="9"/>
  <c r="Z377" i="9"/>
  <c r="Y377" i="9"/>
  <c r="T377" i="9"/>
  <c r="AF376" i="9"/>
  <c r="AE376" i="9"/>
  <c r="V376" i="9" s="1"/>
  <c r="AD376" i="9"/>
  <c r="AC376" i="9"/>
  <c r="U376" i="9" s="1"/>
  <c r="AB376" i="9"/>
  <c r="AA376" i="9"/>
  <c r="Z376" i="9"/>
  <c r="Y376" i="9"/>
  <c r="T376" i="9" s="1"/>
  <c r="AF375" i="9"/>
  <c r="AE375" i="9"/>
  <c r="AD375" i="9"/>
  <c r="AC375" i="9"/>
  <c r="AB375" i="9"/>
  <c r="AA375" i="9"/>
  <c r="Z375" i="9"/>
  <c r="Y375" i="9"/>
  <c r="V375" i="9"/>
  <c r="W375" i="9" s="1"/>
  <c r="U375" i="9"/>
  <c r="T375" i="9"/>
  <c r="AF374" i="9"/>
  <c r="V374" i="9" s="1"/>
  <c r="AE374" i="9"/>
  <c r="AD374" i="9"/>
  <c r="AC374" i="9"/>
  <c r="AB374" i="9"/>
  <c r="U374" i="9" s="1"/>
  <c r="AA374" i="9"/>
  <c r="Z374" i="9"/>
  <c r="Y374" i="9"/>
  <c r="T374" i="9" s="1"/>
  <c r="AF373" i="9"/>
  <c r="AE373" i="9"/>
  <c r="V373" i="9" s="1"/>
  <c r="W373" i="9" s="1"/>
  <c r="AD373" i="9"/>
  <c r="AC373" i="9"/>
  <c r="U373" i="9" s="1"/>
  <c r="AB373" i="9"/>
  <c r="AA373" i="9"/>
  <c r="Z373" i="9"/>
  <c r="Y373" i="9"/>
  <c r="T373" i="9"/>
  <c r="AF372" i="9"/>
  <c r="AE372" i="9"/>
  <c r="V372" i="9" s="1"/>
  <c r="AD372" i="9"/>
  <c r="AC372" i="9"/>
  <c r="AB372" i="9"/>
  <c r="AA372" i="9"/>
  <c r="Z372" i="9"/>
  <c r="Y372" i="9"/>
  <c r="T372" i="9" s="1"/>
  <c r="U372" i="9"/>
  <c r="AF371" i="9"/>
  <c r="AE371" i="9"/>
  <c r="AD371" i="9"/>
  <c r="AC371" i="9"/>
  <c r="AB371" i="9"/>
  <c r="AA371" i="9"/>
  <c r="Z371" i="9"/>
  <c r="Y371" i="9"/>
  <c r="V371" i="9"/>
  <c r="W371" i="9" s="1"/>
  <c r="U371" i="9"/>
  <c r="T371" i="9"/>
  <c r="AF370" i="9"/>
  <c r="AE370" i="9"/>
  <c r="V370" i="9" s="1"/>
  <c r="W370" i="9" s="1"/>
  <c r="AD370" i="9"/>
  <c r="AC370" i="9"/>
  <c r="AB370" i="9"/>
  <c r="U370" i="9" s="1"/>
  <c r="AA370" i="9"/>
  <c r="Z370" i="9"/>
  <c r="Y370" i="9"/>
  <c r="T370" i="9" s="1"/>
  <c r="AF369" i="9"/>
  <c r="AE369" i="9"/>
  <c r="V369" i="9" s="1"/>
  <c r="AD369" i="9"/>
  <c r="AC369" i="9"/>
  <c r="U369" i="9" s="1"/>
  <c r="AB369" i="9"/>
  <c r="AA369" i="9"/>
  <c r="T369" i="9" s="1"/>
  <c r="Z369" i="9"/>
  <c r="Y369" i="9"/>
  <c r="AF368" i="9"/>
  <c r="AE368" i="9"/>
  <c r="AD368" i="9"/>
  <c r="AC368" i="9"/>
  <c r="U368" i="9" s="1"/>
  <c r="AB368" i="9"/>
  <c r="AA368" i="9"/>
  <c r="Z368" i="9"/>
  <c r="Y368" i="9"/>
  <c r="T368" i="9" s="1"/>
  <c r="V368" i="9"/>
  <c r="AF367" i="9"/>
  <c r="AE367" i="9"/>
  <c r="AD367" i="9"/>
  <c r="AC367" i="9"/>
  <c r="AB367" i="9"/>
  <c r="AA367" i="9"/>
  <c r="Z367" i="9"/>
  <c r="Y367" i="9"/>
  <c r="V367" i="9"/>
  <c r="W367" i="9" s="1"/>
  <c r="U367" i="9"/>
  <c r="T367" i="9"/>
  <c r="AF366" i="9"/>
  <c r="AE366" i="9"/>
  <c r="V366" i="9" s="1"/>
  <c r="W366" i="9" s="1"/>
  <c r="AD366" i="9"/>
  <c r="AC366" i="9"/>
  <c r="AB366" i="9"/>
  <c r="U366" i="9" s="1"/>
  <c r="AA366" i="9"/>
  <c r="Z366" i="9"/>
  <c r="Y366" i="9"/>
  <c r="T366" i="9" s="1"/>
  <c r="AF365" i="9"/>
  <c r="AE365" i="9"/>
  <c r="V365" i="9" s="1"/>
  <c r="AD365" i="9"/>
  <c r="AC365" i="9"/>
  <c r="U365" i="9" s="1"/>
  <c r="AB365" i="9"/>
  <c r="AA365" i="9"/>
  <c r="T365" i="9" s="1"/>
  <c r="Z365" i="9"/>
  <c r="Y365" i="9"/>
  <c r="AF364" i="9"/>
  <c r="AE364" i="9"/>
  <c r="AD364" i="9"/>
  <c r="AC364" i="9"/>
  <c r="U364" i="9" s="1"/>
  <c r="AB364" i="9"/>
  <c r="AA364" i="9"/>
  <c r="Z364" i="9"/>
  <c r="Y364" i="9"/>
  <c r="T364" i="9" s="1"/>
  <c r="V364" i="9"/>
  <c r="AF363" i="9"/>
  <c r="AE363" i="9"/>
  <c r="AD363" i="9"/>
  <c r="AC363" i="9"/>
  <c r="AB363" i="9"/>
  <c r="AA363" i="9"/>
  <c r="Z363" i="9"/>
  <c r="Y363" i="9"/>
  <c r="V363" i="9"/>
  <c r="W363" i="9" s="1"/>
  <c r="U363" i="9"/>
  <c r="T363" i="9"/>
  <c r="AF362" i="9"/>
  <c r="AE362" i="9"/>
  <c r="V362" i="9" s="1"/>
  <c r="AD362" i="9"/>
  <c r="AC362" i="9"/>
  <c r="AB362" i="9"/>
  <c r="U362" i="9" s="1"/>
  <c r="AA362" i="9"/>
  <c r="Z362" i="9"/>
  <c r="Y362" i="9"/>
  <c r="T362" i="9" s="1"/>
  <c r="AF361" i="9"/>
  <c r="AE361" i="9"/>
  <c r="V361" i="9" s="1"/>
  <c r="AD361" i="9"/>
  <c r="AC361" i="9"/>
  <c r="U361" i="9" s="1"/>
  <c r="AB361" i="9"/>
  <c r="AA361" i="9"/>
  <c r="T361" i="9" s="1"/>
  <c r="Z361" i="9"/>
  <c r="Y361" i="9"/>
  <c r="AF360" i="9"/>
  <c r="AE360" i="9"/>
  <c r="AD360" i="9"/>
  <c r="AC360" i="9"/>
  <c r="U360" i="9" s="1"/>
  <c r="AB360" i="9"/>
  <c r="AA360" i="9"/>
  <c r="Z360" i="9"/>
  <c r="Y360" i="9"/>
  <c r="T360" i="9" s="1"/>
  <c r="V360" i="9"/>
  <c r="AF359" i="9"/>
  <c r="AE359" i="9"/>
  <c r="AD359" i="9"/>
  <c r="AC359" i="9"/>
  <c r="AB359" i="9"/>
  <c r="AA359" i="9"/>
  <c r="Z359" i="9"/>
  <c r="Y359" i="9"/>
  <c r="V359" i="9"/>
  <c r="W359" i="9" s="1"/>
  <c r="U359" i="9"/>
  <c r="T359" i="9"/>
  <c r="AF358" i="9"/>
  <c r="AE358" i="9"/>
  <c r="V358" i="9" s="1"/>
  <c r="AD358" i="9"/>
  <c r="AC358" i="9"/>
  <c r="AB358" i="9"/>
  <c r="U358" i="9" s="1"/>
  <c r="AA358" i="9"/>
  <c r="Z358" i="9"/>
  <c r="Y358" i="9"/>
  <c r="T358" i="9" s="1"/>
  <c r="AF357" i="9"/>
  <c r="AE357" i="9"/>
  <c r="V357" i="9" s="1"/>
  <c r="AD357" i="9"/>
  <c r="AC357" i="9"/>
  <c r="U357" i="9" s="1"/>
  <c r="AB357" i="9"/>
  <c r="AA357" i="9"/>
  <c r="T357" i="9" s="1"/>
  <c r="Z357" i="9"/>
  <c r="Y357" i="9"/>
  <c r="AF356" i="9"/>
  <c r="AE356" i="9"/>
  <c r="AD356" i="9"/>
  <c r="AC356" i="9"/>
  <c r="U356" i="9" s="1"/>
  <c r="AB356" i="9"/>
  <c r="AA356" i="9"/>
  <c r="Z356" i="9"/>
  <c r="Y356" i="9"/>
  <c r="T356" i="9" s="1"/>
  <c r="V356" i="9"/>
  <c r="AF355" i="9"/>
  <c r="AE355" i="9"/>
  <c r="AD355" i="9"/>
  <c r="AC355" i="9"/>
  <c r="AB355" i="9"/>
  <c r="AA355" i="9"/>
  <c r="Z355" i="9"/>
  <c r="Y355" i="9"/>
  <c r="V355" i="9"/>
  <c r="W355" i="9" s="1"/>
  <c r="U355" i="9"/>
  <c r="T355" i="9"/>
  <c r="AF354" i="9"/>
  <c r="AE354" i="9"/>
  <c r="V354" i="9" s="1"/>
  <c r="W354" i="9" s="1"/>
  <c r="AD354" i="9"/>
  <c r="AC354" i="9"/>
  <c r="AB354" i="9"/>
  <c r="U354" i="9" s="1"/>
  <c r="AA354" i="9"/>
  <c r="Z354" i="9"/>
  <c r="Y354" i="9"/>
  <c r="T354" i="9" s="1"/>
  <c r="AF353" i="9"/>
  <c r="AE353" i="9"/>
  <c r="V353" i="9" s="1"/>
  <c r="AD353" i="9"/>
  <c r="AC353" i="9"/>
  <c r="U353" i="9" s="1"/>
  <c r="AB353" i="9"/>
  <c r="AA353" i="9"/>
  <c r="T353" i="9" s="1"/>
  <c r="Z353" i="9"/>
  <c r="Y353" i="9"/>
  <c r="AF352" i="9"/>
  <c r="AE352" i="9"/>
  <c r="AD352" i="9"/>
  <c r="AC352" i="9"/>
  <c r="U352" i="9" s="1"/>
  <c r="AB352" i="9"/>
  <c r="AA352" i="9"/>
  <c r="Z352" i="9"/>
  <c r="Y352" i="9"/>
  <c r="T352" i="9" s="1"/>
  <c r="V352" i="9"/>
  <c r="AF351" i="9"/>
  <c r="AE351" i="9"/>
  <c r="AD351" i="9"/>
  <c r="AC351" i="9"/>
  <c r="AB351" i="9"/>
  <c r="AA351" i="9"/>
  <c r="Z351" i="9"/>
  <c r="Y351" i="9"/>
  <c r="V351" i="9"/>
  <c r="W351" i="9" s="1"/>
  <c r="U351" i="9"/>
  <c r="T351" i="9"/>
  <c r="AF350" i="9"/>
  <c r="AE350" i="9"/>
  <c r="V350" i="9" s="1"/>
  <c r="W350" i="9" s="1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U349" i="9" s="1"/>
  <c r="AB349" i="9"/>
  <c r="AA349" i="9"/>
  <c r="T349" i="9" s="1"/>
  <c r="Z349" i="9"/>
  <c r="Y349" i="9"/>
  <c r="AF348" i="9"/>
  <c r="AE348" i="9"/>
  <c r="AD348" i="9"/>
  <c r="AC348" i="9"/>
  <c r="U348" i="9" s="1"/>
  <c r="AB348" i="9"/>
  <c r="AA348" i="9"/>
  <c r="Z348" i="9"/>
  <c r="Y348" i="9"/>
  <c r="T348" i="9" s="1"/>
  <c r="V348" i="9"/>
  <c r="AF347" i="9"/>
  <c r="AE347" i="9"/>
  <c r="AD347" i="9"/>
  <c r="AC347" i="9"/>
  <c r="AB347" i="9"/>
  <c r="AA347" i="9"/>
  <c r="Z347" i="9"/>
  <c r="Y347" i="9"/>
  <c r="V347" i="9"/>
  <c r="W347" i="9" s="1"/>
  <c r="U347" i="9"/>
  <c r="T347" i="9"/>
  <c r="AF346" i="9"/>
  <c r="AE346" i="9"/>
  <c r="V346" i="9" s="1"/>
  <c r="AD346" i="9"/>
  <c r="AC346" i="9"/>
  <c r="AB346" i="9"/>
  <c r="U346" i="9" s="1"/>
  <c r="AA346" i="9"/>
  <c r="Z346" i="9"/>
  <c r="Y346" i="9"/>
  <c r="T346" i="9" s="1"/>
  <c r="AF345" i="9"/>
  <c r="AE345" i="9"/>
  <c r="V345" i="9" s="1"/>
  <c r="AD345" i="9"/>
  <c r="AC345" i="9"/>
  <c r="U345" i="9" s="1"/>
  <c r="AB345" i="9"/>
  <c r="AA345" i="9"/>
  <c r="T345" i="9" s="1"/>
  <c r="Z345" i="9"/>
  <c r="Y345" i="9"/>
  <c r="AF344" i="9"/>
  <c r="AE344" i="9"/>
  <c r="AD344" i="9"/>
  <c r="AC344" i="9"/>
  <c r="U344" i="9" s="1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V343" i="9"/>
  <c r="W343" i="9" s="1"/>
  <c r="U343" i="9"/>
  <c r="T343" i="9"/>
  <c r="AF342" i="9"/>
  <c r="AE342" i="9"/>
  <c r="V342" i="9" s="1"/>
  <c r="AD342" i="9"/>
  <c r="AC342" i="9"/>
  <c r="AB342" i="9"/>
  <c r="U342" i="9" s="1"/>
  <c r="AA342" i="9"/>
  <c r="Z342" i="9"/>
  <c r="Y342" i="9"/>
  <c r="T342" i="9" s="1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U340" i="9" s="1"/>
  <c r="AB340" i="9"/>
  <c r="AA340" i="9"/>
  <c r="Z340" i="9"/>
  <c r="Y340" i="9"/>
  <c r="T340" i="9" s="1"/>
  <c r="V340" i="9"/>
  <c r="AF339" i="9"/>
  <c r="AE339" i="9"/>
  <c r="AD339" i="9"/>
  <c r="AC339" i="9"/>
  <c r="AB339" i="9"/>
  <c r="AA339" i="9"/>
  <c r="Z339" i="9"/>
  <c r="Y339" i="9"/>
  <c r="V339" i="9"/>
  <c r="W339" i="9" s="1"/>
  <c r="U339" i="9"/>
  <c r="T339" i="9"/>
  <c r="AF338" i="9"/>
  <c r="AE338" i="9"/>
  <c r="V338" i="9" s="1"/>
  <c r="W338" i="9" s="1"/>
  <c r="AD338" i="9"/>
  <c r="AC338" i="9"/>
  <c r="AB338" i="9"/>
  <c r="U338" i="9" s="1"/>
  <c r="AA338" i="9"/>
  <c r="Z338" i="9"/>
  <c r="Y338" i="9"/>
  <c r="T338" i="9" s="1"/>
  <c r="AF337" i="9"/>
  <c r="AE337" i="9"/>
  <c r="V337" i="9" s="1"/>
  <c r="AD337" i="9"/>
  <c r="AC337" i="9"/>
  <c r="U337" i="9" s="1"/>
  <c r="AB337" i="9"/>
  <c r="AA337" i="9"/>
  <c r="T337" i="9" s="1"/>
  <c r="Z337" i="9"/>
  <c r="Y337" i="9"/>
  <c r="AF336" i="9"/>
  <c r="AE336" i="9"/>
  <c r="AD336" i="9"/>
  <c r="AC336" i="9"/>
  <c r="AB336" i="9"/>
  <c r="AA336" i="9"/>
  <c r="Z336" i="9"/>
  <c r="Y336" i="9"/>
  <c r="T336" i="9" s="1"/>
  <c r="V336" i="9"/>
  <c r="U336" i="9"/>
  <c r="AF335" i="9"/>
  <c r="AE335" i="9"/>
  <c r="AD335" i="9"/>
  <c r="AC335" i="9"/>
  <c r="AB335" i="9"/>
  <c r="AA335" i="9"/>
  <c r="Z335" i="9"/>
  <c r="Y335" i="9"/>
  <c r="V335" i="9"/>
  <c r="W335" i="9" s="1"/>
  <c r="U335" i="9"/>
  <c r="T335" i="9"/>
  <c r="AF334" i="9"/>
  <c r="AE334" i="9"/>
  <c r="V334" i="9" s="1"/>
  <c r="AD334" i="9"/>
  <c r="AC334" i="9"/>
  <c r="AB334" i="9"/>
  <c r="U334" i="9" s="1"/>
  <c r="AA334" i="9"/>
  <c r="Z334" i="9"/>
  <c r="Y334" i="9"/>
  <c r="T334" i="9" s="1"/>
  <c r="AF333" i="9"/>
  <c r="AE333" i="9"/>
  <c r="V333" i="9" s="1"/>
  <c r="W333" i="9" s="1"/>
  <c r="AD333" i="9"/>
  <c r="AC333" i="9"/>
  <c r="U333" i="9" s="1"/>
  <c r="AB333" i="9"/>
  <c r="AA333" i="9"/>
  <c r="T333" i="9" s="1"/>
  <c r="Z333" i="9"/>
  <c r="Y333" i="9"/>
  <c r="AF332" i="9"/>
  <c r="AE332" i="9"/>
  <c r="AD332" i="9"/>
  <c r="AC332" i="9"/>
  <c r="U332" i="9" s="1"/>
  <c r="AB332" i="9"/>
  <c r="AA332" i="9"/>
  <c r="Z332" i="9"/>
  <c r="Y332" i="9"/>
  <c r="T332" i="9" s="1"/>
  <c r="V332" i="9"/>
  <c r="W332" i="9" s="1"/>
  <c r="AF331" i="9"/>
  <c r="AE331" i="9"/>
  <c r="AD331" i="9"/>
  <c r="AC331" i="9"/>
  <c r="AB331" i="9"/>
  <c r="AA331" i="9"/>
  <c r="Z331" i="9"/>
  <c r="Y331" i="9"/>
  <c r="V331" i="9"/>
  <c r="U331" i="9"/>
  <c r="T331" i="9"/>
  <c r="AF330" i="9"/>
  <c r="AE330" i="9"/>
  <c r="V330" i="9" s="1"/>
  <c r="AD330" i="9"/>
  <c r="AC330" i="9"/>
  <c r="AB330" i="9"/>
  <c r="U330" i="9" s="1"/>
  <c r="AA330" i="9"/>
  <c r="Z330" i="9"/>
  <c r="Y330" i="9"/>
  <c r="T330" i="9" s="1"/>
  <c r="AF329" i="9"/>
  <c r="AE329" i="9"/>
  <c r="V329" i="9" s="1"/>
  <c r="W329" i="9" s="1"/>
  <c r="AD329" i="9"/>
  <c r="AC329" i="9"/>
  <c r="U329" i="9" s="1"/>
  <c r="AB329" i="9"/>
  <c r="AA329" i="9"/>
  <c r="T329" i="9" s="1"/>
  <c r="Z329" i="9"/>
  <c r="Y329" i="9"/>
  <c r="AF328" i="9"/>
  <c r="AE328" i="9"/>
  <c r="AD328" i="9"/>
  <c r="AC328" i="9"/>
  <c r="AB328" i="9"/>
  <c r="AA328" i="9"/>
  <c r="Z328" i="9"/>
  <c r="Y328" i="9"/>
  <c r="T328" i="9" s="1"/>
  <c r="V328" i="9"/>
  <c r="U328" i="9"/>
  <c r="AF327" i="9"/>
  <c r="V327" i="9" s="1"/>
  <c r="W327" i="9" s="1"/>
  <c r="AE327" i="9"/>
  <c r="AD327" i="9"/>
  <c r="AC327" i="9"/>
  <c r="AB327" i="9"/>
  <c r="AA327" i="9"/>
  <c r="Z327" i="9"/>
  <c r="Y327" i="9"/>
  <c r="U327" i="9"/>
  <c r="T327" i="9"/>
  <c r="AF326" i="9"/>
  <c r="AE326" i="9"/>
  <c r="V326" i="9" s="1"/>
  <c r="AD326" i="9"/>
  <c r="AC326" i="9"/>
  <c r="AB326" i="9"/>
  <c r="U326" i="9" s="1"/>
  <c r="AA326" i="9"/>
  <c r="Z326" i="9"/>
  <c r="Y326" i="9"/>
  <c r="T326" i="9" s="1"/>
  <c r="AF325" i="9"/>
  <c r="AE325" i="9"/>
  <c r="V325" i="9" s="1"/>
  <c r="AD325" i="9"/>
  <c r="AC325" i="9"/>
  <c r="U325" i="9" s="1"/>
  <c r="AB325" i="9"/>
  <c r="AA325" i="9"/>
  <c r="T325" i="9" s="1"/>
  <c r="Z325" i="9"/>
  <c r="Y325" i="9"/>
  <c r="W325" i="9"/>
  <c r="AF324" i="9"/>
  <c r="AE324" i="9"/>
  <c r="AD324" i="9"/>
  <c r="AC324" i="9"/>
  <c r="AB324" i="9"/>
  <c r="AA324" i="9"/>
  <c r="Z324" i="9"/>
  <c r="Y324" i="9"/>
  <c r="T324" i="9" s="1"/>
  <c r="V324" i="9"/>
  <c r="U324" i="9"/>
  <c r="AF323" i="9"/>
  <c r="AE323" i="9"/>
  <c r="AD323" i="9"/>
  <c r="AC323" i="9"/>
  <c r="AB323" i="9"/>
  <c r="AA323" i="9"/>
  <c r="Z323" i="9"/>
  <c r="Y323" i="9"/>
  <c r="V323" i="9"/>
  <c r="U323" i="9"/>
  <c r="T323" i="9"/>
  <c r="AF322" i="9"/>
  <c r="AE322" i="9"/>
  <c r="V322" i="9" s="1"/>
  <c r="AD322" i="9"/>
  <c r="AC322" i="9"/>
  <c r="AB322" i="9"/>
  <c r="U322" i="9" s="1"/>
  <c r="AA322" i="9"/>
  <c r="Z322" i="9"/>
  <c r="Y322" i="9"/>
  <c r="T322" i="9" s="1"/>
  <c r="AF321" i="9"/>
  <c r="AE321" i="9"/>
  <c r="V321" i="9" s="1"/>
  <c r="AD321" i="9"/>
  <c r="AC321" i="9"/>
  <c r="U321" i="9" s="1"/>
  <c r="AB321" i="9"/>
  <c r="AA321" i="9"/>
  <c r="T321" i="9" s="1"/>
  <c r="Z321" i="9"/>
  <c r="Y321" i="9"/>
  <c r="AF320" i="9"/>
  <c r="AE320" i="9"/>
  <c r="AD320" i="9"/>
  <c r="AC320" i="9"/>
  <c r="AB320" i="9"/>
  <c r="AA320" i="9"/>
  <c r="Z320" i="9"/>
  <c r="Y320" i="9"/>
  <c r="T320" i="9" s="1"/>
  <c r="V320" i="9"/>
  <c r="U320" i="9"/>
  <c r="AF319" i="9"/>
  <c r="V319" i="9" s="1"/>
  <c r="AE319" i="9"/>
  <c r="AD319" i="9"/>
  <c r="AC319" i="9"/>
  <c r="U319" i="9" s="1"/>
  <c r="AB319" i="9"/>
  <c r="AA319" i="9"/>
  <c r="Z319" i="9"/>
  <c r="Y319" i="9"/>
  <c r="T319" i="9"/>
  <c r="AF318" i="9"/>
  <c r="AE318" i="9"/>
  <c r="V318" i="9" s="1"/>
  <c r="AD318" i="9"/>
  <c r="AC318" i="9"/>
  <c r="AB318" i="9"/>
  <c r="U318" i="9" s="1"/>
  <c r="AA318" i="9"/>
  <c r="Z318" i="9"/>
  <c r="Y318" i="9"/>
  <c r="T318" i="9" s="1"/>
  <c r="AF317" i="9"/>
  <c r="AE317" i="9"/>
  <c r="V317" i="9" s="1"/>
  <c r="AD317" i="9"/>
  <c r="AC317" i="9"/>
  <c r="U317" i="9" s="1"/>
  <c r="AB317" i="9"/>
  <c r="AA317" i="9"/>
  <c r="Z317" i="9"/>
  <c r="Y317" i="9"/>
  <c r="T317" i="9"/>
  <c r="AF316" i="9"/>
  <c r="AE316" i="9"/>
  <c r="AD316" i="9"/>
  <c r="AC316" i="9"/>
  <c r="AB316" i="9"/>
  <c r="AA316" i="9"/>
  <c r="Z316" i="9"/>
  <c r="Y316" i="9"/>
  <c r="V316" i="9"/>
  <c r="U316" i="9"/>
  <c r="AF315" i="9"/>
  <c r="AE315" i="9"/>
  <c r="AD315" i="9"/>
  <c r="AC315" i="9"/>
  <c r="AB315" i="9"/>
  <c r="AA315" i="9"/>
  <c r="Z315" i="9"/>
  <c r="Y315" i="9"/>
  <c r="V315" i="9"/>
  <c r="U315" i="9"/>
  <c r="T315" i="9"/>
  <c r="AF314" i="9"/>
  <c r="AE314" i="9"/>
  <c r="V314" i="9" s="1"/>
  <c r="AD314" i="9"/>
  <c r="AC314" i="9"/>
  <c r="AB314" i="9"/>
  <c r="U314" i="9" s="1"/>
  <c r="AA314" i="9"/>
  <c r="Z314" i="9"/>
  <c r="Y314" i="9"/>
  <c r="T314" i="9"/>
  <c r="AF313" i="9"/>
  <c r="AE313" i="9"/>
  <c r="V313" i="9" s="1"/>
  <c r="AD313" i="9"/>
  <c r="AC313" i="9"/>
  <c r="U313" i="9" s="1"/>
  <c r="AB313" i="9"/>
  <c r="AA313" i="9"/>
  <c r="Z313" i="9"/>
  <c r="Y313" i="9"/>
  <c r="AF312" i="9"/>
  <c r="AE312" i="9"/>
  <c r="AD312" i="9"/>
  <c r="AC312" i="9"/>
  <c r="AB312" i="9"/>
  <c r="AA312" i="9"/>
  <c r="Z312" i="9"/>
  <c r="Y312" i="9"/>
  <c r="V312" i="9"/>
  <c r="U312" i="9"/>
  <c r="AF311" i="9"/>
  <c r="V311" i="9" s="1"/>
  <c r="W311" i="9" s="1"/>
  <c r="AE311" i="9"/>
  <c r="AD311" i="9"/>
  <c r="AC311" i="9"/>
  <c r="AB311" i="9"/>
  <c r="AA311" i="9"/>
  <c r="Z311" i="9"/>
  <c r="Y311" i="9"/>
  <c r="U311" i="9"/>
  <c r="T311" i="9"/>
  <c r="AF310" i="9"/>
  <c r="AE310" i="9"/>
  <c r="V310" i="9" s="1"/>
  <c r="AD310" i="9"/>
  <c r="AC310" i="9"/>
  <c r="AB310" i="9"/>
  <c r="U310" i="9" s="1"/>
  <c r="AA310" i="9"/>
  <c r="Z310" i="9"/>
  <c r="T310" i="9" s="1"/>
  <c r="Y310" i="9"/>
  <c r="AF309" i="9"/>
  <c r="AE309" i="9"/>
  <c r="AD309" i="9"/>
  <c r="AC309" i="9"/>
  <c r="AB309" i="9"/>
  <c r="AA309" i="9"/>
  <c r="Z309" i="9"/>
  <c r="Y309" i="9"/>
  <c r="U309" i="9"/>
  <c r="T309" i="9"/>
  <c r="AF308" i="9"/>
  <c r="AE308" i="9"/>
  <c r="AD308" i="9"/>
  <c r="AC308" i="9"/>
  <c r="U308" i="9" s="1"/>
  <c r="AB308" i="9"/>
  <c r="AA308" i="9"/>
  <c r="Z308" i="9"/>
  <c r="Y308" i="9"/>
  <c r="V308" i="9"/>
  <c r="T308" i="9"/>
  <c r="AF307" i="9"/>
  <c r="V307" i="9" s="1"/>
  <c r="AE307" i="9"/>
  <c r="AD307" i="9"/>
  <c r="AC307" i="9"/>
  <c r="U307" i="9" s="1"/>
  <c r="AB307" i="9"/>
  <c r="AA307" i="9"/>
  <c r="Z307" i="9"/>
  <c r="Y307" i="9"/>
  <c r="T307" i="9" s="1"/>
  <c r="AF306" i="9"/>
  <c r="AE306" i="9"/>
  <c r="V306" i="9" s="1"/>
  <c r="AD306" i="9"/>
  <c r="AC306" i="9"/>
  <c r="AB306" i="9"/>
  <c r="U306" i="9" s="1"/>
  <c r="AA306" i="9"/>
  <c r="Z306" i="9"/>
  <c r="T306" i="9" s="1"/>
  <c r="W306" i="9" s="1"/>
  <c r="Y306" i="9"/>
  <c r="AF305" i="9"/>
  <c r="AE305" i="9"/>
  <c r="V305" i="9" s="1"/>
  <c r="AD305" i="9"/>
  <c r="AC305" i="9"/>
  <c r="AB305" i="9"/>
  <c r="AA305" i="9"/>
  <c r="Z305" i="9"/>
  <c r="Y305" i="9"/>
  <c r="T305" i="9" s="1"/>
  <c r="W305" i="9" s="1"/>
  <c r="U305" i="9"/>
  <c r="AF304" i="9"/>
  <c r="V304" i="9" s="1"/>
  <c r="AE304" i="9"/>
  <c r="AD304" i="9"/>
  <c r="AC304" i="9"/>
  <c r="AB304" i="9"/>
  <c r="U304" i="9" s="1"/>
  <c r="AA304" i="9"/>
  <c r="Z304" i="9"/>
  <c r="Y304" i="9"/>
  <c r="T304" i="9" s="1"/>
  <c r="AF303" i="9"/>
  <c r="V303" i="9" s="1"/>
  <c r="AE303" i="9"/>
  <c r="AD303" i="9"/>
  <c r="AC303" i="9"/>
  <c r="AB303" i="9"/>
  <c r="U303" i="9" s="1"/>
  <c r="AA303" i="9"/>
  <c r="Z303" i="9"/>
  <c r="Y303" i="9"/>
  <c r="AF302" i="9"/>
  <c r="AE302" i="9"/>
  <c r="AD302" i="9"/>
  <c r="AC302" i="9"/>
  <c r="AB302" i="9"/>
  <c r="AA302" i="9"/>
  <c r="Z302" i="9"/>
  <c r="T302" i="9" s="1"/>
  <c r="Y302" i="9"/>
  <c r="W302" i="9"/>
  <c r="V302" i="9"/>
  <c r="U302" i="9"/>
  <c r="AF301" i="9"/>
  <c r="AE301" i="9"/>
  <c r="AD301" i="9"/>
  <c r="AC301" i="9"/>
  <c r="AB301" i="9"/>
  <c r="AA301" i="9"/>
  <c r="Z301" i="9"/>
  <c r="Y301" i="9"/>
  <c r="V301" i="9"/>
  <c r="W301" i="9" s="1"/>
  <c r="U301" i="9"/>
  <c r="T301" i="9"/>
  <c r="AF300" i="9"/>
  <c r="AE300" i="9"/>
  <c r="V300" i="9" s="1"/>
  <c r="AD300" i="9"/>
  <c r="AC300" i="9"/>
  <c r="AB300" i="9"/>
  <c r="U300" i="9" s="1"/>
  <c r="AA300" i="9"/>
  <c r="Z300" i="9"/>
  <c r="T300" i="9" s="1"/>
  <c r="Y300" i="9"/>
  <c r="AF299" i="9"/>
  <c r="AE299" i="9"/>
  <c r="V299" i="9" s="1"/>
  <c r="AD299" i="9"/>
  <c r="AC299" i="9"/>
  <c r="AB299" i="9"/>
  <c r="U299" i="9" s="1"/>
  <c r="AA299" i="9"/>
  <c r="Z299" i="9"/>
  <c r="Y299" i="9"/>
  <c r="AF298" i="9"/>
  <c r="AE298" i="9"/>
  <c r="AD298" i="9"/>
  <c r="AC298" i="9"/>
  <c r="AB298" i="9"/>
  <c r="AA298" i="9"/>
  <c r="Z298" i="9"/>
  <c r="T298" i="9" s="1"/>
  <c r="Y298" i="9"/>
  <c r="W298" i="9"/>
  <c r="V298" i="9"/>
  <c r="U298" i="9"/>
  <c r="AF297" i="9"/>
  <c r="AE297" i="9"/>
  <c r="AD297" i="9"/>
  <c r="AC297" i="9"/>
  <c r="AB297" i="9"/>
  <c r="AA297" i="9"/>
  <c r="Z297" i="9"/>
  <c r="Y297" i="9"/>
  <c r="V297" i="9"/>
  <c r="W297" i="9" s="1"/>
  <c r="U297" i="9"/>
  <c r="T297" i="9"/>
  <c r="AF296" i="9"/>
  <c r="AE296" i="9"/>
  <c r="V296" i="9" s="1"/>
  <c r="W296" i="9" s="1"/>
  <c r="AD296" i="9"/>
  <c r="AC296" i="9"/>
  <c r="AB296" i="9"/>
  <c r="U296" i="9" s="1"/>
  <c r="AA296" i="9"/>
  <c r="Z296" i="9"/>
  <c r="T296" i="9" s="1"/>
  <c r="Y296" i="9"/>
  <c r="AF295" i="9"/>
  <c r="AE295" i="9"/>
  <c r="V295" i="9" s="1"/>
  <c r="AD295" i="9"/>
  <c r="AC295" i="9"/>
  <c r="AB295" i="9"/>
  <c r="U295" i="9" s="1"/>
  <c r="AA295" i="9"/>
  <c r="Z295" i="9"/>
  <c r="Y295" i="9"/>
  <c r="T295" i="9" s="1"/>
  <c r="AF294" i="9"/>
  <c r="AE294" i="9"/>
  <c r="AD294" i="9"/>
  <c r="AC294" i="9"/>
  <c r="AB294" i="9"/>
  <c r="AA294" i="9"/>
  <c r="Z294" i="9"/>
  <c r="T294" i="9" s="1"/>
  <c r="W294" i="9" s="1"/>
  <c r="Y294" i="9"/>
  <c r="V294" i="9"/>
  <c r="U294" i="9"/>
  <c r="AF293" i="9"/>
  <c r="AE293" i="9"/>
  <c r="AD293" i="9"/>
  <c r="AC293" i="9"/>
  <c r="AB293" i="9"/>
  <c r="AA293" i="9"/>
  <c r="Z293" i="9"/>
  <c r="T293" i="9" s="1"/>
  <c r="Y293" i="9"/>
  <c r="V293" i="9"/>
  <c r="U293" i="9"/>
  <c r="AF292" i="9"/>
  <c r="AE292" i="9"/>
  <c r="V292" i="9" s="1"/>
  <c r="W292" i="9" s="1"/>
  <c r="AD292" i="9"/>
  <c r="AC292" i="9"/>
  <c r="AB292" i="9"/>
  <c r="U292" i="9" s="1"/>
  <c r="AA292" i="9"/>
  <c r="Z292" i="9"/>
  <c r="T292" i="9" s="1"/>
  <c r="Y292" i="9"/>
  <c r="AF291" i="9"/>
  <c r="AE291" i="9"/>
  <c r="V291" i="9" s="1"/>
  <c r="AD291" i="9"/>
  <c r="AC291" i="9"/>
  <c r="AB291" i="9"/>
  <c r="U291" i="9" s="1"/>
  <c r="AA291" i="9"/>
  <c r="Z291" i="9"/>
  <c r="Y291" i="9"/>
  <c r="AF290" i="9"/>
  <c r="AE290" i="9"/>
  <c r="AD290" i="9"/>
  <c r="AC290" i="9"/>
  <c r="AB290" i="9"/>
  <c r="AA290" i="9"/>
  <c r="Z290" i="9"/>
  <c r="T290" i="9" s="1"/>
  <c r="Y290" i="9"/>
  <c r="V290" i="9"/>
  <c r="U290" i="9"/>
  <c r="W290" i="9" s="1"/>
  <c r="AF289" i="9"/>
  <c r="AE289" i="9"/>
  <c r="AD289" i="9"/>
  <c r="AC289" i="9"/>
  <c r="AB289" i="9"/>
  <c r="AA289" i="9"/>
  <c r="Z289" i="9"/>
  <c r="Y289" i="9"/>
  <c r="V289" i="9"/>
  <c r="W289" i="9" s="1"/>
  <c r="U289" i="9"/>
  <c r="T289" i="9"/>
  <c r="AF288" i="9"/>
  <c r="AE288" i="9"/>
  <c r="V288" i="9" s="1"/>
  <c r="AD288" i="9"/>
  <c r="AC288" i="9"/>
  <c r="AB288" i="9"/>
  <c r="U288" i="9" s="1"/>
  <c r="AA288" i="9"/>
  <c r="Z288" i="9"/>
  <c r="T288" i="9" s="1"/>
  <c r="Y288" i="9"/>
  <c r="AF287" i="9"/>
  <c r="AE287" i="9"/>
  <c r="V287" i="9" s="1"/>
  <c r="AD287" i="9"/>
  <c r="AC287" i="9"/>
  <c r="AB287" i="9"/>
  <c r="U287" i="9" s="1"/>
  <c r="AA287" i="9"/>
  <c r="Z287" i="9"/>
  <c r="Y287" i="9"/>
  <c r="AF286" i="9"/>
  <c r="AE286" i="9"/>
  <c r="AD286" i="9"/>
  <c r="AC286" i="9"/>
  <c r="AB286" i="9"/>
  <c r="AA286" i="9"/>
  <c r="Z286" i="9"/>
  <c r="T286" i="9" s="1"/>
  <c r="W286" i="9" s="1"/>
  <c r="Y286" i="9"/>
  <c r="V286" i="9"/>
  <c r="U286" i="9"/>
  <c r="AF285" i="9"/>
  <c r="AE285" i="9"/>
  <c r="AD285" i="9"/>
  <c r="AC285" i="9"/>
  <c r="AB285" i="9"/>
  <c r="AA285" i="9"/>
  <c r="Z285" i="9"/>
  <c r="T285" i="9" s="1"/>
  <c r="Y285" i="9"/>
  <c r="V285" i="9"/>
  <c r="U285" i="9"/>
  <c r="AF284" i="9"/>
  <c r="AE284" i="9"/>
  <c r="V284" i="9" s="1"/>
  <c r="W284" i="9" s="1"/>
  <c r="AD284" i="9"/>
  <c r="AC284" i="9"/>
  <c r="AB284" i="9"/>
  <c r="U284" i="9" s="1"/>
  <c r="AA284" i="9"/>
  <c r="Z284" i="9"/>
  <c r="T284" i="9" s="1"/>
  <c r="Y284" i="9"/>
  <c r="AF283" i="9"/>
  <c r="AE283" i="9"/>
  <c r="V283" i="9" s="1"/>
  <c r="AD283" i="9"/>
  <c r="AC283" i="9"/>
  <c r="AB283" i="9"/>
  <c r="U283" i="9" s="1"/>
  <c r="AA283" i="9"/>
  <c r="Z283" i="9"/>
  <c r="Y283" i="9"/>
  <c r="T283" i="9" s="1"/>
  <c r="AF282" i="9"/>
  <c r="AE282" i="9"/>
  <c r="AD282" i="9"/>
  <c r="AC282" i="9"/>
  <c r="AB282" i="9"/>
  <c r="AA282" i="9"/>
  <c r="Z282" i="9"/>
  <c r="T282" i="9" s="1"/>
  <c r="W282" i="9" s="1"/>
  <c r="Y282" i="9"/>
  <c r="V282" i="9"/>
  <c r="U282" i="9"/>
  <c r="AF281" i="9"/>
  <c r="AE281" i="9"/>
  <c r="AD281" i="9"/>
  <c r="AC281" i="9"/>
  <c r="AB281" i="9"/>
  <c r="AA281" i="9"/>
  <c r="Z281" i="9"/>
  <c r="T281" i="9" s="1"/>
  <c r="Y281" i="9"/>
  <c r="V281" i="9"/>
  <c r="U281" i="9"/>
  <c r="AF280" i="9"/>
  <c r="AE280" i="9"/>
  <c r="V280" i="9" s="1"/>
  <c r="W280" i="9" s="1"/>
  <c r="AD280" i="9"/>
  <c r="AC280" i="9"/>
  <c r="AB280" i="9"/>
  <c r="U280" i="9" s="1"/>
  <c r="AA280" i="9"/>
  <c r="Z280" i="9"/>
  <c r="T280" i="9" s="1"/>
  <c r="Y280" i="9"/>
  <c r="AF279" i="9"/>
  <c r="AE279" i="9"/>
  <c r="V279" i="9" s="1"/>
  <c r="AD279" i="9"/>
  <c r="AC279" i="9"/>
  <c r="AB279" i="9"/>
  <c r="U279" i="9" s="1"/>
  <c r="AA279" i="9"/>
  <c r="Z279" i="9"/>
  <c r="Y279" i="9"/>
  <c r="AF278" i="9"/>
  <c r="AE278" i="9"/>
  <c r="AD278" i="9"/>
  <c r="AC278" i="9"/>
  <c r="AB278" i="9"/>
  <c r="AA278" i="9"/>
  <c r="Z278" i="9"/>
  <c r="T278" i="9" s="1"/>
  <c r="Y278" i="9"/>
  <c r="V278" i="9"/>
  <c r="U278" i="9"/>
  <c r="W278" i="9" s="1"/>
  <c r="AF277" i="9"/>
  <c r="AE277" i="9"/>
  <c r="AD277" i="9"/>
  <c r="AC277" i="9"/>
  <c r="AB277" i="9"/>
  <c r="AA277" i="9"/>
  <c r="Z277" i="9"/>
  <c r="T277" i="9" s="1"/>
  <c r="Y277" i="9"/>
  <c r="V277" i="9"/>
  <c r="U277" i="9"/>
  <c r="AF276" i="9"/>
  <c r="AE276" i="9"/>
  <c r="V276" i="9" s="1"/>
  <c r="AD276" i="9"/>
  <c r="AC276" i="9"/>
  <c r="AB276" i="9"/>
  <c r="U276" i="9" s="1"/>
  <c r="AA276" i="9"/>
  <c r="Z276" i="9"/>
  <c r="T276" i="9" s="1"/>
  <c r="Y276" i="9"/>
  <c r="AF275" i="9"/>
  <c r="AE275" i="9"/>
  <c r="V275" i="9" s="1"/>
  <c r="AD275" i="9"/>
  <c r="AC275" i="9"/>
  <c r="AB275" i="9"/>
  <c r="U275" i="9" s="1"/>
  <c r="AA275" i="9"/>
  <c r="Z275" i="9"/>
  <c r="Y275" i="9"/>
  <c r="AF274" i="9"/>
  <c r="AE274" i="9"/>
  <c r="AD274" i="9"/>
  <c r="AC274" i="9"/>
  <c r="AB274" i="9"/>
  <c r="AA274" i="9"/>
  <c r="Z274" i="9"/>
  <c r="T274" i="9" s="1"/>
  <c r="Y274" i="9"/>
  <c r="W274" i="9"/>
  <c r="V274" i="9"/>
  <c r="U274" i="9"/>
  <c r="AF273" i="9"/>
  <c r="AE273" i="9"/>
  <c r="AD273" i="9"/>
  <c r="AC273" i="9"/>
  <c r="AB273" i="9"/>
  <c r="AA273" i="9"/>
  <c r="Z273" i="9"/>
  <c r="T273" i="9" s="1"/>
  <c r="Y273" i="9"/>
  <c r="V273" i="9"/>
  <c r="W273" i="9" s="1"/>
  <c r="U273" i="9"/>
  <c r="AF272" i="9"/>
  <c r="AE272" i="9"/>
  <c r="AD272" i="9"/>
  <c r="AC272" i="9"/>
  <c r="AB272" i="9"/>
  <c r="U272" i="9" s="1"/>
  <c r="AA272" i="9"/>
  <c r="Z272" i="9"/>
  <c r="T272" i="9" s="1"/>
  <c r="Y272" i="9"/>
  <c r="AF271" i="9"/>
  <c r="AE271" i="9"/>
  <c r="V271" i="9" s="1"/>
  <c r="AD271" i="9"/>
  <c r="AC271" i="9"/>
  <c r="AB271" i="9"/>
  <c r="U271" i="9" s="1"/>
  <c r="AA271" i="9"/>
  <c r="Z271" i="9"/>
  <c r="Y271" i="9"/>
  <c r="AF270" i="9"/>
  <c r="AE270" i="9"/>
  <c r="AD270" i="9"/>
  <c r="AC270" i="9"/>
  <c r="AB270" i="9"/>
  <c r="AA270" i="9"/>
  <c r="Z270" i="9"/>
  <c r="T270" i="9" s="1"/>
  <c r="Y270" i="9"/>
  <c r="W270" i="9"/>
  <c r="V270" i="9"/>
  <c r="U270" i="9"/>
  <c r="AF269" i="9"/>
  <c r="AE269" i="9"/>
  <c r="AD269" i="9"/>
  <c r="AC269" i="9"/>
  <c r="AB269" i="9"/>
  <c r="AA269" i="9"/>
  <c r="Z269" i="9"/>
  <c r="Y269" i="9"/>
  <c r="V269" i="9"/>
  <c r="W269" i="9" s="1"/>
  <c r="U269" i="9"/>
  <c r="T269" i="9"/>
  <c r="AF268" i="9"/>
  <c r="AE268" i="9"/>
  <c r="V268" i="9" s="1"/>
  <c r="W268" i="9" s="1"/>
  <c r="AD268" i="9"/>
  <c r="AC268" i="9"/>
  <c r="AB268" i="9"/>
  <c r="U268" i="9" s="1"/>
  <c r="AA268" i="9"/>
  <c r="Z268" i="9"/>
  <c r="T268" i="9" s="1"/>
  <c r="Y268" i="9"/>
  <c r="AF267" i="9"/>
  <c r="AE267" i="9"/>
  <c r="V267" i="9" s="1"/>
  <c r="AD267" i="9"/>
  <c r="AC267" i="9"/>
  <c r="AB267" i="9"/>
  <c r="U267" i="9" s="1"/>
  <c r="AA267" i="9"/>
  <c r="Z267" i="9"/>
  <c r="Y267" i="9"/>
  <c r="AF266" i="9"/>
  <c r="AE266" i="9"/>
  <c r="AD266" i="9"/>
  <c r="AC266" i="9"/>
  <c r="AB266" i="9"/>
  <c r="AA266" i="9"/>
  <c r="Z266" i="9"/>
  <c r="T266" i="9" s="1"/>
  <c r="Y266" i="9"/>
  <c r="V266" i="9"/>
  <c r="U266" i="9"/>
  <c r="W266" i="9" s="1"/>
  <c r="AF265" i="9"/>
  <c r="AE265" i="9"/>
  <c r="AD265" i="9"/>
  <c r="AC265" i="9"/>
  <c r="AB265" i="9"/>
  <c r="AA265" i="9"/>
  <c r="Z265" i="9"/>
  <c r="Y265" i="9"/>
  <c r="V265" i="9"/>
  <c r="W265" i="9" s="1"/>
  <c r="U265" i="9"/>
  <c r="T265" i="9"/>
  <c r="AF264" i="9"/>
  <c r="AE264" i="9"/>
  <c r="V264" i="9" s="1"/>
  <c r="AD264" i="9"/>
  <c r="AC264" i="9"/>
  <c r="AB264" i="9"/>
  <c r="U264" i="9" s="1"/>
  <c r="AA264" i="9"/>
  <c r="Z264" i="9"/>
  <c r="T264" i="9" s="1"/>
  <c r="Y264" i="9"/>
  <c r="AF263" i="9"/>
  <c r="AE263" i="9"/>
  <c r="V263" i="9" s="1"/>
  <c r="AD263" i="9"/>
  <c r="AC263" i="9"/>
  <c r="AB263" i="9"/>
  <c r="U263" i="9" s="1"/>
  <c r="AA263" i="9"/>
  <c r="Z263" i="9"/>
  <c r="Y263" i="9"/>
  <c r="AF262" i="9"/>
  <c r="AE262" i="9"/>
  <c r="AD262" i="9"/>
  <c r="AC262" i="9"/>
  <c r="AB262" i="9"/>
  <c r="AA262" i="9"/>
  <c r="Z262" i="9"/>
  <c r="T262" i="9" s="1"/>
  <c r="W262" i="9" s="1"/>
  <c r="Y262" i="9"/>
  <c r="V262" i="9"/>
  <c r="U262" i="9"/>
  <c r="AF261" i="9"/>
  <c r="AE261" i="9"/>
  <c r="AD261" i="9"/>
  <c r="AC261" i="9"/>
  <c r="AB261" i="9"/>
  <c r="AA261" i="9"/>
  <c r="Z261" i="9"/>
  <c r="Y261" i="9"/>
  <c r="V261" i="9"/>
  <c r="W261" i="9" s="1"/>
  <c r="U261" i="9"/>
  <c r="T261" i="9"/>
  <c r="AF260" i="9"/>
  <c r="AE260" i="9"/>
  <c r="AD260" i="9"/>
  <c r="AC260" i="9"/>
  <c r="AB260" i="9"/>
  <c r="U260" i="9" s="1"/>
  <c r="AA260" i="9"/>
  <c r="Z260" i="9"/>
  <c r="T260" i="9" s="1"/>
  <c r="Y260" i="9"/>
  <c r="AF259" i="9"/>
  <c r="AE259" i="9"/>
  <c r="V259" i="9" s="1"/>
  <c r="AD259" i="9"/>
  <c r="AC259" i="9"/>
  <c r="AB259" i="9"/>
  <c r="U259" i="9" s="1"/>
  <c r="AA259" i="9"/>
  <c r="Z259" i="9"/>
  <c r="Y259" i="9"/>
  <c r="AF258" i="9"/>
  <c r="AE258" i="9"/>
  <c r="AD258" i="9"/>
  <c r="AC258" i="9"/>
  <c r="AB258" i="9"/>
  <c r="AA258" i="9"/>
  <c r="Z258" i="9"/>
  <c r="T258" i="9" s="1"/>
  <c r="W258" i="9" s="1"/>
  <c r="Y258" i="9"/>
  <c r="V258" i="9"/>
  <c r="U258" i="9"/>
  <c r="AF257" i="9"/>
  <c r="AE257" i="9"/>
  <c r="AD257" i="9"/>
  <c r="AC257" i="9"/>
  <c r="AB257" i="9"/>
  <c r="AA257" i="9"/>
  <c r="Z257" i="9"/>
  <c r="Y257" i="9"/>
  <c r="V257" i="9"/>
  <c r="W257" i="9" s="1"/>
  <c r="U257" i="9"/>
  <c r="T257" i="9"/>
  <c r="AF256" i="9"/>
  <c r="AE256" i="9"/>
  <c r="AD256" i="9"/>
  <c r="AC256" i="9"/>
  <c r="AB256" i="9"/>
  <c r="U256" i="9" s="1"/>
  <c r="AA256" i="9"/>
  <c r="Z256" i="9"/>
  <c r="T256" i="9" s="1"/>
  <c r="Y256" i="9"/>
  <c r="AF255" i="9"/>
  <c r="AE255" i="9"/>
  <c r="V255" i="9" s="1"/>
  <c r="AD255" i="9"/>
  <c r="AC255" i="9"/>
  <c r="AB255" i="9"/>
  <c r="U255" i="9" s="1"/>
  <c r="AA255" i="9"/>
  <c r="Z255" i="9"/>
  <c r="Y255" i="9"/>
  <c r="T255" i="9" s="1"/>
  <c r="AF254" i="9"/>
  <c r="AE254" i="9"/>
  <c r="AD254" i="9"/>
  <c r="AC254" i="9"/>
  <c r="AB254" i="9"/>
  <c r="AA254" i="9"/>
  <c r="Z254" i="9"/>
  <c r="T254" i="9" s="1"/>
  <c r="Y254" i="9"/>
  <c r="V254" i="9"/>
  <c r="U254" i="9"/>
  <c r="W254" i="9" s="1"/>
  <c r="AF253" i="9"/>
  <c r="AE253" i="9"/>
  <c r="AD253" i="9"/>
  <c r="AC253" i="9"/>
  <c r="AB253" i="9"/>
  <c r="AA253" i="9"/>
  <c r="Z253" i="9"/>
  <c r="Y253" i="9"/>
  <c r="V253" i="9"/>
  <c r="W253" i="9" s="1"/>
  <c r="U253" i="9"/>
  <c r="T253" i="9"/>
  <c r="AF252" i="9"/>
  <c r="AE252" i="9"/>
  <c r="AD252" i="9"/>
  <c r="AC252" i="9"/>
  <c r="AB252" i="9"/>
  <c r="U252" i="9" s="1"/>
  <c r="AA252" i="9"/>
  <c r="Z252" i="9"/>
  <c r="T252" i="9" s="1"/>
  <c r="Y252" i="9"/>
  <c r="AF251" i="9"/>
  <c r="AE251" i="9"/>
  <c r="V251" i="9" s="1"/>
  <c r="AD251" i="9"/>
  <c r="AC251" i="9"/>
  <c r="AB251" i="9"/>
  <c r="U251" i="9" s="1"/>
  <c r="AA251" i="9"/>
  <c r="Z251" i="9"/>
  <c r="Y251" i="9"/>
  <c r="T251" i="9" s="1"/>
  <c r="AF250" i="9"/>
  <c r="AE250" i="9"/>
  <c r="AD250" i="9"/>
  <c r="AC250" i="9"/>
  <c r="AB250" i="9"/>
  <c r="AA250" i="9"/>
  <c r="Z250" i="9"/>
  <c r="T250" i="9" s="1"/>
  <c r="W250" i="9" s="1"/>
  <c r="Y250" i="9"/>
  <c r="V250" i="9"/>
  <c r="U250" i="9"/>
  <c r="AF249" i="9"/>
  <c r="AE249" i="9"/>
  <c r="AD249" i="9"/>
  <c r="AC249" i="9"/>
  <c r="AB249" i="9"/>
  <c r="AA249" i="9"/>
  <c r="Z249" i="9"/>
  <c r="Y249" i="9"/>
  <c r="V249" i="9"/>
  <c r="W249" i="9" s="1"/>
  <c r="U249" i="9"/>
  <c r="T249" i="9"/>
  <c r="AF248" i="9"/>
  <c r="AE248" i="9"/>
  <c r="AD248" i="9"/>
  <c r="AC248" i="9"/>
  <c r="AB248" i="9"/>
  <c r="U248" i="9" s="1"/>
  <c r="AA248" i="9"/>
  <c r="Z248" i="9"/>
  <c r="T248" i="9" s="1"/>
  <c r="Y248" i="9"/>
  <c r="AF247" i="9"/>
  <c r="AE247" i="9"/>
  <c r="V247" i="9" s="1"/>
  <c r="AD247" i="9"/>
  <c r="AC247" i="9"/>
  <c r="AB247" i="9"/>
  <c r="U247" i="9" s="1"/>
  <c r="AA247" i="9"/>
  <c r="Z247" i="9"/>
  <c r="Y247" i="9"/>
  <c r="AF246" i="9"/>
  <c r="AE246" i="9"/>
  <c r="AD246" i="9"/>
  <c r="AC246" i="9"/>
  <c r="AB246" i="9"/>
  <c r="AA246" i="9"/>
  <c r="Z246" i="9"/>
  <c r="T246" i="9" s="1"/>
  <c r="Y246" i="9"/>
  <c r="V246" i="9"/>
  <c r="U246" i="9"/>
  <c r="W246" i="9" s="1"/>
  <c r="AF245" i="9"/>
  <c r="AE245" i="9"/>
  <c r="AD245" i="9"/>
  <c r="AC245" i="9"/>
  <c r="AB245" i="9"/>
  <c r="AA245" i="9"/>
  <c r="Z245" i="9"/>
  <c r="T245" i="9" s="1"/>
  <c r="Y245" i="9"/>
  <c r="V245" i="9"/>
  <c r="W245" i="9" s="1"/>
  <c r="U245" i="9"/>
  <c r="AF244" i="9"/>
  <c r="AE244" i="9"/>
  <c r="AD244" i="9"/>
  <c r="AC244" i="9"/>
  <c r="AB244" i="9"/>
  <c r="U244" i="9" s="1"/>
  <c r="AA244" i="9"/>
  <c r="Z244" i="9"/>
  <c r="T244" i="9" s="1"/>
  <c r="Y244" i="9"/>
  <c r="AF243" i="9"/>
  <c r="AE243" i="9"/>
  <c r="V243" i="9" s="1"/>
  <c r="AD243" i="9"/>
  <c r="AC243" i="9"/>
  <c r="AB243" i="9"/>
  <c r="U243" i="9" s="1"/>
  <c r="AA243" i="9"/>
  <c r="Z243" i="9"/>
  <c r="Y243" i="9"/>
  <c r="AF242" i="9"/>
  <c r="AE242" i="9"/>
  <c r="AD242" i="9"/>
  <c r="AC242" i="9"/>
  <c r="AB242" i="9"/>
  <c r="AA242" i="9"/>
  <c r="Z242" i="9"/>
  <c r="T242" i="9" s="1"/>
  <c r="Y242" i="9"/>
  <c r="V242" i="9"/>
  <c r="U242" i="9"/>
  <c r="W242" i="9" s="1"/>
  <c r="AF241" i="9"/>
  <c r="AE241" i="9"/>
  <c r="AD241" i="9"/>
  <c r="AC241" i="9"/>
  <c r="AB241" i="9"/>
  <c r="AA241" i="9"/>
  <c r="Z241" i="9"/>
  <c r="T241" i="9" s="1"/>
  <c r="Y241" i="9"/>
  <c r="V241" i="9"/>
  <c r="W241" i="9" s="1"/>
  <c r="U241" i="9"/>
  <c r="AF240" i="9"/>
  <c r="AE240" i="9"/>
  <c r="AD240" i="9"/>
  <c r="AC240" i="9"/>
  <c r="AB240" i="9"/>
  <c r="U240" i="9" s="1"/>
  <c r="AA240" i="9"/>
  <c r="Z240" i="9"/>
  <c r="T240" i="9" s="1"/>
  <c r="Y240" i="9"/>
  <c r="AF239" i="9"/>
  <c r="AE239" i="9"/>
  <c r="V239" i="9" s="1"/>
  <c r="AD239" i="9"/>
  <c r="AC239" i="9"/>
  <c r="AB239" i="9"/>
  <c r="U239" i="9" s="1"/>
  <c r="AA239" i="9"/>
  <c r="Z239" i="9"/>
  <c r="Y239" i="9"/>
  <c r="T239" i="9" s="1"/>
  <c r="AF238" i="9"/>
  <c r="AE238" i="9"/>
  <c r="AD238" i="9"/>
  <c r="AC238" i="9"/>
  <c r="AB238" i="9"/>
  <c r="AA238" i="9"/>
  <c r="Z238" i="9"/>
  <c r="T238" i="9" s="1"/>
  <c r="W238" i="9" s="1"/>
  <c r="Y238" i="9"/>
  <c r="V238" i="9"/>
  <c r="U238" i="9"/>
  <c r="AF237" i="9"/>
  <c r="AE237" i="9"/>
  <c r="AD237" i="9"/>
  <c r="AC237" i="9"/>
  <c r="AB237" i="9"/>
  <c r="AA237" i="9"/>
  <c r="Z237" i="9"/>
  <c r="T237" i="9" s="1"/>
  <c r="Y237" i="9"/>
  <c r="V237" i="9"/>
  <c r="W237" i="9" s="1"/>
  <c r="U237" i="9"/>
  <c r="AF236" i="9"/>
  <c r="AE236" i="9"/>
  <c r="AD236" i="9"/>
  <c r="AC236" i="9"/>
  <c r="AB236" i="9"/>
  <c r="U236" i="9" s="1"/>
  <c r="AA236" i="9"/>
  <c r="Z236" i="9"/>
  <c r="T236" i="9" s="1"/>
  <c r="Y236" i="9"/>
  <c r="AF235" i="9"/>
  <c r="AE235" i="9"/>
  <c r="V235" i="9" s="1"/>
  <c r="AD235" i="9"/>
  <c r="AC235" i="9"/>
  <c r="AB235" i="9"/>
  <c r="U235" i="9" s="1"/>
  <c r="AA235" i="9"/>
  <c r="Z235" i="9"/>
  <c r="Y235" i="9"/>
  <c r="T235" i="9" s="1"/>
  <c r="AF234" i="9"/>
  <c r="AE234" i="9"/>
  <c r="AD234" i="9"/>
  <c r="AC234" i="9"/>
  <c r="AB234" i="9"/>
  <c r="AA234" i="9"/>
  <c r="Z234" i="9"/>
  <c r="T234" i="9" s="1"/>
  <c r="W234" i="9" s="1"/>
  <c r="Y234" i="9"/>
  <c r="V234" i="9"/>
  <c r="U234" i="9"/>
  <c r="AF233" i="9"/>
  <c r="AE233" i="9"/>
  <c r="AD233" i="9"/>
  <c r="AC233" i="9"/>
  <c r="AB233" i="9"/>
  <c r="AA233" i="9"/>
  <c r="Z233" i="9"/>
  <c r="T233" i="9" s="1"/>
  <c r="Y233" i="9"/>
  <c r="V233" i="9"/>
  <c r="U233" i="9"/>
  <c r="AF232" i="9"/>
  <c r="AE232" i="9"/>
  <c r="AD232" i="9"/>
  <c r="AC232" i="9"/>
  <c r="AB232" i="9"/>
  <c r="U232" i="9" s="1"/>
  <c r="AA232" i="9"/>
  <c r="Z232" i="9"/>
  <c r="T232" i="9" s="1"/>
  <c r="Y232" i="9"/>
  <c r="AF231" i="9"/>
  <c r="AE231" i="9"/>
  <c r="V231" i="9" s="1"/>
  <c r="AD231" i="9"/>
  <c r="AC231" i="9"/>
  <c r="AB231" i="9"/>
  <c r="U231" i="9" s="1"/>
  <c r="AA231" i="9"/>
  <c r="Z231" i="9"/>
  <c r="Y231" i="9"/>
  <c r="T231" i="9" s="1"/>
  <c r="AF230" i="9"/>
  <c r="AE230" i="9"/>
  <c r="AD230" i="9"/>
  <c r="AC230" i="9"/>
  <c r="AB230" i="9"/>
  <c r="AA230" i="9"/>
  <c r="Z230" i="9"/>
  <c r="T230" i="9" s="1"/>
  <c r="Y230" i="9"/>
  <c r="V230" i="9"/>
  <c r="U230" i="9"/>
  <c r="W230" i="9" s="1"/>
  <c r="AF229" i="9"/>
  <c r="AE229" i="9"/>
  <c r="AD229" i="9"/>
  <c r="AC229" i="9"/>
  <c r="AB229" i="9"/>
  <c r="AA229" i="9"/>
  <c r="Z229" i="9"/>
  <c r="T229" i="9" s="1"/>
  <c r="Y229" i="9"/>
  <c r="V229" i="9"/>
  <c r="U229" i="9"/>
  <c r="AF228" i="9"/>
  <c r="AE228" i="9"/>
  <c r="V228" i="9" s="1"/>
  <c r="AD228" i="9"/>
  <c r="AC228" i="9"/>
  <c r="AB228" i="9"/>
  <c r="U228" i="9" s="1"/>
  <c r="AA228" i="9"/>
  <c r="Z228" i="9"/>
  <c r="T228" i="9" s="1"/>
  <c r="Y228" i="9"/>
  <c r="AF227" i="9"/>
  <c r="AE227" i="9"/>
  <c r="V227" i="9" s="1"/>
  <c r="AD227" i="9"/>
  <c r="AC227" i="9"/>
  <c r="AB227" i="9"/>
  <c r="U227" i="9" s="1"/>
  <c r="AA227" i="9"/>
  <c r="Z227" i="9"/>
  <c r="Y227" i="9"/>
  <c r="T227" i="9" s="1"/>
  <c r="AF226" i="9"/>
  <c r="AE226" i="9"/>
  <c r="AD226" i="9"/>
  <c r="AC226" i="9"/>
  <c r="AB226" i="9"/>
  <c r="AA226" i="9"/>
  <c r="Z226" i="9"/>
  <c r="T226" i="9" s="1"/>
  <c r="W226" i="9" s="1"/>
  <c r="Y226" i="9"/>
  <c r="V226" i="9"/>
  <c r="U226" i="9"/>
  <c r="AF225" i="9"/>
  <c r="AE225" i="9"/>
  <c r="AD225" i="9"/>
  <c r="AC225" i="9"/>
  <c r="AB225" i="9"/>
  <c r="AA225" i="9"/>
  <c r="Z225" i="9"/>
  <c r="T225" i="9" s="1"/>
  <c r="Y225" i="9"/>
  <c r="V225" i="9"/>
  <c r="W225" i="9" s="1"/>
  <c r="U225" i="9"/>
  <c r="AF224" i="9"/>
  <c r="AE224" i="9"/>
  <c r="AD224" i="9"/>
  <c r="AC224" i="9"/>
  <c r="AB224" i="9"/>
  <c r="U224" i="9" s="1"/>
  <c r="AA224" i="9"/>
  <c r="Z224" i="9"/>
  <c r="T224" i="9" s="1"/>
  <c r="Y224" i="9"/>
  <c r="AF223" i="9"/>
  <c r="AE223" i="9"/>
  <c r="V223" i="9" s="1"/>
  <c r="AD223" i="9"/>
  <c r="AC223" i="9"/>
  <c r="AB223" i="9"/>
  <c r="U223" i="9" s="1"/>
  <c r="AA223" i="9"/>
  <c r="Z223" i="9"/>
  <c r="Y223" i="9"/>
  <c r="AF222" i="9"/>
  <c r="AE222" i="9"/>
  <c r="AD222" i="9"/>
  <c r="AC222" i="9"/>
  <c r="AB222" i="9"/>
  <c r="AA222" i="9"/>
  <c r="Z222" i="9"/>
  <c r="T222" i="9" s="1"/>
  <c r="W222" i="9" s="1"/>
  <c r="Y222" i="9"/>
  <c r="V222" i="9"/>
  <c r="U222" i="9"/>
  <c r="AF221" i="9"/>
  <c r="AE221" i="9"/>
  <c r="AD221" i="9"/>
  <c r="AC221" i="9"/>
  <c r="AB221" i="9"/>
  <c r="AA221" i="9"/>
  <c r="Z221" i="9"/>
  <c r="T221" i="9" s="1"/>
  <c r="Y221" i="9"/>
  <c r="V221" i="9"/>
  <c r="U221" i="9"/>
  <c r="AF220" i="9"/>
  <c r="AE220" i="9"/>
  <c r="AD220" i="9"/>
  <c r="AC220" i="9"/>
  <c r="AB220" i="9"/>
  <c r="U220" i="9" s="1"/>
  <c r="AA220" i="9"/>
  <c r="Z220" i="9"/>
  <c r="T220" i="9" s="1"/>
  <c r="Y220" i="9"/>
  <c r="AF219" i="9"/>
  <c r="AE219" i="9"/>
  <c r="V219" i="9" s="1"/>
  <c r="AD219" i="9"/>
  <c r="AC219" i="9"/>
  <c r="AB219" i="9"/>
  <c r="U219" i="9" s="1"/>
  <c r="AA219" i="9"/>
  <c r="Z219" i="9"/>
  <c r="Y219" i="9"/>
  <c r="AF218" i="9"/>
  <c r="AE218" i="9"/>
  <c r="AD218" i="9"/>
  <c r="AC218" i="9"/>
  <c r="AB218" i="9"/>
  <c r="AA218" i="9"/>
  <c r="Z218" i="9"/>
  <c r="Y218" i="9"/>
  <c r="T218" i="9" s="1"/>
  <c r="W218" i="9" s="1"/>
  <c r="V218" i="9"/>
  <c r="U218" i="9"/>
  <c r="AF217" i="9"/>
  <c r="AE217" i="9"/>
  <c r="AD217" i="9"/>
  <c r="AC217" i="9"/>
  <c r="AB217" i="9"/>
  <c r="AA217" i="9"/>
  <c r="Z217" i="9"/>
  <c r="Y217" i="9"/>
  <c r="V217" i="9"/>
  <c r="W217" i="9" s="1"/>
  <c r="U217" i="9"/>
  <c r="T217" i="9"/>
  <c r="AF216" i="9"/>
  <c r="AE216" i="9"/>
  <c r="V216" i="9" s="1"/>
  <c r="AD216" i="9"/>
  <c r="AC216" i="9"/>
  <c r="AB216" i="9"/>
  <c r="U216" i="9" s="1"/>
  <c r="AA216" i="9"/>
  <c r="Z216" i="9"/>
  <c r="T216" i="9" s="1"/>
  <c r="Y216" i="9"/>
  <c r="AF215" i="9"/>
  <c r="AE215" i="9"/>
  <c r="V215" i="9" s="1"/>
  <c r="AD215" i="9"/>
  <c r="AC215" i="9"/>
  <c r="AB215" i="9"/>
  <c r="U215" i="9" s="1"/>
  <c r="AA215" i="9"/>
  <c r="Z215" i="9"/>
  <c r="Y215" i="9"/>
  <c r="T215" i="9" s="1"/>
  <c r="AF214" i="9"/>
  <c r="AE214" i="9"/>
  <c r="AD214" i="9"/>
  <c r="AC214" i="9"/>
  <c r="AB214" i="9"/>
  <c r="AA214" i="9"/>
  <c r="Z214" i="9"/>
  <c r="Y214" i="9"/>
  <c r="T214" i="9" s="1"/>
  <c r="W214" i="9" s="1"/>
  <c r="V214" i="9"/>
  <c r="U214" i="9"/>
  <c r="AF213" i="9"/>
  <c r="AE213" i="9"/>
  <c r="AD213" i="9"/>
  <c r="AC213" i="9"/>
  <c r="AB213" i="9"/>
  <c r="AA213" i="9"/>
  <c r="Z213" i="9"/>
  <c r="Y213" i="9"/>
  <c r="V213" i="9"/>
  <c r="W213" i="9" s="1"/>
  <c r="U213" i="9"/>
  <c r="T213" i="9"/>
  <c r="AF212" i="9"/>
  <c r="AE212" i="9"/>
  <c r="AD212" i="9"/>
  <c r="AC212" i="9"/>
  <c r="AB212" i="9"/>
  <c r="U212" i="9" s="1"/>
  <c r="AA212" i="9"/>
  <c r="Z212" i="9"/>
  <c r="T212" i="9" s="1"/>
  <c r="Y212" i="9"/>
  <c r="AF211" i="9"/>
  <c r="AE211" i="9"/>
  <c r="V211" i="9" s="1"/>
  <c r="AD211" i="9"/>
  <c r="AC211" i="9"/>
  <c r="AB211" i="9"/>
  <c r="U211" i="9" s="1"/>
  <c r="AA211" i="9"/>
  <c r="Z211" i="9"/>
  <c r="Y211" i="9"/>
  <c r="T211" i="9" s="1"/>
  <c r="AF210" i="9"/>
  <c r="AE210" i="9"/>
  <c r="AD210" i="9"/>
  <c r="AC210" i="9"/>
  <c r="AB210" i="9"/>
  <c r="AA210" i="9"/>
  <c r="Z210" i="9"/>
  <c r="Y210" i="9"/>
  <c r="T210" i="9" s="1"/>
  <c r="W210" i="9" s="1"/>
  <c r="V210" i="9"/>
  <c r="U210" i="9"/>
  <c r="AF209" i="9"/>
  <c r="AE209" i="9"/>
  <c r="AD209" i="9"/>
  <c r="AC209" i="9"/>
  <c r="AB209" i="9"/>
  <c r="AA209" i="9"/>
  <c r="Z209" i="9"/>
  <c r="Y209" i="9"/>
  <c r="V209" i="9"/>
  <c r="W209" i="9" s="1"/>
  <c r="U209" i="9"/>
  <c r="T209" i="9"/>
  <c r="AF208" i="9"/>
  <c r="AE208" i="9"/>
  <c r="AD208" i="9"/>
  <c r="AC208" i="9"/>
  <c r="AB208" i="9"/>
  <c r="U208" i="9" s="1"/>
  <c r="AA208" i="9"/>
  <c r="Z208" i="9"/>
  <c r="T208" i="9" s="1"/>
  <c r="Y208" i="9"/>
  <c r="AF207" i="9"/>
  <c r="AE207" i="9"/>
  <c r="V207" i="9" s="1"/>
  <c r="AD207" i="9"/>
  <c r="AC207" i="9"/>
  <c r="AB207" i="9"/>
  <c r="U207" i="9" s="1"/>
  <c r="AA207" i="9"/>
  <c r="Z207" i="9"/>
  <c r="Y207" i="9"/>
  <c r="AF206" i="9"/>
  <c r="AE206" i="9"/>
  <c r="AD206" i="9"/>
  <c r="AC206" i="9"/>
  <c r="AB206" i="9"/>
  <c r="AA206" i="9"/>
  <c r="Z206" i="9"/>
  <c r="Y206" i="9"/>
  <c r="T206" i="9" s="1"/>
  <c r="V206" i="9"/>
  <c r="U206" i="9"/>
  <c r="AF205" i="9"/>
  <c r="AE205" i="9"/>
  <c r="AD205" i="9"/>
  <c r="AC205" i="9"/>
  <c r="AB205" i="9"/>
  <c r="AA205" i="9"/>
  <c r="Z205" i="9"/>
  <c r="Y205" i="9"/>
  <c r="V205" i="9"/>
  <c r="W205" i="9" s="1"/>
  <c r="U205" i="9"/>
  <c r="T205" i="9"/>
  <c r="AF204" i="9"/>
  <c r="AE204" i="9"/>
  <c r="V204" i="9" s="1"/>
  <c r="AD204" i="9"/>
  <c r="AC204" i="9"/>
  <c r="AB204" i="9"/>
  <c r="U204" i="9" s="1"/>
  <c r="AA204" i="9"/>
  <c r="Z204" i="9"/>
  <c r="T204" i="9" s="1"/>
  <c r="Y204" i="9"/>
  <c r="AF203" i="9"/>
  <c r="AE203" i="9"/>
  <c r="V203" i="9" s="1"/>
  <c r="AD203" i="9"/>
  <c r="AC203" i="9"/>
  <c r="AB203" i="9"/>
  <c r="U203" i="9" s="1"/>
  <c r="AA203" i="9"/>
  <c r="Z203" i="9"/>
  <c r="Y203" i="9"/>
  <c r="T203" i="9" s="1"/>
  <c r="AF202" i="9"/>
  <c r="V202" i="9" s="1"/>
  <c r="AE202" i="9"/>
  <c r="AD202" i="9"/>
  <c r="AC202" i="9"/>
  <c r="AB202" i="9"/>
  <c r="AA202" i="9"/>
  <c r="Z202" i="9"/>
  <c r="Y202" i="9"/>
  <c r="T202" i="9" s="1"/>
  <c r="W202" i="9"/>
  <c r="U202" i="9"/>
  <c r="AF201" i="9"/>
  <c r="AE201" i="9"/>
  <c r="AD201" i="9"/>
  <c r="AC201" i="9"/>
  <c r="AB201" i="9"/>
  <c r="AA201" i="9"/>
  <c r="Z201" i="9"/>
  <c r="Y201" i="9"/>
  <c r="V201" i="9"/>
  <c r="W201" i="9" s="1"/>
  <c r="U201" i="9"/>
  <c r="T201" i="9"/>
  <c r="AF200" i="9"/>
  <c r="AE200" i="9"/>
  <c r="AD200" i="9"/>
  <c r="AC200" i="9"/>
  <c r="AB200" i="9"/>
  <c r="U200" i="9" s="1"/>
  <c r="AA200" i="9"/>
  <c r="Z200" i="9"/>
  <c r="T200" i="9" s="1"/>
  <c r="Y200" i="9"/>
  <c r="AF199" i="9"/>
  <c r="AE199" i="9"/>
  <c r="V199" i="9" s="1"/>
  <c r="AD199" i="9"/>
  <c r="AC199" i="9"/>
  <c r="AB199" i="9"/>
  <c r="U199" i="9" s="1"/>
  <c r="AA199" i="9"/>
  <c r="Z199" i="9"/>
  <c r="Y199" i="9"/>
  <c r="T199" i="9" s="1"/>
  <c r="AF198" i="9"/>
  <c r="V198" i="9" s="1"/>
  <c r="W198" i="9" s="1"/>
  <c r="AE198" i="9"/>
  <c r="AD198" i="9"/>
  <c r="AC198" i="9"/>
  <c r="AB198" i="9"/>
  <c r="AA198" i="9"/>
  <c r="Z198" i="9"/>
  <c r="Y198" i="9"/>
  <c r="T198" i="9" s="1"/>
  <c r="U198" i="9"/>
  <c r="AF197" i="9"/>
  <c r="AE197" i="9"/>
  <c r="AD197" i="9"/>
  <c r="AC197" i="9"/>
  <c r="AB197" i="9"/>
  <c r="AA197" i="9"/>
  <c r="Z197" i="9"/>
  <c r="Y197" i="9"/>
  <c r="V197" i="9"/>
  <c r="W197" i="9" s="1"/>
  <c r="U197" i="9"/>
  <c r="T197" i="9"/>
  <c r="AF196" i="9"/>
  <c r="AE196" i="9"/>
  <c r="AD196" i="9"/>
  <c r="AC196" i="9"/>
  <c r="AB196" i="9"/>
  <c r="U196" i="9" s="1"/>
  <c r="AA196" i="9"/>
  <c r="Z196" i="9"/>
  <c r="T196" i="9" s="1"/>
  <c r="Y196" i="9"/>
  <c r="AF195" i="9"/>
  <c r="AE195" i="9"/>
  <c r="V195" i="9" s="1"/>
  <c r="AD195" i="9"/>
  <c r="AC195" i="9"/>
  <c r="AB195" i="9"/>
  <c r="U195" i="9" s="1"/>
  <c r="AA195" i="9"/>
  <c r="Z195" i="9"/>
  <c r="Y195" i="9"/>
  <c r="AF194" i="9"/>
  <c r="V194" i="9" s="1"/>
  <c r="AE194" i="9"/>
  <c r="AD194" i="9"/>
  <c r="AC194" i="9"/>
  <c r="AB194" i="9"/>
  <c r="AA194" i="9"/>
  <c r="Z194" i="9"/>
  <c r="T194" i="9" s="1"/>
  <c r="Y194" i="9"/>
  <c r="U194" i="9"/>
  <c r="W194" i="9" s="1"/>
  <c r="AF193" i="9"/>
  <c r="AE193" i="9"/>
  <c r="AD193" i="9"/>
  <c r="AC193" i="9"/>
  <c r="AB193" i="9"/>
  <c r="AA193" i="9"/>
  <c r="Z193" i="9"/>
  <c r="T193" i="9" s="1"/>
  <c r="Y193" i="9"/>
  <c r="V193" i="9"/>
  <c r="U193" i="9"/>
  <c r="AF192" i="9"/>
  <c r="AE192" i="9"/>
  <c r="AD192" i="9"/>
  <c r="AC192" i="9"/>
  <c r="AB192" i="9"/>
  <c r="U192" i="9" s="1"/>
  <c r="AA192" i="9"/>
  <c r="Z192" i="9"/>
  <c r="T192" i="9" s="1"/>
  <c r="Y192" i="9"/>
  <c r="AF191" i="9"/>
  <c r="AE191" i="9"/>
  <c r="V191" i="9" s="1"/>
  <c r="AD191" i="9"/>
  <c r="AC191" i="9"/>
  <c r="AB191" i="9"/>
  <c r="U191" i="9" s="1"/>
  <c r="AA191" i="9"/>
  <c r="Z191" i="9"/>
  <c r="Y191" i="9"/>
  <c r="T191" i="9" s="1"/>
  <c r="AF190" i="9"/>
  <c r="AE190" i="9"/>
  <c r="AD190" i="9"/>
  <c r="AC190" i="9"/>
  <c r="AB190" i="9"/>
  <c r="AA190" i="9"/>
  <c r="Z190" i="9"/>
  <c r="T190" i="9" s="1"/>
  <c r="W190" i="9" s="1"/>
  <c r="Y190" i="9"/>
  <c r="V190" i="9"/>
  <c r="U190" i="9"/>
  <c r="AF189" i="9"/>
  <c r="AE189" i="9"/>
  <c r="AD189" i="9"/>
  <c r="AC189" i="9"/>
  <c r="AB189" i="9"/>
  <c r="AA189" i="9"/>
  <c r="Z189" i="9"/>
  <c r="Y189" i="9"/>
  <c r="V189" i="9"/>
  <c r="W189" i="9" s="1"/>
  <c r="U189" i="9"/>
  <c r="T189" i="9"/>
  <c r="AF188" i="9"/>
  <c r="AE188" i="9"/>
  <c r="AD188" i="9"/>
  <c r="AC188" i="9"/>
  <c r="AB188" i="9"/>
  <c r="U188" i="9" s="1"/>
  <c r="AA188" i="9"/>
  <c r="Z188" i="9"/>
  <c r="T188" i="9" s="1"/>
  <c r="Y188" i="9"/>
  <c r="AF187" i="9"/>
  <c r="AE187" i="9"/>
  <c r="V187" i="9" s="1"/>
  <c r="AD187" i="9"/>
  <c r="AC187" i="9"/>
  <c r="AB187" i="9"/>
  <c r="U187" i="9" s="1"/>
  <c r="AA187" i="9"/>
  <c r="Z187" i="9"/>
  <c r="Y187" i="9"/>
  <c r="T187" i="9" s="1"/>
  <c r="AF186" i="9"/>
  <c r="AE186" i="9"/>
  <c r="AD186" i="9"/>
  <c r="AC186" i="9"/>
  <c r="AB186" i="9"/>
  <c r="AA186" i="9"/>
  <c r="Z186" i="9"/>
  <c r="T186" i="9" s="1"/>
  <c r="W186" i="9" s="1"/>
  <c r="Y186" i="9"/>
  <c r="V186" i="9"/>
  <c r="U186" i="9"/>
  <c r="AF185" i="9"/>
  <c r="AE185" i="9"/>
  <c r="AD185" i="9"/>
  <c r="AC185" i="9"/>
  <c r="AB185" i="9"/>
  <c r="AA185" i="9"/>
  <c r="Z185" i="9"/>
  <c r="T185" i="9" s="1"/>
  <c r="Y185" i="9"/>
  <c r="V185" i="9"/>
  <c r="U185" i="9"/>
  <c r="AF184" i="9"/>
  <c r="AE184" i="9"/>
  <c r="V184" i="9" s="1"/>
  <c r="AD184" i="9"/>
  <c r="AC184" i="9"/>
  <c r="AB184" i="9"/>
  <c r="U184" i="9" s="1"/>
  <c r="AA184" i="9"/>
  <c r="Z184" i="9"/>
  <c r="T184" i="9" s="1"/>
  <c r="Y184" i="9"/>
  <c r="AF183" i="9"/>
  <c r="AE183" i="9"/>
  <c r="V183" i="9" s="1"/>
  <c r="AD183" i="9"/>
  <c r="AC183" i="9"/>
  <c r="AB183" i="9"/>
  <c r="U183" i="9" s="1"/>
  <c r="AA183" i="9"/>
  <c r="Z183" i="9"/>
  <c r="Y183" i="9"/>
  <c r="T183" i="9" s="1"/>
  <c r="AF182" i="9"/>
  <c r="V182" i="9" s="1"/>
  <c r="AE182" i="9"/>
  <c r="AD182" i="9"/>
  <c r="AC182" i="9"/>
  <c r="AB182" i="9"/>
  <c r="AA182" i="9"/>
  <c r="Z182" i="9"/>
  <c r="T182" i="9" s="1"/>
  <c r="Y182" i="9"/>
  <c r="W182" i="9"/>
  <c r="U182" i="9"/>
  <c r="AF181" i="9"/>
  <c r="AE181" i="9"/>
  <c r="AD181" i="9"/>
  <c r="AC181" i="9"/>
  <c r="AB181" i="9"/>
  <c r="AA181" i="9"/>
  <c r="Z181" i="9"/>
  <c r="T181" i="9" s="1"/>
  <c r="Y181" i="9"/>
  <c r="V181" i="9"/>
  <c r="U181" i="9"/>
  <c r="AF180" i="9"/>
  <c r="AE180" i="9"/>
  <c r="V180" i="9" s="1"/>
  <c r="AD180" i="9"/>
  <c r="AC180" i="9"/>
  <c r="AB180" i="9"/>
  <c r="U180" i="9" s="1"/>
  <c r="AA180" i="9"/>
  <c r="Z180" i="9"/>
  <c r="T180" i="9" s="1"/>
  <c r="Y180" i="9"/>
  <c r="AF179" i="9"/>
  <c r="AE179" i="9"/>
  <c r="V179" i="9" s="1"/>
  <c r="AD179" i="9"/>
  <c r="AC179" i="9"/>
  <c r="AB179" i="9"/>
  <c r="U179" i="9" s="1"/>
  <c r="AA179" i="9"/>
  <c r="Z179" i="9"/>
  <c r="Y179" i="9"/>
  <c r="AF178" i="9"/>
  <c r="V178" i="9" s="1"/>
  <c r="AE178" i="9"/>
  <c r="AD178" i="9"/>
  <c r="AC178" i="9"/>
  <c r="AB178" i="9"/>
  <c r="AA178" i="9"/>
  <c r="Z178" i="9"/>
  <c r="Y178" i="9"/>
  <c r="T178" i="9" s="1"/>
  <c r="W178" i="9" s="1"/>
  <c r="U178" i="9"/>
  <c r="AF177" i="9"/>
  <c r="AE177" i="9"/>
  <c r="AD177" i="9"/>
  <c r="AC177" i="9"/>
  <c r="AB177" i="9"/>
  <c r="AA177" i="9"/>
  <c r="Z177" i="9"/>
  <c r="T177" i="9" s="1"/>
  <c r="Y177" i="9"/>
  <c r="V177" i="9"/>
  <c r="W177" i="9" s="1"/>
  <c r="U177" i="9"/>
  <c r="AF176" i="9"/>
  <c r="AE176" i="9"/>
  <c r="AD176" i="9"/>
  <c r="AC176" i="9"/>
  <c r="AB176" i="9"/>
  <c r="U176" i="9" s="1"/>
  <c r="AA176" i="9"/>
  <c r="Z176" i="9"/>
  <c r="T176" i="9" s="1"/>
  <c r="Y176" i="9"/>
  <c r="AF175" i="9"/>
  <c r="AE175" i="9"/>
  <c r="V175" i="9" s="1"/>
  <c r="AD175" i="9"/>
  <c r="AC175" i="9"/>
  <c r="AB175" i="9"/>
  <c r="U175" i="9" s="1"/>
  <c r="AA175" i="9"/>
  <c r="Z175" i="9"/>
  <c r="Y175" i="9"/>
  <c r="AF174" i="9"/>
  <c r="V174" i="9" s="1"/>
  <c r="W174" i="9" s="1"/>
  <c r="AE174" i="9"/>
  <c r="AD174" i="9"/>
  <c r="AC174" i="9"/>
  <c r="AB174" i="9"/>
  <c r="AA174" i="9"/>
  <c r="Z174" i="9"/>
  <c r="Y174" i="9"/>
  <c r="T174" i="9" s="1"/>
  <c r="U174" i="9"/>
  <c r="AF173" i="9"/>
  <c r="AE173" i="9"/>
  <c r="AD173" i="9"/>
  <c r="AC173" i="9"/>
  <c r="AB173" i="9"/>
  <c r="AA173" i="9"/>
  <c r="Z173" i="9"/>
  <c r="T173" i="9" s="1"/>
  <c r="Y173" i="9"/>
  <c r="V173" i="9"/>
  <c r="W173" i="9" s="1"/>
  <c r="U173" i="9"/>
  <c r="AF172" i="9"/>
  <c r="AE172" i="9"/>
  <c r="AD172" i="9"/>
  <c r="AC172" i="9"/>
  <c r="AB172" i="9"/>
  <c r="U172" i="9" s="1"/>
  <c r="AA172" i="9"/>
  <c r="Z172" i="9"/>
  <c r="T172" i="9" s="1"/>
  <c r="Y172" i="9"/>
  <c r="AF171" i="9"/>
  <c r="AE171" i="9"/>
  <c r="V171" i="9" s="1"/>
  <c r="AD171" i="9"/>
  <c r="AC171" i="9"/>
  <c r="AB171" i="9"/>
  <c r="U171" i="9" s="1"/>
  <c r="AA171" i="9"/>
  <c r="Z171" i="9"/>
  <c r="Y171" i="9"/>
  <c r="T171" i="9" s="1"/>
  <c r="AF170" i="9"/>
  <c r="V170" i="9" s="1"/>
  <c r="W170" i="9" s="1"/>
  <c r="AE170" i="9"/>
  <c r="AD170" i="9"/>
  <c r="AC170" i="9"/>
  <c r="AB170" i="9"/>
  <c r="AA170" i="9"/>
  <c r="Z170" i="9"/>
  <c r="Y170" i="9"/>
  <c r="T170" i="9" s="1"/>
  <c r="U170" i="9"/>
  <c r="AF169" i="9"/>
  <c r="AE169" i="9"/>
  <c r="AD169" i="9"/>
  <c r="AC169" i="9"/>
  <c r="AB169" i="9"/>
  <c r="AA169" i="9"/>
  <c r="Z169" i="9"/>
  <c r="T169" i="9" s="1"/>
  <c r="Y169" i="9"/>
  <c r="V169" i="9"/>
  <c r="U169" i="9"/>
  <c r="AF168" i="9"/>
  <c r="AE168" i="9"/>
  <c r="AD168" i="9"/>
  <c r="AC168" i="9"/>
  <c r="AB168" i="9"/>
  <c r="U168" i="9" s="1"/>
  <c r="AA168" i="9"/>
  <c r="Z168" i="9"/>
  <c r="T168" i="9" s="1"/>
  <c r="Y168" i="9"/>
  <c r="AF167" i="9"/>
  <c r="AE167" i="9"/>
  <c r="V167" i="9" s="1"/>
  <c r="AD167" i="9"/>
  <c r="AC167" i="9"/>
  <c r="AB167" i="9"/>
  <c r="U167" i="9" s="1"/>
  <c r="AA167" i="9"/>
  <c r="Z167" i="9"/>
  <c r="Y167" i="9"/>
  <c r="T167" i="9" s="1"/>
  <c r="AF166" i="9"/>
  <c r="V166" i="9" s="1"/>
  <c r="AE166" i="9"/>
  <c r="AD166" i="9"/>
  <c r="AC166" i="9"/>
  <c r="AB166" i="9"/>
  <c r="AA166" i="9"/>
  <c r="Z166" i="9"/>
  <c r="Y166" i="9"/>
  <c r="T166" i="9" s="1"/>
  <c r="W166" i="9"/>
  <c r="U166" i="9"/>
  <c r="AF165" i="9"/>
  <c r="AE165" i="9"/>
  <c r="AD165" i="9"/>
  <c r="AC165" i="9"/>
  <c r="AB165" i="9"/>
  <c r="AA165" i="9"/>
  <c r="Z165" i="9"/>
  <c r="T165" i="9" s="1"/>
  <c r="Y165" i="9"/>
  <c r="V165" i="9"/>
  <c r="U165" i="9"/>
  <c r="AF164" i="9"/>
  <c r="AE164" i="9"/>
  <c r="V164" i="9" s="1"/>
  <c r="AD164" i="9"/>
  <c r="AC164" i="9"/>
  <c r="AB164" i="9"/>
  <c r="U164" i="9" s="1"/>
  <c r="AA164" i="9"/>
  <c r="Z164" i="9"/>
  <c r="T164" i="9" s="1"/>
  <c r="Y164" i="9"/>
  <c r="AF163" i="9"/>
  <c r="AE163" i="9"/>
  <c r="V163" i="9" s="1"/>
  <c r="AD163" i="9"/>
  <c r="AC163" i="9"/>
  <c r="AB163" i="9"/>
  <c r="U163" i="9" s="1"/>
  <c r="AA163" i="9"/>
  <c r="Z163" i="9"/>
  <c r="Y163" i="9"/>
  <c r="AF162" i="9"/>
  <c r="V162" i="9" s="1"/>
  <c r="AE162" i="9"/>
  <c r="AD162" i="9"/>
  <c r="AC162" i="9"/>
  <c r="AB162" i="9"/>
  <c r="AA162" i="9"/>
  <c r="Z162" i="9"/>
  <c r="Y162" i="9"/>
  <c r="T162" i="9" s="1"/>
  <c r="W162" i="9" s="1"/>
  <c r="U162" i="9"/>
  <c r="AF161" i="9"/>
  <c r="AE161" i="9"/>
  <c r="AD161" i="9"/>
  <c r="AC161" i="9"/>
  <c r="AB161" i="9"/>
  <c r="AA161" i="9"/>
  <c r="Z161" i="9"/>
  <c r="T161" i="9" s="1"/>
  <c r="Y161" i="9"/>
  <c r="V161" i="9"/>
  <c r="W161" i="9" s="1"/>
  <c r="U161" i="9"/>
  <c r="AF160" i="9"/>
  <c r="AE160" i="9"/>
  <c r="AD160" i="9"/>
  <c r="AC160" i="9"/>
  <c r="AB160" i="9"/>
  <c r="U160" i="9" s="1"/>
  <c r="AA160" i="9"/>
  <c r="Z160" i="9"/>
  <c r="T160" i="9" s="1"/>
  <c r="Y160" i="9"/>
  <c r="AF159" i="9"/>
  <c r="AE159" i="9"/>
  <c r="V159" i="9" s="1"/>
  <c r="AD159" i="9"/>
  <c r="AC159" i="9"/>
  <c r="AB159" i="9"/>
  <c r="U159" i="9" s="1"/>
  <c r="AA159" i="9"/>
  <c r="Z159" i="9"/>
  <c r="Y159" i="9"/>
  <c r="AF158" i="9"/>
  <c r="V158" i="9" s="1"/>
  <c r="W158" i="9" s="1"/>
  <c r="AE158" i="9"/>
  <c r="AD158" i="9"/>
  <c r="AC158" i="9"/>
  <c r="AB158" i="9"/>
  <c r="AA158" i="9"/>
  <c r="Z158" i="9"/>
  <c r="Y158" i="9"/>
  <c r="T158" i="9" s="1"/>
  <c r="U158" i="9"/>
  <c r="AF157" i="9"/>
  <c r="AE157" i="9"/>
  <c r="AD157" i="9"/>
  <c r="AC157" i="9"/>
  <c r="AB157" i="9"/>
  <c r="AA157" i="9"/>
  <c r="Z157" i="9"/>
  <c r="T157" i="9" s="1"/>
  <c r="Y157" i="9"/>
  <c r="V157" i="9"/>
  <c r="W157" i="9" s="1"/>
  <c r="U157" i="9"/>
  <c r="AF156" i="9"/>
  <c r="AE156" i="9"/>
  <c r="AD156" i="9"/>
  <c r="AC156" i="9"/>
  <c r="AB156" i="9"/>
  <c r="U156" i="9" s="1"/>
  <c r="AA156" i="9"/>
  <c r="Z156" i="9"/>
  <c r="T156" i="9" s="1"/>
  <c r="Y156" i="9"/>
  <c r="AF155" i="9"/>
  <c r="AE155" i="9"/>
  <c r="V155" i="9" s="1"/>
  <c r="AD155" i="9"/>
  <c r="AC155" i="9"/>
  <c r="AB155" i="9"/>
  <c r="U155" i="9" s="1"/>
  <c r="AA155" i="9"/>
  <c r="Z155" i="9"/>
  <c r="Y155" i="9"/>
  <c r="T155" i="9" s="1"/>
  <c r="AF154" i="9"/>
  <c r="V154" i="9" s="1"/>
  <c r="W154" i="9" s="1"/>
  <c r="AE154" i="9"/>
  <c r="AD154" i="9"/>
  <c r="AC154" i="9"/>
  <c r="AB154" i="9"/>
  <c r="AA154" i="9"/>
  <c r="Z154" i="9"/>
  <c r="Y154" i="9"/>
  <c r="T154" i="9" s="1"/>
  <c r="U154" i="9"/>
  <c r="AF153" i="9"/>
  <c r="AE153" i="9"/>
  <c r="AD153" i="9"/>
  <c r="AC153" i="9"/>
  <c r="AB153" i="9"/>
  <c r="AA153" i="9"/>
  <c r="Z153" i="9"/>
  <c r="Y153" i="9"/>
  <c r="V153" i="9"/>
  <c r="W153" i="9" s="1"/>
  <c r="U153" i="9"/>
  <c r="T153" i="9"/>
  <c r="AF152" i="9"/>
  <c r="AE152" i="9"/>
  <c r="AD152" i="9"/>
  <c r="AC152" i="9"/>
  <c r="AB152" i="9"/>
  <c r="AA152" i="9"/>
  <c r="Z152" i="9"/>
  <c r="T152" i="9" s="1"/>
  <c r="Y152" i="9"/>
  <c r="U152" i="9"/>
  <c r="AF151" i="9"/>
  <c r="AE151" i="9"/>
  <c r="V151" i="9" s="1"/>
  <c r="AD151" i="9"/>
  <c r="AC151" i="9"/>
  <c r="AB151" i="9"/>
  <c r="U151" i="9" s="1"/>
  <c r="AA151" i="9"/>
  <c r="Z151" i="9"/>
  <c r="Y151" i="9"/>
  <c r="AF150" i="9"/>
  <c r="V150" i="9" s="1"/>
  <c r="AE150" i="9"/>
  <c r="AD150" i="9"/>
  <c r="AC150" i="9"/>
  <c r="AB150" i="9"/>
  <c r="AA150" i="9"/>
  <c r="Z150" i="9"/>
  <c r="Y150" i="9"/>
  <c r="T150" i="9" s="1"/>
  <c r="U150" i="9"/>
  <c r="W150" i="9" s="1"/>
  <c r="AF149" i="9"/>
  <c r="AE149" i="9"/>
  <c r="AD149" i="9"/>
  <c r="AC149" i="9"/>
  <c r="AB149" i="9"/>
  <c r="AA149" i="9"/>
  <c r="Z149" i="9"/>
  <c r="Y149" i="9"/>
  <c r="V149" i="9"/>
  <c r="W149" i="9" s="1"/>
  <c r="U149" i="9"/>
  <c r="T149" i="9"/>
  <c r="AF148" i="9"/>
  <c r="AE148" i="9"/>
  <c r="V148" i="9" s="1"/>
  <c r="AD148" i="9"/>
  <c r="AC148" i="9"/>
  <c r="AB148" i="9"/>
  <c r="U148" i="9" s="1"/>
  <c r="AA148" i="9"/>
  <c r="Z148" i="9"/>
  <c r="T148" i="9" s="1"/>
  <c r="Y148" i="9"/>
  <c r="AF147" i="9"/>
  <c r="AE147" i="9"/>
  <c r="V147" i="9" s="1"/>
  <c r="AD147" i="9"/>
  <c r="AC147" i="9"/>
  <c r="AB147" i="9"/>
  <c r="U147" i="9" s="1"/>
  <c r="AA147" i="9"/>
  <c r="Z147" i="9"/>
  <c r="Y147" i="9"/>
  <c r="T147" i="9" s="1"/>
  <c r="AF146" i="9"/>
  <c r="V146" i="9" s="1"/>
  <c r="AE146" i="9"/>
  <c r="AD146" i="9"/>
  <c r="AC146" i="9"/>
  <c r="AB146" i="9"/>
  <c r="AA146" i="9"/>
  <c r="Z146" i="9"/>
  <c r="Y146" i="9"/>
  <c r="T146" i="9" s="1"/>
  <c r="W146" i="9"/>
  <c r="U146" i="9"/>
  <c r="AF145" i="9"/>
  <c r="AE145" i="9"/>
  <c r="AD145" i="9"/>
  <c r="AC145" i="9"/>
  <c r="AB145" i="9"/>
  <c r="AA145" i="9"/>
  <c r="Z145" i="9"/>
  <c r="Y145" i="9"/>
  <c r="V145" i="9"/>
  <c r="W145" i="9" s="1"/>
  <c r="U145" i="9"/>
  <c r="T145" i="9"/>
  <c r="AF144" i="9"/>
  <c r="AE144" i="9"/>
  <c r="AD144" i="9"/>
  <c r="AC144" i="9"/>
  <c r="AB144" i="9"/>
  <c r="U144" i="9" s="1"/>
  <c r="AA144" i="9"/>
  <c r="Z144" i="9"/>
  <c r="T144" i="9" s="1"/>
  <c r="Y144" i="9"/>
  <c r="AF143" i="9"/>
  <c r="AE143" i="9"/>
  <c r="V143" i="9" s="1"/>
  <c r="AD143" i="9"/>
  <c r="AC143" i="9"/>
  <c r="AB143" i="9"/>
  <c r="U143" i="9" s="1"/>
  <c r="AA143" i="9"/>
  <c r="Z143" i="9"/>
  <c r="Y143" i="9"/>
  <c r="T143" i="9" s="1"/>
  <c r="AF142" i="9"/>
  <c r="V142" i="9" s="1"/>
  <c r="AE142" i="9"/>
  <c r="AD142" i="9"/>
  <c r="AC142" i="9"/>
  <c r="AB142" i="9"/>
  <c r="AA142" i="9"/>
  <c r="Z142" i="9"/>
  <c r="Y142" i="9"/>
  <c r="T142" i="9" s="1"/>
  <c r="U142" i="9"/>
  <c r="W142" i="9" s="1"/>
  <c r="AF141" i="9"/>
  <c r="AE141" i="9"/>
  <c r="AD141" i="9"/>
  <c r="AC141" i="9"/>
  <c r="AB141" i="9"/>
  <c r="AA141" i="9"/>
  <c r="Z141" i="9"/>
  <c r="Y141" i="9"/>
  <c r="V141" i="9"/>
  <c r="W141" i="9" s="1"/>
  <c r="U141" i="9"/>
  <c r="T141" i="9"/>
  <c r="AF140" i="9"/>
  <c r="AE140" i="9"/>
  <c r="AD140" i="9"/>
  <c r="AC140" i="9"/>
  <c r="AB140" i="9"/>
  <c r="U140" i="9" s="1"/>
  <c r="AA140" i="9"/>
  <c r="Z140" i="9"/>
  <c r="T140" i="9" s="1"/>
  <c r="Y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V138" i="9" s="1"/>
  <c r="AE138" i="9"/>
  <c r="AD138" i="9"/>
  <c r="AC138" i="9"/>
  <c r="AB138" i="9"/>
  <c r="AA138" i="9"/>
  <c r="Z138" i="9"/>
  <c r="Y138" i="9"/>
  <c r="T138" i="9" s="1"/>
  <c r="W138" i="9" s="1"/>
  <c r="U138" i="9"/>
  <c r="AF137" i="9"/>
  <c r="AE137" i="9"/>
  <c r="AD137" i="9"/>
  <c r="AC137" i="9"/>
  <c r="AB137" i="9"/>
  <c r="AA137" i="9"/>
  <c r="Z137" i="9"/>
  <c r="Y137" i="9"/>
  <c r="V137" i="9"/>
  <c r="W137" i="9" s="1"/>
  <c r="U137" i="9"/>
  <c r="T137" i="9"/>
  <c r="AF136" i="9"/>
  <c r="AE136" i="9"/>
  <c r="AD136" i="9"/>
  <c r="AC136" i="9"/>
  <c r="AB136" i="9"/>
  <c r="U136" i="9" s="1"/>
  <c r="AA136" i="9"/>
  <c r="Z136" i="9"/>
  <c r="T136" i="9" s="1"/>
  <c r="Y136" i="9"/>
  <c r="AF135" i="9"/>
  <c r="AE135" i="9"/>
  <c r="V135" i="9" s="1"/>
  <c r="AD135" i="9"/>
  <c r="AC135" i="9"/>
  <c r="AB135" i="9"/>
  <c r="AA135" i="9"/>
  <c r="Z135" i="9"/>
  <c r="Y135" i="9"/>
  <c r="U135" i="9"/>
  <c r="AF134" i="9"/>
  <c r="V134" i="9" s="1"/>
  <c r="W134" i="9" s="1"/>
  <c r="AE134" i="9"/>
  <c r="AD134" i="9"/>
  <c r="AC134" i="9"/>
  <c r="AB134" i="9"/>
  <c r="AA134" i="9"/>
  <c r="Z134" i="9"/>
  <c r="Y134" i="9"/>
  <c r="T134" i="9" s="1"/>
  <c r="U134" i="9"/>
  <c r="AF133" i="9"/>
  <c r="AE133" i="9"/>
  <c r="AD133" i="9"/>
  <c r="AC133" i="9"/>
  <c r="AB133" i="9"/>
  <c r="AA133" i="9"/>
  <c r="Z133" i="9"/>
  <c r="Y133" i="9"/>
  <c r="V133" i="9"/>
  <c r="W133" i="9" s="1"/>
  <c r="U133" i="9"/>
  <c r="T133" i="9"/>
  <c r="AF132" i="9"/>
  <c r="AE132" i="9"/>
  <c r="V132" i="9" s="1"/>
  <c r="W132" i="9" s="1"/>
  <c r="AD132" i="9"/>
  <c r="AC132" i="9"/>
  <c r="AB132" i="9"/>
  <c r="U132" i="9" s="1"/>
  <c r="AA132" i="9"/>
  <c r="Z132" i="9"/>
  <c r="T132" i="9" s="1"/>
  <c r="Y132" i="9"/>
  <c r="AF131" i="9"/>
  <c r="AE131" i="9"/>
  <c r="V131" i="9" s="1"/>
  <c r="AD131" i="9"/>
  <c r="AC131" i="9"/>
  <c r="AB131" i="9"/>
  <c r="U131" i="9" s="1"/>
  <c r="AA131" i="9"/>
  <c r="Z131" i="9"/>
  <c r="Y131" i="9"/>
  <c r="AF130" i="9"/>
  <c r="V130" i="9" s="1"/>
  <c r="W130" i="9" s="1"/>
  <c r="AE130" i="9"/>
  <c r="AD130" i="9"/>
  <c r="AC130" i="9"/>
  <c r="AB130" i="9"/>
  <c r="AA130" i="9"/>
  <c r="Z130" i="9"/>
  <c r="Y130" i="9"/>
  <c r="T130" i="9" s="1"/>
  <c r="U130" i="9"/>
  <c r="AF129" i="9"/>
  <c r="AE129" i="9"/>
  <c r="AD129" i="9"/>
  <c r="AC129" i="9"/>
  <c r="AB129" i="9"/>
  <c r="AA129" i="9"/>
  <c r="Z129" i="9"/>
  <c r="Y129" i="9"/>
  <c r="V129" i="9"/>
  <c r="W129" i="9" s="1"/>
  <c r="U129" i="9"/>
  <c r="T129" i="9"/>
  <c r="AF128" i="9"/>
  <c r="AE128" i="9"/>
  <c r="V128" i="9" s="1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U127" i="9" s="1"/>
  <c r="AA127" i="9"/>
  <c r="Z127" i="9"/>
  <c r="Y127" i="9"/>
  <c r="AF126" i="9"/>
  <c r="V126" i="9" s="1"/>
  <c r="W126" i="9" s="1"/>
  <c r="AE126" i="9"/>
  <c r="AD126" i="9"/>
  <c r="AC126" i="9"/>
  <c r="AB126" i="9"/>
  <c r="AA126" i="9"/>
  <c r="Z126" i="9"/>
  <c r="Y126" i="9"/>
  <c r="T126" i="9" s="1"/>
  <c r="U126" i="9"/>
  <c r="AF125" i="9"/>
  <c r="AE125" i="9"/>
  <c r="AD125" i="9"/>
  <c r="AC125" i="9"/>
  <c r="AB125" i="9"/>
  <c r="AA125" i="9"/>
  <c r="Z125" i="9"/>
  <c r="Y125" i="9"/>
  <c r="V125" i="9"/>
  <c r="W125" i="9" s="1"/>
  <c r="U125" i="9"/>
  <c r="T125" i="9"/>
  <c r="AF124" i="9"/>
  <c r="AE124" i="9"/>
  <c r="AD124" i="9"/>
  <c r="AC124" i="9"/>
  <c r="AB124" i="9"/>
  <c r="U124" i="9" s="1"/>
  <c r="AA124" i="9"/>
  <c r="Z124" i="9"/>
  <c r="T124" i="9" s="1"/>
  <c r="Y124" i="9"/>
  <c r="AF123" i="9"/>
  <c r="AE123" i="9"/>
  <c r="V123" i="9" s="1"/>
  <c r="AD123" i="9"/>
  <c r="AC123" i="9"/>
  <c r="AB123" i="9"/>
  <c r="AA123" i="9"/>
  <c r="Z123" i="9"/>
  <c r="Y123" i="9"/>
  <c r="U123" i="9"/>
  <c r="AF122" i="9"/>
  <c r="V122" i="9" s="1"/>
  <c r="W122" i="9" s="1"/>
  <c r="AE122" i="9"/>
  <c r="AD122" i="9"/>
  <c r="AC122" i="9"/>
  <c r="AB122" i="9"/>
  <c r="AA122" i="9"/>
  <c r="Z122" i="9"/>
  <c r="Y122" i="9"/>
  <c r="T122" i="9" s="1"/>
  <c r="U122" i="9"/>
  <c r="AF121" i="9"/>
  <c r="AE121" i="9"/>
  <c r="AD121" i="9"/>
  <c r="AC121" i="9"/>
  <c r="AB121" i="9"/>
  <c r="AA121" i="9"/>
  <c r="Z121" i="9"/>
  <c r="Y121" i="9"/>
  <c r="V121" i="9"/>
  <c r="W121" i="9" s="1"/>
  <c r="U121" i="9"/>
  <c r="T121" i="9"/>
  <c r="AF120" i="9"/>
  <c r="AE120" i="9"/>
  <c r="AD120" i="9"/>
  <c r="AC120" i="9"/>
  <c r="AB120" i="9"/>
  <c r="U120" i="9" s="1"/>
  <c r="AA120" i="9"/>
  <c r="Z120" i="9"/>
  <c r="T120" i="9" s="1"/>
  <c r="Y120" i="9"/>
  <c r="AF119" i="9"/>
  <c r="AE119" i="9"/>
  <c r="V119" i="9" s="1"/>
  <c r="AD119" i="9"/>
  <c r="AC119" i="9"/>
  <c r="AB119" i="9"/>
  <c r="U119" i="9" s="1"/>
  <c r="AA119" i="9"/>
  <c r="Z119" i="9"/>
  <c r="Y119" i="9"/>
  <c r="T119" i="9" s="1"/>
  <c r="AF118" i="9"/>
  <c r="V118" i="9" s="1"/>
  <c r="AE118" i="9"/>
  <c r="AD118" i="9"/>
  <c r="AC118" i="9"/>
  <c r="AB118" i="9"/>
  <c r="AA118" i="9"/>
  <c r="Z118" i="9"/>
  <c r="Y118" i="9"/>
  <c r="T118" i="9" s="1"/>
  <c r="U118" i="9"/>
  <c r="AF117" i="9"/>
  <c r="AE117" i="9"/>
  <c r="AD117" i="9"/>
  <c r="AC117" i="9"/>
  <c r="AB117" i="9"/>
  <c r="AA117" i="9"/>
  <c r="Z117" i="9"/>
  <c r="Y117" i="9"/>
  <c r="V117" i="9"/>
  <c r="W117" i="9" s="1"/>
  <c r="U117" i="9"/>
  <c r="T117" i="9"/>
  <c r="AF116" i="9"/>
  <c r="AE116" i="9"/>
  <c r="AD116" i="9"/>
  <c r="AC116" i="9"/>
  <c r="AB116" i="9"/>
  <c r="U116" i="9" s="1"/>
  <c r="AA116" i="9"/>
  <c r="Z116" i="9"/>
  <c r="T116" i="9" s="1"/>
  <c r="Y116" i="9"/>
  <c r="AF115" i="9"/>
  <c r="AE115" i="9"/>
  <c r="V115" i="9" s="1"/>
  <c r="AD115" i="9"/>
  <c r="AC115" i="9"/>
  <c r="AB115" i="9"/>
  <c r="AA115" i="9"/>
  <c r="Z115" i="9"/>
  <c r="Y115" i="9"/>
  <c r="T115" i="9" s="1"/>
  <c r="U115" i="9"/>
  <c r="AF114" i="9"/>
  <c r="V114" i="9" s="1"/>
  <c r="AE114" i="9"/>
  <c r="AD114" i="9"/>
  <c r="AC114" i="9"/>
  <c r="AB114" i="9"/>
  <c r="AA114" i="9"/>
  <c r="Z114" i="9"/>
  <c r="Y114" i="9"/>
  <c r="T114" i="9" s="1"/>
  <c r="U114" i="9"/>
  <c r="W114" i="9" s="1"/>
  <c r="AF113" i="9"/>
  <c r="AE113" i="9"/>
  <c r="AD113" i="9"/>
  <c r="AC113" i="9"/>
  <c r="AB113" i="9"/>
  <c r="AA113" i="9"/>
  <c r="Z113" i="9"/>
  <c r="Y113" i="9"/>
  <c r="V113" i="9"/>
  <c r="W113" i="9" s="1"/>
  <c r="U113" i="9"/>
  <c r="T113" i="9"/>
  <c r="AF112" i="9"/>
  <c r="AE112" i="9"/>
  <c r="AD112" i="9"/>
  <c r="AC112" i="9"/>
  <c r="AB112" i="9"/>
  <c r="U112" i="9" s="1"/>
  <c r="AA112" i="9"/>
  <c r="Z112" i="9"/>
  <c r="T112" i="9" s="1"/>
  <c r="Y112" i="9"/>
  <c r="AF111" i="9"/>
  <c r="AE111" i="9"/>
  <c r="V111" i="9" s="1"/>
  <c r="AD111" i="9"/>
  <c r="AC111" i="9"/>
  <c r="AB111" i="9"/>
  <c r="U111" i="9" s="1"/>
  <c r="AA111" i="9"/>
  <c r="Z111" i="9"/>
  <c r="Y111" i="9"/>
  <c r="T111" i="9" s="1"/>
  <c r="AF110" i="9"/>
  <c r="V110" i="9" s="1"/>
  <c r="AE110" i="9"/>
  <c r="AD110" i="9"/>
  <c r="AC110" i="9"/>
  <c r="AB110" i="9"/>
  <c r="AA110" i="9"/>
  <c r="Z110" i="9"/>
  <c r="Y110" i="9"/>
  <c r="T110" i="9" s="1"/>
  <c r="U110" i="9"/>
  <c r="W110" i="9" s="1"/>
  <c r="AF109" i="9"/>
  <c r="AE109" i="9"/>
  <c r="AD109" i="9"/>
  <c r="AC109" i="9"/>
  <c r="AB109" i="9"/>
  <c r="AA109" i="9"/>
  <c r="Z109" i="9"/>
  <c r="Y109" i="9"/>
  <c r="V109" i="9"/>
  <c r="W109" i="9" s="1"/>
  <c r="U109" i="9"/>
  <c r="T109" i="9"/>
  <c r="AF108" i="9"/>
  <c r="AE108" i="9"/>
  <c r="AD108" i="9"/>
  <c r="AC108" i="9"/>
  <c r="AB108" i="9"/>
  <c r="U108" i="9" s="1"/>
  <c r="AA108" i="9"/>
  <c r="Z108" i="9"/>
  <c r="T108" i="9" s="1"/>
  <c r="Y108" i="9"/>
  <c r="AF107" i="9"/>
  <c r="AE107" i="9"/>
  <c r="V107" i="9" s="1"/>
  <c r="AD107" i="9"/>
  <c r="AC107" i="9"/>
  <c r="AB107" i="9"/>
  <c r="U107" i="9" s="1"/>
  <c r="AA107" i="9"/>
  <c r="Z107" i="9"/>
  <c r="Y107" i="9"/>
  <c r="AF106" i="9"/>
  <c r="V106" i="9" s="1"/>
  <c r="AE106" i="9"/>
  <c r="AD106" i="9"/>
  <c r="AC106" i="9"/>
  <c r="AB106" i="9"/>
  <c r="AA106" i="9"/>
  <c r="Z106" i="9"/>
  <c r="Y106" i="9"/>
  <c r="T106" i="9" s="1"/>
  <c r="W106" i="9"/>
  <c r="U106" i="9"/>
  <c r="AF105" i="9"/>
  <c r="AE105" i="9"/>
  <c r="AD105" i="9"/>
  <c r="AC105" i="9"/>
  <c r="AB105" i="9"/>
  <c r="AA105" i="9"/>
  <c r="Z105" i="9"/>
  <c r="Y105" i="9"/>
  <c r="V105" i="9"/>
  <c r="W105" i="9" s="1"/>
  <c r="U105" i="9"/>
  <c r="T105" i="9"/>
  <c r="AF104" i="9"/>
  <c r="AE104" i="9"/>
  <c r="AD104" i="9"/>
  <c r="AC104" i="9"/>
  <c r="AB104" i="9"/>
  <c r="U104" i="9" s="1"/>
  <c r="AA104" i="9"/>
  <c r="Z104" i="9"/>
  <c r="T104" i="9" s="1"/>
  <c r="Y104" i="9"/>
  <c r="AF103" i="9"/>
  <c r="AE103" i="9"/>
  <c r="V103" i="9" s="1"/>
  <c r="AD103" i="9"/>
  <c r="AC103" i="9"/>
  <c r="AB103" i="9"/>
  <c r="AA103" i="9"/>
  <c r="Z103" i="9"/>
  <c r="Y103" i="9"/>
  <c r="U103" i="9"/>
  <c r="AF102" i="9"/>
  <c r="V102" i="9" s="1"/>
  <c r="W102" i="9" s="1"/>
  <c r="AE102" i="9"/>
  <c r="AD102" i="9"/>
  <c r="AC102" i="9"/>
  <c r="AB102" i="9"/>
  <c r="AA102" i="9"/>
  <c r="Z102" i="9"/>
  <c r="Y102" i="9"/>
  <c r="T102" i="9" s="1"/>
  <c r="U102" i="9"/>
  <c r="AF101" i="9"/>
  <c r="AE101" i="9"/>
  <c r="AD101" i="9"/>
  <c r="AC101" i="9"/>
  <c r="AB101" i="9"/>
  <c r="AA101" i="9"/>
  <c r="Z101" i="9"/>
  <c r="Y101" i="9"/>
  <c r="V101" i="9"/>
  <c r="W101" i="9" s="1"/>
  <c r="U101" i="9"/>
  <c r="T101" i="9"/>
  <c r="AF100" i="9"/>
  <c r="AE100" i="9"/>
  <c r="V100" i="9" s="1"/>
  <c r="AD100" i="9"/>
  <c r="AC100" i="9"/>
  <c r="AB100" i="9"/>
  <c r="U100" i="9" s="1"/>
  <c r="AA100" i="9"/>
  <c r="Z100" i="9"/>
  <c r="T100" i="9" s="1"/>
  <c r="Y100" i="9"/>
  <c r="AF99" i="9"/>
  <c r="AE99" i="9"/>
  <c r="V99" i="9" s="1"/>
  <c r="AD99" i="9"/>
  <c r="AC99" i="9"/>
  <c r="AB99" i="9"/>
  <c r="U99" i="9" s="1"/>
  <c r="AA99" i="9"/>
  <c r="Z99" i="9"/>
  <c r="Y99" i="9"/>
  <c r="AF98" i="9"/>
  <c r="V98" i="9" s="1"/>
  <c r="W98" i="9" s="1"/>
  <c r="AE98" i="9"/>
  <c r="AD98" i="9"/>
  <c r="AC98" i="9"/>
  <c r="AB98" i="9"/>
  <c r="AA98" i="9"/>
  <c r="Z98" i="9"/>
  <c r="Y98" i="9"/>
  <c r="T98" i="9" s="1"/>
  <c r="U98" i="9"/>
  <c r="AF97" i="9"/>
  <c r="AE97" i="9"/>
  <c r="AD97" i="9"/>
  <c r="AC97" i="9"/>
  <c r="AB97" i="9"/>
  <c r="AA97" i="9"/>
  <c r="Z97" i="9"/>
  <c r="Y97" i="9"/>
  <c r="V97" i="9"/>
  <c r="W97" i="9" s="1"/>
  <c r="U97" i="9"/>
  <c r="T97" i="9"/>
  <c r="AF96" i="9"/>
  <c r="AE96" i="9"/>
  <c r="V96" i="9" s="1"/>
  <c r="AD96" i="9"/>
  <c r="AC96" i="9"/>
  <c r="AB96" i="9"/>
  <c r="U96" i="9" s="1"/>
  <c r="AA96" i="9"/>
  <c r="Z96" i="9"/>
  <c r="T96" i="9" s="1"/>
  <c r="Y96" i="9"/>
  <c r="AF95" i="9"/>
  <c r="AE95" i="9"/>
  <c r="V95" i="9" s="1"/>
  <c r="AD95" i="9"/>
  <c r="AC95" i="9"/>
  <c r="AB95" i="9"/>
  <c r="U95" i="9" s="1"/>
  <c r="AA95" i="9"/>
  <c r="Z95" i="9"/>
  <c r="Y95" i="9"/>
  <c r="AF94" i="9"/>
  <c r="V94" i="9" s="1"/>
  <c r="AE94" i="9"/>
  <c r="AD94" i="9"/>
  <c r="AC94" i="9"/>
  <c r="AB94" i="9"/>
  <c r="AA94" i="9"/>
  <c r="Z94" i="9"/>
  <c r="Y94" i="9"/>
  <c r="U94" i="9"/>
  <c r="AF93" i="9"/>
  <c r="AE93" i="9"/>
  <c r="AD93" i="9"/>
  <c r="AC93" i="9"/>
  <c r="AB93" i="9"/>
  <c r="AA93" i="9"/>
  <c r="Z93" i="9"/>
  <c r="Y93" i="9"/>
  <c r="V93" i="9"/>
  <c r="U93" i="9"/>
  <c r="T93" i="9"/>
  <c r="AF92" i="9"/>
  <c r="AE92" i="9"/>
  <c r="AD92" i="9"/>
  <c r="AC92" i="9"/>
  <c r="AB92" i="9"/>
  <c r="U92" i="9" s="1"/>
  <c r="AA92" i="9"/>
  <c r="Z92" i="9"/>
  <c r="T92" i="9" s="1"/>
  <c r="Y92" i="9"/>
  <c r="AF91" i="9"/>
  <c r="AE91" i="9"/>
  <c r="V91" i="9" s="1"/>
  <c r="AD91" i="9"/>
  <c r="AC91" i="9"/>
  <c r="AB91" i="9"/>
  <c r="AA91" i="9"/>
  <c r="Z91" i="9"/>
  <c r="Y91" i="9"/>
  <c r="U91" i="9"/>
  <c r="AF90" i="9"/>
  <c r="V90" i="9" s="1"/>
  <c r="AE90" i="9"/>
  <c r="AD90" i="9"/>
  <c r="AC90" i="9"/>
  <c r="AB90" i="9"/>
  <c r="AA90" i="9"/>
  <c r="Z90" i="9"/>
  <c r="Y90" i="9"/>
  <c r="U90" i="9"/>
  <c r="AF89" i="9"/>
  <c r="AE89" i="9"/>
  <c r="AD89" i="9"/>
  <c r="AC89" i="9"/>
  <c r="AB89" i="9"/>
  <c r="AA89" i="9"/>
  <c r="Z89" i="9"/>
  <c r="Y89" i="9"/>
  <c r="V89" i="9"/>
  <c r="W89" i="9" s="1"/>
  <c r="U89" i="9"/>
  <c r="T89" i="9"/>
  <c r="AF88" i="9"/>
  <c r="AE88" i="9"/>
  <c r="AD88" i="9"/>
  <c r="AC88" i="9"/>
  <c r="AB88" i="9"/>
  <c r="U88" i="9" s="1"/>
  <c r="AA88" i="9"/>
  <c r="Z88" i="9"/>
  <c r="T88" i="9" s="1"/>
  <c r="Y88" i="9"/>
  <c r="AF87" i="9"/>
  <c r="AE87" i="9"/>
  <c r="V87" i="9" s="1"/>
  <c r="W87" i="9" s="1"/>
  <c r="AD87" i="9"/>
  <c r="AC87" i="9"/>
  <c r="AB87" i="9"/>
  <c r="AA87" i="9"/>
  <c r="Z87" i="9"/>
  <c r="Y87" i="9"/>
  <c r="T87" i="9" s="1"/>
  <c r="U87" i="9"/>
  <c r="AF86" i="9"/>
  <c r="V86" i="9" s="1"/>
  <c r="AE86" i="9"/>
  <c r="AD86" i="9"/>
  <c r="AC86" i="9"/>
  <c r="AB86" i="9"/>
  <c r="AA86" i="9"/>
  <c r="Z86" i="9"/>
  <c r="T86" i="9" s="1"/>
  <c r="Y86" i="9"/>
  <c r="U86" i="9"/>
  <c r="W86" i="9" s="1"/>
  <c r="AF85" i="9"/>
  <c r="AE85" i="9"/>
  <c r="AD85" i="9"/>
  <c r="AC85" i="9"/>
  <c r="AB85" i="9"/>
  <c r="AA85" i="9"/>
  <c r="Z85" i="9"/>
  <c r="Y85" i="9"/>
  <c r="V85" i="9"/>
  <c r="W85" i="9" s="1"/>
  <c r="U85" i="9"/>
  <c r="T85" i="9"/>
  <c r="AF84" i="9"/>
  <c r="AE84" i="9"/>
  <c r="V84" i="9" s="1"/>
  <c r="AD84" i="9"/>
  <c r="AC84" i="9"/>
  <c r="AB84" i="9"/>
  <c r="AA84" i="9"/>
  <c r="Z84" i="9"/>
  <c r="T84" i="9" s="1"/>
  <c r="Y84" i="9"/>
  <c r="AF83" i="9"/>
  <c r="AE83" i="9"/>
  <c r="AD83" i="9"/>
  <c r="AC83" i="9"/>
  <c r="AB83" i="9"/>
  <c r="AA83" i="9"/>
  <c r="Z83" i="9"/>
  <c r="Y83" i="9"/>
  <c r="T83" i="9" s="1"/>
  <c r="U83" i="9"/>
  <c r="AF82" i="9"/>
  <c r="V82" i="9" s="1"/>
  <c r="W82" i="9" s="1"/>
  <c r="AE82" i="9"/>
  <c r="AD82" i="9"/>
  <c r="AC82" i="9"/>
  <c r="AB82" i="9"/>
  <c r="AA82" i="9"/>
  <c r="Z82" i="9"/>
  <c r="Y82" i="9"/>
  <c r="U82" i="9"/>
  <c r="T82" i="9"/>
  <c r="AF81" i="9"/>
  <c r="V81" i="9" s="1"/>
  <c r="W81" i="9" s="1"/>
  <c r="AE81" i="9"/>
  <c r="AD81" i="9"/>
  <c r="AC81" i="9"/>
  <c r="AB81" i="9"/>
  <c r="AA81" i="9"/>
  <c r="Z81" i="9"/>
  <c r="Y81" i="9"/>
  <c r="U81" i="9"/>
  <c r="T81" i="9"/>
  <c r="AF80" i="9"/>
  <c r="AE80" i="9"/>
  <c r="AD80" i="9"/>
  <c r="AC80" i="9"/>
  <c r="AB80" i="9"/>
  <c r="AA80" i="9"/>
  <c r="Z80" i="9"/>
  <c r="T80" i="9" s="1"/>
  <c r="Y80" i="9"/>
  <c r="U80" i="9"/>
  <c r="AF79" i="9"/>
  <c r="AE79" i="9"/>
  <c r="AD79" i="9"/>
  <c r="AC79" i="9"/>
  <c r="AB79" i="9"/>
  <c r="AA79" i="9"/>
  <c r="Z79" i="9"/>
  <c r="Y79" i="9"/>
  <c r="T79" i="9" s="1"/>
  <c r="U79" i="9"/>
  <c r="AF78" i="9"/>
  <c r="V78" i="9" s="1"/>
  <c r="AE78" i="9"/>
  <c r="AD78" i="9"/>
  <c r="AC78" i="9"/>
  <c r="AB78" i="9"/>
  <c r="U78" i="9" s="1"/>
  <c r="AA78" i="9"/>
  <c r="Z78" i="9"/>
  <c r="Y78" i="9"/>
  <c r="AF77" i="9"/>
  <c r="AE77" i="9"/>
  <c r="AD77" i="9"/>
  <c r="AC77" i="9"/>
  <c r="AB77" i="9"/>
  <c r="AA77" i="9"/>
  <c r="Z77" i="9"/>
  <c r="Y77" i="9"/>
  <c r="V77" i="9"/>
  <c r="U77" i="9"/>
  <c r="T77" i="9"/>
  <c r="AF76" i="9"/>
  <c r="AE76" i="9"/>
  <c r="AD76" i="9"/>
  <c r="AC76" i="9"/>
  <c r="AB76" i="9"/>
  <c r="U76" i="9" s="1"/>
  <c r="AA76" i="9"/>
  <c r="Z76" i="9"/>
  <c r="Y76" i="9"/>
  <c r="T76" i="9"/>
  <c r="AF75" i="9"/>
  <c r="AE75" i="9"/>
  <c r="AD75" i="9"/>
  <c r="AC75" i="9"/>
  <c r="AB75" i="9"/>
  <c r="U75" i="9" s="1"/>
  <c r="AA75" i="9"/>
  <c r="Z75" i="9"/>
  <c r="Y75" i="9"/>
  <c r="AF74" i="9"/>
  <c r="V74" i="9" s="1"/>
  <c r="AE74" i="9"/>
  <c r="AD74" i="9"/>
  <c r="AC74" i="9"/>
  <c r="AB74" i="9"/>
  <c r="AA74" i="9"/>
  <c r="Z74" i="9"/>
  <c r="Y74" i="9"/>
  <c r="U74" i="9"/>
  <c r="T74" i="9"/>
  <c r="W74" i="9" s="1"/>
  <c r="AF73" i="9"/>
  <c r="V73" i="9" s="1"/>
  <c r="W73" i="9" s="1"/>
  <c r="AE73" i="9"/>
  <c r="AD73" i="9"/>
  <c r="AC73" i="9"/>
  <c r="AB73" i="9"/>
  <c r="AA73" i="9"/>
  <c r="Z73" i="9"/>
  <c r="Y73" i="9"/>
  <c r="U73" i="9"/>
  <c r="T73" i="9"/>
  <c r="AF72" i="9"/>
  <c r="AE72" i="9"/>
  <c r="V72" i="9" s="1"/>
  <c r="AD72" i="9"/>
  <c r="AC72" i="9"/>
  <c r="AB72" i="9"/>
  <c r="U72" i="9" s="1"/>
  <c r="AA72" i="9"/>
  <c r="Z72" i="9"/>
  <c r="Y72" i="9"/>
  <c r="T72" i="9"/>
  <c r="AF71" i="9"/>
  <c r="AE71" i="9"/>
  <c r="V71" i="9" s="1"/>
  <c r="W71" i="9" s="1"/>
  <c r="AD71" i="9"/>
  <c r="AC71" i="9"/>
  <c r="AB71" i="9"/>
  <c r="AA71" i="9"/>
  <c r="Z71" i="9"/>
  <c r="Y71" i="9"/>
  <c r="T71" i="9" s="1"/>
  <c r="U71" i="9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V69" i="9" s="1"/>
  <c r="W69" i="9" s="1"/>
  <c r="AE69" i="9"/>
  <c r="AD69" i="9"/>
  <c r="AC69" i="9"/>
  <c r="AB69" i="9"/>
  <c r="AA69" i="9"/>
  <c r="Z69" i="9"/>
  <c r="T69" i="9" s="1"/>
  <c r="Y69" i="9"/>
  <c r="U69" i="9"/>
  <c r="AF68" i="9"/>
  <c r="AE68" i="9"/>
  <c r="AD68" i="9"/>
  <c r="AC68" i="9"/>
  <c r="AB68" i="9"/>
  <c r="AA68" i="9"/>
  <c r="Z68" i="9"/>
  <c r="T68" i="9" s="1"/>
  <c r="Y68" i="9"/>
  <c r="U68" i="9"/>
  <c r="AF67" i="9"/>
  <c r="AE67" i="9"/>
  <c r="V67" i="9" s="1"/>
  <c r="AD67" i="9"/>
  <c r="AC67" i="9"/>
  <c r="AB67" i="9"/>
  <c r="AA67" i="9"/>
  <c r="Z67" i="9"/>
  <c r="Y67" i="9"/>
  <c r="T67" i="9" s="1"/>
  <c r="U67" i="9"/>
  <c r="W67" i="9" s="1"/>
  <c r="AF66" i="9"/>
  <c r="V66" i="9" s="1"/>
  <c r="AE66" i="9"/>
  <c r="AD66" i="9"/>
  <c r="AC66" i="9"/>
  <c r="AB66" i="9"/>
  <c r="AA66" i="9"/>
  <c r="Z66" i="9"/>
  <c r="Y66" i="9"/>
  <c r="T66" i="9" s="1"/>
  <c r="AF65" i="9"/>
  <c r="AE65" i="9"/>
  <c r="AD65" i="9"/>
  <c r="AC65" i="9"/>
  <c r="AB65" i="9"/>
  <c r="AA65" i="9"/>
  <c r="Z65" i="9"/>
  <c r="Y65" i="9"/>
  <c r="T65" i="9" s="1"/>
  <c r="W65" i="9"/>
  <c r="V65" i="9"/>
  <c r="U65" i="9"/>
  <c r="AF64" i="9"/>
  <c r="AE64" i="9"/>
  <c r="V64" i="9" s="1"/>
  <c r="AD64" i="9"/>
  <c r="AC64" i="9"/>
  <c r="AB64" i="9"/>
  <c r="U64" i="9" s="1"/>
  <c r="AA64" i="9"/>
  <c r="Z64" i="9"/>
  <c r="Y64" i="9"/>
  <c r="T64" i="9"/>
  <c r="AF63" i="9"/>
  <c r="AE63" i="9"/>
  <c r="V63" i="9" s="1"/>
  <c r="AD63" i="9"/>
  <c r="AC63" i="9"/>
  <c r="AB63" i="9"/>
  <c r="AA63" i="9"/>
  <c r="Z63" i="9"/>
  <c r="Y63" i="9"/>
  <c r="U63" i="9"/>
  <c r="AF62" i="9"/>
  <c r="V62" i="9" s="1"/>
  <c r="AE62" i="9"/>
  <c r="AD62" i="9"/>
  <c r="AC62" i="9"/>
  <c r="U62" i="9" s="1"/>
  <c r="AB62" i="9"/>
  <c r="AA62" i="9"/>
  <c r="Z62" i="9"/>
  <c r="Y62" i="9"/>
  <c r="T62" i="9" s="1"/>
  <c r="W62" i="9" s="1"/>
  <c r="AF61" i="9"/>
  <c r="V61" i="9" s="1"/>
  <c r="AE61" i="9"/>
  <c r="AD61" i="9"/>
  <c r="AC61" i="9"/>
  <c r="AB61" i="9"/>
  <c r="AA61" i="9"/>
  <c r="Z61" i="9"/>
  <c r="Y61" i="9"/>
  <c r="T61" i="9" s="1"/>
  <c r="U61" i="9"/>
  <c r="AF60" i="9"/>
  <c r="AE60" i="9"/>
  <c r="V60" i="9" s="1"/>
  <c r="W60" i="9" s="1"/>
  <c r="AD60" i="9"/>
  <c r="AC60" i="9"/>
  <c r="AB60" i="9"/>
  <c r="U60" i="9" s="1"/>
  <c r="AA60" i="9"/>
  <c r="Z60" i="9"/>
  <c r="Y60" i="9"/>
  <c r="T60" i="9"/>
  <c r="AF59" i="9"/>
  <c r="AE59" i="9"/>
  <c r="V59" i="9" s="1"/>
  <c r="AD59" i="9"/>
  <c r="AC59" i="9"/>
  <c r="AB59" i="9"/>
  <c r="U59" i="9" s="1"/>
  <c r="AA59" i="9"/>
  <c r="Z59" i="9"/>
  <c r="Y59" i="9"/>
  <c r="AF58" i="9"/>
  <c r="V58" i="9" s="1"/>
  <c r="AE58" i="9"/>
  <c r="AD58" i="9"/>
  <c r="AC58" i="9"/>
  <c r="AB58" i="9"/>
  <c r="U58" i="9" s="1"/>
  <c r="AA58" i="9"/>
  <c r="Z58" i="9"/>
  <c r="Y58" i="9"/>
  <c r="W58" i="9"/>
  <c r="T58" i="9"/>
  <c r="AF57" i="9"/>
  <c r="V57" i="9" s="1"/>
  <c r="W57" i="9" s="1"/>
  <c r="AE57" i="9"/>
  <c r="AD57" i="9"/>
  <c r="AC57" i="9"/>
  <c r="AB57" i="9"/>
  <c r="AA57" i="9"/>
  <c r="Z57" i="9"/>
  <c r="Y57" i="9"/>
  <c r="T57" i="9" s="1"/>
  <c r="U57" i="9"/>
  <c r="AF56" i="9"/>
  <c r="AE56" i="9"/>
  <c r="V56" i="9" s="1"/>
  <c r="AD56" i="9"/>
  <c r="AC56" i="9"/>
  <c r="AB56" i="9"/>
  <c r="U56" i="9" s="1"/>
  <c r="AA56" i="9"/>
  <c r="Z56" i="9"/>
  <c r="Y56" i="9"/>
  <c r="T56" i="9" s="1"/>
  <c r="AF55" i="9"/>
  <c r="AE55" i="9"/>
  <c r="AD55" i="9"/>
  <c r="AC55" i="9"/>
  <c r="AB55" i="9"/>
  <c r="AA55" i="9"/>
  <c r="Z55" i="9"/>
  <c r="T55" i="9" s="1"/>
  <c r="Y55" i="9"/>
  <c r="U55" i="9"/>
  <c r="AF54" i="9"/>
  <c r="AE54" i="9"/>
  <c r="AD54" i="9"/>
  <c r="AC54" i="9"/>
  <c r="U54" i="9" s="1"/>
  <c r="AB54" i="9"/>
  <c r="AA54" i="9"/>
  <c r="Z54" i="9"/>
  <c r="Y54" i="9"/>
  <c r="V54" i="9"/>
  <c r="W54" i="9" s="1"/>
  <c r="T54" i="9"/>
  <c r="AF53" i="9"/>
  <c r="AE53" i="9"/>
  <c r="AD53" i="9"/>
  <c r="AC53" i="9"/>
  <c r="AB53" i="9"/>
  <c r="U53" i="9" s="1"/>
  <c r="AA53" i="9"/>
  <c r="Z53" i="9"/>
  <c r="Y53" i="9"/>
  <c r="V53" i="9"/>
  <c r="W53" i="9" s="1"/>
  <c r="T53" i="9"/>
  <c r="AF52" i="9"/>
  <c r="AE52" i="9"/>
  <c r="V52" i="9" s="1"/>
  <c r="AD52" i="9"/>
  <c r="AC52" i="9"/>
  <c r="AB52" i="9"/>
  <c r="U52" i="9" s="1"/>
  <c r="AA52" i="9"/>
  <c r="Z52" i="9"/>
  <c r="Y52" i="9"/>
  <c r="T52" i="9" s="1"/>
  <c r="AF51" i="9"/>
  <c r="AE51" i="9"/>
  <c r="AD51" i="9"/>
  <c r="AC51" i="9"/>
  <c r="AB51" i="9"/>
  <c r="U51" i="9" s="1"/>
  <c r="AA51" i="9"/>
  <c r="Z51" i="9"/>
  <c r="Y51" i="9"/>
  <c r="T51" i="9"/>
  <c r="AF50" i="9"/>
  <c r="V50" i="9" s="1"/>
  <c r="W50" i="9" s="1"/>
  <c r="AE50" i="9"/>
  <c r="AD50" i="9"/>
  <c r="AC50" i="9"/>
  <c r="AB50" i="9"/>
  <c r="AA50" i="9"/>
  <c r="Z50" i="9"/>
  <c r="Y50" i="9"/>
  <c r="T50" i="9" s="1"/>
  <c r="U50" i="9"/>
  <c r="AF49" i="9"/>
  <c r="AE49" i="9"/>
  <c r="AD49" i="9"/>
  <c r="AC49" i="9"/>
  <c r="AB49" i="9"/>
  <c r="U49" i="9" s="1"/>
  <c r="AA49" i="9"/>
  <c r="Z49" i="9"/>
  <c r="Y49" i="9"/>
  <c r="V49" i="9"/>
  <c r="T49" i="9"/>
  <c r="W49" i="9" s="1"/>
  <c r="AF48" i="9"/>
  <c r="AE48" i="9"/>
  <c r="V48" i="9" s="1"/>
  <c r="AD48" i="9"/>
  <c r="AC48" i="9"/>
  <c r="U48" i="9" s="1"/>
  <c r="AB48" i="9"/>
  <c r="AA48" i="9"/>
  <c r="Z48" i="9"/>
  <c r="Y48" i="9"/>
  <c r="T48" i="9" s="1"/>
  <c r="W48" i="9"/>
  <c r="AF47" i="9"/>
  <c r="AE47" i="9"/>
  <c r="V47" i="9" s="1"/>
  <c r="AD47" i="9"/>
  <c r="AC47" i="9"/>
  <c r="AB47" i="9"/>
  <c r="U47" i="9" s="1"/>
  <c r="AA47" i="9"/>
  <c r="Z47" i="9"/>
  <c r="Y47" i="9"/>
  <c r="T47" i="9"/>
  <c r="AF46" i="9"/>
  <c r="AE46" i="9"/>
  <c r="AD46" i="9"/>
  <c r="AC46" i="9"/>
  <c r="AB46" i="9"/>
  <c r="U46" i="9" s="1"/>
  <c r="AA46" i="9"/>
  <c r="Z46" i="9"/>
  <c r="Y46" i="9"/>
  <c r="V46" i="9"/>
  <c r="W46" i="9" s="1"/>
  <c r="T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V44" i="9" s="1"/>
  <c r="AD44" i="9"/>
  <c r="AC44" i="9"/>
  <c r="AB44" i="9"/>
  <c r="AA44" i="9"/>
  <c r="Z44" i="9"/>
  <c r="Y44" i="9"/>
  <c r="U44" i="9"/>
  <c r="T44" i="9"/>
  <c r="AF43" i="9"/>
  <c r="AE43" i="9"/>
  <c r="AD43" i="9"/>
  <c r="AC43" i="9"/>
  <c r="AB43" i="9"/>
  <c r="AA43" i="9"/>
  <c r="Z43" i="9"/>
  <c r="T43" i="9" s="1"/>
  <c r="Y43" i="9"/>
  <c r="U43" i="9"/>
  <c r="AF42" i="9"/>
  <c r="AE42" i="9"/>
  <c r="AD42" i="9"/>
  <c r="AC42" i="9"/>
  <c r="AB42" i="9"/>
  <c r="AA42" i="9"/>
  <c r="Z42" i="9"/>
  <c r="Y42" i="9"/>
  <c r="V42" i="9"/>
  <c r="T42" i="9"/>
  <c r="AF41" i="9"/>
  <c r="AE41" i="9"/>
  <c r="AD41" i="9"/>
  <c r="AC41" i="9"/>
  <c r="AB41" i="9"/>
  <c r="U41" i="9" s="1"/>
  <c r="AA41" i="9"/>
  <c r="Z41" i="9"/>
  <c r="Y41" i="9"/>
  <c r="T41" i="9" s="1"/>
  <c r="W41" i="9"/>
  <c r="V41" i="9"/>
  <c r="AF40" i="9"/>
  <c r="AE40" i="9"/>
  <c r="AD40" i="9"/>
  <c r="AC40" i="9"/>
  <c r="AB40" i="9"/>
  <c r="AA40" i="9"/>
  <c r="Z40" i="9"/>
  <c r="Y40" i="9"/>
  <c r="T40" i="9" s="1"/>
  <c r="U40" i="9"/>
  <c r="AF39" i="9"/>
  <c r="AE39" i="9"/>
  <c r="AD39" i="9"/>
  <c r="AC39" i="9"/>
  <c r="AB39" i="9"/>
  <c r="U39" i="9" s="1"/>
  <c r="AA39" i="9"/>
  <c r="Z39" i="9"/>
  <c r="T39" i="9" s="1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T37" i="9" s="1"/>
  <c r="V37" i="9"/>
  <c r="W37" i="9" s="1"/>
  <c r="U37" i="9"/>
  <c r="AF36" i="9"/>
  <c r="AE36" i="9"/>
  <c r="AD36" i="9"/>
  <c r="AC36" i="9"/>
  <c r="U36" i="9" s="1"/>
  <c r="AB36" i="9"/>
  <c r="AA36" i="9"/>
  <c r="Z36" i="9"/>
  <c r="Y36" i="9"/>
  <c r="V36" i="9"/>
  <c r="T36" i="9"/>
  <c r="AF35" i="9"/>
  <c r="AE35" i="9"/>
  <c r="V35" i="9" s="1"/>
  <c r="AD35" i="9"/>
  <c r="AC35" i="9"/>
  <c r="AB35" i="9"/>
  <c r="U35" i="9" s="1"/>
  <c r="AA35" i="9"/>
  <c r="Z35" i="9"/>
  <c r="Y35" i="9"/>
  <c r="T35" i="9" s="1"/>
  <c r="AF34" i="9"/>
  <c r="AE34" i="9"/>
  <c r="V34" i="9" s="1"/>
  <c r="AD34" i="9"/>
  <c r="AC34" i="9"/>
  <c r="AB34" i="9"/>
  <c r="U34" i="9" s="1"/>
  <c r="AA34" i="9"/>
  <c r="Z34" i="9"/>
  <c r="Y34" i="9"/>
  <c r="T34" i="9" s="1"/>
  <c r="AF33" i="9"/>
  <c r="AE33" i="9"/>
  <c r="V33" i="9" s="1"/>
  <c r="W33" i="9" s="1"/>
  <c r="AD33" i="9"/>
  <c r="AC33" i="9"/>
  <c r="AB33" i="9"/>
  <c r="AA33" i="9"/>
  <c r="Z33" i="9"/>
  <c r="Y33" i="9"/>
  <c r="T33" i="9" s="1"/>
  <c r="U33" i="9"/>
  <c r="AF32" i="9"/>
  <c r="AE32" i="9"/>
  <c r="AD32" i="9"/>
  <c r="AC32" i="9"/>
  <c r="U32" i="9" s="1"/>
  <c r="AB32" i="9"/>
  <c r="AA32" i="9"/>
  <c r="Z32" i="9"/>
  <c r="Y32" i="9"/>
  <c r="V32" i="9"/>
  <c r="T32" i="9"/>
  <c r="W32" i="9" s="1"/>
  <c r="AF31" i="9"/>
  <c r="AE31" i="9"/>
  <c r="V31" i="9" s="1"/>
  <c r="W31" i="9" s="1"/>
  <c r="AD31" i="9"/>
  <c r="AC31" i="9"/>
  <c r="AB31" i="9"/>
  <c r="U31" i="9" s="1"/>
  <c r="AA31" i="9"/>
  <c r="Z31" i="9"/>
  <c r="Y31" i="9"/>
  <c r="T31" i="9" s="1"/>
  <c r="AF30" i="9"/>
  <c r="AE30" i="9"/>
  <c r="V30" i="9" s="1"/>
  <c r="AD30" i="9"/>
  <c r="AC30" i="9"/>
  <c r="AB30" i="9"/>
  <c r="AA30" i="9"/>
  <c r="Z30" i="9"/>
  <c r="Y30" i="9"/>
  <c r="AF29" i="9"/>
  <c r="AE29" i="9"/>
  <c r="V29" i="9" s="1"/>
  <c r="W29" i="9" s="1"/>
  <c r="AD29" i="9"/>
  <c r="AC29" i="9"/>
  <c r="AB29" i="9"/>
  <c r="AA29" i="9"/>
  <c r="Z29" i="9"/>
  <c r="Y29" i="9"/>
  <c r="T29" i="9" s="1"/>
  <c r="U29" i="9"/>
  <c r="AF28" i="9"/>
  <c r="AE28" i="9"/>
  <c r="AD28" i="9"/>
  <c r="AC28" i="9"/>
  <c r="U28" i="9" s="1"/>
  <c r="AB28" i="9"/>
  <c r="AA28" i="9"/>
  <c r="T28" i="9" s="1"/>
  <c r="W28" i="9" s="1"/>
  <c r="Z28" i="9"/>
  <c r="Y28" i="9"/>
  <c r="V28" i="9"/>
  <c r="AF27" i="9"/>
  <c r="AE27" i="9"/>
  <c r="AD27" i="9"/>
  <c r="AC27" i="9"/>
  <c r="AB27" i="9"/>
  <c r="U27" i="9" s="1"/>
  <c r="AA27" i="9"/>
  <c r="Z27" i="9"/>
  <c r="Y27" i="9"/>
  <c r="T27" i="9" s="1"/>
  <c r="V27" i="9"/>
  <c r="AF26" i="9"/>
  <c r="AE26" i="9"/>
  <c r="V26" i="9" s="1"/>
  <c r="AD26" i="9"/>
  <c r="AC26" i="9"/>
  <c r="AB26" i="9"/>
  <c r="AA26" i="9"/>
  <c r="Z26" i="9"/>
  <c r="Y26" i="9"/>
  <c r="T26" i="9" s="1"/>
  <c r="AF25" i="9"/>
  <c r="AE25" i="9"/>
  <c r="AD25" i="9"/>
  <c r="AC25" i="9"/>
  <c r="AB25" i="9"/>
  <c r="AA25" i="9"/>
  <c r="Z25" i="9"/>
  <c r="Y25" i="9"/>
  <c r="T25" i="9" s="1"/>
  <c r="V25" i="9"/>
  <c r="U25" i="9"/>
  <c r="AF24" i="9"/>
  <c r="AE24" i="9"/>
  <c r="AD24" i="9"/>
  <c r="AC24" i="9"/>
  <c r="U24" i="9" s="1"/>
  <c r="AB24" i="9"/>
  <c r="AA24" i="9"/>
  <c r="T24" i="9" s="1"/>
  <c r="W24" i="9" s="1"/>
  <c r="Z24" i="9"/>
  <c r="Y24" i="9"/>
  <c r="V24" i="9"/>
  <c r="AF23" i="9"/>
  <c r="AE23" i="9"/>
  <c r="AD23" i="9"/>
  <c r="AC23" i="9"/>
  <c r="AB23" i="9"/>
  <c r="U23" i="9" s="1"/>
  <c r="AA23" i="9"/>
  <c r="Z23" i="9"/>
  <c r="Y23" i="9"/>
  <c r="T23" i="9" s="1"/>
  <c r="V23" i="9"/>
  <c r="W23" i="9" s="1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V21" i="9" s="1"/>
  <c r="W21" i="9" s="1"/>
  <c r="AD21" i="9"/>
  <c r="AC21" i="9"/>
  <c r="AB21" i="9"/>
  <c r="AA21" i="9"/>
  <c r="Z21" i="9"/>
  <c r="Y21" i="9"/>
  <c r="T21" i="9" s="1"/>
  <c r="U21" i="9"/>
  <c r="AF20" i="9"/>
  <c r="AE20" i="9"/>
  <c r="AD20" i="9"/>
  <c r="AC20" i="9"/>
  <c r="U20" i="9" s="1"/>
  <c r="AB20" i="9"/>
  <c r="AA20" i="9"/>
  <c r="T20" i="9" s="1"/>
  <c r="W20" i="9" s="1"/>
  <c r="Z20" i="9"/>
  <c r="Y20" i="9"/>
  <c r="V20" i="9"/>
  <c r="AF19" i="9"/>
  <c r="AE19" i="9"/>
  <c r="V19" i="9" s="1"/>
  <c r="W19" i="9" s="1"/>
  <c r="AD19" i="9"/>
  <c r="AC19" i="9"/>
  <c r="U19" i="9" s="1"/>
  <c r="AB19" i="9"/>
  <c r="AA19" i="9"/>
  <c r="Z19" i="9"/>
  <c r="Y19" i="9"/>
  <c r="T19" i="9"/>
  <c r="AF18" i="9"/>
  <c r="AE18" i="9"/>
  <c r="V18" i="9" s="1"/>
  <c r="AD18" i="9"/>
  <c r="AC18" i="9"/>
  <c r="AB18" i="9"/>
  <c r="AA18" i="9"/>
  <c r="Z18" i="9"/>
  <c r="Y18" i="9"/>
  <c r="AF17" i="9"/>
  <c r="AE17" i="9"/>
  <c r="V17" i="9" s="1"/>
  <c r="W17" i="9" s="1"/>
  <c r="AD17" i="9"/>
  <c r="AC17" i="9"/>
  <c r="AB17" i="9"/>
  <c r="AA17" i="9"/>
  <c r="Z17" i="9"/>
  <c r="Y17" i="9"/>
  <c r="T17" i="9" s="1"/>
  <c r="U17" i="9"/>
  <c r="AF16" i="9"/>
  <c r="AE16" i="9"/>
  <c r="AD16" i="9"/>
  <c r="AC16" i="9"/>
  <c r="U16" i="9" s="1"/>
  <c r="AB16" i="9"/>
  <c r="AA16" i="9"/>
  <c r="T16" i="9" s="1"/>
  <c r="W16" i="9" s="1"/>
  <c r="Z16" i="9"/>
  <c r="Y16" i="9"/>
  <c r="V16" i="9"/>
  <c r="AF15" i="9"/>
  <c r="AE15" i="9"/>
  <c r="AD15" i="9"/>
  <c r="AC15" i="9"/>
  <c r="AB15" i="9"/>
  <c r="U15" i="9" s="1"/>
  <c r="AA15" i="9"/>
  <c r="Z15" i="9"/>
  <c r="Y15" i="9"/>
  <c r="V15" i="9"/>
  <c r="W15" i="9" s="1"/>
  <c r="T15" i="9"/>
  <c r="AF14" i="9"/>
  <c r="AE14" i="9"/>
  <c r="V14" i="9" s="1"/>
  <c r="AD14" i="9"/>
  <c r="AC14" i="9"/>
  <c r="AB14" i="9"/>
  <c r="AA14" i="9"/>
  <c r="Z14" i="9"/>
  <c r="Y14" i="9"/>
  <c r="AF13" i="9"/>
  <c r="AE13" i="9"/>
  <c r="AD13" i="9"/>
  <c r="AC13" i="9"/>
  <c r="AB13" i="9"/>
  <c r="AA13" i="9"/>
  <c r="Z13" i="9"/>
  <c r="Y13" i="9"/>
  <c r="T13" i="9" s="1"/>
  <c r="V13" i="9"/>
  <c r="W13" i="9" s="1"/>
  <c r="U13" i="9"/>
  <c r="AF12" i="9"/>
  <c r="AE12" i="9"/>
  <c r="AD12" i="9"/>
  <c r="AC12" i="9"/>
  <c r="U12" i="9" s="1"/>
  <c r="AB12" i="9"/>
  <c r="AA12" i="9"/>
  <c r="Z12" i="9"/>
  <c r="Y12" i="9"/>
  <c r="V12" i="9"/>
  <c r="T12" i="9"/>
  <c r="W12" i="9" s="1"/>
  <c r="AF11" i="9"/>
  <c r="AE11" i="9"/>
  <c r="V11" i="9" s="1"/>
  <c r="W11" i="9" s="1"/>
  <c r="AD11" i="9"/>
  <c r="AC11" i="9"/>
  <c r="U11" i="9" s="1"/>
  <c r="AB11" i="9"/>
  <c r="AA11" i="9"/>
  <c r="Z11" i="9"/>
  <c r="Y11" i="9"/>
  <c r="T11" i="9"/>
  <c r="AF10" i="9"/>
  <c r="AE10" i="9"/>
  <c r="V10" i="9" s="1"/>
  <c r="AD10" i="9"/>
  <c r="AC10" i="9"/>
  <c r="AB10" i="9"/>
  <c r="AA10" i="9"/>
  <c r="Z10" i="9"/>
  <c r="Y10" i="9"/>
  <c r="T10" i="9" s="1"/>
  <c r="AF9" i="9"/>
  <c r="AE9" i="9"/>
  <c r="V9" i="9" s="1"/>
  <c r="W9" i="9" s="1"/>
  <c r="AD9" i="9"/>
  <c r="AC9" i="9"/>
  <c r="AB9" i="9"/>
  <c r="AA9" i="9"/>
  <c r="Z9" i="9"/>
  <c r="Y9" i="9"/>
  <c r="T9" i="9" s="1"/>
  <c r="U9" i="9"/>
  <c r="AF8" i="9"/>
  <c r="AE8" i="9"/>
  <c r="AD8" i="9"/>
  <c r="AC8" i="9"/>
  <c r="U8" i="9" s="1"/>
  <c r="AB8" i="9"/>
  <c r="AA8" i="9"/>
  <c r="T8" i="9" s="1"/>
  <c r="W8" i="9" s="1"/>
  <c r="Z8" i="9"/>
  <c r="Y8" i="9"/>
  <c r="V8" i="9"/>
  <c r="AF7" i="9"/>
  <c r="AE7" i="9"/>
  <c r="V7" i="9" s="1"/>
  <c r="W7" i="9" s="1"/>
  <c r="AD7" i="9"/>
  <c r="AC7" i="9"/>
  <c r="U7" i="9" s="1"/>
  <c r="AB7" i="9"/>
  <c r="AA7" i="9"/>
  <c r="Z7" i="9"/>
  <c r="Y7" i="9"/>
  <c r="T7" i="9"/>
  <c r="AF6" i="9"/>
  <c r="AE6" i="9"/>
  <c r="V6" i="9" s="1"/>
  <c r="AD6" i="9"/>
  <c r="AC6" i="9"/>
  <c r="AB6" i="9"/>
  <c r="U6" i="9" s="1"/>
  <c r="AA6" i="9"/>
  <c r="Z6" i="9"/>
  <c r="Y6" i="9"/>
  <c r="AF5" i="9"/>
  <c r="AE5" i="9"/>
  <c r="AA5" i="9"/>
  <c r="Z5" i="9"/>
  <c r="Y5" i="9"/>
  <c r="T5" i="9" s="1"/>
  <c r="V5" i="9"/>
  <c r="AW1197" i="7"/>
  <c r="AV1197" i="7"/>
  <c r="AU1197" i="7"/>
  <c r="AR1197" i="7"/>
  <c r="AI1197" i="7" s="1"/>
  <c r="AD1197" i="7"/>
  <c r="S1197" i="7"/>
  <c r="AQ1197" i="7" s="1"/>
  <c r="AH1197" i="7" s="1"/>
  <c r="L1197" i="7"/>
  <c r="AL1197" i="7" s="1"/>
  <c r="AE1197" i="7" s="1"/>
  <c r="AW1196" i="7"/>
  <c r="AV1196" i="7"/>
  <c r="AU1196" i="7"/>
  <c r="AN1196" i="7"/>
  <c r="AD1196" i="7"/>
  <c r="S1196" i="7"/>
  <c r="AR1196" i="7" s="1"/>
  <c r="AI1196" i="7" s="1"/>
  <c r="L1196" i="7"/>
  <c r="AO1196" i="7" s="1"/>
  <c r="AW1195" i="7"/>
  <c r="AV1195" i="7"/>
  <c r="AU1195" i="7"/>
  <c r="AR1195" i="7"/>
  <c r="AI1195" i="7" s="1"/>
  <c r="AQ1195" i="7"/>
  <c r="AH1195" i="7" s="1"/>
  <c r="AD1195" i="7"/>
  <c r="S1195" i="7"/>
  <c r="AP1195" i="7" s="1"/>
  <c r="AG1195" i="7" s="1"/>
  <c r="L1195" i="7"/>
  <c r="AO1195" i="7" s="1"/>
  <c r="AW1194" i="7"/>
  <c r="AV1194" i="7"/>
  <c r="AU1194" i="7"/>
  <c r="AP1194" i="7"/>
  <c r="AG1194" i="7" s="1"/>
  <c r="AN1194" i="7"/>
  <c r="AM1194" i="7"/>
  <c r="AF1194" i="7"/>
  <c r="AD1194" i="7"/>
  <c r="S1194" i="7"/>
  <c r="L1194" i="7"/>
  <c r="AL1194" i="7" s="1"/>
  <c r="AE1194" i="7" s="1"/>
  <c r="AW1193" i="7"/>
  <c r="AV1193" i="7"/>
  <c r="AU1193" i="7"/>
  <c r="AR1193" i="7"/>
  <c r="AP1193" i="7"/>
  <c r="AG1193" i="7" s="1"/>
  <c r="AL1193" i="7"/>
  <c r="AE1193" i="7" s="1"/>
  <c r="AI1193" i="7"/>
  <c r="AH1193" i="7"/>
  <c r="AD1193" i="7"/>
  <c r="S1193" i="7"/>
  <c r="AQ1193" i="7" s="1"/>
  <c r="L1193" i="7"/>
  <c r="AW1192" i="7"/>
  <c r="AV1192" i="7"/>
  <c r="AU1192" i="7"/>
  <c r="AN1192" i="7"/>
  <c r="AL1192" i="7"/>
  <c r="AE1192" i="7"/>
  <c r="AD1192" i="7"/>
  <c r="S1192" i="7"/>
  <c r="L1192" i="7"/>
  <c r="AW1191" i="7"/>
  <c r="AV1191" i="7"/>
  <c r="AU1191" i="7"/>
  <c r="AQ1191" i="7"/>
  <c r="AH1191" i="7"/>
  <c r="AD1191" i="7"/>
  <c r="S1191" i="7"/>
  <c r="AR1191" i="7" s="1"/>
  <c r="AI1191" i="7" s="1"/>
  <c r="L1191" i="7"/>
  <c r="AL1191" i="7" s="1"/>
  <c r="AE1191" i="7" s="1"/>
  <c r="AW1190" i="7"/>
  <c r="AV1190" i="7"/>
  <c r="AU1190" i="7"/>
  <c r="AQ1190" i="7"/>
  <c r="AH1190" i="7" s="1"/>
  <c r="AN1190" i="7"/>
  <c r="AM1190" i="7"/>
  <c r="AF1190" i="7" s="1"/>
  <c r="AD1190" i="7"/>
  <c r="S1190" i="7"/>
  <c r="AR1190" i="7" s="1"/>
  <c r="AI1190" i="7" s="1"/>
  <c r="L1190" i="7"/>
  <c r="AW1189" i="7"/>
  <c r="AV1189" i="7"/>
  <c r="AU1189" i="7"/>
  <c r="AL1189" i="7" s="1"/>
  <c r="AE1189" i="7" s="1"/>
  <c r="AD1189" i="7"/>
  <c r="S1189" i="7"/>
  <c r="AR1189" i="7" s="1"/>
  <c r="AI1189" i="7" s="1"/>
  <c r="L1189" i="7"/>
  <c r="AW1188" i="7"/>
  <c r="AV1188" i="7"/>
  <c r="AU1188" i="7"/>
  <c r="AM1188" i="7"/>
  <c r="AL1188" i="7"/>
  <c r="AE1188" i="7" s="1"/>
  <c r="AF1188" i="7"/>
  <c r="AD1188" i="7"/>
  <c r="S1188" i="7"/>
  <c r="AR1188" i="7" s="1"/>
  <c r="AI1188" i="7" s="1"/>
  <c r="L1188" i="7"/>
  <c r="AO1188" i="7" s="1"/>
  <c r="AW1187" i="7"/>
  <c r="AV1187" i="7"/>
  <c r="AU1187" i="7"/>
  <c r="AQ1187" i="7"/>
  <c r="AH1187" i="7" s="1"/>
  <c r="AM1187" i="7"/>
  <c r="AF1187" i="7" s="1"/>
  <c r="AL1187" i="7"/>
  <c r="AE1187" i="7" s="1"/>
  <c r="AD1187" i="7"/>
  <c r="S1187" i="7"/>
  <c r="AR1187" i="7" s="1"/>
  <c r="AI1187" i="7" s="1"/>
  <c r="L1187" i="7"/>
  <c r="AW1186" i="7"/>
  <c r="AV1186" i="7"/>
  <c r="AU1186" i="7"/>
  <c r="AR1186" i="7"/>
  <c r="AI1186" i="7" s="1"/>
  <c r="AP1186" i="7"/>
  <c r="AG1186" i="7" s="1"/>
  <c r="AD1186" i="7"/>
  <c r="S1186" i="7"/>
  <c r="AQ1186" i="7" s="1"/>
  <c r="AH1186" i="7" s="1"/>
  <c r="Z1186" i="7" s="1"/>
  <c r="L1186" i="7"/>
  <c r="AW1185" i="7"/>
  <c r="AV1185" i="7"/>
  <c r="AU1185" i="7"/>
  <c r="AQ1185" i="7"/>
  <c r="AH1185" i="7" s="1"/>
  <c r="AN1185" i="7"/>
  <c r="AL1185" i="7"/>
  <c r="AE1185" i="7" s="1"/>
  <c r="AD1185" i="7"/>
  <c r="S1185" i="7"/>
  <c r="AR1185" i="7" s="1"/>
  <c r="AI1185" i="7" s="1"/>
  <c r="L1185" i="7"/>
  <c r="AO1185" i="7" s="1"/>
  <c r="AW1184" i="7"/>
  <c r="AV1184" i="7"/>
  <c r="AU1184" i="7"/>
  <c r="AD1184" i="7"/>
  <c r="S1184" i="7"/>
  <c r="AR1184" i="7" s="1"/>
  <c r="AI1184" i="7" s="1"/>
  <c r="L1184" i="7"/>
  <c r="AW1183" i="7"/>
  <c r="AV1183" i="7"/>
  <c r="AU1183" i="7"/>
  <c r="AP1183" i="7"/>
  <c r="AG1183" i="7" s="1"/>
  <c r="AL1183" i="7"/>
  <c r="AE1183" i="7" s="1"/>
  <c r="AD1183" i="7"/>
  <c r="S1183" i="7"/>
  <c r="AR1183" i="7" s="1"/>
  <c r="AI1183" i="7" s="1"/>
  <c r="L1183" i="7"/>
  <c r="AO1183" i="7" s="1"/>
  <c r="AW1182" i="7"/>
  <c r="AV1182" i="7"/>
  <c r="AU1182" i="7"/>
  <c r="AR1182" i="7"/>
  <c r="AI1182" i="7" s="1"/>
  <c r="AD1182" i="7"/>
  <c r="S1182" i="7"/>
  <c r="AQ1182" i="7" s="1"/>
  <c r="AH1182" i="7" s="1"/>
  <c r="L1182" i="7"/>
  <c r="AN1182" i="7" s="1"/>
  <c r="AW1181" i="7"/>
  <c r="AV1181" i="7"/>
  <c r="AU1181" i="7"/>
  <c r="AR1181" i="7"/>
  <c r="AL1181" i="7"/>
  <c r="AE1181" i="7" s="1"/>
  <c r="AI1181" i="7"/>
  <c r="AH1181" i="7"/>
  <c r="AD1181" i="7"/>
  <c r="S1181" i="7"/>
  <c r="AQ1181" i="7" s="1"/>
  <c r="L1181" i="7"/>
  <c r="AO1181" i="7" s="1"/>
  <c r="AW1180" i="7"/>
  <c r="AV1180" i="7"/>
  <c r="AU1180" i="7"/>
  <c r="AD1180" i="7"/>
  <c r="S1180" i="7"/>
  <c r="AP1180" i="7" s="1"/>
  <c r="AG1180" i="7" s="1"/>
  <c r="L1180" i="7"/>
  <c r="AN1180" i="7" s="1"/>
  <c r="AW1179" i="7"/>
  <c r="AV1179" i="7"/>
  <c r="AU1179" i="7"/>
  <c r="AR1179" i="7"/>
  <c r="AN1179" i="7"/>
  <c r="AM1179" i="7"/>
  <c r="AL1179" i="7"/>
  <c r="AI1179" i="7"/>
  <c r="AF1179" i="7"/>
  <c r="AE1179" i="7"/>
  <c r="AD1179" i="7"/>
  <c r="S1179" i="7"/>
  <c r="AQ1179" i="7" s="1"/>
  <c r="AH1179" i="7" s="1"/>
  <c r="L1179" i="7"/>
  <c r="AW1178" i="7"/>
  <c r="AV1178" i="7"/>
  <c r="AU1178" i="7"/>
  <c r="AQ1178" i="7"/>
  <c r="AH1178" i="7" s="1"/>
  <c r="AD1178" i="7"/>
  <c r="S1178" i="7"/>
  <c r="AR1178" i="7" s="1"/>
  <c r="AI1178" i="7" s="1"/>
  <c r="L1178" i="7"/>
  <c r="AW1177" i="7"/>
  <c r="AV1177" i="7"/>
  <c r="AQ1177" i="7" s="1"/>
  <c r="AH1177" i="7" s="1"/>
  <c r="AU1177" i="7"/>
  <c r="AN1177" i="7" s="1"/>
  <c r="AM1177" i="7"/>
  <c r="AF1177" i="7"/>
  <c r="AD1177" i="7"/>
  <c r="S1177" i="7"/>
  <c r="AR1177" i="7" s="1"/>
  <c r="AI1177" i="7" s="1"/>
  <c r="L1177" i="7"/>
  <c r="AO1177" i="7" s="1"/>
  <c r="AW1176" i="7"/>
  <c r="AV1176" i="7"/>
  <c r="AU1176" i="7"/>
  <c r="AR1176" i="7"/>
  <c r="AI1176" i="7" s="1"/>
  <c r="AP1176" i="7"/>
  <c r="AG1176" i="7" s="1"/>
  <c r="Z1176" i="7" s="1"/>
  <c r="AD1176" i="7"/>
  <c r="S1176" i="7"/>
  <c r="AQ1176" i="7" s="1"/>
  <c r="AH1176" i="7" s="1"/>
  <c r="L1176" i="7"/>
  <c r="AW1175" i="7"/>
  <c r="AV1175" i="7"/>
  <c r="AR1175" i="7" s="1"/>
  <c r="AI1175" i="7" s="1"/>
  <c r="AU1175" i="7"/>
  <c r="AD1175" i="7"/>
  <c r="S1175" i="7"/>
  <c r="AQ1175" i="7" s="1"/>
  <c r="AH1175" i="7" s="1"/>
  <c r="L1175" i="7"/>
  <c r="AW1174" i="7"/>
  <c r="AV1174" i="7"/>
  <c r="AU1174" i="7"/>
  <c r="AN1174" i="7"/>
  <c r="AM1174" i="7"/>
  <c r="AF1174" i="7" s="1"/>
  <c r="AL1174" i="7"/>
  <c r="AE1174" i="7" s="1"/>
  <c r="AD1174" i="7"/>
  <c r="S1174" i="7"/>
  <c r="L1174" i="7"/>
  <c r="AW1173" i="7"/>
  <c r="AV1173" i="7"/>
  <c r="AR1173" i="7" s="1"/>
  <c r="AI1173" i="7" s="1"/>
  <c r="AU1173" i="7"/>
  <c r="AD1173" i="7"/>
  <c r="S1173" i="7"/>
  <c r="AQ1173" i="7" s="1"/>
  <c r="AH1173" i="7" s="1"/>
  <c r="L1173" i="7"/>
  <c r="AO1173" i="7" s="1"/>
  <c r="AW1172" i="7"/>
  <c r="AV1172" i="7"/>
  <c r="AU1172" i="7"/>
  <c r="AP1172" i="7"/>
  <c r="AG1172" i="7" s="1"/>
  <c r="AM1172" i="7"/>
  <c r="AF1172" i="7" s="1"/>
  <c r="AD1172" i="7"/>
  <c r="S1172" i="7"/>
  <c r="AR1172" i="7" s="1"/>
  <c r="AI1172" i="7" s="1"/>
  <c r="L1172" i="7"/>
  <c r="AL1172" i="7" s="1"/>
  <c r="AE1172" i="7" s="1"/>
  <c r="AW1171" i="7"/>
  <c r="AV1171" i="7"/>
  <c r="AR1171" i="7" s="1"/>
  <c r="AI1171" i="7" s="1"/>
  <c r="AU1171" i="7"/>
  <c r="AM1171" i="7" s="1"/>
  <c r="AF1171" i="7" s="1"/>
  <c r="AD1171" i="7"/>
  <c r="S1171" i="7"/>
  <c r="AQ1171" i="7" s="1"/>
  <c r="AH1171" i="7" s="1"/>
  <c r="L1171" i="7"/>
  <c r="AN1171" i="7" s="1"/>
  <c r="AW1170" i="7"/>
  <c r="AV1170" i="7"/>
  <c r="AU1170" i="7"/>
  <c r="AR1170" i="7"/>
  <c r="AI1170" i="7" s="1"/>
  <c r="AN1170" i="7"/>
  <c r="AL1170" i="7"/>
  <c r="AE1170" i="7" s="1"/>
  <c r="AH1170" i="7"/>
  <c r="AD1170" i="7"/>
  <c r="S1170" i="7"/>
  <c r="AQ1170" i="7" s="1"/>
  <c r="L1170" i="7"/>
  <c r="AO1170" i="7" s="1"/>
  <c r="AW1169" i="7"/>
  <c r="AV1169" i="7"/>
  <c r="AU1169" i="7"/>
  <c r="AM1169" i="7" s="1"/>
  <c r="AF1169" i="7" s="1"/>
  <c r="AQ1169" i="7"/>
  <c r="AH1169" i="7" s="1"/>
  <c r="AD1169" i="7"/>
  <c r="S1169" i="7"/>
  <c r="AR1169" i="7" s="1"/>
  <c r="AI1169" i="7" s="1"/>
  <c r="L1169" i="7"/>
  <c r="AW1168" i="7"/>
  <c r="AV1168" i="7"/>
  <c r="AU1168" i="7"/>
  <c r="AQ1168" i="7"/>
  <c r="AH1168" i="7" s="1"/>
  <c r="AM1168" i="7"/>
  <c r="AF1168" i="7" s="1"/>
  <c r="AD1168" i="7"/>
  <c r="S1168" i="7"/>
  <c r="L1168" i="7"/>
  <c r="AO1168" i="7" s="1"/>
  <c r="AW1167" i="7"/>
  <c r="AV1167" i="7"/>
  <c r="AU1167" i="7"/>
  <c r="AR1167" i="7"/>
  <c r="AI1167" i="7" s="1"/>
  <c r="AP1167" i="7"/>
  <c r="AG1167" i="7" s="1"/>
  <c r="Z1167" i="7" s="1"/>
  <c r="AD1167" i="7"/>
  <c r="S1167" i="7"/>
  <c r="AQ1167" i="7" s="1"/>
  <c r="AH1167" i="7" s="1"/>
  <c r="L1167" i="7"/>
  <c r="AW1166" i="7"/>
  <c r="AV1166" i="7"/>
  <c r="AU1166" i="7"/>
  <c r="AP1166" i="7"/>
  <c r="AG1166" i="7" s="1"/>
  <c r="AI1166" i="7"/>
  <c r="AD1166" i="7"/>
  <c r="S1166" i="7"/>
  <c r="AR1166" i="7" s="1"/>
  <c r="L1166" i="7"/>
  <c r="AW1165" i="7"/>
  <c r="AV1165" i="7"/>
  <c r="AU1165" i="7"/>
  <c r="AR1165" i="7"/>
  <c r="AI1165" i="7" s="1"/>
  <c r="AQ1165" i="7"/>
  <c r="AH1165" i="7" s="1"/>
  <c r="AO1165" i="7"/>
  <c r="AD1165" i="7"/>
  <c r="S1165" i="7"/>
  <c r="AP1165" i="7" s="1"/>
  <c r="AG1165" i="7" s="1"/>
  <c r="L1165" i="7"/>
  <c r="AW1164" i="7"/>
  <c r="AV1164" i="7"/>
  <c r="AR1164" i="7" s="1"/>
  <c r="AU1164" i="7"/>
  <c r="AN1164" i="7"/>
  <c r="AM1164" i="7"/>
  <c r="AF1164" i="7" s="1"/>
  <c r="AL1164" i="7"/>
  <c r="AI1164" i="7"/>
  <c r="AH1164" i="7"/>
  <c r="AE1164" i="7"/>
  <c r="AD1164" i="7"/>
  <c r="S1164" i="7"/>
  <c r="AQ1164" i="7" s="1"/>
  <c r="L1164" i="7"/>
  <c r="AO1164" i="7" s="1"/>
  <c r="AW1163" i="7"/>
  <c r="AV1163" i="7"/>
  <c r="AU1163" i="7"/>
  <c r="AM1163" i="7"/>
  <c r="AF1163" i="7" s="1"/>
  <c r="AD1163" i="7"/>
  <c r="S1163" i="7"/>
  <c r="AR1163" i="7" s="1"/>
  <c r="AI1163" i="7" s="1"/>
  <c r="L1163" i="7"/>
  <c r="AO1163" i="7" s="1"/>
  <c r="AW1162" i="7"/>
  <c r="AV1162" i="7"/>
  <c r="AU1162" i="7"/>
  <c r="AO1162" i="7"/>
  <c r="AL1162" i="7"/>
  <c r="AE1162" i="7" s="1"/>
  <c r="AD1162" i="7"/>
  <c r="S1162" i="7"/>
  <c r="L1162" i="7"/>
  <c r="AN1162" i="7" s="1"/>
  <c r="AW1161" i="7"/>
  <c r="AV1161" i="7"/>
  <c r="AP1161" i="7" s="1"/>
  <c r="AG1161" i="7" s="1"/>
  <c r="AU1161" i="7"/>
  <c r="AQ1161" i="7"/>
  <c r="AH1161" i="7" s="1"/>
  <c r="AO1161" i="7"/>
  <c r="AL1161" i="7"/>
  <c r="AE1161" i="7"/>
  <c r="AD1161" i="7"/>
  <c r="S1161" i="7"/>
  <c r="L1161" i="7"/>
  <c r="AN1161" i="7" s="1"/>
  <c r="AW1160" i="7"/>
  <c r="AV1160" i="7"/>
  <c r="AU1160" i="7"/>
  <c r="AM1160" i="7"/>
  <c r="AF1160" i="7" s="1"/>
  <c r="AD1160" i="7"/>
  <c r="S1160" i="7"/>
  <c r="AR1160" i="7" s="1"/>
  <c r="AI1160" i="7" s="1"/>
  <c r="L1160" i="7"/>
  <c r="AO1160" i="7" s="1"/>
  <c r="AW1159" i="7"/>
  <c r="AV1159" i="7"/>
  <c r="AU1159" i="7"/>
  <c r="AR1159" i="7"/>
  <c r="AI1159" i="7" s="1"/>
  <c r="AQ1159" i="7"/>
  <c r="AH1159" i="7" s="1"/>
  <c r="AD1159" i="7"/>
  <c r="S1159" i="7"/>
  <c r="AP1159" i="7" s="1"/>
  <c r="AG1159" i="7" s="1"/>
  <c r="L1159" i="7"/>
  <c r="AW1158" i="7"/>
  <c r="AV1158" i="7"/>
  <c r="AU1158" i="7"/>
  <c r="AR1158" i="7"/>
  <c r="AQ1158" i="7"/>
  <c r="AH1158" i="7" s="1"/>
  <c r="AP1158" i="7"/>
  <c r="AG1158" i="7" s="1"/>
  <c r="AM1158" i="7"/>
  <c r="AF1158" i="7" s="1"/>
  <c r="AL1158" i="7"/>
  <c r="AE1158" i="7" s="1"/>
  <c r="AI1158" i="7"/>
  <c r="AD1158" i="7"/>
  <c r="Z1158" i="7"/>
  <c r="S1158" i="7"/>
  <c r="L1158" i="7"/>
  <c r="AO1158" i="7" s="1"/>
  <c r="AW1157" i="7"/>
  <c r="AV1157" i="7"/>
  <c r="AU1157" i="7"/>
  <c r="AL1157" i="7" s="1"/>
  <c r="AE1157" i="7" s="1"/>
  <c r="AD1157" i="7"/>
  <c r="S1157" i="7"/>
  <c r="AQ1157" i="7" s="1"/>
  <c r="AH1157" i="7" s="1"/>
  <c r="L1157" i="7"/>
  <c r="AW1156" i="7"/>
  <c r="AV1156" i="7"/>
  <c r="AU1156" i="7"/>
  <c r="AN1156" i="7" s="1"/>
  <c r="AM1156" i="7"/>
  <c r="AF1156" i="7" s="1"/>
  <c r="AL1156" i="7"/>
  <c r="AE1156" i="7" s="1"/>
  <c r="AD1156" i="7"/>
  <c r="S1156" i="7"/>
  <c r="L1156" i="7"/>
  <c r="AW1155" i="7"/>
  <c r="AV1155" i="7"/>
  <c r="AU1155" i="7"/>
  <c r="AL1155" i="7" s="1"/>
  <c r="AE1155" i="7" s="1"/>
  <c r="AM1155" i="7"/>
  <c r="AF1155" i="7" s="1"/>
  <c r="AD1155" i="7"/>
  <c r="S1155" i="7"/>
  <c r="AP1155" i="7" s="1"/>
  <c r="AG1155" i="7" s="1"/>
  <c r="L1155" i="7"/>
  <c r="AW1154" i="7"/>
  <c r="AV1154" i="7"/>
  <c r="AU1154" i="7"/>
  <c r="AN1154" i="7"/>
  <c r="AD1154" i="7"/>
  <c r="S1154" i="7"/>
  <c r="L1154" i="7"/>
  <c r="AO1154" i="7" s="1"/>
  <c r="AW1153" i="7"/>
  <c r="AV1153" i="7"/>
  <c r="AU1153" i="7"/>
  <c r="AM1153" i="7"/>
  <c r="AF1153" i="7"/>
  <c r="AD1153" i="7"/>
  <c r="S1153" i="7"/>
  <c r="L1153" i="7"/>
  <c r="AL1153" i="7" s="1"/>
  <c r="AE1153" i="7" s="1"/>
  <c r="AW1152" i="7"/>
  <c r="AV1152" i="7"/>
  <c r="AU1152" i="7"/>
  <c r="AP1152" i="7"/>
  <c r="AG1152" i="7" s="1"/>
  <c r="AD1152" i="7"/>
  <c r="S1152" i="7"/>
  <c r="AR1152" i="7" s="1"/>
  <c r="AI1152" i="7" s="1"/>
  <c r="L1152" i="7"/>
  <c r="AM1152" i="7" s="1"/>
  <c r="AF1152" i="7" s="1"/>
  <c r="AW1151" i="7"/>
  <c r="AV1151" i="7"/>
  <c r="AU1151" i="7"/>
  <c r="AD1151" i="7"/>
  <c r="S1151" i="7"/>
  <c r="AR1151" i="7" s="1"/>
  <c r="AI1151" i="7" s="1"/>
  <c r="L1151" i="7"/>
  <c r="AN1151" i="7" s="1"/>
  <c r="AW1150" i="7"/>
  <c r="AV1150" i="7"/>
  <c r="AU1150" i="7"/>
  <c r="AR1150" i="7"/>
  <c r="AI1150" i="7"/>
  <c r="AH1150" i="7"/>
  <c r="AD1150" i="7"/>
  <c r="S1150" i="7"/>
  <c r="AQ1150" i="7" s="1"/>
  <c r="L1150" i="7"/>
  <c r="AN1150" i="7" s="1"/>
  <c r="AW1149" i="7"/>
  <c r="AV1149" i="7"/>
  <c r="AU1149" i="7"/>
  <c r="AR1149" i="7"/>
  <c r="AI1149" i="7" s="1"/>
  <c r="AQ1149" i="7"/>
  <c r="AH1149" i="7" s="1"/>
  <c r="Z1149" i="7" s="1"/>
  <c r="AO1149" i="7"/>
  <c r="AN1149" i="7"/>
  <c r="AM1149" i="7"/>
  <c r="AF1149" i="7" s="1"/>
  <c r="AD1149" i="7"/>
  <c r="S1149" i="7"/>
  <c r="AP1149" i="7" s="1"/>
  <c r="AG1149" i="7" s="1"/>
  <c r="L1149" i="7"/>
  <c r="AL1149" i="7" s="1"/>
  <c r="AE1149" i="7" s="1"/>
  <c r="Y1149" i="7" s="1"/>
  <c r="AW1148" i="7"/>
  <c r="AV1148" i="7"/>
  <c r="AU1148" i="7"/>
  <c r="AM1148" i="7" s="1"/>
  <c r="AF1148" i="7" s="1"/>
  <c r="AQ1148" i="7"/>
  <c r="AH1148" i="7" s="1"/>
  <c r="AL1148" i="7"/>
  <c r="AE1148" i="7"/>
  <c r="AD1148" i="7"/>
  <c r="S1148" i="7"/>
  <c r="L1148" i="7"/>
  <c r="AW1147" i="7"/>
  <c r="AV1147" i="7"/>
  <c r="AU1147" i="7"/>
  <c r="AQ1147" i="7"/>
  <c r="AH1147" i="7" s="1"/>
  <c r="AN1147" i="7"/>
  <c r="AD1147" i="7"/>
  <c r="S1147" i="7"/>
  <c r="AR1147" i="7" s="1"/>
  <c r="AI1147" i="7" s="1"/>
  <c r="L1147" i="7"/>
  <c r="AO1147" i="7" s="1"/>
  <c r="AW1146" i="7"/>
  <c r="AV1146" i="7"/>
  <c r="AU1146" i="7"/>
  <c r="AN1146" i="7"/>
  <c r="AD1146" i="7"/>
  <c r="S1146" i="7"/>
  <c r="L1146" i="7"/>
  <c r="AM1146" i="7" s="1"/>
  <c r="AF1146" i="7" s="1"/>
  <c r="AW1145" i="7"/>
  <c r="AV1145" i="7"/>
  <c r="AU1145" i="7"/>
  <c r="AQ1145" i="7"/>
  <c r="AH1145" i="7" s="1"/>
  <c r="AO1145" i="7"/>
  <c r="AL1145" i="7"/>
  <c r="AE1145" i="7" s="1"/>
  <c r="AD1145" i="7"/>
  <c r="S1145" i="7"/>
  <c r="AP1145" i="7" s="1"/>
  <c r="AG1145" i="7" s="1"/>
  <c r="L1145" i="7"/>
  <c r="AN1145" i="7" s="1"/>
  <c r="AW1144" i="7"/>
  <c r="AV1144" i="7"/>
  <c r="AU1144" i="7"/>
  <c r="AD1144" i="7"/>
  <c r="S1144" i="7"/>
  <c r="L1144" i="7"/>
  <c r="AN1144" i="7" s="1"/>
  <c r="AW1143" i="7"/>
  <c r="AV1143" i="7"/>
  <c r="AU1143" i="7"/>
  <c r="AL1143" i="7" s="1"/>
  <c r="AE1143" i="7" s="1"/>
  <c r="AQ1143" i="7"/>
  <c r="AP1143" i="7"/>
  <c r="AM1143" i="7"/>
  <c r="AH1143" i="7"/>
  <c r="AG1143" i="7"/>
  <c r="AF1143" i="7"/>
  <c r="AD1143" i="7"/>
  <c r="S1143" i="7"/>
  <c r="AR1143" i="7" s="1"/>
  <c r="AI1143" i="7" s="1"/>
  <c r="L1143" i="7"/>
  <c r="AW1142" i="7"/>
  <c r="AV1142" i="7"/>
  <c r="AU1142" i="7"/>
  <c r="AR1142" i="7"/>
  <c r="AI1142" i="7" s="1"/>
  <c r="AQ1142" i="7"/>
  <c r="AH1142" i="7" s="1"/>
  <c r="Z1142" i="7" s="1"/>
  <c r="AP1142" i="7"/>
  <c r="AG1142" i="7" s="1"/>
  <c r="AN1142" i="7"/>
  <c r="AD1142" i="7"/>
  <c r="S1142" i="7"/>
  <c r="L1142" i="7"/>
  <c r="AW1141" i="7"/>
  <c r="AV1141" i="7"/>
  <c r="AU1141" i="7"/>
  <c r="AO1141" i="7" s="1"/>
  <c r="AM1141" i="7"/>
  <c r="AF1141" i="7"/>
  <c r="AD1141" i="7"/>
  <c r="S1141" i="7"/>
  <c r="L1141" i="7"/>
  <c r="AW1140" i="7"/>
  <c r="AV1140" i="7"/>
  <c r="AU1140" i="7"/>
  <c r="AP1140" i="7"/>
  <c r="AG1140" i="7" s="1"/>
  <c r="AN1140" i="7"/>
  <c r="AM1140" i="7"/>
  <c r="AF1140" i="7" s="1"/>
  <c r="AH1140" i="7"/>
  <c r="AD1140" i="7"/>
  <c r="S1140" i="7"/>
  <c r="AQ1140" i="7" s="1"/>
  <c r="L1140" i="7"/>
  <c r="AO1140" i="7" s="1"/>
  <c r="AW1139" i="7"/>
  <c r="AV1139" i="7"/>
  <c r="AQ1139" i="7" s="1"/>
  <c r="AH1139" i="7" s="1"/>
  <c r="AU1139" i="7"/>
  <c r="AR1139" i="7"/>
  <c r="AI1139" i="7" s="1"/>
  <c r="AM1139" i="7"/>
  <c r="AF1139" i="7" s="1"/>
  <c r="AL1139" i="7"/>
  <c r="AE1139" i="7" s="1"/>
  <c r="AG1139" i="7"/>
  <c r="AD1139" i="7"/>
  <c r="S1139" i="7"/>
  <c r="AP1139" i="7" s="1"/>
  <c r="L1139" i="7"/>
  <c r="AO1139" i="7" s="1"/>
  <c r="AW1138" i="7"/>
  <c r="AV1138" i="7"/>
  <c r="AU1138" i="7"/>
  <c r="AQ1138" i="7"/>
  <c r="AH1138" i="7" s="1"/>
  <c r="AD1138" i="7"/>
  <c r="S1138" i="7"/>
  <c r="AR1138" i="7" s="1"/>
  <c r="AI1138" i="7" s="1"/>
  <c r="L1138" i="7"/>
  <c r="AW1137" i="7"/>
  <c r="AV1137" i="7"/>
  <c r="AU1137" i="7"/>
  <c r="AN1137" i="7" s="1"/>
  <c r="AQ1137" i="7"/>
  <c r="AH1137" i="7" s="1"/>
  <c r="AO1137" i="7"/>
  <c r="AI1137" i="7"/>
  <c r="AD1137" i="7"/>
  <c r="S1137" i="7"/>
  <c r="AR1137" i="7" s="1"/>
  <c r="L1137" i="7"/>
  <c r="AL1137" i="7" s="1"/>
  <c r="AE1137" i="7" s="1"/>
  <c r="AW1136" i="7"/>
  <c r="AV1136" i="7"/>
  <c r="AU1136" i="7"/>
  <c r="AP1136" i="7"/>
  <c r="AM1136" i="7"/>
  <c r="AF1136" i="7" s="1"/>
  <c r="AG1136" i="7"/>
  <c r="AD1136" i="7"/>
  <c r="S1136" i="7"/>
  <c r="AQ1136" i="7" s="1"/>
  <c r="AH1136" i="7" s="1"/>
  <c r="L1136" i="7"/>
  <c r="AN1136" i="7" s="1"/>
  <c r="AW1135" i="7"/>
  <c r="AV1135" i="7"/>
  <c r="AU1135" i="7"/>
  <c r="AD1135" i="7"/>
  <c r="S1135" i="7"/>
  <c r="L1135" i="7"/>
  <c r="AM1135" i="7" s="1"/>
  <c r="AF1135" i="7" s="1"/>
  <c r="AW1134" i="7"/>
  <c r="AV1134" i="7"/>
  <c r="AU1134" i="7"/>
  <c r="AN1134" i="7"/>
  <c r="AL1134" i="7"/>
  <c r="AE1134" i="7" s="1"/>
  <c r="AD1134" i="7"/>
  <c r="S1134" i="7"/>
  <c r="AP1134" i="7" s="1"/>
  <c r="AG1134" i="7" s="1"/>
  <c r="L1134" i="7"/>
  <c r="AO1134" i="7" s="1"/>
  <c r="AW1133" i="7"/>
  <c r="AV1133" i="7"/>
  <c r="AU1133" i="7"/>
  <c r="AQ1133" i="7"/>
  <c r="AH1133" i="7" s="1"/>
  <c r="AO1133" i="7"/>
  <c r="AN1133" i="7"/>
  <c r="AM1133" i="7"/>
  <c r="AI1133" i="7"/>
  <c r="AF1133" i="7"/>
  <c r="AD1133" i="7"/>
  <c r="S1133" i="7"/>
  <c r="AR1133" i="7" s="1"/>
  <c r="L1133" i="7"/>
  <c r="AL1133" i="7" s="1"/>
  <c r="AE1133" i="7" s="1"/>
  <c r="Y1133" i="7" s="1"/>
  <c r="AW1132" i="7"/>
  <c r="AV1132" i="7"/>
  <c r="AU1132" i="7"/>
  <c r="AP1132" i="7"/>
  <c r="AG1132" i="7" s="1"/>
  <c r="AM1132" i="7"/>
  <c r="AF1132" i="7" s="1"/>
  <c r="AD1132" i="7"/>
  <c r="S1132" i="7"/>
  <c r="AQ1132" i="7" s="1"/>
  <c r="AH1132" i="7" s="1"/>
  <c r="L1132" i="7"/>
  <c r="AN1132" i="7" s="1"/>
  <c r="AW1131" i="7"/>
  <c r="AV1131" i="7"/>
  <c r="AU1131" i="7"/>
  <c r="AD1131" i="7"/>
  <c r="S1131" i="7"/>
  <c r="L1131" i="7"/>
  <c r="AM1131" i="7" s="1"/>
  <c r="AF1131" i="7" s="1"/>
  <c r="AW1130" i="7"/>
  <c r="AV1130" i="7"/>
  <c r="AU1130" i="7"/>
  <c r="AQ1130" i="7"/>
  <c r="AH1130" i="7" s="1"/>
  <c r="AD1130" i="7"/>
  <c r="S1130" i="7"/>
  <c r="AP1130" i="7" s="1"/>
  <c r="AG1130" i="7" s="1"/>
  <c r="L1130" i="7"/>
  <c r="AW1129" i="7"/>
  <c r="AV1129" i="7"/>
  <c r="AU1129" i="7"/>
  <c r="AO1129" i="7"/>
  <c r="AN1129" i="7"/>
  <c r="AM1129" i="7"/>
  <c r="AF1129" i="7" s="1"/>
  <c r="Y1129" i="7" s="1"/>
  <c r="AD1129" i="7"/>
  <c r="S1129" i="7"/>
  <c r="L1129" i="7"/>
  <c r="AL1129" i="7" s="1"/>
  <c r="AE1129" i="7" s="1"/>
  <c r="AW1128" i="7"/>
  <c r="AV1128" i="7"/>
  <c r="AU1128" i="7"/>
  <c r="AO1128" i="7"/>
  <c r="AL1128" i="7"/>
  <c r="AE1128" i="7" s="1"/>
  <c r="AD1128" i="7"/>
  <c r="S1128" i="7"/>
  <c r="AR1128" i="7" s="1"/>
  <c r="AI1128" i="7" s="1"/>
  <c r="L1128" i="7"/>
  <c r="AN1128" i="7" s="1"/>
  <c r="AW1127" i="7"/>
  <c r="AV1127" i="7"/>
  <c r="AR1127" i="7" s="1"/>
  <c r="AI1127" i="7" s="1"/>
  <c r="AU1127" i="7"/>
  <c r="AO1127" i="7"/>
  <c r="AN1127" i="7"/>
  <c r="AD1127" i="7"/>
  <c r="S1127" i="7"/>
  <c r="L1127" i="7"/>
  <c r="AM1127" i="7" s="1"/>
  <c r="AF1127" i="7" s="1"/>
  <c r="AW1126" i="7"/>
  <c r="AV1126" i="7"/>
  <c r="AU1126" i="7"/>
  <c r="AD1126" i="7"/>
  <c r="S1126" i="7"/>
  <c r="L1126" i="7"/>
  <c r="AW1125" i="7"/>
  <c r="AV1125" i="7"/>
  <c r="AU1125" i="7"/>
  <c r="AN1125" i="7" s="1"/>
  <c r="AR1125" i="7"/>
  <c r="AQ1125" i="7"/>
  <c r="AH1125" i="7" s="1"/>
  <c r="AP1125" i="7"/>
  <c r="AO1125" i="7"/>
  <c r="AM1125" i="7"/>
  <c r="AF1125" i="7" s="1"/>
  <c r="AI1125" i="7"/>
  <c r="AG1125" i="7"/>
  <c r="AD1125" i="7"/>
  <c r="Z1125" i="7"/>
  <c r="S1125" i="7"/>
  <c r="L1125" i="7"/>
  <c r="AL1125" i="7" s="1"/>
  <c r="AE1125" i="7" s="1"/>
  <c r="AW1124" i="7"/>
  <c r="AV1124" i="7"/>
  <c r="AU1124" i="7"/>
  <c r="AD1124" i="7"/>
  <c r="S1124" i="7"/>
  <c r="AR1124" i="7" s="1"/>
  <c r="AI1124" i="7" s="1"/>
  <c r="L1124" i="7"/>
  <c r="AW1123" i="7"/>
  <c r="AV1123" i="7"/>
  <c r="AU1123" i="7"/>
  <c r="AO1123" i="7"/>
  <c r="AD1123" i="7"/>
  <c r="S1123" i="7"/>
  <c r="AR1123" i="7" s="1"/>
  <c r="AI1123" i="7" s="1"/>
  <c r="L1123" i="7"/>
  <c r="AN1123" i="7" s="1"/>
  <c r="AW1122" i="7"/>
  <c r="AV1122" i="7"/>
  <c r="AU1122" i="7"/>
  <c r="AR1122" i="7"/>
  <c r="AI1122" i="7" s="1"/>
  <c r="AM1122" i="7"/>
  <c r="AF1122" i="7" s="1"/>
  <c r="AD1122" i="7"/>
  <c r="S1122" i="7"/>
  <c r="AQ1122" i="7" s="1"/>
  <c r="AH1122" i="7" s="1"/>
  <c r="L1122" i="7"/>
  <c r="AO1122" i="7" s="1"/>
  <c r="AW1121" i="7"/>
  <c r="AV1121" i="7"/>
  <c r="AU1121" i="7"/>
  <c r="AR1121" i="7"/>
  <c r="AQ1121" i="7"/>
  <c r="AP1121" i="7"/>
  <c r="AN1121" i="7"/>
  <c r="AL1121" i="7"/>
  <c r="AE1121" i="7" s="1"/>
  <c r="AI1121" i="7"/>
  <c r="AH1121" i="7"/>
  <c r="AG1121" i="7"/>
  <c r="Z1121" i="7" s="1"/>
  <c r="AD1121" i="7"/>
  <c r="S1121" i="7"/>
  <c r="L1121" i="7"/>
  <c r="AW1120" i="7"/>
  <c r="AV1120" i="7"/>
  <c r="AU1120" i="7"/>
  <c r="AD1120" i="7"/>
  <c r="S1120" i="7"/>
  <c r="AR1120" i="7" s="1"/>
  <c r="AI1120" i="7" s="1"/>
  <c r="L1120" i="7"/>
  <c r="AL1120" i="7" s="1"/>
  <c r="AE1120" i="7" s="1"/>
  <c r="AW1119" i="7"/>
  <c r="AV1119" i="7"/>
  <c r="AP1119" i="7" s="1"/>
  <c r="AG1119" i="7" s="1"/>
  <c r="AU1119" i="7"/>
  <c r="AO1119" i="7"/>
  <c r="AD1119" i="7"/>
  <c r="S1119" i="7"/>
  <c r="AR1119" i="7" s="1"/>
  <c r="AI1119" i="7" s="1"/>
  <c r="L1119" i="7"/>
  <c r="AN1119" i="7" s="1"/>
  <c r="AW1118" i="7"/>
  <c r="AV1118" i="7"/>
  <c r="AU1118" i="7"/>
  <c r="AP1118" i="7"/>
  <c r="AG1118" i="7" s="1"/>
  <c r="AM1118" i="7"/>
  <c r="AF1118" i="7" s="1"/>
  <c r="AD1118" i="7"/>
  <c r="S1118" i="7"/>
  <c r="AQ1118" i="7" s="1"/>
  <c r="AH1118" i="7" s="1"/>
  <c r="L1118" i="7"/>
  <c r="AO1118" i="7" s="1"/>
  <c r="AW1117" i="7"/>
  <c r="AV1117" i="7"/>
  <c r="AU1117" i="7"/>
  <c r="AR1117" i="7"/>
  <c r="AQ1117" i="7"/>
  <c r="AH1117" i="7" s="1"/>
  <c r="AP1117" i="7"/>
  <c r="AG1117" i="7" s="1"/>
  <c r="Z1117" i="7" s="1"/>
  <c r="AI1117" i="7"/>
  <c r="AD1117" i="7"/>
  <c r="S1117" i="7"/>
  <c r="L1117" i="7"/>
  <c r="AW1116" i="7"/>
  <c r="AV1116" i="7"/>
  <c r="AU1116" i="7"/>
  <c r="AL1116" i="7" s="1"/>
  <c r="AE1116" i="7" s="1"/>
  <c r="AD1116" i="7"/>
  <c r="S1116" i="7"/>
  <c r="AR1116" i="7" s="1"/>
  <c r="AI1116" i="7" s="1"/>
  <c r="L1116" i="7"/>
  <c r="AW1115" i="7"/>
  <c r="AV1115" i="7"/>
  <c r="AP1115" i="7" s="1"/>
  <c r="AG1115" i="7" s="1"/>
  <c r="AU1115" i="7"/>
  <c r="AQ1115" i="7"/>
  <c r="AO1115" i="7"/>
  <c r="AH1115" i="7"/>
  <c r="AD1115" i="7"/>
  <c r="S1115" i="7"/>
  <c r="L1115" i="7"/>
  <c r="AN1115" i="7" s="1"/>
  <c r="AW1114" i="7"/>
  <c r="AV1114" i="7"/>
  <c r="AU1114" i="7"/>
  <c r="AM1114" i="7"/>
  <c r="AF1114" i="7" s="1"/>
  <c r="AH1114" i="7"/>
  <c r="AD1114" i="7"/>
  <c r="S1114" i="7"/>
  <c r="AQ1114" i="7" s="1"/>
  <c r="L1114" i="7"/>
  <c r="AO1114" i="7" s="1"/>
  <c r="AW1113" i="7"/>
  <c r="AV1113" i="7"/>
  <c r="AU1113" i="7"/>
  <c r="AR1113" i="7"/>
  <c r="AQ1113" i="7"/>
  <c r="AH1113" i="7" s="1"/>
  <c r="AP1113" i="7"/>
  <c r="AL1113" i="7"/>
  <c r="AE1113" i="7" s="1"/>
  <c r="AI1113" i="7"/>
  <c r="AG1113" i="7"/>
  <c r="Z1113" i="7" s="1"/>
  <c r="AD1113" i="7"/>
  <c r="S1113" i="7"/>
  <c r="L1113" i="7"/>
  <c r="AN1113" i="7" s="1"/>
  <c r="AW1112" i="7"/>
  <c r="AV1112" i="7"/>
  <c r="AU1112" i="7"/>
  <c r="AL1112" i="7"/>
  <c r="AE1112" i="7"/>
  <c r="AD1112" i="7"/>
  <c r="S1112" i="7"/>
  <c r="AP1112" i="7" s="1"/>
  <c r="AG1112" i="7" s="1"/>
  <c r="L1112" i="7"/>
  <c r="AM1112" i="7" s="1"/>
  <c r="AF1112" i="7" s="1"/>
  <c r="AW1111" i="7"/>
  <c r="AV1111" i="7"/>
  <c r="AP1111" i="7" s="1"/>
  <c r="AG1111" i="7" s="1"/>
  <c r="AU1111" i="7"/>
  <c r="AQ1111" i="7"/>
  <c r="AL1111" i="7"/>
  <c r="AE1111" i="7" s="1"/>
  <c r="AH1111" i="7"/>
  <c r="AD1111" i="7"/>
  <c r="S1111" i="7"/>
  <c r="L1111" i="7"/>
  <c r="AO1111" i="7" s="1"/>
  <c r="AW1110" i="7"/>
  <c r="AV1110" i="7"/>
  <c r="AU1110" i="7"/>
  <c r="AR1110" i="7"/>
  <c r="AI1110" i="7" s="1"/>
  <c r="AM1110" i="7"/>
  <c r="AF1110" i="7" s="1"/>
  <c r="AL1110" i="7"/>
  <c r="AE1110" i="7" s="1"/>
  <c r="AH1110" i="7"/>
  <c r="AD1110" i="7"/>
  <c r="S1110" i="7"/>
  <c r="AQ1110" i="7" s="1"/>
  <c r="L1110" i="7"/>
  <c r="AW1109" i="7"/>
  <c r="AV1109" i="7"/>
  <c r="AU1109" i="7"/>
  <c r="AR1109" i="7"/>
  <c r="AQ1109" i="7"/>
  <c r="AP1109" i="7"/>
  <c r="AG1109" i="7" s="1"/>
  <c r="Z1109" i="7" s="1"/>
  <c r="AN1109" i="7"/>
  <c r="AL1109" i="7"/>
  <c r="AE1109" i="7" s="1"/>
  <c r="AI1109" i="7"/>
  <c r="AH1109" i="7"/>
  <c r="AD1109" i="7"/>
  <c r="S1109" i="7"/>
  <c r="L1109" i="7"/>
  <c r="AW1108" i="7"/>
  <c r="AV1108" i="7"/>
  <c r="AU1108" i="7"/>
  <c r="AP1108" i="7"/>
  <c r="AG1108" i="7" s="1"/>
  <c r="AN1108" i="7"/>
  <c r="AD1108" i="7"/>
  <c r="S1108" i="7"/>
  <c r="L1108" i="7"/>
  <c r="AO1108" i="7" s="1"/>
  <c r="AW1107" i="7"/>
  <c r="AV1107" i="7"/>
  <c r="AP1107" i="7" s="1"/>
  <c r="AG1107" i="7" s="1"/>
  <c r="AU1107" i="7"/>
  <c r="AQ1107" i="7"/>
  <c r="AH1107" i="7" s="1"/>
  <c r="AD1107" i="7"/>
  <c r="S1107" i="7"/>
  <c r="L1107" i="7"/>
  <c r="AW1106" i="7"/>
  <c r="AV1106" i="7"/>
  <c r="AU1106" i="7"/>
  <c r="AD1106" i="7"/>
  <c r="S1106" i="7"/>
  <c r="L1106" i="7"/>
  <c r="AW1105" i="7"/>
  <c r="AV1105" i="7"/>
  <c r="AU1105" i="7"/>
  <c r="AR1105" i="7"/>
  <c r="AI1105" i="7" s="1"/>
  <c r="AQ1105" i="7"/>
  <c r="AH1105" i="7" s="1"/>
  <c r="AP1105" i="7"/>
  <c r="AN1105" i="7"/>
  <c r="AL1105" i="7"/>
  <c r="AE1105" i="7" s="1"/>
  <c r="AG1105" i="7"/>
  <c r="AD1105" i="7"/>
  <c r="S1105" i="7"/>
  <c r="L1105" i="7"/>
  <c r="AW1104" i="7"/>
  <c r="AV1104" i="7"/>
  <c r="AU1104" i="7"/>
  <c r="AP1104" i="7"/>
  <c r="AG1104" i="7" s="1"/>
  <c r="AD1104" i="7"/>
  <c r="S1104" i="7"/>
  <c r="L1104" i="7"/>
  <c r="AO1104" i="7" s="1"/>
  <c r="AW1103" i="7"/>
  <c r="AV1103" i="7"/>
  <c r="AP1103" i="7" s="1"/>
  <c r="AG1103" i="7" s="1"/>
  <c r="Z1103" i="7" s="1"/>
  <c r="AU1103" i="7"/>
  <c r="AQ1103" i="7"/>
  <c r="AO1103" i="7"/>
  <c r="AI1103" i="7"/>
  <c r="AH1103" i="7"/>
  <c r="AD1103" i="7"/>
  <c r="S1103" i="7"/>
  <c r="AR1103" i="7" s="1"/>
  <c r="L1103" i="7"/>
  <c r="AL1103" i="7" s="1"/>
  <c r="AE1103" i="7" s="1"/>
  <c r="AW1102" i="7"/>
  <c r="AV1102" i="7"/>
  <c r="AU1102" i="7"/>
  <c r="AM1102" i="7"/>
  <c r="AF1102" i="7" s="1"/>
  <c r="AL1102" i="7"/>
  <c r="AE1102" i="7" s="1"/>
  <c r="AH1102" i="7"/>
  <c r="AD1102" i="7"/>
  <c r="S1102" i="7"/>
  <c r="AQ1102" i="7" s="1"/>
  <c r="L1102" i="7"/>
  <c r="AW1101" i="7"/>
  <c r="AV1101" i="7"/>
  <c r="AU1101" i="7"/>
  <c r="AR1101" i="7"/>
  <c r="AQ1101" i="7"/>
  <c r="AH1101" i="7" s="1"/>
  <c r="AP1101" i="7"/>
  <c r="AG1101" i="7" s="1"/>
  <c r="Z1101" i="7" s="1"/>
  <c r="AO1101" i="7"/>
  <c r="AI1101" i="7"/>
  <c r="AD1101" i="7"/>
  <c r="S1101" i="7"/>
  <c r="L1101" i="7"/>
  <c r="AM1101" i="7" s="1"/>
  <c r="AF1101" i="7" s="1"/>
  <c r="AW1100" i="7"/>
  <c r="AV1100" i="7"/>
  <c r="AU1100" i="7"/>
  <c r="AN1100" i="7" s="1"/>
  <c r="AD1100" i="7"/>
  <c r="S1100" i="7"/>
  <c r="L1100" i="7"/>
  <c r="AM1100" i="7" s="1"/>
  <c r="AF1100" i="7" s="1"/>
  <c r="AW1099" i="7"/>
  <c r="AV1099" i="7"/>
  <c r="AQ1099" i="7" s="1"/>
  <c r="AH1099" i="7" s="1"/>
  <c r="AU1099" i="7"/>
  <c r="AD1099" i="7"/>
  <c r="S1099" i="7"/>
  <c r="L1099" i="7"/>
  <c r="AO1099" i="7" s="1"/>
  <c r="AW1098" i="7"/>
  <c r="AV1098" i="7"/>
  <c r="AU1098" i="7"/>
  <c r="AP1098" i="7"/>
  <c r="AG1098" i="7" s="1"/>
  <c r="AL1098" i="7"/>
  <c r="AE1098" i="7" s="1"/>
  <c r="AD1098" i="7"/>
  <c r="S1098" i="7"/>
  <c r="AR1098" i="7" s="1"/>
  <c r="AI1098" i="7" s="1"/>
  <c r="L1098" i="7"/>
  <c r="AM1098" i="7" s="1"/>
  <c r="AF1098" i="7" s="1"/>
  <c r="AW1097" i="7"/>
  <c r="AV1097" i="7"/>
  <c r="AU1097" i="7"/>
  <c r="AN1097" i="7" s="1"/>
  <c r="AR1097" i="7"/>
  <c r="AI1097" i="7" s="1"/>
  <c r="AO1097" i="7"/>
  <c r="AD1097" i="7"/>
  <c r="S1097" i="7"/>
  <c r="AQ1097" i="7" s="1"/>
  <c r="AH1097" i="7" s="1"/>
  <c r="L1097" i="7"/>
  <c r="AW1096" i="7"/>
  <c r="AV1096" i="7"/>
  <c r="AU1096" i="7"/>
  <c r="AN1096" i="7"/>
  <c r="AM1096" i="7"/>
  <c r="AF1096" i="7" s="1"/>
  <c r="AI1096" i="7"/>
  <c r="AD1096" i="7"/>
  <c r="S1096" i="7"/>
  <c r="AR1096" i="7" s="1"/>
  <c r="L1096" i="7"/>
  <c r="AL1096" i="7" s="1"/>
  <c r="AE1096" i="7" s="1"/>
  <c r="AW1095" i="7"/>
  <c r="AV1095" i="7"/>
  <c r="AP1095" i="7" s="1"/>
  <c r="AG1095" i="7" s="1"/>
  <c r="AU1095" i="7"/>
  <c r="AQ1095" i="7"/>
  <c r="AH1095" i="7" s="1"/>
  <c r="AO1095" i="7"/>
  <c r="AM1095" i="7"/>
  <c r="AF1095" i="7" s="1"/>
  <c r="AD1095" i="7"/>
  <c r="S1095" i="7"/>
  <c r="L1095" i="7"/>
  <c r="AN1095" i="7" s="1"/>
  <c r="AW1094" i="7"/>
  <c r="AV1094" i="7"/>
  <c r="AR1094" i="7" s="1"/>
  <c r="AI1094" i="7" s="1"/>
  <c r="AU1094" i="7"/>
  <c r="AD1094" i="7"/>
  <c r="S1094" i="7"/>
  <c r="L1094" i="7"/>
  <c r="AW1093" i="7"/>
  <c r="AV1093" i="7"/>
  <c r="AU1093" i="7"/>
  <c r="AM1093" i="7"/>
  <c r="AF1093" i="7" s="1"/>
  <c r="AD1093" i="7"/>
  <c r="S1093" i="7"/>
  <c r="AR1093" i="7" s="1"/>
  <c r="AI1093" i="7" s="1"/>
  <c r="L1093" i="7"/>
  <c r="AO1093" i="7" s="1"/>
  <c r="AW1092" i="7"/>
  <c r="AV1092" i="7"/>
  <c r="AU1092" i="7"/>
  <c r="AQ1092" i="7"/>
  <c r="AH1092" i="7"/>
  <c r="AD1092" i="7"/>
  <c r="S1092" i="7"/>
  <c r="AR1092" i="7" s="1"/>
  <c r="AI1092" i="7" s="1"/>
  <c r="L1092" i="7"/>
  <c r="AO1092" i="7" s="1"/>
  <c r="AW1091" i="7"/>
  <c r="AV1091" i="7"/>
  <c r="AU1091" i="7"/>
  <c r="AO1091" i="7"/>
  <c r="AM1091" i="7"/>
  <c r="AF1091" i="7" s="1"/>
  <c r="AI1091" i="7"/>
  <c r="AD1091" i="7"/>
  <c r="S1091" i="7"/>
  <c r="AR1091" i="7" s="1"/>
  <c r="L1091" i="7"/>
  <c r="AL1091" i="7" s="1"/>
  <c r="AE1091" i="7" s="1"/>
  <c r="AW1090" i="7"/>
  <c r="AV1090" i="7"/>
  <c r="AU1090" i="7"/>
  <c r="AQ1090" i="7"/>
  <c r="AH1090" i="7" s="1"/>
  <c r="AD1090" i="7"/>
  <c r="S1090" i="7"/>
  <c r="AP1090" i="7" s="1"/>
  <c r="AG1090" i="7" s="1"/>
  <c r="L1090" i="7"/>
  <c r="AW1089" i="7"/>
  <c r="AV1089" i="7"/>
  <c r="AU1089" i="7"/>
  <c r="AN1089" i="7" s="1"/>
  <c r="AD1089" i="7"/>
  <c r="S1089" i="7"/>
  <c r="AR1089" i="7" s="1"/>
  <c r="AI1089" i="7" s="1"/>
  <c r="L1089" i="7"/>
  <c r="AO1089" i="7" s="1"/>
  <c r="AW1088" i="7"/>
  <c r="AV1088" i="7"/>
  <c r="AU1088" i="7"/>
  <c r="AM1088" i="7"/>
  <c r="AF1088" i="7" s="1"/>
  <c r="AD1088" i="7"/>
  <c r="S1088" i="7"/>
  <c r="L1088" i="7"/>
  <c r="AO1088" i="7" s="1"/>
  <c r="AW1087" i="7"/>
  <c r="AV1087" i="7"/>
  <c r="AP1087" i="7" s="1"/>
  <c r="AG1087" i="7" s="1"/>
  <c r="AU1087" i="7"/>
  <c r="AL1087" i="7"/>
  <c r="AE1087" i="7" s="1"/>
  <c r="AD1087" i="7"/>
  <c r="S1087" i="7"/>
  <c r="L1087" i="7"/>
  <c r="AN1087" i="7" s="1"/>
  <c r="AW1086" i="7"/>
  <c r="AV1086" i="7"/>
  <c r="AU1086" i="7"/>
  <c r="AP1086" i="7"/>
  <c r="AG1086" i="7" s="1"/>
  <c r="AM1086" i="7"/>
  <c r="AF1086" i="7" s="1"/>
  <c r="AD1086" i="7"/>
  <c r="S1086" i="7"/>
  <c r="AR1086" i="7" s="1"/>
  <c r="AI1086" i="7" s="1"/>
  <c r="L1086" i="7"/>
  <c r="AW1085" i="7"/>
  <c r="AV1085" i="7"/>
  <c r="AU1085" i="7"/>
  <c r="AL1085" i="7"/>
  <c r="AE1085" i="7" s="1"/>
  <c r="AD1085" i="7"/>
  <c r="S1085" i="7"/>
  <c r="AR1085" i="7" s="1"/>
  <c r="AI1085" i="7" s="1"/>
  <c r="L1085" i="7"/>
  <c r="AO1085" i="7" s="1"/>
  <c r="AW1084" i="7"/>
  <c r="AV1084" i="7"/>
  <c r="AU1084" i="7"/>
  <c r="AQ1084" i="7"/>
  <c r="AH1084" i="7" s="1"/>
  <c r="AN1084" i="7"/>
  <c r="AD1084" i="7"/>
  <c r="S1084" i="7"/>
  <c r="AR1084" i="7" s="1"/>
  <c r="AI1084" i="7" s="1"/>
  <c r="L1084" i="7"/>
  <c r="AM1084" i="7" s="1"/>
  <c r="AF1084" i="7" s="1"/>
  <c r="AW1083" i="7"/>
  <c r="AV1083" i="7"/>
  <c r="AP1083" i="7" s="1"/>
  <c r="AG1083" i="7" s="1"/>
  <c r="AU1083" i="7"/>
  <c r="AM1083" i="7"/>
  <c r="AF1083" i="7" s="1"/>
  <c r="AL1083" i="7"/>
  <c r="AE1083" i="7"/>
  <c r="AD1083" i="7"/>
  <c r="S1083" i="7"/>
  <c r="L1083" i="7"/>
  <c r="AN1083" i="7" s="1"/>
  <c r="AW1082" i="7"/>
  <c r="AV1082" i="7"/>
  <c r="AR1082" i="7" s="1"/>
  <c r="AI1082" i="7" s="1"/>
  <c r="AU1082" i="7"/>
  <c r="AP1082" i="7"/>
  <c r="AG1082" i="7" s="1"/>
  <c r="AL1082" i="7"/>
  <c r="AE1082" i="7" s="1"/>
  <c r="AD1082" i="7"/>
  <c r="S1082" i="7"/>
  <c r="AQ1082" i="7" s="1"/>
  <c r="AH1082" i="7" s="1"/>
  <c r="L1082" i="7"/>
  <c r="AM1082" i="7" s="1"/>
  <c r="AF1082" i="7" s="1"/>
  <c r="AW1081" i="7"/>
  <c r="AV1081" i="7"/>
  <c r="AU1081" i="7"/>
  <c r="AN1081" i="7" s="1"/>
  <c r="AD1081" i="7"/>
  <c r="S1081" i="7"/>
  <c r="L1081" i="7"/>
  <c r="AO1081" i="7" s="1"/>
  <c r="AW1080" i="7"/>
  <c r="AV1080" i="7"/>
  <c r="AR1080" i="7" s="1"/>
  <c r="AI1080" i="7" s="1"/>
  <c r="AU1080" i="7"/>
  <c r="AQ1080" i="7"/>
  <c r="AH1080" i="7" s="1"/>
  <c r="AP1080" i="7"/>
  <c r="AG1080" i="7" s="1"/>
  <c r="Z1080" i="7" s="1"/>
  <c r="AD1080" i="7"/>
  <c r="S1080" i="7"/>
  <c r="L1080" i="7"/>
  <c r="AO1080" i="7" s="1"/>
  <c r="AW1079" i="7"/>
  <c r="AV1079" i="7"/>
  <c r="AU1079" i="7"/>
  <c r="AR1079" i="7"/>
  <c r="AI1079" i="7" s="1"/>
  <c r="AP1079" i="7"/>
  <c r="AG1079" i="7"/>
  <c r="Z1079" i="7" s="1"/>
  <c r="AD1079" i="7"/>
  <c r="S1079" i="7"/>
  <c r="AQ1079" i="7" s="1"/>
  <c r="AH1079" i="7" s="1"/>
  <c r="L1079" i="7"/>
  <c r="AW1078" i="7"/>
  <c r="AV1078" i="7"/>
  <c r="AU1078" i="7"/>
  <c r="AR1078" i="7"/>
  <c r="AI1078" i="7" s="1"/>
  <c r="AD1078" i="7"/>
  <c r="S1078" i="7"/>
  <c r="L1078" i="7"/>
  <c r="AW1077" i="7"/>
  <c r="AV1077" i="7"/>
  <c r="AU1077" i="7"/>
  <c r="AR1077" i="7"/>
  <c r="AI1077" i="7" s="1"/>
  <c r="AP1077" i="7"/>
  <c r="AO1077" i="7"/>
  <c r="AL1077" i="7"/>
  <c r="AE1077" i="7" s="1"/>
  <c r="AG1077" i="7"/>
  <c r="AD1077" i="7"/>
  <c r="S1077" i="7"/>
  <c r="AQ1077" i="7" s="1"/>
  <c r="AH1077" i="7" s="1"/>
  <c r="L1077" i="7"/>
  <c r="AN1077" i="7" s="1"/>
  <c r="AW1076" i="7"/>
  <c r="AV1076" i="7"/>
  <c r="AU1076" i="7"/>
  <c r="AR1076" i="7"/>
  <c r="AI1076" i="7" s="1"/>
  <c r="AP1076" i="7"/>
  <c r="AG1076" i="7" s="1"/>
  <c r="Z1076" i="7" s="1"/>
  <c r="AD1076" i="7"/>
  <c r="S1076" i="7"/>
  <c r="AQ1076" i="7" s="1"/>
  <c r="AH1076" i="7" s="1"/>
  <c r="L1076" i="7"/>
  <c r="AM1076" i="7" s="1"/>
  <c r="AF1076" i="7" s="1"/>
  <c r="AW1075" i="7"/>
  <c r="AV1075" i="7"/>
  <c r="AQ1075" i="7" s="1"/>
  <c r="AH1075" i="7" s="1"/>
  <c r="AU1075" i="7"/>
  <c r="AD1075" i="7"/>
  <c r="S1075" i="7"/>
  <c r="AR1075" i="7" s="1"/>
  <c r="AI1075" i="7" s="1"/>
  <c r="L1075" i="7"/>
  <c r="AW1074" i="7"/>
  <c r="AV1074" i="7"/>
  <c r="AU1074" i="7"/>
  <c r="AN1074" i="7"/>
  <c r="AD1074" i="7"/>
  <c r="S1074" i="7"/>
  <c r="AQ1074" i="7" s="1"/>
  <c r="AH1074" i="7" s="1"/>
  <c r="L1074" i="7"/>
  <c r="AL1074" i="7" s="1"/>
  <c r="AE1074" i="7" s="1"/>
  <c r="AW1073" i="7"/>
  <c r="AV1073" i="7"/>
  <c r="AR1073" i="7" s="1"/>
  <c r="AI1073" i="7" s="1"/>
  <c r="AU1073" i="7"/>
  <c r="AO1073" i="7"/>
  <c r="AN1073" i="7"/>
  <c r="AL1073" i="7"/>
  <c r="AE1073" i="7"/>
  <c r="AD1073" i="7"/>
  <c r="S1073" i="7"/>
  <c r="L1073" i="7"/>
  <c r="AM1073" i="7" s="1"/>
  <c r="AF1073" i="7" s="1"/>
  <c r="AW1072" i="7"/>
  <c r="AV1072" i="7"/>
  <c r="AU1072" i="7"/>
  <c r="AQ1072" i="7"/>
  <c r="AH1072" i="7" s="1"/>
  <c r="AD1072" i="7"/>
  <c r="S1072" i="7"/>
  <c r="AR1072" i="7" s="1"/>
  <c r="AI1072" i="7" s="1"/>
  <c r="L1072" i="7"/>
  <c r="AM1072" i="7" s="1"/>
  <c r="AF1072" i="7" s="1"/>
  <c r="AW1071" i="7"/>
  <c r="AV1071" i="7"/>
  <c r="AU1071" i="7"/>
  <c r="AO1071" i="7" s="1"/>
  <c r="AD1071" i="7"/>
  <c r="S1071" i="7"/>
  <c r="AQ1071" i="7" s="1"/>
  <c r="AH1071" i="7" s="1"/>
  <c r="L1071" i="7"/>
  <c r="AW1070" i="7"/>
  <c r="AV1070" i="7"/>
  <c r="AU1070" i="7"/>
  <c r="AN1070" i="7"/>
  <c r="AD1070" i="7"/>
  <c r="S1070" i="7"/>
  <c r="L1070" i="7"/>
  <c r="AO1070" i="7" s="1"/>
  <c r="AW1069" i="7"/>
  <c r="AV1069" i="7"/>
  <c r="AP1069" i="7" s="1"/>
  <c r="AG1069" i="7" s="1"/>
  <c r="AU1069" i="7"/>
  <c r="AL1069" i="7"/>
  <c r="AE1069" i="7"/>
  <c r="AD1069" i="7"/>
  <c r="S1069" i="7"/>
  <c r="L1069" i="7"/>
  <c r="AO1069" i="7" s="1"/>
  <c r="AW1068" i="7"/>
  <c r="AV1068" i="7"/>
  <c r="AU1068" i="7"/>
  <c r="AO1068" i="7"/>
  <c r="AN1068" i="7"/>
  <c r="AF1068" i="7"/>
  <c r="AD1068" i="7"/>
  <c r="S1068" i="7"/>
  <c r="L1068" i="7"/>
  <c r="AM1068" i="7" s="1"/>
  <c r="AW1067" i="7"/>
  <c r="AV1067" i="7"/>
  <c r="AU1067" i="7"/>
  <c r="AD1067" i="7"/>
  <c r="S1067" i="7"/>
  <c r="L1067" i="7"/>
  <c r="AW1066" i="7"/>
  <c r="AV1066" i="7"/>
  <c r="AU1066" i="7"/>
  <c r="AP1066" i="7"/>
  <c r="AG1066" i="7"/>
  <c r="AD1066" i="7"/>
  <c r="S1066" i="7"/>
  <c r="L1066" i="7"/>
  <c r="AO1066" i="7" s="1"/>
  <c r="AW1065" i="7"/>
  <c r="AV1065" i="7"/>
  <c r="AU1065" i="7"/>
  <c r="AD1065" i="7"/>
  <c r="S1065" i="7"/>
  <c r="AQ1065" i="7" s="1"/>
  <c r="AH1065" i="7" s="1"/>
  <c r="L1065" i="7"/>
  <c r="AW1064" i="7"/>
  <c r="AV1064" i="7"/>
  <c r="AU1064" i="7"/>
  <c r="AD1064" i="7"/>
  <c r="S1064" i="7"/>
  <c r="L1064" i="7"/>
  <c r="AW1063" i="7"/>
  <c r="AV1063" i="7"/>
  <c r="AQ1063" i="7" s="1"/>
  <c r="AU1063" i="7"/>
  <c r="AR1063" i="7"/>
  <c r="AI1063" i="7" s="1"/>
  <c r="AM1063" i="7"/>
  <c r="AF1063" i="7" s="1"/>
  <c r="AH1063" i="7"/>
  <c r="AD1063" i="7"/>
  <c r="S1063" i="7"/>
  <c r="AP1063" i="7" s="1"/>
  <c r="AG1063" i="7" s="1"/>
  <c r="Z1063" i="7" s="1"/>
  <c r="L1063" i="7"/>
  <c r="AN1063" i="7" s="1"/>
  <c r="AW1062" i="7"/>
  <c r="AV1062" i="7"/>
  <c r="AU1062" i="7"/>
  <c r="AR1062" i="7"/>
  <c r="AI1062" i="7" s="1"/>
  <c r="AP1062" i="7"/>
  <c r="AL1062" i="7"/>
  <c r="AE1062" i="7" s="1"/>
  <c r="AG1062" i="7"/>
  <c r="AD1062" i="7"/>
  <c r="S1062" i="7"/>
  <c r="AQ1062" i="7" s="1"/>
  <c r="AH1062" i="7" s="1"/>
  <c r="L1062" i="7"/>
  <c r="AM1062" i="7" s="1"/>
  <c r="AF1062" i="7" s="1"/>
  <c r="AW1061" i="7"/>
  <c r="AV1061" i="7"/>
  <c r="AQ1061" i="7" s="1"/>
  <c r="AH1061" i="7" s="1"/>
  <c r="AU1061" i="7"/>
  <c r="AR1061" i="7"/>
  <c r="AI1061" i="7" s="1"/>
  <c r="AD1061" i="7"/>
  <c r="S1061" i="7"/>
  <c r="L1061" i="7"/>
  <c r="AM1061" i="7" s="1"/>
  <c r="AF1061" i="7" s="1"/>
  <c r="AW1060" i="7"/>
  <c r="AV1060" i="7"/>
  <c r="AU1060" i="7"/>
  <c r="AR1060" i="7"/>
  <c r="AI1060" i="7" s="1"/>
  <c r="AQ1060" i="7"/>
  <c r="AH1060" i="7" s="1"/>
  <c r="AO1060" i="7"/>
  <c r="AM1060" i="7"/>
  <c r="AF1060" i="7" s="1"/>
  <c r="AL1060" i="7"/>
  <c r="AE1060" i="7" s="1"/>
  <c r="AD1060" i="7"/>
  <c r="S1060" i="7"/>
  <c r="AP1060" i="7" s="1"/>
  <c r="AG1060" i="7" s="1"/>
  <c r="Z1060" i="7" s="1"/>
  <c r="L1060" i="7"/>
  <c r="AN1060" i="7" s="1"/>
  <c r="AW1059" i="7"/>
  <c r="AV1059" i="7"/>
  <c r="AU1059" i="7"/>
  <c r="AR1059" i="7"/>
  <c r="AI1059" i="7" s="1"/>
  <c r="AQ1059" i="7"/>
  <c r="AH1059" i="7" s="1"/>
  <c r="AG1059" i="7"/>
  <c r="AD1059" i="7"/>
  <c r="S1059" i="7"/>
  <c r="AP1059" i="7" s="1"/>
  <c r="L1059" i="7"/>
  <c r="AN1059" i="7" s="1"/>
  <c r="AW1058" i="7"/>
  <c r="AV1058" i="7"/>
  <c r="AU1058" i="7"/>
  <c r="AN1058" i="7"/>
  <c r="AL1058" i="7"/>
  <c r="AE1058" i="7"/>
  <c r="AD1058" i="7"/>
  <c r="S1058" i="7"/>
  <c r="L1058" i="7"/>
  <c r="AW1057" i="7"/>
  <c r="AV1057" i="7"/>
  <c r="AU1057" i="7"/>
  <c r="AQ1057" i="7"/>
  <c r="AN1057" i="7"/>
  <c r="AL1057" i="7"/>
  <c r="AE1057" i="7" s="1"/>
  <c r="AH1057" i="7"/>
  <c r="AD1057" i="7"/>
  <c r="S1057" i="7"/>
  <c r="AR1057" i="7" s="1"/>
  <c r="AI1057" i="7" s="1"/>
  <c r="L1057" i="7"/>
  <c r="AO1057" i="7" s="1"/>
  <c r="AW1056" i="7"/>
  <c r="AV1056" i="7"/>
  <c r="AR1056" i="7" s="1"/>
  <c r="AI1056" i="7" s="1"/>
  <c r="AU1056" i="7"/>
  <c r="AQ1056" i="7"/>
  <c r="AH1056" i="7" s="1"/>
  <c r="AO1056" i="7"/>
  <c r="AM1056" i="7"/>
  <c r="AF1056" i="7" s="1"/>
  <c r="AD1056" i="7"/>
  <c r="S1056" i="7"/>
  <c r="L1056" i="7"/>
  <c r="AN1056" i="7" s="1"/>
  <c r="AW1055" i="7"/>
  <c r="AV1055" i="7"/>
  <c r="AP1055" i="7" s="1"/>
  <c r="AG1055" i="7" s="1"/>
  <c r="AU1055" i="7"/>
  <c r="AO1055" i="7"/>
  <c r="AN1055" i="7"/>
  <c r="AL1055" i="7"/>
  <c r="AE1055" i="7"/>
  <c r="AD1055" i="7"/>
  <c r="S1055" i="7"/>
  <c r="L1055" i="7"/>
  <c r="AM1055" i="7" s="1"/>
  <c r="AF1055" i="7" s="1"/>
  <c r="Y1055" i="7" s="1"/>
  <c r="AW1054" i="7"/>
  <c r="AV1054" i="7"/>
  <c r="AR1054" i="7" s="1"/>
  <c r="AI1054" i="7" s="1"/>
  <c r="AU1054" i="7"/>
  <c r="AQ1054" i="7"/>
  <c r="AP1054" i="7"/>
  <c r="AG1054" i="7" s="1"/>
  <c r="AH1054" i="7"/>
  <c r="AD1054" i="7"/>
  <c r="S1054" i="7"/>
  <c r="L1054" i="7"/>
  <c r="AM1054" i="7" s="1"/>
  <c r="AF1054" i="7" s="1"/>
  <c r="AW1053" i="7"/>
  <c r="AV1053" i="7"/>
  <c r="AU1053" i="7"/>
  <c r="AQ1053" i="7"/>
  <c r="AH1053" i="7" s="1"/>
  <c r="AP1053" i="7"/>
  <c r="AG1053" i="7" s="1"/>
  <c r="AD1053" i="7"/>
  <c r="S1053" i="7"/>
  <c r="AR1053" i="7" s="1"/>
  <c r="AI1053" i="7" s="1"/>
  <c r="L1053" i="7"/>
  <c r="AO1053" i="7" s="1"/>
  <c r="AW1052" i="7"/>
  <c r="AV1052" i="7"/>
  <c r="AU1052" i="7"/>
  <c r="AO1052" i="7" s="1"/>
  <c r="AD1052" i="7"/>
  <c r="S1052" i="7"/>
  <c r="AQ1052" i="7" s="1"/>
  <c r="AH1052" i="7" s="1"/>
  <c r="L1052" i="7"/>
  <c r="AW1051" i="7"/>
  <c r="AV1051" i="7"/>
  <c r="AU1051" i="7"/>
  <c r="AR1051" i="7"/>
  <c r="AQ1051" i="7"/>
  <c r="AP1051" i="7"/>
  <c r="AG1051" i="7" s="1"/>
  <c r="Z1051" i="7" s="1"/>
  <c r="AM1051" i="7"/>
  <c r="AF1051" i="7" s="1"/>
  <c r="AI1051" i="7"/>
  <c r="AH1051" i="7"/>
  <c r="AD1051" i="7"/>
  <c r="S1051" i="7"/>
  <c r="L1051" i="7"/>
  <c r="AO1051" i="7" s="1"/>
  <c r="AW1050" i="7"/>
  <c r="AV1050" i="7"/>
  <c r="AR1050" i="7" s="1"/>
  <c r="AI1050" i="7" s="1"/>
  <c r="AU1050" i="7"/>
  <c r="AQ1050" i="7"/>
  <c r="AH1050" i="7" s="1"/>
  <c r="AD1050" i="7"/>
  <c r="S1050" i="7"/>
  <c r="L1050" i="7"/>
  <c r="AW1049" i="7"/>
  <c r="AV1049" i="7"/>
  <c r="AP1049" i="7" s="1"/>
  <c r="AG1049" i="7" s="1"/>
  <c r="AU1049" i="7"/>
  <c r="AN1049" i="7"/>
  <c r="AM1049" i="7"/>
  <c r="AF1049" i="7"/>
  <c r="AE1049" i="7"/>
  <c r="AD1049" i="7"/>
  <c r="S1049" i="7"/>
  <c r="L1049" i="7"/>
  <c r="AL1049" i="7" s="1"/>
  <c r="AW1048" i="7"/>
  <c r="AV1048" i="7"/>
  <c r="AR1048" i="7" s="1"/>
  <c r="AI1048" i="7" s="1"/>
  <c r="AU1048" i="7"/>
  <c r="AP1048" i="7"/>
  <c r="AG1048" i="7" s="1"/>
  <c r="AN1048" i="7"/>
  <c r="AD1048" i="7"/>
  <c r="S1048" i="7"/>
  <c r="AQ1048" i="7" s="1"/>
  <c r="AH1048" i="7" s="1"/>
  <c r="L1048" i="7"/>
  <c r="AW1047" i="7"/>
  <c r="AV1047" i="7"/>
  <c r="AU1047" i="7"/>
  <c r="AM1047" i="7" s="1"/>
  <c r="AF1047" i="7" s="1"/>
  <c r="AL1047" i="7"/>
  <c r="AE1047" i="7" s="1"/>
  <c r="AD1047" i="7"/>
  <c r="S1047" i="7"/>
  <c r="L1047" i="7"/>
  <c r="AO1047" i="7" s="1"/>
  <c r="AW1046" i="7"/>
  <c r="AV1046" i="7"/>
  <c r="AU1046" i="7"/>
  <c r="AL1046" i="7"/>
  <c r="AE1046" i="7" s="1"/>
  <c r="AD1046" i="7"/>
  <c r="S1046" i="7"/>
  <c r="AQ1046" i="7" s="1"/>
  <c r="AH1046" i="7" s="1"/>
  <c r="L1046" i="7"/>
  <c r="AO1046" i="7" s="1"/>
  <c r="AW1045" i="7"/>
  <c r="AV1045" i="7"/>
  <c r="AU1045" i="7"/>
  <c r="AQ1045" i="7"/>
  <c r="AH1045" i="7" s="1"/>
  <c r="AO1045" i="7"/>
  <c r="AD1045" i="7"/>
  <c r="S1045" i="7"/>
  <c r="AP1045" i="7" s="1"/>
  <c r="AG1045" i="7" s="1"/>
  <c r="L1045" i="7"/>
  <c r="AN1045" i="7" s="1"/>
  <c r="AW1044" i="7"/>
  <c r="AV1044" i="7"/>
  <c r="AU1044" i="7"/>
  <c r="AR1044" i="7"/>
  <c r="AP1044" i="7"/>
  <c r="AG1044" i="7" s="1"/>
  <c r="AO1044" i="7"/>
  <c r="AM1044" i="7"/>
  <c r="AI1044" i="7"/>
  <c r="AH1044" i="7"/>
  <c r="AF1044" i="7"/>
  <c r="AD1044" i="7"/>
  <c r="S1044" i="7"/>
  <c r="AQ1044" i="7" s="1"/>
  <c r="L1044" i="7"/>
  <c r="AN1044" i="7" s="1"/>
  <c r="AW1043" i="7"/>
  <c r="AV1043" i="7"/>
  <c r="AQ1043" i="7" s="1"/>
  <c r="AH1043" i="7" s="1"/>
  <c r="AU1043" i="7"/>
  <c r="AD1043" i="7"/>
  <c r="S1043" i="7"/>
  <c r="L1043" i="7"/>
  <c r="AW1042" i="7"/>
  <c r="AV1042" i="7"/>
  <c r="AU1042" i="7"/>
  <c r="AI1042" i="7"/>
  <c r="AD1042" i="7"/>
  <c r="S1042" i="7"/>
  <c r="AR1042" i="7" s="1"/>
  <c r="L1042" i="7"/>
  <c r="AW1041" i="7"/>
  <c r="AV1041" i="7"/>
  <c r="AU1041" i="7"/>
  <c r="AR1041" i="7"/>
  <c r="AI1041" i="7" s="1"/>
  <c r="AQ1041" i="7"/>
  <c r="AH1041" i="7" s="1"/>
  <c r="Z1041" i="7" s="1"/>
  <c r="AN1041" i="7"/>
  <c r="AG1041" i="7"/>
  <c r="AD1041" i="7"/>
  <c r="S1041" i="7"/>
  <c r="AP1041" i="7" s="1"/>
  <c r="L1041" i="7"/>
  <c r="AW1040" i="7"/>
  <c r="AV1040" i="7"/>
  <c r="AU1040" i="7"/>
  <c r="AR1040" i="7"/>
  <c r="AQ1040" i="7"/>
  <c r="AH1040" i="7" s="1"/>
  <c r="AP1040" i="7"/>
  <c r="AG1040" i="7" s="1"/>
  <c r="Z1040" i="7" s="1"/>
  <c r="AN1040" i="7"/>
  <c r="AL1040" i="7"/>
  <c r="AE1040" i="7" s="1"/>
  <c r="AI1040" i="7"/>
  <c r="AD1040" i="7"/>
  <c r="S1040" i="7"/>
  <c r="L1040" i="7"/>
  <c r="AO1040" i="7" s="1"/>
  <c r="AW1039" i="7"/>
  <c r="AV1039" i="7"/>
  <c r="AU1039" i="7"/>
  <c r="AM1039" i="7"/>
  <c r="AF1039" i="7" s="1"/>
  <c r="AL1039" i="7"/>
  <c r="AE1039" i="7" s="1"/>
  <c r="AD1039" i="7"/>
  <c r="S1039" i="7"/>
  <c r="L1039" i="7"/>
  <c r="AW1038" i="7"/>
  <c r="AV1038" i="7"/>
  <c r="AQ1038" i="7" s="1"/>
  <c r="AH1038" i="7" s="1"/>
  <c r="AU1038" i="7"/>
  <c r="AO1038" i="7"/>
  <c r="AM1038" i="7"/>
  <c r="AF1038" i="7" s="1"/>
  <c r="AD1038" i="7"/>
  <c r="S1038" i="7"/>
  <c r="AR1038" i="7" s="1"/>
  <c r="AI1038" i="7" s="1"/>
  <c r="L1038" i="7"/>
  <c r="AW1037" i="7"/>
  <c r="AV1037" i="7"/>
  <c r="AU1037" i="7"/>
  <c r="AR1037" i="7"/>
  <c r="AI1037" i="7" s="1"/>
  <c r="Z1037" i="7" s="1"/>
  <c r="AQ1037" i="7"/>
  <c r="AP1037" i="7"/>
  <c r="AH1037" i="7"/>
  <c r="AG1037" i="7"/>
  <c r="AD1037" i="7"/>
  <c r="S1037" i="7"/>
  <c r="L1037" i="7"/>
  <c r="AW1036" i="7"/>
  <c r="AV1036" i="7"/>
  <c r="AU1036" i="7"/>
  <c r="AD1036" i="7"/>
  <c r="S1036" i="7"/>
  <c r="L1036" i="7"/>
  <c r="AM1036" i="7" s="1"/>
  <c r="AF1036" i="7" s="1"/>
  <c r="AW1035" i="7"/>
  <c r="AV1035" i="7"/>
  <c r="AU1035" i="7"/>
  <c r="AR1035" i="7"/>
  <c r="AI1035" i="7" s="1"/>
  <c r="AQ1035" i="7"/>
  <c r="AP1035" i="7"/>
  <c r="AG1035" i="7" s="1"/>
  <c r="AO1035" i="7"/>
  <c r="AN1035" i="7"/>
  <c r="AH1035" i="7"/>
  <c r="AF1035" i="7"/>
  <c r="AD1035" i="7"/>
  <c r="S1035" i="7"/>
  <c r="L1035" i="7"/>
  <c r="AM1035" i="7" s="1"/>
  <c r="AW1034" i="7"/>
  <c r="AV1034" i="7"/>
  <c r="AU1034" i="7"/>
  <c r="AL1034" i="7"/>
  <c r="AE1034" i="7" s="1"/>
  <c r="AD1034" i="7"/>
  <c r="S1034" i="7"/>
  <c r="AQ1034" i="7" s="1"/>
  <c r="AH1034" i="7" s="1"/>
  <c r="L1034" i="7"/>
  <c r="AO1034" i="7" s="1"/>
  <c r="AW1033" i="7"/>
  <c r="AV1033" i="7"/>
  <c r="AR1033" i="7" s="1"/>
  <c r="AU1033" i="7"/>
  <c r="AP1033" i="7"/>
  <c r="AG1033" i="7" s="1"/>
  <c r="AO1033" i="7"/>
  <c r="AI1033" i="7"/>
  <c r="AD1033" i="7"/>
  <c r="S1033" i="7"/>
  <c r="L1033" i="7"/>
  <c r="AM1033" i="7" s="1"/>
  <c r="AF1033" i="7" s="1"/>
  <c r="AW1032" i="7"/>
  <c r="AV1032" i="7"/>
  <c r="AU1032" i="7"/>
  <c r="AD1032" i="7"/>
  <c r="S1032" i="7"/>
  <c r="L1032" i="7"/>
  <c r="AW1031" i="7"/>
  <c r="AV1031" i="7"/>
  <c r="AU1031" i="7"/>
  <c r="AR1031" i="7"/>
  <c r="AI1031" i="7" s="1"/>
  <c r="AQ1031" i="7"/>
  <c r="AP1031" i="7"/>
  <c r="AG1031" i="7" s="1"/>
  <c r="Z1031" i="7" s="1"/>
  <c r="AO1031" i="7"/>
  <c r="AN1031" i="7"/>
  <c r="AH1031" i="7"/>
  <c r="AF1031" i="7"/>
  <c r="AD1031" i="7"/>
  <c r="S1031" i="7"/>
  <c r="L1031" i="7"/>
  <c r="AM1031" i="7" s="1"/>
  <c r="AW1030" i="7"/>
  <c r="AV1030" i="7"/>
  <c r="AU1030" i="7"/>
  <c r="AR1030" i="7"/>
  <c r="AI1030" i="7" s="1"/>
  <c r="AM1030" i="7"/>
  <c r="AF1030" i="7" s="1"/>
  <c r="AL1030" i="7"/>
  <c r="AE1030" i="7" s="1"/>
  <c r="AD1030" i="7"/>
  <c r="S1030" i="7"/>
  <c r="AP1030" i="7" s="1"/>
  <c r="AG1030" i="7" s="1"/>
  <c r="L1030" i="7"/>
  <c r="AN1030" i="7" s="1"/>
  <c r="AW1029" i="7"/>
  <c r="AV1029" i="7"/>
  <c r="AR1029" i="7" s="1"/>
  <c r="AI1029" i="7" s="1"/>
  <c r="AU1029" i="7"/>
  <c r="AO1029" i="7"/>
  <c r="AD1029" i="7"/>
  <c r="S1029" i="7"/>
  <c r="L1029" i="7"/>
  <c r="AM1029" i="7" s="1"/>
  <c r="AF1029" i="7" s="1"/>
  <c r="AW1028" i="7"/>
  <c r="AV1028" i="7"/>
  <c r="AU1028" i="7"/>
  <c r="AR1028" i="7"/>
  <c r="AI1028" i="7" s="1"/>
  <c r="AP1028" i="7"/>
  <c r="AG1028" i="7" s="1"/>
  <c r="AH1028" i="7"/>
  <c r="AD1028" i="7"/>
  <c r="S1028" i="7"/>
  <c r="AQ1028" i="7" s="1"/>
  <c r="L1028" i="7"/>
  <c r="AO1028" i="7" s="1"/>
  <c r="AW1027" i="7"/>
  <c r="AV1027" i="7"/>
  <c r="AU1027" i="7"/>
  <c r="AR1027" i="7"/>
  <c r="AI1027" i="7" s="1"/>
  <c r="AQ1027" i="7"/>
  <c r="AH1027" i="7" s="1"/>
  <c r="AP1027" i="7"/>
  <c r="AG1027" i="7" s="1"/>
  <c r="AD1027" i="7"/>
  <c r="S1027" i="7"/>
  <c r="L1027" i="7"/>
  <c r="AW1026" i="7"/>
  <c r="AV1026" i="7"/>
  <c r="AU1026" i="7"/>
  <c r="AR1026" i="7"/>
  <c r="AI1026" i="7" s="1"/>
  <c r="AP1026" i="7"/>
  <c r="AG1026" i="7" s="1"/>
  <c r="AN1026" i="7"/>
  <c r="AM1026" i="7"/>
  <c r="AF1026" i="7" s="1"/>
  <c r="AL1026" i="7"/>
  <c r="AE1026" i="7" s="1"/>
  <c r="AD1026" i="7"/>
  <c r="S1026" i="7"/>
  <c r="AQ1026" i="7" s="1"/>
  <c r="AH1026" i="7" s="1"/>
  <c r="Z1026" i="7" s="1"/>
  <c r="L1026" i="7"/>
  <c r="AO1026" i="7" s="1"/>
  <c r="AW1025" i="7"/>
  <c r="AV1025" i="7"/>
  <c r="AR1025" i="7" s="1"/>
  <c r="AI1025" i="7" s="1"/>
  <c r="AU1025" i="7"/>
  <c r="AO1025" i="7"/>
  <c r="AN1025" i="7"/>
  <c r="AL1025" i="7"/>
  <c r="AE1025" i="7" s="1"/>
  <c r="Y1025" i="7" s="1"/>
  <c r="AF1025" i="7"/>
  <c r="AD1025" i="7"/>
  <c r="S1025" i="7"/>
  <c r="L1025" i="7"/>
  <c r="AM1025" i="7" s="1"/>
  <c r="AW1024" i="7"/>
  <c r="AV1024" i="7"/>
  <c r="AP1024" i="7" s="1"/>
  <c r="AG1024" i="7" s="1"/>
  <c r="AU1024" i="7"/>
  <c r="AD1024" i="7"/>
  <c r="S1024" i="7"/>
  <c r="L1024" i="7"/>
  <c r="AN1024" i="7" s="1"/>
  <c r="AW1023" i="7"/>
  <c r="AV1023" i="7"/>
  <c r="AP1023" i="7" s="1"/>
  <c r="AG1023" i="7" s="1"/>
  <c r="Z1023" i="7" s="1"/>
  <c r="AU1023" i="7"/>
  <c r="AR1023" i="7"/>
  <c r="AQ1023" i="7"/>
  <c r="AH1023" i="7" s="1"/>
  <c r="AI1023" i="7"/>
  <c r="AD1023" i="7"/>
  <c r="S1023" i="7"/>
  <c r="L1023" i="7"/>
  <c r="AM1023" i="7" s="1"/>
  <c r="AF1023" i="7" s="1"/>
  <c r="AW1022" i="7"/>
  <c r="AV1022" i="7"/>
  <c r="AU1022" i="7"/>
  <c r="AP1022" i="7"/>
  <c r="AG1022" i="7" s="1"/>
  <c r="AD1022" i="7"/>
  <c r="S1022" i="7"/>
  <c r="AR1022" i="7" s="1"/>
  <c r="AI1022" i="7" s="1"/>
  <c r="L1022" i="7"/>
  <c r="AN1022" i="7" s="1"/>
  <c r="AW1021" i="7"/>
  <c r="AV1021" i="7"/>
  <c r="AU1021" i="7"/>
  <c r="AR1021" i="7"/>
  <c r="AI1021" i="7" s="1"/>
  <c r="AQ1021" i="7"/>
  <c r="AH1021" i="7" s="1"/>
  <c r="AL1021" i="7"/>
  <c r="AE1021" i="7" s="1"/>
  <c r="AD1021" i="7"/>
  <c r="S1021" i="7"/>
  <c r="AP1021" i="7" s="1"/>
  <c r="AG1021" i="7" s="1"/>
  <c r="Z1021" i="7" s="1"/>
  <c r="L1021" i="7"/>
  <c r="AO1021" i="7" s="1"/>
  <c r="AW1020" i="7"/>
  <c r="AV1020" i="7"/>
  <c r="AP1020" i="7" s="1"/>
  <c r="AG1020" i="7" s="1"/>
  <c r="AU1020" i="7"/>
  <c r="AN1020" i="7" s="1"/>
  <c r="AD1020" i="7"/>
  <c r="S1020" i="7"/>
  <c r="L1020" i="7"/>
  <c r="AM1020" i="7" s="1"/>
  <c r="AF1020" i="7" s="1"/>
  <c r="AW1019" i="7"/>
  <c r="AV1019" i="7"/>
  <c r="AU1019" i="7"/>
  <c r="AR1019" i="7"/>
  <c r="AQ1019" i="7"/>
  <c r="AP1019" i="7"/>
  <c r="AG1019" i="7" s="1"/>
  <c r="AN1019" i="7"/>
  <c r="AI1019" i="7"/>
  <c r="AH1019" i="7"/>
  <c r="AD1019" i="7"/>
  <c r="S1019" i="7"/>
  <c r="L1019" i="7"/>
  <c r="AL1019" i="7" s="1"/>
  <c r="AE1019" i="7" s="1"/>
  <c r="AW1018" i="7"/>
  <c r="AV1018" i="7"/>
  <c r="AU1018" i="7"/>
  <c r="AD1018" i="7"/>
  <c r="S1018" i="7"/>
  <c r="AR1018" i="7" s="1"/>
  <c r="AI1018" i="7" s="1"/>
  <c r="L1018" i="7"/>
  <c r="AO1018" i="7" s="1"/>
  <c r="AW1017" i="7"/>
  <c r="AV1017" i="7"/>
  <c r="AU1017" i="7"/>
  <c r="AR1017" i="7"/>
  <c r="AI1017" i="7" s="1"/>
  <c r="AQ1017" i="7"/>
  <c r="AH1017" i="7" s="1"/>
  <c r="AO1017" i="7"/>
  <c r="AM1017" i="7"/>
  <c r="AL1017" i="7"/>
  <c r="AE1017" i="7" s="1"/>
  <c r="Y1017" i="7" s="1"/>
  <c r="AF1017" i="7"/>
  <c r="AD1017" i="7"/>
  <c r="S1017" i="7"/>
  <c r="AP1017" i="7" s="1"/>
  <c r="AG1017" i="7" s="1"/>
  <c r="Z1017" i="7" s="1"/>
  <c r="L1017" i="7"/>
  <c r="AN1017" i="7" s="1"/>
  <c r="AW1016" i="7"/>
  <c r="AV1016" i="7"/>
  <c r="AR1016" i="7" s="1"/>
  <c r="AI1016" i="7" s="1"/>
  <c r="AU1016" i="7"/>
  <c r="AL1016" i="7" s="1"/>
  <c r="AE1016" i="7" s="1"/>
  <c r="AQ1016" i="7"/>
  <c r="AH1016" i="7" s="1"/>
  <c r="AD1016" i="7"/>
  <c r="S1016" i="7"/>
  <c r="AP1016" i="7" s="1"/>
  <c r="AG1016" i="7" s="1"/>
  <c r="Z1016" i="7" s="1"/>
  <c r="L1016" i="7"/>
  <c r="AM1016" i="7" s="1"/>
  <c r="AF1016" i="7" s="1"/>
  <c r="AW1015" i="7"/>
  <c r="AV1015" i="7"/>
  <c r="AU1015" i="7"/>
  <c r="AQ1015" i="7"/>
  <c r="AM1015" i="7"/>
  <c r="AF1015" i="7" s="1"/>
  <c r="AH1015" i="7"/>
  <c r="AD1015" i="7"/>
  <c r="S1015" i="7"/>
  <c r="AR1015" i="7" s="1"/>
  <c r="AI1015" i="7" s="1"/>
  <c r="L1015" i="7"/>
  <c r="AL1015" i="7" s="1"/>
  <c r="AE1015" i="7" s="1"/>
  <c r="AW1014" i="7"/>
  <c r="AV1014" i="7"/>
  <c r="AU1014" i="7"/>
  <c r="AR1014" i="7"/>
  <c r="AI1014" i="7" s="1"/>
  <c r="AQ1014" i="7"/>
  <c r="AM1014" i="7"/>
  <c r="AL1014" i="7"/>
  <c r="AH1014" i="7"/>
  <c r="AF1014" i="7"/>
  <c r="AE1014" i="7"/>
  <c r="AD1014" i="7"/>
  <c r="S1014" i="7"/>
  <c r="AP1014" i="7" s="1"/>
  <c r="AG1014" i="7" s="1"/>
  <c r="Z1014" i="7" s="1"/>
  <c r="L1014" i="7"/>
  <c r="AO1014" i="7" s="1"/>
  <c r="AW1013" i="7"/>
  <c r="AV1013" i="7"/>
  <c r="AU1013" i="7"/>
  <c r="AO1013" i="7"/>
  <c r="AL1013" i="7"/>
  <c r="AE1013" i="7"/>
  <c r="AD1013" i="7"/>
  <c r="S1013" i="7"/>
  <c r="L1013" i="7"/>
  <c r="AN1013" i="7" s="1"/>
  <c r="AW1012" i="7"/>
  <c r="AV1012" i="7"/>
  <c r="AU1012" i="7"/>
  <c r="AD1012" i="7"/>
  <c r="S1012" i="7"/>
  <c r="AR1012" i="7" s="1"/>
  <c r="AI1012" i="7" s="1"/>
  <c r="L1012" i="7"/>
  <c r="AO1012" i="7" s="1"/>
  <c r="AW1011" i="7"/>
  <c r="AV1011" i="7"/>
  <c r="AP1011" i="7" s="1"/>
  <c r="AG1011" i="7" s="1"/>
  <c r="Z1011" i="7" s="1"/>
  <c r="AU1011" i="7"/>
  <c r="AR1011" i="7"/>
  <c r="AI1011" i="7" s="1"/>
  <c r="AQ1011" i="7"/>
  <c r="AH1011" i="7" s="1"/>
  <c r="AM1011" i="7"/>
  <c r="AF1011" i="7"/>
  <c r="AD1011" i="7"/>
  <c r="S1011" i="7"/>
  <c r="L1011" i="7"/>
  <c r="AO1011" i="7" s="1"/>
  <c r="AW1010" i="7"/>
  <c r="AV1010" i="7"/>
  <c r="AU1010" i="7"/>
  <c r="AR1010" i="7"/>
  <c r="AI1010" i="7" s="1"/>
  <c r="AQ1010" i="7"/>
  <c r="AH1010" i="7" s="1"/>
  <c r="AD1010" i="7"/>
  <c r="S1010" i="7"/>
  <c r="AP1010" i="7" s="1"/>
  <c r="AG1010" i="7" s="1"/>
  <c r="L1010" i="7"/>
  <c r="AO1010" i="7" s="1"/>
  <c r="AW1009" i="7"/>
  <c r="AV1009" i="7"/>
  <c r="AU1009" i="7"/>
  <c r="AO1009" i="7" s="1"/>
  <c r="AD1009" i="7"/>
  <c r="S1009" i="7"/>
  <c r="AR1009" i="7" s="1"/>
  <c r="AI1009" i="7" s="1"/>
  <c r="L1009" i="7"/>
  <c r="AN1009" i="7" s="1"/>
  <c r="AW1008" i="7"/>
  <c r="AV1008" i="7"/>
  <c r="AU1008" i="7"/>
  <c r="AR1008" i="7"/>
  <c r="AQ1008" i="7"/>
  <c r="AM1008" i="7"/>
  <c r="AF1008" i="7" s="1"/>
  <c r="AL1008" i="7"/>
  <c r="AE1008" i="7" s="1"/>
  <c r="AI1008" i="7"/>
  <c r="AH1008" i="7"/>
  <c r="AD1008" i="7"/>
  <c r="S1008" i="7"/>
  <c r="AP1008" i="7" s="1"/>
  <c r="AG1008" i="7" s="1"/>
  <c r="L1008" i="7"/>
  <c r="AO1008" i="7" s="1"/>
  <c r="AW1007" i="7"/>
  <c r="AV1007" i="7"/>
  <c r="AR1007" i="7" s="1"/>
  <c r="AI1007" i="7" s="1"/>
  <c r="AU1007" i="7"/>
  <c r="AO1007" i="7"/>
  <c r="AM1007" i="7"/>
  <c r="AL1007" i="7"/>
  <c r="AE1007" i="7" s="1"/>
  <c r="AF1007" i="7"/>
  <c r="AD1007" i="7"/>
  <c r="Y1007" i="7"/>
  <c r="S1007" i="7"/>
  <c r="AP1007" i="7" s="1"/>
  <c r="AG1007" i="7" s="1"/>
  <c r="L1007" i="7"/>
  <c r="AN1007" i="7" s="1"/>
  <c r="AW1006" i="7"/>
  <c r="AV1006" i="7"/>
  <c r="AU1006" i="7"/>
  <c r="AN1006" i="7" s="1"/>
  <c r="AD1006" i="7"/>
  <c r="S1006" i="7"/>
  <c r="AR1006" i="7" s="1"/>
  <c r="AI1006" i="7" s="1"/>
  <c r="L1006" i="7"/>
  <c r="AW1005" i="7"/>
  <c r="AV1005" i="7"/>
  <c r="AU1005" i="7"/>
  <c r="AD1005" i="7"/>
  <c r="S1005" i="7"/>
  <c r="AR1005" i="7" s="1"/>
  <c r="AI1005" i="7" s="1"/>
  <c r="L1005" i="7"/>
  <c r="AN1005" i="7" s="1"/>
  <c r="AW1004" i="7"/>
  <c r="AV1004" i="7"/>
  <c r="AP1004" i="7" s="1"/>
  <c r="AG1004" i="7" s="1"/>
  <c r="Z1004" i="7" s="1"/>
  <c r="AU1004" i="7"/>
  <c r="AR1004" i="7"/>
  <c r="AI1004" i="7" s="1"/>
  <c r="AQ1004" i="7"/>
  <c r="AH1004" i="7" s="1"/>
  <c r="AL1004" i="7"/>
  <c r="AE1004" i="7" s="1"/>
  <c r="AD1004" i="7"/>
  <c r="S1004" i="7"/>
  <c r="L1004" i="7"/>
  <c r="AW1003" i="7"/>
  <c r="AV1003" i="7"/>
  <c r="AU1003" i="7"/>
  <c r="AR1003" i="7"/>
  <c r="AI1003" i="7" s="1"/>
  <c r="AQ1003" i="7"/>
  <c r="AH1003" i="7" s="1"/>
  <c r="AP1003" i="7"/>
  <c r="AO1003" i="7"/>
  <c r="AL1003" i="7"/>
  <c r="AE1003" i="7" s="1"/>
  <c r="AG1003" i="7"/>
  <c r="AD1003" i="7"/>
  <c r="Z1003" i="7"/>
  <c r="S1003" i="7"/>
  <c r="L1003" i="7"/>
  <c r="AN1003" i="7" s="1"/>
  <c r="AW1002" i="7"/>
  <c r="AV1002" i="7"/>
  <c r="AR1002" i="7" s="1"/>
  <c r="AI1002" i="7" s="1"/>
  <c r="AU1002" i="7"/>
  <c r="AD1002" i="7"/>
  <c r="S1002" i="7"/>
  <c r="L1002" i="7"/>
  <c r="AW1001" i="7"/>
  <c r="AV1001" i="7"/>
  <c r="AU1001" i="7"/>
  <c r="AR1001" i="7"/>
  <c r="AI1001" i="7" s="1"/>
  <c r="AQ1001" i="7"/>
  <c r="AH1001" i="7" s="1"/>
  <c r="AP1001" i="7"/>
  <c r="AL1001" i="7"/>
  <c r="AE1001" i="7" s="1"/>
  <c r="AG1001" i="7"/>
  <c r="AD1001" i="7"/>
  <c r="Z1001" i="7"/>
  <c r="S1001" i="7"/>
  <c r="L1001" i="7"/>
  <c r="AW1000" i="7"/>
  <c r="AV1000" i="7"/>
  <c r="AU1000" i="7"/>
  <c r="AR1000" i="7"/>
  <c r="AI1000" i="7" s="1"/>
  <c r="AN1000" i="7"/>
  <c r="AL1000" i="7"/>
  <c r="AE1000" i="7" s="1"/>
  <c r="AD1000" i="7"/>
  <c r="S1000" i="7"/>
  <c r="AP1000" i="7" s="1"/>
  <c r="AG1000" i="7" s="1"/>
  <c r="L1000" i="7"/>
  <c r="AW999" i="7"/>
  <c r="AV999" i="7"/>
  <c r="AR999" i="7" s="1"/>
  <c r="AI999" i="7" s="1"/>
  <c r="AU999" i="7"/>
  <c r="AL999" i="7" s="1"/>
  <c r="AE999" i="7" s="1"/>
  <c r="AD999" i="7"/>
  <c r="S999" i="7"/>
  <c r="AP999" i="7" s="1"/>
  <c r="AG999" i="7" s="1"/>
  <c r="L999" i="7"/>
  <c r="AW998" i="7"/>
  <c r="AV998" i="7"/>
  <c r="AR998" i="7" s="1"/>
  <c r="AI998" i="7" s="1"/>
  <c r="AU998" i="7"/>
  <c r="AL998" i="7"/>
  <c r="AE998" i="7" s="1"/>
  <c r="AD998" i="7"/>
  <c r="S998" i="7"/>
  <c r="L998" i="7"/>
  <c r="AO998" i="7" s="1"/>
  <c r="AW997" i="7"/>
  <c r="AV997" i="7"/>
  <c r="AU997" i="7"/>
  <c r="AO997" i="7" s="1"/>
  <c r="AQ997" i="7"/>
  <c r="AH997" i="7" s="1"/>
  <c r="AN997" i="7"/>
  <c r="AL997" i="7"/>
  <c r="AE997" i="7" s="1"/>
  <c r="AF997" i="7"/>
  <c r="Y997" i="7" s="1"/>
  <c r="AD997" i="7"/>
  <c r="S997" i="7"/>
  <c r="AR997" i="7" s="1"/>
  <c r="AI997" i="7" s="1"/>
  <c r="L997" i="7"/>
  <c r="AM997" i="7" s="1"/>
  <c r="AW996" i="7"/>
  <c r="AV996" i="7"/>
  <c r="AR996" i="7" s="1"/>
  <c r="AI996" i="7" s="1"/>
  <c r="AU996" i="7"/>
  <c r="AQ996" i="7"/>
  <c r="AH996" i="7" s="1"/>
  <c r="AD996" i="7"/>
  <c r="S996" i="7"/>
  <c r="AP996" i="7" s="1"/>
  <c r="AG996" i="7" s="1"/>
  <c r="L996" i="7"/>
  <c r="AW995" i="7"/>
  <c r="AV995" i="7"/>
  <c r="AQ995" i="7" s="1"/>
  <c r="AH995" i="7" s="1"/>
  <c r="AU995" i="7"/>
  <c r="AL995" i="7" s="1"/>
  <c r="AP995" i="7"/>
  <c r="AG995" i="7" s="1"/>
  <c r="AE995" i="7"/>
  <c r="AD995" i="7"/>
  <c r="S995" i="7"/>
  <c r="AR995" i="7" s="1"/>
  <c r="AI995" i="7" s="1"/>
  <c r="L995" i="7"/>
  <c r="AW994" i="7"/>
  <c r="AV994" i="7"/>
  <c r="AU994" i="7"/>
  <c r="AO994" i="7"/>
  <c r="AN994" i="7"/>
  <c r="AL994" i="7"/>
  <c r="AE994" i="7"/>
  <c r="Y994" i="7" s="1"/>
  <c r="AD994" i="7"/>
  <c r="S994" i="7"/>
  <c r="AR994" i="7" s="1"/>
  <c r="AI994" i="7" s="1"/>
  <c r="L994" i="7"/>
  <c r="AM994" i="7" s="1"/>
  <c r="AF994" i="7" s="1"/>
  <c r="AW993" i="7"/>
  <c r="AV993" i="7"/>
  <c r="AQ993" i="7" s="1"/>
  <c r="AU993" i="7"/>
  <c r="AP993" i="7"/>
  <c r="AG993" i="7" s="1"/>
  <c r="AH993" i="7"/>
  <c r="AD993" i="7"/>
  <c r="S993" i="7"/>
  <c r="AR993" i="7" s="1"/>
  <c r="AI993" i="7" s="1"/>
  <c r="L993" i="7"/>
  <c r="AO993" i="7" s="1"/>
  <c r="AW992" i="7"/>
  <c r="AV992" i="7"/>
  <c r="AU992" i="7"/>
  <c r="AN992" i="7"/>
  <c r="AD992" i="7"/>
  <c r="S992" i="7"/>
  <c r="L992" i="7"/>
  <c r="AL992" i="7" s="1"/>
  <c r="AE992" i="7" s="1"/>
  <c r="AW991" i="7"/>
  <c r="AV991" i="7"/>
  <c r="AQ991" i="7" s="1"/>
  <c r="AU991" i="7"/>
  <c r="AP991" i="7"/>
  <c r="AG991" i="7" s="1"/>
  <c r="AI991" i="7"/>
  <c r="AH991" i="7"/>
  <c r="AD991" i="7"/>
  <c r="S991" i="7"/>
  <c r="AR991" i="7" s="1"/>
  <c r="L991" i="7"/>
  <c r="AW990" i="7"/>
  <c r="AV990" i="7"/>
  <c r="AU990" i="7"/>
  <c r="AP990" i="7"/>
  <c r="AG990" i="7" s="1"/>
  <c r="AD990" i="7"/>
  <c r="S990" i="7"/>
  <c r="AR990" i="7" s="1"/>
  <c r="AI990" i="7" s="1"/>
  <c r="L990" i="7"/>
  <c r="AW989" i="7"/>
  <c r="AV989" i="7"/>
  <c r="AU989" i="7"/>
  <c r="AO989" i="7" s="1"/>
  <c r="AN989" i="7"/>
  <c r="AD989" i="7"/>
  <c r="S989" i="7"/>
  <c r="AQ989" i="7" s="1"/>
  <c r="AH989" i="7" s="1"/>
  <c r="L989" i="7"/>
  <c r="AW988" i="7"/>
  <c r="AV988" i="7"/>
  <c r="AU988" i="7"/>
  <c r="AN988" i="7" s="1"/>
  <c r="AL988" i="7"/>
  <c r="AE988" i="7" s="1"/>
  <c r="AD988" i="7"/>
  <c r="S988" i="7"/>
  <c r="AP988" i="7" s="1"/>
  <c r="AG988" i="7" s="1"/>
  <c r="L988" i="7"/>
  <c r="AW987" i="7"/>
  <c r="AV987" i="7"/>
  <c r="AU987" i="7"/>
  <c r="AR987" i="7"/>
  <c r="AP987" i="7"/>
  <c r="AG987" i="7" s="1"/>
  <c r="AO987" i="7"/>
  <c r="AI987" i="7"/>
  <c r="AH987" i="7"/>
  <c r="AD987" i="7"/>
  <c r="S987" i="7"/>
  <c r="AQ987" i="7" s="1"/>
  <c r="L987" i="7"/>
  <c r="AW986" i="7"/>
  <c r="AV986" i="7"/>
  <c r="AU986" i="7"/>
  <c r="AN986" i="7" s="1"/>
  <c r="AR986" i="7"/>
  <c r="AI986" i="7" s="1"/>
  <c r="AO986" i="7"/>
  <c r="AD986" i="7"/>
  <c r="S986" i="7"/>
  <c r="AQ986" i="7" s="1"/>
  <c r="AH986" i="7" s="1"/>
  <c r="L986" i="7"/>
  <c r="AM986" i="7" s="1"/>
  <c r="AF986" i="7" s="1"/>
  <c r="AW985" i="7"/>
  <c r="AV985" i="7"/>
  <c r="AU985" i="7"/>
  <c r="AO985" i="7" s="1"/>
  <c r="AD985" i="7"/>
  <c r="S985" i="7"/>
  <c r="L985" i="7"/>
  <c r="AW984" i="7"/>
  <c r="AV984" i="7"/>
  <c r="AU984" i="7"/>
  <c r="AP984" i="7"/>
  <c r="AG984" i="7" s="1"/>
  <c r="AN984" i="7"/>
  <c r="AL984" i="7"/>
  <c r="AE984" i="7" s="1"/>
  <c r="AD984" i="7"/>
  <c r="S984" i="7"/>
  <c r="AQ984" i="7" s="1"/>
  <c r="AH984" i="7" s="1"/>
  <c r="L984" i="7"/>
  <c r="AW983" i="7"/>
  <c r="AV983" i="7"/>
  <c r="AU983" i="7"/>
  <c r="AD983" i="7"/>
  <c r="S983" i="7"/>
  <c r="AP983" i="7" s="1"/>
  <c r="AG983" i="7" s="1"/>
  <c r="L983" i="7"/>
  <c r="AO983" i="7" s="1"/>
  <c r="AW982" i="7"/>
  <c r="AV982" i="7"/>
  <c r="AU982" i="7"/>
  <c r="AN982" i="7"/>
  <c r="AD982" i="7"/>
  <c r="S982" i="7"/>
  <c r="AQ982" i="7" s="1"/>
  <c r="AH982" i="7" s="1"/>
  <c r="L982" i="7"/>
  <c r="AM982" i="7" s="1"/>
  <c r="AF982" i="7" s="1"/>
  <c r="AW981" i="7"/>
  <c r="AV981" i="7"/>
  <c r="AU981" i="7"/>
  <c r="AR981" i="7"/>
  <c r="AI981" i="7"/>
  <c r="AD981" i="7"/>
  <c r="S981" i="7"/>
  <c r="AP981" i="7" s="1"/>
  <c r="AG981" i="7" s="1"/>
  <c r="L981" i="7"/>
  <c r="AW980" i="7"/>
  <c r="AV980" i="7"/>
  <c r="AU980" i="7"/>
  <c r="AG980" i="7"/>
  <c r="AD980" i="7"/>
  <c r="S980" i="7"/>
  <c r="AP980" i="7" s="1"/>
  <c r="L980" i="7"/>
  <c r="AO980" i="7" s="1"/>
  <c r="AW979" i="7"/>
  <c r="AV979" i="7"/>
  <c r="AU979" i="7"/>
  <c r="AG979" i="7"/>
  <c r="AD979" i="7"/>
  <c r="S979" i="7"/>
  <c r="AP979" i="7" s="1"/>
  <c r="L979" i="7"/>
  <c r="AW978" i="7"/>
  <c r="AV978" i="7"/>
  <c r="AU978" i="7"/>
  <c r="AD978" i="7"/>
  <c r="S978" i="7"/>
  <c r="AP978" i="7" s="1"/>
  <c r="AG978" i="7" s="1"/>
  <c r="L978" i="7"/>
  <c r="AO978" i="7" s="1"/>
  <c r="AW977" i="7"/>
  <c r="AV977" i="7"/>
  <c r="AU977" i="7"/>
  <c r="AM977" i="7" s="1"/>
  <c r="AF977" i="7" s="1"/>
  <c r="AN977" i="7"/>
  <c r="AD977" i="7"/>
  <c r="S977" i="7"/>
  <c r="AR977" i="7" s="1"/>
  <c r="AI977" i="7" s="1"/>
  <c r="L977" i="7"/>
  <c r="AW976" i="7"/>
  <c r="AV976" i="7"/>
  <c r="AQ976" i="7" s="1"/>
  <c r="AH976" i="7" s="1"/>
  <c r="AU976" i="7"/>
  <c r="AN976" i="7"/>
  <c r="AM976" i="7"/>
  <c r="AF976" i="7" s="1"/>
  <c r="AL976" i="7"/>
  <c r="AE976" i="7" s="1"/>
  <c r="Y976" i="7" s="1"/>
  <c r="AD976" i="7"/>
  <c r="S976" i="7"/>
  <c r="L976" i="7"/>
  <c r="AO976" i="7" s="1"/>
  <c r="AW975" i="7"/>
  <c r="AV975" i="7"/>
  <c r="AQ975" i="7" s="1"/>
  <c r="AH975" i="7" s="1"/>
  <c r="AU975" i="7"/>
  <c r="AD975" i="7"/>
  <c r="S975" i="7"/>
  <c r="AR975" i="7" s="1"/>
  <c r="AI975" i="7" s="1"/>
  <c r="L975" i="7"/>
  <c r="AN975" i="7" s="1"/>
  <c r="AW974" i="7"/>
  <c r="AV974" i="7"/>
  <c r="AU974" i="7"/>
  <c r="AM974" i="7"/>
  <c r="AF974" i="7" s="1"/>
  <c r="AL974" i="7"/>
  <c r="AI974" i="7"/>
  <c r="AE974" i="7"/>
  <c r="AD974" i="7"/>
  <c r="S974" i="7"/>
  <c r="AR974" i="7" s="1"/>
  <c r="L974" i="7"/>
  <c r="AO974" i="7" s="1"/>
  <c r="AW973" i="7"/>
  <c r="AV973" i="7"/>
  <c r="AU973" i="7"/>
  <c r="AR973" i="7"/>
  <c r="AI973" i="7" s="1"/>
  <c r="AN973" i="7"/>
  <c r="AM973" i="7"/>
  <c r="AF973" i="7" s="1"/>
  <c r="AL973" i="7"/>
  <c r="AE973" i="7" s="1"/>
  <c r="AH973" i="7"/>
  <c r="AD973" i="7"/>
  <c r="Y973" i="7"/>
  <c r="S973" i="7"/>
  <c r="AQ973" i="7" s="1"/>
  <c r="L973" i="7"/>
  <c r="AO973" i="7" s="1"/>
  <c r="AW972" i="7"/>
  <c r="AV972" i="7"/>
  <c r="AP972" i="7" s="1"/>
  <c r="AG972" i="7" s="1"/>
  <c r="AU972" i="7"/>
  <c r="AQ972" i="7"/>
  <c r="AH972" i="7" s="1"/>
  <c r="AD972" i="7"/>
  <c r="S972" i="7"/>
  <c r="L972" i="7"/>
  <c r="AW971" i="7"/>
  <c r="AV971" i="7"/>
  <c r="AU971" i="7"/>
  <c r="AR971" i="7"/>
  <c r="AQ971" i="7"/>
  <c r="AH971" i="7" s="1"/>
  <c r="AP971" i="7"/>
  <c r="AG971" i="7" s="1"/>
  <c r="Z971" i="7" s="1"/>
  <c r="AM971" i="7"/>
  <c r="AF971" i="7" s="1"/>
  <c r="AL971" i="7"/>
  <c r="AI971" i="7"/>
  <c r="AE971" i="7"/>
  <c r="AD971" i="7"/>
  <c r="S971" i="7"/>
  <c r="L971" i="7"/>
  <c r="AW970" i="7"/>
  <c r="AV970" i="7"/>
  <c r="AU970" i="7"/>
  <c r="AN970" i="7" s="1"/>
  <c r="AD970" i="7"/>
  <c r="S970" i="7"/>
  <c r="L970" i="7"/>
  <c r="AO970" i="7" s="1"/>
  <c r="AW969" i="7"/>
  <c r="AV969" i="7"/>
  <c r="AU969" i="7"/>
  <c r="AD969" i="7"/>
  <c r="S969" i="7"/>
  <c r="L969" i="7"/>
  <c r="AW968" i="7"/>
  <c r="AV968" i="7"/>
  <c r="AU968" i="7"/>
  <c r="AM968" i="7" s="1"/>
  <c r="AF968" i="7" s="1"/>
  <c r="AD968" i="7"/>
  <c r="S968" i="7"/>
  <c r="L968" i="7"/>
  <c r="AW967" i="7"/>
  <c r="AV967" i="7"/>
  <c r="AU967" i="7"/>
  <c r="AR967" i="7"/>
  <c r="AI967" i="7" s="1"/>
  <c r="AQ967" i="7"/>
  <c r="AH967" i="7" s="1"/>
  <c r="Z967" i="7" s="1"/>
  <c r="AD967" i="7"/>
  <c r="S967" i="7"/>
  <c r="AP967" i="7" s="1"/>
  <c r="AG967" i="7" s="1"/>
  <c r="L967" i="7"/>
  <c r="AW966" i="7"/>
  <c r="AV966" i="7"/>
  <c r="AP966" i="7" s="1"/>
  <c r="AG966" i="7" s="1"/>
  <c r="AU966" i="7"/>
  <c r="AM966" i="7"/>
  <c r="AL966" i="7"/>
  <c r="AF966" i="7"/>
  <c r="AE966" i="7"/>
  <c r="AD966" i="7"/>
  <c r="S966" i="7"/>
  <c r="L966" i="7"/>
  <c r="AO966" i="7" s="1"/>
  <c r="AW965" i="7"/>
  <c r="AV965" i="7"/>
  <c r="AU965" i="7"/>
  <c r="AP965" i="7"/>
  <c r="AG965" i="7" s="1"/>
  <c r="AD965" i="7"/>
  <c r="S965" i="7"/>
  <c r="L965" i="7"/>
  <c r="AM965" i="7" s="1"/>
  <c r="AF965" i="7" s="1"/>
  <c r="AW964" i="7"/>
  <c r="AV964" i="7"/>
  <c r="AU964" i="7"/>
  <c r="AL964" i="7"/>
  <c r="AE964" i="7" s="1"/>
  <c r="AD964" i="7"/>
  <c r="S964" i="7"/>
  <c r="AR964" i="7" s="1"/>
  <c r="AI964" i="7" s="1"/>
  <c r="L964" i="7"/>
  <c r="AO964" i="7" s="1"/>
  <c r="AW963" i="7"/>
  <c r="AV963" i="7"/>
  <c r="AU963" i="7"/>
  <c r="AN963" i="7"/>
  <c r="AL963" i="7"/>
  <c r="AE963" i="7"/>
  <c r="AD963" i="7"/>
  <c r="S963" i="7"/>
  <c r="L963" i="7"/>
  <c r="AM963" i="7" s="1"/>
  <c r="AF963" i="7" s="1"/>
  <c r="AW962" i="7"/>
  <c r="AV962" i="7"/>
  <c r="AU962" i="7"/>
  <c r="AN962" i="7"/>
  <c r="AD962" i="7"/>
  <c r="S962" i="7"/>
  <c r="AP962" i="7" s="1"/>
  <c r="AG962" i="7" s="1"/>
  <c r="L962" i="7"/>
  <c r="AO962" i="7" s="1"/>
  <c r="AW961" i="7"/>
  <c r="AV961" i="7"/>
  <c r="AU961" i="7"/>
  <c r="AL961" i="7"/>
  <c r="AE961" i="7" s="1"/>
  <c r="AD961" i="7"/>
  <c r="S961" i="7"/>
  <c r="AR961" i="7" s="1"/>
  <c r="AI961" i="7" s="1"/>
  <c r="L961" i="7"/>
  <c r="AO961" i="7" s="1"/>
  <c r="AW960" i="7"/>
  <c r="AV960" i="7"/>
  <c r="AQ960" i="7" s="1"/>
  <c r="AU960" i="7"/>
  <c r="AH960" i="7"/>
  <c r="AD960" i="7"/>
  <c r="S960" i="7"/>
  <c r="L960" i="7"/>
  <c r="AM960" i="7" s="1"/>
  <c r="AF960" i="7" s="1"/>
  <c r="AW959" i="7"/>
  <c r="AV959" i="7"/>
  <c r="AU959" i="7"/>
  <c r="AR959" i="7"/>
  <c r="AI959" i="7" s="1"/>
  <c r="AQ959" i="7"/>
  <c r="AH959" i="7" s="1"/>
  <c r="AP959" i="7"/>
  <c r="AG959" i="7" s="1"/>
  <c r="Z959" i="7" s="1"/>
  <c r="AD959" i="7"/>
  <c r="S959" i="7"/>
  <c r="L959" i="7"/>
  <c r="AM959" i="7" s="1"/>
  <c r="AF959" i="7" s="1"/>
  <c r="AW958" i="7"/>
  <c r="AV958" i="7"/>
  <c r="AU958" i="7"/>
  <c r="AN958" i="7"/>
  <c r="AL958" i="7"/>
  <c r="AE958" i="7" s="1"/>
  <c r="AD958" i="7"/>
  <c r="S958" i="7"/>
  <c r="L958" i="7"/>
  <c r="AO958" i="7" s="1"/>
  <c r="AW957" i="7"/>
  <c r="AV957" i="7"/>
  <c r="AR957" i="7" s="1"/>
  <c r="AI957" i="7" s="1"/>
  <c r="AU957" i="7"/>
  <c r="AM957" i="7"/>
  <c r="AF957" i="7"/>
  <c r="AE957" i="7"/>
  <c r="AD957" i="7"/>
  <c r="S957" i="7"/>
  <c r="L957" i="7"/>
  <c r="AL957" i="7" s="1"/>
  <c r="AW956" i="7"/>
  <c r="AV956" i="7"/>
  <c r="AU956" i="7"/>
  <c r="AN956" i="7"/>
  <c r="AM956" i="7"/>
  <c r="AF956" i="7" s="1"/>
  <c r="AD956" i="7"/>
  <c r="S956" i="7"/>
  <c r="AP956" i="7" s="1"/>
  <c r="AG956" i="7" s="1"/>
  <c r="L956" i="7"/>
  <c r="AO956" i="7" s="1"/>
  <c r="AW955" i="7"/>
  <c r="AV955" i="7"/>
  <c r="AU955" i="7"/>
  <c r="AO955" i="7" s="1"/>
  <c r="AD955" i="7"/>
  <c r="S955" i="7"/>
  <c r="AP955" i="7" s="1"/>
  <c r="AG955" i="7" s="1"/>
  <c r="L955" i="7"/>
  <c r="AW954" i="7"/>
  <c r="AV954" i="7"/>
  <c r="AP954" i="7" s="1"/>
  <c r="AG954" i="7" s="1"/>
  <c r="AU954" i="7"/>
  <c r="AD954" i="7"/>
  <c r="S954" i="7"/>
  <c r="AR954" i="7" s="1"/>
  <c r="AI954" i="7" s="1"/>
  <c r="L954" i="7"/>
  <c r="AL954" i="7" s="1"/>
  <c r="AE954" i="7" s="1"/>
  <c r="AW953" i="7"/>
  <c r="AV953" i="7"/>
  <c r="AU953" i="7"/>
  <c r="AR953" i="7"/>
  <c r="AI953" i="7" s="1"/>
  <c r="AQ953" i="7"/>
  <c r="AH953" i="7" s="1"/>
  <c r="AM953" i="7"/>
  <c r="AF953" i="7"/>
  <c r="AD953" i="7"/>
  <c r="S953" i="7"/>
  <c r="L953" i="7"/>
  <c r="AL953" i="7" s="1"/>
  <c r="AE953" i="7" s="1"/>
  <c r="AW952" i="7"/>
  <c r="AV952" i="7"/>
  <c r="AU952" i="7"/>
  <c r="AN952" i="7"/>
  <c r="AM952" i="7"/>
  <c r="AF952" i="7" s="1"/>
  <c r="AD952" i="7"/>
  <c r="S952" i="7"/>
  <c r="L952" i="7"/>
  <c r="AO952" i="7" s="1"/>
  <c r="AW951" i="7"/>
  <c r="AV951" i="7"/>
  <c r="AU951" i="7"/>
  <c r="AO951" i="7"/>
  <c r="AN951" i="7"/>
  <c r="AM951" i="7"/>
  <c r="AF951" i="7" s="1"/>
  <c r="AD951" i="7"/>
  <c r="S951" i="7"/>
  <c r="L951" i="7"/>
  <c r="AL951" i="7" s="1"/>
  <c r="AE951" i="7" s="1"/>
  <c r="Y951" i="7" s="1"/>
  <c r="AW950" i="7"/>
  <c r="AV950" i="7"/>
  <c r="AP950" i="7" s="1"/>
  <c r="AG950" i="7" s="1"/>
  <c r="AU950" i="7"/>
  <c r="AQ950" i="7"/>
  <c r="AH950" i="7" s="1"/>
  <c r="AL950" i="7"/>
  <c r="AE950" i="7" s="1"/>
  <c r="AD950" i="7"/>
  <c r="S950" i="7"/>
  <c r="L950" i="7"/>
  <c r="AW949" i="7"/>
  <c r="AV949" i="7"/>
  <c r="AU949" i="7"/>
  <c r="AM949" i="7"/>
  <c r="AF949" i="7" s="1"/>
  <c r="AD949" i="7"/>
  <c r="S949" i="7"/>
  <c r="AP949" i="7" s="1"/>
  <c r="AG949" i="7" s="1"/>
  <c r="L949" i="7"/>
  <c r="AW948" i="7"/>
  <c r="AV948" i="7"/>
  <c r="AU948" i="7"/>
  <c r="AR948" i="7"/>
  <c r="AQ948" i="7"/>
  <c r="AH948" i="7" s="1"/>
  <c r="AN948" i="7"/>
  <c r="AM948" i="7"/>
  <c r="AF948" i="7" s="1"/>
  <c r="AI948" i="7"/>
  <c r="AD948" i="7"/>
  <c r="S948" i="7"/>
  <c r="AP948" i="7" s="1"/>
  <c r="AG948" i="7" s="1"/>
  <c r="L948" i="7"/>
  <c r="AO948" i="7" s="1"/>
  <c r="AW947" i="7"/>
  <c r="AV947" i="7"/>
  <c r="AU947" i="7"/>
  <c r="AO947" i="7" s="1"/>
  <c r="AP947" i="7"/>
  <c r="AG947" i="7" s="1"/>
  <c r="AN947" i="7"/>
  <c r="AM947" i="7"/>
  <c r="AF947" i="7" s="1"/>
  <c r="AD947" i="7"/>
  <c r="S947" i="7"/>
  <c r="L947" i="7"/>
  <c r="AL947" i="7" s="1"/>
  <c r="AE947" i="7" s="1"/>
  <c r="Y947" i="7" s="1"/>
  <c r="AW946" i="7"/>
  <c r="AV946" i="7"/>
  <c r="AP946" i="7" s="1"/>
  <c r="AG946" i="7" s="1"/>
  <c r="AU946" i="7"/>
  <c r="AQ946" i="7"/>
  <c r="AH946" i="7" s="1"/>
  <c r="AL946" i="7"/>
  <c r="AE946" i="7" s="1"/>
  <c r="AD946" i="7"/>
  <c r="S946" i="7"/>
  <c r="L946" i="7"/>
  <c r="AW945" i="7"/>
  <c r="AV945" i="7"/>
  <c r="AU945" i="7"/>
  <c r="AR945" i="7"/>
  <c r="AI945" i="7" s="1"/>
  <c r="AP945" i="7"/>
  <c r="AG945" i="7" s="1"/>
  <c r="AM945" i="7"/>
  <c r="AF945" i="7" s="1"/>
  <c r="AD945" i="7"/>
  <c r="S945" i="7"/>
  <c r="AQ945" i="7" s="1"/>
  <c r="AH945" i="7" s="1"/>
  <c r="L945" i="7"/>
  <c r="AL945" i="7" s="1"/>
  <c r="AE945" i="7" s="1"/>
  <c r="AW944" i="7"/>
  <c r="AV944" i="7"/>
  <c r="AU944" i="7"/>
  <c r="AR944" i="7"/>
  <c r="AI944" i="7" s="1"/>
  <c r="AD944" i="7"/>
  <c r="S944" i="7"/>
  <c r="AP944" i="7" s="1"/>
  <c r="AG944" i="7" s="1"/>
  <c r="L944" i="7"/>
  <c r="AO944" i="7" s="1"/>
  <c r="AW943" i="7"/>
  <c r="AV943" i="7"/>
  <c r="AU943" i="7"/>
  <c r="AO943" i="7" s="1"/>
  <c r="AD943" i="7"/>
  <c r="S943" i="7"/>
  <c r="AP943" i="7" s="1"/>
  <c r="AG943" i="7" s="1"/>
  <c r="L943" i="7"/>
  <c r="AW942" i="7"/>
  <c r="AV942" i="7"/>
  <c r="AQ942" i="7" s="1"/>
  <c r="AH942" i="7" s="1"/>
  <c r="AU942" i="7"/>
  <c r="AD942" i="7"/>
  <c r="S942" i="7"/>
  <c r="AR942" i="7" s="1"/>
  <c r="AI942" i="7" s="1"/>
  <c r="L942" i="7"/>
  <c r="AL942" i="7" s="1"/>
  <c r="AE942" i="7" s="1"/>
  <c r="AW941" i="7"/>
  <c r="AV941" i="7"/>
  <c r="AU941" i="7"/>
  <c r="AM941" i="7"/>
  <c r="AF941" i="7" s="1"/>
  <c r="AD941" i="7"/>
  <c r="S941" i="7"/>
  <c r="AR941" i="7" s="1"/>
  <c r="AI941" i="7" s="1"/>
  <c r="L941" i="7"/>
  <c r="AL941" i="7" s="1"/>
  <c r="AE941" i="7" s="1"/>
  <c r="AW940" i="7"/>
  <c r="AV940" i="7"/>
  <c r="AU940" i="7"/>
  <c r="AQ940" i="7"/>
  <c r="AH940" i="7" s="1"/>
  <c r="AN940" i="7"/>
  <c r="AM940" i="7"/>
  <c r="AF940" i="7" s="1"/>
  <c r="AL940" i="7"/>
  <c r="AE940" i="7" s="1"/>
  <c r="AD940" i="7"/>
  <c r="S940" i="7"/>
  <c r="AP940" i="7" s="1"/>
  <c r="AG940" i="7" s="1"/>
  <c r="L940" i="7"/>
  <c r="AW939" i="7"/>
  <c r="AV939" i="7"/>
  <c r="AQ939" i="7" s="1"/>
  <c r="AH939" i="7" s="1"/>
  <c r="AU939" i="7"/>
  <c r="AM939" i="7" s="1"/>
  <c r="AF939" i="7" s="1"/>
  <c r="AO939" i="7"/>
  <c r="AN939" i="7"/>
  <c r="AD939" i="7"/>
  <c r="S939" i="7"/>
  <c r="AP939" i="7" s="1"/>
  <c r="AG939" i="7" s="1"/>
  <c r="L939" i="7"/>
  <c r="AL939" i="7" s="1"/>
  <c r="AE939" i="7" s="1"/>
  <c r="Y939" i="7" s="1"/>
  <c r="AW938" i="7"/>
  <c r="AV938" i="7"/>
  <c r="AU938" i="7"/>
  <c r="AD938" i="7"/>
  <c r="S938" i="7"/>
  <c r="AR938" i="7" s="1"/>
  <c r="AI938" i="7" s="1"/>
  <c r="L938" i="7"/>
  <c r="AM938" i="7" s="1"/>
  <c r="AF938" i="7" s="1"/>
  <c r="AW937" i="7"/>
  <c r="AV937" i="7"/>
  <c r="AU937" i="7"/>
  <c r="AR937" i="7"/>
  <c r="AI937" i="7" s="1"/>
  <c r="AN937" i="7"/>
  <c r="AM937" i="7"/>
  <c r="AF937" i="7" s="1"/>
  <c r="AL937" i="7"/>
  <c r="AE937" i="7" s="1"/>
  <c r="AD937" i="7"/>
  <c r="S937" i="7"/>
  <c r="AQ937" i="7" s="1"/>
  <c r="AH937" i="7" s="1"/>
  <c r="L937" i="7"/>
  <c r="AO937" i="7" s="1"/>
  <c r="AW936" i="7"/>
  <c r="AV936" i="7"/>
  <c r="AU936" i="7"/>
  <c r="AD936" i="7"/>
  <c r="S936" i="7"/>
  <c r="L936" i="7"/>
  <c r="AN936" i="7" s="1"/>
  <c r="AW935" i="7"/>
  <c r="AV935" i="7"/>
  <c r="AU935" i="7"/>
  <c r="AQ935" i="7"/>
  <c r="AN935" i="7"/>
  <c r="AH935" i="7"/>
  <c r="AF935" i="7"/>
  <c r="AD935" i="7"/>
  <c r="S935" i="7"/>
  <c r="AR935" i="7" s="1"/>
  <c r="AI935" i="7" s="1"/>
  <c r="L935" i="7"/>
  <c r="AM935" i="7" s="1"/>
  <c r="AW934" i="7"/>
  <c r="AV934" i="7"/>
  <c r="AU934" i="7"/>
  <c r="AP934" i="7"/>
  <c r="AG934" i="7" s="1"/>
  <c r="AD934" i="7"/>
  <c r="S934" i="7"/>
  <c r="AR934" i="7" s="1"/>
  <c r="AI934" i="7" s="1"/>
  <c r="L934" i="7"/>
  <c r="AW933" i="7"/>
  <c r="AV933" i="7"/>
  <c r="AU933" i="7"/>
  <c r="AP933" i="7"/>
  <c r="AG933" i="7" s="1"/>
  <c r="AL933" i="7"/>
  <c r="AE933" i="7"/>
  <c r="AD933" i="7"/>
  <c r="S933" i="7"/>
  <c r="AR933" i="7" s="1"/>
  <c r="AI933" i="7" s="1"/>
  <c r="L933" i="7"/>
  <c r="AO933" i="7" s="1"/>
  <c r="AW932" i="7"/>
  <c r="AV932" i="7"/>
  <c r="AU932" i="7"/>
  <c r="AR932" i="7"/>
  <c r="AI932" i="7" s="1"/>
  <c r="AP932" i="7"/>
  <c r="AG932" i="7" s="1"/>
  <c r="AN932" i="7"/>
  <c r="AD932" i="7"/>
  <c r="S932" i="7"/>
  <c r="AQ932" i="7" s="1"/>
  <c r="AH932" i="7" s="1"/>
  <c r="L932" i="7"/>
  <c r="AM932" i="7" s="1"/>
  <c r="AF932" i="7" s="1"/>
  <c r="AW931" i="7"/>
  <c r="AV931" i="7"/>
  <c r="AU931" i="7"/>
  <c r="AL931" i="7"/>
  <c r="AE931" i="7" s="1"/>
  <c r="AD931" i="7"/>
  <c r="S931" i="7"/>
  <c r="AR931" i="7" s="1"/>
  <c r="AI931" i="7" s="1"/>
  <c r="L931" i="7"/>
  <c r="AO931" i="7" s="1"/>
  <c r="AW930" i="7"/>
  <c r="AV930" i="7"/>
  <c r="AU930" i="7"/>
  <c r="AM930" i="7"/>
  <c r="AF930" i="7" s="1"/>
  <c r="AD930" i="7"/>
  <c r="S930" i="7"/>
  <c r="AR930" i="7" s="1"/>
  <c r="AI930" i="7" s="1"/>
  <c r="L930" i="7"/>
  <c r="AW929" i="7"/>
  <c r="AV929" i="7"/>
  <c r="AU929" i="7"/>
  <c r="AN929" i="7" s="1"/>
  <c r="AM929" i="7"/>
  <c r="AF929" i="7" s="1"/>
  <c r="AD929" i="7"/>
  <c r="S929" i="7"/>
  <c r="AR929" i="7" s="1"/>
  <c r="AI929" i="7" s="1"/>
  <c r="L929" i="7"/>
  <c r="AW928" i="7"/>
  <c r="AV928" i="7"/>
  <c r="AP928" i="7" s="1"/>
  <c r="AG928" i="7" s="1"/>
  <c r="AU928" i="7"/>
  <c r="AL928" i="7"/>
  <c r="AE928" i="7" s="1"/>
  <c r="AD928" i="7"/>
  <c r="S928" i="7"/>
  <c r="L928" i="7"/>
  <c r="AO928" i="7" s="1"/>
  <c r="AW927" i="7"/>
  <c r="AV927" i="7"/>
  <c r="AR927" i="7" s="1"/>
  <c r="AU927" i="7"/>
  <c r="AM927" i="7"/>
  <c r="AF927" i="7" s="1"/>
  <c r="AI927" i="7"/>
  <c r="AD927" i="7"/>
  <c r="S927" i="7"/>
  <c r="AQ927" i="7" s="1"/>
  <c r="AH927" i="7" s="1"/>
  <c r="L927" i="7"/>
  <c r="AO927" i="7" s="1"/>
  <c r="AW926" i="7"/>
  <c r="AV926" i="7"/>
  <c r="AP926" i="7" s="1"/>
  <c r="AG926" i="7" s="1"/>
  <c r="AU926" i="7"/>
  <c r="AN926" i="7"/>
  <c r="AL926" i="7"/>
  <c r="AE926" i="7" s="1"/>
  <c r="AD926" i="7"/>
  <c r="S926" i="7"/>
  <c r="AQ926" i="7" s="1"/>
  <c r="AH926" i="7" s="1"/>
  <c r="L926" i="7"/>
  <c r="AO926" i="7" s="1"/>
  <c r="AW925" i="7"/>
  <c r="AV925" i="7"/>
  <c r="AU925" i="7"/>
  <c r="AR925" i="7"/>
  <c r="AI925" i="7" s="1"/>
  <c r="AQ925" i="7"/>
  <c r="AH925" i="7"/>
  <c r="AG925" i="7"/>
  <c r="Z925" i="7" s="1"/>
  <c r="AD925" i="7"/>
  <c r="S925" i="7"/>
  <c r="AP925" i="7" s="1"/>
  <c r="L925" i="7"/>
  <c r="AW924" i="7"/>
  <c r="AV924" i="7"/>
  <c r="AU924" i="7"/>
  <c r="AO924" i="7"/>
  <c r="AM924" i="7"/>
  <c r="AF924" i="7" s="1"/>
  <c r="AL924" i="7"/>
  <c r="AE924" i="7" s="1"/>
  <c r="AD924" i="7"/>
  <c r="S924" i="7"/>
  <c r="L924" i="7"/>
  <c r="AN924" i="7" s="1"/>
  <c r="AW923" i="7"/>
  <c r="AV923" i="7"/>
  <c r="AU923" i="7"/>
  <c r="AD923" i="7"/>
  <c r="S923" i="7"/>
  <c r="AR923" i="7" s="1"/>
  <c r="AI923" i="7" s="1"/>
  <c r="L923" i="7"/>
  <c r="AN923" i="7" s="1"/>
  <c r="AW922" i="7"/>
  <c r="AV922" i="7"/>
  <c r="AU922" i="7"/>
  <c r="AR922" i="7"/>
  <c r="AI922" i="7" s="1"/>
  <c r="AQ922" i="7"/>
  <c r="AH922" i="7" s="1"/>
  <c r="AN922" i="7"/>
  <c r="AM922" i="7"/>
  <c r="AF922" i="7" s="1"/>
  <c r="AD922" i="7"/>
  <c r="S922" i="7"/>
  <c r="AP922" i="7" s="1"/>
  <c r="AG922" i="7" s="1"/>
  <c r="L922" i="7"/>
  <c r="AW921" i="7"/>
  <c r="AV921" i="7"/>
  <c r="AU921" i="7"/>
  <c r="AM921" i="7"/>
  <c r="AL921" i="7"/>
  <c r="AF921" i="7"/>
  <c r="AE921" i="7"/>
  <c r="AD921" i="7"/>
  <c r="S921" i="7"/>
  <c r="L921" i="7"/>
  <c r="AO921" i="7" s="1"/>
  <c r="AW920" i="7"/>
  <c r="AV920" i="7"/>
  <c r="AU920" i="7"/>
  <c r="AD920" i="7"/>
  <c r="S920" i="7"/>
  <c r="L920" i="7"/>
  <c r="AO920" i="7" s="1"/>
  <c r="AW919" i="7"/>
  <c r="AV919" i="7"/>
  <c r="AU919" i="7"/>
  <c r="AO919" i="7"/>
  <c r="AM919" i="7"/>
  <c r="AF919" i="7" s="1"/>
  <c r="AL919" i="7"/>
  <c r="AE919" i="7" s="1"/>
  <c r="AD919" i="7"/>
  <c r="S919" i="7"/>
  <c r="AR919" i="7" s="1"/>
  <c r="AI919" i="7" s="1"/>
  <c r="L919" i="7"/>
  <c r="AN919" i="7" s="1"/>
  <c r="AW918" i="7"/>
  <c r="AV918" i="7"/>
  <c r="AR918" i="7" s="1"/>
  <c r="AI918" i="7" s="1"/>
  <c r="AU918" i="7"/>
  <c r="AN918" i="7"/>
  <c r="AL918" i="7"/>
  <c r="AE918" i="7"/>
  <c r="AD918" i="7"/>
  <c r="S918" i="7"/>
  <c r="AQ918" i="7" s="1"/>
  <c r="AH918" i="7" s="1"/>
  <c r="L918" i="7"/>
  <c r="AO918" i="7" s="1"/>
  <c r="AW917" i="7"/>
  <c r="AV917" i="7"/>
  <c r="AR917" i="7" s="1"/>
  <c r="AI917" i="7" s="1"/>
  <c r="AU917" i="7"/>
  <c r="AL917" i="7"/>
  <c r="AE917" i="7" s="1"/>
  <c r="AD917" i="7"/>
  <c r="S917" i="7"/>
  <c r="L917" i="7"/>
  <c r="AM917" i="7" s="1"/>
  <c r="AF917" i="7" s="1"/>
  <c r="AW916" i="7"/>
  <c r="AV916" i="7"/>
  <c r="AU916" i="7"/>
  <c r="AP916" i="7"/>
  <c r="AG916" i="7" s="1"/>
  <c r="AD916" i="7"/>
  <c r="S916" i="7"/>
  <c r="AR916" i="7" s="1"/>
  <c r="AI916" i="7" s="1"/>
  <c r="L916" i="7"/>
  <c r="AM916" i="7" s="1"/>
  <c r="AF916" i="7" s="1"/>
  <c r="AW915" i="7"/>
  <c r="AV915" i="7"/>
  <c r="AU915" i="7"/>
  <c r="AR915" i="7"/>
  <c r="AI915" i="7" s="1"/>
  <c r="AD915" i="7"/>
  <c r="S915" i="7"/>
  <c r="AQ915" i="7" s="1"/>
  <c r="AH915" i="7" s="1"/>
  <c r="L915" i="7"/>
  <c r="AW914" i="7"/>
  <c r="AV914" i="7"/>
  <c r="AP914" i="7" s="1"/>
  <c r="AG914" i="7" s="1"/>
  <c r="AU914" i="7"/>
  <c r="AR914" i="7"/>
  <c r="AI914" i="7" s="1"/>
  <c r="AD914" i="7"/>
  <c r="S914" i="7"/>
  <c r="L914" i="7"/>
  <c r="AW913" i="7"/>
  <c r="AV913" i="7"/>
  <c r="AU913" i="7"/>
  <c r="AP913" i="7"/>
  <c r="AG913" i="7" s="1"/>
  <c r="AL913" i="7"/>
  <c r="AE913" i="7" s="1"/>
  <c r="AI913" i="7"/>
  <c r="AD913" i="7"/>
  <c r="S913" i="7"/>
  <c r="AR913" i="7" s="1"/>
  <c r="L913" i="7"/>
  <c r="AO913" i="7" s="1"/>
  <c r="AW912" i="7"/>
  <c r="AV912" i="7"/>
  <c r="AU912" i="7"/>
  <c r="AR912" i="7"/>
  <c r="AQ912" i="7"/>
  <c r="AH912" i="7" s="1"/>
  <c r="AP912" i="7"/>
  <c r="AI912" i="7"/>
  <c r="AG912" i="7"/>
  <c r="Z912" i="7" s="1"/>
  <c r="AD912" i="7"/>
  <c r="S912" i="7"/>
  <c r="L912" i="7"/>
  <c r="AW911" i="7"/>
  <c r="AV911" i="7"/>
  <c r="AU911" i="7"/>
  <c r="AR911" i="7"/>
  <c r="AI911" i="7" s="1"/>
  <c r="AP911" i="7"/>
  <c r="AG911" i="7" s="1"/>
  <c r="AD911" i="7"/>
  <c r="S911" i="7"/>
  <c r="AQ911" i="7" s="1"/>
  <c r="AH911" i="7" s="1"/>
  <c r="L911" i="7"/>
  <c r="AW910" i="7"/>
  <c r="AV910" i="7"/>
  <c r="AU910" i="7"/>
  <c r="AR910" i="7"/>
  <c r="AI910" i="7" s="1"/>
  <c r="AD910" i="7"/>
  <c r="S910" i="7"/>
  <c r="AQ910" i="7" s="1"/>
  <c r="AH910" i="7" s="1"/>
  <c r="L910" i="7"/>
  <c r="AW909" i="7"/>
  <c r="AV909" i="7"/>
  <c r="AU909" i="7"/>
  <c r="AN909" i="7" s="1"/>
  <c r="AR909" i="7"/>
  <c r="AI909" i="7" s="1"/>
  <c r="AQ909" i="7"/>
  <c r="AH909" i="7" s="1"/>
  <c r="AL909" i="7"/>
  <c r="AE909" i="7" s="1"/>
  <c r="AD909" i="7"/>
  <c r="S909" i="7"/>
  <c r="AP909" i="7" s="1"/>
  <c r="AG909" i="7" s="1"/>
  <c r="Z909" i="7" s="1"/>
  <c r="L909" i="7"/>
  <c r="AW908" i="7"/>
  <c r="AV908" i="7"/>
  <c r="AU908" i="7"/>
  <c r="AR908" i="7"/>
  <c r="AI908" i="7" s="1"/>
  <c r="Z908" i="7" s="1"/>
  <c r="AQ908" i="7"/>
  <c r="AH908" i="7" s="1"/>
  <c r="AO908" i="7"/>
  <c r="AN908" i="7"/>
  <c r="AL908" i="7"/>
  <c r="AE908" i="7" s="1"/>
  <c r="AF908" i="7"/>
  <c r="AD908" i="7"/>
  <c r="S908" i="7"/>
  <c r="AP908" i="7" s="1"/>
  <c r="AG908" i="7" s="1"/>
  <c r="L908" i="7"/>
  <c r="AM908" i="7" s="1"/>
  <c r="AW907" i="7"/>
  <c r="AV907" i="7"/>
  <c r="AU907" i="7"/>
  <c r="AO907" i="7"/>
  <c r="AM907" i="7"/>
  <c r="AF907" i="7" s="1"/>
  <c r="AD907" i="7"/>
  <c r="S907" i="7"/>
  <c r="AR907" i="7" s="1"/>
  <c r="AI907" i="7" s="1"/>
  <c r="L907" i="7"/>
  <c r="AN907" i="7" s="1"/>
  <c r="AW906" i="7"/>
  <c r="AV906" i="7"/>
  <c r="AU906" i="7"/>
  <c r="AR906" i="7"/>
  <c r="AI906" i="7" s="1"/>
  <c r="AQ906" i="7"/>
  <c r="AP906" i="7"/>
  <c r="AG906" i="7" s="1"/>
  <c r="AL906" i="7"/>
  <c r="AE906" i="7" s="1"/>
  <c r="AH906" i="7"/>
  <c r="AF906" i="7"/>
  <c r="AD906" i="7"/>
  <c r="S906" i="7"/>
  <c r="L906" i="7"/>
  <c r="AM906" i="7" s="1"/>
  <c r="AW905" i="7"/>
  <c r="AV905" i="7"/>
  <c r="AU905" i="7"/>
  <c r="AL905" i="7"/>
  <c r="AE905" i="7" s="1"/>
  <c r="AD905" i="7"/>
  <c r="S905" i="7"/>
  <c r="AP905" i="7" s="1"/>
  <c r="AG905" i="7" s="1"/>
  <c r="L905" i="7"/>
  <c r="AO905" i="7" s="1"/>
  <c r="AW904" i="7"/>
  <c r="AV904" i="7"/>
  <c r="AU904" i="7"/>
  <c r="AM904" i="7"/>
  <c r="AF904" i="7" s="1"/>
  <c r="AD904" i="7"/>
  <c r="S904" i="7"/>
  <c r="AQ904" i="7" s="1"/>
  <c r="AH904" i="7" s="1"/>
  <c r="L904" i="7"/>
  <c r="AO904" i="7" s="1"/>
  <c r="AW903" i="7"/>
  <c r="AV903" i="7"/>
  <c r="AU903" i="7"/>
  <c r="AR903" i="7"/>
  <c r="AI903" i="7" s="1"/>
  <c r="AP903" i="7"/>
  <c r="AG903" i="7" s="1"/>
  <c r="AO903" i="7"/>
  <c r="AN903" i="7"/>
  <c r="AL903" i="7"/>
  <c r="AE903" i="7" s="1"/>
  <c r="Y903" i="7" s="1"/>
  <c r="AF903" i="7"/>
  <c r="AD903" i="7"/>
  <c r="S903" i="7"/>
  <c r="AQ903" i="7" s="1"/>
  <c r="AH903" i="7" s="1"/>
  <c r="Z903" i="7" s="1"/>
  <c r="L903" i="7"/>
  <c r="AM903" i="7" s="1"/>
  <c r="AW902" i="7"/>
  <c r="AV902" i="7"/>
  <c r="AU902" i="7"/>
  <c r="AO902" i="7"/>
  <c r="AN902" i="7"/>
  <c r="AD902" i="7"/>
  <c r="S902" i="7"/>
  <c r="AP902" i="7" s="1"/>
  <c r="AG902" i="7" s="1"/>
  <c r="L902" i="7"/>
  <c r="AM902" i="7" s="1"/>
  <c r="AF902" i="7" s="1"/>
  <c r="AW901" i="7"/>
  <c r="AV901" i="7"/>
  <c r="AU901" i="7"/>
  <c r="AM901" i="7" s="1"/>
  <c r="AF901" i="7" s="1"/>
  <c r="AO901" i="7"/>
  <c r="AN901" i="7"/>
  <c r="AE901" i="7"/>
  <c r="AD901" i="7"/>
  <c r="S901" i="7"/>
  <c r="L901" i="7"/>
  <c r="AL901" i="7" s="1"/>
  <c r="AW900" i="7"/>
  <c r="AV900" i="7"/>
  <c r="AQ900" i="7" s="1"/>
  <c r="AH900" i="7" s="1"/>
  <c r="AU900" i="7"/>
  <c r="AR900" i="7"/>
  <c r="AO900" i="7"/>
  <c r="AI900" i="7"/>
  <c r="AD900" i="7"/>
  <c r="S900" i="7"/>
  <c r="AP900" i="7" s="1"/>
  <c r="AG900" i="7" s="1"/>
  <c r="L900" i="7"/>
  <c r="AL900" i="7" s="1"/>
  <c r="AE900" i="7" s="1"/>
  <c r="AW899" i="7"/>
  <c r="AV899" i="7"/>
  <c r="AQ899" i="7" s="1"/>
  <c r="AH899" i="7" s="1"/>
  <c r="AU899" i="7"/>
  <c r="AO899" i="7" s="1"/>
  <c r="AR899" i="7"/>
  <c r="AI899" i="7" s="1"/>
  <c r="AD899" i="7"/>
  <c r="S899" i="7"/>
  <c r="AP899" i="7" s="1"/>
  <c r="AG899" i="7" s="1"/>
  <c r="Z899" i="7" s="1"/>
  <c r="L899" i="7"/>
  <c r="AW898" i="7"/>
  <c r="AV898" i="7"/>
  <c r="AU898" i="7"/>
  <c r="AM898" i="7"/>
  <c r="AF898" i="7" s="1"/>
  <c r="AD898" i="7"/>
  <c r="S898" i="7"/>
  <c r="AP898" i="7" s="1"/>
  <c r="AG898" i="7" s="1"/>
  <c r="L898" i="7"/>
  <c r="AO898" i="7" s="1"/>
  <c r="AW897" i="7"/>
  <c r="AV897" i="7"/>
  <c r="AU897" i="7"/>
  <c r="AO897" i="7"/>
  <c r="AD897" i="7"/>
  <c r="S897" i="7"/>
  <c r="L897" i="7"/>
  <c r="AW896" i="7"/>
  <c r="AV896" i="7"/>
  <c r="AQ896" i="7" s="1"/>
  <c r="AH896" i="7" s="1"/>
  <c r="AU896" i="7"/>
  <c r="AR896" i="7"/>
  <c r="AI896" i="7" s="1"/>
  <c r="AO896" i="7"/>
  <c r="AL896" i="7"/>
  <c r="AE896" i="7"/>
  <c r="AD896" i="7"/>
  <c r="S896" i="7"/>
  <c r="AP896" i="7" s="1"/>
  <c r="AG896" i="7" s="1"/>
  <c r="L896" i="7"/>
  <c r="AW895" i="7"/>
  <c r="AV895" i="7"/>
  <c r="AU895" i="7"/>
  <c r="AM895" i="7" s="1"/>
  <c r="AF895" i="7" s="1"/>
  <c r="AO895" i="7"/>
  <c r="AN895" i="7"/>
  <c r="AD895" i="7"/>
  <c r="S895" i="7"/>
  <c r="L895" i="7"/>
  <c r="AL895" i="7" s="1"/>
  <c r="AE895" i="7" s="1"/>
  <c r="AW894" i="7"/>
  <c r="AV894" i="7"/>
  <c r="AU894" i="7"/>
  <c r="AP894" i="7"/>
  <c r="AG894" i="7" s="1"/>
  <c r="AO894" i="7"/>
  <c r="AN894" i="7"/>
  <c r="AL894" i="7"/>
  <c r="AE894" i="7" s="1"/>
  <c r="AD894" i="7"/>
  <c r="Y894" i="7"/>
  <c r="S894" i="7"/>
  <c r="L894" i="7"/>
  <c r="AM894" i="7" s="1"/>
  <c r="AF894" i="7" s="1"/>
  <c r="AW893" i="7"/>
  <c r="AV893" i="7"/>
  <c r="AU893" i="7"/>
  <c r="AN893" i="7"/>
  <c r="AD893" i="7"/>
  <c r="S893" i="7"/>
  <c r="AR893" i="7" s="1"/>
  <c r="AI893" i="7" s="1"/>
  <c r="L893" i="7"/>
  <c r="AM893" i="7" s="1"/>
  <c r="AF893" i="7" s="1"/>
  <c r="AW892" i="7"/>
  <c r="AV892" i="7"/>
  <c r="AP892" i="7" s="1"/>
  <c r="AG892" i="7" s="1"/>
  <c r="AU892" i="7"/>
  <c r="AO892" i="7"/>
  <c r="AD892" i="7"/>
  <c r="S892" i="7"/>
  <c r="L892" i="7"/>
  <c r="AN892" i="7" s="1"/>
  <c r="AW891" i="7"/>
  <c r="AV891" i="7"/>
  <c r="AR891" i="7" s="1"/>
  <c r="AI891" i="7" s="1"/>
  <c r="AU891" i="7"/>
  <c r="AQ891" i="7"/>
  <c r="AH891" i="7" s="1"/>
  <c r="AD891" i="7"/>
  <c r="S891" i="7"/>
  <c r="AP891" i="7" s="1"/>
  <c r="AG891" i="7" s="1"/>
  <c r="L891" i="7"/>
  <c r="AW890" i="7"/>
  <c r="AV890" i="7"/>
  <c r="AU890" i="7"/>
  <c r="AO890" i="7"/>
  <c r="Y890" i="7" s="1"/>
  <c r="AN890" i="7"/>
  <c r="AM890" i="7"/>
  <c r="AF890" i="7" s="1"/>
  <c r="AD890" i="7"/>
  <c r="S890" i="7"/>
  <c r="AR890" i="7" s="1"/>
  <c r="AI890" i="7" s="1"/>
  <c r="L890" i="7"/>
  <c r="AL890" i="7" s="1"/>
  <c r="AE890" i="7" s="1"/>
  <c r="AW889" i="7"/>
  <c r="AV889" i="7"/>
  <c r="AU889" i="7"/>
  <c r="AN889" i="7" s="1"/>
  <c r="AD889" i="7"/>
  <c r="S889" i="7"/>
  <c r="AR889" i="7" s="1"/>
  <c r="AI889" i="7" s="1"/>
  <c r="L889" i="7"/>
  <c r="AW888" i="7"/>
  <c r="AV888" i="7"/>
  <c r="AU888" i="7"/>
  <c r="AO888" i="7" s="1"/>
  <c r="AD888" i="7"/>
  <c r="S888" i="7"/>
  <c r="L888" i="7"/>
  <c r="AW887" i="7"/>
  <c r="AV887" i="7"/>
  <c r="AU887" i="7"/>
  <c r="AQ887" i="7"/>
  <c r="AH887" i="7" s="1"/>
  <c r="AN887" i="7"/>
  <c r="AD887" i="7"/>
  <c r="S887" i="7"/>
  <c r="AP887" i="7" s="1"/>
  <c r="AG887" i="7" s="1"/>
  <c r="L887" i="7"/>
  <c r="AO887" i="7" s="1"/>
  <c r="AW886" i="7"/>
  <c r="AV886" i="7"/>
  <c r="AU886" i="7"/>
  <c r="AR886" i="7"/>
  <c r="AI886" i="7" s="1"/>
  <c r="AO886" i="7"/>
  <c r="AN886" i="7"/>
  <c r="AM886" i="7"/>
  <c r="AF886" i="7" s="1"/>
  <c r="AD886" i="7"/>
  <c r="S886" i="7"/>
  <c r="AQ886" i="7" s="1"/>
  <c r="AH886" i="7" s="1"/>
  <c r="L886" i="7"/>
  <c r="AL886" i="7" s="1"/>
  <c r="AE886" i="7" s="1"/>
  <c r="AW885" i="7"/>
  <c r="AV885" i="7"/>
  <c r="AU885" i="7"/>
  <c r="AN885" i="7"/>
  <c r="AD885" i="7"/>
  <c r="S885" i="7"/>
  <c r="AR885" i="7" s="1"/>
  <c r="AI885" i="7" s="1"/>
  <c r="L885" i="7"/>
  <c r="AW884" i="7"/>
  <c r="AV884" i="7"/>
  <c r="AU884" i="7"/>
  <c r="AO884" i="7" s="1"/>
  <c r="AD884" i="7"/>
  <c r="S884" i="7"/>
  <c r="L884" i="7"/>
  <c r="AW883" i="7"/>
  <c r="AV883" i="7"/>
  <c r="AU883" i="7"/>
  <c r="AO883" i="7"/>
  <c r="AD883" i="7"/>
  <c r="S883" i="7"/>
  <c r="AP883" i="7" s="1"/>
  <c r="AG883" i="7" s="1"/>
  <c r="L883" i="7"/>
  <c r="AN883" i="7" s="1"/>
  <c r="AW882" i="7"/>
  <c r="AV882" i="7"/>
  <c r="AU882" i="7"/>
  <c r="AN882" i="7" s="1"/>
  <c r="AQ882" i="7"/>
  <c r="AH882" i="7" s="1"/>
  <c r="AO882" i="7"/>
  <c r="AE882" i="7"/>
  <c r="AD882" i="7"/>
  <c r="S882" i="7"/>
  <c r="AP882" i="7" s="1"/>
  <c r="AG882" i="7" s="1"/>
  <c r="L882" i="7"/>
  <c r="AL882" i="7" s="1"/>
  <c r="AW881" i="7"/>
  <c r="AV881" i="7"/>
  <c r="AU881" i="7"/>
  <c r="AQ881" i="7"/>
  <c r="AH881" i="7" s="1"/>
  <c r="AM881" i="7"/>
  <c r="AL881" i="7"/>
  <c r="AE881" i="7" s="1"/>
  <c r="AF881" i="7"/>
  <c r="AD881" i="7"/>
  <c r="S881" i="7"/>
  <c r="L881" i="7"/>
  <c r="AO881" i="7" s="1"/>
  <c r="AW880" i="7"/>
  <c r="AV880" i="7"/>
  <c r="AU880" i="7"/>
  <c r="AR880" i="7"/>
  <c r="AI880" i="7" s="1"/>
  <c r="AM880" i="7"/>
  <c r="AF880" i="7" s="1"/>
  <c r="AD880" i="7"/>
  <c r="S880" i="7"/>
  <c r="AQ880" i="7" s="1"/>
  <c r="AH880" i="7" s="1"/>
  <c r="L880" i="7"/>
  <c r="AW879" i="7"/>
  <c r="AV879" i="7"/>
  <c r="AR879" i="7" s="1"/>
  <c r="AI879" i="7" s="1"/>
  <c r="AU879" i="7"/>
  <c r="AL879" i="7"/>
  <c r="AE879" i="7" s="1"/>
  <c r="AD879" i="7"/>
  <c r="S879" i="7"/>
  <c r="L879" i="7"/>
  <c r="AO879" i="7" s="1"/>
  <c r="AW878" i="7"/>
  <c r="AV878" i="7"/>
  <c r="AU878" i="7"/>
  <c r="AM878" i="7" s="1"/>
  <c r="AF878" i="7" s="1"/>
  <c r="AR878" i="7"/>
  <c r="AI878" i="7" s="1"/>
  <c r="AN878" i="7"/>
  <c r="AD878" i="7"/>
  <c r="S878" i="7"/>
  <c r="AQ878" i="7" s="1"/>
  <c r="AH878" i="7" s="1"/>
  <c r="L878" i="7"/>
  <c r="AW877" i="7"/>
  <c r="AV877" i="7"/>
  <c r="AQ877" i="7" s="1"/>
  <c r="AH877" i="7" s="1"/>
  <c r="AU877" i="7"/>
  <c r="AD877" i="7"/>
  <c r="S877" i="7"/>
  <c r="L877" i="7"/>
  <c r="AO877" i="7" s="1"/>
  <c r="AW876" i="7"/>
  <c r="AV876" i="7"/>
  <c r="AU876" i="7"/>
  <c r="AO876" i="7"/>
  <c r="AD876" i="7"/>
  <c r="S876" i="7"/>
  <c r="AR876" i="7" s="1"/>
  <c r="AI876" i="7" s="1"/>
  <c r="L876" i="7"/>
  <c r="AW875" i="7"/>
  <c r="AV875" i="7"/>
  <c r="AU875" i="7"/>
  <c r="AQ875" i="7"/>
  <c r="AH875" i="7" s="1"/>
  <c r="AD875" i="7"/>
  <c r="S875" i="7"/>
  <c r="AR875" i="7" s="1"/>
  <c r="AI875" i="7" s="1"/>
  <c r="L875" i="7"/>
  <c r="AO875" i="7" s="1"/>
  <c r="AW874" i="7"/>
  <c r="AV874" i="7"/>
  <c r="AU874" i="7"/>
  <c r="AQ874" i="7"/>
  <c r="AH874" i="7" s="1"/>
  <c r="AO874" i="7"/>
  <c r="AD874" i="7"/>
  <c r="S874" i="7"/>
  <c r="AP874" i="7" s="1"/>
  <c r="AG874" i="7" s="1"/>
  <c r="L874" i="7"/>
  <c r="AN874" i="7" s="1"/>
  <c r="AW873" i="7"/>
  <c r="AV873" i="7"/>
  <c r="AU873" i="7"/>
  <c r="AM873" i="7"/>
  <c r="AF873" i="7" s="1"/>
  <c r="AD873" i="7"/>
  <c r="S873" i="7"/>
  <c r="AR873" i="7" s="1"/>
  <c r="AI873" i="7" s="1"/>
  <c r="L873" i="7"/>
  <c r="AO873" i="7" s="1"/>
  <c r="AW872" i="7"/>
  <c r="AV872" i="7"/>
  <c r="AU872" i="7"/>
  <c r="AQ872" i="7"/>
  <c r="AH872" i="7" s="1"/>
  <c r="AD872" i="7"/>
  <c r="S872" i="7"/>
  <c r="AR872" i="7" s="1"/>
  <c r="AI872" i="7" s="1"/>
  <c r="L872" i="7"/>
  <c r="AM872" i="7" s="1"/>
  <c r="AF872" i="7" s="1"/>
  <c r="AW871" i="7"/>
  <c r="AV871" i="7"/>
  <c r="AU871" i="7"/>
  <c r="AR871" i="7"/>
  <c r="AI871" i="7" s="1"/>
  <c r="AQ871" i="7"/>
  <c r="AH871" i="7" s="1"/>
  <c r="AP871" i="7"/>
  <c r="AG871" i="7" s="1"/>
  <c r="AL871" i="7"/>
  <c r="AE871" i="7" s="1"/>
  <c r="AD871" i="7"/>
  <c r="S871" i="7"/>
  <c r="L871" i="7"/>
  <c r="AO871" i="7" s="1"/>
  <c r="AW870" i="7"/>
  <c r="AV870" i="7"/>
  <c r="AU870" i="7"/>
  <c r="AO870" i="7" s="1"/>
  <c r="AL870" i="7"/>
  <c r="AE870" i="7" s="1"/>
  <c r="AD870" i="7"/>
  <c r="S870" i="7"/>
  <c r="AR870" i="7" s="1"/>
  <c r="AI870" i="7" s="1"/>
  <c r="L870" i="7"/>
  <c r="AN870" i="7" s="1"/>
  <c r="AW869" i="7"/>
  <c r="AV869" i="7"/>
  <c r="AU869" i="7"/>
  <c r="AQ869" i="7"/>
  <c r="AH869" i="7" s="1"/>
  <c r="AN869" i="7"/>
  <c r="AD869" i="7"/>
  <c r="S869" i="7"/>
  <c r="AP869" i="7" s="1"/>
  <c r="AG869" i="7" s="1"/>
  <c r="L869" i="7"/>
  <c r="AL869" i="7" s="1"/>
  <c r="AE869" i="7" s="1"/>
  <c r="AW868" i="7"/>
  <c r="AV868" i="7"/>
  <c r="AU868" i="7"/>
  <c r="AR868" i="7"/>
  <c r="AI868" i="7" s="1"/>
  <c r="AQ868" i="7"/>
  <c r="AH868" i="7" s="1"/>
  <c r="Z868" i="7" s="1"/>
  <c r="AP868" i="7"/>
  <c r="AG868" i="7" s="1"/>
  <c r="AO868" i="7"/>
  <c r="AD868" i="7"/>
  <c r="S868" i="7"/>
  <c r="L868" i="7"/>
  <c r="AN868" i="7" s="1"/>
  <c r="AW867" i="7"/>
  <c r="AV867" i="7"/>
  <c r="AU867" i="7"/>
  <c r="AO867" i="7"/>
  <c r="AL867" i="7"/>
  <c r="AE867" i="7" s="1"/>
  <c r="AD867" i="7"/>
  <c r="S867" i="7"/>
  <c r="AR867" i="7" s="1"/>
  <c r="AI867" i="7" s="1"/>
  <c r="L867" i="7"/>
  <c r="AN867" i="7" s="1"/>
  <c r="AW866" i="7"/>
  <c r="AV866" i="7"/>
  <c r="AU866" i="7"/>
  <c r="AN866" i="7"/>
  <c r="AD866" i="7"/>
  <c r="S866" i="7"/>
  <c r="L866" i="7"/>
  <c r="AO866" i="7" s="1"/>
  <c r="AW865" i="7"/>
  <c r="AV865" i="7"/>
  <c r="AU865" i="7"/>
  <c r="AQ865" i="7"/>
  <c r="AN865" i="7"/>
  <c r="AL865" i="7"/>
  <c r="AE865" i="7" s="1"/>
  <c r="AH865" i="7"/>
  <c r="AD865" i="7"/>
  <c r="S865" i="7"/>
  <c r="AR865" i="7" s="1"/>
  <c r="AI865" i="7" s="1"/>
  <c r="L865" i="7"/>
  <c r="AO865" i="7" s="1"/>
  <c r="AW864" i="7"/>
  <c r="AV864" i="7"/>
  <c r="AU864" i="7"/>
  <c r="AD864" i="7"/>
  <c r="S864" i="7"/>
  <c r="AR864" i="7" s="1"/>
  <c r="AI864" i="7" s="1"/>
  <c r="L864" i="7"/>
  <c r="AO864" i="7" s="1"/>
  <c r="AW863" i="7"/>
  <c r="AV863" i="7"/>
  <c r="AU863" i="7"/>
  <c r="AN863" i="7"/>
  <c r="AD863" i="7"/>
  <c r="S863" i="7"/>
  <c r="L863" i="7"/>
  <c r="AO863" i="7" s="1"/>
  <c r="AW862" i="7"/>
  <c r="AV862" i="7"/>
  <c r="AU862" i="7"/>
  <c r="AO862" i="7"/>
  <c r="AN862" i="7"/>
  <c r="AD862" i="7"/>
  <c r="S862" i="7"/>
  <c r="AP862" i="7" s="1"/>
  <c r="AG862" i="7" s="1"/>
  <c r="L862" i="7"/>
  <c r="AM862" i="7" s="1"/>
  <c r="AF862" i="7" s="1"/>
  <c r="AW861" i="7"/>
  <c r="AV861" i="7"/>
  <c r="AU861" i="7"/>
  <c r="AR861" i="7"/>
  <c r="AI861" i="7"/>
  <c r="AD861" i="7"/>
  <c r="S861" i="7"/>
  <c r="AQ861" i="7" s="1"/>
  <c r="AH861" i="7" s="1"/>
  <c r="L861" i="7"/>
  <c r="AW860" i="7"/>
  <c r="AV860" i="7"/>
  <c r="AR860" i="7" s="1"/>
  <c r="AI860" i="7" s="1"/>
  <c r="AU860" i="7"/>
  <c r="AO860" i="7" s="1"/>
  <c r="AG860" i="7"/>
  <c r="AD860" i="7"/>
  <c r="S860" i="7"/>
  <c r="AP860" i="7" s="1"/>
  <c r="L860" i="7"/>
  <c r="AW859" i="7"/>
  <c r="AV859" i="7"/>
  <c r="AU859" i="7"/>
  <c r="AO859" i="7"/>
  <c r="AN859" i="7"/>
  <c r="AD859" i="7"/>
  <c r="S859" i="7"/>
  <c r="L859" i="7"/>
  <c r="AM859" i="7" s="1"/>
  <c r="AF859" i="7" s="1"/>
  <c r="AW858" i="7"/>
  <c r="AV858" i="7"/>
  <c r="AU858" i="7"/>
  <c r="AR858" i="7"/>
  <c r="AI858" i="7" s="1"/>
  <c r="AQ858" i="7"/>
  <c r="AH858" i="7"/>
  <c r="AD858" i="7"/>
  <c r="S858" i="7"/>
  <c r="AP858" i="7" s="1"/>
  <c r="AG858" i="7" s="1"/>
  <c r="L858" i="7"/>
  <c r="AW857" i="7"/>
  <c r="AV857" i="7"/>
  <c r="AU857" i="7"/>
  <c r="AN857" i="7" s="1"/>
  <c r="AL857" i="7"/>
  <c r="AE857" i="7" s="1"/>
  <c r="AD857" i="7"/>
  <c r="S857" i="7"/>
  <c r="L857" i="7"/>
  <c r="AW856" i="7"/>
  <c r="AV856" i="7"/>
  <c r="AU856" i="7"/>
  <c r="AR856" i="7"/>
  <c r="AI856" i="7" s="1"/>
  <c r="AD856" i="7"/>
  <c r="S856" i="7"/>
  <c r="L856" i="7"/>
  <c r="AL856" i="7" s="1"/>
  <c r="AE856" i="7" s="1"/>
  <c r="AW855" i="7"/>
  <c r="AV855" i="7"/>
  <c r="AU855" i="7"/>
  <c r="AR855" i="7"/>
  <c r="AI855" i="7" s="1"/>
  <c r="AQ855" i="7"/>
  <c r="AM855" i="7"/>
  <c r="AF855" i="7" s="1"/>
  <c r="AH855" i="7"/>
  <c r="AD855" i="7"/>
  <c r="S855" i="7"/>
  <c r="AP855" i="7" s="1"/>
  <c r="AG855" i="7" s="1"/>
  <c r="L855" i="7"/>
  <c r="AW854" i="7"/>
  <c r="AV854" i="7"/>
  <c r="AU854" i="7"/>
  <c r="AR854" i="7"/>
  <c r="AI854" i="7" s="1"/>
  <c r="AN854" i="7"/>
  <c r="AL854" i="7"/>
  <c r="AE854" i="7" s="1"/>
  <c r="AD854" i="7"/>
  <c r="S854" i="7"/>
  <c r="L854" i="7"/>
  <c r="AM854" i="7" s="1"/>
  <c r="AF854" i="7" s="1"/>
  <c r="AW853" i="7"/>
  <c r="AV853" i="7"/>
  <c r="AU853" i="7"/>
  <c r="AR853" i="7"/>
  <c r="AI853" i="7" s="1"/>
  <c r="AN853" i="7"/>
  <c r="AM853" i="7"/>
  <c r="AF853" i="7"/>
  <c r="AD853" i="7"/>
  <c r="S853" i="7"/>
  <c r="L853" i="7"/>
  <c r="AO853" i="7" s="1"/>
  <c r="AW852" i="7"/>
  <c r="AV852" i="7"/>
  <c r="AU852" i="7"/>
  <c r="AM852" i="7"/>
  <c r="AF852" i="7" s="1"/>
  <c r="AD852" i="7"/>
  <c r="S852" i="7"/>
  <c r="L852" i="7"/>
  <c r="AO852" i="7" s="1"/>
  <c r="AW851" i="7"/>
  <c r="AV851" i="7"/>
  <c r="AU851" i="7"/>
  <c r="AP851" i="7"/>
  <c r="AG851" i="7" s="1"/>
  <c r="AE851" i="7"/>
  <c r="AD851" i="7"/>
  <c r="S851" i="7"/>
  <c r="AR851" i="7" s="1"/>
  <c r="AI851" i="7" s="1"/>
  <c r="L851" i="7"/>
  <c r="AL851" i="7" s="1"/>
  <c r="AW850" i="7"/>
  <c r="AV850" i="7"/>
  <c r="AU850" i="7"/>
  <c r="AR850" i="7"/>
  <c r="AI850" i="7" s="1"/>
  <c r="AQ850" i="7"/>
  <c r="AH850" i="7" s="1"/>
  <c r="AP850" i="7"/>
  <c r="AG850" i="7" s="1"/>
  <c r="Z850" i="7" s="1"/>
  <c r="AL850" i="7"/>
  <c r="AE850" i="7" s="1"/>
  <c r="AD850" i="7"/>
  <c r="S850" i="7"/>
  <c r="L850" i="7"/>
  <c r="AW849" i="7"/>
  <c r="AV849" i="7"/>
  <c r="AU849" i="7"/>
  <c r="AD849" i="7"/>
  <c r="S849" i="7"/>
  <c r="AQ849" i="7" s="1"/>
  <c r="AH849" i="7" s="1"/>
  <c r="L849" i="7"/>
  <c r="AO849" i="7" s="1"/>
  <c r="AW848" i="7"/>
  <c r="AV848" i="7"/>
  <c r="AU848" i="7"/>
  <c r="AR848" i="7"/>
  <c r="AI848" i="7" s="1"/>
  <c r="AM848" i="7"/>
  <c r="AF848" i="7" s="1"/>
  <c r="AD848" i="7"/>
  <c r="S848" i="7"/>
  <c r="L848" i="7"/>
  <c r="AO848" i="7" s="1"/>
  <c r="AW847" i="7"/>
  <c r="AV847" i="7"/>
  <c r="AU847" i="7"/>
  <c r="AO847" i="7" s="1"/>
  <c r="AN847" i="7"/>
  <c r="AM847" i="7"/>
  <c r="AF847" i="7" s="1"/>
  <c r="AD847" i="7"/>
  <c r="S847" i="7"/>
  <c r="AP847" i="7" s="1"/>
  <c r="AG847" i="7" s="1"/>
  <c r="L847" i="7"/>
  <c r="AL847" i="7" s="1"/>
  <c r="AE847" i="7" s="1"/>
  <c r="AW846" i="7"/>
  <c r="AV846" i="7"/>
  <c r="AU846" i="7"/>
  <c r="AR846" i="7"/>
  <c r="AI846" i="7" s="1"/>
  <c r="AQ846" i="7"/>
  <c r="AH846" i="7" s="1"/>
  <c r="AP846" i="7"/>
  <c r="AG846" i="7" s="1"/>
  <c r="AD846" i="7"/>
  <c r="S846" i="7"/>
  <c r="L846" i="7"/>
  <c r="AL846" i="7" s="1"/>
  <c r="AE846" i="7" s="1"/>
  <c r="AW845" i="7"/>
  <c r="AV845" i="7"/>
  <c r="AU845" i="7"/>
  <c r="AD845" i="7"/>
  <c r="S845" i="7"/>
  <c r="AR845" i="7" s="1"/>
  <c r="AI845" i="7" s="1"/>
  <c r="L845" i="7"/>
  <c r="AO845" i="7" s="1"/>
  <c r="AW844" i="7"/>
  <c r="AV844" i="7"/>
  <c r="AU844" i="7"/>
  <c r="AD844" i="7"/>
  <c r="S844" i="7"/>
  <c r="AP844" i="7" s="1"/>
  <c r="AG844" i="7" s="1"/>
  <c r="L844" i="7"/>
  <c r="AM844" i="7" s="1"/>
  <c r="AF844" i="7" s="1"/>
  <c r="AW843" i="7"/>
  <c r="AV843" i="7"/>
  <c r="AU843" i="7"/>
  <c r="AO843" i="7" s="1"/>
  <c r="AN843" i="7"/>
  <c r="AD843" i="7"/>
  <c r="S843" i="7"/>
  <c r="AP843" i="7" s="1"/>
  <c r="AG843" i="7" s="1"/>
  <c r="L843" i="7"/>
  <c r="AL843" i="7" s="1"/>
  <c r="AE843" i="7" s="1"/>
  <c r="AW842" i="7"/>
  <c r="AV842" i="7"/>
  <c r="AU842" i="7"/>
  <c r="AR842" i="7"/>
  <c r="AQ842" i="7"/>
  <c r="AH842" i="7" s="1"/>
  <c r="AP842" i="7"/>
  <c r="AG842" i="7" s="1"/>
  <c r="AI842" i="7"/>
  <c r="Z842" i="7" s="1"/>
  <c r="AD842" i="7"/>
  <c r="S842" i="7"/>
  <c r="L842" i="7"/>
  <c r="AL842" i="7" s="1"/>
  <c r="AE842" i="7" s="1"/>
  <c r="AW841" i="7"/>
  <c r="AV841" i="7"/>
  <c r="AU841" i="7"/>
  <c r="AI841" i="7"/>
  <c r="AD841" i="7"/>
  <c r="S841" i="7"/>
  <c r="AR841" i="7" s="1"/>
  <c r="L841" i="7"/>
  <c r="AN841" i="7" s="1"/>
  <c r="AW840" i="7"/>
  <c r="AV840" i="7"/>
  <c r="AU840" i="7"/>
  <c r="AM840" i="7"/>
  <c r="AF840" i="7" s="1"/>
  <c r="AD840" i="7"/>
  <c r="S840" i="7"/>
  <c r="AP840" i="7" s="1"/>
  <c r="AG840" i="7" s="1"/>
  <c r="L840" i="7"/>
  <c r="AW839" i="7"/>
  <c r="AV839" i="7"/>
  <c r="AU839" i="7"/>
  <c r="AN839" i="7" s="1"/>
  <c r="AP839" i="7"/>
  <c r="AG839" i="7" s="1"/>
  <c r="AM839" i="7"/>
  <c r="AF839" i="7"/>
  <c r="AD839" i="7"/>
  <c r="S839" i="7"/>
  <c r="AR839" i="7" s="1"/>
  <c r="AI839" i="7" s="1"/>
  <c r="L839" i="7"/>
  <c r="AO839" i="7" s="1"/>
  <c r="AW838" i="7"/>
  <c r="AV838" i="7"/>
  <c r="AU838" i="7"/>
  <c r="AQ838" i="7"/>
  <c r="AH838" i="7" s="1"/>
  <c r="AP838" i="7"/>
  <c r="AG838" i="7" s="1"/>
  <c r="AM838" i="7"/>
  <c r="AF838" i="7" s="1"/>
  <c r="AL838" i="7"/>
  <c r="AE838" i="7" s="1"/>
  <c r="AD838" i="7"/>
  <c r="S838" i="7"/>
  <c r="AR838" i="7" s="1"/>
  <c r="AI838" i="7" s="1"/>
  <c r="Z838" i="7" s="1"/>
  <c r="L838" i="7"/>
  <c r="AW837" i="7"/>
  <c r="AV837" i="7"/>
  <c r="AU837" i="7"/>
  <c r="AD837" i="7"/>
  <c r="S837" i="7"/>
  <c r="L837" i="7"/>
  <c r="AW836" i="7"/>
  <c r="AV836" i="7"/>
  <c r="AU836" i="7"/>
  <c r="AM836" i="7" s="1"/>
  <c r="AF836" i="7" s="1"/>
  <c r="AL836" i="7"/>
  <c r="AE836" i="7" s="1"/>
  <c r="AD836" i="7"/>
  <c r="S836" i="7"/>
  <c r="L836" i="7"/>
  <c r="AW835" i="7"/>
  <c r="AV835" i="7"/>
  <c r="AU835" i="7"/>
  <c r="AN835" i="7" s="1"/>
  <c r="AQ835" i="7"/>
  <c r="AH835" i="7" s="1"/>
  <c r="AD835" i="7"/>
  <c r="S835" i="7"/>
  <c r="AP835" i="7" s="1"/>
  <c r="AG835" i="7" s="1"/>
  <c r="L835" i="7"/>
  <c r="AW834" i="7"/>
  <c r="AV834" i="7"/>
  <c r="AU834" i="7"/>
  <c r="AD834" i="7"/>
  <c r="S834" i="7"/>
  <c r="AR834" i="7" s="1"/>
  <c r="AI834" i="7" s="1"/>
  <c r="L834" i="7"/>
  <c r="AM834" i="7" s="1"/>
  <c r="AF834" i="7" s="1"/>
  <c r="AW833" i="7"/>
  <c r="AV833" i="7"/>
  <c r="AU833" i="7"/>
  <c r="AQ833" i="7"/>
  <c r="AP833" i="7"/>
  <c r="AG833" i="7" s="1"/>
  <c r="AH833" i="7"/>
  <c r="Z833" i="7" s="1"/>
  <c r="AD833" i="7"/>
  <c r="S833" i="7"/>
  <c r="AR833" i="7" s="1"/>
  <c r="AI833" i="7" s="1"/>
  <c r="L833" i="7"/>
  <c r="AO833" i="7" s="1"/>
  <c r="AW832" i="7"/>
  <c r="AV832" i="7"/>
  <c r="AU832" i="7"/>
  <c r="AL832" i="7"/>
  <c r="AE832" i="7" s="1"/>
  <c r="AD832" i="7"/>
  <c r="S832" i="7"/>
  <c r="AR832" i="7" s="1"/>
  <c r="AI832" i="7" s="1"/>
  <c r="L832" i="7"/>
  <c r="AM832" i="7" s="1"/>
  <c r="AF832" i="7" s="1"/>
  <c r="AW831" i="7"/>
  <c r="AV831" i="7"/>
  <c r="AU831" i="7"/>
  <c r="AQ831" i="7"/>
  <c r="AH831" i="7" s="1"/>
  <c r="AN831" i="7"/>
  <c r="AM831" i="7"/>
  <c r="AF831" i="7"/>
  <c r="AD831" i="7"/>
  <c r="S831" i="7"/>
  <c r="AP831" i="7" s="1"/>
  <c r="AG831" i="7" s="1"/>
  <c r="L831" i="7"/>
  <c r="AO831" i="7" s="1"/>
  <c r="AW830" i="7"/>
  <c r="AV830" i="7"/>
  <c r="AU830" i="7"/>
  <c r="AQ830" i="7"/>
  <c r="AH830" i="7" s="1"/>
  <c r="AP830" i="7"/>
  <c r="AG830" i="7" s="1"/>
  <c r="AN830" i="7"/>
  <c r="AL830" i="7"/>
  <c r="AE830" i="7" s="1"/>
  <c r="AD830" i="7"/>
  <c r="S830" i="7"/>
  <c r="AR830" i="7" s="1"/>
  <c r="AI830" i="7" s="1"/>
  <c r="Z830" i="7" s="1"/>
  <c r="L830" i="7"/>
  <c r="AO830" i="7" s="1"/>
  <c r="AW829" i="7"/>
  <c r="AV829" i="7"/>
  <c r="AU829" i="7"/>
  <c r="AN829" i="7" s="1"/>
  <c r="AD829" i="7"/>
  <c r="S829" i="7"/>
  <c r="AQ829" i="7" s="1"/>
  <c r="AH829" i="7" s="1"/>
  <c r="L829" i="7"/>
  <c r="AM829" i="7" s="1"/>
  <c r="AF829" i="7" s="1"/>
  <c r="AW828" i="7"/>
  <c r="AV828" i="7"/>
  <c r="AU828" i="7"/>
  <c r="AL828" i="7"/>
  <c r="AE828" i="7" s="1"/>
  <c r="AD828" i="7"/>
  <c r="S828" i="7"/>
  <c r="AR828" i="7" s="1"/>
  <c r="AI828" i="7" s="1"/>
  <c r="L828" i="7"/>
  <c r="AM828" i="7" s="1"/>
  <c r="AF828" i="7" s="1"/>
  <c r="AW827" i="7"/>
  <c r="AV827" i="7"/>
  <c r="AU827" i="7"/>
  <c r="AN827" i="7"/>
  <c r="AM827" i="7"/>
  <c r="AF827" i="7" s="1"/>
  <c r="AL827" i="7"/>
  <c r="AE827" i="7" s="1"/>
  <c r="AD827" i="7"/>
  <c r="S827" i="7"/>
  <c r="L827" i="7"/>
  <c r="AW826" i="7"/>
  <c r="AV826" i="7"/>
  <c r="AU826" i="7"/>
  <c r="AM826" i="7"/>
  <c r="AF826" i="7" s="1"/>
  <c r="AD826" i="7"/>
  <c r="S826" i="7"/>
  <c r="AR826" i="7" s="1"/>
  <c r="AI826" i="7" s="1"/>
  <c r="L826" i="7"/>
  <c r="AN826" i="7" s="1"/>
  <c r="AW825" i="7"/>
  <c r="AV825" i="7"/>
  <c r="AU825" i="7"/>
  <c r="AM825" i="7"/>
  <c r="AF825" i="7" s="1"/>
  <c r="AD825" i="7"/>
  <c r="S825" i="7"/>
  <c r="AR825" i="7" s="1"/>
  <c r="AI825" i="7" s="1"/>
  <c r="L825" i="7"/>
  <c r="AN825" i="7" s="1"/>
  <c r="AW824" i="7"/>
  <c r="AV824" i="7"/>
  <c r="AU824" i="7"/>
  <c r="AQ824" i="7"/>
  <c r="AP824" i="7"/>
  <c r="AG824" i="7" s="1"/>
  <c r="AH824" i="7"/>
  <c r="AD824" i="7"/>
  <c r="Z824" i="7"/>
  <c r="S824" i="7"/>
  <c r="AR824" i="7" s="1"/>
  <c r="AI824" i="7" s="1"/>
  <c r="L824" i="7"/>
  <c r="AL824" i="7" s="1"/>
  <c r="AE824" i="7" s="1"/>
  <c r="AW823" i="7"/>
  <c r="AV823" i="7"/>
  <c r="AP823" i="7" s="1"/>
  <c r="AG823" i="7" s="1"/>
  <c r="AU823" i="7"/>
  <c r="AD823" i="7"/>
  <c r="S823" i="7"/>
  <c r="AR823" i="7" s="1"/>
  <c r="AI823" i="7" s="1"/>
  <c r="L823" i="7"/>
  <c r="AN823" i="7" s="1"/>
  <c r="AW822" i="7"/>
  <c r="AV822" i="7"/>
  <c r="AU822" i="7"/>
  <c r="AM822" i="7" s="1"/>
  <c r="AF822" i="7" s="1"/>
  <c r="AP822" i="7"/>
  <c r="AG822" i="7" s="1"/>
  <c r="AL822" i="7"/>
  <c r="AE822" i="7" s="1"/>
  <c r="AD822" i="7"/>
  <c r="S822" i="7"/>
  <c r="AR822" i="7" s="1"/>
  <c r="AI822" i="7" s="1"/>
  <c r="L822" i="7"/>
  <c r="AW821" i="7"/>
  <c r="AV821" i="7"/>
  <c r="AU821" i="7"/>
  <c r="AQ821" i="7"/>
  <c r="AH821" i="7" s="1"/>
  <c r="AP821" i="7"/>
  <c r="AG821" i="7" s="1"/>
  <c r="AD821" i="7"/>
  <c r="S821" i="7"/>
  <c r="AR821" i="7" s="1"/>
  <c r="AI821" i="7" s="1"/>
  <c r="L821" i="7"/>
  <c r="AO821" i="7" s="1"/>
  <c r="AW820" i="7"/>
  <c r="AV820" i="7"/>
  <c r="AU820" i="7"/>
  <c r="AD820" i="7"/>
  <c r="S820" i="7"/>
  <c r="AR820" i="7" s="1"/>
  <c r="AI820" i="7" s="1"/>
  <c r="L820" i="7"/>
  <c r="AN820" i="7" s="1"/>
  <c r="AW819" i="7"/>
  <c r="AV819" i="7"/>
  <c r="AU819" i="7"/>
  <c r="AR819" i="7"/>
  <c r="AI819" i="7" s="1"/>
  <c r="AN819" i="7"/>
  <c r="AM819" i="7"/>
  <c r="AF819" i="7" s="1"/>
  <c r="AL819" i="7"/>
  <c r="AE819" i="7" s="1"/>
  <c r="AD819" i="7"/>
  <c r="S819" i="7"/>
  <c r="L819" i="7"/>
  <c r="AW818" i="7"/>
  <c r="AV818" i="7"/>
  <c r="AU818" i="7"/>
  <c r="AM818" i="7"/>
  <c r="AF818" i="7" s="1"/>
  <c r="AD818" i="7"/>
  <c r="S818" i="7"/>
  <c r="AR818" i="7" s="1"/>
  <c r="AI818" i="7" s="1"/>
  <c r="L818" i="7"/>
  <c r="AN818" i="7" s="1"/>
  <c r="AW817" i="7"/>
  <c r="AV817" i="7"/>
  <c r="AU817" i="7"/>
  <c r="AM817" i="7"/>
  <c r="AF817" i="7" s="1"/>
  <c r="AD817" i="7"/>
  <c r="S817" i="7"/>
  <c r="AR817" i="7" s="1"/>
  <c r="AI817" i="7" s="1"/>
  <c r="L817" i="7"/>
  <c r="AN817" i="7" s="1"/>
  <c r="AW816" i="7"/>
  <c r="AV816" i="7"/>
  <c r="AU816" i="7"/>
  <c r="AQ816" i="7"/>
  <c r="AP816" i="7"/>
  <c r="AG816" i="7" s="1"/>
  <c r="AH816" i="7"/>
  <c r="AD816" i="7"/>
  <c r="Z816" i="7"/>
  <c r="S816" i="7"/>
  <c r="AR816" i="7" s="1"/>
  <c r="AI816" i="7" s="1"/>
  <c r="L816" i="7"/>
  <c r="AW815" i="7"/>
  <c r="AV815" i="7"/>
  <c r="AP815" i="7" s="1"/>
  <c r="AG815" i="7" s="1"/>
  <c r="AU815" i="7"/>
  <c r="AD815" i="7"/>
  <c r="S815" i="7"/>
  <c r="AR815" i="7" s="1"/>
  <c r="AI815" i="7" s="1"/>
  <c r="L815" i="7"/>
  <c r="AN815" i="7" s="1"/>
  <c r="AW814" i="7"/>
  <c r="AV814" i="7"/>
  <c r="AU814" i="7"/>
  <c r="AM814" i="7" s="1"/>
  <c r="AF814" i="7" s="1"/>
  <c r="AP814" i="7"/>
  <c r="AG814" i="7" s="1"/>
  <c r="AL814" i="7"/>
  <c r="AE814" i="7" s="1"/>
  <c r="AD814" i="7"/>
  <c r="S814" i="7"/>
  <c r="AR814" i="7" s="1"/>
  <c r="AI814" i="7" s="1"/>
  <c r="L814" i="7"/>
  <c r="AW813" i="7"/>
  <c r="AV813" i="7"/>
  <c r="AU813" i="7"/>
  <c r="AQ813" i="7"/>
  <c r="AH813" i="7" s="1"/>
  <c r="AP813" i="7"/>
  <c r="AG813" i="7" s="1"/>
  <c r="Z813" i="7" s="1"/>
  <c r="AD813" i="7"/>
  <c r="S813" i="7"/>
  <c r="AR813" i="7" s="1"/>
  <c r="AI813" i="7" s="1"/>
  <c r="L813" i="7"/>
  <c r="AO813" i="7" s="1"/>
  <c r="AW812" i="7"/>
  <c r="AV812" i="7"/>
  <c r="AU812" i="7"/>
  <c r="AD812" i="7"/>
  <c r="S812" i="7"/>
  <c r="AR812" i="7" s="1"/>
  <c r="AI812" i="7" s="1"/>
  <c r="L812" i="7"/>
  <c r="AN812" i="7" s="1"/>
  <c r="AW811" i="7"/>
  <c r="AV811" i="7"/>
  <c r="AU811" i="7"/>
  <c r="AR811" i="7"/>
  <c r="AI811" i="7" s="1"/>
  <c r="AP811" i="7"/>
  <c r="AN811" i="7"/>
  <c r="AM811" i="7"/>
  <c r="AL811" i="7"/>
  <c r="AE811" i="7" s="1"/>
  <c r="Y811" i="7" s="1"/>
  <c r="AG811" i="7"/>
  <c r="AF811" i="7"/>
  <c r="AD811" i="7"/>
  <c r="S811" i="7"/>
  <c r="AQ811" i="7" s="1"/>
  <c r="AH811" i="7" s="1"/>
  <c r="L811" i="7"/>
  <c r="AO811" i="7" s="1"/>
  <c r="AW810" i="7"/>
  <c r="AV810" i="7"/>
  <c r="AU810" i="7"/>
  <c r="AD810" i="7"/>
  <c r="S810" i="7"/>
  <c r="AR810" i="7" s="1"/>
  <c r="AI810" i="7" s="1"/>
  <c r="L810" i="7"/>
  <c r="AW809" i="7"/>
  <c r="AV809" i="7"/>
  <c r="AU809" i="7"/>
  <c r="AR809" i="7"/>
  <c r="AI809" i="7" s="1"/>
  <c r="AO809" i="7"/>
  <c r="AM809" i="7"/>
  <c r="AF809" i="7" s="1"/>
  <c r="AL809" i="7"/>
  <c r="AE809" i="7" s="1"/>
  <c r="Y809" i="7" s="1"/>
  <c r="AD809" i="7"/>
  <c r="S809" i="7"/>
  <c r="AQ809" i="7" s="1"/>
  <c r="AH809" i="7" s="1"/>
  <c r="L809" i="7"/>
  <c r="AN809" i="7" s="1"/>
  <c r="AW808" i="7"/>
  <c r="AV808" i="7"/>
  <c r="AQ808" i="7" s="1"/>
  <c r="AH808" i="7" s="1"/>
  <c r="AU808" i="7"/>
  <c r="AD808" i="7"/>
  <c r="S808" i="7"/>
  <c r="AR808" i="7" s="1"/>
  <c r="AI808" i="7" s="1"/>
  <c r="L808" i="7"/>
  <c r="AM808" i="7" s="1"/>
  <c r="AF808" i="7" s="1"/>
  <c r="AW807" i="7"/>
  <c r="AV807" i="7"/>
  <c r="AU807" i="7"/>
  <c r="AQ807" i="7"/>
  <c r="AH807" i="7" s="1"/>
  <c r="AN807" i="7"/>
  <c r="AD807" i="7"/>
  <c r="S807" i="7"/>
  <c r="AR807" i="7" s="1"/>
  <c r="AI807" i="7" s="1"/>
  <c r="L807" i="7"/>
  <c r="AW806" i="7"/>
  <c r="AV806" i="7"/>
  <c r="AQ806" i="7" s="1"/>
  <c r="AH806" i="7" s="1"/>
  <c r="AU806" i="7"/>
  <c r="AR806" i="7"/>
  <c r="AM806" i="7"/>
  <c r="AI806" i="7"/>
  <c r="AF806" i="7"/>
  <c r="AD806" i="7"/>
  <c r="S806" i="7"/>
  <c r="AP806" i="7" s="1"/>
  <c r="AG806" i="7" s="1"/>
  <c r="L806" i="7"/>
  <c r="AL806" i="7" s="1"/>
  <c r="AE806" i="7" s="1"/>
  <c r="AW805" i="7"/>
  <c r="AV805" i="7"/>
  <c r="AU805" i="7"/>
  <c r="AR805" i="7"/>
  <c r="AI805" i="7" s="1"/>
  <c r="AQ805" i="7"/>
  <c r="AH805" i="7" s="1"/>
  <c r="AP805" i="7"/>
  <c r="AG805" i="7" s="1"/>
  <c r="AL805" i="7"/>
  <c r="AE805" i="7"/>
  <c r="AD805" i="7"/>
  <c r="S805" i="7"/>
  <c r="L805" i="7"/>
  <c r="AO805" i="7" s="1"/>
  <c r="AW804" i="7"/>
  <c r="AV804" i="7"/>
  <c r="AU804" i="7"/>
  <c r="AI804" i="7"/>
  <c r="AD804" i="7"/>
  <c r="S804" i="7"/>
  <c r="AR804" i="7" s="1"/>
  <c r="L804" i="7"/>
  <c r="AW803" i="7"/>
  <c r="AV803" i="7"/>
  <c r="AU803" i="7"/>
  <c r="AN803" i="7" s="1"/>
  <c r="AD803" i="7"/>
  <c r="S803" i="7"/>
  <c r="AR803" i="7" s="1"/>
  <c r="AI803" i="7" s="1"/>
  <c r="L803" i="7"/>
  <c r="AO803" i="7" s="1"/>
  <c r="AW802" i="7"/>
  <c r="AV802" i="7"/>
  <c r="AU802" i="7"/>
  <c r="AN802" i="7"/>
  <c r="AD802" i="7"/>
  <c r="S802" i="7"/>
  <c r="L802" i="7"/>
  <c r="AO802" i="7" s="1"/>
  <c r="AW801" i="7"/>
  <c r="AV801" i="7"/>
  <c r="AU801" i="7"/>
  <c r="AR801" i="7"/>
  <c r="AI801" i="7"/>
  <c r="AH801" i="7"/>
  <c r="AD801" i="7"/>
  <c r="S801" i="7"/>
  <c r="AQ801" i="7" s="1"/>
  <c r="L801" i="7"/>
  <c r="AW800" i="7"/>
  <c r="AV800" i="7"/>
  <c r="AU800" i="7"/>
  <c r="AR800" i="7"/>
  <c r="AI800" i="7" s="1"/>
  <c r="AD800" i="7"/>
  <c r="S800" i="7"/>
  <c r="AQ800" i="7" s="1"/>
  <c r="AH800" i="7" s="1"/>
  <c r="L800" i="7"/>
  <c r="AO800" i="7" s="1"/>
  <c r="AW799" i="7"/>
  <c r="AV799" i="7"/>
  <c r="AU799" i="7"/>
  <c r="AR799" i="7"/>
  <c r="AI799" i="7" s="1"/>
  <c r="AD799" i="7"/>
  <c r="S799" i="7"/>
  <c r="AQ799" i="7" s="1"/>
  <c r="AH799" i="7" s="1"/>
  <c r="L799" i="7"/>
  <c r="AW798" i="7"/>
  <c r="AV798" i="7"/>
  <c r="AU798" i="7"/>
  <c r="AR798" i="7"/>
  <c r="AI798" i="7"/>
  <c r="AD798" i="7"/>
  <c r="S798" i="7"/>
  <c r="AQ798" i="7" s="1"/>
  <c r="AH798" i="7" s="1"/>
  <c r="L798" i="7"/>
  <c r="AW797" i="7"/>
  <c r="AV797" i="7"/>
  <c r="AU797" i="7"/>
  <c r="AR797" i="7"/>
  <c r="AI797" i="7" s="1"/>
  <c r="AQ797" i="7"/>
  <c r="AH797" i="7" s="1"/>
  <c r="AD797" i="7"/>
  <c r="S797" i="7"/>
  <c r="AP797" i="7" s="1"/>
  <c r="AG797" i="7" s="1"/>
  <c r="Z797" i="7" s="1"/>
  <c r="L797" i="7"/>
  <c r="AM797" i="7" s="1"/>
  <c r="AF797" i="7" s="1"/>
  <c r="AW796" i="7"/>
  <c r="AV796" i="7"/>
  <c r="AU796" i="7"/>
  <c r="AR796" i="7"/>
  <c r="AI796" i="7" s="1"/>
  <c r="AN796" i="7"/>
  <c r="AL796" i="7"/>
  <c r="AE796" i="7" s="1"/>
  <c r="AD796" i="7"/>
  <c r="S796" i="7"/>
  <c r="AQ796" i="7" s="1"/>
  <c r="AH796" i="7" s="1"/>
  <c r="L796" i="7"/>
  <c r="AO796" i="7" s="1"/>
  <c r="AW795" i="7"/>
  <c r="AV795" i="7"/>
  <c r="AQ795" i="7" s="1"/>
  <c r="AH795" i="7" s="1"/>
  <c r="AU795" i="7"/>
  <c r="AR795" i="7"/>
  <c r="AI795" i="7" s="1"/>
  <c r="AL795" i="7"/>
  <c r="AE795" i="7" s="1"/>
  <c r="AD795" i="7"/>
  <c r="S795" i="7"/>
  <c r="AP795" i="7" s="1"/>
  <c r="AG795" i="7" s="1"/>
  <c r="L795" i="7"/>
  <c r="AO795" i="7" s="1"/>
  <c r="AW794" i="7"/>
  <c r="AV794" i="7"/>
  <c r="AU794" i="7"/>
  <c r="AR794" i="7"/>
  <c r="AI794" i="7" s="1"/>
  <c r="AQ794" i="7"/>
  <c r="AH794" i="7" s="1"/>
  <c r="AD794" i="7"/>
  <c r="S794" i="7"/>
  <c r="AP794" i="7" s="1"/>
  <c r="AG794" i="7" s="1"/>
  <c r="L794" i="7"/>
  <c r="AM794" i="7" s="1"/>
  <c r="AF794" i="7" s="1"/>
  <c r="AW793" i="7"/>
  <c r="AV793" i="7"/>
  <c r="AU793" i="7"/>
  <c r="AN793" i="7"/>
  <c r="AL793" i="7"/>
  <c r="AE793" i="7" s="1"/>
  <c r="AD793" i="7"/>
  <c r="S793" i="7"/>
  <c r="L793" i="7"/>
  <c r="AO793" i="7" s="1"/>
  <c r="AW792" i="7"/>
  <c r="AV792" i="7"/>
  <c r="AQ792" i="7" s="1"/>
  <c r="AH792" i="7" s="1"/>
  <c r="AU792" i="7"/>
  <c r="AR792" i="7"/>
  <c r="AI792" i="7" s="1"/>
  <c r="AL792" i="7"/>
  <c r="AE792" i="7"/>
  <c r="AD792" i="7"/>
  <c r="S792" i="7"/>
  <c r="AP792" i="7" s="1"/>
  <c r="AG792" i="7" s="1"/>
  <c r="L792" i="7"/>
  <c r="AO792" i="7" s="1"/>
  <c r="AW791" i="7"/>
  <c r="AV791" i="7"/>
  <c r="AU791" i="7"/>
  <c r="AQ791" i="7"/>
  <c r="AH791" i="7" s="1"/>
  <c r="AL791" i="7"/>
  <c r="AE791" i="7"/>
  <c r="AD791" i="7"/>
  <c r="S791" i="7"/>
  <c r="L791" i="7"/>
  <c r="AO791" i="7" s="1"/>
  <c r="AW790" i="7"/>
  <c r="AV790" i="7"/>
  <c r="AU790" i="7"/>
  <c r="AN790" i="7"/>
  <c r="AL790" i="7"/>
  <c r="AE790" i="7" s="1"/>
  <c r="AD790" i="7"/>
  <c r="S790" i="7"/>
  <c r="AQ790" i="7" s="1"/>
  <c r="AH790" i="7" s="1"/>
  <c r="L790" i="7"/>
  <c r="AO790" i="7" s="1"/>
  <c r="AW789" i="7"/>
  <c r="AV789" i="7"/>
  <c r="AR789" i="7" s="1"/>
  <c r="AI789" i="7" s="1"/>
  <c r="AU789" i="7"/>
  <c r="AQ789" i="7"/>
  <c r="AH789" i="7"/>
  <c r="AD789" i="7"/>
  <c r="S789" i="7"/>
  <c r="L789" i="7"/>
  <c r="AO789" i="7" s="1"/>
  <c r="AW788" i="7"/>
  <c r="AV788" i="7"/>
  <c r="AU788" i="7"/>
  <c r="AD788" i="7"/>
  <c r="S788" i="7"/>
  <c r="L788" i="7"/>
  <c r="AO788" i="7" s="1"/>
  <c r="AW787" i="7"/>
  <c r="AV787" i="7"/>
  <c r="AU787" i="7"/>
  <c r="AP787" i="7"/>
  <c r="AG787" i="7" s="1"/>
  <c r="AD787" i="7"/>
  <c r="S787" i="7"/>
  <c r="L787" i="7"/>
  <c r="AW786" i="7"/>
  <c r="AV786" i="7"/>
  <c r="AU786" i="7"/>
  <c r="AQ786" i="7"/>
  <c r="AH786" i="7" s="1"/>
  <c r="AD786" i="7"/>
  <c r="S786" i="7"/>
  <c r="L786" i="7"/>
  <c r="AO786" i="7" s="1"/>
  <c r="AW785" i="7"/>
  <c r="AV785" i="7"/>
  <c r="AU785" i="7"/>
  <c r="AR785" i="7"/>
  <c r="AI785" i="7" s="1"/>
  <c r="AQ785" i="7"/>
  <c r="AH785" i="7" s="1"/>
  <c r="AP785" i="7"/>
  <c r="AG785" i="7" s="1"/>
  <c r="AO785" i="7"/>
  <c r="AD785" i="7"/>
  <c r="Z785" i="7"/>
  <c r="S785" i="7"/>
  <c r="L785" i="7"/>
  <c r="AN785" i="7" s="1"/>
  <c r="AW784" i="7"/>
  <c r="AV784" i="7"/>
  <c r="AU784" i="7"/>
  <c r="AP784" i="7"/>
  <c r="AG784" i="7" s="1"/>
  <c r="AL784" i="7"/>
  <c r="AE784" i="7"/>
  <c r="AD784" i="7"/>
  <c r="S784" i="7"/>
  <c r="L784" i="7"/>
  <c r="AW783" i="7"/>
  <c r="AV783" i="7"/>
  <c r="AP783" i="7" s="1"/>
  <c r="AG783" i="7" s="1"/>
  <c r="AU783" i="7"/>
  <c r="AL783" i="7" s="1"/>
  <c r="AE783" i="7" s="1"/>
  <c r="AD783" i="7"/>
  <c r="S783" i="7"/>
  <c r="L783" i="7"/>
  <c r="AW782" i="7"/>
  <c r="AV782" i="7"/>
  <c r="AU782" i="7"/>
  <c r="AR782" i="7"/>
  <c r="AI782" i="7" s="1"/>
  <c r="AQ782" i="7"/>
  <c r="AH782" i="7" s="1"/>
  <c r="AP782" i="7"/>
  <c r="AG782" i="7" s="1"/>
  <c r="Z782" i="7" s="1"/>
  <c r="AO782" i="7"/>
  <c r="AD782" i="7"/>
  <c r="S782" i="7"/>
  <c r="L782" i="7"/>
  <c r="AN782" i="7" s="1"/>
  <c r="AW781" i="7"/>
  <c r="AV781" i="7"/>
  <c r="AU781" i="7"/>
  <c r="AO781" i="7"/>
  <c r="AL781" i="7"/>
  <c r="AE781" i="7" s="1"/>
  <c r="AD781" i="7"/>
  <c r="S781" i="7"/>
  <c r="L781" i="7"/>
  <c r="AN781" i="7" s="1"/>
  <c r="AW780" i="7"/>
  <c r="AV780" i="7"/>
  <c r="AP780" i="7" s="1"/>
  <c r="AG780" i="7" s="1"/>
  <c r="AU780" i="7"/>
  <c r="AR780" i="7"/>
  <c r="AI780" i="7" s="1"/>
  <c r="AD780" i="7"/>
  <c r="S780" i="7"/>
  <c r="L780" i="7"/>
  <c r="AW779" i="7"/>
  <c r="AV779" i="7"/>
  <c r="AU779" i="7"/>
  <c r="AP779" i="7"/>
  <c r="AG779" i="7" s="1"/>
  <c r="AO779" i="7"/>
  <c r="AN779" i="7"/>
  <c r="AL779" i="7"/>
  <c r="AE779" i="7" s="1"/>
  <c r="AD779" i="7"/>
  <c r="Y779" i="7"/>
  <c r="S779" i="7"/>
  <c r="AR779" i="7" s="1"/>
  <c r="AI779" i="7" s="1"/>
  <c r="L779" i="7"/>
  <c r="AM779" i="7" s="1"/>
  <c r="AF779" i="7" s="1"/>
  <c r="AW778" i="7"/>
  <c r="AV778" i="7"/>
  <c r="AR778" i="7" s="1"/>
  <c r="AI778" i="7" s="1"/>
  <c r="AU778" i="7"/>
  <c r="AL778" i="7" s="1"/>
  <c r="AE778" i="7" s="1"/>
  <c r="AQ778" i="7"/>
  <c r="AO778" i="7"/>
  <c r="AH778" i="7"/>
  <c r="AD778" i="7"/>
  <c r="S778" i="7"/>
  <c r="L778" i="7"/>
  <c r="AN778" i="7" s="1"/>
  <c r="AW777" i="7"/>
  <c r="AV777" i="7"/>
  <c r="AQ777" i="7" s="1"/>
  <c r="AH777" i="7" s="1"/>
  <c r="AU777" i="7"/>
  <c r="AN777" i="7" s="1"/>
  <c r="AO777" i="7"/>
  <c r="AD777" i="7"/>
  <c r="S777" i="7"/>
  <c r="AR777" i="7" s="1"/>
  <c r="AI777" i="7" s="1"/>
  <c r="L777" i="7"/>
  <c r="AW776" i="7"/>
  <c r="AV776" i="7"/>
  <c r="AU776" i="7"/>
  <c r="AN776" i="7"/>
  <c r="AD776" i="7"/>
  <c r="S776" i="7"/>
  <c r="AR776" i="7" s="1"/>
  <c r="AI776" i="7" s="1"/>
  <c r="L776" i="7"/>
  <c r="AW775" i="7"/>
  <c r="AV775" i="7"/>
  <c r="AU775" i="7"/>
  <c r="AO775" i="7" s="1"/>
  <c r="AN775" i="7"/>
  <c r="AL775" i="7"/>
  <c r="AE775" i="7"/>
  <c r="AD775" i="7"/>
  <c r="S775" i="7"/>
  <c r="L775" i="7"/>
  <c r="AM775" i="7" s="1"/>
  <c r="AF775" i="7" s="1"/>
  <c r="AW774" i="7"/>
  <c r="AV774" i="7"/>
  <c r="AQ774" i="7" s="1"/>
  <c r="AH774" i="7" s="1"/>
  <c r="AU774" i="7"/>
  <c r="AN774" i="7" s="1"/>
  <c r="AI774" i="7"/>
  <c r="AD774" i="7"/>
  <c r="S774" i="7"/>
  <c r="AR774" i="7" s="1"/>
  <c r="L774" i="7"/>
  <c r="AM774" i="7" s="1"/>
  <c r="AF774" i="7" s="1"/>
  <c r="AW773" i="7"/>
  <c r="AV773" i="7"/>
  <c r="AU773" i="7"/>
  <c r="AM773" i="7"/>
  <c r="AF773" i="7" s="1"/>
  <c r="AD773" i="7"/>
  <c r="S773" i="7"/>
  <c r="L773" i="7"/>
  <c r="AL773" i="7" s="1"/>
  <c r="AE773" i="7" s="1"/>
  <c r="AW772" i="7"/>
  <c r="AV772" i="7"/>
  <c r="AU772" i="7"/>
  <c r="AN772" i="7"/>
  <c r="AD772" i="7"/>
  <c r="S772" i="7"/>
  <c r="L772" i="7"/>
  <c r="AM772" i="7" s="1"/>
  <c r="AF772" i="7" s="1"/>
  <c r="AW771" i="7"/>
  <c r="AV771" i="7"/>
  <c r="AQ771" i="7" s="1"/>
  <c r="AH771" i="7" s="1"/>
  <c r="AU771" i="7"/>
  <c r="AO771" i="7"/>
  <c r="AD771" i="7"/>
  <c r="S771" i="7"/>
  <c r="L771" i="7"/>
  <c r="AW770" i="7"/>
  <c r="AV770" i="7"/>
  <c r="AP770" i="7" s="1"/>
  <c r="AG770" i="7" s="1"/>
  <c r="AU770" i="7"/>
  <c r="AQ770" i="7"/>
  <c r="AH770" i="7" s="1"/>
  <c r="AD770" i="7"/>
  <c r="S770" i="7"/>
  <c r="L770" i="7"/>
  <c r="AW769" i="7"/>
  <c r="AV769" i="7"/>
  <c r="AU769" i="7"/>
  <c r="AR769" i="7"/>
  <c r="AI769" i="7" s="1"/>
  <c r="AP769" i="7"/>
  <c r="AH769" i="7"/>
  <c r="AG769" i="7"/>
  <c r="Z769" i="7" s="1"/>
  <c r="AD769" i="7"/>
  <c r="S769" i="7"/>
  <c r="AQ769" i="7" s="1"/>
  <c r="L769" i="7"/>
  <c r="AW768" i="7"/>
  <c r="AV768" i="7"/>
  <c r="AU768" i="7"/>
  <c r="AL768" i="7"/>
  <c r="AE768" i="7" s="1"/>
  <c r="AD768" i="7"/>
  <c r="S768" i="7"/>
  <c r="L768" i="7"/>
  <c r="AN768" i="7" s="1"/>
  <c r="AW767" i="7"/>
  <c r="AV767" i="7"/>
  <c r="AQ767" i="7" s="1"/>
  <c r="AU767" i="7"/>
  <c r="AP767" i="7"/>
  <c r="AG767" i="7" s="1"/>
  <c r="AO767" i="7"/>
  <c r="AH767" i="7"/>
  <c r="AD767" i="7"/>
  <c r="S767" i="7"/>
  <c r="L767" i="7"/>
  <c r="AW766" i="7"/>
  <c r="AV766" i="7"/>
  <c r="AU766" i="7"/>
  <c r="AR766" i="7"/>
  <c r="AI766" i="7" s="1"/>
  <c r="AQ766" i="7"/>
  <c r="AH766" i="7" s="1"/>
  <c r="AP766" i="7"/>
  <c r="AG766" i="7" s="1"/>
  <c r="Z766" i="7" s="1"/>
  <c r="AD766" i="7"/>
  <c r="S766" i="7"/>
  <c r="L766" i="7"/>
  <c r="AN766" i="7" s="1"/>
  <c r="AW765" i="7"/>
  <c r="AV765" i="7"/>
  <c r="AU765" i="7"/>
  <c r="AO765" i="7"/>
  <c r="AL765" i="7"/>
  <c r="AE765" i="7" s="1"/>
  <c r="AD765" i="7"/>
  <c r="S765" i="7"/>
  <c r="AQ765" i="7" s="1"/>
  <c r="AH765" i="7" s="1"/>
  <c r="L765" i="7"/>
  <c r="AN765" i="7" s="1"/>
  <c r="AW764" i="7"/>
  <c r="AV764" i="7"/>
  <c r="AU764" i="7"/>
  <c r="AN764" i="7"/>
  <c r="AD764" i="7"/>
  <c r="S764" i="7"/>
  <c r="L764" i="7"/>
  <c r="AW763" i="7"/>
  <c r="AV763" i="7"/>
  <c r="AQ763" i="7" s="1"/>
  <c r="AH763" i="7" s="1"/>
  <c r="AU763" i="7"/>
  <c r="AR763" i="7"/>
  <c r="AI763" i="7" s="1"/>
  <c r="AO763" i="7"/>
  <c r="AD763" i="7"/>
  <c r="S763" i="7"/>
  <c r="L763" i="7"/>
  <c r="AN763" i="7" s="1"/>
  <c r="AW762" i="7"/>
  <c r="AV762" i="7"/>
  <c r="AR762" i="7" s="1"/>
  <c r="AI762" i="7" s="1"/>
  <c r="AU762" i="7"/>
  <c r="AQ762" i="7"/>
  <c r="AL762" i="7"/>
  <c r="AE762" i="7" s="1"/>
  <c r="AH762" i="7"/>
  <c r="AD762" i="7"/>
  <c r="S762" i="7"/>
  <c r="L762" i="7"/>
  <c r="AN762" i="7" s="1"/>
  <c r="AW761" i="7"/>
  <c r="AV761" i="7"/>
  <c r="AU761" i="7"/>
  <c r="AR761" i="7"/>
  <c r="AI761" i="7" s="1"/>
  <c r="AP761" i="7"/>
  <c r="AG761" i="7" s="1"/>
  <c r="Z761" i="7" s="1"/>
  <c r="AO761" i="7"/>
  <c r="AN761" i="7"/>
  <c r="AM761" i="7"/>
  <c r="AF761" i="7" s="1"/>
  <c r="AL761" i="7"/>
  <c r="AE761" i="7" s="1"/>
  <c r="Y761" i="7" s="1"/>
  <c r="AH761" i="7"/>
  <c r="AD761" i="7"/>
  <c r="S761" i="7"/>
  <c r="AQ761" i="7" s="1"/>
  <c r="L761" i="7"/>
  <c r="AW760" i="7"/>
  <c r="AV760" i="7"/>
  <c r="AU760" i="7"/>
  <c r="AN760" i="7"/>
  <c r="AD760" i="7"/>
  <c r="S760" i="7"/>
  <c r="L760" i="7"/>
  <c r="AL760" i="7" s="1"/>
  <c r="AE760" i="7" s="1"/>
  <c r="AW759" i="7"/>
  <c r="AV759" i="7"/>
  <c r="AQ759" i="7" s="1"/>
  <c r="AH759" i="7" s="1"/>
  <c r="AU759" i="7"/>
  <c r="AO759" i="7"/>
  <c r="AD759" i="7"/>
  <c r="S759" i="7"/>
  <c r="L759" i="7"/>
  <c r="AW758" i="7"/>
  <c r="AV758" i="7"/>
  <c r="AQ758" i="7" s="1"/>
  <c r="AH758" i="7" s="1"/>
  <c r="AU758" i="7"/>
  <c r="AR758" i="7"/>
  <c r="AI758" i="7" s="1"/>
  <c r="AD758" i="7"/>
  <c r="S758" i="7"/>
  <c r="L758" i="7"/>
  <c r="AN758" i="7" s="1"/>
  <c r="AW757" i="7"/>
  <c r="AV757" i="7"/>
  <c r="AU757" i="7"/>
  <c r="AP757" i="7"/>
  <c r="AG757" i="7" s="1"/>
  <c r="AO757" i="7"/>
  <c r="AN757" i="7"/>
  <c r="AM757" i="7"/>
  <c r="AF757" i="7" s="1"/>
  <c r="AL757" i="7"/>
  <c r="AE757" i="7" s="1"/>
  <c r="AH757" i="7"/>
  <c r="AD757" i="7"/>
  <c r="S757" i="7"/>
  <c r="AQ757" i="7" s="1"/>
  <c r="L757" i="7"/>
  <c r="AW756" i="7"/>
  <c r="AV756" i="7"/>
  <c r="AU756" i="7"/>
  <c r="AN756" i="7" s="1"/>
  <c r="AD756" i="7"/>
  <c r="S756" i="7"/>
  <c r="L756" i="7"/>
  <c r="AW755" i="7"/>
  <c r="AV755" i="7"/>
  <c r="AP755" i="7" s="1"/>
  <c r="AG755" i="7" s="1"/>
  <c r="AU755" i="7"/>
  <c r="AO755" i="7" s="1"/>
  <c r="AQ755" i="7"/>
  <c r="AH755" i="7" s="1"/>
  <c r="AD755" i="7"/>
  <c r="S755" i="7"/>
  <c r="L755" i="7"/>
  <c r="AW754" i="7"/>
  <c r="AV754" i="7"/>
  <c r="AR754" i="7" s="1"/>
  <c r="AI754" i="7" s="1"/>
  <c r="AU754" i="7"/>
  <c r="AP754" i="7"/>
  <c r="AG754" i="7" s="1"/>
  <c r="AM754" i="7"/>
  <c r="AF754" i="7" s="1"/>
  <c r="AD754" i="7"/>
  <c r="S754" i="7"/>
  <c r="AQ754" i="7" s="1"/>
  <c r="AH754" i="7" s="1"/>
  <c r="L754" i="7"/>
  <c r="AN754" i="7" s="1"/>
  <c r="AW753" i="7"/>
  <c r="AV753" i="7"/>
  <c r="AU753" i="7"/>
  <c r="AM753" i="7"/>
  <c r="AF753" i="7" s="1"/>
  <c r="AE753" i="7"/>
  <c r="AD753" i="7"/>
  <c r="S753" i="7"/>
  <c r="L753" i="7"/>
  <c r="AL753" i="7" s="1"/>
  <c r="AW752" i="7"/>
  <c r="AV752" i="7"/>
  <c r="AU752" i="7"/>
  <c r="AN752" i="7"/>
  <c r="AL752" i="7"/>
  <c r="AE752" i="7" s="1"/>
  <c r="AD752" i="7"/>
  <c r="S752" i="7"/>
  <c r="L752" i="7"/>
  <c r="AW751" i="7"/>
  <c r="AV751" i="7"/>
  <c r="AU751" i="7"/>
  <c r="AM751" i="7" s="1"/>
  <c r="AF751" i="7" s="1"/>
  <c r="AD751" i="7"/>
  <c r="S751" i="7"/>
  <c r="AP751" i="7" s="1"/>
  <c r="AG751" i="7" s="1"/>
  <c r="L751" i="7"/>
  <c r="AL751" i="7" s="1"/>
  <c r="AE751" i="7" s="1"/>
  <c r="AW750" i="7"/>
  <c r="AV750" i="7"/>
  <c r="AU750" i="7"/>
  <c r="AN750" i="7"/>
  <c r="AM750" i="7"/>
  <c r="AF750" i="7" s="1"/>
  <c r="AL750" i="7"/>
  <c r="AE750" i="7" s="1"/>
  <c r="AD750" i="7"/>
  <c r="S750" i="7"/>
  <c r="AR750" i="7" s="1"/>
  <c r="AI750" i="7" s="1"/>
  <c r="L750" i="7"/>
  <c r="AO750" i="7" s="1"/>
  <c r="AW749" i="7"/>
  <c r="AV749" i="7"/>
  <c r="AU749" i="7"/>
  <c r="AO749" i="7"/>
  <c r="AL749" i="7"/>
  <c r="AE749" i="7" s="1"/>
  <c r="AD749" i="7"/>
  <c r="S749" i="7"/>
  <c r="L749" i="7"/>
  <c r="AW748" i="7"/>
  <c r="AV748" i="7"/>
  <c r="AR748" i="7" s="1"/>
  <c r="AI748" i="7" s="1"/>
  <c r="AU748" i="7"/>
  <c r="AL748" i="7" s="1"/>
  <c r="AE748" i="7" s="1"/>
  <c r="AQ748" i="7"/>
  <c r="AP748" i="7"/>
  <c r="AG748" i="7" s="1"/>
  <c r="AH748" i="7"/>
  <c r="AD748" i="7"/>
  <c r="S748" i="7"/>
  <c r="L748" i="7"/>
  <c r="AW747" i="7"/>
  <c r="AV747" i="7"/>
  <c r="AU747" i="7"/>
  <c r="AO747" i="7" s="1"/>
  <c r="AD747" i="7"/>
  <c r="S747" i="7"/>
  <c r="AP747" i="7" s="1"/>
  <c r="AG747" i="7" s="1"/>
  <c r="L747" i="7"/>
  <c r="AN747" i="7" s="1"/>
  <c r="AW746" i="7"/>
  <c r="AV746" i="7"/>
  <c r="AQ746" i="7" s="1"/>
  <c r="AU746" i="7"/>
  <c r="AH746" i="7"/>
  <c r="AD746" i="7"/>
  <c r="S746" i="7"/>
  <c r="L746" i="7"/>
  <c r="AO746" i="7" s="1"/>
  <c r="AW745" i="7"/>
  <c r="AV745" i="7"/>
  <c r="AP745" i="7" s="1"/>
  <c r="AG745" i="7" s="1"/>
  <c r="AU745" i="7"/>
  <c r="AR745" i="7"/>
  <c r="AI745" i="7" s="1"/>
  <c r="AQ745" i="7"/>
  <c r="AH745" i="7" s="1"/>
  <c r="Z745" i="7" s="1"/>
  <c r="AD745" i="7"/>
  <c r="S745" i="7"/>
  <c r="L745" i="7"/>
  <c r="AW744" i="7"/>
  <c r="AV744" i="7"/>
  <c r="AU744" i="7"/>
  <c r="AQ744" i="7"/>
  <c r="AH744" i="7" s="1"/>
  <c r="AP744" i="7"/>
  <c r="AG744" i="7" s="1"/>
  <c r="Z744" i="7" s="1"/>
  <c r="AN744" i="7"/>
  <c r="AD744" i="7"/>
  <c r="S744" i="7"/>
  <c r="AR744" i="7" s="1"/>
  <c r="AI744" i="7" s="1"/>
  <c r="L744" i="7"/>
  <c r="AO744" i="7" s="1"/>
  <c r="AW743" i="7"/>
  <c r="AV743" i="7"/>
  <c r="AR743" i="7" s="1"/>
  <c r="AI743" i="7" s="1"/>
  <c r="AU743" i="7"/>
  <c r="AM743" i="7" s="1"/>
  <c r="AF743" i="7" s="1"/>
  <c r="AD743" i="7"/>
  <c r="S743" i="7"/>
  <c r="L743" i="7"/>
  <c r="AW742" i="7"/>
  <c r="AV742" i="7"/>
  <c r="AR742" i="7" s="1"/>
  <c r="AI742" i="7" s="1"/>
  <c r="AU742" i="7"/>
  <c r="AP742" i="7"/>
  <c r="AG742" i="7" s="1"/>
  <c r="AO742" i="7"/>
  <c r="AM742" i="7"/>
  <c r="AF742" i="7" s="1"/>
  <c r="AD742" i="7"/>
  <c r="S742" i="7"/>
  <c r="L742" i="7"/>
  <c r="AW741" i="7"/>
  <c r="AV741" i="7"/>
  <c r="AU741" i="7"/>
  <c r="AR741" i="7"/>
  <c r="AI741" i="7" s="1"/>
  <c r="AP741" i="7"/>
  <c r="AG741" i="7" s="1"/>
  <c r="AD741" i="7"/>
  <c r="S741" i="7"/>
  <c r="AQ741" i="7" s="1"/>
  <c r="AH741" i="7" s="1"/>
  <c r="L741" i="7"/>
  <c r="AW740" i="7"/>
  <c r="AV740" i="7"/>
  <c r="AP740" i="7" s="1"/>
  <c r="AG740" i="7" s="1"/>
  <c r="AU740" i="7"/>
  <c r="AL740" i="7" s="1"/>
  <c r="AE740" i="7" s="1"/>
  <c r="AD740" i="7"/>
  <c r="S740" i="7"/>
  <c r="L740" i="7"/>
  <c r="AW739" i="7"/>
  <c r="AV739" i="7"/>
  <c r="AU739" i="7"/>
  <c r="AO739" i="7" s="1"/>
  <c r="AD739" i="7"/>
  <c r="S739" i="7"/>
  <c r="AQ739" i="7" s="1"/>
  <c r="AH739" i="7" s="1"/>
  <c r="L739" i="7"/>
  <c r="AM739" i="7" s="1"/>
  <c r="AF739" i="7" s="1"/>
  <c r="AW738" i="7"/>
  <c r="AV738" i="7"/>
  <c r="AU738" i="7"/>
  <c r="AO738" i="7"/>
  <c r="AN738" i="7"/>
  <c r="AM738" i="7"/>
  <c r="AF738" i="7"/>
  <c r="AD738" i="7"/>
  <c r="Y738" i="7"/>
  <c r="S738" i="7"/>
  <c r="AQ738" i="7" s="1"/>
  <c r="AH738" i="7" s="1"/>
  <c r="L738" i="7"/>
  <c r="AL738" i="7" s="1"/>
  <c r="AE738" i="7" s="1"/>
  <c r="AW737" i="7"/>
  <c r="AV737" i="7"/>
  <c r="AR737" i="7" s="1"/>
  <c r="AU737" i="7"/>
  <c r="AQ737" i="7"/>
  <c r="AH737" i="7" s="1"/>
  <c r="AL737" i="7"/>
  <c r="AI737" i="7"/>
  <c r="AE737" i="7"/>
  <c r="AD737" i="7"/>
  <c r="S737" i="7"/>
  <c r="AP737" i="7" s="1"/>
  <c r="AG737" i="7" s="1"/>
  <c r="L737" i="7"/>
  <c r="AW736" i="7"/>
  <c r="AV736" i="7"/>
  <c r="AU736" i="7"/>
  <c r="AR736" i="7"/>
  <c r="AI736" i="7" s="1"/>
  <c r="AP736" i="7"/>
  <c r="AG736" i="7"/>
  <c r="Z736" i="7" s="1"/>
  <c r="AD736" i="7"/>
  <c r="S736" i="7"/>
  <c r="AQ736" i="7" s="1"/>
  <c r="AH736" i="7" s="1"/>
  <c r="L736" i="7"/>
  <c r="AN736" i="7" s="1"/>
  <c r="AW735" i="7"/>
  <c r="AV735" i="7"/>
  <c r="AU735" i="7"/>
  <c r="AM735" i="7"/>
  <c r="AF735" i="7" s="1"/>
  <c r="AG735" i="7"/>
  <c r="AD735" i="7"/>
  <c r="S735" i="7"/>
  <c r="AP735" i="7" s="1"/>
  <c r="L735" i="7"/>
  <c r="AL735" i="7" s="1"/>
  <c r="AE735" i="7" s="1"/>
  <c r="AW734" i="7"/>
  <c r="AV734" i="7"/>
  <c r="AR734" i="7" s="1"/>
  <c r="AI734" i="7" s="1"/>
  <c r="AU734" i="7"/>
  <c r="AQ734" i="7"/>
  <c r="AH734" i="7" s="1"/>
  <c r="Z734" i="7" s="1"/>
  <c r="AM734" i="7"/>
  <c r="AF734" i="7" s="1"/>
  <c r="AL734" i="7"/>
  <c r="AE734" i="7" s="1"/>
  <c r="AD734" i="7"/>
  <c r="S734" i="7"/>
  <c r="AP734" i="7" s="1"/>
  <c r="AG734" i="7" s="1"/>
  <c r="L734" i="7"/>
  <c r="AW733" i="7"/>
  <c r="AV733" i="7"/>
  <c r="AU733" i="7"/>
  <c r="AR733" i="7"/>
  <c r="AI733" i="7" s="1"/>
  <c r="AQ733" i="7"/>
  <c r="AH733" i="7" s="1"/>
  <c r="AD733" i="7"/>
  <c r="S733" i="7"/>
  <c r="AP733" i="7" s="1"/>
  <c r="AG733" i="7" s="1"/>
  <c r="Z733" i="7" s="1"/>
  <c r="L733" i="7"/>
  <c r="AW732" i="7"/>
  <c r="AV732" i="7"/>
  <c r="AU732" i="7"/>
  <c r="AD732" i="7"/>
  <c r="S732" i="7"/>
  <c r="AP732" i="7" s="1"/>
  <c r="AG732" i="7" s="1"/>
  <c r="L732" i="7"/>
  <c r="AO732" i="7" s="1"/>
  <c r="AW731" i="7"/>
  <c r="AV731" i="7"/>
  <c r="AU731" i="7"/>
  <c r="AN731" i="7" s="1"/>
  <c r="AR731" i="7"/>
  <c r="AI731" i="7" s="1"/>
  <c r="AQ731" i="7"/>
  <c r="AH731" i="7" s="1"/>
  <c r="AP731" i="7"/>
  <c r="AG731" i="7" s="1"/>
  <c r="Z731" i="7" s="1"/>
  <c r="AL731" i="7"/>
  <c r="AE731" i="7" s="1"/>
  <c r="AD731" i="7"/>
  <c r="S731" i="7"/>
  <c r="L731" i="7"/>
  <c r="AO731" i="7" s="1"/>
  <c r="AW730" i="7"/>
  <c r="AV730" i="7"/>
  <c r="AR730" i="7" s="1"/>
  <c r="AI730" i="7" s="1"/>
  <c r="AU730" i="7"/>
  <c r="AQ730" i="7"/>
  <c r="AH730" i="7" s="1"/>
  <c r="AD730" i="7"/>
  <c r="S730" i="7"/>
  <c r="AP730" i="7" s="1"/>
  <c r="AG730" i="7" s="1"/>
  <c r="L730" i="7"/>
  <c r="AO730" i="7" s="1"/>
  <c r="AW729" i="7"/>
  <c r="AV729" i="7"/>
  <c r="AU729" i="7"/>
  <c r="AM729" i="7"/>
  <c r="AF729" i="7" s="1"/>
  <c r="AL729" i="7"/>
  <c r="AE729" i="7"/>
  <c r="AD729" i="7"/>
  <c r="S729" i="7"/>
  <c r="AP729" i="7" s="1"/>
  <c r="AG729" i="7" s="1"/>
  <c r="L729" i="7"/>
  <c r="AO729" i="7" s="1"/>
  <c r="AW728" i="7"/>
  <c r="AV728" i="7"/>
  <c r="AR728" i="7" s="1"/>
  <c r="AI728" i="7" s="1"/>
  <c r="AU728" i="7"/>
  <c r="AQ728" i="7"/>
  <c r="AH728" i="7" s="1"/>
  <c r="AP728" i="7"/>
  <c r="AG728" i="7" s="1"/>
  <c r="AD728" i="7"/>
  <c r="S728" i="7"/>
  <c r="L728" i="7"/>
  <c r="AW727" i="7"/>
  <c r="AV727" i="7"/>
  <c r="AU727" i="7"/>
  <c r="AM727" i="7" s="1"/>
  <c r="AF727" i="7" s="1"/>
  <c r="AD727" i="7"/>
  <c r="S727" i="7"/>
  <c r="AR727" i="7" s="1"/>
  <c r="AI727" i="7" s="1"/>
  <c r="L727" i="7"/>
  <c r="AO727" i="7" s="1"/>
  <c r="AW726" i="7"/>
  <c r="AV726" i="7"/>
  <c r="AU726" i="7"/>
  <c r="AD726" i="7"/>
  <c r="S726" i="7"/>
  <c r="AR726" i="7" s="1"/>
  <c r="AI726" i="7" s="1"/>
  <c r="L726" i="7"/>
  <c r="AW725" i="7"/>
  <c r="AV725" i="7"/>
  <c r="AR725" i="7" s="1"/>
  <c r="AI725" i="7" s="1"/>
  <c r="AU725" i="7"/>
  <c r="AD725" i="7"/>
  <c r="S725" i="7"/>
  <c r="L725" i="7"/>
  <c r="AM725" i="7" s="1"/>
  <c r="AF725" i="7" s="1"/>
  <c r="AW724" i="7"/>
  <c r="AV724" i="7"/>
  <c r="AU724" i="7"/>
  <c r="AP724" i="7"/>
  <c r="AG724" i="7" s="1"/>
  <c r="AD724" i="7"/>
  <c r="S724" i="7"/>
  <c r="AR724" i="7" s="1"/>
  <c r="AI724" i="7" s="1"/>
  <c r="L724" i="7"/>
  <c r="AW723" i="7"/>
  <c r="AV723" i="7"/>
  <c r="AU723" i="7"/>
  <c r="AN723" i="7" s="1"/>
  <c r="AD723" i="7"/>
  <c r="S723" i="7"/>
  <c r="L723" i="7"/>
  <c r="AO723" i="7" s="1"/>
  <c r="AW722" i="7"/>
  <c r="AV722" i="7"/>
  <c r="AR722" i="7" s="1"/>
  <c r="AI722" i="7" s="1"/>
  <c r="AU722" i="7"/>
  <c r="AP722" i="7"/>
  <c r="AG722" i="7" s="1"/>
  <c r="AD722" i="7"/>
  <c r="S722" i="7"/>
  <c r="L722" i="7"/>
  <c r="AW721" i="7"/>
  <c r="AV721" i="7"/>
  <c r="AU721" i="7"/>
  <c r="AO721" i="7" s="1"/>
  <c r="AD721" i="7"/>
  <c r="S721" i="7"/>
  <c r="AR721" i="7" s="1"/>
  <c r="AI721" i="7" s="1"/>
  <c r="L721" i="7"/>
  <c r="AN721" i="7" s="1"/>
  <c r="AW720" i="7"/>
  <c r="AV720" i="7"/>
  <c r="AU720" i="7"/>
  <c r="AQ720" i="7"/>
  <c r="AH720" i="7" s="1"/>
  <c r="AO720" i="7"/>
  <c r="AN720" i="7"/>
  <c r="AD720" i="7"/>
  <c r="S720" i="7"/>
  <c r="AR720" i="7" s="1"/>
  <c r="AI720" i="7" s="1"/>
  <c r="L720" i="7"/>
  <c r="AM720" i="7" s="1"/>
  <c r="AF720" i="7" s="1"/>
  <c r="AW719" i="7"/>
  <c r="AV719" i="7"/>
  <c r="AP719" i="7" s="1"/>
  <c r="AG719" i="7" s="1"/>
  <c r="Z719" i="7" s="1"/>
  <c r="AU719" i="7"/>
  <c r="AR719" i="7"/>
  <c r="AQ719" i="7"/>
  <c r="AL719" i="7"/>
  <c r="AE719" i="7" s="1"/>
  <c r="AI719" i="7"/>
  <c r="AH719" i="7"/>
  <c r="AD719" i="7"/>
  <c r="S719" i="7"/>
  <c r="L719" i="7"/>
  <c r="AW718" i="7"/>
  <c r="AV718" i="7"/>
  <c r="AU718" i="7"/>
  <c r="AN718" i="7"/>
  <c r="AD718" i="7"/>
  <c r="S718" i="7"/>
  <c r="L718" i="7"/>
  <c r="AO718" i="7" s="1"/>
  <c r="AW717" i="7"/>
  <c r="AV717" i="7"/>
  <c r="AU717" i="7"/>
  <c r="AQ717" i="7"/>
  <c r="AH717" i="7" s="1"/>
  <c r="AO717" i="7"/>
  <c r="AN717" i="7"/>
  <c r="AD717" i="7"/>
  <c r="S717" i="7"/>
  <c r="AP717" i="7" s="1"/>
  <c r="AG717" i="7" s="1"/>
  <c r="L717" i="7"/>
  <c r="AM717" i="7" s="1"/>
  <c r="AF717" i="7" s="1"/>
  <c r="AW716" i="7"/>
  <c r="AV716" i="7"/>
  <c r="AU716" i="7"/>
  <c r="AQ716" i="7"/>
  <c r="AP716" i="7"/>
  <c r="AL716" i="7"/>
  <c r="AE716" i="7" s="1"/>
  <c r="AH716" i="7"/>
  <c r="AG716" i="7"/>
  <c r="AD716" i="7"/>
  <c r="S716" i="7"/>
  <c r="L716" i="7"/>
  <c r="AO716" i="7" s="1"/>
  <c r="AW715" i="7"/>
  <c r="AV715" i="7"/>
  <c r="AR715" i="7" s="1"/>
  <c r="AI715" i="7" s="1"/>
  <c r="AU715" i="7"/>
  <c r="AN715" i="7"/>
  <c r="AD715" i="7"/>
  <c r="S715" i="7"/>
  <c r="L715" i="7"/>
  <c r="AO715" i="7" s="1"/>
  <c r="AW714" i="7"/>
  <c r="AV714" i="7"/>
  <c r="AU714" i="7"/>
  <c r="AR714" i="7"/>
  <c r="AI714" i="7" s="1"/>
  <c r="AP714" i="7"/>
  <c r="AG714" i="7" s="1"/>
  <c r="AO714" i="7"/>
  <c r="AN714" i="7"/>
  <c r="AD714" i="7"/>
  <c r="S714" i="7"/>
  <c r="AQ714" i="7" s="1"/>
  <c r="AH714" i="7" s="1"/>
  <c r="L714" i="7"/>
  <c r="AM714" i="7" s="1"/>
  <c r="AF714" i="7" s="1"/>
  <c r="AW713" i="7"/>
  <c r="AV713" i="7"/>
  <c r="AR713" i="7" s="1"/>
  <c r="AI713" i="7" s="1"/>
  <c r="AU713" i="7"/>
  <c r="AD713" i="7"/>
  <c r="S713" i="7"/>
  <c r="L713" i="7"/>
  <c r="AN713" i="7" s="1"/>
  <c r="AW712" i="7"/>
  <c r="AV712" i="7"/>
  <c r="AQ712" i="7" s="1"/>
  <c r="AH712" i="7" s="1"/>
  <c r="AU712" i="7"/>
  <c r="AR712" i="7"/>
  <c r="AI712" i="7" s="1"/>
  <c r="AD712" i="7"/>
  <c r="S712" i="7"/>
  <c r="L712" i="7"/>
  <c r="AO712" i="7" s="1"/>
  <c r="AW711" i="7"/>
  <c r="AV711" i="7"/>
  <c r="AR711" i="7" s="1"/>
  <c r="AI711" i="7" s="1"/>
  <c r="AU711" i="7"/>
  <c r="AN711" i="7"/>
  <c r="AD711" i="7"/>
  <c r="S711" i="7"/>
  <c r="L711" i="7"/>
  <c r="AO711" i="7" s="1"/>
  <c r="AW710" i="7"/>
  <c r="AV710" i="7"/>
  <c r="AU710" i="7"/>
  <c r="AR710" i="7"/>
  <c r="AI710" i="7" s="1"/>
  <c r="AP710" i="7"/>
  <c r="AG710" i="7" s="1"/>
  <c r="AO710" i="7"/>
  <c r="AN710" i="7"/>
  <c r="AD710" i="7"/>
  <c r="S710" i="7"/>
  <c r="AQ710" i="7" s="1"/>
  <c r="AH710" i="7" s="1"/>
  <c r="Z710" i="7" s="1"/>
  <c r="L710" i="7"/>
  <c r="AM710" i="7" s="1"/>
  <c r="AF710" i="7" s="1"/>
  <c r="AW709" i="7"/>
  <c r="AV709" i="7"/>
  <c r="AU709" i="7"/>
  <c r="AD709" i="7"/>
  <c r="S709" i="7"/>
  <c r="L709" i="7"/>
  <c r="AN709" i="7" s="1"/>
  <c r="AW708" i="7"/>
  <c r="AV708" i="7"/>
  <c r="AQ708" i="7" s="1"/>
  <c r="AH708" i="7" s="1"/>
  <c r="AU708" i="7"/>
  <c r="AR708" i="7"/>
  <c r="AI708" i="7" s="1"/>
  <c r="AD708" i="7"/>
  <c r="S708" i="7"/>
  <c r="L708" i="7"/>
  <c r="AO708" i="7" s="1"/>
  <c r="AW707" i="7"/>
  <c r="AV707" i="7"/>
  <c r="AR707" i="7" s="1"/>
  <c r="AI707" i="7" s="1"/>
  <c r="AU707" i="7"/>
  <c r="AN707" i="7"/>
  <c r="AD707" i="7"/>
  <c r="S707" i="7"/>
  <c r="L707" i="7"/>
  <c r="AO707" i="7" s="1"/>
  <c r="AW706" i="7"/>
  <c r="AV706" i="7"/>
  <c r="AU706" i="7"/>
  <c r="AR706" i="7"/>
  <c r="AI706" i="7" s="1"/>
  <c r="AP706" i="7"/>
  <c r="AG706" i="7" s="1"/>
  <c r="AO706" i="7"/>
  <c r="AN706" i="7"/>
  <c r="AD706" i="7"/>
  <c r="Z706" i="7"/>
  <c r="S706" i="7"/>
  <c r="AQ706" i="7" s="1"/>
  <c r="AH706" i="7" s="1"/>
  <c r="L706" i="7"/>
  <c r="AM706" i="7" s="1"/>
  <c r="AF706" i="7" s="1"/>
  <c r="AW705" i="7"/>
  <c r="AV705" i="7"/>
  <c r="AU705" i="7"/>
  <c r="AD705" i="7"/>
  <c r="S705" i="7"/>
  <c r="L705" i="7"/>
  <c r="AN705" i="7" s="1"/>
  <c r="AW704" i="7"/>
  <c r="AV704" i="7"/>
  <c r="AR704" i="7" s="1"/>
  <c r="AI704" i="7" s="1"/>
  <c r="AU704" i="7"/>
  <c r="AD704" i="7"/>
  <c r="S704" i="7"/>
  <c r="L704" i="7"/>
  <c r="AO704" i="7" s="1"/>
  <c r="AW703" i="7"/>
  <c r="AV703" i="7"/>
  <c r="AU703" i="7"/>
  <c r="AR703" i="7"/>
  <c r="AI703" i="7" s="1"/>
  <c r="AN703" i="7"/>
  <c r="AD703" i="7"/>
  <c r="S703" i="7"/>
  <c r="L703" i="7"/>
  <c r="AO703" i="7" s="1"/>
  <c r="AW702" i="7"/>
  <c r="AV702" i="7"/>
  <c r="AU702" i="7"/>
  <c r="AR702" i="7"/>
  <c r="AI702" i="7" s="1"/>
  <c r="AP702" i="7"/>
  <c r="AG702" i="7" s="1"/>
  <c r="Z702" i="7" s="1"/>
  <c r="AO702" i="7"/>
  <c r="AN702" i="7"/>
  <c r="AD702" i="7"/>
  <c r="S702" i="7"/>
  <c r="AQ702" i="7" s="1"/>
  <c r="AH702" i="7" s="1"/>
  <c r="L702" i="7"/>
  <c r="AM702" i="7" s="1"/>
  <c r="AF702" i="7" s="1"/>
  <c r="AW701" i="7"/>
  <c r="AV701" i="7"/>
  <c r="AU701" i="7"/>
  <c r="AL701" i="7"/>
  <c r="AE701" i="7" s="1"/>
  <c r="AD701" i="7"/>
  <c r="S701" i="7"/>
  <c r="L701" i="7"/>
  <c r="AW700" i="7"/>
  <c r="AV700" i="7"/>
  <c r="AR700" i="7" s="1"/>
  <c r="AI700" i="7" s="1"/>
  <c r="AU700" i="7"/>
  <c r="AD700" i="7"/>
  <c r="S700" i="7"/>
  <c r="L700" i="7"/>
  <c r="AO700" i="7" s="1"/>
  <c r="AW699" i="7"/>
  <c r="AV699" i="7"/>
  <c r="AR699" i="7" s="1"/>
  <c r="AI699" i="7" s="1"/>
  <c r="AU699" i="7"/>
  <c r="AN699" i="7"/>
  <c r="AD699" i="7"/>
  <c r="S699" i="7"/>
  <c r="AQ699" i="7" s="1"/>
  <c r="AH699" i="7" s="1"/>
  <c r="L699" i="7"/>
  <c r="AO699" i="7" s="1"/>
  <c r="AW698" i="7"/>
  <c r="AV698" i="7"/>
  <c r="AU698" i="7"/>
  <c r="AR698" i="7"/>
  <c r="AI698" i="7" s="1"/>
  <c r="AP698" i="7"/>
  <c r="AG698" i="7" s="1"/>
  <c r="AO698" i="7"/>
  <c r="AN698" i="7"/>
  <c r="AD698" i="7"/>
  <c r="S698" i="7"/>
  <c r="AQ698" i="7" s="1"/>
  <c r="AH698" i="7" s="1"/>
  <c r="L698" i="7"/>
  <c r="AM698" i="7" s="1"/>
  <c r="AF698" i="7" s="1"/>
  <c r="AW697" i="7"/>
  <c r="AV697" i="7"/>
  <c r="AP697" i="7" s="1"/>
  <c r="AG697" i="7" s="1"/>
  <c r="AU697" i="7"/>
  <c r="AD697" i="7"/>
  <c r="S697" i="7"/>
  <c r="L697" i="7"/>
  <c r="AN697" i="7" s="1"/>
  <c r="AW696" i="7"/>
  <c r="AV696" i="7"/>
  <c r="AQ696" i="7" s="1"/>
  <c r="AH696" i="7" s="1"/>
  <c r="AU696" i="7"/>
  <c r="AR696" i="7"/>
  <c r="AI696" i="7" s="1"/>
  <c r="AD696" i="7"/>
  <c r="S696" i="7"/>
  <c r="L696" i="7"/>
  <c r="AO696" i="7" s="1"/>
  <c r="AW695" i="7"/>
  <c r="AV695" i="7"/>
  <c r="AU695" i="7"/>
  <c r="AD695" i="7"/>
  <c r="S695" i="7"/>
  <c r="AR695" i="7" s="1"/>
  <c r="AI695" i="7" s="1"/>
  <c r="L695" i="7"/>
  <c r="AO695" i="7" s="1"/>
  <c r="AW694" i="7"/>
  <c r="AV694" i="7"/>
  <c r="AU694" i="7"/>
  <c r="AR694" i="7"/>
  <c r="AI694" i="7" s="1"/>
  <c r="AP694" i="7"/>
  <c r="AG694" i="7" s="1"/>
  <c r="AO694" i="7"/>
  <c r="AN694" i="7"/>
  <c r="AD694" i="7"/>
  <c r="S694" i="7"/>
  <c r="AQ694" i="7" s="1"/>
  <c r="AH694" i="7" s="1"/>
  <c r="Z694" i="7" s="1"/>
  <c r="L694" i="7"/>
  <c r="AM694" i="7" s="1"/>
  <c r="AF694" i="7" s="1"/>
  <c r="AW693" i="7"/>
  <c r="AV693" i="7"/>
  <c r="AP693" i="7" s="1"/>
  <c r="AG693" i="7" s="1"/>
  <c r="AU693" i="7"/>
  <c r="AD693" i="7"/>
  <c r="S693" i="7"/>
  <c r="AR693" i="7" s="1"/>
  <c r="AI693" i="7" s="1"/>
  <c r="L693" i="7"/>
  <c r="AN693" i="7" s="1"/>
  <c r="AW692" i="7"/>
  <c r="AV692" i="7"/>
  <c r="AR692" i="7" s="1"/>
  <c r="AI692" i="7" s="1"/>
  <c r="AU692" i="7"/>
  <c r="AP692" i="7"/>
  <c r="AG692" i="7" s="1"/>
  <c r="AD692" i="7"/>
  <c r="S692" i="7"/>
  <c r="L692" i="7"/>
  <c r="AO692" i="7" s="1"/>
  <c r="AW691" i="7"/>
  <c r="AV691" i="7"/>
  <c r="AU691" i="7"/>
  <c r="AR691" i="7"/>
  <c r="AI691" i="7" s="1"/>
  <c r="AD691" i="7"/>
  <c r="S691" i="7"/>
  <c r="AQ691" i="7" s="1"/>
  <c r="AH691" i="7" s="1"/>
  <c r="L691" i="7"/>
  <c r="AO691" i="7" s="1"/>
  <c r="AW690" i="7"/>
  <c r="AV690" i="7"/>
  <c r="AU690" i="7"/>
  <c r="AR690" i="7"/>
  <c r="AP690" i="7"/>
  <c r="AG690" i="7" s="1"/>
  <c r="AL690" i="7"/>
  <c r="AE690" i="7" s="1"/>
  <c r="AI690" i="7"/>
  <c r="AH690" i="7"/>
  <c r="Z690" i="7" s="1"/>
  <c r="AD690" i="7"/>
  <c r="S690" i="7"/>
  <c r="AQ690" i="7" s="1"/>
  <c r="L690" i="7"/>
  <c r="AM690" i="7" s="1"/>
  <c r="AF690" i="7" s="1"/>
  <c r="AW689" i="7"/>
  <c r="AV689" i="7"/>
  <c r="AP689" i="7" s="1"/>
  <c r="AG689" i="7" s="1"/>
  <c r="AU689" i="7"/>
  <c r="AN689" i="7"/>
  <c r="AL689" i="7"/>
  <c r="AE689" i="7" s="1"/>
  <c r="AD689" i="7"/>
  <c r="S689" i="7"/>
  <c r="AR689" i="7" s="1"/>
  <c r="AI689" i="7" s="1"/>
  <c r="L689" i="7"/>
  <c r="AW688" i="7"/>
  <c r="AV688" i="7"/>
  <c r="AU688" i="7"/>
  <c r="AR688" i="7"/>
  <c r="AI688" i="7" s="1"/>
  <c r="AQ688" i="7"/>
  <c r="AP688" i="7"/>
  <c r="AG688" i="7" s="1"/>
  <c r="AL688" i="7"/>
  <c r="AE688" i="7" s="1"/>
  <c r="AH688" i="7"/>
  <c r="AD688" i="7"/>
  <c r="S688" i="7"/>
  <c r="L688" i="7"/>
  <c r="AW687" i="7"/>
  <c r="AV687" i="7"/>
  <c r="AU687" i="7"/>
  <c r="AR687" i="7"/>
  <c r="AI687" i="7" s="1"/>
  <c r="AP687" i="7"/>
  <c r="AG687" i="7" s="1"/>
  <c r="Z687" i="7" s="1"/>
  <c r="AH687" i="7"/>
  <c r="AD687" i="7"/>
  <c r="S687" i="7"/>
  <c r="AQ687" i="7" s="1"/>
  <c r="L687" i="7"/>
  <c r="AW686" i="7"/>
  <c r="AV686" i="7"/>
  <c r="AU686" i="7"/>
  <c r="AR686" i="7"/>
  <c r="AI686" i="7" s="1"/>
  <c r="AP686" i="7"/>
  <c r="AG686" i="7" s="1"/>
  <c r="Z686" i="7" s="1"/>
  <c r="AD686" i="7"/>
  <c r="S686" i="7"/>
  <c r="AQ686" i="7" s="1"/>
  <c r="AH686" i="7" s="1"/>
  <c r="L686" i="7"/>
  <c r="AM686" i="7" s="1"/>
  <c r="AF686" i="7" s="1"/>
  <c r="AW685" i="7"/>
  <c r="AV685" i="7"/>
  <c r="AP685" i="7" s="1"/>
  <c r="AG685" i="7" s="1"/>
  <c r="AU685" i="7"/>
  <c r="AD685" i="7"/>
  <c r="S685" i="7"/>
  <c r="AR685" i="7" s="1"/>
  <c r="AI685" i="7" s="1"/>
  <c r="L685" i="7"/>
  <c r="AN685" i="7" s="1"/>
  <c r="AW684" i="7"/>
  <c r="AV684" i="7"/>
  <c r="AR684" i="7" s="1"/>
  <c r="AI684" i="7" s="1"/>
  <c r="AU684" i="7"/>
  <c r="AQ684" i="7"/>
  <c r="AH684" i="7" s="1"/>
  <c r="AD684" i="7"/>
  <c r="S684" i="7"/>
  <c r="L684" i="7"/>
  <c r="AL684" i="7" s="1"/>
  <c r="AE684" i="7" s="1"/>
  <c r="AW683" i="7"/>
  <c r="AV683" i="7"/>
  <c r="AR683" i="7" s="1"/>
  <c r="AI683" i="7" s="1"/>
  <c r="AU683" i="7"/>
  <c r="AL683" i="7"/>
  <c r="AE683" i="7" s="1"/>
  <c r="AD683" i="7"/>
  <c r="S683" i="7"/>
  <c r="AP683" i="7" s="1"/>
  <c r="AG683" i="7" s="1"/>
  <c r="L683" i="7"/>
  <c r="AO683" i="7" s="1"/>
  <c r="AW682" i="7"/>
  <c r="AV682" i="7"/>
  <c r="AU682" i="7"/>
  <c r="AR682" i="7"/>
  <c r="AP682" i="7"/>
  <c r="AG682" i="7" s="1"/>
  <c r="Z682" i="7" s="1"/>
  <c r="AO682" i="7"/>
  <c r="AN682" i="7"/>
  <c r="AL682" i="7"/>
  <c r="AE682" i="7" s="1"/>
  <c r="Y682" i="7" s="1"/>
  <c r="AI682" i="7"/>
  <c r="AH682" i="7"/>
  <c r="AD682" i="7"/>
  <c r="S682" i="7"/>
  <c r="AQ682" i="7" s="1"/>
  <c r="L682" i="7"/>
  <c r="AM682" i="7" s="1"/>
  <c r="AF682" i="7" s="1"/>
  <c r="AW681" i="7"/>
  <c r="AV681" i="7"/>
  <c r="AU681" i="7"/>
  <c r="AD681" i="7"/>
  <c r="S681" i="7"/>
  <c r="L681" i="7"/>
  <c r="AN681" i="7" s="1"/>
  <c r="AW680" i="7"/>
  <c r="AV680" i="7"/>
  <c r="AU680" i="7"/>
  <c r="AR680" i="7"/>
  <c r="AI680" i="7" s="1"/>
  <c r="AD680" i="7"/>
  <c r="S680" i="7"/>
  <c r="AQ680" i="7" s="1"/>
  <c r="AH680" i="7" s="1"/>
  <c r="L680" i="7"/>
  <c r="AM680" i="7" s="1"/>
  <c r="AF680" i="7" s="1"/>
  <c r="AW679" i="7"/>
  <c r="AV679" i="7"/>
  <c r="AU679" i="7"/>
  <c r="AM679" i="7" s="1"/>
  <c r="AF679" i="7" s="1"/>
  <c r="AQ679" i="7"/>
  <c r="AP679" i="7"/>
  <c r="AG679" i="7" s="1"/>
  <c r="AN679" i="7"/>
  <c r="AH679" i="7"/>
  <c r="AD679" i="7"/>
  <c r="S679" i="7"/>
  <c r="AR679" i="7" s="1"/>
  <c r="AI679" i="7" s="1"/>
  <c r="L679" i="7"/>
  <c r="AW678" i="7"/>
  <c r="AV678" i="7"/>
  <c r="AU678" i="7"/>
  <c r="AR678" i="7"/>
  <c r="AI678" i="7" s="1"/>
  <c r="AN678" i="7"/>
  <c r="AD678" i="7"/>
  <c r="S678" i="7"/>
  <c r="AQ678" i="7" s="1"/>
  <c r="AH678" i="7" s="1"/>
  <c r="L678" i="7"/>
  <c r="AO678" i="7" s="1"/>
  <c r="AW677" i="7"/>
  <c r="AV677" i="7"/>
  <c r="AQ677" i="7" s="1"/>
  <c r="AH677" i="7" s="1"/>
  <c r="AU677" i="7"/>
  <c r="AD677" i="7"/>
  <c r="S677" i="7"/>
  <c r="AP677" i="7" s="1"/>
  <c r="AG677" i="7" s="1"/>
  <c r="L677" i="7"/>
  <c r="AO677" i="7" s="1"/>
  <c r="AW676" i="7"/>
  <c r="AV676" i="7"/>
  <c r="AU676" i="7"/>
  <c r="AQ676" i="7"/>
  <c r="AH676" i="7" s="1"/>
  <c r="AP676" i="7"/>
  <c r="AM676" i="7"/>
  <c r="AF676" i="7" s="1"/>
  <c r="AL676" i="7"/>
  <c r="AE676" i="7" s="1"/>
  <c r="AG676" i="7"/>
  <c r="AD676" i="7"/>
  <c r="S676" i="7"/>
  <c r="AR676" i="7" s="1"/>
  <c r="AI676" i="7" s="1"/>
  <c r="L676" i="7"/>
  <c r="AW675" i="7"/>
  <c r="AV675" i="7"/>
  <c r="AU675" i="7"/>
  <c r="AP675" i="7"/>
  <c r="AG675" i="7" s="1"/>
  <c r="AL675" i="7"/>
  <c r="AE675" i="7" s="1"/>
  <c r="AD675" i="7"/>
  <c r="S675" i="7"/>
  <c r="AR675" i="7" s="1"/>
  <c r="AI675" i="7" s="1"/>
  <c r="L675" i="7"/>
  <c r="AN675" i="7" s="1"/>
  <c r="AW674" i="7"/>
  <c r="AV674" i="7"/>
  <c r="AU674" i="7"/>
  <c r="AO674" i="7"/>
  <c r="AN674" i="7"/>
  <c r="AM674" i="7"/>
  <c r="AF674" i="7" s="1"/>
  <c r="AL674" i="7"/>
  <c r="AE674" i="7" s="1"/>
  <c r="AD674" i="7"/>
  <c r="S674" i="7"/>
  <c r="AR674" i="7" s="1"/>
  <c r="AI674" i="7" s="1"/>
  <c r="L674" i="7"/>
  <c r="AW673" i="7"/>
  <c r="AV673" i="7"/>
  <c r="AU673" i="7"/>
  <c r="AN673" i="7" s="1"/>
  <c r="AP673" i="7"/>
  <c r="AG673" i="7" s="1"/>
  <c r="AD673" i="7"/>
  <c r="S673" i="7"/>
  <c r="AR673" i="7" s="1"/>
  <c r="AI673" i="7" s="1"/>
  <c r="L673" i="7"/>
  <c r="AM673" i="7" s="1"/>
  <c r="AF673" i="7" s="1"/>
  <c r="AW672" i="7"/>
  <c r="AV672" i="7"/>
  <c r="AU672" i="7"/>
  <c r="AR672" i="7"/>
  <c r="AI672" i="7" s="1"/>
  <c r="AD672" i="7"/>
  <c r="S672" i="7"/>
  <c r="AQ672" i="7" s="1"/>
  <c r="AH672" i="7" s="1"/>
  <c r="L672" i="7"/>
  <c r="AM672" i="7" s="1"/>
  <c r="AF672" i="7" s="1"/>
  <c r="AW671" i="7"/>
  <c r="AV671" i="7"/>
  <c r="AU671" i="7"/>
  <c r="AQ671" i="7"/>
  <c r="AP671" i="7"/>
  <c r="AG671" i="7" s="1"/>
  <c r="AN671" i="7"/>
  <c r="AH671" i="7"/>
  <c r="AD671" i="7"/>
  <c r="S671" i="7"/>
  <c r="AR671" i="7" s="1"/>
  <c r="AI671" i="7" s="1"/>
  <c r="L671" i="7"/>
  <c r="AW670" i="7"/>
  <c r="AV670" i="7"/>
  <c r="AU670" i="7"/>
  <c r="AR670" i="7"/>
  <c r="AI670" i="7" s="1"/>
  <c r="AN670" i="7"/>
  <c r="AD670" i="7"/>
  <c r="S670" i="7"/>
  <c r="AQ670" i="7" s="1"/>
  <c r="AH670" i="7" s="1"/>
  <c r="L670" i="7"/>
  <c r="AO670" i="7" s="1"/>
  <c r="AW669" i="7"/>
  <c r="AV669" i="7"/>
  <c r="AQ669" i="7" s="1"/>
  <c r="AH669" i="7" s="1"/>
  <c r="AU669" i="7"/>
  <c r="AD669" i="7"/>
  <c r="S669" i="7"/>
  <c r="AP669" i="7" s="1"/>
  <c r="AG669" i="7" s="1"/>
  <c r="L669" i="7"/>
  <c r="AO669" i="7" s="1"/>
  <c r="AW668" i="7"/>
  <c r="AV668" i="7"/>
  <c r="AU668" i="7"/>
  <c r="AQ668" i="7"/>
  <c r="AH668" i="7" s="1"/>
  <c r="AL668" i="7"/>
  <c r="AE668" i="7" s="1"/>
  <c r="AD668" i="7"/>
  <c r="S668" i="7"/>
  <c r="AP668" i="7" s="1"/>
  <c r="AG668" i="7" s="1"/>
  <c r="L668" i="7"/>
  <c r="AW667" i="7"/>
  <c r="AV667" i="7"/>
  <c r="AU667" i="7"/>
  <c r="AP667" i="7"/>
  <c r="AG667" i="7" s="1"/>
  <c r="AD667" i="7"/>
  <c r="S667" i="7"/>
  <c r="AR667" i="7" s="1"/>
  <c r="AI667" i="7" s="1"/>
  <c r="L667" i="7"/>
  <c r="AO667" i="7" s="1"/>
  <c r="AW666" i="7"/>
  <c r="AV666" i="7"/>
  <c r="AU666" i="7"/>
  <c r="AN666" i="7"/>
  <c r="AD666" i="7"/>
  <c r="S666" i="7"/>
  <c r="AR666" i="7" s="1"/>
  <c r="AI666" i="7" s="1"/>
  <c r="L666" i="7"/>
  <c r="AM666" i="7" s="1"/>
  <c r="AF666" i="7" s="1"/>
  <c r="AW665" i="7"/>
  <c r="AV665" i="7"/>
  <c r="AU665" i="7"/>
  <c r="AR665" i="7"/>
  <c r="AI665" i="7" s="1"/>
  <c r="AN665" i="7"/>
  <c r="AD665" i="7"/>
  <c r="S665" i="7"/>
  <c r="AQ665" i="7" s="1"/>
  <c r="AH665" i="7" s="1"/>
  <c r="L665" i="7"/>
  <c r="AO665" i="7" s="1"/>
  <c r="AW664" i="7"/>
  <c r="AV664" i="7"/>
  <c r="AU664" i="7"/>
  <c r="AN664" i="7"/>
  <c r="AM664" i="7"/>
  <c r="AL664" i="7"/>
  <c r="AE664" i="7" s="1"/>
  <c r="Y664" i="7" s="1"/>
  <c r="AF664" i="7"/>
  <c r="AD664" i="7"/>
  <c r="S664" i="7"/>
  <c r="AR664" i="7" s="1"/>
  <c r="AI664" i="7" s="1"/>
  <c r="L664" i="7"/>
  <c r="AO664" i="7" s="1"/>
  <c r="AW663" i="7"/>
  <c r="AV663" i="7"/>
  <c r="AU663" i="7"/>
  <c r="AM663" i="7" s="1"/>
  <c r="AF663" i="7" s="1"/>
  <c r="AR663" i="7"/>
  <c r="AI663" i="7" s="1"/>
  <c r="AD663" i="7"/>
  <c r="S663" i="7"/>
  <c r="AQ663" i="7" s="1"/>
  <c r="AH663" i="7" s="1"/>
  <c r="L663" i="7"/>
  <c r="AW662" i="7"/>
  <c r="AV662" i="7"/>
  <c r="AR662" i="7" s="1"/>
  <c r="AI662" i="7" s="1"/>
  <c r="AU662" i="7"/>
  <c r="AN662" i="7"/>
  <c r="AL662" i="7"/>
  <c r="AE662" i="7" s="1"/>
  <c r="AD662" i="7"/>
  <c r="S662" i="7"/>
  <c r="AQ662" i="7" s="1"/>
  <c r="AH662" i="7" s="1"/>
  <c r="L662" i="7"/>
  <c r="AO662" i="7" s="1"/>
  <c r="AW661" i="7"/>
  <c r="AV661" i="7"/>
  <c r="AU661" i="7"/>
  <c r="AL661" i="7" s="1"/>
  <c r="AE661" i="7" s="1"/>
  <c r="AD661" i="7"/>
  <c r="S661" i="7"/>
  <c r="AR661" i="7" s="1"/>
  <c r="AI661" i="7" s="1"/>
  <c r="L661" i="7"/>
  <c r="AN661" i="7" s="1"/>
  <c r="AW660" i="7"/>
  <c r="AV660" i="7"/>
  <c r="AU660" i="7"/>
  <c r="AN660" i="7" s="1"/>
  <c r="AD660" i="7"/>
  <c r="S660" i="7"/>
  <c r="AR660" i="7" s="1"/>
  <c r="AI660" i="7" s="1"/>
  <c r="L660" i="7"/>
  <c r="AW659" i="7"/>
  <c r="AV659" i="7"/>
  <c r="AU659" i="7"/>
  <c r="AP659" i="7"/>
  <c r="AG659" i="7" s="1"/>
  <c r="AD659" i="7"/>
  <c r="S659" i="7"/>
  <c r="AR659" i="7" s="1"/>
  <c r="AI659" i="7" s="1"/>
  <c r="L659" i="7"/>
  <c r="AW658" i="7"/>
  <c r="AV658" i="7"/>
  <c r="AU658" i="7"/>
  <c r="AN658" i="7" s="1"/>
  <c r="AL658" i="7"/>
  <c r="AI658" i="7"/>
  <c r="AE658" i="7"/>
  <c r="AD658" i="7"/>
  <c r="S658" i="7"/>
  <c r="AR658" i="7" s="1"/>
  <c r="L658" i="7"/>
  <c r="AO658" i="7" s="1"/>
  <c r="AW657" i="7"/>
  <c r="AV657" i="7"/>
  <c r="AU657" i="7"/>
  <c r="AR657" i="7"/>
  <c r="AI657" i="7" s="1"/>
  <c r="AO657" i="7"/>
  <c r="AD657" i="7"/>
  <c r="S657" i="7"/>
  <c r="L657" i="7"/>
  <c r="AN657" i="7" s="1"/>
  <c r="AW656" i="7"/>
  <c r="AV656" i="7"/>
  <c r="AU656" i="7"/>
  <c r="AM656" i="7" s="1"/>
  <c r="AF656" i="7" s="1"/>
  <c r="AQ656" i="7"/>
  <c r="AH656" i="7" s="1"/>
  <c r="AD656" i="7"/>
  <c r="S656" i="7"/>
  <c r="AR656" i="7" s="1"/>
  <c r="AI656" i="7" s="1"/>
  <c r="L656" i="7"/>
  <c r="AW655" i="7"/>
  <c r="AV655" i="7"/>
  <c r="AU655" i="7"/>
  <c r="AQ655" i="7"/>
  <c r="AH655" i="7" s="1"/>
  <c r="AL655" i="7"/>
  <c r="AE655" i="7" s="1"/>
  <c r="AD655" i="7"/>
  <c r="S655" i="7"/>
  <c r="AR655" i="7" s="1"/>
  <c r="AI655" i="7" s="1"/>
  <c r="L655" i="7"/>
  <c r="AO655" i="7" s="1"/>
  <c r="AW654" i="7"/>
  <c r="AV654" i="7"/>
  <c r="AU654" i="7"/>
  <c r="AO654" i="7"/>
  <c r="AM654" i="7"/>
  <c r="AF654" i="7" s="1"/>
  <c r="AD654" i="7"/>
  <c r="S654" i="7"/>
  <c r="AR654" i="7" s="1"/>
  <c r="AI654" i="7" s="1"/>
  <c r="L654" i="7"/>
  <c r="AL654" i="7" s="1"/>
  <c r="AE654" i="7" s="1"/>
  <c r="AW653" i="7"/>
  <c r="AV653" i="7"/>
  <c r="AU653" i="7"/>
  <c r="AO653" i="7"/>
  <c r="AL653" i="7"/>
  <c r="AE653" i="7"/>
  <c r="AD653" i="7"/>
  <c r="S653" i="7"/>
  <c r="AR653" i="7" s="1"/>
  <c r="AI653" i="7" s="1"/>
  <c r="L653" i="7"/>
  <c r="AN653" i="7" s="1"/>
  <c r="AW652" i="7"/>
  <c r="AV652" i="7"/>
  <c r="AQ652" i="7" s="1"/>
  <c r="AH652" i="7" s="1"/>
  <c r="AU652" i="7"/>
  <c r="AN652" i="7"/>
  <c r="AD652" i="7"/>
  <c r="S652" i="7"/>
  <c r="AR652" i="7" s="1"/>
  <c r="AI652" i="7" s="1"/>
  <c r="L652" i="7"/>
  <c r="AW651" i="7"/>
  <c r="AV651" i="7"/>
  <c r="AU651" i="7"/>
  <c r="AR651" i="7"/>
  <c r="AI651" i="7" s="1"/>
  <c r="AQ651" i="7"/>
  <c r="AH651" i="7" s="1"/>
  <c r="AD651" i="7"/>
  <c r="S651" i="7"/>
  <c r="AP651" i="7" s="1"/>
  <c r="AG651" i="7" s="1"/>
  <c r="Z651" i="7" s="1"/>
  <c r="L651" i="7"/>
  <c r="AW650" i="7"/>
  <c r="AV650" i="7"/>
  <c r="AU650" i="7"/>
  <c r="AR650" i="7"/>
  <c r="AQ650" i="7"/>
  <c r="AH650" i="7" s="1"/>
  <c r="AI650" i="7"/>
  <c r="AD650" i="7"/>
  <c r="S650" i="7"/>
  <c r="AP650" i="7" s="1"/>
  <c r="AG650" i="7" s="1"/>
  <c r="L650" i="7"/>
  <c r="AW649" i="7"/>
  <c r="AV649" i="7"/>
  <c r="AU649" i="7"/>
  <c r="AM649" i="7" s="1"/>
  <c r="AF649" i="7" s="1"/>
  <c r="AP649" i="7"/>
  <c r="AG649" i="7" s="1"/>
  <c r="AL649" i="7"/>
  <c r="AE649" i="7" s="1"/>
  <c r="AD649" i="7"/>
  <c r="S649" i="7"/>
  <c r="AR649" i="7" s="1"/>
  <c r="AI649" i="7" s="1"/>
  <c r="L649" i="7"/>
  <c r="AO649" i="7" s="1"/>
  <c r="AW648" i="7"/>
  <c r="AV648" i="7"/>
  <c r="AU648" i="7"/>
  <c r="AD648" i="7"/>
  <c r="S648" i="7"/>
  <c r="L648" i="7"/>
  <c r="AO648" i="7" s="1"/>
  <c r="AW647" i="7"/>
  <c r="AV647" i="7"/>
  <c r="AU647" i="7"/>
  <c r="AR647" i="7"/>
  <c r="AI647" i="7" s="1"/>
  <c r="AD647" i="7"/>
  <c r="S647" i="7"/>
  <c r="AQ647" i="7" s="1"/>
  <c r="AH647" i="7" s="1"/>
  <c r="L647" i="7"/>
  <c r="AW646" i="7"/>
  <c r="AV646" i="7"/>
  <c r="AU646" i="7"/>
  <c r="AR646" i="7"/>
  <c r="AI646" i="7" s="1"/>
  <c r="AQ646" i="7"/>
  <c r="AH646" i="7" s="1"/>
  <c r="Z646" i="7" s="1"/>
  <c r="AP646" i="7"/>
  <c r="AG646" i="7" s="1"/>
  <c r="AD646" i="7"/>
  <c r="S646" i="7"/>
  <c r="L646" i="7"/>
  <c r="AW645" i="7"/>
  <c r="AV645" i="7"/>
  <c r="AU645" i="7"/>
  <c r="AP645" i="7"/>
  <c r="AG645" i="7" s="1"/>
  <c r="AD645" i="7"/>
  <c r="S645" i="7"/>
  <c r="AR645" i="7" s="1"/>
  <c r="AI645" i="7" s="1"/>
  <c r="L645" i="7"/>
  <c r="AW644" i="7"/>
  <c r="AV644" i="7"/>
  <c r="AU644" i="7"/>
  <c r="AL644" i="7" s="1"/>
  <c r="AE644" i="7" s="1"/>
  <c r="AP644" i="7"/>
  <c r="AG644" i="7" s="1"/>
  <c r="AD644" i="7"/>
  <c r="S644" i="7"/>
  <c r="L644" i="7"/>
  <c r="AW643" i="7"/>
  <c r="AV643" i="7"/>
  <c r="AU643" i="7"/>
  <c r="AP643" i="7"/>
  <c r="AL643" i="7"/>
  <c r="AE643" i="7" s="1"/>
  <c r="AG643" i="7"/>
  <c r="AD643" i="7"/>
  <c r="S643" i="7"/>
  <c r="L643" i="7"/>
  <c r="AO643" i="7" s="1"/>
  <c r="AW642" i="7"/>
  <c r="AV642" i="7"/>
  <c r="AU642" i="7"/>
  <c r="AL642" i="7" s="1"/>
  <c r="AE642" i="7" s="1"/>
  <c r="AR642" i="7"/>
  <c r="AI642" i="7" s="1"/>
  <c r="AO642" i="7"/>
  <c r="AD642" i="7"/>
  <c r="S642" i="7"/>
  <c r="L642" i="7"/>
  <c r="AN642" i="7" s="1"/>
  <c r="AW641" i="7"/>
  <c r="AV641" i="7"/>
  <c r="AU641" i="7"/>
  <c r="AR641" i="7"/>
  <c r="AI641" i="7" s="1"/>
  <c r="AO641" i="7"/>
  <c r="AD641" i="7"/>
  <c r="S641" i="7"/>
  <c r="L641" i="7"/>
  <c r="AN641" i="7" s="1"/>
  <c r="AW640" i="7"/>
  <c r="AV640" i="7"/>
  <c r="AU640" i="7"/>
  <c r="AL640" i="7" s="1"/>
  <c r="AE640" i="7" s="1"/>
  <c r="AQ640" i="7"/>
  <c r="AH640" i="7" s="1"/>
  <c r="AD640" i="7"/>
  <c r="S640" i="7"/>
  <c r="AR640" i="7" s="1"/>
  <c r="AI640" i="7" s="1"/>
  <c r="L640" i="7"/>
  <c r="AW639" i="7"/>
  <c r="AV639" i="7"/>
  <c r="AU639" i="7"/>
  <c r="AL639" i="7"/>
  <c r="AE639" i="7" s="1"/>
  <c r="AD639" i="7"/>
  <c r="S639" i="7"/>
  <c r="AR639" i="7" s="1"/>
  <c r="AI639" i="7" s="1"/>
  <c r="L639" i="7"/>
  <c r="AO639" i="7" s="1"/>
  <c r="AW638" i="7"/>
  <c r="AV638" i="7"/>
  <c r="AU638" i="7"/>
  <c r="AO638" i="7"/>
  <c r="AM638" i="7"/>
  <c r="AF638" i="7" s="1"/>
  <c r="AD638" i="7"/>
  <c r="S638" i="7"/>
  <c r="L638" i="7"/>
  <c r="AL638" i="7" s="1"/>
  <c r="AE638" i="7" s="1"/>
  <c r="AW637" i="7"/>
  <c r="AV637" i="7"/>
  <c r="AU637" i="7"/>
  <c r="AR637" i="7"/>
  <c r="AI637" i="7" s="1"/>
  <c r="AO637" i="7"/>
  <c r="AL637" i="7"/>
  <c r="AE637" i="7"/>
  <c r="AD637" i="7"/>
  <c r="S637" i="7"/>
  <c r="L637" i="7"/>
  <c r="AN637" i="7" s="1"/>
  <c r="AW636" i="7"/>
  <c r="AV636" i="7"/>
  <c r="AU636" i="7"/>
  <c r="AQ636" i="7"/>
  <c r="AH636" i="7" s="1"/>
  <c r="AD636" i="7"/>
  <c r="S636" i="7"/>
  <c r="AR636" i="7" s="1"/>
  <c r="AI636" i="7" s="1"/>
  <c r="L636" i="7"/>
  <c r="AN636" i="7" s="1"/>
  <c r="AW635" i="7"/>
  <c r="AV635" i="7"/>
  <c r="AU635" i="7"/>
  <c r="AL635" i="7" s="1"/>
  <c r="AE635" i="7" s="1"/>
  <c r="AR635" i="7"/>
  <c r="AI635" i="7" s="1"/>
  <c r="AQ635" i="7"/>
  <c r="AM635" i="7"/>
  <c r="AH635" i="7"/>
  <c r="AF635" i="7"/>
  <c r="AD635" i="7"/>
  <c r="S635" i="7"/>
  <c r="AP635" i="7" s="1"/>
  <c r="AG635" i="7" s="1"/>
  <c r="L635" i="7"/>
  <c r="AW634" i="7"/>
  <c r="AV634" i="7"/>
  <c r="AU634" i="7"/>
  <c r="AR634" i="7"/>
  <c r="AQ634" i="7"/>
  <c r="AH634" i="7" s="1"/>
  <c r="AI634" i="7"/>
  <c r="AD634" i="7"/>
  <c r="S634" i="7"/>
  <c r="AP634" i="7" s="1"/>
  <c r="AG634" i="7" s="1"/>
  <c r="L634" i="7"/>
  <c r="AN634" i="7" s="1"/>
  <c r="AW633" i="7"/>
  <c r="AV633" i="7"/>
  <c r="AU633" i="7"/>
  <c r="AP633" i="7"/>
  <c r="AG633" i="7" s="1"/>
  <c r="AL633" i="7"/>
  <c r="AE633" i="7" s="1"/>
  <c r="AD633" i="7"/>
  <c r="S633" i="7"/>
  <c r="AR633" i="7" s="1"/>
  <c r="AI633" i="7" s="1"/>
  <c r="L633" i="7"/>
  <c r="AO633" i="7" s="1"/>
  <c r="AW632" i="7"/>
  <c r="AV632" i="7"/>
  <c r="AU632" i="7"/>
  <c r="AD632" i="7"/>
  <c r="S632" i="7"/>
  <c r="L632" i="7"/>
  <c r="AW631" i="7"/>
  <c r="AV631" i="7"/>
  <c r="AU631" i="7"/>
  <c r="AL631" i="7" s="1"/>
  <c r="AE631" i="7" s="1"/>
  <c r="AR631" i="7"/>
  <c r="AI631" i="7" s="1"/>
  <c r="AD631" i="7"/>
  <c r="S631" i="7"/>
  <c r="AQ631" i="7" s="1"/>
  <c r="AH631" i="7" s="1"/>
  <c r="L631" i="7"/>
  <c r="AW630" i="7"/>
  <c r="AV630" i="7"/>
  <c r="AU630" i="7"/>
  <c r="AR630" i="7"/>
  <c r="AI630" i="7" s="1"/>
  <c r="AQ630" i="7"/>
  <c r="AH630" i="7" s="1"/>
  <c r="Z630" i="7" s="1"/>
  <c r="AP630" i="7"/>
  <c r="AG630" i="7" s="1"/>
  <c r="AD630" i="7"/>
  <c r="S630" i="7"/>
  <c r="L630" i="7"/>
  <c r="AW629" i="7"/>
  <c r="AV629" i="7"/>
  <c r="AU629" i="7"/>
  <c r="AP629" i="7"/>
  <c r="AG629" i="7" s="1"/>
  <c r="AN629" i="7"/>
  <c r="AD629" i="7"/>
  <c r="S629" i="7"/>
  <c r="AR629" i="7" s="1"/>
  <c r="AI629" i="7" s="1"/>
  <c r="L629" i="7"/>
  <c r="AW628" i="7"/>
  <c r="AV628" i="7"/>
  <c r="AU628" i="7"/>
  <c r="AL628" i="7" s="1"/>
  <c r="AE628" i="7" s="1"/>
  <c r="AD628" i="7"/>
  <c r="S628" i="7"/>
  <c r="AP628" i="7" s="1"/>
  <c r="AG628" i="7" s="1"/>
  <c r="L628" i="7"/>
  <c r="AW627" i="7"/>
  <c r="AV627" i="7"/>
  <c r="AU627" i="7"/>
  <c r="AP627" i="7"/>
  <c r="AG627" i="7" s="1"/>
  <c r="AL627" i="7"/>
  <c r="AE627" i="7" s="1"/>
  <c r="AD627" i="7"/>
  <c r="S627" i="7"/>
  <c r="AQ627" i="7" s="1"/>
  <c r="AH627" i="7" s="1"/>
  <c r="L627" i="7"/>
  <c r="AM627" i="7" s="1"/>
  <c r="AF627" i="7" s="1"/>
  <c r="AW626" i="7"/>
  <c r="AV626" i="7"/>
  <c r="AR626" i="7" s="1"/>
  <c r="AI626" i="7" s="1"/>
  <c r="AU626" i="7"/>
  <c r="AO626" i="7" s="1"/>
  <c r="AD626" i="7"/>
  <c r="S626" i="7"/>
  <c r="AQ626" i="7" s="1"/>
  <c r="AH626" i="7" s="1"/>
  <c r="L626" i="7"/>
  <c r="AN626" i="7" s="1"/>
  <c r="AW625" i="7"/>
  <c r="AV625" i="7"/>
  <c r="AU625" i="7"/>
  <c r="AN625" i="7" s="1"/>
  <c r="AR625" i="7"/>
  <c r="AI625" i="7" s="1"/>
  <c r="AQ625" i="7"/>
  <c r="AH625" i="7" s="1"/>
  <c r="AP625" i="7"/>
  <c r="AG625" i="7"/>
  <c r="Z625" i="7" s="1"/>
  <c r="AD625" i="7"/>
  <c r="S625" i="7"/>
  <c r="L625" i="7"/>
  <c r="AW624" i="7"/>
  <c r="AV624" i="7"/>
  <c r="AU624" i="7"/>
  <c r="AL624" i="7"/>
  <c r="AE624" i="7" s="1"/>
  <c r="AD624" i="7"/>
  <c r="S624" i="7"/>
  <c r="AQ624" i="7" s="1"/>
  <c r="AH624" i="7" s="1"/>
  <c r="L624" i="7"/>
  <c r="AO624" i="7" s="1"/>
  <c r="AW623" i="7"/>
  <c r="AV623" i="7"/>
  <c r="AU623" i="7"/>
  <c r="AO623" i="7"/>
  <c r="AN623" i="7"/>
  <c r="AM623" i="7"/>
  <c r="AF623" i="7"/>
  <c r="AD623" i="7"/>
  <c r="Y623" i="7"/>
  <c r="S623" i="7"/>
  <c r="L623" i="7"/>
  <c r="AL623" i="7" s="1"/>
  <c r="AE623" i="7" s="1"/>
  <c r="AW622" i="7"/>
  <c r="AV622" i="7"/>
  <c r="AR622" i="7" s="1"/>
  <c r="AI622" i="7" s="1"/>
  <c r="AU622" i="7"/>
  <c r="AO622" i="7" s="1"/>
  <c r="AD622" i="7"/>
  <c r="S622" i="7"/>
  <c r="AQ622" i="7" s="1"/>
  <c r="AH622" i="7" s="1"/>
  <c r="L622" i="7"/>
  <c r="AW621" i="7"/>
  <c r="AV621" i="7"/>
  <c r="AR621" i="7" s="1"/>
  <c r="AI621" i="7" s="1"/>
  <c r="AU621" i="7"/>
  <c r="AN621" i="7"/>
  <c r="AD621" i="7"/>
  <c r="S621" i="7"/>
  <c r="L621" i="7"/>
  <c r="AW620" i="7"/>
  <c r="AV620" i="7"/>
  <c r="AU620" i="7"/>
  <c r="AR620" i="7"/>
  <c r="AI620" i="7" s="1"/>
  <c r="AG620" i="7"/>
  <c r="AD620" i="7"/>
  <c r="S620" i="7"/>
  <c r="AP620" i="7" s="1"/>
  <c r="L620" i="7"/>
  <c r="AO620" i="7" s="1"/>
  <c r="AW619" i="7"/>
  <c r="AV619" i="7"/>
  <c r="AU619" i="7"/>
  <c r="AO619" i="7"/>
  <c r="AN619" i="7"/>
  <c r="AM619" i="7"/>
  <c r="AF619" i="7"/>
  <c r="Y619" i="7" s="1"/>
  <c r="AD619" i="7"/>
  <c r="S619" i="7"/>
  <c r="L619" i="7"/>
  <c r="AL619" i="7" s="1"/>
  <c r="AE619" i="7" s="1"/>
  <c r="AW618" i="7"/>
  <c r="AV618" i="7"/>
  <c r="AR618" i="7" s="1"/>
  <c r="AI618" i="7" s="1"/>
  <c r="AU618" i="7"/>
  <c r="AO618" i="7"/>
  <c r="AD618" i="7"/>
  <c r="S618" i="7"/>
  <c r="L618" i="7"/>
  <c r="AW617" i="7"/>
  <c r="AV617" i="7"/>
  <c r="AR617" i="7" s="1"/>
  <c r="AI617" i="7" s="1"/>
  <c r="AU617" i="7"/>
  <c r="AN617" i="7"/>
  <c r="AD617" i="7"/>
  <c r="S617" i="7"/>
  <c r="L617" i="7"/>
  <c r="AL617" i="7" s="1"/>
  <c r="AE617" i="7" s="1"/>
  <c r="AW616" i="7"/>
  <c r="AV616" i="7"/>
  <c r="AU616" i="7"/>
  <c r="AR616" i="7"/>
  <c r="AI616" i="7" s="1"/>
  <c r="AQ616" i="7"/>
  <c r="AH616" i="7" s="1"/>
  <c r="AN616" i="7"/>
  <c r="AM616" i="7"/>
  <c r="AF616" i="7" s="1"/>
  <c r="AG616" i="7"/>
  <c r="AD616" i="7"/>
  <c r="S616" i="7"/>
  <c r="AP616" i="7" s="1"/>
  <c r="L616" i="7"/>
  <c r="AO616" i="7" s="1"/>
  <c r="AW615" i="7"/>
  <c r="AV615" i="7"/>
  <c r="AU615" i="7"/>
  <c r="AO615" i="7"/>
  <c r="AN615" i="7"/>
  <c r="AM615" i="7"/>
  <c r="AF615" i="7"/>
  <c r="AD615" i="7"/>
  <c r="Y615" i="7"/>
  <c r="S615" i="7"/>
  <c r="L615" i="7"/>
  <c r="AL615" i="7" s="1"/>
  <c r="AE615" i="7" s="1"/>
  <c r="AW614" i="7"/>
  <c r="AV614" i="7"/>
  <c r="AR614" i="7" s="1"/>
  <c r="AI614" i="7" s="1"/>
  <c r="AU614" i="7"/>
  <c r="AO614" i="7" s="1"/>
  <c r="AD614" i="7"/>
  <c r="S614" i="7"/>
  <c r="L614" i="7"/>
  <c r="AW613" i="7"/>
  <c r="AV613" i="7"/>
  <c r="AQ613" i="7" s="1"/>
  <c r="AH613" i="7" s="1"/>
  <c r="AU613" i="7"/>
  <c r="AR613" i="7"/>
  <c r="AI613" i="7" s="1"/>
  <c r="AD613" i="7"/>
  <c r="S613" i="7"/>
  <c r="L613" i="7"/>
  <c r="AW612" i="7"/>
  <c r="AV612" i="7"/>
  <c r="AU612" i="7"/>
  <c r="AD612" i="7"/>
  <c r="S612" i="7"/>
  <c r="L612" i="7"/>
  <c r="AO612" i="7" s="1"/>
  <c r="AW611" i="7"/>
  <c r="AV611" i="7"/>
  <c r="AU611" i="7"/>
  <c r="AO611" i="7"/>
  <c r="AN611" i="7"/>
  <c r="AM611" i="7"/>
  <c r="AF611" i="7"/>
  <c r="AD611" i="7"/>
  <c r="Y611" i="7"/>
  <c r="S611" i="7"/>
  <c r="L611" i="7"/>
  <c r="AL611" i="7" s="1"/>
  <c r="AE611" i="7" s="1"/>
  <c r="AW610" i="7"/>
  <c r="AV610" i="7"/>
  <c r="AU610" i="7"/>
  <c r="AO610" i="7" s="1"/>
  <c r="AR610" i="7"/>
  <c r="AI610" i="7" s="1"/>
  <c r="AD610" i="7"/>
  <c r="S610" i="7"/>
  <c r="AQ610" i="7" s="1"/>
  <c r="AH610" i="7" s="1"/>
  <c r="L610" i="7"/>
  <c r="AW609" i="7"/>
  <c r="AV609" i="7"/>
  <c r="AR609" i="7" s="1"/>
  <c r="AI609" i="7" s="1"/>
  <c r="AU609" i="7"/>
  <c r="AN609" i="7" s="1"/>
  <c r="AP609" i="7"/>
  <c r="AG609" i="7" s="1"/>
  <c r="AD609" i="7"/>
  <c r="S609" i="7"/>
  <c r="L609" i="7"/>
  <c r="AW608" i="7"/>
  <c r="AV608" i="7"/>
  <c r="AU608" i="7"/>
  <c r="AQ608" i="7"/>
  <c r="AH608" i="7" s="1"/>
  <c r="AP608" i="7"/>
  <c r="AG608" i="7" s="1"/>
  <c r="AN608" i="7"/>
  <c r="AD608" i="7"/>
  <c r="S608" i="7"/>
  <c r="AR608" i="7" s="1"/>
  <c r="AI608" i="7" s="1"/>
  <c r="L608" i="7"/>
  <c r="AO608" i="7" s="1"/>
  <c r="AW607" i="7"/>
  <c r="AV607" i="7"/>
  <c r="AU607" i="7"/>
  <c r="AD607" i="7"/>
  <c r="S607" i="7"/>
  <c r="L607" i="7"/>
  <c r="AO607" i="7" s="1"/>
  <c r="AW606" i="7"/>
  <c r="AV606" i="7"/>
  <c r="AU606" i="7"/>
  <c r="AL606" i="7"/>
  <c r="AE606" i="7" s="1"/>
  <c r="AD606" i="7"/>
  <c r="S606" i="7"/>
  <c r="AP606" i="7" s="1"/>
  <c r="AG606" i="7" s="1"/>
  <c r="L606" i="7"/>
  <c r="AN606" i="7" s="1"/>
  <c r="AW605" i="7"/>
  <c r="AV605" i="7"/>
  <c r="AU605" i="7"/>
  <c r="AN605" i="7" s="1"/>
  <c r="AR605" i="7"/>
  <c r="AI605" i="7" s="1"/>
  <c r="AD605" i="7"/>
  <c r="S605" i="7"/>
  <c r="AQ605" i="7" s="1"/>
  <c r="AH605" i="7" s="1"/>
  <c r="L605" i="7"/>
  <c r="AO605" i="7" s="1"/>
  <c r="AW604" i="7"/>
  <c r="AV604" i="7"/>
  <c r="AU604" i="7"/>
  <c r="AD604" i="7"/>
  <c r="S604" i="7"/>
  <c r="AR604" i="7" s="1"/>
  <c r="AI604" i="7" s="1"/>
  <c r="L604" i="7"/>
  <c r="AO604" i="7" s="1"/>
  <c r="AW603" i="7"/>
  <c r="AV603" i="7"/>
  <c r="AU603" i="7"/>
  <c r="AR603" i="7"/>
  <c r="AI603" i="7" s="1"/>
  <c r="AQ603" i="7"/>
  <c r="AM603" i="7"/>
  <c r="AH603" i="7"/>
  <c r="AF603" i="7"/>
  <c r="AD603" i="7"/>
  <c r="S603" i="7"/>
  <c r="AP603" i="7" s="1"/>
  <c r="AG603" i="7" s="1"/>
  <c r="Z603" i="7" s="1"/>
  <c r="L603" i="7"/>
  <c r="AO603" i="7" s="1"/>
  <c r="AW602" i="7"/>
  <c r="AV602" i="7"/>
  <c r="AU602" i="7"/>
  <c r="AR602" i="7"/>
  <c r="AI602" i="7" s="1"/>
  <c r="AQ602" i="7"/>
  <c r="AH602" i="7" s="1"/>
  <c r="AM602" i="7"/>
  <c r="AF602" i="7" s="1"/>
  <c r="AL602" i="7"/>
  <c r="AE602" i="7" s="1"/>
  <c r="AD602" i="7"/>
  <c r="S602" i="7"/>
  <c r="AP602" i="7" s="1"/>
  <c r="AG602" i="7" s="1"/>
  <c r="Z602" i="7" s="1"/>
  <c r="L602" i="7"/>
  <c r="AO602" i="7" s="1"/>
  <c r="AW601" i="7"/>
  <c r="AV601" i="7"/>
  <c r="AU601" i="7"/>
  <c r="AD601" i="7"/>
  <c r="S601" i="7"/>
  <c r="AR601" i="7" s="1"/>
  <c r="AI601" i="7" s="1"/>
  <c r="L601" i="7"/>
  <c r="AM601" i="7" s="1"/>
  <c r="AF601" i="7" s="1"/>
  <c r="AW600" i="7"/>
  <c r="AV600" i="7"/>
  <c r="AU600" i="7"/>
  <c r="AM600" i="7"/>
  <c r="AF600" i="7" s="1"/>
  <c r="AL600" i="7"/>
  <c r="AE600" i="7" s="1"/>
  <c r="AD600" i="7"/>
  <c r="S600" i="7"/>
  <c r="AR600" i="7" s="1"/>
  <c r="AI600" i="7" s="1"/>
  <c r="L600" i="7"/>
  <c r="AO600" i="7" s="1"/>
  <c r="AW599" i="7"/>
  <c r="AV599" i="7"/>
  <c r="AU599" i="7"/>
  <c r="AM599" i="7"/>
  <c r="AL599" i="7"/>
  <c r="AF599" i="7"/>
  <c r="AE599" i="7"/>
  <c r="AD599" i="7"/>
  <c r="S599" i="7"/>
  <c r="L599" i="7"/>
  <c r="AO599" i="7" s="1"/>
  <c r="AW598" i="7"/>
  <c r="AV598" i="7"/>
  <c r="AU598" i="7"/>
  <c r="AO598" i="7"/>
  <c r="AD598" i="7"/>
  <c r="S598" i="7"/>
  <c r="L598" i="7"/>
  <c r="AN598" i="7" s="1"/>
  <c r="AW597" i="7"/>
  <c r="AV597" i="7"/>
  <c r="AR597" i="7" s="1"/>
  <c r="AI597" i="7" s="1"/>
  <c r="AU597" i="7"/>
  <c r="AD597" i="7"/>
  <c r="S597" i="7"/>
  <c r="AQ597" i="7" s="1"/>
  <c r="AH597" i="7" s="1"/>
  <c r="L597" i="7"/>
  <c r="AO597" i="7" s="1"/>
  <c r="AW596" i="7"/>
  <c r="AV596" i="7"/>
  <c r="AU596" i="7"/>
  <c r="AM596" i="7" s="1"/>
  <c r="AF596" i="7" s="1"/>
  <c r="AR596" i="7"/>
  <c r="AI596" i="7" s="1"/>
  <c r="AQ596" i="7"/>
  <c r="AH596" i="7" s="1"/>
  <c r="AL596" i="7"/>
  <c r="AE596" i="7"/>
  <c r="AD596" i="7"/>
  <c r="S596" i="7"/>
  <c r="AP596" i="7" s="1"/>
  <c r="AG596" i="7" s="1"/>
  <c r="Z596" i="7" s="1"/>
  <c r="L596" i="7"/>
  <c r="AW595" i="7"/>
  <c r="AV595" i="7"/>
  <c r="AU595" i="7"/>
  <c r="AQ595" i="7"/>
  <c r="AH595" i="7" s="1"/>
  <c r="AP595" i="7"/>
  <c r="AG595" i="7" s="1"/>
  <c r="AL595" i="7"/>
  <c r="AE595" i="7" s="1"/>
  <c r="AI595" i="7"/>
  <c r="AD595" i="7"/>
  <c r="S595" i="7"/>
  <c r="AR595" i="7" s="1"/>
  <c r="L595" i="7"/>
  <c r="AO595" i="7" s="1"/>
  <c r="AW594" i="7"/>
  <c r="AV594" i="7"/>
  <c r="AU594" i="7"/>
  <c r="AD594" i="7"/>
  <c r="S594" i="7"/>
  <c r="AR594" i="7" s="1"/>
  <c r="AI594" i="7" s="1"/>
  <c r="L594" i="7"/>
  <c r="AO594" i="7" s="1"/>
  <c r="AW593" i="7"/>
  <c r="AV593" i="7"/>
  <c r="AU593" i="7"/>
  <c r="AR593" i="7"/>
  <c r="AI593" i="7" s="1"/>
  <c r="AM593" i="7"/>
  <c r="AF593" i="7" s="1"/>
  <c r="AL593" i="7"/>
  <c r="AE593" i="7" s="1"/>
  <c r="AD593" i="7"/>
  <c r="S593" i="7"/>
  <c r="AQ593" i="7" s="1"/>
  <c r="AH593" i="7" s="1"/>
  <c r="L593" i="7"/>
  <c r="AO593" i="7" s="1"/>
  <c r="AW592" i="7"/>
  <c r="AV592" i="7"/>
  <c r="AU592" i="7"/>
  <c r="AD592" i="7"/>
  <c r="S592" i="7"/>
  <c r="L592" i="7"/>
  <c r="AM592" i="7" s="1"/>
  <c r="AF592" i="7" s="1"/>
  <c r="AW591" i="7"/>
  <c r="AV591" i="7"/>
  <c r="AU591" i="7"/>
  <c r="AN591" i="7" s="1"/>
  <c r="AO591" i="7"/>
  <c r="AD591" i="7"/>
  <c r="S591" i="7"/>
  <c r="L591" i="7"/>
  <c r="AM591" i="7" s="1"/>
  <c r="AF591" i="7" s="1"/>
  <c r="AW590" i="7"/>
  <c r="AV590" i="7"/>
  <c r="AU590" i="7"/>
  <c r="AP590" i="7"/>
  <c r="AG590" i="7" s="1"/>
  <c r="AO590" i="7"/>
  <c r="AD590" i="7"/>
  <c r="S590" i="7"/>
  <c r="AR590" i="7" s="1"/>
  <c r="AI590" i="7" s="1"/>
  <c r="L590" i="7"/>
  <c r="AN590" i="7" s="1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O587" i="7"/>
  <c r="AN587" i="7"/>
  <c r="AL587" i="7"/>
  <c r="AE587" i="7" s="1"/>
  <c r="AD587" i="7"/>
  <c r="S587" i="7"/>
  <c r="L587" i="7"/>
  <c r="AM587" i="7" s="1"/>
  <c r="AF587" i="7" s="1"/>
  <c r="AW586" i="7"/>
  <c r="AV586" i="7"/>
  <c r="AU586" i="7"/>
  <c r="AO586" i="7" s="1"/>
  <c r="AN586" i="7"/>
  <c r="AD586" i="7"/>
  <c r="S586" i="7"/>
  <c r="L586" i="7"/>
  <c r="AM586" i="7" s="1"/>
  <c r="AF586" i="7" s="1"/>
  <c r="AW585" i="7"/>
  <c r="AV585" i="7"/>
  <c r="AU585" i="7"/>
  <c r="AN585" i="7" s="1"/>
  <c r="AD585" i="7"/>
  <c r="S585" i="7"/>
  <c r="L585" i="7"/>
  <c r="AW584" i="7"/>
  <c r="AV584" i="7"/>
  <c r="AU584" i="7"/>
  <c r="AM584" i="7"/>
  <c r="AF584" i="7" s="1"/>
  <c r="AD584" i="7"/>
  <c r="S584" i="7"/>
  <c r="L584" i="7"/>
  <c r="AN584" i="7" s="1"/>
  <c r="AW583" i="7"/>
  <c r="AV583" i="7"/>
  <c r="AU583" i="7"/>
  <c r="AR583" i="7"/>
  <c r="AI583" i="7" s="1"/>
  <c r="AD583" i="7"/>
  <c r="S583" i="7"/>
  <c r="AQ583" i="7" s="1"/>
  <c r="AH583" i="7" s="1"/>
  <c r="L583" i="7"/>
  <c r="AM583" i="7" s="1"/>
  <c r="AF583" i="7" s="1"/>
  <c r="AW582" i="7"/>
  <c r="AV582" i="7"/>
  <c r="AU582" i="7"/>
  <c r="AD582" i="7"/>
  <c r="S582" i="7"/>
  <c r="L582" i="7"/>
  <c r="AL582" i="7" s="1"/>
  <c r="AE582" i="7" s="1"/>
  <c r="AW581" i="7"/>
  <c r="AV581" i="7"/>
  <c r="AU581" i="7"/>
  <c r="AR581" i="7"/>
  <c r="AI581" i="7"/>
  <c r="AD581" i="7"/>
  <c r="S581" i="7"/>
  <c r="L581" i="7"/>
  <c r="AN581" i="7" s="1"/>
  <c r="AW580" i="7"/>
  <c r="AV580" i="7"/>
  <c r="AQ580" i="7" s="1"/>
  <c r="AH580" i="7" s="1"/>
  <c r="AU580" i="7"/>
  <c r="AR580" i="7"/>
  <c r="AI580" i="7" s="1"/>
  <c r="AD580" i="7"/>
  <c r="S580" i="7"/>
  <c r="AP580" i="7" s="1"/>
  <c r="AG580" i="7" s="1"/>
  <c r="L580" i="7"/>
  <c r="AM580" i="7" s="1"/>
  <c r="AF580" i="7" s="1"/>
  <c r="AW579" i="7"/>
  <c r="AV579" i="7"/>
  <c r="AU579" i="7"/>
  <c r="AL579" i="7"/>
  <c r="AE579" i="7" s="1"/>
  <c r="AD579" i="7"/>
  <c r="S579" i="7"/>
  <c r="AR579" i="7" s="1"/>
  <c r="AI579" i="7" s="1"/>
  <c r="L579" i="7"/>
  <c r="AO579" i="7" s="1"/>
  <c r="AW578" i="7"/>
  <c r="AV578" i="7"/>
  <c r="AU578" i="7"/>
  <c r="AR578" i="7"/>
  <c r="AI578" i="7" s="1"/>
  <c r="AD578" i="7"/>
  <c r="S578" i="7"/>
  <c r="L578" i="7"/>
  <c r="AN578" i="7" s="1"/>
  <c r="AW577" i="7"/>
  <c r="AV577" i="7"/>
  <c r="AP577" i="7" s="1"/>
  <c r="AG577" i="7" s="1"/>
  <c r="Z577" i="7" s="1"/>
  <c r="AU577" i="7"/>
  <c r="AR577" i="7"/>
  <c r="AI577" i="7" s="1"/>
  <c r="AQ577" i="7"/>
  <c r="AH577" i="7" s="1"/>
  <c r="AD577" i="7"/>
  <c r="S577" i="7"/>
  <c r="L577" i="7"/>
  <c r="AM577" i="7" s="1"/>
  <c r="AF577" i="7" s="1"/>
  <c r="AW576" i="7"/>
  <c r="AV576" i="7"/>
  <c r="AU576" i="7"/>
  <c r="AR576" i="7"/>
  <c r="AI576" i="7" s="1"/>
  <c r="AM576" i="7"/>
  <c r="AL576" i="7"/>
  <c r="AE576" i="7" s="1"/>
  <c r="AF576" i="7"/>
  <c r="AD576" i="7"/>
  <c r="S576" i="7"/>
  <c r="AQ576" i="7" s="1"/>
  <c r="AH576" i="7" s="1"/>
  <c r="L576" i="7"/>
  <c r="AW575" i="7"/>
  <c r="AV575" i="7"/>
  <c r="AP575" i="7" s="1"/>
  <c r="AG575" i="7" s="1"/>
  <c r="Z575" i="7" s="1"/>
  <c r="AU575" i="7"/>
  <c r="AR575" i="7"/>
  <c r="AI575" i="7" s="1"/>
  <c r="AQ575" i="7"/>
  <c r="AH575" i="7" s="1"/>
  <c r="AD575" i="7"/>
  <c r="S575" i="7"/>
  <c r="L575" i="7"/>
  <c r="AW574" i="7"/>
  <c r="AV574" i="7"/>
  <c r="AU574" i="7"/>
  <c r="AR574" i="7"/>
  <c r="AI574" i="7" s="1"/>
  <c r="AQ574" i="7"/>
  <c r="AH574" i="7" s="1"/>
  <c r="Z574" i="7" s="1"/>
  <c r="AP574" i="7"/>
  <c r="AG574" i="7" s="1"/>
  <c r="AM574" i="7"/>
  <c r="AF574" i="7" s="1"/>
  <c r="AL574" i="7"/>
  <c r="AE574" i="7" s="1"/>
  <c r="AD574" i="7"/>
  <c r="S574" i="7"/>
  <c r="L574" i="7"/>
  <c r="AW573" i="7"/>
  <c r="AV573" i="7"/>
  <c r="AU573" i="7"/>
  <c r="AR573" i="7"/>
  <c r="AI573" i="7" s="1"/>
  <c r="AQ573" i="7"/>
  <c r="AH573" i="7" s="1"/>
  <c r="AD573" i="7"/>
  <c r="S573" i="7"/>
  <c r="AP573" i="7" s="1"/>
  <c r="AG573" i="7" s="1"/>
  <c r="Z573" i="7" s="1"/>
  <c r="L573" i="7"/>
  <c r="AW572" i="7"/>
  <c r="AV572" i="7"/>
  <c r="AP572" i="7" s="1"/>
  <c r="AG572" i="7" s="1"/>
  <c r="Z572" i="7" s="1"/>
  <c r="AU572" i="7"/>
  <c r="AR572" i="7"/>
  <c r="AI572" i="7" s="1"/>
  <c r="AQ572" i="7"/>
  <c r="AH572" i="7" s="1"/>
  <c r="AL572" i="7"/>
  <c r="AE572" i="7" s="1"/>
  <c r="AD572" i="7"/>
  <c r="S572" i="7"/>
  <c r="L572" i="7"/>
  <c r="AW571" i="7"/>
  <c r="AV571" i="7"/>
  <c r="AR571" i="7" s="1"/>
  <c r="AI571" i="7" s="1"/>
  <c r="AU571" i="7"/>
  <c r="AL571" i="7"/>
  <c r="AE571" i="7"/>
  <c r="AD571" i="7"/>
  <c r="S571" i="7"/>
  <c r="L571" i="7"/>
  <c r="AO571" i="7" s="1"/>
  <c r="AW570" i="7"/>
  <c r="AV570" i="7"/>
  <c r="AU570" i="7"/>
  <c r="AD570" i="7"/>
  <c r="S570" i="7"/>
  <c r="AP570" i="7" s="1"/>
  <c r="AG570" i="7" s="1"/>
  <c r="L570" i="7"/>
  <c r="AO570" i="7" s="1"/>
  <c r="AW569" i="7"/>
  <c r="AV569" i="7"/>
  <c r="AR569" i="7" s="1"/>
  <c r="AU569" i="7"/>
  <c r="AO569" i="7" s="1"/>
  <c r="AP569" i="7"/>
  <c r="AG569" i="7" s="1"/>
  <c r="AL569" i="7"/>
  <c r="AI569" i="7"/>
  <c r="AE569" i="7"/>
  <c r="AD569" i="7"/>
  <c r="S569" i="7"/>
  <c r="L569" i="7"/>
  <c r="AN569" i="7" s="1"/>
  <c r="AW568" i="7"/>
  <c r="AV568" i="7"/>
  <c r="AU568" i="7"/>
  <c r="AQ568" i="7"/>
  <c r="AH568" i="7" s="1"/>
  <c r="AP568" i="7"/>
  <c r="AG568" i="7" s="1"/>
  <c r="AN568" i="7"/>
  <c r="AL568" i="7"/>
  <c r="AE568" i="7"/>
  <c r="AD568" i="7"/>
  <c r="S568" i="7"/>
  <c r="AR568" i="7" s="1"/>
  <c r="AI568" i="7" s="1"/>
  <c r="L568" i="7"/>
  <c r="AW567" i="7"/>
  <c r="AV567" i="7"/>
  <c r="AU567" i="7"/>
  <c r="AD567" i="7"/>
  <c r="S567" i="7"/>
  <c r="L567" i="7"/>
  <c r="AW566" i="7"/>
  <c r="AV566" i="7"/>
  <c r="AR566" i="7" s="1"/>
  <c r="AU566" i="7"/>
  <c r="AQ566" i="7"/>
  <c r="AH566" i="7" s="1"/>
  <c r="AP566" i="7"/>
  <c r="AG566" i="7" s="1"/>
  <c r="AL566" i="7"/>
  <c r="AE566" i="7" s="1"/>
  <c r="AI566" i="7"/>
  <c r="AD566" i="7"/>
  <c r="Z566" i="7"/>
  <c r="S566" i="7"/>
  <c r="L566" i="7"/>
  <c r="AW565" i="7"/>
  <c r="AV565" i="7"/>
  <c r="AU565" i="7"/>
  <c r="AD565" i="7"/>
  <c r="S565" i="7"/>
  <c r="AR565" i="7" s="1"/>
  <c r="AI565" i="7" s="1"/>
  <c r="L565" i="7"/>
  <c r="AM565" i="7" s="1"/>
  <c r="AF565" i="7" s="1"/>
  <c r="AW564" i="7"/>
  <c r="AV564" i="7"/>
  <c r="AU564" i="7"/>
  <c r="AP564" i="7"/>
  <c r="AG564" i="7" s="1"/>
  <c r="AM564" i="7"/>
  <c r="AF564" i="7" s="1"/>
  <c r="AL564" i="7"/>
  <c r="AE564" i="7" s="1"/>
  <c r="AD564" i="7"/>
  <c r="S564" i="7"/>
  <c r="AR564" i="7" s="1"/>
  <c r="AI564" i="7" s="1"/>
  <c r="L564" i="7"/>
  <c r="AO564" i="7" s="1"/>
  <c r="AW563" i="7"/>
  <c r="AV563" i="7"/>
  <c r="AU563" i="7"/>
  <c r="AP563" i="7"/>
  <c r="AG563" i="7" s="1"/>
  <c r="AO563" i="7"/>
  <c r="AD563" i="7"/>
  <c r="S563" i="7"/>
  <c r="L563" i="7"/>
  <c r="AN563" i="7" s="1"/>
  <c r="AW562" i="7"/>
  <c r="AV562" i="7"/>
  <c r="AU562" i="7"/>
  <c r="AL562" i="7" s="1"/>
  <c r="AE562" i="7" s="1"/>
  <c r="AD562" i="7"/>
  <c r="S562" i="7"/>
  <c r="L562" i="7"/>
  <c r="AW561" i="7"/>
  <c r="AV561" i="7"/>
  <c r="AU561" i="7"/>
  <c r="AN561" i="7" s="1"/>
  <c r="AD561" i="7"/>
  <c r="S561" i="7"/>
  <c r="AR561" i="7" s="1"/>
  <c r="AI561" i="7" s="1"/>
  <c r="L561" i="7"/>
  <c r="AM561" i="7" s="1"/>
  <c r="AF561" i="7" s="1"/>
  <c r="AW560" i="7"/>
  <c r="AV560" i="7"/>
  <c r="AU560" i="7"/>
  <c r="AO560" i="7"/>
  <c r="AN560" i="7"/>
  <c r="AI560" i="7"/>
  <c r="AD560" i="7"/>
  <c r="S560" i="7"/>
  <c r="AR560" i="7" s="1"/>
  <c r="L560" i="7"/>
  <c r="AM560" i="7" s="1"/>
  <c r="AF560" i="7" s="1"/>
  <c r="AW559" i="7"/>
  <c r="AV559" i="7"/>
  <c r="AU559" i="7"/>
  <c r="AD559" i="7"/>
  <c r="S559" i="7"/>
  <c r="L559" i="7"/>
  <c r="AW558" i="7"/>
  <c r="AV558" i="7"/>
  <c r="AU558" i="7"/>
  <c r="AR558" i="7"/>
  <c r="AI558" i="7" s="1"/>
  <c r="AQ558" i="7"/>
  <c r="AH558" i="7" s="1"/>
  <c r="AP558" i="7"/>
  <c r="AG558" i="7"/>
  <c r="AD558" i="7"/>
  <c r="S558" i="7"/>
  <c r="L558" i="7"/>
  <c r="AL558" i="7" s="1"/>
  <c r="AE558" i="7" s="1"/>
  <c r="AW557" i="7"/>
  <c r="AV557" i="7"/>
  <c r="AU557" i="7"/>
  <c r="AN557" i="7"/>
  <c r="AL557" i="7"/>
  <c r="AE557" i="7" s="1"/>
  <c r="AI557" i="7"/>
  <c r="AD557" i="7"/>
  <c r="S557" i="7"/>
  <c r="AR557" i="7" s="1"/>
  <c r="L557" i="7"/>
  <c r="AM557" i="7" s="1"/>
  <c r="AF557" i="7" s="1"/>
  <c r="AW556" i="7"/>
  <c r="AV556" i="7"/>
  <c r="AU556" i="7"/>
  <c r="AP556" i="7"/>
  <c r="AG556" i="7" s="1"/>
  <c r="AN556" i="7"/>
  <c r="AM556" i="7"/>
  <c r="AF556" i="7" s="1"/>
  <c r="AL556" i="7"/>
  <c r="AE556" i="7" s="1"/>
  <c r="AI556" i="7"/>
  <c r="AD556" i="7"/>
  <c r="Y556" i="7"/>
  <c r="S556" i="7"/>
  <c r="AR556" i="7" s="1"/>
  <c r="L556" i="7"/>
  <c r="AO556" i="7" s="1"/>
  <c r="AW555" i="7"/>
  <c r="AV555" i="7"/>
  <c r="AU555" i="7"/>
  <c r="AM555" i="7" s="1"/>
  <c r="AF555" i="7" s="1"/>
  <c r="AD555" i="7"/>
  <c r="S555" i="7"/>
  <c r="AR555" i="7" s="1"/>
  <c r="AI555" i="7" s="1"/>
  <c r="L555" i="7"/>
  <c r="AO555" i="7" s="1"/>
  <c r="AW554" i="7"/>
  <c r="AV554" i="7"/>
  <c r="AU554" i="7"/>
  <c r="AM554" i="7"/>
  <c r="AF554" i="7" s="1"/>
  <c r="AL554" i="7"/>
  <c r="AE554" i="7" s="1"/>
  <c r="AD554" i="7"/>
  <c r="S554" i="7"/>
  <c r="AR554" i="7" s="1"/>
  <c r="AI554" i="7" s="1"/>
  <c r="L554" i="7"/>
  <c r="AW553" i="7"/>
  <c r="AV553" i="7"/>
  <c r="AP553" i="7" s="1"/>
  <c r="AG553" i="7" s="1"/>
  <c r="AU553" i="7"/>
  <c r="AD553" i="7"/>
  <c r="S553" i="7"/>
  <c r="AR553" i="7" s="1"/>
  <c r="AI553" i="7" s="1"/>
  <c r="L553" i="7"/>
  <c r="AW552" i="7"/>
  <c r="AV552" i="7"/>
  <c r="AU552" i="7"/>
  <c r="AL552" i="7" s="1"/>
  <c r="AE552" i="7" s="1"/>
  <c r="AN552" i="7"/>
  <c r="AM552" i="7"/>
  <c r="AF552" i="7" s="1"/>
  <c r="AD552" i="7"/>
  <c r="S552" i="7"/>
  <c r="AR552" i="7" s="1"/>
  <c r="AI552" i="7" s="1"/>
  <c r="L552" i="7"/>
  <c r="AO552" i="7" s="1"/>
  <c r="AW551" i="7"/>
  <c r="AV551" i="7"/>
  <c r="AU551" i="7"/>
  <c r="AD551" i="7"/>
  <c r="S551" i="7"/>
  <c r="L551" i="7"/>
  <c r="AO551" i="7" s="1"/>
  <c r="AW550" i="7"/>
  <c r="AV550" i="7"/>
  <c r="AU550" i="7"/>
  <c r="AP550" i="7"/>
  <c r="AG550" i="7" s="1"/>
  <c r="AM550" i="7"/>
  <c r="AF550" i="7"/>
  <c r="AD550" i="7"/>
  <c r="S550" i="7"/>
  <c r="AR550" i="7" s="1"/>
  <c r="AI550" i="7" s="1"/>
  <c r="L550" i="7"/>
  <c r="AL550" i="7" s="1"/>
  <c r="AE550" i="7" s="1"/>
  <c r="AW549" i="7"/>
  <c r="AV549" i="7"/>
  <c r="AU549" i="7"/>
  <c r="AN549" i="7"/>
  <c r="AM549" i="7"/>
  <c r="AF549" i="7" s="1"/>
  <c r="AL549" i="7"/>
  <c r="AE549" i="7" s="1"/>
  <c r="Y549" i="7" s="1"/>
  <c r="AD549" i="7"/>
  <c r="S549" i="7"/>
  <c r="AR549" i="7" s="1"/>
  <c r="AI549" i="7" s="1"/>
  <c r="L549" i="7"/>
  <c r="AO549" i="7" s="1"/>
  <c r="AW548" i="7"/>
  <c r="AV548" i="7"/>
  <c r="AU548" i="7"/>
  <c r="AL548" i="7"/>
  <c r="AE548" i="7" s="1"/>
  <c r="AD548" i="7"/>
  <c r="S548" i="7"/>
  <c r="AR548" i="7" s="1"/>
  <c r="AI548" i="7" s="1"/>
  <c r="L548" i="7"/>
  <c r="AO548" i="7" s="1"/>
  <c r="AW547" i="7"/>
  <c r="AV547" i="7"/>
  <c r="AU547" i="7"/>
  <c r="AO547" i="7" s="1"/>
  <c r="AD547" i="7"/>
  <c r="S547" i="7"/>
  <c r="L547" i="7"/>
  <c r="AN547" i="7" s="1"/>
  <c r="AW546" i="7"/>
  <c r="AV546" i="7"/>
  <c r="AU546" i="7"/>
  <c r="AM546" i="7"/>
  <c r="AF546" i="7" s="1"/>
  <c r="AL546" i="7"/>
  <c r="AE546" i="7" s="1"/>
  <c r="AD546" i="7"/>
  <c r="S546" i="7"/>
  <c r="AR546" i="7" s="1"/>
  <c r="AI546" i="7" s="1"/>
  <c r="L546" i="7"/>
  <c r="AN546" i="7" s="1"/>
  <c r="AW545" i="7"/>
  <c r="AV545" i="7"/>
  <c r="AU545" i="7"/>
  <c r="AD545" i="7"/>
  <c r="S545" i="7"/>
  <c r="AP545" i="7" s="1"/>
  <c r="AG545" i="7" s="1"/>
  <c r="L545" i="7"/>
  <c r="AO545" i="7" s="1"/>
  <c r="AW544" i="7"/>
  <c r="AV544" i="7"/>
  <c r="AU544" i="7"/>
  <c r="AM544" i="7" s="1"/>
  <c r="AF544" i="7" s="1"/>
  <c r="AP544" i="7"/>
  <c r="AG544" i="7" s="1"/>
  <c r="AO544" i="7"/>
  <c r="AD544" i="7"/>
  <c r="S544" i="7"/>
  <c r="L544" i="7"/>
  <c r="AN544" i="7" s="1"/>
  <c r="AW543" i="7"/>
  <c r="AV543" i="7"/>
  <c r="AP543" i="7" s="1"/>
  <c r="AG543" i="7" s="1"/>
  <c r="AU543" i="7"/>
  <c r="AL543" i="7" s="1"/>
  <c r="AE543" i="7" s="1"/>
  <c r="AQ543" i="7"/>
  <c r="AH543" i="7"/>
  <c r="AD543" i="7"/>
  <c r="S543" i="7"/>
  <c r="L543" i="7"/>
  <c r="AO543" i="7" s="1"/>
  <c r="AW542" i="7"/>
  <c r="AV542" i="7"/>
  <c r="AU542" i="7"/>
  <c r="AM542" i="7" s="1"/>
  <c r="AF542" i="7" s="1"/>
  <c r="AR542" i="7"/>
  <c r="AI542" i="7" s="1"/>
  <c r="AQ542" i="7"/>
  <c r="AH542" i="7" s="1"/>
  <c r="AL542" i="7"/>
  <c r="AE542" i="7" s="1"/>
  <c r="AD542" i="7"/>
  <c r="Z542" i="7"/>
  <c r="S542" i="7"/>
  <c r="AP542" i="7" s="1"/>
  <c r="AG542" i="7" s="1"/>
  <c r="L542" i="7"/>
  <c r="AW541" i="7"/>
  <c r="AV541" i="7"/>
  <c r="AR541" i="7" s="1"/>
  <c r="AU541" i="7"/>
  <c r="AL541" i="7" s="1"/>
  <c r="AE541" i="7" s="1"/>
  <c r="AI541" i="7"/>
  <c r="AD541" i="7"/>
  <c r="S541" i="7"/>
  <c r="AQ541" i="7" s="1"/>
  <c r="AH541" i="7" s="1"/>
  <c r="L541" i="7"/>
  <c r="AW540" i="7"/>
  <c r="AV540" i="7"/>
  <c r="AU540" i="7"/>
  <c r="AD540" i="7"/>
  <c r="S540" i="7"/>
  <c r="AR540" i="7" s="1"/>
  <c r="AI540" i="7" s="1"/>
  <c r="L540" i="7"/>
  <c r="AW539" i="7"/>
  <c r="AV539" i="7"/>
  <c r="AU539" i="7"/>
  <c r="AR539" i="7"/>
  <c r="AP539" i="7"/>
  <c r="AG539" i="7" s="1"/>
  <c r="AO539" i="7"/>
  <c r="AI539" i="7"/>
  <c r="AD539" i="7"/>
  <c r="S539" i="7"/>
  <c r="AQ539" i="7" s="1"/>
  <c r="AH539" i="7" s="1"/>
  <c r="L539" i="7"/>
  <c r="AN539" i="7" s="1"/>
  <c r="AW538" i="7"/>
  <c r="AV538" i="7"/>
  <c r="AR538" i="7" s="1"/>
  <c r="AU538" i="7"/>
  <c r="AL538" i="7" s="1"/>
  <c r="AE538" i="7" s="1"/>
  <c r="AI538" i="7"/>
  <c r="AD538" i="7"/>
  <c r="S538" i="7"/>
  <c r="AP538" i="7" s="1"/>
  <c r="AG538" i="7" s="1"/>
  <c r="L538" i="7"/>
  <c r="AO538" i="7" s="1"/>
  <c r="AW537" i="7"/>
  <c r="AV537" i="7"/>
  <c r="AU537" i="7"/>
  <c r="AN537" i="7" s="1"/>
  <c r="AD537" i="7"/>
  <c r="S537" i="7"/>
  <c r="L537" i="7"/>
  <c r="AW536" i="7"/>
  <c r="AV536" i="7"/>
  <c r="AU536" i="7"/>
  <c r="AO536" i="7"/>
  <c r="AN536" i="7"/>
  <c r="AD536" i="7"/>
  <c r="S536" i="7"/>
  <c r="L536" i="7"/>
  <c r="AM536" i="7" s="1"/>
  <c r="AF536" i="7" s="1"/>
  <c r="AW535" i="7"/>
  <c r="AV535" i="7"/>
  <c r="AU535" i="7"/>
  <c r="AL535" i="7" s="1"/>
  <c r="AE535" i="7" s="1"/>
  <c r="AR535" i="7"/>
  <c r="AI535" i="7"/>
  <c r="AD535" i="7"/>
  <c r="S535" i="7"/>
  <c r="AQ535" i="7" s="1"/>
  <c r="AH535" i="7" s="1"/>
  <c r="L535" i="7"/>
  <c r="AO535" i="7" s="1"/>
  <c r="AW534" i="7"/>
  <c r="AV534" i="7"/>
  <c r="AU534" i="7"/>
  <c r="AN534" i="7" s="1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R532" i="7"/>
  <c r="AI532" i="7" s="1"/>
  <c r="AN532" i="7"/>
  <c r="AL532" i="7"/>
  <c r="AE532" i="7" s="1"/>
  <c r="AH532" i="7"/>
  <c r="AD532" i="7"/>
  <c r="S532" i="7"/>
  <c r="AQ532" i="7" s="1"/>
  <c r="L532" i="7"/>
  <c r="AO532" i="7" s="1"/>
  <c r="AW531" i="7"/>
  <c r="AV531" i="7"/>
  <c r="AU531" i="7"/>
  <c r="AN531" i="7"/>
  <c r="AD531" i="7"/>
  <c r="S531" i="7"/>
  <c r="L531" i="7"/>
  <c r="AO531" i="7" s="1"/>
  <c r="AW530" i="7"/>
  <c r="AV530" i="7"/>
  <c r="AU530" i="7"/>
  <c r="AD530" i="7"/>
  <c r="S530" i="7"/>
  <c r="L530" i="7"/>
  <c r="AW529" i="7"/>
  <c r="AV529" i="7"/>
  <c r="AU529" i="7"/>
  <c r="AR529" i="7"/>
  <c r="AI529" i="7" s="1"/>
  <c r="AQ529" i="7"/>
  <c r="AH529" i="7"/>
  <c r="AD529" i="7"/>
  <c r="S529" i="7"/>
  <c r="AP529" i="7" s="1"/>
  <c r="AG529" i="7" s="1"/>
  <c r="Z529" i="7" s="1"/>
  <c r="L529" i="7"/>
  <c r="AO529" i="7" s="1"/>
  <c r="AW528" i="7"/>
  <c r="AV528" i="7"/>
  <c r="AU528" i="7"/>
  <c r="AR528" i="7"/>
  <c r="AI528" i="7" s="1"/>
  <c r="AM528" i="7"/>
  <c r="AF528" i="7" s="1"/>
  <c r="AL528" i="7"/>
  <c r="AE528" i="7" s="1"/>
  <c r="AD528" i="7"/>
  <c r="S528" i="7"/>
  <c r="AQ528" i="7" s="1"/>
  <c r="AH528" i="7" s="1"/>
  <c r="L528" i="7"/>
  <c r="AW527" i="7"/>
  <c r="AV527" i="7"/>
  <c r="AU527" i="7"/>
  <c r="AN527" i="7"/>
  <c r="AM527" i="7"/>
  <c r="AF527" i="7" s="1"/>
  <c r="AD527" i="7"/>
  <c r="S527" i="7"/>
  <c r="L527" i="7"/>
  <c r="AW526" i="7"/>
  <c r="AV526" i="7"/>
  <c r="AU526" i="7"/>
  <c r="AR526" i="7"/>
  <c r="AI526" i="7" s="1"/>
  <c r="AQ526" i="7"/>
  <c r="AP526" i="7"/>
  <c r="AM526" i="7"/>
  <c r="AF526" i="7" s="1"/>
  <c r="AH526" i="7"/>
  <c r="AG526" i="7"/>
  <c r="AD526" i="7"/>
  <c r="Z526" i="7"/>
  <c r="S526" i="7"/>
  <c r="L526" i="7"/>
  <c r="AW525" i="7"/>
  <c r="AV525" i="7"/>
  <c r="AU525" i="7"/>
  <c r="AR525" i="7"/>
  <c r="AI525" i="7" s="1"/>
  <c r="AD525" i="7"/>
  <c r="S525" i="7"/>
  <c r="AQ525" i="7" s="1"/>
  <c r="AH525" i="7" s="1"/>
  <c r="L525" i="7"/>
  <c r="AW524" i="7"/>
  <c r="AV524" i="7"/>
  <c r="AP524" i="7" s="1"/>
  <c r="AU524" i="7"/>
  <c r="AG524" i="7"/>
  <c r="AD524" i="7"/>
  <c r="S524" i="7"/>
  <c r="L524" i="7"/>
  <c r="AW523" i="7"/>
  <c r="AV523" i="7"/>
  <c r="AU523" i="7"/>
  <c r="AR523" i="7"/>
  <c r="AI523" i="7" s="1"/>
  <c r="AQ523" i="7"/>
  <c r="AP523" i="7"/>
  <c r="AG523" i="7" s="1"/>
  <c r="AH523" i="7"/>
  <c r="AD523" i="7"/>
  <c r="Z523" i="7"/>
  <c r="S523" i="7"/>
  <c r="L523" i="7"/>
  <c r="AW522" i="7"/>
  <c r="AV522" i="7"/>
  <c r="AU522" i="7"/>
  <c r="AR522" i="7"/>
  <c r="AI522" i="7" s="1"/>
  <c r="AQ522" i="7"/>
  <c r="AH522" i="7" s="1"/>
  <c r="AD522" i="7"/>
  <c r="S522" i="7"/>
  <c r="AP522" i="7" s="1"/>
  <c r="AG522" i="7" s="1"/>
  <c r="Z522" i="7" s="1"/>
  <c r="L522" i="7"/>
  <c r="AW521" i="7"/>
  <c r="AV521" i="7"/>
  <c r="AR521" i="7" s="1"/>
  <c r="AI521" i="7" s="1"/>
  <c r="AU521" i="7"/>
  <c r="AN521" i="7"/>
  <c r="AL521" i="7"/>
  <c r="AE521" i="7" s="1"/>
  <c r="AD521" i="7"/>
  <c r="S521" i="7"/>
  <c r="L521" i="7"/>
  <c r="AO521" i="7" s="1"/>
  <c r="AW520" i="7"/>
  <c r="AV520" i="7"/>
  <c r="AR520" i="7" s="1"/>
  <c r="AI520" i="7" s="1"/>
  <c r="AU520" i="7"/>
  <c r="AL520" i="7"/>
  <c r="AE520" i="7" s="1"/>
  <c r="AD520" i="7"/>
  <c r="S520" i="7"/>
  <c r="L520" i="7"/>
  <c r="AO520" i="7" s="1"/>
  <c r="AW519" i="7"/>
  <c r="AV519" i="7"/>
  <c r="AU519" i="7"/>
  <c r="AR519" i="7"/>
  <c r="AI519" i="7" s="1"/>
  <c r="AQ519" i="7"/>
  <c r="AH519" i="7" s="1"/>
  <c r="AM519" i="7"/>
  <c r="AF519" i="7" s="1"/>
  <c r="AL519" i="7"/>
  <c r="AE519" i="7" s="1"/>
  <c r="AD519" i="7"/>
  <c r="Z519" i="7"/>
  <c r="S519" i="7"/>
  <c r="AP519" i="7" s="1"/>
  <c r="AG519" i="7" s="1"/>
  <c r="L519" i="7"/>
  <c r="AW518" i="7"/>
  <c r="AV518" i="7"/>
  <c r="AQ518" i="7" s="1"/>
  <c r="AH518" i="7" s="1"/>
  <c r="AU518" i="7"/>
  <c r="AO518" i="7"/>
  <c r="AN518" i="7"/>
  <c r="AL518" i="7"/>
  <c r="AE518" i="7" s="1"/>
  <c r="Y518" i="7" s="1"/>
  <c r="AD518" i="7"/>
  <c r="S518" i="7"/>
  <c r="L518" i="7"/>
  <c r="AM518" i="7" s="1"/>
  <c r="AF518" i="7" s="1"/>
  <c r="AW517" i="7"/>
  <c r="AV517" i="7"/>
  <c r="AR517" i="7" s="1"/>
  <c r="AI517" i="7" s="1"/>
  <c r="AU517" i="7"/>
  <c r="AQ517" i="7"/>
  <c r="AH517" i="7" s="1"/>
  <c r="AN517" i="7"/>
  <c r="AL517" i="7"/>
  <c r="AE517" i="7"/>
  <c r="AD517" i="7"/>
  <c r="S517" i="7"/>
  <c r="L517" i="7"/>
  <c r="AO517" i="7" s="1"/>
  <c r="AW516" i="7"/>
  <c r="AV516" i="7"/>
  <c r="AR516" i="7" s="1"/>
  <c r="AI516" i="7" s="1"/>
  <c r="AU516" i="7"/>
  <c r="AQ516" i="7"/>
  <c r="AH516" i="7" s="1"/>
  <c r="AP516" i="7"/>
  <c r="AG516" i="7" s="1"/>
  <c r="AL516" i="7"/>
  <c r="AE516" i="7" s="1"/>
  <c r="AD516" i="7"/>
  <c r="S516" i="7"/>
  <c r="L516" i="7"/>
  <c r="AO516" i="7" s="1"/>
  <c r="AW515" i="7"/>
  <c r="AV515" i="7"/>
  <c r="AU515" i="7"/>
  <c r="AO515" i="7"/>
  <c r="AN515" i="7"/>
  <c r="AL515" i="7"/>
  <c r="AE515" i="7" s="1"/>
  <c r="AD515" i="7"/>
  <c r="S515" i="7"/>
  <c r="AQ515" i="7" s="1"/>
  <c r="AH515" i="7" s="1"/>
  <c r="L515" i="7"/>
  <c r="AM515" i="7" s="1"/>
  <c r="AF515" i="7" s="1"/>
  <c r="AW514" i="7"/>
  <c r="AV514" i="7"/>
  <c r="AQ514" i="7" s="1"/>
  <c r="AH514" i="7" s="1"/>
  <c r="AU514" i="7"/>
  <c r="AP514" i="7"/>
  <c r="AG514" i="7" s="1"/>
  <c r="AO514" i="7"/>
  <c r="AN514" i="7"/>
  <c r="AD514" i="7"/>
  <c r="S514" i="7"/>
  <c r="AR514" i="7" s="1"/>
  <c r="AI514" i="7" s="1"/>
  <c r="L514" i="7"/>
  <c r="AM514" i="7" s="1"/>
  <c r="AF514" i="7" s="1"/>
  <c r="AW513" i="7"/>
  <c r="AV513" i="7"/>
  <c r="AR513" i="7" s="1"/>
  <c r="AU513" i="7"/>
  <c r="AQ513" i="7"/>
  <c r="AH513" i="7" s="1"/>
  <c r="AL513" i="7"/>
  <c r="AI513" i="7"/>
  <c r="AE513" i="7"/>
  <c r="AD513" i="7"/>
  <c r="S513" i="7"/>
  <c r="L513" i="7"/>
  <c r="AO513" i="7" s="1"/>
  <c r="AW512" i="7"/>
  <c r="AV512" i="7"/>
  <c r="AU512" i="7"/>
  <c r="AM512" i="7" s="1"/>
  <c r="AF512" i="7" s="1"/>
  <c r="AD512" i="7"/>
  <c r="S512" i="7"/>
  <c r="L512" i="7"/>
  <c r="AW511" i="7"/>
  <c r="AV511" i="7"/>
  <c r="AU511" i="7"/>
  <c r="AN511" i="7" s="1"/>
  <c r="AD511" i="7"/>
  <c r="S511" i="7"/>
  <c r="L511" i="7"/>
  <c r="AW510" i="7"/>
  <c r="AV510" i="7"/>
  <c r="AQ510" i="7" s="1"/>
  <c r="AH510" i="7" s="1"/>
  <c r="AU510" i="7"/>
  <c r="AO510" i="7"/>
  <c r="AD510" i="7"/>
  <c r="S510" i="7"/>
  <c r="L510" i="7"/>
  <c r="AN510" i="7" s="1"/>
  <c r="AW509" i="7"/>
  <c r="AV509" i="7"/>
  <c r="AU509" i="7"/>
  <c r="AP509" i="7"/>
  <c r="AG509" i="7" s="1"/>
  <c r="AL509" i="7"/>
  <c r="AE509" i="7" s="1"/>
  <c r="AD509" i="7"/>
  <c r="S509" i="7"/>
  <c r="L509" i="7"/>
  <c r="AM509" i="7" s="1"/>
  <c r="AF509" i="7" s="1"/>
  <c r="AW508" i="7"/>
  <c r="AV508" i="7"/>
  <c r="AU508" i="7"/>
  <c r="AP508" i="7"/>
  <c r="AG508" i="7" s="1"/>
  <c r="AO508" i="7"/>
  <c r="AN508" i="7"/>
  <c r="AM508" i="7"/>
  <c r="AF508" i="7"/>
  <c r="AD508" i="7"/>
  <c r="S508" i="7"/>
  <c r="L508" i="7"/>
  <c r="AW507" i="7"/>
  <c r="AV507" i="7"/>
  <c r="AU507" i="7"/>
  <c r="AR507" i="7"/>
  <c r="AI507" i="7" s="1"/>
  <c r="AQ507" i="7"/>
  <c r="AP507" i="7"/>
  <c r="AG507" i="7" s="1"/>
  <c r="AO507" i="7"/>
  <c r="AH507" i="7"/>
  <c r="AD507" i="7"/>
  <c r="S507" i="7"/>
  <c r="L507" i="7"/>
  <c r="AN507" i="7" s="1"/>
  <c r="AW506" i="7"/>
  <c r="AV506" i="7"/>
  <c r="AU506" i="7"/>
  <c r="AR506" i="7"/>
  <c r="AM506" i="7"/>
  <c r="AF506" i="7" s="1"/>
  <c r="AI506" i="7"/>
  <c r="AD506" i="7"/>
  <c r="S506" i="7"/>
  <c r="L506" i="7"/>
  <c r="AO506" i="7" s="1"/>
  <c r="AW505" i="7"/>
  <c r="AV505" i="7"/>
  <c r="AU505" i="7"/>
  <c r="AO505" i="7" s="1"/>
  <c r="AN505" i="7"/>
  <c r="AM505" i="7"/>
  <c r="AF505" i="7" s="1"/>
  <c r="AD505" i="7"/>
  <c r="S505" i="7"/>
  <c r="AQ505" i="7" s="1"/>
  <c r="AH505" i="7" s="1"/>
  <c r="L505" i="7"/>
  <c r="AW504" i="7"/>
  <c r="AV504" i="7"/>
  <c r="AP504" i="7" s="1"/>
  <c r="AG504" i="7" s="1"/>
  <c r="Z504" i="7" s="1"/>
  <c r="AU504" i="7"/>
  <c r="AQ504" i="7"/>
  <c r="AH504" i="7" s="1"/>
  <c r="AD504" i="7"/>
  <c r="S504" i="7"/>
  <c r="AR504" i="7" s="1"/>
  <c r="AI504" i="7" s="1"/>
  <c r="L504" i="7"/>
  <c r="AW503" i="7"/>
  <c r="AV503" i="7"/>
  <c r="AU503" i="7"/>
  <c r="AO503" i="7"/>
  <c r="AM503" i="7"/>
  <c r="AF503" i="7" s="1"/>
  <c r="Y503" i="7" s="1"/>
  <c r="AL503" i="7"/>
  <c r="AE503" i="7"/>
  <c r="AD503" i="7"/>
  <c r="S503" i="7"/>
  <c r="AQ503" i="7" s="1"/>
  <c r="AH503" i="7" s="1"/>
  <c r="L503" i="7"/>
  <c r="AN503" i="7" s="1"/>
  <c r="AW502" i="7"/>
  <c r="AV502" i="7"/>
  <c r="AU502" i="7"/>
  <c r="AR502" i="7"/>
  <c r="AQ502" i="7"/>
  <c r="AP502" i="7"/>
  <c r="AG502" i="7" s="1"/>
  <c r="Z502" i="7" s="1"/>
  <c r="AL502" i="7"/>
  <c r="AE502" i="7" s="1"/>
  <c r="AI502" i="7"/>
  <c r="AH502" i="7"/>
  <c r="AD502" i="7"/>
  <c r="S502" i="7"/>
  <c r="L502" i="7"/>
  <c r="AN502" i="7" s="1"/>
  <c r="AW501" i="7"/>
  <c r="AV501" i="7"/>
  <c r="AU501" i="7"/>
  <c r="AP501" i="7"/>
  <c r="AG501" i="7" s="1"/>
  <c r="AO501" i="7"/>
  <c r="AD501" i="7"/>
  <c r="S501" i="7"/>
  <c r="AQ501" i="7" s="1"/>
  <c r="AH501" i="7" s="1"/>
  <c r="L501" i="7"/>
  <c r="AN501" i="7" s="1"/>
  <c r="AW500" i="7"/>
  <c r="AV500" i="7"/>
  <c r="AR500" i="7" s="1"/>
  <c r="AI500" i="7" s="1"/>
  <c r="AU500" i="7"/>
  <c r="AQ500" i="7"/>
  <c r="AH500" i="7" s="1"/>
  <c r="AD500" i="7"/>
  <c r="S500" i="7"/>
  <c r="L500" i="7"/>
  <c r="AN500" i="7" s="1"/>
  <c r="AW499" i="7"/>
  <c r="AV499" i="7"/>
  <c r="AU499" i="7"/>
  <c r="AN499" i="7"/>
  <c r="AM499" i="7"/>
  <c r="AF499" i="7" s="1"/>
  <c r="AL499" i="7"/>
  <c r="AE499" i="7" s="1"/>
  <c r="AD499" i="7"/>
  <c r="S499" i="7"/>
  <c r="AQ499" i="7" s="1"/>
  <c r="AH499" i="7" s="1"/>
  <c r="L499" i="7"/>
  <c r="AO499" i="7" s="1"/>
  <c r="AW498" i="7"/>
  <c r="AV498" i="7"/>
  <c r="AR498" i="7" s="1"/>
  <c r="AI498" i="7" s="1"/>
  <c r="AU498" i="7"/>
  <c r="AN498" i="7" s="1"/>
  <c r="AD498" i="7"/>
  <c r="S498" i="7"/>
  <c r="L498" i="7"/>
  <c r="AL498" i="7" s="1"/>
  <c r="AE498" i="7" s="1"/>
  <c r="AW497" i="7"/>
  <c r="AV497" i="7"/>
  <c r="AU497" i="7"/>
  <c r="AN497" i="7"/>
  <c r="AM497" i="7"/>
  <c r="AF497" i="7" s="1"/>
  <c r="AL497" i="7"/>
  <c r="AE497" i="7" s="1"/>
  <c r="AD497" i="7"/>
  <c r="S497" i="7"/>
  <c r="AR497" i="7" s="1"/>
  <c r="AI497" i="7" s="1"/>
  <c r="L497" i="7"/>
  <c r="AO497" i="7" s="1"/>
  <c r="AW496" i="7"/>
  <c r="AV496" i="7"/>
  <c r="AP496" i="7" s="1"/>
  <c r="AG496" i="7" s="1"/>
  <c r="AU496" i="7"/>
  <c r="AN496" i="7"/>
  <c r="AL496" i="7"/>
  <c r="AE496" i="7" s="1"/>
  <c r="AD496" i="7"/>
  <c r="S496" i="7"/>
  <c r="AR496" i="7" s="1"/>
  <c r="AI496" i="7" s="1"/>
  <c r="L496" i="7"/>
  <c r="AO496" i="7" s="1"/>
  <c r="AW495" i="7"/>
  <c r="AV495" i="7"/>
  <c r="AU495" i="7"/>
  <c r="AR495" i="7"/>
  <c r="AI495" i="7" s="1"/>
  <c r="AL495" i="7"/>
  <c r="AE495" i="7" s="1"/>
  <c r="AD495" i="7"/>
  <c r="S495" i="7"/>
  <c r="AQ495" i="7" s="1"/>
  <c r="AH495" i="7" s="1"/>
  <c r="L495" i="7"/>
  <c r="AO495" i="7" s="1"/>
  <c r="AW494" i="7"/>
  <c r="AV494" i="7"/>
  <c r="AR494" i="7" s="1"/>
  <c r="AI494" i="7" s="1"/>
  <c r="AU494" i="7"/>
  <c r="AN494" i="7" s="1"/>
  <c r="AD494" i="7"/>
  <c r="S494" i="7"/>
  <c r="L494" i="7"/>
  <c r="AW493" i="7"/>
  <c r="AV493" i="7"/>
  <c r="AU493" i="7"/>
  <c r="AQ493" i="7"/>
  <c r="AH493" i="7" s="1"/>
  <c r="AL493" i="7"/>
  <c r="AE493" i="7" s="1"/>
  <c r="AD493" i="7"/>
  <c r="S493" i="7"/>
  <c r="AR493" i="7" s="1"/>
  <c r="AI493" i="7" s="1"/>
  <c r="L493" i="7"/>
  <c r="AO493" i="7" s="1"/>
  <c r="AW492" i="7"/>
  <c r="AV492" i="7"/>
  <c r="AP492" i="7" s="1"/>
  <c r="AG492" i="7" s="1"/>
  <c r="AU492" i="7"/>
  <c r="AN492" i="7"/>
  <c r="AM492" i="7"/>
  <c r="AL492" i="7"/>
  <c r="AE492" i="7" s="1"/>
  <c r="AF492" i="7"/>
  <c r="AD492" i="7"/>
  <c r="S492" i="7"/>
  <c r="AR492" i="7" s="1"/>
  <c r="AI492" i="7" s="1"/>
  <c r="L492" i="7"/>
  <c r="AO492" i="7" s="1"/>
  <c r="AW491" i="7"/>
  <c r="AV491" i="7"/>
  <c r="AU491" i="7"/>
  <c r="AN491" i="7"/>
  <c r="AL491" i="7"/>
  <c r="AE491" i="7" s="1"/>
  <c r="AD491" i="7"/>
  <c r="S491" i="7"/>
  <c r="AQ491" i="7" s="1"/>
  <c r="AH491" i="7" s="1"/>
  <c r="L491" i="7"/>
  <c r="AO491" i="7" s="1"/>
  <c r="AW490" i="7"/>
  <c r="AV490" i="7"/>
  <c r="AQ490" i="7" s="1"/>
  <c r="AH490" i="7" s="1"/>
  <c r="AU490" i="7"/>
  <c r="AN490" i="7" s="1"/>
  <c r="AR490" i="7"/>
  <c r="AI490" i="7"/>
  <c r="AD490" i="7"/>
  <c r="S490" i="7"/>
  <c r="L490" i="7"/>
  <c r="AW489" i="7"/>
  <c r="AV489" i="7"/>
  <c r="AU489" i="7"/>
  <c r="AP489" i="7"/>
  <c r="AG489" i="7" s="1"/>
  <c r="AI489" i="7"/>
  <c r="AD489" i="7"/>
  <c r="S489" i="7"/>
  <c r="AR489" i="7" s="1"/>
  <c r="L489" i="7"/>
  <c r="AO489" i="7" s="1"/>
  <c r="AW488" i="7"/>
  <c r="AV488" i="7"/>
  <c r="AU488" i="7"/>
  <c r="AM488" i="7" s="1"/>
  <c r="AF488" i="7" s="1"/>
  <c r="AD488" i="7"/>
  <c r="S488" i="7"/>
  <c r="AR488" i="7" s="1"/>
  <c r="AI488" i="7" s="1"/>
  <c r="L488" i="7"/>
  <c r="AL488" i="7" s="1"/>
  <c r="AE488" i="7" s="1"/>
  <c r="AW487" i="7"/>
  <c r="AV487" i="7"/>
  <c r="AU487" i="7"/>
  <c r="AR487" i="7"/>
  <c r="AI487" i="7" s="1"/>
  <c r="AQ487" i="7"/>
  <c r="AH487" i="7" s="1"/>
  <c r="AP487" i="7"/>
  <c r="AG487" i="7" s="1"/>
  <c r="AM487" i="7"/>
  <c r="AF487" i="7" s="1"/>
  <c r="AL487" i="7"/>
  <c r="AE487" i="7" s="1"/>
  <c r="AD487" i="7"/>
  <c r="S487" i="7"/>
  <c r="L487" i="7"/>
  <c r="AO487" i="7" s="1"/>
  <c r="AW486" i="7"/>
  <c r="AV486" i="7"/>
  <c r="AU486" i="7"/>
  <c r="AL486" i="7" s="1"/>
  <c r="AE486" i="7" s="1"/>
  <c r="AM486" i="7"/>
  <c r="AF486" i="7"/>
  <c r="AD486" i="7"/>
  <c r="S486" i="7"/>
  <c r="L486" i="7"/>
  <c r="AW485" i="7"/>
  <c r="AV485" i="7"/>
  <c r="AU485" i="7"/>
  <c r="AD485" i="7"/>
  <c r="S485" i="7"/>
  <c r="AR485" i="7" s="1"/>
  <c r="AI485" i="7" s="1"/>
  <c r="L485" i="7"/>
  <c r="AW484" i="7"/>
  <c r="AV484" i="7"/>
  <c r="AU484" i="7"/>
  <c r="AR484" i="7"/>
  <c r="AM484" i="7"/>
  <c r="AL484" i="7"/>
  <c r="AE484" i="7" s="1"/>
  <c r="AI484" i="7"/>
  <c r="AF484" i="7"/>
  <c r="AD484" i="7"/>
  <c r="S484" i="7"/>
  <c r="AQ484" i="7" s="1"/>
  <c r="AH484" i="7" s="1"/>
  <c r="L484" i="7"/>
  <c r="AO484" i="7" s="1"/>
  <c r="AW483" i="7"/>
  <c r="AV483" i="7"/>
  <c r="AU483" i="7"/>
  <c r="AO483" i="7" s="1"/>
  <c r="AR483" i="7"/>
  <c r="AI483" i="7" s="1"/>
  <c r="AQ483" i="7"/>
  <c r="AH483" i="7" s="1"/>
  <c r="AP483" i="7"/>
  <c r="AG483" i="7" s="1"/>
  <c r="AD483" i="7"/>
  <c r="S483" i="7"/>
  <c r="L483" i="7"/>
  <c r="AN483" i="7" s="1"/>
  <c r="AW482" i="7"/>
  <c r="AV482" i="7"/>
  <c r="AU482" i="7"/>
  <c r="AM482" i="7"/>
  <c r="AF482" i="7" s="1"/>
  <c r="AD482" i="7"/>
  <c r="S482" i="7"/>
  <c r="AR482" i="7" s="1"/>
  <c r="AI482" i="7" s="1"/>
  <c r="L482" i="7"/>
  <c r="AL482" i="7" s="1"/>
  <c r="AE482" i="7" s="1"/>
  <c r="AW481" i="7"/>
  <c r="AV481" i="7"/>
  <c r="AU481" i="7"/>
  <c r="AM481" i="7" s="1"/>
  <c r="AF481" i="7" s="1"/>
  <c r="AR481" i="7"/>
  <c r="AI481" i="7" s="1"/>
  <c r="AQ481" i="7"/>
  <c r="AH481" i="7"/>
  <c r="AD481" i="7"/>
  <c r="S481" i="7"/>
  <c r="AP481" i="7" s="1"/>
  <c r="AG481" i="7" s="1"/>
  <c r="Z481" i="7" s="1"/>
  <c r="L481" i="7"/>
  <c r="AO481" i="7" s="1"/>
  <c r="AW480" i="7"/>
  <c r="AV480" i="7"/>
  <c r="AU480" i="7"/>
  <c r="AM480" i="7"/>
  <c r="AF480" i="7" s="1"/>
  <c r="AL480" i="7"/>
  <c r="AE480" i="7" s="1"/>
  <c r="AD480" i="7"/>
  <c r="S480" i="7"/>
  <c r="AR480" i="7" s="1"/>
  <c r="AI480" i="7" s="1"/>
  <c r="L480" i="7"/>
  <c r="AO480" i="7" s="1"/>
  <c r="AW479" i="7"/>
  <c r="AV479" i="7"/>
  <c r="AU479" i="7"/>
  <c r="AD479" i="7"/>
  <c r="S479" i="7"/>
  <c r="L479" i="7"/>
  <c r="AW478" i="7"/>
  <c r="AV478" i="7"/>
  <c r="AU478" i="7"/>
  <c r="AR478" i="7"/>
  <c r="AI478" i="7" s="1"/>
  <c r="AD478" i="7"/>
  <c r="S478" i="7"/>
  <c r="AQ478" i="7" s="1"/>
  <c r="AH478" i="7" s="1"/>
  <c r="L478" i="7"/>
  <c r="AN478" i="7" s="1"/>
  <c r="AW477" i="7"/>
  <c r="AV477" i="7"/>
  <c r="AR477" i="7" s="1"/>
  <c r="AU477" i="7"/>
  <c r="AQ477" i="7"/>
  <c r="AH477" i="7" s="1"/>
  <c r="AP477" i="7"/>
  <c r="AL477" i="7"/>
  <c r="AI477" i="7"/>
  <c r="AG477" i="7"/>
  <c r="AE477" i="7"/>
  <c r="AD477" i="7"/>
  <c r="S477" i="7"/>
  <c r="L477" i="7"/>
  <c r="AO477" i="7" s="1"/>
  <c r="AW476" i="7"/>
  <c r="AV476" i="7"/>
  <c r="AU476" i="7"/>
  <c r="AD476" i="7"/>
  <c r="S476" i="7"/>
  <c r="AR476" i="7" s="1"/>
  <c r="AI476" i="7" s="1"/>
  <c r="L476" i="7"/>
  <c r="AM476" i="7" s="1"/>
  <c r="AF476" i="7" s="1"/>
  <c r="AW475" i="7"/>
  <c r="AV475" i="7"/>
  <c r="AU475" i="7"/>
  <c r="AR475" i="7"/>
  <c r="AL475" i="7"/>
  <c r="AE475" i="7" s="1"/>
  <c r="AI475" i="7"/>
  <c r="AH475" i="7"/>
  <c r="AD475" i="7"/>
  <c r="S475" i="7"/>
  <c r="AQ475" i="7" s="1"/>
  <c r="L475" i="7"/>
  <c r="AO475" i="7" s="1"/>
  <c r="AW474" i="7"/>
  <c r="AV474" i="7"/>
  <c r="AQ474" i="7" s="1"/>
  <c r="AH474" i="7" s="1"/>
  <c r="AU474" i="7"/>
  <c r="AR474" i="7"/>
  <c r="AI474" i="7" s="1"/>
  <c r="AL474" i="7"/>
  <c r="AE474" i="7" s="1"/>
  <c r="AD474" i="7"/>
  <c r="S474" i="7"/>
  <c r="AP474" i="7" s="1"/>
  <c r="AG474" i="7" s="1"/>
  <c r="Z474" i="7" s="1"/>
  <c r="L474" i="7"/>
  <c r="AM474" i="7" s="1"/>
  <c r="AF474" i="7" s="1"/>
  <c r="AW473" i="7"/>
  <c r="AV473" i="7"/>
  <c r="AU473" i="7"/>
  <c r="AP473" i="7"/>
  <c r="AG473" i="7" s="1"/>
  <c r="AD473" i="7"/>
  <c r="S473" i="7"/>
  <c r="AR473" i="7" s="1"/>
  <c r="AI473" i="7" s="1"/>
  <c r="L473" i="7"/>
  <c r="AW472" i="7"/>
  <c r="AV472" i="7"/>
  <c r="AU472" i="7"/>
  <c r="AM472" i="7" s="1"/>
  <c r="AF472" i="7"/>
  <c r="AD472" i="7"/>
  <c r="S472" i="7"/>
  <c r="AR472" i="7" s="1"/>
  <c r="AI472" i="7" s="1"/>
  <c r="L472" i="7"/>
  <c r="AL472" i="7" s="1"/>
  <c r="AE472" i="7" s="1"/>
  <c r="AW471" i="7"/>
  <c r="AV471" i="7"/>
  <c r="AU471" i="7"/>
  <c r="AR471" i="7"/>
  <c r="AI471" i="7" s="1"/>
  <c r="AQ471" i="7"/>
  <c r="AH471" i="7" s="1"/>
  <c r="AP471" i="7"/>
  <c r="AG471" i="7" s="1"/>
  <c r="Z471" i="7" s="1"/>
  <c r="AM471" i="7"/>
  <c r="AF471" i="7" s="1"/>
  <c r="AL471" i="7"/>
  <c r="AE471" i="7" s="1"/>
  <c r="AD471" i="7"/>
  <c r="S471" i="7"/>
  <c r="L471" i="7"/>
  <c r="AO471" i="7" s="1"/>
  <c r="AW470" i="7"/>
  <c r="AV470" i="7"/>
  <c r="AU470" i="7"/>
  <c r="AM470" i="7"/>
  <c r="AL470" i="7"/>
  <c r="AF470" i="7"/>
  <c r="AE470" i="7"/>
  <c r="AD470" i="7"/>
  <c r="S470" i="7"/>
  <c r="AR470" i="7" s="1"/>
  <c r="AI470" i="7" s="1"/>
  <c r="L470" i="7"/>
  <c r="AW469" i="7"/>
  <c r="AV469" i="7"/>
  <c r="AU469" i="7"/>
  <c r="AN469" i="7" s="1"/>
  <c r="AR469" i="7"/>
  <c r="AI469" i="7" s="1"/>
  <c r="AO469" i="7"/>
  <c r="AD469" i="7"/>
  <c r="S469" i="7"/>
  <c r="L469" i="7"/>
  <c r="AW468" i="7"/>
  <c r="AV468" i="7"/>
  <c r="AU468" i="7"/>
  <c r="AR468" i="7"/>
  <c r="AM468" i="7"/>
  <c r="AL468" i="7"/>
  <c r="AE468" i="7" s="1"/>
  <c r="AI468" i="7"/>
  <c r="AH468" i="7"/>
  <c r="AF468" i="7"/>
  <c r="AD468" i="7"/>
  <c r="S468" i="7"/>
  <c r="AQ468" i="7" s="1"/>
  <c r="L468" i="7"/>
  <c r="AO468" i="7" s="1"/>
  <c r="AW467" i="7"/>
  <c r="AV467" i="7"/>
  <c r="AU467" i="7"/>
  <c r="AR467" i="7"/>
  <c r="AI467" i="7" s="1"/>
  <c r="AQ467" i="7"/>
  <c r="AH467" i="7" s="1"/>
  <c r="AP467" i="7"/>
  <c r="AG467" i="7" s="1"/>
  <c r="Z467" i="7" s="1"/>
  <c r="AD467" i="7"/>
  <c r="S467" i="7"/>
  <c r="L467" i="7"/>
  <c r="AN467" i="7" s="1"/>
  <c r="AW466" i="7"/>
  <c r="AV466" i="7"/>
  <c r="AU466" i="7"/>
  <c r="AM466" i="7"/>
  <c r="AF466" i="7" s="1"/>
  <c r="AD466" i="7"/>
  <c r="S466" i="7"/>
  <c r="L466" i="7"/>
  <c r="AL466" i="7" s="1"/>
  <c r="AE466" i="7" s="1"/>
  <c r="AW465" i="7"/>
  <c r="AV465" i="7"/>
  <c r="AU465" i="7"/>
  <c r="AM465" i="7" s="1"/>
  <c r="AF465" i="7" s="1"/>
  <c r="AR465" i="7"/>
  <c r="AI465" i="7" s="1"/>
  <c r="AQ465" i="7"/>
  <c r="AH465" i="7"/>
  <c r="AD465" i="7"/>
  <c r="S465" i="7"/>
  <c r="AP465" i="7" s="1"/>
  <c r="AG465" i="7" s="1"/>
  <c r="Z465" i="7" s="1"/>
  <c r="L465" i="7"/>
  <c r="AO465" i="7" s="1"/>
  <c r="AW464" i="7"/>
  <c r="AV464" i="7"/>
  <c r="AU464" i="7"/>
  <c r="AR464" i="7"/>
  <c r="AI464" i="7" s="1"/>
  <c r="AP464" i="7"/>
  <c r="AG464" i="7" s="1"/>
  <c r="Z464" i="7" s="1"/>
  <c r="AM464" i="7"/>
  <c r="AF464" i="7" s="1"/>
  <c r="AL464" i="7"/>
  <c r="AE464" i="7" s="1"/>
  <c r="AD464" i="7"/>
  <c r="S464" i="7"/>
  <c r="AQ464" i="7" s="1"/>
  <c r="AH464" i="7" s="1"/>
  <c r="L464" i="7"/>
  <c r="AO464" i="7" s="1"/>
  <c r="AW463" i="7"/>
  <c r="AV463" i="7"/>
  <c r="AU463" i="7"/>
  <c r="AI463" i="7"/>
  <c r="AD463" i="7"/>
  <c r="S463" i="7"/>
  <c r="AR463" i="7" s="1"/>
  <c r="L463" i="7"/>
  <c r="AO463" i="7" s="1"/>
  <c r="AW462" i="7"/>
  <c r="AV462" i="7"/>
  <c r="AU462" i="7"/>
  <c r="AR462" i="7"/>
  <c r="AI462" i="7" s="1"/>
  <c r="AD462" i="7"/>
  <c r="S462" i="7"/>
  <c r="AQ462" i="7" s="1"/>
  <c r="AH462" i="7" s="1"/>
  <c r="L462" i="7"/>
  <c r="AW461" i="7"/>
  <c r="AV461" i="7"/>
  <c r="AR461" i="7" s="1"/>
  <c r="AI461" i="7" s="1"/>
  <c r="AU461" i="7"/>
  <c r="AQ461" i="7"/>
  <c r="AH461" i="7" s="1"/>
  <c r="AP461" i="7"/>
  <c r="AM461" i="7"/>
  <c r="AL461" i="7"/>
  <c r="AE461" i="7" s="1"/>
  <c r="AG461" i="7"/>
  <c r="AF461" i="7"/>
  <c r="AD461" i="7"/>
  <c r="S461" i="7"/>
  <c r="L461" i="7"/>
  <c r="AO461" i="7" s="1"/>
  <c r="AW460" i="7"/>
  <c r="AV460" i="7"/>
  <c r="AQ460" i="7" s="1"/>
  <c r="AH460" i="7" s="1"/>
  <c r="AU460" i="7"/>
  <c r="AD460" i="7"/>
  <c r="S460" i="7"/>
  <c r="L460" i="7"/>
  <c r="AM460" i="7" s="1"/>
  <c r="AF460" i="7" s="1"/>
  <c r="AW459" i="7"/>
  <c r="AV459" i="7"/>
  <c r="AU459" i="7"/>
  <c r="AR459" i="7"/>
  <c r="AI459" i="7"/>
  <c r="AD459" i="7"/>
  <c r="S459" i="7"/>
  <c r="AQ459" i="7" s="1"/>
  <c r="AH459" i="7" s="1"/>
  <c r="L459" i="7"/>
  <c r="AW458" i="7"/>
  <c r="AV458" i="7"/>
  <c r="AQ458" i="7" s="1"/>
  <c r="AH458" i="7" s="1"/>
  <c r="AU458" i="7"/>
  <c r="AL458" i="7"/>
  <c r="AE458" i="7" s="1"/>
  <c r="AF458" i="7"/>
  <c r="AD458" i="7"/>
  <c r="S458" i="7"/>
  <c r="L458" i="7"/>
  <c r="AM458" i="7" s="1"/>
  <c r="AW457" i="7"/>
  <c r="AV457" i="7"/>
  <c r="AQ457" i="7" s="1"/>
  <c r="AH457" i="7" s="1"/>
  <c r="AU457" i="7"/>
  <c r="AP457" i="7"/>
  <c r="AG457" i="7" s="1"/>
  <c r="AN457" i="7"/>
  <c r="AD457" i="7"/>
  <c r="S457" i="7"/>
  <c r="AR457" i="7" s="1"/>
  <c r="AI457" i="7" s="1"/>
  <c r="L457" i="7"/>
  <c r="AW456" i="7"/>
  <c r="AV456" i="7"/>
  <c r="AU456" i="7"/>
  <c r="AM456" i="7" s="1"/>
  <c r="AF456" i="7" s="1"/>
  <c r="AD456" i="7"/>
  <c r="S456" i="7"/>
  <c r="AR456" i="7" s="1"/>
  <c r="AI456" i="7" s="1"/>
  <c r="L456" i="7"/>
  <c r="AL456" i="7" s="1"/>
  <c r="AE456" i="7" s="1"/>
  <c r="AW455" i="7"/>
  <c r="AV455" i="7"/>
  <c r="AU455" i="7"/>
  <c r="AR455" i="7"/>
  <c r="AI455" i="7" s="1"/>
  <c r="AQ455" i="7"/>
  <c r="AH455" i="7" s="1"/>
  <c r="Z455" i="7" s="1"/>
  <c r="AP455" i="7"/>
  <c r="AG455" i="7" s="1"/>
  <c r="AM455" i="7"/>
  <c r="AF455" i="7" s="1"/>
  <c r="AL455" i="7"/>
  <c r="AE455" i="7" s="1"/>
  <c r="AD455" i="7"/>
  <c r="S455" i="7"/>
  <c r="L455" i="7"/>
  <c r="AO455" i="7" s="1"/>
  <c r="AW454" i="7"/>
  <c r="AV454" i="7"/>
  <c r="AU454" i="7"/>
  <c r="AM454" i="7"/>
  <c r="AL454" i="7"/>
  <c r="AF454" i="7"/>
  <c r="AE454" i="7"/>
  <c r="AD454" i="7"/>
  <c r="S454" i="7"/>
  <c r="L454" i="7"/>
  <c r="AW453" i="7"/>
  <c r="AV453" i="7"/>
  <c r="AU453" i="7"/>
  <c r="AM453" i="7" s="1"/>
  <c r="AF453" i="7" s="1"/>
  <c r="AR453" i="7"/>
  <c r="AI453" i="7" s="1"/>
  <c r="AP453" i="7"/>
  <c r="AG453" i="7" s="1"/>
  <c r="Z453" i="7" s="1"/>
  <c r="AO453" i="7"/>
  <c r="AN453" i="7"/>
  <c r="AD453" i="7"/>
  <c r="S453" i="7"/>
  <c r="AQ453" i="7" s="1"/>
  <c r="AH453" i="7" s="1"/>
  <c r="L453" i="7"/>
  <c r="AL453" i="7" s="1"/>
  <c r="AE453" i="7" s="1"/>
  <c r="Y453" i="7" s="1"/>
  <c r="AW452" i="7"/>
  <c r="AV452" i="7"/>
  <c r="AU452" i="7"/>
  <c r="AP452" i="7"/>
  <c r="AG452" i="7" s="1"/>
  <c r="AN452" i="7"/>
  <c r="AD452" i="7"/>
  <c r="S452" i="7"/>
  <c r="AR452" i="7" s="1"/>
  <c r="AI452" i="7" s="1"/>
  <c r="L452" i="7"/>
  <c r="AL452" i="7" s="1"/>
  <c r="AE452" i="7" s="1"/>
  <c r="AW451" i="7"/>
  <c r="AV451" i="7"/>
  <c r="AU451" i="7"/>
  <c r="AP451" i="7"/>
  <c r="AG451" i="7"/>
  <c r="AD451" i="7"/>
  <c r="S451" i="7"/>
  <c r="L451" i="7"/>
  <c r="AL451" i="7" s="1"/>
  <c r="AE451" i="7" s="1"/>
  <c r="AW450" i="7"/>
  <c r="AV450" i="7"/>
  <c r="AU450" i="7"/>
  <c r="AR450" i="7"/>
  <c r="AI450" i="7" s="1"/>
  <c r="AD450" i="7"/>
  <c r="S450" i="7"/>
  <c r="AQ450" i="7" s="1"/>
  <c r="AH450" i="7" s="1"/>
  <c r="L450" i="7"/>
  <c r="AL450" i="7" s="1"/>
  <c r="AE450" i="7" s="1"/>
  <c r="AW449" i="7"/>
  <c r="AV449" i="7"/>
  <c r="AU449" i="7"/>
  <c r="AM449" i="7" s="1"/>
  <c r="AF449" i="7" s="1"/>
  <c r="AR449" i="7"/>
  <c r="AP449" i="7"/>
  <c r="AG449" i="7" s="1"/>
  <c r="AO449" i="7"/>
  <c r="AN449" i="7"/>
  <c r="Y449" i="7" s="1"/>
  <c r="AI449" i="7"/>
  <c r="AD449" i="7"/>
  <c r="S449" i="7"/>
  <c r="AQ449" i="7" s="1"/>
  <c r="AH449" i="7" s="1"/>
  <c r="Z449" i="7" s="1"/>
  <c r="L449" i="7"/>
  <c r="AL449" i="7" s="1"/>
  <c r="AE449" i="7" s="1"/>
  <c r="AW448" i="7"/>
  <c r="AV448" i="7"/>
  <c r="AU448" i="7"/>
  <c r="AP448" i="7"/>
  <c r="AG448" i="7" s="1"/>
  <c r="AD448" i="7"/>
  <c r="S448" i="7"/>
  <c r="AR448" i="7" s="1"/>
  <c r="AI448" i="7" s="1"/>
  <c r="L448" i="7"/>
  <c r="AN448" i="7" s="1"/>
  <c r="AW447" i="7"/>
  <c r="AV447" i="7"/>
  <c r="AU447" i="7"/>
  <c r="AQ447" i="7"/>
  <c r="AP447" i="7"/>
  <c r="AH447" i="7"/>
  <c r="AG447" i="7"/>
  <c r="AD447" i="7"/>
  <c r="Z447" i="7"/>
  <c r="S447" i="7"/>
  <c r="AR447" i="7" s="1"/>
  <c r="AI447" i="7" s="1"/>
  <c r="L447" i="7"/>
  <c r="AW446" i="7"/>
  <c r="AV446" i="7"/>
  <c r="AU446" i="7"/>
  <c r="AD446" i="7"/>
  <c r="S446" i="7"/>
  <c r="L446" i="7"/>
  <c r="AW445" i="7"/>
  <c r="AV445" i="7"/>
  <c r="AU445" i="7"/>
  <c r="AM445" i="7" s="1"/>
  <c r="AF445" i="7" s="1"/>
  <c r="AR445" i="7"/>
  <c r="AP445" i="7"/>
  <c r="AG445" i="7" s="1"/>
  <c r="AN445" i="7"/>
  <c r="AI445" i="7"/>
  <c r="AD445" i="7"/>
  <c r="S445" i="7"/>
  <c r="AQ445" i="7" s="1"/>
  <c r="AH445" i="7" s="1"/>
  <c r="Z445" i="7" s="1"/>
  <c r="L445" i="7"/>
  <c r="AW444" i="7"/>
  <c r="AV444" i="7"/>
  <c r="AU444" i="7"/>
  <c r="AQ444" i="7"/>
  <c r="AH444" i="7" s="1"/>
  <c r="AP444" i="7"/>
  <c r="AG444" i="7" s="1"/>
  <c r="AN444" i="7"/>
  <c r="AL444" i="7"/>
  <c r="AE444" i="7" s="1"/>
  <c r="AD444" i="7"/>
  <c r="Z444" i="7"/>
  <c r="S444" i="7"/>
  <c r="AR444" i="7" s="1"/>
  <c r="AI444" i="7" s="1"/>
  <c r="L444" i="7"/>
  <c r="AW443" i="7"/>
  <c r="AV443" i="7"/>
  <c r="AU443" i="7"/>
  <c r="AP443" i="7"/>
  <c r="AM443" i="7"/>
  <c r="AF443" i="7" s="1"/>
  <c r="AL443" i="7"/>
  <c r="AE443" i="7" s="1"/>
  <c r="AG443" i="7"/>
  <c r="AD443" i="7"/>
  <c r="S443" i="7"/>
  <c r="AR443" i="7" s="1"/>
  <c r="AI443" i="7" s="1"/>
  <c r="L443" i="7"/>
  <c r="AW442" i="7"/>
  <c r="AV442" i="7"/>
  <c r="AU442" i="7"/>
  <c r="AR442" i="7"/>
  <c r="AI442" i="7" s="1"/>
  <c r="AD442" i="7"/>
  <c r="S442" i="7"/>
  <c r="L442" i="7"/>
  <c r="AM442" i="7" s="1"/>
  <c r="AF442" i="7" s="1"/>
  <c r="AW441" i="7"/>
  <c r="AV441" i="7"/>
  <c r="AU441" i="7"/>
  <c r="AM441" i="7" s="1"/>
  <c r="AF441" i="7" s="1"/>
  <c r="AR441" i="7"/>
  <c r="AQ441" i="7"/>
  <c r="AP441" i="7"/>
  <c r="AG441" i="7" s="1"/>
  <c r="AN441" i="7"/>
  <c r="AI441" i="7"/>
  <c r="AH441" i="7"/>
  <c r="Z441" i="7" s="1"/>
  <c r="AE441" i="7"/>
  <c r="AD441" i="7"/>
  <c r="S441" i="7"/>
  <c r="L441" i="7"/>
  <c r="AL441" i="7" s="1"/>
  <c r="AW440" i="7"/>
  <c r="AV440" i="7"/>
  <c r="AU440" i="7"/>
  <c r="AQ440" i="7"/>
  <c r="AH440" i="7" s="1"/>
  <c r="Z440" i="7" s="1"/>
  <c r="AP440" i="7"/>
  <c r="AG440" i="7" s="1"/>
  <c r="AN440" i="7"/>
  <c r="AM440" i="7"/>
  <c r="AF440" i="7" s="1"/>
  <c r="AI440" i="7"/>
  <c r="AD440" i="7"/>
  <c r="S440" i="7"/>
  <c r="AR440" i="7" s="1"/>
  <c r="L440" i="7"/>
  <c r="AO440" i="7" s="1"/>
  <c r="AW439" i="7"/>
  <c r="AV439" i="7"/>
  <c r="AU439" i="7"/>
  <c r="AQ439" i="7"/>
  <c r="AH439" i="7" s="1"/>
  <c r="AP439" i="7"/>
  <c r="AG439" i="7" s="1"/>
  <c r="AD439" i="7"/>
  <c r="S439" i="7"/>
  <c r="L439" i="7"/>
  <c r="AW438" i="7"/>
  <c r="AV438" i="7"/>
  <c r="AU438" i="7"/>
  <c r="AD438" i="7"/>
  <c r="S438" i="7"/>
  <c r="AP438" i="7" s="1"/>
  <c r="AG438" i="7" s="1"/>
  <c r="L438" i="7"/>
  <c r="AM438" i="7" s="1"/>
  <c r="AF438" i="7" s="1"/>
  <c r="AW437" i="7"/>
  <c r="AV437" i="7"/>
  <c r="AU437" i="7"/>
  <c r="AR437" i="7"/>
  <c r="AI437" i="7" s="1"/>
  <c r="AP437" i="7"/>
  <c r="AG437" i="7" s="1"/>
  <c r="AO437" i="7"/>
  <c r="AN437" i="7"/>
  <c r="AM437" i="7"/>
  <c r="AF437" i="7" s="1"/>
  <c r="AE437" i="7"/>
  <c r="Y437" i="7" s="1"/>
  <c r="AD437" i="7"/>
  <c r="S437" i="7"/>
  <c r="AQ437" i="7" s="1"/>
  <c r="AH437" i="7" s="1"/>
  <c r="L437" i="7"/>
  <c r="AL437" i="7" s="1"/>
  <c r="AW436" i="7"/>
  <c r="AV436" i="7"/>
  <c r="AU436" i="7"/>
  <c r="AM436" i="7"/>
  <c r="AF436" i="7" s="1"/>
  <c r="AD436" i="7"/>
  <c r="S436" i="7"/>
  <c r="AR436" i="7" s="1"/>
  <c r="AI436" i="7" s="1"/>
  <c r="L436" i="7"/>
  <c r="AO436" i="7" s="1"/>
  <c r="AW435" i="7"/>
  <c r="AV435" i="7"/>
  <c r="AU435" i="7"/>
  <c r="AM435" i="7" s="1"/>
  <c r="AF435" i="7" s="1"/>
  <c r="AP435" i="7"/>
  <c r="AG435" i="7" s="1"/>
  <c r="AD435" i="7"/>
  <c r="S435" i="7"/>
  <c r="AR435" i="7" s="1"/>
  <c r="AI435" i="7" s="1"/>
  <c r="L435" i="7"/>
  <c r="AW434" i="7"/>
  <c r="AV434" i="7"/>
  <c r="AU434" i="7"/>
  <c r="AR434" i="7"/>
  <c r="AI434" i="7" s="1"/>
  <c r="AD434" i="7"/>
  <c r="S434" i="7"/>
  <c r="AP434" i="7" s="1"/>
  <c r="AG434" i="7" s="1"/>
  <c r="L434" i="7"/>
  <c r="AW433" i="7"/>
  <c r="AV433" i="7"/>
  <c r="AQ433" i="7" s="1"/>
  <c r="AH433" i="7" s="1"/>
  <c r="AU433" i="7"/>
  <c r="AO433" i="7" s="1"/>
  <c r="AD433" i="7"/>
  <c r="S433" i="7"/>
  <c r="AR433" i="7" s="1"/>
  <c r="AI433" i="7" s="1"/>
  <c r="L433" i="7"/>
  <c r="AW432" i="7"/>
  <c r="AV432" i="7"/>
  <c r="AU432" i="7"/>
  <c r="AM432" i="7" s="1"/>
  <c r="AF432" i="7" s="1"/>
  <c r="AD432" i="7"/>
  <c r="S432" i="7"/>
  <c r="AR432" i="7" s="1"/>
  <c r="AI432" i="7" s="1"/>
  <c r="L432" i="7"/>
  <c r="AW431" i="7"/>
  <c r="AV431" i="7"/>
  <c r="AU431" i="7"/>
  <c r="AN431" i="7" s="1"/>
  <c r="AQ431" i="7"/>
  <c r="AH431" i="7" s="1"/>
  <c r="AP431" i="7"/>
  <c r="AG431" i="7" s="1"/>
  <c r="Z431" i="7" s="1"/>
  <c r="AD431" i="7"/>
  <c r="S431" i="7"/>
  <c r="AR431" i="7" s="1"/>
  <c r="AI431" i="7" s="1"/>
  <c r="L431" i="7"/>
  <c r="AW430" i="7"/>
  <c r="AV430" i="7"/>
  <c r="AU430" i="7"/>
  <c r="AM430" i="7" s="1"/>
  <c r="AF430" i="7" s="1"/>
  <c r="AD430" i="7"/>
  <c r="S430" i="7"/>
  <c r="AR430" i="7" s="1"/>
  <c r="AI430" i="7" s="1"/>
  <c r="L430" i="7"/>
  <c r="AW429" i="7"/>
  <c r="AV429" i="7"/>
  <c r="AU429" i="7"/>
  <c r="AN429" i="7" s="1"/>
  <c r="AQ429" i="7"/>
  <c r="AP429" i="7"/>
  <c r="AG429" i="7" s="1"/>
  <c r="AH429" i="7"/>
  <c r="AD429" i="7"/>
  <c r="S429" i="7"/>
  <c r="AR429" i="7" s="1"/>
  <c r="AI429" i="7" s="1"/>
  <c r="L429" i="7"/>
  <c r="AW428" i="7"/>
  <c r="AV428" i="7"/>
  <c r="AU428" i="7"/>
  <c r="AN428" i="7" s="1"/>
  <c r="AQ428" i="7"/>
  <c r="AH428" i="7" s="1"/>
  <c r="Z428" i="7" s="1"/>
  <c r="AP428" i="7"/>
  <c r="AG428" i="7" s="1"/>
  <c r="AD428" i="7"/>
  <c r="S428" i="7"/>
  <c r="AR428" i="7" s="1"/>
  <c r="AI428" i="7" s="1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M426" i="7" s="1"/>
  <c r="AF426" i="7" s="1"/>
  <c r="AQ426" i="7"/>
  <c r="AH426" i="7" s="1"/>
  <c r="AD426" i="7"/>
  <c r="S426" i="7"/>
  <c r="AR426" i="7" s="1"/>
  <c r="AI426" i="7" s="1"/>
  <c r="L426" i="7"/>
  <c r="AW425" i="7"/>
  <c r="AV425" i="7"/>
  <c r="AU425" i="7"/>
  <c r="AO425" i="7" s="1"/>
  <c r="AN425" i="7"/>
  <c r="AD425" i="7"/>
  <c r="S425" i="7"/>
  <c r="AR425" i="7" s="1"/>
  <c r="AI425" i="7" s="1"/>
  <c r="L425" i="7"/>
  <c r="AW424" i="7"/>
  <c r="AV424" i="7"/>
  <c r="AU424" i="7"/>
  <c r="AD424" i="7"/>
  <c r="S424" i="7"/>
  <c r="AQ424" i="7" s="1"/>
  <c r="AH424" i="7" s="1"/>
  <c r="L424" i="7"/>
  <c r="AO424" i="7" s="1"/>
  <c r="AW423" i="7"/>
  <c r="AV423" i="7"/>
  <c r="AU423" i="7"/>
  <c r="AN423" i="7"/>
  <c r="AM423" i="7"/>
  <c r="AF423" i="7" s="1"/>
  <c r="AL423" i="7"/>
  <c r="AE423" i="7"/>
  <c r="AD423" i="7"/>
  <c r="S423" i="7"/>
  <c r="AR423" i="7" s="1"/>
  <c r="AI423" i="7" s="1"/>
  <c r="L423" i="7"/>
  <c r="AO423" i="7" s="1"/>
  <c r="AW422" i="7"/>
  <c r="AV422" i="7"/>
  <c r="AU422" i="7"/>
  <c r="AM422" i="7" s="1"/>
  <c r="AF422" i="7" s="1"/>
  <c r="AP422" i="7"/>
  <c r="AG422" i="7" s="1"/>
  <c r="AL422" i="7"/>
  <c r="AE422" i="7" s="1"/>
  <c r="AD422" i="7"/>
  <c r="S422" i="7"/>
  <c r="AR422" i="7" s="1"/>
  <c r="AI422" i="7" s="1"/>
  <c r="L422" i="7"/>
  <c r="AW421" i="7"/>
  <c r="AV421" i="7"/>
  <c r="AP421" i="7" s="1"/>
  <c r="AG421" i="7" s="1"/>
  <c r="AU421" i="7"/>
  <c r="AN421" i="7" s="1"/>
  <c r="AR421" i="7"/>
  <c r="AI421" i="7" s="1"/>
  <c r="AD421" i="7"/>
  <c r="S421" i="7"/>
  <c r="AQ421" i="7" s="1"/>
  <c r="AH421" i="7" s="1"/>
  <c r="L421" i="7"/>
  <c r="AO421" i="7" s="1"/>
  <c r="AW420" i="7"/>
  <c r="AV420" i="7"/>
  <c r="AU420" i="7"/>
  <c r="AQ420" i="7"/>
  <c r="AP420" i="7"/>
  <c r="AG420" i="7" s="1"/>
  <c r="AH420" i="7"/>
  <c r="AD420" i="7"/>
  <c r="S420" i="7"/>
  <c r="AR420" i="7" s="1"/>
  <c r="AI420" i="7" s="1"/>
  <c r="L420" i="7"/>
  <c r="AO420" i="7" s="1"/>
  <c r="AW419" i="7"/>
  <c r="AV419" i="7"/>
  <c r="AU419" i="7"/>
  <c r="AQ419" i="7"/>
  <c r="AH419" i="7" s="1"/>
  <c r="AP419" i="7"/>
  <c r="AG419" i="7" s="1"/>
  <c r="AN419" i="7"/>
  <c r="AM419" i="7"/>
  <c r="AF419" i="7" s="1"/>
  <c r="AD419" i="7"/>
  <c r="S419" i="7"/>
  <c r="AR419" i="7" s="1"/>
  <c r="AI419" i="7" s="1"/>
  <c r="L419" i="7"/>
  <c r="AO419" i="7" s="1"/>
  <c r="AW418" i="7"/>
  <c r="AV418" i="7"/>
  <c r="AP418" i="7" s="1"/>
  <c r="AG418" i="7" s="1"/>
  <c r="AU418" i="7"/>
  <c r="AL418" i="7" s="1"/>
  <c r="AE418" i="7" s="1"/>
  <c r="AD418" i="7"/>
  <c r="S418" i="7"/>
  <c r="AR418" i="7" s="1"/>
  <c r="AI418" i="7" s="1"/>
  <c r="L418" i="7"/>
  <c r="AM418" i="7" s="1"/>
  <c r="AF418" i="7" s="1"/>
  <c r="AW417" i="7"/>
  <c r="AV417" i="7"/>
  <c r="AU417" i="7"/>
  <c r="AM417" i="7"/>
  <c r="AF417" i="7" s="1"/>
  <c r="AL417" i="7"/>
  <c r="AE417" i="7" s="1"/>
  <c r="AD417" i="7"/>
  <c r="S417" i="7"/>
  <c r="AR417" i="7" s="1"/>
  <c r="AI417" i="7" s="1"/>
  <c r="L417" i="7"/>
  <c r="AO417" i="7" s="1"/>
  <c r="AW416" i="7"/>
  <c r="AV416" i="7"/>
  <c r="AU416" i="7"/>
  <c r="AD416" i="7"/>
  <c r="S416" i="7"/>
  <c r="AQ416" i="7" s="1"/>
  <c r="AH416" i="7" s="1"/>
  <c r="L416" i="7"/>
  <c r="AO416" i="7" s="1"/>
  <c r="AW415" i="7"/>
  <c r="AV415" i="7"/>
  <c r="AU415" i="7"/>
  <c r="AQ415" i="7"/>
  <c r="AH415" i="7" s="1"/>
  <c r="AN415" i="7"/>
  <c r="AM415" i="7"/>
  <c r="AF415" i="7" s="1"/>
  <c r="AL415" i="7"/>
  <c r="AE415" i="7"/>
  <c r="AD415" i="7"/>
  <c r="S415" i="7"/>
  <c r="AR415" i="7" s="1"/>
  <c r="AI415" i="7" s="1"/>
  <c r="L415" i="7"/>
  <c r="AO415" i="7" s="1"/>
  <c r="AW414" i="7"/>
  <c r="AV414" i="7"/>
  <c r="AU414" i="7"/>
  <c r="AM414" i="7" s="1"/>
  <c r="AF414" i="7" s="1"/>
  <c r="AP414" i="7"/>
  <c r="AG414" i="7" s="1"/>
  <c r="AL414" i="7"/>
  <c r="AE414" i="7" s="1"/>
  <c r="AD414" i="7"/>
  <c r="S414" i="7"/>
  <c r="AR414" i="7" s="1"/>
  <c r="AI414" i="7" s="1"/>
  <c r="L414" i="7"/>
  <c r="AW413" i="7"/>
  <c r="AV413" i="7"/>
  <c r="AQ413" i="7" s="1"/>
  <c r="AH413" i="7" s="1"/>
  <c r="AU413" i="7"/>
  <c r="AN413" i="7" s="1"/>
  <c r="AD413" i="7"/>
  <c r="S413" i="7"/>
  <c r="AR413" i="7" s="1"/>
  <c r="AI413" i="7" s="1"/>
  <c r="L413" i="7"/>
  <c r="AO413" i="7" s="1"/>
  <c r="AW412" i="7"/>
  <c r="AV412" i="7"/>
  <c r="AU412" i="7"/>
  <c r="AL412" i="7" s="1"/>
  <c r="AE412" i="7" s="1"/>
  <c r="AR412" i="7"/>
  <c r="AI412" i="7" s="1"/>
  <c r="AM412" i="7"/>
  <c r="AF412" i="7" s="1"/>
  <c r="AD412" i="7"/>
  <c r="S412" i="7"/>
  <c r="AQ412" i="7" s="1"/>
  <c r="AH412" i="7" s="1"/>
  <c r="L412" i="7"/>
  <c r="AN412" i="7" s="1"/>
  <c r="AW411" i="7"/>
  <c r="AV411" i="7"/>
  <c r="AP411" i="7" s="1"/>
  <c r="AG411" i="7" s="1"/>
  <c r="AU411" i="7"/>
  <c r="AL411" i="7" s="1"/>
  <c r="AE411" i="7" s="1"/>
  <c r="AR411" i="7"/>
  <c r="AI411" i="7" s="1"/>
  <c r="AD411" i="7"/>
  <c r="S411" i="7"/>
  <c r="AQ411" i="7" s="1"/>
  <c r="AH411" i="7" s="1"/>
  <c r="L411" i="7"/>
  <c r="AN411" i="7" s="1"/>
  <c r="AW410" i="7"/>
  <c r="AV410" i="7"/>
  <c r="AU410" i="7"/>
  <c r="AL410" i="7"/>
  <c r="AE410" i="7" s="1"/>
  <c r="AD410" i="7"/>
  <c r="S410" i="7"/>
  <c r="AR410" i="7" s="1"/>
  <c r="AI410" i="7" s="1"/>
  <c r="L410" i="7"/>
  <c r="AN410" i="7" s="1"/>
  <c r="AW409" i="7"/>
  <c r="AV409" i="7"/>
  <c r="AU409" i="7"/>
  <c r="AL409" i="7" s="1"/>
  <c r="AE409" i="7" s="1"/>
  <c r="AR409" i="7"/>
  <c r="AI409" i="7" s="1"/>
  <c r="AQ409" i="7"/>
  <c r="AH409" i="7" s="1"/>
  <c r="AD409" i="7"/>
  <c r="S409" i="7"/>
  <c r="AP409" i="7" s="1"/>
  <c r="AG409" i="7" s="1"/>
  <c r="L409" i="7"/>
  <c r="AO409" i="7" s="1"/>
  <c r="AW408" i="7"/>
  <c r="AV408" i="7"/>
  <c r="AU408" i="7"/>
  <c r="AP408" i="7"/>
  <c r="AG408" i="7" s="1"/>
  <c r="AD408" i="7"/>
  <c r="S408" i="7"/>
  <c r="AR408" i="7" s="1"/>
  <c r="AI408" i="7" s="1"/>
  <c r="L408" i="7"/>
  <c r="AO408" i="7" s="1"/>
  <c r="AW407" i="7"/>
  <c r="AV407" i="7"/>
  <c r="AU407" i="7"/>
  <c r="AD407" i="7"/>
  <c r="S407" i="7"/>
  <c r="AP407" i="7" s="1"/>
  <c r="AG407" i="7" s="1"/>
  <c r="L407" i="7"/>
  <c r="AO407" i="7" s="1"/>
  <c r="AW406" i="7"/>
  <c r="AV406" i="7"/>
  <c r="AU406" i="7"/>
  <c r="AP406" i="7"/>
  <c r="AG406" i="7" s="1"/>
  <c r="AN406" i="7"/>
  <c r="AD406" i="7"/>
  <c r="S406" i="7"/>
  <c r="AR406" i="7" s="1"/>
  <c r="AI406" i="7" s="1"/>
  <c r="L406" i="7"/>
  <c r="AO406" i="7" s="1"/>
  <c r="AW405" i="7"/>
  <c r="AV405" i="7"/>
  <c r="AU405" i="7"/>
  <c r="AD405" i="7"/>
  <c r="S405" i="7"/>
  <c r="AR405" i="7" s="1"/>
  <c r="AI405" i="7" s="1"/>
  <c r="L405" i="7"/>
  <c r="AO405" i="7" s="1"/>
  <c r="AW404" i="7"/>
  <c r="AV404" i="7"/>
  <c r="AU404" i="7"/>
  <c r="AR404" i="7"/>
  <c r="AP404" i="7"/>
  <c r="AG404" i="7" s="1"/>
  <c r="AN404" i="7"/>
  <c r="AM404" i="7"/>
  <c r="AI404" i="7"/>
  <c r="AF404" i="7"/>
  <c r="AD404" i="7"/>
  <c r="S404" i="7"/>
  <c r="AQ404" i="7" s="1"/>
  <c r="AH404" i="7" s="1"/>
  <c r="L404" i="7"/>
  <c r="AO404" i="7" s="1"/>
  <c r="AW403" i="7"/>
  <c r="AV403" i="7"/>
  <c r="AU403" i="7"/>
  <c r="AN403" i="7"/>
  <c r="AM403" i="7"/>
  <c r="AF403" i="7" s="1"/>
  <c r="AD403" i="7"/>
  <c r="S403" i="7"/>
  <c r="AR403" i="7" s="1"/>
  <c r="AI403" i="7" s="1"/>
  <c r="L403" i="7"/>
  <c r="AO403" i="7" s="1"/>
  <c r="AW402" i="7"/>
  <c r="AV402" i="7"/>
  <c r="AU402" i="7"/>
  <c r="AN402" i="7"/>
  <c r="AM402" i="7"/>
  <c r="AF402" i="7" s="1"/>
  <c r="AL402" i="7"/>
  <c r="AE402" i="7" s="1"/>
  <c r="AD402" i="7"/>
  <c r="S402" i="7"/>
  <c r="AR402" i="7" s="1"/>
  <c r="AI402" i="7" s="1"/>
  <c r="L402" i="7"/>
  <c r="AO402" i="7" s="1"/>
  <c r="AW401" i="7"/>
  <c r="AV401" i="7"/>
  <c r="AU401" i="7"/>
  <c r="AN401" i="7"/>
  <c r="AM401" i="7"/>
  <c r="AF401" i="7" s="1"/>
  <c r="AD401" i="7"/>
  <c r="S401" i="7"/>
  <c r="AR401" i="7" s="1"/>
  <c r="AI401" i="7" s="1"/>
  <c r="L401" i="7"/>
  <c r="AL401" i="7" s="1"/>
  <c r="AE401" i="7" s="1"/>
  <c r="AW400" i="7"/>
  <c r="AV400" i="7"/>
  <c r="AP400" i="7" s="1"/>
  <c r="AG400" i="7" s="1"/>
  <c r="AU400" i="7"/>
  <c r="AM400" i="7"/>
  <c r="AL400" i="7"/>
  <c r="AE400" i="7" s="1"/>
  <c r="AF400" i="7"/>
  <c r="AD400" i="7"/>
  <c r="S400" i="7"/>
  <c r="AR400" i="7" s="1"/>
  <c r="AI400" i="7" s="1"/>
  <c r="L400" i="7"/>
  <c r="AO400" i="7" s="1"/>
  <c r="AW399" i="7"/>
  <c r="AV399" i="7"/>
  <c r="AR399" i="7" s="1"/>
  <c r="AI399" i="7" s="1"/>
  <c r="AU399" i="7"/>
  <c r="AN399" i="7" s="1"/>
  <c r="AL399" i="7"/>
  <c r="AE399" i="7" s="1"/>
  <c r="AD399" i="7"/>
  <c r="S399" i="7"/>
  <c r="AQ399" i="7" s="1"/>
  <c r="AH399" i="7" s="1"/>
  <c r="L399" i="7"/>
  <c r="AW398" i="7"/>
  <c r="AV398" i="7"/>
  <c r="AR398" i="7" s="1"/>
  <c r="AI398" i="7" s="1"/>
  <c r="AU398" i="7"/>
  <c r="AN398" i="7" s="1"/>
  <c r="AD398" i="7"/>
  <c r="S398" i="7"/>
  <c r="AQ398" i="7" s="1"/>
  <c r="AH398" i="7" s="1"/>
  <c r="L398" i="7"/>
  <c r="AM398" i="7" s="1"/>
  <c r="AF398" i="7" s="1"/>
  <c r="AW397" i="7"/>
  <c r="AV397" i="7"/>
  <c r="AU397" i="7"/>
  <c r="AM397" i="7" s="1"/>
  <c r="AF397" i="7" s="1"/>
  <c r="AR397" i="7"/>
  <c r="AI397" i="7" s="1"/>
  <c r="AN397" i="7"/>
  <c r="AL397" i="7"/>
  <c r="AE397" i="7" s="1"/>
  <c r="AD397" i="7"/>
  <c r="S397" i="7"/>
  <c r="AQ397" i="7" s="1"/>
  <c r="AH397" i="7" s="1"/>
  <c r="L397" i="7"/>
  <c r="AO397" i="7" s="1"/>
  <c r="AW396" i="7"/>
  <c r="AV396" i="7"/>
  <c r="AU396" i="7"/>
  <c r="AN396" i="7" s="1"/>
  <c r="AD396" i="7"/>
  <c r="S396" i="7"/>
  <c r="AR396" i="7" s="1"/>
  <c r="AI396" i="7" s="1"/>
  <c r="L396" i="7"/>
  <c r="AL396" i="7" s="1"/>
  <c r="AE396" i="7" s="1"/>
  <c r="AW395" i="7"/>
  <c r="AV395" i="7"/>
  <c r="AU395" i="7"/>
  <c r="AL395" i="7"/>
  <c r="AE395" i="7" s="1"/>
  <c r="AD395" i="7"/>
  <c r="S395" i="7"/>
  <c r="AR395" i="7" s="1"/>
  <c r="AI395" i="7" s="1"/>
  <c r="L395" i="7"/>
  <c r="AO395" i="7" s="1"/>
  <c r="AW394" i="7"/>
  <c r="AV394" i="7"/>
  <c r="AU394" i="7"/>
  <c r="AL394" i="7" s="1"/>
  <c r="AE394" i="7" s="1"/>
  <c r="AR394" i="7"/>
  <c r="AI394" i="7" s="1"/>
  <c r="AP394" i="7"/>
  <c r="AG394" i="7" s="1"/>
  <c r="AD394" i="7"/>
  <c r="S394" i="7"/>
  <c r="AQ394" i="7" s="1"/>
  <c r="AH394" i="7" s="1"/>
  <c r="Z394" i="7" s="1"/>
  <c r="L394" i="7"/>
  <c r="AN394" i="7" s="1"/>
  <c r="AW393" i="7"/>
  <c r="AV393" i="7"/>
  <c r="AU393" i="7"/>
  <c r="AL393" i="7"/>
  <c r="AE393" i="7" s="1"/>
  <c r="AD393" i="7"/>
  <c r="S393" i="7"/>
  <c r="AR393" i="7" s="1"/>
  <c r="AI393" i="7" s="1"/>
  <c r="L393" i="7"/>
  <c r="AO393" i="7" s="1"/>
  <c r="AW392" i="7"/>
  <c r="AV392" i="7"/>
  <c r="AU392" i="7"/>
  <c r="AR392" i="7"/>
  <c r="AI392" i="7" s="1"/>
  <c r="AQ392" i="7"/>
  <c r="AH392" i="7" s="1"/>
  <c r="AD392" i="7"/>
  <c r="S392" i="7"/>
  <c r="AP392" i="7" s="1"/>
  <c r="AG392" i="7" s="1"/>
  <c r="Z392" i="7" s="1"/>
  <c r="L392" i="7"/>
  <c r="AM392" i="7" s="1"/>
  <c r="AF392" i="7" s="1"/>
  <c r="AW391" i="7"/>
  <c r="AV391" i="7"/>
  <c r="AU391" i="7"/>
  <c r="AD391" i="7"/>
  <c r="S391" i="7"/>
  <c r="AR391" i="7" s="1"/>
  <c r="AI391" i="7" s="1"/>
  <c r="L391" i="7"/>
  <c r="AM391" i="7" s="1"/>
  <c r="AF391" i="7" s="1"/>
  <c r="AW390" i="7"/>
  <c r="AV390" i="7"/>
  <c r="AU390" i="7"/>
  <c r="AM390" i="7" s="1"/>
  <c r="AF390" i="7" s="1"/>
  <c r="AR390" i="7"/>
  <c r="AI390" i="7" s="1"/>
  <c r="AD390" i="7"/>
  <c r="S390" i="7"/>
  <c r="AQ390" i="7" s="1"/>
  <c r="AH390" i="7" s="1"/>
  <c r="L390" i="7"/>
  <c r="AW389" i="7"/>
  <c r="AV389" i="7"/>
  <c r="AQ389" i="7" s="1"/>
  <c r="AH389" i="7" s="1"/>
  <c r="AU389" i="7"/>
  <c r="AR389" i="7"/>
  <c r="AI389" i="7" s="1"/>
  <c r="AL389" i="7"/>
  <c r="AE389" i="7" s="1"/>
  <c r="AD389" i="7"/>
  <c r="S389" i="7"/>
  <c r="AP389" i="7" s="1"/>
  <c r="AG389" i="7" s="1"/>
  <c r="L389" i="7"/>
  <c r="AO389" i="7" s="1"/>
  <c r="AW388" i="7"/>
  <c r="AV388" i="7"/>
  <c r="AU388" i="7"/>
  <c r="AO388" i="7" s="1"/>
  <c r="AD388" i="7"/>
  <c r="S388" i="7"/>
  <c r="AR388" i="7" s="1"/>
  <c r="AI388" i="7" s="1"/>
  <c r="L388" i="7"/>
  <c r="AN388" i="7" s="1"/>
  <c r="AW387" i="7"/>
  <c r="AV387" i="7"/>
  <c r="AU387" i="7"/>
  <c r="AM387" i="7"/>
  <c r="AF387" i="7" s="1"/>
  <c r="AL387" i="7"/>
  <c r="AE387" i="7" s="1"/>
  <c r="AD387" i="7"/>
  <c r="S387" i="7"/>
  <c r="AR387" i="7" s="1"/>
  <c r="AI387" i="7" s="1"/>
  <c r="L387" i="7"/>
  <c r="AW386" i="7"/>
  <c r="AV386" i="7"/>
  <c r="AR386" i="7" s="1"/>
  <c r="AI386" i="7" s="1"/>
  <c r="AU386" i="7"/>
  <c r="AM386" i="7"/>
  <c r="AF386" i="7" s="1"/>
  <c r="AL386" i="7"/>
  <c r="AE386" i="7"/>
  <c r="AD386" i="7"/>
  <c r="S386" i="7"/>
  <c r="AP386" i="7" s="1"/>
  <c r="AG386" i="7" s="1"/>
  <c r="L386" i="7"/>
  <c r="AO386" i="7" s="1"/>
  <c r="AW385" i="7"/>
  <c r="AV385" i="7"/>
  <c r="AU385" i="7"/>
  <c r="AL385" i="7" s="1"/>
  <c r="AE385" i="7" s="1"/>
  <c r="Y385" i="7" s="1"/>
  <c r="AO385" i="7"/>
  <c r="AM385" i="7"/>
  <c r="AF385" i="7"/>
  <c r="AD385" i="7"/>
  <c r="S385" i="7"/>
  <c r="L385" i="7"/>
  <c r="AN385" i="7" s="1"/>
  <c r="AW384" i="7"/>
  <c r="AV384" i="7"/>
  <c r="AU384" i="7"/>
  <c r="AO384" i="7" s="1"/>
  <c r="AI384" i="7"/>
  <c r="AD384" i="7"/>
  <c r="S384" i="7"/>
  <c r="AR384" i="7" s="1"/>
  <c r="L384" i="7"/>
  <c r="AW383" i="7"/>
  <c r="AV383" i="7"/>
  <c r="AU383" i="7"/>
  <c r="AR383" i="7"/>
  <c r="AI383" i="7" s="1"/>
  <c r="AQ383" i="7"/>
  <c r="AH383" i="7" s="1"/>
  <c r="AD383" i="7"/>
  <c r="S383" i="7"/>
  <c r="AP383" i="7" s="1"/>
  <c r="AG383" i="7" s="1"/>
  <c r="Z383" i="7" s="1"/>
  <c r="L383" i="7"/>
  <c r="AW382" i="7"/>
  <c r="AV382" i="7"/>
  <c r="AU382" i="7"/>
  <c r="AM382" i="7" s="1"/>
  <c r="AF382" i="7" s="1"/>
  <c r="AR382" i="7"/>
  <c r="AQ382" i="7"/>
  <c r="AI382" i="7"/>
  <c r="AH382" i="7"/>
  <c r="AD382" i="7"/>
  <c r="S382" i="7"/>
  <c r="AP382" i="7" s="1"/>
  <c r="AG382" i="7" s="1"/>
  <c r="L382" i="7"/>
  <c r="AW381" i="7"/>
  <c r="AV381" i="7"/>
  <c r="AQ381" i="7" s="1"/>
  <c r="AH381" i="7" s="1"/>
  <c r="AU381" i="7"/>
  <c r="AI381" i="7"/>
  <c r="AD381" i="7"/>
  <c r="S381" i="7"/>
  <c r="AR381" i="7" s="1"/>
  <c r="L381" i="7"/>
  <c r="AW380" i="7"/>
  <c r="AV380" i="7"/>
  <c r="AU380" i="7"/>
  <c r="AO380" i="7" s="1"/>
  <c r="AD380" i="7"/>
  <c r="S380" i="7"/>
  <c r="AR380" i="7" s="1"/>
  <c r="AI380" i="7" s="1"/>
  <c r="L380" i="7"/>
  <c r="AW379" i="7"/>
  <c r="AV379" i="7"/>
  <c r="AU379" i="7"/>
  <c r="AM379" i="7"/>
  <c r="AF379" i="7" s="1"/>
  <c r="AL379" i="7"/>
  <c r="AE379" i="7"/>
  <c r="AD379" i="7"/>
  <c r="S379" i="7"/>
  <c r="L379" i="7"/>
  <c r="AO379" i="7" s="1"/>
  <c r="AW378" i="7"/>
  <c r="AV378" i="7"/>
  <c r="AU378" i="7"/>
  <c r="AQ378" i="7"/>
  <c r="AH378" i="7" s="1"/>
  <c r="AN378" i="7"/>
  <c r="AM378" i="7"/>
  <c r="AF378" i="7" s="1"/>
  <c r="AD378" i="7"/>
  <c r="S378" i="7"/>
  <c r="AR378" i="7" s="1"/>
  <c r="AI378" i="7" s="1"/>
  <c r="L378" i="7"/>
  <c r="AW377" i="7"/>
  <c r="AV377" i="7"/>
  <c r="AU377" i="7"/>
  <c r="AD377" i="7"/>
  <c r="S377" i="7"/>
  <c r="AR377" i="7" s="1"/>
  <c r="AI377" i="7" s="1"/>
  <c r="L377" i="7"/>
  <c r="AW376" i="7"/>
  <c r="AV376" i="7"/>
  <c r="AU376" i="7"/>
  <c r="AR376" i="7"/>
  <c r="AI376" i="7" s="1"/>
  <c r="AQ376" i="7"/>
  <c r="AH376" i="7" s="1"/>
  <c r="AP376" i="7"/>
  <c r="AG376" i="7" s="1"/>
  <c r="AD376" i="7"/>
  <c r="S376" i="7"/>
  <c r="L376" i="7"/>
  <c r="AO376" i="7" s="1"/>
  <c r="AW375" i="7"/>
  <c r="AV375" i="7"/>
  <c r="AU375" i="7"/>
  <c r="AD375" i="7"/>
  <c r="S375" i="7"/>
  <c r="L375" i="7"/>
  <c r="AM375" i="7" s="1"/>
  <c r="AF375" i="7" s="1"/>
  <c r="AW374" i="7"/>
  <c r="AV374" i="7"/>
  <c r="AU374" i="7"/>
  <c r="AM374" i="7" s="1"/>
  <c r="AF374" i="7" s="1"/>
  <c r="AR374" i="7"/>
  <c r="AI374" i="7" s="1"/>
  <c r="AD374" i="7"/>
  <c r="S374" i="7"/>
  <c r="AQ374" i="7" s="1"/>
  <c r="AH374" i="7" s="1"/>
  <c r="L374" i="7"/>
  <c r="AW373" i="7"/>
  <c r="AV373" i="7"/>
  <c r="AQ373" i="7" s="1"/>
  <c r="AH373" i="7" s="1"/>
  <c r="AU373" i="7"/>
  <c r="AR373" i="7"/>
  <c r="AI373" i="7" s="1"/>
  <c r="AL373" i="7"/>
  <c r="AE373" i="7" s="1"/>
  <c r="AD373" i="7"/>
  <c r="Z373" i="7"/>
  <c r="S373" i="7"/>
  <c r="AP373" i="7" s="1"/>
  <c r="AG373" i="7" s="1"/>
  <c r="L373" i="7"/>
  <c r="AO373" i="7" s="1"/>
  <c r="AW372" i="7"/>
  <c r="AV372" i="7"/>
  <c r="AU372" i="7"/>
  <c r="AD372" i="7"/>
  <c r="S372" i="7"/>
  <c r="AR372" i="7" s="1"/>
  <c r="AI372" i="7" s="1"/>
  <c r="L372" i="7"/>
  <c r="AN372" i="7" s="1"/>
  <c r="AW371" i="7"/>
  <c r="AV371" i="7"/>
  <c r="AU371" i="7"/>
  <c r="AM371" i="7"/>
  <c r="AF371" i="7" s="1"/>
  <c r="AL371" i="7"/>
  <c r="AE371" i="7" s="1"/>
  <c r="AD371" i="7"/>
  <c r="S371" i="7"/>
  <c r="AP371" i="7" s="1"/>
  <c r="AG371" i="7" s="1"/>
  <c r="L371" i="7"/>
  <c r="AW370" i="7"/>
  <c r="AV370" i="7"/>
  <c r="AU370" i="7"/>
  <c r="AM370" i="7"/>
  <c r="AF370" i="7" s="1"/>
  <c r="AL370" i="7"/>
  <c r="AE370" i="7" s="1"/>
  <c r="AD370" i="7"/>
  <c r="S370" i="7"/>
  <c r="L370" i="7"/>
  <c r="AO370" i="7" s="1"/>
  <c r="AW369" i="7"/>
  <c r="AV369" i="7"/>
  <c r="AU369" i="7"/>
  <c r="AL369" i="7" s="1"/>
  <c r="AE369" i="7" s="1"/>
  <c r="Y369" i="7" s="1"/>
  <c r="AO369" i="7"/>
  <c r="AM369" i="7"/>
  <c r="AF369" i="7"/>
  <c r="AD369" i="7"/>
  <c r="S369" i="7"/>
  <c r="L369" i="7"/>
  <c r="AN369" i="7" s="1"/>
  <c r="AW368" i="7"/>
  <c r="AV368" i="7"/>
  <c r="AU368" i="7"/>
  <c r="AO368" i="7"/>
  <c r="AD368" i="7"/>
  <c r="S368" i="7"/>
  <c r="L368" i="7"/>
  <c r="AN368" i="7" s="1"/>
  <c r="AW367" i="7"/>
  <c r="AV367" i="7"/>
  <c r="AU367" i="7"/>
  <c r="AR367" i="7"/>
  <c r="AI367" i="7" s="1"/>
  <c r="AQ367" i="7"/>
  <c r="AH367" i="7" s="1"/>
  <c r="AD367" i="7"/>
  <c r="S367" i="7"/>
  <c r="AP367" i="7" s="1"/>
  <c r="AG367" i="7" s="1"/>
  <c r="Z367" i="7" s="1"/>
  <c r="L367" i="7"/>
  <c r="AM367" i="7" s="1"/>
  <c r="AF367" i="7" s="1"/>
  <c r="AW366" i="7"/>
  <c r="AV366" i="7"/>
  <c r="AU366" i="7"/>
  <c r="AM366" i="7" s="1"/>
  <c r="AF366" i="7" s="1"/>
  <c r="AR366" i="7"/>
  <c r="AQ366" i="7"/>
  <c r="AL366" i="7"/>
  <c r="AE366" i="7" s="1"/>
  <c r="AI366" i="7"/>
  <c r="AH366" i="7"/>
  <c r="Z366" i="7" s="1"/>
  <c r="AD366" i="7"/>
  <c r="S366" i="7"/>
  <c r="AP366" i="7" s="1"/>
  <c r="AG366" i="7" s="1"/>
  <c r="L366" i="7"/>
  <c r="AW365" i="7"/>
  <c r="AV365" i="7"/>
  <c r="AQ365" i="7" s="1"/>
  <c r="AH365" i="7" s="1"/>
  <c r="AU365" i="7"/>
  <c r="AD365" i="7"/>
  <c r="S365" i="7"/>
  <c r="L365" i="7"/>
  <c r="AO365" i="7" s="1"/>
  <c r="AW364" i="7"/>
  <c r="AV364" i="7"/>
  <c r="AU364" i="7"/>
  <c r="AO364" i="7"/>
  <c r="AM364" i="7"/>
  <c r="AF364" i="7" s="1"/>
  <c r="AL364" i="7"/>
  <c r="AE364" i="7" s="1"/>
  <c r="AD364" i="7"/>
  <c r="S364" i="7"/>
  <c r="L364" i="7"/>
  <c r="AN364" i="7" s="1"/>
  <c r="AW363" i="7"/>
  <c r="AV363" i="7"/>
  <c r="AU363" i="7"/>
  <c r="AM363" i="7"/>
  <c r="AL363" i="7"/>
  <c r="AF363" i="7"/>
  <c r="AE363" i="7"/>
  <c r="AD363" i="7"/>
  <c r="S363" i="7"/>
  <c r="AR363" i="7" s="1"/>
  <c r="AI363" i="7" s="1"/>
  <c r="L363" i="7"/>
  <c r="AO363" i="7" s="1"/>
  <c r="AW362" i="7"/>
  <c r="AV362" i="7"/>
  <c r="AU362" i="7"/>
  <c r="AQ362" i="7"/>
  <c r="AH362" i="7" s="1"/>
  <c r="AM362" i="7"/>
  <c r="AF362" i="7" s="1"/>
  <c r="AD362" i="7"/>
  <c r="S362" i="7"/>
  <c r="AR362" i="7" s="1"/>
  <c r="AI362" i="7" s="1"/>
  <c r="L362" i="7"/>
  <c r="AW361" i="7"/>
  <c r="AV361" i="7"/>
  <c r="AU361" i="7"/>
  <c r="AO361" i="7" s="1"/>
  <c r="AD361" i="7"/>
  <c r="S361" i="7"/>
  <c r="L361" i="7"/>
  <c r="AW360" i="7"/>
  <c r="AV360" i="7"/>
  <c r="AU360" i="7"/>
  <c r="AR360" i="7"/>
  <c r="AI360" i="7" s="1"/>
  <c r="AQ360" i="7"/>
  <c r="AP360" i="7"/>
  <c r="AG360" i="7" s="1"/>
  <c r="Z360" i="7" s="1"/>
  <c r="AH360" i="7"/>
  <c r="AD360" i="7"/>
  <c r="S360" i="7"/>
  <c r="L360" i="7"/>
  <c r="AW359" i="7"/>
  <c r="AV359" i="7"/>
  <c r="AU359" i="7"/>
  <c r="AQ359" i="7"/>
  <c r="AP359" i="7"/>
  <c r="AG359" i="7" s="1"/>
  <c r="AI359" i="7"/>
  <c r="AH359" i="7"/>
  <c r="AD359" i="7"/>
  <c r="S359" i="7"/>
  <c r="AR359" i="7" s="1"/>
  <c r="L359" i="7"/>
  <c r="AW358" i="7"/>
  <c r="AV358" i="7"/>
  <c r="AU358" i="7"/>
  <c r="AL358" i="7" s="1"/>
  <c r="AE358" i="7" s="1"/>
  <c r="AR358" i="7"/>
  <c r="AI358" i="7" s="1"/>
  <c r="AP358" i="7"/>
  <c r="AG358" i="7"/>
  <c r="AD358" i="7"/>
  <c r="S358" i="7"/>
  <c r="AQ358" i="7" s="1"/>
  <c r="AH358" i="7" s="1"/>
  <c r="Z358" i="7" s="1"/>
  <c r="L358" i="7"/>
  <c r="AW357" i="7"/>
  <c r="AV357" i="7"/>
  <c r="AU357" i="7"/>
  <c r="AO357" i="7" s="1"/>
  <c r="AD357" i="7"/>
  <c r="S357" i="7"/>
  <c r="L357" i="7"/>
  <c r="AW356" i="7"/>
  <c r="AV356" i="7"/>
  <c r="AR356" i="7" s="1"/>
  <c r="AI356" i="7" s="1"/>
  <c r="AU356" i="7"/>
  <c r="AP356" i="7"/>
  <c r="AG356" i="7" s="1"/>
  <c r="AO356" i="7"/>
  <c r="AN356" i="7"/>
  <c r="AD356" i="7"/>
  <c r="S356" i="7"/>
  <c r="L356" i="7"/>
  <c r="AM356" i="7" s="1"/>
  <c r="AF356" i="7" s="1"/>
  <c r="AW355" i="7"/>
  <c r="AV355" i="7"/>
  <c r="AU355" i="7"/>
  <c r="AL355" i="7" s="1"/>
  <c r="AE355" i="7" s="1"/>
  <c r="AD355" i="7"/>
  <c r="S355" i="7"/>
  <c r="AR355" i="7" s="1"/>
  <c r="AI355" i="7" s="1"/>
  <c r="L355" i="7"/>
  <c r="AW354" i="7"/>
  <c r="AV354" i="7"/>
  <c r="AR354" i="7" s="1"/>
  <c r="AI354" i="7" s="1"/>
  <c r="AU354" i="7"/>
  <c r="AQ354" i="7"/>
  <c r="AP354" i="7"/>
  <c r="AN354" i="7"/>
  <c r="AH354" i="7"/>
  <c r="AG354" i="7"/>
  <c r="AD354" i="7"/>
  <c r="S354" i="7"/>
  <c r="L354" i="7"/>
  <c r="AO354" i="7" s="1"/>
  <c r="AW353" i="7"/>
  <c r="AV353" i="7"/>
  <c r="AU353" i="7"/>
  <c r="AO353" i="7"/>
  <c r="AD353" i="7"/>
  <c r="S353" i="7"/>
  <c r="L353" i="7"/>
  <c r="AN353" i="7" s="1"/>
  <c r="AW352" i="7"/>
  <c r="AV352" i="7"/>
  <c r="AQ352" i="7" s="1"/>
  <c r="AU352" i="7"/>
  <c r="AP352" i="7"/>
  <c r="AG352" i="7" s="1"/>
  <c r="Z352" i="7" s="1"/>
  <c r="AO352" i="7"/>
  <c r="AN352" i="7"/>
  <c r="AH352" i="7"/>
  <c r="AD352" i="7"/>
  <c r="S352" i="7"/>
  <c r="AR352" i="7" s="1"/>
  <c r="AI352" i="7" s="1"/>
  <c r="L352" i="7"/>
  <c r="AM352" i="7" s="1"/>
  <c r="AF352" i="7" s="1"/>
  <c r="AW351" i="7"/>
  <c r="AV351" i="7"/>
  <c r="AU351" i="7"/>
  <c r="AR351" i="7"/>
  <c r="AI351" i="7" s="1"/>
  <c r="AD351" i="7"/>
  <c r="S351" i="7"/>
  <c r="AQ351" i="7" s="1"/>
  <c r="AH351" i="7" s="1"/>
  <c r="L351" i="7"/>
  <c r="AW350" i="7"/>
  <c r="AV350" i="7"/>
  <c r="AR350" i="7" s="1"/>
  <c r="AI350" i="7" s="1"/>
  <c r="AU350" i="7"/>
  <c r="AQ350" i="7"/>
  <c r="AP350" i="7"/>
  <c r="AN350" i="7"/>
  <c r="AH350" i="7"/>
  <c r="AG350" i="7"/>
  <c r="AD350" i="7"/>
  <c r="S350" i="7"/>
  <c r="L350" i="7"/>
  <c r="AO350" i="7" s="1"/>
  <c r="AW349" i="7"/>
  <c r="AV349" i="7"/>
  <c r="AU349" i="7"/>
  <c r="AD349" i="7"/>
  <c r="S349" i="7"/>
  <c r="L349" i="7"/>
  <c r="AN349" i="7" s="1"/>
  <c r="AW348" i="7"/>
  <c r="AV348" i="7"/>
  <c r="AQ348" i="7" s="1"/>
  <c r="AH348" i="7" s="1"/>
  <c r="AU348" i="7"/>
  <c r="AP348" i="7"/>
  <c r="AG348" i="7" s="1"/>
  <c r="AO348" i="7"/>
  <c r="AN348" i="7"/>
  <c r="AI348" i="7"/>
  <c r="AD348" i="7"/>
  <c r="S348" i="7"/>
  <c r="AR348" i="7" s="1"/>
  <c r="L348" i="7"/>
  <c r="AM348" i="7" s="1"/>
  <c r="AF348" i="7" s="1"/>
  <c r="AW347" i="7"/>
  <c r="AV347" i="7"/>
  <c r="AU347" i="7"/>
  <c r="AR347" i="7"/>
  <c r="AI347" i="7" s="1"/>
  <c r="AL347" i="7"/>
  <c r="AE347" i="7"/>
  <c r="AD347" i="7"/>
  <c r="S347" i="7"/>
  <c r="AQ347" i="7" s="1"/>
  <c r="AH347" i="7" s="1"/>
  <c r="L347" i="7"/>
  <c r="AW346" i="7"/>
  <c r="AV346" i="7"/>
  <c r="AR346" i="7" s="1"/>
  <c r="AI346" i="7" s="1"/>
  <c r="AU346" i="7"/>
  <c r="AN346" i="7"/>
  <c r="AD346" i="7"/>
  <c r="S346" i="7"/>
  <c r="L346" i="7"/>
  <c r="AO346" i="7" s="1"/>
  <c r="AW345" i="7"/>
  <c r="AV345" i="7"/>
  <c r="AU345" i="7"/>
  <c r="AR345" i="7"/>
  <c r="AI345" i="7" s="1"/>
  <c r="AL345" i="7"/>
  <c r="AE345" i="7" s="1"/>
  <c r="AD345" i="7"/>
  <c r="S345" i="7"/>
  <c r="L345" i="7"/>
  <c r="AN345" i="7" s="1"/>
  <c r="AW344" i="7"/>
  <c r="AV344" i="7"/>
  <c r="AQ344" i="7" s="1"/>
  <c r="AU344" i="7"/>
  <c r="AO344" i="7"/>
  <c r="AN344" i="7"/>
  <c r="AH344" i="7"/>
  <c r="AD344" i="7"/>
  <c r="S344" i="7"/>
  <c r="L344" i="7"/>
  <c r="AM344" i="7" s="1"/>
  <c r="AF344" i="7" s="1"/>
  <c r="AW343" i="7"/>
  <c r="AV343" i="7"/>
  <c r="AU343" i="7"/>
  <c r="AR343" i="7"/>
  <c r="AI343" i="7" s="1"/>
  <c r="AL343" i="7"/>
  <c r="AE343" i="7" s="1"/>
  <c r="AD343" i="7"/>
  <c r="S343" i="7"/>
  <c r="AQ343" i="7" s="1"/>
  <c r="AH343" i="7" s="1"/>
  <c r="L343" i="7"/>
  <c r="AW342" i="7"/>
  <c r="AV342" i="7"/>
  <c r="AR342" i="7" s="1"/>
  <c r="AI342" i="7" s="1"/>
  <c r="AU342" i="7"/>
  <c r="AN342" i="7"/>
  <c r="AD342" i="7"/>
  <c r="S342" i="7"/>
  <c r="L342" i="7"/>
  <c r="AO342" i="7" s="1"/>
  <c r="AW341" i="7"/>
  <c r="AV341" i="7"/>
  <c r="AU341" i="7"/>
  <c r="AR341" i="7"/>
  <c r="AI341" i="7" s="1"/>
  <c r="AO341" i="7"/>
  <c r="AD341" i="7"/>
  <c r="S341" i="7"/>
  <c r="L341" i="7"/>
  <c r="AN341" i="7" s="1"/>
  <c r="AW340" i="7"/>
  <c r="AV340" i="7"/>
  <c r="AQ340" i="7" s="1"/>
  <c r="AH340" i="7" s="1"/>
  <c r="AU340" i="7"/>
  <c r="AP340" i="7"/>
  <c r="AG340" i="7" s="1"/>
  <c r="AO340" i="7"/>
  <c r="AN340" i="7"/>
  <c r="AF340" i="7"/>
  <c r="AD340" i="7"/>
  <c r="S340" i="7"/>
  <c r="L340" i="7"/>
  <c r="AM340" i="7" s="1"/>
  <c r="AW339" i="7"/>
  <c r="AV339" i="7"/>
  <c r="AU339" i="7"/>
  <c r="AL339" i="7" s="1"/>
  <c r="AR339" i="7"/>
  <c r="AI339" i="7" s="1"/>
  <c r="AE339" i="7"/>
  <c r="AD339" i="7"/>
  <c r="S339" i="7"/>
  <c r="AQ339" i="7" s="1"/>
  <c r="AH339" i="7" s="1"/>
  <c r="L339" i="7"/>
  <c r="AW338" i="7"/>
  <c r="AV338" i="7"/>
  <c r="AR338" i="7" s="1"/>
  <c r="AI338" i="7" s="1"/>
  <c r="AU338" i="7"/>
  <c r="AN338" i="7" s="1"/>
  <c r="AQ338" i="7"/>
  <c r="AH338" i="7"/>
  <c r="AD338" i="7"/>
  <c r="S338" i="7"/>
  <c r="L338" i="7"/>
  <c r="AW337" i="7"/>
  <c r="AV337" i="7"/>
  <c r="AU337" i="7"/>
  <c r="AM337" i="7" s="1"/>
  <c r="AF337" i="7" s="1"/>
  <c r="AR337" i="7"/>
  <c r="AI337" i="7" s="1"/>
  <c r="AD337" i="7"/>
  <c r="S337" i="7"/>
  <c r="L337" i="7"/>
  <c r="AW336" i="7"/>
  <c r="AV336" i="7"/>
  <c r="AQ336" i="7" s="1"/>
  <c r="AH336" i="7" s="1"/>
  <c r="AU336" i="7"/>
  <c r="AO336" i="7" s="1"/>
  <c r="AD336" i="7"/>
  <c r="S336" i="7"/>
  <c r="AR336" i="7" s="1"/>
  <c r="AI336" i="7" s="1"/>
  <c r="L336" i="7"/>
  <c r="AW335" i="7"/>
  <c r="AV335" i="7"/>
  <c r="AU335" i="7"/>
  <c r="AR335" i="7"/>
  <c r="AI335" i="7" s="1"/>
  <c r="AD335" i="7"/>
  <c r="S335" i="7"/>
  <c r="L335" i="7"/>
  <c r="AW334" i="7"/>
  <c r="AV334" i="7"/>
  <c r="AQ334" i="7" s="1"/>
  <c r="AH334" i="7" s="1"/>
  <c r="AU334" i="7"/>
  <c r="AN334" i="7" s="1"/>
  <c r="AR334" i="7"/>
  <c r="AI334" i="7" s="1"/>
  <c r="AP334" i="7"/>
  <c r="AG334" i="7" s="1"/>
  <c r="AD334" i="7"/>
  <c r="S334" i="7"/>
  <c r="L334" i="7"/>
  <c r="AW333" i="7"/>
  <c r="AV333" i="7"/>
  <c r="AU333" i="7"/>
  <c r="AR333" i="7"/>
  <c r="AI333" i="7" s="1"/>
  <c r="AN333" i="7"/>
  <c r="AD333" i="7"/>
  <c r="S333" i="7"/>
  <c r="L333" i="7"/>
  <c r="AO333" i="7" s="1"/>
  <c r="AW332" i="7"/>
  <c r="AV332" i="7"/>
  <c r="AQ332" i="7" s="1"/>
  <c r="AH332" i="7" s="1"/>
  <c r="AU332" i="7"/>
  <c r="AP332" i="7"/>
  <c r="AG332" i="7" s="1"/>
  <c r="AO332" i="7"/>
  <c r="AN332" i="7"/>
  <c r="AF332" i="7"/>
  <c r="AD332" i="7"/>
  <c r="S332" i="7"/>
  <c r="AR332" i="7" s="1"/>
  <c r="AI332" i="7" s="1"/>
  <c r="L332" i="7"/>
  <c r="AM332" i="7" s="1"/>
  <c r="AW331" i="7"/>
  <c r="AV331" i="7"/>
  <c r="AU331" i="7"/>
  <c r="AM331" i="7"/>
  <c r="AF331" i="7"/>
  <c r="AD331" i="7"/>
  <c r="S331" i="7"/>
  <c r="AR331" i="7" s="1"/>
  <c r="AI331" i="7" s="1"/>
  <c r="L331" i="7"/>
  <c r="AL331" i="7" s="1"/>
  <c r="AE331" i="7" s="1"/>
  <c r="AW330" i="7"/>
  <c r="AV330" i="7"/>
  <c r="AR330" i="7" s="1"/>
  <c r="AI330" i="7" s="1"/>
  <c r="AU330" i="7"/>
  <c r="AQ330" i="7"/>
  <c r="AH330" i="7" s="1"/>
  <c r="AN330" i="7"/>
  <c r="AD330" i="7"/>
  <c r="S330" i="7"/>
  <c r="L330" i="7"/>
  <c r="AO330" i="7" s="1"/>
  <c r="AW329" i="7"/>
  <c r="AV329" i="7"/>
  <c r="AU329" i="7"/>
  <c r="AR329" i="7"/>
  <c r="AI329" i="7" s="1"/>
  <c r="AO329" i="7"/>
  <c r="AM329" i="7"/>
  <c r="AF329" i="7" s="1"/>
  <c r="AL329" i="7"/>
  <c r="AE329" i="7" s="1"/>
  <c r="AD329" i="7"/>
  <c r="S329" i="7"/>
  <c r="L329" i="7"/>
  <c r="AN329" i="7" s="1"/>
  <c r="AW328" i="7"/>
  <c r="AV328" i="7"/>
  <c r="AQ328" i="7" s="1"/>
  <c r="AH328" i="7" s="1"/>
  <c r="AU328" i="7"/>
  <c r="AO328" i="7"/>
  <c r="AN328" i="7"/>
  <c r="AF328" i="7"/>
  <c r="AD328" i="7"/>
  <c r="S328" i="7"/>
  <c r="AR328" i="7" s="1"/>
  <c r="AI328" i="7" s="1"/>
  <c r="L328" i="7"/>
  <c r="AM328" i="7" s="1"/>
  <c r="AW327" i="7"/>
  <c r="AV327" i="7"/>
  <c r="AU327" i="7"/>
  <c r="AL327" i="7" s="1"/>
  <c r="AP327" i="7"/>
  <c r="AG327" i="7" s="1"/>
  <c r="AE327" i="7"/>
  <c r="AD327" i="7"/>
  <c r="S327" i="7"/>
  <c r="AQ327" i="7" s="1"/>
  <c r="AH327" i="7" s="1"/>
  <c r="L327" i="7"/>
  <c r="AM327" i="7" s="1"/>
  <c r="AF327" i="7" s="1"/>
  <c r="AW326" i="7"/>
  <c r="AV326" i="7"/>
  <c r="AR326" i="7" s="1"/>
  <c r="AI326" i="7" s="1"/>
  <c r="AU326" i="7"/>
  <c r="AN326" i="7"/>
  <c r="AD326" i="7"/>
  <c r="S326" i="7"/>
  <c r="L326" i="7"/>
  <c r="AL326" i="7" s="1"/>
  <c r="AE326" i="7" s="1"/>
  <c r="AW325" i="7"/>
  <c r="AV325" i="7"/>
  <c r="AR325" i="7" s="1"/>
  <c r="AI325" i="7" s="1"/>
  <c r="AU325" i="7"/>
  <c r="AL325" i="7" s="1"/>
  <c r="AE325" i="7" s="1"/>
  <c r="AN325" i="7"/>
  <c r="AD325" i="7"/>
  <c r="S325" i="7"/>
  <c r="L325" i="7"/>
  <c r="AM325" i="7" s="1"/>
  <c r="AF325" i="7" s="1"/>
  <c r="AW324" i="7"/>
  <c r="AV324" i="7"/>
  <c r="AU324" i="7"/>
  <c r="AO324" i="7"/>
  <c r="AN324" i="7"/>
  <c r="AD324" i="7"/>
  <c r="S324" i="7"/>
  <c r="L324" i="7"/>
  <c r="AM324" i="7" s="1"/>
  <c r="AF324" i="7" s="1"/>
  <c r="AW323" i="7"/>
  <c r="AV323" i="7"/>
  <c r="AR323" i="7" s="1"/>
  <c r="AI323" i="7" s="1"/>
  <c r="AU323" i="7"/>
  <c r="AM323" i="7"/>
  <c r="AF323" i="7" s="1"/>
  <c r="AE323" i="7"/>
  <c r="AD323" i="7"/>
  <c r="S323" i="7"/>
  <c r="L323" i="7"/>
  <c r="AL323" i="7" s="1"/>
  <c r="AW322" i="7"/>
  <c r="AV322" i="7"/>
  <c r="AR322" i="7" s="1"/>
  <c r="AI322" i="7" s="1"/>
  <c r="AU322" i="7"/>
  <c r="AD322" i="7"/>
  <c r="S322" i="7"/>
  <c r="L322" i="7"/>
  <c r="AN322" i="7" s="1"/>
  <c r="AW321" i="7"/>
  <c r="AV321" i="7"/>
  <c r="AP321" i="7" s="1"/>
  <c r="AG321" i="7" s="1"/>
  <c r="AU321" i="7"/>
  <c r="AN321" i="7"/>
  <c r="AL321" i="7"/>
  <c r="AE321" i="7"/>
  <c r="AD321" i="7"/>
  <c r="S321" i="7"/>
  <c r="L321" i="7"/>
  <c r="AO321" i="7" s="1"/>
  <c r="AW320" i="7"/>
  <c r="AV320" i="7"/>
  <c r="AQ320" i="7" s="1"/>
  <c r="AH320" i="7" s="1"/>
  <c r="AU320" i="7"/>
  <c r="AN320" i="7"/>
  <c r="AD320" i="7"/>
  <c r="S320" i="7"/>
  <c r="L320" i="7"/>
  <c r="AM320" i="7" s="1"/>
  <c r="AF320" i="7" s="1"/>
  <c r="AW319" i="7"/>
  <c r="AV319" i="7"/>
  <c r="AU319" i="7"/>
  <c r="AM319" i="7"/>
  <c r="AF319" i="7" s="1"/>
  <c r="AD319" i="7"/>
  <c r="S319" i="7"/>
  <c r="L319" i="7"/>
  <c r="AL319" i="7" s="1"/>
  <c r="AE319" i="7" s="1"/>
  <c r="AW318" i="7"/>
  <c r="AV318" i="7"/>
  <c r="AR318" i="7" s="1"/>
  <c r="AI318" i="7" s="1"/>
  <c r="AU318" i="7"/>
  <c r="AL318" i="7" s="1"/>
  <c r="AE318" i="7" s="1"/>
  <c r="AD318" i="7"/>
  <c r="S318" i="7"/>
  <c r="L318" i="7"/>
  <c r="AW317" i="7"/>
  <c r="AV317" i="7"/>
  <c r="AR317" i="7" s="1"/>
  <c r="AI317" i="7" s="1"/>
  <c r="AU317" i="7"/>
  <c r="AL317" i="7"/>
  <c r="AE317" i="7"/>
  <c r="AD317" i="7"/>
  <c r="S317" i="7"/>
  <c r="L317" i="7"/>
  <c r="AO317" i="7" s="1"/>
  <c r="AW316" i="7"/>
  <c r="AV316" i="7"/>
  <c r="AP316" i="7" s="1"/>
  <c r="AG316" i="7" s="1"/>
  <c r="AU316" i="7"/>
  <c r="AN316" i="7" s="1"/>
  <c r="AD316" i="7"/>
  <c r="S316" i="7"/>
  <c r="L316" i="7"/>
  <c r="AW315" i="7"/>
  <c r="AV315" i="7"/>
  <c r="AU315" i="7"/>
  <c r="AM315" i="7" s="1"/>
  <c r="AF315" i="7" s="1"/>
  <c r="AD315" i="7"/>
  <c r="S315" i="7"/>
  <c r="L315" i="7"/>
  <c r="AW314" i="7"/>
  <c r="AV314" i="7"/>
  <c r="AQ314" i="7" s="1"/>
  <c r="AH314" i="7" s="1"/>
  <c r="AU314" i="7"/>
  <c r="AN314" i="7" s="1"/>
  <c r="AD314" i="7"/>
  <c r="S314" i="7"/>
  <c r="L314" i="7"/>
  <c r="AW313" i="7"/>
  <c r="AV313" i="7"/>
  <c r="AR313" i="7" s="1"/>
  <c r="AI313" i="7" s="1"/>
  <c r="AU313" i="7"/>
  <c r="AD313" i="7"/>
  <c r="S313" i="7"/>
  <c r="L313" i="7"/>
  <c r="AW312" i="7"/>
  <c r="AV312" i="7"/>
  <c r="AP312" i="7" s="1"/>
  <c r="AG312" i="7" s="1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P310" i="7"/>
  <c r="AG310" i="7" s="1"/>
  <c r="AD310" i="7"/>
  <c r="S310" i="7"/>
  <c r="AQ310" i="7" s="1"/>
  <c r="AH310" i="7" s="1"/>
  <c r="L310" i="7"/>
  <c r="AW309" i="7"/>
  <c r="AV309" i="7"/>
  <c r="AU309" i="7"/>
  <c r="AR309" i="7"/>
  <c r="AI309" i="7" s="1"/>
  <c r="AN309" i="7"/>
  <c r="AH309" i="7"/>
  <c r="AD309" i="7"/>
  <c r="S309" i="7"/>
  <c r="AQ309" i="7" s="1"/>
  <c r="L309" i="7"/>
  <c r="AW308" i="7"/>
  <c r="AV308" i="7"/>
  <c r="AU308" i="7"/>
  <c r="AP308" i="7"/>
  <c r="AG308" i="7" s="1"/>
  <c r="AD308" i="7"/>
  <c r="S308" i="7"/>
  <c r="AR308" i="7" s="1"/>
  <c r="AI308" i="7" s="1"/>
  <c r="L308" i="7"/>
  <c r="AO308" i="7" s="1"/>
  <c r="AW307" i="7"/>
  <c r="AV307" i="7"/>
  <c r="AU307" i="7"/>
  <c r="AL307" i="7"/>
  <c r="AE307" i="7" s="1"/>
  <c r="AD307" i="7"/>
  <c r="S307" i="7"/>
  <c r="L307" i="7"/>
  <c r="AM307" i="7" s="1"/>
  <c r="AF307" i="7" s="1"/>
  <c r="AW306" i="7"/>
  <c r="AV306" i="7"/>
  <c r="AU306" i="7"/>
  <c r="AN306" i="7"/>
  <c r="AL306" i="7"/>
  <c r="AE306" i="7"/>
  <c r="AD306" i="7"/>
  <c r="S306" i="7"/>
  <c r="L306" i="7"/>
  <c r="AW305" i="7"/>
  <c r="AV305" i="7"/>
  <c r="AU305" i="7"/>
  <c r="AO305" i="7"/>
  <c r="AN305" i="7"/>
  <c r="AL305" i="7"/>
  <c r="AE305" i="7" s="1"/>
  <c r="AD305" i="7"/>
  <c r="Y305" i="7"/>
  <c r="S305" i="7"/>
  <c r="AP305" i="7" s="1"/>
  <c r="AG305" i="7" s="1"/>
  <c r="L305" i="7"/>
  <c r="AM305" i="7" s="1"/>
  <c r="AF305" i="7" s="1"/>
  <c r="AW304" i="7"/>
  <c r="AV304" i="7"/>
  <c r="AU304" i="7"/>
  <c r="AO304" i="7" s="1"/>
  <c r="AN304" i="7"/>
  <c r="AD304" i="7"/>
  <c r="S304" i="7"/>
  <c r="L304" i="7"/>
  <c r="AM304" i="7" s="1"/>
  <c r="AF304" i="7" s="1"/>
  <c r="AW303" i="7"/>
  <c r="AV303" i="7"/>
  <c r="AU303" i="7"/>
  <c r="AO303" i="7"/>
  <c r="AN303" i="7"/>
  <c r="AL303" i="7"/>
  <c r="AE303" i="7"/>
  <c r="AD303" i="7"/>
  <c r="S303" i="7"/>
  <c r="AR303" i="7" s="1"/>
  <c r="AI303" i="7" s="1"/>
  <c r="L303" i="7"/>
  <c r="AM303" i="7" s="1"/>
  <c r="AF303" i="7" s="1"/>
  <c r="AW302" i="7"/>
  <c r="AV302" i="7"/>
  <c r="AU302" i="7"/>
  <c r="AP302" i="7"/>
  <c r="AG302" i="7" s="1"/>
  <c r="AM302" i="7"/>
  <c r="AF302" i="7" s="1"/>
  <c r="AD302" i="7"/>
  <c r="S302" i="7"/>
  <c r="AR302" i="7" s="1"/>
  <c r="AI302" i="7" s="1"/>
  <c r="L302" i="7"/>
  <c r="AW301" i="7"/>
  <c r="AV301" i="7"/>
  <c r="AU301" i="7"/>
  <c r="AQ301" i="7"/>
  <c r="AH301" i="7" s="1"/>
  <c r="AM301" i="7"/>
  <c r="AF301" i="7" s="1"/>
  <c r="AD301" i="7"/>
  <c r="S301" i="7"/>
  <c r="AR301" i="7" s="1"/>
  <c r="AI301" i="7" s="1"/>
  <c r="L301" i="7"/>
  <c r="AW300" i="7"/>
  <c r="AV300" i="7"/>
  <c r="AU300" i="7"/>
  <c r="AD300" i="7"/>
  <c r="S300" i="7"/>
  <c r="AR300" i="7" s="1"/>
  <c r="AI300" i="7" s="1"/>
  <c r="L300" i="7"/>
  <c r="AW299" i="7"/>
  <c r="AV299" i="7"/>
  <c r="AU299" i="7"/>
  <c r="AR299" i="7"/>
  <c r="AI299" i="7" s="1"/>
  <c r="AO299" i="7"/>
  <c r="AD299" i="7"/>
  <c r="S299" i="7"/>
  <c r="AQ299" i="7" s="1"/>
  <c r="AH299" i="7" s="1"/>
  <c r="L299" i="7"/>
  <c r="AM299" i="7" s="1"/>
  <c r="AF299" i="7" s="1"/>
  <c r="AW298" i="7"/>
  <c r="AV298" i="7"/>
  <c r="AU298" i="7"/>
  <c r="AQ298" i="7"/>
  <c r="AH298" i="7" s="1"/>
  <c r="AL298" i="7"/>
  <c r="AE298" i="7" s="1"/>
  <c r="AI298" i="7"/>
  <c r="AD298" i="7"/>
  <c r="S298" i="7"/>
  <c r="AR298" i="7" s="1"/>
  <c r="L298" i="7"/>
  <c r="AO298" i="7" s="1"/>
  <c r="AW297" i="7"/>
  <c r="AV297" i="7"/>
  <c r="AU297" i="7"/>
  <c r="AR297" i="7"/>
  <c r="AI297" i="7" s="1"/>
  <c r="AD297" i="7"/>
  <c r="S297" i="7"/>
  <c r="AQ297" i="7" s="1"/>
  <c r="AH297" i="7" s="1"/>
  <c r="L297" i="7"/>
  <c r="AO297" i="7" s="1"/>
  <c r="AW296" i="7"/>
  <c r="AV296" i="7"/>
  <c r="AU296" i="7"/>
  <c r="AR296" i="7"/>
  <c r="AI296" i="7" s="1"/>
  <c r="AO296" i="7"/>
  <c r="AD296" i="7"/>
  <c r="S296" i="7"/>
  <c r="AQ296" i="7" s="1"/>
  <c r="AH296" i="7" s="1"/>
  <c r="L296" i="7"/>
  <c r="AM296" i="7" s="1"/>
  <c r="AF296" i="7" s="1"/>
  <c r="AW295" i="7"/>
  <c r="AV295" i="7"/>
  <c r="AU295" i="7"/>
  <c r="AR295" i="7"/>
  <c r="AP295" i="7"/>
  <c r="AL295" i="7"/>
  <c r="AE295" i="7" s="1"/>
  <c r="AI295" i="7"/>
  <c r="AG295" i="7"/>
  <c r="AD295" i="7"/>
  <c r="S295" i="7"/>
  <c r="AQ295" i="7" s="1"/>
  <c r="AH295" i="7" s="1"/>
  <c r="L295" i="7"/>
  <c r="AO295" i="7" s="1"/>
  <c r="AW294" i="7"/>
  <c r="AV294" i="7"/>
  <c r="AU294" i="7"/>
  <c r="AR294" i="7"/>
  <c r="AI294" i="7" s="1"/>
  <c r="AL294" i="7"/>
  <c r="AE294" i="7" s="1"/>
  <c r="AD294" i="7"/>
  <c r="S294" i="7"/>
  <c r="AQ294" i="7" s="1"/>
  <c r="AH294" i="7" s="1"/>
  <c r="L294" i="7"/>
  <c r="AO294" i="7" s="1"/>
  <c r="AW293" i="7"/>
  <c r="AV293" i="7"/>
  <c r="AU293" i="7"/>
  <c r="AQ293" i="7"/>
  <c r="AH293" i="7" s="1"/>
  <c r="AN293" i="7"/>
  <c r="AL293" i="7"/>
  <c r="AE293" i="7" s="1"/>
  <c r="AD293" i="7"/>
  <c r="S293" i="7"/>
  <c r="L293" i="7"/>
  <c r="AO293" i="7" s="1"/>
  <c r="AW292" i="7"/>
  <c r="AV292" i="7"/>
  <c r="AU292" i="7"/>
  <c r="AR292" i="7"/>
  <c r="AP292" i="7"/>
  <c r="AG292" i="7" s="1"/>
  <c r="AL292" i="7"/>
  <c r="AE292" i="7" s="1"/>
  <c r="AI292" i="7"/>
  <c r="AD292" i="7"/>
  <c r="S292" i="7"/>
  <c r="AQ292" i="7" s="1"/>
  <c r="AH292" i="7" s="1"/>
  <c r="L292" i="7"/>
  <c r="AO292" i="7" s="1"/>
  <c r="AW291" i="7"/>
  <c r="AV291" i="7"/>
  <c r="AU291" i="7"/>
  <c r="AR291" i="7"/>
  <c r="AI291" i="7" s="1"/>
  <c r="AQ291" i="7"/>
  <c r="AH291" i="7" s="1"/>
  <c r="AL291" i="7"/>
  <c r="AE291" i="7" s="1"/>
  <c r="AD291" i="7"/>
  <c r="Z291" i="7"/>
  <c r="S291" i="7"/>
  <c r="AP291" i="7" s="1"/>
  <c r="AG291" i="7" s="1"/>
  <c r="L291" i="7"/>
  <c r="AO291" i="7" s="1"/>
  <c r="AW290" i="7"/>
  <c r="AV290" i="7"/>
  <c r="AP290" i="7" s="1"/>
  <c r="AG290" i="7" s="1"/>
  <c r="AU290" i="7"/>
  <c r="AR290" i="7"/>
  <c r="AI290" i="7" s="1"/>
  <c r="Z290" i="7" s="1"/>
  <c r="AQ290" i="7"/>
  <c r="AH290" i="7" s="1"/>
  <c r="AM290" i="7"/>
  <c r="AF290" i="7"/>
  <c r="AD290" i="7"/>
  <c r="S290" i="7"/>
  <c r="L290" i="7"/>
  <c r="AW289" i="7"/>
  <c r="AV289" i="7"/>
  <c r="AR289" i="7" s="1"/>
  <c r="AI289" i="7" s="1"/>
  <c r="AU289" i="7"/>
  <c r="AO289" i="7"/>
  <c r="AL289" i="7"/>
  <c r="AE289" i="7"/>
  <c r="AD289" i="7"/>
  <c r="S289" i="7"/>
  <c r="L289" i="7"/>
  <c r="AN289" i="7" s="1"/>
  <c r="AW288" i="7"/>
  <c r="AV288" i="7"/>
  <c r="AR288" i="7" s="1"/>
  <c r="AI288" i="7" s="1"/>
  <c r="AU288" i="7"/>
  <c r="AL288" i="7"/>
  <c r="AE288" i="7" s="1"/>
  <c r="AD288" i="7"/>
  <c r="S288" i="7"/>
  <c r="AP288" i="7" s="1"/>
  <c r="AG288" i="7" s="1"/>
  <c r="L288" i="7"/>
  <c r="AO288" i="7" s="1"/>
  <c r="AW287" i="7"/>
  <c r="AV287" i="7"/>
  <c r="AU287" i="7"/>
  <c r="AR287" i="7"/>
  <c r="AI287" i="7" s="1"/>
  <c r="AQ287" i="7"/>
  <c r="AH287" i="7" s="1"/>
  <c r="AP287" i="7"/>
  <c r="AM287" i="7"/>
  <c r="AF287" i="7" s="1"/>
  <c r="AG287" i="7"/>
  <c r="AD287" i="7"/>
  <c r="S287" i="7"/>
  <c r="L287" i="7"/>
  <c r="AW286" i="7"/>
  <c r="AV286" i="7"/>
  <c r="AU286" i="7"/>
  <c r="AN286" i="7"/>
  <c r="AL286" i="7"/>
  <c r="AG286" i="7"/>
  <c r="AE286" i="7"/>
  <c r="AD286" i="7"/>
  <c r="S286" i="7"/>
  <c r="AP286" i="7" s="1"/>
  <c r="L286" i="7"/>
  <c r="AO286" i="7" s="1"/>
  <c r="AW285" i="7"/>
  <c r="AV285" i="7"/>
  <c r="AU285" i="7"/>
  <c r="AR285" i="7"/>
  <c r="AI285" i="7" s="1"/>
  <c r="AQ285" i="7"/>
  <c r="AP285" i="7"/>
  <c r="AG285" i="7" s="1"/>
  <c r="Z285" i="7" s="1"/>
  <c r="AL285" i="7"/>
  <c r="AE285" i="7" s="1"/>
  <c r="AH285" i="7"/>
  <c r="AD285" i="7"/>
  <c r="S285" i="7"/>
  <c r="L285" i="7"/>
  <c r="AO285" i="7" s="1"/>
  <c r="AW284" i="7"/>
  <c r="AV284" i="7"/>
  <c r="AP284" i="7" s="1"/>
  <c r="AG284" i="7" s="1"/>
  <c r="AU284" i="7"/>
  <c r="AD284" i="7"/>
  <c r="S284" i="7"/>
  <c r="L284" i="7"/>
  <c r="AW283" i="7"/>
  <c r="AV283" i="7"/>
  <c r="AU283" i="7"/>
  <c r="AN283" i="7"/>
  <c r="AL283" i="7"/>
  <c r="AE283" i="7"/>
  <c r="AD283" i="7"/>
  <c r="S283" i="7"/>
  <c r="AR283" i="7" s="1"/>
  <c r="AI283" i="7" s="1"/>
  <c r="L283" i="7"/>
  <c r="AO283" i="7" s="1"/>
  <c r="AW282" i="7"/>
  <c r="AV282" i="7"/>
  <c r="AU282" i="7"/>
  <c r="AR282" i="7"/>
  <c r="AI282" i="7" s="1"/>
  <c r="AQ282" i="7"/>
  <c r="AP282" i="7"/>
  <c r="AG282" i="7" s="1"/>
  <c r="AH282" i="7"/>
  <c r="AD282" i="7"/>
  <c r="S282" i="7"/>
  <c r="L282" i="7"/>
  <c r="AL282" i="7" s="1"/>
  <c r="AE282" i="7" s="1"/>
  <c r="AW281" i="7"/>
  <c r="AV281" i="7"/>
  <c r="AU281" i="7"/>
  <c r="AN281" i="7" s="1"/>
  <c r="AL281" i="7"/>
  <c r="AE281" i="7" s="1"/>
  <c r="AD281" i="7"/>
  <c r="S281" i="7"/>
  <c r="L281" i="7"/>
  <c r="AW280" i="7"/>
  <c r="AV280" i="7"/>
  <c r="AU280" i="7"/>
  <c r="AQ280" i="7"/>
  <c r="AH280" i="7" s="1"/>
  <c r="AN280" i="7"/>
  <c r="AD280" i="7"/>
  <c r="S280" i="7"/>
  <c r="AR280" i="7" s="1"/>
  <c r="AI280" i="7" s="1"/>
  <c r="L280" i="7"/>
  <c r="AW279" i="7"/>
  <c r="AV279" i="7"/>
  <c r="AR279" i="7" s="1"/>
  <c r="AI279" i="7" s="1"/>
  <c r="AU279" i="7"/>
  <c r="AO279" i="7" s="1"/>
  <c r="AQ279" i="7"/>
  <c r="AH279" i="7" s="1"/>
  <c r="Z279" i="7" s="1"/>
  <c r="AP279" i="7"/>
  <c r="AG279" i="7" s="1"/>
  <c r="AD279" i="7"/>
  <c r="S279" i="7"/>
  <c r="L279" i="7"/>
  <c r="AW278" i="7"/>
  <c r="AV278" i="7"/>
  <c r="AU278" i="7"/>
  <c r="AN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R276" i="7" s="1"/>
  <c r="AI276" i="7" s="1"/>
  <c r="AU276" i="7"/>
  <c r="AQ276" i="7"/>
  <c r="AP276" i="7"/>
  <c r="AG276" i="7" s="1"/>
  <c r="AO276" i="7"/>
  <c r="AH276" i="7"/>
  <c r="Z276" i="7" s="1"/>
  <c r="AD276" i="7"/>
  <c r="S276" i="7"/>
  <c r="L276" i="7"/>
  <c r="AN276" i="7" s="1"/>
  <c r="AW275" i="7"/>
  <c r="AV275" i="7"/>
  <c r="AU275" i="7"/>
  <c r="AO275" i="7" s="1"/>
  <c r="AD275" i="7"/>
  <c r="S275" i="7"/>
  <c r="L275" i="7"/>
  <c r="AW274" i="7"/>
  <c r="AV274" i="7"/>
  <c r="AP274" i="7" s="1"/>
  <c r="AG274" i="7" s="1"/>
  <c r="AU274" i="7"/>
  <c r="AN274" i="7"/>
  <c r="AL274" i="7"/>
  <c r="AE274" i="7" s="1"/>
  <c r="AD274" i="7"/>
  <c r="S274" i="7"/>
  <c r="L274" i="7"/>
  <c r="AW273" i="7"/>
  <c r="AV273" i="7"/>
  <c r="AU273" i="7"/>
  <c r="AO273" i="7"/>
  <c r="AN273" i="7"/>
  <c r="AL273" i="7"/>
  <c r="AE273" i="7" s="1"/>
  <c r="AD273" i="7"/>
  <c r="S273" i="7"/>
  <c r="AP273" i="7" s="1"/>
  <c r="AG273" i="7" s="1"/>
  <c r="L273" i="7"/>
  <c r="AM273" i="7" s="1"/>
  <c r="AF273" i="7" s="1"/>
  <c r="Y273" i="7" s="1"/>
  <c r="AW272" i="7"/>
  <c r="AV272" i="7"/>
  <c r="AU272" i="7"/>
  <c r="AO272" i="7" s="1"/>
  <c r="AN272" i="7"/>
  <c r="AD272" i="7"/>
  <c r="S272" i="7"/>
  <c r="AR272" i="7" s="1"/>
  <c r="AI272" i="7" s="1"/>
  <c r="L272" i="7"/>
  <c r="AM272" i="7" s="1"/>
  <c r="AF272" i="7" s="1"/>
  <c r="AW271" i="7"/>
  <c r="AV271" i="7"/>
  <c r="AU271" i="7"/>
  <c r="AO271" i="7" s="1"/>
  <c r="AN271" i="7"/>
  <c r="AD271" i="7"/>
  <c r="S271" i="7"/>
  <c r="L271" i="7"/>
  <c r="AW270" i="7"/>
  <c r="AV270" i="7"/>
  <c r="AU270" i="7"/>
  <c r="AP270" i="7"/>
  <c r="AG270" i="7" s="1"/>
  <c r="AM270" i="7"/>
  <c r="AF270" i="7"/>
  <c r="AD270" i="7"/>
  <c r="S270" i="7"/>
  <c r="L270" i="7"/>
  <c r="AN270" i="7" s="1"/>
  <c r="AW269" i="7"/>
  <c r="AV269" i="7"/>
  <c r="AU269" i="7"/>
  <c r="AQ269" i="7"/>
  <c r="AH269" i="7"/>
  <c r="AD269" i="7"/>
  <c r="S269" i="7"/>
  <c r="AR269" i="7" s="1"/>
  <c r="AI269" i="7" s="1"/>
  <c r="L269" i="7"/>
  <c r="AM269" i="7" s="1"/>
  <c r="AF269" i="7" s="1"/>
  <c r="AW268" i="7"/>
  <c r="AV268" i="7"/>
  <c r="AU268" i="7"/>
  <c r="AN268" i="7" s="1"/>
  <c r="AO268" i="7"/>
  <c r="AD268" i="7"/>
  <c r="S268" i="7"/>
  <c r="L268" i="7"/>
  <c r="AW267" i="7"/>
  <c r="AV267" i="7"/>
  <c r="AU267" i="7"/>
  <c r="AR267" i="7"/>
  <c r="AI267" i="7" s="1"/>
  <c r="AD267" i="7"/>
  <c r="S267" i="7"/>
  <c r="L267" i="7"/>
  <c r="AL267" i="7" s="1"/>
  <c r="AE267" i="7" s="1"/>
  <c r="AW266" i="7"/>
  <c r="AV266" i="7"/>
  <c r="AU266" i="7"/>
  <c r="AQ266" i="7"/>
  <c r="AH266" i="7" s="1"/>
  <c r="AL266" i="7"/>
  <c r="AE266" i="7" s="1"/>
  <c r="AI266" i="7"/>
  <c r="AD266" i="7"/>
  <c r="S266" i="7"/>
  <c r="AR266" i="7" s="1"/>
  <c r="L266" i="7"/>
  <c r="AO266" i="7" s="1"/>
  <c r="AW265" i="7"/>
  <c r="AV265" i="7"/>
  <c r="AU265" i="7"/>
  <c r="AD265" i="7"/>
  <c r="S265" i="7"/>
  <c r="L265" i="7"/>
  <c r="AW264" i="7"/>
  <c r="AV264" i="7"/>
  <c r="AU264" i="7"/>
  <c r="AM264" i="7"/>
  <c r="AF264" i="7" s="1"/>
  <c r="AD264" i="7"/>
  <c r="S264" i="7"/>
  <c r="L264" i="7"/>
  <c r="AL264" i="7" s="1"/>
  <c r="AE264" i="7" s="1"/>
  <c r="AW263" i="7"/>
  <c r="AV263" i="7"/>
  <c r="AU263" i="7"/>
  <c r="AR263" i="7"/>
  <c r="AP263" i="7"/>
  <c r="AG263" i="7" s="1"/>
  <c r="Z263" i="7" s="1"/>
  <c r="AL263" i="7"/>
  <c r="AE263" i="7" s="1"/>
  <c r="AI263" i="7"/>
  <c r="AD263" i="7"/>
  <c r="S263" i="7"/>
  <c r="AQ263" i="7" s="1"/>
  <c r="AH263" i="7" s="1"/>
  <c r="L263" i="7"/>
  <c r="AO263" i="7" s="1"/>
  <c r="AW262" i="7"/>
  <c r="AV262" i="7"/>
  <c r="AU262" i="7"/>
  <c r="AR262" i="7"/>
  <c r="AI262" i="7" s="1"/>
  <c r="AP262" i="7"/>
  <c r="AM262" i="7"/>
  <c r="AL262" i="7"/>
  <c r="AE262" i="7" s="1"/>
  <c r="AG262" i="7"/>
  <c r="AF262" i="7"/>
  <c r="AD262" i="7"/>
  <c r="S262" i="7"/>
  <c r="AQ262" i="7" s="1"/>
  <c r="AH262" i="7" s="1"/>
  <c r="L262" i="7"/>
  <c r="AW261" i="7"/>
  <c r="AV261" i="7"/>
  <c r="AU261" i="7"/>
  <c r="AD261" i="7"/>
  <c r="S261" i="7"/>
  <c r="L261" i="7"/>
  <c r="AO261" i="7" s="1"/>
  <c r="AW260" i="7"/>
  <c r="AV260" i="7"/>
  <c r="AU260" i="7"/>
  <c r="AR260" i="7"/>
  <c r="AP260" i="7"/>
  <c r="AG260" i="7" s="1"/>
  <c r="AL260" i="7"/>
  <c r="AE260" i="7" s="1"/>
  <c r="AI260" i="7"/>
  <c r="AD260" i="7"/>
  <c r="S260" i="7"/>
  <c r="AQ260" i="7" s="1"/>
  <c r="AH260" i="7" s="1"/>
  <c r="L260" i="7"/>
  <c r="AO260" i="7" s="1"/>
  <c r="AW259" i="7"/>
  <c r="AV259" i="7"/>
  <c r="AU259" i="7"/>
  <c r="AR259" i="7"/>
  <c r="AI259" i="7" s="1"/>
  <c r="AQ259" i="7"/>
  <c r="AH259" i="7" s="1"/>
  <c r="AD259" i="7"/>
  <c r="S259" i="7"/>
  <c r="AP259" i="7" s="1"/>
  <c r="AG259" i="7" s="1"/>
  <c r="Z259" i="7" s="1"/>
  <c r="L259" i="7"/>
  <c r="AW258" i="7"/>
  <c r="AV258" i="7"/>
  <c r="AP258" i="7" s="1"/>
  <c r="AG258" i="7" s="1"/>
  <c r="Z258" i="7" s="1"/>
  <c r="AU258" i="7"/>
  <c r="AR258" i="7"/>
  <c r="AQ258" i="7"/>
  <c r="AH258" i="7" s="1"/>
  <c r="AI258" i="7"/>
  <c r="AD258" i="7"/>
  <c r="S258" i="7"/>
  <c r="L258" i="7"/>
  <c r="AW257" i="7"/>
  <c r="AV257" i="7"/>
  <c r="AR257" i="7" s="1"/>
  <c r="AI257" i="7" s="1"/>
  <c r="AU257" i="7"/>
  <c r="AO257" i="7"/>
  <c r="AL257" i="7"/>
  <c r="AE257" i="7" s="1"/>
  <c r="AD257" i="7"/>
  <c r="S257" i="7"/>
  <c r="AP257" i="7" s="1"/>
  <c r="AG257" i="7" s="1"/>
  <c r="L257" i="7"/>
  <c r="AN257" i="7" s="1"/>
  <c r="AW256" i="7"/>
  <c r="AV256" i="7"/>
  <c r="AU256" i="7"/>
  <c r="AR256" i="7"/>
  <c r="AI256" i="7" s="1"/>
  <c r="AQ256" i="7"/>
  <c r="AH256" i="7" s="1"/>
  <c r="Z256" i="7" s="1"/>
  <c r="AO256" i="7"/>
  <c r="AL256" i="7"/>
  <c r="AE256" i="7"/>
  <c r="AD256" i="7"/>
  <c r="S256" i="7"/>
  <c r="AP256" i="7" s="1"/>
  <c r="AG256" i="7" s="1"/>
  <c r="L256" i="7"/>
  <c r="AN256" i="7" s="1"/>
  <c r="AW255" i="7"/>
  <c r="AV255" i="7"/>
  <c r="AU255" i="7"/>
  <c r="AR255" i="7"/>
  <c r="AQ255" i="7"/>
  <c r="AP255" i="7"/>
  <c r="AM255" i="7"/>
  <c r="AF255" i="7" s="1"/>
  <c r="AI255" i="7"/>
  <c r="AH255" i="7"/>
  <c r="AG255" i="7"/>
  <c r="Z255" i="7" s="1"/>
  <c r="AD255" i="7"/>
  <c r="S255" i="7"/>
  <c r="L255" i="7"/>
  <c r="AL255" i="7" s="1"/>
  <c r="AE255" i="7" s="1"/>
  <c r="AW254" i="7"/>
  <c r="AV254" i="7"/>
  <c r="AU254" i="7"/>
  <c r="AQ254" i="7"/>
  <c r="AH254" i="7" s="1"/>
  <c r="AN254" i="7"/>
  <c r="AL254" i="7"/>
  <c r="AE254" i="7" s="1"/>
  <c r="AD254" i="7"/>
  <c r="S254" i="7"/>
  <c r="AP254" i="7" s="1"/>
  <c r="AG254" i="7" s="1"/>
  <c r="L254" i="7"/>
  <c r="AO254" i="7" s="1"/>
  <c r="AW253" i="7"/>
  <c r="AV253" i="7"/>
  <c r="AR253" i="7" s="1"/>
  <c r="AI253" i="7" s="1"/>
  <c r="AU253" i="7"/>
  <c r="AD253" i="7"/>
  <c r="S253" i="7"/>
  <c r="AQ253" i="7" s="1"/>
  <c r="AH253" i="7" s="1"/>
  <c r="L253" i="7"/>
  <c r="AO253" i="7" s="1"/>
  <c r="AW252" i="7"/>
  <c r="AV252" i="7"/>
  <c r="AU252" i="7"/>
  <c r="AR252" i="7"/>
  <c r="AI252" i="7" s="1"/>
  <c r="AQ252" i="7"/>
  <c r="AP252" i="7"/>
  <c r="AG252" i="7" s="1"/>
  <c r="Z252" i="7" s="1"/>
  <c r="AH252" i="7"/>
  <c r="AD252" i="7"/>
  <c r="S252" i="7"/>
  <c r="L252" i="7"/>
  <c r="AM252" i="7" s="1"/>
  <c r="AF252" i="7" s="1"/>
  <c r="AW251" i="7"/>
  <c r="AV251" i="7"/>
  <c r="AU251" i="7"/>
  <c r="AQ251" i="7"/>
  <c r="AH251" i="7" s="1"/>
  <c r="AP251" i="7"/>
  <c r="AG251" i="7" s="1"/>
  <c r="Z251" i="7" s="1"/>
  <c r="AM251" i="7"/>
  <c r="AF251" i="7" s="1"/>
  <c r="AD251" i="7"/>
  <c r="S251" i="7"/>
  <c r="AR251" i="7" s="1"/>
  <c r="AI251" i="7" s="1"/>
  <c r="L251" i="7"/>
  <c r="AO251" i="7" s="1"/>
  <c r="AW250" i="7"/>
  <c r="AV250" i="7"/>
  <c r="AR250" i="7" s="1"/>
  <c r="AI250" i="7" s="1"/>
  <c r="AU250" i="7"/>
  <c r="AL250" i="7" s="1"/>
  <c r="AE250" i="7" s="1"/>
  <c r="AD250" i="7"/>
  <c r="S250" i="7"/>
  <c r="L250" i="7"/>
  <c r="AM250" i="7" s="1"/>
  <c r="AF250" i="7" s="1"/>
  <c r="AW249" i="7"/>
  <c r="AV249" i="7"/>
  <c r="AU249" i="7"/>
  <c r="AN249" i="7" s="1"/>
  <c r="AR249" i="7"/>
  <c r="AI249" i="7" s="1"/>
  <c r="AQ249" i="7"/>
  <c r="AH249" i="7" s="1"/>
  <c r="AP249" i="7"/>
  <c r="AG249" i="7"/>
  <c r="AF249" i="7"/>
  <c r="AD249" i="7"/>
  <c r="S249" i="7"/>
  <c r="L249" i="7"/>
  <c r="AM249" i="7" s="1"/>
  <c r="AW248" i="7"/>
  <c r="AV248" i="7"/>
  <c r="AU248" i="7"/>
  <c r="AP248" i="7"/>
  <c r="AG248" i="7" s="1"/>
  <c r="AN248" i="7"/>
  <c r="AM248" i="7"/>
  <c r="AF248" i="7" s="1"/>
  <c r="AL248" i="7"/>
  <c r="AE248" i="7"/>
  <c r="AD248" i="7"/>
  <c r="S248" i="7"/>
  <c r="AR248" i="7" s="1"/>
  <c r="AI248" i="7" s="1"/>
  <c r="L248" i="7"/>
  <c r="AW247" i="7"/>
  <c r="AV247" i="7"/>
  <c r="AR247" i="7" s="1"/>
  <c r="AI247" i="7" s="1"/>
  <c r="AU247" i="7"/>
  <c r="AD247" i="7"/>
  <c r="S247" i="7"/>
  <c r="L247" i="7"/>
  <c r="AN247" i="7" s="1"/>
  <c r="AW246" i="7"/>
  <c r="AV246" i="7"/>
  <c r="AU246" i="7"/>
  <c r="AR246" i="7"/>
  <c r="AP246" i="7"/>
  <c r="AG246" i="7" s="1"/>
  <c r="AN246" i="7"/>
  <c r="AI246" i="7"/>
  <c r="AD246" i="7"/>
  <c r="S246" i="7"/>
  <c r="AQ246" i="7" s="1"/>
  <c r="AH246" i="7" s="1"/>
  <c r="L246" i="7"/>
  <c r="AO246" i="7" s="1"/>
  <c r="AW245" i="7"/>
  <c r="AV245" i="7"/>
  <c r="AR245" i="7" s="1"/>
  <c r="AI245" i="7" s="1"/>
  <c r="AU245" i="7"/>
  <c r="AL245" i="7" s="1"/>
  <c r="AE245" i="7" s="1"/>
  <c r="AQ245" i="7"/>
  <c r="AH245" i="7" s="1"/>
  <c r="AO245" i="7"/>
  <c r="AM245" i="7"/>
  <c r="AF245" i="7" s="1"/>
  <c r="AD245" i="7"/>
  <c r="S245" i="7"/>
  <c r="L245" i="7"/>
  <c r="AW244" i="7"/>
  <c r="AV244" i="7"/>
  <c r="AR244" i="7" s="1"/>
  <c r="AI244" i="7" s="1"/>
  <c r="AU244" i="7"/>
  <c r="AO244" i="7" s="1"/>
  <c r="AD244" i="7"/>
  <c r="S244" i="7"/>
  <c r="L244" i="7"/>
  <c r="AL244" i="7" s="1"/>
  <c r="AE244" i="7" s="1"/>
  <c r="AW243" i="7"/>
  <c r="AV243" i="7"/>
  <c r="AU243" i="7"/>
  <c r="AO243" i="7" s="1"/>
  <c r="AN243" i="7"/>
  <c r="AD243" i="7"/>
  <c r="S243" i="7"/>
  <c r="AR243" i="7" s="1"/>
  <c r="AI243" i="7" s="1"/>
  <c r="L243" i="7"/>
  <c r="AW242" i="7"/>
  <c r="AV242" i="7"/>
  <c r="AU242" i="7"/>
  <c r="AL242" i="7" s="1"/>
  <c r="AE242" i="7" s="1"/>
  <c r="AN242" i="7"/>
  <c r="AD242" i="7"/>
  <c r="S242" i="7"/>
  <c r="AR242" i="7" s="1"/>
  <c r="AI242" i="7" s="1"/>
  <c r="L242" i="7"/>
  <c r="AW241" i="7"/>
  <c r="AV241" i="7"/>
  <c r="AU241" i="7"/>
  <c r="AL241" i="7" s="1"/>
  <c r="AE241" i="7" s="1"/>
  <c r="AD241" i="7"/>
  <c r="S241" i="7"/>
  <c r="AQ241" i="7" s="1"/>
  <c r="AH241" i="7" s="1"/>
  <c r="L241" i="7"/>
  <c r="AW240" i="7"/>
  <c r="AV240" i="7"/>
  <c r="AU240" i="7"/>
  <c r="AO240" i="7" s="1"/>
  <c r="AR240" i="7"/>
  <c r="AI240" i="7" s="1"/>
  <c r="AP240" i="7"/>
  <c r="AG240" i="7" s="1"/>
  <c r="AD240" i="7"/>
  <c r="S240" i="7"/>
  <c r="AQ240" i="7" s="1"/>
  <c r="AH240" i="7" s="1"/>
  <c r="L240" i="7"/>
  <c r="AW239" i="7"/>
  <c r="AV239" i="7"/>
  <c r="AP239" i="7" s="1"/>
  <c r="AG239" i="7" s="1"/>
  <c r="AU239" i="7"/>
  <c r="AO239" i="7" s="1"/>
  <c r="AD239" i="7"/>
  <c r="S239" i="7"/>
  <c r="L239" i="7"/>
  <c r="AW238" i="7"/>
  <c r="AV238" i="7"/>
  <c r="AP238" i="7" s="1"/>
  <c r="AG238" i="7" s="1"/>
  <c r="AU238" i="7"/>
  <c r="AN238" i="7" s="1"/>
  <c r="AD238" i="7"/>
  <c r="S238" i="7"/>
  <c r="L238" i="7"/>
  <c r="AW237" i="7"/>
  <c r="AV237" i="7"/>
  <c r="AU237" i="7"/>
  <c r="AN237" i="7" s="1"/>
  <c r="AR237" i="7"/>
  <c r="AI237" i="7" s="1"/>
  <c r="AQ237" i="7"/>
  <c r="AH237" i="7"/>
  <c r="AD237" i="7"/>
  <c r="S237" i="7"/>
  <c r="AP237" i="7" s="1"/>
  <c r="AG237" i="7" s="1"/>
  <c r="Z237" i="7" s="1"/>
  <c r="L237" i="7"/>
  <c r="AW236" i="7"/>
  <c r="AV236" i="7"/>
  <c r="AU236" i="7"/>
  <c r="AL236" i="7" s="1"/>
  <c r="AE236" i="7" s="1"/>
  <c r="AI236" i="7"/>
  <c r="AD236" i="7"/>
  <c r="S236" i="7"/>
  <c r="AR236" i="7" s="1"/>
  <c r="L236" i="7"/>
  <c r="AW235" i="7"/>
  <c r="AV235" i="7"/>
  <c r="AU235" i="7"/>
  <c r="AN235" i="7" s="1"/>
  <c r="AR235" i="7"/>
  <c r="AI235" i="7" s="1"/>
  <c r="AD235" i="7"/>
  <c r="S235" i="7"/>
  <c r="L235" i="7"/>
  <c r="AW234" i="7"/>
  <c r="AV234" i="7"/>
  <c r="AP234" i="7" s="1"/>
  <c r="AG234" i="7" s="1"/>
  <c r="Z234" i="7" s="1"/>
  <c r="AU234" i="7"/>
  <c r="AN234" i="7" s="1"/>
  <c r="AR234" i="7"/>
  <c r="AI234" i="7" s="1"/>
  <c r="AD234" i="7"/>
  <c r="S234" i="7"/>
  <c r="AQ234" i="7" s="1"/>
  <c r="AH234" i="7" s="1"/>
  <c r="L234" i="7"/>
  <c r="AW233" i="7"/>
  <c r="AV233" i="7"/>
  <c r="AU233" i="7"/>
  <c r="AL233" i="7" s="1"/>
  <c r="AE233" i="7" s="1"/>
  <c r="AR233" i="7"/>
  <c r="AI233" i="7" s="1"/>
  <c r="AP233" i="7"/>
  <c r="AG233" i="7" s="1"/>
  <c r="AH233" i="7"/>
  <c r="AD233" i="7"/>
  <c r="S233" i="7"/>
  <c r="AQ233" i="7" s="1"/>
  <c r="L233" i="7"/>
  <c r="AW232" i="7"/>
  <c r="AV232" i="7"/>
  <c r="AU232" i="7"/>
  <c r="AD232" i="7"/>
  <c r="S232" i="7"/>
  <c r="L232" i="7"/>
  <c r="AW231" i="7"/>
  <c r="AV231" i="7"/>
  <c r="AQ231" i="7" s="1"/>
  <c r="AH231" i="7" s="1"/>
  <c r="AU231" i="7"/>
  <c r="AM231" i="7" s="1"/>
  <c r="AF231" i="7" s="1"/>
  <c r="AR231" i="7"/>
  <c r="AI231" i="7" s="1"/>
  <c r="AD231" i="7"/>
  <c r="S231" i="7"/>
  <c r="AP231" i="7" s="1"/>
  <c r="AG231" i="7" s="1"/>
  <c r="Z231" i="7" s="1"/>
  <c r="L231" i="7"/>
  <c r="AO231" i="7" s="1"/>
  <c r="AW230" i="7"/>
  <c r="AV230" i="7"/>
  <c r="AU230" i="7"/>
  <c r="AD230" i="7"/>
  <c r="S230" i="7"/>
  <c r="L230" i="7"/>
  <c r="AO230" i="7" s="1"/>
  <c r="AW229" i="7"/>
  <c r="AV229" i="7"/>
  <c r="AR229" i="7" s="1"/>
  <c r="AI229" i="7" s="1"/>
  <c r="AU229" i="7"/>
  <c r="AD229" i="7"/>
  <c r="S229" i="7"/>
  <c r="AQ229" i="7" s="1"/>
  <c r="AH229" i="7" s="1"/>
  <c r="L229" i="7"/>
  <c r="AN229" i="7" s="1"/>
  <c r="AW228" i="7"/>
  <c r="AV228" i="7"/>
  <c r="AU228" i="7"/>
  <c r="AQ228" i="7"/>
  <c r="AP228" i="7"/>
  <c r="AG228" i="7" s="1"/>
  <c r="Z228" i="7" s="1"/>
  <c r="AM228" i="7"/>
  <c r="AF228" i="7" s="1"/>
  <c r="AH228" i="7"/>
  <c r="AD228" i="7"/>
  <c r="S228" i="7"/>
  <c r="AR228" i="7" s="1"/>
  <c r="AI228" i="7" s="1"/>
  <c r="L228" i="7"/>
  <c r="AO228" i="7" s="1"/>
  <c r="AW227" i="7"/>
  <c r="AV227" i="7"/>
  <c r="AR227" i="7" s="1"/>
  <c r="AI227" i="7" s="1"/>
  <c r="AU227" i="7"/>
  <c r="AL227" i="7" s="1"/>
  <c r="AE227" i="7" s="1"/>
  <c r="AD227" i="7"/>
  <c r="S227" i="7"/>
  <c r="L227" i="7"/>
  <c r="AO227" i="7" s="1"/>
  <c r="AW226" i="7"/>
  <c r="AV226" i="7"/>
  <c r="AU226" i="7"/>
  <c r="AR226" i="7"/>
  <c r="AI226" i="7" s="1"/>
  <c r="AD226" i="7"/>
  <c r="S226" i="7"/>
  <c r="AQ226" i="7" s="1"/>
  <c r="AH226" i="7" s="1"/>
  <c r="L226" i="7"/>
  <c r="AO226" i="7" s="1"/>
  <c r="AW225" i="7"/>
  <c r="AV225" i="7"/>
  <c r="AU225" i="7"/>
  <c r="AO225" i="7"/>
  <c r="AN225" i="7"/>
  <c r="AL225" i="7"/>
  <c r="AE225" i="7"/>
  <c r="Y225" i="7" s="1"/>
  <c r="AD225" i="7"/>
  <c r="S225" i="7"/>
  <c r="AR225" i="7" s="1"/>
  <c r="AI225" i="7" s="1"/>
  <c r="L225" i="7"/>
  <c r="AM225" i="7" s="1"/>
  <c r="AF225" i="7" s="1"/>
  <c r="AW224" i="7"/>
  <c r="AV224" i="7"/>
  <c r="AQ224" i="7" s="1"/>
  <c r="AH224" i="7" s="1"/>
  <c r="AU224" i="7"/>
  <c r="AO224" i="7"/>
  <c r="AM224" i="7"/>
  <c r="AF224" i="7" s="1"/>
  <c r="AD224" i="7"/>
  <c r="S224" i="7"/>
  <c r="AR224" i="7" s="1"/>
  <c r="AI224" i="7" s="1"/>
  <c r="L224" i="7"/>
  <c r="AN224" i="7" s="1"/>
  <c r="AW223" i="7"/>
  <c r="AV223" i="7"/>
  <c r="AU223" i="7"/>
  <c r="AR223" i="7"/>
  <c r="AI223" i="7" s="1"/>
  <c r="AD223" i="7"/>
  <c r="S223" i="7"/>
  <c r="L223" i="7"/>
  <c r="AW222" i="7"/>
  <c r="AV222" i="7"/>
  <c r="AR222" i="7" s="1"/>
  <c r="AI222" i="7" s="1"/>
  <c r="AU222" i="7"/>
  <c r="AD222" i="7"/>
  <c r="S222" i="7"/>
  <c r="L222" i="7"/>
  <c r="AO222" i="7" s="1"/>
  <c r="AW221" i="7"/>
  <c r="AV221" i="7"/>
  <c r="AU221" i="7"/>
  <c r="AR221" i="7"/>
  <c r="AI221" i="7" s="1"/>
  <c r="AD221" i="7"/>
  <c r="S221" i="7"/>
  <c r="L221" i="7"/>
  <c r="AW220" i="7"/>
  <c r="AV220" i="7"/>
  <c r="AU220" i="7"/>
  <c r="AD220" i="7"/>
  <c r="S220" i="7"/>
  <c r="AR220" i="7" s="1"/>
  <c r="AI220" i="7" s="1"/>
  <c r="L220" i="7"/>
  <c r="AO220" i="7" s="1"/>
  <c r="AW219" i="7"/>
  <c r="AV219" i="7"/>
  <c r="AU219" i="7"/>
  <c r="AR219" i="7"/>
  <c r="AI219" i="7" s="1"/>
  <c r="AQ219" i="7"/>
  <c r="AH219" i="7" s="1"/>
  <c r="AO219" i="7"/>
  <c r="AN219" i="7"/>
  <c r="AL219" i="7"/>
  <c r="AE219" i="7" s="1"/>
  <c r="Y219" i="7" s="1"/>
  <c r="AD219" i="7"/>
  <c r="Z219" i="7"/>
  <c r="S219" i="7"/>
  <c r="AP219" i="7" s="1"/>
  <c r="AG219" i="7" s="1"/>
  <c r="L219" i="7"/>
  <c r="AM219" i="7" s="1"/>
  <c r="AF219" i="7" s="1"/>
  <c r="AW218" i="7"/>
  <c r="AV218" i="7"/>
  <c r="AU218" i="7"/>
  <c r="AR218" i="7"/>
  <c r="AI218" i="7" s="1"/>
  <c r="AD218" i="7"/>
  <c r="S218" i="7"/>
  <c r="L218" i="7"/>
  <c r="AW217" i="7"/>
  <c r="AV217" i="7"/>
  <c r="AR217" i="7" s="1"/>
  <c r="AI217" i="7" s="1"/>
  <c r="AU217" i="7"/>
  <c r="AL217" i="7" s="1"/>
  <c r="AE217" i="7" s="1"/>
  <c r="AD217" i="7"/>
  <c r="S217" i="7"/>
  <c r="L217" i="7"/>
  <c r="AW216" i="7"/>
  <c r="AV216" i="7"/>
  <c r="AU216" i="7"/>
  <c r="AD216" i="7"/>
  <c r="S216" i="7"/>
  <c r="AR216" i="7" s="1"/>
  <c r="AI216" i="7" s="1"/>
  <c r="L216" i="7"/>
  <c r="AW215" i="7"/>
  <c r="AV215" i="7"/>
  <c r="AR215" i="7" s="1"/>
  <c r="AI215" i="7" s="1"/>
  <c r="AU215" i="7"/>
  <c r="AL215" i="7"/>
  <c r="AE215" i="7" s="1"/>
  <c r="AD215" i="7"/>
  <c r="S215" i="7"/>
  <c r="L215" i="7"/>
  <c r="AN215" i="7" s="1"/>
  <c r="AW214" i="7"/>
  <c r="AV214" i="7"/>
  <c r="AU214" i="7"/>
  <c r="AR214" i="7"/>
  <c r="AI214" i="7" s="1"/>
  <c r="AQ214" i="7"/>
  <c r="AH214" i="7" s="1"/>
  <c r="AD214" i="7"/>
  <c r="S214" i="7"/>
  <c r="AP214" i="7" s="1"/>
  <c r="AG214" i="7" s="1"/>
  <c r="L214" i="7"/>
  <c r="AO214" i="7" s="1"/>
  <c r="AW213" i="7"/>
  <c r="AV213" i="7"/>
  <c r="AU213" i="7"/>
  <c r="AM213" i="7" s="1"/>
  <c r="AO213" i="7"/>
  <c r="AL213" i="7"/>
  <c r="AE213" i="7" s="1"/>
  <c r="Y213" i="7" s="1"/>
  <c r="AF213" i="7"/>
  <c r="AD213" i="7"/>
  <c r="S213" i="7"/>
  <c r="AR213" i="7" s="1"/>
  <c r="AI213" i="7" s="1"/>
  <c r="L213" i="7"/>
  <c r="AN213" i="7" s="1"/>
  <c r="AW212" i="7"/>
  <c r="AV212" i="7"/>
  <c r="AU212" i="7"/>
  <c r="AD212" i="7"/>
  <c r="S212" i="7"/>
  <c r="L212" i="7"/>
  <c r="AN212" i="7" s="1"/>
  <c r="AW211" i="7"/>
  <c r="AV211" i="7"/>
  <c r="AU211" i="7"/>
  <c r="AO211" i="7"/>
  <c r="AM211" i="7"/>
  <c r="AF211" i="7" s="1"/>
  <c r="AL211" i="7"/>
  <c r="AE211" i="7" s="1"/>
  <c r="AD211" i="7"/>
  <c r="S211" i="7"/>
  <c r="L211" i="7"/>
  <c r="AN211" i="7" s="1"/>
  <c r="AW210" i="7"/>
  <c r="AV210" i="7"/>
  <c r="AU210" i="7"/>
  <c r="AN210" i="7"/>
  <c r="AL210" i="7"/>
  <c r="AE210" i="7"/>
  <c r="AD210" i="7"/>
  <c r="S210" i="7"/>
  <c r="L210" i="7"/>
  <c r="AW209" i="7"/>
  <c r="AV209" i="7"/>
  <c r="AU209" i="7"/>
  <c r="AN209" i="7"/>
  <c r="AD209" i="7"/>
  <c r="S209" i="7"/>
  <c r="L209" i="7"/>
  <c r="AM209" i="7" s="1"/>
  <c r="AF209" i="7" s="1"/>
  <c r="AW208" i="7"/>
  <c r="AV208" i="7"/>
  <c r="AU208" i="7"/>
  <c r="AO208" i="7"/>
  <c r="AN208" i="7"/>
  <c r="AL208" i="7"/>
  <c r="AE208" i="7" s="1"/>
  <c r="AD208" i="7"/>
  <c r="S208" i="7"/>
  <c r="L208" i="7"/>
  <c r="AM208" i="7" s="1"/>
  <c r="AF208" i="7" s="1"/>
  <c r="AW207" i="7"/>
  <c r="AV207" i="7"/>
  <c r="AU207" i="7"/>
  <c r="AO207" i="7" s="1"/>
  <c r="AN207" i="7"/>
  <c r="AL207" i="7"/>
  <c r="AE207" i="7"/>
  <c r="AD207" i="7"/>
  <c r="S207" i="7"/>
  <c r="L207" i="7"/>
  <c r="AM207" i="7" s="1"/>
  <c r="AF207" i="7" s="1"/>
  <c r="AW206" i="7"/>
  <c r="AV206" i="7"/>
  <c r="AU206" i="7"/>
  <c r="AQ206" i="7"/>
  <c r="AH206" i="7" s="1"/>
  <c r="AP206" i="7"/>
  <c r="AG206" i="7" s="1"/>
  <c r="Z206" i="7" s="1"/>
  <c r="AD206" i="7"/>
  <c r="S206" i="7"/>
  <c r="AR206" i="7" s="1"/>
  <c r="AI206" i="7" s="1"/>
  <c r="L206" i="7"/>
  <c r="AW205" i="7"/>
  <c r="AV205" i="7"/>
  <c r="AU205" i="7"/>
  <c r="AQ205" i="7"/>
  <c r="AH205" i="7" s="1"/>
  <c r="AP205" i="7"/>
  <c r="AG205" i="7"/>
  <c r="AD205" i="7"/>
  <c r="S205" i="7"/>
  <c r="AR205" i="7" s="1"/>
  <c r="AI205" i="7" s="1"/>
  <c r="L205" i="7"/>
  <c r="AM205" i="7" s="1"/>
  <c r="AF205" i="7" s="1"/>
  <c r="AW204" i="7"/>
  <c r="AV204" i="7"/>
  <c r="AU204" i="7"/>
  <c r="AD204" i="7"/>
  <c r="S204" i="7"/>
  <c r="AR204" i="7" s="1"/>
  <c r="AI204" i="7" s="1"/>
  <c r="L204" i="7"/>
  <c r="AM204" i="7" s="1"/>
  <c r="AF204" i="7" s="1"/>
  <c r="AW203" i="7"/>
  <c r="AV203" i="7"/>
  <c r="AU203" i="7"/>
  <c r="AR203" i="7"/>
  <c r="AI203" i="7" s="1"/>
  <c r="AP203" i="7"/>
  <c r="AG203" i="7" s="1"/>
  <c r="Z203" i="7" s="1"/>
  <c r="AO203" i="7"/>
  <c r="AD203" i="7"/>
  <c r="S203" i="7"/>
  <c r="AQ203" i="7" s="1"/>
  <c r="AH203" i="7" s="1"/>
  <c r="L203" i="7"/>
  <c r="AW202" i="7"/>
  <c r="AV202" i="7"/>
  <c r="AR202" i="7" s="1"/>
  <c r="AI202" i="7" s="1"/>
  <c r="AU202" i="7"/>
  <c r="AQ202" i="7"/>
  <c r="AH202" i="7" s="1"/>
  <c r="AP202" i="7"/>
  <c r="AL202" i="7"/>
  <c r="AE202" i="7" s="1"/>
  <c r="AG202" i="7"/>
  <c r="AD202" i="7"/>
  <c r="S202" i="7"/>
  <c r="L202" i="7"/>
  <c r="AO202" i="7" s="1"/>
  <c r="AW201" i="7"/>
  <c r="AV201" i="7"/>
  <c r="AU201" i="7"/>
  <c r="AR201" i="7"/>
  <c r="AI201" i="7" s="1"/>
  <c r="AQ201" i="7"/>
  <c r="AH201" i="7" s="1"/>
  <c r="AD201" i="7"/>
  <c r="S201" i="7"/>
  <c r="AP201" i="7" s="1"/>
  <c r="AG201" i="7" s="1"/>
  <c r="L201" i="7"/>
  <c r="AW200" i="7"/>
  <c r="AV200" i="7"/>
  <c r="AU200" i="7"/>
  <c r="AR200" i="7"/>
  <c r="AI200" i="7" s="1"/>
  <c r="AO200" i="7"/>
  <c r="AD200" i="7"/>
  <c r="S200" i="7"/>
  <c r="L200" i="7"/>
  <c r="AM200" i="7" s="1"/>
  <c r="AF200" i="7" s="1"/>
  <c r="AW199" i="7"/>
  <c r="AV199" i="7"/>
  <c r="AU199" i="7"/>
  <c r="AN199" i="7"/>
  <c r="AM199" i="7"/>
  <c r="AF199" i="7" s="1"/>
  <c r="AD199" i="7"/>
  <c r="S199" i="7"/>
  <c r="L199" i="7"/>
  <c r="AO199" i="7" s="1"/>
  <c r="AW198" i="7"/>
  <c r="AV198" i="7"/>
  <c r="AU198" i="7"/>
  <c r="AD198" i="7"/>
  <c r="S198" i="7"/>
  <c r="L198" i="7"/>
  <c r="AW197" i="7"/>
  <c r="AV197" i="7"/>
  <c r="AU197" i="7"/>
  <c r="AR197" i="7"/>
  <c r="AI197" i="7" s="1"/>
  <c r="AD197" i="7"/>
  <c r="S197" i="7"/>
  <c r="L197" i="7"/>
  <c r="AN197" i="7" s="1"/>
  <c r="AW196" i="7"/>
  <c r="AV196" i="7"/>
  <c r="AU196" i="7"/>
  <c r="AR196" i="7"/>
  <c r="AI196" i="7" s="1"/>
  <c r="AQ196" i="7"/>
  <c r="AH196" i="7" s="1"/>
  <c r="AD196" i="7"/>
  <c r="S196" i="7"/>
  <c r="AP196" i="7" s="1"/>
  <c r="AG196" i="7" s="1"/>
  <c r="Z196" i="7" s="1"/>
  <c r="L196" i="7"/>
  <c r="AM196" i="7" s="1"/>
  <c r="AF196" i="7" s="1"/>
  <c r="AW195" i="7"/>
  <c r="AV195" i="7"/>
  <c r="AU195" i="7"/>
  <c r="AN195" i="7"/>
  <c r="AM195" i="7"/>
  <c r="AF195" i="7" s="1"/>
  <c r="AD195" i="7"/>
  <c r="S195" i="7"/>
  <c r="L195" i="7"/>
  <c r="AO195" i="7" s="1"/>
  <c r="AW194" i="7"/>
  <c r="AV194" i="7"/>
  <c r="AU194" i="7"/>
  <c r="AL194" i="7"/>
  <c r="AE194" i="7" s="1"/>
  <c r="AD194" i="7"/>
  <c r="S194" i="7"/>
  <c r="L194" i="7"/>
  <c r="AW193" i="7"/>
  <c r="AV193" i="7"/>
  <c r="AU193" i="7"/>
  <c r="AR193" i="7"/>
  <c r="AI193" i="7" s="1"/>
  <c r="AD193" i="7"/>
  <c r="S193" i="7"/>
  <c r="L193" i="7"/>
  <c r="AW192" i="7"/>
  <c r="AV192" i="7"/>
  <c r="AU192" i="7"/>
  <c r="AR192" i="7"/>
  <c r="AI192" i="7" s="1"/>
  <c r="AD192" i="7"/>
  <c r="S192" i="7"/>
  <c r="L192" i="7"/>
  <c r="AO192" i="7" s="1"/>
  <c r="AW191" i="7"/>
  <c r="AV191" i="7"/>
  <c r="AU191" i="7"/>
  <c r="AN191" i="7"/>
  <c r="AM191" i="7"/>
  <c r="AF191" i="7" s="1"/>
  <c r="AD191" i="7"/>
  <c r="S191" i="7"/>
  <c r="AR191" i="7" s="1"/>
  <c r="AI191" i="7" s="1"/>
  <c r="L191" i="7"/>
  <c r="AO191" i="7" s="1"/>
  <c r="AW190" i="7"/>
  <c r="AV190" i="7"/>
  <c r="AU190" i="7"/>
  <c r="AD190" i="7"/>
  <c r="S190" i="7"/>
  <c r="L190" i="7"/>
  <c r="AN190" i="7" s="1"/>
  <c r="AW189" i="7"/>
  <c r="AV189" i="7"/>
  <c r="AR189" i="7" s="1"/>
  <c r="AI189" i="7" s="1"/>
  <c r="AU189" i="7"/>
  <c r="AM189" i="7" s="1"/>
  <c r="AF189" i="7" s="1"/>
  <c r="AD189" i="7"/>
  <c r="S189" i="7"/>
  <c r="L189" i="7"/>
  <c r="AW188" i="7"/>
  <c r="AV188" i="7"/>
  <c r="AU188" i="7"/>
  <c r="AR188" i="7"/>
  <c r="AI188" i="7" s="1"/>
  <c r="AN188" i="7"/>
  <c r="AD188" i="7"/>
  <c r="S188" i="7"/>
  <c r="L188" i="7"/>
  <c r="AM188" i="7" s="1"/>
  <c r="AF188" i="7" s="1"/>
  <c r="AW187" i="7"/>
  <c r="AV187" i="7"/>
  <c r="AU187" i="7"/>
  <c r="AN187" i="7"/>
  <c r="AM187" i="7"/>
  <c r="AF187" i="7" s="1"/>
  <c r="AD187" i="7"/>
  <c r="S187" i="7"/>
  <c r="AR187" i="7" s="1"/>
  <c r="AI187" i="7" s="1"/>
  <c r="L187" i="7"/>
  <c r="AO187" i="7" s="1"/>
  <c r="AW186" i="7"/>
  <c r="AV186" i="7"/>
  <c r="AU186" i="7"/>
  <c r="AD186" i="7"/>
  <c r="S186" i="7"/>
  <c r="L186" i="7"/>
  <c r="AN186" i="7" s="1"/>
  <c r="AW185" i="7"/>
  <c r="AV185" i="7"/>
  <c r="AP185" i="7" s="1"/>
  <c r="AG185" i="7" s="1"/>
  <c r="Z185" i="7" s="1"/>
  <c r="AU185" i="7"/>
  <c r="AM185" i="7" s="1"/>
  <c r="AR185" i="7"/>
  <c r="AI185" i="7" s="1"/>
  <c r="AF185" i="7"/>
  <c r="AD185" i="7"/>
  <c r="S185" i="7"/>
  <c r="AQ185" i="7" s="1"/>
  <c r="AH185" i="7" s="1"/>
  <c r="L185" i="7"/>
  <c r="AW184" i="7"/>
  <c r="AV184" i="7"/>
  <c r="AU184" i="7"/>
  <c r="AR184" i="7"/>
  <c r="AQ184" i="7"/>
  <c r="AH184" i="7" s="1"/>
  <c r="AI184" i="7"/>
  <c r="AG184" i="7"/>
  <c r="Z184" i="7" s="1"/>
  <c r="AD184" i="7"/>
  <c r="S184" i="7"/>
  <c r="AP184" i="7" s="1"/>
  <c r="L184" i="7"/>
  <c r="AM184" i="7" s="1"/>
  <c r="AF184" i="7" s="1"/>
  <c r="AW183" i="7"/>
  <c r="AV183" i="7"/>
  <c r="AU183" i="7"/>
  <c r="AP183" i="7"/>
  <c r="AG183" i="7" s="1"/>
  <c r="AN183" i="7"/>
  <c r="AM183" i="7"/>
  <c r="AF183" i="7" s="1"/>
  <c r="AD183" i="7"/>
  <c r="S183" i="7"/>
  <c r="AR183" i="7" s="1"/>
  <c r="AI183" i="7" s="1"/>
  <c r="L183" i="7"/>
  <c r="AO183" i="7" s="1"/>
  <c r="AW182" i="7"/>
  <c r="AV182" i="7"/>
  <c r="AU182" i="7"/>
  <c r="AQ182" i="7"/>
  <c r="AH182" i="7" s="1"/>
  <c r="AO182" i="7"/>
  <c r="AM182" i="7"/>
  <c r="AF182" i="7" s="1"/>
  <c r="AL182" i="7"/>
  <c r="AE182" i="7" s="1"/>
  <c r="Y182" i="7" s="1"/>
  <c r="AD182" i="7"/>
  <c r="S182" i="7"/>
  <c r="L182" i="7"/>
  <c r="AN182" i="7" s="1"/>
  <c r="AW181" i="7"/>
  <c r="AV181" i="7"/>
  <c r="AR181" i="7" s="1"/>
  <c r="AI181" i="7" s="1"/>
  <c r="AU181" i="7"/>
  <c r="AP181" i="7"/>
  <c r="AG181" i="7" s="1"/>
  <c r="AM181" i="7"/>
  <c r="AF181" i="7" s="1"/>
  <c r="AD181" i="7"/>
  <c r="S181" i="7"/>
  <c r="L181" i="7"/>
  <c r="AO181" i="7" s="1"/>
  <c r="AW180" i="7"/>
  <c r="AV180" i="7"/>
  <c r="AU180" i="7"/>
  <c r="AR180" i="7"/>
  <c r="AI180" i="7" s="1"/>
  <c r="AQ180" i="7"/>
  <c r="AH180" i="7" s="1"/>
  <c r="AG180" i="7"/>
  <c r="AD180" i="7"/>
  <c r="S180" i="7"/>
  <c r="AP180" i="7" s="1"/>
  <c r="L180" i="7"/>
  <c r="AM180" i="7" s="1"/>
  <c r="AF180" i="7" s="1"/>
  <c r="AW179" i="7"/>
  <c r="AV179" i="7"/>
  <c r="AU179" i="7"/>
  <c r="AN179" i="7" s="1"/>
  <c r="AM179" i="7"/>
  <c r="AF179" i="7" s="1"/>
  <c r="AD179" i="7"/>
  <c r="S179" i="7"/>
  <c r="AR179" i="7" s="1"/>
  <c r="AI179" i="7" s="1"/>
  <c r="L179" i="7"/>
  <c r="AW178" i="7"/>
  <c r="AV178" i="7"/>
  <c r="AU178" i="7"/>
  <c r="AO178" i="7" s="1"/>
  <c r="AD178" i="7"/>
  <c r="S178" i="7"/>
  <c r="L178" i="7"/>
  <c r="AW177" i="7"/>
  <c r="AV177" i="7"/>
  <c r="AU177" i="7"/>
  <c r="AM177" i="7"/>
  <c r="AF177" i="7"/>
  <c r="AD177" i="7"/>
  <c r="S177" i="7"/>
  <c r="AR177" i="7" s="1"/>
  <c r="AI177" i="7" s="1"/>
  <c r="L177" i="7"/>
  <c r="AO177" i="7" s="1"/>
  <c r="AW176" i="7"/>
  <c r="AV176" i="7"/>
  <c r="AU176" i="7"/>
  <c r="AR176" i="7"/>
  <c r="AI176" i="7" s="1"/>
  <c r="AO176" i="7"/>
  <c r="AN176" i="7"/>
  <c r="AM176" i="7"/>
  <c r="AF176" i="7" s="1"/>
  <c r="AD176" i="7"/>
  <c r="S176" i="7"/>
  <c r="L176" i="7"/>
  <c r="AL176" i="7" s="1"/>
  <c r="AE176" i="7" s="1"/>
  <c r="Y176" i="7" s="1"/>
  <c r="AW175" i="7"/>
  <c r="AV175" i="7"/>
  <c r="AU175" i="7"/>
  <c r="AM175" i="7" s="1"/>
  <c r="AF175" i="7" s="1"/>
  <c r="AD175" i="7"/>
  <c r="S175" i="7"/>
  <c r="AR175" i="7" s="1"/>
  <c r="AI175" i="7" s="1"/>
  <c r="L175" i="7"/>
  <c r="AW174" i="7"/>
  <c r="AV174" i="7"/>
  <c r="AU174" i="7"/>
  <c r="AM174" i="7" s="1"/>
  <c r="AF174" i="7" s="1"/>
  <c r="AO174" i="7"/>
  <c r="AL174" i="7"/>
  <c r="AE174" i="7"/>
  <c r="AD174" i="7"/>
  <c r="S174" i="7"/>
  <c r="L174" i="7"/>
  <c r="AW173" i="7"/>
  <c r="AV173" i="7"/>
  <c r="AU173" i="7"/>
  <c r="AM173" i="7" s="1"/>
  <c r="AF173" i="7" s="1"/>
  <c r="AD173" i="7"/>
  <c r="S173" i="7"/>
  <c r="AR173" i="7" s="1"/>
  <c r="AI173" i="7" s="1"/>
  <c r="L173" i="7"/>
  <c r="AO173" i="7" s="1"/>
  <c r="AW172" i="7"/>
  <c r="AV172" i="7"/>
  <c r="AU172" i="7"/>
  <c r="AR172" i="7"/>
  <c r="AO172" i="7"/>
  <c r="AM172" i="7"/>
  <c r="AF172" i="7" s="1"/>
  <c r="AI172" i="7"/>
  <c r="AD172" i="7"/>
  <c r="S172" i="7"/>
  <c r="L172" i="7"/>
  <c r="AN172" i="7" s="1"/>
  <c r="AW171" i="7"/>
  <c r="AV171" i="7"/>
  <c r="AU171" i="7"/>
  <c r="AM171" i="7" s="1"/>
  <c r="AF171" i="7" s="1"/>
  <c r="AD171" i="7"/>
  <c r="S171" i="7"/>
  <c r="AR171" i="7" s="1"/>
  <c r="AI171" i="7" s="1"/>
  <c r="L171" i="7"/>
  <c r="AO171" i="7" s="1"/>
  <c r="AW170" i="7"/>
  <c r="AV170" i="7"/>
  <c r="AU170" i="7"/>
  <c r="AM170" i="7"/>
  <c r="AI170" i="7"/>
  <c r="AF170" i="7"/>
  <c r="AD170" i="7"/>
  <c r="S170" i="7"/>
  <c r="AR170" i="7" s="1"/>
  <c r="L170" i="7"/>
  <c r="AO170" i="7" s="1"/>
  <c r="AW169" i="7"/>
  <c r="AV169" i="7"/>
  <c r="AU169" i="7"/>
  <c r="AM169" i="7"/>
  <c r="AL169" i="7"/>
  <c r="AE169" i="7" s="1"/>
  <c r="AF169" i="7"/>
  <c r="AD169" i="7"/>
  <c r="S169" i="7"/>
  <c r="AR169" i="7" s="1"/>
  <c r="AI169" i="7" s="1"/>
  <c r="L169" i="7"/>
  <c r="AW168" i="7"/>
  <c r="AV168" i="7"/>
  <c r="AU168" i="7"/>
  <c r="AO168" i="7"/>
  <c r="AN168" i="7"/>
  <c r="AD168" i="7"/>
  <c r="S168" i="7"/>
  <c r="AP168" i="7" s="1"/>
  <c r="AG168" i="7" s="1"/>
  <c r="L168" i="7"/>
  <c r="AM168" i="7" s="1"/>
  <c r="AF168" i="7" s="1"/>
  <c r="AW167" i="7"/>
  <c r="AV167" i="7"/>
  <c r="AU167" i="7"/>
  <c r="AM167" i="7" s="1"/>
  <c r="AF167" i="7" s="1"/>
  <c r="AQ167" i="7"/>
  <c r="AN167" i="7"/>
  <c r="AI167" i="7"/>
  <c r="AH167" i="7"/>
  <c r="AD167" i="7"/>
  <c r="S167" i="7"/>
  <c r="AR167" i="7" s="1"/>
  <c r="L167" i="7"/>
  <c r="AW166" i="7"/>
  <c r="AV166" i="7"/>
  <c r="AU166" i="7"/>
  <c r="AQ166" i="7"/>
  <c r="AH166" i="7"/>
  <c r="AD166" i="7"/>
  <c r="S166" i="7"/>
  <c r="L166" i="7"/>
  <c r="AW165" i="7"/>
  <c r="AV165" i="7"/>
  <c r="AU165" i="7"/>
  <c r="AM165" i="7" s="1"/>
  <c r="AF165" i="7" s="1"/>
  <c r="AD165" i="7"/>
  <c r="S165" i="7"/>
  <c r="AR165" i="7" s="1"/>
  <c r="AI165" i="7" s="1"/>
  <c r="L165" i="7"/>
  <c r="AW164" i="7"/>
  <c r="AV164" i="7"/>
  <c r="AU164" i="7"/>
  <c r="AO164" i="7" s="1"/>
  <c r="AR164" i="7"/>
  <c r="AI164" i="7" s="1"/>
  <c r="AD164" i="7"/>
  <c r="S164" i="7"/>
  <c r="AQ164" i="7" s="1"/>
  <c r="AH164" i="7" s="1"/>
  <c r="L164" i="7"/>
  <c r="AW163" i="7"/>
  <c r="AV163" i="7"/>
  <c r="AU163" i="7"/>
  <c r="AL163" i="7" s="1"/>
  <c r="AE163" i="7" s="1"/>
  <c r="AQ163" i="7"/>
  <c r="AH163" i="7" s="1"/>
  <c r="AP163" i="7"/>
  <c r="AG163" i="7" s="1"/>
  <c r="AN163" i="7"/>
  <c r="AD163" i="7"/>
  <c r="S163" i="7"/>
  <c r="AR163" i="7" s="1"/>
  <c r="AI163" i="7" s="1"/>
  <c r="L163" i="7"/>
  <c r="AW162" i="7"/>
  <c r="AV162" i="7"/>
  <c r="AU162" i="7"/>
  <c r="AD162" i="7"/>
  <c r="S162" i="7"/>
  <c r="L162" i="7"/>
  <c r="AW161" i="7"/>
  <c r="AV161" i="7"/>
  <c r="AU161" i="7"/>
  <c r="AR161" i="7"/>
  <c r="AI161" i="7" s="1"/>
  <c r="AD161" i="7"/>
  <c r="S161" i="7"/>
  <c r="L161" i="7"/>
  <c r="AW160" i="7"/>
  <c r="AV160" i="7"/>
  <c r="AU160" i="7"/>
  <c r="AR160" i="7"/>
  <c r="AI160" i="7" s="1"/>
  <c r="AD160" i="7"/>
  <c r="S160" i="7"/>
  <c r="L160" i="7"/>
  <c r="AW159" i="7"/>
  <c r="AV159" i="7"/>
  <c r="AU159" i="7"/>
  <c r="AN159" i="7" s="1"/>
  <c r="AD159" i="7"/>
  <c r="S159" i="7"/>
  <c r="AR159" i="7" s="1"/>
  <c r="AI159" i="7" s="1"/>
  <c r="L159" i="7"/>
  <c r="AW158" i="7"/>
  <c r="AV158" i="7"/>
  <c r="AU158" i="7"/>
  <c r="AM158" i="7" s="1"/>
  <c r="AF158" i="7" s="1"/>
  <c r="AD158" i="7"/>
  <c r="S158" i="7"/>
  <c r="AR158" i="7" s="1"/>
  <c r="AI158" i="7" s="1"/>
  <c r="L158" i="7"/>
  <c r="AW157" i="7"/>
  <c r="AV157" i="7"/>
  <c r="AR157" i="7" s="1"/>
  <c r="AI157" i="7" s="1"/>
  <c r="AU157" i="7"/>
  <c r="AL157" i="7"/>
  <c r="AE157" i="7" s="1"/>
  <c r="AD157" i="7"/>
  <c r="S157" i="7"/>
  <c r="AQ157" i="7" s="1"/>
  <c r="AH157" i="7" s="1"/>
  <c r="L157" i="7"/>
  <c r="AO157" i="7" s="1"/>
  <c r="AW156" i="7"/>
  <c r="AV156" i="7"/>
  <c r="AU156" i="7"/>
  <c r="AR156" i="7"/>
  <c r="AM156" i="7"/>
  <c r="AF156" i="7" s="1"/>
  <c r="AI156" i="7"/>
  <c r="AD156" i="7"/>
  <c r="S156" i="7"/>
  <c r="AQ156" i="7" s="1"/>
  <c r="AH156" i="7" s="1"/>
  <c r="L156" i="7"/>
  <c r="AO156" i="7" s="1"/>
  <c r="AW155" i="7"/>
  <c r="AV155" i="7"/>
  <c r="AU155" i="7"/>
  <c r="AN155" i="7"/>
  <c r="AL155" i="7"/>
  <c r="AE155" i="7"/>
  <c r="AD155" i="7"/>
  <c r="S155" i="7"/>
  <c r="AP155" i="7" s="1"/>
  <c r="AG155" i="7" s="1"/>
  <c r="L155" i="7"/>
  <c r="AW154" i="7"/>
  <c r="AV154" i="7"/>
  <c r="AU154" i="7"/>
  <c r="AO154" i="7" s="1"/>
  <c r="AM154" i="7"/>
  <c r="AF154" i="7"/>
  <c r="AD154" i="7"/>
  <c r="S154" i="7"/>
  <c r="AR154" i="7" s="1"/>
  <c r="AI154" i="7" s="1"/>
  <c r="L154" i="7"/>
  <c r="AW153" i="7"/>
  <c r="AV153" i="7"/>
  <c r="AU153" i="7"/>
  <c r="AP153" i="7"/>
  <c r="AG153" i="7" s="1"/>
  <c r="AD153" i="7"/>
  <c r="S153" i="7"/>
  <c r="AR153" i="7" s="1"/>
  <c r="AI153" i="7" s="1"/>
  <c r="L153" i="7"/>
  <c r="AO153" i="7" s="1"/>
  <c r="AW152" i="7"/>
  <c r="AV152" i="7"/>
  <c r="AU152" i="7"/>
  <c r="AR152" i="7"/>
  <c r="AI152" i="7" s="1"/>
  <c r="AM152" i="7"/>
  <c r="AF152" i="7" s="1"/>
  <c r="AD152" i="7"/>
  <c r="S152" i="7"/>
  <c r="AQ152" i="7" s="1"/>
  <c r="AH152" i="7" s="1"/>
  <c r="L152" i="7"/>
  <c r="AO152" i="7" s="1"/>
  <c r="AW151" i="7"/>
  <c r="AV151" i="7"/>
  <c r="AU151" i="7"/>
  <c r="AD151" i="7"/>
  <c r="S151" i="7"/>
  <c r="AR151" i="7" s="1"/>
  <c r="AI151" i="7" s="1"/>
  <c r="L151" i="7"/>
  <c r="AO151" i="7" s="1"/>
  <c r="AW150" i="7"/>
  <c r="AV150" i="7"/>
  <c r="AU150" i="7"/>
  <c r="AR150" i="7"/>
  <c r="AI150" i="7" s="1"/>
  <c r="AP150" i="7"/>
  <c r="AM150" i="7"/>
  <c r="AG150" i="7"/>
  <c r="AF150" i="7"/>
  <c r="AD150" i="7"/>
  <c r="S150" i="7"/>
  <c r="AQ150" i="7" s="1"/>
  <c r="AH150" i="7" s="1"/>
  <c r="L150" i="7"/>
  <c r="AO150" i="7" s="1"/>
  <c r="AW149" i="7"/>
  <c r="AV149" i="7"/>
  <c r="AU149" i="7"/>
  <c r="AR149" i="7"/>
  <c r="AI149" i="7" s="1"/>
  <c r="AD149" i="7"/>
  <c r="S149" i="7"/>
  <c r="L149" i="7"/>
  <c r="AW148" i="7"/>
  <c r="AV148" i="7"/>
  <c r="AU148" i="7"/>
  <c r="AO148" i="7"/>
  <c r="AM148" i="7"/>
  <c r="AF148" i="7" s="1"/>
  <c r="AD148" i="7"/>
  <c r="S148" i="7"/>
  <c r="AR148" i="7" s="1"/>
  <c r="AI148" i="7" s="1"/>
  <c r="L148" i="7"/>
  <c r="AN148" i="7" s="1"/>
  <c r="AW147" i="7"/>
  <c r="AV147" i="7"/>
  <c r="AR147" i="7" s="1"/>
  <c r="AI147" i="7" s="1"/>
  <c r="AU147" i="7"/>
  <c r="AM147" i="7"/>
  <c r="AF147" i="7" s="1"/>
  <c r="AD147" i="7"/>
  <c r="S147" i="7"/>
  <c r="L147" i="7"/>
  <c r="AL147" i="7" s="1"/>
  <c r="AE147" i="7" s="1"/>
  <c r="AW146" i="7"/>
  <c r="AV146" i="7"/>
  <c r="AU146" i="7"/>
  <c r="AO146" i="7"/>
  <c r="AM146" i="7"/>
  <c r="AF146" i="7" s="1"/>
  <c r="AL146" i="7"/>
  <c r="AE146" i="7" s="1"/>
  <c r="AD146" i="7"/>
  <c r="S146" i="7"/>
  <c r="AR146" i="7" s="1"/>
  <c r="AI146" i="7" s="1"/>
  <c r="L146" i="7"/>
  <c r="AN146" i="7" s="1"/>
  <c r="AW145" i="7"/>
  <c r="AV145" i="7"/>
  <c r="AU145" i="7"/>
  <c r="AM145" i="7" s="1"/>
  <c r="AF145" i="7" s="1"/>
  <c r="AD145" i="7"/>
  <c r="S145" i="7"/>
  <c r="AR145" i="7" s="1"/>
  <c r="AI145" i="7" s="1"/>
  <c r="L145" i="7"/>
  <c r="AW144" i="7"/>
  <c r="AV144" i="7"/>
  <c r="AU144" i="7"/>
  <c r="AM144" i="7"/>
  <c r="AF144" i="7" s="1"/>
  <c r="AD144" i="7"/>
  <c r="S144" i="7"/>
  <c r="AR144" i="7" s="1"/>
  <c r="AI144" i="7" s="1"/>
  <c r="L144" i="7"/>
  <c r="AO144" i="7" s="1"/>
  <c r="AW143" i="7"/>
  <c r="AV143" i="7"/>
  <c r="AU143" i="7"/>
  <c r="AR143" i="7"/>
  <c r="AI143" i="7" s="1"/>
  <c r="AL143" i="7"/>
  <c r="AE143" i="7"/>
  <c r="AD143" i="7"/>
  <c r="S143" i="7"/>
  <c r="L143" i="7"/>
  <c r="AM143" i="7" s="1"/>
  <c r="AF143" i="7" s="1"/>
  <c r="AW142" i="7"/>
  <c r="AV142" i="7"/>
  <c r="AU142" i="7"/>
  <c r="AO142" i="7"/>
  <c r="AM142" i="7"/>
  <c r="AF142" i="7" s="1"/>
  <c r="AD142" i="7"/>
  <c r="S142" i="7"/>
  <c r="AR142" i="7" s="1"/>
  <c r="AI142" i="7" s="1"/>
  <c r="L142" i="7"/>
  <c r="AL142" i="7" s="1"/>
  <c r="AE142" i="7" s="1"/>
  <c r="AW141" i="7"/>
  <c r="AV141" i="7"/>
  <c r="AU141" i="7"/>
  <c r="AR141" i="7"/>
  <c r="AI141" i="7"/>
  <c r="AD141" i="7"/>
  <c r="S141" i="7"/>
  <c r="L141" i="7"/>
  <c r="AO141" i="7" s="1"/>
  <c r="AW140" i="7"/>
  <c r="AV140" i="7"/>
  <c r="AU140" i="7"/>
  <c r="AR140" i="7"/>
  <c r="AI140" i="7" s="1"/>
  <c r="AQ140" i="7"/>
  <c r="AH140" i="7" s="1"/>
  <c r="AO140" i="7"/>
  <c r="AM140" i="7"/>
  <c r="AL140" i="7"/>
  <c r="AE140" i="7" s="1"/>
  <c r="Y140" i="7" s="1"/>
  <c r="AF140" i="7"/>
  <c r="AD140" i="7"/>
  <c r="S140" i="7"/>
  <c r="AP140" i="7" s="1"/>
  <c r="AG140" i="7" s="1"/>
  <c r="Z140" i="7" s="1"/>
  <c r="L140" i="7"/>
  <c r="AN140" i="7" s="1"/>
  <c r="AW139" i="7"/>
  <c r="AV139" i="7"/>
  <c r="AR139" i="7" s="1"/>
  <c r="AI139" i="7" s="1"/>
  <c r="AU139" i="7"/>
  <c r="AQ139" i="7"/>
  <c r="AH139" i="7" s="1"/>
  <c r="AD139" i="7"/>
  <c r="S139" i="7"/>
  <c r="L139" i="7"/>
  <c r="AO139" i="7" s="1"/>
  <c r="AW138" i="7"/>
  <c r="AV138" i="7"/>
  <c r="AU138" i="7"/>
  <c r="AQ138" i="7"/>
  <c r="AH138" i="7"/>
  <c r="AD138" i="7"/>
  <c r="S138" i="7"/>
  <c r="L138" i="7"/>
  <c r="AW137" i="7"/>
  <c r="AV137" i="7"/>
  <c r="AU137" i="7"/>
  <c r="AM137" i="7" s="1"/>
  <c r="AF137" i="7" s="1"/>
  <c r="AQ137" i="7"/>
  <c r="AH137" i="7" s="1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M134" i="7" s="1"/>
  <c r="AF134" i="7" s="1"/>
  <c r="AR134" i="7"/>
  <c r="AI134" i="7" s="1"/>
  <c r="AD134" i="7"/>
  <c r="S134" i="7"/>
  <c r="L134" i="7"/>
  <c r="AW133" i="7"/>
  <c r="AV133" i="7"/>
  <c r="AU133" i="7"/>
  <c r="AR133" i="7"/>
  <c r="AI133" i="7" s="1"/>
  <c r="AD133" i="7"/>
  <c r="S133" i="7"/>
  <c r="L133" i="7"/>
  <c r="AW132" i="7"/>
  <c r="AV132" i="7"/>
  <c r="AU132" i="7"/>
  <c r="AO132" i="7" s="1"/>
  <c r="AD132" i="7"/>
  <c r="S132" i="7"/>
  <c r="AR132" i="7" s="1"/>
  <c r="AI132" i="7" s="1"/>
  <c r="L132" i="7"/>
  <c r="AW131" i="7"/>
  <c r="AV131" i="7"/>
  <c r="AR131" i="7" s="1"/>
  <c r="AI131" i="7" s="1"/>
  <c r="AU131" i="7"/>
  <c r="AM131" i="7" s="1"/>
  <c r="AF131" i="7" s="1"/>
  <c r="AD131" i="7"/>
  <c r="S131" i="7"/>
  <c r="L131" i="7"/>
  <c r="AW130" i="7"/>
  <c r="AV130" i="7"/>
  <c r="AU130" i="7"/>
  <c r="AO130" i="7" s="1"/>
  <c r="AQ130" i="7"/>
  <c r="AH130" i="7" s="1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Q128" i="7"/>
  <c r="AH128" i="7" s="1"/>
  <c r="AM128" i="7"/>
  <c r="AF128" i="7" s="1"/>
  <c r="AD128" i="7"/>
  <c r="S128" i="7"/>
  <c r="AR128" i="7" s="1"/>
  <c r="AI128" i="7" s="1"/>
  <c r="L128" i="7"/>
  <c r="AO128" i="7" s="1"/>
  <c r="AW127" i="7"/>
  <c r="AV127" i="7"/>
  <c r="AU127" i="7"/>
  <c r="AR127" i="7"/>
  <c r="AI127" i="7" s="1"/>
  <c r="AL127" i="7"/>
  <c r="AE127" i="7"/>
  <c r="AD127" i="7"/>
  <c r="S127" i="7"/>
  <c r="AQ127" i="7" s="1"/>
  <c r="AH127" i="7" s="1"/>
  <c r="L127" i="7"/>
  <c r="AM127" i="7" s="1"/>
  <c r="AF127" i="7" s="1"/>
  <c r="AW126" i="7"/>
  <c r="AV126" i="7"/>
  <c r="AU126" i="7"/>
  <c r="AO126" i="7"/>
  <c r="AM126" i="7"/>
  <c r="AF126" i="7" s="1"/>
  <c r="AD126" i="7"/>
  <c r="S126" i="7"/>
  <c r="L126" i="7"/>
  <c r="AL126" i="7" s="1"/>
  <c r="AE126" i="7" s="1"/>
  <c r="AW125" i="7"/>
  <c r="AV125" i="7"/>
  <c r="AU125" i="7"/>
  <c r="AR125" i="7"/>
  <c r="AI125" i="7"/>
  <c r="AD125" i="7"/>
  <c r="S125" i="7"/>
  <c r="AQ125" i="7" s="1"/>
  <c r="AH125" i="7" s="1"/>
  <c r="L125" i="7"/>
  <c r="AO125" i="7" s="1"/>
  <c r="AW124" i="7"/>
  <c r="AV124" i="7"/>
  <c r="AU124" i="7"/>
  <c r="AR124" i="7"/>
  <c r="AI124" i="7" s="1"/>
  <c r="AQ124" i="7"/>
  <c r="AH124" i="7" s="1"/>
  <c r="AO124" i="7"/>
  <c r="AM124" i="7"/>
  <c r="AL124" i="7"/>
  <c r="AE124" i="7" s="1"/>
  <c r="AF124" i="7"/>
  <c r="AD124" i="7"/>
  <c r="Z124" i="7"/>
  <c r="Y124" i="7"/>
  <c r="S124" i="7"/>
  <c r="AP124" i="7" s="1"/>
  <c r="AG124" i="7" s="1"/>
  <c r="L124" i="7"/>
  <c r="AN124" i="7" s="1"/>
  <c r="AW123" i="7"/>
  <c r="AV123" i="7"/>
  <c r="AR123" i="7" s="1"/>
  <c r="AI123" i="7" s="1"/>
  <c r="AU123" i="7"/>
  <c r="AQ123" i="7"/>
  <c r="AH123" i="7" s="1"/>
  <c r="AD123" i="7"/>
  <c r="S123" i="7"/>
  <c r="AP123" i="7" s="1"/>
  <c r="AG123" i="7" s="1"/>
  <c r="L123" i="7"/>
  <c r="AO123" i="7" s="1"/>
  <c r="AW122" i="7"/>
  <c r="AV122" i="7"/>
  <c r="AU122" i="7"/>
  <c r="AQ122" i="7"/>
  <c r="AH122" i="7"/>
  <c r="AD122" i="7"/>
  <c r="S122" i="7"/>
  <c r="AP122" i="7" s="1"/>
  <c r="AG122" i="7" s="1"/>
  <c r="L122" i="7"/>
  <c r="AW121" i="7"/>
  <c r="AV121" i="7"/>
  <c r="AU121" i="7"/>
  <c r="AM121" i="7"/>
  <c r="AF121" i="7" s="1"/>
  <c r="AL121" i="7"/>
  <c r="AE121" i="7" s="1"/>
  <c r="AD121" i="7"/>
  <c r="S121" i="7"/>
  <c r="AR121" i="7" s="1"/>
  <c r="AI121" i="7" s="1"/>
  <c r="L121" i="7"/>
  <c r="AO121" i="7" s="1"/>
  <c r="AW120" i="7"/>
  <c r="AV120" i="7"/>
  <c r="AU120" i="7"/>
  <c r="AD120" i="7"/>
  <c r="S120" i="7"/>
  <c r="AR120" i="7" s="1"/>
  <c r="AI120" i="7" s="1"/>
  <c r="L120" i="7"/>
  <c r="AO120" i="7" s="1"/>
  <c r="AW119" i="7"/>
  <c r="AV119" i="7"/>
  <c r="AU119" i="7"/>
  <c r="AN119" i="7" s="1"/>
  <c r="AD119" i="7"/>
  <c r="S119" i="7"/>
  <c r="L119" i="7"/>
  <c r="AW118" i="7"/>
  <c r="AV118" i="7"/>
  <c r="AU118" i="7"/>
  <c r="AR118" i="7"/>
  <c r="AI118" i="7" s="1"/>
  <c r="AM118" i="7"/>
  <c r="AF118" i="7"/>
  <c r="AD118" i="7"/>
  <c r="S118" i="7"/>
  <c r="L118" i="7"/>
  <c r="AO118" i="7" s="1"/>
  <c r="AW117" i="7"/>
  <c r="AV117" i="7"/>
  <c r="AU117" i="7"/>
  <c r="AR117" i="7"/>
  <c r="AI117" i="7" s="1"/>
  <c r="AQ117" i="7"/>
  <c r="AH117" i="7" s="1"/>
  <c r="AD117" i="7"/>
  <c r="S117" i="7"/>
  <c r="AP117" i="7" s="1"/>
  <c r="AG117" i="7" s="1"/>
  <c r="Z117" i="7" s="1"/>
  <c r="L117" i="7"/>
  <c r="AW116" i="7"/>
  <c r="AV116" i="7"/>
  <c r="AU116" i="7"/>
  <c r="AM116" i="7" s="1"/>
  <c r="AF116" i="7" s="1"/>
  <c r="AO116" i="7"/>
  <c r="AD116" i="7"/>
  <c r="S116" i="7"/>
  <c r="L116" i="7"/>
  <c r="AN116" i="7" s="1"/>
  <c r="AW115" i="7"/>
  <c r="AV115" i="7"/>
  <c r="AR115" i="7" s="1"/>
  <c r="AI115" i="7" s="1"/>
  <c r="AU115" i="7"/>
  <c r="AM115" i="7"/>
  <c r="AF115" i="7" s="1"/>
  <c r="AE115" i="7"/>
  <c r="AD115" i="7"/>
  <c r="S115" i="7"/>
  <c r="L115" i="7"/>
  <c r="AL115" i="7" s="1"/>
  <c r="AW114" i="7"/>
  <c r="AV114" i="7"/>
  <c r="AU114" i="7"/>
  <c r="AO114" i="7"/>
  <c r="AM114" i="7"/>
  <c r="AF114" i="7" s="1"/>
  <c r="AL114" i="7"/>
  <c r="AE114" i="7" s="1"/>
  <c r="Y114" i="7" s="1"/>
  <c r="AD114" i="7"/>
  <c r="S114" i="7"/>
  <c r="AQ114" i="7" s="1"/>
  <c r="AH114" i="7" s="1"/>
  <c r="L114" i="7"/>
  <c r="AN114" i="7" s="1"/>
  <c r="AW113" i="7"/>
  <c r="AV113" i="7"/>
  <c r="AU113" i="7"/>
  <c r="AD113" i="7"/>
  <c r="S113" i="7"/>
  <c r="L113" i="7"/>
  <c r="AW112" i="7"/>
  <c r="AV112" i="7"/>
  <c r="AU112" i="7"/>
  <c r="AM112" i="7"/>
  <c r="AF112" i="7" s="1"/>
  <c r="AD112" i="7"/>
  <c r="S112" i="7"/>
  <c r="L112" i="7"/>
  <c r="AL112" i="7" s="1"/>
  <c r="AE112" i="7" s="1"/>
  <c r="AW111" i="7"/>
  <c r="AV111" i="7"/>
  <c r="AU111" i="7"/>
  <c r="AM111" i="7" s="1"/>
  <c r="AF111" i="7" s="1"/>
  <c r="AR111" i="7"/>
  <c r="AI111" i="7" s="1"/>
  <c r="AD111" i="7"/>
  <c r="S111" i="7"/>
  <c r="AQ111" i="7" s="1"/>
  <c r="AH111" i="7" s="1"/>
  <c r="L111" i="7"/>
  <c r="AW110" i="7"/>
  <c r="AV110" i="7"/>
  <c r="AU110" i="7"/>
  <c r="AO110" i="7" s="1"/>
  <c r="AD110" i="7"/>
  <c r="S110" i="7"/>
  <c r="L110" i="7"/>
  <c r="AW109" i="7"/>
  <c r="AV109" i="7"/>
  <c r="AU109" i="7"/>
  <c r="AL109" i="7" s="1"/>
  <c r="AE109" i="7" s="1"/>
  <c r="AR109" i="7"/>
  <c r="AI109" i="7"/>
  <c r="AH109" i="7"/>
  <c r="AD109" i="7"/>
  <c r="S109" i="7"/>
  <c r="AQ109" i="7" s="1"/>
  <c r="L109" i="7"/>
  <c r="AW108" i="7"/>
  <c r="AV108" i="7"/>
  <c r="AU108" i="7"/>
  <c r="AO108" i="7" s="1"/>
  <c r="AR108" i="7"/>
  <c r="AI108" i="7" s="1"/>
  <c r="AQ108" i="7"/>
  <c r="AH108" i="7" s="1"/>
  <c r="AD108" i="7"/>
  <c r="S108" i="7"/>
  <c r="L108" i="7"/>
  <c r="AW107" i="7"/>
  <c r="AV107" i="7"/>
  <c r="AR107" i="7" s="1"/>
  <c r="AI107" i="7" s="1"/>
  <c r="AU107" i="7"/>
  <c r="AQ107" i="7"/>
  <c r="AH107" i="7" s="1"/>
  <c r="AD107" i="7"/>
  <c r="S107" i="7"/>
  <c r="AP107" i="7" s="1"/>
  <c r="AG107" i="7" s="1"/>
  <c r="L107" i="7"/>
  <c r="AN107" i="7" s="1"/>
  <c r="AW106" i="7"/>
  <c r="AV106" i="7"/>
  <c r="AQ106" i="7" s="1"/>
  <c r="AH106" i="7" s="1"/>
  <c r="AU106" i="7"/>
  <c r="AD106" i="7"/>
  <c r="S106" i="7"/>
  <c r="L106" i="7"/>
  <c r="AW105" i="7"/>
  <c r="AV105" i="7"/>
  <c r="AU105" i="7"/>
  <c r="AN105" i="7" s="1"/>
  <c r="AD105" i="7"/>
  <c r="S105" i="7"/>
  <c r="AR105" i="7" s="1"/>
  <c r="AI105" i="7" s="1"/>
  <c r="L105" i="7"/>
  <c r="AW104" i="7"/>
  <c r="AV104" i="7"/>
  <c r="AU104" i="7"/>
  <c r="AD104" i="7"/>
  <c r="S104" i="7"/>
  <c r="AR104" i="7" s="1"/>
  <c r="AI104" i="7" s="1"/>
  <c r="L104" i="7"/>
  <c r="AW103" i="7"/>
  <c r="AV103" i="7"/>
  <c r="AU103" i="7"/>
  <c r="AL103" i="7" s="1"/>
  <c r="AE103" i="7" s="1"/>
  <c r="AI103" i="7"/>
  <c r="AD103" i="7"/>
  <c r="S103" i="7"/>
  <c r="AR103" i="7" s="1"/>
  <c r="L103" i="7"/>
  <c r="AW102" i="7"/>
  <c r="AV102" i="7"/>
  <c r="AU102" i="7"/>
  <c r="AM102" i="7" s="1"/>
  <c r="AF102" i="7" s="1"/>
  <c r="AR102" i="7"/>
  <c r="AI102" i="7" s="1"/>
  <c r="AD102" i="7"/>
  <c r="S102" i="7"/>
  <c r="AQ102" i="7" s="1"/>
  <c r="AH102" i="7" s="1"/>
  <c r="L102" i="7"/>
  <c r="AW101" i="7"/>
  <c r="AV101" i="7"/>
  <c r="AU101" i="7"/>
  <c r="AR101" i="7"/>
  <c r="AI101" i="7" s="1"/>
  <c r="AQ101" i="7"/>
  <c r="AH101" i="7" s="1"/>
  <c r="AD101" i="7"/>
  <c r="Z101" i="7"/>
  <c r="S101" i="7"/>
  <c r="AP101" i="7" s="1"/>
  <c r="AG101" i="7" s="1"/>
  <c r="L101" i="7"/>
  <c r="AW100" i="7"/>
  <c r="AV100" i="7"/>
  <c r="AU100" i="7"/>
  <c r="AM100" i="7" s="1"/>
  <c r="AF100" i="7" s="1"/>
  <c r="AO100" i="7"/>
  <c r="AD100" i="7"/>
  <c r="S100" i="7"/>
  <c r="L100" i="7"/>
  <c r="AN100" i="7" s="1"/>
  <c r="AW99" i="7"/>
  <c r="AV99" i="7"/>
  <c r="AR99" i="7" s="1"/>
  <c r="AI99" i="7" s="1"/>
  <c r="AU99" i="7"/>
  <c r="AQ99" i="7"/>
  <c r="AH99" i="7" s="1"/>
  <c r="AM99" i="7"/>
  <c r="AF99" i="7" s="1"/>
  <c r="AD99" i="7"/>
  <c r="S99" i="7"/>
  <c r="AP99" i="7" s="1"/>
  <c r="AG99" i="7" s="1"/>
  <c r="L99" i="7"/>
  <c r="AL99" i="7" s="1"/>
  <c r="AE99" i="7" s="1"/>
  <c r="AW98" i="7"/>
  <c r="AV98" i="7"/>
  <c r="AU98" i="7"/>
  <c r="AO98" i="7"/>
  <c r="AM98" i="7"/>
  <c r="AF98" i="7" s="1"/>
  <c r="AL98" i="7"/>
  <c r="AE98" i="7" s="1"/>
  <c r="Y98" i="7" s="1"/>
  <c r="AD98" i="7"/>
  <c r="S98" i="7"/>
  <c r="AQ98" i="7" s="1"/>
  <c r="AH98" i="7" s="1"/>
  <c r="L98" i="7"/>
  <c r="AN98" i="7" s="1"/>
  <c r="AW97" i="7"/>
  <c r="AV97" i="7"/>
  <c r="AP97" i="7" s="1"/>
  <c r="AG97" i="7" s="1"/>
  <c r="AU97" i="7"/>
  <c r="AD97" i="7"/>
  <c r="S97" i="7"/>
  <c r="L97" i="7"/>
  <c r="AW96" i="7"/>
  <c r="AV96" i="7"/>
  <c r="AU96" i="7"/>
  <c r="AQ96" i="7"/>
  <c r="AH96" i="7" s="1"/>
  <c r="AM96" i="7"/>
  <c r="AF96" i="7" s="1"/>
  <c r="AD96" i="7"/>
  <c r="S96" i="7"/>
  <c r="L96" i="7"/>
  <c r="AL96" i="7" s="1"/>
  <c r="AE96" i="7" s="1"/>
  <c r="AW95" i="7"/>
  <c r="AV95" i="7"/>
  <c r="AU95" i="7"/>
  <c r="AM95" i="7" s="1"/>
  <c r="AF95" i="7" s="1"/>
  <c r="AR95" i="7"/>
  <c r="AI95" i="7" s="1"/>
  <c r="AL95" i="7"/>
  <c r="AE95" i="7" s="1"/>
  <c r="AD95" i="7"/>
  <c r="S95" i="7"/>
  <c r="AQ95" i="7" s="1"/>
  <c r="AH95" i="7" s="1"/>
  <c r="L95" i="7"/>
  <c r="AW94" i="7"/>
  <c r="AV94" i="7"/>
  <c r="AU94" i="7"/>
  <c r="AO94" i="7"/>
  <c r="AM94" i="7"/>
  <c r="AF94" i="7" s="1"/>
  <c r="AD94" i="7"/>
  <c r="S94" i="7"/>
  <c r="AR94" i="7" s="1"/>
  <c r="AI94" i="7" s="1"/>
  <c r="L94" i="7"/>
  <c r="AL94" i="7" s="1"/>
  <c r="AE94" i="7" s="1"/>
  <c r="AW93" i="7"/>
  <c r="AV93" i="7"/>
  <c r="AU93" i="7"/>
  <c r="AR93" i="7"/>
  <c r="AI93" i="7" s="1"/>
  <c r="AL93" i="7"/>
  <c r="AE93" i="7" s="1"/>
  <c r="AD93" i="7"/>
  <c r="S93" i="7"/>
  <c r="L93" i="7"/>
  <c r="AN93" i="7" s="1"/>
  <c r="AW92" i="7"/>
  <c r="AV92" i="7"/>
  <c r="AU92" i="7"/>
  <c r="AO92" i="7"/>
  <c r="AM92" i="7"/>
  <c r="AL92" i="7"/>
  <c r="AE92" i="7" s="1"/>
  <c r="AF92" i="7"/>
  <c r="AD92" i="7"/>
  <c r="Y92" i="7"/>
  <c r="S92" i="7"/>
  <c r="AR92" i="7" s="1"/>
  <c r="AI92" i="7" s="1"/>
  <c r="L92" i="7"/>
  <c r="AN92" i="7" s="1"/>
  <c r="AW91" i="7"/>
  <c r="AV91" i="7"/>
  <c r="AR91" i="7" s="1"/>
  <c r="AI91" i="7" s="1"/>
  <c r="AU91" i="7"/>
  <c r="AN91" i="7"/>
  <c r="AL91" i="7"/>
  <c r="AE91" i="7" s="1"/>
  <c r="AD91" i="7"/>
  <c r="S91" i="7"/>
  <c r="L91" i="7"/>
  <c r="AW90" i="7"/>
  <c r="AV90" i="7"/>
  <c r="AU90" i="7"/>
  <c r="AD90" i="7"/>
  <c r="S90" i="7"/>
  <c r="L90" i="7"/>
  <c r="AN90" i="7" s="1"/>
  <c r="AW89" i="7"/>
  <c r="AV89" i="7"/>
  <c r="AQ89" i="7" s="1"/>
  <c r="AH89" i="7" s="1"/>
  <c r="AU89" i="7"/>
  <c r="AD89" i="7"/>
  <c r="S89" i="7"/>
  <c r="AR89" i="7" s="1"/>
  <c r="AI89" i="7" s="1"/>
  <c r="L89" i="7"/>
  <c r="AO89" i="7" s="1"/>
  <c r="AW88" i="7"/>
  <c r="AV88" i="7"/>
  <c r="AQ88" i="7" s="1"/>
  <c r="AH88" i="7" s="1"/>
  <c r="AU88" i="7"/>
  <c r="AD88" i="7"/>
  <c r="S88" i="7"/>
  <c r="AR88" i="7" s="1"/>
  <c r="AI88" i="7" s="1"/>
  <c r="L88" i="7"/>
  <c r="AN88" i="7" s="1"/>
  <c r="AW87" i="7"/>
  <c r="AV87" i="7"/>
  <c r="AU87" i="7"/>
  <c r="AN87" i="7"/>
  <c r="AL87" i="7"/>
  <c r="AE87" i="7" s="1"/>
  <c r="AD87" i="7"/>
  <c r="S87" i="7"/>
  <c r="AR87" i="7" s="1"/>
  <c r="AI87" i="7" s="1"/>
  <c r="L87" i="7"/>
  <c r="AW86" i="7"/>
  <c r="AV86" i="7"/>
  <c r="AU86" i="7"/>
  <c r="AR86" i="7"/>
  <c r="AI86" i="7" s="1"/>
  <c r="AM86" i="7"/>
  <c r="AF86" i="7" s="1"/>
  <c r="AD86" i="7"/>
  <c r="S86" i="7"/>
  <c r="L86" i="7"/>
  <c r="AO86" i="7" s="1"/>
  <c r="AW85" i="7"/>
  <c r="AV85" i="7"/>
  <c r="AU85" i="7"/>
  <c r="AR85" i="7"/>
  <c r="AI85" i="7" s="1"/>
  <c r="AD85" i="7"/>
  <c r="S85" i="7"/>
  <c r="L85" i="7"/>
  <c r="AN85" i="7" s="1"/>
  <c r="AW84" i="7"/>
  <c r="AV84" i="7"/>
  <c r="AU84" i="7"/>
  <c r="AO84" i="7" s="1"/>
  <c r="AD84" i="7"/>
  <c r="S84" i="7"/>
  <c r="AQ84" i="7" s="1"/>
  <c r="AH84" i="7" s="1"/>
  <c r="L84" i="7"/>
  <c r="AW83" i="7"/>
  <c r="AV83" i="7"/>
  <c r="AR83" i="7" s="1"/>
  <c r="AU83" i="7"/>
  <c r="AN83" i="7" s="1"/>
  <c r="AQ83" i="7"/>
  <c r="AH83" i="7" s="1"/>
  <c r="AI83" i="7"/>
  <c r="AD83" i="7"/>
  <c r="S83" i="7"/>
  <c r="L83" i="7"/>
  <c r="AW82" i="7"/>
  <c r="AV82" i="7"/>
  <c r="AU82" i="7"/>
  <c r="AR82" i="7"/>
  <c r="AI82" i="7" s="1"/>
  <c r="AQ82" i="7"/>
  <c r="AH82" i="7" s="1"/>
  <c r="AD82" i="7"/>
  <c r="S82" i="7"/>
  <c r="L82" i="7"/>
  <c r="AW81" i="7"/>
  <c r="AV81" i="7"/>
  <c r="AU81" i="7"/>
  <c r="AL81" i="7" s="1"/>
  <c r="AE81" i="7" s="1"/>
  <c r="AD81" i="7"/>
  <c r="S81" i="7"/>
  <c r="AR81" i="7" s="1"/>
  <c r="AI81" i="7" s="1"/>
  <c r="L81" i="7"/>
  <c r="AW80" i="7"/>
  <c r="AV80" i="7"/>
  <c r="AU80" i="7"/>
  <c r="AQ80" i="7"/>
  <c r="AH80" i="7" s="1"/>
  <c r="AD80" i="7"/>
  <c r="S80" i="7"/>
  <c r="AR80" i="7" s="1"/>
  <c r="AI80" i="7" s="1"/>
  <c r="L80" i="7"/>
  <c r="AW79" i="7"/>
  <c r="AV79" i="7"/>
  <c r="AU79" i="7"/>
  <c r="AN79" i="7"/>
  <c r="AM79" i="7"/>
  <c r="AF79" i="7" s="1"/>
  <c r="AL79" i="7"/>
  <c r="AE79" i="7" s="1"/>
  <c r="AD79" i="7"/>
  <c r="S79" i="7"/>
  <c r="AQ79" i="7" s="1"/>
  <c r="AH79" i="7" s="1"/>
  <c r="L79" i="7"/>
  <c r="AO79" i="7" s="1"/>
  <c r="AW78" i="7"/>
  <c r="AV78" i="7"/>
  <c r="AU78" i="7"/>
  <c r="AO78" i="7" s="1"/>
  <c r="AD78" i="7"/>
  <c r="S78" i="7"/>
  <c r="AR78" i="7" s="1"/>
  <c r="AI78" i="7" s="1"/>
  <c r="L78" i="7"/>
  <c r="AW77" i="7"/>
  <c r="AV77" i="7"/>
  <c r="AU77" i="7"/>
  <c r="AD77" i="7"/>
  <c r="S77" i="7"/>
  <c r="AR77" i="7" s="1"/>
  <c r="AI77" i="7" s="1"/>
  <c r="L77" i="7"/>
  <c r="AW76" i="7"/>
  <c r="AV76" i="7"/>
  <c r="AU76" i="7"/>
  <c r="AL76" i="7" s="1"/>
  <c r="AE76" i="7" s="1"/>
  <c r="AR76" i="7"/>
  <c r="AI76" i="7"/>
  <c r="AD76" i="7"/>
  <c r="S76" i="7"/>
  <c r="L76" i="7"/>
  <c r="AW75" i="7"/>
  <c r="AV75" i="7"/>
  <c r="AU75" i="7"/>
  <c r="AN75" i="7" s="1"/>
  <c r="AD75" i="7"/>
  <c r="S75" i="7"/>
  <c r="AR75" i="7" s="1"/>
  <c r="AI75" i="7" s="1"/>
  <c r="L75" i="7"/>
  <c r="AW74" i="7"/>
  <c r="AV74" i="7"/>
  <c r="AQ74" i="7" s="1"/>
  <c r="AH74" i="7" s="1"/>
  <c r="AU74" i="7"/>
  <c r="AL74" i="7" s="1"/>
  <c r="AE74" i="7" s="1"/>
  <c r="AD74" i="7"/>
  <c r="S74" i="7"/>
  <c r="L74" i="7"/>
  <c r="AW73" i="7"/>
  <c r="AV73" i="7"/>
  <c r="AU73" i="7"/>
  <c r="AO73" i="7" s="1"/>
  <c r="AF73" i="7"/>
  <c r="AD73" i="7"/>
  <c r="S73" i="7"/>
  <c r="AR73" i="7" s="1"/>
  <c r="AI73" i="7" s="1"/>
  <c r="L73" i="7"/>
  <c r="AM73" i="7" s="1"/>
  <c r="AW72" i="7"/>
  <c r="AV72" i="7"/>
  <c r="AU72" i="7"/>
  <c r="AR72" i="7"/>
  <c r="AQ72" i="7"/>
  <c r="AH72" i="7" s="1"/>
  <c r="AP72" i="7"/>
  <c r="AG72" i="7" s="1"/>
  <c r="Z72" i="7" s="1"/>
  <c r="AM72" i="7"/>
  <c r="AF72" i="7" s="1"/>
  <c r="AI72" i="7"/>
  <c r="AD72" i="7"/>
  <c r="S72" i="7"/>
  <c r="L72" i="7"/>
  <c r="AO72" i="7" s="1"/>
  <c r="AW71" i="7"/>
  <c r="AV71" i="7"/>
  <c r="AU71" i="7"/>
  <c r="AQ71" i="7"/>
  <c r="AP71" i="7"/>
  <c r="AH71" i="7"/>
  <c r="AG71" i="7"/>
  <c r="AD71" i="7"/>
  <c r="S71" i="7"/>
  <c r="AR71" i="7" s="1"/>
  <c r="AI71" i="7" s="1"/>
  <c r="L71" i="7"/>
  <c r="AM71" i="7" s="1"/>
  <c r="AF71" i="7" s="1"/>
  <c r="AW70" i="7"/>
  <c r="AV70" i="7"/>
  <c r="AU70" i="7"/>
  <c r="AR70" i="7"/>
  <c r="AI70" i="7" s="1"/>
  <c r="AQ70" i="7"/>
  <c r="AH70" i="7"/>
  <c r="AD70" i="7"/>
  <c r="S70" i="7"/>
  <c r="AP70" i="7" s="1"/>
  <c r="AG70" i="7" s="1"/>
  <c r="Z70" i="7" s="1"/>
  <c r="L70" i="7"/>
  <c r="AL70" i="7" s="1"/>
  <c r="AE70" i="7" s="1"/>
  <c r="AW69" i="7"/>
  <c r="AV69" i="7"/>
  <c r="AU69" i="7"/>
  <c r="AM69" i="7" s="1"/>
  <c r="AF69" i="7" s="1"/>
  <c r="AR69" i="7"/>
  <c r="AI69" i="7" s="1"/>
  <c r="AL69" i="7"/>
  <c r="AE69" i="7" s="1"/>
  <c r="AD69" i="7"/>
  <c r="S69" i="7"/>
  <c r="AQ69" i="7" s="1"/>
  <c r="AH69" i="7" s="1"/>
  <c r="L69" i="7"/>
  <c r="AO69" i="7" s="1"/>
  <c r="AW68" i="7"/>
  <c r="AV68" i="7"/>
  <c r="AR68" i="7" s="1"/>
  <c r="AI68" i="7" s="1"/>
  <c r="AU68" i="7"/>
  <c r="AM68" i="7" s="1"/>
  <c r="AF68" i="7" s="1"/>
  <c r="AL68" i="7"/>
  <c r="AE68" i="7" s="1"/>
  <c r="AD68" i="7"/>
  <c r="S68" i="7"/>
  <c r="L68" i="7"/>
  <c r="AO68" i="7" s="1"/>
  <c r="AW67" i="7"/>
  <c r="AV67" i="7"/>
  <c r="AU67" i="7"/>
  <c r="AL67" i="7" s="1"/>
  <c r="AE67" i="7" s="1"/>
  <c r="AM67" i="7"/>
  <c r="AF67" i="7" s="1"/>
  <c r="AD67" i="7"/>
  <c r="S67" i="7"/>
  <c r="AR67" i="7" s="1"/>
  <c r="AI67" i="7" s="1"/>
  <c r="L67" i="7"/>
  <c r="AW66" i="7"/>
  <c r="AV66" i="7"/>
  <c r="AU66" i="7"/>
  <c r="AO66" i="7"/>
  <c r="AD66" i="7"/>
  <c r="S66" i="7"/>
  <c r="AP66" i="7" s="1"/>
  <c r="AG66" i="7" s="1"/>
  <c r="L66" i="7"/>
  <c r="AN66" i="7" s="1"/>
  <c r="AW65" i="7"/>
  <c r="AV65" i="7"/>
  <c r="AU65" i="7"/>
  <c r="AO65" i="7"/>
  <c r="AM65" i="7"/>
  <c r="AL65" i="7"/>
  <c r="AE65" i="7" s="1"/>
  <c r="AF65" i="7"/>
  <c r="AD65" i="7"/>
  <c r="S65" i="7"/>
  <c r="L65" i="7"/>
  <c r="AN65" i="7" s="1"/>
  <c r="AW64" i="7"/>
  <c r="AV64" i="7"/>
  <c r="AU64" i="7"/>
  <c r="AQ64" i="7"/>
  <c r="AH64" i="7" s="1"/>
  <c r="AO64" i="7"/>
  <c r="AD64" i="7"/>
  <c r="S64" i="7"/>
  <c r="AR64" i="7" s="1"/>
  <c r="AI64" i="7" s="1"/>
  <c r="L64" i="7"/>
  <c r="AN64" i="7" s="1"/>
  <c r="AW63" i="7"/>
  <c r="AV63" i="7"/>
  <c r="AU63" i="7"/>
  <c r="AR63" i="7"/>
  <c r="AI63" i="7"/>
  <c r="AD63" i="7"/>
  <c r="S63" i="7"/>
  <c r="AQ63" i="7" s="1"/>
  <c r="AH63" i="7" s="1"/>
  <c r="L63" i="7"/>
  <c r="AO63" i="7" s="1"/>
  <c r="AW62" i="7"/>
  <c r="AV62" i="7"/>
  <c r="AQ62" i="7" s="1"/>
  <c r="AH62" i="7" s="1"/>
  <c r="AU62" i="7"/>
  <c r="AM62" i="7" s="1"/>
  <c r="AF62" i="7" s="1"/>
  <c r="AR62" i="7"/>
  <c r="AI62" i="7"/>
  <c r="AD62" i="7"/>
  <c r="S62" i="7"/>
  <c r="L62" i="7"/>
  <c r="AO62" i="7" s="1"/>
  <c r="AW61" i="7"/>
  <c r="AV61" i="7"/>
  <c r="AU61" i="7"/>
  <c r="AL61" i="7" s="1"/>
  <c r="AE61" i="7" s="1"/>
  <c r="AQ61" i="7"/>
  <c r="AH61" i="7" s="1"/>
  <c r="AM61" i="7"/>
  <c r="AF61" i="7" s="1"/>
  <c r="AD61" i="7"/>
  <c r="S61" i="7"/>
  <c r="AR61" i="7" s="1"/>
  <c r="AI61" i="7" s="1"/>
  <c r="L61" i="7"/>
  <c r="AN61" i="7" s="1"/>
  <c r="AW60" i="7"/>
  <c r="AV60" i="7"/>
  <c r="AU60" i="7"/>
  <c r="AD60" i="7"/>
  <c r="S60" i="7"/>
  <c r="AR60" i="7" s="1"/>
  <c r="AI60" i="7" s="1"/>
  <c r="L60" i="7"/>
  <c r="AO60" i="7" s="1"/>
  <c r="AW59" i="7"/>
  <c r="AV59" i="7"/>
  <c r="AU59" i="7"/>
  <c r="AD59" i="7"/>
  <c r="S59" i="7"/>
  <c r="AR59" i="7" s="1"/>
  <c r="AI59" i="7" s="1"/>
  <c r="L59" i="7"/>
  <c r="AO59" i="7" s="1"/>
  <c r="AW58" i="7"/>
  <c r="AV58" i="7"/>
  <c r="AR58" i="7" s="1"/>
  <c r="AI58" i="7" s="1"/>
  <c r="AU58" i="7"/>
  <c r="AO58" i="7"/>
  <c r="AL58" i="7"/>
  <c r="AE58" i="7" s="1"/>
  <c r="AD58" i="7"/>
  <c r="S58" i="7"/>
  <c r="L58" i="7"/>
  <c r="AN58" i="7" s="1"/>
  <c r="AW57" i="7"/>
  <c r="AV57" i="7"/>
  <c r="AU57" i="7"/>
  <c r="AR57" i="7"/>
  <c r="AI57" i="7" s="1"/>
  <c r="AL57" i="7"/>
  <c r="AE57" i="7" s="1"/>
  <c r="AD57" i="7"/>
  <c r="S57" i="7"/>
  <c r="L57" i="7"/>
  <c r="AO57" i="7" s="1"/>
  <c r="AW56" i="7"/>
  <c r="AV56" i="7"/>
  <c r="AU56" i="7"/>
  <c r="AD56" i="7"/>
  <c r="S56" i="7"/>
  <c r="AR56" i="7" s="1"/>
  <c r="AI56" i="7" s="1"/>
  <c r="L56" i="7"/>
  <c r="AN56" i="7" s="1"/>
  <c r="AW55" i="7"/>
  <c r="AV55" i="7"/>
  <c r="AU55" i="7"/>
  <c r="AN55" i="7"/>
  <c r="AL55" i="7"/>
  <c r="AE55" i="7"/>
  <c r="AD55" i="7"/>
  <c r="S55" i="7"/>
  <c r="AR55" i="7" s="1"/>
  <c r="AI55" i="7" s="1"/>
  <c r="L55" i="7"/>
  <c r="AW54" i="7"/>
  <c r="AV54" i="7"/>
  <c r="AU54" i="7"/>
  <c r="AR54" i="7"/>
  <c r="AI54" i="7" s="1"/>
  <c r="AD54" i="7"/>
  <c r="S54" i="7"/>
  <c r="L54" i="7"/>
  <c r="AO54" i="7" s="1"/>
  <c r="AW53" i="7"/>
  <c r="AV53" i="7"/>
  <c r="AU53" i="7"/>
  <c r="AD53" i="7"/>
  <c r="S53" i="7"/>
  <c r="AR53" i="7" s="1"/>
  <c r="AI53" i="7" s="1"/>
  <c r="L53" i="7"/>
  <c r="AW52" i="7"/>
  <c r="AV52" i="7"/>
  <c r="AU52" i="7"/>
  <c r="AO52" i="7"/>
  <c r="AN52" i="7"/>
  <c r="AL52" i="7"/>
  <c r="AE52" i="7"/>
  <c r="AD52" i="7"/>
  <c r="S52" i="7"/>
  <c r="AR52" i="7" s="1"/>
  <c r="AI52" i="7" s="1"/>
  <c r="L52" i="7"/>
  <c r="AM52" i="7" s="1"/>
  <c r="AF52" i="7" s="1"/>
  <c r="AW51" i="7"/>
  <c r="AV51" i="7"/>
  <c r="AU51" i="7"/>
  <c r="AR51" i="7"/>
  <c r="AI51" i="7" s="1"/>
  <c r="AQ51" i="7"/>
  <c r="AN51" i="7"/>
  <c r="AL51" i="7"/>
  <c r="AH51" i="7"/>
  <c r="AE51" i="7"/>
  <c r="AD51" i="7"/>
  <c r="S51" i="7"/>
  <c r="L51" i="7"/>
  <c r="AW50" i="7"/>
  <c r="AV50" i="7"/>
  <c r="AU50" i="7"/>
  <c r="AP50" i="7"/>
  <c r="AG50" i="7" s="1"/>
  <c r="AL50" i="7"/>
  <c r="AE50" i="7" s="1"/>
  <c r="AD50" i="7"/>
  <c r="S50" i="7"/>
  <c r="AR50" i="7" s="1"/>
  <c r="AI50" i="7" s="1"/>
  <c r="L50" i="7"/>
  <c r="AM50" i="7" s="1"/>
  <c r="AF50" i="7" s="1"/>
  <c r="AW49" i="7"/>
  <c r="AV49" i="7"/>
  <c r="AU49" i="7"/>
  <c r="AO49" i="7"/>
  <c r="AN49" i="7"/>
  <c r="AD49" i="7"/>
  <c r="S49" i="7"/>
  <c r="AR49" i="7" s="1"/>
  <c r="AI49" i="7" s="1"/>
  <c r="L49" i="7"/>
  <c r="AM49" i="7" s="1"/>
  <c r="AF49" i="7" s="1"/>
  <c r="AW48" i="7"/>
  <c r="AV48" i="7"/>
  <c r="AU48" i="7"/>
  <c r="AR48" i="7"/>
  <c r="AQ48" i="7"/>
  <c r="AH48" i="7" s="1"/>
  <c r="Z48" i="7" s="1"/>
  <c r="AP48" i="7"/>
  <c r="AG48" i="7" s="1"/>
  <c r="AO48" i="7"/>
  <c r="AN48" i="7"/>
  <c r="AL48" i="7"/>
  <c r="AI48" i="7"/>
  <c r="AE48" i="7"/>
  <c r="AD48" i="7"/>
  <c r="S48" i="7"/>
  <c r="L48" i="7"/>
  <c r="AM48" i="7" s="1"/>
  <c r="AF48" i="7" s="1"/>
  <c r="Y48" i="7" s="1"/>
  <c r="AW47" i="7"/>
  <c r="AV47" i="7"/>
  <c r="AR47" i="7" s="1"/>
  <c r="AI47" i="7" s="1"/>
  <c r="AU47" i="7"/>
  <c r="AP47" i="7"/>
  <c r="AG47" i="7" s="1"/>
  <c r="AL47" i="7"/>
  <c r="AE47" i="7" s="1"/>
  <c r="AD47" i="7"/>
  <c r="S47" i="7"/>
  <c r="L47" i="7"/>
  <c r="AO47" i="7" s="1"/>
  <c r="AW46" i="7"/>
  <c r="AV46" i="7"/>
  <c r="AU46" i="7"/>
  <c r="AD46" i="7"/>
  <c r="S46" i="7"/>
  <c r="L46" i="7"/>
  <c r="AO46" i="7" s="1"/>
  <c r="AW45" i="7"/>
  <c r="AV45" i="7"/>
  <c r="AU45" i="7"/>
  <c r="AO45" i="7" s="1"/>
  <c r="AR45" i="7"/>
  <c r="AQ45" i="7"/>
  <c r="AH45" i="7" s="1"/>
  <c r="Z45" i="7" s="1"/>
  <c r="AP45" i="7"/>
  <c r="AG45" i="7" s="1"/>
  <c r="AI45" i="7"/>
  <c r="AD45" i="7"/>
  <c r="S45" i="7"/>
  <c r="L45" i="7"/>
  <c r="AM45" i="7" s="1"/>
  <c r="AF45" i="7" s="1"/>
  <c r="AW44" i="7"/>
  <c r="AV44" i="7"/>
  <c r="AU44" i="7"/>
  <c r="AR44" i="7"/>
  <c r="AI44" i="7" s="1"/>
  <c r="AL44" i="7"/>
  <c r="AE44" i="7" s="1"/>
  <c r="AD44" i="7"/>
  <c r="S44" i="7"/>
  <c r="AQ44" i="7" s="1"/>
  <c r="AH44" i="7" s="1"/>
  <c r="L44" i="7"/>
  <c r="AO44" i="7" s="1"/>
  <c r="AW43" i="7"/>
  <c r="AV43" i="7"/>
  <c r="AU43" i="7"/>
  <c r="AL43" i="7"/>
  <c r="AE43" i="7"/>
  <c r="AD43" i="7"/>
  <c r="S43" i="7"/>
  <c r="L43" i="7"/>
  <c r="AO43" i="7" s="1"/>
  <c r="AW42" i="7"/>
  <c r="AV42" i="7"/>
  <c r="AU42" i="7"/>
  <c r="AO42" i="7"/>
  <c r="AN42" i="7"/>
  <c r="AF42" i="7"/>
  <c r="AD42" i="7"/>
  <c r="S42" i="7"/>
  <c r="L42" i="7"/>
  <c r="AM42" i="7" s="1"/>
  <c r="AW41" i="7"/>
  <c r="AV41" i="7"/>
  <c r="AU41" i="7"/>
  <c r="AR41" i="7"/>
  <c r="AI41" i="7" s="1"/>
  <c r="AL41" i="7"/>
  <c r="AE41" i="7" s="1"/>
  <c r="AD41" i="7"/>
  <c r="S41" i="7"/>
  <c r="L41" i="7"/>
  <c r="AO41" i="7" s="1"/>
  <c r="AW40" i="7"/>
  <c r="AV40" i="7"/>
  <c r="AR40" i="7" s="1"/>
  <c r="AI40" i="7" s="1"/>
  <c r="AU40" i="7"/>
  <c r="AL40" i="7"/>
  <c r="AE40" i="7"/>
  <c r="AD40" i="7"/>
  <c r="S40" i="7"/>
  <c r="L40" i="7"/>
  <c r="AM40" i="7" s="1"/>
  <c r="AF40" i="7" s="1"/>
  <c r="AW39" i="7"/>
  <c r="AV39" i="7"/>
  <c r="AU39" i="7"/>
  <c r="AN39" i="7"/>
  <c r="AM39" i="7"/>
  <c r="AF39" i="7"/>
  <c r="AD39" i="7"/>
  <c r="S39" i="7"/>
  <c r="L39" i="7"/>
  <c r="AO39" i="7" s="1"/>
  <c r="AW38" i="7"/>
  <c r="AV38" i="7"/>
  <c r="AU38" i="7"/>
  <c r="AR38" i="7"/>
  <c r="AI38" i="7" s="1"/>
  <c r="AD38" i="7"/>
  <c r="S38" i="7"/>
  <c r="AQ38" i="7" s="1"/>
  <c r="AH38" i="7" s="1"/>
  <c r="L38" i="7"/>
  <c r="AL38" i="7" s="1"/>
  <c r="AE38" i="7" s="1"/>
  <c r="AW37" i="7"/>
  <c r="AV37" i="7"/>
  <c r="AQ37" i="7" s="1"/>
  <c r="AH37" i="7" s="1"/>
  <c r="AU37" i="7"/>
  <c r="AO37" i="7"/>
  <c r="AN37" i="7"/>
  <c r="AD37" i="7"/>
  <c r="S37" i="7"/>
  <c r="AR37" i="7" s="1"/>
  <c r="AI37" i="7" s="1"/>
  <c r="L37" i="7"/>
  <c r="AM37" i="7" s="1"/>
  <c r="AF37" i="7" s="1"/>
  <c r="AW36" i="7"/>
  <c r="AV36" i="7"/>
  <c r="AU36" i="7"/>
  <c r="AR36" i="7"/>
  <c r="AI36" i="7" s="1"/>
  <c r="AQ36" i="7"/>
  <c r="AH36" i="7" s="1"/>
  <c r="AD36" i="7"/>
  <c r="S36" i="7"/>
  <c r="L36" i="7"/>
  <c r="AO36" i="7" s="1"/>
  <c r="AW35" i="7"/>
  <c r="AV35" i="7"/>
  <c r="AU35" i="7"/>
  <c r="AO35" i="7"/>
  <c r="AN35" i="7"/>
  <c r="AM35" i="7"/>
  <c r="AF35" i="7"/>
  <c r="AD35" i="7"/>
  <c r="X35" i="7"/>
  <c r="AT35" i="7" s="1"/>
  <c r="AK35" i="7" s="1"/>
  <c r="S35" i="7"/>
  <c r="L35" i="7"/>
  <c r="AL35" i="7" s="1"/>
  <c r="AE35" i="7" s="1"/>
  <c r="Y35" i="7" s="1"/>
  <c r="AW34" i="7"/>
  <c r="AV34" i="7"/>
  <c r="AU34" i="7"/>
  <c r="AR34" i="7"/>
  <c r="AI34" i="7" s="1"/>
  <c r="AD34" i="7"/>
  <c r="S34" i="7"/>
  <c r="AQ34" i="7" s="1"/>
  <c r="AH34" i="7" s="1"/>
  <c r="L34" i="7"/>
  <c r="AL34" i="7" s="1"/>
  <c r="AE34" i="7" s="1"/>
  <c r="AW33" i="7"/>
  <c r="AV33" i="7"/>
  <c r="AU33" i="7"/>
  <c r="AO33" i="7"/>
  <c r="AN33" i="7"/>
  <c r="AD33" i="7"/>
  <c r="X33" i="7"/>
  <c r="S33" i="7"/>
  <c r="AR33" i="7" s="1"/>
  <c r="AI33" i="7" s="1"/>
  <c r="L33" i="7"/>
  <c r="AM33" i="7" s="1"/>
  <c r="AF33" i="7" s="1"/>
  <c r="AW32" i="7"/>
  <c r="AV32" i="7"/>
  <c r="AU32" i="7"/>
  <c r="AR32" i="7"/>
  <c r="AI32" i="7" s="1"/>
  <c r="AQ32" i="7"/>
  <c r="AH32" i="7" s="1"/>
  <c r="AD32" i="7"/>
  <c r="S32" i="7"/>
  <c r="L32" i="7"/>
  <c r="AW31" i="7"/>
  <c r="AV31" i="7"/>
  <c r="AU31" i="7"/>
  <c r="AO31" i="7" s="1"/>
  <c r="AD31" i="7"/>
  <c r="S31" i="7"/>
  <c r="L31" i="7"/>
  <c r="AW30" i="7"/>
  <c r="AV30" i="7"/>
  <c r="AU30" i="7"/>
  <c r="AR30" i="7"/>
  <c r="AI30" i="7" s="1"/>
  <c r="AD30" i="7"/>
  <c r="S30" i="7"/>
  <c r="AQ30" i="7" s="1"/>
  <c r="AH30" i="7" s="1"/>
  <c r="L30" i="7"/>
  <c r="AW29" i="7"/>
  <c r="AV29" i="7"/>
  <c r="AU29" i="7"/>
  <c r="AO29" i="7" s="1"/>
  <c r="AD29" i="7"/>
  <c r="S29" i="7"/>
  <c r="AR29" i="7" s="1"/>
  <c r="AI29" i="7" s="1"/>
  <c r="L29" i="7"/>
  <c r="AW28" i="7"/>
  <c r="AV28" i="7"/>
  <c r="AU28" i="7"/>
  <c r="AR28" i="7"/>
  <c r="AI28" i="7" s="1"/>
  <c r="AQ28" i="7"/>
  <c r="AH28" i="7" s="1"/>
  <c r="AD28" i="7"/>
  <c r="S28" i="7"/>
  <c r="L28" i="7"/>
  <c r="AW27" i="7"/>
  <c r="AV27" i="7"/>
  <c r="AU27" i="7"/>
  <c r="AO27" i="7"/>
  <c r="AN27" i="7"/>
  <c r="AM27" i="7"/>
  <c r="AF27" i="7" s="1"/>
  <c r="Y27" i="7" s="1"/>
  <c r="AD27" i="7"/>
  <c r="X27" i="7"/>
  <c r="S27" i="7"/>
  <c r="L27" i="7"/>
  <c r="AL27" i="7" s="1"/>
  <c r="AE27" i="7" s="1"/>
  <c r="AW26" i="7"/>
  <c r="AV26" i="7"/>
  <c r="AU26" i="7"/>
  <c r="AR26" i="7"/>
  <c r="AI26" i="7"/>
  <c r="AD26" i="7"/>
  <c r="S26" i="7"/>
  <c r="AQ26" i="7" s="1"/>
  <c r="AH26" i="7" s="1"/>
  <c r="L26" i="7"/>
  <c r="AL26" i="7" s="1"/>
  <c r="AE26" i="7" s="1"/>
  <c r="AW25" i="7"/>
  <c r="AV25" i="7"/>
  <c r="AP25" i="7" s="1"/>
  <c r="AG25" i="7" s="1"/>
  <c r="AU25" i="7"/>
  <c r="AO25" i="7" s="1"/>
  <c r="AN25" i="7"/>
  <c r="AD25" i="7"/>
  <c r="S25" i="7"/>
  <c r="AR25" i="7" s="1"/>
  <c r="AI25" i="7" s="1"/>
  <c r="L25" i="7"/>
  <c r="AW24" i="7"/>
  <c r="AV24" i="7"/>
  <c r="AU24" i="7"/>
  <c r="AR24" i="7"/>
  <c r="AI24" i="7" s="1"/>
  <c r="AQ24" i="7"/>
  <c r="AH24" i="7" s="1"/>
  <c r="AP24" i="7"/>
  <c r="AG24" i="7" s="1"/>
  <c r="AD24" i="7"/>
  <c r="S24" i="7"/>
  <c r="L24" i="7"/>
  <c r="AO24" i="7" s="1"/>
  <c r="AW23" i="7"/>
  <c r="AV23" i="7"/>
  <c r="AU23" i="7"/>
  <c r="AO23" i="7"/>
  <c r="AN23" i="7"/>
  <c r="AM23" i="7"/>
  <c r="AF23" i="7" s="1"/>
  <c r="Y23" i="7" s="1"/>
  <c r="AD23" i="7"/>
  <c r="X23" i="7"/>
  <c r="S23" i="7"/>
  <c r="L23" i="7"/>
  <c r="AL23" i="7" s="1"/>
  <c r="AE23" i="7" s="1"/>
  <c r="AW22" i="7"/>
  <c r="AV22" i="7"/>
  <c r="AU22" i="7"/>
  <c r="AR22" i="7"/>
  <c r="AI22" i="7"/>
  <c r="AH22" i="7"/>
  <c r="AD22" i="7"/>
  <c r="S22" i="7"/>
  <c r="AQ22" i="7" s="1"/>
  <c r="L22" i="7"/>
  <c r="AL22" i="7" s="1"/>
  <c r="AE22" i="7" s="1"/>
  <c r="AW21" i="7"/>
  <c r="AV21" i="7"/>
  <c r="AP21" i="7" s="1"/>
  <c r="AG21" i="7" s="1"/>
  <c r="AU21" i="7"/>
  <c r="AO21" i="7" s="1"/>
  <c r="AD21" i="7"/>
  <c r="X21" i="7"/>
  <c r="AT21" i="7" s="1"/>
  <c r="AK21" i="7" s="1"/>
  <c r="S21" i="7"/>
  <c r="L21" i="7"/>
  <c r="AM21" i="7" s="1"/>
  <c r="AF21" i="7" s="1"/>
  <c r="AW20" i="7"/>
  <c r="AV20" i="7"/>
  <c r="AU20" i="7"/>
  <c r="AR20" i="7"/>
  <c r="AI20" i="7" s="1"/>
  <c r="Z20" i="7" s="1"/>
  <c r="AQ20" i="7"/>
  <c r="AH20" i="7" s="1"/>
  <c r="AP20" i="7"/>
  <c r="AG20" i="7" s="1"/>
  <c r="AD20" i="7"/>
  <c r="S20" i="7"/>
  <c r="L20" i="7"/>
  <c r="AO20" i="7" s="1"/>
  <c r="AW19" i="7"/>
  <c r="AV19" i="7"/>
  <c r="AU19" i="7"/>
  <c r="AD19" i="7"/>
  <c r="X19" i="7"/>
  <c r="S19" i="7"/>
  <c r="AP19" i="7" s="1"/>
  <c r="AG19" i="7" s="1"/>
  <c r="L19" i="7"/>
  <c r="AL19" i="7" s="1"/>
  <c r="AE19" i="7" s="1"/>
  <c r="AW18" i="7"/>
  <c r="AV18" i="7"/>
  <c r="AU18" i="7"/>
  <c r="AR18" i="7"/>
  <c r="AI18" i="7" s="1"/>
  <c r="AD18" i="7"/>
  <c r="S18" i="7"/>
  <c r="AQ18" i="7" s="1"/>
  <c r="AH18" i="7" s="1"/>
  <c r="L18" i="7"/>
  <c r="AL18" i="7" s="1"/>
  <c r="AE18" i="7" s="1"/>
  <c r="AW17" i="7"/>
  <c r="AV17" i="7"/>
  <c r="AU17" i="7"/>
  <c r="AO17" i="7"/>
  <c r="AN17" i="7"/>
  <c r="AD17" i="7"/>
  <c r="X17" i="7"/>
  <c r="AT17" i="7" s="1"/>
  <c r="AK17" i="7" s="1"/>
  <c r="S17" i="7"/>
  <c r="L17" i="7"/>
  <c r="AM17" i="7" s="1"/>
  <c r="AF17" i="7" s="1"/>
  <c r="AW16" i="7"/>
  <c r="AV16" i="7"/>
  <c r="AU16" i="7"/>
  <c r="AR16" i="7"/>
  <c r="AI16" i="7" s="1"/>
  <c r="AQ16" i="7"/>
  <c r="AH16" i="7" s="1"/>
  <c r="AD16" i="7"/>
  <c r="S16" i="7"/>
  <c r="L16" i="7"/>
  <c r="AO16" i="7" s="1"/>
  <c r="AW15" i="7"/>
  <c r="AV15" i="7"/>
  <c r="AU15" i="7"/>
  <c r="AD15" i="7"/>
  <c r="X15" i="7"/>
  <c r="S15" i="7"/>
  <c r="AP15" i="7" s="1"/>
  <c r="AG15" i="7" s="1"/>
  <c r="L15" i="7"/>
  <c r="AO15" i="7" s="1"/>
  <c r="AW14" i="7"/>
  <c r="AV14" i="7"/>
  <c r="AU14" i="7"/>
  <c r="AR14" i="7"/>
  <c r="AI14" i="7" s="1"/>
  <c r="AD14" i="7"/>
  <c r="S14" i="7"/>
  <c r="AQ14" i="7" s="1"/>
  <c r="AH14" i="7" s="1"/>
  <c r="L14" i="7"/>
  <c r="AW13" i="7"/>
  <c r="AV13" i="7"/>
  <c r="AU13" i="7"/>
  <c r="AN13" i="7" s="1"/>
  <c r="AD13" i="7"/>
  <c r="X13" i="7"/>
  <c r="AT13" i="7" s="1"/>
  <c r="AK13" i="7" s="1"/>
  <c r="S13" i="7"/>
  <c r="L13" i="7"/>
  <c r="AW12" i="7"/>
  <c r="AV12" i="7"/>
  <c r="AU12" i="7"/>
  <c r="AR12" i="7"/>
  <c r="AI12" i="7" s="1"/>
  <c r="AQ12" i="7"/>
  <c r="AH12" i="7" s="1"/>
  <c r="AD12" i="7"/>
  <c r="S12" i="7"/>
  <c r="L12" i="7"/>
  <c r="AW11" i="7"/>
  <c r="AV11" i="7"/>
  <c r="AU11" i="7"/>
  <c r="AD11" i="7"/>
  <c r="X11" i="7"/>
  <c r="S11" i="7"/>
  <c r="AP11" i="7" s="1"/>
  <c r="AG11" i="7" s="1"/>
  <c r="L11" i="7"/>
  <c r="AW10" i="7"/>
  <c r="AV10" i="7"/>
  <c r="AU10" i="7"/>
  <c r="AR10" i="7"/>
  <c r="AI10" i="7" s="1"/>
  <c r="AD10" i="7"/>
  <c r="S10" i="7"/>
  <c r="AQ10" i="7" s="1"/>
  <c r="AH10" i="7" s="1"/>
  <c r="L10" i="7"/>
  <c r="AL10" i="7" s="1"/>
  <c r="AE10" i="7" s="1"/>
  <c r="AW9" i="7"/>
  <c r="AV9" i="7"/>
  <c r="AU9" i="7"/>
  <c r="AM9" i="7" s="1"/>
  <c r="AF9" i="7" s="1"/>
  <c r="AD9" i="7"/>
  <c r="S9" i="7"/>
  <c r="L9" i="7"/>
  <c r="AW8" i="7"/>
  <c r="AV8" i="7"/>
  <c r="AU8" i="7"/>
  <c r="AR8" i="7"/>
  <c r="AI8" i="7" s="1"/>
  <c r="AQ8" i="7"/>
  <c r="AH8" i="7" s="1"/>
  <c r="AD8" i="7"/>
  <c r="S8" i="7"/>
  <c r="L8" i="7"/>
  <c r="AW7" i="7"/>
  <c r="AV7" i="7"/>
  <c r="AU7" i="7"/>
  <c r="AL7" i="7" s="1"/>
  <c r="AE7" i="7" s="1"/>
  <c r="AD7" i="7"/>
  <c r="X7" i="7"/>
  <c r="S7" i="7"/>
  <c r="AP7" i="7" s="1"/>
  <c r="AG7" i="7" s="1"/>
  <c r="L7" i="7"/>
  <c r="AW6" i="7"/>
  <c r="AV6" i="7"/>
  <c r="AU6" i="7"/>
  <c r="AR6" i="7"/>
  <c r="AI6" i="7"/>
  <c r="AD6" i="7"/>
  <c r="S6" i="7"/>
  <c r="AQ6" i="7" s="1"/>
  <c r="AH6" i="7" s="1"/>
  <c r="L6" i="7"/>
  <c r="AW5" i="7"/>
  <c r="AV5" i="7"/>
  <c r="AU5" i="7"/>
  <c r="AM5" i="7" s="1"/>
  <c r="AF5" i="7" s="1"/>
  <c r="AD5" i="7"/>
  <c r="S5" i="7"/>
  <c r="L5" i="7"/>
  <c r="J38" i="5"/>
  <c r="E38" i="5"/>
  <c r="J37" i="5"/>
  <c r="E37" i="5"/>
  <c r="J36" i="5"/>
  <c r="E36" i="5"/>
  <c r="J35" i="5"/>
  <c r="E35" i="5"/>
  <c r="J34" i="5"/>
  <c r="E34" i="5"/>
  <c r="X46" i="7" s="1"/>
  <c r="J33" i="5"/>
  <c r="E33" i="5"/>
  <c r="X68" i="7" s="1"/>
  <c r="J32" i="5"/>
  <c r="E32" i="5"/>
  <c r="J31" i="5"/>
  <c r="E31" i="5"/>
  <c r="X38" i="7" s="1"/>
  <c r="J30" i="5"/>
  <c r="E30" i="5"/>
  <c r="J29" i="5"/>
  <c r="E29" i="5"/>
  <c r="J28" i="5"/>
  <c r="E28" i="5"/>
  <c r="J27" i="5"/>
  <c r="E27" i="5"/>
  <c r="J26" i="5"/>
  <c r="E26" i="5"/>
  <c r="J25" i="5"/>
  <c r="E25" i="5"/>
  <c r="J24" i="5"/>
  <c r="E24" i="5"/>
  <c r="J23" i="5"/>
  <c r="E23" i="5"/>
  <c r="J22" i="5"/>
  <c r="E22" i="5"/>
  <c r="J21" i="5"/>
  <c r="E21" i="5"/>
  <c r="J20" i="5"/>
  <c r="E20" i="5"/>
  <c r="J19" i="5"/>
  <c r="E19" i="5"/>
  <c r="J18" i="5"/>
  <c r="E18" i="5"/>
  <c r="J17" i="5"/>
  <c r="E17" i="5"/>
  <c r="X65" i="7" s="1"/>
  <c r="J16" i="5"/>
  <c r="E16" i="5"/>
  <c r="J15" i="5"/>
  <c r="E15" i="5"/>
  <c r="J14" i="5"/>
  <c r="E14" i="5"/>
  <c r="J13" i="5"/>
  <c r="E13" i="5"/>
  <c r="J12" i="5"/>
  <c r="E12" i="5"/>
  <c r="J11" i="5"/>
  <c r="E11" i="5"/>
  <c r="X31" i="7" s="1"/>
  <c r="J10" i="5"/>
  <c r="E10" i="5"/>
  <c r="X30" i="7" s="1"/>
  <c r="J9" i="5"/>
  <c r="E9" i="5"/>
  <c r="J8" i="5"/>
  <c r="E8" i="5"/>
  <c r="J7" i="5"/>
  <c r="E7" i="5"/>
  <c r="J6" i="5"/>
  <c r="E6" i="5"/>
  <c r="J5" i="5"/>
  <c r="E5" i="5"/>
  <c r="J4" i="5"/>
  <c r="X29" i="7" s="1"/>
  <c r="E4" i="5"/>
  <c r="J3" i="5"/>
  <c r="E3" i="5"/>
  <c r="P68" i="3"/>
  <c r="P66" i="3"/>
  <c r="P65" i="3"/>
  <c r="P64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3" i="3"/>
  <c r="P42" i="3"/>
  <c r="P41" i="3"/>
  <c r="P40" i="3"/>
  <c r="P39" i="3"/>
  <c r="P38" i="3"/>
  <c r="P36" i="3"/>
  <c r="P35" i="3"/>
  <c r="P34" i="3"/>
  <c r="P32" i="3"/>
  <c r="P30" i="3"/>
  <c r="P29" i="3"/>
  <c r="P27" i="3"/>
  <c r="P26" i="3"/>
  <c r="P25" i="3"/>
  <c r="P24" i="3"/>
  <c r="P22" i="3"/>
  <c r="P21" i="3"/>
  <c r="P20" i="3"/>
  <c r="P19" i="3"/>
  <c r="P18" i="3"/>
  <c r="P17" i="3"/>
  <c r="P16" i="3"/>
  <c r="P15" i="3"/>
  <c r="P13" i="3"/>
  <c r="P12" i="3"/>
  <c r="P11" i="3"/>
  <c r="P10" i="3"/>
  <c r="P9" i="3"/>
  <c r="P8" i="3"/>
  <c r="P7" i="3"/>
  <c r="P6" i="3"/>
  <c r="P5" i="3"/>
  <c r="P4" i="3"/>
  <c r="P3" i="3"/>
  <c r="D15" i="2"/>
  <c r="E14" i="2"/>
  <c r="D14" i="2"/>
  <c r="AP8" i="7" s="1"/>
  <c r="AG8" i="7" s="1"/>
  <c r="Z8" i="7" s="1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L426" i="7" l="1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Y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Y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AP320" i="7"/>
  <c r="AG320" i="7" s="1"/>
  <c r="Z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T31" i="7"/>
  <c r="AK31" i="7" s="1"/>
  <c r="AS31" i="7"/>
  <c r="AJ31" i="7" s="1"/>
  <c r="AA31" i="7" s="1"/>
  <c r="AC31" i="7"/>
  <c r="AB31" i="7"/>
  <c r="AT29" i="7"/>
  <c r="AK29" i="7" s="1"/>
  <c r="AS29" i="7"/>
  <c r="AJ29" i="7" s="1"/>
  <c r="AA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C65" i="7"/>
  <c r="AT65" i="7"/>
  <c r="AK65" i="7" s="1"/>
  <c r="AB65" i="7"/>
  <c r="AS65" i="7"/>
  <c r="AJ65" i="7" s="1"/>
  <c r="AA65" i="7" s="1"/>
  <c r="AS68" i="7"/>
  <c r="AJ68" i="7" s="1"/>
  <c r="AA68" i="7" s="1"/>
  <c r="AC68" i="7"/>
  <c r="AB68" i="7"/>
  <c r="AT68" i="7"/>
  <c r="AK68" i="7" s="1"/>
  <c r="AL15" i="7"/>
  <c r="AE15" i="7" s="1"/>
  <c r="AM19" i="7"/>
  <c r="AF19" i="7" s="1"/>
  <c r="Y19" i="7" s="1"/>
  <c r="AN29" i="7"/>
  <c r="AP31" i="7"/>
  <c r="AG31" i="7" s="1"/>
  <c r="AQ33" i="7"/>
  <c r="AH33" i="7" s="1"/>
  <c r="AP33" i="7"/>
  <c r="AG33" i="7" s="1"/>
  <c r="Z33" i="7" s="1"/>
  <c r="AM15" i="7"/>
  <c r="AF15" i="7" s="1"/>
  <c r="AP23" i="7"/>
  <c r="AG23" i="7" s="1"/>
  <c r="Z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4" i="7"/>
  <c r="X595" i="7"/>
  <c r="X561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T23" i="7"/>
  <c r="AK23" i="7" s="1"/>
  <c r="AS23" i="7"/>
  <c r="AJ23" i="7" s="1"/>
  <c r="AC23" i="7"/>
  <c r="AB23" i="7"/>
  <c r="AT27" i="7"/>
  <c r="AK27" i="7" s="1"/>
  <c r="AS27" i="7"/>
  <c r="AJ27" i="7" s="1"/>
  <c r="AC27" i="7"/>
  <c r="AB27" i="7"/>
  <c r="AQ29" i="7"/>
  <c r="AH29" i="7" s="1"/>
  <c r="AP29" i="7"/>
  <c r="AG29" i="7" s="1"/>
  <c r="Z29" i="7" s="1"/>
  <c r="AQ40" i="7"/>
  <c r="AH40" i="7" s="1"/>
  <c r="Z71" i="7"/>
  <c r="AP16" i="7"/>
  <c r="AG16" i="7" s="1"/>
  <c r="Z16" i="7" s="1"/>
  <c r="AN19" i="7"/>
  <c r="AP12" i="7"/>
  <c r="AG12" i="7" s="1"/>
  <c r="Z12" i="7" s="1"/>
  <c r="AN15" i="7"/>
  <c r="AM7" i="7"/>
  <c r="AF7" i="7" s="1"/>
  <c r="AN11" i="7"/>
  <c r="Z24" i="7"/>
  <c r="Y65" i="7"/>
  <c r="Y79" i="7"/>
  <c r="AQ42" i="7"/>
  <c r="AH42" i="7" s="1"/>
  <c r="AN53" i="7"/>
  <c r="AL53" i="7"/>
  <c r="AE53" i="7" s="1"/>
  <c r="AO53" i="7"/>
  <c r="AP57" i="7"/>
  <c r="AG57" i="7" s="1"/>
  <c r="X546" i="7"/>
  <c r="X559" i="7"/>
  <c r="X541" i="7"/>
  <c r="X515" i="7"/>
  <c r="X536" i="7"/>
  <c r="X505" i="7"/>
  <c r="X495" i="7"/>
  <c r="X485" i="7"/>
  <c r="X222" i="7"/>
  <c r="X217" i="7"/>
  <c r="X194" i="7"/>
  <c r="X199" i="7"/>
  <c r="AS30" i="7"/>
  <c r="AJ30" i="7" s="1"/>
  <c r="AA30" i="7" s="1"/>
  <c r="AC30" i="7"/>
  <c r="AT30" i="7"/>
  <c r="AK30" i="7" s="1"/>
  <c r="X771" i="7"/>
  <c r="X743" i="7"/>
  <c r="X761" i="7"/>
  <c r="X766" i="7"/>
  <c r="X738" i="7"/>
  <c r="X710" i="7"/>
  <c r="X715" i="7"/>
  <c r="X700" i="7"/>
  <c r="X672" i="7"/>
  <c r="X733" i="7"/>
  <c r="X728" i="7"/>
  <c r="X756" i="7"/>
  <c r="X659" i="7"/>
  <c r="X705" i="7"/>
  <c r="X644" i="7"/>
  <c r="X677" i="7"/>
  <c r="X649" i="7"/>
  <c r="X631" i="7"/>
  <c r="X626" i="7"/>
  <c r="X682" i="7"/>
  <c r="X654" i="7"/>
  <c r="X687" i="7"/>
  <c r="X621" i="7"/>
  <c r="X616" i="7"/>
  <c r="X534" i="7"/>
  <c r="X557" i="7"/>
  <c r="X503" i="7"/>
  <c r="X493" i="7"/>
  <c r="X513" i="7"/>
  <c r="X544" i="7"/>
  <c r="X539" i="7"/>
  <c r="X483" i="7"/>
  <c r="X197" i="7"/>
  <c r="X215" i="7"/>
  <c r="X220" i="7"/>
  <c r="X192" i="7"/>
  <c r="X1194" i="7"/>
  <c r="X1102" i="7"/>
  <c r="X1148" i="7"/>
  <c r="X1171" i="7"/>
  <c r="X1125" i="7"/>
  <c r="X1079" i="7"/>
  <c r="X1056" i="7"/>
  <c r="X1033" i="7"/>
  <c r="X964" i="7"/>
  <c r="X1010" i="7"/>
  <c r="X987" i="7"/>
  <c r="X941" i="7"/>
  <c r="X918" i="7"/>
  <c r="X895" i="7"/>
  <c r="X872" i="7"/>
  <c r="X849" i="7"/>
  <c r="X826" i="7"/>
  <c r="X803" i="7"/>
  <c r="X752" i="7"/>
  <c r="X780" i="7"/>
  <c r="X696" i="7"/>
  <c r="X668" i="7"/>
  <c r="X724" i="7"/>
  <c r="X640" i="7"/>
  <c r="X583" i="7"/>
  <c r="X604" i="7"/>
  <c r="X612" i="7"/>
  <c r="X570" i="7"/>
  <c r="X529" i="7"/>
  <c r="X552" i="7"/>
  <c r="X521" i="7"/>
  <c r="X591" i="7"/>
  <c r="X450" i="7"/>
  <c r="X422" i="7"/>
  <c r="X491" i="7"/>
  <c r="X511" i="7"/>
  <c r="X501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T46" i="7"/>
  <c r="AK46" i="7" s="1"/>
  <c r="AC46" i="7"/>
  <c r="AS46" i="7"/>
  <c r="AJ46" i="7" s="1"/>
  <c r="AA46" i="7" s="1"/>
  <c r="AB46" i="7"/>
  <c r="AM11" i="7"/>
  <c r="AF11" i="7" s="1"/>
  <c r="X1188" i="7"/>
  <c r="X1155" i="7"/>
  <c r="X1183" i="7"/>
  <c r="X1132" i="7"/>
  <c r="X1178" i="7"/>
  <c r="X1114" i="7"/>
  <c r="X1086" i="7"/>
  <c r="X1165" i="7"/>
  <c r="X1137" i="7"/>
  <c r="X1119" i="7"/>
  <c r="X1091" i="7"/>
  <c r="X1160" i="7"/>
  <c r="X1142" i="7"/>
  <c r="X1096" i="7"/>
  <c r="X1109" i="7"/>
  <c r="X1073" i="7"/>
  <c r="X1040" i="7"/>
  <c r="X1068" i="7"/>
  <c r="X1063" i="7"/>
  <c r="X1004" i="7"/>
  <c r="X1050" i="7"/>
  <c r="X1022" i="7"/>
  <c r="X1045" i="7"/>
  <c r="X999" i="7"/>
  <c r="X976" i="7"/>
  <c r="X1017" i="7"/>
  <c r="X994" i="7"/>
  <c r="X1027" i="7"/>
  <c r="X958" i="7"/>
  <c r="X971" i="7"/>
  <c r="X953" i="7"/>
  <c r="X930" i="7"/>
  <c r="X981" i="7"/>
  <c r="X925" i="7"/>
  <c r="X912" i="7"/>
  <c r="X948" i="7"/>
  <c r="X935" i="7"/>
  <c r="X907" i="7"/>
  <c r="X884" i="7"/>
  <c r="X866" i="7"/>
  <c r="X902" i="7"/>
  <c r="X879" i="7"/>
  <c r="X861" i="7"/>
  <c r="X889" i="7"/>
  <c r="X838" i="7"/>
  <c r="X787" i="7"/>
  <c r="X856" i="7"/>
  <c r="X843" i="7"/>
  <c r="X833" i="7"/>
  <c r="X815" i="7"/>
  <c r="X797" i="7"/>
  <c r="X820" i="7"/>
  <c r="X810" i="7"/>
  <c r="X792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AD5" i="9"/>
  <c r="X767" i="7"/>
  <c r="X734" i="7"/>
  <c r="X757" i="7"/>
  <c r="X729" i="7"/>
  <c r="X772" i="7"/>
  <c r="X739" i="7"/>
  <c r="X744" i="7"/>
  <c r="X716" i="7"/>
  <c r="X688" i="7"/>
  <c r="X762" i="7"/>
  <c r="X650" i="7"/>
  <c r="X632" i="7"/>
  <c r="X678" i="7"/>
  <c r="X706" i="7"/>
  <c r="X711" i="7"/>
  <c r="X701" i="7"/>
  <c r="X683" i="7"/>
  <c r="X660" i="7"/>
  <c r="X622" i="7"/>
  <c r="X645" i="7"/>
  <c r="X627" i="7"/>
  <c r="X655" i="7"/>
  <c r="X617" i="7"/>
  <c r="X673" i="7"/>
  <c r="X1184" i="7"/>
  <c r="X1179" i="7"/>
  <c r="X1166" i="7"/>
  <c r="X1156" i="7"/>
  <c r="X1110" i="7"/>
  <c r="X1133" i="7"/>
  <c r="X1143" i="7"/>
  <c r="X1115" i="7"/>
  <c r="X1087" i="7"/>
  <c r="X1120" i="7"/>
  <c r="X1161" i="7"/>
  <c r="X1138" i="7"/>
  <c r="X1092" i="7"/>
  <c r="X1069" i="7"/>
  <c r="X1189" i="7"/>
  <c r="X1064" i="7"/>
  <c r="X1097" i="7"/>
  <c r="X1074" i="7"/>
  <c r="X1051" i="7"/>
  <c r="X1046" i="7"/>
  <c r="X1018" i="7"/>
  <c r="X1041" i="7"/>
  <c r="X1028" i="7"/>
  <c r="X1005" i="7"/>
  <c r="X1023" i="7"/>
  <c r="X1000" i="7"/>
  <c r="X977" i="7"/>
  <c r="X954" i="7"/>
  <c r="X959" i="7"/>
  <c r="X982" i="7"/>
  <c r="X972" i="7"/>
  <c r="X995" i="7"/>
  <c r="X949" i="7"/>
  <c r="X936" i="7"/>
  <c r="X931" i="7"/>
  <c r="X913" i="7"/>
  <c r="X880" i="7"/>
  <c r="X926" i="7"/>
  <c r="X908" i="7"/>
  <c r="X844" i="7"/>
  <c r="X903" i="7"/>
  <c r="X867" i="7"/>
  <c r="X890" i="7"/>
  <c r="X862" i="7"/>
  <c r="X885" i="7"/>
  <c r="X834" i="7"/>
  <c r="X857" i="7"/>
  <c r="X816" i="7"/>
  <c r="X793" i="7"/>
  <c r="X821" i="7"/>
  <c r="X788" i="7"/>
  <c r="X839" i="7"/>
  <c r="X798" i="7"/>
  <c r="X811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58" i="7"/>
  <c r="X545" i="7"/>
  <c r="X540" i="7"/>
  <c r="X535" i="7"/>
  <c r="X494" i="7"/>
  <c r="X484" i="7"/>
  <c r="X514" i="7"/>
  <c r="X504" i="7"/>
  <c r="X221" i="7"/>
  <c r="X193" i="7"/>
  <c r="X198" i="7"/>
  <c r="X216" i="7"/>
  <c r="X1195" i="7"/>
  <c r="X1172" i="7"/>
  <c r="X1149" i="7"/>
  <c r="X1126" i="7"/>
  <c r="X1103" i="7"/>
  <c r="X1080" i="7"/>
  <c r="X1057" i="7"/>
  <c r="X1011" i="7"/>
  <c r="X965" i="7"/>
  <c r="X1034" i="7"/>
  <c r="X942" i="7"/>
  <c r="X988" i="7"/>
  <c r="X896" i="7"/>
  <c r="X919" i="7"/>
  <c r="X873" i="7"/>
  <c r="X850" i="7"/>
  <c r="X804" i="7"/>
  <c r="X827" i="7"/>
  <c r="X781" i="7"/>
  <c r="X753" i="7"/>
  <c r="X725" i="7"/>
  <c r="X697" i="7"/>
  <c r="X641" i="7"/>
  <c r="X669" i="7"/>
  <c r="X571" i="7"/>
  <c r="X592" i="7"/>
  <c r="X584" i="7"/>
  <c r="X613" i="7"/>
  <c r="X522" i="7"/>
  <c r="X553" i="7"/>
  <c r="X605" i="7"/>
  <c r="X530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O5" i="7"/>
  <c r="AP17" i="7"/>
  <c r="AG17" i="7" s="1"/>
  <c r="AB30" i="7"/>
  <c r="AQ39" i="7"/>
  <c r="AH39" i="7" s="1"/>
  <c r="AP51" i="7"/>
  <c r="AG51" i="7" s="1"/>
  <c r="Z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U14" i="11" s="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Z64" i="7" s="1"/>
  <c r="AP36" i="7"/>
  <c r="AG36" i="7" s="1"/>
  <c r="Z36" i="7" s="1"/>
  <c r="AP32" i="7"/>
  <c r="AG32" i="7" s="1"/>
  <c r="Z32" i="7" s="1"/>
  <c r="AP28" i="7"/>
  <c r="AG28" i="7" s="1"/>
  <c r="Z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Y18" i="7" s="1"/>
  <c r="AR19" i="7"/>
  <c r="AI19" i="7" s="1"/>
  <c r="AQ19" i="7"/>
  <c r="AH19" i="7" s="1"/>
  <c r="Z19" i="7" s="1"/>
  <c r="AR21" i="7"/>
  <c r="AI21" i="7" s="1"/>
  <c r="AQ90" i="7"/>
  <c r="AH90" i="7" s="1"/>
  <c r="X1173" i="7"/>
  <c r="X1150" i="7"/>
  <c r="X1196" i="7"/>
  <c r="X1127" i="7"/>
  <c r="X1104" i="7"/>
  <c r="X1081" i="7"/>
  <c r="X1058" i="7"/>
  <c r="X1035" i="7"/>
  <c r="X1012" i="7"/>
  <c r="X966" i="7"/>
  <c r="X989" i="7"/>
  <c r="X943" i="7"/>
  <c r="X897" i="7"/>
  <c r="X920" i="7"/>
  <c r="X874" i="7"/>
  <c r="X828" i="7"/>
  <c r="X805" i="7"/>
  <c r="X851" i="7"/>
  <c r="X754" i="7"/>
  <c r="X782" i="7"/>
  <c r="X726" i="7"/>
  <c r="X698" i="7"/>
  <c r="X670" i="7"/>
  <c r="X642" i="7"/>
  <c r="X614" i="7"/>
  <c r="X606" i="7"/>
  <c r="X572" i="7"/>
  <c r="X554" i="7"/>
  <c r="X593" i="7"/>
  <c r="X531" i="7"/>
  <c r="X585" i="7"/>
  <c r="X523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T19" i="7"/>
  <c r="AK19" i="7" s="1"/>
  <c r="AS19" i="7"/>
  <c r="AJ19" i="7" s="1"/>
  <c r="AA19" i="7" s="1"/>
  <c r="AC19" i="7"/>
  <c r="AB19" i="7"/>
  <c r="AS21" i="7"/>
  <c r="AJ21" i="7" s="1"/>
  <c r="AA21" i="7" s="1"/>
  <c r="AC21" i="7"/>
  <c r="AB21" i="7"/>
  <c r="AT33" i="7"/>
  <c r="AK33" i="7" s="1"/>
  <c r="AS33" i="7"/>
  <c r="AJ33" i="7" s="1"/>
  <c r="AA33" i="7" s="1"/>
  <c r="AC33" i="7"/>
  <c r="AB33" i="7"/>
  <c r="AO10" i="7"/>
  <c r="AN10" i="7"/>
  <c r="AM10" i="7"/>
  <c r="AF10" i="7" s="1"/>
  <c r="Y10" i="7" s="1"/>
  <c r="AQ11" i="7"/>
  <c r="AH11" i="7" s="1"/>
  <c r="Z11" i="7" s="1"/>
  <c r="AR11" i="7"/>
  <c r="AI11" i="7" s="1"/>
  <c r="AM13" i="7"/>
  <c r="AF13" i="7" s="1"/>
  <c r="AT15" i="7"/>
  <c r="AK15" i="7" s="1"/>
  <c r="AS15" i="7"/>
  <c r="AJ15" i="7" s="1"/>
  <c r="AC15" i="7"/>
  <c r="AB15" i="7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Z15" i="7" s="1"/>
  <c r="AT11" i="7"/>
  <c r="AK11" i="7" s="1"/>
  <c r="AS11" i="7"/>
  <c r="AJ11" i="7" s="1"/>
  <c r="AC11" i="7"/>
  <c r="AB11" i="7"/>
  <c r="AR13" i="7"/>
  <c r="AI13" i="7" s="1"/>
  <c r="AS17" i="7"/>
  <c r="AJ17" i="7" s="1"/>
  <c r="AA17" i="7" s="1"/>
  <c r="AC17" i="7"/>
  <c r="AB17" i="7"/>
  <c r="AR7" i="7"/>
  <c r="AI7" i="7" s="1"/>
  <c r="AQ7" i="7"/>
  <c r="AH7" i="7" s="1"/>
  <c r="Z7" i="7" s="1"/>
  <c r="AL9" i="7"/>
  <c r="AE9" i="7" s="1"/>
  <c r="X25" i="7"/>
  <c r="Y52" i="7"/>
  <c r="AP104" i="7"/>
  <c r="AG104" i="7" s="1"/>
  <c r="AO6" i="7"/>
  <c r="AN6" i="7"/>
  <c r="AM6" i="7"/>
  <c r="AF6" i="7" s="1"/>
  <c r="AS13" i="7"/>
  <c r="AJ13" i="7" s="1"/>
  <c r="AA13" i="7" s="1"/>
  <c r="AC13" i="7"/>
  <c r="AB13" i="7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S38" i="7"/>
  <c r="AJ38" i="7" s="1"/>
  <c r="AA38" i="7" s="1"/>
  <c r="AC38" i="7"/>
  <c r="AT38" i="7"/>
  <c r="AK38" i="7" s="1"/>
  <c r="AL5" i="7"/>
  <c r="AE5" i="7" s="1"/>
  <c r="Y5" i="7" s="1"/>
  <c r="AC6" i="11"/>
  <c r="AC7" i="11"/>
  <c r="AC8" i="11"/>
  <c r="AC5" i="11"/>
  <c r="AC5" i="9"/>
  <c r="X1175" i="7"/>
  <c r="X1157" i="7"/>
  <c r="X1139" i="7"/>
  <c r="X1162" i="7"/>
  <c r="X1185" i="7"/>
  <c r="X1152" i="7"/>
  <c r="X1106" i="7"/>
  <c r="X1129" i="7"/>
  <c r="X1111" i="7"/>
  <c r="X1083" i="7"/>
  <c r="X1116" i="7"/>
  <c r="X1180" i="7"/>
  <c r="X1134" i="7"/>
  <c r="X1093" i="7"/>
  <c r="X1070" i="7"/>
  <c r="X1065" i="7"/>
  <c r="X1088" i="7"/>
  <c r="X1047" i="7"/>
  <c r="X1042" i="7"/>
  <c r="X1060" i="7"/>
  <c r="X1001" i="7"/>
  <c r="X1024" i="7"/>
  <c r="X996" i="7"/>
  <c r="X1014" i="7"/>
  <c r="X973" i="7"/>
  <c r="X1019" i="7"/>
  <c r="X1037" i="7"/>
  <c r="X950" i="7"/>
  <c r="X978" i="7"/>
  <c r="X991" i="7"/>
  <c r="X968" i="7"/>
  <c r="X945" i="7"/>
  <c r="X955" i="7"/>
  <c r="X932" i="7"/>
  <c r="X909" i="7"/>
  <c r="X927" i="7"/>
  <c r="X904" i="7"/>
  <c r="X899" i="7"/>
  <c r="X876" i="7"/>
  <c r="X863" i="7"/>
  <c r="X881" i="7"/>
  <c r="X858" i="7"/>
  <c r="X840" i="7"/>
  <c r="X886" i="7"/>
  <c r="X922" i="7"/>
  <c r="X835" i="7"/>
  <c r="X830" i="7"/>
  <c r="X807" i="7"/>
  <c r="X794" i="7"/>
  <c r="X812" i="7"/>
  <c r="X817" i="7"/>
  <c r="X853" i="7"/>
  <c r="X789" i="7"/>
  <c r="X784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77" i="7"/>
  <c r="X598" i="7"/>
  <c r="X564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1" i="7"/>
  <c r="X1168" i="7"/>
  <c r="X1122" i="7"/>
  <c r="X1099" i="7"/>
  <c r="X1145" i="7"/>
  <c r="X1076" i="7"/>
  <c r="X1053" i="7"/>
  <c r="X1007" i="7"/>
  <c r="X1030" i="7"/>
  <c r="X938" i="7"/>
  <c r="X961" i="7"/>
  <c r="X984" i="7"/>
  <c r="X915" i="7"/>
  <c r="X892" i="7"/>
  <c r="X869" i="7"/>
  <c r="X846" i="7"/>
  <c r="X823" i="7"/>
  <c r="X800" i="7"/>
  <c r="X777" i="7"/>
  <c r="X749" i="7"/>
  <c r="X721" i="7"/>
  <c r="X693" i="7"/>
  <c r="X665" i="7"/>
  <c r="X637" i="7"/>
  <c r="X580" i="7"/>
  <c r="X601" i="7"/>
  <c r="X609" i="7"/>
  <c r="X567" i="7"/>
  <c r="X588" i="7"/>
  <c r="X549" i="7"/>
  <c r="X526" i="7"/>
  <c r="X518" i="7"/>
  <c r="X498" i="7"/>
  <c r="X488" i="7"/>
  <c r="X475" i="7"/>
  <c r="X447" i="7"/>
  <c r="X508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3" i="7"/>
  <c r="X740" i="7"/>
  <c r="X773" i="7"/>
  <c r="X745" i="7"/>
  <c r="X768" i="7"/>
  <c r="X758" i="7"/>
  <c r="X735" i="7"/>
  <c r="X712" i="7"/>
  <c r="X684" i="7"/>
  <c r="X661" i="7"/>
  <c r="X717" i="7"/>
  <c r="X730" i="7"/>
  <c r="X646" i="7"/>
  <c r="X628" i="7"/>
  <c r="X707" i="7"/>
  <c r="X689" i="7"/>
  <c r="X656" i="7"/>
  <c r="X674" i="7"/>
  <c r="X618" i="7"/>
  <c r="X702" i="7"/>
  <c r="X679" i="7"/>
  <c r="X623" i="7"/>
  <c r="X651" i="7"/>
  <c r="X633" i="7"/>
  <c r="AT7" i="7"/>
  <c r="AK7" i="7" s="1"/>
  <c r="AS7" i="7"/>
  <c r="AJ7" i="7" s="1"/>
  <c r="AA7" i="7" s="1"/>
  <c r="AC7" i="7"/>
  <c r="AB7" i="7"/>
  <c r="AR9" i="7"/>
  <c r="AI9" i="7" s="1"/>
  <c r="X41" i="7"/>
  <c r="X18" i="7"/>
  <c r="AN21" i="7"/>
  <c r="AB38" i="7"/>
  <c r="AR43" i="7"/>
  <c r="AI43" i="7" s="1"/>
  <c r="AP119" i="7"/>
  <c r="AG119" i="7" s="1"/>
  <c r="AM26" i="7"/>
  <c r="AF26" i="7" s="1"/>
  <c r="Y26" i="7" s="1"/>
  <c r="AM30" i="7"/>
  <c r="AF30" i="7" s="1"/>
  <c r="AQ31" i="7"/>
  <c r="AH31" i="7" s="1"/>
  <c r="AM34" i="7"/>
  <c r="AF34" i="7" s="1"/>
  <c r="Y34" i="7" s="1"/>
  <c r="AQ35" i="7"/>
  <c r="AH35" i="7" s="1"/>
  <c r="AM38" i="7"/>
  <c r="AF38" i="7" s="1"/>
  <c r="Y38" i="7" s="1"/>
  <c r="AR39" i="7"/>
  <c r="AI39" i="7" s="1"/>
  <c r="AM41" i="7"/>
  <c r="AF41" i="7" s="1"/>
  <c r="AR42" i="7"/>
  <c r="AI42" i="7" s="1"/>
  <c r="AM44" i="7"/>
  <c r="AF44" i="7" s="1"/>
  <c r="Y44" i="7" s="1"/>
  <c r="AM47" i="7"/>
  <c r="AF47" i="7" s="1"/>
  <c r="Y47" i="7" s="1"/>
  <c r="AN50" i="7"/>
  <c r="Y50" i="7" s="1"/>
  <c r="X53" i="7"/>
  <c r="AO56" i="7"/>
  <c r="AO61" i="7"/>
  <c r="Y61" i="7" s="1"/>
  <c r="AL63" i="7"/>
  <c r="AE63" i="7" s="1"/>
  <c r="AQ66" i="7"/>
  <c r="AH66" i="7" s="1"/>
  <c r="Z66" i="7" s="1"/>
  <c r="AN68" i="7"/>
  <c r="Y68" i="7" s="1"/>
  <c r="AM74" i="7"/>
  <c r="AF74" i="7" s="1"/>
  <c r="AN76" i="7"/>
  <c r="Y76" i="7" s="1"/>
  <c r="AP79" i="7"/>
  <c r="AG79" i="7" s="1"/>
  <c r="AP82" i="7"/>
  <c r="AG82" i="7" s="1"/>
  <c r="Z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Y22" i="7" s="1"/>
  <c r="X759" i="7"/>
  <c r="X731" i="7"/>
  <c r="X746" i="7"/>
  <c r="X774" i="7"/>
  <c r="X764" i="7"/>
  <c r="X769" i="7"/>
  <c r="X736" i="7"/>
  <c r="X718" i="7"/>
  <c r="X708" i="7"/>
  <c r="X680" i="7"/>
  <c r="X741" i="7"/>
  <c r="X713" i="7"/>
  <c r="X634" i="7"/>
  <c r="X685" i="7"/>
  <c r="X657" i="7"/>
  <c r="X675" i="7"/>
  <c r="X690" i="7"/>
  <c r="X662" i="7"/>
  <c r="X647" i="7"/>
  <c r="X703" i="7"/>
  <c r="X652" i="7"/>
  <c r="X629" i="7"/>
  <c r="X619" i="7"/>
  <c r="X624" i="7"/>
  <c r="X575" i="7"/>
  <c r="X562" i="7"/>
  <c r="X596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2" i="7"/>
  <c r="X516" i="7"/>
  <c r="X547" i="7"/>
  <c r="X537" i="7"/>
  <c r="X560" i="7"/>
  <c r="X496" i="7"/>
  <c r="X506" i="7"/>
  <c r="X486" i="7"/>
  <c r="X223" i="7"/>
  <c r="X218" i="7"/>
  <c r="X195" i="7"/>
  <c r="X200" i="7"/>
  <c r="X1197" i="7"/>
  <c r="X1174" i="7"/>
  <c r="X1151" i="7"/>
  <c r="X1082" i="7"/>
  <c r="X1128" i="7"/>
  <c r="X1105" i="7"/>
  <c r="X1036" i="7"/>
  <c r="X1059" i="7"/>
  <c r="X990" i="7"/>
  <c r="X1013" i="7"/>
  <c r="X967" i="7"/>
  <c r="X944" i="7"/>
  <c r="X921" i="7"/>
  <c r="X898" i="7"/>
  <c r="X852" i="7"/>
  <c r="X875" i="7"/>
  <c r="X829" i="7"/>
  <c r="X783" i="7"/>
  <c r="X755" i="7"/>
  <c r="X806" i="7"/>
  <c r="X727" i="7"/>
  <c r="X699" i="7"/>
  <c r="X671" i="7"/>
  <c r="X643" i="7"/>
  <c r="X607" i="7"/>
  <c r="X594" i="7"/>
  <c r="X586" i="7"/>
  <c r="X615" i="7"/>
  <c r="X555" i="7"/>
  <c r="X573" i="7"/>
  <c r="X532" i="7"/>
  <c r="X524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Y41" i="7" s="1"/>
  <c r="AN44" i="7"/>
  <c r="AN47" i="7"/>
  <c r="X50" i="7"/>
  <c r="AO50" i="7"/>
  <c r="AP53" i="7"/>
  <c r="AG53" i="7" s="1"/>
  <c r="AP56" i="7"/>
  <c r="AG56" i="7" s="1"/>
  <c r="AP61" i="7"/>
  <c r="AG61" i="7" s="1"/>
  <c r="Z61" i="7" s="1"/>
  <c r="AM63" i="7"/>
  <c r="AF63" i="7" s="1"/>
  <c r="AR66" i="7"/>
  <c r="AI66" i="7" s="1"/>
  <c r="AQ68" i="7"/>
  <c r="AH68" i="7" s="1"/>
  <c r="AM70" i="7"/>
  <c r="AF70" i="7" s="1"/>
  <c r="Y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Z167" i="7" s="1"/>
  <c r="AP164" i="7"/>
  <c r="AG164" i="7" s="1"/>
  <c r="Z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Z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75" i="7"/>
  <c r="X737" i="7"/>
  <c r="X719" i="7"/>
  <c r="X732" i="7"/>
  <c r="X760" i="7"/>
  <c r="X770" i="7"/>
  <c r="X765" i="7"/>
  <c r="X747" i="7"/>
  <c r="X714" i="7"/>
  <c r="X742" i="7"/>
  <c r="X704" i="7"/>
  <c r="X676" i="7"/>
  <c r="X709" i="7"/>
  <c r="X686" i="7"/>
  <c r="X648" i="7"/>
  <c r="X663" i="7"/>
  <c r="X691" i="7"/>
  <c r="X630" i="7"/>
  <c r="X653" i="7"/>
  <c r="X658" i="7"/>
  <c r="X635" i="7"/>
  <c r="X681" i="7"/>
  <c r="X620" i="7"/>
  <c r="X625" i="7"/>
  <c r="X597" i="7"/>
  <c r="X563" i="7"/>
  <c r="X576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0" i="7"/>
  <c r="X1098" i="7"/>
  <c r="X1167" i="7"/>
  <c r="X1144" i="7"/>
  <c r="X1075" i="7"/>
  <c r="X1121" i="7"/>
  <c r="X1052" i="7"/>
  <c r="X1029" i="7"/>
  <c r="X1006" i="7"/>
  <c r="X983" i="7"/>
  <c r="X960" i="7"/>
  <c r="X937" i="7"/>
  <c r="X891" i="7"/>
  <c r="X914" i="7"/>
  <c r="X868" i="7"/>
  <c r="X799" i="7"/>
  <c r="X845" i="7"/>
  <c r="X822" i="7"/>
  <c r="X748" i="7"/>
  <c r="X776" i="7"/>
  <c r="X720" i="7"/>
  <c r="X692" i="7"/>
  <c r="X664" i="7"/>
  <c r="X636" i="7"/>
  <c r="X566" i="7"/>
  <c r="X608" i="7"/>
  <c r="X600" i="7"/>
  <c r="X579" i="7"/>
  <c r="X525" i="7"/>
  <c r="X548" i="7"/>
  <c r="X587" i="7"/>
  <c r="X474" i="7"/>
  <c r="X507" i="7"/>
  <c r="X446" i="7"/>
  <c r="X418" i="7"/>
  <c r="X517" i="7"/>
  <c r="X497" i="7"/>
  <c r="X487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Z6" i="7" s="1"/>
  <c r="AP10" i="7"/>
  <c r="AG10" i="7" s="1"/>
  <c r="Z10" i="7" s="1"/>
  <c r="AL13" i="7"/>
  <c r="AE13" i="7" s="1"/>
  <c r="Y13" i="7" s="1"/>
  <c r="AP14" i="7"/>
  <c r="AG14" i="7" s="1"/>
  <c r="Z14" i="7" s="1"/>
  <c r="AL17" i="7"/>
  <c r="AE17" i="7" s="1"/>
  <c r="Y17" i="7" s="1"/>
  <c r="AP18" i="7"/>
  <c r="AG18" i="7" s="1"/>
  <c r="Z18" i="7" s="1"/>
  <c r="AL21" i="7"/>
  <c r="AE21" i="7" s="1"/>
  <c r="Y21" i="7" s="1"/>
  <c r="AP22" i="7"/>
  <c r="AG22" i="7" s="1"/>
  <c r="Z22" i="7" s="1"/>
  <c r="AL25" i="7"/>
  <c r="AE25" i="7" s="1"/>
  <c r="Y25" i="7" s="1"/>
  <c r="AP26" i="7"/>
  <c r="AG26" i="7" s="1"/>
  <c r="Z26" i="7" s="1"/>
  <c r="AL29" i="7"/>
  <c r="AE29" i="7" s="1"/>
  <c r="Y29" i="7" s="1"/>
  <c r="AP30" i="7"/>
  <c r="AG30" i="7" s="1"/>
  <c r="Z30" i="7" s="1"/>
  <c r="AL33" i="7"/>
  <c r="AE33" i="7" s="1"/>
  <c r="Y33" i="7" s="1"/>
  <c r="AP34" i="7"/>
  <c r="AG34" i="7" s="1"/>
  <c r="Z34" i="7" s="1"/>
  <c r="AL37" i="7"/>
  <c r="AE37" i="7" s="1"/>
  <c r="Y37" i="7" s="1"/>
  <c r="AP38" i="7"/>
  <c r="AG38" i="7" s="1"/>
  <c r="Z38" i="7" s="1"/>
  <c r="AP41" i="7"/>
  <c r="AG41" i="7" s="1"/>
  <c r="Z41" i="7" s="1"/>
  <c r="AP44" i="7"/>
  <c r="AG44" i="7" s="1"/>
  <c r="Z44" i="7" s="1"/>
  <c r="AQ47" i="7"/>
  <c r="AH47" i="7" s="1"/>
  <c r="Z47" i="7" s="1"/>
  <c r="AL49" i="7"/>
  <c r="AE49" i="7" s="1"/>
  <c r="Y49" i="7" s="1"/>
  <c r="AQ50" i="7"/>
  <c r="AH50" i="7" s="1"/>
  <c r="Z50" i="7" s="1"/>
  <c r="AM58" i="7"/>
  <c r="AF58" i="7" s="1"/>
  <c r="Y58" i="7" s="1"/>
  <c r="AP63" i="7"/>
  <c r="AG63" i="7" s="1"/>
  <c r="Z63" i="7" s="1"/>
  <c r="AO70" i="7"/>
  <c r="AN72" i="7"/>
  <c r="AO74" i="7"/>
  <c r="AN77" i="7"/>
  <c r="AN80" i="7"/>
  <c r="AP83" i="7"/>
  <c r="AG83" i="7" s="1"/>
  <c r="Z83" i="7" s="1"/>
  <c r="AR84" i="7"/>
  <c r="AI84" i="7" s="1"/>
  <c r="AL85" i="7"/>
  <c r="AE85" i="7" s="1"/>
  <c r="AN96" i="7"/>
  <c r="Y96" i="7" s="1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Z77" i="7" s="1"/>
  <c r="AO80" i="7"/>
  <c r="X83" i="7"/>
  <c r="AO96" i="7"/>
  <c r="AM97" i="7"/>
  <c r="AF97" i="7" s="1"/>
  <c r="AL97" i="7"/>
  <c r="AE97" i="7" s="1"/>
  <c r="X101" i="7"/>
  <c r="AM105" i="7"/>
  <c r="AF105" i="7" s="1"/>
  <c r="Y105" i="7" s="1"/>
  <c r="AR136" i="7"/>
  <c r="AI136" i="7" s="1"/>
  <c r="AQ136" i="7"/>
  <c r="AH136" i="7" s="1"/>
  <c r="AP136" i="7"/>
  <c r="AG136" i="7" s="1"/>
  <c r="Z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Z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Z99" i="7"/>
  <c r="AR100" i="7"/>
  <c r="AI100" i="7" s="1"/>
  <c r="AQ100" i="7"/>
  <c r="AH100" i="7" s="1"/>
  <c r="AP100" i="7"/>
  <c r="AG100" i="7" s="1"/>
  <c r="Z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Z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Z37" i="7" s="1"/>
  <c r="AN40" i="7"/>
  <c r="Y40" i="7" s="1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Y67" i="7" s="1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Z108" i="7" s="1"/>
  <c r="AM129" i="7"/>
  <c r="AF129" i="7" s="1"/>
  <c r="AL129" i="7"/>
  <c r="AE129" i="7" s="1"/>
  <c r="AP134" i="7"/>
  <c r="AG134" i="7" s="1"/>
  <c r="Z134" i="7" s="1"/>
  <c r="X565" i="7"/>
  <c r="X599" i="7"/>
  <c r="X578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2" i="7"/>
  <c r="X1146" i="7"/>
  <c r="X1169" i="7"/>
  <c r="X1123" i="7"/>
  <c r="X1100" i="7"/>
  <c r="X1077" i="7"/>
  <c r="X1054" i="7"/>
  <c r="X1031" i="7"/>
  <c r="X1008" i="7"/>
  <c r="X962" i="7"/>
  <c r="X985" i="7"/>
  <c r="X939" i="7"/>
  <c r="X916" i="7"/>
  <c r="X870" i="7"/>
  <c r="X893" i="7"/>
  <c r="X824" i="7"/>
  <c r="X847" i="7"/>
  <c r="X801" i="7"/>
  <c r="X750" i="7"/>
  <c r="X778" i="7"/>
  <c r="X722" i="7"/>
  <c r="X694" i="7"/>
  <c r="X610" i="7"/>
  <c r="X666" i="7"/>
  <c r="X638" i="7"/>
  <c r="X589" i="7"/>
  <c r="X550" i="7"/>
  <c r="X581" i="7"/>
  <c r="X602" i="7"/>
  <c r="X519" i="7"/>
  <c r="X568" i="7"/>
  <c r="X527" i="7"/>
  <c r="X489" i="7"/>
  <c r="X499" i="7"/>
  <c r="X509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Z9" i="7" s="1"/>
  <c r="AL12" i="7"/>
  <c r="AE12" i="7" s="1"/>
  <c r="AL16" i="7"/>
  <c r="AE16" i="7" s="1"/>
  <c r="AM8" i="7"/>
  <c r="AF8" i="7" s="1"/>
  <c r="AQ9" i="7"/>
  <c r="AH9" i="7" s="1"/>
  <c r="AQ21" i="7"/>
  <c r="AH21" i="7" s="1"/>
  <c r="Z21" i="7" s="1"/>
  <c r="AM24" i="7"/>
  <c r="AF24" i="7" s="1"/>
  <c r="AQ25" i="7"/>
  <c r="AH25" i="7" s="1"/>
  <c r="Z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Y57" i="7" s="1"/>
  <c r="X60" i="7"/>
  <c r="AP60" i="7"/>
  <c r="AG60" i="7" s="1"/>
  <c r="AP67" i="7"/>
  <c r="AG67" i="7" s="1"/>
  <c r="AN69" i="7"/>
  <c r="Y69" i="7" s="1"/>
  <c r="AP75" i="7"/>
  <c r="AG75" i="7" s="1"/>
  <c r="AM78" i="7"/>
  <c r="AF78" i="7" s="1"/>
  <c r="X80" i="7"/>
  <c r="AM81" i="7"/>
  <c r="AF81" i="7" s="1"/>
  <c r="AP85" i="7"/>
  <c r="AG85" i="7" s="1"/>
  <c r="Z85" i="7" s="1"/>
  <c r="AQ87" i="7"/>
  <c r="AH87" i="7" s="1"/>
  <c r="AP88" i="7"/>
  <c r="AG88" i="7" s="1"/>
  <c r="Z88" i="7" s="1"/>
  <c r="AN89" i="7"/>
  <c r="AQ94" i="7"/>
  <c r="AH94" i="7" s="1"/>
  <c r="AR98" i="7"/>
  <c r="AI98" i="7" s="1"/>
  <c r="AP98" i="7"/>
  <c r="AG98" i="7" s="1"/>
  <c r="Z98" i="7" s="1"/>
  <c r="AP103" i="7"/>
  <c r="AG103" i="7" s="1"/>
  <c r="AP133" i="7"/>
  <c r="AG133" i="7" s="1"/>
  <c r="Y146" i="7"/>
  <c r="Z150" i="7"/>
  <c r="AM43" i="7"/>
  <c r="AF43" i="7" s="1"/>
  <c r="Y43" i="7" s="1"/>
  <c r="X1186" i="7"/>
  <c r="X1181" i="7"/>
  <c r="X1140" i="7"/>
  <c r="X1094" i="7"/>
  <c r="X1135" i="7"/>
  <c r="X1107" i="7"/>
  <c r="X1176" i="7"/>
  <c r="X1112" i="7"/>
  <c r="X1163" i="7"/>
  <c r="X1153" i="7"/>
  <c r="X1089" i="7"/>
  <c r="X1061" i="7"/>
  <c r="X1130" i="7"/>
  <c r="X1117" i="7"/>
  <c r="X1084" i="7"/>
  <c r="X1158" i="7"/>
  <c r="X1071" i="7"/>
  <c r="X1048" i="7"/>
  <c r="X1066" i="7"/>
  <c r="X1020" i="7"/>
  <c r="X969" i="7"/>
  <c r="X1002" i="7"/>
  <c r="X1038" i="7"/>
  <c r="X1025" i="7"/>
  <c r="X997" i="7"/>
  <c r="X1043" i="7"/>
  <c r="X1015" i="7"/>
  <c r="X974" i="7"/>
  <c r="X946" i="7"/>
  <c r="X992" i="7"/>
  <c r="X979" i="7"/>
  <c r="X956" i="7"/>
  <c r="X928" i="7"/>
  <c r="X905" i="7"/>
  <c r="X933" i="7"/>
  <c r="X923" i="7"/>
  <c r="X900" i="7"/>
  <c r="X951" i="7"/>
  <c r="X910" i="7"/>
  <c r="X877" i="7"/>
  <c r="X887" i="7"/>
  <c r="X864" i="7"/>
  <c r="X836" i="7"/>
  <c r="X854" i="7"/>
  <c r="X790" i="7"/>
  <c r="X813" i="7"/>
  <c r="X818" i="7"/>
  <c r="X841" i="7"/>
  <c r="X882" i="7"/>
  <c r="X859" i="7"/>
  <c r="X808" i="7"/>
  <c r="X831" i="7"/>
  <c r="X795" i="7"/>
  <c r="X785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87" i="7"/>
  <c r="X1177" i="7"/>
  <c r="X1164" i="7"/>
  <c r="X1136" i="7"/>
  <c r="X1118" i="7"/>
  <c r="X1090" i="7"/>
  <c r="X1131" i="7"/>
  <c r="X1095" i="7"/>
  <c r="X1182" i="7"/>
  <c r="X1159" i="7"/>
  <c r="X1154" i="7"/>
  <c r="X1113" i="7"/>
  <c r="X1085" i="7"/>
  <c r="X1072" i="7"/>
  <c r="X1108" i="7"/>
  <c r="X1067" i="7"/>
  <c r="X1141" i="7"/>
  <c r="X1062" i="7"/>
  <c r="X1049" i="7"/>
  <c r="X1044" i="7"/>
  <c r="X1039" i="7"/>
  <c r="X998" i="7"/>
  <c r="X975" i="7"/>
  <c r="X1026" i="7"/>
  <c r="X1016" i="7"/>
  <c r="X993" i="7"/>
  <c r="X1021" i="7"/>
  <c r="X980" i="7"/>
  <c r="X1003" i="7"/>
  <c r="X970" i="7"/>
  <c r="X957" i="7"/>
  <c r="X924" i="7"/>
  <c r="X934" i="7"/>
  <c r="X906" i="7"/>
  <c r="X929" i="7"/>
  <c r="X947" i="7"/>
  <c r="X952" i="7"/>
  <c r="X888" i="7"/>
  <c r="X901" i="7"/>
  <c r="X911" i="7"/>
  <c r="X855" i="7"/>
  <c r="X832" i="7"/>
  <c r="X883" i="7"/>
  <c r="X865" i="7"/>
  <c r="X878" i="7"/>
  <c r="X842" i="7"/>
  <c r="X809" i="7"/>
  <c r="X796" i="7"/>
  <c r="X791" i="7"/>
  <c r="X860" i="7"/>
  <c r="X786" i="7"/>
  <c r="X814" i="7"/>
  <c r="X837" i="7"/>
  <c r="X819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3" i="7"/>
  <c r="X1170" i="7"/>
  <c r="X1147" i="7"/>
  <c r="X1124" i="7"/>
  <c r="X1078" i="7"/>
  <c r="X1101" i="7"/>
  <c r="X1032" i="7"/>
  <c r="X1009" i="7"/>
  <c r="X1055" i="7"/>
  <c r="X986" i="7"/>
  <c r="X963" i="7"/>
  <c r="X940" i="7"/>
  <c r="X917" i="7"/>
  <c r="X848" i="7"/>
  <c r="X894" i="7"/>
  <c r="X871" i="7"/>
  <c r="X802" i="7"/>
  <c r="X825" i="7"/>
  <c r="X779" i="7"/>
  <c r="X751" i="7"/>
  <c r="X723" i="7"/>
  <c r="X695" i="7"/>
  <c r="X667" i="7"/>
  <c r="X603" i="7"/>
  <c r="X569" i="7"/>
  <c r="X590" i="7"/>
  <c r="X639" i="7"/>
  <c r="X582" i="7"/>
  <c r="X551" i="7"/>
  <c r="X528" i="7"/>
  <c r="X611" i="7"/>
  <c r="X520" i="7"/>
  <c r="X490" i="7"/>
  <c r="X500" i="7"/>
  <c r="X477" i="7"/>
  <c r="X510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Z40" i="7" s="1"/>
  <c r="AQ43" i="7"/>
  <c r="AH43" i="7" s="1"/>
  <c r="AL45" i="7"/>
  <c r="AE45" i="7" s="1"/>
  <c r="Y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Y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3" i="7"/>
  <c r="X538" i="7"/>
  <c r="X512" i="7"/>
  <c r="X533" i="7"/>
  <c r="X492" i="7"/>
  <c r="X556" i="7"/>
  <c r="X502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Y42" i="7" s="1"/>
  <c r="AO51" i="7"/>
  <c r="AM51" i="7"/>
  <c r="AF51" i="7" s="1"/>
  <c r="Y51" i="7" s="1"/>
  <c r="AN54" i="7"/>
  <c r="X57" i="7"/>
  <c r="AP62" i="7"/>
  <c r="AG62" i="7" s="1"/>
  <c r="Z62" i="7" s="1"/>
  <c r="AM64" i="7"/>
  <c r="AF64" i="7" s="1"/>
  <c r="X69" i="7"/>
  <c r="AP69" i="7"/>
  <c r="AG69" i="7" s="1"/>
  <c r="Z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Z107" i="7"/>
  <c r="AN112" i="7"/>
  <c r="Y112" i="7" s="1"/>
  <c r="AR116" i="7"/>
  <c r="AI116" i="7" s="1"/>
  <c r="AQ116" i="7"/>
  <c r="AH116" i="7" s="1"/>
  <c r="AP116" i="7"/>
  <c r="AG116" i="7" s="1"/>
  <c r="Z116" i="7" s="1"/>
  <c r="Z123" i="7"/>
  <c r="AP139" i="7"/>
  <c r="AG139" i="7" s="1"/>
  <c r="Z139" i="7" s="1"/>
  <c r="AP158" i="7"/>
  <c r="AG158" i="7" s="1"/>
  <c r="AL39" i="7"/>
  <c r="AE39" i="7" s="1"/>
  <c r="Y39" i="7" s="1"/>
  <c r="AN45" i="7"/>
  <c r="X62" i="7"/>
  <c r="AL66" i="7"/>
  <c r="AE66" i="7" s="1"/>
  <c r="AP73" i="7"/>
  <c r="AG73" i="7" s="1"/>
  <c r="Z73" i="7" s="1"/>
  <c r="AL78" i="7"/>
  <c r="AE78" i="7" s="1"/>
  <c r="AQ78" i="7"/>
  <c r="AH78" i="7" s="1"/>
  <c r="AN82" i="7"/>
  <c r="AR97" i="7"/>
  <c r="AI97" i="7" s="1"/>
  <c r="AQ97" i="7"/>
  <c r="AH97" i="7" s="1"/>
  <c r="Z97" i="7" s="1"/>
  <c r="AN101" i="7"/>
  <c r="AO106" i="7"/>
  <c r="AM106" i="7"/>
  <c r="AF106" i="7" s="1"/>
  <c r="AL106" i="7"/>
  <c r="AE106" i="7" s="1"/>
  <c r="Y106" i="7" s="1"/>
  <c r="AO112" i="7"/>
  <c r="AM113" i="7"/>
  <c r="AF113" i="7" s="1"/>
  <c r="AL113" i="7"/>
  <c r="AE113" i="7" s="1"/>
  <c r="AP118" i="7"/>
  <c r="AG118" i="7" s="1"/>
  <c r="Z118" i="7" s="1"/>
  <c r="AR126" i="7"/>
  <c r="AI126" i="7" s="1"/>
  <c r="AQ126" i="7"/>
  <c r="AH126" i="7" s="1"/>
  <c r="AP126" i="7"/>
  <c r="AG126" i="7" s="1"/>
  <c r="Z126" i="7" s="1"/>
  <c r="AQ133" i="7"/>
  <c r="AH133" i="7" s="1"/>
  <c r="AQ161" i="7"/>
  <c r="AH161" i="7" s="1"/>
  <c r="X45" i="7"/>
  <c r="Y5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Y87" i="7" s="1"/>
  <c r="AR96" i="7"/>
  <c r="AI96" i="7" s="1"/>
  <c r="AP96" i="7"/>
  <c r="AG96" i="7" s="1"/>
  <c r="Z96" i="7" s="1"/>
  <c r="AP106" i="7"/>
  <c r="AG106" i="7" s="1"/>
  <c r="AQ112" i="7"/>
  <c r="AH112" i="7" s="1"/>
  <c r="AN135" i="7"/>
  <c r="AQ54" i="7"/>
  <c r="AH54" i="7" s="1"/>
  <c r="AL56" i="7"/>
  <c r="AE56" i="7" s="1"/>
  <c r="Y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Y91" i="7" s="1"/>
  <c r="AP92" i="7"/>
  <c r="AG92" i="7" s="1"/>
  <c r="Z92" i="7" s="1"/>
  <c r="AO93" i="7"/>
  <c r="AM93" i="7"/>
  <c r="AF93" i="7" s="1"/>
  <c r="Y93" i="7" s="1"/>
  <c r="AP102" i="7"/>
  <c r="AG102" i="7" s="1"/>
  <c r="Z102" i="7" s="1"/>
  <c r="AL111" i="7"/>
  <c r="AE111" i="7" s="1"/>
  <c r="AP115" i="7"/>
  <c r="AG115" i="7" s="1"/>
  <c r="Z115" i="7" s="1"/>
  <c r="AO119" i="7"/>
  <c r="AM119" i="7"/>
  <c r="AF119" i="7" s="1"/>
  <c r="AL119" i="7"/>
  <c r="AE119" i="7" s="1"/>
  <c r="Y119" i="7" s="1"/>
  <c r="AO122" i="7"/>
  <c r="Z163" i="7"/>
  <c r="AM56" i="7"/>
  <c r="AF56" i="7" s="1"/>
  <c r="AN59" i="7"/>
  <c r="X81" i="7"/>
  <c r="X87" i="7"/>
  <c r="AO90" i="7"/>
  <c r="AM90" i="7"/>
  <c r="AF90" i="7" s="1"/>
  <c r="AP91" i="7"/>
  <c r="AG91" i="7" s="1"/>
  <c r="Z91" i="7" s="1"/>
  <c r="AQ93" i="7"/>
  <c r="AH93" i="7" s="1"/>
  <c r="AP110" i="7"/>
  <c r="AG110" i="7" s="1"/>
  <c r="Z110" i="7" s="1"/>
  <c r="AR119" i="7"/>
  <c r="AI119" i="7" s="1"/>
  <c r="AQ119" i="7"/>
  <c r="AH119" i="7" s="1"/>
  <c r="Z122" i="7"/>
  <c r="AP149" i="7"/>
  <c r="AG149" i="7" s="1"/>
  <c r="Z149" i="7" s="1"/>
  <c r="AP59" i="7"/>
  <c r="AG59" i="7" s="1"/>
  <c r="Z59" i="7" s="1"/>
  <c r="AQ59" i="7"/>
  <c r="AH59" i="7" s="1"/>
  <c r="X66" i="7"/>
  <c r="AQ76" i="7"/>
  <c r="AH76" i="7" s="1"/>
  <c r="Y84" i="7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Z120" i="7" s="1"/>
  <c r="AQ141" i="7"/>
  <c r="AH141" i="7" s="1"/>
  <c r="AP147" i="7"/>
  <c r="AG147" i="7" s="1"/>
  <c r="Z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Z157" i="7" s="1"/>
  <c r="AQ159" i="7"/>
  <c r="AH159" i="7" s="1"/>
  <c r="AM162" i="7"/>
  <c r="AF162" i="7" s="1"/>
  <c r="AO167" i="7"/>
  <c r="AL168" i="7"/>
  <c r="AE168" i="7" s="1"/>
  <c r="Y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Z191" i="7" s="1"/>
  <c r="AR199" i="7"/>
  <c r="AI199" i="7" s="1"/>
  <c r="AQ199" i="7"/>
  <c r="AH199" i="7" s="1"/>
  <c r="Z205" i="7"/>
  <c r="AN78" i="7"/>
  <c r="AN94" i="7"/>
  <c r="Y94" i="7" s="1"/>
  <c r="AR106" i="7"/>
  <c r="AI106" i="7" s="1"/>
  <c r="AN110" i="7"/>
  <c r="Y110" i="7" s="1"/>
  <c r="AR122" i="7"/>
  <c r="AI122" i="7" s="1"/>
  <c r="AN126" i="7"/>
  <c r="Y126" i="7" s="1"/>
  <c r="AL128" i="7"/>
  <c r="AE128" i="7" s="1"/>
  <c r="AR138" i="7"/>
  <c r="AI138" i="7" s="1"/>
  <c r="AN142" i="7"/>
  <c r="Y142" i="7" s="1"/>
  <c r="AL144" i="7"/>
  <c r="AE144" i="7" s="1"/>
  <c r="Y144" i="7" s="1"/>
  <c r="AM151" i="7"/>
  <c r="AF151" i="7" s="1"/>
  <c r="AN153" i="7"/>
  <c r="AO155" i="7"/>
  <c r="AO162" i="7"/>
  <c r="AP171" i="7"/>
  <c r="AG171" i="7" s="1"/>
  <c r="AN174" i="7"/>
  <c r="Y174" i="7" s="1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Z155" i="7" s="1"/>
  <c r="AL160" i="7"/>
  <c r="AE160" i="7" s="1"/>
  <c r="AP162" i="7"/>
  <c r="AG162" i="7" s="1"/>
  <c r="Z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Z151" i="7" s="1"/>
  <c r="AQ153" i="7"/>
  <c r="AH153" i="7" s="1"/>
  <c r="Z153" i="7" s="1"/>
  <c r="AM160" i="7"/>
  <c r="AF160" i="7" s="1"/>
  <c r="AP165" i="7"/>
  <c r="AG165" i="7" s="1"/>
  <c r="AL172" i="7"/>
  <c r="AE172" i="7" s="1"/>
  <c r="Y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Z214" i="7"/>
  <c r="AN121" i="7"/>
  <c r="Y121" i="7" s="1"/>
  <c r="AL123" i="7"/>
  <c r="AE123" i="7" s="1"/>
  <c r="Y123" i="7" s="1"/>
  <c r="AQ135" i="7"/>
  <c r="AH135" i="7" s="1"/>
  <c r="AN137" i="7"/>
  <c r="Y137" i="7" s="1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Z168" i="7" s="1"/>
  <c r="AP188" i="7"/>
  <c r="AG188" i="7" s="1"/>
  <c r="Z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Y221" i="7" s="1"/>
  <c r="AO223" i="7"/>
  <c r="AM223" i="7"/>
  <c r="AF223" i="7" s="1"/>
  <c r="AL223" i="7"/>
  <c r="AE223" i="7" s="1"/>
  <c r="AP89" i="7"/>
  <c r="AG89" i="7" s="1"/>
  <c r="Z89" i="7" s="1"/>
  <c r="AL100" i="7"/>
  <c r="AE100" i="7" s="1"/>
  <c r="Y100" i="7" s="1"/>
  <c r="AP105" i="7"/>
  <c r="AG105" i="7" s="1"/>
  <c r="Z105" i="7" s="1"/>
  <c r="AL116" i="7"/>
  <c r="AE116" i="7" s="1"/>
  <c r="Y116" i="7" s="1"/>
  <c r="AP121" i="7"/>
  <c r="AG121" i="7" s="1"/>
  <c r="Z121" i="7" s="1"/>
  <c r="AM123" i="7"/>
  <c r="AF123" i="7" s="1"/>
  <c r="AP128" i="7"/>
  <c r="AG128" i="7" s="1"/>
  <c r="Z128" i="7" s="1"/>
  <c r="AL132" i="7"/>
  <c r="AE132" i="7" s="1"/>
  <c r="Y132" i="7" s="1"/>
  <c r="AP137" i="7"/>
  <c r="AG137" i="7" s="1"/>
  <c r="Z137" i="7" s="1"/>
  <c r="AM139" i="7"/>
  <c r="AF139" i="7" s="1"/>
  <c r="AP144" i="7"/>
  <c r="AG144" i="7" s="1"/>
  <c r="Z144" i="7" s="1"/>
  <c r="AL148" i="7"/>
  <c r="AE148" i="7" s="1"/>
  <c r="Y148" i="7" s="1"/>
  <c r="AL156" i="7"/>
  <c r="AE156" i="7" s="1"/>
  <c r="AL158" i="7"/>
  <c r="AE158" i="7" s="1"/>
  <c r="AM163" i="7"/>
  <c r="AF163" i="7" s="1"/>
  <c r="Y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Z211" i="7" s="1"/>
  <c r="AQ221" i="7"/>
  <c r="AH221" i="7" s="1"/>
  <c r="AP223" i="7"/>
  <c r="AG223" i="7" s="1"/>
  <c r="Z223" i="7" s="1"/>
  <c r="Z240" i="7"/>
  <c r="Z246" i="7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Y118" i="7" s="1"/>
  <c r="AM125" i="7"/>
  <c r="AF125" i="7" s="1"/>
  <c r="AP130" i="7"/>
  <c r="AG130" i="7" s="1"/>
  <c r="Z130" i="7" s="1"/>
  <c r="AL134" i="7"/>
  <c r="AE134" i="7" s="1"/>
  <c r="AM141" i="7"/>
  <c r="AF141" i="7" s="1"/>
  <c r="AP146" i="7"/>
  <c r="AG146" i="7" s="1"/>
  <c r="AL150" i="7"/>
  <c r="AE150" i="7" s="1"/>
  <c r="Y150" i="7" s="1"/>
  <c r="AL152" i="7"/>
  <c r="AE152" i="7" s="1"/>
  <c r="Y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Z192" i="7" s="1"/>
  <c r="AN193" i="7"/>
  <c r="AN194" i="7"/>
  <c r="AM194" i="7"/>
  <c r="AF194" i="7" s="1"/>
  <c r="Y194" i="7" s="1"/>
  <c r="AR207" i="7"/>
  <c r="AI207" i="7" s="1"/>
  <c r="Y208" i="7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Z176" i="7" s="1"/>
  <c r="AL184" i="7"/>
  <c r="AE184" i="7" s="1"/>
  <c r="AQ193" i="7"/>
  <c r="AH193" i="7" s="1"/>
  <c r="AR194" i="7"/>
  <c r="AI194" i="7" s="1"/>
  <c r="Y211" i="7"/>
  <c r="AN221" i="7"/>
  <c r="AN223" i="7"/>
  <c r="AN86" i="7"/>
  <c r="AP93" i="7"/>
  <c r="AG93" i="7" s="1"/>
  <c r="Z93" i="7" s="1"/>
  <c r="AN102" i="7"/>
  <c r="AL104" i="7"/>
  <c r="AE104" i="7" s="1"/>
  <c r="AP109" i="7"/>
  <c r="AG109" i="7" s="1"/>
  <c r="Z109" i="7" s="1"/>
  <c r="AN118" i="7"/>
  <c r="AL120" i="7"/>
  <c r="AE120" i="7" s="1"/>
  <c r="AP125" i="7"/>
  <c r="AG125" i="7" s="1"/>
  <c r="Z125" i="7" s="1"/>
  <c r="AP132" i="7"/>
  <c r="AG132" i="7" s="1"/>
  <c r="AN134" i="7"/>
  <c r="AL136" i="7"/>
  <c r="AE136" i="7" s="1"/>
  <c r="AP141" i="7"/>
  <c r="AG141" i="7" s="1"/>
  <c r="Z141" i="7" s="1"/>
  <c r="AP148" i="7"/>
  <c r="AG148" i="7" s="1"/>
  <c r="AN150" i="7"/>
  <c r="AN152" i="7"/>
  <c r="AP156" i="7"/>
  <c r="AG156" i="7" s="1"/>
  <c r="Z156" i="7" s="1"/>
  <c r="AQ158" i="7"/>
  <c r="AH158" i="7" s="1"/>
  <c r="AL161" i="7"/>
  <c r="AE161" i="7" s="1"/>
  <c r="AQ169" i="7"/>
  <c r="AH169" i="7" s="1"/>
  <c r="AP172" i="7"/>
  <c r="AG172" i="7" s="1"/>
  <c r="Z172" i="7" s="1"/>
  <c r="AQ177" i="7"/>
  <c r="AH177" i="7" s="1"/>
  <c r="AL178" i="7"/>
  <c r="AE178" i="7" s="1"/>
  <c r="AQ181" i="7"/>
  <c r="AH181" i="7" s="1"/>
  <c r="Z181" i="7" s="1"/>
  <c r="AQ183" i="7"/>
  <c r="AH183" i="7" s="1"/>
  <c r="Z183" i="7" s="1"/>
  <c r="AN184" i="7"/>
  <c r="AL198" i="7"/>
  <c r="AE198" i="7" s="1"/>
  <c r="Y198" i="7" s="1"/>
  <c r="AP199" i="7"/>
  <c r="AG199" i="7" s="1"/>
  <c r="Z199" i="7" s="1"/>
  <c r="AO206" i="7"/>
  <c r="AL206" i="7"/>
  <c r="AE206" i="7" s="1"/>
  <c r="AN206" i="7"/>
  <c r="AR210" i="7"/>
  <c r="AI210" i="7" s="1"/>
  <c r="AO95" i="7"/>
  <c r="AN95" i="7"/>
  <c r="Y95" i="7" s="1"/>
  <c r="AM104" i="7"/>
  <c r="AF104" i="7" s="1"/>
  <c r="AO111" i="7"/>
  <c r="AN111" i="7"/>
  <c r="AM120" i="7"/>
  <c r="AF120" i="7" s="1"/>
  <c r="AO127" i="7"/>
  <c r="AN127" i="7"/>
  <c r="Y127" i="7" s="1"/>
  <c r="AQ132" i="7"/>
  <c r="AH132" i="7" s="1"/>
  <c r="AM136" i="7"/>
  <c r="AF136" i="7" s="1"/>
  <c r="AO143" i="7"/>
  <c r="AN143" i="7"/>
  <c r="Y143" i="7" s="1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Y169" i="7" s="1"/>
  <c r="AL170" i="7"/>
  <c r="AE170" i="7" s="1"/>
  <c r="AP173" i="7"/>
  <c r="AG173" i="7" s="1"/>
  <c r="Z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Y207" i="7"/>
  <c r="AN216" i="7"/>
  <c r="AP95" i="7"/>
  <c r="AG95" i="7" s="1"/>
  <c r="Z95" i="7" s="1"/>
  <c r="AN104" i="7"/>
  <c r="AP111" i="7"/>
  <c r="AG111" i="7" s="1"/>
  <c r="Z111" i="7" s="1"/>
  <c r="AN120" i="7"/>
  <c r="AL122" i="7"/>
  <c r="AE122" i="7" s="1"/>
  <c r="Y122" i="7" s="1"/>
  <c r="AP127" i="7"/>
  <c r="AG127" i="7" s="1"/>
  <c r="Z127" i="7" s="1"/>
  <c r="AN136" i="7"/>
  <c r="AL138" i="7"/>
  <c r="AE138" i="7" s="1"/>
  <c r="AP143" i="7"/>
  <c r="AG143" i="7" s="1"/>
  <c r="Z143" i="7" s="1"/>
  <c r="AP152" i="7"/>
  <c r="AG152" i="7" s="1"/>
  <c r="Z152" i="7" s="1"/>
  <c r="AQ154" i="7"/>
  <c r="AH154" i="7" s="1"/>
  <c r="AP161" i="7"/>
  <c r="AG161" i="7" s="1"/>
  <c r="Z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Z180" i="7"/>
  <c r="Z201" i="7"/>
  <c r="Z202" i="7"/>
  <c r="AO205" i="7"/>
  <c r="AN205" i="7"/>
  <c r="AL205" i="7"/>
  <c r="AE205" i="7" s="1"/>
  <c r="Z233" i="7"/>
  <c r="Y245" i="7"/>
  <c r="AO99" i="7"/>
  <c r="AN99" i="7"/>
  <c r="Y99" i="7" s="1"/>
  <c r="AO115" i="7"/>
  <c r="AN115" i="7"/>
  <c r="Y115" i="7" s="1"/>
  <c r="AL117" i="7"/>
  <c r="AE117" i="7" s="1"/>
  <c r="Y117" i="7" s="1"/>
  <c r="AQ129" i="7"/>
  <c r="AH129" i="7" s="1"/>
  <c r="AO131" i="7"/>
  <c r="AN131" i="7"/>
  <c r="AL133" i="7"/>
  <c r="AE133" i="7" s="1"/>
  <c r="AQ145" i="7"/>
  <c r="AH145" i="7" s="1"/>
  <c r="AO147" i="7"/>
  <c r="AN147" i="7"/>
  <c r="Y147" i="7" s="1"/>
  <c r="AL149" i="7"/>
  <c r="AE149" i="7" s="1"/>
  <c r="AM157" i="7"/>
  <c r="AF157" i="7" s="1"/>
  <c r="Y157" i="7" s="1"/>
  <c r="AQ174" i="7"/>
  <c r="AH174" i="7" s="1"/>
  <c r="AQ187" i="7"/>
  <c r="AH187" i="7" s="1"/>
  <c r="AO188" i="7"/>
  <c r="AL190" i="7"/>
  <c r="AE190" i="7" s="1"/>
  <c r="Y190" i="7" s="1"/>
  <c r="AL192" i="7"/>
  <c r="AE192" i="7" s="1"/>
  <c r="AL200" i="7"/>
  <c r="AE200" i="7" s="1"/>
  <c r="Y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Y153" i="7" s="1"/>
  <c r="AM155" i="7"/>
  <c r="AF155" i="7" s="1"/>
  <c r="Y155" i="7" s="1"/>
  <c r="AN157" i="7"/>
  <c r="AO159" i="7"/>
  <c r="Y159" i="7" s="1"/>
  <c r="AP159" i="7"/>
  <c r="AG159" i="7" s="1"/>
  <c r="Z159" i="7" s="1"/>
  <c r="AL162" i="7"/>
  <c r="AE162" i="7" s="1"/>
  <c r="AN170" i="7"/>
  <c r="AN178" i="7"/>
  <c r="AP179" i="7"/>
  <c r="AG179" i="7" s="1"/>
  <c r="Z179" i="7" s="1"/>
  <c r="AL180" i="7"/>
  <c r="AE180" i="7" s="1"/>
  <c r="Y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Z249" i="7"/>
  <c r="AN214" i="7"/>
  <c r="AL226" i="7"/>
  <c r="AE226" i="7" s="1"/>
  <c r="Y226" i="7" s="1"/>
  <c r="AP242" i="7"/>
  <c r="AG242" i="7" s="1"/>
  <c r="Z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Z348" i="7"/>
  <c r="AO209" i="7"/>
  <c r="AM226" i="7"/>
  <c r="AF226" i="7" s="1"/>
  <c r="AL228" i="7"/>
  <c r="AE228" i="7" s="1"/>
  <c r="AN240" i="7"/>
  <c r="Y240" i="7" s="1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Z267" i="7" s="1"/>
  <c r="AO281" i="7"/>
  <c r="Y281" i="7" s="1"/>
  <c r="Y293" i="7"/>
  <c r="Y364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Z221" i="7" s="1"/>
  <c r="AP226" i="7"/>
  <c r="AG226" i="7" s="1"/>
  <c r="Z226" i="7" s="1"/>
  <c r="AN228" i="7"/>
  <c r="AL230" i="7"/>
  <c r="AE230" i="7" s="1"/>
  <c r="AM232" i="7"/>
  <c r="AF232" i="7" s="1"/>
  <c r="AM236" i="7"/>
  <c r="AF236" i="7" s="1"/>
  <c r="AQ248" i="7"/>
  <c r="AH248" i="7" s="1"/>
  <c r="Z248" i="7" s="1"/>
  <c r="AR254" i="7"/>
  <c r="AI254" i="7" s="1"/>
  <c r="Z254" i="7" s="1"/>
  <c r="Y256" i="7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Z287" i="7"/>
  <c r="AQ289" i="7"/>
  <c r="AH289" i="7" s="1"/>
  <c r="AO301" i="7"/>
  <c r="AN301" i="7"/>
  <c r="AL301" i="7"/>
  <c r="AE301" i="7" s="1"/>
  <c r="Z302" i="7"/>
  <c r="AL167" i="7"/>
  <c r="AE167" i="7" s="1"/>
  <c r="AL171" i="7"/>
  <c r="AE171" i="7" s="1"/>
  <c r="AL175" i="7"/>
  <c r="AE175" i="7" s="1"/>
  <c r="Y175" i="7" s="1"/>
  <c r="AL179" i="7"/>
  <c r="AE179" i="7" s="1"/>
  <c r="Y179" i="7" s="1"/>
  <c r="AL183" i="7"/>
  <c r="AE183" i="7" s="1"/>
  <c r="Y183" i="7" s="1"/>
  <c r="AL187" i="7"/>
  <c r="AE187" i="7" s="1"/>
  <c r="Y187" i="7" s="1"/>
  <c r="AL191" i="7"/>
  <c r="AE191" i="7" s="1"/>
  <c r="Y191" i="7" s="1"/>
  <c r="AL195" i="7"/>
  <c r="AE195" i="7" s="1"/>
  <c r="Y195" i="7" s="1"/>
  <c r="AL199" i="7"/>
  <c r="AE199" i="7" s="1"/>
  <c r="Y199" i="7" s="1"/>
  <c r="AP216" i="7"/>
  <c r="AG216" i="7" s="1"/>
  <c r="Z216" i="7" s="1"/>
  <c r="AM230" i="7"/>
  <c r="AF230" i="7" s="1"/>
  <c r="AN232" i="7"/>
  <c r="AN236" i="7"/>
  <c r="AM243" i="7"/>
  <c r="AF243" i="7" s="1"/>
  <c r="AN245" i="7"/>
  <c r="AP245" i="7"/>
  <c r="AG245" i="7" s="1"/>
  <c r="Z245" i="7" s="1"/>
  <c r="AO248" i="7"/>
  <c r="Y248" i="7" s="1"/>
  <c r="AL271" i="7"/>
  <c r="AE271" i="7" s="1"/>
  <c r="AP280" i="7"/>
  <c r="AG280" i="7" s="1"/>
  <c r="Z280" i="7" s="1"/>
  <c r="AR281" i="7"/>
  <c r="AI281" i="7" s="1"/>
  <c r="AQ281" i="7"/>
  <c r="AH281" i="7" s="1"/>
  <c r="AP281" i="7"/>
  <c r="AG281" i="7" s="1"/>
  <c r="Z281" i="7" s="1"/>
  <c r="AQ288" i="7"/>
  <c r="AH288" i="7" s="1"/>
  <c r="Z288" i="7" s="1"/>
  <c r="AO313" i="7"/>
  <c r="Z354" i="7"/>
  <c r="AN230" i="7"/>
  <c r="AO232" i="7"/>
  <c r="AM202" i="7"/>
  <c r="AF202" i="7" s="1"/>
  <c r="Y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Y234" i="7" s="1"/>
  <c r="AP236" i="7"/>
  <c r="AG236" i="7" s="1"/>
  <c r="Z236" i="7" s="1"/>
  <c r="AO238" i="7"/>
  <c r="AL238" i="7"/>
  <c r="AE238" i="7" s="1"/>
  <c r="AL249" i="7"/>
  <c r="AE249" i="7" s="1"/>
  <c r="AL252" i="7"/>
  <c r="AE252" i="7" s="1"/>
  <c r="Z262" i="7"/>
  <c r="AL268" i="7"/>
  <c r="AE268" i="7" s="1"/>
  <c r="Y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Z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Z292" i="7"/>
  <c r="Z295" i="7"/>
  <c r="AN220" i="7"/>
  <c r="AQ243" i="7"/>
  <c r="AH243" i="7" s="1"/>
  <c r="AL261" i="7"/>
  <c r="AE261" i="7" s="1"/>
  <c r="AM265" i="7"/>
  <c r="AF265" i="7" s="1"/>
  <c r="AM267" i="7"/>
  <c r="AF267" i="7" s="1"/>
  <c r="Y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Z213" i="7" s="1"/>
  <c r="AM215" i="7"/>
  <c r="AF215" i="7" s="1"/>
  <c r="Y215" i="7" s="1"/>
  <c r="AO252" i="7"/>
  <c r="AN252" i="7"/>
  <c r="AO255" i="7"/>
  <c r="AN255" i="7"/>
  <c r="Y255" i="7" s="1"/>
  <c r="AM261" i="7"/>
  <c r="AF261" i="7" s="1"/>
  <c r="AN265" i="7"/>
  <c r="AN267" i="7"/>
  <c r="AM281" i="7"/>
  <c r="AF281" i="7" s="1"/>
  <c r="AQ286" i="7"/>
  <c r="AH286" i="7" s="1"/>
  <c r="Z286" i="7" s="1"/>
  <c r="AL201" i="7"/>
  <c r="AE201" i="7" s="1"/>
  <c r="Y201" i="7" s="1"/>
  <c r="AO210" i="7"/>
  <c r="AM210" i="7"/>
  <c r="AF210" i="7" s="1"/>
  <c r="Y210" i="7" s="1"/>
  <c r="AQ213" i="7"/>
  <c r="AH213" i="7" s="1"/>
  <c r="AO215" i="7"/>
  <c r="AM217" i="7"/>
  <c r="AF217" i="7" s="1"/>
  <c r="Y217" i="7" s="1"/>
  <c r="AP220" i="7"/>
  <c r="AG220" i="7" s="1"/>
  <c r="Z220" i="7" s="1"/>
  <c r="AL222" i="7"/>
  <c r="AE222" i="7" s="1"/>
  <c r="AP225" i="7"/>
  <c r="AG225" i="7" s="1"/>
  <c r="Z225" i="7" s="1"/>
  <c r="AM227" i="7"/>
  <c r="AF227" i="7" s="1"/>
  <c r="AL229" i="7"/>
  <c r="AE229" i="7" s="1"/>
  <c r="AL231" i="7"/>
  <c r="AE231" i="7" s="1"/>
  <c r="Y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Y264" i="7" s="1"/>
  <c r="AR265" i="7"/>
  <c r="AI265" i="7" s="1"/>
  <c r="AO267" i="7"/>
  <c r="AR273" i="7"/>
  <c r="AI273" i="7" s="1"/>
  <c r="AQ273" i="7"/>
  <c r="AH273" i="7" s="1"/>
  <c r="Z273" i="7" s="1"/>
  <c r="AR274" i="7"/>
  <c r="AI274" i="7" s="1"/>
  <c r="AQ274" i="7"/>
  <c r="AH274" i="7" s="1"/>
  <c r="Z274" i="7" s="1"/>
  <c r="AR286" i="7"/>
  <c r="AI286" i="7" s="1"/>
  <c r="AP289" i="7"/>
  <c r="AG289" i="7" s="1"/>
  <c r="Z289" i="7" s="1"/>
  <c r="AM300" i="7"/>
  <c r="AF300" i="7" s="1"/>
  <c r="Z313" i="7"/>
  <c r="AQ321" i="7"/>
  <c r="AH321" i="7" s="1"/>
  <c r="Z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Y227" i="7" s="1"/>
  <c r="AM229" i="7"/>
  <c r="AF229" i="7" s="1"/>
  <c r="AM237" i="7"/>
  <c r="AF237" i="7" s="1"/>
  <c r="AN239" i="7"/>
  <c r="AR241" i="7"/>
  <c r="AI241" i="7" s="1"/>
  <c r="AM244" i="7"/>
  <c r="AF244" i="7" s="1"/>
  <c r="Y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Z310" i="7" s="1"/>
  <c r="Y329" i="7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Y193" i="7" s="1"/>
  <c r="AP194" i="7"/>
  <c r="AG194" i="7" s="1"/>
  <c r="Z194" i="7" s="1"/>
  <c r="AL197" i="7"/>
  <c r="AE197" i="7" s="1"/>
  <c r="Y197" i="7" s="1"/>
  <c r="AP198" i="7"/>
  <c r="AG198" i="7" s="1"/>
  <c r="AN201" i="7"/>
  <c r="AP210" i="7"/>
  <c r="AG210" i="7" s="1"/>
  <c r="Z210" i="7" s="1"/>
  <c r="AL212" i="7"/>
  <c r="AE212" i="7" s="1"/>
  <c r="Y212" i="7" s="1"/>
  <c r="AQ215" i="7"/>
  <c r="AH215" i="7" s="1"/>
  <c r="AN222" i="7"/>
  <c r="AL224" i="7"/>
  <c r="AE224" i="7" s="1"/>
  <c r="Y224" i="7" s="1"/>
  <c r="AP227" i="7"/>
  <c r="AG227" i="7" s="1"/>
  <c r="AN231" i="7"/>
  <c r="AM233" i="7"/>
  <c r="AF233" i="7" s="1"/>
  <c r="Y233" i="7" s="1"/>
  <c r="AM235" i="7"/>
  <c r="AF235" i="7" s="1"/>
  <c r="AL247" i="7"/>
  <c r="AE247" i="7" s="1"/>
  <c r="AM253" i="7"/>
  <c r="AF253" i="7" s="1"/>
  <c r="AQ257" i="7"/>
  <c r="AH257" i="7" s="1"/>
  <c r="Z257" i="7" s="1"/>
  <c r="AM258" i="7"/>
  <c r="AF258" i="7" s="1"/>
  <c r="Z260" i="7"/>
  <c r="AR264" i="7"/>
  <c r="AI264" i="7" s="1"/>
  <c r="AQ272" i="7"/>
  <c r="AH272" i="7" s="1"/>
  <c r="AP272" i="7"/>
  <c r="AG272" i="7" s="1"/>
  <c r="AO277" i="7"/>
  <c r="AO280" i="7"/>
  <c r="Y303" i="7"/>
  <c r="AR306" i="7"/>
  <c r="AI306" i="7" s="1"/>
  <c r="AP307" i="7"/>
  <c r="AG307" i="7" s="1"/>
  <c r="Z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Z217" i="7" s="1"/>
  <c r="AP222" i="7"/>
  <c r="AG222" i="7" s="1"/>
  <c r="AQ227" i="7"/>
  <c r="AH227" i="7" s="1"/>
  <c r="AO229" i="7"/>
  <c r="AP229" i="7"/>
  <c r="AG229" i="7" s="1"/>
  <c r="Z229" i="7" s="1"/>
  <c r="AN233" i="7"/>
  <c r="AM239" i="7"/>
  <c r="AF239" i="7" s="1"/>
  <c r="AN244" i="7"/>
  <c r="AP244" i="7"/>
  <c r="AG244" i="7" s="1"/>
  <c r="Z244" i="7" s="1"/>
  <c r="AM247" i="7"/>
  <c r="AF247" i="7" s="1"/>
  <c r="AP250" i="7"/>
  <c r="AG250" i="7" s="1"/>
  <c r="AN253" i="7"/>
  <c r="AM271" i="7"/>
  <c r="AF271" i="7" s="1"/>
  <c r="AP277" i="7"/>
  <c r="AG277" i="7" s="1"/>
  <c r="Z277" i="7" s="1"/>
  <c r="AR293" i="7"/>
  <c r="AI293" i="7" s="1"/>
  <c r="AP293" i="7"/>
  <c r="AG293" i="7" s="1"/>
  <c r="AO302" i="7"/>
  <c r="AL302" i="7"/>
  <c r="AE302" i="7" s="1"/>
  <c r="AN302" i="7"/>
  <c r="Z33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Y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Z239" i="7" s="1"/>
  <c r="AQ244" i="7"/>
  <c r="AH244" i="7" s="1"/>
  <c r="AO247" i="7"/>
  <c r="AQ250" i="7"/>
  <c r="AH250" i="7" s="1"/>
  <c r="AP253" i="7"/>
  <c r="AG253" i="7" s="1"/>
  <c r="Z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Z282" i="7"/>
  <c r="AP283" i="7"/>
  <c r="AG283" i="7" s="1"/>
  <c r="AO287" i="7"/>
  <c r="AN287" i="7"/>
  <c r="AL287" i="7"/>
  <c r="AE287" i="7" s="1"/>
  <c r="Y287" i="7" s="1"/>
  <c r="AN312" i="7"/>
  <c r="Z350" i="7"/>
  <c r="AM214" i="7"/>
  <c r="AF214" i="7" s="1"/>
  <c r="AP224" i="7"/>
  <c r="AG224" i="7" s="1"/>
  <c r="Z224" i="7" s="1"/>
  <c r="AP235" i="7"/>
  <c r="AG235" i="7" s="1"/>
  <c r="AQ235" i="7"/>
  <c r="AH235" i="7" s="1"/>
  <c r="AP247" i="7"/>
  <c r="AG247" i="7" s="1"/>
  <c r="Z247" i="7" s="1"/>
  <c r="AO250" i="7"/>
  <c r="AN250" i="7"/>
  <c r="Y250" i="7" s="1"/>
  <c r="AL251" i="7"/>
  <c r="AE251" i="7" s="1"/>
  <c r="Y251" i="7" s="1"/>
  <c r="AO262" i="7"/>
  <c r="AN262" i="7"/>
  <c r="Y262" i="7" s="1"/>
  <c r="AM268" i="7"/>
  <c r="AF268" i="7" s="1"/>
  <c r="AR270" i="7"/>
  <c r="AI270" i="7" s="1"/>
  <c r="AQ270" i="7"/>
  <c r="AH270" i="7" s="1"/>
  <c r="Z270" i="7" s="1"/>
  <c r="AR275" i="7"/>
  <c r="AI275" i="7" s="1"/>
  <c r="AQ283" i="7"/>
  <c r="AH283" i="7" s="1"/>
  <c r="AR284" i="7"/>
  <c r="AI284" i="7" s="1"/>
  <c r="AQ284" i="7"/>
  <c r="AH284" i="7" s="1"/>
  <c r="Z284" i="7" s="1"/>
  <c r="AL296" i="7"/>
  <c r="AE296" i="7" s="1"/>
  <c r="Y296" i="7" s="1"/>
  <c r="AN296" i="7"/>
  <c r="AL299" i="7"/>
  <c r="AE299" i="7" s="1"/>
  <c r="Y299" i="7" s="1"/>
  <c r="AN299" i="7"/>
  <c r="AR305" i="7"/>
  <c r="AI305" i="7" s="1"/>
  <c r="AQ305" i="7"/>
  <c r="AH305" i="7" s="1"/>
  <c r="Z305" i="7" s="1"/>
  <c r="Z318" i="7"/>
  <c r="Z334" i="7"/>
  <c r="AM293" i="7"/>
  <c r="AF293" i="7" s="1"/>
  <c r="AO316" i="7"/>
  <c r="AO318" i="7"/>
  <c r="AM318" i="7"/>
  <c r="AF318" i="7" s="1"/>
  <c r="Y318" i="7" s="1"/>
  <c r="AR324" i="7"/>
  <c r="AI324" i="7" s="1"/>
  <c r="AO325" i="7"/>
  <c r="Y325" i="7" s="1"/>
  <c r="AL337" i="7"/>
  <c r="AE337" i="7" s="1"/>
  <c r="Y337" i="7" s="1"/>
  <c r="AL246" i="7"/>
  <c r="AE246" i="7" s="1"/>
  <c r="Y246" i="7" s="1"/>
  <c r="AL272" i="7"/>
  <c r="AE272" i="7" s="1"/>
  <c r="Y272" i="7" s="1"/>
  <c r="AL275" i="7"/>
  <c r="AE275" i="7" s="1"/>
  <c r="AP296" i="7"/>
  <c r="AG296" i="7" s="1"/>
  <c r="Z296" i="7" s="1"/>
  <c r="AP299" i="7"/>
  <c r="AG299" i="7" s="1"/>
  <c r="Z299" i="7" s="1"/>
  <c r="AQ302" i="7"/>
  <c r="AH302" i="7" s="1"/>
  <c r="AL304" i="7"/>
  <c r="AE304" i="7" s="1"/>
  <c r="Y304" i="7" s="1"/>
  <c r="AQ312" i="7"/>
  <c r="AH312" i="7" s="1"/>
  <c r="Z312" i="7" s="1"/>
  <c r="AO314" i="7"/>
  <c r="AM314" i="7"/>
  <c r="AF314" i="7" s="1"/>
  <c r="AP314" i="7"/>
  <c r="AG314" i="7" s="1"/>
  <c r="Z314" i="7" s="1"/>
  <c r="AL322" i="7"/>
  <c r="AE322" i="7" s="1"/>
  <c r="AP336" i="7"/>
  <c r="AG336" i="7" s="1"/>
  <c r="Z336" i="7" s="1"/>
  <c r="AN337" i="7"/>
  <c r="AL341" i="7"/>
  <c r="AE341" i="7" s="1"/>
  <c r="AM345" i="7"/>
  <c r="AF345" i="7" s="1"/>
  <c r="Y345" i="7" s="1"/>
  <c r="AL353" i="7"/>
  <c r="AE353" i="7" s="1"/>
  <c r="Y353" i="7" s="1"/>
  <c r="AO378" i="7"/>
  <c r="AL378" i="7"/>
  <c r="AE378" i="7" s="1"/>
  <c r="Z404" i="7"/>
  <c r="Z419" i="7"/>
  <c r="Y433" i="7"/>
  <c r="AM246" i="7"/>
  <c r="AF246" i="7" s="1"/>
  <c r="AO278" i="7"/>
  <c r="AM278" i="7"/>
  <c r="AF278" i="7" s="1"/>
  <c r="Y278" i="7" s="1"/>
  <c r="AN307" i="7"/>
  <c r="Y307" i="7" s="1"/>
  <c r="AO307" i="7"/>
  <c r="AQ329" i="7"/>
  <c r="AH329" i="7" s="1"/>
  <c r="AP329" i="7"/>
  <c r="AG329" i="7" s="1"/>
  <c r="Z329" i="7" s="1"/>
  <c r="AP330" i="7"/>
  <c r="AG330" i="7" s="1"/>
  <c r="Z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Z376" i="7"/>
  <c r="Z409" i="7"/>
  <c r="AQ325" i="7"/>
  <c r="AH325" i="7" s="1"/>
  <c r="AP325" i="7"/>
  <c r="AG325" i="7" s="1"/>
  <c r="AO335" i="7"/>
  <c r="AN335" i="7"/>
  <c r="Z359" i="7"/>
  <c r="AM260" i="7"/>
  <c r="AF260" i="7" s="1"/>
  <c r="Y260" i="7" s="1"/>
  <c r="AM263" i="7"/>
  <c r="AF263" i="7" s="1"/>
  <c r="Y263" i="7" s="1"/>
  <c r="AM266" i="7"/>
  <c r="AF266" i="7" s="1"/>
  <c r="Y266" i="7" s="1"/>
  <c r="AM292" i="7"/>
  <c r="AF292" i="7" s="1"/>
  <c r="Y292" i="7" s="1"/>
  <c r="AM295" i="7"/>
  <c r="AF295" i="7" s="1"/>
  <c r="Y295" i="7" s="1"/>
  <c r="AM298" i="7"/>
  <c r="AF298" i="7" s="1"/>
  <c r="Y298" i="7" s="1"/>
  <c r="AL311" i="7"/>
  <c r="AE311" i="7" s="1"/>
  <c r="AM317" i="7"/>
  <c r="AF317" i="7" s="1"/>
  <c r="Y317" i="7" s="1"/>
  <c r="AP319" i="7"/>
  <c r="AG319" i="7" s="1"/>
  <c r="Z319" i="7" s="1"/>
  <c r="AQ322" i="7"/>
  <c r="AH322" i="7" s="1"/>
  <c r="Z322" i="7" s="1"/>
  <c r="AP326" i="7"/>
  <c r="AG326" i="7" s="1"/>
  <c r="AQ335" i="7"/>
  <c r="AH335" i="7" s="1"/>
  <c r="AP335" i="7"/>
  <c r="AG335" i="7" s="1"/>
  <c r="Z335" i="7" s="1"/>
  <c r="AP346" i="7"/>
  <c r="AG346" i="7" s="1"/>
  <c r="AR375" i="7"/>
  <c r="AI375" i="7" s="1"/>
  <c r="AQ375" i="7"/>
  <c r="AH375" i="7" s="1"/>
  <c r="Z421" i="7"/>
  <c r="AM257" i="7"/>
  <c r="AF257" i="7" s="1"/>
  <c r="Y257" i="7" s="1"/>
  <c r="AN260" i="7"/>
  <c r="AN263" i="7"/>
  <c r="AN266" i="7"/>
  <c r="AL280" i="7"/>
  <c r="AE280" i="7" s="1"/>
  <c r="Y280" i="7" s="1"/>
  <c r="AM289" i="7"/>
  <c r="AF289" i="7" s="1"/>
  <c r="Y289" i="7" s="1"/>
  <c r="AN292" i="7"/>
  <c r="AN295" i="7"/>
  <c r="AN298" i="7"/>
  <c r="AP309" i="7"/>
  <c r="AG309" i="7" s="1"/>
  <c r="Z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Y333" i="7" s="1"/>
  <c r="AP342" i="7"/>
  <c r="AG342" i="7" s="1"/>
  <c r="AP344" i="7"/>
  <c r="AG344" i="7" s="1"/>
  <c r="Z344" i="7" s="1"/>
  <c r="AQ346" i="7"/>
  <c r="AH346" i="7" s="1"/>
  <c r="AQ369" i="7"/>
  <c r="AH369" i="7" s="1"/>
  <c r="Y397" i="7"/>
  <c r="Z411" i="7"/>
  <c r="Z429" i="7"/>
  <c r="AM254" i="7"/>
  <c r="AF254" i="7" s="1"/>
  <c r="Y254" i="7" s="1"/>
  <c r="AP266" i="7"/>
  <c r="AG266" i="7" s="1"/>
  <c r="Z266" i="7" s="1"/>
  <c r="AP269" i="7"/>
  <c r="AG269" i="7" s="1"/>
  <c r="Z269" i="7" s="1"/>
  <c r="AM280" i="7"/>
  <c r="AF280" i="7" s="1"/>
  <c r="AM283" i="7"/>
  <c r="AF283" i="7" s="1"/>
  <c r="Y283" i="7" s="1"/>
  <c r="AM286" i="7"/>
  <c r="AF286" i="7" s="1"/>
  <c r="Y286" i="7" s="1"/>
  <c r="AP298" i="7"/>
  <c r="AG298" i="7" s="1"/>
  <c r="Z298" i="7" s="1"/>
  <c r="AP301" i="7"/>
  <c r="AG301" i="7" s="1"/>
  <c r="Z301" i="7" s="1"/>
  <c r="AN311" i="7"/>
  <c r="AO311" i="7"/>
  <c r="AM313" i="7"/>
  <c r="AF313" i="7" s="1"/>
  <c r="AL315" i="7"/>
  <c r="AE315" i="7" s="1"/>
  <c r="AO319" i="7"/>
  <c r="AN319" i="7"/>
  <c r="Y319" i="7" s="1"/>
  <c r="AL320" i="7"/>
  <c r="AE320" i="7" s="1"/>
  <c r="AO326" i="7"/>
  <c r="Y326" i="7" s="1"/>
  <c r="AM326" i="7"/>
  <c r="AF326" i="7" s="1"/>
  <c r="AM333" i="7"/>
  <c r="AF333" i="7" s="1"/>
  <c r="AP338" i="7"/>
  <c r="AG338" i="7" s="1"/>
  <c r="Z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Z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Y242" i="7" s="1"/>
  <c r="AO274" i="7"/>
  <c r="AM274" i="7"/>
  <c r="AF274" i="7" s="1"/>
  <c r="Y274" i="7" s="1"/>
  <c r="AL297" i="7"/>
  <c r="AE297" i="7" s="1"/>
  <c r="AO306" i="7"/>
  <c r="AM306" i="7"/>
  <c r="AF306" i="7" s="1"/>
  <c r="Y306" i="7" s="1"/>
  <c r="AL308" i="7"/>
  <c r="AE308" i="7" s="1"/>
  <c r="AQ311" i="7"/>
  <c r="AH311" i="7" s="1"/>
  <c r="AO315" i="7"/>
  <c r="AO320" i="7"/>
  <c r="AP323" i="7"/>
  <c r="AG323" i="7" s="1"/>
  <c r="Z323" i="7" s="1"/>
  <c r="AR327" i="7"/>
  <c r="AI327" i="7" s="1"/>
  <c r="Z327" i="7" s="1"/>
  <c r="AL351" i="7"/>
  <c r="AE351" i="7" s="1"/>
  <c r="AO355" i="7"/>
  <c r="AN355" i="7"/>
  <c r="AM355" i="7"/>
  <c r="AF355" i="7" s="1"/>
  <c r="Y355" i="7" s="1"/>
  <c r="AR361" i="7"/>
  <c r="AI361" i="7" s="1"/>
  <c r="AQ361" i="7"/>
  <c r="AH361" i="7" s="1"/>
  <c r="AP361" i="7"/>
  <c r="AG361" i="7" s="1"/>
  <c r="Z361" i="7" s="1"/>
  <c r="AN362" i="7"/>
  <c r="AP375" i="7"/>
  <c r="AG375" i="7" s="1"/>
  <c r="Z375" i="7" s="1"/>
  <c r="AO377" i="7"/>
  <c r="AM377" i="7"/>
  <c r="AF377" i="7" s="1"/>
  <c r="AL377" i="7"/>
  <c r="AE377" i="7" s="1"/>
  <c r="Z437" i="7"/>
  <c r="AM297" i="7"/>
  <c r="AF297" i="7" s="1"/>
  <c r="AM308" i="7"/>
  <c r="AF308" i="7" s="1"/>
  <c r="AP315" i="7"/>
  <c r="AG315" i="7" s="1"/>
  <c r="AO331" i="7"/>
  <c r="AN331" i="7"/>
  <c r="Y331" i="7" s="1"/>
  <c r="AR370" i="7"/>
  <c r="AI370" i="7" s="1"/>
  <c r="AQ370" i="7"/>
  <c r="AH370" i="7" s="1"/>
  <c r="Z414" i="7"/>
  <c r="AM288" i="7"/>
  <c r="AF288" i="7" s="1"/>
  <c r="Y288" i="7" s="1"/>
  <c r="AM291" i="7"/>
  <c r="AF291" i="7" s="1"/>
  <c r="Y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Z331" i="7" s="1"/>
  <c r="AR344" i="7"/>
  <c r="AI344" i="7" s="1"/>
  <c r="AQ345" i="7"/>
  <c r="AH345" i="7" s="1"/>
  <c r="AP345" i="7"/>
  <c r="AG345" i="7" s="1"/>
  <c r="Z345" i="7" s="1"/>
  <c r="AO347" i="7"/>
  <c r="AN347" i="7"/>
  <c r="AM347" i="7"/>
  <c r="AF347" i="7" s="1"/>
  <c r="Y347" i="7" s="1"/>
  <c r="AR364" i="7"/>
  <c r="AI364" i="7" s="1"/>
  <c r="AQ364" i="7"/>
  <c r="AH364" i="7" s="1"/>
  <c r="AP364" i="7"/>
  <c r="AG364" i="7" s="1"/>
  <c r="Z364" i="7" s="1"/>
  <c r="AR385" i="7"/>
  <c r="AI385" i="7" s="1"/>
  <c r="AQ385" i="7"/>
  <c r="AH385" i="7" s="1"/>
  <c r="AP385" i="7"/>
  <c r="AG385" i="7" s="1"/>
  <c r="Z385" i="7" s="1"/>
  <c r="Z389" i="7"/>
  <c r="Z420" i="7"/>
  <c r="Z422" i="7"/>
  <c r="AL276" i="7"/>
  <c r="AE276" i="7" s="1"/>
  <c r="AL279" i="7"/>
  <c r="AE279" i="7" s="1"/>
  <c r="AM285" i="7"/>
  <c r="AF285" i="7" s="1"/>
  <c r="Y285" i="7" s="1"/>
  <c r="AN288" i="7"/>
  <c r="AN291" i="7"/>
  <c r="AN294" i="7"/>
  <c r="Y294" i="7" s="1"/>
  <c r="AP300" i="7"/>
  <c r="AG300" i="7" s="1"/>
  <c r="AP303" i="7"/>
  <c r="AG303" i="7" s="1"/>
  <c r="AQ306" i="7"/>
  <c r="AH306" i="7" s="1"/>
  <c r="AM321" i="7"/>
  <c r="AF321" i="7" s="1"/>
  <c r="Y321" i="7" s="1"/>
  <c r="AO323" i="7"/>
  <c r="AN323" i="7"/>
  <c r="Y323" i="7" s="1"/>
  <c r="AO327" i="7"/>
  <c r="AN327" i="7"/>
  <c r="Y327" i="7" s="1"/>
  <c r="AP328" i="7"/>
  <c r="AG328" i="7" s="1"/>
  <c r="Z328" i="7" s="1"/>
  <c r="AR340" i="7"/>
  <c r="AI340" i="7" s="1"/>
  <c r="Z340" i="7" s="1"/>
  <c r="AQ341" i="7"/>
  <c r="AH341" i="7" s="1"/>
  <c r="AP341" i="7"/>
  <c r="AG341" i="7" s="1"/>
  <c r="AO343" i="7"/>
  <c r="AN343" i="7"/>
  <c r="AM343" i="7"/>
  <c r="AF343" i="7" s="1"/>
  <c r="Y343" i="7" s="1"/>
  <c r="AL349" i="7"/>
  <c r="AE349" i="7" s="1"/>
  <c r="Y349" i="7" s="1"/>
  <c r="AR368" i="7"/>
  <c r="AI368" i="7" s="1"/>
  <c r="AQ368" i="7"/>
  <c r="AH368" i="7" s="1"/>
  <c r="AP368" i="7"/>
  <c r="AG368" i="7" s="1"/>
  <c r="Z368" i="7" s="1"/>
  <c r="AO372" i="7"/>
  <c r="AM372" i="7"/>
  <c r="AF372" i="7" s="1"/>
  <c r="AL372" i="7"/>
  <c r="AE372" i="7" s="1"/>
  <c r="Y372" i="7" s="1"/>
  <c r="AM276" i="7"/>
  <c r="AF276" i="7" s="1"/>
  <c r="AM279" i="7"/>
  <c r="AF279" i="7" s="1"/>
  <c r="AO282" i="7"/>
  <c r="Y282" i="7" s="1"/>
  <c r="AM282" i="7"/>
  <c r="AF282" i="7" s="1"/>
  <c r="AN285" i="7"/>
  <c r="AP294" i="7"/>
  <c r="AG294" i="7" s="1"/>
  <c r="Z294" i="7" s="1"/>
  <c r="AP297" i="7"/>
  <c r="AG297" i="7" s="1"/>
  <c r="Z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Y339" i="7" s="1"/>
  <c r="AM349" i="7"/>
  <c r="AF349" i="7" s="1"/>
  <c r="AP369" i="7"/>
  <c r="AG369" i="7" s="1"/>
  <c r="Z369" i="7" s="1"/>
  <c r="AR371" i="7"/>
  <c r="AI371" i="7" s="1"/>
  <c r="AQ371" i="7"/>
  <c r="AH371" i="7" s="1"/>
  <c r="Z371" i="7" s="1"/>
  <c r="AR379" i="7"/>
  <c r="AI379" i="7" s="1"/>
  <c r="Z382" i="7"/>
  <c r="Y400" i="7"/>
  <c r="Y402" i="7"/>
  <c r="AN282" i="7"/>
  <c r="AQ308" i="7"/>
  <c r="AH308" i="7" s="1"/>
  <c r="Z308" i="7" s="1"/>
  <c r="AO310" i="7"/>
  <c r="AN310" i="7"/>
  <c r="AN318" i="7"/>
  <c r="AQ333" i="7"/>
  <c r="AH333" i="7" s="1"/>
  <c r="AP333" i="7"/>
  <c r="AG333" i="7" s="1"/>
  <c r="Z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Z405" i="7" s="1"/>
  <c r="AQ407" i="7"/>
  <c r="AH407" i="7" s="1"/>
  <c r="Z407" i="7" s="1"/>
  <c r="Y415" i="7"/>
  <c r="AR416" i="7"/>
  <c r="AI416" i="7" s="1"/>
  <c r="Y423" i="7"/>
  <c r="AR424" i="7"/>
  <c r="AI424" i="7" s="1"/>
  <c r="AO446" i="7"/>
  <c r="AN446" i="7"/>
  <c r="AO447" i="7"/>
  <c r="AN447" i="7"/>
  <c r="AM447" i="7"/>
  <c r="AF447" i="7" s="1"/>
  <c r="AP362" i="7"/>
  <c r="AG362" i="7" s="1"/>
  <c r="Z362" i="7" s="1"/>
  <c r="AO371" i="7"/>
  <c r="AN371" i="7"/>
  <c r="Y371" i="7" s="1"/>
  <c r="AM373" i="7"/>
  <c r="AF373" i="7" s="1"/>
  <c r="Y373" i="7" s="1"/>
  <c r="AP378" i="7"/>
  <c r="AG378" i="7" s="1"/>
  <c r="Z378" i="7" s="1"/>
  <c r="AO387" i="7"/>
  <c r="AN387" i="7"/>
  <c r="Y387" i="7" s="1"/>
  <c r="AM389" i="7"/>
  <c r="AF389" i="7" s="1"/>
  <c r="Y389" i="7" s="1"/>
  <c r="AM399" i="7"/>
  <c r="AF399" i="7" s="1"/>
  <c r="Y399" i="7" s="1"/>
  <c r="AO401" i="7"/>
  <c r="Y401" i="7" s="1"/>
  <c r="AP403" i="7"/>
  <c r="AG403" i="7" s="1"/>
  <c r="Z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Z457" i="7"/>
  <c r="AO459" i="7"/>
  <c r="AM459" i="7"/>
  <c r="AF459" i="7" s="1"/>
  <c r="AN373" i="7"/>
  <c r="AP387" i="7"/>
  <c r="AG387" i="7" s="1"/>
  <c r="Z387" i="7" s="1"/>
  <c r="AN389" i="7"/>
  <c r="AP401" i="7"/>
  <c r="AG401" i="7" s="1"/>
  <c r="Z401" i="7" s="1"/>
  <c r="AQ403" i="7"/>
  <c r="AH403" i="7" s="1"/>
  <c r="AO439" i="7"/>
  <c r="AN439" i="7"/>
  <c r="AP460" i="7"/>
  <c r="AG460" i="7" s="1"/>
  <c r="AL324" i="7"/>
  <c r="AE324" i="7" s="1"/>
  <c r="Y324" i="7" s="1"/>
  <c r="AL328" i="7"/>
  <c r="AE328" i="7" s="1"/>
  <c r="Y328" i="7" s="1"/>
  <c r="AL332" i="7"/>
  <c r="AE332" i="7" s="1"/>
  <c r="Y332" i="7" s="1"/>
  <c r="AL336" i="7"/>
  <c r="AE336" i="7" s="1"/>
  <c r="Y336" i="7" s="1"/>
  <c r="AL340" i="7"/>
  <c r="AE340" i="7" s="1"/>
  <c r="Y340" i="7" s="1"/>
  <c r="AL344" i="7"/>
  <c r="AE344" i="7" s="1"/>
  <c r="Y344" i="7" s="1"/>
  <c r="AL348" i="7"/>
  <c r="AE348" i="7" s="1"/>
  <c r="Y348" i="7" s="1"/>
  <c r="AL352" i="7"/>
  <c r="AE352" i="7" s="1"/>
  <c r="Y352" i="7" s="1"/>
  <c r="AL356" i="7"/>
  <c r="AE356" i="7" s="1"/>
  <c r="Y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Y384" i="7" s="1"/>
  <c r="AQ387" i="7"/>
  <c r="AH387" i="7" s="1"/>
  <c r="AL391" i="7"/>
  <c r="AE391" i="7" s="1"/>
  <c r="AM393" i="7"/>
  <c r="AF393" i="7" s="1"/>
  <c r="Y393" i="7" s="1"/>
  <c r="AM395" i="7"/>
  <c r="AF395" i="7" s="1"/>
  <c r="Y395" i="7" s="1"/>
  <c r="AO399" i="7"/>
  <c r="AP399" i="7"/>
  <c r="AG399" i="7" s="1"/>
  <c r="Z399" i="7" s="1"/>
  <c r="AQ401" i="7"/>
  <c r="AH401" i="7" s="1"/>
  <c r="AL408" i="7"/>
  <c r="AE408" i="7" s="1"/>
  <c r="Y408" i="7" s="1"/>
  <c r="AM410" i="7"/>
  <c r="AF410" i="7" s="1"/>
  <c r="Y410" i="7" s="1"/>
  <c r="AO414" i="7"/>
  <c r="AN414" i="7"/>
  <c r="Y414" i="7" s="1"/>
  <c r="AQ414" i="7"/>
  <c r="AH414" i="7" s="1"/>
  <c r="AN417" i="7"/>
  <c r="Y417" i="7" s="1"/>
  <c r="AL420" i="7"/>
  <c r="AE420" i="7" s="1"/>
  <c r="Y420" i="7" s="1"/>
  <c r="AQ422" i="7"/>
  <c r="AH422" i="7" s="1"/>
  <c r="AN432" i="7"/>
  <c r="AQ435" i="7"/>
  <c r="AH435" i="7" s="1"/>
  <c r="Z435" i="7" s="1"/>
  <c r="AN436" i="7"/>
  <c r="AR439" i="7"/>
  <c r="AI439" i="7" s="1"/>
  <c r="Z439" i="7" s="1"/>
  <c r="AO441" i="7"/>
  <c r="Y441" i="7" s="1"/>
  <c r="AM478" i="7"/>
  <c r="AF478" i="7" s="1"/>
  <c r="AO366" i="7"/>
  <c r="AN366" i="7"/>
  <c r="Y366" i="7" s="1"/>
  <c r="AM368" i="7"/>
  <c r="AF368" i="7" s="1"/>
  <c r="AQ380" i="7"/>
  <c r="AH380" i="7" s="1"/>
  <c r="AO382" i="7"/>
  <c r="AN382" i="7"/>
  <c r="Y382" i="7" s="1"/>
  <c r="AM384" i="7"/>
  <c r="AF384" i="7" s="1"/>
  <c r="AN393" i="7"/>
  <c r="AN395" i="7"/>
  <c r="AP397" i="7"/>
  <c r="AG397" i="7" s="1"/>
  <c r="Z397" i="7" s="1"/>
  <c r="AL406" i="7"/>
  <c r="AE406" i="7" s="1"/>
  <c r="AM408" i="7"/>
  <c r="AF408" i="7" s="1"/>
  <c r="AO412" i="7"/>
  <c r="Y412" i="7" s="1"/>
  <c r="AP412" i="7"/>
  <c r="AG412" i="7" s="1"/>
  <c r="Z412" i="7" s="1"/>
  <c r="AM420" i="7"/>
  <c r="AF420" i="7" s="1"/>
  <c r="AO422" i="7"/>
  <c r="AN422" i="7"/>
  <c r="Y422" i="7" s="1"/>
  <c r="AP425" i="7"/>
  <c r="AG425" i="7" s="1"/>
  <c r="Z425" i="7" s="1"/>
  <c r="AM429" i="7"/>
  <c r="AF429" i="7" s="1"/>
  <c r="Y429" i="7" s="1"/>
  <c r="AP432" i="7"/>
  <c r="AG432" i="7" s="1"/>
  <c r="AP436" i="7"/>
  <c r="AG436" i="7" s="1"/>
  <c r="AL442" i="7"/>
  <c r="AE442" i="7" s="1"/>
  <c r="Y442" i="7" s="1"/>
  <c r="Z483" i="7"/>
  <c r="Y515" i="7"/>
  <c r="AO359" i="7"/>
  <c r="AN359" i="7"/>
  <c r="AO375" i="7"/>
  <c r="AN375" i="7"/>
  <c r="AO391" i="7"/>
  <c r="AN391" i="7"/>
  <c r="AP395" i="7"/>
  <c r="AG395" i="7" s="1"/>
  <c r="Z395" i="7" s="1"/>
  <c r="AL404" i="7"/>
  <c r="AE404" i="7" s="1"/>
  <c r="Y404" i="7" s="1"/>
  <c r="AM406" i="7"/>
  <c r="AF406" i="7" s="1"/>
  <c r="AN408" i="7"/>
  <c r="AO410" i="7"/>
  <c r="AP410" i="7"/>
  <c r="AG410" i="7" s="1"/>
  <c r="Z410" i="7" s="1"/>
  <c r="AP417" i="7"/>
  <c r="AG417" i="7" s="1"/>
  <c r="AN420" i="7"/>
  <c r="AL425" i="7"/>
  <c r="AE425" i="7" s="1"/>
  <c r="Y425" i="7" s="1"/>
  <c r="AQ425" i="7"/>
  <c r="AH425" i="7" s="1"/>
  <c r="AQ432" i="7"/>
  <c r="AH432" i="7" s="1"/>
  <c r="AO435" i="7"/>
  <c r="AN435" i="7"/>
  <c r="Y435" i="7" s="1"/>
  <c r="AQ436" i="7"/>
  <c r="AH436" i="7" s="1"/>
  <c r="Y480" i="7"/>
  <c r="Y497" i="7"/>
  <c r="Y499" i="7"/>
  <c r="AP391" i="7"/>
  <c r="AG391" i="7" s="1"/>
  <c r="AP393" i="7"/>
  <c r="AG393" i="7" s="1"/>
  <c r="Z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Z384" i="7" s="1"/>
  <c r="AL388" i="7"/>
  <c r="AE388" i="7" s="1"/>
  <c r="AQ391" i="7"/>
  <c r="AH391" i="7" s="1"/>
  <c r="AQ393" i="7"/>
  <c r="AH393" i="7" s="1"/>
  <c r="AQ408" i="7"/>
  <c r="AH408" i="7" s="1"/>
  <c r="Z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Z477" i="7"/>
  <c r="AQ356" i="7"/>
  <c r="AH356" i="7" s="1"/>
  <c r="Z356" i="7" s="1"/>
  <c r="AL365" i="7"/>
  <c r="AE365" i="7" s="1"/>
  <c r="AN370" i="7"/>
  <c r="Y370" i="7" s="1"/>
  <c r="AP377" i="7"/>
  <c r="AG377" i="7" s="1"/>
  <c r="Z377" i="7" s="1"/>
  <c r="AL381" i="7"/>
  <c r="AE381" i="7" s="1"/>
  <c r="AQ384" i="7"/>
  <c r="AH384" i="7" s="1"/>
  <c r="AN386" i="7"/>
  <c r="Y386" i="7" s="1"/>
  <c r="AM388" i="7"/>
  <c r="AF388" i="7" s="1"/>
  <c r="AL398" i="7"/>
  <c r="AE398" i="7" s="1"/>
  <c r="AQ406" i="7"/>
  <c r="AH406" i="7" s="1"/>
  <c r="Z406" i="7" s="1"/>
  <c r="AL413" i="7"/>
  <c r="AE413" i="7" s="1"/>
  <c r="AL446" i="7"/>
  <c r="AE446" i="7" s="1"/>
  <c r="AN459" i="7"/>
  <c r="Y487" i="7"/>
  <c r="AN363" i="7"/>
  <c r="Y363" i="7" s="1"/>
  <c r="AM365" i="7"/>
  <c r="AF365" i="7" s="1"/>
  <c r="AQ377" i="7"/>
  <c r="AH377" i="7" s="1"/>
  <c r="AN379" i="7"/>
  <c r="Y379" i="7" s="1"/>
  <c r="AM381" i="7"/>
  <c r="AF381" i="7" s="1"/>
  <c r="AN400" i="7"/>
  <c r="AP402" i="7"/>
  <c r="AG402" i="7" s="1"/>
  <c r="Z402" i="7" s="1"/>
  <c r="AM413" i="7"/>
  <c r="AF413" i="7" s="1"/>
  <c r="AP415" i="7"/>
  <c r="AG415" i="7" s="1"/>
  <c r="Z415" i="7" s="1"/>
  <c r="AL421" i="7"/>
  <c r="AE421" i="7" s="1"/>
  <c r="Y421" i="7" s="1"/>
  <c r="AP423" i="7"/>
  <c r="AG423" i="7" s="1"/>
  <c r="AL430" i="7"/>
  <c r="AE430" i="7" s="1"/>
  <c r="AL438" i="7"/>
  <c r="AE438" i="7" s="1"/>
  <c r="AQ443" i="7"/>
  <c r="AH443" i="7" s="1"/>
  <c r="Z443" i="7" s="1"/>
  <c r="AO445" i="7"/>
  <c r="AM446" i="7"/>
  <c r="AF446" i="7" s="1"/>
  <c r="AL447" i="7"/>
  <c r="AE447" i="7" s="1"/>
  <c r="Y447" i="7" s="1"/>
  <c r="AO467" i="7"/>
  <c r="AM467" i="7"/>
  <c r="AF467" i="7" s="1"/>
  <c r="AL467" i="7"/>
  <c r="AE467" i="7" s="1"/>
  <c r="AM469" i="7"/>
  <c r="AF469" i="7" s="1"/>
  <c r="AL469" i="7"/>
  <c r="AE469" i="7" s="1"/>
  <c r="Y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Z386" i="7" s="1"/>
  <c r="AL390" i="7"/>
  <c r="AE390" i="7" s="1"/>
  <c r="AM396" i="7"/>
  <c r="AF396" i="7" s="1"/>
  <c r="Y396" i="7" s="1"/>
  <c r="AQ402" i="7"/>
  <c r="AH402" i="7" s="1"/>
  <c r="AM421" i="7"/>
  <c r="AF421" i="7" s="1"/>
  <c r="AQ423" i="7"/>
  <c r="AH423" i="7" s="1"/>
  <c r="AP433" i="7"/>
  <c r="AG433" i="7" s="1"/>
  <c r="Z433" i="7" s="1"/>
  <c r="AR446" i="7"/>
  <c r="AI446" i="7" s="1"/>
  <c r="AO452" i="7"/>
  <c r="AM452" i="7"/>
  <c r="AF452" i="7" s="1"/>
  <c r="Y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Z487" i="7"/>
  <c r="AL330" i="7"/>
  <c r="AE330" i="7" s="1"/>
  <c r="Y330" i="7" s="1"/>
  <c r="AL334" i="7"/>
  <c r="AE334" i="7" s="1"/>
  <c r="AL338" i="7"/>
  <c r="AE338" i="7" s="1"/>
  <c r="AP339" i="7"/>
  <c r="AG339" i="7" s="1"/>
  <c r="Z339" i="7" s="1"/>
  <c r="AL342" i="7"/>
  <c r="AE342" i="7" s="1"/>
  <c r="AP343" i="7"/>
  <c r="AG343" i="7" s="1"/>
  <c r="Z343" i="7" s="1"/>
  <c r="AL346" i="7"/>
  <c r="AE346" i="7" s="1"/>
  <c r="AP347" i="7"/>
  <c r="AG347" i="7" s="1"/>
  <c r="Z347" i="7" s="1"/>
  <c r="AL350" i="7"/>
  <c r="AE350" i="7" s="1"/>
  <c r="AP351" i="7"/>
  <c r="AG351" i="7" s="1"/>
  <c r="Z351" i="7" s="1"/>
  <c r="AL354" i="7"/>
  <c r="AE354" i="7" s="1"/>
  <c r="Y354" i="7" s="1"/>
  <c r="AP355" i="7"/>
  <c r="AG355" i="7" s="1"/>
  <c r="Z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Z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Y394" i="7" s="1"/>
  <c r="AO398" i="7"/>
  <c r="AP398" i="7"/>
  <c r="AG398" i="7" s="1"/>
  <c r="Z398" i="7" s="1"/>
  <c r="AQ400" i="7"/>
  <c r="AH400" i="7" s="1"/>
  <c r="Z400" i="7" s="1"/>
  <c r="AM409" i="7"/>
  <c r="AF409" i="7" s="1"/>
  <c r="Y409" i="7" s="1"/>
  <c r="AM411" i="7"/>
  <c r="AF411" i="7" s="1"/>
  <c r="Y411" i="7" s="1"/>
  <c r="AL416" i="7"/>
  <c r="AE416" i="7" s="1"/>
  <c r="Y416" i="7" s="1"/>
  <c r="AQ418" i="7"/>
  <c r="AH418" i="7" s="1"/>
  <c r="Z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Z438" i="7" s="1"/>
  <c r="AO442" i="7"/>
  <c r="AN442" i="7"/>
  <c r="AM462" i="7"/>
  <c r="AF462" i="7" s="1"/>
  <c r="AP466" i="7"/>
  <c r="AG466" i="7" s="1"/>
  <c r="Z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Y358" i="7" s="1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Z381" i="7" s="1"/>
  <c r="AQ388" i="7"/>
  <c r="AH388" i="7" s="1"/>
  <c r="AO390" i="7"/>
  <c r="AN390" i="7"/>
  <c r="AO396" i="7"/>
  <c r="AP396" i="7"/>
  <c r="AG396" i="7" s="1"/>
  <c r="AL405" i="7"/>
  <c r="AE405" i="7" s="1"/>
  <c r="Y405" i="7" s="1"/>
  <c r="AL407" i="7"/>
  <c r="AE407" i="7" s="1"/>
  <c r="AN409" i="7"/>
  <c r="AP413" i="7"/>
  <c r="AG413" i="7" s="1"/>
  <c r="Z413" i="7" s="1"/>
  <c r="AM416" i="7"/>
  <c r="AF416" i="7" s="1"/>
  <c r="AO418" i="7"/>
  <c r="AN418" i="7"/>
  <c r="Y418" i="7" s="1"/>
  <c r="AM424" i="7"/>
  <c r="AF424" i="7" s="1"/>
  <c r="AP426" i="7"/>
  <c r="AG426" i="7" s="1"/>
  <c r="Z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Z442" i="7" s="1"/>
  <c r="AO443" i="7"/>
  <c r="AN443" i="7"/>
  <c r="Y443" i="7" s="1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Z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Y444" i="7" s="1"/>
  <c r="AO451" i="7"/>
  <c r="AN451" i="7"/>
  <c r="AM451" i="7"/>
  <c r="AF451" i="7" s="1"/>
  <c r="Y451" i="7" s="1"/>
  <c r="Z461" i="7"/>
  <c r="AQ476" i="7"/>
  <c r="AH476" i="7" s="1"/>
  <c r="Z514" i="7"/>
  <c r="AL403" i="7"/>
  <c r="AE403" i="7" s="1"/>
  <c r="Y403" i="7" s="1"/>
  <c r="AN405" i="7"/>
  <c r="AN407" i="7"/>
  <c r="AP416" i="7"/>
  <c r="AG416" i="7" s="1"/>
  <c r="Z416" i="7" s="1"/>
  <c r="AL419" i="7"/>
  <c r="AE419" i="7" s="1"/>
  <c r="Y419" i="7" s="1"/>
  <c r="AP424" i="7"/>
  <c r="AG424" i="7" s="1"/>
  <c r="Z424" i="7" s="1"/>
  <c r="AP427" i="7"/>
  <c r="AG427" i="7" s="1"/>
  <c r="Z427" i="7" s="1"/>
  <c r="AL428" i="7"/>
  <c r="AE428" i="7" s="1"/>
  <c r="Y428" i="7" s="1"/>
  <c r="AO430" i="7"/>
  <c r="AN430" i="7"/>
  <c r="AL431" i="7"/>
  <c r="AE431" i="7" s="1"/>
  <c r="Y431" i="7" s="1"/>
  <c r="AQ434" i="7"/>
  <c r="AH434" i="7" s="1"/>
  <c r="Z434" i="7" s="1"/>
  <c r="AM439" i="7"/>
  <c r="AF439" i="7" s="1"/>
  <c r="AL440" i="7"/>
  <c r="AE440" i="7" s="1"/>
  <c r="Y440" i="7" s="1"/>
  <c r="AL445" i="7"/>
  <c r="AE445" i="7" s="1"/>
  <c r="AR451" i="7"/>
  <c r="AI451" i="7" s="1"/>
  <c r="AR460" i="7"/>
  <c r="AI460" i="7" s="1"/>
  <c r="AR486" i="7"/>
  <c r="AI486" i="7" s="1"/>
  <c r="Y491" i="7"/>
  <c r="Z516" i="7"/>
  <c r="AO427" i="7"/>
  <c r="AQ427" i="7"/>
  <c r="AH427" i="7" s="1"/>
  <c r="AP430" i="7"/>
  <c r="AG430" i="7" s="1"/>
  <c r="Z430" i="7" s="1"/>
  <c r="AO438" i="7"/>
  <c r="AN438" i="7"/>
  <c r="AO448" i="7"/>
  <c r="AM448" i="7"/>
  <c r="AF448" i="7" s="1"/>
  <c r="AO450" i="7"/>
  <c r="AN450" i="7"/>
  <c r="AM450" i="7"/>
  <c r="AF450" i="7" s="1"/>
  <c r="Y450" i="7" s="1"/>
  <c r="AO478" i="7"/>
  <c r="AL478" i="7"/>
  <c r="AE478" i="7" s="1"/>
  <c r="AR527" i="7"/>
  <c r="AI527" i="7" s="1"/>
  <c r="AQ527" i="7"/>
  <c r="AH527" i="7" s="1"/>
  <c r="AP527" i="7"/>
  <c r="AG527" i="7" s="1"/>
  <c r="AR537" i="7"/>
  <c r="AI537" i="7" s="1"/>
  <c r="AQ537" i="7"/>
  <c r="AH537" i="7" s="1"/>
  <c r="AP537" i="7"/>
  <c r="AG537" i="7" s="1"/>
  <c r="Z556" i="7"/>
  <c r="AO504" i="7"/>
  <c r="AM504" i="7"/>
  <c r="AF504" i="7" s="1"/>
  <c r="AO525" i="7"/>
  <c r="AN525" i="7"/>
  <c r="AR531" i="7"/>
  <c r="AI531" i="7" s="1"/>
  <c r="AQ531" i="7"/>
  <c r="AH531" i="7" s="1"/>
  <c r="AP531" i="7"/>
  <c r="AG531" i="7" s="1"/>
  <c r="AN455" i="7"/>
  <c r="Y455" i="7" s="1"/>
  <c r="AP462" i="7"/>
  <c r="AG462" i="7" s="1"/>
  <c r="Z462" i="7" s="1"/>
  <c r="AN471" i="7"/>
  <c r="Y471" i="7" s="1"/>
  <c r="AP478" i="7"/>
  <c r="AG478" i="7" s="1"/>
  <c r="Z478" i="7" s="1"/>
  <c r="AP485" i="7"/>
  <c r="AG485" i="7" s="1"/>
  <c r="AN487" i="7"/>
  <c r="AL489" i="7"/>
  <c r="AE489" i="7" s="1"/>
  <c r="Y489" i="7" s="1"/>
  <c r="AM493" i="7"/>
  <c r="AF493" i="7" s="1"/>
  <c r="Y493" i="7" s="1"/>
  <c r="AM495" i="7"/>
  <c r="AF495" i="7" s="1"/>
  <c r="Y495" i="7" s="1"/>
  <c r="AR501" i="7"/>
  <c r="AI501" i="7" s="1"/>
  <c r="Z501" i="7" s="1"/>
  <c r="AP520" i="7"/>
  <c r="AG520" i="7" s="1"/>
  <c r="AR534" i="7"/>
  <c r="AI534" i="7" s="1"/>
  <c r="AQ534" i="7"/>
  <c r="AH534" i="7" s="1"/>
  <c r="AP534" i="7"/>
  <c r="AG534" i="7" s="1"/>
  <c r="AO540" i="7"/>
  <c r="AN540" i="7"/>
  <c r="AR544" i="7"/>
  <c r="AI544" i="7" s="1"/>
  <c r="AQ544" i="7"/>
  <c r="AH544" i="7" s="1"/>
  <c r="Z544" i="7" s="1"/>
  <c r="AO573" i="7"/>
  <c r="AN573" i="7"/>
  <c r="AM573" i="7"/>
  <c r="AF573" i="7" s="1"/>
  <c r="AL573" i="7"/>
  <c r="AE573" i="7" s="1"/>
  <c r="Y573" i="7" s="1"/>
  <c r="AN464" i="7"/>
  <c r="Y464" i="7" s="1"/>
  <c r="AN480" i="7"/>
  <c r="AQ485" i="7"/>
  <c r="AH485" i="7" s="1"/>
  <c r="AM489" i="7"/>
  <c r="AF489" i="7" s="1"/>
  <c r="AM491" i="7"/>
  <c r="AF491" i="7" s="1"/>
  <c r="AN493" i="7"/>
  <c r="AN495" i="7"/>
  <c r="AP505" i="7"/>
  <c r="AG505" i="7" s="1"/>
  <c r="Z505" i="7" s="1"/>
  <c r="AL506" i="7"/>
  <c r="AE506" i="7" s="1"/>
  <c r="AM511" i="7"/>
  <c r="AF511" i="7" s="1"/>
  <c r="AO512" i="7"/>
  <c r="AL512" i="7"/>
  <c r="AE512" i="7" s="1"/>
  <c r="AP517" i="7"/>
  <c r="AG517" i="7" s="1"/>
  <c r="Z517" i="7" s="1"/>
  <c r="AQ520" i="7"/>
  <c r="AH520" i="7" s="1"/>
  <c r="Z558" i="7"/>
  <c r="AO588" i="7"/>
  <c r="AL588" i="7"/>
  <c r="AE588" i="7" s="1"/>
  <c r="AN588" i="7"/>
  <c r="AM588" i="7"/>
  <c r="AF588" i="7" s="1"/>
  <c r="AP480" i="7"/>
  <c r="AG480" i="7" s="1"/>
  <c r="AN489" i="7"/>
  <c r="AP497" i="7"/>
  <c r="AG497" i="7" s="1"/>
  <c r="Z497" i="7" s="1"/>
  <c r="AP499" i="7"/>
  <c r="AG499" i="7" s="1"/>
  <c r="Z499" i="7" s="1"/>
  <c r="Y502" i="7"/>
  <c r="AR505" i="7"/>
  <c r="AI505" i="7" s="1"/>
  <c r="AR511" i="7"/>
  <c r="AI511" i="7" s="1"/>
  <c r="AR512" i="7"/>
  <c r="AI512" i="7" s="1"/>
  <c r="AQ512" i="7"/>
  <c r="AH512" i="7" s="1"/>
  <c r="AO523" i="7"/>
  <c r="AN523" i="7"/>
  <c r="AL523" i="7"/>
  <c r="AE523" i="7" s="1"/>
  <c r="AO524" i="7"/>
  <c r="AN524" i="7"/>
  <c r="AR588" i="7"/>
  <c r="AI588" i="7" s="1"/>
  <c r="AQ588" i="7"/>
  <c r="AH588" i="7" s="1"/>
  <c r="AP588" i="7"/>
  <c r="AG588" i="7" s="1"/>
  <c r="Z588" i="7" s="1"/>
  <c r="AO466" i="7"/>
  <c r="AN466" i="7"/>
  <c r="Y466" i="7" s="1"/>
  <c r="AM475" i="7"/>
  <c r="AF475" i="7" s="1"/>
  <c r="Y475" i="7" s="1"/>
  <c r="AQ480" i="7"/>
  <c r="AH480" i="7" s="1"/>
  <c r="AO482" i="7"/>
  <c r="AN482" i="7"/>
  <c r="Y482" i="7" s="1"/>
  <c r="AP493" i="7"/>
  <c r="AG493" i="7" s="1"/>
  <c r="Z493" i="7" s="1"/>
  <c r="AP495" i="7"/>
  <c r="AG495" i="7" s="1"/>
  <c r="Z495" i="7" s="1"/>
  <c r="AQ497" i="7"/>
  <c r="AH497" i="7" s="1"/>
  <c r="AR499" i="7"/>
  <c r="AI499" i="7" s="1"/>
  <c r="AL505" i="7"/>
  <c r="AE505" i="7" s="1"/>
  <c r="Y505" i="7" s="1"/>
  <c r="AQ524" i="7"/>
  <c r="AH524" i="7" s="1"/>
  <c r="AR562" i="7"/>
  <c r="AI562" i="7" s="1"/>
  <c r="AQ562" i="7"/>
  <c r="AH562" i="7" s="1"/>
  <c r="AP562" i="7"/>
  <c r="AG562" i="7" s="1"/>
  <c r="Z580" i="7"/>
  <c r="AN475" i="7"/>
  <c r="AP482" i="7"/>
  <c r="AG482" i="7" s="1"/>
  <c r="AP491" i="7"/>
  <c r="AG491" i="7" s="1"/>
  <c r="Z491" i="7" s="1"/>
  <c r="AO522" i="7"/>
  <c r="AN522" i="7"/>
  <c r="AL530" i="7"/>
  <c r="AE530" i="7" s="1"/>
  <c r="AO530" i="7"/>
  <c r="AR536" i="7"/>
  <c r="AI536" i="7" s="1"/>
  <c r="AQ536" i="7"/>
  <c r="AH536" i="7" s="1"/>
  <c r="AP536" i="7"/>
  <c r="AG536" i="7" s="1"/>
  <c r="Z568" i="7"/>
  <c r="AO575" i="7"/>
  <c r="AN575" i="7"/>
  <c r="AM575" i="7"/>
  <c r="AF575" i="7" s="1"/>
  <c r="AL575" i="7"/>
  <c r="AE575" i="7" s="1"/>
  <c r="AQ448" i="7"/>
  <c r="AH448" i="7" s="1"/>
  <c r="Z448" i="7" s="1"/>
  <c r="AQ452" i="7"/>
  <c r="AH452" i="7" s="1"/>
  <c r="Z452" i="7" s="1"/>
  <c r="AN468" i="7"/>
  <c r="Y468" i="7" s="1"/>
  <c r="AQ473" i="7"/>
  <c r="AH473" i="7" s="1"/>
  <c r="Z473" i="7" s="1"/>
  <c r="AM477" i="7"/>
  <c r="AF477" i="7" s="1"/>
  <c r="Y477" i="7" s="1"/>
  <c r="AQ482" i="7"/>
  <c r="AH482" i="7" s="1"/>
  <c r="AN484" i="7"/>
  <c r="Y484" i="7" s="1"/>
  <c r="AQ489" i="7"/>
  <c r="AH489" i="7" s="1"/>
  <c r="Z489" i="7" s="1"/>
  <c r="AR491" i="7"/>
  <c r="AI491" i="7" s="1"/>
  <c r="AL500" i="7"/>
  <c r="AE500" i="7" s="1"/>
  <c r="AO502" i="7"/>
  <c r="AM502" i="7"/>
  <c r="AF502" i="7" s="1"/>
  <c r="Z507" i="7"/>
  <c r="AR530" i="7"/>
  <c r="AI530" i="7" s="1"/>
  <c r="AQ530" i="7"/>
  <c r="AH530" i="7" s="1"/>
  <c r="AP530" i="7"/>
  <c r="AG530" i="7" s="1"/>
  <c r="AP459" i="7"/>
  <c r="AG459" i="7" s="1"/>
  <c r="Z459" i="7" s="1"/>
  <c r="AN461" i="7"/>
  <c r="Y461" i="7" s="1"/>
  <c r="AL463" i="7"/>
  <c r="AE463" i="7" s="1"/>
  <c r="Y463" i="7" s="1"/>
  <c r="AP468" i="7"/>
  <c r="AG468" i="7" s="1"/>
  <c r="Z468" i="7" s="1"/>
  <c r="AP475" i="7"/>
  <c r="AG475" i="7" s="1"/>
  <c r="Z475" i="7" s="1"/>
  <c r="AN477" i="7"/>
  <c r="AL479" i="7"/>
  <c r="AE479" i="7" s="1"/>
  <c r="AP484" i="7"/>
  <c r="AG484" i="7" s="1"/>
  <c r="Z484" i="7" s="1"/>
  <c r="AR515" i="7"/>
  <c r="AI515" i="7" s="1"/>
  <c r="AP515" i="7"/>
  <c r="AG515" i="7" s="1"/>
  <c r="Z515" i="7" s="1"/>
  <c r="AO519" i="7"/>
  <c r="AN519" i="7"/>
  <c r="Y519" i="7" s="1"/>
  <c r="AL525" i="7"/>
  <c r="AE525" i="7" s="1"/>
  <c r="AO533" i="7"/>
  <c r="AL533" i="7"/>
  <c r="AE533" i="7" s="1"/>
  <c r="Z539" i="7"/>
  <c r="AR591" i="7"/>
  <c r="AI591" i="7" s="1"/>
  <c r="AQ591" i="7"/>
  <c r="AH591" i="7" s="1"/>
  <c r="AP591" i="7"/>
  <c r="AG591" i="7" s="1"/>
  <c r="AO454" i="7"/>
  <c r="AN454" i="7"/>
  <c r="Y454" i="7" s="1"/>
  <c r="AM463" i="7"/>
  <c r="AF463" i="7" s="1"/>
  <c r="AO470" i="7"/>
  <c r="AN470" i="7"/>
  <c r="Y470" i="7" s="1"/>
  <c r="AM479" i="7"/>
  <c r="AF479" i="7" s="1"/>
  <c r="AO486" i="7"/>
  <c r="AN486" i="7"/>
  <c r="Y486" i="7" s="1"/>
  <c r="Y492" i="7"/>
  <c r="AM496" i="7"/>
  <c r="AF496" i="7" s="1"/>
  <c r="Y496" i="7" s="1"/>
  <c r="AP500" i="7"/>
  <c r="AG500" i="7" s="1"/>
  <c r="Z500" i="7" s="1"/>
  <c r="AN506" i="7"/>
  <c r="AQ506" i="7"/>
  <c r="AH506" i="7" s="1"/>
  <c r="AP506" i="7"/>
  <c r="AG506" i="7" s="1"/>
  <c r="Z506" i="7" s="1"/>
  <c r="AQ521" i="7"/>
  <c r="AH521" i="7" s="1"/>
  <c r="AM525" i="7"/>
  <c r="AF525" i="7" s="1"/>
  <c r="AR533" i="7"/>
  <c r="AI533" i="7" s="1"/>
  <c r="AQ533" i="7"/>
  <c r="AH533" i="7" s="1"/>
  <c r="AP533" i="7"/>
  <c r="AG533" i="7" s="1"/>
  <c r="Z533" i="7" s="1"/>
  <c r="AP454" i="7"/>
  <c r="AG454" i="7" s="1"/>
  <c r="AN463" i="7"/>
  <c r="AL465" i="7"/>
  <c r="AE465" i="7" s="1"/>
  <c r="Y465" i="7" s="1"/>
  <c r="AP470" i="7"/>
  <c r="AG470" i="7" s="1"/>
  <c r="Z470" i="7" s="1"/>
  <c r="AN479" i="7"/>
  <c r="AL481" i="7"/>
  <c r="AE481" i="7" s="1"/>
  <c r="AP486" i="7"/>
  <c r="AG486" i="7" s="1"/>
  <c r="Z486" i="7" s="1"/>
  <c r="AL494" i="7"/>
  <c r="AE494" i="7" s="1"/>
  <c r="AO500" i="7"/>
  <c r="AM500" i="7"/>
  <c r="AF500" i="7" s="1"/>
  <c r="AR518" i="7"/>
  <c r="AI518" i="7" s="1"/>
  <c r="AP518" i="7"/>
  <c r="AG518" i="7" s="1"/>
  <c r="AN559" i="7"/>
  <c r="AO559" i="7"/>
  <c r="AM559" i="7"/>
  <c r="AF559" i="7" s="1"/>
  <c r="AL559" i="7"/>
  <c r="AE559" i="7" s="1"/>
  <c r="AO567" i="7"/>
  <c r="AN567" i="7"/>
  <c r="AM567" i="7"/>
  <c r="AF567" i="7" s="1"/>
  <c r="AL567" i="7"/>
  <c r="AE567" i="7" s="1"/>
  <c r="Y567" i="7" s="1"/>
  <c r="AQ451" i="7"/>
  <c r="AH451" i="7" s="1"/>
  <c r="Z451" i="7" s="1"/>
  <c r="AQ454" i="7"/>
  <c r="AH454" i="7" s="1"/>
  <c r="AO456" i="7"/>
  <c r="AN456" i="7"/>
  <c r="Y456" i="7" s="1"/>
  <c r="AQ470" i="7"/>
  <c r="AH470" i="7" s="1"/>
  <c r="AO472" i="7"/>
  <c r="Y472" i="7" s="1"/>
  <c r="AN472" i="7"/>
  <c r="AQ486" i="7"/>
  <c r="AH486" i="7" s="1"/>
  <c r="AO488" i="7"/>
  <c r="AN488" i="7"/>
  <c r="Y488" i="7" s="1"/>
  <c r="AL490" i="7"/>
  <c r="AE490" i="7" s="1"/>
  <c r="Y490" i="7" s="1"/>
  <c r="AO498" i="7"/>
  <c r="AM498" i="7"/>
  <c r="AF498" i="7" s="1"/>
  <c r="Y498" i="7" s="1"/>
  <c r="AP498" i="7"/>
  <c r="AG498" i="7" s="1"/>
  <c r="AL524" i="7"/>
  <c r="AE524" i="7" s="1"/>
  <c r="AM530" i="7"/>
  <c r="AF530" i="7" s="1"/>
  <c r="AR559" i="7"/>
  <c r="AI559" i="7" s="1"/>
  <c r="AQ559" i="7"/>
  <c r="AH559" i="7" s="1"/>
  <c r="AP559" i="7"/>
  <c r="AG559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88" i="7"/>
  <c r="AG488" i="7" s="1"/>
  <c r="Z488" i="7" s="1"/>
  <c r="AO494" i="7"/>
  <c r="AM494" i="7"/>
  <c r="AF494" i="7" s="1"/>
  <c r="AP494" i="7"/>
  <c r="AG494" i="7" s="1"/>
  <c r="Z494" i="7" s="1"/>
  <c r="AQ496" i="7"/>
  <c r="AH496" i="7" s="1"/>
  <c r="Z496" i="7" s="1"/>
  <c r="AQ498" i="7"/>
  <c r="AH498" i="7" s="1"/>
  <c r="AP503" i="7"/>
  <c r="AG503" i="7" s="1"/>
  <c r="AL504" i="7"/>
  <c r="AE504" i="7" s="1"/>
  <c r="AN512" i="7"/>
  <c r="AM523" i="7"/>
  <c r="AF523" i="7" s="1"/>
  <c r="AM524" i="7"/>
  <c r="AF524" i="7" s="1"/>
  <c r="AO528" i="7"/>
  <c r="AN528" i="7"/>
  <c r="Y528" i="7" s="1"/>
  <c r="AN530" i="7"/>
  <c r="AM533" i="7"/>
  <c r="AF533" i="7" s="1"/>
  <c r="Y552" i="7"/>
  <c r="AO589" i="7"/>
  <c r="AN589" i="7"/>
  <c r="AQ456" i="7"/>
  <c r="AH456" i="7" s="1"/>
  <c r="AO458" i="7"/>
  <c r="AN458" i="7"/>
  <c r="Y458" i="7" s="1"/>
  <c r="AL460" i="7"/>
  <c r="AE460" i="7" s="1"/>
  <c r="AQ463" i="7"/>
  <c r="AH463" i="7" s="1"/>
  <c r="AQ472" i="7"/>
  <c r="AH472" i="7" s="1"/>
  <c r="AO474" i="7"/>
  <c r="AN474" i="7"/>
  <c r="Y474" i="7" s="1"/>
  <c r="AL476" i="7"/>
  <c r="AE476" i="7" s="1"/>
  <c r="AQ479" i="7"/>
  <c r="AH479" i="7" s="1"/>
  <c r="AM483" i="7"/>
  <c r="AF483" i="7" s="1"/>
  <c r="AQ488" i="7"/>
  <c r="AH488" i="7" s="1"/>
  <c r="AO490" i="7"/>
  <c r="AM490" i="7"/>
  <c r="AF490" i="7" s="1"/>
  <c r="AP490" i="7"/>
  <c r="AG490" i="7" s="1"/>
  <c r="Z490" i="7" s="1"/>
  <c r="AQ492" i="7"/>
  <c r="AH492" i="7" s="1"/>
  <c r="Z492" i="7" s="1"/>
  <c r="AQ494" i="7"/>
  <c r="AH494" i="7" s="1"/>
  <c r="AL501" i="7"/>
  <c r="AE501" i="7" s="1"/>
  <c r="Y501" i="7" s="1"/>
  <c r="AR503" i="7"/>
  <c r="AI503" i="7" s="1"/>
  <c r="AN504" i="7"/>
  <c r="AP510" i="7"/>
  <c r="AG510" i="7" s="1"/>
  <c r="AO511" i="7"/>
  <c r="AP512" i="7"/>
  <c r="AG512" i="7" s="1"/>
  <c r="AL522" i="7"/>
  <c r="AE522" i="7" s="1"/>
  <c r="Y522" i="7" s="1"/>
  <c r="AR524" i="7"/>
  <c r="AI524" i="7" s="1"/>
  <c r="Z524" i="7" s="1"/>
  <c r="AN533" i="7"/>
  <c r="AM540" i="7"/>
  <c r="AF540" i="7" s="1"/>
  <c r="AP450" i="7"/>
  <c r="AG450" i="7" s="1"/>
  <c r="Z450" i="7" s="1"/>
  <c r="AM501" i="7"/>
  <c r="AF501" i="7" s="1"/>
  <c r="AL508" i="7"/>
  <c r="AE508" i="7" s="1"/>
  <c r="Y508" i="7" s="1"/>
  <c r="AR509" i="7"/>
  <c r="AI509" i="7" s="1"/>
  <c r="AQ509" i="7"/>
  <c r="AH509" i="7" s="1"/>
  <c r="Z509" i="7" s="1"/>
  <c r="AR510" i="7"/>
  <c r="AI510" i="7" s="1"/>
  <c r="AP511" i="7"/>
  <c r="AG511" i="7" s="1"/>
  <c r="AP513" i="7"/>
  <c r="AG513" i="7" s="1"/>
  <c r="Z513" i="7" s="1"/>
  <c r="AM522" i="7"/>
  <c r="AF522" i="7" s="1"/>
  <c r="AQ567" i="7"/>
  <c r="AH567" i="7" s="1"/>
  <c r="AP567" i="7"/>
  <c r="AG567" i="7" s="1"/>
  <c r="Z567" i="7" s="1"/>
  <c r="AO460" i="7"/>
  <c r="AN460" i="7"/>
  <c r="AO476" i="7"/>
  <c r="AN476" i="7"/>
  <c r="AR508" i="7"/>
  <c r="AI508" i="7" s="1"/>
  <c r="Z508" i="7" s="1"/>
  <c r="AQ508" i="7"/>
  <c r="AH508" i="7" s="1"/>
  <c r="AO509" i="7"/>
  <c r="AN509" i="7"/>
  <c r="Y509" i="7" s="1"/>
  <c r="AQ511" i="7"/>
  <c r="AH511" i="7" s="1"/>
  <c r="AO526" i="7"/>
  <c r="AN526" i="7"/>
  <c r="AL526" i="7"/>
  <c r="AE526" i="7" s="1"/>
  <c r="AL527" i="7"/>
  <c r="AE527" i="7" s="1"/>
  <c r="Y527" i="7" s="1"/>
  <c r="AO527" i="7"/>
  <c r="AL537" i="7"/>
  <c r="AE537" i="7" s="1"/>
  <c r="Z543" i="7"/>
  <c r="AR545" i="7"/>
  <c r="AI545" i="7" s="1"/>
  <c r="AQ545" i="7"/>
  <c r="AH545" i="7" s="1"/>
  <c r="Z545" i="7" s="1"/>
  <c r="AN553" i="7"/>
  <c r="AM521" i="7"/>
  <c r="AF521" i="7" s="1"/>
  <c r="Y521" i="7" s="1"/>
  <c r="AO546" i="7"/>
  <c r="Y546" i="7" s="1"/>
  <c r="AM548" i="7"/>
  <c r="AF548" i="7" s="1"/>
  <c r="Y548" i="7" s="1"/>
  <c r="AP554" i="7"/>
  <c r="AG554" i="7" s="1"/>
  <c r="Z554" i="7" s="1"/>
  <c r="AP560" i="7"/>
  <c r="AG560" i="7" s="1"/>
  <c r="AN564" i="7"/>
  <c r="Y564" i="7" s="1"/>
  <c r="AR567" i="7"/>
  <c r="AI567" i="7" s="1"/>
  <c r="AL570" i="7"/>
  <c r="AE570" i="7" s="1"/>
  <c r="AR587" i="7"/>
  <c r="AI587" i="7" s="1"/>
  <c r="AQ587" i="7"/>
  <c r="AH587" i="7" s="1"/>
  <c r="AP587" i="7"/>
  <c r="AG587" i="7" s="1"/>
  <c r="Z608" i="7"/>
  <c r="AP546" i="7"/>
  <c r="AG546" i="7" s="1"/>
  <c r="AN548" i="7"/>
  <c r="AP552" i="7"/>
  <c r="AG552" i="7" s="1"/>
  <c r="AO554" i="7"/>
  <c r="AN554" i="7"/>
  <c r="Y554" i="7" s="1"/>
  <c r="AQ554" i="7"/>
  <c r="AH554" i="7" s="1"/>
  <c r="AQ560" i="7"/>
  <c r="AH560" i="7" s="1"/>
  <c r="AM570" i="7"/>
  <c r="AF570" i="7" s="1"/>
  <c r="AM582" i="7"/>
  <c r="AF582" i="7" s="1"/>
  <c r="Y606" i="7"/>
  <c r="AP521" i="7"/>
  <c r="AG521" i="7" s="1"/>
  <c r="AM535" i="7"/>
  <c r="AF535" i="7" s="1"/>
  <c r="Y535" i="7" s="1"/>
  <c r="AM538" i="7"/>
  <c r="AF538" i="7" s="1"/>
  <c r="AO541" i="7"/>
  <c r="AM541" i="7"/>
  <c r="AF541" i="7" s="1"/>
  <c r="Y541" i="7" s="1"/>
  <c r="AQ546" i="7"/>
  <c r="AH546" i="7" s="1"/>
  <c r="AQ552" i="7"/>
  <c r="AH552" i="7" s="1"/>
  <c r="AP557" i="7"/>
  <c r="AG557" i="7" s="1"/>
  <c r="Z557" i="7" s="1"/>
  <c r="AL561" i="7"/>
  <c r="AE561" i="7" s="1"/>
  <c r="AR563" i="7"/>
  <c r="AI563" i="7" s="1"/>
  <c r="Z563" i="7" s="1"/>
  <c r="AQ563" i="7"/>
  <c r="AH563" i="7" s="1"/>
  <c r="AN570" i="7"/>
  <c r="AL580" i="7"/>
  <c r="AE580" i="7" s="1"/>
  <c r="AM581" i="7"/>
  <c r="AF581" i="7" s="1"/>
  <c r="AN582" i="7"/>
  <c r="AP612" i="7"/>
  <c r="AG612" i="7" s="1"/>
  <c r="Z612" i="7" s="1"/>
  <c r="AR612" i="7"/>
  <c r="AI612" i="7" s="1"/>
  <c r="AQ612" i="7"/>
  <c r="AH612" i="7" s="1"/>
  <c r="AL529" i="7"/>
  <c r="AE529" i="7" s="1"/>
  <c r="AM532" i="7"/>
  <c r="AF532" i="7" s="1"/>
  <c r="Y532" i="7" s="1"/>
  <c r="AN535" i="7"/>
  <c r="AN538" i="7"/>
  <c r="Y538" i="7" s="1"/>
  <c r="AN541" i="7"/>
  <c r="AM543" i="7"/>
  <c r="AF543" i="7" s="1"/>
  <c r="Y543" i="7" s="1"/>
  <c r="AP548" i="7"/>
  <c r="AG548" i="7" s="1"/>
  <c r="AO550" i="7"/>
  <c r="AN550" i="7"/>
  <c r="Y550" i="7" s="1"/>
  <c r="AQ550" i="7"/>
  <c r="AH550" i="7" s="1"/>
  <c r="Z550" i="7" s="1"/>
  <c r="AL555" i="7"/>
  <c r="AE555" i="7" s="1"/>
  <c r="Y555" i="7" s="1"/>
  <c r="AO557" i="7"/>
  <c r="Y557" i="7" s="1"/>
  <c r="AQ557" i="7"/>
  <c r="AH557" i="7" s="1"/>
  <c r="AQ564" i="7"/>
  <c r="AH564" i="7" s="1"/>
  <c r="Z564" i="7" s="1"/>
  <c r="AL565" i="7"/>
  <c r="AE565" i="7" s="1"/>
  <c r="AQ569" i="7"/>
  <c r="AH569" i="7" s="1"/>
  <c r="Z569" i="7" s="1"/>
  <c r="AM579" i="7"/>
  <c r="AF579" i="7" s="1"/>
  <c r="Y579" i="7" s="1"/>
  <c r="AO582" i="7"/>
  <c r="AR586" i="7"/>
  <c r="AI586" i="7" s="1"/>
  <c r="AQ586" i="7"/>
  <c r="AH586" i="7" s="1"/>
  <c r="AP586" i="7"/>
  <c r="AG586" i="7" s="1"/>
  <c r="AM529" i="7"/>
  <c r="AF529" i="7" s="1"/>
  <c r="AP541" i="7"/>
  <c r="AG541" i="7" s="1"/>
  <c r="Z541" i="7" s="1"/>
  <c r="AN543" i="7"/>
  <c r="AQ548" i="7"/>
  <c r="AH548" i="7" s="1"/>
  <c r="AQ570" i="7"/>
  <c r="AH570" i="7" s="1"/>
  <c r="Z570" i="7" s="1"/>
  <c r="AL577" i="7"/>
  <c r="AE577" i="7" s="1"/>
  <c r="AM578" i="7"/>
  <c r="AF578" i="7" s="1"/>
  <c r="AN579" i="7"/>
  <c r="AL511" i="7"/>
  <c r="AE511" i="7" s="1"/>
  <c r="AL514" i="7"/>
  <c r="AE514" i="7" s="1"/>
  <c r="Y514" i="7" s="1"/>
  <c r="AM520" i="7"/>
  <c r="AF520" i="7" s="1"/>
  <c r="Y520" i="7" s="1"/>
  <c r="AN529" i="7"/>
  <c r="AP535" i="7"/>
  <c r="AG535" i="7" s="1"/>
  <c r="Z535" i="7" s="1"/>
  <c r="AR543" i="7"/>
  <c r="AI543" i="7" s="1"/>
  <c r="AL545" i="7"/>
  <c r="AE545" i="7" s="1"/>
  <c r="AP561" i="7"/>
  <c r="AG561" i="7" s="1"/>
  <c r="AP565" i="7"/>
  <c r="AG565" i="7" s="1"/>
  <c r="AR570" i="7"/>
  <c r="AI570" i="7" s="1"/>
  <c r="AP571" i="7"/>
  <c r="AG571" i="7" s="1"/>
  <c r="Y574" i="7"/>
  <c r="Y576" i="7"/>
  <c r="AL585" i="7"/>
  <c r="AE585" i="7" s="1"/>
  <c r="AM517" i="7"/>
  <c r="AF517" i="7" s="1"/>
  <c r="Y517" i="7" s="1"/>
  <c r="AN520" i="7"/>
  <c r="AP532" i="7"/>
  <c r="AG532" i="7" s="1"/>
  <c r="Z532" i="7" s="1"/>
  <c r="AQ538" i="7"/>
  <c r="AH538" i="7" s="1"/>
  <c r="Z538" i="7" s="1"/>
  <c r="AL540" i="7"/>
  <c r="AE540" i="7" s="1"/>
  <c r="Y540" i="7" s="1"/>
  <c r="AM545" i="7"/>
  <c r="AF545" i="7" s="1"/>
  <c r="AL547" i="7"/>
  <c r="AE547" i="7" s="1"/>
  <c r="AL551" i="7"/>
  <c r="AE551" i="7" s="1"/>
  <c r="Y551" i="7" s="1"/>
  <c r="AL553" i="7"/>
  <c r="AE553" i="7" s="1"/>
  <c r="AP555" i="7"/>
  <c r="AG555" i="7" s="1"/>
  <c r="AQ561" i="7"/>
  <c r="AH561" i="7" s="1"/>
  <c r="AQ565" i="7"/>
  <c r="AH565" i="7" s="1"/>
  <c r="AQ571" i="7"/>
  <c r="AH571" i="7" s="1"/>
  <c r="AR585" i="7"/>
  <c r="AI585" i="7" s="1"/>
  <c r="AQ585" i="7"/>
  <c r="AH585" i="7" s="1"/>
  <c r="AP585" i="7"/>
  <c r="AG585" i="7" s="1"/>
  <c r="AM645" i="7"/>
  <c r="AF645" i="7" s="1"/>
  <c r="AL645" i="7"/>
  <c r="AE645" i="7" s="1"/>
  <c r="AO645" i="7"/>
  <c r="AN645" i="7"/>
  <c r="AL531" i="7"/>
  <c r="AE531" i="7" s="1"/>
  <c r="AL534" i="7"/>
  <c r="AE534" i="7" s="1"/>
  <c r="AN545" i="7"/>
  <c r="AM547" i="7"/>
  <c r="AF547" i="7" s="1"/>
  <c r="AM551" i="7"/>
  <c r="AF551" i="7" s="1"/>
  <c r="AM553" i="7"/>
  <c r="AF553" i="7" s="1"/>
  <c r="AN555" i="7"/>
  <c r="AQ555" i="7"/>
  <c r="AH555" i="7" s="1"/>
  <c r="AO561" i="7"/>
  <c r="Y587" i="7"/>
  <c r="AM589" i="7"/>
  <c r="AF589" i="7" s="1"/>
  <c r="AR598" i="7"/>
  <c r="AI598" i="7" s="1"/>
  <c r="AQ598" i="7"/>
  <c r="AH598" i="7" s="1"/>
  <c r="AR599" i="7"/>
  <c r="AI599" i="7" s="1"/>
  <c r="AQ599" i="7"/>
  <c r="AH599" i="7" s="1"/>
  <c r="AP599" i="7"/>
  <c r="AG599" i="7" s="1"/>
  <c r="Z599" i="7" s="1"/>
  <c r="AM531" i="7"/>
  <c r="AF531" i="7" s="1"/>
  <c r="AM534" i="7"/>
  <c r="AF534" i="7" s="1"/>
  <c r="AO537" i="7"/>
  <c r="AM537" i="7"/>
  <c r="AF537" i="7" s="1"/>
  <c r="AN551" i="7"/>
  <c r="Y568" i="7"/>
  <c r="AO584" i="7"/>
  <c r="AL584" i="7"/>
  <c r="AE584" i="7" s="1"/>
  <c r="AR589" i="7"/>
  <c r="AI589" i="7" s="1"/>
  <c r="AQ589" i="7"/>
  <c r="AH589" i="7" s="1"/>
  <c r="AP589" i="7"/>
  <c r="AG589" i="7" s="1"/>
  <c r="AR547" i="7"/>
  <c r="AI547" i="7" s="1"/>
  <c r="AO553" i="7"/>
  <c r="AO565" i="7"/>
  <c r="AN565" i="7"/>
  <c r="Y582" i="7"/>
  <c r="AO583" i="7"/>
  <c r="AN583" i="7"/>
  <c r="AL583" i="7"/>
  <c r="AE583" i="7" s="1"/>
  <c r="AR584" i="7"/>
  <c r="AI584" i="7" s="1"/>
  <c r="AQ584" i="7"/>
  <c r="AH584" i="7" s="1"/>
  <c r="AP584" i="7"/>
  <c r="AG584" i="7" s="1"/>
  <c r="AR592" i="7"/>
  <c r="AI592" i="7" s="1"/>
  <c r="AP540" i="7"/>
  <c r="AG540" i="7" s="1"/>
  <c r="AP547" i="7"/>
  <c r="AG547" i="7" s="1"/>
  <c r="Z547" i="7" s="1"/>
  <c r="AR551" i="7"/>
  <c r="AI551" i="7" s="1"/>
  <c r="AP551" i="7"/>
  <c r="AG551" i="7" s="1"/>
  <c r="Z551" i="7" s="1"/>
  <c r="AQ553" i="7"/>
  <c r="AH553" i="7" s="1"/>
  <c r="Z553" i="7" s="1"/>
  <c r="AO558" i="7"/>
  <c r="AN558" i="7"/>
  <c r="Y558" i="7" s="1"/>
  <c r="AM558" i="7"/>
  <c r="AF558" i="7" s="1"/>
  <c r="AO580" i="7"/>
  <c r="AN580" i="7"/>
  <c r="AO581" i="7"/>
  <c r="AL581" i="7"/>
  <c r="AE581" i="7" s="1"/>
  <c r="Y581" i="7" s="1"/>
  <c r="AR582" i="7"/>
  <c r="AI582" i="7" s="1"/>
  <c r="AQ582" i="7"/>
  <c r="AH582" i="7" s="1"/>
  <c r="AP582" i="7"/>
  <c r="AG582" i="7" s="1"/>
  <c r="Z582" i="7" s="1"/>
  <c r="AL507" i="7"/>
  <c r="AE507" i="7" s="1"/>
  <c r="AL510" i="7"/>
  <c r="AE510" i="7" s="1"/>
  <c r="AM516" i="7"/>
  <c r="AF516" i="7" s="1"/>
  <c r="Y516" i="7" s="1"/>
  <c r="AL539" i="7"/>
  <c r="AE539" i="7" s="1"/>
  <c r="Y539" i="7" s="1"/>
  <c r="AQ540" i="7"/>
  <c r="AH540" i="7" s="1"/>
  <c r="AL544" i="7"/>
  <c r="AE544" i="7" s="1"/>
  <c r="Y544" i="7" s="1"/>
  <c r="AQ547" i="7"/>
  <c r="AH547" i="7" s="1"/>
  <c r="AP549" i="7"/>
  <c r="AG549" i="7" s="1"/>
  <c r="AQ551" i="7"/>
  <c r="AH551" i="7" s="1"/>
  <c r="AQ581" i="7"/>
  <c r="AH581" i="7" s="1"/>
  <c r="AP581" i="7"/>
  <c r="AG581" i="7" s="1"/>
  <c r="AM585" i="7"/>
  <c r="AF585" i="7" s="1"/>
  <c r="AP598" i="7"/>
  <c r="AG598" i="7" s="1"/>
  <c r="AO613" i="7"/>
  <c r="AN613" i="7"/>
  <c r="AM507" i="7"/>
  <c r="AF507" i="7" s="1"/>
  <c r="AM510" i="7"/>
  <c r="AF510" i="7" s="1"/>
  <c r="AM513" i="7"/>
  <c r="AF513" i="7" s="1"/>
  <c r="Y513" i="7" s="1"/>
  <c r="AN516" i="7"/>
  <c r="AP525" i="7"/>
  <c r="AG525" i="7" s="1"/>
  <c r="Z525" i="7" s="1"/>
  <c r="AP528" i="7"/>
  <c r="AG528" i="7" s="1"/>
  <c r="Z528" i="7" s="1"/>
  <c r="AL536" i="7"/>
  <c r="AE536" i="7" s="1"/>
  <c r="Y536" i="7" s="1"/>
  <c r="AM539" i="7"/>
  <c r="AF539" i="7" s="1"/>
  <c r="AN542" i="7"/>
  <c r="Y542" i="7" s="1"/>
  <c r="AO542" i="7"/>
  <c r="AQ549" i="7"/>
  <c r="AH549" i="7" s="1"/>
  <c r="AL560" i="7"/>
  <c r="AE560" i="7" s="1"/>
  <c r="Y560" i="7" s="1"/>
  <c r="AL563" i="7"/>
  <c r="AE563" i="7" s="1"/>
  <c r="AO577" i="7"/>
  <c r="AN577" i="7"/>
  <c r="AO578" i="7"/>
  <c r="AL578" i="7"/>
  <c r="AE578" i="7" s="1"/>
  <c r="Y578" i="7" s="1"/>
  <c r="AQ579" i="7"/>
  <c r="AH579" i="7" s="1"/>
  <c r="AP579" i="7"/>
  <c r="AG579" i="7" s="1"/>
  <c r="Z579" i="7" s="1"/>
  <c r="AN513" i="7"/>
  <c r="AQ556" i="7"/>
  <c r="AH556" i="7" s="1"/>
  <c r="AO562" i="7"/>
  <c r="AN562" i="7"/>
  <c r="AM562" i="7"/>
  <c r="AF562" i="7" s="1"/>
  <c r="Y562" i="7" s="1"/>
  <c r="AM563" i="7"/>
  <c r="AF563" i="7" s="1"/>
  <c r="AO566" i="7"/>
  <c r="AN566" i="7"/>
  <c r="AM566" i="7"/>
  <c r="AF566" i="7" s="1"/>
  <c r="Y566" i="7" s="1"/>
  <c r="AO574" i="7"/>
  <c r="AN574" i="7"/>
  <c r="AO576" i="7"/>
  <c r="AN576" i="7"/>
  <c r="AQ578" i="7"/>
  <c r="AH578" i="7" s="1"/>
  <c r="AP578" i="7"/>
  <c r="AG578" i="7" s="1"/>
  <c r="AO585" i="7"/>
  <c r="Z595" i="7"/>
  <c r="AN600" i="7"/>
  <c r="Y600" i="7" s="1"/>
  <c r="AM613" i="7"/>
  <c r="AF613" i="7" s="1"/>
  <c r="Z643" i="7"/>
  <c r="AR648" i="7"/>
  <c r="AI648" i="7" s="1"/>
  <c r="AQ648" i="7"/>
  <c r="AH648" i="7" s="1"/>
  <c r="Z649" i="7"/>
  <c r="AL590" i="7"/>
  <c r="AE590" i="7" s="1"/>
  <c r="AN593" i="7"/>
  <c r="Y593" i="7" s="1"/>
  <c r="AM595" i="7"/>
  <c r="AF595" i="7" s="1"/>
  <c r="AP600" i="7"/>
  <c r="AG600" i="7" s="1"/>
  <c r="AN602" i="7"/>
  <c r="Y602" i="7" s="1"/>
  <c r="AM606" i="7"/>
  <c r="AF606" i="7" s="1"/>
  <c r="AP617" i="7"/>
  <c r="AG617" i="7" s="1"/>
  <c r="Z617" i="7" s="1"/>
  <c r="AL620" i="7"/>
  <c r="AE620" i="7" s="1"/>
  <c r="AO632" i="7"/>
  <c r="AM632" i="7"/>
  <c r="AF632" i="7" s="1"/>
  <c r="AL632" i="7"/>
  <c r="AE632" i="7" s="1"/>
  <c r="AP576" i="7"/>
  <c r="AG576" i="7" s="1"/>
  <c r="Z576" i="7" s="1"/>
  <c r="AM590" i="7"/>
  <c r="AF590" i="7" s="1"/>
  <c r="AP593" i="7"/>
  <c r="AG593" i="7" s="1"/>
  <c r="Z593" i="7" s="1"/>
  <c r="AN595" i="7"/>
  <c r="AQ600" i="7"/>
  <c r="AH600" i="7" s="1"/>
  <c r="AL604" i="7"/>
  <c r="AE604" i="7" s="1"/>
  <c r="Y604" i="7" s="1"/>
  <c r="AO606" i="7"/>
  <c r="AN614" i="7"/>
  <c r="AQ617" i="7"/>
  <c r="AH617" i="7" s="1"/>
  <c r="AM620" i="7"/>
  <c r="AF620" i="7" s="1"/>
  <c r="AR632" i="7"/>
  <c r="AI632" i="7" s="1"/>
  <c r="AQ632" i="7"/>
  <c r="AH632" i="7" s="1"/>
  <c r="AM634" i="7"/>
  <c r="AF634" i="7" s="1"/>
  <c r="Z667" i="7"/>
  <c r="AL597" i="7"/>
  <c r="AE597" i="7" s="1"/>
  <c r="AM604" i="7"/>
  <c r="AF604" i="7" s="1"/>
  <c r="AQ606" i="7"/>
  <c r="AH606" i="7" s="1"/>
  <c r="Z606" i="7" s="1"/>
  <c r="AQ614" i="7"/>
  <c r="AH614" i="7" s="1"/>
  <c r="AR615" i="7"/>
  <c r="AI615" i="7" s="1"/>
  <c r="AQ615" i="7"/>
  <c r="AH615" i="7" s="1"/>
  <c r="AP615" i="7"/>
  <c r="AG615" i="7" s="1"/>
  <c r="Z615" i="7" s="1"/>
  <c r="AN620" i="7"/>
  <c r="Z671" i="7"/>
  <c r="Y596" i="7"/>
  <c r="AM597" i="7"/>
  <c r="AF597" i="7" s="1"/>
  <c r="AN604" i="7"/>
  <c r="AR606" i="7"/>
  <c r="AI606" i="7" s="1"/>
  <c r="AO617" i="7"/>
  <c r="AM617" i="7"/>
  <c r="AF617" i="7" s="1"/>
  <c r="Y617" i="7" s="1"/>
  <c r="AQ620" i="7"/>
  <c r="AH620" i="7" s="1"/>
  <c r="Z620" i="7" s="1"/>
  <c r="AR638" i="7"/>
  <c r="AI638" i="7" s="1"/>
  <c r="AQ642" i="7"/>
  <c r="AH642" i="7" s="1"/>
  <c r="AP648" i="7"/>
  <c r="AG648" i="7" s="1"/>
  <c r="Z648" i="7" s="1"/>
  <c r="AN597" i="7"/>
  <c r="AP604" i="7"/>
  <c r="AG604" i="7" s="1"/>
  <c r="Y624" i="7"/>
  <c r="AO630" i="7"/>
  <c r="AM630" i="7"/>
  <c r="AF630" i="7" s="1"/>
  <c r="AL630" i="7"/>
  <c r="AE630" i="7" s="1"/>
  <c r="Y630" i="7" s="1"/>
  <c r="AO650" i="7"/>
  <c r="AM650" i="7"/>
  <c r="AF650" i="7" s="1"/>
  <c r="AL650" i="7"/>
  <c r="AE650" i="7" s="1"/>
  <c r="Y650" i="7" s="1"/>
  <c r="AM569" i="7"/>
  <c r="AF569" i="7" s="1"/>
  <c r="Y569" i="7" s="1"/>
  <c r="AO572" i="7"/>
  <c r="AM572" i="7"/>
  <c r="AF572" i="7" s="1"/>
  <c r="Y572" i="7" s="1"/>
  <c r="AQ590" i="7"/>
  <c r="AH590" i="7" s="1"/>
  <c r="Z590" i="7" s="1"/>
  <c r="AL592" i="7"/>
  <c r="AE592" i="7" s="1"/>
  <c r="AP597" i="7"/>
  <c r="AG597" i="7" s="1"/>
  <c r="Z597" i="7" s="1"/>
  <c r="AN599" i="7"/>
  <c r="Y599" i="7" s="1"/>
  <c r="AQ604" i="7"/>
  <c r="AH604" i="7" s="1"/>
  <c r="AL607" i="7"/>
  <c r="AE607" i="7" s="1"/>
  <c r="Y607" i="7" s="1"/>
  <c r="AQ609" i="7"/>
  <c r="AH609" i="7" s="1"/>
  <c r="Z609" i="7" s="1"/>
  <c r="AP621" i="7"/>
  <c r="AG621" i="7" s="1"/>
  <c r="AM624" i="7"/>
  <c r="AF624" i="7" s="1"/>
  <c r="AR627" i="7"/>
  <c r="AI627" i="7" s="1"/>
  <c r="Z627" i="7" s="1"/>
  <c r="AQ637" i="7"/>
  <c r="AH637" i="7" s="1"/>
  <c r="AP637" i="7"/>
  <c r="AG637" i="7" s="1"/>
  <c r="Z637" i="7" s="1"/>
  <c r="AP639" i="7"/>
  <c r="AG639" i="7" s="1"/>
  <c r="Z639" i="7" s="1"/>
  <c r="AM644" i="7"/>
  <c r="AF644" i="7" s="1"/>
  <c r="Y644" i="7" s="1"/>
  <c r="Z650" i="7"/>
  <c r="AR701" i="7"/>
  <c r="AI701" i="7" s="1"/>
  <c r="AQ701" i="7"/>
  <c r="AH701" i="7" s="1"/>
  <c r="AP701" i="7"/>
  <c r="AG701" i="7" s="1"/>
  <c r="AN572" i="7"/>
  <c r="AL586" i="7"/>
  <c r="AE586" i="7" s="1"/>
  <c r="Y586" i="7" s="1"/>
  <c r="AL589" i="7"/>
  <c r="AE589" i="7" s="1"/>
  <c r="AL594" i="7"/>
  <c r="AE594" i="7" s="1"/>
  <c r="AL601" i="7"/>
  <c r="AE601" i="7" s="1"/>
  <c r="AM607" i="7"/>
  <c r="AF607" i="7" s="1"/>
  <c r="AO609" i="7"/>
  <c r="AL612" i="7"/>
  <c r="AE612" i="7" s="1"/>
  <c r="Y612" i="7" s="1"/>
  <c r="AN618" i="7"/>
  <c r="AQ621" i="7"/>
  <c r="AH621" i="7" s="1"/>
  <c r="AN624" i="7"/>
  <c r="AN632" i="7"/>
  <c r="AQ639" i="7"/>
  <c r="AH639" i="7" s="1"/>
  <c r="AR644" i="7"/>
  <c r="AI644" i="7" s="1"/>
  <c r="AQ644" i="7"/>
  <c r="AH644" i="7" s="1"/>
  <c r="Z644" i="7" s="1"/>
  <c r="Z668" i="7"/>
  <c r="AO592" i="7"/>
  <c r="AN592" i="7"/>
  <c r="AM594" i="7"/>
  <c r="AF594" i="7" s="1"/>
  <c r="AL603" i="7"/>
  <c r="AE603" i="7" s="1"/>
  <c r="AN607" i="7"/>
  <c r="AM612" i="7"/>
  <c r="AF612" i="7" s="1"/>
  <c r="AQ618" i="7"/>
  <c r="AH618" i="7" s="1"/>
  <c r="AR619" i="7"/>
  <c r="AI619" i="7" s="1"/>
  <c r="AQ619" i="7"/>
  <c r="AH619" i="7" s="1"/>
  <c r="AP619" i="7"/>
  <c r="AG619" i="7" s="1"/>
  <c r="AM629" i="7"/>
  <c r="AF629" i="7" s="1"/>
  <c r="AL629" i="7"/>
  <c r="AE629" i="7" s="1"/>
  <c r="AO629" i="7"/>
  <c r="AP632" i="7"/>
  <c r="AG632" i="7" s="1"/>
  <c r="Z632" i="7" s="1"/>
  <c r="AM651" i="7"/>
  <c r="AF651" i="7" s="1"/>
  <c r="AL651" i="7"/>
  <c r="AE651" i="7" s="1"/>
  <c r="Z688" i="7"/>
  <c r="Z698" i="7"/>
  <c r="AP592" i="7"/>
  <c r="AG592" i="7" s="1"/>
  <c r="AN594" i="7"/>
  <c r="AO601" i="7"/>
  <c r="AN601" i="7"/>
  <c r="AN612" i="7"/>
  <c r="AO621" i="7"/>
  <c r="AM621" i="7"/>
  <c r="AF621" i="7" s="1"/>
  <c r="AO636" i="7"/>
  <c r="AM636" i="7"/>
  <c r="AF636" i="7" s="1"/>
  <c r="AL636" i="7"/>
  <c r="AE636" i="7" s="1"/>
  <c r="AQ641" i="7"/>
  <c r="AH641" i="7" s="1"/>
  <c r="AP641" i="7"/>
  <c r="AG641" i="7" s="1"/>
  <c r="Z641" i="7" s="1"/>
  <c r="AO646" i="7"/>
  <c r="AM646" i="7"/>
  <c r="AF646" i="7" s="1"/>
  <c r="AL646" i="7"/>
  <c r="AE646" i="7" s="1"/>
  <c r="Z714" i="7"/>
  <c r="AQ592" i="7"/>
  <c r="AH592" i="7" s="1"/>
  <c r="AP601" i="7"/>
  <c r="AG601" i="7" s="1"/>
  <c r="AN603" i="7"/>
  <c r="AR607" i="7"/>
  <c r="AI607" i="7" s="1"/>
  <c r="AP607" i="7"/>
  <c r="AG607" i="7" s="1"/>
  <c r="Z616" i="7"/>
  <c r="AL621" i="7"/>
  <c r="AE621" i="7" s="1"/>
  <c r="AM628" i="7"/>
  <c r="AF628" i="7" s="1"/>
  <c r="Y628" i="7" s="1"/>
  <c r="Y637" i="7"/>
  <c r="AN650" i="7"/>
  <c r="AO687" i="7"/>
  <c r="AN687" i="7"/>
  <c r="AM687" i="7"/>
  <c r="AF687" i="7" s="1"/>
  <c r="AL687" i="7"/>
  <c r="AE687" i="7" s="1"/>
  <c r="Y687" i="7" s="1"/>
  <c r="AM571" i="7"/>
  <c r="AF571" i="7" s="1"/>
  <c r="AP594" i="7"/>
  <c r="AG594" i="7" s="1"/>
  <c r="Z594" i="7" s="1"/>
  <c r="AL598" i="7"/>
  <c r="AE598" i="7" s="1"/>
  <c r="AQ601" i="7"/>
  <c r="AH601" i="7" s="1"/>
  <c r="AM605" i="7"/>
  <c r="AF605" i="7" s="1"/>
  <c r="AQ607" i="7"/>
  <c r="AH607" i="7" s="1"/>
  <c r="AO625" i="7"/>
  <c r="AM625" i="7"/>
  <c r="AF625" i="7" s="1"/>
  <c r="AR628" i="7"/>
  <c r="AI628" i="7" s="1"/>
  <c r="AQ628" i="7"/>
  <c r="AH628" i="7" s="1"/>
  <c r="Z628" i="7" s="1"/>
  <c r="AO634" i="7"/>
  <c r="AL634" i="7"/>
  <c r="AE634" i="7" s="1"/>
  <c r="Z635" i="7"/>
  <c r="AO652" i="7"/>
  <c r="AM652" i="7"/>
  <c r="AF652" i="7" s="1"/>
  <c r="AL652" i="7"/>
  <c r="AE652" i="7" s="1"/>
  <c r="Y652" i="7" s="1"/>
  <c r="Y674" i="7"/>
  <c r="Z679" i="7"/>
  <c r="Y690" i="7"/>
  <c r="AO568" i="7"/>
  <c r="AM568" i="7"/>
  <c r="AF568" i="7" s="1"/>
  <c r="AN571" i="7"/>
  <c r="AP583" i="7"/>
  <c r="AG583" i="7" s="1"/>
  <c r="Z583" i="7" s="1"/>
  <c r="AL591" i="7"/>
  <c r="AE591" i="7" s="1"/>
  <c r="Y591" i="7" s="1"/>
  <c r="AQ594" i="7"/>
  <c r="AH594" i="7" s="1"/>
  <c r="AO596" i="7"/>
  <c r="AN596" i="7"/>
  <c r="AM598" i="7"/>
  <c r="AF598" i="7" s="1"/>
  <c r="AL608" i="7"/>
  <c r="AE608" i="7" s="1"/>
  <c r="AN610" i="7"/>
  <c r="AP613" i="7"/>
  <c r="AG613" i="7" s="1"/>
  <c r="Z613" i="7" s="1"/>
  <c r="AL616" i="7"/>
  <c r="AE616" i="7" s="1"/>
  <c r="Y616" i="7" s="1"/>
  <c r="AN622" i="7"/>
  <c r="AM631" i="7"/>
  <c r="AF631" i="7" s="1"/>
  <c r="Z634" i="7"/>
  <c r="AM640" i="7"/>
  <c r="AF640" i="7" s="1"/>
  <c r="Y640" i="7" s="1"/>
  <c r="AM647" i="7"/>
  <c r="AF647" i="7" s="1"/>
  <c r="AL647" i="7"/>
  <c r="AE647" i="7" s="1"/>
  <c r="AP605" i="7"/>
  <c r="AG605" i="7" s="1"/>
  <c r="Z605" i="7" s="1"/>
  <c r="AM608" i="7"/>
  <c r="AF608" i="7" s="1"/>
  <c r="AR623" i="7"/>
  <c r="AI623" i="7" s="1"/>
  <c r="AQ623" i="7"/>
  <c r="AH623" i="7" s="1"/>
  <c r="AP623" i="7"/>
  <c r="AG623" i="7" s="1"/>
  <c r="Z623" i="7" s="1"/>
  <c r="AL625" i="7"/>
  <c r="AE625" i="7" s="1"/>
  <c r="AN630" i="7"/>
  <c r="Y655" i="7"/>
  <c r="AQ657" i="7"/>
  <c r="AH657" i="7" s="1"/>
  <c r="AP657" i="7"/>
  <c r="AG657" i="7" s="1"/>
  <c r="Z657" i="7" s="1"/>
  <c r="AQ681" i="7"/>
  <c r="AH681" i="7" s="1"/>
  <c r="AP681" i="7"/>
  <c r="AG681" i="7" s="1"/>
  <c r="Z683" i="7"/>
  <c r="AR611" i="7"/>
  <c r="AI611" i="7" s="1"/>
  <c r="AQ611" i="7"/>
  <c r="AH611" i="7" s="1"/>
  <c r="AP611" i="7"/>
  <c r="AG611" i="7" s="1"/>
  <c r="Z611" i="7" s="1"/>
  <c r="AP624" i="7"/>
  <c r="AG624" i="7" s="1"/>
  <c r="Z624" i="7" s="1"/>
  <c r="AR624" i="7"/>
  <c r="AI624" i="7" s="1"/>
  <c r="AR643" i="7"/>
  <c r="AI643" i="7" s="1"/>
  <c r="AQ643" i="7"/>
  <c r="AH643" i="7" s="1"/>
  <c r="AN646" i="7"/>
  <c r="AO659" i="7"/>
  <c r="AN659" i="7"/>
  <c r="AM659" i="7"/>
  <c r="AF659" i="7" s="1"/>
  <c r="AL659" i="7"/>
  <c r="AE659" i="7" s="1"/>
  <c r="AN663" i="7"/>
  <c r="Z676" i="7"/>
  <c r="AP636" i="7"/>
  <c r="AG636" i="7" s="1"/>
  <c r="Z636" i="7" s="1"/>
  <c r="AN638" i="7"/>
  <c r="Y638" i="7" s="1"/>
  <c r="AP652" i="7"/>
  <c r="AG652" i="7" s="1"/>
  <c r="Z652" i="7" s="1"/>
  <c r="AN654" i="7"/>
  <c r="Y654" i="7" s="1"/>
  <c r="AM662" i="7"/>
  <c r="AF662" i="7" s="1"/>
  <c r="Y662" i="7" s="1"/>
  <c r="AO666" i="7"/>
  <c r="AO668" i="7"/>
  <c r="AN668" i="7"/>
  <c r="AR668" i="7"/>
  <c r="AI668" i="7" s="1"/>
  <c r="AO676" i="7"/>
  <c r="AN676" i="7"/>
  <c r="Y676" i="7" s="1"/>
  <c r="AM683" i="7"/>
  <c r="AF683" i="7" s="1"/>
  <c r="Y683" i="7" s="1"/>
  <c r="AN690" i="7"/>
  <c r="AL656" i="7"/>
  <c r="AE656" i="7" s="1"/>
  <c r="AL660" i="7"/>
  <c r="AE660" i="7" s="1"/>
  <c r="AP666" i="7"/>
  <c r="AG666" i="7" s="1"/>
  <c r="Z666" i="7" s="1"/>
  <c r="AL669" i="7"/>
  <c r="AE669" i="7" s="1"/>
  <c r="Y669" i="7" s="1"/>
  <c r="AO671" i="7"/>
  <c r="AL677" i="7"/>
  <c r="AE677" i="7" s="1"/>
  <c r="Y677" i="7" s="1"/>
  <c r="AO679" i="7"/>
  <c r="AN683" i="7"/>
  <c r="AO690" i="7"/>
  <c r="AL691" i="7"/>
  <c r="AE691" i="7" s="1"/>
  <c r="AQ703" i="7"/>
  <c r="AH703" i="7" s="1"/>
  <c r="AL705" i="7"/>
  <c r="AE705" i="7" s="1"/>
  <c r="AL713" i="7"/>
  <c r="AE713" i="7" s="1"/>
  <c r="AL610" i="7"/>
  <c r="AE610" i="7" s="1"/>
  <c r="AL614" i="7"/>
  <c r="AE614" i="7" s="1"/>
  <c r="AL618" i="7"/>
  <c r="AE618" i="7" s="1"/>
  <c r="AL622" i="7"/>
  <c r="AE622" i="7" s="1"/>
  <c r="AL626" i="7"/>
  <c r="AE626" i="7" s="1"/>
  <c r="Y626" i="7" s="1"/>
  <c r="AQ629" i="7"/>
  <c r="AH629" i="7" s="1"/>
  <c r="Z629" i="7" s="1"/>
  <c r="AO631" i="7"/>
  <c r="AN631" i="7"/>
  <c r="Y631" i="7" s="1"/>
  <c r="AM633" i="7"/>
  <c r="AF633" i="7" s="1"/>
  <c r="Y633" i="7" s="1"/>
  <c r="AP638" i="7"/>
  <c r="AG638" i="7" s="1"/>
  <c r="AQ645" i="7"/>
  <c r="AH645" i="7" s="1"/>
  <c r="Z645" i="7" s="1"/>
  <c r="AO647" i="7"/>
  <c r="AN647" i="7"/>
  <c r="AP654" i="7"/>
  <c r="AG654" i="7" s="1"/>
  <c r="Z654" i="7" s="1"/>
  <c r="AM658" i="7"/>
  <c r="AF658" i="7" s="1"/>
  <c r="Y658" i="7" s="1"/>
  <c r="AM660" i="7"/>
  <c r="AF660" i="7" s="1"/>
  <c r="AP664" i="7"/>
  <c r="AG664" i="7" s="1"/>
  <c r="AQ666" i="7"/>
  <c r="AH666" i="7" s="1"/>
  <c r="AM669" i="7"/>
  <c r="AF669" i="7" s="1"/>
  <c r="AP674" i="7"/>
  <c r="AG674" i="7" s="1"/>
  <c r="AM677" i="7"/>
  <c r="AF677" i="7" s="1"/>
  <c r="AO688" i="7"/>
  <c r="AN688" i="7"/>
  <c r="AM688" i="7"/>
  <c r="AF688" i="7" s="1"/>
  <c r="AM691" i="7"/>
  <c r="AF691" i="7" s="1"/>
  <c r="AL709" i="7"/>
  <c r="AE709" i="7" s="1"/>
  <c r="AL733" i="7"/>
  <c r="AE733" i="7" s="1"/>
  <c r="AO733" i="7"/>
  <c r="AN733" i="7"/>
  <c r="AM733" i="7"/>
  <c r="AF733" i="7" s="1"/>
  <c r="AM610" i="7"/>
  <c r="AF610" i="7" s="1"/>
  <c r="AM614" i="7"/>
  <c r="AF614" i="7" s="1"/>
  <c r="AM618" i="7"/>
  <c r="AF618" i="7" s="1"/>
  <c r="AM622" i="7"/>
  <c r="AF622" i="7" s="1"/>
  <c r="AM626" i="7"/>
  <c r="AF626" i="7" s="1"/>
  <c r="AP631" i="7"/>
  <c r="AG631" i="7" s="1"/>
  <c r="Z631" i="7" s="1"/>
  <c r="AN633" i="7"/>
  <c r="AQ638" i="7"/>
  <c r="AH638" i="7" s="1"/>
  <c r="AO640" i="7"/>
  <c r="AN640" i="7"/>
  <c r="AM642" i="7"/>
  <c r="AF642" i="7" s="1"/>
  <c r="Y642" i="7" s="1"/>
  <c r="AP647" i="7"/>
  <c r="AG647" i="7" s="1"/>
  <c r="Z647" i="7" s="1"/>
  <c r="AN649" i="7"/>
  <c r="Y649" i="7" s="1"/>
  <c r="AQ654" i="7"/>
  <c r="AH654" i="7" s="1"/>
  <c r="AO656" i="7"/>
  <c r="AN656" i="7"/>
  <c r="AP662" i="7"/>
  <c r="AG662" i="7" s="1"/>
  <c r="Z662" i="7" s="1"/>
  <c r="AQ664" i="7"/>
  <c r="AH664" i="7" s="1"/>
  <c r="AN669" i="7"/>
  <c r="AQ674" i="7"/>
  <c r="AH674" i="7" s="1"/>
  <c r="AN677" i="7"/>
  <c r="AN691" i="7"/>
  <c r="AL695" i="7"/>
  <c r="AE695" i="7" s="1"/>
  <c r="Y695" i="7" s="1"/>
  <c r="AQ700" i="7"/>
  <c r="AH700" i="7" s="1"/>
  <c r="AP700" i="7"/>
  <c r="AG700" i="7" s="1"/>
  <c r="Z700" i="7" s="1"/>
  <c r="AP640" i="7"/>
  <c r="AG640" i="7" s="1"/>
  <c r="Z640" i="7" s="1"/>
  <c r="AP656" i="7"/>
  <c r="AG656" i="7" s="1"/>
  <c r="Z656" i="7" s="1"/>
  <c r="AO660" i="7"/>
  <c r="AP660" i="7"/>
  <c r="AG660" i="7" s="1"/>
  <c r="AL672" i="7"/>
  <c r="AE672" i="7" s="1"/>
  <c r="AL680" i="7"/>
  <c r="AE680" i="7" s="1"/>
  <c r="AP684" i="7"/>
  <c r="AG684" i="7" s="1"/>
  <c r="Z684" i="7" s="1"/>
  <c r="AM689" i="7"/>
  <c r="AF689" i="7" s="1"/>
  <c r="Y689" i="7" s="1"/>
  <c r="AO689" i="7"/>
  <c r="AP691" i="7"/>
  <c r="AG691" i="7" s="1"/>
  <c r="Z691" i="7" s="1"/>
  <c r="AM695" i="7"/>
  <c r="AF695" i="7" s="1"/>
  <c r="AL697" i="7"/>
  <c r="AE697" i="7" s="1"/>
  <c r="AR705" i="7"/>
  <c r="AI705" i="7" s="1"/>
  <c r="AQ705" i="7"/>
  <c r="AH705" i="7" s="1"/>
  <c r="AP705" i="7"/>
  <c r="AG705" i="7" s="1"/>
  <c r="AQ715" i="7"/>
  <c r="AH715" i="7" s="1"/>
  <c r="AR760" i="7"/>
  <c r="AI760" i="7" s="1"/>
  <c r="AQ760" i="7"/>
  <c r="AH760" i="7" s="1"/>
  <c r="AP760" i="7"/>
  <c r="AG760" i="7" s="1"/>
  <c r="Z760" i="7" s="1"/>
  <c r="AP658" i="7"/>
  <c r="AG658" i="7" s="1"/>
  <c r="AQ660" i="7"/>
  <c r="AH660" i="7" s="1"/>
  <c r="AL667" i="7"/>
  <c r="AE667" i="7" s="1"/>
  <c r="AL685" i="7"/>
  <c r="AE685" i="7" s="1"/>
  <c r="AL693" i="7"/>
  <c r="AE693" i="7" s="1"/>
  <c r="Y693" i="7" s="1"/>
  <c r="AN695" i="7"/>
  <c r="AM701" i="7"/>
  <c r="AF701" i="7" s="1"/>
  <c r="Y701" i="7" s="1"/>
  <c r="AO701" i="7"/>
  <c r="AR709" i="7"/>
  <c r="AI709" i="7" s="1"/>
  <c r="AQ709" i="7"/>
  <c r="AH709" i="7" s="1"/>
  <c r="AP709" i="7"/>
  <c r="AG709" i="7" s="1"/>
  <c r="Z709" i="7" s="1"/>
  <c r="AR718" i="7"/>
  <c r="AI718" i="7" s="1"/>
  <c r="AL605" i="7"/>
  <c r="AE605" i="7" s="1"/>
  <c r="Y605" i="7" s="1"/>
  <c r="AL609" i="7"/>
  <c r="AE609" i="7" s="1"/>
  <c r="AP610" i="7"/>
  <c r="AG610" i="7" s="1"/>
  <c r="Z610" i="7" s="1"/>
  <c r="AL613" i="7"/>
  <c r="AE613" i="7" s="1"/>
  <c r="Y613" i="7" s="1"/>
  <c r="AP614" i="7"/>
  <c r="AG614" i="7" s="1"/>
  <c r="Z614" i="7" s="1"/>
  <c r="AP618" i="7"/>
  <c r="AG618" i="7" s="1"/>
  <c r="AP622" i="7"/>
  <c r="AG622" i="7" s="1"/>
  <c r="Z622" i="7" s="1"/>
  <c r="AP626" i="7"/>
  <c r="AG626" i="7" s="1"/>
  <c r="Z626" i="7" s="1"/>
  <c r="AQ633" i="7"/>
  <c r="AH633" i="7" s="1"/>
  <c r="Z633" i="7" s="1"/>
  <c r="AO635" i="7"/>
  <c r="AN635" i="7"/>
  <c r="Y635" i="7" s="1"/>
  <c r="AM637" i="7"/>
  <c r="AF637" i="7" s="1"/>
  <c r="AP642" i="7"/>
  <c r="AG642" i="7" s="1"/>
  <c r="Z642" i="7" s="1"/>
  <c r="AQ649" i="7"/>
  <c r="AH649" i="7" s="1"/>
  <c r="AO651" i="7"/>
  <c r="AN651" i="7"/>
  <c r="AM653" i="7"/>
  <c r="AF653" i="7" s="1"/>
  <c r="Y653" i="7" s="1"/>
  <c r="AQ658" i="7"/>
  <c r="AH658" i="7" s="1"/>
  <c r="AL665" i="7"/>
  <c r="AE665" i="7" s="1"/>
  <c r="AM667" i="7"/>
  <c r="AF667" i="7" s="1"/>
  <c r="AR669" i="7"/>
  <c r="AI669" i="7" s="1"/>
  <c r="Z669" i="7" s="1"/>
  <c r="AL670" i="7"/>
  <c r="AE670" i="7" s="1"/>
  <c r="AP672" i="7"/>
  <c r="AG672" i="7" s="1"/>
  <c r="Z672" i="7" s="1"/>
  <c r="AM675" i="7"/>
  <c r="AF675" i="7" s="1"/>
  <c r="Y675" i="7" s="1"/>
  <c r="AR677" i="7"/>
  <c r="AI677" i="7" s="1"/>
  <c r="Z677" i="7" s="1"/>
  <c r="AL678" i="7"/>
  <c r="AE678" i="7" s="1"/>
  <c r="Y678" i="7" s="1"/>
  <c r="AP680" i="7"/>
  <c r="AG680" i="7" s="1"/>
  <c r="Z680" i="7" s="1"/>
  <c r="AQ683" i="7"/>
  <c r="AH683" i="7" s="1"/>
  <c r="AL686" i="7"/>
  <c r="AE686" i="7" s="1"/>
  <c r="AQ692" i="7"/>
  <c r="AH692" i="7" s="1"/>
  <c r="Z692" i="7" s="1"/>
  <c r="AP696" i="7"/>
  <c r="AG696" i="7" s="1"/>
  <c r="Z696" i="7" s="1"/>
  <c r="AQ707" i="7"/>
  <c r="AH707" i="7" s="1"/>
  <c r="AQ711" i="7"/>
  <c r="AH711" i="7" s="1"/>
  <c r="AO728" i="7"/>
  <c r="AN728" i="7"/>
  <c r="AL728" i="7"/>
  <c r="AE728" i="7" s="1"/>
  <c r="AM728" i="7"/>
  <c r="AF728" i="7" s="1"/>
  <c r="Z737" i="7"/>
  <c r="AR752" i="7"/>
  <c r="AI752" i="7" s="1"/>
  <c r="AQ752" i="7"/>
  <c r="AH752" i="7" s="1"/>
  <c r="AP752" i="7"/>
  <c r="AG752" i="7" s="1"/>
  <c r="AM609" i="7"/>
  <c r="AF609" i="7" s="1"/>
  <c r="AO628" i="7"/>
  <c r="AN628" i="7"/>
  <c r="AO644" i="7"/>
  <c r="AN644" i="7"/>
  <c r="AL663" i="7"/>
  <c r="AE663" i="7" s="1"/>
  <c r="AM665" i="7"/>
  <c r="AF665" i="7" s="1"/>
  <c r="AN667" i="7"/>
  <c r="AM670" i="7"/>
  <c r="AF670" i="7" s="1"/>
  <c r="AM678" i="7"/>
  <c r="AF678" i="7" s="1"/>
  <c r="AN686" i="7"/>
  <c r="AL741" i="7"/>
  <c r="AE741" i="7" s="1"/>
  <c r="AO741" i="7"/>
  <c r="AN741" i="7"/>
  <c r="AM741" i="7"/>
  <c r="AF741" i="7" s="1"/>
  <c r="AO672" i="7"/>
  <c r="AN672" i="7"/>
  <c r="AO680" i="7"/>
  <c r="AN680" i="7"/>
  <c r="AO686" i="7"/>
  <c r="Z697" i="7"/>
  <c r="AQ704" i="7"/>
  <c r="AH704" i="7" s="1"/>
  <c r="AP704" i="7"/>
  <c r="AG704" i="7" s="1"/>
  <c r="Z704" i="7" s="1"/>
  <c r="AN726" i="7"/>
  <c r="AM726" i="7"/>
  <c r="AF726" i="7" s="1"/>
  <c r="AL726" i="7"/>
  <c r="AE726" i="7" s="1"/>
  <c r="AM639" i="7"/>
  <c r="AF639" i="7" s="1"/>
  <c r="Y639" i="7" s="1"/>
  <c r="AL641" i="7"/>
  <c r="AE641" i="7" s="1"/>
  <c r="Y641" i="7" s="1"/>
  <c r="AL648" i="7"/>
  <c r="AE648" i="7" s="1"/>
  <c r="Y648" i="7" s="1"/>
  <c r="AP653" i="7"/>
  <c r="AG653" i="7" s="1"/>
  <c r="Z653" i="7" s="1"/>
  <c r="AM655" i="7"/>
  <c r="AF655" i="7" s="1"/>
  <c r="AL657" i="7"/>
  <c r="AE657" i="7" s="1"/>
  <c r="AM661" i="7"/>
  <c r="AF661" i="7" s="1"/>
  <c r="Y661" i="7" s="1"/>
  <c r="AP665" i="7"/>
  <c r="AG665" i="7" s="1"/>
  <c r="Z665" i="7" s="1"/>
  <c r="AQ667" i="7"/>
  <c r="AH667" i="7" s="1"/>
  <c r="AL673" i="7"/>
  <c r="AE673" i="7" s="1"/>
  <c r="AO675" i="7"/>
  <c r="AQ675" i="7"/>
  <c r="AH675" i="7" s="1"/>
  <c r="Z675" i="7" s="1"/>
  <c r="AL681" i="7"/>
  <c r="AE681" i="7" s="1"/>
  <c r="AO684" i="7"/>
  <c r="AN684" i="7"/>
  <c r="AM684" i="7"/>
  <c r="AF684" i="7" s="1"/>
  <c r="Y684" i="7" s="1"/>
  <c r="Z728" i="7"/>
  <c r="Z730" i="7"/>
  <c r="AN639" i="7"/>
  <c r="AM641" i="7"/>
  <c r="AF641" i="7" s="1"/>
  <c r="AM648" i="7"/>
  <c r="AF648" i="7" s="1"/>
  <c r="AQ653" i="7"/>
  <c r="AH653" i="7" s="1"/>
  <c r="AN655" i="7"/>
  <c r="AM657" i="7"/>
  <c r="AF657" i="7" s="1"/>
  <c r="AO663" i="7"/>
  <c r="AP663" i="7"/>
  <c r="AG663" i="7" s="1"/>
  <c r="Z663" i="7" s="1"/>
  <c r="AP670" i="7"/>
  <c r="AG670" i="7" s="1"/>
  <c r="Z670" i="7" s="1"/>
  <c r="AP678" i="7"/>
  <c r="AG678" i="7" s="1"/>
  <c r="Z678" i="7" s="1"/>
  <c r="AM705" i="7"/>
  <c r="AF705" i="7" s="1"/>
  <c r="AO705" i="7"/>
  <c r="AO724" i="7"/>
  <c r="AN724" i="7"/>
  <c r="AM724" i="7"/>
  <c r="AF724" i="7" s="1"/>
  <c r="AL724" i="7"/>
  <c r="AE724" i="7" s="1"/>
  <c r="Z741" i="7"/>
  <c r="AN648" i="7"/>
  <c r="AP655" i="7"/>
  <c r="AG655" i="7" s="1"/>
  <c r="Z655" i="7" s="1"/>
  <c r="AO661" i="7"/>
  <c r="AP661" i="7"/>
  <c r="AG661" i="7" s="1"/>
  <c r="Z661" i="7" s="1"/>
  <c r="AM685" i="7"/>
  <c r="AF685" i="7" s="1"/>
  <c r="AO685" i="7"/>
  <c r="AN722" i="7"/>
  <c r="AL722" i="7"/>
  <c r="AE722" i="7" s="1"/>
  <c r="AM722" i="7"/>
  <c r="AF722" i="7" s="1"/>
  <c r="AO726" i="7"/>
  <c r="AQ661" i="7"/>
  <c r="AH661" i="7" s="1"/>
  <c r="Y688" i="7"/>
  <c r="AM693" i="7"/>
  <c r="AF693" i="7" s="1"/>
  <c r="AO693" i="7"/>
  <c r="AM697" i="7"/>
  <c r="AF697" i="7" s="1"/>
  <c r="AO697" i="7"/>
  <c r="AM709" i="7"/>
  <c r="AF709" i="7" s="1"/>
  <c r="AO709" i="7"/>
  <c r="AM713" i="7"/>
  <c r="AF713" i="7" s="1"/>
  <c r="AO713" i="7"/>
  <c r="AM643" i="7"/>
  <c r="AF643" i="7" s="1"/>
  <c r="Y643" i="7" s="1"/>
  <c r="AQ659" i="7"/>
  <c r="AH659" i="7" s="1"/>
  <c r="Z659" i="7" s="1"/>
  <c r="AL666" i="7"/>
  <c r="AE666" i="7" s="1"/>
  <c r="Y666" i="7" s="1"/>
  <c r="AM668" i="7"/>
  <c r="AF668" i="7" s="1"/>
  <c r="Y668" i="7" s="1"/>
  <c r="AL671" i="7"/>
  <c r="AE671" i="7" s="1"/>
  <c r="AO673" i="7"/>
  <c r="AQ673" i="7"/>
  <c r="AH673" i="7" s="1"/>
  <c r="Z673" i="7" s="1"/>
  <c r="AL679" i="7"/>
  <c r="AE679" i="7" s="1"/>
  <c r="Y679" i="7" s="1"/>
  <c r="AM681" i="7"/>
  <c r="AF681" i="7" s="1"/>
  <c r="AO681" i="7"/>
  <c r="AQ695" i="7"/>
  <c r="AH695" i="7" s="1"/>
  <c r="AP695" i="7"/>
  <c r="AG695" i="7" s="1"/>
  <c r="Z695" i="7" s="1"/>
  <c r="AR697" i="7"/>
  <c r="AI697" i="7" s="1"/>
  <c r="AN701" i="7"/>
  <c r="AO627" i="7"/>
  <c r="AN627" i="7"/>
  <c r="Y627" i="7" s="1"/>
  <c r="AN643" i="7"/>
  <c r="AM671" i="7"/>
  <c r="AF671" i="7" s="1"/>
  <c r="AR681" i="7"/>
  <c r="AI681" i="7" s="1"/>
  <c r="AO722" i="7"/>
  <c r="AR717" i="7"/>
  <c r="AI717" i="7" s="1"/>
  <c r="Z717" i="7" s="1"/>
  <c r="AQ724" i="7"/>
  <c r="AH724" i="7" s="1"/>
  <c r="Z724" i="7" s="1"/>
  <c r="AP726" i="7"/>
  <c r="AG726" i="7" s="1"/>
  <c r="Z726" i="7" s="1"/>
  <c r="AN735" i="7"/>
  <c r="AQ740" i="7"/>
  <c r="AH740" i="7" s="1"/>
  <c r="AO769" i="7"/>
  <c r="AN769" i="7"/>
  <c r="AM769" i="7"/>
  <c r="AF769" i="7" s="1"/>
  <c r="AL769" i="7"/>
  <c r="AE769" i="7" s="1"/>
  <c r="Y769" i="7" s="1"/>
  <c r="Z770" i="7"/>
  <c r="AL692" i="7"/>
  <c r="AE692" i="7" s="1"/>
  <c r="AL696" i="7"/>
  <c r="AE696" i="7" s="1"/>
  <c r="Y696" i="7" s="1"/>
  <c r="AL700" i="7"/>
  <c r="AE700" i="7" s="1"/>
  <c r="AL704" i="7"/>
  <c r="AE704" i="7" s="1"/>
  <c r="AL708" i="7"/>
  <c r="AE708" i="7" s="1"/>
  <c r="Y708" i="7" s="1"/>
  <c r="AL712" i="7"/>
  <c r="AE712" i="7" s="1"/>
  <c r="AP713" i="7"/>
  <c r="AG713" i="7" s="1"/>
  <c r="AM716" i="7"/>
  <c r="AF716" i="7" s="1"/>
  <c r="Y716" i="7" s="1"/>
  <c r="AN719" i="7"/>
  <c r="AM719" i="7"/>
  <c r="AF719" i="7" s="1"/>
  <c r="Y719" i="7" s="1"/>
  <c r="AQ722" i="7"/>
  <c r="AH722" i="7" s="1"/>
  <c r="Z722" i="7" s="1"/>
  <c r="AQ726" i="7"/>
  <c r="AH726" i="7" s="1"/>
  <c r="AO735" i="7"/>
  <c r="Y735" i="7" s="1"/>
  <c r="AM736" i="7"/>
  <c r="AF736" i="7" s="1"/>
  <c r="AL742" i="7"/>
  <c r="AE742" i="7" s="1"/>
  <c r="AN742" i="7"/>
  <c r="AR746" i="7"/>
  <c r="AI746" i="7" s="1"/>
  <c r="AL747" i="7"/>
  <c r="AE747" i="7" s="1"/>
  <c r="Y747" i="7" s="1"/>
  <c r="Z754" i="7"/>
  <c r="AQ685" i="7"/>
  <c r="AH685" i="7" s="1"/>
  <c r="Z685" i="7" s="1"/>
  <c r="AQ689" i="7"/>
  <c r="AH689" i="7" s="1"/>
  <c r="Z689" i="7" s="1"/>
  <c r="AM692" i="7"/>
  <c r="AF692" i="7" s="1"/>
  <c r="AQ693" i="7"/>
  <c r="AH693" i="7" s="1"/>
  <c r="Z693" i="7" s="1"/>
  <c r="AM696" i="7"/>
  <c r="AF696" i="7" s="1"/>
  <c r="AQ697" i="7"/>
  <c r="AH697" i="7" s="1"/>
  <c r="AM700" i="7"/>
  <c r="AF700" i="7" s="1"/>
  <c r="AM704" i="7"/>
  <c r="AF704" i="7" s="1"/>
  <c r="AM708" i="7"/>
  <c r="AF708" i="7" s="1"/>
  <c r="AM712" i="7"/>
  <c r="AF712" i="7" s="1"/>
  <c r="AQ713" i="7"/>
  <c r="AH713" i="7" s="1"/>
  <c r="AR716" i="7"/>
  <c r="AI716" i="7" s="1"/>
  <c r="Z716" i="7" s="1"/>
  <c r="AN716" i="7"/>
  <c r="AO719" i="7"/>
  <c r="AO734" i="7"/>
  <c r="Y734" i="7" s="1"/>
  <c r="AN734" i="7"/>
  <c r="AQ735" i="7"/>
  <c r="AH735" i="7" s="1"/>
  <c r="Z735" i="7" s="1"/>
  <c r="AM745" i="7"/>
  <c r="AF745" i="7" s="1"/>
  <c r="AL745" i="7"/>
  <c r="AE745" i="7" s="1"/>
  <c r="AO745" i="7"/>
  <c r="Z748" i="7"/>
  <c r="AQ753" i="7"/>
  <c r="AH753" i="7" s="1"/>
  <c r="AR753" i="7"/>
  <c r="AI753" i="7" s="1"/>
  <c r="AP788" i="7"/>
  <c r="AG788" i="7" s="1"/>
  <c r="AR788" i="7"/>
  <c r="AI788" i="7" s="1"/>
  <c r="AQ788" i="7"/>
  <c r="AH788" i="7" s="1"/>
  <c r="AN692" i="7"/>
  <c r="AN696" i="7"/>
  <c r="AN700" i="7"/>
  <c r="AN704" i="7"/>
  <c r="AN708" i="7"/>
  <c r="AN712" i="7"/>
  <c r="AL727" i="7"/>
  <c r="AE727" i="7" s="1"/>
  <c r="Y727" i="7" s="1"/>
  <c r="AR735" i="7"/>
  <c r="AI735" i="7" s="1"/>
  <c r="AR773" i="7"/>
  <c r="AI773" i="7" s="1"/>
  <c r="AQ773" i="7"/>
  <c r="AH773" i="7" s="1"/>
  <c r="AP773" i="7"/>
  <c r="AG773" i="7" s="1"/>
  <c r="AL721" i="7"/>
  <c r="AE721" i="7" s="1"/>
  <c r="AO743" i="7"/>
  <c r="AN743" i="7"/>
  <c r="AL743" i="7"/>
  <c r="AE743" i="7" s="1"/>
  <c r="Y743" i="7" s="1"/>
  <c r="AL699" i="7"/>
  <c r="AE699" i="7" s="1"/>
  <c r="Y699" i="7" s="1"/>
  <c r="AL703" i="7"/>
  <c r="AE703" i="7" s="1"/>
  <c r="Y703" i="7" s="1"/>
  <c r="AL707" i="7"/>
  <c r="AE707" i="7" s="1"/>
  <c r="AP708" i="7"/>
  <c r="AG708" i="7" s="1"/>
  <c r="Z708" i="7" s="1"/>
  <c r="AL711" i="7"/>
  <c r="AE711" i="7" s="1"/>
  <c r="Y711" i="7" s="1"/>
  <c r="AP712" i="7"/>
  <c r="AG712" i="7" s="1"/>
  <c r="Z712" i="7" s="1"/>
  <c r="AL715" i="7"/>
  <c r="AE715" i="7" s="1"/>
  <c r="AL718" i="7"/>
  <c r="AE718" i="7" s="1"/>
  <c r="AM721" i="7"/>
  <c r="AF721" i="7" s="1"/>
  <c r="AL723" i="7"/>
  <c r="AE723" i="7" s="1"/>
  <c r="Y723" i="7" s="1"/>
  <c r="AN727" i="7"/>
  <c r="AL739" i="7"/>
  <c r="AE739" i="7" s="1"/>
  <c r="AQ743" i="7"/>
  <c r="AH743" i="7" s="1"/>
  <c r="AL746" i="7"/>
  <c r="AE746" i="7" s="1"/>
  <c r="AR756" i="7"/>
  <c r="AI756" i="7" s="1"/>
  <c r="AQ756" i="7"/>
  <c r="AH756" i="7" s="1"/>
  <c r="AP756" i="7"/>
  <c r="AG756" i="7" s="1"/>
  <c r="Z756" i="7" s="1"/>
  <c r="AM699" i="7"/>
  <c r="AF699" i="7" s="1"/>
  <c r="AM703" i="7"/>
  <c r="AF703" i="7" s="1"/>
  <c r="AM707" i="7"/>
  <c r="AF707" i="7" s="1"/>
  <c r="AM711" i="7"/>
  <c r="AF711" i="7" s="1"/>
  <c r="AM715" i="7"/>
  <c r="AF715" i="7" s="1"/>
  <c r="AM718" i="7"/>
  <c r="AF718" i="7" s="1"/>
  <c r="AM723" i="7"/>
  <c r="AF723" i="7" s="1"/>
  <c r="AN729" i="7"/>
  <c r="Y729" i="7" s="1"/>
  <c r="AN739" i="7"/>
  <c r="AM746" i="7"/>
  <c r="AF746" i="7" s="1"/>
  <c r="Y750" i="7"/>
  <c r="AN725" i="7"/>
  <c r="AL725" i="7"/>
  <c r="AE725" i="7" s="1"/>
  <c r="AO725" i="7"/>
  <c r="AP727" i="7"/>
  <c r="AG727" i="7" s="1"/>
  <c r="Z727" i="7" s="1"/>
  <c r="AL732" i="7"/>
  <c r="AE732" i="7" s="1"/>
  <c r="AO736" i="7"/>
  <c r="AL736" i="7"/>
  <c r="AE736" i="7" s="1"/>
  <c r="AP738" i="7"/>
  <c r="AG738" i="7" s="1"/>
  <c r="AN746" i="7"/>
  <c r="AN749" i="7"/>
  <c r="AM749" i="7"/>
  <c r="AF749" i="7" s="1"/>
  <c r="Y749" i="7" s="1"/>
  <c r="AP753" i="7"/>
  <c r="AG753" i="7" s="1"/>
  <c r="Z753" i="7" s="1"/>
  <c r="AP721" i="7"/>
  <c r="AG721" i="7" s="1"/>
  <c r="AP725" i="7"/>
  <c r="AG725" i="7" s="1"/>
  <c r="Z725" i="7" s="1"/>
  <c r="AQ727" i="7"/>
  <c r="AH727" i="7" s="1"/>
  <c r="AR729" i="7"/>
  <c r="AI729" i="7" s="1"/>
  <c r="AQ729" i="7"/>
  <c r="AH729" i="7" s="1"/>
  <c r="Z729" i="7" s="1"/>
  <c r="AM732" i="7"/>
  <c r="AF732" i="7" s="1"/>
  <c r="AR738" i="7"/>
  <c r="AI738" i="7" s="1"/>
  <c r="AP739" i="7"/>
  <c r="AG739" i="7" s="1"/>
  <c r="Z739" i="7" s="1"/>
  <c r="AN748" i="7"/>
  <c r="AQ749" i="7"/>
  <c r="AH749" i="7" s="1"/>
  <c r="AL694" i="7"/>
  <c r="AE694" i="7" s="1"/>
  <c r="Y694" i="7" s="1"/>
  <c r="AL698" i="7"/>
  <c r="AE698" i="7" s="1"/>
  <c r="Y698" i="7" s="1"/>
  <c r="AP699" i="7"/>
  <c r="AG699" i="7" s="1"/>
  <c r="Z699" i="7" s="1"/>
  <c r="AL702" i="7"/>
  <c r="AE702" i="7" s="1"/>
  <c r="Y702" i="7" s="1"/>
  <c r="AP703" i="7"/>
  <c r="AG703" i="7" s="1"/>
  <c r="Z703" i="7" s="1"/>
  <c r="AL706" i="7"/>
  <c r="AE706" i="7" s="1"/>
  <c r="Y706" i="7" s="1"/>
  <c r="AP707" i="7"/>
  <c r="AG707" i="7" s="1"/>
  <c r="Z707" i="7" s="1"/>
  <c r="AL710" i="7"/>
  <c r="AE710" i="7" s="1"/>
  <c r="Y710" i="7" s="1"/>
  <c r="AP711" i="7"/>
  <c r="AG711" i="7" s="1"/>
  <c r="Z711" i="7" s="1"/>
  <c r="AL714" i="7"/>
  <c r="AE714" i="7" s="1"/>
  <c r="Y714" i="7" s="1"/>
  <c r="AP715" i="7"/>
  <c r="AG715" i="7" s="1"/>
  <c r="Z715" i="7" s="1"/>
  <c r="AP718" i="7"/>
  <c r="AG718" i="7" s="1"/>
  <c r="Z718" i="7" s="1"/>
  <c r="AQ721" i="7"/>
  <c r="AH721" i="7" s="1"/>
  <c r="AQ723" i="7"/>
  <c r="AH723" i="7" s="1"/>
  <c r="AP723" i="7"/>
  <c r="AG723" i="7" s="1"/>
  <c r="AQ725" i="7"/>
  <c r="AH725" i="7" s="1"/>
  <c r="AN732" i="7"/>
  <c r="AR739" i="7"/>
  <c r="AI739" i="7" s="1"/>
  <c r="AL717" i="7"/>
  <c r="AE717" i="7" s="1"/>
  <c r="Y717" i="7" s="1"/>
  <c r="AQ718" i="7"/>
  <c r="AH718" i="7" s="1"/>
  <c r="AL720" i="7"/>
  <c r="AE720" i="7" s="1"/>
  <c r="Y720" i="7" s="1"/>
  <c r="AR723" i="7"/>
  <c r="AI723" i="7" s="1"/>
  <c r="AL730" i="7"/>
  <c r="AE730" i="7" s="1"/>
  <c r="AQ732" i="7"/>
  <c r="AH732" i="7" s="1"/>
  <c r="Z732" i="7" s="1"/>
  <c r="AO737" i="7"/>
  <c r="AR740" i="7"/>
  <c r="AI740" i="7" s="1"/>
  <c r="Z740" i="7" s="1"/>
  <c r="AN745" i="7"/>
  <c r="Z787" i="7"/>
  <c r="AM730" i="7"/>
  <c r="AF730" i="7" s="1"/>
  <c r="AR732" i="7"/>
  <c r="AI732" i="7" s="1"/>
  <c r="AO754" i="7"/>
  <c r="AL754" i="7"/>
  <c r="AE754" i="7" s="1"/>
  <c r="AN730" i="7"/>
  <c r="AR747" i="7"/>
  <c r="AI747" i="7" s="1"/>
  <c r="AQ747" i="7"/>
  <c r="AH747" i="7" s="1"/>
  <c r="Z747" i="7" s="1"/>
  <c r="Y757" i="7"/>
  <c r="AQ827" i="7"/>
  <c r="AH827" i="7" s="1"/>
  <c r="AP827" i="7"/>
  <c r="AG827" i="7" s="1"/>
  <c r="Z827" i="7" s="1"/>
  <c r="AR827" i="7"/>
  <c r="AI827" i="7" s="1"/>
  <c r="AR751" i="7"/>
  <c r="AI751" i="7" s="1"/>
  <c r="AQ751" i="7"/>
  <c r="AH751" i="7" s="1"/>
  <c r="Z751" i="7" s="1"/>
  <c r="AP720" i="7"/>
  <c r="AG720" i="7" s="1"/>
  <c r="Z720" i="7" s="1"/>
  <c r="AQ742" i="7"/>
  <c r="AH742" i="7" s="1"/>
  <c r="Z742" i="7" s="1"/>
  <c r="AL756" i="7"/>
  <c r="AE756" i="7" s="1"/>
  <c r="AM747" i="7"/>
  <c r="AF747" i="7" s="1"/>
  <c r="AN751" i="7"/>
  <c r="AN753" i="7"/>
  <c r="Y753" i="7" s="1"/>
  <c r="AN755" i="7"/>
  <c r="AM755" i="7"/>
  <c r="AF755" i="7" s="1"/>
  <c r="AR755" i="7"/>
  <c r="AI755" i="7" s="1"/>
  <c r="Z755" i="7" s="1"/>
  <c r="AP759" i="7"/>
  <c r="AG759" i="7" s="1"/>
  <c r="AM765" i="7"/>
  <c r="AF765" i="7" s="1"/>
  <c r="Y765" i="7" s="1"/>
  <c r="AR770" i="7"/>
  <c r="AI770" i="7" s="1"/>
  <c r="AP771" i="7"/>
  <c r="AG771" i="7" s="1"/>
  <c r="AN773" i="7"/>
  <c r="Y773" i="7" s="1"/>
  <c r="AO774" i="7"/>
  <c r="AP776" i="7"/>
  <c r="AG776" i="7" s="1"/>
  <c r="AQ779" i="7"/>
  <c r="AH779" i="7" s="1"/>
  <c r="Z779" i="7" s="1"/>
  <c r="AR781" i="7"/>
  <c r="AI781" i="7" s="1"/>
  <c r="AQ781" i="7"/>
  <c r="AH781" i="7" s="1"/>
  <c r="AP781" i="7"/>
  <c r="AG781" i="7" s="1"/>
  <c r="Z781" i="7" s="1"/>
  <c r="AO837" i="7"/>
  <c r="AN837" i="7"/>
  <c r="AM837" i="7"/>
  <c r="AF837" i="7" s="1"/>
  <c r="AL837" i="7"/>
  <c r="AE837" i="7" s="1"/>
  <c r="Y837" i="7" s="1"/>
  <c r="AO751" i="7"/>
  <c r="Y751" i="7" s="1"/>
  <c r="AO753" i="7"/>
  <c r="AR759" i="7"/>
  <c r="AI759" i="7" s="1"/>
  <c r="AR771" i="7"/>
  <c r="AI771" i="7" s="1"/>
  <c r="AO773" i="7"/>
  <c r="AQ776" i="7"/>
  <c r="AH776" i="7" s="1"/>
  <c r="AN780" i="7"/>
  <c r="AL780" i="7"/>
  <c r="AE780" i="7" s="1"/>
  <c r="AO783" i="7"/>
  <c r="AR787" i="7"/>
  <c r="AI787" i="7" s="1"/>
  <c r="AQ787" i="7"/>
  <c r="AH787" i="7" s="1"/>
  <c r="Z805" i="7"/>
  <c r="AO807" i="7"/>
  <c r="AM807" i="7"/>
  <c r="AF807" i="7" s="1"/>
  <c r="AL807" i="7"/>
  <c r="AE807" i="7" s="1"/>
  <c r="Y807" i="7" s="1"/>
  <c r="Z815" i="7"/>
  <c r="Z821" i="7"/>
  <c r="Y847" i="7"/>
  <c r="AL766" i="7"/>
  <c r="AE766" i="7" s="1"/>
  <c r="AO770" i="7"/>
  <c r="AM770" i="7"/>
  <c r="AF770" i="7" s="1"/>
  <c r="AR791" i="7"/>
  <c r="AI791" i="7" s="1"/>
  <c r="AP791" i="7"/>
  <c r="AG791" i="7" s="1"/>
  <c r="AP793" i="7"/>
  <c r="AG793" i="7" s="1"/>
  <c r="AR793" i="7"/>
  <c r="AI793" i="7" s="1"/>
  <c r="AR802" i="7"/>
  <c r="AI802" i="7" s="1"/>
  <c r="AQ802" i="7"/>
  <c r="AH802" i="7" s="1"/>
  <c r="AP802" i="7"/>
  <c r="AG802" i="7" s="1"/>
  <c r="Z802" i="7" s="1"/>
  <c r="Y843" i="7"/>
  <c r="AP749" i="7"/>
  <c r="AG749" i="7" s="1"/>
  <c r="Z749" i="7" s="1"/>
  <c r="AN759" i="7"/>
  <c r="AM759" i="7"/>
  <c r="AF759" i="7" s="1"/>
  <c r="AR764" i="7"/>
  <c r="AI764" i="7" s="1"/>
  <c r="AQ764" i="7"/>
  <c r="AH764" i="7" s="1"/>
  <c r="AP764" i="7"/>
  <c r="AG764" i="7" s="1"/>
  <c r="AP765" i="7"/>
  <c r="AG765" i="7" s="1"/>
  <c r="Z765" i="7" s="1"/>
  <c r="AO799" i="7"/>
  <c r="AN799" i="7"/>
  <c r="AL799" i="7"/>
  <c r="AE799" i="7" s="1"/>
  <c r="AO804" i="7"/>
  <c r="AM804" i="7"/>
  <c r="AF804" i="7" s="1"/>
  <c r="AL804" i="7"/>
  <c r="AE804" i="7" s="1"/>
  <c r="AL816" i="7"/>
  <c r="AE816" i="7" s="1"/>
  <c r="Z823" i="7"/>
  <c r="AL744" i="7"/>
  <c r="AE744" i="7" s="1"/>
  <c r="Y744" i="7" s="1"/>
  <c r="AR749" i="7"/>
  <c r="AI749" i="7" s="1"/>
  <c r="AM764" i="7"/>
  <c r="AF764" i="7" s="1"/>
  <c r="AO764" i="7"/>
  <c r="AR765" i="7"/>
  <c r="AI765" i="7" s="1"/>
  <c r="AR772" i="7"/>
  <c r="AI772" i="7" s="1"/>
  <c r="AQ772" i="7"/>
  <c r="AH772" i="7" s="1"/>
  <c r="AP772" i="7"/>
  <c r="AG772" i="7" s="1"/>
  <c r="AQ837" i="7"/>
  <c r="AH837" i="7" s="1"/>
  <c r="AP837" i="7"/>
  <c r="AG837" i="7" s="1"/>
  <c r="AM744" i="7"/>
  <c r="AF744" i="7" s="1"/>
  <c r="AM756" i="7"/>
  <c r="AF756" i="7" s="1"/>
  <c r="AO756" i="7"/>
  <c r="AN771" i="7"/>
  <c r="AR786" i="7"/>
  <c r="AI786" i="7" s="1"/>
  <c r="AP786" i="7"/>
  <c r="AG786" i="7" s="1"/>
  <c r="Z792" i="7"/>
  <c r="AM760" i="7"/>
  <c r="AF760" i="7" s="1"/>
  <c r="AO760" i="7"/>
  <c r="Y760" i="7" s="1"/>
  <c r="AO776" i="7"/>
  <c r="AL776" i="7"/>
  <c r="AE776" i="7" s="1"/>
  <c r="AM777" i="7"/>
  <c r="AF777" i="7" s="1"/>
  <c r="AQ780" i="7"/>
  <c r="AH780" i="7" s="1"/>
  <c r="Z780" i="7" s="1"/>
  <c r="Y796" i="7"/>
  <c r="AO787" i="7"/>
  <c r="AN787" i="7"/>
  <c r="AL798" i="7"/>
  <c r="AE798" i="7" s="1"/>
  <c r="AO798" i="7"/>
  <c r="AN798" i="7"/>
  <c r="AL801" i="7"/>
  <c r="AE801" i="7" s="1"/>
  <c r="AO801" i="7"/>
  <c r="AN801" i="7"/>
  <c r="AN804" i="7"/>
  <c r="Y806" i="7"/>
  <c r="Y867" i="7"/>
  <c r="AO766" i="7"/>
  <c r="AM766" i="7"/>
  <c r="AF766" i="7" s="1"/>
  <c r="AR775" i="7"/>
  <c r="AI775" i="7" s="1"/>
  <c r="AQ775" i="7"/>
  <c r="AH775" i="7" s="1"/>
  <c r="AP775" i="7"/>
  <c r="AG775" i="7" s="1"/>
  <c r="AQ793" i="7"/>
  <c r="AH793" i="7" s="1"/>
  <c r="Z795" i="7"/>
  <c r="AM799" i="7"/>
  <c r="AF799" i="7" s="1"/>
  <c r="Z806" i="7"/>
  <c r="Z814" i="7"/>
  <c r="AP746" i="7"/>
  <c r="AG746" i="7" s="1"/>
  <c r="Z746" i="7" s="1"/>
  <c r="AP750" i="7"/>
  <c r="AG750" i="7" s="1"/>
  <c r="AM752" i="7"/>
  <c r="AF752" i="7" s="1"/>
  <c r="Y752" i="7" s="1"/>
  <c r="AO752" i="7"/>
  <c r="AR757" i="7"/>
  <c r="AI757" i="7" s="1"/>
  <c r="Z757" i="7" s="1"/>
  <c r="AL758" i="7"/>
  <c r="AE758" i="7" s="1"/>
  <c r="Y758" i="7" s="1"/>
  <c r="AR767" i="7"/>
  <c r="AI767" i="7" s="1"/>
  <c r="Z767" i="7" s="1"/>
  <c r="AR784" i="7"/>
  <c r="AI784" i="7" s="1"/>
  <c r="Z784" i="7" s="1"/>
  <c r="AQ784" i="7"/>
  <c r="AH784" i="7" s="1"/>
  <c r="Y838" i="7"/>
  <c r="AM748" i="7"/>
  <c r="AF748" i="7" s="1"/>
  <c r="Y748" i="7" s="1"/>
  <c r="AO748" i="7"/>
  <c r="AQ750" i="7"/>
  <c r="AH750" i="7" s="1"/>
  <c r="AP762" i="7"/>
  <c r="AG762" i="7" s="1"/>
  <c r="Z762" i="7" s="1"/>
  <c r="AN816" i="7"/>
  <c r="AM816" i="7"/>
  <c r="AF816" i="7" s="1"/>
  <c r="Y830" i="7"/>
  <c r="AP836" i="7"/>
  <c r="AG836" i="7" s="1"/>
  <c r="AR836" i="7"/>
  <c r="AI836" i="7" s="1"/>
  <c r="AQ836" i="7"/>
  <c r="AH836" i="7" s="1"/>
  <c r="AM737" i="7"/>
  <c r="AF737" i="7" s="1"/>
  <c r="Y737" i="7" s="1"/>
  <c r="AO740" i="7"/>
  <c r="AM740" i="7"/>
  <c r="AF740" i="7" s="1"/>
  <c r="Y740" i="7" s="1"/>
  <c r="AP758" i="7"/>
  <c r="AG758" i="7" s="1"/>
  <c r="Z758" i="7" s="1"/>
  <c r="Y775" i="7"/>
  <c r="Z811" i="7"/>
  <c r="AM731" i="7"/>
  <c r="AF731" i="7" s="1"/>
  <c r="Y731" i="7" s="1"/>
  <c r="AN737" i="7"/>
  <c r="AN740" i="7"/>
  <c r="AL755" i="7"/>
  <c r="AE755" i="7" s="1"/>
  <c r="AN767" i="7"/>
  <c r="AL770" i="7"/>
  <c r="AE770" i="7" s="1"/>
  <c r="AR783" i="7"/>
  <c r="AI783" i="7" s="1"/>
  <c r="Z783" i="7" s="1"/>
  <c r="AQ783" i="7"/>
  <c r="AH783" i="7" s="1"/>
  <c r="AO794" i="7"/>
  <c r="AN794" i="7"/>
  <c r="AL794" i="7"/>
  <c r="AE794" i="7" s="1"/>
  <c r="Y795" i="7"/>
  <c r="AO797" i="7"/>
  <c r="AN797" i="7"/>
  <c r="AL797" i="7"/>
  <c r="AE797" i="7" s="1"/>
  <c r="Y797" i="7" s="1"/>
  <c r="AM801" i="7"/>
  <c r="AF801" i="7" s="1"/>
  <c r="AN824" i="7"/>
  <c r="AM824" i="7"/>
  <c r="AF824" i="7" s="1"/>
  <c r="Y824" i="7" s="1"/>
  <c r="Z846" i="7"/>
  <c r="AP743" i="7"/>
  <c r="AG743" i="7" s="1"/>
  <c r="Z743" i="7" s="1"/>
  <c r="AO762" i="7"/>
  <c r="AM762" i="7"/>
  <c r="AF762" i="7" s="1"/>
  <c r="Y762" i="7" s="1"/>
  <c r="AR768" i="7"/>
  <c r="AI768" i="7" s="1"/>
  <c r="AQ768" i="7"/>
  <c r="AH768" i="7" s="1"/>
  <c r="AP768" i="7"/>
  <c r="AG768" i="7" s="1"/>
  <c r="AN770" i="7"/>
  <c r="AL787" i="7"/>
  <c r="AE787" i="7" s="1"/>
  <c r="Z794" i="7"/>
  <c r="AM798" i="7"/>
  <c r="AF798" i="7" s="1"/>
  <c r="AQ819" i="7"/>
  <c r="AH819" i="7" s="1"/>
  <c r="AP819" i="7"/>
  <c r="AG819" i="7" s="1"/>
  <c r="AO758" i="7"/>
  <c r="AM758" i="7"/>
  <c r="AF758" i="7" s="1"/>
  <c r="AL759" i="7"/>
  <c r="AE759" i="7" s="1"/>
  <c r="Y759" i="7" s="1"/>
  <c r="AP763" i="7"/>
  <c r="AG763" i="7" s="1"/>
  <c r="Z763" i="7" s="1"/>
  <c r="AL764" i="7"/>
  <c r="AE764" i="7" s="1"/>
  <c r="AM768" i="7"/>
  <c r="AF768" i="7" s="1"/>
  <c r="Y768" i="7" s="1"/>
  <c r="AO768" i="7"/>
  <c r="AM776" i="7"/>
  <c r="AF776" i="7" s="1"/>
  <c r="AM787" i="7"/>
  <c r="AF787" i="7" s="1"/>
  <c r="AP790" i="7"/>
  <c r="AG790" i="7" s="1"/>
  <c r="AR790" i="7"/>
  <c r="AI790" i="7" s="1"/>
  <c r="AM810" i="7"/>
  <c r="AF810" i="7" s="1"/>
  <c r="Z862" i="7"/>
  <c r="AO772" i="7"/>
  <c r="AP778" i="7"/>
  <c r="AG778" i="7" s="1"/>
  <c r="Z778" i="7" s="1"/>
  <c r="AL786" i="7"/>
  <c r="AE786" i="7" s="1"/>
  <c r="Y786" i="7" s="1"/>
  <c r="AL789" i="7"/>
  <c r="AE789" i="7" s="1"/>
  <c r="AM795" i="7"/>
  <c r="AF795" i="7" s="1"/>
  <c r="AP804" i="7"/>
  <c r="AG804" i="7" s="1"/>
  <c r="AN806" i="7"/>
  <c r="AL812" i="7"/>
  <c r="AE812" i="7" s="1"/>
  <c r="AO814" i="7"/>
  <c r="AQ814" i="7"/>
  <c r="AH814" i="7" s="1"/>
  <c r="AL820" i="7"/>
  <c r="AE820" i="7" s="1"/>
  <c r="AO822" i="7"/>
  <c r="AQ822" i="7"/>
  <c r="AH822" i="7" s="1"/>
  <c r="Z822" i="7" s="1"/>
  <c r="AR831" i="7"/>
  <c r="AI831" i="7" s="1"/>
  <c r="Z831" i="7" s="1"/>
  <c r="AR837" i="7"/>
  <c r="AI837" i="7" s="1"/>
  <c r="AQ839" i="7"/>
  <c r="AH839" i="7" s="1"/>
  <c r="Z839" i="7" s="1"/>
  <c r="AQ840" i="7"/>
  <c r="AH840" i="7" s="1"/>
  <c r="AL841" i="7"/>
  <c r="AE841" i="7" s="1"/>
  <c r="AL849" i="7"/>
  <c r="AE849" i="7" s="1"/>
  <c r="Y849" i="7" s="1"/>
  <c r="AQ854" i="7"/>
  <c r="AH854" i="7" s="1"/>
  <c r="AP854" i="7"/>
  <c r="AG854" i="7" s="1"/>
  <c r="Z854" i="7" s="1"/>
  <c r="AL763" i="7"/>
  <c r="AE763" i="7" s="1"/>
  <c r="AL767" i="7"/>
  <c r="AE767" i="7" s="1"/>
  <c r="Y767" i="7" s="1"/>
  <c r="AL771" i="7"/>
  <c r="AE771" i="7" s="1"/>
  <c r="AM786" i="7"/>
  <c r="AF786" i="7" s="1"/>
  <c r="AM789" i="7"/>
  <c r="AF789" i="7" s="1"/>
  <c r="AM792" i="7"/>
  <c r="AF792" i="7" s="1"/>
  <c r="AN795" i="7"/>
  <c r="AQ804" i="7"/>
  <c r="AH804" i="7" s="1"/>
  <c r="AO806" i="7"/>
  <c r="AL808" i="7"/>
  <c r="AE808" i="7" s="1"/>
  <c r="AM812" i="7"/>
  <c r="AF812" i="7" s="1"/>
  <c r="AP817" i="7"/>
  <c r="AG817" i="7" s="1"/>
  <c r="Z817" i="7" s="1"/>
  <c r="AM820" i="7"/>
  <c r="AF820" i="7" s="1"/>
  <c r="AP825" i="7"/>
  <c r="AG825" i="7" s="1"/>
  <c r="AP828" i="7"/>
  <c r="AG828" i="7" s="1"/>
  <c r="AQ832" i="7"/>
  <c r="AH832" i="7" s="1"/>
  <c r="AO838" i="7"/>
  <c r="AN838" i="7"/>
  <c r="AR840" i="7"/>
  <c r="AI840" i="7" s="1"/>
  <c r="Z840" i="7" s="1"/>
  <c r="AM841" i="7"/>
  <c r="AF841" i="7" s="1"/>
  <c r="AL844" i="7"/>
  <c r="AE844" i="7" s="1"/>
  <c r="AM849" i="7"/>
  <c r="AF849" i="7" s="1"/>
  <c r="AO851" i="7"/>
  <c r="AM851" i="7"/>
  <c r="AF851" i="7" s="1"/>
  <c r="Y851" i="7" s="1"/>
  <c r="AM763" i="7"/>
  <c r="AF763" i="7" s="1"/>
  <c r="AM767" i="7"/>
  <c r="AF767" i="7" s="1"/>
  <c r="AM771" i="7"/>
  <c r="AF771" i="7" s="1"/>
  <c r="AL774" i="7"/>
  <c r="AE774" i="7" s="1"/>
  <c r="AL777" i="7"/>
  <c r="AE777" i="7" s="1"/>
  <c r="AM783" i="7"/>
  <c r="AF783" i="7" s="1"/>
  <c r="Y783" i="7" s="1"/>
  <c r="AN786" i="7"/>
  <c r="AN789" i="7"/>
  <c r="AN792" i="7"/>
  <c r="AP798" i="7"/>
  <c r="AG798" i="7" s="1"/>
  <c r="Z798" i="7" s="1"/>
  <c r="AP801" i="7"/>
  <c r="AG801" i="7" s="1"/>
  <c r="Z801" i="7" s="1"/>
  <c r="AL810" i="7"/>
  <c r="AE810" i="7" s="1"/>
  <c r="AL815" i="7"/>
  <c r="AE815" i="7" s="1"/>
  <c r="Y815" i="7" s="1"/>
  <c r="AO817" i="7"/>
  <c r="AQ817" i="7"/>
  <c r="AH817" i="7" s="1"/>
  <c r="AL823" i="7"/>
  <c r="AE823" i="7" s="1"/>
  <c r="Y823" i="7" s="1"/>
  <c r="AO825" i="7"/>
  <c r="AQ825" i="7"/>
  <c r="AH825" i="7" s="1"/>
  <c r="AQ828" i="7"/>
  <c r="AH828" i="7" s="1"/>
  <c r="AL833" i="7"/>
  <c r="AE833" i="7" s="1"/>
  <c r="AM843" i="7"/>
  <c r="AF843" i="7" s="1"/>
  <c r="AL845" i="7"/>
  <c r="AE845" i="7" s="1"/>
  <c r="AN849" i="7"/>
  <c r="AQ853" i="7"/>
  <c r="AH853" i="7" s="1"/>
  <c r="AP853" i="7"/>
  <c r="AG853" i="7" s="1"/>
  <c r="Z853" i="7" s="1"/>
  <c r="AM856" i="7"/>
  <c r="AF856" i="7" s="1"/>
  <c r="Y856" i="7" s="1"/>
  <c r="AN860" i="7"/>
  <c r="AL860" i="7"/>
  <c r="AE860" i="7" s="1"/>
  <c r="AO780" i="7"/>
  <c r="AM780" i="7"/>
  <c r="AF780" i="7" s="1"/>
  <c r="AN783" i="7"/>
  <c r="AL803" i="7"/>
  <c r="AE803" i="7" s="1"/>
  <c r="AO808" i="7"/>
  <c r="AN808" i="7"/>
  <c r="AP812" i="7"/>
  <c r="AG812" i="7" s="1"/>
  <c r="AM815" i="7"/>
  <c r="AF815" i="7" s="1"/>
  <c r="AP820" i="7"/>
  <c r="AG820" i="7" s="1"/>
  <c r="AM823" i="7"/>
  <c r="AF823" i="7" s="1"/>
  <c r="AL829" i="7"/>
  <c r="AE829" i="7" s="1"/>
  <c r="Y829" i="7" s="1"/>
  <c r="AM833" i="7"/>
  <c r="AF833" i="7" s="1"/>
  <c r="AL834" i="7"/>
  <c r="AE834" i="7" s="1"/>
  <c r="AP841" i="7"/>
  <c r="AG841" i="7" s="1"/>
  <c r="Z841" i="7" s="1"/>
  <c r="AQ844" i="7"/>
  <c r="AH844" i="7" s="1"/>
  <c r="Z844" i="7" s="1"/>
  <c r="AM845" i="7"/>
  <c r="AF845" i="7" s="1"/>
  <c r="AN856" i="7"/>
  <c r="AP789" i="7"/>
  <c r="AG789" i="7" s="1"/>
  <c r="Z789" i="7" s="1"/>
  <c r="AL800" i="7"/>
  <c r="AE800" i="7" s="1"/>
  <c r="AM803" i="7"/>
  <c r="AF803" i="7" s="1"/>
  <c r="AP808" i="7"/>
  <c r="AG808" i="7" s="1"/>
  <c r="Z808" i="7" s="1"/>
  <c r="AO810" i="7"/>
  <c r="AN810" i="7"/>
  <c r="AO812" i="7"/>
  <c r="AQ812" i="7"/>
  <c r="AH812" i="7" s="1"/>
  <c r="AL818" i="7"/>
  <c r="AE818" i="7" s="1"/>
  <c r="AO820" i="7"/>
  <c r="AQ820" i="7"/>
  <c r="AH820" i="7" s="1"/>
  <c r="AL826" i="7"/>
  <c r="AE826" i="7" s="1"/>
  <c r="Y826" i="7" s="1"/>
  <c r="AO828" i="7"/>
  <c r="Y828" i="7" s="1"/>
  <c r="AN828" i="7"/>
  <c r="AN833" i="7"/>
  <c r="AQ841" i="7"/>
  <c r="AH841" i="7" s="1"/>
  <c r="AR844" i="7"/>
  <c r="AI844" i="7" s="1"/>
  <c r="AN845" i="7"/>
  <c r="AO856" i="7"/>
  <c r="AR859" i="7"/>
  <c r="AI859" i="7" s="1"/>
  <c r="AQ859" i="7"/>
  <c r="AH859" i="7" s="1"/>
  <c r="AN876" i="7"/>
  <c r="AM876" i="7"/>
  <c r="AF876" i="7" s="1"/>
  <c r="AL876" i="7"/>
  <c r="AE876" i="7" s="1"/>
  <c r="Y886" i="7"/>
  <c r="AN910" i="7"/>
  <c r="AO910" i="7"/>
  <c r="AM910" i="7"/>
  <c r="AF910" i="7" s="1"/>
  <c r="AL910" i="7"/>
  <c r="AE910" i="7" s="1"/>
  <c r="AM800" i="7"/>
  <c r="AF800" i="7" s="1"/>
  <c r="AP810" i="7"/>
  <c r="AG810" i="7" s="1"/>
  <c r="Z810" i="7" s="1"/>
  <c r="AO832" i="7"/>
  <c r="AN832" i="7"/>
  <c r="Y832" i="7" s="1"/>
  <c r="AP834" i="7"/>
  <c r="AG834" i="7" s="1"/>
  <c r="AO840" i="7"/>
  <c r="AN840" i="7"/>
  <c r="AP845" i="7"/>
  <c r="AG845" i="7" s="1"/>
  <c r="Z845" i="7" s="1"/>
  <c r="AQ852" i="7"/>
  <c r="AH852" i="7" s="1"/>
  <c r="AP852" i="7"/>
  <c r="AG852" i="7" s="1"/>
  <c r="AP774" i="7"/>
  <c r="AG774" i="7" s="1"/>
  <c r="Z774" i="7" s="1"/>
  <c r="AP777" i="7"/>
  <c r="AG777" i="7" s="1"/>
  <c r="Z777" i="7" s="1"/>
  <c r="AL782" i="7"/>
  <c r="AE782" i="7" s="1"/>
  <c r="Y782" i="7" s="1"/>
  <c r="AL785" i="7"/>
  <c r="AE785" i="7" s="1"/>
  <c r="Y785" i="7" s="1"/>
  <c r="AL788" i="7"/>
  <c r="AE788" i="7" s="1"/>
  <c r="AM791" i="7"/>
  <c r="AF791" i="7" s="1"/>
  <c r="AN800" i="7"/>
  <c r="AM805" i="7"/>
  <c r="AF805" i="7" s="1"/>
  <c r="Y805" i="7" s="1"/>
  <c r="AQ810" i="7"/>
  <c r="AH810" i="7" s="1"/>
  <c r="AL813" i="7"/>
  <c r="AE813" i="7" s="1"/>
  <c r="Y813" i="7" s="1"/>
  <c r="AO815" i="7"/>
  <c r="AQ815" i="7"/>
  <c r="AH815" i="7" s="1"/>
  <c r="AL821" i="7"/>
  <c r="AE821" i="7" s="1"/>
  <c r="AO823" i="7"/>
  <c r="AQ823" i="7"/>
  <c r="AH823" i="7" s="1"/>
  <c r="AP829" i="7"/>
  <c r="AG829" i="7" s="1"/>
  <c r="AP832" i="7"/>
  <c r="AG832" i="7" s="1"/>
  <c r="Z832" i="7" s="1"/>
  <c r="AQ834" i="7"/>
  <c r="AH834" i="7" s="1"/>
  <c r="AM835" i="7"/>
  <c r="AF835" i="7" s="1"/>
  <c r="AO841" i="7"/>
  <c r="AQ845" i="7"/>
  <c r="AH845" i="7" s="1"/>
  <c r="AO858" i="7"/>
  <c r="AN858" i="7"/>
  <c r="AL858" i="7"/>
  <c r="AE858" i="7" s="1"/>
  <c r="AN864" i="7"/>
  <c r="AL864" i="7"/>
  <c r="AE864" i="7" s="1"/>
  <c r="AR866" i="7"/>
  <c r="AI866" i="7" s="1"/>
  <c r="AQ866" i="7"/>
  <c r="AH866" i="7" s="1"/>
  <c r="AM782" i="7"/>
  <c r="AF782" i="7" s="1"/>
  <c r="AM785" i="7"/>
  <c r="AF785" i="7" s="1"/>
  <c r="AM788" i="7"/>
  <c r="AF788" i="7" s="1"/>
  <c r="AN791" i="7"/>
  <c r="Y791" i="7" s="1"/>
  <c r="AP800" i="7"/>
  <c r="AG800" i="7" s="1"/>
  <c r="Z800" i="7" s="1"/>
  <c r="AP803" i="7"/>
  <c r="AG803" i="7" s="1"/>
  <c r="AN805" i="7"/>
  <c r="AM813" i="7"/>
  <c r="AF813" i="7" s="1"/>
  <c r="AP818" i="7"/>
  <c r="AG818" i="7" s="1"/>
  <c r="AM821" i="7"/>
  <c r="AF821" i="7" s="1"/>
  <c r="AP826" i="7"/>
  <c r="AG826" i="7" s="1"/>
  <c r="AO850" i="7"/>
  <c r="AN850" i="7"/>
  <c r="AM850" i="7"/>
  <c r="AF850" i="7" s="1"/>
  <c r="Y850" i="7" s="1"/>
  <c r="Z858" i="7"/>
  <c r="AR863" i="7"/>
  <c r="AI863" i="7" s="1"/>
  <c r="AQ863" i="7"/>
  <c r="AH863" i="7" s="1"/>
  <c r="Y882" i="7"/>
  <c r="AN788" i="7"/>
  <c r="AL802" i="7"/>
  <c r="AE802" i="7" s="1"/>
  <c r="AQ803" i="7"/>
  <c r="AH803" i="7" s="1"/>
  <c r="AN813" i="7"/>
  <c r="AO818" i="7"/>
  <c r="AQ818" i="7"/>
  <c r="AH818" i="7" s="1"/>
  <c r="AN821" i="7"/>
  <c r="AO826" i="7"/>
  <c r="AQ826" i="7"/>
  <c r="AH826" i="7" s="1"/>
  <c r="AO829" i="7"/>
  <c r="AM830" i="7"/>
  <c r="AF830" i="7" s="1"/>
  <c r="AO842" i="7"/>
  <c r="AN842" i="7"/>
  <c r="AM842" i="7"/>
  <c r="AF842" i="7" s="1"/>
  <c r="Y842" i="7" s="1"/>
  <c r="AL853" i="7"/>
  <c r="AE853" i="7" s="1"/>
  <c r="Y853" i="7" s="1"/>
  <c r="AM860" i="7"/>
  <c r="AF860" i="7" s="1"/>
  <c r="Y792" i="7"/>
  <c r="AM802" i="7"/>
  <c r="AF802" i="7" s="1"/>
  <c r="AR829" i="7"/>
  <c r="AI829" i="7" s="1"/>
  <c r="AO844" i="7"/>
  <c r="AN844" i="7"/>
  <c r="AO834" i="7"/>
  <c r="AN834" i="7"/>
  <c r="AR843" i="7"/>
  <c r="AI843" i="7" s="1"/>
  <c r="AQ843" i="7"/>
  <c r="AH843" i="7" s="1"/>
  <c r="Z843" i="7" s="1"/>
  <c r="AO846" i="7"/>
  <c r="AN846" i="7"/>
  <c r="AM846" i="7"/>
  <c r="AF846" i="7" s="1"/>
  <c r="Y846" i="7" s="1"/>
  <c r="AR849" i="7"/>
  <c r="AI849" i="7" s="1"/>
  <c r="AP849" i="7"/>
  <c r="AG849" i="7" s="1"/>
  <c r="Z849" i="7" s="1"/>
  <c r="AR857" i="7"/>
  <c r="AI857" i="7" s="1"/>
  <c r="AQ857" i="7"/>
  <c r="AH857" i="7" s="1"/>
  <c r="AP857" i="7"/>
  <c r="AG857" i="7" s="1"/>
  <c r="Y871" i="7"/>
  <c r="AR884" i="7"/>
  <c r="AI884" i="7" s="1"/>
  <c r="AQ884" i="7"/>
  <c r="AH884" i="7" s="1"/>
  <c r="AP884" i="7"/>
  <c r="AG884" i="7" s="1"/>
  <c r="AM790" i="7"/>
  <c r="AF790" i="7" s="1"/>
  <c r="Y790" i="7" s="1"/>
  <c r="AM793" i="7"/>
  <c r="AF793" i="7" s="1"/>
  <c r="Y793" i="7" s="1"/>
  <c r="AM796" i="7"/>
  <c r="AF796" i="7" s="1"/>
  <c r="AP807" i="7"/>
  <c r="AG807" i="7" s="1"/>
  <c r="Z807" i="7" s="1"/>
  <c r="AR862" i="7"/>
  <c r="AI862" i="7" s="1"/>
  <c r="AQ862" i="7"/>
  <c r="AH862" i="7" s="1"/>
  <c r="AP866" i="7"/>
  <c r="AG866" i="7" s="1"/>
  <c r="Z866" i="7" s="1"/>
  <c r="AO816" i="7"/>
  <c r="AO824" i="7"/>
  <c r="AO835" i="7"/>
  <c r="AR847" i="7"/>
  <c r="AI847" i="7" s="1"/>
  <c r="AQ847" i="7"/>
  <c r="AH847" i="7" s="1"/>
  <c r="Z847" i="7" s="1"/>
  <c r="AQ848" i="7"/>
  <c r="AH848" i="7" s="1"/>
  <c r="AP848" i="7"/>
  <c r="AG848" i="7" s="1"/>
  <c r="AR852" i="7"/>
  <c r="AI852" i="7" s="1"/>
  <c r="AO855" i="7"/>
  <c r="AN855" i="7"/>
  <c r="AL855" i="7"/>
  <c r="AE855" i="7" s="1"/>
  <c r="Y855" i="7" s="1"/>
  <c r="AQ856" i="7"/>
  <c r="AH856" i="7" s="1"/>
  <c r="AP856" i="7"/>
  <c r="AG856" i="7" s="1"/>
  <c r="Z856" i="7" s="1"/>
  <c r="AP863" i="7"/>
  <c r="AG863" i="7" s="1"/>
  <c r="Z863" i="7" s="1"/>
  <c r="Z871" i="7"/>
  <c r="AR888" i="7"/>
  <c r="AI888" i="7" s="1"/>
  <c r="AQ888" i="7"/>
  <c r="AH888" i="7" s="1"/>
  <c r="AP888" i="7"/>
  <c r="AG888" i="7" s="1"/>
  <c r="AL772" i="7"/>
  <c r="AE772" i="7" s="1"/>
  <c r="Y772" i="7" s="1"/>
  <c r="AM778" i="7"/>
  <c r="AF778" i="7" s="1"/>
  <c r="Y778" i="7" s="1"/>
  <c r="AM781" i="7"/>
  <c r="AF781" i="7" s="1"/>
  <c r="Y781" i="7" s="1"/>
  <c r="AO784" i="7"/>
  <c r="AM784" i="7"/>
  <c r="AF784" i="7" s="1"/>
  <c r="Y784" i="7" s="1"/>
  <c r="AP796" i="7"/>
  <c r="AG796" i="7" s="1"/>
  <c r="Z796" i="7" s="1"/>
  <c r="AP799" i="7"/>
  <c r="AG799" i="7" s="1"/>
  <c r="Z799" i="7" s="1"/>
  <c r="AP809" i="7"/>
  <c r="AG809" i="7" s="1"/>
  <c r="Z809" i="7" s="1"/>
  <c r="AR835" i="7"/>
  <c r="AI835" i="7" s="1"/>
  <c r="Z835" i="7" s="1"/>
  <c r="Z855" i="7"/>
  <c r="AM858" i="7"/>
  <c r="AF858" i="7" s="1"/>
  <c r="AP859" i="7"/>
  <c r="AG859" i="7" s="1"/>
  <c r="Y881" i="7"/>
  <c r="AN784" i="7"/>
  <c r="AN814" i="7"/>
  <c r="Y814" i="7" s="1"/>
  <c r="AL817" i="7"/>
  <c r="AE817" i="7" s="1"/>
  <c r="Y817" i="7" s="1"/>
  <c r="AO819" i="7"/>
  <c r="Y819" i="7" s="1"/>
  <c r="AN822" i="7"/>
  <c r="Y822" i="7" s="1"/>
  <c r="AL825" i="7"/>
  <c r="AE825" i="7" s="1"/>
  <c r="Y825" i="7" s="1"/>
  <c r="AO827" i="7"/>
  <c r="Y827" i="7" s="1"/>
  <c r="AO836" i="7"/>
  <c r="AN836" i="7"/>
  <c r="Y836" i="7" s="1"/>
  <c r="AL840" i="7"/>
  <c r="AE840" i="7" s="1"/>
  <c r="AN851" i="7"/>
  <c r="AO861" i="7"/>
  <c r="AQ851" i="7"/>
  <c r="AH851" i="7" s="1"/>
  <c r="Z851" i="7" s="1"/>
  <c r="AO854" i="7"/>
  <c r="Y854" i="7" s="1"/>
  <c r="AL868" i="7"/>
  <c r="AE868" i="7" s="1"/>
  <c r="AR869" i="7"/>
  <c r="AI869" i="7" s="1"/>
  <c r="Z869" i="7" s="1"/>
  <c r="AM871" i="7"/>
  <c r="AF871" i="7" s="1"/>
  <c r="AR874" i="7"/>
  <c r="AI874" i="7" s="1"/>
  <c r="Z874" i="7" s="1"/>
  <c r="AP876" i="7"/>
  <c r="AG876" i="7" s="1"/>
  <c r="AL878" i="7"/>
  <c r="AE878" i="7" s="1"/>
  <c r="AO878" i="7"/>
  <c r="AN880" i="7"/>
  <c r="AO880" i="7"/>
  <c r="AR882" i="7"/>
  <c r="AI882" i="7" s="1"/>
  <c r="Z882" i="7" s="1"/>
  <c r="AL883" i="7"/>
  <c r="AE883" i="7" s="1"/>
  <c r="Z896" i="7"/>
  <c r="AN897" i="7"/>
  <c r="AM897" i="7"/>
  <c r="AF897" i="7" s="1"/>
  <c r="AL859" i="7"/>
  <c r="AE859" i="7" s="1"/>
  <c r="Y859" i="7" s="1"/>
  <c r="AQ860" i="7"/>
  <c r="AH860" i="7" s="1"/>
  <c r="Z860" i="7" s="1"/>
  <c r="AL862" i="7"/>
  <c r="AE862" i="7" s="1"/>
  <c r="Y862" i="7" s="1"/>
  <c r="AM868" i="7"/>
  <c r="AF868" i="7" s="1"/>
  <c r="AN871" i="7"/>
  <c r="AQ876" i="7"/>
  <c r="AH876" i="7" s="1"/>
  <c r="AP878" i="7"/>
  <c r="AG878" i="7" s="1"/>
  <c r="Z878" i="7" s="1"/>
  <c r="AP880" i="7"/>
  <c r="AG880" i="7" s="1"/>
  <c r="Z880" i="7" s="1"/>
  <c r="AM883" i="7"/>
  <c r="AF883" i="7" s="1"/>
  <c r="AM885" i="7"/>
  <c r="AF885" i="7" s="1"/>
  <c r="AO885" i="7"/>
  <c r="AL887" i="7"/>
  <c r="AE887" i="7" s="1"/>
  <c r="Y887" i="7" s="1"/>
  <c r="AM889" i="7"/>
  <c r="AF889" i="7" s="1"/>
  <c r="AM865" i="7"/>
  <c r="AF865" i="7" s="1"/>
  <c r="Y865" i="7" s="1"/>
  <c r="AL873" i="7"/>
  <c r="AE873" i="7" s="1"/>
  <c r="Y873" i="7" s="1"/>
  <c r="AP886" i="7"/>
  <c r="AG886" i="7" s="1"/>
  <c r="Z886" i="7" s="1"/>
  <c r="AM887" i="7"/>
  <c r="AF887" i="7" s="1"/>
  <c r="AN914" i="7"/>
  <c r="AO914" i="7"/>
  <c r="AM914" i="7"/>
  <c r="AF914" i="7" s="1"/>
  <c r="AL914" i="7"/>
  <c r="AE914" i="7" s="1"/>
  <c r="AL875" i="7"/>
  <c r="AE875" i="7" s="1"/>
  <c r="AQ890" i="7"/>
  <c r="AH890" i="7" s="1"/>
  <c r="AP890" i="7"/>
  <c r="AG890" i="7" s="1"/>
  <c r="Z890" i="7" s="1"/>
  <c r="AR892" i="7"/>
  <c r="AI892" i="7" s="1"/>
  <c r="Z892" i="7" s="1"/>
  <c r="AQ892" i="7"/>
  <c r="AH892" i="7" s="1"/>
  <c r="AP865" i="7"/>
  <c r="AG865" i="7" s="1"/>
  <c r="Z865" i="7" s="1"/>
  <c r="AN873" i="7"/>
  <c r="AM875" i="7"/>
  <c r="AF875" i="7" s="1"/>
  <c r="AQ883" i="7"/>
  <c r="AH883" i="7" s="1"/>
  <c r="Z883" i="7" s="1"/>
  <c r="AN891" i="7"/>
  <c r="AM891" i="7"/>
  <c r="AF891" i="7" s="1"/>
  <c r="Y895" i="7"/>
  <c r="Y901" i="7"/>
  <c r="Z916" i="7"/>
  <c r="AP873" i="7"/>
  <c r="AG873" i="7" s="1"/>
  <c r="Z873" i="7" s="1"/>
  <c r="AN875" i="7"/>
  <c r="AR883" i="7"/>
  <c r="AI883" i="7" s="1"/>
  <c r="Z891" i="7"/>
  <c r="AR894" i="7"/>
  <c r="AI894" i="7" s="1"/>
  <c r="AQ894" i="7"/>
  <c r="AH894" i="7" s="1"/>
  <c r="Z894" i="7" s="1"/>
  <c r="AQ895" i="7"/>
  <c r="AH895" i="7" s="1"/>
  <c r="AP895" i="7"/>
  <c r="AG895" i="7" s="1"/>
  <c r="AM867" i="7"/>
  <c r="AF867" i="7" s="1"/>
  <c r="AM870" i="7"/>
  <c r="AF870" i="7" s="1"/>
  <c r="Y870" i="7" s="1"/>
  <c r="AQ873" i="7"/>
  <c r="AH873" i="7" s="1"/>
  <c r="AL877" i="7"/>
  <c r="AE877" i="7" s="1"/>
  <c r="AM879" i="7"/>
  <c r="AF879" i="7" s="1"/>
  <c r="Y879" i="7" s="1"/>
  <c r="AN881" i="7"/>
  <c r="AR887" i="7"/>
  <c r="AI887" i="7" s="1"/>
  <c r="AN911" i="7"/>
  <c r="AO911" i="7"/>
  <c r="AM911" i="7"/>
  <c r="AF911" i="7" s="1"/>
  <c r="AL911" i="7"/>
  <c r="AE911" i="7" s="1"/>
  <c r="AQ920" i="7"/>
  <c r="AH920" i="7" s="1"/>
  <c r="AP920" i="7"/>
  <c r="AG920" i="7" s="1"/>
  <c r="AL848" i="7"/>
  <c r="AE848" i="7" s="1"/>
  <c r="AL852" i="7"/>
  <c r="AE852" i="7" s="1"/>
  <c r="Y852" i="7" s="1"/>
  <c r="AL861" i="7"/>
  <c r="AE861" i="7" s="1"/>
  <c r="AM864" i="7"/>
  <c r="AF864" i="7" s="1"/>
  <c r="AP875" i="7"/>
  <c r="AG875" i="7" s="1"/>
  <c r="Z875" i="7" s="1"/>
  <c r="AM877" i="7"/>
  <c r="AF877" i="7" s="1"/>
  <c r="AN879" i="7"/>
  <c r="Z900" i="7"/>
  <c r="AM861" i="7"/>
  <c r="AF861" i="7" s="1"/>
  <c r="AN877" i="7"/>
  <c r="Z887" i="7"/>
  <c r="Y906" i="7"/>
  <c r="AN848" i="7"/>
  <c r="AN852" i="7"/>
  <c r="AN861" i="7"/>
  <c r="AP867" i="7"/>
  <c r="AG867" i="7" s="1"/>
  <c r="AP870" i="7"/>
  <c r="AG870" i="7" s="1"/>
  <c r="AL872" i="7"/>
  <c r="AE872" i="7" s="1"/>
  <c r="AR877" i="7"/>
  <c r="AI877" i="7" s="1"/>
  <c r="AP877" i="7"/>
  <c r="AG877" i="7" s="1"/>
  <c r="Z877" i="7" s="1"/>
  <c r="AP879" i="7"/>
  <c r="AG879" i="7" s="1"/>
  <c r="Z879" i="7" s="1"/>
  <c r="AQ879" i="7"/>
  <c r="AH879" i="7" s="1"/>
  <c r="AR881" i="7"/>
  <c r="AI881" i="7" s="1"/>
  <c r="AP881" i="7"/>
  <c r="AG881" i="7" s="1"/>
  <c r="Z906" i="7"/>
  <c r="AP861" i="7"/>
  <c r="AG861" i="7" s="1"/>
  <c r="Z861" i="7" s="1"/>
  <c r="AP864" i="7"/>
  <c r="AG864" i="7" s="1"/>
  <c r="Z864" i="7" s="1"/>
  <c r="AQ867" i="7"/>
  <c r="AH867" i="7" s="1"/>
  <c r="AQ870" i="7"/>
  <c r="AH870" i="7" s="1"/>
  <c r="AL874" i="7"/>
  <c r="AE874" i="7" s="1"/>
  <c r="AL897" i="7"/>
  <c r="AE897" i="7" s="1"/>
  <c r="AL831" i="7"/>
  <c r="AE831" i="7" s="1"/>
  <c r="Y831" i="7" s="1"/>
  <c r="AL835" i="7"/>
  <c r="AE835" i="7" s="1"/>
  <c r="AL839" i="7"/>
  <c r="AE839" i="7" s="1"/>
  <c r="Y839" i="7" s="1"/>
  <c r="AL863" i="7"/>
  <c r="AE863" i="7" s="1"/>
  <c r="AQ864" i="7"/>
  <c r="AH864" i="7" s="1"/>
  <c r="AL866" i="7"/>
  <c r="AE866" i="7" s="1"/>
  <c r="Y866" i="7" s="1"/>
  <c r="AN872" i="7"/>
  <c r="AO872" i="7"/>
  <c r="AM874" i="7"/>
  <c r="AF874" i="7" s="1"/>
  <c r="AM882" i="7"/>
  <c r="AF882" i="7" s="1"/>
  <c r="AN884" i="7"/>
  <c r="AR895" i="7"/>
  <c r="AI895" i="7" s="1"/>
  <c r="AM863" i="7"/>
  <c r="AF863" i="7" s="1"/>
  <c r="AM866" i="7"/>
  <c r="AF866" i="7" s="1"/>
  <c r="AO869" i="7"/>
  <c r="AM869" i="7"/>
  <c r="AF869" i="7" s="1"/>
  <c r="Y869" i="7" s="1"/>
  <c r="AP872" i="7"/>
  <c r="AG872" i="7" s="1"/>
  <c r="Z872" i="7" s="1"/>
  <c r="AL885" i="7"/>
  <c r="AE885" i="7" s="1"/>
  <c r="AN888" i="7"/>
  <c r="Z928" i="7"/>
  <c r="AL891" i="7"/>
  <c r="AE891" i="7" s="1"/>
  <c r="AO857" i="7"/>
  <c r="AM857" i="7"/>
  <c r="AF857" i="7" s="1"/>
  <c r="Y857" i="7" s="1"/>
  <c r="AL880" i="7"/>
  <c r="AE880" i="7" s="1"/>
  <c r="AO891" i="7"/>
  <c r="Z913" i="7"/>
  <c r="AO889" i="7"/>
  <c r="AO893" i="7"/>
  <c r="AM899" i="7"/>
  <c r="AF899" i="7" s="1"/>
  <c r="AN904" i="7"/>
  <c r="AM905" i="7"/>
  <c r="AF905" i="7" s="1"/>
  <c r="Y905" i="7" s="1"/>
  <c r="AO912" i="7"/>
  <c r="AN912" i="7"/>
  <c r="AL912" i="7"/>
  <c r="AE912" i="7" s="1"/>
  <c r="AQ914" i="7"/>
  <c r="AH914" i="7" s="1"/>
  <c r="Z914" i="7" s="1"/>
  <c r="AM925" i="7"/>
  <c r="AF925" i="7" s="1"/>
  <c r="AL884" i="7"/>
  <c r="AE884" i="7" s="1"/>
  <c r="AP885" i="7"/>
  <c r="AG885" i="7" s="1"/>
  <c r="Z885" i="7" s="1"/>
  <c r="AL888" i="7"/>
  <c r="AE888" i="7" s="1"/>
  <c r="AP889" i="7"/>
  <c r="AG889" i="7" s="1"/>
  <c r="AL892" i="7"/>
  <c r="AE892" i="7" s="1"/>
  <c r="Y892" i="7" s="1"/>
  <c r="AP893" i="7"/>
  <c r="AG893" i="7" s="1"/>
  <c r="Z893" i="7" s="1"/>
  <c r="AN899" i="7"/>
  <c r="AR901" i="7"/>
  <c r="AI901" i="7" s="1"/>
  <c r="AQ901" i="7"/>
  <c r="AH901" i="7" s="1"/>
  <c r="AP901" i="7"/>
  <c r="AG901" i="7" s="1"/>
  <c r="AN905" i="7"/>
  <c r="AP917" i="7"/>
  <c r="AG917" i="7" s="1"/>
  <c r="AN927" i="7"/>
  <c r="AL927" i="7"/>
  <c r="AE927" i="7" s="1"/>
  <c r="Y927" i="7" s="1"/>
  <c r="AP952" i="7"/>
  <c r="AG952" i="7" s="1"/>
  <c r="AR952" i="7"/>
  <c r="AI952" i="7" s="1"/>
  <c r="AQ952" i="7"/>
  <c r="AH952" i="7" s="1"/>
  <c r="AM884" i="7"/>
  <c r="AF884" i="7" s="1"/>
  <c r="AQ885" i="7"/>
  <c r="AH885" i="7" s="1"/>
  <c r="AM888" i="7"/>
  <c r="AF888" i="7" s="1"/>
  <c r="AQ889" i="7"/>
  <c r="AH889" i="7" s="1"/>
  <c r="AM892" i="7"/>
  <c r="AF892" i="7" s="1"/>
  <c r="AQ893" i="7"/>
  <c r="AH893" i="7" s="1"/>
  <c r="AL899" i="7"/>
  <c r="AE899" i="7" s="1"/>
  <c r="Y899" i="7" s="1"/>
  <c r="AL902" i="7"/>
  <c r="AE902" i="7" s="1"/>
  <c r="Y902" i="7" s="1"/>
  <c r="AQ905" i="7"/>
  <c r="AH905" i="7" s="1"/>
  <c r="AQ917" i="7"/>
  <c r="AH917" i="7" s="1"/>
  <c r="AR921" i="7"/>
  <c r="AI921" i="7" s="1"/>
  <c r="AQ921" i="7"/>
  <c r="AH921" i="7" s="1"/>
  <c r="AR905" i="7"/>
  <c r="AI905" i="7" s="1"/>
  <c r="AR968" i="7"/>
  <c r="AI968" i="7" s="1"/>
  <c r="AQ968" i="7"/>
  <c r="AH968" i="7" s="1"/>
  <c r="AP968" i="7"/>
  <c r="AG968" i="7" s="1"/>
  <c r="AR920" i="7"/>
  <c r="AI920" i="7" s="1"/>
  <c r="AQ924" i="7"/>
  <c r="AH924" i="7" s="1"/>
  <c r="AP924" i="7"/>
  <c r="AG924" i="7" s="1"/>
  <c r="AR928" i="7"/>
  <c r="AI928" i="7" s="1"/>
  <c r="Y937" i="7"/>
  <c r="AR897" i="7"/>
  <c r="AI897" i="7" s="1"/>
  <c r="AQ897" i="7"/>
  <c r="AH897" i="7" s="1"/>
  <c r="AP897" i="7"/>
  <c r="AG897" i="7" s="1"/>
  <c r="AQ902" i="7"/>
  <c r="AH902" i="7" s="1"/>
  <c r="Z902" i="7" s="1"/>
  <c r="AR904" i="7"/>
  <c r="AI904" i="7" s="1"/>
  <c r="AP904" i="7"/>
  <c r="AG904" i="7" s="1"/>
  <c r="AL907" i="7"/>
  <c r="AE907" i="7" s="1"/>
  <c r="Y907" i="7" s="1"/>
  <c r="Y908" i="7"/>
  <c r="AR926" i="7"/>
  <c r="AI926" i="7" s="1"/>
  <c r="Z933" i="7"/>
  <c r="AL898" i="7"/>
  <c r="AE898" i="7" s="1"/>
  <c r="Y898" i="7" s="1"/>
  <c r="AR902" i="7"/>
  <c r="AI902" i="7" s="1"/>
  <c r="Z945" i="7"/>
  <c r="AN915" i="7"/>
  <c r="AL915" i="7"/>
  <c r="AE915" i="7" s="1"/>
  <c r="AO917" i="7"/>
  <c r="Y917" i="7" s="1"/>
  <c r="AN917" i="7"/>
  <c r="AQ919" i="7"/>
  <c r="AH919" i="7" s="1"/>
  <c r="AP919" i="7"/>
  <c r="AG919" i="7" s="1"/>
  <c r="Z919" i="7" s="1"/>
  <c r="Z926" i="7"/>
  <c r="AR951" i="7"/>
  <c r="AI951" i="7" s="1"/>
  <c r="AQ951" i="7"/>
  <c r="AH951" i="7" s="1"/>
  <c r="AP951" i="7"/>
  <c r="AG951" i="7" s="1"/>
  <c r="AN898" i="7"/>
  <c r="AO906" i="7"/>
  <c r="AN906" i="7"/>
  <c r="AM912" i="7"/>
  <c r="AF912" i="7" s="1"/>
  <c r="AP921" i="7"/>
  <c r="AG921" i="7" s="1"/>
  <c r="Z921" i="7" s="1"/>
  <c r="Y924" i="7"/>
  <c r="Z955" i="7"/>
  <c r="AN900" i="7"/>
  <c r="AM900" i="7"/>
  <c r="AF900" i="7" s="1"/>
  <c r="Y900" i="7" s="1"/>
  <c r="Z911" i="7"/>
  <c r="AO923" i="7"/>
  <c r="AM923" i="7"/>
  <c r="AF923" i="7" s="1"/>
  <c r="AL923" i="7"/>
  <c r="AE923" i="7" s="1"/>
  <c r="AO934" i="7"/>
  <c r="AN934" i="7"/>
  <c r="AM934" i="7"/>
  <c r="AF934" i="7" s="1"/>
  <c r="AL934" i="7"/>
  <c r="AE934" i="7" s="1"/>
  <c r="AQ898" i="7"/>
  <c r="AH898" i="7" s="1"/>
  <c r="Z898" i="7" s="1"/>
  <c r="AL916" i="7"/>
  <c r="AE916" i="7" s="1"/>
  <c r="AO916" i="7"/>
  <c r="AN916" i="7"/>
  <c r="AR898" i="7"/>
  <c r="AI898" i="7" s="1"/>
  <c r="AR924" i="7"/>
  <c r="AI924" i="7" s="1"/>
  <c r="Z932" i="7"/>
  <c r="AR936" i="7"/>
  <c r="AI936" i="7" s="1"/>
  <c r="AP936" i="7"/>
  <c r="AG936" i="7" s="1"/>
  <c r="Z936" i="7" s="1"/>
  <c r="AL889" i="7"/>
  <c r="AE889" i="7" s="1"/>
  <c r="AL893" i="7"/>
  <c r="AE893" i="7" s="1"/>
  <c r="AQ907" i="7"/>
  <c r="AH907" i="7" s="1"/>
  <c r="AP907" i="7"/>
  <c r="AG907" i="7" s="1"/>
  <c r="Y919" i="7"/>
  <c r="AO922" i="7"/>
  <c r="AL922" i="7"/>
  <c r="AE922" i="7" s="1"/>
  <c r="Y922" i="7" s="1"/>
  <c r="AN930" i="7"/>
  <c r="AL930" i="7"/>
  <c r="AE930" i="7" s="1"/>
  <c r="AN896" i="7"/>
  <c r="AM896" i="7"/>
  <c r="AF896" i="7" s="1"/>
  <c r="Y896" i="7" s="1"/>
  <c r="AL904" i="7"/>
  <c r="AE904" i="7" s="1"/>
  <c r="Y904" i="7" s="1"/>
  <c r="AO915" i="7"/>
  <c r="Z922" i="7"/>
  <c r="AQ936" i="7"/>
  <c r="AH936" i="7" s="1"/>
  <c r="AM913" i="7"/>
  <c r="AF913" i="7" s="1"/>
  <c r="Y913" i="7" s="1"/>
  <c r="AM931" i="7"/>
  <c r="AF931" i="7" s="1"/>
  <c r="Y931" i="7" s="1"/>
  <c r="AM933" i="7"/>
  <c r="AF933" i="7" s="1"/>
  <c r="Y933" i="7" s="1"/>
  <c r="AO935" i="7"/>
  <c r="AP937" i="7"/>
  <c r="AG937" i="7" s="1"/>
  <c r="Z937" i="7" s="1"/>
  <c r="AR940" i="7"/>
  <c r="AI940" i="7" s="1"/>
  <c r="AO946" i="7"/>
  <c r="AN946" i="7"/>
  <c r="AM946" i="7"/>
  <c r="AF946" i="7" s="1"/>
  <c r="Y946" i="7" s="1"/>
  <c r="AR947" i="7"/>
  <c r="AI947" i="7" s="1"/>
  <c r="AQ947" i="7"/>
  <c r="AH947" i="7" s="1"/>
  <c r="Z947" i="7" s="1"/>
  <c r="AO950" i="7"/>
  <c r="AN950" i="7"/>
  <c r="AM950" i="7"/>
  <c r="AF950" i="7" s="1"/>
  <c r="Y950" i="7" s="1"/>
  <c r="AP953" i="7"/>
  <c r="AG953" i="7" s="1"/>
  <c r="Z953" i="7" s="1"/>
  <c r="AN913" i="7"/>
  <c r="AN921" i="7"/>
  <c r="Y921" i="7" s="1"/>
  <c r="AL929" i="7"/>
  <c r="AE929" i="7" s="1"/>
  <c r="Y929" i="7" s="1"/>
  <c r="AN931" i="7"/>
  <c r="AN933" i="7"/>
  <c r="AP935" i="7"/>
  <c r="AG935" i="7" s="1"/>
  <c r="Z935" i="7" s="1"/>
  <c r="AO940" i="7"/>
  <c r="Y940" i="7" s="1"/>
  <c r="AR946" i="7"/>
  <c r="AI946" i="7" s="1"/>
  <c r="Z948" i="7"/>
  <c r="AL949" i="7"/>
  <c r="AE949" i="7" s="1"/>
  <c r="AR950" i="7"/>
  <c r="AI950" i="7" s="1"/>
  <c r="Z950" i="7" s="1"/>
  <c r="Y961" i="7"/>
  <c r="Z996" i="7"/>
  <c r="Z940" i="7"/>
  <c r="AL959" i="7"/>
  <c r="AE959" i="7" s="1"/>
  <c r="AO967" i="7"/>
  <c r="AM967" i="7"/>
  <c r="AF967" i="7" s="1"/>
  <c r="AL967" i="7"/>
  <c r="AE967" i="7" s="1"/>
  <c r="Y967" i="7" s="1"/>
  <c r="AP910" i="7"/>
  <c r="AG910" i="7" s="1"/>
  <c r="Z910" i="7" s="1"/>
  <c r="AQ913" i="7"/>
  <c r="AH913" i="7" s="1"/>
  <c r="AQ916" i="7"/>
  <c r="AH916" i="7" s="1"/>
  <c r="AL925" i="7"/>
  <c r="AE925" i="7" s="1"/>
  <c r="Y925" i="7" s="1"/>
  <c r="AP931" i="7"/>
  <c r="AG931" i="7" s="1"/>
  <c r="AQ933" i="7"/>
  <c r="AH933" i="7" s="1"/>
  <c r="AL938" i="7"/>
  <c r="AE938" i="7" s="1"/>
  <c r="Y938" i="7" s="1"/>
  <c r="AP941" i="7"/>
  <c r="AG941" i="7" s="1"/>
  <c r="AR963" i="7"/>
  <c r="AI963" i="7" s="1"/>
  <c r="AQ963" i="7"/>
  <c r="AH963" i="7" s="1"/>
  <c r="AP963" i="7"/>
  <c r="AG963" i="7" s="1"/>
  <c r="AR970" i="7"/>
  <c r="AI970" i="7" s="1"/>
  <c r="AQ970" i="7"/>
  <c r="AH970" i="7" s="1"/>
  <c r="Z978" i="7"/>
  <c r="AM915" i="7"/>
  <c r="AF915" i="7" s="1"/>
  <c r="AM918" i="7"/>
  <c r="AF918" i="7" s="1"/>
  <c r="Y918" i="7" s="1"/>
  <c r="AP923" i="7"/>
  <c r="AG923" i="7" s="1"/>
  <c r="AO929" i="7"/>
  <c r="AP929" i="7"/>
  <c r="AG929" i="7" s="1"/>
  <c r="Z929" i="7" s="1"/>
  <c r="AQ931" i="7"/>
  <c r="AH931" i="7" s="1"/>
  <c r="AQ941" i="7"/>
  <c r="AH941" i="7" s="1"/>
  <c r="AP942" i="7"/>
  <c r="AG942" i="7" s="1"/>
  <c r="Z942" i="7" s="1"/>
  <c r="AM943" i="7"/>
  <c r="AF943" i="7" s="1"/>
  <c r="AM958" i="7"/>
  <c r="AF958" i="7" s="1"/>
  <c r="Y958" i="7" s="1"/>
  <c r="AL920" i="7"/>
  <c r="AE920" i="7" s="1"/>
  <c r="AQ923" i="7"/>
  <c r="AH923" i="7" s="1"/>
  <c r="AO925" i="7"/>
  <c r="AN925" i="7"/>
  <c r="AP927" i="7"/>
  <c r="AG927" i="7" s="1"/>
  <c r="Z927" i="7" s="1"/>
  <c r="AQ929" i="7"/>
  <c r="AH929" i="7" s="1"/>
  <c r="AL936" i="7"/>
  <c r="AE936" i="7" s="1"/>
  <c r="Y936" i="7" s="1"/>
  <c r="AP938" i="7"/>
  <c r="AG938" i="7" s="1"/>
  <c r="Z938" i="7" s="1"/>
  <c r="AN943" i="7"/>
  <c r="AL944" i="7"/>
  <c r="AE944" i="7" s="1"/>
  <c r="Y944" i="7" s="1"/>
  <c r="AM955" i="7"/>
  <c r="AF955" i="7" s="1"/>
  <c r="AR960" i="7"/>
  <c r="AI960" i="7" s="1"/>
  <c r="AO909" i="7"/>
  <c r="Y909" i="7" s="1"/>
  <c r="AM909" i="7"/>
  <c r="AF909" i="7" s="1"/>
  <c r="AM920" i="7"/>
  <c r="AF920" i="7" s="1"/>
  <c r="AM936" i="7"/>
  <c r="AF936" i="7" s="1"/>
  <c r="AQ938" i="7"/>
  <c r="AH938" i="7" s="1"/>
  <c r="AO941" i="7"/>
  <c r="AN941" i="7"/>
  <c r="Y941" i="7" s="1"/>
  <c r="AM944" i="7"/>
  <c r="AF944" i="7" s="1"/>
  <c r="AN955" i="7"/>
  <c r="AQ956" i="7"/>
  <c r="AH956" i="7" s="1"/>
  <c r="Y963" i="7"/>
  <c r="AP915" i="7"/>
  <c r="AG915" i="7" s="1"/>
  <c r="Z915" i="7" s="1"/>
  <c r="AP918" i="7"/>
  <c r="AG918" i="7" s="1"/>
  <c r="Z918" i="7" s="1"/>
  <c r="AN920" i="7"/>
  <c r="AL932" i="7"/>
  <c r="AE932" i="7" s="1"/>
  <c r="AO938" i="7"/>
  <c r="AN938" i="7"/>
  <c r="AN944" i="7"/>
  <c r="AR956" i="7"/>
  <c r="AI956" i="7" s="1"/>
  <c r="AQ957" i="7"/>
  <c r="AH957" i="7" s="1"/>
  <c r="AO936" i="7"/>
  <c r="AQ944" i="7"/>
  <c r="AH944" i="7" s="1"/>
  <c r="Z944" i="7" s="1"/>
  <c r="AQ954" i="7"/>
  <c r="AH954" i="7" s="1"/>
  <c r="Z954" i="7" s="1"/>
  <c r="AN967" i="7"/>
  <c r="AN969" i="7"/>
  <c r="AM969" i="7"/>
  <c r="AF969" i="7" s="1"/>
  <c r="AL969" i="7"/>
  <c r="AE969" i="7" s="1"/>
  <c r="AP970" i="7"/>
  <c r="AG970" i="7" s="1"/>
  <c r="Z970" i="7" s="1"/>
  <c r="AO942" i="7"/>
  <c r="Y942" i="7" s="1"/>
  <c r="AN942" i="7"/>
  <c r="AM942" i="7"/>
  <c r="AF942" i="7" s="1"/>
  <c r="AR969" i="7"/>
  <c r="AI969" i="7" s="1"/>
  <c r="AQ969" i="7"/>
  <c r="AH969" i="7" s="1"/>
  <c r="AO972" i="7"/>
  <c r="AN972" i="7"/>
  <c r="AM972" i="7"/>
  <c r="AF972" i="7" s="1"/>
  <c r="AL972" i="7"/>
  <c r="AE972" i="7" s="1"/>
  <c r="Y972" i="7" s="1"/>
  <c r="AN979" i="7"/>
  <c r="AM979" i="7"/>
  <c r="AF979" i="7" s="1"/>
  <c r="AL979" i="7"/>
  <c r="AE979" i="7" s="1"/>
  <c r="Z983" i="7"/>
  <c r="AM928" i="7"/>
  <c r="AF928" i="7" s="1"/>
  <c r="Y928" i="7" s="1"/>
  <c r="AO932" i="7"/>
  <c r="AQ934" i="7"/>
  <c r="AH934" i="7" s="1"/>
  <c r="Z934" i="7" s="1"/>
  <c r="AL943" i="7"/>
  <c r="AE943" i="7" s="1"/>
  <c r="AO959" i="7"/>
  <c r="AN959" i="7"/>
  <c r="AR965" i="7"/>
  <c r="AI965" i="7" s="1"/>
  <c r="AQ965" i="7"/>
  <c r="AH965" i="7" s="1"/>
  <c r="Z965" i="7" s="1"/>
  <c r="AM926" i="7"/>
  <c r="AF926" i="7" s="1"/>
  <c r="Y926" i="7" s="1"/>
  <c r="AN928" i="7"/>
  <c r="AO930" i="7"/>
  <c r="AP930" i="7"/>
  <c r="AG930" i="7" s="1"/>
  <c r="Z930" i="7" s="1"/>
  <c r="AR943" i="7"/>
  <c r="AI943" i="7" s="1"/>
  <c r="Z943" i="7" s="1"/>
  <c r="AQ943" i="7"/>
  <c r="AH943" i="7" s="1"/>
  <c r="AQ949" i="7"/>
  <c r="AH949" i="7" s="1"/>
  <c r="Z949" i="7" s="1"/>
  <c r="AO960" i="7"/>
  <c r="AL960" i="7"/>
  <c r="AE960" i="7" s="1"/>
  <c r="AN960" i="7"/>
  <c r="AQ930" i="7"/>
  <c r="AH930" i="7" s="1"/>
  <c r="AR949" i="7"/>
  <c r="AI949" i="7" s="1"/>
  <c r="AL955" i="7"/>
  <c r="AE955" i="7" s="1"/>
  <c r="Y955" i="7" s="1"/>
  <c r="AP960" i="7"/>
  <c r="AG960" i="7" s="1"/>
  <c r="Z960" i="7" s="1"/>
  <c r="AQ928" i="7"/>
  <c r="AH928" i="7" s="1"/>
  <c r="AL935" i="7"/>
  <c r="AE935" i="7" s="1"/>
  <c r="Y935" i="7" s="1"/>
  <c r="AR939" i="7"/>
  <c r="AI939" i="7" s="1"/>
  <c r="Z939" i="7" s="1"/>
  <c r="Z946" i="7"/>
  <c r="AR955" i="7"/>
  <c r="AI955" i="7" s="1"/>
  <c r="AQ955" i="7"/>
  <c r="AH955" i="7" s="1"/>
  <c r="Z956" i="7"/>
  <c r="AR958" i="7"/>
  <c r="AI958" i="7" s="1"/>
  <c r="AQ958" i="7"/>
  <c r="AH958" i="7" s="1"/>
  <c r="AP958" i="7"/>
  <c r="AG958" i="7" s="1"/>
  <c r="Z958" i="7" s="1"/>
  <c r="AQ962" i="7"/>
  <c r="AH962" i="7" s="1"/>
  <c r="AO969" i="7"/>
  <c r="AO979" i="7"/>
  <c r="AO954" i="7"/>
  <c r="AN954" i="7"/>
  <c r="AM954" i="7"/>
  <c r="AF954" i="7" s="1"/>
  <c r="Y954" i="7" s="1"/>
  <c r="AP957" i="7"/>
  <c r="AG957" i="7" s="1"/>
  <c r="Z957" i="7" s="1"/>
  <c r="AR962" i="7"/>
  <c r="AI962" i="7" s="1"/>
  <c r="AL968" i="7"/>
  <c r="AE968" i="7" s="1"/>
  <c r="AP969" i="7"/>
  <c r="AG969" i="7" s="1"/>
  <c r="Z969" i="7" s="1"/>
  <c r="AO981" i="7"/>
  <c r="AN981" i="7"/>
  <c r="AL981" i="7"/>
  <c r="AE981" i="7" s="1"/>
  <c r="AO1002" i="7"/>
  <c r="AN1002" i="7"/>
  <c r="AN945" i="7"/>
  <c r="Y945" i="7" s="1"/>
  <c r="AN949" i="7"/>
  <c r="AN953" i="7"/>
  <c r="Y953" i="7" s="1"/>
  <c r="AN957" i="7"/>
  <c r="Y957" i="7" s="1"/>
  <c r="AO963" i="7"/>
  <c r="AR972" i="7"/>
  <c r="AI972" i="7" s="1"/>
  <c r="Z972" i="7" s="1"/>
  <c r="AL975" i="7"/>
  <c r="AE975" i="7" s="1"/>
  <c r="AP977" i="7"/>
  <c r="AG977" i="7" s="1"/>
  <c r="Z977" i="7" s="1"/>
  <c r="AQ979" i="7"/>
  <c r="AH979" i="7" s="1"/>
  <c r="Z979" i="7" s="1"/>
  <c r="AO982" i="7"/>
  <c r="Z987" i="7"/>
  <c r="AP998" i="7"/>
  <c r="AG998" i="7" s="1"/>
  <c r="AQ1002" i="7"/>
  <c r="AH1002" i="7" s="1"/>
  <c r="AO945" i="7"/>
  <c r="AO949" i="7"/>
  <c r="AO953" i="7"/>
  <c r="AO957" i="7"/>
  <c r="AL965" i="7"/>
  <c r="AE965" i="7" s="1"/>
  <c r="AM975" i="7"/>
  <c r="AF975" i="7" s="1"/>
  <c r="AO977" i="7"/>
  <c r="AQ977" i="7"/>
  <c r="AH977" i="7" s="1"/>
  <c r="AR979" i="7"/>
  <c r="AI979" i="7" s="1"/>
  <c r="AP982" i="7"/>
  <c r="AG982" i="7" s="1"/>
  <c r="Z982" i="7" s="1"/>
  <c r="AM985" i="7"/>
  <c r="AF985" i="7" s="1"/>
  <c r="AP989" i="7"/>
  <c r="AG989" i="7" s="1"/>
  <c r="AN990" i="7"/>
  <c r="AL990" i="7"/>
  <c r="AE990" i="7" s="1"/>
  <c r="AQ998" i="7"/>
  <c r="AH998" i="7" s="1"/>
  <c r="AO1001" i="7"/>
  <c r="AM1005" i="7"/>
  <c r="AF1005" i="7" s="1"/>
  <c r="Z1008" i="7"/>
  <c r="AL948" i="7"/>
  <c r="AE948" i="7" s="1"/>
  <c r="Y948" i="7" s="1"/>
  <c r="AL952" i="7"/>
  <c r="AE952" i="7" s="1"/>
  <c r="Y952" i="7" s="1"/>
  <c r="AL956" i="7"/>
  <c r="AE956" i="7" s="1"/>
  <c r="Y956" i="7" s="1"/>
  <c r="AL962" i="7"/>
  <c r="AE962" i="7" s="1"/>
  <c r="Y962" i="7" s="1"/>
  <c r="AR982" i="7"/>
  <c r="AI982" i="7" s="1"/>
  <c r="AL983" i="7"/>
  <c r="AE983" i="7" s="1"/>
  <c r="Y983" i="7" s="1"/>
  <c r="AQ985" i="7"/>
  <c r="AH985" i="7" s="1"/>
  <c r="AP985" i="7"/>
  <c r="AG985" i="7" s="1"/>
  <c r="Z985" i="7" s="1"/>
  <c r="AR989" i="7"/>
  <c r="AI989" i="7" s="1"/>
  <c r="AP997" i="7"/>
  <c r="AG997" i="7" s="1"/>
  <c r="Z997" i="7" s="1"/>
  <c r="AM962" i="7"/>
  <c r="AF962" i="7" s="1"/>
  <c r="AN965" i="7"/>
  <c r="AO965" i="7"/>
  <c r="AP975" i="7"/>
  <c r="AG975" i="7" s="1"/>
  <c r="Z975" i="7" s="1"/>
  <c r="AL980" i="7"/>
  <c r="AE980" i="7" s="1"/>
  <c r="AM983" i="7"/>
  <c r="AF983" i="7" s="1"/>
  <c r="AR992" i="7"/>
  <c r="AI992" i="7" s="1"/>
  <c r="Y1026" i="7"/>
  <c r="AO975" i="7"/>
  <c r="AL978" i="7"/>
  <c r="AE978" i="7" s="1"/>
  <c r="AM980" i="7"/>
  <c r="AF980" i="7" s="1"/>
  <c r="AN983" i="7"/>
  <c r="AN987" i="7"/>
  <c r="AL987" i="7"/>
  <c r="AE987" i="7" s="1"/>
  <c r="Y987" i="7" s="1"/>
  <c r="AN991" i="7"/>
  <c r="AL991" i="7"/>
  <c r="AE991" i="7" s="1"/>
  <c r="AR1013" i="7"/>
  <c r="AI1013" i="7" s="1"/>
  <c r="AQ1013" i="7"/>
  <c r="AH1013" i="7" s="1"/>
  <c r="AP1013" i="7"/>
  <c r="AG1013" i="7" s="1"/>
  <c r="Z1013" i="7" s="1"/>
  <c r="AP973" i="7"/>
  <c r="AG973" i="7" s="1"/>
  <c r="Z973" i="7" s="1"/>
  <c r="AM978" i="7"/>
  <c r="AF978" i="7" s="1"/>
  <c r="AN980" i="7"/>
  <c r="AN996" i="7"/>
  <c r="AL996" i="7"/>
  <c r="AE996" i="7" s="1"/>
  <c r="Y1003" i="7"/>
  <c r="Z1019" i="7"/>
  <c r="AN971" i="7"/>
  <c r="Y971" i="7" s="1"/>
  <c r="AO971" i="7"/>
  <c r="AN978" i="7"/>
  <c r="AQ980" i="7"/>
  <c r="AH980" i="7" s="1"/>
  <c r="Z980" i="7" s="1"/>
  <c r="AQ983" i="7"/>
  <c r="AH983" i="7" s="1"/>
  <c r="AM989" i="7"/>
  <c r="AF989" i="7" s="1"/>
  <c r="AO990" i="7"/>
  <c r="AO995" i="7"/>
  <c r="AO999" i="7"/>
  <c r="AL1002" i="7"/>
  <c r="AE1002" i="7" s="1"/>
  <c r="Y1002" i="7" s="1"/>
  <c r="Y1013" i="7"/>
  <c r="AR980" i="7"/>
  <c r="AI980" i="7" s="1"/>
  <c r="AR983" i="7"/>
  <c r="AI983" i="7" s="1"/>
  <c r="Z995" i="7"/>
  <c r="AM1002" i="7"/>
  <c r="AF1002" i="7" s="1"/>
  <c r="AO1006" i="7"/>
  <c r="AM1006" i="7"/>
  <c r="AF1006" i="7" s="1"/>
  <c r="AL1006" i="7"/>
  <c r="AE1006" i="7" s="1"/>
  <c r="AQ978" i="7"/>
  <c r="AH978" i="7" s="1"/>
  <c r="AR988" i="7"/>
  <c r="AI988" i="7" s="1"/>
  <c r="AQ988" i="7"/>
  <c r="AH988" i="7" s="1"/>
  <c r="Z988" i="7" s="1"/>
  <c r="Z1010" i="7"/>
  <c r="Z1028" i="7"/>
  <c r="AM961" i="7"/>
  <c r="AF961" i="7" s="1"/>
  <c r="AM964" i="7"/>
  <c r="AF964" i="7" s="1"/>
  <c r="Y964" i="7" s="1"/>
  <c r="AR978" i="7"/>
  <c r="AI978" i="7" s="1"/>
  <c r="AP994" i="7"/>
  <c r="AG994" i="7" s="1"/>
  <c r="Z994" i="7" s="1"/>
  <c r="AN961" i="7"/>
  <c r="AN964" i="7"/>
  <c r="Z993" i="7"/>
  <c r="AQ994" i="7"/>
  <c r="AH994" i="7" s="1"/>
  <c r="Y1000" i="7"/>
  <c r="AO1005" i="7"/>
  <c r="AL1005" i="7"/>
  <c r="AE1005" i="7" s="1"/>
  <c r="Y1005" i="7" s="1"/>
  <c r="Z1035" i="7"/>
  <c r="AP964" i="7"/>
  <c r="AG964" i="7" s="1"/>
  <c r="AN966" i="7"/>
  <c r="Y966" i="7" s="1"/>
  <c r="AL970" i="7"/>
  <c r="AE970" i="7" s="1"/>
  <c r="AN974" i="7"/>
  <c r="Y974" i="7" s="1"/>
  <c r="AP976" i="7"/>
  <c r="AG976" i="7" s="1"/>
  <c r="AR976" i="7"/>
  <c r="AI976" i="7" s="1"/>
  <c r="AR984" i="7"/>
  <c r="AI984" i="7" s="1"/>
  <c r="Z984" i="7" s="1"/>
  <c r="AL985" i="7"/>
  <c r="AE985" i="7" s="1"/>
  <c r="AP992" i="7"/>
  <c r="AG992" i="7" s="1"/>
  <c r="AN993" i="7"/>
  <c r="AL993" i="7"/>
  <c r="AE993" i="7" s="1"/>
  <c r="AM1027" i="7"/>
  <c r="AF1027" i="7" s="1"/>
  <c r="AO1027" i="7"/>
  <c r="AN1027" i="7"/>
  <c r="AL1027" i="7"/>
  <c r="AE1027" i="7" s="1"/>
  <c r="Y1027" i="7" s="1"/>
  <c r="AP961" i="7"/>
  <c r="AG961" i="7" s="1"/>
  <c r="AQ964" i="7"/>
  <c r="AH964" i="7" s="1"/>
  <c r="AR966" i="7"/>
  <c r="AI966" i="7" s="1"/>
  <c r="AM970" i="7"/>
  <c r="AF970" i="7" s="1"/>
  <c r="AP974" i="7"/>
  <c r="AG974" i="7" s="1"/>
  <c r="Z974" i="7" s="1"/>
  <c r="AQ981" i="7"/>
  <c r="AH981" i="7" s="1"/>
  <c r="Z981" i="7" s="1"/>
  <c r="AN985" i="7"/>
  <c r="AM991" i="7"/>
  <c r="AF991" i="7" s="1"/>
  <c r="AQ992" i="7"/>
  <c r="AH992" i="7" s="1"/>
  <c r="AQ1000" i="7"/>
  <c r="AH1000" i="7" s="1"/>
  <c r="Z1000" i="7" s="1"/>
  <c r="AQ1007" i="7"/>
  <c r="AH1007" i="7" s="1"/>
  <c r="Z1007" i="7" s="1"/>
  <c r="AQ961" i="7"/>
  <c r="AH961" i="7" s="1"/>
  <c r="AQ974" i="7"/>
  <c r="AH974" i="7" s="1"/>
  <c r="AL977" i="7"/>
  <c r="AE977" i="7" s="1"/>
  <c r="Y977" i="7" s="1"/>
  <c r="AM981" i="7"/>
  <c r="AF981" i="7" s="1"/>
  <c r="AL982" i="7"/>
  <c r="AE982" i="7" s="1"/>
  <c r="Y982" i="7" s="1"/>
  <c r="AO991" i="7"/>
  <c r="AO1032" i="7"/>
  <c r="AN1032" i="7"/>
  <c r="AM1032" i="7"/>
  <c r="AF1032" i="7" s="1"/>
  <c r="AL1032" i="7"/>
  <c r="AE1032" i="7" s="1"/>
  <c r="AQ966" i="7"/>
  <c r="AH966" i="7" s="1"/>
  <c r="Z966" i="7" s="1"/>
  <c r="AO968" i="7"/>
  <c r="AN968" i="7"/>
  <c r="AR985" i="7"/>
  <c r="AI985" i="7" s="1"/>
  <c r="AP986" i="7"/>
  <c r="AG986" i="7" s="1"/>
  <c r="Z986" i="7" s="1"/>
  <c r="AM987" i="7"/>
  <c r="AF987" i="7" s="1"/>
  <c r="Z991" i="7"/>
  <c r="AN995" i="7"/>
  <c r="AQ999" i="7"/>
  <c r="AH999" i="7" s="1"/>
  <c r="Z999" i="7" s="1"/>
  <c r="Z1027" i="7"/>
  <c r="AQ1036" i="7"/>
  <c r="AH1036" i="7" s="1"/>
  <c r="AP1036" i="7"/>
  <c r="AG1036" i="7" s="1"/>
  <c r="Z1036" i="7" s="1"/>
  <c r="AP1006" i="7"/>
  <c r="AG1006" i="7" s="1"/>
  <c r="Z1006" i="7" s="1"/>
  <c r="AN1015" i="7"/>
  <c r="AQ1032" i="7"/>
  <c r="AH1032" i="7" s="1"/>
  <c r="AP1032" i="7"/>
  <c r="AG1032" i="7" s="1"/>
  <c r="AM1034" i="7"/>
  <c r="AF1034" i="7" s="1"/>
  <c r="Y1034" i="7" s="1"/>
  <c r="AO1037" i="7"/>
  <c r="AN1037" i="7"/>
  <c r="AL1037" i="7"/>
  <c r="AE1037" i="7" s="1"/>
  <c r="AM1003" i="7"/>
  <c r="AF1003" i="7" s="1"/>
  <c r="AQ1006" i="7"/>
  <c r="AH1006" i="7" s="1"/>
  <c r="AN1008" i="7"/>
  <c r="Y1008" i="7" s="1"/>
  <c r="AL1010" i="7"/>
  <c r="AE1010" i="7" s="1"/>
  <c r="Y1010" i="7" s="1"/>
  <c r="AO1015" i="7"/>
  <c r="Y1015" i="7" s="1"/>
  <c r="AM1021" i="7"/>
  <c r="AF1021" i="7" s="1"/>
  <c r="Y1021" i="7" s="1"/>
  <c r="AL1023" i="7"/>
  <c r="AE1023" i="7" s="1"/>
  <c r="AQ1033" i="7"/>
  <c r="AH1033" i="7" s="1"/>
  <c r="Z1033" i="7" s="1"/>
  <c r="AN1034" i="7"/>
  <c r="AP1038" i="7"/>
  <c r="AG1038" i="7" s="1"/>
  <c r="Z1038" i="7" s="1"/>
  <c r="AN1043" i="7"/>
  <c r="AM1043" i="7"/>
  <c r="AF1043" i="7" s="1"/>
  <c r="AL1043" i="7"/>
  <c r="AE1043" i="7" s="1"/>
  <c r="Y1043" i="7" s="1"/>
  <c r="AR1045" i="7"/>
  <c r="AI1045" i="7" s="1"/>
  <c r="Z1045" i="7" s="1"/>
  <c r="AO1000" i="7"/>
  <c r="AM1000" i="7"/>
  <c r="AF1000" i="7" s="1"/>
  <c r="AM1010" i="7"/>
  <c r="AF1010" i="7" s="1"/>
  <c r="AP1015" i="7"/>
  <c r="AG1015" i="7" s="1"/>
  <c r="Z1015" i="7" s="1"/>
  <c r="AN1021" i="7"/>
  <c r="AN1023" i="7"/>
  <c r="AP1025" i="7"/>
  <c r="AG1025" i="7" s="1"/>
  <c r="Z1025" i="7" s="1"/>
  <c r="AL1028" i="7"/>
  <c r="AE1028" i="7" s="1"/>
  <c r="AP1034" i="7"/>
  <c r="AG1034" i="7" s="1"/>
  <c r="Z1034" i="7" s="1"/>
  <c r="AR1043" i="7"/>
  <c r="AI1043" i="7" s="1"/>
  <c r="AN1010" i="7"/>
  <c r="AL1012" i="7"/>
  <c r="AE1012" i="7" s="1"/>
  <c r="Y1012" i="7" s="1"/>
  <c r="AO1023" i="7"/>
  <c r="AQ1025" i="7"/>
  <c r="AH1025" i="7" s="1"/>
  <c r="AM1028" i="7"/>
  <c r="AF1028" i="7" s="1"/>
  <c r="AO1030" i="7"/>
  <c r="Y1030" i="7" s="1"/>
  <c r="AR1034" i="7"/>
  <c r="AI1034" i="7" s="1"/>
  <c r="AO988" i="7"/>
  <c r="Y988" i="7" s="1"/>
  <c r="AM988" i="7"/>
  <c r="AF988" i="7" s="1"/>
  <c r="AM1012" i="7"/>
  <c r="AF1012" i="7" s="1"/>
  <c r="AM1019" i="7"/>
  <c r="AF1019" i="7" s="1"/>
  <c r="Y1019" i="7" s="1"/>
  <c r="AO1019" i="7"/>
  <c r="AN1028" i="7"/>
  <c r="AQ1030" i="7"/>
  <c r="AH1030" i="7" s="1"/>
  <c r="Z1030" i="7" s="1"/>
  <c r="AN1038" i="7"/>
  <c r="AL1038" i="7"/>
  <c r="AE1038" i="7" s="1"/>
  <c r="Y1049" i="7"/>
  <c r="AN1012" i="7"/>
  <c r="AP1012" i="7"/>
  <c r="AG1012" i="7" s="1"/>
  <c r="Z1012" i="7" s="1"/>
  <c r="AO1041" i="7"/>
  <c r="AM1041" i="7"/>
  <c r="AF1041" i="7" s="1"/>
  <c r="AL1041" i="7"/>
  <c r="AE1041" i="7" s="1"/>
  <c r="AO1042" i="7"/>
  <c r="AL1042" i="7"/>
  <c r="AE1042" i="7" s="1"/>
  <c r="AO1043" i="7"/>
  <c r="AQ1047" i="7"/>
  <c r="AH1047" i="7" s="1"/>
  <c r="AR1047" i="7"/>
  <c r="AI1047" i="7" s="1"/>
  <c r="AP1047" i="7"/>
  <c r="AG1047" i="7" s="1"/>
  <c r="Z1047" i="7" s="1"/>
  <c r="AM999" i="7"/>
  <c r="AF999" i="7" s="1"/>
  <c r="Y999" i="7" s="1"/>
  <c r="AQ1012" i="7"/>
  <c r="AH1012" i="7" s="1"/>
  <c r="AN1014" i="7"/>
  <c r="Y1014" i="7" s="1"/>
  <c r="AO1039" i="7"/>
  <c r="AN1039" i="7"/>
  <c r="Y1039" i="7" s="1"/>
  <c r="AP1043" i="7"/>
  <c r="AG1043" i="7" s="1"/>
  <c r="Z1043" i="7" s="1"/>
  <c r="Y1057" i="7"/>
  <c r="AM990" i="7"/>
  <c r="AF990" i="7" s="1"/>
  <c r="AM993" i="7"/>
  <c r="AF993" i="7" s="1"/>
  <c r="AO996" i="7"/>
  <c r="AM996" i="7"/>
  <c r="AF996" i="7" s="1"/>
  <c r="AN999" i="7"/>
  <c r="AP1005" i="7"/>
  <c r="AG1005" i="7" s="1"/>
  <c r="Z1005" i="7" s="1"/>
  <c r="AL1009" i="7"/>
  <c r="AE1009" i="7" s="1"/>
  <c r="Y1009" i="7" s="1"/>
  <c r="AL1022" i="7"/>
  <c r="AE1022" i="7" s="1"/>
  <c r="Y1022" i="7" s="1"/>
  <c r="AL1024" i="7"/>
  <c r="AE1024" i="7" s="1"/>
  <c r="AL1036" i="7"/>
  <c r="AE1036" i="7" s="1"/>
  <c r="AR1039" i="7"/>
  <c r="AI1039" i="7" s="1"/>
  <c r="AL1048" i="7"/>
  <c r="AE1048" i="7" s="1"/>
  <c r="AM1048" i="7"/>
  <c r="AF1048" i="7" s="1"/>
  <c r="Z1054" i="7"/>
  <c r="AP1002" i="7"/>
  <c r="AG1002" i="7" s="1"/>
  <c r="Z1002" i="7" s="1"/>
  <c r="AQ1005" i="7"/>
  <c r="AH1005" i="7" s="1"/>
  <c r="AM1009" i="7"/>
  <c r="AF1009" i="7" s="1"/>
  <c r="AO1016" i="7"/>
  <c r="Y1016" i="7" s="1"/>
  <c r="AN1016" i="7"/>
  <c r="AL1018" i="7"/>
  <c r="AE1018" i="7" s="1"/>
  <c r="AL1020" i="7"/>
  <c r="AE1020" i="7" s="1"/>
  <c r="Y1020" i="7" s="1"/>
  <c r="AM1022" i="7"/>
  <c r="AF1022" i="7" s="1"/>
  <c r="AM1024" i="7"/>
  <c r="AF1024" i="7" s="1"/>
  <c r="AL1029" i="7"/>
  <c r="AE1029" i="7" s="1"/>
  <c r="AO984" i="7"/>
  <c r="AM984" i="7"/>
  <c r="AF984" i="7" s="1"/>
  <c r="Y984" i="7" s="1"/>
  <c r="AL1011" i="7"/>
  <c r="AE1011" i="7" s="1"/>
  <c r="Y1011" i="7" s="1"/>
  <c r="AM1018" i="7"/>
  <c r="AF1018" i="7" s="1"/>
  <c r="AN1029" i="7"/>
  <c r="AR1036" i="7"/>
  <c r="AI1036" i="7" s="1"/>
  <c r="Z1059" i="7"/>
  <c r="AN1018" i="7"/>
  <c r="AO1022" i="7"/>
  <c r="AO1024" i="7"/>
  <c r="AR1032" i="7"/>
  <c r="AI1032" i="7" s="1"/>
  <c r="Y1046" i="7"/>
  <c r="AO1050" i="7"/>
  <c r="AN1050" i="7"/>
  <c r="AM1050" i="7"/>
  <c r="AF1050" i="7" s="1"/>
  <c r="AL1050" i="7"/>
  <c r="AE1050" i="7" s="1"/>
  <c r="AQ990" i="7"/>
  <c r="AH990" i="7" s="1"/>
  <c r="Z990" i="7" s="1"/>
  <c r="AM998" i="7"/>
  <c r="AF998" i="7" s="1"/>
  <c r="Y998" i="7" s="1"/>
  <c r="AM1001" i="7"/>
  <c r="AF1001" i="7" s="1"/>
  <c r="Y1001" i="7" s="1"/>
  <c r="AO1004" i="7"/>
  <c r="Y1004" i="7" s="1"/>
  <c r="AM1004" i="7"/>
  <c r="AF1004" i="7" s="1"/>
  <c r="AP1009" i="7"/>
  <c r="AG1009" i="7" s="1"/>
  <c r="AN1011" i="7"/>
  <c r="AP1018" i="7"/>
  <c r="AG1018" i="7" s="1"/>
  <c r="AO1020" i="7"/>
  <c r="AQ1022" i="7"/>
  <c r="AH1022" i="7" s="1"/>
  <c r="Z1022" i="7" s="1"/>
  <c r="AQ1024" i="7"/>
  <c r="AH1024" i="7" s="1"/>
  <c r="Z1024" i="7" s="1"/>
  <c r="AR1024" i="7"/>
  <c r="AI1024" i="7" s="1"/>
  <c r="AP1029" i="7"/>
  <c r="AG1029" i="7" s="1"/>
  <c r="AM1037" i="7"/>
  <c r="AF1037" i="7" s="1"/>
  <c r="AM1042" i="7"/>
  <c r="AF1042" i="7" s="1"/>
  <c r="AO1048" i="7"/>
  <c r="AL986" i="7"/>
  <c r="AE986" i="7" s="1"/>
  <c r="Y986" i="7" s="1"/>
  <c r="AL989" i="7"/>
  <c r="AE989" i="7" s="1"/>
  <c r="Y989" i="7" s="1"/>
  <c r="AM995" i="7"/>
  <c r="AF995" i="7" s="1"/>
  <c r="Y995" i="7" s="1"/>
  <c r="AN998" i="7"/>
  <c r="AN1001" i="7"/>
  <c r="AN1004" i="7"/>
  <c r="AQ1009" i="7"/>
  <c r="AH1009" i="7" s="1"/>
  <c r="AM1013" i="7"/>
  <c r="AF1013" i="7" s="1"/>
  <c r="AQ1018" i="7"/>
  <c r="AH1018" i="7" s="1"/>
  <c r="AQ1020" i="7"/>
  <c r="AH1020" i="7" s="1"/>
  <c r="Z1020" i="7" s="1"/>
  <c r="AR1020" i="7"/>
  <c r="AI1020" i="7" s="1"/>
  <c r="AQ1029" i="7"/>
  <c r="AH1029" i="7" s="1"/>
  <c r="AL1033" i="7"/>
  <c r="AE1033" i="7" s="1"/>
  <c r="AN1042" i="7"/>
  <c r="Z1048" i="7"/>
  <c r="AO992" i="7"/>
  <c r="AM992" i="7"/>
  <c r="AF992" i="7" s="1"/>
  <c r="Y992" i="7" s="1"/>
  <c r="AN1033" i="7"/>
  <c r="AO1036" i="7"/>
  <c r="AN1036" i="7"/>
  <c r="Z1053" i="7"/>
  <c r="AR1058" i="7"/>
  <c r="AI1058" i="7" s="1"/>
  <c r="AL1065" i="7"/>
  <c r="AE1065" i="7" s="1"/>
  <c r="AO1065" i="7"/>
  <c r="AR1068" i="7"/>
  <c r="AI1068" i="7" s="1"/>
  <c r="AP1068" i="7"/>
  <c r="AG1068" i="7" s="1"/>
  <c r="Y1083" i="7"/>
  <c r="AO1064" i="7"/>
  <c r="AL1064" i="7"/>
  <c r="AE1064" i="7" s="1"/>
  <c r="AO1067" i="7"/>
  <c r="AL1067" i="7"/>
  <c r="AE1067" i="7" s="1"/>
  <c r="AR1069" i="7"/>
  <c r="AI1069" i="7" s="1"/>
  <c r="AQ1070" i="7"/>
  <c r="AH1070" i="7" s="1"/>
  <c r="AP1070" i="7"/>
  <c r="AG1070" i="7" s="1"/>
  <c r="AR1064" i="7"/>
  <c r="AI1064" i="7" s="1"/>
  <c r="AP1064" i="7"/>
  <c r="AG1064" i="7" s="1"/>
  <c r="AR1067" i="7"/>
  <c r="AI1067" i="7" s="1"/>
  <c r="AP1067" i="7"/>
  <c r="AG1067" i="7" s="1"/>
  <c r="Z1077" i="7"/>
  <c r="Y1087" i="7"/>
  <c r="Z1111" i="7"/>
  <c r="AM1040" i="7"/>
  <c r="AF1040" i="7" s="1"/>
  <c r="Y1040" i="7" s="1"/>
  <c r="AM1046" i="7"/>
  <c r="AF1046" i="7" s="1"/>
  <c r="AL1061" i="7"/>
  <c r="AE1061" i="7" s="1"/>
  <c r="Y1061" i="7" s="1"/>
  <c r="AO1075" i="7"/>
  <c r="AN1075" i="7"/>
  <c r="AL1075" i="7"/>
  <c r="AE1075" i="7" s="1"/>
  <c r="Y1075" i="7" s="1"/>
  <c r="AN1046" i="7"/>
  <c r="Z1062" i="7"/>
  <c r="AN1071" i="7"/>
  <c r="AO1079" i="7"/>
  <c r="AN1079" i="7"/>
  <c r="AL1079" i="7"/>
  <c r="AE1079" i="7" s="1"/>
  <c r="AL1044" i="7"/>
  <c r="AE1044" i="7" s="1"/>
  <c r="Y1044" i="7" s="1"/>
  <c r="AP1046" i="7"/>
  <c r="AG1046" i="7" s="1"/>
  <c r="Z1046" i="7" s="1"/>
  <c r="AP1056" i="7"/>
  <c r="AG1056" i="7" s="1"/>
  <c r="Z1056" i="7" s="1"/>
  <c r="AP1061" i="7"/>
  <c r="AG1061" i="7" s="1"/>
  <c r="Z1061" i="7" s="1"/>
  <c r="AO1090" i="7"/>
  <c r="AN1090" i="7"/>
  <c r="AM1090" i="7"/>
  <c r="AF1090" i="7" s="1"/>
  <c r="AL1090" i="7"/>
  <c r="AE1090" i="7" s="1"/>
  <c r="AR1046" i="7"/>
  <c r="AI1046" i="7" s="1"/>
  <c r="AN1051" i="7"/>
  <c r="AL1051" i="7"/>
  <c r="AE1051" i="7" s="1"/>
  <c r="Y1051" i="7" s="1"/>
  <c r="AP1057" i="7"/>
  <c r="AG1057" i="7" s="1"/>
  <c r="Z1057" i="7" s="1"/>
  <c r="Y1074" i="7"/>
  <c r="Z1090" i="7"/>
  <c r="Z1095" i="7"/>
  <c r="AO1054" i="7"/>
  <c r="AN1054" i="7"/>
  <c r="AL1054" i="7"/>
  <c r="AE1054" i="7" s="1"/>
  <c r="Y1054" i="7" s="1"/>
  <c r="AR1088" i="7"/>
  <c r="AI1088" i="7" s="1"/>
  <c r="AQ1088" i="7"/>
  <c r="AH1088" i="7" s="1"/>
  <c r="AP1042" i="7"/>
  <c r="AG1042" i="7" s="1"/>
  <c r="Z1042" i="7" s="1"/>
  <c r="Z1044" i="7"/>
  <c r="AO1049" i="7"/>
  <c r="AO1061" i="7"/>
  <c r="AN1061" i="7"/>
  <c r="AQ1073" i="7"/>
  <c r="AH1073" i="7" s="1"/>
  <c r="Y1082" i="7"/>
  <c r="AM1094" i="7"/>
  <c r="AF1094" i="7" s="1"/>
  <c r="AQ1042" i="7"/>
  <c r="AH1042" i="7" s="1"/>
  <c r="AL1052" i="7"/>
  <c r="AE1052" i="7" s="1"/>
  <c r="AL1063" i="7"/>
  <c r="AE1063" i="7" s="1"/>
  <c r="Y1063" i="7" s="1"/>
  <c r="AM1064" i="7"/>
  <c r="AF1064" i="7" s="1"/>
  <c r="AM1065" i="7"/>
  <c r="AF1065" i="7" s="1"/>
  <c r="AM1067" i="7"/>
  <c r="AF1067" i="7" s="1"/>
  <c r="AR1070" i="7"/>
  <c r="AI1070" i="7" s="1"/>
  <c r="AM1075" i="7"/>
  <c r="AF1075" i="7" s="1"/>
  <c r="Z1082" i="7"/>
  <c r="AQ1049" i="7"/>
  <c r="AH1049" i="7" s="1"/>
  <c r="AR1049" i="7"/>
  <c r="AI1049" i="7" s="1"/>
  <c r="Z1049" i="7" s="1"/>
  <c r="AN1052" i="7"/>
  <c r="AN1064" i="7"/>
  <c r="AN1065" i="7"/>
  <c r="AN1067" i="7"/>
  <c r="AQ1068" i="7"/>
  <c r="AH1068" i="7" s="1"/>
  <c r="AO1072" i="7"/>
  <c r="AN1072" i="7"/>
  <c r="AL1072" i="7"/>
  <c r="AE1072" i="7" s="1"/>
  <c r="Y1072" i="7" s="1"/>
  <c r="AO1078" i="7"/>
  <c r="AM1079" i="7"/>
  <c r="AF1079" i="7" s="1"/>
  <c r="Z1086" i="7"/>
  <c r="AP1088" i="7"/>
  <c r="AG1088" i="7" s="1"/>
  <c r="Z1105" i="7"/>
  <c r="Z1107" i="7"/>
  <c r="AP1039" i="7"/>
  <c r="AG1039" i="7" s="1"/>
  <c r="AL1045" i="7"/>
  <c r="AE1045" i="7" s="1"/>
  <c r="AP1058" i="7"/>
  <c r="AG1058" i="7" s="1"/>
  <c r="Z1058" i="7" s="1"/>
  <c r="AO1063" i="7"/>
  <c r="AQ1064" i="7"/>
  <c r="AH1064" i="7" s="1"/>
  <c r="AP1065" i="7"/>
  <c r="AG1065" i="7" s="1"/>
  <c r="AQ1067" i="7"/>
  <c r="AH1067" i="7" s="1"/>
  <c r="AQ1078" i="7"/>
  <c r="AH1078" i="7" s="1"/>
  <c r="AL1031" i="7"/>
  <c r="AE1031" i="7" s="1"/>
  <c r="Y1031" i="7" s="1"/>
  <c r="AL1035" i="7"/>
  <c r="AE1035" i="7" s="1"/>
  <c r="Y1035" i="7" s="1"/>
  <c r="AQ1039" i="7"/>
  <c r="AH1039" i="7" s="1"/>
  <c r="AM1045" i="7"/>
  <c r="AF1045" i="7" s="1"/>
  <c r="AN1047" i="7"/>
  <c r="Y1047" i="7" s="1"/>
  <c r="AP1052" i="7"/>
  <c r="AG1052" i="7" s="1"/>
  <c r="AQ1058" i="7"/>
  <c r="AH1058" i="7" s="1"/>
  <c r="AO1062" i="7"/>
  <c r="Y1062" i="7" s="1"/>
  <c r="AN1062" i="7"/>
  <c r="AR1065" i="7"/>
  <c r="AI1065" i="7" s="1"/>
  <c r="Y1073" i="7"/>
  <c r="Y1091" i="7"/>
  <c r="Y1116" i="7"/>
  <c r="AM1052" i="7"/>
  <c r="AF1052" i="7" s="1"/>
  <c r="AL1053" i="7"/>
  <c r="AE1053" i="7" s="1"/>
  <c r="Y1053" i="7" s="1"/>
  <c r="AL1059" i="7"/>
  <c r="AE1059" i="7" s="1"/>
  <c r="AM1071" i="7"/>
  <c r="AF1071" i="7" s="1"/>
  <c r="AR1081" i="7"/>
  <c r="AI1081" i="7" s="1"/>
  <c r="AR1052" i="7"/>
  <c r="AI1052" i="7" s="1"/>
  <c r="AM1053" i="7"/>
  <c r="AF1053" i="7" s="1"/>
  <c r="AM1059" i="7"/>
  <c r="AF1059" i="7" s="1"/>
  <c r="AR1071" i="7"/>
  <c r="AI1071" i="7" s="1"/>
  <c r="AP1071" i="7"/>
  <c r="AG1071" i="7" s="1"/>
  <c r="Z1071" i="7" s="1"/>
  <c r="AP1074" i="7"/>
  <c r="AG1074" i="7" s="1"/>
  <c r="Z1074" i="7" s="1"/>
  <c r="AO1076" i="7"/>
  <c r="AN1076" i="7"/>
  <c r="AL1076" i="7"/>
  <c r="AE1076" i="7" s="1"/>
  <c r="Z1098" i="7"/>
  <c r="AP1050" i="7"/>
  <c r="AG1050" i="7" s="1"/>
  <c r="Z1050" i="7" s="1"/>
  <c r="AN1053" i="7"/>
  <c r="AR1055" i="7"/>
  <c r="AI1055" i="7" s="1"/>
  <c r="AQ1055" i="7"/>
  <c r="AH1055" i="7" s="1"/>
  <c r="Z1055" i="7" s="1"/>
  <c r="AL1056" i="7"/>
  <c r="AE1056" i="7" s="1"/>
  <c r="Y1056" i="7" s="1"/>
  <c r="AO1059" i="7"/>
  <c r="Y1060" i="7"/>
  <c r="AR1066" i="7"/>
  <c r="AI1066" i="7" s="1"/>
  <c r="AQ1066" i="7"/>
  <c r="AH1066" i="7" s="1"/>
  <c r="Z1066" i="7" s="1"/>
  <c r="AR1074" i="7"/>
  <c r="AI1074" i="7" s="1"/>
  <c r="AR1100" i="7"/>
  <c r="AI1100" i="7" s="1"/>
  <c r="AQ1100" i="7"/>
  <c r="AH1100" i="7" s="1"/>
  <c r="AO1124" i="7"/>
  <c r="AN1124" i="7"/>
  <c r="AM1124" i="7"/>
  <c r="AF1124" i="7" s="1"/>
  <c r="AR1144" i="7"/>
  <c r="AI1144" i="7" s="1"/>
  <c r="AQ1144" i="7"/>
  <c r="AH1144" i="7" s="1"/>
  <c r="AP1144" i="7"/>
  <c r="AG1144" i="7" s="1"/>
  <c r="W313" i="9"/>
  <c r="AO1084" i="7"/>
  <c r="AR1090" i="7"/>
  <c r="AI1090" i="7" s="1"/>
  <c r="AR1129" i="7"/>
  <c r="AI1129" i="7" s="1"/>
  <c r="AQ1129" i="7"/>
  <c r="AH1129" i="7" s="1"/>
  <c r="AP1084" i="7"/>
  <c r="AG1084" i="7" s="1"/>
  <c r="Z1084" i="7" s="1"/>
  <c r="AO1086" i="7"/>
  <c r="AN1086" i="7"/>
  <c r="AQ1086" i="7"/>
  <c r="AH1086" i="7" s="1"/>
  <c r="AL1093" i="7"/>
  <c r="AE1093" i="7" s="1"/>
  <c r="AO1106" i="7"/>
  <c r="AN1106" i="7"/>
  <c r="AL1138" i="7"/>
  <c r="AE1138" i="7" s="1"/>
  <c r="AN1138" i="7"/>
  <c r="AM1138" i="7"/>
  <c r="AF1138" i="7" s="1"/>
  <c r="AQ1156" i="7"/>
  <c r="AH1156" i="7" s="1"/>
  <c r="AR1156" i="7"/>
  <c r="AI1156" i="7" s="1"/>
  <c r="AP1156" i="7"/>
  <c r="AG1156" i="7" s="1"/>
  <c r="Z1156" i="7" s="1"/>
  <c r="AO1082" i="7"/>
  <c r="AN1082" i="7"/>
  <c r="AQ1106" i="7"/>
  <c r="AH1106" i="7" s="1"/>
  <c r="AN1107" i="7"/>
  <c r="AM1107" i="7"/>
  <c r="AF1107" i="7" s="1"/>
  <c r="AO1117" i="7"/>
  <c r="AM1117" i="7"/>
  <c r="AF1117" i="7" s="1"/>
  <c r="AO1130" i="7"/>
  <c r="AM1130" i="7"/>
  <c r="AF1130" i="7" s="1"/>
  <c r="AL1070" i="7"/>
  <c r="AE1070" i="7" s="1"/>
  <c r="Y1070" i="7" s="1"/>
  <c r="AL1089" i="7"/>
  <c r="AE1089" i="7" s="1"/>
  <c r="Y1089" i="7" s="1"/>
  <c r="AN1093" i="7"/>
  <c r="AR1095" i="7"/>
  <c r="AI1095" i="7" s="1"/>
  <c r="AQ1098" i="7"/>
  <c r="AH1098" i="7" s="1"/>
  <c r="AP1102" i="7"/>
  <c r="AG1102" i="7" s="1"/>
  <c r="AR1107" i="7"/>
  <c r="AI1107" i="7" s="1"/>
  <c r="AP1110" i="7"/>
  <c r="AG1110" i="7" s="1"/>
  <c r="Z1110" i="7" s="1"/>
  <c r="AP1114" i="7"/>
  <c r="AG1114" i="7" s="1"/>
  <c r="Z1130" i="7"/>
  <c r="AR1154" i="7"/>
  <c r="AI1154" i="7" s="1"/>
  <c r="AQ1154" i="7"/>
  <c r="AH1154" i="7" s="1"/>
  <c r="AP1154" i="7"/>
  <c r="AG1154" i="7" s="1"/>
  <c r="AM1070" i="7"/>
  <c r="AF1070" i="7" s="1"/>
  <c r="AM1089" i="7"/>
  <c r="AF1089" i="7" s="1"/>
  <c r="AO1098" i="7"/>
  <c r="AN1098" i="7"/>
  <c r="Y1098" i="7" s="1"/>
  <c r="AR1102" i="7"/>
  <c r="AI1102" i="7" s="1"/>
  <c r="AR1114" i="7"/>
  <c r="AI1114" i="7" s="1"/>
  <c r="AL1124" i="7"/>
  <c r="AE1124" i="7" s="1"/>
  <c r="AR1131" i="7"/>
  <c r="AI1131" i="7" s="1"/>
  <c r="AQ1131" i="7"/>
  <c r="AH1131" i="7" s="1"/>
  <c r="AP1131" i="7"/>
  <c r="AG1131" i="7" s="1"/>
  <c r="AO1138" i="7"/>
  <c r="Y1158" i="7"/>
  <c r="Z1161" i="7"/>
  <c r="AP1093" i="7"/>
  <c r="AG1093" i="7" s="1"/>
  <c r="AL1104" i="7"/>
  <c r="AE1104" i="7" s="1"/>
  <c r="AR1108" i="7"/>
  <c r="AI1108" i="7" s="1"/>
  <c r="Z1108" i="7" s="1"/>
  <c r="AQ1108" i="7"/>
  <c r="AH1108" i="7" s="1"/>
  <c r="AO1058" i="7"/>
  <c r="AM1058" i="7"/>
  <c r="AF1058" i="7" s="1"/>
  <c r="Y1058" i="7" s="1"/>
  <c r="AP1073" i="7"/>
  <c r="AG1073" i="7" s="1"/>
  <c r="Z1073" i="7" s="1"/>
  <c r="AL1081" i="7"/>
  <c r="AE1081" i="7" s="1"/>
  <c r="AM1085" i="7"/>
  <c r="AF1085" i="7" s="1"/>
  <c r="AM1087" i="7"/>
  <c r="AF1087" i="7" s="1"/>
  <c r="AN1091" i="7"/>
  <c r="AP1091" i="7"/>
  <c r="AG1091" i="7" s="1"/>
  <c r="Z1091" i="7" s="1"/>
  <c r="AQ1093" i="7"/>
  <c r="AH1093" i="7" s="1"/>
  <c r="AP1096" i="7"/>
  <c r="AG1096" i="7" s="1"/>
  <c r="Z1096" i="7" s="1"/>
  <c r="AL1099" i="7"/>
  <c r="AE1099" i="7" s="1"/>
  <c r="Y1099" i="7" s="1"/>
  <c r="AM1104" i="7"/>
  <c r="AF1104" i="7" s="1"/>
  <c r="AO1109" i="7"/>
  <c r="AM1109" i="7"/>
  <c r="AF1109" i="7" s="1"/>
  <c r="Y1109" i="7" s="1"/>
  <c r="AO1116" i="7"/>
  <c r="AN1116" i="7"/>
  <c r="AM1116" i="7"/>
  <c r="AF1116" i="7" s="1"/>
  <c r="AQ1119" i="7"/>
  <c r="AH1119" i="7" s="1"/>
  <c r="Z1119" i="7" s="1"/>
  <c r="AL1130" i="7"/>
  <c r="AE1130" i="7" s="1"/>
  <c r="Y1130" i="7" s="1"/>
  <c r="AR1141" i="7"/>
  <c r="AI1141" i="7" s="1"/>
  <c r="AP1141" i="7"/>
  <c r="AG1141" i="7" s="1"/>
  <c r="Z1143" i="7"/>
  <c r="AL1078" i="7"/>
  <c r="AE1078" i="7" s="1"/>
  <c r="AM1081" i="7"/>
  <c r="AF1081" i="7" s="1"/>
  <c r="AN1085" i="7"/>
  <c r="Y1085" i="7" s="1"/>
  <c r="AO1087" i="7"/>
  <c r="AP1089" i="7"/>
  <c r="AG1089" i="7" s="1"/>
  <c r="Z1089" i="7" s="1"/>
  <c r="AQ1091" i="7"/>
  <c r="AH1091" i="7" s="1"/>
  <c r="AO1096" i="7"/>
  <c r="Y1096" i="7" s="1"/>
  <c r="AQ1096" i="7"/>
  <c r="AH1096" i="7" s="1"/>
  <c r="AO1102" i="7"/>
  <c r="AN1102" i="7"/>
  <c r="Y1102" i="7" s="1"/>
  <c r="AN1104" i="7"/>
  <c r="AO1121" i="7"/>
  <c r="AM1121" i="7"/>
  <c r="AF1121" i="7" s="1"/>
  <c r="Y1121" i="7" s="1"/>
  <c r="AO1126" i="7"/>
  <c r="AN1130" i="7"/>
  <c r="AM1078" i="7"/>
  <c r="AF1078" i="7" s="1"/>
  <c r="AQ1089" i="7"/>
  <c r="AH1089" i="7" s="1"/>
  <c r="AL1094" i="7"/>
  <c r="AE1094" i="7" s="1"/>
  <c r="Y1094" i="7" s="1"/>
  <c r="AP1099" i="7"/>
  <c r="AG1099" i="7" s="1"/>
  <c r="Z1099" i="7" s="1"/>
  <c r="Y1125" i="7"/>
  <c r="AP1129" i="7"/>
  <c r="AG1129" i="7" s="1"/>
  <c r="AO1142" i="7"/>
  <c r="AM1142" i="7"/>
  <c r="AF1142" i="7" s="1"/>
  <c r="AL1142" i="7"/>
  <c r="AE1142" i="7" s="1"/>
  <c r="AL1066" i="7"/>
  <c r="AE1066" i="7" s="1"/>
  <c r="AM1069" i="7"/>
  <c r="AF1069" i="7" s="1"/>
  <c r="Y1069" i="7" s="1"/>
  <c r="AN1078" i="7"/>
  <c r="AO1083" i="7"/>
  <c r="AP1085" i="7"/>
  <c r="AG1085" i="7" s="1"/>
  <c r="AR1087" i="7"/>
  <c r="AI1087" i="7" s="1"/>
  <c r="AQ1087" i="7"/>
  <c r="AH1087" i="7" s="1"/>
  <c r="Z1087" i="7" s="1"/>
  <c r="AL1092" i="7"/>
  <c r="AE1092" i="7" s="1"/>
  <c r="Y1092" i="7" s="1"/>
  <c r="AL1097" i="7"/>
  <c r="AE1097" i="7" s="1"/>
  <c r="AL1100" i="7"/>
  <c r="AE1100" i="7" s="1"/>
  <c r="Y1100" i="7" s="1"/>
  <c r="AO1110" i="7"/>
  <c r="AN1110" i="7"/>
  <c r="Y1110" i="7" s="1"/>
  <c r="AN1111" i="7"/>
  <c r="AM1111" i="7"/>
  <c r="AF1111" i="7" s="1"/>
  <c r="Y1111" i="7" s="1"/>
  <c r="AL1117" i="7"/>
  <c r="AE1117" i="7" s="1"/>
  <c r="AR1118" i="7"/>
  <c r="AI1118" i="7" s="1"/>
  <c r="Z1118" i="7" s="1"/>
  <c r="AM1066" i="7"/>
  <c r="AF1066" i="7" s="1"/>
  <c r="AN1069" i="7"/>
  <c r="AP1078" i="7"/>
  <c r="AG1078" i="7" s="1"/>
  <c r="Z1078" i="7" s="1"/>
  <c r="AP1081" i="7"/>
  <c r="AG1081" i="7" s="1"/>
  <c r="AQ1085" i="7"/>
  <c r="AH1085" i="7" s="1"/>
  <c r="AM1092" i="7"/>
  <c r="AF1092" i="7" s="1"/>
  <c r="AP1094" i="7"/>
  <c r="AG1094" i="7" s="1"/>
  <c r="Z1094" i="7" s="1"/>
  <c r="AM1097" i="7"/>
  <c r="AF1097" i="7" s="1"/>
  <c r="AN1099" i="7"/>
  <c r="AM1099" i="7"/>
  <c r="AF1099" i="7" s="1"/>
  <c r="AN1103" i="7"/>
  <c r="AM1103" i="7"/>
  <c r="AF1103" i="7" s="1"/>
  <c r="Y1103" i="7" s="1"/>
  <c r="AL1106" i="7"/>
  <c r="AE1106" i="7" s="1"/>
  <c r="Y1106" i="7" s="1"/>
  <c r="AR1111" i="7"/>
  <c r="AI1111" i="7" s="1"/>
  <c r="AO1112" i="7"/>
  <c r="AN1112" i="7"/>
  <c r="Y1112" i="7" s="1"/>
  <c r="AO1113" i="7"/>
  <c r="AM1113" i="7"/>
  <c r="AF1113" i="7" s="1"/>
  <c r="Y1113" i="7" s="1"/>
  <c r="AR1115" i="7"/>
  <c r="AI1115" i="7" s="1"/>
  <c r="Z1115" i="7" s="1"/>
  <c r="AN1117" i="7"/>
  <c r="AM1057" i="7"/>
  <c r="AF1057" i="7" s="1"/>
  <c r="AN1066" i="7"/>
  <c r="AP1072" i="7"/>
  <c r="AG1072" i="7" s="1"/>
  <c r="Z1072" i="7" s="1"/>
  <c r="AP1075" i="7"/>
  <c r="AG1075" i="7" s="1"/>
  <c r="Z1075" i="7" s="1"/>
  <c r="AL1080" i="7"/>
  <c r="AE1080" i="7" s="1"/>
  <c r="Y1080" i="7" s="1"/>
  <c r="AQ1081" i="7"/>
  <c r="AH1081" i="7" s="1"/>
  <c r="AR1083" i="7"/>
  <c r="AI1083" i="7" s="1"/>
  <c r="AQ1083" i="7"/>
  <c r="AH1083" i="7" s="1"/>
  <c r="Z1083" i="7" s="1"/>
  <c r="AL1088" i="7"/>
  <c r="AE1088" i="7" s="1"/>
  <c r="AN1092" i="7"/>
  <c r="AQ1094" i="7"/>
  <c r="AH1094" i="7" s="1"/>
  <c r="AR1099" i="7"/>
  <c r="AI1099" i="7" s="1"/>
  <c r="AM1106" i="7"/>
  <c r="AF1106" i="7" s="1"/>
  <c r="AR1112" i="7"/>
  <c r="AI1112" i="7" s="1"/>
  <c r="AQ1112" i="7"/>
  <c r="AH1112" i="7" s="1"/>
  <c r="Z1112" i="7" s="1"/>
  <c r="AO1120" i="7"/>
  <c r="AN1120" i="7"/>
  <c r="AM1120" i="7"/>
  <c r="AF1120" i="7" s="1"/>
  <c r="Y1120" i="7" s="1"/>
  <c r="AR1135" i="7"/>
  <c r="AI1135" i="7" s="1"/>
  <c r="AQ1135" i="7"/>
  <c r="AH1135" i="7" s="1"/>
  <c r="AP1135" i="7"/>
  <c r="AG1135" i="7" s="1"/>
  <c r="Z1135" i="7" s="1"/>
  <c r="AR1153" i="7"/>
  <c r="AI1153" i="7" s="1"/>
  <c r="AQ1153" i="7"/>
  <c r="AH1153" i="7" s="1"/>
  <c r="AP1153" i="7"/>
  <c r="AG1153" i="7" s="1"/>
  <c r="AM1080" i="7"/>
  <c r="AF1080" i="7" s="1"/>
  <c r="AO1094" i="7"/>
  <c r="AN1094" i="7"/>
  <c r="AP1100" i="7"/>
  <c r="AG1100" i="7" s="1"/>
  <c r="Z1100" i="7" s="1"/>
  <c r="AP1106" i="7"/>
  <c r="AG1106" i="7" s="1"/>
  <c r="Z1106" i="7" s="1"/>
  <c r="AL1107" i="7"/>
  <c r="AE1107" i="7" s="1"/>
  <c r="AQ1128" i="7"/>
  <c r="AH1128" i="7" s="1"/>
  <c r="AP1128" i="7"/>
  <c r="AG1128" i="7" s="1"/>
  <c r="Z1139" i="7"/>
  <c r="AL1068" i="7"/>
  <c r="AE1068" i="7" s="1"/>
  <c r="Y1068" i="7" s="1"/>
  <c r="AQ1069" i="7"/>
  <c r="AH1069" i="7" s="1"/>
  <c r="Z1069" i="7" s="1"/>
  <c r="AL1071" i="7"/>
  <c r="AE1071" i="7" s="1"/>
  <c r="Y1071" i="7" s="1"/>
  <c r="AM1077" i="7"/>
  <c r="AF1077" i="7" s="1"/>
  <c r="Y1077" i="7" s="1"/>
  <c r="AN1080" i="7"/>
  <c r="AL1084" i="7"/>
  <c r="AE1084" i="7" s="1"/>
  <c r="AN1088" i="7"/>
  <c r="AP1092" i="7"/>
  <c r="AG1092" i="7" s="1"/>
  <c r="Z1092" i="7" s="1"/>
  <c r="AP1097" i="7"/>
  <c r="AG1097" i="7" s="1"/>
  <c r="Z1097" i="7" s="1"/>
  <c r="AL1101" i="7"/>
  <c r="AE1101" i="7" s="1"/>
  <c r="AR1104" i="7"/>
  <c r="AI1104" i="7" s="1"/>
  <c r="AQ1104" i="7"/>
  <c r="AH1104" i="7" s="1"/>
  <c r="Z1104" i="7" s="1"/>
  <c r="AR1106" i="7"/>
  <c r="AI1106" i="7" s="1"/>
  <c r="AO1107" i="7"/>
  <c r="AL1108" i="7"/>
  <c r="AE1108" i="7" s="1"/>
  <c r="Y1108" i="7" s="1"/>
  <c r="AQ1123" i="7"/>
  <c r="AH1123" i="7" s="1"/>
  <c r="AP1123" i="7"/>
  <c r="AG1123" i="7" s="1"/>
  <c r="Z1123" i="7" s="1"/>
  <c r="Z1159" i="7"/>
  <c r="AO1074" i="7"/>
  <c r="AM1074" i="7"/>
  <c r="AF1074" i="7" s="1"/>
  <c r="AL1086" i="7"/>
  <c r="AE1086" i="7" s="1"/>
  <c r="AL1095" i="7"/>
  <c r="AE1095" i="7" s="1"/>
  <c r="Y1095" i="7" s="1"/>
  <c r="AO1100" i="7"/>
  <c r="AN1101" i="7"/>
  <c r="AO1105" i="7"/>
  <c r="AM1105" i="7"/>
  <c r="AF1105" i="7" s="1"/>
  <c r="Y1105" i="7" s="1"/>
  <c r="AM1108" i="7"/>
  <c r="AF1108" i="7" s="1"/>
  <c r="AP1122" i="7"/>
  <c r="AG1122" i="7" s="1"/>
  <c r="Z1122" i="7" s="1"/>
  <c r="AL1132" i="7"/>
  <c r="AE1132" i="7" s="1"/>
  <c r="AM1134" i="7"/>
  <c r="AF1134" i="7" s="1"/>
  <c r="Y1134" i="7" s="1"/>
  <c r="AL1136" i="7"/>
  <c r="AE1136" i="7" s="1"/>
  <c r="Y1136" i="7" s="1"/>
  <c r="AP1138" i="7"/>
  <c r="AG1138" i="7" s="1"/>
  <c r="Z1138" i="7" s="1"/>
  <c r="AR1145" i="7"/>
  <c r="AI1145" i="7" s="1"/>
  <c r="Z1145" i="7" s="1"/>
  <c r="AO1146" i="7"/>
  <c r="AP1147" i="7"/>
  <c r="AG1147" i="7" s="1"/>
  <c r="Z1147" i="7" s="1"/>
  <c r="AM1159" i="7"/>
  <c r="AF1159" i="7" s="1"/>
  <c r="AL1159" i="7"/>
  <c r="AE1159" i="7" s="1"/>
  <c r="AR1161" i="7"/>
  <c r="AI1161" i="7" s="1"/>
  <c r="Y1164" i="7"/>
  <c r="AR1168" i="7"/>
  <c r="AI1168" i="7" s="1"/>
  <c r="AP1168" i="7"/>
  <c r="AG1168" i="7" s="1"/>
  <c r="Z1168" i="7" s="1"/>
  <c r="AR1174" i="7"/>
  <c r="AI1174" i="7" s="1"/>
  <c r="AP1174" i="7"/>
  <c r="AG1174" i="7" s="1"/>
  <c r="AN1184" i="7"/>
  <c r="AM1184" i="7"/>
  <c r="AF1184" i="7" s="1"/>
  <c r="AL1184" i="7"/>
  <c r="AE1184" i="7" s="1"/>
  <c r="AO1132" i="7"/>
  <c r="AO1136" i="7"/>
  <c r="AO1167" i="7"/>
  <c r="AN1167" i="7"/>
  <c r="AM1167" i="7"/>
  <c r="AF1167" i="7" s="1"/>
  <c r="AL1167" i="7"/>
  <c r="AE1167" i="7" s="1"/>
  <c r="Z1172" i="7"/>
  <c r="AQ1134" i="7"/>
  <c r="AH1134" i="7" s="1"/>
  <c r="Z1180" i="7"/>
  <c r="AL1127" i="7"/>
  <c r="AE1127" i="7" s="1"/>
  <c r="Y1127" i="7" s="1"/>
  <c r="AR1130" i="7"/>
  <c r="AI1130" i="7" s="1"/>
  <c r="AR1132" i="7"/>
  <c r="AI1132" i="7" s="1"/>
  <c r="Z1132" i="7" s="1"/>
  <c r="AR1134" i="7"/>
  <c r="AI1134" i="7" s="1"/>
  <c r="Z1134" i="7" s="1"/>
  <c r="AR1136" i="7"/>
  <c r="AI1136" i="7" s="1"/>
  <c r="Z1136" i="7" s="1"/>
  <c r="AN1139" i="7"/>
  <c r="Y1139" i="7" s="1"/>
  <c r="AL1140" i="7"/>
  <c r="AE1140" i="7" s="1"/>
  <c r="Y1140" i="7" s="1"/>
  <c r="AL1151" i="7"/>
  <c r="AE1151" i="7" s="1"/>
  <c r="Y1174" i="7"/>
  <c r="AO1176" i="7"/>
  <c r="AM1176" i="7"/>
  <c r="AF1176" i="7" s="1"/>
  <c r="Y1156" i="7"/>
  <c r="T6" i="9"/>
  <c r="W6" i="9" s="1"/>
  <c r="AR1146" i="7"/>
  <c r="AI1146" i="7" s="1"/>
  <c r="AQ1146" i="7"/>
  <c r="AH1146" i="7" s="1"/>
  <c r="AP1146" i="7"/>
  <c r="AG1146" i="7" s="1"/>
  <c r="AP1151" i="7"/>
  <c r="AG1151" i="7" s="1"/>
  <c r="Z1151" i="7" s="1"/>
  <c r="AR1162" i="7"/>
  <c r="AI1162" i="7" s="1"/>
  <c r="AQ1162" i="7"/>
  <c r="AH1162" i="7" s="1"/>
  <c r="AP1162" i="7"/>
  <c r="AG1162" i="7" s="1"/>
  <c r="Z1162" i="7" s="1"/>
  <c r="AM1186" i="7"/>
  <c r="AF1186" i="7" s="1"/>
  <c r="AL1186" i="7"/>
  <c r="AE1186" i="7" s="1"/>
  <c r="AL1115" i="7"/>
  <c r="AE1115" i="7" s="1"/>
  <c r="AP1116" i="7"/>
  <c r="AG1116" i="7" s="1"/>
  <c r="AL1119" i="7"/>
  <c r="AE1119" i="7" s="1"/>
  <c r="AP1120" i="7"/>
  <c r="AG1120" i="7" s="1"/>
  <c r="AL1123" i="7"/>
  <c r="AE1123" i="7" s="1"/>
  <c r="AP1124" i="7"/>
  <c r="AG1124" i="7" s="1"/>
  <c r="AP1127" i="7"/>
  <c r="AG1127" i="7" s="1"/>
  <c r="AQ1151" i="7"/>
  <c r="AH1151" i="7" s="1"/>
  <c r="AP1163" i="7"/>
  <c r="AG1163" i="7" s="1"/>
  <c r="AO1166" i="7"/>
  <c r="AN1166" i="7"/>
  <c r="AM1166" i="7"/>
  <c r="AF1166" i="7" s="1"/>
  <c r="AQ1174" i="7"/>
  <c r="AH1174" i="7" s="1"/>
  <c r="AQ1180" i="7"/>
  <c r="AH1180" i="7" s="1"/>
  <c r="AM1115" i="7"/>
  <c r="AF1115" i="7" s="1"/>
  <c r="AQ1116" i="7"/>
  <c r="AH1116" i="7" s="1"/>
  <c r="AM1119" i="7"/>
  <c r="AF1119" i="7" s="1"/>
  <c r="AQ1120" i="7"/>
  <c r="AH1120" i="7" s="1"/>
  <c r="AM1123" i="7"/>
  <c r="AF1123" i="7" s="1"/>
  <c r="AQ1124" i="7"/>
  <c r="AH1124" i="7" s="1"/>
  <c r="AQ1127" i="7"/>
  <c r="AH1127" i="7" s="1"/>
  <c r="AM1137" i="7"/>
  <c r="AF1137" i="7" s="1"/>
  <c r="Y1137" i="7" s="1"/>
  <c r="AR1140" i="7"/>
  <c r="AI1140" i="7" s="1"/>
  <c r="Z1140" i="7" s="1"/>
  <c r="AR1148" i="7"/>
  <c r="AI1148" i="7" s="1"/>
  <c r="AO1150" i="7"/>
  <c r="AL1150" i="7"/>
  <c r="AE1150" i="7" s="1"/>
  <c r="AQ1152" i="7"/>
  <c r="AH1152" i="7" s="1"/>
  <c r="Z1152" i="7" s="1"/>
  <c r="AN1153" i="7"/>
  <c r="AN1158" i="7"/>
  <c r="AQ1163" i="7"/>
  <c r="AH1163" i="7" s="1"/>
  <c r="AL1176" i="7"/>
  <c r="AE1176" i="7" s="1"/>
  <c r="AR1180" i="7"/>
  <c r="AI1180" i="7" s="1"/>
  <c r="Y1185" i="7"/>
  <c r="Y1188" i="7"/>
  <c r="AL1126" i="7"/>
  <c r="AE1126" i="7" s="1"/>
  <c r="AL1131" i="7"/>
  <c r="AE1131" i="7" s="1"/>
  <c r="AL1135" i="7"/>
  <c r="AE1135" i="7" s="1"/>
  <c r="Y1135" i="7" s="1"/>
  <c r="AL1141" i="7"/>
  <c r="AE1141" i="7" s="1"/>
  <c r="AM1144" i="7"/>
  <c r="AF1144" i="7" s="1"/>
  <c r="AO1153" i="7"/>
  <c r="AN1176" i="7"/>
  <c r="Z1193" i="7"/>
  <c r="AM1126" i="7"/>
  <c r="AF1126" i="7" s="1"/>
  <c r="AN1131" i="7"/>
  <c r="AN1135" i="7"/>
  <c r="AO1157" i="7"/>
  <c r="AM1157" i="7"/>
  <c r="AF1157" i="7" s="1"/>
  <c r="AN1165" i="7"/>
  <c r="AM1165" i="7"/>
  <c r="AF1165" i="7" s="1"/>
  <c r="AL1165" i="7"/>
  <c r="AE1165" i="7" s="1"/>
  <c r="Y1165" i="7" s="1"/>
  <c r="AO1169" i="7"/>
  <c r="AO1178" i="7"/>
  <c r="AN1178" i="7"/>
  <c r="AM1178" i="7"/>
  <c r="AF1178" i="7" s="1"/>
  <c r="AL1178" i="7"/>
  <c r="AE1178" i="7" s="1"/>
  <c r="AL1114" i="7"/>
  <c r="AE1114" i="7" s="1"/>
  <c r="AL1118" i="7"/>
  <c r="AE1118" i="7" s="1"/>
  <c r="Y1118" i="7" s="1"/>
  <c r="AL1122" i="7"/>
  <c r="AE1122" i="7" s="1"/>
  <c r="AP1126" i="7"/>
  <c r="AG1126" i="7" s="1"/>
  <c r="Z1126" i="7" s="1"/>
  <c r="AN1126" i="7"/>
  <c r="AO1131" i="7"/>
  <c r="AP1133" i="7"/>
  <c r="AG1133" i="7" s="1"/>
  <c r="Z1133" i="7" s="1"/>
  <c r="AO1135" i="7"/>
  <c r="AP1137" i="7"/>
  <c r="AG1137" i="7" s="1"/>
  <c r="Z1137" i="7" s="1"/>
  <c r="AO1151" i="7"/>
  <c r="AM1151" i="7"/>
  <c r="AF1151" i="7" s="1"/>
  <c r="AR1157" i="7"/>
  <c r="AI1157" i="7" s="1"/>
  <c r="AP1157" i="7"/>
  <c r="AG1157" i="7" s="1"/>
  <c r="Z1165" i="7"/>
  <c r="Y1170" i="7"/>
  <c r="AN1175" i="7"/>
  <c r="U26" i="9"/>
  <c r="AR1155" i="7"/>
  <c r="AI1155" i="7" s="1"/>
  <c r="AQ1155" i="7"/>
  <c r="AH1155" i="7" s="1"/>
  <c r="Z1155" i="7" s="1"/>
  <c r="AO1172" i="7"/>
  <c r="Y1172" i="7" s="1"/>
  <c r="AN1172" i="7"/>
  <c r="W35" i="9"/>
  <c r="AN1114" i="7"/>
  <c r="AN1118" i="7"/>
  <c r="AN1122" i="7"/>
  <c r="AQ1126" i="7"/>
  <c r="AH1126" i="7" s="1"/>
  <c r="AM1128" i="7"/>
  <c r="AF1128" i="7" s="1"/>
  <c r="Y1128" i="7" s="1"/>
  <c r="AN1141" i="7"/>
  <c r="AL1146" i="7"/>
  <c r="AE1146" i="7" s="1"/>
  <c r="AL1147" i="7"/>
  <c r="AE1147" i="7" s="1"/>
  <c r="Y1147" i="7" s="1"/>
  <c r="AP1160" i="7"/>
  <c r="AG1160" i="7" s="1"/>
  <c r="Z1160" i="7" s="1"/>
  <c r="AL1166" i="7"/>
  <c r="AE1166" i="7" s="1"/>
  <c r="Y1166" i="7" s="1"/>
  <c r="AN1189" i="7"/>
  <c r="Y1189" i="7" s="1"/>
  <c r="AR1126" i="7"/>
  <c r="AI1126" i="7" s="1"/>
  <c r="AQ1141" i="7"/>
  <c r="AH1141" i="7" s="1"/>
  <c r="AO1144" i="7"/>
  <c r="AL1144" i="7"/>
  <c r="AE1144" i="7" s="1"/>
  <c r="AM1147" i="7"/>
  <c r="AF1147" i="7" s="1"/>
  <c r="Y1153" i="7"/>
  <c r="AM1154" i="7"/>
  <c r="AF1154" i="7" s="1"/>
  <c r="AL1154" i="7"/>
  <c r="AE1154" i="7" s="1"/>
  <c r="Y1154" i="7" s="1"/>
  <c r="AO1156" i="7"/>
  <c r="AN1157" i="7"/>
  <c r="Y1157" i="7" s="1"/>
  <c r="AQ1160" i="7"/>
  <c r="AH1160" i="7" s="1"/>
  <c r="AP1178" i="7"/>
  <c r="AG1178" i="7" s="1"/>
  <c r="Z1178" i="7" s="1"/>
  <c r="AN1186" i="7"/>
  <c r="AL1160" i="7"/>
  <c r="AE1160" i="7" s="1"/>
  <c r="AL1168" i="7"/>
  <c r="AE1168" i="7" s="1"/>
  <c r="Y1168" i="7" s="1"/>
  <c r="AM1170" i="7"/>
  <c r="AF1170" i="7" s="1"/>
  <c r="AO1174" i="7"/>
  <c r="AM1185" i="7"/>
  <c r="AF1185" i="7" s="1"/>
  <c r="AP1187" i="7"/>
  <c r="AG1187" i="7" s="1"/>
  <c r="Z1187" i="7" s="1"/>
  <c r="AP1190" i="7"/>
  <c r="AG1190" i="7" s="1"/>
  <c r="Z1190" i="7" s="1"/>
  <c r="T18" i="9"/>
  <c r="T30" i="9"/>
  <c r="W30" i="9" s="1"/>
  <c r="U66" i="9"/>
  <c r="W77" i="9"/>
  <c r="V224" i="9"/>
  <c r="W224" i="9" s="1"/>
  <c r="W26" i="9"/>
  <c r="AN1160" i="7"/>
  <c r="AM1162" i="7"/>
  <c r="AF1162" i="7" s="1"/>
  <c r="Y1162" i="7" s="1"/>
  <c r="AN1168" i="7"/>
  <c r="AP1170" i="7"/>
  <c r="AG1170" i="7" s="1"/>
  <c r="Z1170" i="7" s="1"/>
  <c r="AQ1172" i="7"/>
  <c r="AH1172" i="7" s="1"/>
  <c r="AM1181" i="7"/>
  <c r="AF1181" i="7" s="1"/>
  <c r="AM1183" i="7"/>
  <c r="AF1183" i="7" s="1"/>
  <c r="Y1183" i="7" s="1"/>
  <c r="AO1187" i="7"/>
  <c r="AN1187" i="7"/>
  <c r="Y1187" i="7" s="1"/>
  <c r="AO1190" i="7"/>
  <c r="W25" i="9"/>
  <c r="W45" i="9"/>
  <c r="W52" i="9"/>
  <c r="W78" i="9"/>
  <c r="AL1177" i="7"/>
  <c r="AE1177" i="7" s="1"/>
  <c r="Y1177" i="7" s="1"/>
  <c r="AN1181" i="7"/>
  <c r="Y1181" i="7" s="1"/>
  <c r="AN1183" i="7"/>
  <c r="AP1185" i="7"/>
  <c r="AG1185" i="7" s="1"/>
  <c r="Z1185" i="7" s="1"/>
  <c r="AP1191" i="7"/>
  <c r="AG1191" i="7" s="1"/>
  <c r="Z1191" i="7" s="1"/>
  <c r="U18" i="9"/>
  <c r="W27" i="9"/>
  <c r="U30" i="9"/>
  <c r="U42" i="9"/>
  <c r="W42" i="9" s="1"/>
  <c r="W59" i="9"/>
  <c r="W90" i="9"/>
  <c r="V92" i="9"/>
  <c r="W92" i="9" s="1"/>
  <c r="AO1155" i="7"/>
  <c r="Y1155" i="7" s="1"/>
  <c r="AN1155" i="7"/>
  <c r="AP1164" i="7"/>
  <c r="AG1164" i="7" s="1"/>
  <c r="Z1164" i="7" s="1"/>
  <c r="AQ1166" i="7"/>
  <c r="AH1166" i="7" s="1"/>
  <c r="Z1166" i="7" s="1"/>
  <c r="AL1173" i="7"/>
  <c r="AE1173" i="7" s="1"/>
  <c r="Y1173" i="7" s="1"/>
  <c r="AL1175" i="7"/>
  <c r="AE1175" i="7" s="1"/>
  <c r="Y1175" i="7" s="1"/>
  <c r="AP1181" i="7"/>
  <c r="AG1181" i="7" s="1"/>
  <c r="Z1181" i="7" s="1"/>
  <c r="AQ1183" i="7"/>
  <c r="AH1183" i="7" s="1"/>
  <c r="Z1183" i="7" s="1"/>
  <c r="AN1188" i="7"/>
  <c r="Z1195" i="7"/>
  <c r="W207" i="9"/>
  <c r="AO1148" i="7"/>
  <c r="AN1148" i="7"/>
  <c r="Y1148" i="7" s="1"/>
  <c r="AM1150" i="7"/>
  <c r="AF1150" i="7" s="1"/>
  <c r="AM1173" i="7"/>
  <c r="AF1173" i="7" s="1"/>
  <c r="AM1175" i="7"/>
  <c r="AF1175" i="7" s="1"/>
  <c r="AO1179" i="7"/>
  <c r="AP1179" i="7"/>
  <c r="AG1179" i="7" s="1"/>
  <c r="Z1179" i="7" s="1"/>
  <c r="AP1188" i="7"/>
  <c r="AG1188" i="7" s="1"/>
  <c r="W18" i="9"/>
  <c r="W61" i="9"/>
  <c r="AP1148" i="7"/>
  <c r="AG1148" i="7" s="1"/>
  <c r="AL1169" i="7"/>
  <c r="AE1169" i="7" s="1"/>
  <c r="AL1171" i="7"/>
  <c r="AE1171" i="7" s="1"/>
  <c r="AN1173" i="7"/>
  <c r="AP1177" i="7"/>
  <c r="AG1177" i="7" s="1"/>
  <c r="Z1177" i="7" s="1"/>
  <c r="AQ1188" i="7"/>
  <c r="AH1188" i="7" s="1"/>
  <c r="AO1191" i="7"/>
  <c r="AN1191" i="7"/>
  <c r="AM1191" i="7"/>
  <c r="AF1191" i="7" s="1"/>
  <c r="Y1191" i="7" s="1"/>
  <c r="Y1194" i="7"/>
  <c r="U10" i="9"/>
  <c r="W36" i="9"/>
  <c r="V124" i="9"/>
  <c r="W124" i="9" s="1"/>
  <c r="W206" i="9"/>
  <c r="V260" i="9"/>
  <c r="W260" i="9" s="1"/>
  <c r="AL1152" i="7"/>
  <c r="AE1152" i="7" s="1"/>
  <c r="AO1175" i="7"/>
  <c r="AP1175" i="7"/>
  <c r="AG1175" i="7" s="1"/>
  <c r="Z1175" i="7" s="1"/>
  <c r="AR1194" i="7"/>
  <c r="AI1194" i="7" s="1"/>
  <c r="AQ1194" i="7"/>
  <c r="AH1194" i="7" s="1"/>
  <c r="Z1194" i="7" s="1"/>
  <c r="W56" i="9"/>
  <c r="W70" i="9"/>
  <c r="W84" i="9"/>
  <c r="AO1143" i="7"/>
  <c r="AN1143" i="7"/>
  <c r="Y1143" i="7" s="1"/>
  <c r="AM1145" i="7"/>
  <c r="AF1145" i="7" s="1"/>
  <c r="Y1145" i="7" s="1"/>
  <c r="AP1150" i="7"/>
  <c r="AG1150" i="7" s="1"/>
  <c r="Z1150" i="7" s="1"/>
  <c r="AO1159" i="7"/>
  <c r="AN1159" i="7"/>
  <c r="AM1161" i="7"/>
  <c r="AF1161" i="7" s="1"/>
  <c r="Y1161" i="7" s="1"/>
  <c r="AN1169" i="7"/>
  <c r="AP1173" i="7"/>
  <c r="AG1173" i="7" s="1"/>
  <c r="Z1173" i="7" s="1"/>
  <c r="AL1182" i="7"/>
  <c r="AE1182" i="7" s="1"/>
  <c r="AM1189" i="7"/>
  <c r="AF1189" i="7" s="1"/>
  <c r="AO1193" i="7"/>
  <c r="AN1193" i="7"/>
  <c r="Y1193" i="7" s="1"/>
  <c r="AM1193" i="7"/>
  <c r="AF1193" i="7" s="1"/>
  <c r="U22" i="9"/>
  <c r="W22" i="9" s="1"/>
  <c r="V39" i="9"/>
  <c r="W39" i="9" s="1"/>
  <c r="W44" i="9"/>
  <c r="W64" i="9"/>
  <c r="AO1152" i="7"/>
  <c r="AN1152" i="7"/>
  <c r="AO1171" i="7"/>
  <c r="AP1171" i="7"/>
  <c r="AG1171" i="7" s="1"/>
  <c r="Z1171" i="7" s="1"/>
  <c r="AL1180" i="7"/>
  <c r="AE1180" i="7" s="1"/>
  <c r="AM1182" i="7"/>
  <c r="AF1182" i="7" s="1"/>
  <c r="AO1186" i="7"/>
  <c r="AO1192" i="7"/>
  <c r="AM1192" i="7"/>
  <c r="AF1192" i="7" s="1"/>
  <c r="Y1192" i="7" s="1"/>
  <c r="W10" i="9"/>
  <c r="T14" i="9"/>
  <c r="W14" i="9" s="1"/>
  <c r="T38" i="9"/>
  <c r="W38" i="9" s="1"/>
  <c r="T247" i="9"/>
  <c r="W247" i="9" s="1"/>
  <c r="AL1163" i="7"/>
  <c r="AE1163" i="7" s="1"/>
  <c r="AP1169" i="7"/>
  <c r="AG1169" i="7" s="1"/>
  <c r="Z1169" i="7" s="1"/>
  <c r="AM1180" i="7"/>
  <c r="AF1180" i="7" s="1"/>
  <c r="AO1184" i="7"/>
  <c r="AP1184" i="7"/>
  <c r="AG1184" i="7" s="1"/>
  <c r="Z1184" i="7" s="1"/>
  <c r="AP1189" i="7"/>
  <c r="AG1189" i="7" s="1"/>
  <c r="Z1189" i="7" s="1"/>
  <c r="AR1192" i="7"/>
  <c r="AI1192" i="7" s="1"/>
  <c r="W34" i="9"/>
  <c r="T78" i="9"/>
  <c r="AO1182" i="7"/>
  <c r="AP1182" i="7"/>
  <c r="AG1182" i="7" s="1"/>
  <c r="Z1182" i="7" s="1"/>
  <c r="AQ1184" i="7"/>
  <c r="AH1184" i="7" s="1"/>
  <c r="AO1189" i="7"/>
  <c r="AQ1189" i="7"/>
  <c r="AH1189" i="7" s="1"/>
  <c r="AO1197" i="7"/>
  <c r="AN1197" i="7"/>
  <c r="AM1197" i="7"/>
  <c r="AF1197" i="7" s="1"/>
  <c r="Y1197" i="7" s="1"/>
  <c r="W118" i="9"/>
  <c r="W243" i="9"/>
  <c r="AN1163" i="7"/>
  <c r="Y1179" i="7"/>
  <c r="AO1180" i="7"/>
  <c r="AL1190" i="7"/>
  <c r="AE1190" i="7" s="1"/>
  <c r="U14" i="9"/>
  <c r="U38" i="9"/>
  <c r="W47" i="9"/>
  <c r="T59" i="9"/>
  <c r="W66" i="9"/>
  <c r="W107" i="9"/>
  <c r="AO1194" i="7"/>
  <c r="T91" i="9"/>
  <c r="W91" i="9" s="1"/>
  <c r="V104" i="9"/>
  <c r="W104" i="9" s="1"/>
  <c r="W119" i="9"/>
  <c r="T123" i="9"/>
  <c r="V136" i="9"/>
  <c r="W136" i="9" s="1"/>
  <c r="V160" i="9"/>
  <c r="W160" i="9" s="1"/>
  <c r="W167" i="9"/>
  <c r="V176" i="9"/>
  <c r="W176" i="9" s="1"/>
  <c r="W183" i="9"/>
  <c r="T223" i="9"/>
  <c r="W231" i="9"/>
  <c r="W255" i="9"/>
  <c r="T259" i="9"/>
  <c r="V272" i="9"/>
  <c r="W272" i="9" s="1"/>
  <c r="W72" i="9"/>
  <c r="W148" i="9"/>
  <c r="W204" i="9"/>
  <c r="W219" i="9"/>
  <c r="W440" i="9"/>
  <c r="V75" i="9"/>
  <c r="W75" i="9" s="1"/>
  <c r="W93" i="9"/>
  <c r="W99" i="9"/>
  <c r="T103" i="9"/>
  <c r="V116" i="9"/>
  <c r="W116" i="9" s="1"/>
  <c r="T135" i="9"/>
  <c r="T159" i="9"/>
  <c r="T175" i="9"/>
  <c r="W175" i="9" s="1"/>
  <c r="V240" i="9"/>
  <c r="W240" i="9" s="1"/>
  <c r="V252" i="9"/>
  <c r="W252" i="9" s="1"/>
  <c r="T271" i="9"/>
  <c r="W279" i="9"/>
  <c r="W285" i="9"/>
  <c r="W578" i="9"/>
  <c r="V192" i="9"/>
  <c r="W192" i="9" s="1"/>
  <c r="W216" i="9"/>
  <c r="W228" i="9"/>
  <c r="W345" i="9"/>
  <c r="W361" i="9"/>
  <c r="W96" i="9"/>
  <c r="W111" i="9"/>
  <c r="W128" i="9"/>
  <c r="W143" i="9"/>
  <c r="W155" i="9"/>
  <c r="W164" i="9"/>
  <c r="W171" i="9"/>
  <c r="W180" i="9"/>
  <c r="W199" i="9"/>
  <c r="W264" i="9"/>
  <c r="W288" i="9"/>
  <c r="W303" i="9"/>
  <c r="AL1196" i="7"/>
  <c r="AE1196" i="7" s="1"/>
  <c r="Y1196" i="7" s="1"/>
  <c r="AP1197" i="7"/>
  <c r="AG1197" i="7" s="1"/>
  <c r="Z1197" i="7" s="1"/>
  <c r="W187" i="9"/>
  <c r="W211" i="9"/>
  <c r="W235" i="9"/>
  <c r="W276" i="9"/>
  <c r="W300" i="9"/>
  <c r="W317" i="9"/>
  <c r="AM1196" i="7"/>
  <c r="AF1196" i="7" s="1"/>
  <c r="V55" i="9"/>
  <c r="W55" i="9" s="1"/>
  <c r="V68" i="9"/>
  <c r="W68" i="9" s="1"/>
  <c r="V80" i="9"/>
  <c r="W80" i="9" s="1"/>
  <c r="T95" i="9"/>
  <c r="W95" i="9" s="1"/>
  <c r="V108" i="9"/>
  <c r="W108" i="9" s="1"/>
  <c r="W123" i="9"/>
  <c r="T127" i="9"/>
  <c r="V140" i="9"/>
  <c r="W140" i="9" s="1"/>
  <c r="T163" i="9"/>
  <c r="T179" i="9"/>
  <c r="W193" i="9"/>
  <c r="W223" i="9"/>
  <c r="W229" i="9"/>
  <c r="W259" i="9"/>
  <c r="T263" i="9"/>
  <c r="T287" i="9"/>
  <c r="W307" i="9"/>
  <c r="V83" i="9"/>
  <c r="W83" i="9" s="1"/>
  <c r="V88" i="9"/>
  <c r="W88" i="9" s="1"/>
  <c r="T90" i="9"/>
  <c r="V152" i="9"/>
  <c r="W152" i="9" s="1"/>
  <c r="W165" i="9"/>
  <c r="W181" i="9"/>
  <c r="V196" i="9"/>
  <c r="W196" i="9" s="1"/>
  <c r="V208" i="9"/>
  <c r="W208" i="9" s="1"/>
  <c r="V244" i="9"/>
  <c r="W244" i="9" s="1"/>
  <c r="T275" i="9"/>
  <c r="W275" i="9" s="1"/>
  <c r="W283" i="9"/>
  <c r="W295" i="9"/>
  <c r="T299" i="9"/>
  <c r="W299" i="9" s="1"/>
  <c r="W319" i="9"/>
  <c r="V51" i="9"/>
  <c r="W51" i="9" s="1"/>
  <c r="W103" i="9"/>
  <c r="T107" i="9"/>
  <c r="V120" i="9"/>
  <c r="W120" i="9" s="1"/>
  <c r="W135" i="9"/>
  <c r="T139" i="9"/>
  <c r="W139" i="9" s="1"/>
  <c r="T151" i="9"/>
  <c r="W151" i="9" s="1"/>
  <c r="W159" i="9"/>
  <c r="V168" i="9"/>
  <c r="W168" i="9" s="1"/>
  <c r="W184" i="9"/>
  <c r="V232" i="9"/>
  <c r="W232" i="9" s="1"/>
  <c r="V256" i="9"/>
  <c r="W256" i="9" s="1"/>
  <c r="W271" i="9"/>
  <c r="W277" i="9"/>
  <c r="W321" i="9"/>
  <c r="AP1192" i="7"/>
  <c r="AG1192" i="7" s="1"/>
  <c r="Z1192" i="7" s="1"/>
  <c r="AL1195" i="7"/>
  <c r="AE1195" i="7" s="1"/>
  <c r="AP1196" i="7"/>
  <c r="AG1196" i="7" s="1"/>
  <c r="V40" i="9"/>
  <c r="W40" i="9" s="1"/>
  <c r="T63" i="9"/>
  <c r="W63" i="9" s="1"/>
  <c r="W147" i="9"/>
  <c r="T195" i="9"/>
  <c r="W195" i="9" s="1"/>
  <c r="W203" i="9"/>
  <c r="T207" i="9"/>
  <c r="V220" i="9"/>
  <c r="W220" i="9" s="1"/>
  <c r="T243" i="9"/>
  <c r="T313" i="9"/>
  <c r="AQ1192" i="7"/>
  <c r="AH1192" i="7" s="1"/>
  <c r="AM1195" i="7"/>
  <c r="AF1195" i="7" s="1"/>
  <c r="AQ1196" i="7"/>
  <c r="AH1196" i="7" s="1"/>
  <c r="W100" i="9"/>
  <c r="W115" i="9"/>
  <c r="W239" i="9"/>
  <c r="W251" i="9"/>
  <c r="AN1195" i="7"/>
  <c r="W169" i="9"/>
  <c r="W185" i="9"/>
  <c r="W191" i="9"/>
  <c r="W215" i="9"/>
  <c r="T219" i="9"/>
  <c r="W227" i="9"/>
  <c r="W233" i="9"/>
  <c r="W315" i="9"/>
  <c r="V43" i="9"/>
  <c r="W43" i="9" s="1"/>
  <c r="T75" i="9"/>
  <c r="V76" i="9"/>
  <c r="W76" i="9" s="1"/>
  <c r="U84" i="9"/>
  <c r="T99" i="9"/>
  <c r="V112" i="9"/>
  <c r="W112" i="9" s="1"/>
  <c r="W127" i="9"/>
  <c r="T131" i="9"/>
  <c r="W131" i="9" s="1"/>
  <c r="V144" i="9"/>
  <c r="W144" i="9" s="1"/>
  <c r="V156" i="9"/>
  <c r="W156" i="9" s="1"/>
  <c r="W163" i="9"/>
  <c r="V172" i="9"/>
  <c r="W172" i="9" s="1"/>
  <c r="W179" i="9"/>
  <c r="V200" i="9"/>
  <c r="W200" i="9" s="1"/>
  <c r="W221" i="9"/>
  <c r="V248" i="9"/>
  <c r="W248" i="9" s="1"/>
  <c r="W263" i="9"/>
  <c r="T267" i="9"/>
  <c r="W267" i="9" s="1"/>
  <c r="T279" i="9"/>
  <c r="W287" i="9"/>
  <c r="T291" i="9"/>
  <c r="W291" i="9" s="1"/>
  <c r="W304" i="9"/>
  <c r="V79" i="9"/>
  <c r="W79" i="9" s="1"/>
  <c r="T94" i="9"/>
  <c r="W94" i="9" s="1"/>
  <c r="V188" i="9"/>
  <c r="W188" i="9" s="1"/>
  <c r="V212" i="9"/>
  <c r="W212" i="9" s="1"/>
  <c r="V236" i="9"/>
  <c r="W236" i="9" s="1"/>
  <c r="W281" i="9"/>
  <c r="W293" i="9"/>
  <c r="T303" i="9"/>
  <c r="W314" i="9"/>
  <c r="W341" i="9"/>
  <c r="W357" i="9"/>
  <c r="W380" i="9"/>
  <c r="T444" i="9"/>
  <c r="T460" i="9"/>
  <c r="T496" i="9"/>
  <c r="W515" i="9"/>
  <c r="W340" i="9"/>
  <c r="W356" i="9"/>
  <c r="W386" i="9"/>
  <c r="W503" i="9"/>
  <c r="W522" i="9"/>
  <c r="W550" i="9"/>
  <c r="W323" i="9"/>
  <c r="W328" i="9"/>
  <c r="W469" i="9"/>
  <c r="W520" i="9"/>
  <c r="W310" i="9"/>
  <c r="T312" i="9"/>
  <c r="W312" i="9" s="1"/>
  <c r="W326" i="9"/>
  <c r="W344" i="9"/>
  <c r="W360" i="9"/>
  <c r="W377" i="9"/>
  <c r="W390" i="9"/>
  <c r="W400" i="9"/>
  <c r="W416" i="9"/>
  <c r="T468" i="9"/>
  <c r="T500" i="9"/>
  <c r="W519" i="9"/>
  <c r="W538" i="9"/>
  <c r="W548" i="9"/>
  <c r="W566" i="9"/>
  <c r="W320" i="9"/>
  <c r="W409" i="9"/>
  <c r="W415" i="9"/>
  <c r="W425" i="9"/>
  <c r="W437" i="9"/>
  <c r="W444" i="9"/>
  <c r="W460" i="9"/>
  <c r="W473" i="9"/>
  <c r="W479" i="9"/>
  <c r="W489" i="9"/>
  <c r="W496" i="9"/>
  <c r="W507" i="9"/>
  <c r="W514" i="9"/>
  <c r="W318" i="9"/>
  <c r="W342" i="9"/>
  <c r="W349" i="9"/>
  <c r="W358" i="9"/>
  <c r="W365" i="9"/>
  <c r="W372" i="9"/>
  <c r="T392" i="9"/>
  <c r="W432" i="9"/>
  <c r="W453" i="9"/>
  <c r="W536" i="9"/>
  <c r="W564" i="9"/>
  <c r="W308" i="9"/>
  <c r="W348" i="9"/>
  <c r="W364" i="9"/>
  <c r="W381" i="9"/>
  <c r="W404" i="9"/>
  <c r="W420" i="9"/>
  <c r="W464" i="9"/>
  <c r="W484" i="9"/>
  <c r="W524" i="9"/>
  <c r="W535" i="9"/>
  <c r="W542" i="9"/>
  <c r="W552" i="9"/>
  <c r="W374" i="9"/>
  <c r="W388" i="9"/>
  <c r="W413" i="9"/>
  <c r="W448" i="9"/>
  <c r="W477" i="9"/>
  <c r="W512" i="9"/>
  <c r="V309" i="9"/>
  <c r="W309" i="9" s="1"/>
  <c r="W330" i="9"/>
  <c r="T396" i="9"/>
  <c r="W396" i="9" s="1"/>
  <c r="T412" i="9"/>
  <c r="W412" i="9" s="1"/>
  <c r="W429" i="9"/>
  <c r="W441" i="9"/>
  <c r="W447" i="9"/>
  <c r="W457" i="9"/>
  <c r="W468" i="9"/>
  <c r="T476" i="9"/>
  <c r="W476" i="9" s="1"/>
  <c r="T492" i="9"/>
  <c r="W492" i="9" s="1"/>
  <c r="W500" i="9"/>
  <c r="W511" i="9"/>
  <c r="T544" i="9"/>
  <c r="W544" i="9" s="1"/>
  <c r="W558" i="9"/>
  <c r="W577" i="9"/>
  <c r="W337" i="9"/>
  <c r="W346" i="9"/>
  <c r="W353" i="9"/>
  <c r="W362" i="9"/>
  <c r="W369" i="9"/>
  <c r="W376" i="9"/>
  <c r="W422" i="9"/>
  <c r="T428" i="9"/>
  <c r="W428" i="9" s="1"/>
  <c r="T440" i="9"/>
  <c r="W467" i="9"/>
  <c r="W499" i="9"/>
  <c r="W540" i="9"/>
  <c r="W324" i="9"/>
  <c r="W336" i="9"/>
  <c r="W352" i="9"/>
  <c r="W368" i="9"/>
  <c r="W398" i="9"/>
  <c r="W408" i="9"/>
  <c r="W424" i="9"/>
  <c r="W435" i="9"/>
  <c r="W436" i="9"/>
  <c r="W472" i="9"/>
  <c r="W488" i="9"/>
  <c r="W539" i="9"/>
  <c r="W546" i="9"/>
  <c r="W568" i="9"/>
  <c r="W579" i="9"/>
  <c r="W316" i="9"/>
  <c r="W392" i="9"/>
  <c r="W487" i="9"/>
  <c r="T520" i="9"/>
  <c r="W528" i="9"/>
  <c r="W556" i="9"/>
  <c r="W567" i="9"/>
  <c r="T316" i="9"/>
  <c r="W322" i="9"/>
  <c r="W331" i="9"/>
  <c r="W334" i="9"/>
  <c r="T384" i="9"/>
  <c r="W384" i="9" s="1"/>
  <c r="W391" i="9"/>
  <c r="T400" i="9"/>
  <c r="T416" i="9"/>
  <c r="W445" i="9"/>
  <c r="W452" i="9"/>
  <c r="T480" i="9"/>
  <c r="W480" i="9" s="1"/>
  <c r="T508" i="9"/>
  <c r="W508" i="9" s="1"/>
  <c r="W516" i="9"/>
  <c r="W527" i="9"/>
  <c r="T548" i="9"/>
  <c r="W555" i="9"/>
  <c r="W597" i="9"/>
  <c r="W605" i="9"/>
  <c r="U614" i="9"/>
  <c r="W614" i="9" s="1"/>
  <c r="W618" i="9"/>
  <c r="W634" i="9"/>
  <c r="W698" i="9"/>
  <c r="W731" i="9"/>
  <c r="W750" i="9"/>
  <c r="W817" i="9"/>
  <c r="W585" i="9"/>
  <c r="W686" i="9"/>
  <c r="W738" i="9"/>
  <c r="W798" i="9"/>
  <c r="W824" i="9"/>
  <c r="U578" i="9"/>
  <c r="V588" i="9"/>
  <c r="W588" i="9" s="1"/>
  <c r="W591" i="9"/>
  <c r="W674" i="9"/>
  <c r="W691" i="9"/>
  <c r="W771" i="9"/>
  <c r="W804" i="9"/>
  <c r="W818" i="9"/>
  <c r="W831" i="9"/>
  <c r="W838" i="9"/>
  <c r="T598" i="9"/>
  <c r="W598" i="9" s="1"/>
  <c r="W607" i="9"/>
  <c r="W662" i="9"/>
  <c r="W679" i="9"/>
  <c r="W726" i="9"/>
  <c r="W778" i="9"/>
  <c r="W599" i="9"/>
  <c r="W623" i="9"/>
  <c r="W650" i="9"/>
  <c r="W689" i="9"/>
  <c r="W714" i="9"/>
  <c r="W741" i="9"/>
  <c r="W609" i="9"/>
  <c r="W677" i="9"/>
  <c r="W729" i="9"/>
  <c r="W786" i="9"/>
  <c r="W802" i="9"/>
  <c r="W814" i="9"/>
  <c r="W821" i="9"/>
  <c r="W581" i="9"/>
  <c r="W593" i="9"/>
  <c r="U598" i="9"/>
  <c r="V604" i="9"/>
  <c r="W604" i="9" s="1"/>
  <c r="W625" i="9"/>
  <c r="W665" i="9"/>
  <c r="W742" i="9"/>
  <c r="W808" i="9"/>
  <c r="W653" i="9"/>
  <c r="W717" i="9"/>
  <c r="W723" i="9"/>
  <c r="W769" i="9"/>
  <c r="W803" i="9"/>
  <c r="W828" i="9"/>
  <c r="W864" i="9"/>
  <c r="W601" i="9"/>
  <c r="W611" i="9"/>
  <c r="W626" i="9"/>
  <c r="W627" i="9"/>
  <c r="W641" i="9"/>
  <c r="W666" i="9"/>
  <c r="W683" i="9"/>
  <c r="W705" i="9"/>
  <c r="W757" i="9"/>
  <c r="W763" i="9"/>
  <c r="W790" i="9"/>
  <c r="W654" i="9"/>
  <c r="W693" i="9"/>
  <c r="W718" i="9"/>
  <c r="W745" i="9"/>
  <c r="W832" i="9"/>
  <c r="W613" i="9"/>
  <c r="W629" i="9"/>
  <c r="W642" i="9"/>
  <c r="W681" i="9"/>
  <c r="W706" i="9"/>
  <c r="W733" i="9"/>
  <c r="W739" i="9"/>
  <c r="W758" i="9"/>
  <c r="W792" i="9"/>
  <c r="W595" i="9"/>
  <c r="W669" i="9"/>
  <c r="W694" i="9"/>
  <c r="W746" i="9"/>
  <c r="W799" i="9"/>
  <c r="W812" i="9"/>
  <c r="W813" i="9"/>
  <c r="W589" i="9"/>
  <c r="W608" i="9"/>
  <c r="W615" i="9"/>
  <c r="W630" i="9"/>
  <c r="W631" i="9"/>
  <c r="W657" i="9"/>
  <c r="W682" i="9"/>
  <c r="W721" i="9"/>
  <c r="W727" i="9"/>
  <c r="W734" i="9"/>
  <c r="W773" i="9"/>
  <c r="W779" i="9"/>
  <c r="W820" i="9"/>
  <c r="W839" i="9"/>
  <c r="V569" i="9"/>
  <c r="W569" i="9" s="1"/>
  <c r="U594" i="9"/>
  <c r="W594" i="9" s="1"/>
  <c r="W603" i="9"/>
  <c r="W645" i="9"/>
  <c r="W670" i="9"/>
  <c r="W687" i="9"/>
  <c r="W709" i="9"/>
  <c r="W761" i="9"/>
  <c r="W767" i="9"/>
  <c r="W801" i="9"/>
  <c r="W14" i="11"/>
  <c r="W852" i="9"/>
  <c r="U870" i="9"/>
  <c r="W870" i="9" s="1"/>
  <c r="W893" i="9"/>
  <c r="U997" i="9"/>
  <c r="W997" i="9" s="1"/>
  <c r="W1001" i="9"/>
  <c r="W1010" i="9"/>
  <c r="W1031" i="9"/>
  <c r="U1067" i="9"/>
  <c r="W1067" i="9" s="1"/>
  <c r="W881" i="9"/>
  <c r="W953" i="9"/>
  <c r="W963" i="9"/>
  <c r="W1004" i="9"/>
  <c r="V809" i="9"/>
  <c r="W809" i="9" s="1"/>
  <c r="W868" i="9"/>
  <c r="T881" i="9"/>
  <c r="U893" i="9"/>
  <c r="W905" i="9"/>
  <c r="W927" i="9"/>
  <c r="U940" i="9"/>
  <c r="W940" i="9" s="1"/>
  <c r="W954" i="9"/>
  <c r="W962" i="9"/>
  <c r="U1022" i="9"/>
  <c r="U1029" i="9"/>
  <c r="V805" i="9"/>
  <c r="W805" i="9" s="1"/>
  <c r="U840" i="9"/>
  <c r="W840" i="9" s="1"/>
  <c r="W933" i="9"/>
  <c r="W946" i="9"/>
  <c r="W974" i="9"/>
  <c r="W976" i="9"/>
  <c r="W1026" i="9"/>
  <c r="W1036" i="9"/>
  <c r="U1092" i="9"/>
  <c r="W879" i="9"/>
  <c r="W926" i="9"/>
  <c r="W1069" i="9"/>
  <c r="W836" i="9"/>
  <c r="W863" i="9"/>
  <c r="W886" i="9"/>
  <c r="W900" i="9"/>
  <c r="W902" i="9"/>
  <c r="W911" i="9"/>
  <c r="W949" i="9"/>
  <c r="W992" i="9"/>
  <c r="W1008" i="9"/>
  <c r="W1097" i="9"/>
  <c r="V793" i="9"/>
  <c r="W793" i="9" s="1"/>
  <c r="W856" i="9"/>
  <c r="W872" i="9"/>
  <c r="W901" i="9"/>
  <c r="W913" i="9"/>
  <c r="W921" i="9"/>
  <c r="U926" i="9"/>
  <c r="W929" i="9"/>
  <c r="W931" i="9"/>
  <c r="W951" i="9"/>
  <c r="V987" i="9"/>
  <c r="W987" i="9" s="1"/>
  <c r="T1007" i="9"/>
  <c r="W1070" i="9"/>
  <c r="W1111" i="9"/>
  <c r="V789" i="9"/>
  <c r="W789" i="9" s="1"/>
  <c r="V837" i="9"/>
  <c r="W837" i="9" s="1"/>
  <c r="T839" i="9"/>
  <c r="V848" i="9"/>
  <c r="W848" i="9" s="1"/>
  <c r="W858" i="9"/>
  <c r="W874" i="9"/>
  <c r="W895" i="9"/>
  <c r="W922" i="9"/>
  <c r="W960" i="9"/>
  <c r="W1099" i="9"/>
  <c r="W1151" i="9"/>
  <c r="U862" i="9"/>
  <c r="U878" i="9"/>
  <c r="T885" i="9"/>
  <c r="W885" i="9" s="1"/>
  <c r="W914" i="9"/>
  <c r="W942" i="9"/>
  <c r="W944" i="9"/>
  <c r="T986" i="9"/>
  <c r="W986" i="9" s="1"/>
  <c r="W1024" i="9"/>
  <c r="W1045" i="9"/>
  <c r="V781" i="9"/>
  <c r="W781" i="9" s="1"/>
  <c r="V833" i="9"/>
  <c r="W833" i="9" s="1"/>
  <c r="V845" i="9"/>
  <c r="W845" i="9" s="1"/>
  <c r="W867" i="9"/>
  <c r="T896" i="9"/>
  <c r="W896" i="9" s="1"/>
  <c r="W955" i="9"/>
  <c r="W1033" i="9"/>
  <c r="W1047" i="9"/>
  <c r="W860" i="9"/>
  <c r="W876" i="9"/>
  <c r="W882" i="9"/>
  <c r="W889" i="9"/>
  <c r="W898" i="9"/>
  <c r="W908" i="9"/>
  <c r="W935" i="9"/>
  <c r="W973" i="9"/>
  <c r="W990" i="9"/>
  <c r="W1041" i="9"/>
  <c r="W1074" i="9"/>
  <c r="W1075" i="9"/>
  <c r="V829" i="9"/>
  <c r="W829" i="9" s="1"/>
  <c r="W862" i="9"/>
  <c r="W878" i="9"/>
  <c r="W899" i="9"/>
  <c r="W919" i="9"/>
  <c r="W975" i="9"/>
  <c r="W1005" i="9"/>
  <c r="T1018" i="9"/>
  <c r="W1018" i="9" s="1"/>
  <c r="W1049" i="9"/>
  <c r="W1061" i="9"/>
  <c r="W1084" i="9"/>
  <c r="W1103" i="9"/>
  <c r="W928" i="9"/>
  <c r="T947" i="9"/>
  <c r="W977" i="9"/>
  <c r="W1007" i="9"/>
  <c r="W1013" i="9"/>
  <c r="W1102" i="9"/>
  <c r="V825" i="9"/>
  <c r="W825" i="9" s="1"/>
  <c r="W871" i="9"/>
  <c r="W884" i="9"/>
  <c r="W887" i="9"/>
  <c r="W910" i="9"/>
  <c r="W912" i="9"/>
  <c r="W959" i="9"/>
  <c r="W966" i="9"/>
  <c r="U972" i="9"/>
  <c r="W972" i="9" s="1"/>
  <c r="W985" i="9"/>
  <c r="W998" i="9"/>
  <c r="W1006" i="9"/>
  <c r="W1022" i="9"/>
  <c r="W1029" i="9"/>
  <c r="W1057" i="9"/>
  <c r="W1062" i="9"/>
  <c r="V983" i="9"/>
  <c r="W983" i="9" s="1"/>
  <c r="V1015" i="9"/>
  <c r="W1015" i="9" s="1"/>
  <c r="W1064" i="9"/>
  <c r="W1118" i="9"/>
  <c r="W1132" i="9"/>
  <c r="W1085" i="9"/>
  <c r="W1146" i="9"/>
  <c r="W1160" i="9"/>
  <c r="W1165" i="9"/>
  <c r="W1205" i="9"/>
  <c r="V915" i="9"/>
  <c r="W915" i="9" s="1"/>
  <c r="V947" i="9"/>
  <c r="W947" i="9" s="1"/>
  <c r="V979" i="9"/>
  <c r="W979" i="9" s="1"/>
  <c r="V1011" i="9"/>
  <c r="W1011" i="9" s="1"/>
  <c r="T1088" i="9"/>
  <c r="W1110" i="9"/>
  <c r="W1124" i="9"/>
  <c r="W1129" i="9"/>
  <c r="T1164" i="9"/>
  <c r="W1164" i="9" s="1"/>
  <c r="W13" i="11"/>
  <c r="V936" i="9"/>
  <c r="W936" i="9" s="1"/>
  <c r="V968" i="9"/>
  <c r="W968" i="9" s="1"/>
  <c r="V1000" i="9"/>
  <c r="W1000" i="9" s="1"/>
  <c r="V1032" i="9"/>
  <c r="W1032" i="9" s="1"/>
  <c r="W1037" i="9"/>
  <c r="V1048" i="9"/>
  <c r="W1053" i="9"/>
  <c r="W1065" i="9"/>
  <c r="V1100" i="9"/>
  <c r="W1100" i="9" s="1"/>
  <c r="T1128" i="9"/>
  <c r="W1157" i="9"/>
  <c r="W1185" i="9"/>
  <c r="W1072" i="9"/>
  <c r="W1116" i="9"/>
  <c r="W1121" i="9"/>
  <c r="W1180" i="9"/>
  <c r="V907" i="9"/>
  <c r="W907" i="9" s="1"/>
  <c r="V932" i="9"/>
  <c r="W932" i="9" s="1"/>
  <c r="W1101" i="9"/>
  <c r="W1108" i="9"/>
  <c r="W1144" i="9"/>
  <c r="W1149" i="9"/>
  <c r="W1197" i="9"/>
  <c r="W15" i="11"/>
  <c r="V939" i="9"/>
  <c r="W939" i="9" s="1"/>
  <c r="V971" i="9"/>
  <c r="W971" i="9" s="1"/>
  <c r="V1003" i="9"/>
  <c r="W1003" i="9" s="1"/>
  <c r="V1060" i="9"/>
  <c r="W1060" i="9" s="1"/>
  <c r="V1080" i="9"/>
  <c r="W1080" i="9" s="1"/>
  <c r="T1104" i="9"/>
  <c r="W1104" i="9" s="1"/>
  <c r="W1113" i="9"/>
  <c r="T1148" i="9"/>
  <c r="W1172" i="9"/>
  <c r="W1177" i="9"/>
  <c r="W1192" i="9"/>
  <c r="W1136" i="9"/>
  <c r="W1141" i="9"/>
  <c r="W1187" i="9"/>
  <c r="W10" i="11"/>
  <c r="W16" i="11"/>
  <c r="W1088" i="9"/>
  <c r="W1204" i="9"/>
  <c r="V891" i="9"/>
  <c r="W891" i="9" s="1"/>
  <c r="V924" i="9"/>
  <c r="W924" i="9" s="1"/>
  <c r="V956" i="9"/>
  <c r="W956" i="9" s="1"/>
  <c r="V988" i="9"/>
  <c r="W988" i="9" s="1"/>
  <c r="V1020" i="9"/>
  <c r="W1020" i="9" s="1"/>
  <c r="T1036" i="9"/>
  <c r="T1052" i="9"/>
  <c r="W1052" i="9" s="1"/>
  <c r="T1084" i="9"/>
  <c r="W1114" i="9"/>
  <c r="W1128" i="9"/>
  <c r="W1133" i="9"/>
  <c r="W1189" i="9"/>
  <c r="V1027" i="9"/>
  <c r="W1027" i="9" s="1"/>
  <c r="W1068" i="9"/>
  <c r="W1089" i="9"/>
  <c r="W1096" i="9"/>
  <c r="W1142" i="9"/>
  <c r="W1156" i="9"/>
  <c r="W1161" i="9"/>
  <c r="W1184" i="9"/>
  <c r="V883" i="9"/>
  <c r="W883" i="9" s="1"/>
  <c r="V920" i="9"/>
  <c r="W920" i="9" s="1"/>
  <c r="V952" i="9"/>
  <c r="W952" i="9" s="1"/>
  <c r="V984" i="9"/>
  <c r="W984" i="9" s="1"/>
  <c r="V1016" i="9"/>
  <c r="W1016" i="9" s="1"/>
  <c r="V1040" i="9"/>
  <c r="W1040" i="9" s="1"/>
  <c r="V1056" i="9"/>
  <c r="W1056" i="9" s="1"/>
  <c r="T1092" i="9"/>
  <c r="W1092" i="9" s="1"/>
  <c r="W1120" i="9"/>
  <c r="W1125" i="9"/>
  <c r="T1160" i="9"/>
  <c r="W1201" i="9"/>
  <c r="W1148" i="9"/>
  <c r="W1196" i="9"/>
  <c r="V916" i="9"/>
  <c r="W916" i="9" s="1"/>
  <c r="V948" i="9"/>
  <c r="W948" i="9" s="1"/>
  <c r="V980" i="9"/>
  <c r="W980" i="9" s="1"/>
  <c r="V1012" i="9"/>
  <c r="W1012" i="9" s="1"/>
  <c r="T1048" i="9"/>
  <c r="V1076" i="9"/>
  <c r="W1076" i="9" s="1"/>
  <c r="T1100" i="9"/>
  <c r="W1112" i="9"/>
  <c r="W1117" i="9"/>
  <c r="T1152" i="9"/>
  <c r="W1152" i="9" s="1"/>
  <c r="W1176" i="9"/>
  <c r="W1181" i="9"/>
  <c r="W1191" i="9"/>
  <c r="Y426" i="7" l="1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2" i="7"/>
  <c r="Z1085" i="7"/>
  <c r="Y1144" i="7"/>
  <c r="Y1176" i="7"/>
  <c r="Y1115" i="7"/>
  <c r="Y1159" i="7"/>
  <c r="Y1078" i="7"/>
  <c r="Z1039" i="7"/>
  <c r="Y1065" i="7"/>
  <c r="Z1018" i="7"/>
  <c r="Y1042" i="7"/>
  <c r="Y993" i="7"/>
  <c r="Z962" i="7"/>
  <c r="Y889" i="7"/>
  <c r="Z924" i="7"/>
  <c r="Z917" i="7"/>
  <c r="Y835" i="7"/>
  <c r="Z870" i="7"/>
  <c r="Y861" i="7"/>
  <c r="Y818" i="7"/>
  <c r="Z828" i="7"/>
  <c r="Y789" i="7"/>
  <c r="Z750" i="7"/>
  <c r="Y746" i="7"/>
  <c r="Z660" i="7"/>
  <c r="Y691" i="7"/>
  <c r="Y625" i="7"/>
  <c r="Y608" i="7"/>
  <c r="Y590" i="7"/>
  <c r="Y645" i="7"/>
  <c r="Y511" i="7"/>
  <c r="Y565" i="7"/>
  <c r="Z512" i="7"/>
  <c r="Z463" i="7"/>
  <c r="Y500" i="7"/>
  <c r="Z536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A81" i="7" s="1"/>
  <c r="AC81" i="7"/>
  <c r="AC75" i="7"/>
  <c r="AB75" i="7"/>
  <c r="AT75" i="7"/>
  <c r="AK75" i="7" s="1"/>
  <c r="AS75" i="7"/>
  <c r="AJ75" i="7" s="1"/>
  <c r="AA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67" i="7"/>
  <c r="AB667" i="7"/>
  <c r="AT667" i="7"/>
  <c r="AK667" i="7" s="1"/>
  <c r="AS667" i="7"/>
  <c r="AJ667" i="7" s="1"/>
  <c r="AT1032" i="7"/>
  <c r="AK1032" i="7" s="1"/>
  <c r="AS1032" i="7"/>
  <c r="AJ1032" i="7" s="1"/>
  <c r="AA1032" i="7" s="1"/>
  <c r="AC1032" i="7"/>
  <c r="AB1032" i="7"/>
  <c r="AS244" i="7"/>
  <c r="AJ244" i="7" s="1"/>
  <c r="AC244" i="7"/>
  <c r="AB244" i="7"/>
  <c r="AT244" i="7"/>
  <c r="AK244" i="7" s="1"/>
  <c r="AS855" i="7"/>
  <c r="AJ855" i="7" s="1"/>
  <c r="AA855" i="7" s="1"/>
  <c r="AB855" i="7"/>
  <c r="AT855" i="7"/>
  <c r="AK855" i="7" s="1"/>
  <c r="AC855" i="7"/>
  <c r="AT1016" i="7"/>
  <c r="AK1016" i="7" s="1"/>
  <c r="AB1016" i="7"/>
  <c r="AS1016" i="7"/>
  <c r="AJ1016" i="7" s="1"/>
  <c r="AA1016" i="7" s="1"/>
  <c r="AC1016" i="7"/>
  <c r="AC1182" i="7"/>
  <c r="AT1182" i="7"/>
  <c r="AK1182" i="7" s="1"/>
  <c r="AS1182" i="7"/>
  <c r="AJ1182" i="7" s="1"/>
  <c r="AB1182" i="7"/>
  <c r="AC233" i="7"/>
  <c r="AT233" i="7"/>
  <c r="AK233" i="7" s="1"/>
  <c r="AB233" i="7"/>
  <c r="AS233" i="7"/>
  <c r="AJ233" i="7" s="1"/>
  <c r="AA233" i="7" s="1"/>
  <c r="AS836" i="7"/>
  <c r="AJ836" i="7" s="1"/>
  <c r="AA836" i="7" s="1"/>
  <c r="AC836" i="7"/>
  <c r="AT836" i="7"/>
  <c r="AK836" i="7" s="1"/>
  <c r="AB836" i="7"/>
  <c r="AS1015" i="7"/>
  <c r="AJ1015" i="7" s="1"/>
  <c r="AA1015" i="7" s="1"/>
  <c r="AC1015" i="7"/>
  <c r="AB1015" i="7"/>
  <c r="AT1015" i="7"/>
  <c r="AK1015" i="7" s="1"/>
  <c r="AC1089" i="7"/>
  <c r="AB1089" i="7"/>
  <c r="AT1089" i="7"/>
  <c r="AK1089" i="7" s="1"/>
  <c r="AS1089" i="7"/>
  <c r="AJ1089" i="7" s="1"/>
  <c r="AA1089" i="7" s="1"/>
  <c r="Z103" i="7"/>
  <c r="AC226" i="7"/>
  <c r="AT226" i="7"/>
  <c r="AK226" i="7" s="1"/>
  <c r="AB226" i="7"/>
  <c r="AS226" i="7"/>
  <c r="AJ226" i="7" s="1"/>
  <c r="AC568" i="7"/>
  <c r="AB568" i="7"/>
  <c r="AT568" i="7"/>
  <c r="AK568" i="7" s="1"/>
  <c r="AS568" i="7"/>
  <c r="AJ568" i="7" s="1"/>
  <c r="AA568" i="7" s="1"/>
  <c r="AB893" i="7"/>
  <c r="AC893" i="7"/>
  <c r="AT893" i="7"/>
  <c r="AK893" i="7" s="1"/>
  <c r="AS893" i="7"/>
  <c r="AJ893" i="7" s="1"/>
  <c r="AC139" i="7"/>
  <c r="AT139" i="7"/>
  <c r="AK139" i="7" s="1"/>
  <c r="AB139" i="7"/>
  <c r="AS139" i="7"/>
  <c r="AJ139" i="7" s="1"/>
  <c r="AA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36" i="7"/>
  <c r="AJ636" i="7" s="1"/>
  <c r="AC636" i="7"/>
  <c r="AB636" i="7"/>
  <c r="AT636" i="7"/>
  <c r="AK636" i="7" s="1"/>
  <c r="AS1029" i="7"/>
  <c r="AJ1029" i="7" s="1"/>
  <c r="AA1029" i="7" s="1"/>
  <c r="AC1029" i="7"/>
  <c r="AB1029" i="7"/>
  <c r="AT1029" i="7"/>
  <c r="AK1029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1" i="7"/>
  <c r="AB691" i="7"/>
  <c r="AT691" i="7"/>
  <c r="AK691" i="7" s="1"/>
  <c r="AS691" i="7"/>
  <c r="AJ691" i="7" s="1"/>
  <c r="AA691" i="7" s="1"/>
  <c r="AS775" i="7"/>
  <c r="AJ775" i="7" s="1"/>
  <c r="AA775" i="7" s="1"/>
  <c r="AB775" i="7"/>
  <c r="AC775" i="7"/>
  <c r="AT775" i="7"/>
  <c r="AK775" i="7" s="1"/>
  <c r="Z74" i="7"/>
  <c r="AT310" i="7"/>
  <c r="AK310" i="7" s="1"/>
  <c r="AB310" i="7"/>
  <c r="AS310" i="7"/>
  <c r="AJ310" i="7" s="1"/>
  <c r="AA310" i="7" s="1"/>
  <c r="AC310" i="7"/>
  <c r="AT607" i="7"/>
  <c r="AK607" i="7" s="1"/>
  <c r="AB607" i="7"/>
  <c r="AS607" i="7"/>
  <c r="AJ607" i="7" s="1"/>
  <c r="AA607" i="7" s="1"/>
  <c r="AC607" i="7"/>
  <c r="AS990" i="7"/>
  <c r="AJ990" i="7" s="1"/>
  <c r="AB990" i="7"/>
  <c r="AC990" i="7"/>
  <c r="AT990" i="7"/>
  <c r="AK990" i="7" s="1"/>
  <c r="AB560" i="7"/>
  <c r="AC560" i="7"/>
  <c r="AT560" i="7"/>
  <c r="AK560" i="7" s="1"/>
  <c r="AS560" i="7"/>
  <c r="AJ560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85" i="7"/>
  <c r="AJ685" i="7" s="1"/>
  <c r="AC685" i="7"/>
  <c r="AB685" i="7"/>
  <c r="AT685" i="7"/>
  <c r="AK685" i="7" s="1"/>
  <c r="Z177" i="7"/>
  <c r="AS674" i="7"/>
  <c r="AJ674" i="7" s="1"/>
  <c r="AC674" i="7"/>
  <c r="AB674" i="7"/>
  <c r="AT674" i="7"/>
  <c r="AK674" i="7" s="1"/>
  <c r="AS740" i="7"/>
  <c r="AJ740" i="7" s="1"/>
  <c r="AA740" i="7" s="1"/>
  <c r="AB740" i="7"/>
  <c r="AT740" i="7"/>
  <c r="AK740" i="7" s="1"/>
  <c r="AC740" i="7"/>
  <c r="AC141" i="7"/>
  <c r="AT141" i="7"/>
  <c r="AK141" i="7" s="1"/>
  <c r="AB141" i="7"/>
  <c r="AS141" i="7"/>
  <c r="AJ141" i="7" s="1"/>
  <c r="AA141" i="7" s="1"/>
  <c r="AS396" i="7"/>
  <c r="AJ396" i="7" s="1"/>
  <c r="AC396" i="7"/>
  <c r="AT396" i="7"/>
  <c r="AK396" i="7" s="1"/>
  <c r="AB396" i="7"/>
  <c r="AS693" i="7"/>
  <c r="AJ693" i="7" s="1"/>
  <c r="AC693" i="7"/>
  <c r="AB693" i="7"/>
  <c r="AT693" i="7"/>
  <c r="AK693" i="7" s="1"/>
  <c r="AT1076" i="7"/>
  <c r="AK1076" i="7" s="1"/>
  <c r="AC1076" i="7"/>
  <c r="AS1076" i="7"/>
  <c r="AJ1076" i="7" s="1"/>
  <c r="AB1076" i="7"/>
  <c r="AT301" i="7"/>
  <c r="AK301" i="7" s="1"/>
  <c r="AC301" i="7"/>
  <c r="AS301" i="7"/>
  <c r="AJ301" i="7" s="1"/>
  <c r="AB301" i="7"/>
  <c r="AS457" i="7"/>
  <c r="AJ457" i="7" s="1"/>
  <c r="AA457" i="7" s="1"/>
  <c r="AC457" i="7"/>
  <c r="AB457" i="7"/>
  <c r="AT457" i="7"/>
  <c r="AK457" i="7" s="1"/>
  <c r="AT209" i="7"/>
  <c r="AK209" i="7" s="1"/>
  <c r="AC209" i="7"/>
  <c r="AS209" i="7"/>
  <c r="AJ209" i="7" s="1"/>
  <c r="AA209" i="7" s="1"/>
  <c r="AB209" i="7"/>
  <c r="AS830" i="7"/>
  <c r="AJ830" i="7" s="1"/>
  <c r="AA830" i="7" s="1"/>
  <c r="AC830" i="7"/>
  <c r="AT830" i="7"/>
  <c r="AK830" i="7" s="1"/>
  <c r="AB830" i="7"/>
  <c r="AT968" i="7"/>
  <c r="AK968" i="7" s="1"/>
  <c r="AB968" i="7"/>
  <c r="AS968" i="7"/>
  <c r="AJ968" i="7" s="1"/>
  <c r="AC968" i="7"/>
  <c r="AT1070" i="7"/>
  <c r="AK1070" i="7" s="1"/>
  <c r="AC1070" i="7"/>
  <c r="AS1070" i="7"/>
  <c r="AJ1070" i="7" s="1"/>
  <c r="AA1070" i="7" s="1"/>
  <c r="AB1070" i="7"/>
  <c r="AS100" i="7"/>
  <c r="AJ100" i="7" s="1"/>
  <c r="AC100" i="7"/>
  <c r="AT100" i="7"/>
  <c r="AK100" i="7" s="1"/>
  <c r="AB100" i="7"/>
  <c r="AT531" i="7"/>
  <c r="AK531" i="7" s="1"/>
  <c r="AS531" i="7"/>
  <c r="AJ531" i="7" s="1"/>
  <c r="AC531" i="7"/>
  <c r="AB531" i="7"/>
  <c r="AC920" i="7"/>
  <c r="AT920" i="7"/>
  <c r="AK920" i="7" s="1"/>
  <c r="AB920" i="7"/>
  <c r="AS920" i="7"/>
  <c r="AJ920" i="7" s="1"/>
  <c r="AA920" i="7" s="1"/>
  <c r="U5" i="11"/>
  <c r="W5" i="11" s="1"/>
  <c r="AT206" i="7"/>
  <c r="AK206" i="7" s="1"/>
  <c r="AC206" i="7"/>
  <c r="AB206" i="7"/>
  <c r="AS206" i="7"/>
  <c r="AJ206" i="7" s="1"/>
  <c r="AA206" i="7" s="1"/>
  <c r="AT553" i="7"/>
  <c r="AK553" i="7" s="1"/>
  <c r="AS553" i="7"/>
  <c r="AJ553" i="7" s="1"/>
  <c r="AA553" i="7" s="1"/>
  <c r="AC553" i="7"/>
  <c r="AB553" i="7"/>
  <c r="AS919" i="7"/>
  <c r="AJ919" i="7" s="1"/>
  <c r="AA919" i="7" s="1"/>
  <c r="AC919" i="7"/>
  <c r="AB919" i="7"/>
  <c r="AT919" i="7"/>
  <c r="AK919" i="7" s="1"/>
  <c r="AT193" i="7"/>
  <c r="AK193" i="7" s="1"/>
  <c r="AC193" i="7"/>
  <c r="AB193" i="7"/>
  <c r="AS193" i="7"/>
  <c r="AJ193" i="7" s="1"/>
  <c r="AA193" i="7" s="1"/>
  <c r="AT264" i="7"/>
  <c r="AK264" i="7" s="1"/>
  <c r="AC264" i="7"/>
  <c r="AS264" i="7"/>
  <c r="AJ264" i="7" s="1"/>
  <c r="AB264" i="7"/>
  <c r="AC857" i="7"/>
  <c r="AB857" i="7"/>
  <c r="AT857" i="7"/>
  <c r="AK857" i="7" s="1"/>
  <c r="AS857" i="7"/>
  <c r="AJ857" i="7" s="1"/>
  <c r="AA857" i="7" s="1"/>
  <c r="AT972" i="7"/>
  <c r="AK972" i="7" s="1"/>
  <c r="AC972" i="7"/>
  <c r="AB972" i="7"/>
  <c r="AS972" i="7"/>
  <c r="AJ972" i="7" s="1"/>
  <c r="AS1189" i="7"/>
  <c r="AJ1189" i="7" s="1"/>
  <c r="AC1189" i="7"/>
  <c r="AB1189" i="7"/>
  <c r="AT1189" i="7"/>
  <c r="AK1189" i="7" s="1"/>
  <c r="AT617" i="7"/>
  <c r="AK617" i="7" s="1"/>
  <c r="AS617" i="7"/>
  <c r="AJ617" i="7" s="1"/>
  <c r="AA617" i="7" s="1"/>
  <c r="AC617" i="7"/>
  <c r="AB617" i="7"/>
  <c r="AT744" i="7"/>
  <c r="AK744" i="7" s="1"/>
  <c r="AC744" i="7"/>
  <c r="AS744" i="7"/>
  <c r="AJ744" i="7" s="1"/>
  <c r="AA744" i="7" s="1"/>
  <c r="AB744" i="7"/>
  <c r="AT792" i="7"/>
  <c r="AK792" i="7" s="1"/>
  <c r="AC792" i="7"/>
  <c r="AS792" i="7"/>
  <c r="AJ792" i="7" s="1"/>
  <c r="AB792" i="7"/>
  <c r="AT907" i="7"/>
  <c r="AK907" i="7" s="1"/>
  <c r="AC907" i="7"/>
  <c r="AS907" i="7"/>
  <c r="AJ907" i="7" s="1"/>
  <c r="AB907" i="7"/>
  <c r="AS1022" i="7"/>
  <c r="AJ1022" i="7" s="1"/>
  <c r="AA1022" i="7" s="1"/>
  <c r="AC1022" i="7"/>
  <c r="AB1022" i="7"/>
  <c r="AT1022" i="7"/>
  <c r="AK1022" i="7" s="1"/>
  <c r="AS1114" i="7"/>
  <c r="AJ1114" i="7" s="1"/>
  <c r="AC1114" i="7"/>
  <c r="AB1114" i="7"/>
  <c r="AT1114" i="7"/>
  <c r="AK1114" i="7" s="1"/>
  <c r="AS376" i="7"/>
  <c r="AJ376" i="7" s="1"/>
  <c r="AA376" i="7" s="1"/>
  <c r="AC376" i="7"/>
  <c r="AB376" i="7"/>
  <c r="AT376" i="7"/>
  <c r="AK376" i="7" s="1"/>
  <c r="AT450" i="7"/>
  <c r="AK450" i="7" s="1"/>
  <c r="AS450" i="7"/>
  <c r="AJ450" i="7" s="1"/>
  <c r="AC450" i="7"/>
  <c r="AB450" i="7"/>
  <c r="AS826" i="7"/>
  <c r="AJ826" i="7" s="1"/>
  <c r="AA826" i="7" s="1"/>
  <c r="AC826" i="7"/>
  <c r="AB826" i="7"/>
  <c r="AT826" i="7"/>
  <c r="AK826" i="7" s="1"/>
  <c r="AS1194" i="7"/>
  <c r="AJ1194" i="7" s="1"/>
  <c r="AC1194" i="7"/>
  <c r="AB1194" i="7"/>
  <c r="AT1194" i="7"/>
  <c r="AK1194" i="7" s="1"/>
  <c r="AC654" i="7"/>
  <c r="AT654" i="7"/>
  <c r="AK654" i="7" s="1"/>
  <c r="AB654" i="7"/>
  <c r="AS654" i="7"/>
  <c r="AJ654" i="7" s="1"/>
  <c r="AA654" i="7" s="1"/>
  <c r="AT738" i="7"/>
  <c r="AK738" i="7" s="1"/>
  <c r="AC738" i="7"/>
  <c r="AS738" i="7"/>
  <c r="AJ738" i="7" s="1"/>
  <c r="AB738" i="7"/>
  <c r="AT515" i="7"/>
  <c r="AK515" i="7" s="1"/>
  <c r="AC515" i="7"/>
  <c r="AS515" i="7"/>
  <c r="AJ515" i="7" s="1"/>
  <c r="AB515" i="7"/>
  <c r="AS367" i="7"/>
  <c r="AJ367" i="7" s="1"/>
  <c r="AA367" i="7" s="1"/>
  <c r="AC367" i="7"/>
  <c r="AT367" i="7"/>
  <c r="AK367" i="7" s="1"/>
  <c r="AB367" i="7"/>
  <c r="AS339" i="7"/>
  <c r="AJ339" i="7" s="1"/>
  <c r="AA339" i="7" s="1"/>
  <c r="AC339" i="7"/>
  <c r="AT339" i="7"/>
  <c r="AK339" i="7" s="1"/>
  <c r="AB339" i="7"/>
  <c r="Y1171" i="7"/>
  <c r="Z1102" i="7"/>
  <c r="Z1064" i="7"/>
  <c r="Z998" i="7"/>
  <c r="Z867" i="7"/>
  <c r="Y821" i="7"/>
  <c r="Z820" i="7"/>
  <c r="Y845" i="7"/>
  <c r="Z825" i="7"/>
  <c r="Z837" i="7"/>
  <c r="Y799" i="7"/>
  <c r="Y721" i="7"/>
  <c r="Y686" i="7"/>
  <c r="Y733" i="7"/>
  <c r="Y646" i="7"/>
  <c r="Y603" i="7"/>
  <c r="Y601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A12" i="7" s="1"/>
  <c r="AS148" i="7"/>
  <c r="AJ148" i="7" s="1"/>
  <c r="AA148" i="7" s="1"/>
  <c r="AC148" i="7"/>
  <c r="AB148" i="7"/>
  <c r="AT148" i="7"/>
  <c r="AK148" i="7" s="1"/>
  <c r="AT398" i="7"/>
  <c r="AK398" i="7" s="1"/>
  <c r="AS398" i="7"/>
  <c r="AJ398" i="7" s="1"/>
  <c r="AA398" i="7" s="1"/>
  <c r="AC398" i="7"/>
  <c r="AB398" i="7"/>
  <c r="AT695" i="7"/>
  <c r="AK695" i="7" s="1"/>
  <c r="AS695" i="7"/>
  <c r="AJ695" i="7" s="1"/>
  <c r="AC695" i="7"/>
  <c r="AB695" i="7"/>
  <c r="AS1101" i="7"/>
  <c r="AJ1101" i="7" s="1"/>
  <c r="AC1101" i="7"/>
  <c r="AB1101" i="7"/>
  <c r="AT1101" i="7"/>
  <c r="AK1101" i="7" s="1"/>
  <c r="AS272" i="7"/>
  <c r="AJ272" i="7" s="1"/>
  <c r="AA272" i="7" s="1"/>
  <c r="AB272" i="7"/>
  <c r="AC272" i="7"/>
  <c r="AT272" i="7"/>
  <c r="AK272" i="7" s="1"/>
  <c r="AT911" i="7"/>
  <c r="AK911" i="7" s="1"/>
  <c r="AC911" i="7"/>
  <c r="AS911" i="7"/>
  <c r="AJ911" i="7" s="1"/>
  <c r="AB911" i="7"/>
  <c r="AC1026" i="7"/>
  <c r="AB1026" i="7"/>
  <c r="AT1026" i="7"/>
  <c r="AK1026" i="7" s="1"/>
  <c r="AS1026" i="7"/>
  <c r="AJ1026" i="7" s="1"/>
  <c r="AS1095" i="7"/>
  <c r="AJ1095" i="7" s="1"/>
  <c r="AC1095" i="7"/>
  <c r="AB1095" i="7"/>
  <c r="AT1095" i="7"/>
  <c r="AK1095" i="7" s="1"/>
  <c r="AS271" i="7"/>
  <c r="AJ271" i="7" s="1"/>
  <c r="AC271" i="7"/>
  <c r="AT271" i="7"/>
  <c r="AK271" i="7" s="1"/>
  <c r="AB271" i="7"/>
  <c r="AT864" i="7"/>
  <c r="AK864" i="7" s="1"/>
  <c r="AC864" i="7"/>
  <c r="AS864" i="7"/>
  <c r="AJ864" i="7" s="1"/>
  <c r="AB864" i="7"/>
  <c r="AS1043" i="7"/>
  <c r="AJ1043" i="7" s="1"/>
  <c r="AA1043" i="7" s="1"/>
  <c r="AC1043" i="7"/>
  <c r="AT1043" i="7"/>
  <c r="AK1043" i="7" s="1"/>
  <c r="AB1043" i="7"/>
  <c r="AS1153" i="7"/>
  <c r="AJ1153" i="7" s="1"/>
  <c r="AC1153" i="7"/>
  <c r="AB1153" i="7"/>
  <c r="AT1153" i="7"/>
  <c r="AK1153" i="7" s="1"/>
  <c r="Y54" i="7"/>
  <c r="Y16" i="7"/>
  <c r="AT282" i="7"/>
  <c r="AK282" i="7" s="1"/>
  <c r="AC282" i="7"/>
  <c r="AS282" i="7"/>
  <c r="AJ282" i="7" s="1"/>
  <c r="AB282" i="7"/>
  <c r="AS519" i="7"/>
  <c r="AJ519" i="7" s="1"/>
  <c r="AB519" i="7"/>
  <c r="AC519" i="7"/>
  <c r="AT519" i="7"/>
  <c r="AK519" i="7" s="1"/>
  <c r="AS870" i="7"/>
  <c r="AJ870" i="7" s="1"/>
  <c r="AC870" i="7"/>
  <c r="AT870" i="7"/>
  <c r="AK870" i="7" s="1"/>
  <c r="AB870" i="7"/>
  <c r="AT111" i="7"/>
  <c r="AK111" i="7" s="1"/>
  <c r="AB111" i="7"/>
  <c r="AS111" i="7"/>
  <c r="AJ111" i="7" s="1"/>
  <c r="AA111" i="7" s="1"/>
  <c r="AC111" i="7"/>
  <c r="AS384" i="7"/>
  <c r="AJ384" i="7" s="1"/>
  <c r="AA384" i="7" s="1"/>
  <c r="AC384" i="7"/>
  <c r="AB384" i="7"/>
  <c r="AT384" i="7"/>
  <c r="AK384" i="7" s="1"/>
  <c r="AT117" i="7"/>
  <c r="AK117" i="7" s="1"/>
  <c r="AB117" i="7"/>
  <c r="AS117" i="7"/>
  <c r="AJ117" i="7" s="1"/>
  <c r="AA117" i="7" s="1"/>
  <c r="AC117" i="7"/>
  <c r="AT101" i="7"/>
  <c r="AK101" i="7" s="1"/>
  <c r="AB101" i="7"/>
  <c r="AS101" i="7"/>
  <c r="AJ101" i="7" s="1"/>
  <c r="AA101" i="7" s="1"/>
  <c r="AC101" i="7"/>
  <c r="AS140" i="7"/>
  <c r="AJ140" i="7" s="1"/>
  <c r="AC140" i="7"/>
  <c r="AB140" i="7"/>
  <c r="AT140" i="7"/>
  <c r="AK140" i="7" s="1"/>
  <c r="AS372" i="7"/>
  <c r="AJ372" i="7" s="1"/>
  <c r="AA372" i="7" s="1"/>
  <c r="AC372" i="7"/>
  <c r="AT372" i="7"/>
  <c r="AK372" i="7" s="1"/>
  <c r="AB372" i="7"/>
  <c r="AS664" i="7"/>
  <c r="AJ664" i="7" s="1"/>
  <c r="AC664" i="7"/>
  <c r="AB664" i="7"/>
  <c r="AT664" i="7"/>
  <c r="AK664" i="7" s="1"/>
  <c r="AT1052" i="7"/>
  <c r="AK1052" i="7" s="1"/>
  <c r="AC1052" i="7"/>
  <c r="AS1052" i="7"/>
  <c r="AJ1052" i="7" s="1"/>
  <c r="AA1052" i="7" s="1"/>
  <c r="AB1052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A466" i="7" s="1"/>
  <c r="AT663" i="7"/>
  <c r="AK663" i="7" s="1"/>
  <c r="AS663" i="7"/>
  <c r="AJ663" i="7" s="1"/>
  <c r="AC663" i="7"/>
  <c r="AB663" i="7"/>
  <c r="Y72" i="7"/>
  <c r="AS287" i="7"/>
  <c r="AJ287" i="7" s="1"/>
  <c r="AC287" i="7"/>
  <c r="AT287" i="7"/>
  <c r="AK287" i="7" s="1"/>
  <c r="AB287" i="7"/>
  <c r="AC643" i="7"/>
  <c r="AT643" i="7"/>
  <c r="AK643" i="7" s="1"/>
  <c r="AB643" i="7"/>
  <c r="AS643" i="7"/>
  <c r="AJ643" i="7" s="1"/>
  <c r="AA643" i="7" s="1"/>
  <c r="AS1059" i="7"/>
  <c r="AJ1059" i="7" s="1"/>
  <c r="AC1059" i="7"/>
  <c r="AT1059" i="7"/>
  <c r="AK1059" i="7" s="1"/>
  <c r="AB1059" i="7"/>
  <c r="AS537" i="7"/>
  <c r="AJ537" i="7" s="1"/>
  <c r="AB537" i="7"/>
  <c r="AT537" i="7"/>
  <c r="AK537" i="7" s="1"/>
  <c r="AC537" i="7"/>
  <c r="AT427" i="7"/>
  <c r="AK427" i="7" s="1"/>
  <c r="AS427" i="7"/>
  <c r="AJ427" i="7" s="1"/>
  <c r="AA427" i="7" s="1"/>
  <c r="AC427" i="7"/>
  <c r="AB427" i="7"/>
  <c r="AC442" i="7"/>
  <c r="AB442" i="7"/>
  <c r="AT442" i="7"/>
  <c r="AK442" i="7" s="1"/>
  <c r="AS442" i="7"/>
  <c r="AJ442" i="7" s="1"/>
  <c r="AA442" i="7" s="1"/>
  <c r="AC634" i="7"/>
  <c r="AT634" i="7"/>
  <c r="AK634" i="7" s="1"/>
  <c r="AB634" i="7"/>
  <c r="AS634" i="7"/>
  <c r="AJ634" i="7" s="1"/>
  <c r="Z169" i="7"/>
  <c r="AT53" i="7"/>
  <c r="AK53" i="7" s="1"/>
  <c r="AC53" i="7"/>
  <c r="AS53" i="7"/>
  <c r="AJ53" i="7" s="1"/>
  <c r="AB53" i="7"/>
  <c r="AS656" i="7"/>
  <c r="AJ656" i="7" s="1"/>
  <c r="AA656" i="7" s="1"/>
  <c r="AC656" i="7"/>
  <c r="AB656" i="7"/>
  <c r="AT656" i="7"/>
  <c r="AK656" i="7" s="1"/>
  <c r="AS763" i="7"/>
  <c r="AJ763" i="7" s="1"/>
  <c r="AA763" i="7" s="1"/>
  <c r="AC763" i="7"/>
  <c r="AB763" i="7"/>
  <c r="AT763" i="7"/>
  <c r="AK763" i="7" s="1"/>
  <c r="AS118" i="7"/>
  <c r="AJ118" i="7" s="1"/>
  <c r="AA118" i="7" s="1"/>
  <c r="AC118" i="7"/>
  <c r="AB118" i="7"/>
  <c r="AT118" i="7"/>
  <c r="AK118" i="7" s="1"/>
  <c r="AS508" i="7"/>
  <c r="AJ508" i="7" s="1"/>
  <c r="AA508" i="7" s="1"/>
  <c r="AB508" i="7"/>
  <c r="AT508" i="7"/>
  <c r="AK508" i="7" s="1"/>
  <c r="AC508" i="7"/>
  <c r="AS721" i="7"/>
  <c r="AJ721" i="7" s="1"/>
  <c r="AA721" i="7" s="1"/>
  <c r="AC721" i="7"/>
  <c r="AT721" i="7"/>
  <c r="AK721" i="7" s="1"/>
  <c r="AB721" i="7"/>
  <c r="AS1145" i="7"/>
  <c r="AJ1145" i="7" s="1"/>
  <c r="AA1145" i="7" s="1"/>
  <c r="AC1145" i="7"/>
  <c r="AB1145" i="7"/>
  <c r="AT1145" i="7"/>
  <c r="AK1145" i="7" s="1"/>
  <c r="AC337" i="7"/>
  <c r="AB337" i="7"/>
  <c r="AT337" i="7"/>
  <c r="AK337" i="7" s="1"/>
  <c r="AS337" i="7"/>
  <c r="AJ337" i="7" s="1"/>
  <c r="AS411" i="7"/>
  <c r="AJ411" i="7" s="1"/>
  <c r="AA411" i="7" s="1"/>
  <c r="AC411" i="7"/>
  <c r="AB411" i="7"/>
  <c r="AT411" i="7"/>
  <c r="AK411" i="7" s="1"/>
  <c r="AS247" i="7"/>
  <c r="AJ247" i="7" s="1"/>
  <c r="AA247" i="7" s="1"/>
  <c r="AC247" i="7"/>
  <c r="AT247" i="7"/>
  <c r="AK247" i="7" s="1"/>
  <c r="AB247" i="7"/>
  <c r="AS835" i="7"/>
  <c r="AJ835" i="7" s="1"/>
  <c r="AA835" i="7" s="1"/>
  <c r="AC835" i="7"/>
  <c r="AB835" i="7"/>
  <c r="AT835" i="7"/>
  <c r="AK835" i="7" s="1"/>
  <c r="AT991" i="7"/>
  <c r="AK991" i="7" s="1"/>
  <c r="AC991" i="7"/>
  <c r="AS991" i="7"/>
  <c r="AJ991" i="7" s="1"/>
  <c r="AB991" i="7"/>
  <c r="AS1093" i="7"/>
  <c r="AJ1093" i="7" s="1"/>
  <c r="AA1093" i="7" s="1"/>
  <c r="AC1093" i="7"/>
  <c r="AB1093" i="7"/>
  <c r="AT1093" i="7"/>
  <c r="AK1093" i="7" s="1"/>
  <c r="Z42" i="7"/>
  <c r="AS156" i="7"/>
  <c r="AJ156" i="7" s="1"/>
  <c r="AC156" i="7"/>
  <c r="AB156" i="7"/>
  <c r="AT156" i="7"/>
  <c r="AK156" i="7" s="1"/>
  <c r="AS593" i="7"/>
  <c r="AJ593" i="7" s="1"/>
  <c r="AC593" i="7"/>
  <c r="AB593" i="7"/>
  <c r="AT593" i="7"/>
  <c r="AK593" i="7" s="1"/>
  <c r="AT897" i="7"/>
  <c r="AK897" i="7" s="1"/>
  <c r="AB897" i="7"/>
  <c r="AC897" i="7"/>
  <c r="AS897" i="7"/>
  <c r="AJ897" i="7" s="1"/>
  <c r="AA897" i="7" s="1"/>
  <c r="Z193" i="7"/>
  <c r="AT127" i="7"/>
  <c r="AK127" i="7" s="1"/>
  <c r="AB127" i="7"/>
  <c r="AS127" i="7"/>
  <c r="AJ127" i="7" s="1"/>
  <c r="AA127" i="7" s="1"/>
  <c r="AC127" i="7"/>
  <c r="AS522" i="7"/>
  <c r="AJ522" i="7" s="1"/>
  <c r="AC522" i="7"/>
  <c r="AT522" i="7"/>
  <c r="AK522" i="7" s="1"/>
  <c r="AB522" i="7"/>
  <c r="AC896" i="7"/>
  <c r="AB896" i="7"/>
  <c r="AT896" i="7"/>
  <c r="AK896" i="7" s="1"/>
  <c r="AS896" i="7"/>
  <c r="AJ896" i="7" s="1"/>
  <c r="AC221" i="7"/>
  <c r="AT221" i="7"/>
  <c r="AK221" i="7" s="1"/>
  <c r="AB221" i="7"/>
  <c r="AS221" i="7"/>
  <c r="AJ221" i="7" s="1"/>
  <c r="AA221" i="7" s="1"/>
  <c r="AC236" i="7"/>
  <c r="AB236" i="7"/>
  <c r="AT236" i="7"/>
  <c r="AK236" i="7" s="1"/>
  <c r="AS236" i="7"/>
  <c r="AJ236" i="7" s="1"/>
  <c r="AS834" i="7"/>
  <c r="AJ834" i="7" s="1"/>
  <c r="AC834" i="7"/>
  <c r="AB834" i="7"/>
  <c r="AT834" i="7"/>
  <c r="AK834" i="7" s="1"/>
  <c r="AS982" i="7"/>
  <c r="AJ982" i="7" s="1"/>
  <c r="AA982" i="7" s="1"/>
  <c r="AB982" i="7"/>
  <c r="AC982" i="7"/>
  <c r="AT982" i="7"/>
  <c r="AK982" i="7" s="1"/>
  <c r="AT1069" i="7"/>
  <c r="AK1069" i="7" s="1"/>
  <c r="AS1069" i="7"/>
  <c r="AJ1069" i="7" s="1"/>
  <c r="AA1069" i="7" s="1"/>
  <c r="AC1069" i="7"/>
  <c r="AB1069" i="7"/>
  <c r="AS655" i="7"/>
  <c r="AJ655" i="7" s="1"/>
  <c r="AC655" i="7"/>
  <c r="AB655" i="7"/>
  <c r="AT655" i="7"/>
  <c r="AK655" i="7" s="1"/>
  <c r="AT739" i="7"/>
  <c r="AK739" i="7" s="1"/>
  <c r="AS739" i="7"/>
  <c r="AJ739" i="7" s="1"/>
  <c r="AA739" i="7" s="1"/>
  <c r="AC739" i="7"/>
  <c r="AB739" i="7"/>
  <c r="AS77" i="7"/>
  <c r="AJ77" i="7" s="1"/>
  <c r="AA77" i="7" s="1"/>
  <c r="AC77" i="7"/>
  <c r="AB77" i="7"/>
  <c r="AT77" i="7"/>
  <c r="AK77" i="7" s="1"/>
  <c r="AC810" i="7"/>
  <c r="AT810" i="7"/>
  <c r="AK810" i="7" s="1"/>
  <c r="AS810" i="7"/>
  <c r="AJ810" i="7" s="1"/>
  <c r="AA810" i="7" s="1"/>
  <c r="AB810" i="7"/>
  <c r="AS935" i="7"/>
  <c r="AJ935" i="7" s="1"/>
  <c r="AC935" i="7"/>
  <c r="AB935" i="7"/>
  <c r="AT935" i="7"/>
  <c r="AK935" i="7" s="1"/>
  <c r="AC1050" i="7"/>
  <c r="AB1050" i="7"/>
  <c r="AT1050" i="7"/>
  <c r="AK1050" i="7" s="1"/>
  <c r="AS1050" i="7"/>
  <c r="AJ1050" i="7" s="1"/>
  <c r="AC1178" i="7"/>
  <c r="AB1178" i="7"/>
  <c r="AT1178" i="7"/>
  <c r="AK1178" i="7" s="1"/>
  <c r="AS1178" i="7"/>
  <c r="AJ1178" i="7" s="1"/>
  <c r="AT14" i="7"/>
  <c r="AK14" i="7" s="1"/>
  <c r="AC14" i="7"/>
  <c r="AB14" i="7"/>
  <c r="AS14" i="7"/>
  <c r="AJ14" i="7" s="1"/>
  <c r="AA14" i="7" s="1"/>
  <c r="AT205" i="7"/>
  <c r="AK205" i="7" s="1"/>
  <c r="AC205" i="7"/>
  <c r="AS205" i="7"/>
  <c r="AJ205" i="7" s="1"/>
  <c r="AA205" i="7" s="1"/>
  <c r="AB205" i="7"/>
  <c r="AT591" i="7"/>
  <c r="AK591" i="7" s="1"/>
  <c r="AC591" i="7"/>
  <c r="AS591" i="7"/>
  <c r="AJ591" i="7" s="1"/>
  <c r="AA591" i="7" s="1"/>
  <c r="AB591" i="7"/>
  <c r="AT849" i="7"/>
  <c r="AK849" i="7" s="1"/>
  <c r="AS849" i="7"/>
  <c r="AJ849" i="7" s="1"/>
  <c r="AC849" i="7"/>
  <c r="AB849" i="7"/>
  <c r="AS192" i="7"/>
  <c r="AJ192" i="7" s="1"/>
  <c r="AC192" i="7"/>
  <c r="AB192" i="7"/>
  <c r="AT192" i="7"/>
  <c r="AK192" i="7" s="1"/>
  <c r="AS682" i="7"/>
  <c r="AJ682" i="7" s="1"/>
  <c r="AC682" i="7"/>
  <c r="AB682" i="7"/>
  <c r="AT682" i="7"/>
  <c r="AK682" i="7" s="1"/>
  <c r="AC766" i="7"/>
  <c r="AB766" i="7"/>
  <c r="AT766" i="7"/>
  <c r="AK766" i="7" s="1"/>
  <c r="AS766" i="7"/>
  <c r="AJ766" i="7" s="1"/>
  <c r="AT541" i="7"/>
  <c r="AK541" i="7" s="1"/>
  <c r="AC541" i="7"/>
  <c r="AS541" i="7"/>
  <c r="AJ541" i="7" s="1"/>
  <c r="AB541" i="7"/>
  <c r="AA27" i="7"/>
  <c r="AT293" i="7"/>
  <c r="AK293" i="7" s="1"/>
  <c r="AC293" i="7"/>
  <c r="AS293" i="7"/>
  <c r="AJ293" i="7" s="1"/>
  <c r="AA293" i="7" s="1"/>
  <c r="AB293" i="7"/>
  <c r="AS436" i="7"/>
  <c r="AJ436" i="7" s="1"/>
  <c r="AC436" i="7"/>
  <c r="AB436" i="7"/>
  <c r="AT436" i="7"/>
  <c r="AK436" i="7" s="1"/>
  <c r="Y1126" i="7"/>
  <c r="Y1186" i="7"/>
  <c r="Y1086" i="7"/>
  <c r="Y1190" i="7"/>
  <c r="Y1180" i="7"/>
  <c r="Y1152" i="7"/>
  <c r="Y1169" i="7"/>
  <c r="Y1151" i="7"/>
  <c r="Y1084" i="7"/>
  <c r="Z1153" i="7"/>
  <c r="Z1141" i="7"/>
  <c r="Y1124" i="7"/>
  <c r="Z1009" i="7"/>
  <c r="Y1041" i="7"/>
  <c r="Y1037" i="7"/>
  <c r="Z992" i="7"/>
  <c r="Y991" i="7"/>
  <c r="Y990" i="7"/>
  <c r="Z905" i="7"/>
  <c r="Z901" i="7"/>
  <c r="Y897" i="7"/>
  <c r="Y848" i="7"/>
  <c r="Z895" i="7"/>
  <c r="Y840" i="7"/>
  <c r="Y777" i="7"/>
  <c r="Y841" i="7"/>
  <c r="Z819" i="7"/>
  <c r="Z793" i="7"/>
  <c r="Y739" i="7"/>
  <c r="Z773" i="7"/>
  <c r="Y657" i="7"/>
  <c r="Y709" i="7"/>
  <c r="Z638" i="7"/>
  <c r="Y634" i="7"/>
  <c r="Y594" i="7"/>
  <c r="Y563" i="7"/>
  <c r="Z589" i="7"/>
  <c r="Z585" i="7"/>
  <c r="Z521" i="7"/>
  <c r="Y570" i="7"/>
  <c r="Y526" i="7"/>
  <c r="Z510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3" i="7"/>
  <c r="AJ723" i="7" s="1"/>
  <c r="AB723" i="7"/>
  <c r="AC723" i="7"/>
  <c r="AT723" i="7"/>
  <c r="AK723" i="7" s="1"/>
  <c r="AT1078" i="7"/>
  <c r="AK1078" i="7" s="1"/>
  <c r="AC1078" i="7"/>
  <c r="AS1078" i="7"/>
  <c r="AJ1078" i="7" s="1"/>
  <c r="AA1078" i="7" s="1"/>
  <c r="AB1078" i="7"/>
  <c r="AT262" i="7"/>
  <c r="AK262" i="7" s="1"/>
  <c r="AS262" i="7"/>
  <c r="AJ262" i="7" s="1"/>
  <c r="AA262" i="7" s="1"/>
  <c r="AC262" i="7"/>
  <c r="AB262" i="7"/>
  <c r="AT901" i="7"/>
  <c r="AK901" i="7" s="1"/>
  <c r="AB901" i="7"/>
  <c r="AC901" i="7"/>
  <c r="AS901" i="7"/>
  <c r="AJ901" i="7" s="1"/>
  <c r="AA901" i="7" s="1"/>
  <c r="AT975" i="7"/>
  <c r="AK975" i="7" s="1"/>
  <c r="AC975" i="7"/>
  <c r="AB975" i="7"/>
  <c r="AS975" i="7"/>
  <c r="AJ975" i="7" s="1"/>
  <c r="AA975" i="7" s="1"/>
  <c r="AT1131" i="7"/>
  <c r="AK1131" i="7" s="1"/>
  <c r="AB1131" i="7"/>
  <c r="AS1131" i="7"/>
  <c r="AJ1131" i="7" s="1"/>
  <c r="AA1131" i="7" s="1"/>
  <c r="AC1131" i="7"/>
  <c r="AT261" i="7"/>
  <c r="AK261" i="7" s="1"/>
  <c r="AC261" i="7"/>
  <c r="AS261" i="7"/>
  <c r="AJ261" i="7" s="1"/>
  <c r="AB261" i="7"/>
  <c r="AC887" i="7"/>
  <c r="AB887" i="7"/>
  <c r="AT887" i="7"/>
  <c r="AK887" i="7" s="1"/>
  <c r="AS887" i="7"/>
  <c r="AJ887" i="7" s="1"/>
  <c r="AA887" i="7" s="1"/>
  <c r="AS997" i="7"/>
  <c r="AJ997" i="7" s="1"/>
  <c r="AA997" i="7" s="1"/>
  <c r="AC997" i="7"/>
  <c r="AT997" i="7"/>
  <c r="AK997" i="7" s="1"/>
  <c r="AB997" i="7"/>
  <c r="AS1163" i="7"/>
  <c r="AJ1163" i="7" s="1"/>
  <c r="AC1163" i="7"/>
  <c r="AB1163" i="7"/>
  <c r="AT1163" i="7"/>
  <c r="AK1163" i="7" s="1"/>
  <c r="Y12" i="7"/>
  <c r="AS170" i="7"/>
  <c r="AJ170" i="7" s="1"/>
  <c r="AA170" i="7" s="1"/>
  <c r="AC170" i="7"/>
  <c r="AB170" i="7"/>
  <c r="AT170" i="7"/>
  <c r="AK170" i="7" s="1"/>
  <c r="AS602" i="7"/>
  <c r="AJ602" i="7" s="1"/>
  <c r="AC602" i="7"/>
  <c r="AB602" i="7"/>
  <c r="AT602" i="7"/>
  <c r="AK602" i="7" s="1"/>
  <c r="AT916" i="7"/>
  <c r="AK916" i="7" s="1"/>
  <c r="AC916" i="7"/>
  <c r="AS916" i="7"/>
  <c r="AJ916" i="7" s="1"/>
  <c r="AA916" i="7" s="1"/>
  <c r="AB916" i="7"/>
  <c r="AS162" i="7"/>
  <c r="AJ162" i="7" s="1"/>
  <c r="AC162" i="7"/>
  <c r="AB162" i="7"/>
  <c r="AT162" i="7"/>
  <c r="AK162" i="7" s="1"/>
  <c r="AS417" i="7"/>
  <c r="AJ417" i="7" s="1"/>
  <c r="AA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87" i="7"/>
  <c r="AJ487" i="7" s="1"/>
  <c r="AC487" i="7"/>
  <c r="AB487" i="7"/>
  <c r="AT487" i="7"/>
  <c r="AK487" i="7" s="1"/>
  <c r="AS692" i="7"/>
  <c r="AJ692" i="7" s="1"/>
  <c r="AA692" i="7" s="1"/>
  <c r="AC692" i="7"/>
  <c r="AT692" i="7"/>
  <c r="AK692" i="7" s="1"/>
  <c r="AB692" i="7"/>
  <c r="AT1121" i="7"/>
  <c r="AK1121" i="7" s="1"/>
  <c r="AS1121" i="7"/>
  <c r="AJ1121" i="7" s="1"/>
  <c r="AC1121" i="7"/>
  <c r="AB1121" i="7"/>
  <c r="AT313" i="7"/>
  <c r="AK313" i="7" s="1"/>
  <c r="AB313" i="7"/>
  <c r="AS313" i="7"/>
  <c r="AJ313" i="7" s="1"/>
  <c r="AA313" i="7" s="1"/>
  <c r="AC313" i="7"/>
  <c r="AT443" i="7"/>
  <c r="AK443" i="7" s="1"/>
  <c r="AS443" i="7"/>
  <c r="AJ443" i="7" s="1"/>
  <c r="AA443" i="7" s="1"/>
  <c r="AC443" i="7"/>
  <c r="AB443" i="7"/>
  <c r="AS648" i="7"/>
  <c r="AJ648" i="7" s="1"/>
  <c r="AA648" i="7" s="1"/>
  <c r="AC648" i="7"/>
  <c r="AB648" i="7"/>
  <c r="AT648" i="7"/>
  <c r="AK648" i="7" s="1"/>
  <c r="AS259" i="7"/>
  <c r="AJ259" i="7" s="1"/>
  <c r="AC259" i="7"/>
  <c r="AT259" i="7"/>
  <c r="AK259" i="7" s="1"/>
  <c r="AB259" i="7"/>
  <c r="AC671" i="7"/>
  <c r="AB671" i="7"/>
  <c r="AT671" i="7"/>
  <c r="AK671" i="7" s="1"/>
  <c r="AS671" i="7"/>
  <c r="AJ671" i="7" s="1"/>
  <c r="AT1036" i="7"/>
  <c r="AK1036" i="7" s="1"/>
  <c r="AS1036" i="7"/>
  <c r="AJ1036" i="7" s="1"/>
  <c r="AA1036" i="7" s="1"/>
  <c r="AC1036" i="7"/>
  <c r="AB1036" i="7"/>
  <c r="AB547" i="7"/>
  <c r="AT547" i="7"/>
  <c r="AK547" i="7" s="1"/>
  <c r="AS547" i="7"/>
  <c r="AJ547" i="7" s="1"/>
  <c r="AA547" i="7" s="1"/>
  <c r="AC547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3" i="7"/>
  <c r="AK713" i="7" s="1"/>
  <c r="AS713" i="7"/>
  <c r="AJ713" i="7" s="1"/>
  <c r="AA713" i="7" s="1"/>
  <c r="AC713" i="7"/>
  <c r="AB713" i="7"/>
  <c r="AS689" i="7"/>
  <c r="AJ689" i="7" s="1"/>
  <c r="AA689" i="7" s="1"/>
  <c r="AC689" i="7"/>
  <c r="AB689" i="7"/>
  <c r="AT689" i="7"/>
  <c r="AK689" i="7" s="1"/>
  <c r="AT202" i="7"/>
  <c r="AK202" i="7" s="1"/>
  <c r="AC202" i="7"/>
  <c r="AS202" i="7"/>
  <c r="AJ202" i="7" s="1"/>
  <c r="AA202" i="7" s="1"/>
  <c r="AB202" i="7"/>
  <c r="AT447" i="7"/>
  <c r="AK447" i="7" s="1"/>
  <c r="AS447" i="7"/>
  <c r="AJ447" i="7" s="1"/>
  <c r="AC447" i="7"/>
  <c r="AB447" i="7"/>
  <c r="AS749" i="7"/>
  <c r="AJ749" i="7" s="1"/>
  <c r="AC749" i="7"/>
  <c r="AT749" i="7"/>
  <c r="AK749" i="7" s="1"/>
  <c r="AB749" i="7"/>
  <c r="AS1099" i="7"/>
  <c r="AJ1099" i="7" s="1"/>
  <c r="AA1099" i="7" s="1"/>
  <c r="AC1099" i="7"/>
  <c r="AB1099" i="7"/>
  <c r="AT1099" i="7"/>
  <c r="AK1099" i="7" s="1"/>
  <c r="AS383" i="7"/>
  <c r="AJ383" i="7" s="1"/>
  <c r="AC383" i="7"/>
  <c r="AB383" i="7"/>
  <c r="AT383" i="7"/>
  <c r="AK383" i="7" s="1"/>
  <c r="AS444" i="7"/>
  <c r="AJ444" i="7" s="1"/>
  <c r="AA444" i="7" s="1"/>
  <c r="AC444" i="7"/>
  <c r="AB444" i="7"/>
  <c r="AT444" i="7"/>
  <c r="AK444" i="7" s="1"/>
  <c r="AS242" i="7"/>
  <c r="AJ242" i="7" s="1"/>
  <c r="AB242" i="7"/>
  <c r="AC242" i="7"/>
  <c r="AT242" i="7"/>
  <c r="AK242" i="7" s="1"/>
  <c r="AS922" i="7"/>
  <c r="AJ922" i="7" s="1"/>
  <c r="AC922" i="7"/>
  <c r="AT922" i="7"/>
  <c r="AK922" i="7" s="1"/>
  <c r="AB922" i="7"/>
  <c r="AC978" i="7"/>
  <c r="AB978" i="7"/>
  <c r="AT978" i="7"/>
  <c r="AK978" i="7" s="1"/>
  <c r="AS978" i="7"/>
  <c r="AJ978" i="7" s="1"/>
  <c r="AA978" i="7" s="1"/>
  <c r="AC1134" i="7"/>
  <c r="AB1134" i="7"/>
  <c r="AT1134" i="7"/>
  <c r="AK1134" i="7" s="1"/>
  <c r="AS1134" i="7"/>
  <c r="AJ1134" i="7" s="1"/>
  <c r="AC230" i="7"/>
  <c r="AT230" i="7"/>
  <c r="AK230" i="7" s="1"/>
  <c r="AB230" i="7"/>
  <c r="AS230" i="7"/>
  <c r="AJ230" i="7" s="1"/>
  <c r="AA230" i="7" s="1"/>
  <c r="AS554" i="7"/>
  <c r="AJ554" i="7" s="1"/>
  <c r="AA554" i="7" s="1"/>
  <c r="AC554" i="7"/>
  <c r="AB554" i="7"/>
  <c r="AT554" i="7"/>
  <c r="AK554" i="7" s="1"/>
  <c r="AS943" i="7"/>
  <c r="AJ943" i="7" s="1"/>
  <c r="AC943" i="7"/>
  <c r="AB943" i="7"/>
  <c r="AT943" i="7"/>
  <c r="AK943" i="7" s="1"/>
  <c r="Z160" i="7"/>
  <c r="AT183" i="7"/>
  <c r="AK183" i="7" s="1"/>
  <c r="AB183" i="7"/>
  <c r="AS183" i="7"/>
  <c r="AJ183" i="7" s="1"/>
  <c r="AA183" i="7" s="1"/>
  <c r="AC183" i="7"/>
  <c r="AT613" i="7"/>
  <c r="AK613" i="7" s="1"/>
  <c r="AS613" i="7"/>
  <c r="AJ613" i="7" s="1"/>
  <c r="AA613" i="7" s="1"/>
  <c r="AC613" i="7"/>
  <c r="AB613" i="7"/>
  <c r="AT988" i="7"/>
  <c r="AK988" i="7" s="1"/>
  <c r="AC988" i="7"/>
  <c r="AB988" i="7"/>
  <c r="AS988" i="7"/>
  <c r="AJ988" i="7" s="1"/>
  <c r="AB504" i="7"/>
  <c r="AC504" i="7"/>
  <c r="AT504" i="7"/>
  <c r="AK504" i="7" s="1"/>
  <c r="AS504" i="7"/>
  <c r="AJ504" i="7" s="1"/>
  <c r="AS213" i="7"/>
  <c r="AJ213" i="7" s="1"/>
  <c r="AB213" i="7"/>
  <c r="AC213" i="7"/>
  <c r="AT213" i="7"/>
  <c r="AK213" i="7" s="1"/>
  <c r="AB885" i="7"/>
  <c r="AS885" i="7"/>
  <c r="AJ885" i="7" s="1"/>
  <c r="AC885" i="7"/>
  <c r="AT885" i="7"/>
  <c r="AK885" i="7" s="1"/>
  <c r="AT959" i="7"/>
  <c r="AK959" i="7" s="1"/>
  <c r="AC959" i="7"/>
  <c r="AS959" i="7"/>
  <c r="AJ959" i="7" s="1"/>
  <c r="AB959" i="7"/>
  <c r="AB1092" i="7"/>
  <c r="AC1092" i="7"/>
  <c r="AT1092" i="7"/>
  <c r="AK1092" i="7" s="1"/>
  <c r="AS1092" i="7"/>
  <c r="AJ1092" i="7" s="1"/>
  <c r="AC627" i="7"/>
  <c r="AT627" i="7"/>
  <c r="AK627" i="7" s="1"/>
  <c r="AB627" i="7"/>
  <c r="AS627" i="7"/>
  <c r="AJ627" i="7" s="1"/>
  <c r="AB772" i="7"/>
  <c r="AC772" i="7"/>
  <c r="AT772" i="7"/>
  <c r="AK772" i="7" s="1"/>
  <c r="AS772" i="7"/>
  <c r="AJ772" i="7" s="1"/>
  <c r="AA772" i="7" s="1"/>
  <c r="AC133" i="7"/>
  <c r="AT133" i="7"/>
  <c r="AK133" i="7" s="1"/>
  <c r="AB133" i="7"/>
  <c r="AS133" i="7"/>
  <c r="AJ133" i="7" s="1"/>
  <c r="AS820" i="7"/>
  <c r="AJ820" i="7" s="1"/>
  <c r="AC820" i="7"/>
  <c r="AB820" i="7"/>
  <c r="AT820" i="7"/>
  <c r="AK820" i="7" s="1"/>
  <c r="AT948" i="7"/>
  <c r="AK948" i="7" s="1"/>
  <c r="AS948" i="7"/>
  <c r="AJ948" i="7" s="1"/>
  <c r="AA948" i="7" s="1"/>
  <c r="AC948" i="7"/>
  <c r="AB948" i="7"/>
  <c r="AT1004" i="7"/>
  <c r="AK1004" i="7" s="1"/>
  <c r="AC1004" i="7"/>
  <c r="AS1004" i="7"/>
  <c r="AJ1004" i="7" s="1"/>
  <c r="AA1004" i="7" s="1"/>
  <c r="AB1004" i="7"/>
  <c r="AC1132" i="7"/>
  <c r="AB1132" i="7"/>
  <c r="AT1132" i="7"/>
  <c r="AK1132" i="7" s="1"/>
  <c r="AS1132" i="7"/>
  <c r="AJ1132" i="7" s="1"/>
  <c r="AC47" i="7"/>
  <c r="AT47" i="7"/>
  <c r="AK47" i="7" s="1"/>
  <c r="AS47" i="7"/>
  <c r="AJ47" i="7" s="1"/>
  <c r="AA47" i="7" s="1"/>
  <c r="AB47" i="7"/>
  <c r="AS154" i="7"/>
  <c r="AJ154" i="7" s="1"/>
  <c r="AC154" i="7"/>
  <c r="AB154" i="7"/>
  <c r="AT154" i="7"/>
  <c r="AK154" i="7" s="1"/>
  <c r="AT521" i="7"/>
  <c r="AK521" i="7" s="1"/>
  <c r="AC521" i="7"/>
  <c r="AS521" i="7"/>
  <c r="AJ521" i="7" s="1"/>
  <c r="AA521" i="7" s="1"/>
  <c r="AB521" i="7"/>
  <c r="AC872" i="7"/>
  <c r="AT872" i="7"/>
  <c r="AK872" i="7" s="1"/>
  <c r="AB872" i="7"/>
  <c r="AS872" i="7"/>
  <c r="AJ872" i="7" s="1"/>
  <c r="AC220" i="7"/>
  <c r="AT220" i="7"/>
  <c r="AK220" i="7" s="1"/>
  <c r="AB220" i="7"/>
  <c r="AS220" i="7"/>
  <c r="AJ220" i="7" s="1"/>
  <c r="AA220" i="7" s="1"/>
  <c r="AS626" i="7"/>
  <c r="AJ626" i="7" s="1"/>
  <c r="AC626" i="7"/>
  <c r="AT626" i="7"/>
  <c r="AK626" i="7" s="1"/>
  <c r="AB626" i="7"/>
  <c r="AS761" i="7"/>
  <c r="AJ761" i="7" s="1"/>
  <c r="AC761" i="7"/>
  <c r="AB761" i="7"/>
  <c r="AT761" i="7"/>
  <c r="AK761" i="7" s="1"/>
  <c r="AS559" i="7"/>
  <c r="AJ559" i="7" s="1"/>
  <c r="AA559" i="7" s="1"/>
  <c r="AC559" i="7"/>
  <c r="AB559" i="7"/>
  <c r="AT559" i="7"/>
  <c r="AK559" i="7" s="1"/>
  <c r="AB316" i="7"/>
  <c r="AC316" i="7"/>
  <c r="AS316" i="7"/>
  <c r="AJ316" i="7" s="1"/>
  <c r="AA316" i="7" s="1"/>
  <c r="AT316" i="7"/>
  <c r="AK316" i="7" s="1"/>
  <c r="AS441" i="7"/>
  <c r="AJ441" i="7" s="1"/>
  <c r="AC441" i="7"/>
  <c r="AB441" i="7"/>
  <c r="AT441" i="7"/>
  <c r="AK441" i="7" s="1"/>
  <c r="Z1148" i="7"/>
  <c r="Y1184" i="7"/>
  <c r="Y1088" i="7"/>
  <c r="Y1066" i="7"/>
  <c r="Y1081" i="7"/>
  <c r="Z1052" i="7"/>
  <c r="Z1088" i="7"/>
  <c r="Y1090" i="7"/>
  <c r="Z1070" i="7"/>
  <c r="Y985" i="7"/>
  <c r="Y1006" i="7"/>
  <c r="Y943" i="7"/>
  <c r="Y932" i="7"/>
  <c r="Z941" i="7"/>
  <c r="Z951" i="7"/>
  <c r="Z968" i="7"/>
  <c r="Y874" i="7"/>
  <c r="Z920" i="7"/>
  <c r="Y883" i="7"/>
  <c r="Y864" i="7"/>
  <c r="Z812" i="7"/>
  <c r="Y833" i="7"/>
  <c r="Y774" i="7"/>
  <c r="Z772" i="7"/>
  <c r="Z791" i="7"/>
  <c r="Y756" i="7"/>
  <c r="Z721" i="7"/>
  <c r="Y589" i="7"/>
  <c r="Z621" i="7"/>
  <c r="Y597" i="7"/>
  <c r="Z598" i="7"/>
  <c r="Y585" i="7"/>
  <c r="Y577" i="7"/>
  <c r="Z511" i="7"/>
  <c r="Y460" i="7"/>
  <c r="Y504" i="7"/>
  <c r="Z559" i="7"/>
  <c r="Z518" i="7"/>
  <c r="Y588" i="7"/>
  <c r="Z520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A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A125" i="7" s="1"/>
  <c r="AS510" i="7"/>
  <c r="AJ510" i="7" s="1"/>
  <c r="AC510" i="7"/>
  <c r="AT510" i="7"/>
  <c r="AK510" i="7" s="1"/>
  <c r="AB510" i="7"/>
  <c r="AS751" i="7"/>
  <c r="AJ751" i="7" s="1"/>
  <c r="AA751" i="7" s="1"/>
  <c r="AC751" i="7"/>
  <c r="AT751" i="7"/>
  <c r="AK751" i="7" s="1"/>
  <c r="AB751" i="7"/>
  <c r="AT1124" i="7"/>
  <c r="AK1124" i="7" s="1"/>
  <c r="AS1124" i="7"/>
  <c r="AJ1124" i="7" s="1"/>
  <c r="AC1124" i="7"/>
  <c r="AB1124" i="7"/>
  <c r="AS819" i="7"/>
  <c r="AJ819" i="7" s="1"/>
  <c r="AC819" i="7"/>
  <c r="AB819" i="7"/>
  <c r="AT819" i="7"/>
  <c r="AK819" i="7" s="1"/>
  <c r="AT888" i="7"/>
  <c r="AK888" i="7" s="1"/>
  <c r="AS888" i="7"/>
  <c r="AJ888" i="7" s="1"/>
  <c r="AA888" i="7" s="1"/>
  <c r="AC888" i="7"/>
  <c r="AB888" i="7"/>
  <c r="AS998" i="7"/>
  <c r="AJ998" i="7" s="1"/>
  <c r="AA998" i="7" s="1"/>
  <c r="AB998" i="7"/>
  <c r="AC998" i="7"/>
  <c r="AT998" i="7"/>
  <c r="AK998" i="7" s="1"/>
  <c r="AC1090" i="7"/>
  <c r="AB1090" i="7"/>
  <c r="AT1090" i="7"/>
  <c r="AK1090" i="7" s="1"/>
  <c r="AS1090" i="7"/>
  <c r="AJ1090" i="7" s="1"/>
  <c r="AA1090" i="7" s="1"/>
  <c r="AT266" i="7"/>
  <c r="AK266" i="7" s="1"/>
  <c r="AS266" i="7"/>
  <c r="AJ266" i="7" s="1"/>
  <c r="AC266" i="7"/>
  <c r="AB266" i="7"/>
  <c r="AB877" i="7"/>
  <c r="AC877" i="7"/>
  <c r="AT877" i="7"/>
  <c r="AK877" i="7" s="1"/>
  <c r="AS877" i="7"/>
  <c r="AJ877" i="7" s="1"/>
  <c r="AA877" i="7" s="1"/>
  <c r="AS1025" i="7"/>
  <c r="AJ1025" i="7" s="1"/>
  <c r="AA1025" i="7" s="1"/>
  <c r="AC1025" i="7"/>
  <c r="AB1025" i="7"/>
  <c r="AT1025" i="7"/>
  <c r="AK1025" i="7" s="1"/>
  <c r="AB1112" i="7"/>
  <c r="AC1112" i="7"/>
  <c r="AT1112" i="7"/>
  <c r="AK1112" i="7" s="1"/>
  <c r="AS1112" i="7"/>
  <c r="AJ1112" i="7" s="1"/>
  <c r="AA1112" i="7" s="1"/>
  <c r="AT305" i="7"/>
  <c r="AK305" i="7" s="1"/>
  <c r="AC305" i="7"/>
  <c r="AS305" i="7"/>
  <c r="AJ305" i="7" s="1"/>
  <c r="AA305" i="7" s="1"/>
  <c r="AB305" i="7"/>
  <c r="AS581" i="7"/>
  <c r="AJ581" i="7" s="1"/>
  <c r="AC581" i="7"/>
  <c r="AB581" i="7"/>
  <c r="AT581" i="7"/>
  <c r="AK581" i="7" s="1"/>
  <c r="AS939" i="7"/>
  <c r="AJ939" i="7" s="1"/>
  <c r="AA939" i="7" s="1"/>
  <c r="AC939" i="7"/>
  <c r="AB939" i="7"/>
  <c r="AT939" i="7"/>
  <c r="AK939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AA361" i="7" s="1"/>
  <c r="Z49" i="7"/>
  <c r="AS168" i="7"/>
  <c r="AJ168" i="7" s="1"/>
  <c r="AA168" i="7" s="1"/>
  <c r="AC168" i="7"/>
  <c r="AB168" i="7"/>
  <c r="AT168" i="7"/>
  <c r="AK168" i="7" s="1"/>
  <c r="AS497" i="7"/>
  <c r="AJ497" i="7" s="1"/>
  <c r="AC497" i="7"/>
  <c r="AB497" i="7"/>
  <c r="AT497" i="7"/>
  <c r="AK497" i="7" s="1"/>
  <c r="AB720" i="7"/>
  <c r="AT720" i="7"/>
  <c r="AK720" i="7" s="1"/>
  <c r="AC720" i="7"/>
  <c r="AS720" i="7"/>
  <c r="AJ720" i="7" s="1"/>
  <c r="AA720" i="7" s="1"/>
  <c r="AS1075" i="7"/>
  <c r="AJ1075" i="7" s="1"/>
  <c r="AC1075" i="7"/>
  <c r="AT1075" i="7"/>
  <c r="AK1075" i="7" s="1"/>
  <c r="AB1075" i="7"/>
  <c r="AT300" i="7"/>
  <c r="AK300" i="7" s="1"/>
  <c r="AC300" i="7"/>
  <c r="AS300" i="7"/>
  <c r="AJ300" i="7" s="1"/>
  <c r="AA300" i="7" s="1"/>
  <c r="AB300" i="7"/>
  <c r="AS461" i="7"/>
  <c r="AJ461" i="7" s="1"/>
  <c r="AC461" i="7"/>
  <c r="AB461" i="7"/>
  <c r="AT461" i="7"/>
  <c r="AK461" i="7" s="1"/>
  <c r="AS686" i="7"/>
  <c r="AJ686" i="7" s="1"/>
  <c r="AC686" i="7"/>
  <c r="AT686" i="7"/>
  <c r="AK686" i="7" s="1"/>
  <c r="AB686" i="7"/>
  <c r="AT356" i="7"/>
  <c r="AK356" i="7" s="1"/>
  <c r="AS356" i="7"/>
  <c r="AJ356" i="7" s="1"/>
  <c r="AA356" i="7" s="1"/>
  <c r="AC356" i="7"/>
  <c r="AB356" i="7"/>
  <c r="AB699" i="7"/>
  <c r="AT699" i="7"/>
  <c r="AK699" i="7" s="1"/>
  <c r="AS699" i="7"/>
  <c r="AJ699" i="7" s="1"/>
  <c r="AA699" i="7" s="1"/>
  <c r="AC699" i="7"/>
  <c r="AS1105" i="7"/>
  <c r="AJ1105" i="7" s="1"/>
  <c r="AC1105" i="7"/>
  <c r="AT1105" i="7"/>
  <c r="AK1105" i="7" s="1"/>
  <c r="AB1105" i="7"/>
  <c r="AT516" i="7"/>
  <c r="AK516" i="7" s="1"/>
  <c r="AC516" i="7"/>
  <c r="AB516" i="7"/>
  <c r="AS516" i="7"/>
  <c r="AJ516" i="7" s="1"/>
  <c r="AC414" i="7"/>
  <c r="AB414" i="7"/>
  <c r="AT414" i="7"/>
  <c r="AK414" i="7" s="1"/>
  <c r="AS414" i="7"/>
  <c r="AJ414" i="7" s="1"/>
  <c r="AC596" i="7"/>
  <c r="AT596" i="7"/>
  <c r="AK596" i="7" s="1"/>
  <c r="AB596" i="7"/>
  <c r="AS596" i="7"/>
  <c r="AJ596" i="7" s="1"/>
  <c r="AS741" i="7"/>
  <c r="AJ741" i="7" s="1"/>
  <c r="AC741" i="7"/>
  <c r="AT741" i="7"/>
  <c r="AK741" i="7" s="1"/>
  <c r="AB741" i="7"/>
  <c r="AT18" i="7"/>
  <c r="AK18" i="7" s="1"/>
  <c r="AC18" i="7"/>
  <c r="AB18" i="7"/>
  <c r="AS18" i="7"/>
  <c r="AJ18" i="7" s="1"/>
  <c r="AB707" i="7"/>
  <c r="AT707" i="7"/>
  <c r="AK707" i="7" s="1"/>
  <c r="AS707" i="7"/>
  <c r="AJ707" i="7" s="1"/>
  <c r="AC707" i="7"/>
  <c r="AT95" i="7"/>
  <c r="AK95" i="7" s="1"/>
  <c r="AB95" i="7"/>
  <c r="AS95" i="7"/>
  <c r="AJ95" i="7" s="1"/>
  <c r="AA95" i="7" s="1"/>
  <c r="AC95" i="7"/>
  <c r="AS475" i="7"/>
  <c r="AJ475" i="7" s="1"/>
  <c r="AC475" i="7"/>
  <c r="AB475" i="7"/>
  <c r="AT475" i="7"/>
  <c r="AK475" i="7" s="1"/>
  <c r="AS777" i="7"/>
  <c r="AJ777" i="7" s="1"/>
  <c r="AA777" i="7" s="1"/>
  <c r="AC777" i="7"/>
  <c r="AB777" i="7"/>
  <c r="AT777" i="7"/>
  <c r="AK777" i="7" s="1"/>
  <c r="AS1122" i="7"/>
  <c r="AJ1122" i="7" s="1"/>
  <c r="AC1122" i="7"/>
  <c r="AB1122" i="7"/>
  <c r="AT1122" i="7"/>
  <c r="AK1122" i="7" s="1"/>
  <c r="AS360" i="7"/>
  <c r="AJ360" i="7" s="1"/>
  <c r="AA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86" i="7"/>
  <c r="AK886" i="7" s="1"/>
  <c r="AS886" i="7"/>
  <c r="AJ886" i="7" s="1"/>
  <c r="AA886" i="7" s="1"/>
  <c r="AC886" i="7"/>
  <c r="AB886" i="7"/>
  <c r="AT950" i="7"/>
  <c r="AK950" i="7" s="1"/>
  <c r="AS950" i="7"/>
  <c r="AJ950" i="7" s="1"/>
  <c r="AC950" i="7"/>
  <c r="AB950" i="7"/>
  <c r="AS1180" i="7"/>
  <c r="AJ1180" i="7" s="1"/>
  <c r="AC1180" i="7"/>
  <c r="AB1180" i="7"/>
  <c r="AT1180" i="7"/>
  <c r="AK1180" i="7" s="1"/>
  <c r="AS207" i="7"/>
  <c r="AJ207" i="7" s="1"/>
  <c r="AC207" i="7"/>
  <c r="AT207" i="7"/>
  <c r="AK207" i="7" s="1"/>
  <c r="AB207" i="7"/>
  <c r="AT572" i="7"/>
  <c r="AK572" i="7" s="1"/>
  <c r="AC572" i="7"/>
  <c r="AS572" i="7"/>
  <c r="AJ572" i="7" s="1"/>
  <c r="AA572" i="7" s="1"/>
  <c r="AB572" i="7"/>
  <c r="AS989" i="7"/>
  <c r="AJ989" i="7" s="1"/>
  <c r="AC989" i="7"/>
  <c r="AT989" i="7"/>
  <c r="AK989" i="7" s="1"/>
  <c r="AB989" i="7"/>
  <c r="Z200" i="7"/>
  <c r="AS257" i="7"/>
  <c r="AJ257" i="7" s="1"/>
  <c r="AB257" i="7"/>
  <c r="AT257" i="7"/>
  <c r="AK257" i="7" s="1"/>
  <c r="AC257" i="7"/>
  <c r="AT584" i="7"/>
  <c r="AK584" i="7" s="1"/>
  <c r="AC584" i="7"/>
  <c r="AB584" i="7"/>
  <c r="AS584" i="7"/>
  <c r="AJ584" i="7" s="1"/>
  <c r="AA584" i="7" s="1"/>
  <c r="AS942" i="7"/>
  <c r="AJ942" i="7" s="1"/>
  <c r="AC942" i="7"/>
  <c r="AB942" i="7"/>
  <c r="AT942" i="7"/>
  <c r="AK942" i="7" s="1"/>
  <c r="AS514" i="7"/>
  <c r="AJ514" i="7" s="1"/>
  <c r="AA514" i="7" s="1"/>
  <c r="AC514" i="7"/>
  <c r="AT514" i="7"/>
  <c r="AK514" i="7" s="1"/>
  <c r="AB514" i="7"/>
  <c r="AS190" i="7"/>
  <c r="AJ190" i="7" s="1"/>
  <c r="AC190" i="7"/>
  <c r="AB190" i="7"/>
  <c r="AT190" i="7"/>
  <c r="AK190" i="7" s="1"/>
  <c r="AS862" i="7"/>
  <c r="AJ862" i="7" s="1"/>
  <c r="AC862" i="7"/>
  <c r="AT862" i="7"/>
  <c r="AK862" i="7" s="1"/>
  <c r="AB862" i="7"/>
  <c r="AT954" i="7"/>
  <c r="AK954" i="7" s="1"/>
  <c r="AS954" i="7"/>
  <c r="AJ954" i="7" s="1"/>
  <c r="AC954" i="7"/>
  <c r="AB954" i="7"/>
  <c r="AS1138" i="7"/>
  <c r="AJ1138" i="7" s="1"/>
  <c r="AA1138" i="7" s="1"/>
  <c r="AC1138" i="7"/>
  <c r="AB1138" i="7"/>
  <c r="AT1138" i="7"/>
  <c r="AK1138" i="7" s="1"/>
  <c r="AS645" i="7"/>
  <c r="AJ645" i="7" s="1"/>
  <c r="AC645" i="7"/>
  <c r="AB645" i="7"/>
  <c r="AT645" i="7"/>
  <c r="AK645" i="7" s="1"/>
  <c r="AS729" i="7"/>
  <c r="AJ729" i="7" s="1"/>
  <c r="AC729" i="7"/>
  <c r="AB729" i="7"/>
  <c r="AT729" i="7"/>
  <c r="AK729" i="7" s="1"/>
  <c r="AC8" i="7"/>
  <c r="AB8" i="7"/>
  <c r="AT8" i="7"/>
  <c r="AK8" i="7" s="1"/>
  <c r="AS8" i="7"/>
  <c r="AJ8" i="7" s="1"/>
  <c r="AA8" i="7" s="1"/>
  <c r="AS797" i="7"/>
  <c r="AJ797" i="7" s="1"/>
  <c r="AA797" i="7" s="1"/>
  <c r="AC797" i="7"/>
  <c r="AT797" i="7"/>
  <c r="AK797" i="7" s="1"/>
  <c r="AB797" i="7"/>
  <c r="AS912" i="7"/>
  <c r="AJ912" i="7" s="1"/>
  <c r="AB912" i="7"/>
  <c r="AT912" i="7"/>
  <c r="AK912" i="7" s="1"/>
  <c r="AC912" i="7"/>
  <c r="AS1063" i="7"/>
  <c r="AJ1063" i="7" s="1"/>
  <c r="AC1063" i="7"/>
  <c r="AT1063" i="7"/>
  <c r="AK1063" i="7" s="1"/>
  <c r="AB1063" i="7"/>
  <c r="AS1183" i="7"/>
  <c r="AJ1183" i="7" s="1"/>
  <c r="AC1183" i="7"/>
  <c r="AB1183" i="7"/>
  <c r="AT1183" i="7"/>
  <c r="AK1183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2" i="7"/>
  <c r="AB552" i="7"/>
  <c r="AT552" i="7"/>
  <c r="AK552" i="7" s="1"/>
  <c r="AS552" i="7"/>
  <c r="AJ552" i="7" s="1"/>
  <c r="AC895" i="7"/>
  <c r="AT895" i="7"/>
  <c r="AK895" i="7" s="1"/>
  <c r="AB895" i="7"/>
  <c r="AS895" i="7"/>
  <c r="AJ895" i="7" s="1"/>
  <c r="AA895" i="7" s="1"/>
  <c r="AS215" i="7"/>
  <c r="AJ215" i="7" s="1"/>
  <c r="AA215" i="7" s="1"/>
  <c r="AC215" i="7"/>
  <c r="AB215" i="7"/>
  <c r="AT215" i="7"/>
  <c r="AK215" i="7" s="1"/>
  <c r="AT631" i="7"/>
  <c r="AK631" i="7" s="1"/>
  <c r="AB631" i="7"/>
  <c r="AS631" i="7"/>
  <c r="AJ631" i="7" s="1"/>
  <c r="AA631" i="7" s="1"/>
  <c r="AC631" i="7"/>
  <c r="AT743" i="7"/>
  <c r="AK743" i="7" s="1"/>
  <c r="AC743" i="7"/>
  <c r="AS743" i="7"/>
  <c r="AJ743" i="7" s="1"/>
  <c r="AA743" i="7" s="1"/>
  <c r="AB743" i="7"/>
  <c r="AS546" i="7"/>
  <c r="AJ546" i="7" s="1"/>
  <c r="AC546" i="7"/>
  <c r="AB546" i="7"/>
  <c r="AT546" i="7"/>
  <c r="AK546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89" i="7"/>
  <c r="Y981" i="7"/>
  <c r="Z834" i="7"/>
  <c r="Z503" i="7"/>
  <c r="Y530" i="7"/>
  <c r="Y485" i="7"/>
  <c r="AC69" i="7"/>
  <c r="AT69" i="7"/>
  <c r="AK69" i="7" s="1"/>
  <c r="AB69" i="7"/>
  <c r="AS69" i="7"/>
  <c r="AJ69" i="7" s="1"/>
  <c r="AS219" i="7"/>
  <c r="AJ219" i="7" s="1"/>
  <c r="AA219" i="7" s="1"/>
  <c r="AC219" i="7"/>
  <c r="AT219" i="7"/>
  <c r="AK219" i="7" s="1"/>
  <c r="AB219" i="7"/>
  <c r="AT143" i="7"/>
  <c r="AK143" i="7" s="1"/>
  <c r="AB143" i="7"/>
  <c r="AS143" i="7"/>
  <c r="AJ143" i="7" s="1"/>
  <c r="AA143" i="7" s="1"/>
  <c r="AC143" i="7"/>
  <c r="AS477" i="7"/>
  <c r="AJ477" i="7" s="1"/>
  <c r="AC477" i="7"/>
  <c r="AB477" i="7"/>
  <c r="AT477" i="7"/>
  <c r="AK477" i="7" s="1"/>
  <c r="AS779" i="7"/>
  <c r="AJ779" i="7" s="1"/>
  <c r="AA779" i="7" s="1"/>
  <c r="AB779" i="7"/>
  <c r="AC779" i="7"/>
  <c r="AT779" i="7"/>
  <c r="AK779" i="7" s="1"/>
  <c r="AC1147" i="7"/>
  <c r="AB1147" i="7"/>
  <c r="AT1147" i="7"/>
  <c r="AK1147" i="7" s="1"/>
  <c r="AS1147" i="7"/>
  <c r="AJ1147" i="7" s="1"/>
  <c r="AA1147" i="7" s="1"/>
  <c r="AT837" i="7"/>
  <c r="AK837" i="7" s="1"/>
  <c r="AS837" i="7"/>
  <c r="AJ837" i="7" s="1"/>
  <c r="AC837" i="7"/>
  <c r="AB837" i="7"/>
  <c r="AT952" i="7"/>
  <c r="AK952" i="7" s="1"/>
  <c r="AS952" i="7"/>
  <c r="AJ952" i="7" s="1"/>
  <c r="AA952" i="7" s="1"/>
  <c r="AC952" i="7"/>
  <c r="AB952" i="7"/>
  <c r="AT1039" i="7"/>
  <c r="AK1039" i="7" s="1"/>
  <c r="AC1039" i="7"/>
  <c r="AB1039" i="7"/>
  <c r="AS1039" i="7"/>
  <c r="AJ1039" i="7" s="1"/>
  <c r="AS1118" i="7"/>
  <c r="AJ1118" i="7" s="1"/>
  <c r="AA1118" i="7" s="1"/>
  <c r="AC1118" i="7"/>
  <c r="AT1118" i="7"/>
  <c r="AK1118" i="7" s="1"/>
  <c r="AB1118" i="7"/>
  <c r="AT248" i="7"/>
  <c r="AK248" i="7" s="1"/>
  <c r="AC248" i="7"/>
  <c r="AB248" i="7"/>
  <c r="AS248" i="7"/>
  <c r="AJ248" i="7" s="1"/>
  <c r="AS910" i="7"/>
  <c r="AJ910" i="7" s="1"/>
  <c r="AC910" i="7"/>
  <c r="AT910" i="7"/>
  <c r="AK910" i="7" s="1"/>
  <c r="AB910" i="7"/>
  <c r="AS1038" i="7"/>
  <c r="AJ1038" i="7" s="1"/>
  <c r="AA1038" i="7" s="1"/>
  <c r="AC1038" i="7"/>
  <c r="AB1038" i="7"/>
  <c r="AT1038" i="7"/>
  <c r="AK1038" i="7" s="1"/>
  <c r="AS1176" i="7"/>
  <c r="AJ1176" i="7" s="1"/>
  <c r="AA1176" i="7" s="1"/>
  <c r="AC1176" i="7"/>
  <c r="AB1176" i="7"/>
  <c r="AT1176" i="7"/>
  <c r="AK1176" i="7" s="1"/>
  <c r="Z46" i="7"/>
  <c r="Y8" i="7"/>
  <c r="AS328" i="7"/>
  <c r="AJ328" i="7" s="1"/>
  <c r="AA328" i="7" s="1"/>
  <c r="AC328" i="7"/>
  <c r="AB328" i="7"/>
  <c r="AT328" i="7"/>
  <c r="AK328" i="7" s="1"/>
  <c r="AS550" i="7"/>
  <c r="AJ550" i="7" s="1"/>
  <c r="AC550" i="7"/>
  <c r="AB550" i="7"/>
  <c r="AT550" i="7"/>
  <c r="AK550" i="7" s="1"/>
  <c r="AS985" i="7"/>
  <c r="AJ985" i="7" s="1"/>
  <c r="AA985" i="7" s="1"/>
  <c r="AC985" i="7"/>
  <c r="AT985" i="7"/>
  <c r="AK985" i="7" s="1"/>
  <c r="AB985" i="7"/>
  <c r="AC366" i="7"/>
  <c r="AT366" i="7"/>
  <c r="AK366" i="7" s="1"/>
  <c r="AB366" i="7"/>
  <c r="AS366" i="7"/>
  <c r="AJ366" i="7" s="1"/>
  <c r="AS315" i="7"/>
  <c r="AJ315" i="7" s="1"/>
  <c r="AA315" i="7" s="1"/>
  <c r="AC315" i="7"/>
  <c r="AB315" i="7"/>
  <c r="AT315" i="7"/>
  <c r="AK315" i="7" s="1"/>
  <c r="AS150" i="7"/>
  <c r="AJ150" i="7" s="1"/>
  <c r="AC150" i="7"/>
  <c r="AB150" i="7"/>
  <c r="AT150" i="7"/>
  <c r="AK150" i="7" s="1"/>
  <c r="AT517" i="7"/>
  <c r="AK517" i="7" s="1"/>
  <c r="AC517" i="7"/>
  <c r="AS517" i="7"/>
  <c r="AJ517" i="7" s="1"/>
  <c r="AB517" i="7"/>
  <c r="AS776" i="7"/>
  <c r="AJ776" i="7" s="1"/>
  <c r="AA776" i="7" s="1"/>
  <c r="AB776" i="7"/>
  <c r="AC776" i="7"/>
  <c r="AT776" i="7"/>
  <c r="AK776" i="7" s="1"/>
  <c r="AS1144" i="7"/>
  <c r="AJ1144" i="7" s="1"/>
  <c r="AA1144" i="7" s="1"/>
  <c r="AC1144" i="7"/>
  <c r="AB1144" i="7"/>
  <c r="AT1144" i="7"/>
  <c r="AK1144" i="7" s="1"/>
  <c r="AT346" i="7"/>
  <c r="AK346" i="7" s="1"/>
  <c r="AB346" i="7"/>
  <c r="AS346" i="7"/>
  <c r="AJ346" i="7" s="1"/>
  <c r="AA346" i="7" s="1"/>
  <c r="AC346" i="7"/>
  <c r="AT438" i="7"/>
  <c r="AK438" i="7" s="1"/>
  <c r="AS438" i="7"/>
  <c r="AJ438" i="7" s="1"/>
  <c r="AC438" i="7"/>
  <c r="AB438" i="7"/>
  <c r="AT709" i="7"/>
  <c r="AK709" i="7" s="1"/>
  <c r="AS709" i="7"/>
  <c r="AJ709" i="7" s="1"/>
  <c r="AA709" i="7" s="1"/>
  <c r="AC709" i="7"/>
  <c r="AB709" i="7"/>
  <c r="AS425" i="7"/>
  <c r="AJ425" i="7" s="1"/>
  <c r="AA425" i="7" s="1"/>
  <c r="AC425" i="7"/>
  <c r="AB425" i="7"/>
  <c r="AT425" i="7"/>
  <c r="AK425" i="7" s="1"/>
  <c r="AC727" i="7"/>
  <c r="AB727" i="7"/>
  <c r="AT727" i="7"/>
  <c r="AK727" i="7" s="1"/>
  <c r="AS727" i="7"/>
  <c r="AJ727" i="7" s="1"/>
  <c r="AC1128" i="7"/>
  <c r="AS1128" i="7"/>
  <c r="AJ1128" i="7" s="1"/>
  <c r="AA1128" i="7" s="1"/>
  <c r="AB1128" i="7"/>
  <c r="AT1128" i="7"/>
  <c r="AK1128" i="7" s="1"/>
  <c r="AS542" i="7"/>
  <c r="AJ542" i="7" s="1"/>
  <c r="AA542" i="7" s="1"/>
  <c r="AC542" i="7"/>
  <c r="AB542" i="7"/>
  <c r="AT542" i="7"/>
  <c r="AK542" i="7" s="1"/>
  <c r="AS368" i="7"/>
  <c r="AJ368" i="7" s="1"/>
  <c r="AA368" i="7" s="1"/>
  <c r="AC368" i="7"/>
  <c r="AB368" i="7"/>
  <c r="AT368" i="7"/>
  <c r="AK368" i="7" s="1"/>
  <c r="AS562" i="7"/>
  <c r="AJ562" i="7" s="1"/>
  <c r="AC562" i="7"/>
  <c r="AT562" i="7"/>
  <c r="AK562" i="7" s="1"/>
  <c r="AB562" i="7"/>
  <c r="AS680" i="7"/>
  <c r="AJ680" i="7" s="1"/>
  <c r="AA680" i="7" s="1"/>
  <c r="AC680" i="7"/>
  <c r="AB680" i="7"/>
  <c r="AT680" i="7"/>
  <c r="AK680" i="7" s="1"/>
  <c r="Z138" i="7"/>
  <c r="AB41" i="7"/>
  <c r="AS41" i="7"/>
  <c r="AJ41" i="7" s="1"/>
  <c r="AA41" i="7" s="1"/>
  <c r="AT41" i="7"/>
  <c r="AK41" i="7" s="1"/>
  <c r="AC41" i="7"/>
  <c r="AS628" i="7"/>
  <c r="AJ628" i="7" s="1"/>
  <c r="AC628" i="7"/>
  <c r="AB628" i="7"/>
  <c r="AT628" i="7"/>
  <c r="AK628" i="7" s="1"/>
  <c r="AT113" i="7"/>
  <c r="AK113" i="7" s="1"/>
  <c r="AB113" i="7"/>
  <c r="AS113" i="7"/>
  <c r="AJ113" i="7" s="1"/>
  <c r="AA113" i="7" s="1"/>
  <c r="AC113" i="7"/>
  <c r="AS488" i="7"/>
  <c r="AJ488" i="7" s="1"/>
  <c r="AA488" i="7" s="1"/>
  <c r="AC488" i="7"/>
  <c r="AT488" i="7"/>
  <c r="AK488" i="7" s="1"/>
  <c r="AB488" i="7"/>
  <c r="AT800" i="7"/>
  <c r="AK800" i="7" s="1"/>
  <c r="AC800" i="7"/>
  <c r="AS800" i="7"/>
  <c r="AJ800" i="7" s="1"/>
  <c r="AB800" i="7"/>
  <c r="AS1168" i="7"/>
  <c r="AJ1168" i="7" s="1"/>
  <c r="AC1168" i="7"/>
  <c r="AB1168" i="7"/>
  <c r="AT1168" i="7"/>
  <c r="AK1168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0" i="7"/>
  <c r="AJ840" i="7" s="1"/>
  <c r="AC840" i="7"/>
  <c r="AB840" i="7"/>
  <c r="AT840" i="7"/>
  <c r="AK840" i="7" s="1"/>
  <c r="AT1037" i="7"/>
  <c r="AK1037" i="7" s="1"/>
  <c r="AC1037" i="7"/>
  <c r="AB1037" i="7"/>
  <c r="AS1037" i="7"/>
  <c r="AJ1037" i="7" s="1"/>
  <c r="AA1037" i="7" s="1"/>
  <c r="AT1116" i="7"/>
  <c r="AK1116" i="7" s="1"/>
  <c r="AB1116" i="7"/>
  <c r="AS1116" i="7"/>
  <c r="AJ1116" i="7" s="1"/>
  <c r="AC1116" i="7"/>
  <c r="AT258" i="7"/>
  <c r="AK258" i="7" s="1"/>
  <c r="AC258" i="7"/>
  <c r="AS258" i="7"/>
  <c r="AJ258" i="7" s="1"/>
  <c r="AB258" i="7"/>
  <c r="AS606" i="7"/>
  <c r="AJ606" i="7" s="1"/>
  <c r="AC606" i="7"/>
  <c r="AB606" i="7"/>
  <c r="AT606" i="7"/>
  <c r="AK606" i="7" s="1"/>
  <c r="AB966" i="7"/>
  <c r="AC966" i="7"/>
  <c r="AT966" i="7"/>
  <c r="AK966" i="7" s="1"/>
  <c r="AS966" i="7"/>
  <c r="AJ966" i="7" s="1"/>
  <c r="AA966" i="7" s="1"/>
  <c r="Z197" i="7"/>
  <c r="AC229" i="7"/>
  <c r="AB229" i="7"/>
  <c r="AT229" i="7"/>
  <c r="AK229" i="7" s="1"/>
  <c r="AS229" i="7"/>
  <c r="AJ229" i="7" s="1"/>
  <c r="AA229" i="7" s="1"/>
  <c r="AT592" i="7"/>
  <c r="AK592" i="7" s="1"/>
  <c r="AB592" i="7"/>
  <c r="AS592" i="7"/>
  <c r="AJ592" i="7" s="1"/>
  <c r="AA592" i="7" s="1"/>
  <c r="AC592" i="7"/>
  <c r="AC1034" i="7"/>
  <c r="AB1034" i="7"/>
  <c r="AT1034" i="7"/>
  <c r="AK1034" i="7" s="1"/>
  <c r="AS1034" i="7"/>
  <c r="AJ1034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0" i="7"/>
  <c r="AK890" i="7" s="1"/>
  <c r="AS890" i="7"/>
  <c r="AJ890" i="7" s="1"/>
  <c r="AC890" i="7"/>
  <c r="AB890" i="7"/>
  <c r="AS977" i="7"/>
  <c r="AJ977" i="7" s="1"/>
  <c r="AC977" i="7"/>
  <c r="AB977" i="7"/>
  <c r="AT977" i="7"/>
  <c r="AK977" i="7" s="1"/>
  <c r="AS1161" i="7"/>
  <c r="AJ1161" i="7" s="1"/>
  <c r="AA1161" i="7" s="1"/>
  <c r="AC1161" i="7"/>
  <c r="AB1161" i="7"/>
  <c r="AT1161" i="7"/>
  <c r="AK1161" i="7" s="1"/>
  <c r="AS622" i="7"/>
  <c r="AJ622" i="7" s="1"/>
  <c r="AA622" i="7" s="1"/>
  <c r="AC622" i="7"/>
  <c r="AT622" i="7"/>
  <c r="AK622" i="7" s="1"/>
  <c r="AB622" i="7"/>
  <c r="AS757" i="7"/>
  <c r="AJ757" i="7" s="1"/>
  <c r="AA757" i="7" s="1"/>
  <c r="AC757" i="7"/>
  <c r="AB757" i="7"/>
  <c r="AT757" i="7"/>
  <c r="AK757" i="7" s="1"/>
  <c r="AS54" i="7"/>
  <c r="AJ54" i="7" s="1"/>
  <c r="AB54" i="7"/>
  <c r="AT54" i="7"/>
  <c r="AK54" i="7" s="1"/>
  <c r="AC54" i="7"/>
  <c r="AS815" i="7"/>
  <c r="AJ815" i="7" s="1"/>
  <c r="AA815" i="7" s="1"/>
  <c r="AC815" i="7"/>
  <c r="AB815" i="7"/>
  <c r="AT815" i="7"/>
  <c r="AK815" i="7" s="1"/>
  <c r="AS925" i="7"/>
  <c r="AJ925" i="7" s="1"/>
  <c r="AA925" i="7" s="1"/>
  <c r="AC925" i="7"/>
  <c r="AT925" i="7"/>
  <c r="AK925" i="7" s="1"/>
  <c r="AB925" i="7"/>
  <c r="AT1068" i="7"/>
  <c r="AK1068" i="7" s="1"/>
  <c r="AS1068" i="7"/>
  <c r="AJ1068" i="7" s="1"/>
  <c r="AC1068" i="7"/>
  <c r="AB1068" i="7"/>
  <c r="AT1155" i="7"/>
  <c r="AK1155" i="7" s="1"/>
  <c r="AB1155" i="7"/>
  <c r="AS1155" i="7"/>
  <c r="AJ1155" i="7" s="1"/>
  <c r="AA1155" i="7" s="1"/>
  <c r="AC1155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29" i="7"/>
  <c r="AK529" i="7" s="1"/>
  <c r="AC529" i="7"/>
  <c r="AB529" i="7"/>
  <c r="AS529" i="7"/>
  <c r="AJ529" i="7" s="1"/>
  <c r="AS918" i="7"/>
  <c r="AJ918" i="7" s="1"/>
  <c r="AC918" i="7"/>
  <c r="AB918" i="7"/>
  <c r="AT918" i="7"/>
  <c r="AK918" i="7" s="1"/>
  <c r="AT197" i="7"/>
  <c r="AK197" i="7" s="1"/>
  <c r="AS197" i="7"/>
  <c r="AJ197" i="7" s="1"/>
  <c r="AC197" i="7"/>
  <c r="AB197" i="7"/>
  <c r="AS649" i="7"/>
  <c r="AJ649" i="7" s="1"/>
  <c r="AA649" i="7" s="1"/>
  <c r="AC649" i="7"/>
  <c r="AB649" i="7"/>
  <c r="AT649" i="7"/>
  <c r="AK649" i="7" s="1"/>
  <c r="AS771" i="7"/>
  <c r="AJ771" i="7" s="1"/>
  <c r="AA771" i="7" s="1"/>
  <c r="AC771" i="7"/>
  <c r="AB771" i="7"/>
  <c r="AT771" i="7"/>
  <c r="AK771" i="7" s="1"/>
  <c r="AT334" i="7"/>
  <c r="AK334" i="7" s="1"/>
  <c r="AC334" i="7"/>
  <c r="AB334" i="7"/>
  <c r="AS334" i="7"/>
  <c r="AJ334" i="7" s="1"/>
  <c r="AA334" i="7" s="1"/>
  <c r="AC390" i="7"/>
  <c r="AT390" i="7"/>
  <c r="AK390" i="7" s="1"/>
  <c r="AB390" i="7"/>
  <c r="AS390" i="7"/>
  <c r="AJ390" i="7" s="1"/>
  <c r="Y1160" i="7"/>
  <c r="Y1122" i="7"/>
  <c r="Y1150" i="7"/>
  <c r="Y1117" i="7"/>
  <c r="Y1142" i="7"/>
  <c r="Z1144" i="7"/>
  <c r="Y960" i="7"/>
  <c r="Y911" i="7"/>
  <c r="Z848" i="7"/>
  <c r="Y858" i="7"/>
  <c r="Y808" i="7"/>
  <c r="Y776" i="7"/>
  <c r="Z764" i="7"/>
  <c r="Y780" i="7"/>
  <c r="Z776" i="7"/>
  <c r="Y754" i="7"/>
  <c r="Y745" i="7"/>
  <c r="Z713" i="7"/>
  <c r="Y724" i="7"/>
  <c r="Z752" i="7"/>
  <c r="Z705" i="7"/>
  <c r="Y651" i="7"/>
  <c r="Y632" i="7"/>
  <c r="Z581" i="7"/>
  <c r="Y584" i="7"/>
  <c r="Y580" i="7"/>
  <c r="Z560" i="7"/>
  <c r="Z591" i="7"/>
  <c r="Y523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A86" i="7" s="1"/>
  <c r="AC86" i="7"/>
  <c r="AB86" i="7"/>
  <c r="AT86" i="7"/>
  <c r="AK86" i="7" s="1"/>
  <c r="AT191" i="7"/>
  <c r="AK191" i="7" s="1"/>
  <c r="AB191" i="7"/>
  <c r="AC191" i="7"/>
  <c r="AS191" i="7"/>
  <c r="AJ191" i="7" s="1"/>
  <c r="AA191" i="7" s="1"/>
  <c r="AS120" i="7"/>
  <c r="AJ120" i="7" s="1"/>
  <c r="AC120" i="7"/>
  <c r="AB120" i="7"/>
  <c r="AT120" i="7"/>
  <c r="AK120" i="7" s="1"/>
  <c r="AB500" i="7"/>
  <c r="AT500" i="7"/>
  <c r="AK500" i="7" s="1"/>
  <c r="AS500" i="7"/>
  <c r="AJ500" i="7" s="1"/>
  <c r="AC500" i="7"/>
  <c r="AS825" i="7"/>
  <c r="AJ825" i="7" s="1"/>
  <c r="AA825" i="7" s="1"/>
  <c r="AC825" i="7"/>
  <c r="AB825" i="7"/>
  <c r="AT825" i="7"/>
  <c r="AK825" i="7" s="1"/>
  <c r="AC1170" i="7"/>
  <c r="AB1170" i="7"/>
  <c r="AT1170" i="7"/>
  <c r="AK1170" i="7" s="1"/>
  <c r="AS1170" i="7"/>
  <c r="AJ1170" i="7" s="1"/>
  <c r="AS814" i="7"/>
  <c r="AJ814" i="7" s="1"/>
  <c r="AC814" i="7"/>
  <c r="AB814" i="7"/>
  <c r="AT814" i="7"/>
  <c r="AK814" i="7" s="1"/>
  <c r="AT947" i="7"/>
  <c r="AK947" i="7" s="1"/>
  <c r="AS947" i="7"/>
  <c r="AJ947" i="7" s="1"/>
  <c r="AA947" i="7" s="1"/>
  <c r="AC947" i="7"/>
  <c r="AB947" i="7"/>
  <c r="AC1044" i="7"/>
  <c r="AB1044" i="7"/>
  <c r="AT1044" i="7"/>
  <c r="AK1044" i="7" s="1"/>
  <c r="AS1044" i="7"/>
  <c r="AJ1044" i="7" s="1"/>
  <c r="AC1136" i="7"/>
  <c r="AB1136" i="7"/>
  <c r="AT1136" i="7"/>
  <c r="AK1136" i="7" s="1"/>
  <c r="AS1136" i="7"/>
  <c r="AJ1136" i="7" s="1"/>
  <c r="AS785" i="7"/>
  <c r="AJ785" i="7" s="1"/>
  <c r="AC785" i="7"/>
  <c r="AT785" i="7"/>
  <c r="AK785" i="7" s="1"/>
  <c r="AB785" i="7"/>
  <c r="AT951" i="7"/>
  <c r="AK951" i="7" s="1"/>
  <c r="AS951" i="7"/>
  <c r="AJ951" i="7" s="1"/>
  <c r="AA951" i="7" s="1"/>
  <c r="AC951" i="7"/>
  <c r="AB951" i="7"/>
  <c r="AT1002" i="7"/>
  <c r="AK1002" i="7" s="1"/>
  <c r="AC1002" i="7"/>
  <c r="AS1002" i="7"/>
  <c r="AJ1002" i="7" s="1"/>
  <c r="AB1002" i="7"/>
  <c r="AS1107" i="7"/>
  <c r="AJ1107" i="7" s="1"/>
  <c r="AC1107" i="7"/>
  <c r="AB1107" i="7"/>
  <c r="AT1107" i="7"/>
  <c r="AK1107" i="7" s="1"/>
  <c r="Z43" i="7"/>
  <c r="Z5" i="7"/>
  <c r="AC254" i="7"/>
  <c r="AB254" i="7"/>
  <c r="AT254" i="7"/>
  <c r="AK254" i="7" s="1"/>
  <c r="AS254" i="7"/>
  <c r="AJ254" i="7" s="1"/>
  <c r="AA254" i="7" s="1"/>
  <c r="AS589" i="7"/>
  <c r="AJ589" i="7" s="1"/>
  <c r="AC589" i="7"/>
  <c r="AT589" i="7"/>
  <c r="AK589" i="7" s="1"/>
  <c r="AB589" i="7"/>
  <c r="AT962" i="7"/>
  <c r="AK962" i="7" s="1"/>
  <c r="AC962" i="7"/>
  <c r="AS962" i="7"/>
  <c r="AJ962" i="7" s="1"/>
  <c r="AB962" i="7"/>
  <c r="AC325" i="7"/>
  <c r="AB325" i="7"/>
  <c r="AT325" i="7"/>
  <c r="AK325" i="7" s="1"/>
  <c r="AS325" i="7"/>
  <c r="AJ325" i="7" s="1"/>
  <c r="AA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A145" i="7" s="1"/>
  <c r="AT418" i="7"/>
  <c r="AK418" i="7" s="1"/>
  <c r="AS418" i="7"/>
  <c r="AJ418" i="7" s="1"/>
  <c r="AC418" i="7"/>
  <c r="AB418" i="7"/>
  <c r="AT748" i="7"/>
  <c r="AK748" i="7" s="1"/>
  <c r="AS748" i="7"/>
  <c r="AJ748" i="7" s="1"/>
  <c r="AA748" i="7" s="1"/>
  <c r="AC748" i="7"/>
  <c r="AB748" i="7"/>
  <c r="AS1167" i="7"/>
  <c r="AJ1167" i="7" s="1"/>
  <c r="AA1167" i="7" s="1"/>
  <c r="AC1167" i="7"/>
  <c r="AT1167" i="7"/>
  <c r="AK1167" i="7" s="1"/>
  <c r="AB1167" i="7"/>
  <c r="AB341" i="7"/>
  <c r="AT341" i="7"/>
  <c r="AK341" i="7" s="1"/>
  <c r="AS341" i="7"/>
  <c r="AJ341" i="7" s="1"/>
  <c r="AA341" i="7" s="1"/>
  <c r="AC341" i="7"/>
  <c r="AS456" i="7"/>
  <c r="AJ456" i="7" s="1"/>
  <c r="AA456" i="7" s="1"/>
  <c r="AT456" i="7"/>
  <c r="AK456" i="7" s="1"/>
  <c r="AC456" i="7"/>
  <c r="AB456" i="7"/>
  <c r="AS676" i="7"/>
  <c r="AJ676" i="7" s="1"/>
  <c r="AC676" i="7"/>
  <c r="AB676" i="7"/>
  <c r="AT676" i="7"/>
  <c r="AK676" i="7" s="1"/>
  <c r="AS453" i="7"/>
  <c r="AJ453" i="7" s="1"/>
  <c r="AA453" i="7" s="1"/>
  <c r="AT453" i="7"/>
  <c r="AK453" i="7" s="1"/>
  <c r="AC453" i="7"/>
  <c r="AB453" i="7"/>
  <c r="AC806" i="7"/>
  <c r="AT806" i="7"/>
  <c r="AK806" i="7" s="1"/>
  <c r="AB806" i="7"/>
  <c r="AS806" i="7"/>
  <c r="AJ806" i="7" s="1"/>
  <c r="AA806" i="7" s="1"/>
  <c r="AC1082" i="7"/>
  <c r="AT1082" i="7"/>
  <c r="AK1082" i="7" s="1"/>
  <c r="AB1082" i="7"/>
  <c r="AS1082" i="7"/>
  <c r="AJ1082" i="7" s="1"/>
  <c r="AA1082" i="7" s="1"/>
  <c r="AS164" i="7"/>
  <c r="AJ164" i="7" s="1"/>
  <c r="AA164" i="7" s="1"/>
  <c r="AC164" i="7"/>
  <c r="AB164" i="7"/>
  <c r="AT164" i="7"/>
  <c r="AK164" i="7" s="1"/>
  <c r="AS391" i="7"/>
  <c r="AJ391" i="7" s="1"/>
  <c r="AA391" i="7" s="1"/>
  <c r="AC391" i="7"/>
  <c r="AB391" i="7"/>
  <c r="AT391" i="7"/>
  <c r="AK391" i="7" s="1"/>
  <c r="AT575" i="7"/>
  <c r="AK575" i="7" s="1"/>
  <c r="AC575" i="7"/>
  <c r="AS575" i="7"/>
  <c r="AJ575" i="7" s="1"/>
  <c r="AB575" i="7"/>
  <c r="AT708" i="7"/>
  <c r="AK708" i="7" s="1"/>
  <c r="AS708" i="7"/>
  <c r="AJ708" i="7" s="1"/>
  <c r="AC708" i="7"/>
  <c r="AB708" i="7"/>
  <c r="Y107" i="7"/>
  <c r="AT646" i="7"/>
  <c r="AK646" i="7" s="1"/>
  <c r="AB646" i="7"/>
  <c r="AS646" i="7"/>
  <c r="AJ646" i="7" s="1"/>
  <c r="AC646" i="7"/>
  <c r="AS5" i="7"/>
  <c r="AJ5" i="7" s="1"/>
  <c r="AA5" i="7" s="1"/>
  <c r="AC5" i="7"/>
  <c r="AB5" i="7"/>
  <c r="AT5" i="7"/>
  <c r="AK5" i="7" s="1"/>
  <c r="AS90" i="7"/>
  <c r="AJ90" i="7" s="1"/>
  <c r="AC90" i="7"/>
  <c r="AT90" i="7"/>
  <c r="AK90" i="7" s="1"/>
  <c r="AB90" i="7"/>
  <c r="AT498" i="7"/>
  <c r="AK498" i="7" s="1"/>
  <c r="AS498" i="7"/>
  <c r="AJ498" i="7" s="1"/>
  <c r="AA498" i="7" s="1"/>
  <c r="AC498" i="7"/>
  <c r="AB498" i="7"/>
  <c r="AS823" i="7"/>
  <c r="AJ823" i="7" s="1"/>
  <c r="AC823" i="7"/>
  <c r="AB823" i="7"/>
  <c r="AT823" i="7"/>
  <c r="AK823" i="7" s="1"/>
  <c r="AS1191" i="7"/>
  <c r="AJ1191" i="7" s="1"/>
  <c r="AA1191" i="7" s="1"/>
  <c r="AC1191" i="7"/>
  <c r="AB1191" i="7"/>
  <c r="AT1191" i="7"/>
  <c r="AK1191" i="7" s="1"/>
  <c r="AT342" i="7"/>
  <c r="AK342" i="7" s="1"/>
  <c r="AB342" i="7"/>
  <c r="AS342" i="7"/>
  <c r="AJ342" i="7" s="1"/>
  <c r="AA342" i="7" s="1"/>
  <c r="AC342" i="7"/>
  <c r="AC434" i="7"/>
  <c r="AB434" i="7"/>
  <c r="AT434" i="7"/>
  <c r="AK434" i="7" s="1"/>
  <c r="AS434" i="7"/>
  <c r="AJ434" i="7" s="1"/>
  <c r="AA434" i="7" s="1"/>
  <c r="AC237" i="7"/>
  <c r="AB237" i="7"/>
  <c r="AT237" i="7"/>
  <c r="AK237" i="7" s="1"/>
  <c r="AS237" i="7"/>
  <c r="AJ237" i="7" s="1"/>
  <c r="AA237" i="7" s="1"/>
  <c r="AS858" i="7"/>
  <c r="AJ858" i="7" s="1"/>
  <c r="AA858" i="7" s="1"/>
  <c r="AC858" i="7"/>
  <c r="AT858" i="7"/>
  <c r="AK858" i="7" s="1"/>
  <c r="AB858" i="7"/>
  <c r="AS1019" i="7"/>
  <c r="AJ1019" i="7" s="1"/>
  <c r="AC1019" i="7"/>
  <c r="AB1019" i="7"/>
  <c r="AT1019" i="7"/>
  <c r="AK1019" i="7" s="1"/>
  <c r="AS1083" i="7"/>
  <c r="AJ1083" i="7" s="1"/>
  <c r="AC1083" i="7"/>
  <c r="AB1083" i="7"/>
  <c r="AT1083" i="7"/>
  <c r="AK1083" i="7" s="1"/>
  <c r="AC309" i="7"/>
  <c r="AT309" i="7"/>
  <c r="AK309" i="7" s="1"/>
  <c r="AB309" i="7"/>
  <c r="AS309" i="7"/>
  <c r="AJ309" i="7" s="1"/>
  <c r="AA309" i="7" s="1"/>
  <c r="AS614" i="7"/>
  <c r="AJ614" i="7" s="1"/>
  <c r="AA614" i="7" s="1"/>
  <c r="AC614" i="7"/>
  <c r="AT614" i="7"/>
  <c r="AK614" i="7" s="1"/>
  <c r="AB614" i="7"/>
  <c r="AC1012" i="7"/>
  <c r="AT1012" i="7"/>
  <c r="AK1012" i="7" s="1"/>
  <c r="AB1012" i="7"/>
  <c r="AS1012" i="7"/>
  <c r="AJ1012" i="7" s="1"/>
  <c r="AA1012" i="7" s="1"/>
  <c r="Z170" i="7"/>
  <c r="AB308" i="7"/>
  <c r="AT308" i="7"/>
  <c r="AK308" i="7" s="1"/>
  <c r="AS308" i="7"/>
  <c r="AJ308" i="7" s="1"/>
  <c r="AA308" i="7" s="1"/>
  <c r="AC308" i="7"/>
  <c r="AT571" i="7"/>
  <c r="AK571" i="7" s="1"/>
  <c r="AS571" i="7"/>
  <c r="AJ571" i="7" s="1"/>
  <c r="AC571" i="7"/>
  <c r="AB571" i="7"/>
  <c r="AS965" i="7"/>
  <c r="AJ965" i="7" s="1"/>
  <c r="AA965" i="7" s="1"/>
  <c r="AC965" i="7"/>
  <c r="AB965" i="7"/>
  <c r="AT965" i="7"/>
  <c r="AK965" i="7" s="1"/>
  <c r="AS494" i="7"/>
  <c r="AJ494" i="7" s="1"/>
  <c r="AA494" i="7" s="1"/>
  <c r="AC494" i="7"/>
  <c r="AB494" i="7"/>
  <c r="AT494" i="7"/>
  <c r="AK494" i="7" s="1"/>
  <c r="AB241" i="7"/>
  <c r="AT241" i="7"/>
  <c r="AK241" i="7" s="1"/>
  <c r="AS241" i="7"/>
  <c r="AJ241" i="7" s="1"/>
  <c r="AA241" i="7" s="1"/>
  <c r="AC241" i="7"/>
  <c r="AT867" i="7"/>
  <c r="AK867" i="7" s="1"/>
  <c r="AC867" i="7"/>
  <c r="AS867" i="7"/>
  <c r="AJ867" i="7" s="1"/>
  <c r="AA867" i="7" s="1"/>
  <c r="AB867" i="7"/>
  <c r="AT1000" i="7"/>
  <c r="AK1000" i="7" s="1"/>
  <c r="AC1000" i="7"/>
  <c r="AS1000" i="7"/>
  <c r="AJ1000" i="7" s="1"/>
  <c r="AB1000" i="7"/>
  <c r="AT1120" i="7"/>
  <c r="AK1120" i="7" s="1"/>
  <c r="AB1120" i="7"/>
  <c r="AC1120" i="7"/>
  <c r="AS1120" i="7"/>
  <c r="AJ1120" i="7" s="1"/>
  <c r="AS660" i="7"/>
  <c r="AJ660" i="7" s="1"/>
  <c r="AA660" i="7" s="1"/>
  <c r="AC660" i="7"/>
  <c r="AB660" i="7"/>
  <c r="AT660" i="7"/>
  <c r="AK660" i="7" s="1"/>
  <c r="AC734" i="7"/>
  <c r="AB734" i="7"/>
  <c r="AT734" i="7"/>
  <c r="AK734" i="7" s="1"/>
  <c r="AS734" i="7"/>
  <c r="AJ734" i="7" s="1"/>
  <c r="AC105" i="7"/>
  <c r="AT105" i="7"/>
  <c r="AK105" i="7" s="1"/>
  <c r="AB105" i="7"/>
  <c r="AS105" i="7"/>
  <c r="AJ105" i="7" s="1"/>
  <c r="AT833" i="7"/>
  <c r="AK833" i="7" s="1"/>
  <c r="AS833" i="7"/>
  <c r="AJ833" i="7" s="1"/>
  <c r="AA833" i="7" s="1"/>
  <c r="AC833" i="7"/>
  <c r="AB833" i="7"/>
  <c r="AS981" i="7"/>
  <c r="AJ981" i="7" s="1"/>
  <c r="AA981" i="7" s="1"/>
  <c r="AC981" i="7"/>
  <c r="AT981" i="7"/>
  <c r="AK981" i="7" s="1"/>
  <c r="AB981" i="7"/>
  <c r="AT1040" i="7"/>
  <c r="AK1040" i="7" s="1"/>
  <c r="AC1040" i="7"/>
  <c r="AS1040" i="7"/>
  <c r="AJ1040" i="7" s="1"/>
  <c r="AA1040" i="7" s="1"/>
  <c r="AB1040" i="7"/>
  <c r="AS1188" i="7"/>
  <c r="AJ1188" i="7" s="1"/>
  <c r="AA1188" i="7" s="1"/>
  <c r="AC1188" i="7"/>
  <c r="AB1188" i="7"/>
  <c r="AT1188" i="7"/>
  <c r="AK1188" i="7" s="1"/>
  <c r="AT24" i="7"/>
  <c r="AK24" i="7" s="1"/>
  <c r="AB24" i="7"/>
  <c r="AS24" i="7"/>
  <c r="AJ24" i="7" s="1"/>
  <c r="AA24" i="7" s="1"/>
  <c r="AC24" i="7"/>
  <c r="AT256" i="7"/>
  <c r="AK256" i="7" s="1"/>
  <c r="AC256" i="7"/>
  <c r="AS256" i="7"/>
  <c r="AJ256" i="7" s="1"/>
  <c r="AB256" i="7"/>
  <c r="AT570" i="7"/>
  <c r="AK570" i="7" s="1"/>
  <c r="AC570" i="7"/>
  <c r="AS570" i="7"/>
  <c r="AJ570" i="7" s="1"/>
  <c r="AA570" i="7" s="1"/>
  <c r="AB570" i="7"/>
  <c r="AT941" i="7"/>
  <c r="AK941" i="7" s="1"/>
  <c r="AS941" i="7"/>
  <c r="AJ941" i="7" s="1"/>
  <c r="AC941" i="7"/>
  <c r="AB941" i="7"/>
  <c r="AS483" i="7"/>
  <c r="AJ483" i="7" s="1"/>
  <c r="AA483" i="7" s="1"/>
  <c r="AC483" i="7"/>
  <c r="AB483" i="7"/>
  <c r="AT483" i="7"/>
  <c r="AK483" i="7" s="1"/>
  <c r="AS677" i="7"/>
  <c r="AJ677" i="7" s="1"/>
  <c r="AA677" i="7" s="1"/>
  <c r="AC677" i="7"/>
  <c r="AB677" i="7"/>
  <c r="AT677" i="7"/>
  <c r="AK677" i="7" s="1"/>
  <c r="AA23" i="7"/>
  <c r="AT362" i="7"/>
  <c r="AK362" i="7" s="1"/>
  <c r="AB362" i="7"/>
  <c r="AS362" i="7"/>
  <c r="AJ362" i="7" s="1"/>
  <c r="AA362" i="7" s="1"/>
  <c r="AC362" i="7"/>
  <c r="AS469" i="7"/>
  <c r="AJ469" i="7" s="1"/>
  <c r="AA469" i="7" s="1"/>
  <c r="AC469" i="7"/>
  <c r="AT469" i="7"/>
  <c r="AK469" i="7" s="1"/>
  <c r="AB469" i="7"/>
  <c r="Y1138" i="7"/>
  <c r="Y1067" i="7"/>
  <c r="Z1032" i="7"/>
  <c r="Y1032" i="7"/>
  <c r="Z976" i="7"/>
  <c r="Y975" i="7"/>
  <c r="Y969" i="7"/>
  <c r="Z931" i="7"/>
  <c r="Y949" i="7"/>
  <c r="Z884" i="7"/>
  <c r="Z826" i="7"/>
  <c r="Y803" i="7"/>
  <c r="Y718" i="7"/>
  <c r="Y712" i="7"/>
  <c r="Y647" i="7"/>
  <c r="Y621" i="7"/>
  <c r="Y636" i="7"/>
  <c r="Z701" i="7"/>
  <c r="Z584" i="7"/>
  <c r="Z571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A482" i="7" s="1"/>
  <c r="AT97" i="7"/>
  <c r="AK97" i="7" s="1"/>
  <c r="AB97" i="7"/>
  <c r="AC97" i="7"/>
  <c r="AS97" i="7"/>
  <c r="AJ97" i="7" s="1"/>
  <c r="AA97" i="7" s="1"/>
  <c r="AC490" i="7"/>
  <c r="AB490" i="7"/>
  <c r="AT490" i="7"/>
  <c r="AK490" i="7" s="1"/>
  <c r="AS490" i="7"/>
  <c r="AJ490" i="7" s="1"/>
  <c r="AA490" i="7" s="1"/>
  <c r="AT802" i="7"/>
  <c r="AK802" i="7" s="1"/>
  <c r="AC802" i="7"/>
  <c r="AS802" i="7"/>
  <c r="AJ802" i="7" s="1"/>
  <c r="AB802" i="7"/>
  <c r="AT1193" i="7"/>
  <c r="AK1193" i="7" s="1"/>
  <c r="AS1193" i="7"/>
  <c r="AJ1193" i="7" s="1"/>
  <c r="AC1193" i="7"/>
  <c r="AB1193" i="7"/>
  <c r="AT786" i="7"/>
  <c r="AK786" i="7" s="1"/>
  <c r="AC786" i="7"/>
  <c r="AS786" i="7"/>
  <c r="AJ786" i="7" s="1"/>
  <c r="AA786" i="7" s="1"/>
  <c r="AB786" i="7"/>
  <c r="AS929" i="7"/>
  <c r="AJ929" i="7" s="1"/>
  <c r="AC929" i="7"/>
  <c r="AT929" i="7"/>
  <c r="AK929" i="7" s="1"/>
  <c r="AB929" i="7"/>
  <c r="AC1049" i="7"/>
  <c r="AB1049" i="7"/>
  <c r="AT1049" i="7"/>
  <c r="AK1049" i="7" s="1"/>
  <c r="AS1049" i="7"/>
  <c r="AJ1049" i="7" s="1"/>
  <c r="AA1049" i="7" s="1"/>
  <c r="AS1164" i="7"/>
  <c r="AJ1164" i="7" s="1"/>
  <c r="AC1164" i="7"/>
  <c r="AB1164" i="7"/>
  <c r="AT1164" i="7"/>
  <c r="AK1164" i="7" s="1"/>
  <c r="AT795" i="7"/>
  <c r="AK795" i="7" s="1"/>
  <c r="AC795" i="7"/>
  <c r="AS795" i="7"/>
  <c r="AJ795" i="7" s="1"/>
  <c r="AA795" i="7" s="1"/>
  <c r="AB795" i="7"/>
  <c r="AB900" i="7"/>
  <c r="AT900" i="7"/>
  <c r="AK900" i="7" s="1"/>
  <c r="AS900" i="7"/>
  <c r="AJ900" i="7" s="1"/>
  <c r="AC900" i="7"/>
  <c r="AS969" i="7"/>
  <c r="AJ969" i="7" s="1"/>
  <c r="AA969" i="7" s="1"/>
  <c r="AT969" i="7"/>
  <c r="AK969" i="7" s="1"/>
  <c r="AC969" i="7"/>
  <c r="AB969" i="7"/>
  <c r="AT1135" i="7"/>
  <c r="AK1135" i="7" s="1"/>
  <c r="AB1135" i="7"/>
  <c r="AS1135" i="7"/>
  <c r="AJ1135" i="7" s="1"/>
  <c r="AC1135" i="7"/>
  <c r="AT43" i="7"/>
  <c r="AK43" i="7" s="1"/>
  <c r="AC43" i="7"/>
  <c r="AS43" i="7"/>
  <c r="AJ43" i="7" s="1"/>
  <c r="AA43" i="7" s="1"/>
  <c r="AB43" i="7"/>
  <c r="AC147" i="7"/>
  <c r="AT147" i="7"/>
  <c r="AK147" i="7" s="1"/>
  <c r="AB147" i="7"/>
  <c r="AS147" i="7"/>
  <c r="AJ147" i="7" s="1"/>
  <c r="AS448" i="7"/>
  <c r="AJ448" i="7" s="1"/>
  <c r="AA448" i="7" s="1"/>
  <c r="AC448" i="7"/>
  <c r="AB448" i="7"/>
  <c r="AT448" i="7"/>
  <c r="AK448" i="7" s="1"/>
  <c r="AC638" i="7"/>
  <c r="AT638" i="7"/>
  <c r="AK638" i="7" s="1"/>
  <c r="AB638" i="7"/>
  <c r="AS638" i="7"/>
  <c r="AJ638" i="7" s="1"/>
  <c r="AA638" i="7" s="1"/>
  <c r="AC1008" i="7"/>
  <c r="AT1008" i="7"/>
  <c r="AK1008" i="7" s="1"/>
  <c r="AB1008" i="7"/>
  <c r="AS1008" i="7"/>
  <c r="AJ1008" i="7" s="1"/>
  <c r="AA1008" i="7" s="1"/>
  <c r="AT292" i="7"/>
  <c r="AK292" i="7" s="1"/>
  <c r="AC292" i="7"/>
  <c r="AS292" i="7"/>
  <c r="AJ292" i="7" s="1"/>
  <c r="AA292" i="7" s="1"/>
  <c r="AB292" i="7"/>
  <c r="AC394" i="7"/>
  <c r="AB394" i="7"/>
  <c r="AT394" i="7"/>
  <c r="AK394" i="7" s="1"/>
  <c r="AS394" i="7"/>
  <c r="AJ394" i="7" s="1"/>
  <c r="AA394" i="7" s="1"/>
  <c r="AS122" i="7"/>
  <c r="AJ122" i="7" s="1"/>
  <c r="AA122" i="7" s="1"/>
  <c r="AC122" i="7"/>
  <c r="AT122" i="7"/>
  <c r="AK122" i="7" s="1"/>
  <c r="AB122" i="7"/>
  <c r="AT446" i="7"/>
  <c r="AK446" i="7" s="1"/>
  <c r="AS446" i="7"/>
  <c r="AJ446" i="7" s="1"/>
  <c r="AA446" i="7" s="1"/>
  <c r="AC446" i="7"/>
  <c r="AB446" i="7"/>
  <c r="AS822" i="7"/>
  <c r="AJ822" i="7" s="1"/>
  <c r="AC822" i="7"/>
  <c r="AB822" i="7"/>
  <c r="AT822" i="7"/>
  <c r="AK822" i="7" s="1"/>
  <c r="AC1098" i="7"/>
  <c r="AB1098" i="7"/>
  <c r="AT1098" i="7"/>
  <c r="AK1098" i="7" s="1"/>
  <c r="AS1098" i="7"/>
  <c r="AJ1098" i="7" s="1"/>
  <c r="AA1098" i="7" s="1"/>
  <c r="AS405" i="7"/>
  <c r="AJ405" i="7" s="1"/>
  <c r="AC405" i="7"/>
  <c r="AB405" i="7"/>
  <c r="AT405" i="7"/>
  <c r="AK405" i="7" s="1"/>
  <c r="AT576" i="7"/>
  <c r="AK576" i="7" s="1"/>
  <c r="AC576" i="7"/>
  <c r="AS576" i="7"/>
  <c r="AJ576" i="7" s="1"/>
  <c r="AA576" i="7" s="1"/>
  <c r="AB576" i="7"/>
  <c r="AT704" i="7"/>
  <c r="AK704" i="7" s="1"/>
  <c r="AS704" i="7"/>
  <c r="AJ704" i="7" s="1"/>
  <c r="AA704" i="7" s="1"/>
  <c r="AC704" i="7"/>
  <c r="AB704" i="7"/>
  <c r="AS22" i="7"/>
  <c r="AJ22" i="7" s="1"/>
  <c r="AA22" i="7" s="1"/>
  <c r="AC22" i="7"/>
  <c r="AT22" i="7"/>
  <c r="AK22" i="7" s="1"/>
  <c r="AB22" i="7"/>
  <c r="AS379" i="7"/>
  <c r="AJ379" i="7" s="1"/>
  <c r="AC379" i="7"/>
  <c r="AB379" i="7"/>
  <c r="AT379" i="7"/>
  <c r="AK379" i="7" s="1"/>
  <c r="AS755" i="7"/>
  <c r="AJ755" i="7" s="1"/>
  <c r="AC755" i="7"/>
  <c r="AB755" i="7"/>
  <c r="AT755" i="7"/>
  <c r="AK755" i="7" s="1"/>
  <c r="AC1151" i="7"/>
  <c r="AT1151" i="7"/>
  <c r="AK1151" i="7" s="1"/>
  <c r="AB1151" i="7"/>
  <c r="AS1151" i="7"/>
  <c r="AJ1151" i="7" s="1"/>
  <c r="AS108" i="7"/>
  <c r="AJ108" i="7" s="1"/>
  <c r="AA108" i="7" s="1"/>
  <c r="AC108" i="7"/>
  <c r="AB108" i="7"/>
  <c r="AT108" i="7"/>
  <c r="AK108" i="7" s="1"/>
  <c r="AS432" i="7"/>
  <c r="AJ432" i="7" s="1"/>
  <c r="AC432" i="7"/>
  <c r="AB432" i="7"/>
  <c r="AT432" i="7"/>
  <c r="AK432" i="7" s="1"/>
  <c r="AT624" i="7"/>
  <c r="AK624" i="7" s="1"/>
  <c r="AB624" i="7"/>
  <c r="AS624" i="7"/>
  <c r="AJ624" i="7" s="1"/>
  <c r="AA624" i="7" s="1"/>
  <c r="AC624" i="7"/>
  <c r="AS718" i="7"/>
  <c r="AJ718" i="7" s="1"/>
  <c r="AB718" i="7"/>
  <c r="AT718" i="7"/>
  <c r="AK718" i="7" s="1"/>
  <c r="AC718" i="7"/>
  <c r="AS104" i="7"/>
  <c r="AJ104" i="7" s="1"/>
  <c r="AA104" i="7" s="1"/>
  <c r="AC104" i="7"/>
  <c r="AB104" i="7"/>
  <c r="AT104" i="7"/>
  <c r="AK104" i="7" s="1"/>
  <c r="AC730" i="7"/>
  <c r="AB730" i="7"/>
  <c r="AT730" i="7"/>
  <c r="AK730" i="7" s="1"/>
  <c r="AS730" i="7"/>
  <c r="AJ730" i="7" s="1"/>
  <c r="AA730" i="7" s="1"/>
  <c r="AT34" i="7"/>
  <c r="AK34" i="7" s="1"/>
  <c r="AS34" i="7"/>
  <c r="AJ34" i="7" s="1"/>
  <c r="AA34" i="7" s="1"/>
  <c r="AC34" i="7"/>
  <c r="AB34" i="7"/>
  <c r="AT225" i="7"/>
  <c r="AK225" i="7" s="1"/>
  <c r="AC225" i="7"/>
  <c r="AS225" i="7"/>
  <c r="AJ225" i="7" s="1"/>
  <c r="AA225" i="7" s="1"/>
  <c r="AB225" i="7"/>
  <c r="AS518" i="7"/>
  <c r="AJ518" i="7" s="1"/>
  <c r="AA518" i="7" s="1"/>
  <c r="AC518" i="7"/>
  <c r="AT518" i="7"/>
  <c r="AK518" i="7" s="1"/>
  <c r="AB518" i="7"/>
  <c r="AS846" i="7"/>
  <c r="AJ846" i="7" s="1"/>
  <c r="AC846" i="7"/>
  <c r="AB846" i="7"/>
  <c r="AT846" i="7"/>
  <c r="AK846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A472" i="7" s="1"/>
  <c r="AB472" i="7"/>
  <c r="AT472" i="7"/>
  <c r="AK472" i="7" s="1"/>
  <c r="AC472" i="7"/>
  <c r="AS275" i="7"/>
  <c r="AJ275" i="7" s="1"/>
  <c r="AA275" i="7" s="1"/>
  <c r="AC275" i="7"/>
  <c r="AT275" i="7"/>
  <c r="AK275" i="7" s="1"/>
  <c r="AB275" i="7"/>
  <c r="AB881" i="7"/>
  <c r="AC881" i="7"/>
  <c r="AT881" i="7"/>
  <c r="AK881" i="7" s="1"/>
  <c r="AS881" i="7"/>
  <c r="AJ881" i="7" s="1"/>
  <c r="AS973" i="7"/>
  <c r="AJ973" i="7" s="1"/>
  <c r="AC973" i="7"/>
  <c r="AB973" i="7"/>
  <c r="AT973" i="7"/>
  <c r="AK973" i="7" s="1"/>
  <c r="AS1111" i="7"/>
  <c r="AJ1111" i="7" s="1"/>
  <c r="AA1111" i="7" s="1"/>
  <c r="AC1111" i="7"/>
  <c r="AB1111" i="7"/>
  <c r="AT1111" i="7"/>
  <c r="AK1111" i="7" s="1"/>
  <c r="AT286" i="7"/>
  <c r="AK286" i="7" s="1"/>
  <c r="AC286" i="7"/>
  <c r="AS286" i="7"/>
  <c r="AJ286" i="7" s="1"/>
  <c r="AB286" i="7"/>
  <c r="AC642" i="7"/>
  <c r="AT642" i="7"/>
  <c r="AK642" i="7" s="1"/>
  <c r="AB642" i="7"/>
  <c r="AS642" i="7"/>
  <c r="AJ642" i="7" s="1"/>
  <c r="AA642" i="7" s="1"/>
  <c r="AS1035" i="7"/>
  <c r="AJ1035" i="7" s="1"/>
  <c r="AC1035" i="7"/>
  <c r="AT1035" i="7"/>
  <c r="AK1035" i="7" s="1"/>
  <c r="AB1035" i="7"/>
  <c r="Z187" i="7"/>
  <c r="AT285" i="7"/>
  <c r="AK285" i="7" s="1"/>
  <c r="AC285" i="7"/>
  <c r="AS285" i="7"/>
  <c r="AJ285" i="7" s="1"/>
  <c r="AB285" i="7"/>
  <c r="AS669" i="7"/>
  <c r="AJ669" i="7" s="1"/>
  <c r="AA669" i="7" s="1"/>
  <c r="AC669" i="7"/>
  <c r="AB669" i="7"/>
  <c r="AT669" i="7"/>
  <c r="AK669" i="7" s="1"/>
  <c r="AS1011" i="7"/>
  <c r="AJ1011" i="7" s="1"/>
  <c r="AA1011" i="7" s="1"/>
  <c r="AC1011" i="7"/>
  <c r="AB1011" i="7"/>
  <c r="AT1011" i="7"/>
  <c r="AK1011" i="7" s="1"/>
  <c r="AS535" i="7"/>
  <c r="AJ535" i="7" s="1"/>
  <c r="AA535" i="7" s="1"/>
  <c r="AB535" i="7"/>
  <c r="AC535" i="7"/>
  <c r="AT535" i="7"/>
  <c r="AK535" i="7" s="1"/>
  <c r="AT246" i="7"/>
  <c r="AK246" i="7" s="1"/>
  <c r="AC246" i="7"/>
  <c r="AS246" i="7"/>
  <c r="AJ246" i="7" s="1"/>
  <c r="AB246" i="7"/>
  <c r="AC903" i="7"/>
  <c r="AB903" i="7"/>
  <c r="AT903" i="7"/>
  <c r="AK903" i="7" s="1"/>
  <c r="AS903" i="7"/>
  <c r="AJ903" i="7" s="1"/>
  <c r="AS1023" i="7"/>
  <c r="AJ1023" i="7" s="1"/>
  <c r="AA1023" i="7" s="1"/>
  <c r="AC1023" i="7"/>
  <c r="AB1023" i="7"/>
  <c r="AT1023" i="7"/>
  <c r="AK1023" i="7" s="1"/>
  <c r="AS1087" i="7"/>
  <c r="AJ1087" i="7" s="1"/>
  <c r="AA1087" i="7" s="1"/>
  <c r="AC1087" i="7"/>
  <c r="AB1087" i="7"/>
  <c r="AT1087" i="7"/>
  <c r="AK1087" i="7" s="1"/>
  <c r="AC683" i="7"/>
  <c r="AB683" i="7"/>
  <c r="AT683" i="7"/>
  <c r="AK683" i="7" s="1"/>
  <c r="AS683" i="7"/>
  <c r="AJ683" i="7" s="1"/>
  <c r="AA683" i="7" s="1"/>
  <c r="AS767" i="7"/>
  <c r="AJ767" i="7" s="1"/>
  <c r="AC767" i="7"/>
  <c r="AT767" i="7"/>
  <c r="AK767" i="7" s="1"/>
  <c r="AB767" i="7"/>
  <c r="AS235" i="7"/>
  <c r="AJ235" i="7" s="1"/>
  <c r="AA235" i="7" s="1"/>
  <c r="AC235" i="7"/>
  <c r="AB235" i="7"/>
  <c r="AT235" i="7"/>
  <c r="AK235" i="7" s="1"/>
  <c r="AS843" i="7"/>
  <c r="AJ843" i="7" s="1"/>
  <c r="AA843" i="7" s="1"/>
  <c r="AC843" i="7"/>
  <c r="AB843" i="7"/>
  <c r="AT843" i="7"/>
  <c r="AK843" i="7" s="1"/>
  <c r="AS930" i="7"/>
  <c r="AJ930" i="7" s="1"/>
  <c r="AA930" i="7" s="1"/>
  <c r="AC930" i="7"/>
  <c r="AT930" i="7"/>
  <c r="AK930" i="7" s="1"/>
  <c r="AB930" i="7"/>
  <c r="AT1073" i="7"/>
  <c r="AK1073" i="7" s="1"/>
  <c r="AC1073" i="7"/>
  <c r="AS1073" i="7"/>
  <c r="AJ1073" i="7" s="1"/>
  <c r="AA1073" i="7" s="1"/>
  <c r="AB1073" i="7"/>
  <c r="AT42" i="7"/>
  <c r="AK42" i="7" s="1"/>
  <c r="AC42" i="7"/>
  <c r="AS42" i="7"/>
  <c r="AJ42" i="7" s="1"/>
  <c r="AA42" i="7" s="1"/>
  <c r="AB42" i="7"/>
  <c r="AS284" i="7"/>
  <c r="AJ284" i="7" s="1"/>
  <c r="AA284" i="7" s="1"/>
  <c r="AB284" i="7"/>
  <c r="AT284" i="7"/>
  <c r="AK284" i="7" s="1"/>
  <c r="AC284" i="7"/>
  <c r="AT612" i="7"/>
  <c r="AK612" i="7" s="1"/>
  <c r="AS612" i="7"/>
  <c r="AJ612" i="7" s="1"/>
  <c r="AC612" i="7"/>
  <c r="AB612" i="7"/>
  <c r="AC987" i="7"/>
  <c r="AB987" i="7"/>
  <c r="AT987" i="7"/>
  <c r="AK987" i="7" s="1"/>
  <c r="AS987" i="7"/>
  <c r="AJ987" i="7" s="1"/>
  <c r="AT539" i="7"/>
  <c r="AK539" i="7" s="1"/>
  <c r="AC539" i="7"/>
  <c r="AS539" i="7"/>
  <c r="AJ539" i="7" s="1"/>
  <c r="AA539" i="7" s="1"/>
  <c r="AB539" i="7"/>
  <c r="AS644" i="7"/>
  <c r="AJ644" i="7" s="1"/>
  <c r="AA644" i="7" s="1"/>
  <c r="AC644" i="7"/>
  <c r="AT644" i="7"/>
  <c r="AK644" i="7" s="1"/>
  <c r="AB644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A464" i="7" s="1"/>
  <c r="AS52" i="7"/>
  <c r="AJ52" i="7" s="1"/>
  <c r="AC52" i="7"/>
  <c r="AT52" i="7"/>
  <c r="AK52" i="7" s="1"/>
  <c r="AB52" i="7"/>
  <c r="W1048" i="9"/>
  <c r="Y800" i="7"/>
  <c r="Y787" i="7"/>
  <c r="Y715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A57" i="7" s="1"/>
  <c r="AB57" i="7"/>
  <c r="AC502" i="7"/>
  <c r="AB502" i="7"/>
  <c r="AT502" i="7"/>
  <c r="AK502" i="7" s="1"/>
  <c r="AS502" i="7"/>
  <c r="AJ502" i="7" s="1"/>
  <c r="AT204" i="7"/>
  <c r="AK204" i="7" s="1"/>
  <c r="AC204" i="7"/>
  <c r="AS204" i="7"/>
  <c r="AJ204" i="7" s="1"/>
  <c r="AB204" i="7"/>
  <c r="AT520" i="7"/>
  <c r="AK520" i="7" s="1"/>
  <c r="AC520" i="7"/>
  <c r="AS520" i="7"/>
  <c r="AJ520" i="7" s="1"/>
  <c r="AA520" i="7" s="1"/>
  <c r="AB520" i="7"/>
  <c r="AT871" i="7"/>
  <c r="AK871" i="7" s="1"/>
  <c r="AC871" i="7"/>
  <c r="AS871" i="7"/>
  <c r="AJ871" i="7" s="1"/>
  <c r="AA871" i="7" s="1"/>
  <c r="AB871" i="7"/>
  <c r="AS76" i="7"/>
  <c r="AJ76" i="7" s="1"/>
  <c r="AA76" i="7" s="1"/>
  <c r="AC76" i="7"/>
  <c r="AB76" i="7"/>
  <c r="AT76" i="7"/>
  <c r="AK76" i="7" s="1"/>
  <c r="AT860" i="7"/>
  <c r="AK860" i="7" s="1"/>
  <c r="AC860" i="7"/>
  <c r="AS860" i="7"/>
  <c r="AJ860" i="7" s="1"/>
  <c r="AB860" i="7"/>
  <c r="AS906" i="7"/>
  <c r="AJ906" i="7" s="1"/>
  <c r="AA906" i="7" s="1"/>
  <c r="AC906" i="7"/>
  <c r="AB906" i="7"/>
  <c r="AT906" i="7"/>
  <c r="AK906" i="7" s="1"/>
  <c r="AT1062" i="7"/>
  <c r="AK1062" i="7" s="1"/>
  <c r="AC1062" i="7"/>
  <c r="AS1062" i="7"/>
  <c r="AJ1062" i="7" s="1"/>
  <c r="AA1062" i="7" s="1"/>
  <c r="AB1062" i="7"/>
  <c r="AS1177" i="7"/>
  <c r="AJ1177" i="7" s="1"/>
  <c r="AA1177" i="7" s="1"/>
  <c r="AC1177" i="7"/>
  <c r="AT1177" i="7"/>
  <c r="AK1177" i="7" s="1"/>
  <c r="AB1177" i="7"/>
  <c r="AS831" i="7"/>
  <c r="AJ831" i="7" s="1"/>
  <c r="AC831" i="7"/>
  <c r="AB831" i="7"/>
  <c r="AT831" i="7"/>
  <c r="AK831" i="7" s="1"/>
  <c r="AS923" i="7"/>
  <c r="AJ923" i="7" s="1"/>
  <c r="AA923" i="7" s="1"/>
  <c r="AC923" i="7"/>
  <c r="AB923" i="7"/>
  <c r="AT923" i="7"/>
  <c r="AK923" i="7" s="1"/>
  <c r="AS1020" i="7"/>
  <c r="AJ1020" i="7" s="1"/>
  <c r="AA1020" i="7" s="1"/>
  <c r="AC1020" i="7"/>
  <c r="AB1020" i="7"/>
  <c r="AT1020" i="7"/>
  <c r="AK1020" i="7" s="1"/>
  <c r="AT1094" i="7"/>
  <c r="AK1094" i="7" s="1"/>
  <c r="AS1094" i="7"/>
  <c r="AJ1094" i="7" s="1"/>
  <c r="AC1094" i="7"/>
  <c r="AB1094" i="7"/>
  <c r="AS124" i="7"/>
  <c r="AJ124" i="7" s="1"/>
  <c r="AC124" i="7"/>
  <c r="AB124" i="7"/>
  <c r="AT124" i="7"/>
  <c r="AK124" i="7" s="1"/>
  <c r="AS397" i="7"/>
  <c r="AJ397" i="7" s="1"/>
  <c r="AA397" i="7" s="1"/>
  <c r="AC397" i="7"/>
  <c r="AB397" i="7"/>
  <c r="AT397" i="7"/>
  <c r="AK397" i="7" s="1"/>
  <c r="AS666" i="7"/>
  <c r="AJ666" i="7" s="1"/>
  <c r="AA666" i="7" s="1"/>
  <c r="AC666" i="7"/>
  <c r="AB666" i="7"/>
  <c r="AT666" i="7"/>
  <c r="AK666" i="7" s="1"/>
  <c r="AS1031" i="7"/>
  <c r="AJ1031" i="7" s="1"/>
  <c r="AA1031" i="7" s="1"/>
  <c r="AC1031" i="7"/>
  <c r="AT1031" i="7"/>
  <c r="AK1031" i="7" s="1"/>
  <c r="AB1031" i="7"/>
  <c r="AS297" i="7"/>
  <c r="AJ297" i="7" s="1"/>
  <c r="AB297" i="7"/>
  <c r="AC297" i="7"/>
  <c r="AT297" i="7"/>
  <c r="AK297" i="7" s="1"/>
  <c r="AS473" i="7"/>
  <c r="AJ473" i="7" s="1"/>
  <c r="AA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A224" i="7" s="1"/>
  <c r="AT507" i="7"/>
  <c r="AK507" i="7" s="1"/>
  <c r="AC507" i="7"/>
  <c r="AS507" i="7"/>
  <c r="AJ507" i="7" s="1"/>
  <c r="AB507" i="7"/>
  <c r="AT845" i="7"/>
  <c r="AK845" i="7" s="1"/>
  <c r="AS845" i="7"/>
  <c r="AJ845" i="7" s="1"/>
  <c r="AA845" i="7" s="1"/>
  <c r="AC845" i="7"/>
  <c r="AB845" i="7"/>
  <c r="AS1190" i="7"/>
  <c r="AJ1190" i="7" s="1"/>
  <c r="AC1190" i="7"/>
  <c r="AB1190" i="7"/>
  <c r="AT1190" i="7"/>
  <c r="AK1190" i="7" s="1"/>
  <c r="AS471" i="7"/>
  <c r="AJ471" i="7" s="1"/>
  <c r="AC471" i="7"/>
  <c r="AB471" i="7"/>
  <c r="AT471" i="7"/>
  <c r="AK471" i="7" s="1"/>
  <c r="AS563" i="7"/>
  <c r="AJ563" i="7" s="1"/>
  <c r="AA563" i="7" s="1"/>
  <c r="AC563" i="7"/>
  <c r="AB563" i="7"/>
  <c r="AT563" i="7"/>
  <c r="AK563" i="7" s="1"/>
  <c r="AC742" i="7"/>
  <c r="AB742" i="7"/>
  <c r="AT742" i="7"/>
  <c r="AK742" i="7" s="1"/>
  <c r="AS742" i="7"/>
  <c r="AJ742" i="7" s="1"/>
  <c r="Y101" i="7"/>
  <c r="Z56" i="7"/>
  <c r="AT10" i="7"/>
  <c r="AK10" i="7" s="1"/>
  <c r="AB10" i="7"/>
  <c r="AC10" i="7"/>
  <c r="AS10" i="7"/>
  <c r="AJ10" i="7" s="1"/>
  <c r="AA10" i="7" s="1"/>
  <c r="AC402" i="7"/>
  <c r="AB402" i="7"/>
  <c r="AT402" i="7"/>
  <c r="AK402" i="7" s="1"/>
  <c r="AS402" i="7"/>
  <c r="AJ402" i="7" s="1"/>
  <c r="AA402" i="7" s="1"/>
  <c r="AS783" i="7"/>
  <c r="AJ783" i="7" s="1"/>
  <c r="AA783" i="7" s="1"/>
  <c r="AB783" i="7"/>
  <c r="AT783" i="7"/>
  <c r="AK783" i="7" s="1"/>
  <c r="AC783" i="7"/>
  <c r="AC1174" i="7"/>
  <c r="AB1174" i="7"/>
  <c r="AT1174" i="7"/>
  <c r="AK1174" i="7" s="1"/>
  <c r="AS1174" i="7"/>
  <c r="AJ1174" i="7" s="1"/>
  <c r="AA1174" i="7" s="1"/>
  <c r="AB159" i="7"/>
  <c r="AC159" i="7"/>
  <c r="AT159" i="7"/>
  <c r="AK159" i="7" s="1"/>
  <c r="AS159" i="7"/>
  <c r="AJ159" i="7" s="1"/>
  <c r="AA159" i="7" s="1"/>
  <c r="AS335" i="7"/>
  <c r="AJ335" i="7" s="1"/>
  <c r="AC335" i="7"/>
  <c r="AB335" i="7"/>
  <c r="AT335" i="7"/>
  <c r="AK335" i="7" s="1"/>
  <c r="AT619" i="7"/>
  <c r="AK619" i="7" s="1"/>
  <c r="AB619" i="7"/>
  <c r="AC619" i="7"/>
  <c r="AS619" i="7"/>
  <c r="AJ619" i="7" s="1"/>
  <c r="AC736" i="7"/>
  <c r="AB736" i="7"/>
  <c r="AT736" i="7"/>
  <c r="AK736" i="7" s="1"/>
  <c r="AS736" i="7"/>
  <c r="AJ736" i="7" s="1"/>
  <c r="AA736" i="7" s="1"/>
  <c r="AC89" i="7"/>
  <c r="AT89" i="7"/>
  <c r="AK89" i="7" s="1"/>
  <c r="AB89" i="7"/>
  <c r="AS89" i="7"/>
  <c r="AJ89" i="7" s="1"/>
  <c r="AA89" i="7" s="1"/>
  <c r="AT717" i="7"/>
  <c r="AK717" i="7" s="1"/>
  <c r="AC717" i="7"/>
  <c r="AS717" i="7"/>
  <c r="AJ717" i="7" s="1"/>
  <c r="AA717" i="7" s="1"/>
  <c r="AB717" i="7"/>
  <c r="AS44" i="7"/>
  <c r="AJ44" i="7" s="1"/>
  <c r="AA44" i="7" s="1"/>
  <c r="AC44" i="7"/>
  <c r="AT44" i="7"/>
  <c r="AK44" i="7" s="1"/>
  <c r="AB44" i="7"/>
  <c r="AS174" i="7"/>
  <c r="AJ174" i="7" s="1"/>
  <c r="AC174" i="7"/>
  <c r="AB174" i="7"/>
  <c r="AT174" i="7"/>
  <c r="AK174" i="7" s="1"/>
  <c r="AS526" i="7"/>
  <c r="AJ526" i="7" s="1"/>
  <c r="AA526" i="7" s="1"/>
  <c r="AC526" i="7"/>
  <c r="AT526" i="7"/>
  <c r="AK526" i="7" s="1"/>
  <c r="AB526" i="7"/>
  <c r="AT869" i="7"/>
  <c r="AK869" i="7" s="1"/>
  <c r="AC869" i="7"/>
  <c r="AS869" i="7"/>
  <c r="AJ869" i="7" s="1"/>
  <c r="AA869" i="7" s="1"/>
  <c r="AB869" i="7"/>
  <c r="AS64" i="7"/>
  <c r="AJ64" i="7" s="1"/>
  <c r="AA64" i="7" s="1"/>
  <c r="AC64" i="7"/>
  <c r="AB64" i="7"/>
  <c r="AT64" i="7"/>
  <c r="AK64" i="7" s="1"/>
  <c r="AS467" i="7"/>
  <c r="AJ467" i="7" s="1"/>
  <c r="AA467" i="7" s="1"/>
  <c r="AC467" i="7"/>
  <c r="AT467" i="7"/>
  <c r="AK467" i="7" s="1"/>
  <c r="AB467" i="7"/>
  <c r="AB564" i="7"/>
  <c r="AC564" i="7"/>
  <c r="AT564" i="7"/>
  <c r="AK564" i="7" s="1"/>
  <c r="AS564" i="7"/>
  <c r="AJ564" i="7" s="1"/>
  <c r="AA564" i="7" s="1"/>
  <c r="AT260" i="7"/>
  <c r="AK260" i="7" s="1"/>
  <c r="AC260" i="7"/>
  <c r="AS260" i="7"/>
  <c r="AJ260" i="7" s="1"/>
  <c r="AA260" i="7" s="1"/>
  <c r="AB260" i="7"/>
  <c r="AT863" i="7"/>
  <c r="AK863" i="7" s="1"/>
  <c r="AC863" i="7"/>
  <c r="AS863" i="7"/>
  <c r="AJ863" i="7" s="1"/>
  <c r="AB863" i="7"/>
  <c r="AC1014" i="7"/>
  <c r="AT1014" i="7"/>
  <c r="AK1014" i="7" s="1"/>
  <c r="AB1014" i="7"/>
  <c r="AS1014" i="7"/>
  <c r="AJ1014" i="7" s="1"/>
  <c r="AA1014" i="7" s="1"/>
  <c r="AC1129" i="7"/>
  <c r="AT1129" i="7"/>
  <c r="AK1129" i="7" s="1"/>
  <c r="AB1129" i="7"/>
  <c r="AS1129" i="7"/>
  <c r="AJ1129" i="7" s="1"/>
  <c r="AA1129" i="7" s="1"/>
  <c r="AA15" i="7"/>
  <c r="AT332" i="7"/>
  <c r="AK332" i="7" s="1"/>
  <c r="AS332" i="7"/>
  <c r="AJ332" i="7" s="1"/>
  <c r="AC332" i="7"/>
  <c r="AB332" i="7"/>
  <c r="AS670" i="7"/>
  <c r="AJ670" i="7" s="1"/>
  <c r="AA670" i="7" s="1"/>
  <c r="AC670" i="7"/>
  <c r="AT670" i="7"/>
  <c r="AK670" i="7" s="1"/>
  <c r="AB670" i="7"/>
  <c r="AS1058" i="7"/>
  <c r="AJ1058" i="7" s="1"/>
  <c r="AB1058" i="7"/>
  <c r="AT1058" i="7"/>
  <c r="AK1058" i="7" s="1"/>
  <c r="AC1058" i="7"/>
  <c r="Z195" i="7"/>
  <c r="AC377" i="7"/>
  <c r="AT377" i="7"/>
  <c r="AK377" i="7" s="1"/>
  <c r="AB377" i="7"/>
  <c r="AS377" i="7"/>
  <c r="AJ377" i="7" s="1"/>
  <c r="AA377" i="7" s="1"/>
  <c r="AS641" i="7"/>
  <c r="AJ641" i="7" s="1"/>
  <c r="AA641" i="7" s="1"/>
  <c r="AC641" i="7"/>
  <c r="AB641" i="7"/>
  <c r="AT641" i="7"/>
  <c r="AK641" i="7" s="1"/>
  <c r="AS1057" i="7"/>
  <c r="AJ1057" i="7" s="1"/>
  <c r="AB1057" i="7"/>
  <c r="AC1057" i="7"/>
  <c r="AT1057" i="7"/>
  <c r="AK1057" i="7" s="1"/>
  <c r="AS540" i="7"/>
  <c r="AJ540" i="7" s="1"/>
  <c r="AB540" i="7"/>
  <c r="AC540" i="7"/>
  <c r="AT540" i="7"/>
  <c r="AK540" i="7" s="1"/>
  <c r="AT269" i="7"/>
  <c r="AK269" i="7" s="1"/>
  <c r="AS269" i="7"/>
  <c r="AJ269" i="7" s="1"/>
  <c r="AA269" i="7" s="1"/>
  <c r="AC269" i="7"/>
  <c r="AB269" i="7"/>
  <c r="AS844" i="7"/>
  <c r="AJ844" i="7" s="1"/>
  <c r="AA844" i="7" s="1"/>
  <c r="AC844" i="7"/>
  <c r="AB844" i="7"/>
  <c r="AT844" i="7"/>
  <c r="AK844" i="7" s="1"/>
  <c r="AS1005" i="7"/>
  <c r="AJ1005" i="7" s="1"/>
  <c r="AC1005" i="7"/>
  <c r="AB1005" i="7"/>
  <c r="AT1005" i="7"/>
  <c r="AK1005" i="7" s="1"/>
  <c r="AS1115" i="7"/>
  <c r="AJ1115" i="7" s="1"/>
  <c r="AC1115" i="7"/>
  <c r="AB1115" i="7"/>
  <c r="AT1115" i="7"/>
  <c r="AK1115" i="7" s="1"/>
  <c r="AT701" i="7"/>
  <c r="AK701" i="7" s="1"/>
  <c r="AS701" i="7"/>
  <c r="AJ701" i="7" s="1"/>
  <c r="AA701" i="7" s="1"/>
  <c r="AC701" i="7"/>
  <c r="AB701" i="7"/>
  <c r="AT250" i="7"/>
  <c r="AK250" i="7" s="1"/>
  <c r="AC250" i="7"/>
  <c r="AS250" i="7"/>
  <c r="AJ250" i="7" s="1"/>
  <c r="AB250" i="7"/>
  <c r="AT856" i="7"/>
  <c r="AK856" i="7" s="1"/>
  <c r="AC856" i="7"/>
  <c r="AS856" i="7"/>
  <c r="AJ856" i="7" s="1"/>
  <c r="AA856" i="7" s="1"/>
  <c r="AB856" i="7"/>
  <c r="AT953" i="7"/>
  <c r="AK953" i="7" s="1"/>
  <c r="AS953" i="7"/>
  <c r="AJ953" i="7" s="1"/>
  <c r="AA953" i="7" s="1"/>
  <c r="AC953" i="7"/>
  <c r="AB953" i="7"/>
  <c r="AS1109" i="7"/>
  <c r="AJ1109" i="7" s="1"/>
  <c r="AC1109" i="7"/>
  <c r="AB1109" i="7"/>
  <c r="AT1109" i="7"/>
  <c r="AK1109" i="7" s="1"/>
  <c r="AS88" i="7"/>
  <c r="AJ88" i="7" s="1"/>
  <c r="AA88" i="7" s="1"/>
  <c r="AC88" i="7"/>
  <c r="AB88" i="7"/>
  <c r="AT88" i="7"/>
  <c r="AK88" i="7" s="1"/>
  <c r="AT330" i="7"/>
  <c r="AK330" i="7" s="1"/>
  <c r="AC330" i="7"/>
  <c r="AB330" i="7"/>
  <c r="AS330" i="7"/>
  <c r="AJ330" i="7" s="1"/>
  <c r="AA330" i="7" s="1"/>
  <c r="AC604" i="7"/>
  <c r="AT604" i="7"/>
  <c r="AK604" i="7" s="1"/>
  <c r="AB604" i="7"/>
  <c r="AS604" i="7"/>
  <c r="AJ604" i="7" s="1"/>
  <c r="AC1010" i="7"/>
  <c r="AT1010" i="7"/>
  <c r="AK1010" i="7" s="1"/>
  <c r="AB1010" i="7"/>
  <c r="AS1010" i="7"/>
  <c r="AJ1010" i="7" s="1"/>
  <c r="AA1010" i="7" s="1"/>
  <c r="AC544" i="7"/>
  <c r="AT544" i="7"/>
  <c r="AK544" i="7" s="1"/>
  <c r="AB544" i="7"/>
  <c r="AS544" i="7"/>
  <c r="AJ544" i="7" s="1"/>
  <c r="AT705" i="7"/>
  <c r="AK705" i="7" s="1"/>
  <c r="AS705" i="7"/>
  <c r="AJ705" i="7" s="1"/>
  <c r="AA705" i="7" s="1"/>
  <c r="AC705" i="7"/>
  <c r="AB705" i="7"/>
  <c r="AT344" i="7"/>
  <c r="AK344" i="7" s="1"/>
  <c r="AS344" i="7"/>
  <c r="AJ344" i="7" s="1"/>
  <c r="AA344" i="7" s="1"/>
  <c r="AC344" i="7"/>
  <c r="AB344" i="7"/>
  <c r="AS459" i="7"/>
  <c r="AJ459" i="7" s="1"/>
  <c r="AC459" i="7"/>
  <c r="AB459" i="7"/>
  <c r="AT459" i="7"/>
  <c r="AK459" i="7" s="1"/>
  <c r="Z1188" i="7"/>
  <c r="Y1114" i="7"/>
  <c r="Z1174" i="7"/>
  <c r="Z1196" i="7"/>
  <c r="Y1146" i="7"/>
  <c r="Y1178" i="7"/>
  <c r="Z1163" i="7"/>
  <c r="Z1146" i="7"/>
  <c r="Y1132" i="7"/>
  <c r="Z1129" i="7"/>
  <c r="Y1052" i="7"/>
  <c r="Y1064" i="7"/>
  <c r="Y1050" i="7"/>
  <c r="Y1048" i="7"/>
  <c r="Y970" i="7"/>
  <c r="Y996" i="7"/>
  <c r="Y978" i="7"/>
  <c r="Y968" i="7"/>
  <c r="Y930" i="7"/>
  <c r="Z904" i="7"/>
  <c r="Z889" i="7"/>
  <c r="Y880" i="7"/>
  <c r="Y878" i="7"/>
  <c r="Z818" i="7"/>
  <c r="Z790" i="7"/>
  <c r="Y794" i="7"/>
  <c r="Y801" i="7"/>
  <c r="Z771" i="7"/>
  <c r="Z738" i="7"/>
  <c r="Y704" i="7"/>
  <c r="Y671" i="7"/>
  <c r="Y741" i="7"/>
  <c r="Y670" i="7"/>
  <c r="Z618" i="7"/>
  <c r="Y685" i="7"/>
  <c r="Y697" i="7"/>
  <c r="Z674" i="7"/>
  <c r="Y622" i="7"/>
  <c r="Y660" i="7"/>
  <c r="Z607" i="7"/>
  <c r="Z549" i="7"/>
  <c r="Z555" i="7"/>
  <c r="Z565" i="7"/>
  <c r="Z548" i="7"/>
  <c r="Y524" i="7"/>
  <c r="Y494" i="7"/>
  <c r="Z482" i="7"/>
  <c r="Y512" i="7"/>
  <c r="Z537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56" i="7"/>
  <c r="AC556" i="7"/>
  <c r="AT556" i="7"/>
  <c r="AK556" i="7" s="1"/>
  <c r="AS556" i="7"/>
  <c r="AJ556" i="7" s="1"/>
  <c r="AA556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1" i="7"/>
  <c r="AK611" i="7" s="1"/>
  <c r="AB611" i="7"/>
  <c r="AS611" i="7"/>
  <c r="AJ611" i="7" s="1"/>
  <c r="AA611" i="7" s="1"/>
  <c r="AC611" i="7"/>
  <c r="AT894" i="7"/>
  <c r="AK894" i="7" s="1"/>
  <c r="AC894" i="7"/>
  <c r="AB894" i="7"/>
  <c r="AS894" i="7"/>
  <c r="AJ894" i="7" s="1"/>
  <c r="AS188" i="7"/>
  <c r="AJ188" i="7" s="1"/>
  <c r="AC188" i="7"/>
  <c r="AB188" i="7"/>
  <c r="AT188" i="7"/>
  <c r="AK188" i="7" s="1"/>
  <c r="AT791" i="7"/>
  <c r="AK791" i="7" s="1"/>
  <c r="AC791" i="7"/>
  <c r="AB791" i="7"/>
  <c r="AS791" i="7"/>
  <c r="AJ791" i="7" s="1"/>
  <c r="AA791" i="7" s="1"/>
  <c r="AS934" i="7"/>
  <c r="AJ934" i="7" s="1"/>
  <c r="AC934" i="7"/>
  <c r="AB934" i="7"/>
  <c r="AT934" i="7"/>
  <c r="AK934" i="7" s="1"/>
  <c r="AS1141" i="7"/>
  <c r="AJ1141" i="7" s="1"/>
  <c r="AA1141" i="7" s="1"/>
  <c r="AC1141" i="7"/>
  <c r="AT1141" i="7"/>
  <c r="AK1141" i="7" s="1"/>
  <c r="AB1141" i="7"/>
  <c r="AS1187" i="7"/>
  <c r="AJ1187" i="7" s="1"/>
  <c r="AC1187" i="7"/>
  <c r="AB1187" i="7"/>
  <c r="AT1187" i="7"/>
  <c r="AK1187" i="7" s="1"/>
  <c r="AS808" i="7"/>
  <c r="AJ808" i="7" s="1"/>
  <c r="AC808" i="7"/>
  <c r="AB808" i="7"/>
  <c r="AT808" i="7"/>
  <c r="AK808" i="7" s="1"/>
  <c r="AS933" i="7"/>
  <c r="AJ933" i="7" s="1"/>
  <c r="AC933" i="7"/>
  <c r="AB933" i="7"/>
  <c r="AT933" i="7"/>
  <c r="AK933" i="7" s="1"/>
  <c r="AT1066" i="7"/>
  <c r="AK1066" i="7" s="1"/>
  <c r="AS1066" i="7"/>
  <c r="AJ1066" i="7" s="1"/>
  <c r="AC1066" i="7"/>
  <c r="AB1066" i="7"/>
  <c r="AS1140" i="7"/>
  <c r="AJ1140" i="7" s="1"/>
  <c r="AC1140" i="7"/>
  <c r="AB1140" i="7"/>
  <c r="AT1140" i="7"/>
  <c r="AK1140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A351" i="7" s="1"/>
  <c r="AC351" i="7"/>
  <c r="AB351" i="7"/>
  <c r="AT351" i="7"/>
  <c r="AK351" i="7" s="1"/>
  <c r="AS610" i="7"/>
  <c r="AJ610" i="7" s="1"/>
  <c r="AA610" i="7" s="1"/>
  <c r="AC610" i="7"/>
  <c r="AT610" i="7"/>
  <c r="AK610" i="7" s="1"/>
  <c r="AB610" i="7"/>
  <c r="AC1054" i="7"/>
  <c r="AB1054" i="7"/>
  <c r="AT1054" i="7"/>
  <c r="AK1054" i="7" s="1"/>
  <c r="AS1054" i="7"/>
  <c r="AJ1054" i="7" s="1"/>
  <c r="AA1054" i="7" s="1"/>
  <c r="AT338" i="7"/>
  <c r="AK338" i="7" s="1"/>
  <c r="AS338" i="7"/>
  <c r="AJ338" i="7" s="1"/>
  <c r="AA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A474" i="7" s="1"/>
  <c r="AT799" i="7"/>
  <c r="AK799" i="7" s="1"/>
  <c r="AC799" i="7"/>
  <c r="AS799" i="7"/>
  <c r="AJ799" i="7" s="1"/>
  <c r="AB799" i="7"/>
  <c r="AC137" i="7"/>
  <c r="AT137" i="7"/>
  <c r="AK137" i="7" s="1"/>
  <c r="AB137" i="7"/>
  <c r="AS137" i="7"/>
  <c r="AJ137" i="7" s="1"/>
  <c r="AA137" i="7" s="1"/>
  <c r="AS364" i="7"/>
  <c r="AJ364" i="7" s="1"/>
  <c r="AC364" i="7"/>
  <c r="AB364" i="7"/>
  <c r="AT364" i="7"/>
  <c r="AK364" i="7" s="1"/>
  <c r="AS597" i="7"/>
  <c r="AJ597" i="7" s="1"/>
  <c r="AC597" i="7"/>
  <c r="AB597" i="7"/>
  <c r="AT597" i="7"/>
  <c r="AK597" i="7" s="1"/>
  <c r="AT714" i="7"/>
  <c r="AK714" i="7" s="1"/>
  <c r="AS714" i="7"/>
  <c r="AJ714" i="7" s="1"/>
  <c r="AA714" i="7" s="1"/>
  <c r="AC714" i="7"/>
  <c r="AB714" i="7"/>
  <c r="Z53" i="7"/>
  <c r="AT6" i="7"/>
  <c r="AK6" i="7" s="1"/>
  <c r="AC6" i="7"/>
  <c r="AB6" i="7"/>
  <c r="AS6" i="7"/>
  <c r="AJ6" i="7" s="1"/>
  <c r="AS481" i="7"/>
  <c r="AJ481" i="7" s="1"/>
  <c r="AA481" i="7" s="1"/>
  <c r="AC481" i="7"/>
  <c r="AB481" i="7"/>
  <c r="AT481" i="7"/>
  <c r="AK481" i="7" s="1"/>
  <c r="AS829" i="7"/>
  <c r="AJ829" i="7" s="1"/>
  <c r="AC829" i="7"/>
  <c r="AB829" i="7"/>
  <c r="AT829" i="7"/>
  <c r="AK829" i="7" s="1"/>
  <c r="AT1197" i="7"/>
  <c r="AK1197" i="7" s="1"/>
  <c r="AS1197" i="7"/>
  <c r="AJ1197" i="7" s="1"/>
  <c r="AC1197" i="7"/>
  <c r="AB1197" i="7"/>
  <c r="AS136" i="7"/>
  <c r="AJ136" i="7" s="1"/>
  <c r="AA136" i="7" s="1"/>
  <c r="AC136" i="7"/>
  <c r="AB136" i="7"/>
  <c r="AT136" i="7"/>
  <c r="AK136" i="7" s="1"/>
  <c r="AC386" i="7"/>
  <c r="AT386" i="7"/>
  <c r="AK386" i="7" s="1"/>
  <c r="AB386" i="7"/>
  <c r="AS386" i="7"/>
  <c r="AJ386" i="7" s="1"/>
  <c r="AA386" i="7" s="1"/>
  <c r="AS629" i="7"/>
  <c r="AJ629" i="7" s="1"/>
  <c r="AC629" i="7"/>
  <c r="AT629" i="7"/>
  <c r="AK629" i="7" s="1"/>
  <c r="AB629" i="7"/>
  <c r="AT769" i="7"/>
  <c r="AK769" i="7" s="1"/>
  <c r="AS769" i="7"/>
  <c r="AJ769" i="7" s="1"/>
  <c r="AC769" i="7"/>
  <c r="AB769" i="7"/>
  <c r="AS661" i="7"/>
  <c r="AJ661" i="7" s="1"/>
  <c r="AA661" i="7" s="1"/>
  <c r="AC661" i="7"/>
  <c r="AT661" i="7"/>
  <c r="AK661" i="7" s="1"/>
  <c r="AB661" i="7"/>
  <c r="AC16" i="7"/>
  <c r="AB16" i="7"/>
  <c r="AT16" i="7"/>
  <c r="AK16" i="7" s="1"/>
  <c r="AS16" i="7"/>
  <c r="AJ16" i="7" s="1"/>
  <c r="AA16" i="7" s="1"/>
  <c r="AT281" i="7"/>
  <c r="AK281" i="7" s="1"/>
  <c r="AC281" i="7"/>
  <c r="AB281" i="7"/>
  <c r="AS281" i="7"/>
  <c r="AJ281" i="7" s="1"/>
  <c r="AA281" i="7" s="1"/>
  <c r="AC549" i="7"/>
  <c r="AB549" i="7"/>
  <c r="AT549" i="7"/>
  <c r="AK549" i="7" s="1"/>
  <c r="AS549" i="7"/>
  <c r="AJ549" i="7" s="1"/>
  <c r="AT892" i="7"/>
  <c r="AK892" i="7" s="1"/>
  <c r="AB892" i="7"/>
  <c r="AC892" i="7"/>
  <c r="AS892" i="7"/>
  <c r="AJ892" i="7" s="1"/>
  <c r="AS82" i="7"/>
  <c r="AJ82" i="7" s="1"/>
  <c r="AA82" i="7" s="1"/>
  <c r="AC82" i="7"/>
  <c r="AT82" i="7"/>
  <c r="AK82" i="7" s="1"/>
  <c r="AB82" i="7"/>
  <c r="AS393" i="7"/>
  <c r="AJ393" i="7" s="1"/>
  <c r="AC393" i="7"/>
  <c r="AB393" i="7"/>
  <c r="AT393" i="7"/>
  <c r="AK393" i="7" s="1"/>
  <c r="AS598" i="7"/>
  <c r="AJ598" i="7" s="1"/>
  <c r="AA598" i="7" s="1"/>
  <c r="AC598" i="7"/>
  <c r="AB598" i="7"/>
  <c r="AT598" i="7"/>
  <c r="AK598" i="7" s="1"/>
  <c r="AT265" i="7"/>
  <c r="AK265" i="7" s="1"/>
  <c r="AS265" i="7"/>
  <c r="AJ265" i="7" s="1"/>
  <c r="AA265" i="7" s="1"/>
  <c r="AC265" i="7"/>
  <c r="AB265" i="7"/>
  <c r="AC876" i="7"/>
  <c r="AT876" i="7"/>
  <c r="AK876" i="7" s="1"/>
  <c r="AB876" i="7"/>
  <c r="AS876" i="7"/>
  <c r="AJ876" i="7" s="1"/>
  <c r="AA876" i="7" s="1"/>
  <c r="AT996" i="7"/>
  <c r="AK996" i="7" s="1"/>
  <c r="AC996" i="7"/>
  <c r="AS996" i="7"/>
  <c r="AJ996" i="7" s="1"/>
  <c r="AA996" i="7" s="1"/>
  <c r="AB996" i="7"/>
  <c r="AS1106" i="7"/>
  <c r="AJ1106" i="7" s="1"/>
  <c r="AA1106" i="7" s="1"/>
  <c r="AC1106" i="7"/>
  <c r="AT1106" i="7"/>
  <c r="AK1106" i="7" s="1"/>
  <c r="AB1106" i="7"/>
  <c r="AS424" i="7"/>
  <c r="AJ424" i="7" s="1"/>
  <c r="AA424" i="7" s="1"/>
  <c r="AC424" i="7"/>
  <c r="AB424" i="7"/>
  <c r="AT424" i="7"/>
  <c r="AK424" i="7" s="1"/>
  <c r="AT698" i="7"/>
  <c r="AK698" i="7" s="1"/>
  <c r="AS698" i="7"/>
  <c r="AJ698" i="7" s="1"/>
  <c r="AC698" i="7"/>
  <c r="AB698" i="7"/>
  <c r="AT1081" i="7"/>
  <c r="AK1081" i="7" s="1"/>
  <c r="AC1081" i="7"/>
  <c r="AS1081" i="7"/>
  <c r="AJ1081" i="7" s="1"/>
  <c r="AA1081" i="7" s="1"/>
  <c r="AB1081" i="7"/>
  <c r="Z218" i="7"/>
  <c r="AS331" i="7"/>
  <c r="AJ331" i="7" s="1"/>
  <c r="AA331" i="7" s="1"/>
  <c r="AC331" i="7"/>
  <c r="AB331" i="7"/>
  <c r="AT331" i="7"/>
  <c r="AK331" i="7" s="1"/>
  <c r="AS697" i="7"/>
  <c r="AJ697" i="7" s="1"/>
  <c r="AC697" i="7"/>
  <c r="AB697" i="7"/>
  <c r="AT697" i="7"/>
  <c r="AK697" i="7" s="1"/>
  <c r="AT1080" i="7"/>
  <c r="AK1080" i="7" s="1"/>
  <c r="AC1080" i="7"/>
  <c r="AS1080" i="7"/>
  <c r="AJ1080" i="7" s="1"/>
  <c r="AA1080" i="7" s="1"/>
  <c r="AB1080" i="7"/>
  <c r="AC545" i="7"/>
  <c r="AT545" i="7"/>
  <c r="AK545" i="7" s="1"/>
  <c r="AB545" i="7"/>
  <c r="AS545" i="7"/>
  <c r="AJ545" i="7" s="1"/>
  <c r="AS251" i="7"/>
  <c r="AJ251" i="7" s="1"/>
  <c r="AA251" i="7" s="1"/>
  <c r="AC251" i="7"/>
  <c r="AB251" i="7"/>
  <c r="AT251" i="7"/>
  <c r="AK251" i="7" s="1"/>
  <c r="AS908" i="7"/>
  <c r="AJ908" i="7" s="1"/>
  <c r="AA908" i="7" s="1"/>
  <c r="AB908" i="7"/>
  <c r="AT908" i="7"/>
  <c r="AK908" i="7" s="1"/>
  <c r="AC908" i="7"/>
  <c r="AC1028" i="7"/>
  <c r="AB1028" i="7"/>
  <c r="AT1028" i="7"/>
  <c r="AK1028" i="7" s="1"/>
  <c r="AS1028" i="7"/>
  <c r="AJ1028" i="7" s="1"/>
  <c r="AA1028" i="7" s="1"/>
  <c r="AC1143" i="7"/>
  <c r="AB1143" i="7"/>
  <c r="AT1143" i="7"/>
  <c r="AK1143" i="7" s="1"/>
  <c r="AS1143" i="7"/>
  <c r="AJ1143" i="7" s="1"/>
  <c r="AA1143" i="7" s="1"/>
  <c r="AB711" i="7"/>
  <c r="AT711" i="7"/>
  <c r="AK711" i="7" s="1"/>
  <c r="AS711" i="7"/>
  <c r="AJ711" i="7" s="1"/>
  <c r="AC711" i="7"/>
  <c r="AT268" i="7"/>
  <c r="AK268" i="7" s="1"/>
  <c r="AS268" i="7"/>
  <c r="AJ268" i="7" s="1"/>
  <c r="AC268" i="7"/>
  <c r="AB268" i="7"/>
  <c r="AT787" i="7"/>
  <c r="AK787" i="7" s="1"/>
  <c r="AC787" i="7"/>
  <c r="AS787" i="7"/>
  <c r="AJ787" i="7" s="1"/>
  <c r="AA787" i="7" s="1"/>
  <c r="AB787" i="7"/>
  <c r="AC971" i="7"/>
  <c r="AB971" i="7"/>
  <c r="AT971" i="7"/>
  <c r="AK971" i="7" s="1"/>
  <c r="AS971" i="7"/>
  <c r="AJ971" i="7" s="1"/>
  <c r="AA971" i="7" s="1"/>
  <c r="AB1096" i="7"/>
  <c r="AC1096" i="7"/>
  <c r="AT1096" i="7"/>
  <c r="AK1096" i="7" s="1"/>
  <c r="AS1096" i="7"/>
  <c r="AJ1096" i="7" s="1"/>
  <c r="AA1096" i="7" s="1"/>
  <c r="AC149" i="7"/>
  <c r="AT149" i="7"/>
  <c r="AK149" i="7" s="1"/>
  <c r="AB149" i="7"/>
  <c r="AS149" i="7"/>
  <c r="AJ149" i="7" s="1"/>
  <c r="AA149" i="7" s="1"/>
  <c r="AB353" i="7"/>
  <c r="AT353" i="7"/>
  <c r="AK353" i="7" s="1"/>
  <c r="AS353" i="7"/>
  <c r="AJ353" i="7" s="1"/>
  <c r="AA353" i="7" s="1"/>
  <c r="AC353" i="7"/>
  <c r="AC583" i="7"/>
  <c r="AB583" i="7"/>
  <c r="AT583" i="7"/>
  <c r="AK583" i="7" s="1"/>
  <c r="AS583" i="7"/>
  <c r="AJ583" i="7" s="1"/>
  <c r="AA583" i="7" s="1"/>
  <c r="AS964" i="7"/>
  <c r="AJ964" i="7" s="1"/>
  <c r="AA964" i="7" s="1"/>
  <c r="AB964" i="7"/>
  <c r="AT964" i="7"/>
  <c r="AK964" i="7" s="1"/>
  <c r="AC964" i="7"/>
  <c r="AC513" i="7"/>
  <c r="AB513" i="7"/>
  <c r="AT513" i="7"/>
  <c r="AK513" i="7" s="1"/>
  <c r="AS513" i="7"/>
  <c r="AJ513" i="7" s="1"/>
  <c r="AA513" i="7" s="1"/>
  <c r="AC659" i="7"/>
  <c r="AB659" i="7"/>
  <c r="AT659" i="7"/>
  <c r="AK659" i="7" s="1"/>
  <c r="AS659" i="7"/>
  <c r="AJ659" i="7" s="1"/>
  <c r="AA659" i="7" s="1"/>
  <c r="AT199" i="7"/>
  <c r="AK199" i="7" s="1"/>
  <c r="AB199" i="7"/>
  <c r="AS199" i="7"/>
  <c r="AJ199" i="7" s="1"/>
  <c r="AA199" i="7" s="1"/>
  <c r="AC199" i="7"/>
  <c r="Z57" i="7"/>
  <c r="Y11" i="7"/>
  <c r="AT288" i="7"/>
  <c r="AK288" i="7" s="1"/>
  <c r="AC288" i="7"/>
  <c r="AB288" i="7"/>
  <c r="AS288" i="7"/>
  <c r="AJ288" i="7" s="1"/>
  <c r="AA288" i="7" s="1"/>
  <c r="AC454" i="7"/>
  <c r="AT454" i="7"/>
  <c r="AK454" i="7" s="1"/>
  <c r="AB454" i="7"/>
  <c r="AS454" i="7"/>
  <c r="AJ454" i="7" s="1"/>
  <c r="Y1195" i="7"/>
  <c r="Y1163" i="7"/>
  <c r="Y1141" i="7"/>
  <c r="Z1128" i="7"/>
  <c r="Y1093" i="7"/>
  <c r="Y1059" i="7"/>
  <c r="Y1038" i="7"/>
  <c r="Y979" i="7"/>
  <c r="Z923" i="7"/>
  <c r="Y916" i="7"/>
  <c r="Y888" i="7"/>
  <c r="Z881" i="7"/>
  <c r="Y875" i="7"/>
  <c r="Z876" i="7"/>
  <c r="Y788" i="7"/>
  <c r="Y910" i="7"/>
  <c r="Y820" i="7"/>
  <c r="Z768" i="7"/>
  <c r="Z775" i="7"/>
  <c r="Y766" i="7"/>
  <c r="Z723" i="7"/>
  <c r="Y736" i="7"/>
  <c r="Y700" i="7"/>
  <c r="Y667" i="7"/>
  <c r="Y618" i="7"/>
  <c r="Y656" i="7"/>
  <c r="Y629" i="7"/>
  <c r="Y592" i="7"/>
  <c r="Z604" i="7"/>
  <c r="Y620" i="7"/>
  <c r="Y583" i="7"/>
  <c r="Y553" i="7"/>
  <c r="Z561" i="7"/>
  <c r="Z498" i="7"/>
  <c r="Y533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2" i="7"/>
  <c r="AJ492" i="7" s="1"/>
  <c r="AA492" i="7" s="1"/>
  <c r="AC492" i="7"/>
  <c r="AB492" i="7"/>
  <c r="AT492" i="7"/>
  <c r="AK492" i="7" s="1"/>
  <c r="Y82" i="7"/>
  <c r="AT181" i="7"/>
  <c r="AK181" i="7" s="1"/>
  <c r="AC181" i="7"/>
  <c r="AB181" i="7"/>
  <c r="AS181" i="7"/>
  <c r="AJ181" i="7" s="1"/>
  <c r="AT528" i="7"/>
  <c r="AK528" i="7" s="1"/>
  <c r="AC528" i="7"/>
  <c r="AB528" i="7"/>
  <c r="AS528" i="7"/>
  <c r="AJ528" i="7" s="1"/>
  <c r="AA528" i="7" s="1"/>
  <c r="AS848" i="7"/>
  <c r="AJ848" i="7" s="1"/>
  <c r="AC848" i="7"/>
  <c r="AB848" i="7"/>
  <c r="AT848" i="7"/>
  <c r="AK848" i="7" s="1"/>
  <c r="AS132" i="7"/>
  <c r="AJ132" i="7" s="1"/>
  <c r="AC132" i="7"/>
  <c r="AB132" i="7"/>
  <c r="AT132" i="7"/>
  <c r="AK132" i="7" s="1"/>
  <c r="AT796" i="7"/>
  <c r="AK796" i="7" s="1"/>
  <c r="AC796" i="7"/>
  <c r="AS796" i="7"/>
  <c r="AJ796" i="7" s="1"/>
  <c r="AB796" i="7"/>
  <c r="AT924" i="7"/>
  <c r="AK924" i="7" s="1"/>
  <c r="AB924" i="7"/>
  <c r="AS924" i="7"/>
  <c r="AJ924" i="7" s="1"/>
  <c r="AA924" i="7" s="1"/>
  <c r="AC924" i="7"/>
  <c r="AS1067" i="7"/>
  <c r="AJ1067" i="7" s="1"/>
  <c r="AA1067" i="7" s="1"/>
  <c r="AC1067" i="7"/>
  <c r="AT1067" i="7"/>
  <c r="AK1067" i="7" s="1"/>
  <c r="AB1067" i="7"/>
  <c r="AT859" i="7"/>
  <c r="AK859" i="7" s="1"/>
  <c r="AC859" i="7"/>
  <c r="AS859" i="7"/>
  <c r="AJ859" i="7" s="1"/>
  <c r="AB859" i="7"/>
  <c r="AC905" i="7"/>
  <c r="AB905" i="7"/>
  <c r="AT905" i="7"/>
  <c r="AK905" i="7" s="1"/>
  <c r="AS905" i="7"/>
  <c r="AJ905" i="7" s="1"/>
  <c r="AT1048" i="7"/>
  <c r="AK1048" i="7" s="1"/>
  <c r="AC1048" i="7"/>
  <c r="AB1048" i="7"/>
  <c r="AS1048" i="7"/>
  <c r="AJ1048" i="7" s="1"/>
  <c r="AA1048" i="7" s="1"/>
  <c r="AS1181" i="7"/>
  <c r="AJ1181" i="7" s="1"/>
  <c r="AC1181" i="7"/>
  <c r="AB1181" i="7"/>
  <c r="AT1181" i="7"/>
  <c r="AK1181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4" i="7"/>
  <c r="AK694" i="7" s="1"/>
  <c r="AS694" i="7"/>
  <c r="AJ694" i="7" s="1"/>
  <c r="AA694" i="7" s="1"/>
  <c r="AC694" i="7"/>
  <c r="AB694" i="7"/>
  <c r="AT1077" i="7"/>
  <c r="AK1077" i="7" s="1"/>
  <c r="AC1077" i="7"/>
  <c r="AS1077" i="7"/>
  <c r="AJ1077" i="7" s="1"/>
  <c r="AB1077" i="7"/>
  <c r="AS320" i="7"/>
  <c r="AJ320" i="7" s="1"/>
  <c r="AA320" i="7" s="1"/>
  <c r="AC320" i="7"/>
  <c r="AB320" i="7"/>
  <c r="AT320" i="7"/>
  <c r="AK320" i="7" s="1"/>
  <c r="AC468" i="7"/>
  <c r="AT468" i="7"/>
  <c r="AK468" i="7" s="1"/>
  <c r="AB468" i="7"/>
  <c r="AS468" i="7"/>
  <c r="AJ468" i="7" s="1"/>
  <c r="AA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A63" i="7" s="1"/>
  <c r="AS201" i="7"/>
  <c r="AJ201" i="7" s="1"/>
  <c r="AA201" i="7" s="1"/>
  <c r="AB201" i="7"/>
  <c r="AC201" i="7"/>
  <c r="AT201" i="7"/>
  <c r="AK201" i="7" s="1"/>
  <c r="AT587" i="7"/>
  <c r="AK587" i="7" s="1"/>
  <c r="AC587" i="7"/>
  <c r="AS587" i="7"/>
  <c r="AJ587" i="7" s="1"/>
  <c r="AA587" i="7" s="1"/>
  <c r="AB587" i="7"/>
  <c r="AT868" i="7"/>
  <c r="AK868" i="7" s="1"/>
  <c r="AC868" i="7"/>
  <c r="AS868" i="7"/>
  <c r="AJ868" i="7" s="1"/>
  <c r="AB868" i="7"/>
  <c r="AS160" i="7"/>
  <c r="AJ160" i="7" s="1"/>
  <c r="AC160" i="7"/>
  <c r="AB160" i="7"/>
  <c r="AT160" i="7"/>
  <c r="AK160" i="7" s="1"/>
  <c r="AS387" i="7"/>
  <c r="AJ387" i="7" s="1"/>
  <c r="AA387" i="7" s="1"/>
  <c r="AC387" i="7"/>
  <c r="AB387" i="7"/>
  <c r="AT387" i="7"/>
  <c r="AK387" i="7" s="1"/>
  <c r="AT625" i="7"/>
  <c r="AK625" i="7" s="1"/>
  <c r="AS625" i="7"/>
  <c r="AJ625" i="7" s="1"/>
  <c r="AA625" i="7" s="1"/>
  <c r="AC625" i="7"/>
  <c r="AB625" i="7"/>
  <c r="AS747" i="7"/>
  <c r="AJ747" i="7" s="1"/>
  <c r="AA747" i="7" s="1"/>
  <c r="AC747" i="7"/>
  <c r="AT747" i="7"/>
  <c r="AK747" i="7" s="1"/>
  <c r="AB747" i="7"/>
  <c r="AT73" i="7"/>
  <c r="AK73" i="7" s="1"/>
  <c r="AS73" i="7"/>
  <c r="AJ73" i="7" s="1"/>
  <c r="AC73" i="7"/>
  <c r="AB73" i="7"/>
  <c r="AT524" i="7"/>
  <c r="AK524" i="7" s="1"/>
  <c r="AC524" i="7"/>
  <c r="AS524" i="7"/>
  <c r="AJ524" i="7" s="1"/>
  <c r="AB524" i="7"/>
  <c r="AC875" i="7"/>
  <c r="AT875" i="7"/>
  <c r="AK875" i="7" s="1"/>
  <c r="AB875" i="7"/>
  <c r="AS875" i="7"/>
  <c r="AJ875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A404" i="7" s="1"/>
  <c r="AC404" i="7"/>
  <c r="AB404" i="7"/>
  <c r="AT404" i="7"/>
  <c r="AK404" i="7" s="1"/>
  <c r="AS652" i="7"/>
  <c r="AJ652" i="7" s="1"/>
  <c r="AA652" i="7" s="1"/>
  <c r="AC652" i="7"/>
  <c r="AB652" i="7"/>
  <c r="AT652" i="7"/>
  <c r="AK652" i="7" s="1"/>
  <c r="AB764" i="7"/>
  <c r="AT764" i="7"/>
  <c r="AK764" i="7" s="1"/>
  <c r="AS764" i="7"/>
  <c r="AJ764" i="7" s="1"/>
  <c r="AA764" i="7" s="1"/>
  <c r="AC764" i="7"/>
  <c r="Z79" i="7"/>
  <c r="AS684" i="7"/>
  <c r="AJ684" i="7" s="1"/>
  <c r="AC684" i="7"/>
  <c r="AB684" i="7"/>
  <c r="AT684" i="7"/>
  <c r="AK684" i="7" s="1"/>
  <c r="AC67" i="7"/>
  <c r="AT67" i="7"/>
  <c r="AK67" i="7" s="1"/>
  <c r="AB67" i="7"/>
  <c r="AS67" i="7"/>
  <c r="AJ67" i="7" s="1"/>
  <c r="AA67" i="7" s="1"/>
  <c r="AT169" i="7"/>
  <c r="AK169" i="7" s="1"/>
  <c r="AC169" i="7"/>
  <c r="AB169" i="7"/>
  <c r="AS169" i="7"/>
  <c r="AJ169" i="7" s="1"/>
  <c r="AA169" i="7" s="1"/>
  <c r="AT588" i="7"/>
  <c r="AK588" i="7" s="1"/>
  <c r="AC588" i="7"/>
  <c r="AS588" i="7"/>
  <c r="AJ588" i="7" s="1"/>
  <c r="AA588" i="7" s="1"/>
  <c r="AB588" i="7"/>
  <c r="AT915" i="7"/>
  <c r="AK915" i="7" s="1"/>
  <c r="AC915" i="7"/>
  <c r="AS915" i="7"/>
  <c r="AJ915" i="7" s="1"/>
  <c r="AA915" i="7" s="1"/>
  <c r="AB915" i="7"/>
  <c r="AC59" i="7"/>
  <c r="AT59" i="7"/>
  <c r="AK59" i="7" s="1"/>
  <c r="AB59" i="7"/>
  <c r="AS59" i="7"/>
  <c r="AJ59" i="7" s="1"/>
  <c r="AA59" i="7" s="1"/>
  <c r="AS319" i="7"/>
  <c r="AJ319" i="7" s="1"/>
  <c r="AC319" i="7"/>
  <c r="AB319" i="7"/>
  <c r="AT319" i="7"/>
  <c r="AK319" i="7" s="1"/>
  <c r="AS577" i="7"/>
  <c r="AJ577" i="7" s="1"/>
  <c r="AC577" i="7"/>
  <c r="AT577" i="7"/>
  <c r="AK577" i="7" s="1"/>
  <c r="AB577" i="7"/>
  <c r="AT784" i="7"/>
  <c r="AK784" i="7" s="1"/>
  <c r="AC784" i="7"/>
  <c r="AS784" i="7"/>
  <c r="AJ784" i="7" s="1"/>
  <c r="AA784" i="7" s="1"/>
  <c r="AB784" i="7"/>
  <c r="AT899" i="7"/>
  <c r="AK899" i="7" s="1"/>
  <c r="AC899" i="7"/>
  <c r="AS899" i="7"/>
  <c r="AJ899" i="7" s="1"/>
  <c r="AB899" i="7"/>
  <c r="AT1024" i="7"/>
  <c r="AK1024" i="7" s="1"/>
  <c r="AS1024" i="7"/>
  <c r="AJ1024" i="7" s="1"/>
  <c r="AC1024" i="7"/>
  <c r="AB1024" i="7"/>
  <c r="AS1152" i="7"/>
  <c r="AJ1152" i="7" s="1"/>
  <c r="AC1152" i="7"/>
  <c r="AT1152" i="7"/>
  <c r="AK1152" i="7" s="1"/>
  <c r="AB1152" i="7"/>
  <c r="AT378" i="7"/>
  <c r="AK378" i="7" s="1"/>
  <c r="AB378" i="7"/>
  <c r="AS378" i="7"/>
  <c r="AJ378" i="7" s="1"/>
  <c r="AA378" i="7" s="1"/>
  <c r="AC378" i="7"/>
  <c r="AT726" i="7"/>
  <c r="AK726" i="7" s="1"/>
  <c r="AC726" i="7"/>
  <c r="AB726" i="7"/>
  <c r="AS726" i="7"/>
  <c r="AJ726" i="7" s="1"/>
  <c r="AB1104" i="7"/>
  <c r="AT1104" i="7"/>
  <c r="AK1104" i="7" s="1"/>
  <c r="AS1104" i="7"/>
  <c r="AJ1104" i="7" s="1"/>
  <c r="AC1104" i="7"/>
  <c r="Z58" i="7"/>
  <c r="U5" i="9"/>
  <c r="W5" i="9" s="1"/>
  <c r="AS400" i="7"/>
  <c r="AJ400" i="7" s="1"/>
  <c r="AC400" i="7"/>
  <c r="AB400" i="7"/>
  <c r="AT400" i="7"/>
  <c r="AK400" i="7" s="1"/>
  <c r="AS725" i="7"/>
  <c r="AJ725" i="7" s="1"/>
  <c r="AA725" i="7" s="1"/>
  <c r="AC725" i="7"/>
  <c r="AB725" i="7"/>
  <c r="AT725" i="7"/>
  <c r="AK725" i="7" s="1"/>
  <c r="AS1103" i="7"/>
  <c r="AJ1103" i="7" s="1"/>
  <c r="AC1103" i="7"/>
  <c r="AB1103" i="7"/>
  <c r="AT1103" i="7"/>
  <c r="AK1103" i="7" s="1"/>
  <c r="AS558" i="7"/>
  <c r="AJ558" i="7" s="1"/>
  <c r="AA558" i="7" s="1"/>
  <c r="AC558" i="7"/>
  <c r="AT558" i="7"/>
  <c r="AK558" i="7" s="1"/>
  <c r="AB558" i="7"/>
  <c r="AS811" i="7"/>
  <c r="AJ811" i="7" s="1"/>
  <c r="AC811" i="7"/>
  <c r="AB811" i="7"/>
  <c r="AT811" i="7"/>
  <c r="AK811" i="7" s="1"/>
  <c r="AS926" i="7"/>
  <c r="AJ926" i="7" s="1"/>
  <c r="AA926" i="7" s="1"/>
  <c r="AC926" i="7"/>
  <c r="AT926" i="7"/>
  <c r="AK926" i="7" s="1"/>
  <c r="AB926" i="7"/>
  <c r="AC1041" i="7"/>
  <c r="AT1041" i="7"/>
  <c r="AK1041" i="7" s="1"/>
  <c r="AB1041" i="7"/>
  <c r="AS1041" i="7"/>
  <c r="AJ1041" i="7" s="1"/>
  <c r="AB1133" i="7"/>
  <c r="AT1133" i="7"/>
  <c r="AK1133" i="7" s="1"/>
  <c r="AS1133" i="7"/>
  <c r="AJ1133" i="7" s="1"/>
  <c r="AC1133" i="7"/>
  <c r="AT706" i="7"/>
  <c r="AK706" i="7" s="1"/>
  <c r="AS706" i="7"/>
  <c r="AJ706" i="7" s="1"/>
  <c r="AA706" i="7" s="1"/>
  <c r="AC706" i="7"/>
  <c r="AB706" i="7"/>
  <c r="AS240" i="7"/>
  <c r="AJ240" i="7" s="1"/>
  <c r="AA240" i="7" s="1"/>
  <c r="AB240" i="7"/>
  <c r="AC240" i="7"/>
  <c r="AT240" i="7"/>
  <c r="AK240" i="7" s="1"/>
  <c r="AS838" i="7"/>
  <c r="AJ838" i="7" s="1"/>
  <c r="AC838" i="7"/>
  <c r="AB838" i="7"/>
  <c r="AT838" i="7"/>
  <c r="AK838" i="7" s="1"/>
  <c r="AT958" i="7"/>
  <c r="AK958" i="7" s="1"/>
  <c r="AC958" i="7"/>
  <c r="AB958" i="7"/>
  <c r="AS958" i="7"/>
  <c r="AJ958" i="7" s="1"/>
  <c r="AA958" i="7" s="1"/>
  <c r="AC1142" i="7"/>
  <c r="AB1142" i="7"/>
  <c r="AT1142" i="7"/>
  <c r="AK1142" i="7" s="1"/>
  <c r="AS1142" i="7"/>
  <c r="AJ1142" i="7" s="1"/>
  <c r="AA1142" i="7" s="1"/>
  <c r="AS126" i="7"/>
  <c r="AJ126" i="7" s="1"/>
  <c r="AA126" i="7" s="1"/>
  <c r="AC126" i="7"/>
  <c r="AB126" i="7"/>
  <c r="AT126" i="7"/>
  <c r="AK126" i="7" s="1"/>
  <c r="AS399" i="7"/>
  <c r="AJ399" i="7" s="1"/>
  <c r="AC399" i="7"/>
  <c r="AB399" i="7"/>
  <c r="AT399" i="7"/>
  <c r="AK399" i="7" s="1"/>
  <c r="AS640" i="7"/>
  <c r="AJ640" i="7" s="1"/>
  <c r="AA640" i="7" s="1"/>
  <c r="AC640" i="7"/>
  <c r="AT640" i="7"/>
  <c r="AK640" i="7" s="1"/>
  <c r="AB640" i="7"/>
  <c r="AT1033" i="7"/>
  <c r="AK1033" i="7" s="1"/>
  <c r="AS1033" i="7"/>
  <c r="AJ1033" i="7" s="1"/>
  <c r="AA1033" i="7" s="1"/>
  <c r="AC1033" i="7"/>
  <c r="AB1033" i="7"/>
  <c r="AS493" i="7"/>
  <c r="AJ493" i="7" s="1"/>
  <c r="AA493" i="7" s="1"/>
  <c r="AC493" i="7"/>
  <c r="AB493" i="7"/>
  <c r="AT493" i="7"/>
  <c r="AK493" i="7" s="1"/>
  <c r="AB756" i="7"/>
  <c r="AC756" i="7"/>
  <c r="AT756" i="7"/>
  <c r="AK756" i="7" s="1"/>
  <c r="AS756" i="7"/>
  <c r="AJ756" i="7" s="1"/>
  <c r="AS194" i="7"/>
  <c r="AJ194" i="7" s="1"/>
  <c r="AA194" i="7" s="1"/>
  <c r="AC194" i="7"/>
  <c r="AB194" i="7"/>
  <c r="AT194" i="7"/>
  <c r="AK194" i="7" s="1"/>
  <c r="AS56" i="7"/>
  <c r="AJ56" i="7" s="1"/>
  <c r="AA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27" i="7"/>
  <c r="Y1104" i="7"/>
  <c r="Z1154" i="7"/>
  <c r="Y1036" i="7"/>
  <c r="Y1023" i="7"/>
  <c r="Z964" i="7"/>
  <c r="Y914" i="7"/>
  <c r="Z888" i="7"/>
  <c r="Z857" i="7"/>
  <c r="Y844" i="7"/>
  <c r="Y726" i="7"/>
  <c r="Y728" i="7"/>
  <c r="Y614" i="7"/>
  <c r="Y659" i="7"/>
  <c r="Z681" i="7"/>
  <c r="Y545" i="7"/>
  <c r="Z586" i="7"/>
  <c r="Y561" i="7"/>
  <c r="Y481" i="7"/>
  <c r="Z530" i="7"/>
  <c r="Y575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A45" i="7" s="1"/>
  <c r="AB45" i="7"/>
  <c r="AT533" i="7"/>
  <c r="AK533" i="7" s="1"/>
  <c r="AC533" i="7"/>
  <c r="AS533" i="7"/>
  <c r="AJ533" i="7" s="1"/>
  <c r="AB533" i="7"/>
  <c r="Z81" i="7"/>
  <c r="AS255" i="7"/>
  <c r="AJ255" i="7" s="1"/>
  <c r="AC255" i="7"/>
  <c r="AT255" i="7"/>
  <c r="AK255" i="7" s="1"/>
  <c r="AB255" i="7"/>
  <c r="AS551" i="7"/>
  <c r="AJ551" i="7" s="1"/>
  <c r="AA551" i="7" s="1"/>
  <c r="AC551" i="7"/>
  <c r="AB551" i="7"/>
  <c r="AT551" i="7"/>
  <c r="AK551" i="7" s="1"/>
  <c r="AT917" i="7"/>
  <c r="AK917" i="7" s="1"/>
  <c r="AC917" i="7"/>
  <c r="AB917" i="7"/>
  <c r="AS917" i="7"/>
  <c r="AJ917" i="7" s="1"/>
  <c r="AS267" i="7"/>
  <c r="AJ267" i="7" s="1"/>
  <c r="AC267" i="7"/>
  <c r="AT267" i="7"/>
  <c r="AK267" i="7" s="1"/>
  <c r="AB267" i="7"/>
  <c r="AS809" i="7"/>
  <c r="AJ809" i="7" s="1"/>
  <c r="AA809" i="7" s="1"/>
  <c r="AC809" i="7"/>
  <c r="AB809" i="7"/>
  <c r="AT809" i="7"/>
  <c r="AK809" i="7" s="1"/>
  <c r="AS957" i="7"/>
  <c r="AJ957" i="7" s="1"/>
  <c r="AT957" i="7"/>
  <c r="AK957" i="7" s="1"/>
  <c r="AC957" i="7"/>
  <c r="AB957" i="7"/>
  <c r="AB1108" i="7"/>
  <c r="AC1108" i="7"/>
  <c r="AT1108" i="7"/>
  <c r="AK1108" i="7" s="1"/>
  <c r="AS1108" i="7"/>
  <c r="AJ1108" i="7" s="1"/>
  <c r="AC131" i="7"/>
  <c r="AT131" i="7"/>
  <c r="AK131" i="7" s="1"/>
  <c r="AB131" i="7"/>
  <c r="AS131" i="7"/>
  <c r="AJ131" i="7" s="1"/>
  <c r="AA131" i="7" s="1"/>
  <c r="AT882" i="7"/>
  <c r="AK882" i="7" s="1"/>
  <c r="AS882" i="7"/>
  <c r="AJ882" i="7" s="1"/>
  <c r="AC882" i="7"/>
  <c r="AB882" i="7"/>
  <c r="AB928" i="7"/>
  <c r="AT928" i="7"/>
  <c r="AK928" i="7" s="1"/>
  <c r="AS928" i="7"/>
  <c r="AJ928" i="7" s="1"/>
  <c r="AA928" i="7" s="1"/>
  <c r="AC928" i="7"/>
  <c r="AS1071" i="7"/>
  <c r="AJ1071" i="7" s="1"/>
  <c r="AA1071" i="7" s="1"/>
  <c r="AC1071" i="7"/>
  <c r="AT1071" i="7"/>
  <c r="AK1071" i="7" s="1"/>
  <c r="AB1071" i="7"/>
  <c r="AS1186" i="7"/>
  <c r="AJ1186" i="7" s="1"/>
  <c r="AC1186" i="7"/>
  <c r="AT1186" i="7"/>
  <c r="AK1186" i="7" s="1"/>
  <c r="AB1186" i="7"/>
  <c r="AS96" i="7"/>
  <c r="AJ96" i="7" s="1"/>
  <c r="AA96" i="7" s="1"/>
  <c r="AC96" i="7"/>
  <c r="AB96" i="7"/>
  <c r="AT96" i="7"/>
  <c r="AK96" i="7" s="1"/>
  <c r="AC476" i="7"/>
  <c r="AS476" i="7"/>
  <c r="AJ476" i="7" s="1"/>
  <c r="AT476" i="7"/>
  <c r="AK476" i="7" s="1"/>
  <c r="AB476" i="7"/>
  <c r="AC722" i="7"/>
  <c r="AB722" i="7"/>
  <c r="AT722" i="7"/>
  <c r="AK722" i="7" s="1"/>
  <c r="AS722" i="7"/>
  <c r="AJ722" i="7" s="1"/>
  <c r="AB1100" i="7"/>
  <c r="AT1100" i="7"/>
  <c r="AK1100" i="7" s="1"/>
  <c r="AS1100" i="7"/>
  <c r="AJ1100" i="7" s="1"/>
  <c r="AA1100" i="7" s="1"/>
  <c r="AC1100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48" i="7"/>
  <c r="AT548" i="7"/>
  <c r="AK548" i="7" s="1"/>
  <c r="AB548" i="7"/>
  <c r="AS548" i="7"/>
  <c r="AJ548" i="7" s="1"/>
  <c r="AS914" i="7"/>
  <c r="AJ914" i="7" s="1"/>
  <c r="AA914" i="7" s="1"/>
  <c r="AC914" i="7"/>
  <c r="AT914" i="7"/>
  <c r="AK914" i="7" s="1"/>
  <c r="AB914" i="7"/>
  <c r="AC109" i="7"/>
  <c r="AS109" i="7"/>
  <c r="AJ109" i="7" s="1"/>
  <c r="AB109" i="7"/>
  <c r="AT109" i="7"/>
  <c r="AK109" i="7" s="1"/>
  <c r="AS428" i="7"/>
  <c r="AJ428" i="7" s="1"/>
  <c r="AA428" i="7" s="1"/>
  <c r="AC428" i="7"/>
  <c r="AB428" i="7"/>
  <c r="AT428" i="7"/>
  <c r="AK428" i="7" s="1"/>
  <c r="AT620" i="7"/>
  <c r="AK620" i="7" s="1"/>
  <c r="AC620" i="7"/>
  <c r="AB620" i="7"/>
  <c r="AS620" i="7"/>
  <c r="AJ620" i="7" s="1"/>
  <c r="AA620" i="7" s="1"/>
  <c r="AT765" i="7"/>
  <c r="AK765" i="7" s="1"/>
  <c r="AS765" i="7"/>
  <c r="AJ765" i="7" s="1"/>
  <c r="AC765" i="7"/>
  <c r="AB765" i="7"/>
  <c r="Z84" i="7"/>
  <c r="AT50" i="7"/>
  <c r="AK50" i="7" s="1"/>
  <c r="AC50" i="7"/>
  <c r="AS50" i="7"/>
  <c r="AJ50" i="7" s="1"/>
  <c r="AA50" i="7" s="1"/>
  <c r="AB50" i="7"/>
  <c r="AC157" i="7"/>
  <c r="AB157" i="7"/>
  <c r="AT157" i="7"/>
  <c r="AK157" i="7" s="1"/>
  <c r="AS157" i="7"/>
  <c r="AJ157" i="7" s="1"/>
  <c r="AA157" i="7" s="1"/>
  <c r="AT532" i="7"/>
  <c r="AK532" i="7" s="1"/>
  <c r="AC532" i="7"/>
  <c r="AB532" i="7"/>
  <c r="AS532" i="7"/>
  <c r="AJ532" i="7" s="1"/>
  <c r="AA532" i="7" s="1"/>
  <c r="AS852" i="7"/>
  <c r="AJ852" i="7" s="1"/>
  <c r="AC852" i="7"/>
  <c r="AT852" i="7"/>
  <c r="AK852" i="7" s="1"/>
  <c r="AB852" i="7"/>
  <c r="AT195" i="7"/>
  <c r="AK195" i="7" s="1"/>
  <c r="AB195" i="7"/>
  <c r="AS195" i="7"/>
  <c r="AJ195" i="7" s="1"/>
  <c r="AA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3" i="7"/>
  <c r="AK703" i="7" s="1"/>
  <c r="AS703" i="7"/>
  <c r="AJ703" i="7" s="1"/>
  <c r="AA703" i="7" s="1"/>
  <c r="AC703" i="7"/>
  <c r="AB703" i="7"/>
  <c r="AC774" i="7"/>
  <c r="AB774" i="7"/>
  <c r="AT774" i="7"/>
  <c r="AK774" i="7" s="1"/>
  <c r="AS774" i="7"/>
  <c r="AJ774" i="7" s="1"/>
  <c r="AA774" i="7" s="1"/>
  <c r="AS633" i="7"/>
  <c r="AJ633" i="7" s="1"/>
  <c r="AA633" i="7" s="1"/>
  <c r="AC633" i="7"/>
  <c r="AB633" i="7"/>
  <c r="AT633" i="7"/>
  <c r="AK633" i="7" s="1"/>
  <c r="AT712" i="7"/>
  <c r="AK712" i="7" s="1"/>
  <c r="AS712" i="7"/>
  <c r="AJ712" i="7" s="1"/>
  <c r="AC712" i="7"/>
  <c r="AB712" i="7"/>
  <c r="AT85" i="7"/>
  <c r="AK85" i="7" s="1"/>
  <c r="AC85" i="7"/>
  <c r="AB85" i="7"/>
  <c r="AS85" i="7"/>
  <c r="AJ85" i="7" s="1"/>
  <c r="AA85" i="7" s="1"/>
  <c r="AT304" i="7"/>
  <c r="AK304" i="7" s="1"/>
  <c r="AC304" i="7"/>
  <c r="AS304" i="7"/>
  <c r="AJ304" i="7" s="1"/>
  <c r="AA304" i="7" s="1"/>
  <c r="AB304" i="7"/>
  <c r="AT567" i="7"/>
  <c r="AK567" i="7" s="1"/>
  <c r="AC567" i="7"/>
  <c r="AS567" i="7"/>
  <c r="AJ567" i="7" s="1"/>
  <c r="AB567" i="7"/>
  <c r="AT984" i="7"/>
  <c r="AK984" i="7" s="1"/>
  <c r="AS984" i="7"/>
  <c r="AJ984" i="7" s="1"/>
  <c r="AC984" i="7"/>
  <c r="AB984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89" i="7"/>
  <c r="AJ789" i="7" s="1"/>
  <c r="AA789" i="7" s="1"/>
  <c r="AC789" i="7"/>
  <c r="AT789" i="7"/>
  <c r="AK789" i="7" s="1"/>
  <c r="AB789" i="7"/>
  <c r="AT904" i="7"/>
  <c r="AK904" i="7" s="1"/>
  <c r="AC904" i="7"/>
  <c r="AS904" i="7"/>
  <c r="AJ904" i="7" s="1"/>
  <c r="AA904" i="7" s="1"/>
  <c r="AB904" i="7"/>
  <c r="AS1001" i="7"/>
  <c r="AJ1001" i="7" s="1"/>
  <c r="AC1001" i="7"/>
  <c r="AT1001" i="7"/>
  <c r="AK1001" i="7" s="1"/>
  <c r="AB1001" i="7"/>
  <c r="AS1185" i="7"/>
  <c r="AJ1185" i="7" s="1"/>
  <c r="AA1185" i="7" s="1"/>
  <c r="AC1185" i="7"/>
  <c r="AB1185" i="7"/>
  <c r="AT1185" i="7"/>
  <c r="AK1185" i="7" s="1"/>
  <c r="AS401" i="7"/>
  <c r="AJ401" i="7" s="1"/>
  <c r="AC401" i="7"/>
  <c r="AB401" i="7"/>
  <c r="AT401" i="7"/>
  <c r="AK401" i="7" s="1"/>
  <c r="AT782" i="7"/>
  <c r="AK782" i="7" s="1"/>
  <c r="AC782" i="7"/>
  <c r="AS782" i="7"/>
  <c r="AJ782" i="7" s="1"/>
  <c r="AA782" i="7" s="1"/>
  <c r="AB782" i="7"/>
  <c r="AT1127" i="7"/>
  <c r="AK1127" i="7" s="1"/>
  <c r="AC1127" i="7"/>
  <c r="AS1127" i="7"/>
  <c r="AJ1127" i="7" s="1"/>
  <c r="AA1127" i="7" s="1"/>
  <c r="AB1127" i="7"/>
  <c r="Z65" i="7"/>
  <c r="U8" i="11"/>
  <c r="W8" i="11" s="1"/>
  <c r="Z17" i="7"/>
  <c r="AS423" i="7"/>
  <c r="AJ423" i="7" s="1"/>
  <c r="AA423" i="7" s="1"/>
  <c r="AC423" i="7"/>
  <c r="AB423" i="7"/>
  <c r="AT423" i="7"/>
  <c r="AK423" i="7" s="1"/>
  <c r="AS753" i="7"/>
  <c r="AJ753" i="7" s="1"/>
  <c r="AA753" i="7" s="1"/>
  <c r="AC753" i="7"/>
  <c r="AT753" i="7"/>
  <c r="AK753" i="7" s="1"/>
  <c r="AB753" i="7"/>
  <c r="AT1126" i="7"/>
  <c r="AK1126" i="7" s="1"/>
  <c r="AC1126" i="7"/>
  <c r="AS1126" i="7"/>
  <c r="AJ1126" i="7" s="1"/>
  <c r="AA1126" i="7" s="1"/>
  <c r="AB1126" i="7"/>
  <c r="AT55" i="7"/>
  <c r="AK55" i="7" s="1"/>
  <c r="AC55" i="7"/>
  <c r="AS55" i="7"/>
  <c r="AJ55" i="7" s="1"/>
  <c r="AB55" i="7"/>
  <c r="AT798" i="7"/>
  <c r="AK798" i="7" s="1"/>
  <c r="AC798" i="7"/>
  <c r="AB798" i="7"/>
  <c r="AS798" i="7"/>
  <c r="AJ798" i="7" s="1"/>
  <c r="AT880" i="7"/>
  <c r="AK880" i="7" s="1"/>
  <c r="AC880" i="7"/>
  <c r="AB880" i="7"/>
  <c r="AS880" i="7"/>
  <c r="AJ880" i="7" s="1"/>
  <c r="AC1018" i="7"/>
  <c r="AT1018" i="7"/>
  <c r="AK1018" i="7" s="1"/>
  <c r="AB1018" i="7"/>
  <c r="AS1018" i="7"/>
  <c r="AJ1018" i="7" s="1"/>
  <c r="AA1018" i="7" s="1"/>
  <c r="AS1110" i="7"/>
  <c r="AJ1110" i="7" s="1"/>
  <c r="AA1110" i="7" s="1"/>
  <c r="AC1110" i="7"/>
  <c r="AB1110" i="7"/>
  <c r="AT1110" i="7"/>
  <c r="AK1110" i="7" s="1"/>
  <c r="AS678" i="7"/>
  <c r="AJ678" i="7" s="1"/>
  <c r="AA678" i="7" s="1"/>
  <c r="AC678" i="7"/>
  <c r="AT678" i="7"/>
  <c r="AK678" i="7" s="1"/>
  <c r="AB678" i="7"/>
  <c r="AS245" i="7"/>
  <c r="AJ245" i="7" s="1"/>
  <c r="AA245" i="7" s="1"/>
  <c r="AB245" i="7"/>
  <c r="AC245" i="7"/>
  <c r="AT245" i="7"/>
  <c r="AK245" i="7" s="1"/>
  <c r="AB889" i="7"/>
  <c r="AT889" i="7"/>
  <c r="AK889" i="7" s="1"/>
  <c r="AS889" i="7"/>
  <c r="AJ889" i="7" s="1"/>
  <c r="AA889" i="7" s="1"/>
  <c r="AC889" i="7"/>
  <c r="AS1027" i="7"/>
  <c r="AJ1027" i="7" s="1"/>
  <c r="AA1027" i="7" s="1"/>
  <c r="AC1027" i="7"/>
  <c r="AB1027" i="7"/>
  <c r="AT1027" i="7"/>
  <c r="AK1027" i="7" s="1"/>
  <c r="AS1160" i="7"/>
  <c r="AJ1160" i="7" s="1"/>
  <c r="AA1160" i="7" s="1"/>
  <c r="AC1160" i="7"/>
  <c r="AB1160" i="7"/>
  <c r="AT1160" i="7"/>
  <c r="AK1160" i="7" s="1"/>
  <c r="AC228" i="7"/>
  <c r="AT228" i="7"/>
  <c r="AK228" i="7" s="1"/>
  <c r="AB228" i="7"/>
  <c r="AS228" i="7"/>
  <c r="AJ228" i="7" s="1"/>
  <c r="AA228" i="7" s="1"/>
  <c r="AS307" i="7"/>
  <c r="AJ307" i="7" s="1"/>
  <c r="AC307" i="7"/>
  <c r="AB307" i="7"/>
  <c r="AT307" i="7"/>
  <c r="AK307" i="7" s="1"/>
  <c r="AC724" i="7"/>
  <c r="AB724" i="7"/>
  <c r="AT724" i="7"/>
  <c r="AK724" i="7" s="1"/>
  <c r="AS724" i="7"/>
  <c r="AJ724" i="7" s="1"/>
  <c r="AS1056" i="7"/>
  <c r="AJ1056" i="7" s="1"/>
  <c r="AA1056" i="7" s="1"/>
  <c r="AB1056" i="7"/>
  <c r="AC1056" i="7"/>
  <c r="AT1056" i="7"/>
  <c r="AK1056" i="7" s="1"/>
  <c r="AT503" i="7"/>
  <c r="AK503" i="7" s="1"/>
  <c r="AS503" i="7"/>
  <c r="AJ503" i="7" s="1"/>
  <c r="AC503" i="7"/>
  <c r="AB503" i="7"/>
  <c r="AC728" i="7"/>
  <c r="AB728" i="7"/>
  <c r="AT728" i="7"/>
  <c r="AK728" i="7" s="1"/>
  <c r="AS728" i="7"/>
  <c r="AJ728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A61" i="7" s="1"/>
  <c r="AB357" i="7"/>
  <c r="AT357" i="7"/>
  <c r="AK357" i="7" s="1"/>
  <c r="AS357" i="7"/>
  <c r="AJ357" i="7" s="1"/>
  <c r="AA357" i="7" s="1"/>
  <c r="AC357" i="7"/>
  <c r="AC561" i="7"/>
  <c r="AB561" i="7"/>
  <c r="AT561" i="7"/>
  <c r="AK561" i="7" s="1"/>
  <c r="AS561" i="7"/>
  <c r="AJ561" i="7" s="1"/>
  <c r="AA561" i="7" s="1"/>
  <c r="Z31" i="7"/>
  <c r="Z1157" i="7"/>
  <c r="Y1131" i="7"/>
  <c r="Z1124" i="7"/>
  <c r="Y1107" i="7"/>
  <c r="Y1097" i="7"/>
  <c r="Z1093" i="7"/>
  <c r="Y1076" i="7"/>
  <c r="Z1065" i="7"/>
  <c r="Y1033" i="7"/>
  <c r="Z1029" i="7"/>
  <c r="Y1029" i="7"/>
  <c r="Y1024" i="7"/>
  <c r="Y1028" i="7"/>
  <c r="Z961" i="7"/>
  <c r="Y965" i="7"/>
  <c r="Y934" i="7"/>
  <c r="Y915" i="7"/>
  <c r="Z897" i="7"/>
  <c r="Y884" i="7"/>
  <c r="Y891" i="7"/>
  <c r="Y802" i="7"/>
  <c r="Z803" i="7"/>
  <c r="Y860" i="7"/>
  <c r="Y810" i="7"/>
  <c r="Y798" i="7"/>
  <c r="Z786" i="7"/>
  <c r="Z759" i="7"/>
  <c r="Y732" i="7"/>
  <c r="Y707" i="7"/>
  <c r="Y692" i="7"/>
  <c r="Y722" i="7"/>
  <c r="Y681" i="7"/>
  <c r="Y665" i="7"/>
  <c r="Z658" i="7"/>
  <c r="Z664" i="7"/>
  <c r="Y610" i="7"/>
  <c r="Y598" i="7"/>
  <c r="Z601" i="7"/>
  <c r="Z619" i="7"/>
  <c r="Z578" i="7"/>
  <c r="Y534" i="7"/>
  <c r="Y547" i="7"/>
  <c r="Z552" i="7"/>
  <c r="Y483" i="7"/>
  <c r="Y559" i="7"/>
  <c r="Y525" i="7"/>
  <c r="Z562" i="7"/>
  <c r="Y506" i="7"/>
  <c r="Z527" i="7"/>
  <c r="Z363" i="7"/>
  <c r="Z446" i="7"/>
  <c r="Y297" i="7"/>
  <c r="Y362" i="7"/>
  <c r="Z204" i="7"/>
  <c r="Y186" i="7"/>
  <c r="Z165" i="7"/>
  <c r="Y160" i="7"/>
  <c r="Y151" i="7"/>
  <c r="Y111" i="7"/>
  <c r="AS512" i="7"/>
  <c r="AJ512" i="7" s="1"/>
  <c r="AB512" i="7"/>
  <c r="AT512" i="7"/>
  <c r="AK512" i="7" s="1"/>
  <c r="AC512" i="7"/>
  <c r="AC329" i="7"/>
  <c r="AB329" i="7"/>
  <c r="AT329" i="7"/>
  <c r="AK329" i="7" s="1"/>
  <c r="AS329" i="7"/>
  <c r="AJ329" i="7" s="1"/>
  <c r="AA329" i="7" s="1"/>
  <c r="AC582" i="7"/>
  <c r="AB582" i="7"/>
  <c r="AT582" i="7"/>
  <c r="AK582" i="7" s="1"/>
  <c r="AS582" i="7"/>
  <c r="AJ582" i="7" s="1"/>
  <c r="AA582" i="7" s="1"/>
  <c r="AC940" i="7"/>
  <c r="AB940" i="7"/>
  <c r="AT940" i="7"/>
  <c r="AK940" i="7" s="1"/>
  <c r="AS940" i="7"/>
  <c r="AJ940" i="7" s="1"/>
  <c r="AA940" i="7" s="1"/>
  <c r="AS277" i="7"/>
  <c r="AJ277" i="7" s="1"/>
  <c r="AB277" i="7"/>
  <c r="AT277" i="7"/>
  <c r="AK277" i="7" s="1"/>
  <c r="AC277" i="7"/>
  <c r="AS842" i="7"/>
  <c r="AJ842" i="7" s="1"/>
  <c r="AA842" i="7" s="1"/>
  <c r="AC842" i="7"/>
  <c r="AB842" i="7"/>
  <c r="AT842" i="7"/>
  <c r="AK842" i="7" s="1"/>
  <c r="AT970" i="7"/>
  <c r="AK970" i="7" s="1"/>
  <c r="AC970" i="7"/>
  <c r="AS970" i="7"/>
  <c r="AJ970" i="7" s="1"/>
  <c r="AB970" i="7"/>
  <c r="AS1072" i="7"/>
  <c r="AJ1072" i="7" s="1"/>
  <c r="AB1072" i="7"/>
  <c r="AC1072" i="7"/>
  <c r="AT1072" i="7"/>
  <c r="AK1072" i="7" s="1"/>
  <c r="AT187" i="7"/>
  <c r="AK187" i="7" s="1"/>
  <c r="AB187" i="7"/>
  <c r="AS187" i="7"/>
  <c r="AJ187" i="7" s="1"/>
  <c r="AA187" i="7" s="1"/>
  <c r="AC187" i="7"/>
  <c r="AT841" i="7"/>
  <c r="AK841" i="7" s="1"/>
  <c r="AS841" i="7"/>
  <c r="AJ841" i="7" s="1"/>
  <c r="AC841" i="7"/>
  <c r="AB841" i="7"/>
  <c r="AT956" i="7"/>
  <c r="AK956" i="7" s="1"/>
  <c r="AS956" i="7"/>
  <c r="AJ956" i="7" s="1"/>
  <c r="AC956" i="7"/>
  <c r="AB956" i="7"/>
  <c r="AC1158" i="7"/>
  <c r="AT1158" i="7"/>
  <c r="AK1158" i="7" s="1"/>
  <c r="AB1158" i="7"/>
  <c r="AS1158" i="7"/>
  <c r="AJ1158" i="7" s="1"/>
  <c r="AA1158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A374" i="7" s="1"/>
  <c r="AT778" i="7"/>
  <c r="AK778" i="7" s="1"/>
  <c r="AC778" i="7"/>
  <c r="AS778" i="7"/>
  <c r="AJ778" i="7" s="1"/>
  <c r="AA778" i="7" s="1"/>
  <c r="AB778" i="7"/>
  <c r="AS1123" i="7"/>
  <c r="AJ1123" i="7" s="1"/>
  <c r="AA1123" i="7" s="1"/>
  <c r="AC1123" i="7"/>
  <c r="AB1123" i="7"/>
  <c r="AT1123" i="7"/>
  <c r="AK1123" i="7" s="1"/>
  <c r="AS407" i="7"/>
  <c r="AJ407" i="7" s="1"/>
  <c r="AA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25" i="7"/>
  <c r="AK525" i="7" s="1"/>
  <c r="AC525" i="7"/>
  <c r="AS525" i="7"/>
  <c r="AJ525" i="7" s="1"/>
  <c r="AB525" i="7"/>
  <c r="AT891" i="7"/>
  <c r="AK891" i="7" s="1"/>
  <c r="AC891" i="7"/>
  <c r="AB891" i="7"/>
  <c r="AS891" i="7"/>
  <c r="AJ891" i="7" s="1"/>
  <c r="AS359" i="7"/>
  <c r="AJ359" i="7" s="1"/>
  <c r="AA359" i="7" s="1"/>
  <c r="AC359" i="7"/>
  <c r="AB359" i="7"/>
  <c r="AT359" i="7"/>
  <c r="AK359" i="7" s="1"/>
  <c r="AC382" i="7"/>
  <c r="AT382" i="7"/>
  <c r="AK382" i="7" s="1"/>
  <c r="AB382" i="7"/>
  <c r="AS382" i="7"/>
  <c r="AJ382" i="7" s="1"/>
  <c r="AS681" i="7"/>
  <c r="AJ681" i="7" s="1"/>
  <c r="AA681" i="7" s="1"/>
  <c r="AC681" i="7"/>
  <c r="AB681" i="7"/>
  <c r="AT681" i="7"/>
  <c r="AK681" i="7" s="1"/>
  <c r="AT770" i="7"/>
  <c r="AK770" i="7" s="1"/>
  <c r="AC770" i="7"/>
  <c r="AS770" i="7"/>
  <c r="AJ770" i="7" s="1"/>
  <c r="AB770" i="7"/>
  <c r="Y83" i="7"/>
  <c r="AT129" i="7"/>
  <c r="AK129" i="7" s="1"/>
  <c r="AB129" i="7"/>
  <c r="AS129" i="7"/>
  <c r="AJ129" i="7" s="1"/>
  <c r="AA129" i="7" s="1"/>
  <c r="AC129" i="7"/>
  <c r="AS573" i="7"/>
  <c r="AJ573" i="7" s="1"/>
  <c r="AC573" i="7"/>
  <c r="AT573" i="7"/>
  <c r="AK573" i="7" s="1"/>
  <c r="AB573" i="7"/>
  <c r="AT898" i="7"/>
  <c r="AK898" i="7" s="1"/>
  <c r="AS898" i="7"/>
  <c r="AJ898" i="7" s="1"/>
  <c r="AC898" i="7"/>
  <c r="AB898" i="7"/>
  <c r="AC218" i="7"/>
  <c r="AT218" i="7"/>
  <c r="AK218" i="7" s="1"/>
  <c r="AB218" i="7"/>
  <c r="AS218" i="7"/>
  <c r="AJ218" i="7" s="1"/>
  <c r="AA218" i="7" s="1"/>
  <c r="AT289" i="7"/>
  <c r="AK289" i="7" s="1"/>
  <c r="AC289" i="7"/>
  <c r="AS289" i="7"/>
  <c r="AJ289" i="7" s="1"/>
  <c r="AA289" i="7" s="1"/>
  <c r="AB289" i="7"/>
  <c r="AC381" i="7"/>
  <c r="AT381" i="7"/>
  <c r="AK381" i="7" s="1"/>
  <c r="AS381" i="7"/>
  <c r="AJ381" i="7" s="1"/>
  <c r="AB381" i="7"/>
  <c r="AT647" i="7"/>
  <c r="AK647" i="7" s="1"/>
  <c r="AB647" i="7"/>
  <c r="AS647" i="7"/>
  <c r="AJ647" i="7" s="1"/>
  <c r="AC647" i="7"/>
  <c r="AC746" i="7"/>
  <c r="AT746" i="7"/>
  <c r="AK746" i="7" s="1"/>
  <c r="AB746" i="7"/>
  <c r="AS746" i="7"/>
  <c r="AJ746" i="7" s="1"/>
  <c r="AA746" i="7" s="1"/>
  <c r="AT651" i="7"/>
  <c r="AK651" i="7" s="1"/>
  <c r="AB651" i="7"/>
  <c r="AS651" i="7"/>
  <c r="AJ651" i="7" s="1"/>
  <c r="AA651" i="7" s="1"/>
  <c r="AC651" i="7"/>
  <c r="AT735" i="7"/>
  <c r="AK735" i="7" s="1"/>
  <c r="AC735" i="7"/>
  <c r="AS735" i="7"/>
  <c r="AJ735" i="7" s="1"/>
  <c r="AA735" i="7" s="1"/>
  <c r="AB735" i="7"/>
  <c r="AC123" i="7"/>
  <c r="AT123" i="7"/>
  <c r="AK123" i="7" s="1"/>
  <c r="AB123" i="7"/>
  <c r="AS123" i="7"/>
  <c r="AJ123" i="7" s="1"/>
  <c r="AA123" i="7" s="1"/>
  <c r="AT253" i="7"/>
  <c r="AK253" i="7" s="1"/>
  <c r="AC253" i="7"/>
  <c r="AS253" i="7"/>
  <c r="AJ253" i="7" s="1"/>
  <c r="AB253" i="7"/>
  <c r="AS609" i="7"/>
  <c r="AJ609" i="7" s="1"/>
  <c r="AC609" i="7"/>
  <c r="AB609" i="7"/>
  <c r="AT609" i="7"/>
  <c r="AK609" i="7" s="1"/>
  <c r="AS961" i="7"/>
  <c r="AJ961" i="7" s="1"/>
  <c r="AC961" i="7"/>
  <c r="AB961" i="7"/>
  <c r="AT961" i="7"/>
  <c r="AK961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A406" i="7" s="1"/>
  <c r="AS51" i="7"/>
  <c r="AJ51" i="7" s="1"/>
  <c r="AB51" i="7"/>
  <c r="AT51" i="7"/>
  <c r="AK51" i="7" s="1"/>
  <c r="AC51" i="7"/>
  <c r="AT853" i="7"/>
  <c r="AK853" i="7" s="1"/>
  <c r="AC853" i="7"/>
  <c r="AS853" i="7"/>
  <c r="AJ853" i="7" s="1"/>
  <c r="AA853" i="7" s="1"/>
  <c r="AB853" i="7"/>
  <c r="AS927" i="7"/>
  <c r="AJ927" i="7" s="1"/>
  <c r="AA927" i="7" s="1"/>
  <c r="AC927" i="7"/>
  <c r="AB927" i="7"/>
  <c r="AT927" i="7"/>
  <c r="AK927" i="7" s="1"/>
  <c r="AT1060" i="7"/>
  <c r="AK1060" i="7" s="1"/>
  <c r="AC1060" i="7"/>
  <c r="AB1060" i="7"/>
  <c r="AS1060" i="7"/>
  <c r="AJ1060" i="7" s="1"/>
  <c r="AA1060" i="7" s="1"/>
  <c r="AC1162" i="7"/>
  <c r="AT1162" i="7"/>
  <c r="AK1162" i="7" s="1"/>
  <c r="AB1162" i="7"/>
  <c r="AS1162" i="7"/>
  <c r="AJ1162" i="7" s="1"/>
  <c r="AA1162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4" i="7"/>
  <c r="AB754" i="7"/>
  <c r="AT754" i="7"/>
  <c r="AK754" i="7" s="1"/>
  <c r="AS754" i="7"/>
  <c r="AJ754" i="7" s="1"/>
  <c r="AT1196" i="7"/>
  <c r="AK1196" i="7" s="1"/>
  <c r="AS1196" i="7"/>
  <c r="AJ1196" i="7" s="1"/>
  <c r="AA1196" i="7" s="1"/>
  <c r="AC1196" i="7"/>
  <c r="AB1196" i="7"/>
  <c r="Z86" i="7"/>
  <c r="AT354" i="7"/>
  <c r="AK354" i="7" s="1"/>
  <c r="AB354" i="7"/>
  <c r="AC354" i="7"/>
  <c r="AS354" i="7"/>
  <c r="AJ354" i="7" s="1"/>
  <c r="AS781" i="7"/>
  <c r="AJ781" i="7" s="1"/>
  <c r="AC781" i="7"/>
  <c r="AT781" i="7"/>
  <c r="AK781" i="7" s="1"/>
  <c r="AB781" i="7"/>
  <c r="AS1149" i="7"/>
  <c r="AJ1149" i="7" s="1"/>
  <c r="AA1149" i="7" s="1"/>
  <c r="AC1149" i="7"/>
  <c r="AB1149" i="7"/>
  <c r="AT1149" i="7"/>
  <c r="AK1149" i="7" s="1"/>
  <c r="AT32" i="7"/>
  <c r="AK32" i="7" s="1"/>
  <c r="AC32" i="7"/>
  <c r="AB32" i="7"/>
  <c r="AS32" i="7"/>
  <c r="AJ32" i="7" s="1"/>
  <c r="AA32" i="7" s="1"/>
  <c r="AS839" i="7"/>
  <c r="AJ839" i="7" s="1"/>
  <c r="AA839" i="7" s="1"/>
  <c r="AC839" i="7"/>
  <c r="AB839" i="7"/>
  <c r="AT839" i="7"/>
  <c r="AK839" i="7" s="1"/>
  <c r="AT913" i="7"/>
  <c r="AK913" i="7" s="1"/>
  <c r="AC913" i="7"/>
  <c r="AS913" i="7"/>
  <c r="AJ913" i="7" s="1"/>
  <c r="AA913" i="7" s="1"/>
  <c r="AB913" i="7"/>
  <c r="AC1046" i="7"/>
  <c r="AB1046" i="7"/>
  <c r="AT1046" i="7"/>
  <c r="AK1046" i="7" s="1"/>
  <c r="AS1046" i="7"/>
  <c r="AJ1046" i="7" s="1"/>
  <c r="AA1046" i="7" s="1"/>
  <c r="AS1156" i="7"/>
  <c r="AJ1156" i="7" s="1"/>
  <c r="AA1156" i="7" s="1"/>
  <c r="AC1156" i="7"/>
  <c r="AT1156" i="7"/>
  <c r="AK1156" i="7" s="1"/>
  <c r="AB1156" i="7"/>
  <c r="AS632" i="7"/>
  <c r="AJ632" i="7" s="1"/>
  <c r="AA632" i="7" s="1"/>
  <c r="AC632" i="7"/>
  <c r="AB632" i="7"/>
  <c r="AT632" i="7"/>
  <c r="AK632" i="7" s="1"/>
  <c r="AT189" i="7"/>
  <c r="AK189" i="7" s="1"/>
  <c r="AC189" i="7"/>
  <c r="AB189" i="7"/>
  <c r="AS189" i="7"/>
  <c r="AJ189" i="7" s="1"/>
  <c r="AA189" i="7" s="1"/>
  <c r="AT861" i="7"/>
  <c r="AK861" i="7" s="1"/>
  <c r="AC861" i="7"/>
  <c r="AS861" i="7"/>
  <c r="AJ861" i="7" s="1"/>
  <c r="AB861" i="7"/>
  <c r="AT994" i="7"/>
  <c r="AK994" i="7" s="1"/>
  <c r="AC994" i="7"/>
  <c r="AS994" i="7"/>
  <c r="AJ994" i="7" s="1"/>
  <c r="AB994" i="7"/>
  <c r="AS1091" i="7"/>
  <c r="AJ1091" i="7" s="1"/>
  <c r="AA1091" i="7" s="1"/>
  <c r="AC1091" i="7"/>
  <c r="AB1091" i="7"/>
  <c r="AT1091" i="7"/>
  <c r="AK1091" i="7" s="1"/>
  <c r="AT37" i="7"/>
  <c r="AK37" i="7" s="1"/>
  <c r="AS37" i="7"/>
  <c r="AJ37" i="7" s="1"/>
  <c r="AA37" i="7" s="1"/>
  <c r="AC37" i="7"/>
  <c r="AB37" i="7"/>
  <c r="AS144" i="7"/>
  <c r="AJ144" i="7" s="1"/>
  <c r="AA144" i="7" s="1"/>
  <c r="AC144" i="7"/>
  <c r="AB144" i="7"/>
  <c r="AT144" i="7"/>
  <c r="AK144" i="7" s="1"/>
  <c r="AC478" i="7"/>
  <c r="AT478" i="7"/>
  <c r="AK478" i="7" s="1"/>
  <c r="AB478" i="7"/>
  <c r="AS478" i="7"/>
  <c r="AJ478" i="7" s="1"/>
  <c r="AA478" i="7" s="1"/>
  <c r="AS668" i="7"/>
  <c r="AJ668" i="7" s="1"/>
  <c r="AA668" i="7" s="1"/>
  <c r="AC668" i="7"/>
  <c r="AB668" i="7"/>
  <c r="AT668" i="7"/>
  <c r="AK668" i="7" s="1"/>
  <c r="AS1079" i="7"/>
  <c r="AJ1079" i="7" s="1"/>
  <c r="AC1079" i="7"/>
  <c r="AT1079" i="7"/>
  <c r="AK1079" i="7" s="1"/>
  <c r="AB1079" i="7"/>
  <c r="AC557" i="7"/>
  <c r="AB557" i="7"/>
  <c r="AT557" i="7"/>
  <c r="AK557" i="7" s="1"/>
  <c r="AS557" i="7"/>
  <c r="AJ557" i="7" s="1"/>
  <c r="AA557" i="7" s="1"/>
  <c r="AS733" i="7"/>
  <c r="AJ733" i="7" s="1"/>
  <c r="AA733" i="7" s="1"/>
  <c r="AC733" i="7"/>
  <c r="AT733" i="7"/>
  <c r="AK733" i="7" s="1"/>
  <c r="AB733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A380" i="7" s="1"/>
  <c r="AC380" i="7"/>
  <c r="AB380" i="7"/>
  <c r="AT380" i="7"/>
  <c r="AK380" i="7" s="1"/>
  <c r="AC595" i="7"/>
  <c r="AT595" i="7"/>
  <c r="AK595" i="7" s="1"/>
  <c r="AB595" i="7"/>
  <c r="AS595" i="7"/>
  <c r="AJ595" i="7" s="1"/>
  <c r="AA595" i="7" s="1"/>
  <c r="Y1123" i="7"/>
  <c r="Y771" i="7"/>
  <c r="Y812" i="7"/>
  <c r="Y609" i="7"/>
  <c r="Y531" i="7"/>
  <c r="Y448" i="7"/>
  <c r="Z458" i="7"/>
  <c r="Y406" i="7"/>
  <c r="Y189" i="7"/>
  <c r="Y154" i="7"/>
  <c r="AS94" i="7"/>
  <c r="AJ94" i="7" s="1"/>
  <c r="AC94" i="7"/>
  <c r="AB94" i="7"/>
  <c r="AT94" i="7"/>
  <c r="AK94" i="7" s="1"/>
  <c r="AS538" i="7"/>
  <c r="AJ538" i="7" s="1"/>
  <c r="AC538" i="7"/>
  <c r="AT538" i="7"/>
  <c r="AK538" i="7" s="1"/>
  <c r="AB538" i="7"/>
  <c r="AS283" i="7"/>
  <c r="AJ283" i="7" s="1"/>
  <c r="AA283" i="7" s="1"/>
  <c r="AC283" i="7"/>
  <c r="AT283" i="7"/>
  <c r="AK283" i="7" s="1"/>
  <c r="AB283" i="7"/>
  <c r="AS639" i="7"/>
  <c r="AJ639" i="7" s="1"/>
  <c r="AA639" i="7" s="1"/>
  <c r="AC639" i="7"/>
  <c r="AT639" i="7"/>
  <c r="AK639" i="7" s="1"/>
  <c r="AB639" i="7"/>
  <c r="AT963" i="7"/>
  <c r="AK963" i="7" s="1"/>
  <c r="AC963" i="7"/>
  <c r="AS963" i="7"/>
  <c r="AJ963" i="7" s="1"/>
  <c r="AA963" i="7" s="1"/>
  <c r="AB963" i="7"/>
  <c r="AS211" i="7"/>
  <c r="AJ211" i="7" s="1"/>
  <c r="AC211" i="7"/>
  <c r="AB211" i="7"/>
  <c r="AT211" i="7"/>
  <c r="AK211" i="7" s="1"/>
  <c r="AS878" i="7"/>
  <c r="AJ878" i="7" s="1"/>
  <c r="AA878" i="7" s="1"/>
  <c r="AC878" i="7"/>
  <c r="AB878" i="7"/>
  <c r="AT878" i="7"/>
  <c r="AK878" i="7" s="1"/>
  <c r="AT1003" i="7"/>
  <c r="AK1003" i="7" s="1"/>
  <c r="AC1003" i="7"/>
  <c r="AS1003" i="7"/>
  <c r="AJ1003" i="7" s="1"/>
  <c r="AB1003" i="7"/>
  <c r="AB1085" i="7"/>
  <c r="AT1085" i="7"/>
  <c r="AK1085" i="7" s="1"/>
  <c r="AS1085" i="7"/>
  <c r="AJ1085" i="7" s="1"/>
  <c r="AA1085" i="7" s="1"/>
  <c r="AC1085" i="7"/>
  <c r="AS276" i="7"/>
  <c r="AJ276" i="7" s="1"/>
  <c r="AB276" i="7"/>
  <c r="AT276" i="7"/>
  <c r="AK276" i="7" s="1"/>
  <c r="AC276" i="7"/>
  <c r="AS818" i="7"/>
  <c r="AJ818" i="7" s="1"/>
  <c r="AA818" i="7" s="1"/>
  <c r="AC818" i="7"/>
  <c r="AB818" i="7"/>
  <c r="AT818" i="7"/>
  <c r="AK818" i="7" s="1"/>
  <c r="AC979" i="7"/>
  <c r="AB979" i="7"/>
  <c r="AT979" i="7"/>
  <c r="AK979" i="7" s="1"/>
  <c r="AS979" i="7"/>
  <c r="AJ979" i="7" s="1"/>
  <c r="AA979" i="7" s="1"/>
  <c r="AB1084" i="7"/>
  <c r="AC1084" i="7"/>
  <c r="AT1084" i="7"/>
  <c r="AK1084" i="7" s="1"/>
  <c r="AS1084" i="7"/>
  <c r="AJ1084" i="7" s="1"/>
  <c r="AS114" i="7"/>
  <c r="AJ114" i="7" s="1"/>
  <c r="AC114" i="7"/>
  <c r="AB114" i="7"/>
  <c r="AT114" i="7"/>
  <c r="AK114" i="7" s="1"/>
  <c r="AT509" i="7"/>
  <c r="AK509" i="7" s="1"/>
  <c r="AS509" i="7"/>
  <c r="AJ509" i="7" s="1"/>
  <c r="AC509" i="7"/>
  <c r="AB509" i="7"/>
  <c r="AB750" i="7"/>
  <c r="AT750" i="7"/>
  <c r="AK750" i="7" s="1"/>
  <c r="AS750" i="7"/>
  <c r="AJ750" i="7" s="1"/>
  <c r="AA750" i="7" s="1"/>
  <c r="AC750" i="7"/>
  <c r="AS1169" i="7"/>
  <c r="AJ1169" i="7" s="1"/>
  <c r="AC1169" i="7"/>
  <c r="AB1169" i="7"/>
  <c r="AT1169" i="7"/>
  <c r="AK1169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AA458" i="7" s="1"/>
  <c r="Z13" i="7"/>
  <c r="Y89" i="7"/>
  <c r="AT280" i="7"/>
  <c r="AK280" i="7" s="1"/>
  <c r="AC280" i="7"/>
  <c r="AS280" i="7"/>
  <c r="AJ280" i="7" s="1"/>
  <c r="AB280" i="7"/>
  <c r="AT579" i="7"/>
  <c r="AK579" i="7" s="1"/>
  <c r="AC579" i="7"/>
  <c r="AS579" i="7"/>
  <c r="AJ579" i="7" s="1"/>
  <c r="AB579" i="7"/>
  <c r="AS937" i="7"/>
  <c r="AJ937" i="7" s="1"/>
  <c r="AA937" i="7" s="1"/>
  <c r="AC937" i="7"/>
  <c r="AB937" i="7"/>
  <c r="AT937" i="7"/>
  <c r="AK937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A410" i="7" s="1"/>
  <c r="AS635" i="7"/>
  <c r="AJ635" i="7" s="1"/>
  <c r="AC635" i="7"/>
  <c r="AB635" i="7"/>
  <c r="AT635" i="7"/>
  <c r="AK635" i="7" s="1"/>
  <c r="AB760" i="7"/>
  <c r="AC760" i="7"/>
  <c r="AT760" i="7"/>
  <c r="AK760" i="7" s="1"/>
  <c r="AS760" i="7"/>
  <c r="AJ760" i="7" s="1"/>
  <c r="AT103" i="7"/>
  <c r="AK103" i="7" s="1"/>
  <c r="AB103" i="7"/>
  <c r="AS103" i="7"/>
  <c r="AJ103" i="7" s="1"/>
  <c r="AA103" i="7" s="1"/>
  <c r="AC103" i="7"/>
  <c r="AT333" i="7"/>
  <c r="AK333" i="7" s="1"/>
  <c r="AS333" i="7"/>
  <c r="AJ333" i="7" s="1"/>
  <c r="AA333" i="7" s="1"/>
  <c r="AC333" i="7"/>
  <c r="AB333" i="7"/>
  <c r="AS555" i="7"/>
  <c r="AJ555" i="7" s="1"/>
  <c r="AC555" i="7"/>
  <c r="AB555" i="7"/>
  <c r="AT555" i="7"/>
  <c r="AK555" i="7" s="1"/>
  <c r="AC921" i="7"/>
  <c r="AT921" i="7"/>
  <c r="AK921" i="7" s="1"/>
  <c r="AB921" i="7"/>
  <c r="AS921" i="7"/>
  <c r="AJ921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A322" i="7" s="1"/>
  <c r="AS437" i="7"/>
  <c r="AJ437" i="7" s="1"/>
  <c r="AA437" i="7" s="1"/>
  <c r="AC437" i="7"/>
  <c r="AT437" i="7"/>
  <c r="AK437" i="7" s="1"/>
  <c r="AB437" i="7"/>
  <c r="AS662" i="7"/>
  <c r="AJ662" i="7" s="1"/>
  <c r="AA662" i="7" s="1"/>
  <c r="AC662" i="7"/>
  <c r="AB662" i="7"/>
  <c r="AT662" i="7"/>
  <c r="AK662" i="7" s="1"/>
  <c r="AC731" i="7"/>
  <c r="AB731" i="7"/>
  <c r="AT731" i="7"/>
  <c r="AK731" i="7" s="1"/>
  <c r="AS731" i="7"/>
  <c r="AJ731" i="7" s="1"/>
  <c r="AT623" i="7"/>
  <c r="AK623" i="7" s="1"/>
  <c r="AB623" i="7"/>
  <c r="AS623" i="7"/>
  <c r="AJ623" i="7" s="1"/>
  <c r="AC623" i="7"/>
  <c r="AS758" i="7"/>
  <c r="AJ758" i="7" s="1"/>
  <c r="AC758" i="7"/>
  <c r="AB758" i="7"/>
  <c r="AT758" i="7"/>
  <c r="AK758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A373" i="7" s="1"/>
  <c r="AS601" i="7"/>
  <c r="AJ601" i="7" s="1"/>
  <c r="AA601" i="7" s="1"/>
  <c r="AC601" i="7"/>
  <c r="AB601" i="7"/>
  <c r="AT601" i="7"/>
  <c r="AK601" i="7" s="1"/>
  <c r="AS938" i="7"/>
  <c r="AJ938" i="7" s="1"/>
  <c r="AC938" i="7"/>
  <c r="AB938" i="7"/>
  <c r="AT938" i="7"/>
  <c r="AK938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A370" i="7" s="1"/>
  <c r="AS130" i="7"/>
  <c r="AJ130" i="7" s="1"/>
  <c r="AA130" i="7" s="1"/>
  <c r="AC130" i="7"/>
  <c r="AB130" i="7"/>
  <c r="AT130" i="7"/>
  <c r="AK130" i="7" s="1"/>
  <c r="AS817" i="7"/>
  <c r="AJ817" i="7" s="1"/>
  <c r="AC817" i="7"/>
  <c r="AB817" i="7"/>
  <c r="AT817" i="7"/>
  <c r="AK817" i="7" s="1"/>
  <c r="AS909" i="7"/>
  <c r="AJ909" i="7" s="1"/>
  <c r="AA909" i="7" s="1"/>
  <c r="AB909" i="7"/>
  <c r="AT909" i="7"/>
  <c r="AK909" i="7" s="1"/>
  <c r="AC909" i="7"/>
  <c r="AC1042" i="7"/>
  <c r="AT1042" i="7"/>
  <c r="AK1042" i="7" s="1"/>
  <c r="AB1042" i="7"/>
  <c r="AS1042" i="7"/>
  <c r="AJ1042" i="7" s="1"/>
  <c r="AA1042" i="7" s="1"/>
  <c r="AS1139" i="7"/>
  <c r="AJ1139" i="7" s="1"/>
  <c r="AA1139" i="7" s="1"/>
  <c r="AC1139" i="7"/>
  <c r="AB1139" i="7"/>
  <c r="AT1139" i="7"/>
  <c r="AK1139" i="7" s="1"/>
  <c r="Z39" i="7"/>
  <c r="Z104" i="7"/>
  <c r="AS72" i="7"/>
  <c r="AJ72" i="7" s="1"/>
  <c r="AC72" i="7"/>
  <c r="AB72" i="7"/>
  <c r="AT72" i="7"/>
  <c r="AK72" i="7" s="1"/>
  <c r="AS452" i="7"/>
  <c r="AJ452" i="7" s="1"/>
  <c r="AA452" i="7" s="1"/>
  <c r="AC452" i="7"/>
  <c r="AB452" i="7"/>
  <c r="AT452" i="7"/>
  <c r="AK452" i="7" s="1"/>
  <c r="AS851" i="7"/>
  <c r="AJ851" i="7" s="1"/>
  <c r="AC851" i="7"/>
  <c r="AB851" i="7"/>
  <c r="AT851" i="7"/>
  <c r="AK851" i="7" s="1"/>
  <c r="AB1150" i="7"/>
  <c r="AT1150" i="7"/>
  <c r="AK1150" i="7" s="1"/>
  <c r="AS1150" i="7"/>
  <c r="AJ1150" i="7" s="1"/>
  <c r="AA1150" i="7" s="1"/>
  <c r="AC1150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A451" i="7" s="1"/>
  <c r="AC451" i="7"/>
  <c r="AB451" i="7"/>
  <c r="AS827" i="7"/>
  <c r="AJ827" i="7" s="1"/>
  <c r="AA827" i="7" s="1"/>
  <c r="AC827" i="7"/>
  <c r="AB827" i="7"/>
  <c r="AT827" i="7"/>
  <c r="AK827" i="7" s="1"/>
  <c r="AS1172" i="7"/>
  <c r="AJ1172" i="7" s="1"/>
  <c r="AC1172" i="7"/>
  <c r="AB1172" i="7"/>
  <c r="AT1172" i="7"/>
  <c r="AK1172" i="7" s="1"/>
  <c r="AS78" i="7"/>
  <c r="AJ78" i="7" s="1"/>
  <c r="AA78" i="7" s="1"/>
  <c r="AC78" i="7"/>
  <c r="AT78" i="7"/>
  <c r="AK78" i="7" s="1"/>
  <c r="AB78" i="7"/>
  <c r="AT788" i="7"/>
  <c r="AK788" i="7" s="1"/>
  <c r="AC788" i="7"/>
  <c r="AS788" i="7"/>
  <c r="AJ788" i="7" s="1"/>
  <c r="AA788" i="7" s="1"/>
  <c r="AB788" i="7"/>
  <c r="AS931" i="7"/>
  <c r="AJ931" i="7" s="1"/>
  <c r="AA931" i="7" s="1"/>
  <c r="AC931" i="7"/>
  <c r="AB931" i="7"/>
  <c r="AT931" i="7"/>
  <c r="AK931" i="7" s="1"/>
  <c r="AS1051" i="7"/>
  <c r="AJ1051" i="7" s="1"/>
  <c r="AC1051" i="7"/>
  <c r="AB1051" i="7"/>
  <c r="AT1051" i="7"/>
  <c r="AK1051" i="7" s="1"/>
  <c r="AC1166" i="7"/>
  <c r="AB1166" i="7"/>
  <c r="AT1166" i="7"/>
  <c r="AK1166" i="7" s="1"/>
  <c r="AS1166" i="7"/>
  <c r="AJ1166" i="7" s="1"/>
  <c r="AC650" i="7"/>
  <c r="AT650" i="7"/>
  <c r="AK650" i="7" s="1"/>
  <c r="AB650" i="7"/>
  <c r="AS650" i="7"/>
  <c r="AJ650" i="7" s="1"/>
  <c r="AC212" i="7"/>
  <c r="AT212" i="7"/>
  <c r="AK212" i="7" s="1"/>
  <c r="AB212" i="7"/>
  <c r="AS212" i="7"/>
  <c r="AJ212" i="7" s="1"/>
  <c r="AC879" i="7"/>
  <c r="AB879" i="7"/>
  <c r="AT879" i="7"/>
  <c r="AK879" i="7" s="1"/>
  <c r="AS879" i="7"/>
  <c r="AJ879" i="7" s="1"/>
  <c r="AA879" i="7" s="1"/>
  <c r="AS1017" i="7"/>
  <c r="AJ1017" i="7" s="1"/>
  <c r="AA1017" i="7" s="1"/>
  <c r="AC1017" i="7"/>
  <c r="AB1017" i="7"/>
  <c r="AT1017" i="7"/>
  <c r="AK1017" i="7" s="1"/>
  <c r="AS1119" i="7"/>
  <c r="AJ1119" i="7" s="1"/>
  <c r="AC1119" i="7"/>
  <c r="AB1119" i="7"/>
  <c r="AT1119" i="7"/>
  <c r="AK1119" i="7" s="1"/>
  <c r="AS98" i="7"/>
  <c r="AJ98" i="7" s="1"/>
  <c r="AA98" i="7" s="1"/>
  <c r="AC98" i="7"/>
  <c r="AB98" i="7"/>
  <c r="AT98" i="7"/>
  <c r="AK98" i="7" s="1"/>
  <c r="AS501" i="7"/>
  <c r="AJ501" i="7" s="1"/>
  <c r="AC501" i="7"/>
  <c r="AB501" i="7"/>
  <c r="AT501" i="7"/>
  <c r="AK501" i="7" s="1"/>
  <c r="AT696" i="7"/>
  <c r="AK696" i="7" s="1"/>
  <c r="AS696" i="7"/>
  <c r="AJ696" i="7" s="1"/>
  <c r="AA696" i="7" s="1"/>
  <c r="AC696" i="7"/>
  <c r="AB696" i="7"/>
  <c r="AT1125" i="7"/>
  <c r="AK1125" i="7" s="1"/>
  <c r="AC1125" i="7"/>
  <c r="AS1125" i="7"/>
  <c r="AJ1125" i="7" s="1"/>
  <c r="AA1125" i="7" s="1"/>
  <c r="AB1125" i="7"/>
  <c r="AS534" i="7"/>
  <c r="AJ534" i="7" s="1"/>
  <c r="AA534" i="7" s="1"/>
  <c r="AC534" i="7"/>
  <c r="AT534" i="7"/>
  <c r="AK534" i="7" s="1"/>
  <c r="AB534" i="7"/>
  <c r="AS672" i="7"/>
  <c r="AJ672" i="7" s="1"/>
  <c r="AC672" i="7"/>
  <c r="AB672" i="7"/>
  <c r="AT672" i="7"/>
  <c r="AK672" i="7" s="1"/>
  <c r="AS485" i="7"/>
  <c r="AJ485" i="7" s="1"/>
  <c r="AA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A403" i="7" s="1"/>
  <c r="AC403" i="7"/>
  <c r="AB403" i="7"/>
  <c r="AT403" i="7"/>
  <c r="AK403" i="7" s="1"/>
  <c r="AT574" i="7"/>
  <c r="AK574" i="7" s="1"/>
  <c r="AC574" i="7"/>
  <c r="AS574" i="7"/>
  <c r="AJ574" i="7" s="1"/>
  <c r="AB574" i="7"/>
  <c r="Z1120" i="7"/>
  <c r="Y1167" i="7"/>
  <c r="Z1081" i="7"/>
  <c r="Y1079" i="7"/>
  <c r="Z1068" i="7"/>
  <c r="Y920" i="7"/>
  <c r="Z907" i="7"/>
  <c r="Z952" i="7"/>
  <c r="Y877" i="7"/>
  <c r="Y868" i="7"/>
  <c r="Y834" i="7"/>
  <c r="Y764" i="7"/>
  <c r="Y770" i="7"/>
  <c r="Z836" i="7"/>
  <c r="Y816" i="7"/>
  <c r="Y742" i="7"/>
  <c r="Y713" i="7"/>
  <c r="Y571" i="7"/>
  <c r="Z600" i="7"/>
  <c r="Z546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A91" i="7" s="1"/>
  <c r="AT91" i="7"/>
  <c r="AK91" i="7" s="1"/>
  <c r="AB91" i="7"/>
  <c r="Z106" i="7"/>
  <c r="AB543" i="7"/>
  <c r="AC543" i="7"/>
  <c r="AT543" i="7"/>
  <c r="AK543" i="7" s="1"/>
  <c r="AS543" i="7"/>
  <c r="AJ543" i="7" s="1"/>
  <c r="AC115" i="7"/>
  <c r="AB115" i="7"/>
  <c r="AT115" i="7"/>
  <c r="AK115" i="7" s="1"/>
  <c r="AS115" i="7"/>
  <c r="AJ115" i="7" s="1"/>
  <c r="AS306" i="7"/>
  <c r="AJ306" i="7" s="1"/>
  <c r="AA306" i="7" s="1"/>
  <c r="AB306" i="7"/>
  <c r="AC306" i="7"/>
  <c r="AT306" i="7"/>
  <c r="AK306" i="7" s="1"/>
  <c r="AS590" i="7"/>
  <c r="AJ590" i="7" s="1"/>
  <c r="AB590" i="7"/>
  <c r="AT590" i="7"/>
  <c r="AK590" i="7" s="1"/>
  <c r="AC590" i="7"/>
  <c r="AS986" i="7"/>
  <c r="AJ986" i="7" s="1"/>
  <c r="AA986" i="7" s="1"/>
  <c r="AB986" i="7"/>
  <c r="AC986" i="7"/>
  <c r="AT986" i="7"/>
  <c r="AK986" i="7" s="1"/>
  <c r="AC234" i="7"/>
  <c r="AB234" i="7"/>
  <c r="AT234" i="7"/>
  <c r="AK234" i="7" s="1"/>
  <c r="AS234" i="7"/>
  <c r="AJ234" i="7" s="1"/>
  <c r="AT865" i="7"/>
  <c r="AK865" i="7" s="1"/>
  <c r="AC865" i="7"/>
  <c r="AS865" i="7"/>
  <c r="AJ865" i="7" s="1"/>
  <c r="AA865" i="7" s="1"/>
  <c r="AB865" i="7"/>
  <c r="AC980" i="7"/>
  <c r="AB980" i="7"/>
  <c r="AT980" i="7"/>
  <c r="AK980" i="7" s="1"/>
  <c r="AS980" i="7"/>
  <c r="AJ980" i="7" s="1"/>
  <c r="AA980" i="7" s="1"/>
  <c r="AS1113" i="7"/>
  <c r="AJ1113" i="7" s="1"/>
  <c r="AA1113" i="7" s="1"/>
  <c r="AC1113" i="7"/>
  <c r="AB1113" i="7"/>
  <c r="AT1113" i="7"/>
  <c r="AK1113" i="7" s="1"/>
  <c r="AC238" i="7"/>
  <c r="AB238" i="7"/>
  <c r="AT238" i="7"/>
  <c r="AK238" i="7" s="1"/>
  <c r="AS238" i="7"/>
  <c r="AJ238" i="7" s="1"/>
  <c r="AS813" i="7"/>
  <c r="AJ813" i="7" s="1"/>
  <c r="AC813" i="7"/>
  <c r="AT813" i="7"/>
  <c r="AK813" i="7" s="1"/>
  <c r="AB813" i="7"/>
  <c r="AT992" i="7"/>
  <c r="AK992" i="7" s="1"/>
  <c r="AC992" i="7"/>
  <c r="AS992" i="7"/>
  <c r="AJ992" i="7" s="1"/>
  <c r="AA992" i="7" s="1"/>
  <c r="AB992" i="7"/>
  <c r="AT1117" i="7"/>
  <c r="AK1117" i="7" s="1"/>
  <c r="AS1117" i="7"/>
  <c r="AJ1117" i="7" s="1"/>
  <c r="AA1117" i="7" s="1"/>
  <c r="AC1117" i="7"/>
  <c r="AB1117" i="7"/>
  <c r="Z67" i="7"/>
  <c r="AS180" i="7"/>
  <c r="AJ180" i="7" s="1"/>
  <c r="AC180" i="7"/>
  <c r="AB180" i="7"/>
  <c r="AT180" i="7"/>
  <c r="AK180" i="7" s="1"/>
  <c r="AS499" i="7"/>
  <c r="AJ499" i="7" s="1"/>
  <c r="AA499" i="7" s="1"/>
  <c r="AC499" i="7"/>
  <c r="AB499" i="7"/>
  <c r="AT499" i="7"/>
  <c r="AK499" i="7" s="1"/>
  <c r="AS801" i="7"/>
  <c r="AJ801" i="7" s="1"/>
  <c r="AC801" i="7"/>
  <c r="AT801" i="7"/>
  <c r="AK801" i="7" s="1"/>
  <c r="AB801" i="7"/>
  <c r="AC1146" i="7"/>
  <c r="AT1146" i="7"/>
  <c r="AK1146" i="7" s="1"/>
  <c r="AB1146" i="7"/>
  <c r="AS1146" i="7"/>
  <c r="AJ1146" i="7" s="1"/>
  <c r="AC389" i="7"/>
  <c r="AT389" i="7"/>
  <c r="AK389" i="7" s="1"/>
  <c r="AB389" i="7"/>
  <c r="AS389" i="7"/>
  <c r="AJ389" i="7" s="1"/>
  <c r="AA389" i="7" s="1"/>
  <c r="AT578" i="7"/>
  <c r="AK578" i="7" s="1"/>
  <c r="AC578" i="7"/>
  <c r="AS578" i="7"/>
  <c r="AJ578" i="7" s="1"/>
  <c r="AB578" i="7"/>
  <c r="Y46" i="7"/>
  <c r="AT326" i="7"/>
  <c r="AK326" i="7" s="1"/>
  <c r="AC326" i="7"/>
  <c r="AB326" i="7"/>
  <c r="AS326" i="7"/>
  <c r="AJ326" i="7" s="1"/>
  <c r="AA326" i="7" s="1"/>
  <c r="AC600" i="7"/>
  <c r="AT600" i="7"/>
  <c r="AK600" i="7" s="1"/>
  <c r="AB600" i="7"/>
  <c r="AS600" i="7"/>
  <c r="AJ600" i="7" s="1"/>
  <c r="AA600" i="7" s="1"/>
  <c r="AT960" i="7"/>
  <c r="AK960" i="7" s="1"/>
  <c r="AC960" i="7"/>
  <c r="AB960" i="7"/>
  <c r="AS960" i="7"/>
  <c r="AJ960" i="7" s="1"/>
  <c r="AA960" i="7" s="1"/>
  <c r="AC318" i="7"/>
  <c r="AB318" i="7"/>
  <c r="AT318" i="7"/>
  <c r="AK318" i="7" s="1"/>
  <c r="AS318" i="7"/>
  <c r="AJ318" i="7" s="1"/>
  <c r="AS323" i="7"/>
  <c r="AJ323" i="7" s="1"/>
  <c r="AA323" i="7" s="1"/>
  <c r="AC323" i="7"/>
  <c r="AT323" i="7"/>
  <c r="AK323" i="7" s="1"/>
  <c r="AB323" i="7"/>
  <c r="AS658" i="7"/>
  <c r="AJ658" i="7" s="1"/>
  <c r="AA658" i="7" s="1"/>
  <c r="AC658" i="7"/>
  <c r="AB658" i="7"/>
  <c r="AT658" i="7"/>
  <c r="AK658" i="7" s="1"/>
  <c r="AT732" i="7"/>
  <c r="AK732" i="7" s="1"/>
  <c r="AC732" i="7"/>
  <c r="AS732" i="7"/>
  <c r="AJ732" i="7" s="1"/>
  <c r="AA732" i="7" s="1"/>
  <c r="AB732" i="7"/>
  <c r="AT208" i="7"/>
  <c r="AK208" i="7" s="1"/>
  <c r="AC208" i="7"/>
  <c r="AS208" i="7"/>
  <c r="AJ208" i="7" s="1"/>
  <c r="AB208" i="7"/>
  <c r="AT615" i="7"/>
  <c r="AK615" i="7" s="1"/>
  <c r="AB615" i="7"/>
  <c r="AC615" i="7"/>
  <c r="AS615" i="7"/>
  <c r="AJ615" i="7" s="1"/>
  <c r="AA615" i="7" s="1"/>
  <c r="AT944" i="7"/>
  <c r="AK944" i="7" s="1"/>
  <c r="AS944" i="7"/>
  <c r="AJ944" i="7" s="1"/>
  <c r="AC944" i="7"/>
  <c r="AB944" i="7"/>
  <c r="AC486" i="7"/>
  <c r="AT486" i="7"/>
  <c r="AK486" i="7" s="1"/>
  <c r="AB486" i="7"/>
  <c r="AS486" i="7"/>
  <c r="AJ486" i="7" s="1"/>
  <c r="AA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0" i="7"/>
  <c r="AJ690" i="7" s="1"/>
  <c r="AA690" i="7" s="1"/>
  <c r="AC690" i="7"/>
  <c r="AB690" i="7"/>
  <c r="AT690" i="7"/>
  <c r="AK690" i="7" s="1"/>
  <c r="AS759" i="7"/>
  <c r="AJ759" i="7" s="1"/>
  <c r="AC759" i="7"/>
  <c r="AT759" i="7"/>
  <c r="AK759" i="7" s="1"/>
  <c r="AB759" i="7"/>
  <c r="AC679" i="7"/>
  <c r="AB679" i="7"/>
  <c r="AT679" i="7"/>
  <c r="AK679" i="7" s="1"/>
  <c r="AS679" i="7"/>
  <c r="AJ679" i="7" s="1"/>
  <c r="AB768" i="7"/>
  <c r="AT768" i="7"/>
  <c r="AK768" i="7" s="1"/>
  <c r="AS768" i="7"/>
  <c r="AJ768" i="7" s="1"/>
  <c r="AC768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0" i="7"/>
  <c r="AT580" i="7"/>
  <c r="AK580" i="7" s="1"/>
  <c r="AS580" i="7"/>
  <c r="AJ580" i="7" s="1"/>
  <c r="AC580" i="7"/>
  <c r="AC1030" i="7"/>
  <c r="AB1030" i="7"/>
  <c r="AT1030" i="7"/>
  <c r="AK1030" i="7" s="1"/>
  <c r="AS1030" i="7"/>
  <c r="AJ1030" i="7" s="1"/>
  <c r="AA1030" i="7" s="1"/>
  <c r="AS166" i="7"/>
  <c r="AJ166" i="7" s="1"/>
  <c r="AA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A102" i="7" s="1"/>
  <c r="AC102" i="7"/>
  <c r="AB102" i="7"/>
  <c r="AT102" i="7"/>
  <c r="AK102" i="7" s="1"/>
  <c r="AS812" i="7"/>
  <c r="AJ812" i="7" s="1"/>
  <c r="AC812" i="7"/>
  <c r="AB812" i="7"/>
  <c r="AT812" i="7"/>
  <c r="AK812" i="7" s="1"/>
  <c r="AT932" i="7"/>
  <c r="AK932" i="7" s="1"/>
  <c r="AS932" i="7"/>
  <c r="AJ932" i="7" s="1"/>
  <c r="AC932" i="7"/>
  <c r="AB932" i="7"/>
  <c r="AS1047" i="7"/>
  <c r="AJ1047" i="7" s="1"/>
  <c r="AC1047" i="7"/>
  <c r="AT1047" i="7"/>
  <c r="AK1047" i="7" s="1"/>
  <c r="AB1047" i="7"/>
  <c r="AS1157" i="7"/>
  <c r="AJ1157" i="7" s="1"/>
  <c r="AA1157" i="7" s="1"/>
  <c r="AC1157" i="7"/>
  <c r="AT1157" i="7"/>
  <c r="AK1157" i="7" s="1"/>
  <c r="AB1157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A480" i="7" s="1"/>
  <c r="AS805" i="7"/>
  <c r="AJ805" i="7" s="1"/>
  <c r="AC805" i="7"/>
  <c r="AB805" i="7"/>
  <c r="AT805" i="7"/>
  <c r="AK805" i="7" s="1"/>
  <c r="AS1173" i="7"/>
  <c r="AJ1173" i="7" s="1"/>
  <c r="AA1173" i="7" s="1"/>
  <c r="AC1173" i="7"/>
  <c r="AT1173" i="7"/>
  <c r="AK1173" i="7" s="1"/>
  <c r="AB1173" i="7"/>
  <c r="AS48" i="7"/>
  <c r="AJ48" i="7" s="1"/>
  <c r="AA48" i="7" s="1"/>
  <c r="AC48" i="7"/>
  <c r="AT48" i="7"/>
  <c r="AK48" i="7" s="1"/>
  <c r="AB48" i="7"/>
  <c r="AS479" i="7"/>
  <c r="AJ479" i="7" s="1"/>
  <c r="AA479" i="7" s="1"/>
  <c r="AC479" i="7"/>
  <c r="AT479" i="7"/>
  <c r="AK479" i="7" s="1"/>
  <c r="AB479" i="7"/>
  <c r="AS804" i="7"/>
  <c r="AJ804" i="7" s="1"/>
  <c r="AC804" i="7"/>
  <c r="AB804" i="7"/>
  <c r="AT804" i="7"/>
  <c r="AK804" i="7" s="1"/>
  <c r="AS1195" i="7"/>
  <c r="AJ1195" i="7" s="1"/>
  <c r="AA1195" i="7" s="1"/>
  <c r="AC1195" i="7"/>
  <c r="AT1195" i="7"/>
  <c r="AK1195" i="7" s="1"/>
  <c r="AB1195" i="7"/>
  <c r="AS134" i="7"/>
  <c r="AJ134" i="7" s="1"/>
  <c r="AC134" i="7"/>
  <c r="AB134" i="7"/>
  <c r="AT134" i="7"/>
  <c r="AK134" i="7" s="1"/>
  <c r="AS821" i="7"/>
  <c r="AJ821" i="7" s="1"/>
  <c r="AA821" i="7" s="1"/>
  <c r="AC821" i="7"/>
  <c r="AT821" i="7"/>
  <c r="AK821" i="7" s="1"/>
  <c r="AB821" i="7"/>
  <c r="AC936" i="7"/>
  <c r="AB936" i="7"/>
  <c r="AT936" i="7"/>
  <c r="AK936" i="7" s="1"/>
  <c r="AS936" i="7"/>
  <c r="AJ936" i="7" s="1"/>
  <c r="AA936" i="7" s="1"/>
  <c r="AT1074" i="7"/>
  <c r="AK1074" i="7" s="1"/>
  <c r="AC1074" i="7"/>
  <c r="AS1074" i="7"/>
  <c r="AJ1074" i="7" s="1"/>
  <c r="AB1074" i="7"/>
  <c r="AS1179" i="7"/>
  <c r="AJ1179" i="7" s="1"/>
  <c r="AC1179" i="7"/>
  <c r="AB1179" i="7"/>
  <c r="AT1179" i="7"/>
  <c r="AK1179" i="7" s="1"/>
  <c r="AT762" i="7"/>
  <c r="AK762" i="7" s="1"/>
  <c r="AS762" i="7"/>
  <c r="AJ762" i="7" s="1"/>
  <c r="AC762" i="7"/>
  <c r="AB762" i="7"/>
  <c r="AT273" i="7"/>
  <c r="AK273" i="7" s="1"/>
  <c r="AC273" i="7"/>
  <c r="AB273" i="7"/>
  <c r="AS273" i="7"/>
  <c r="AJ273" i="7" s="1"/>
  <c r="AA273" i="7" s="1"/>
  <c r="AC902" i="7"/>
  <c r="AB902" i="7"/>
  <c r="AT902" i="7"/>
  <c r="AK902" i="7" s="1"/>
  <c r="AS902" i="7"/>
  <c r="AJ902" i="7" s="1"/>
  <c r="AB976" i="7"/>
  <c r="AT976" i="7"/>
  <c r="AK976" i="7" s="1"/>
  <c r="AS976" i="7"/>
  <c r="AJ976" i="7" s="1"/>
  <c r="AC976" i="7"/>
  <c r="AS1137" i="7"/>
  <c r="AJ1137" i="7" s="1"/>
  <c r="AA1137" i="7" s="1"/>
  <c r="AB1137" i="7"/>
  <c r="AT1137" i="7"/>
  <c r="AK1137" i="7" s="1"/>
  <c r="AC1137" i="7"/>
  <c r="AS116" i="7"/>
  <c r="AJ116" i="7" s="1"/>
  <c r="AC116" i="7"/>
  <c r="AT116" i="7"/>
  <c r="AK116" i="7" s="1"/>
  <c r="AB116" i="7"/>
  <c r="AT511" i="7"/>
  <c r="AK511" i="7" s="1"/>
  <c r="AC511" i="7"/>
  <c r="AS511" i="7"/>
  <c r="AJ511" i="7" s="1"/>
  <c r="AB511" i="7"/>
  <c r="AS780" i="7"/>
  <c r="AJ780" i="7" s="1"/>
  <c r="AB780" i="7"/>
  <c r="AC780" i="7"/>
  <c r="AT780" i="7"/>
  <c r="AK780" i="7" s="1"/>
  <c r="AS1171" i="7"/>
  <c r="AJ1171" i="7" s="1"/>
  <c r="AA1171" i="7" s="1"/>
  <c r="AC1171" i="7"/>
  <c r="AT1171" i="7"/>
  <c r="AK1171" i="7" s="1"/>
  <c r="AB1171" i="7"/>
  <c r="AT616" i="7"/>
  <c r="AK616" i="7" s="1"/>
  <c r="AC616" i="7"/>
  <c r="AB616" i="7"/>
  <c r="AS616" i="7"/>
  <c r="AJ616" i="7" s="1"/>
  <c r="AA616" i="7" s="1"/>
  <c r="AT700" i="7"/>
  <c r="AK700" i="7" s="1"/>
  <c r="AS700" i="7"/>
  <c r="AJ700" i="7" s="1"/>
  <c r="AC700" i="7"/>
  <c r="AB700" i="7"/>
  <c r="AS495" i="7"/>
  <c r="AJ495" i="7" s="1"/>
  <c r="AC495" i="7"/>
  <c r="AB495" i="7"/>
  <c r="AT495" i="7"/>
  <c r="AK495" i="7" s="1"/>
  <c r="AB163" i="7"/>
  <c r="AC163" i="7"/>
  <c r="AT163" i="7"/>
  <c r="AK163" i="7" s="1"/>
  <c r="AS163" i="7"/>
  <c r="AJ163" i="7" s="1"/>
  <c r="AA163" i="7" s="1"/>
  <c r="AT431" i="7"/>
  <c r="AK431" i="7" s="1"/>
  <c r="AS431" i="7"/>
  <c r="AJ431" i="7" s="1"/>
  <c r="AC431" i="7"/>
  <c r="AB431" i="7"/>
  <c r="Y15" i="7"/>
  <c r="Y1119" i="7"/>
  <c r="Y1101" i="7"/>
  <c r="Z1114" i="7"/>
  <c r="Y980" i="7"/>
  <c r="Y912" i="7"/>
  <c r="Y863" i="7"/>
  <c r="Z859" i="7"/>
  <c r="Z829" i="7"/>
  <c r="Y763" i="7"/>
  <c r="Z804" i="7"/>
  <c r="Y804" i="7"/>
  <c r="Y730" i="7"/>
  <c r="Y725" i="7"/>
  <c r="Y673" i="7"/>
  <c r="Y680" i="7"/>
  <c r="Y705" i="7"/>
  <c r="Y595" i="7"/>
  <c r="Y510" i="7"/>
  <c r="Y529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A92" i="7" s="1"/>
  <c r="AC92" i="7"/>
  <c r="AB92" i="7"/>
  <c r="AT92" i="7"/>
  <c r="AK92" i="7" s="1"/>
  <c r="AS449" i="7"/>
  <c r="AJ449" i="7" s="1"/>
  <c r="AA449" i="7" s="1"/>
  <c r="AC449" i="7"/>
  <c r="AT449" i="7"/>
  <c r="AK449" i="7" s="1"/>
  <c r="AB449" i="7"/>
  <c r="AS569" i="7"/>
  <c r="AJ569" i="7" s="1"/>
  <c r="AA569" i="7" s="1"/>
  <c r="AC569" i="7"/>
  <c r="AT569" i="7"/>
  <c r="AK569" i="7" s="1"/>
  <c r="AB569" i="7"/>
  <c r="AS1055" i="7"/>
  <c r="AJ1055" i="7" s="1"/>
  <c r="AC1055" i="7"/>
  <c r="AB1055" i="7"/>
  <c r="AT1055" i="7"/>
  <c r="AK1055" i="7" s="1"/>
  <c r="AT249" i="7"/>
  <c r="AK249" i="7" s="1"/>
  <c r="AC249" i="7"/>
  <c r="AB249" i="7"/>
  <c r="AS249" i="7"/>
  <c r="AJ249" i="7" s="1"/>
  <c r="AC883" i="7"/>
  <c r="AB883" i="7"/>
  <c r="AT883" i="7"/>
  <c r="AK883" i="7" s="1"/>
  <c r="AS883" i="7"/>
  <c r="AJ883" i="7" s="1"/>
  <c r="AA883" i="7" s="1"/>
  <c r="AS1021" i="7"/>
  <c r="AJ1021" i="7" s="1"/>
  <c r="AA1021" i="7" s="1"/>
  <c r="AC1021" i="7"/>
  <c r="AB1021" i="7"/>
  <c r="AT1021" i="7"/>
  <c r="AK1021" i="7" s="1"/>
  <c r="AS1154" i="7"/>
  <c r="AJ1154" i="7" s="1"/>
  <c r="AT1154" i="7"/>
  <c r="AK1154" i="7" s="1"/>
  <c r="AC1154" i="7"/>
  <c r="AB1154" i="7"/>
  <c r="AS243" i="7"/>
  <c r="AJ243" i="7" s="1"/>
  <c r="AA243" i="7" s="1"/>
  <c r="AC243" i="7"/>
  <c r="AT243" i="7"/>
  <c r="AK243" i="7" s="1"/>
  <c r="AB243" i="7"/>
  <c r="AT790" i="7"/>
  <c r="AK790" i="7" s="1"/>
  <c r="AC790" i="7"/>
  <c r="AS790" i="7"/>
  <c r="AJ790" i="7" s="1"/>
  <c r="AB790" i="7"/>
  <c r="AS946" i="7"/>
  <c r="AJ946" i="7" s="1"/>
  <c r="AA946" i="7" s="1"/>
  <c r="AC946" i="7"/>
  <c r="AB946" i="7"/>
  <c r="AT946" i="7"/>
  <c r="AK946" i="7" s="1"/>
  <c r="AC1130" i="7"/>
  <c r="AT1130" i="7"/>
  <c r="AK1130" i="7" s="1"/>
  <c r="AB1130" i="7"/>
  <c r="AS1130" i="7"/>
  <c r="AJ1130" i="7" s="1"/>
  <c r="Z60" i="7"/>
  <c r="AS203" i="7"/>
  <c r="AJ203" i="7" s="1"/>
  <c r="AA203" i="7" s="1"/>
  <c r="AC203" i="7"/>
  <c r="AT203" i="7"/>
  <c r="AK203" i="7" s="1"/>
  <c r="AB203" i="7"/>
  <c r="AS489" i="7"/>
  <c r="AJ489" i="7" s="1"/>
  <c r="AC489" i="7"/>
  <c r="AB489" i="7"/>
  <c r="AT489" i="7"/>
  <c r="AK489" i="7" s="1"/>
  <c r="AS847" i="7"/>
  <c r="AJ847" i="7" s="1"/>
  <c r="AA847" i="7" s="1"/>
  <c r="AC847" i="7"/>
  <c r="AB847" i="7"/>
  <c r="AT847" i="7"/>
  <c r="AK847" i="7" s="1"/>
  <c r="AS1192" i="7"/>
  <c r="AJ1192" i="7" s="1"/>
  <c r="AC1192" i="7"/>
  <c r="AB1192" i="7"/>
  <c r="AT1192" i="7"/>
  <c r="AK1192" i="7" s="1"/>
  <c r="AT348" i="7"/>
  <c r="AK348" i="7" s="1"/>
  <c r="AS348" i="7"/>
  <c r="AJ348" i="7" s="1"/>
  <c r="AC348" i="7"/>
  <c r="AB348" i="7"/>
  <c r="AC599" i="7"/>
  <c r="AT599" i="7"/>
  <c r="AK599" i="7" s="1"/>
  <c r="AB599" i="7"/>
  <c r="AS599" i="7"/>
  <c r="AJ599" i="7" s="1"/>
  <c r="AA599" i="7" s="1"/>
  <c r="Z209" i="7"/>
  <c r="Z55" i="7"/>
  <c r="Z112" i="7"/>
  <c r="AS303" i="7"/>
  <c r="AJ303" i="7" s="1"/>
  <c r="AC303" i="7"/>
  <c r="AB303" i="7"/>
  <c r="AT303" i="7"/>
  <c r="AK303" i="7" s="1"/>
  <c r="AC608" i="7"/>
  <c r="AB608" i="7"/>
  <c r="AT608" i="7"/>
  <c r="AK608" i="7" s="1"/>
  <c r="AS608" i="7"/>
  <c r="AJ608" i="7" s="1"/>
  <c r="AA608" i="7" s="1"/>
  <c r="AC983" i="7"/>
  <c r="AB983" i="7"/>
  <c r="AT983" i="7"/>
  <c r="AK983" i="7" s="1"/>
  <c r="AS983" i="7"/>
  <c r="AJ983" i="7" s="1"/>
  <c r="AA983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3" i="7"/>
  <c r="AJ653" i="7" s="1"/>
  <c r="AA653" i="7" s="1"/>
  <c r="AC653" i="7"/>
  <c r="AB653" i="7"/>
  <c r="AT653" i="7"/>
  <c r="AK653" i="7" s="1"/>
  <c r="AT719" i="7"/>
  <c r="AK719" i="7" s="1"/>
  <c r="AC719" i="7"/>
  <c r="AS719" i="7"/>
  <c r="AJ719" i="7" s="1"/>
  <c r="AB719" i="7"/>
  <c r="Y77" i="7"/>
  <c r="AT185" i="7"/>
  <c r="AK185" i="7" s="1"/>
  <c r="AS185" i="7"/>
  <c r="AJ185" i="7" s="1"/>
  <c r="AC185" i="7"/>
  <c r="AB185" i="7"/>
  <c r="AT586" i="7"/>
  <c r="AK586" i="7" s="1"/>
  <c r="AS586" i="7"/>
  <c r="AJ586" i="7" s="1"/>
  <c r="AC586" i="7"/>
  <c r="AB586" i="7"/>
  <c r="AC967" i="7"/>
  <c r="AT967" i="7"/>
  <c r="AK967" i="7" s="1"/>
  <c r="AB967" i="7"/>
  <c r="AS967" i="7"/>
  <c r="AJ967" i="7" s="1"/>
  <c r="AA967" i="7" s="1"/>
  <c r="AS506" i="7"/>
  <c r="AJ506" i="7" s="1"/>
  <c r="AC506" i="7"/>
  <c r="AB506" i="7"/>
  <c r="AT506" i="7"/>
  <c r="AK506" i="7" s="1"/>
  <c r="AS294" i="7"/>
  <c r="AJ294" i="7" s="1"/>
  <c r="AA294" i="7" s="1"/>
  <c r="AB294" i="7"/>
  <c r="AT294" i="7"/>
  <c r="AK294" i="7" s="1"/>
  <c r="AC294" i="7"/>
  <c r="AS409" i="7"/>
  <c r="AJ409" i="7" s="1"/>
  <c r="AC409" i="7"/>
  <c r="AB409" i="7"/>
  <c r="AT409" i="7"/>
  <c r="AK409" i="7" s="1"/>
  <c r="AB675" i="7"/>
  <c r="AT675" i="7"/>
  <c r="AK675" i="7" s="1"/>
  <c r="AS675" i="7"/>
  <c r="AJ675" i="7" s="1"/>
  <c r="AA675" i="7" s="1"/>
  <c r="AC675" i="7"/>
  <c r="Y63" i="7"/>
  <c r="Z119" i="7"/>
  <c r="AT702" i="7"/>
  <c r="AK702" i="7" s="1"/>
  <c r="AS702" i="7"/>
  <c r="AJ702" i="7" s="1"/>
  <c r="AA702" i="7" s="1"/>
  <c r="AC702" i="7"/>
  <c r="AB702" i="7"/>
  <c r="AS745" i="7"/>
  <c r="AJ745" i="7" s="1"/>
  <c r="AC745" i="7"/>
  <c r="AB745" i="7"/>
  <c r="AT745" i="7"/>
  <c r="AK745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37" i="7"/>
  <c r="AJ637" i="7" s="1"/>
  <c r="AA637" i="7" s="1"/>
  <c r="AC637" i="7"/>
  <c r="AB637" i="7"/>
  <c r="AT637" i="7"/>
  <c r="AK637" i="7" s="1"/>
  <c r="AS1007" i="7"/>
  <c r="AJ1007" i="7" s="1"/>
  <c r="AC1007" i="7"/>
  <c r="AB1007" i="7"/>
  <c r="AT1007" i="7"/>
  <c r="AK1007" i="7" s="1"/>
  <c r="AS324" i="7"/>
  <c r="AJ324" i="7" s="1"/>
  <c r="AA324" i="7" s="1"/>
  <c r="AC324" i="7"/>
  <c r="AB324" i="7"/>
  <c r="AT324" i="7"/>
  <c r="AK324" i="7" s="1"/>
  <c r="AS388" i="7"/>
  <c r="AJ388" i="7" s="1"/>
  <c r="AA388" i="7" s="1"/>
  <c r="AC388" i="7"/>
  <c r="AB388" i="7"/>
  <c r="AT388" i="7"/>
  <c r="AK388" i="7" s="1"/>
  <c r="AT74" i="7"/>
  <c r="AK74" i="7" s="1"/>
  <c r="AC74" i="7"/>
  <c r="AB74" i="7"/>
  <c r="AS74" i="7"/>
  <c r="AJ74" i="7" s="1"/>
  <c r="AT794" i="7"/>
  <c r="AK794" i="7" s="1"/>
  <c r="AC794" i="7"/>
  <c r="AS794" i="7"/>
  <c r="AJ794" i="7" s="1"/>
  <c r="AA794" i="7" s="1"/>
  <c r="AB794" i="7"/>
  <c r="AT955" i="7"/>
  <c r="AK955" i="7" s="1"/>
  <c r="AS955" i="7"/>
  <c r="AJ955" i="7" s="1"/>
  <c r="AA955" i="7" s="1"/>
  <c r="AC955" i="7"/>
  <c r="AB955" i="7"/>
  <c r="AB1088" i="7"/>
  <c r="AC1088" i="7"/>
  <c r="AT1088" i="7"/>
  <c r="AK1088" i="7" s="1"/>
  <c r="AS1088" i="7"/>
  <c r="AJ1088" i="7" s="1"/>
  <c r="AS1175" i="7"/>
  <c r="AJ1175" i="7" s="1"/>
  <c r="AA1175" i="7" s="1"/>
  <c r="AC1175" i="7"/>
  <c r="AB1175" i="7"/>
  <c r="AT1175" i="7"/>
  <c r="AK1175" i="7" s="1"/>
  <c r="Z35" i="7"/>
  <c r="AS184" i="7"/>
  <c r="AJ184" i="7" s="1"/>
  <c r="AC184" i="7"/>
  <c r="AT184" i="7"/>
  <c r="AK184" i="7" s="1"/>
  <c r="AB184" i="7"/>
  <c r="AT523" i="7"/>
  <c r="AK523" i="7" s="1"/>
  <c r="AC523" i="7"/>
  <c r="AB523" i="7"/>
  <c r="AS523" i="7"/>
  <c r="AJ523" i="7" s="1"/>
  <c r="AS828" i="7"/>
  <c r="AJ828" i="7" s="1"/>
  <c r="AC828" i="7"/>
  <c r="AB828" i="7"/>
  <c r="AT828" i="7"/>
  <c r="AK828" i="7" s="1"/>
  <c r="U6" i="11"/>
  <c r="W6" i="11" s="1"/>
  <c r="AT71" i="7"/>
  <c r="AK71" i="7" s="1"/>
  <c r="AS71" i="7"/>
  <c r="AJ71" i="7" s="1"/>
  <c r="AC71" i="7"/>
  <c r="AB71" i="7"/>
  <c r="AS530" i="7"/>
  <c r="AJ530" i="7" s="1"/>
  <c r="AA530" i="7" s="1"/>
  <c r="AC530" i="7"/>
  <c r="AT530" i="7"/>
  <c r="AK530" i="7" s="1"/>
  <c r="AB530" i="7"/>
  <c r="AT850" i="7"/>
  <c r="AK850" i="7" s="1"/>
  <c r="AS850" i="7"/>
  <c r="AJ850" i="7" s="1"/>
  <c r="AC850" i="7"/>
  <c r="AB850" i="7"/>
  <c r="AT216" i="7"/>
  <c r="AK216" i="7" s="1"/>
  <c r="AC216" i="7"/>
  <c r="AB216" i="7"/>
  <c r="AS216" i="7"/>
  <c r="AJ216" i="7" s="1"/>
  <c r="AA216" i="7" s="1"/>
  <c r="AS106" i="7"/>
  <c r="AJ106" i="7" s="1"/>
  <c r="AA106" i="7" s="1"/>
  <c r="AC106" i="7"/>
  <c r="AB106" i="7"/>
  <c r="AT106" i="7"/>
  <c r="AK106" i="7" s="1"/>
  <c r="AS793" i="7"/>
  <c r="AJ793" i="7" s="1"/>
  <c r="AA793" i="7" s="1"/>
  <c r="AC793" i="7"/>
  <c r="AT793" i="7"/>
  <c r="AK793" i="7" s="1"/>
  <c r="AB793" i="7"/>
  <c r="AT949" i="7"/>
  <c r="AK949" i="7" s="1"/>
  <c r="AS949" i="7"/>
  <c r="AJ949" i="7" s="1"/>
  <c r="AC949" i="7"/>
  <c r="AB949" i="7"/>
  <c r="AS1097" i="7"/>
  <c r="AJ1097" i="7" s="1"/>
  <c r="AC1097" i="7"/>
  <c r="AB1097" i="7"/>
  <c r="AT1097" i="7"/>
  <c r="AK1097" i="7" s="1"/>
  <c r="AS1184" i="7"/>
  <c r="AJ1184" i="7" s="1"/>
  <c r="AA1184" i="7" s="1"/>
  <c r="AC1184" i="7"/>
  <c r="AB1184" i="7"/>
  <c r="AT1184" i="7"/>
  <c r="AK1184" i="7" s="1"/>
  <c r="AS688" i="7"/>
  <c r="AJ688" i="7" s="1"/>
  <c r="AC688" i="7"/>
  <c r="AB688" i="7"/>
  <c r="AT688" i="7"/>
  <c r="AK688" i="7" s="1"/>
  <c r="AT278" i="7"/>
  <c r="AK278" i="7" s="1"/>
  <c r="AC278" i="7"/>
  <c r="AS278" i="7"/>
  <c r="AJ278" i="7" s="1"/>
  <c r="AB278" i="7"/>
  <c r="AS866" i="7"/>
  <c r="AJ866" i="7" s="1"/>
  <c r="AC866" i="7"/>
  <c r="AT866" i="7"/>
  <c r="AK866" i="7" s="1"/>
  <c r="AB866" i="7"/>
  <c r="AT999" i="7"/>
  <c r="AK999" i="7" s="1"/>
  <c r="AC999" i="7"/>
  <c r="AS999" i="7"/>
  <c r="AJ999" i="7" s="1"/>
  <c r="AB999" i="7"/>
  <c r="AS1165" i="7"/>
  <c r="AJ1165" i="7" s="1"/>
  <c r="AC1165" i="7"/>
  <c r="AB1165" i="7"/>
  <c r="AT1165" i="7"/>
  <c r="AK1165" i="7" s="1"/>
  <c r="AC93" i="7"/>
  <c r="AS93" i="7"/>
  <c r="AJ93" i="7" s="1"/>
  <c r="AT93" i="7"/>
  <c r="AK93" i="7" s="1"/>
  <c r="AB93" i="7"/>
  <c r="AS491" i="7"/>
  <c r="AJ491" i="7" s="1"/>
  <c r="AC491" i="7"/>
  <c r="AB491" i="7"/>
  <c r="AT491" i="7"/>
  <c r="AK491" i="7" s="1"/>
  <c r="AB752" i="7"/>
  <c r="AT752" i="7"/>
  <c r="AK752" i="7" s="1"/>
  <c r="AS752" i="7"/>
  <c r="AJ752" i="7" s="1"/>
  <c r="AC752" i="7"/>
  <c r="AS1148" i="7"/>
  <c r="AJ1148" i="7" s="1"/>
  <c r="AA1148" i="7" s="1"/>
  <c r="AC1148" i="7"/>
  <c r="AT1148" i="7"/>
  <c r="AK1148" i="7" s="1"/>
  <c r="AB1148" i="7"/>
  <c r="AT621" i="7"/>
  <c r="AK621" i="7" s="1"/>
  <c r="AS621" i="7"/>
  <c r="AJ621" i="7" s="1"/>
  <c r="AC621" i="7"/>
  <c r="AB621" i="7"/>
  <c r="AS715" i="7"/>
  <c r="AJ715" i="7" s="1"/>
  <c r="AC715" i="7"/>
  <c r="AB715" i="7"/>
  <c r="AT715" i="7"/>
  <c r="AK715" i="7" s="1"/>
  <c r="AS505" i="7"/>
  <c r="AJ505" i="7" s="1"/>
  <c r="AA505" i="7" s="1"/>
  <c r="AC505" i="7"/>
  <c r="AB505" i="7"/>
  <c r="AT505" i="7"/>
  <c r="AK505" i="7" s="1"/>
  <c r="AT79" i="7"/>
  <c r="AK79" i="7" s="1"/>
  <c r="AB79" i="7"/>
  <c r="AC79" i="7"/>
  <c r="AS79" i="7"/>
  <c r="AJ79" i="7" s="1"/>
  <c r="AA79" i="7" s="1"/>
  <c r="AS408" i="7"/>
  <c r="AJ408" i="7" s="1"/>
  <c r="AA408" i="7" s="1"/>
  <c r="AC408" i="7"/>
  <c r="AB408" i="7"/>
  <c r="AT408" i="7"/>
  <c r="AK408" i="7" s="1"/>
  <c r="Z1116" i="7"/>
  <c r="Z1131" i="7"/>
  <c r="Y1045" i="7"/>
  <c r="Z1067" i="7"/>
  <c r="Y1018" i="7"/>
  <c r="Z963" i="7"/>
  <c r="Y959" i="7"/>
  <c r="Y893" i="7"/>
  <c r="Y923" i="7"/>
  <c r="Y885" i="7"/>
  <c r="Y872" i="7"/>
  <c r="Z852" i="7"/>
  <c r="Y876" i="7"/>
  <c r="Y755" i="7"/>
  <c r="Z788" i="7"/>
  <c r="Y663" i="7"/>
  <c r="Y672" i="7"/>
  <c r="Z592" i="7"/>
  <c r="Y507" i="7"/>
  <c r="Z540" i="7"/>
  <c r="Z587" i="7"/>
  <c r="Y537" i="7"/>
  <c r="Z454" i="7"/>
  <c r="Z534" i="7"/>
  <c r="Z531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AA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3" i="7"/>
  <c r="AT603" i="7"/>
  <c r="AK603" i="7" s="1"/>
  <c r="AB603" i="7"/>
  <c r="AS603" i="7"/>
  <c r="AJ603" i="7" s="1"/>
  <c r="AA603" i="7" s="1"/>
  <c r="AS1009" i="7"/>
  <c r="AJ1009" i="7" s="1"/>
  <c r="AC1009" i="7"/>
  <c r="AB1009" i="7"/>
  <c r="AT1009" i="7"/>
  <c r="AK1009" i="7" s="1"/>
  <c r="AS239" i="7"/>
  <c r="AJ239" i="7" s="1"/>
  <c r="AA239" i="7" s="1"/>
  <c r="AC239" i="7"/>
  <c r="AT239" i="7"/>
  <c r="AK239" i="7" s="1"/>
  <c r="AB239" i="7"/>
  <c r="AS832" i="7"/>
  <c r="AJ832" i="7" s="1"/>
  <c r="AC832" i="7"/>
  <c r="AB832" i="7"/>
  <c r="AT832" i="7"/>
  <c r="AK832" i="7" s="1"/>
  <c r="AS993" i="7"/>
  <c r="AJ993" i="7" s="1"/>
  <c r="AA993" i="7" s="1"/>
  <c r="AC993" i="7"/>
  <c r="AT993" i="7"/>
  <c r="AK993" i="7" s="1"/>
  <c r="AB993" i="7"/>
  <c r="AS1159" i="7"/>
  <c r="AJ1159" i="7" s="1"/>
  <c r="AC1159" i="7"/>
  <c r="AB1159" i="7"/>
  <c r="AT1159" i="7"/>
  <c r="AK1159" i="7" s="1"/>
  <c r="AS210" i="7"/>
  <c r="AJ210" i="7" s="1"/>
  <c r="AA210" i="7" s="1"/>
  <c r="AB210" i="7"/>
  <c r="AC210" i="7"/>
  <c r="AT210" i="7"/>
  <c r="AK210" i="7" s="1"/>
  <c r="AS854" i="7"/>
  <c r="AJ854" i="7" s="1"/>
  <c r="AA854" i="7" s="1"/>
  <c r="AC854" i="7"/>
  <c r="AT854" i="7"/>
  <c r="AK854" i="7" s="1"/>
  <c r="AB854" i="7"/>
  <c r="AC974" i="7"/>
  <c r="AB974" i="7"/>
  <c r="AT974" i="7"/>
  <c r="AK974" i="7" s="1"/>
  <c r="AS974" i="7"/>
  <c r="AJ974" i="7" s="1"/>
  <c r="AA974" i="7" s="1"/>
  <c r="AS1061" i="7"/>
  <c r="AJ1061" i="7" s="1"/>
  <c r="AB1061" i="7"/>
  <c r="AC1061" i="7"/>
  <c r="AT1061" i="7"/>
  <c r="AK1061" i="7" s="1"/>
  <c r="Z133" i="7"/>
  <c r="AS60" i="7"/>
  <c r="AJ60" i="7" s="1"/>
  <c r="AA60" i="7" s="1"/>
  <c r="AC60" i="7"/>
  <c r="AB60" i="7"/>
  <c r="AT60" i="7"/>
  <c r="AK60" i="7" s="1"/>
  <c r="AS152" i="7"/>
  <c r="AJ152" i="7" s="1"/>
  <c r="AC152" i="7"/>
  <c r="AT152" i="7"/>
  <c r="AK152" i="7" s="1"/>
  <c r="AB152" i="7"/>
  <c r="AT527" i="7"/>
  <c r="AK527" i="7" s="1"/>
  <c r="AC527" i="7"/>
  <c r="AS527" i="7"/>
  <c r="AJ527" i="7" s="1"/>
  <c r="AA527" i="7" s="1"/>
  <c r="AB527" i="7"/>
  <c r="AS824" i="7"/>
  <c r="AJ824" i="7" s="1"/>
  <c r="AC824" i="7"/>
  <c r="AT824" i="7"/>
  <c r="AK824" i="7" s="1"/>
  <c r="AB824" i="7"/>
  <c r="AB167" i="7"/>
  <c r="AC167" i="7"/>
  <c r="AT167" i="7"/>
  <c r="AK167" i="7" s="1"/>
  <c r="AS167" i="7"/>
  <c r="AJ167" i="7" s="1"/>
  <c r="AA167" i="7" s="1"/>
  <c r="AS412" i="7"/>
  <c r="AJ412" i="7" s="1"/>
  <c r="AC412" i="7"/>
  <c r="AB412" i="7"/>
  <c r="AT412" i="7"/>
  <c r="AK412" i="7" s="1"/>
  <c r="AB565" i="7"/>
  <c r="AT565" i="7"/>
  <c r="AK565" i="7" s="1"/>
  <c r="AS565" i="7"/>
  <c r="AJ565" i="7" s="1"/>
  <c r="AA565" i="7" s="1"/>
  <c r="AC565" i="7"/>
  <c r="Y62" i="7"/>
  <c r="Z166" i="7"/>
  <c r="AB349" i="7"/>
  <c r="AC349" i="7"/>
  <c r="AT349" i="7"/>
  <c r="AK349" i="7" s="1"/>
  <c r="AS349" i="7"/>
  <c r="AJ349" i="7" s="1"/>
  <c r="AS566" i="7"/>
  <c r="AJ566" i="7" s="1"/>
  <c r="AC566" i="7"/>
  <c r="AB566" i="7"/>
  <c r="AT566" i="7"/>
  <c r="AK566" i="7" s="1"/>
  <c r="AT1006" i="7"/>
  <c r="AK1006" i="7" s="1"/>
  <c r="AB1006" i="7"/>
  <c r="AS1006" i="7"/>
  <c r="AJ1006" i="7" s="1"/>
  <c r="AC1006" i="7"/>
  <c r="AT336" i="7"/>
  <c r="AK336" i="7" s="1"/>
  <c r="AS336" i="7"/>
  <c r="AJ336" i="7" s="1"/>
  <c r="AC336" i="7"/>
  <c r="AB336" i="7"/>
  <c r="AS433" i="7"/>
  <c r="AJ433" i="7" s="1"/>
  <c r="AA433" i="7" s="1"/>
  <c r="AC433" i="7"/>
  <c r="AT433" i="7"/>
  <c r="AK433" i="7" s="1"/>
  <c r="AB433" i="7"/>
  <c r="AT630" i="7"/>
  <c r="AK630" i="7" s="1"/>
  <c r="AB630" i="7"/>
  <c r="AS630" i="7"/>
  <c r="AJ630" i="7" s="1"/>
  <c r="AA630" i="7" s="1"/>
  <c r="AC630" i="7"/>
  <c r="AS737" i="7"/>
  <c r="AJ737" i="7" s="1"/>
  <c r="AA737" i="7" s="1"/>
  <c r="AC737" i="7"/>
  <c r="AB737" i="7"/>
  <c r="AT737" i="7"/>
  <c r="AK737" i="7" s="1"/>
  <c r="Z76" i="7"/>
  <c r="AS231" i="7"/>
  <c r="AJ231" i="7" s="1"/>
  <c r="AC231" i="7"/>
  <c r="AB231" i="7"/>
  <c r="AT231" i="7"/>
  <c r="AK231" i="7" s="1"/>
  <c r="AS594" i="7"/>
  <c r="AJ594" i="7" s="1"/>
  <c r="AA594" i="7" s="1"/>
  <c r="AC594" i="7"/>
  <c r="AT594" i="7"/>
  <c r="AK594" i="7" s="1"/>
  <c r="AB594" i="7"/>
  <c r="AS1013" i="7"/>
  <c r="AJ1013" i="7" s="1"/>
  <c r="AC1013" i="7"/>
  <c r="AB1013" i="7"/>
  <c r="AT1013" i="7"/>
  <c r="AK1013" i="7" s="1"/>
  <c r="AT496" i="7"/>
  <c r="AK496" i="7" s="1"/>
  <c r="AS496" i="7"/>
  <c r="AJ496" i="7" s="1"/>
  <c r="AC496" i="7"/>
  <c r="AB496" i="7"/>
  <c r="AT340" i="7"/>
  <c r="AK340" i="7" s="1"/>
  <c r="AS340" i="7"/>
  <c r="AJ340" i="7" s="1"/>
  <c r="AC340" i="7"/>
  <c r="AB340" i="7"/>
  <c r="AC460" i="7"/>
  <c r="AS460" i="7"/>
  <c r="AJ460" i="7" s="1"/>
  <c r="AA460" i="7" s="1"/>
  <c r="AT460" i="7"/>
  <c r="AK460" i="7" s="1"/>
  <c r="AB460" i="7"/>
  <c r="AS657" i="7"/>
  <c r="AJ657" i="7" s="1"/>
  <c r="AC657" i="7"/>
  <c r="AB657" i="7"/>
  <c r="AT657" i="7"/>
  <c r="AK657" i="7" s="1"/>
  <c r="AS618" i="7"/>
  <c r="AJ618" i="7" s="1"/>
  <c r="AA618" i="7" s="1"/>
  <c r="AC618" i="7"/>
  <c r="AB618" i="7"/>
  <c r="AT618" i="7"/>
  <c r="AK618" i="7" s="1"/>
  <c r="AS773" i="7"/>
  <c r="AJ773" i="7" s="1"/>
  <c r="AC773" i="7"/>
  <c r="AB773" i="7"/>
  <c r="AT773" i="7"/>
  <c r="AK773" i="7" s="1"/>
  <c r="AS146" i="7"/>
  <c r="AJ146" i="7" s="1"/>
  <c r="AA146" i="7" s="1"/>
  <c r="AC146" i="7"/>
  <c r="AB146" i="7"/>
  <c r="AT146" i="7"/>
  <c r="AK146" i="7" s="1"/>
  <c r="AT350" i="7"/>
  <c r="AK350" i="7" s="1"/>
  <c r="AB350" i="7"/>
  <c r="AC350" i="7"/>
  <c r="AS350" i="7"/>
  <c r="AJ350" i="7" s="1"/>
  <c r="AA350" i="7" s="1"/>
  <c r="AS665" i="7"/>
  <c r="AJ665" i="7" s="1"/>
  <c r="AA665" i="7" s="1"/>
  <c r="AC665" i="7"/>
  <c r="AB665" i="7"/>
  <c r="AT665" i="7"/>
  <c r="AK665" i="7" s="1"/>
  <c r="AC1053" i="7"/>
  <c r="AB1053" i="7"/>
  <c r="AT1053" i="7"/>
  <c r="AK1053" i="7" s="1"/>
  <c r="AS1053" i="7"/>
  <c r="AJ1053" i="7" s="1"/>
  <c r="AA1053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07" i="7"/>
  <c r="AJ807" i="7" s="1"/>
  <c r="AC807" i="7"/>
  <c r="AT807" i="7"/>
  <c r="AK807" i="7" s="1"/>
  <c r="AB807" i="7"/>
  <c r="AT945" i="7"/>
  <c r="AK945" i="7" s="1"/>
  <c r="AS945" i="7"/>
  <c r="AJ945" i="7" s="1"/>
  <c r="AC945" i="7"/>
  <c r="AB945" i="7"/>
  <c r="AT1065" i="7"/>
  <c r="AK1065" i="7" s="1"/>
  <c r="AC1065" i="7"/>
  <c r="AS1065" i="7"/>
  <c r="AJ1065" i="7" s="1"/>
  <c r="AB1065" i="7"/>
  <c r="AS9" i="7"/>
  <c r="AJ9" i="7" s="1"/>
  <c r="AA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A128" i="7" s="1"/>
  <c r="AC128" i="7"/>
  <c r="AB128" i="7"/>
  <c r="AT128" i="7"/>
  <c r="AK128" i="7" s="1"/>
  <c r="AS585" i="7"/>
  <c r="AJ585" i="7" s="1"/>
  <c r="AC585" i="7"/>
  <c r="AB585" i="7"/>
  <c r="AT585" i="7"/>
  <c r="AK585" i="7" s="1"/>
  <c r="AS874" i="7"/>
  <c r="AJ874" i="7" s="1"/>
  <c r="AA874" i="7" s="1"/>
  <c r="AC874" i="7"/>
  <c r="AB874" i="7"/>
  <c r="AT874" i="7"/>
  <c r="AK874" i="7" s="1"/>
  <c r="AB155" i="7"/>
  <c r="AC155" i="7"/>
  <c r="AT155" i="7"/>
  <c r="AK155" i="7" s="1"/>
  <c r="AS155" i="7"/>
  <c r="AJ155" i="7" s="1"/>
  <c r="AA155" i="7" s="1"/>
  <c r="AS605" i="7"/>
  <c r="AJ605" i="7" s="1"/>
  <c r="AA605" i="7" s="1"/>
  <c r="AC605" i="7"/>
  <c r="AB605" i="7"/>
  <c r="AT605" i="7"/>
  <c r="AK605" i="7" s="1"/>
  <c r="AB873" i="7"/>
  <c r="AC873" i="7"/>
  <c r="AT873" i="7"/>
  <c r="AK873" i="7" s="1"/>
  <c r="AS873" i="7"/>
  <c r="AJ873" i="7" s="1"/>
  <c r="AA873" i="7" s="1"/>
  <c r="AS198" i="7"/>
  <c r="AJ198" i="7" s="1"/>
  <c r="AA198" i="7" s="1"/>
  <c r="AC198" i="7"/>
  <c r="AB198" i="7"/>
  <c r="AT198" i="7"/>
  <c r="AK198" i="7" s="1"/>
  <c r="AS279" i="7"/>
  <c r="AJ279" i="7" s="1"/>
  <c r="AC279" i="7"/>
  <c r="AT279" i="7"/>
  <c r="AK279" i="7" s="1"/>
  <c r="AB279" i="7"/>
  <c r="AS816" i="7"/>
  <c r="AJ816" i="7" s="1"/>
  <c r="AA816" i="7" s="1"/>
  <c r="AC816" i="7"/>
  <c r="AT816" i="7"/>
  <c r="AK816" i="7" s="1"/>
  <c r="AB816" i="7"/>
  <c r="AT995" i="7"/>
  <c r="AK995" i="7" s="1"/>
  <c r="AC995" i="7"/>
  <c r="AS995" i="7"/>
  <c r="AJ995" i="7" s="1"/>
  <c r="AB995" i="7"/>
  <c r="AT1064" i="7"/>
  <c r="AK1064" i="7" s="1"/>
  <c r="AC1064" i="7"/>
  <c r="AS1064" i="7"/>
  <c r="AJ1064" i="7" s="1"/>
  <c r="AB1064" i="7"/>
  <c r="AS673" i="7"/>
  <c r="AJ673" i="7" s="1"/>
  <c r="AC673" i="7"/>
  <c r="AB673" i="7"/>
  <c r="AT673" i="7"/>
  <c r="AK673" i="7" s="1"/>
  <c r="AB716" i="7"/>
  <c r="AT716" i="7"/>
  <c r="AK716" i="7" s="1"/>
  <c r="AC716" i="7"/>
  <c r="AS716" i="7"/>
  <c r="AJ716" i="7" s="1"/>
  <c r="AS263" i="7"/>
  <c r="AJ263" i="7" s="1"/>
  <c r="AA263" i="7" s="1"/>
  <c r="AC263" i="7"/>
  <c r="AT263" i="7"/>
  <c r="AK263" i="7" s="1"/>
  <c r="AB263" i="7"/>
  <c r="AT884" i="7"/>
  <c r="AK884" i="7" s="1"/>
  <c r="AS884" i="7"/>
  <c r="AJ884" i="7" s="1"/>
  <c r="AC884" i="7"/>
  <c r="AB884" i="7"/>
  <c r="AS1045" i="7"/>
  <c r="AJ1045" i="7" s="1"/>
  <c r="AB1045" i="7"/>
  <c r="AC1045" i="7"/>
  <c r="AT1045" i="7"/>
  <c r="AK1045" i="7" s="1"/>
  <c r="AC1086" i="7"/>
  <c r="AB1086" i="7"/>
  <c r="AT1086" i="7"/>
  <c r="AK1086" i="7" s="1"/>
  <c r="AS1086" i="7"/>
  <c r="AJ1086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A422" i="7" s="1"/>
  <c r="AT803" i="7"/>
  <c r="AK803" i="7" s="1"/>
  <c r="AC803" i="7"/>
  <c r="AB803" i="7"/>
  <c r="AS803" i="7"/>
  <c r="AJ803" i="7" s="1"/>
  <c r="AA803" i="7" s="1"/>
  <c r="AC1102" i="7"/>
  <c r="AB1102" i="7"/>
  <c r="AT1102" i="7"/>
  <c r="AK1102" i="7" s="1"/>
  <c r="AS1102" i="7"/>
  <c r="AJ1102" i="7" s="1"/>
  <c r="AT687" i="7"/>
  <c r="AK687" i="7" s="1"/>
  <c r="AS687" i="7"/>
  <c r="AJ687" i="7" s="1"/>
  <c r="AA687" i="7" s="1"/>
  <c r="AC687" i="7"/>
  <c r="AB687" i="7"/>
  <c r="AT710" i="7"/>
  <c r="AK710" i="7" s="1"/>
  <c r="AS710" i="7"/>
  <c r="AJ710" i="7" s="1"/>
  <c r="AC710" i="7"/>
  <c r="AB710" i="7"/>
  <c r="AT536" i="7"/>
  <c r="AK536" i="7" s="1"/>
  <c r="AC536" i="7"/>
  <c r="AS536" i="7"/>
  <c r="AJ536" i="7" s="1"/>
  <c r="AA536" i="7" s="1"/>
  <c r="AB536" i="7"/>
  <c r="AS158" i="7"/>
  <c r="AJ158" i="7" s="1"/>
  <c r="AA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430" i="7" l="1"/>
  <c r="AA382" i="7"/>
  <c r="AA337" i="7"/>
  <c r="AA813" i="7"/>
  <c r="AA26" i="7"/>
  <c r="AA989" i="7"/>
  <c r="AA922" i="7"/>
  <c r="AA25" i="7"/>
  <c r="AA340" i="7"/>
  <c r="AA824" i="7"/>
  <c r="AA1088" i="7"/>
  <c r="AA719" i="7"/>
  <c r="AA790" i="7"/>
  <c r="AA431" i="7"/>
  <c r="AA238" i="7"/>
  <c r="AA234" i="7"/>
  <c r="AA115" i="7"/>
  <c r="AA574" i="7"/>
  <c r="AA72" i="7"/>
  <c r="AA579" i="7"/>
  <c r="AA371" i="7"/>
  <c r="AA114" i="7"/>
  <c r="AA276" i="7"/>
  <c r="AA211" i="7"/>
  <c r="AA538" i="7"/>
  <c r="AA994" i="7"/>
  <c r="AA961" i="7"/>
  <c r="AA573" i="7"/>
  <c r="AA277" i="7"/>
  <c r="AA512" i="7"/>
  <c r="AA1001" i="7"/>
  <c r="AA347" i="7"/>
  <c r="AA109" i="7"/>
  <c r="AA684" i="7"/>
  <c r="AA73" i="7"/>
  <c r="AA1077" i="7"/>
  <c r="AA859" i="7"/>
  <c r="AA142" i="7"/>
  <c r="AA933" i="7"/>
  <c r="AA934" i="7"/>
  <c r="AA335" i="7"/>
  <c r="AA1035" i="7"/>
  <c r="AA973" i="7"/>
  <c r="AA416" i="7"/>
  <c r="AA718" i="7"/>
  <c r="AA822" i="7"/>
  <c r="AA929" i="7"/>
  <c r="AA571" i="7"/>
  <c r="AA646" i="7"/>
  <c r="AA589" i="7"/>
  <c r="AA500" i="7"/>
  <c r="AA1034" i="7"/>
  <c r="AA291" i="7"/>
  <c r="AA414" i="7"/>
  <c r="AA581" i="7"/>
  <c r="AA510" i="7"/>
  <c r="AA176" i="7"/>
  <c r="AA766" i="7"/>
  <c r="AA1050" i="7"/>
  <c r="AA593" i="7"/>
  <c r="AA369" i="7"/>
  <c r="AA893" i="7"/>
  <c r="AA279" i="7"/>
  <c r="AA807" i="7"/>
  <c r="AA773" i="7"/>
  <c r="AA231" i="7"/>
  <c r="AA336" i="7"/>
  <c r="AA1061" i="7"/>
  <c r="AA1159" i="7"/>
  <c r="AA1009" i="7"/>
  <c r="AA715" i="7"/>
  <c r="AA491" i="7"/>
  <c r="AA866" i="7"/>
  <c r="AA1097" i="7"/>
  <c r="AA506" i="7"/>
  <c r="AA489" i="7"/>
  <c r="AA116" i="7"/>
  <c r="AA804" i="7"/>
  <c r="AA805" i="7"/>
  <c r="AA1047" i="7"/>
  <c r="AA429" i="7"/>
  <c r="AA419" i="7"/>
  <c r="AA759" i="7"/>
  <c r="AA1084" i="7"/>
  <c r="AA307" i="7"/>
  <c r="AA299" i="7"/>
  <c r="AA160" i="7"/>
  <c r="AA393" i="7"/>
  <c r="AA629" i="7"/>
  <c r="AA829" i="7"/>
  <c r="AA881" i="7"/>
  <c r="AA562" i="7"/>
  <c r="AA150" i="7"/>
  <c r="AA550" i="7"/>
  <c r="AA954" i="7"/>
  <c r="AA707" i="7"/>
  <c r="AA885" i="7"/>
  <c r="AA271" i="7"/>
  <c r="AA396" i="7"/>
  <c r="AA667" i="7"/>
  <c r="AA673" i="7"/>
  <c r="AA828" i="7"/>
  <c r="AA179" i="7"/>
  <c r="AA180" i="7"/>
  <c r="AA672" i="7"/>
  <c r="AA501" i="7"/>
  <c r="AA1051" i="7"/>
  <c r="AA1172" i="7"/>
  <c r="AA817" i="7"/>
  <c r="AA938" i="7"/>
  <c r="AA758" i="7"/>
  <c r="AA555" i="7"/>
  <c r="AA635" i="7"/>
  <c r="AA880" i="7"/>
  <c r="AA476" i="7"/>
  <c r="AA811" i="7"/>
  <c r="AA400" i="7"/>
  <c r="AA80" i="7"/>
  <c r="AA132" i="7"/>
  <c r="AA597" i="7"/>
  <c r="AA459" i="7"/>
  <c r="AA1109" i="7"/>
  <c r="AA471" i="7"/>
  <c r="AA823" i="7"/>
  <c r="AA546" i="7"/>
  <c r="AA1183" i="7"/>
  <c r="AA942" i="7"/>
  <c r="AA761" i="7"/>
  <c r="AA738" i="7"/>
  <c r="AA907" i="7"/>
  <c r="AA685" i="7"/>
  <c r="AA990" i="7"/>
  <c r="AA1045" i="7"/>
  <c r="AA278" i="7"/>
  <c r="AA523" i="7"/>
  <c r="AA327" i="7"/>
  <c r="AA249" i="7"/>
  <c r="AA1146" i="7"/>
  <c r="AA212" i="7"/>
  <c r="AA957" i="7"/>
  <c r="AA200" i="7"/>
  <c r="AA868" i="7"/>
  <c r="AA58" i="7"/>
  <c r="AA454" i="7"/>
  <c r="AA604" i="7"/>
  <c r="AA52" i="7"/>
  <c r="AA256" i="7"/>
  <c r="AA676" i="7"/>
  <c r="AA918" i="7"/>
  <c r="AA54" i="7"/>
  <c r="AA977" i="7"/>
  <c r="AA910" i="7"/>
  <c r="AA477" i="7"/>
  <c r="AA552" i="7"/>
  <c r="AA1122" i="7"/>
  <c r="AA1075" i="7"/>
  <c r="AA266" i="7"/>
  <c r="AA627" i="7"/>
  <c r="AA242" i="7"/>
  <c r="AA749" i="7"/>
  <c r="AA487" i="7"/>
  <c r="AA162" i="7"/>
  <c r="AA214" i="7"/>
  <c r="AA834" i="7"/>
  <c r="AA522" i="7"/>
  <c r="AA140" i="7"/>
  <c r="AA450" i="7"/>
  <c r="AA968" i="7"/>
  <c r="AA301" i="7"/>
  <c r="AA470" i="7"/>
  <c r="AA636" i="7"/>
  <c r="AA1064" i="7"/>
  <c r="AA270" i="7"/>
  <c r="AA710" i="7"/>
  <c r="AA884" i="7"/>
  <c r="AA496" i="7"/>
  <c r="AA1006" i="7"/>
  <c r="AA87" i="7"/>
  <c r="AA621" i="7"/>
  <c r="AA93" i="7"/>
  <c r="AA949" i="7"/>
  <c r="AA850" i="7"/>
  <c r="AA151" i="7"/>
  <c r="AA348" i="7"/>
  <c r="AA762" i="7"/>
  <c r="AA932" i="7"/>
  <c r="AA944" i="7"/>
  <c r="AA543" i="7"/>
  <c r="AA623" i="7"/>
  <c r="AA280" i="7"/>
  <c r="AA1169" i="7"/>
  <c r="AA94" i="7"/>
  <c r="AA861" i="7"/>
  <c r="AA754" i="7"/>
  <c r="AA51" i="7"/>
  <c r="AA609" i="7"/>
  <c r="AA1072" i="7"/>
  <c r="AA503" i="7"/>
  <c r="AA138" i="7"/>
  <c r="AA852" i="7"/>
  <c r="AA765" i="7"/>
  <c r="AA1133" i="7"/>
  <c r="AA1152" i="7"/>
  <c r="AA577" i="7"/>
  <c r="AA698" i="7"/>
  <c r="AA40" i="7"/>
  <c r="AA808" i="7"/>
  <c r="AA227" i="7"/>
  <c r="AA987" i="7"/>
  <c r="AA903" i="7"/>
  <c r="AA110" i="7"/>
  <c r="AA755" i="7"/>
  <c r="AA343" i="7"/>
  <c r="AA529" i="7"/>
  <c r="AA606" i="7"/>
  <c r="AA840" i="7"/>
  <c r="AA1168" i="7"/>
  <c r="AA628" i="7"/>
  <c r="AA248" i="7"/>
  <c r="AA232" i="7"/>
  <c r="AA18" i="7"/>
  <c r="AA516" i="7"/>
  <c r="AA819" i="7"/>
  <c r="AA1134" i="7"/>
  <c r="AA671" i="7"/>
  <c r="AA1163" i="7"/>
  <c r="AA236" i="7"/>
  <c r="AA156" i="7"/>
  <c r="AA1189" i="7"/>
  <c r="AA1153" i="7"/>
  <c r="AA1095" i="7"/>
  <c r="AA1101" i="7"/>
  <c r="AA972" i="7"/>
  <c r="AA1003" i="7"/>
  <c r="AA253" i="7"/>
  <c r="AA891" i="7"/>
  <c r="AA970" i="7"/>
  <c r="AA798" i="7"/>
  <c r="AA548" i="7"/>
  <c r="AA882" i="7"/>
  <c r="AA1104" i="7"/>
  <c r="AA875" i="7"/>
  <c r="AA1181" i="7"/>
  <c r="AA848" i="7"/>
  <c r="AA892" i="7"/>
  <c r="AA6" i="7"/>
  <c r="AA364" i="7"/>
  <c r="AA178" i="7"/>
  <c r="AA36" i="7"/>
  <c r="AA1115" i="7"/>
  <c r="AA540" i="7"/>
  <c r="AA1190" i="7"/>
  <c r="AA286" i="7"/>
  <c r="AA1135" i="7"/>
  <c r="AA1120" i="7"/>
  <c r="AA1083" i="7"/>
  <c r="AA708" i="7"/>
  <c r="AA418" i="7"/>
  <c r="AA785" i="7"/>
  <c r="AA814" i="7"/>
  <c r="AA120" i="7"/>
  <c r="AA1068" i="7"/>
  <c r="AA890" i="7"/>
  <c r="AA258" i="7"/>
  <c r="AA800" i="7"/>
  <c r="AA366" i="7"/>
  <c r="AA837" i="7"/>
  <c r="AA1063" i="7"/>
  <c r="AA729" i="7"/>
  <c r="AA862" i="7"/>
  <c r="AA302" i="7"/>
  <c r="AA441" i="7"/>
  <c r="AA626" i="7"/>
  <c r="AA154" i="7"/>
  <c r="AA213" i="7"/>
  <c r="AA447" i="7"/>
  <c r="AA436" i="7"/>
  <c r="AA287" i="7"/>
  <c r="AA1026" i="7"/>
  <c r="AA792" i="7"/>
  <c r="AA995" i="7"/>
  <c r="AA1065" i="7"/>
  <c r="AA365" i="7"/>
  <c r="AA1130" i="7"/>
  <c r="AA976" i="7"/>
  <c r="AA49" i="7"/>
  <c r="AA768" i="7"/>
  <c r="AA358" i="7"/>
  <c r="AA135" i="7"/>
  <c r="AA650" i="7"/>
  <c r="AA731" i="7"/>
  <c r="AA165" i="7"/>
  <c r="AA107" i="7"/>
  <c r="AA770" i="7"/>
  <c r="AA84" i="7"/>
  <c r="AA956" i="7"/>
  <c r="AA984" i="7"/>
  <c r="AA712" i="7"/>
  <c r="AA445" i="7"/>
  <c r="AA255" i="7"/>
  <c r="AA426" i="7"/>
  <c r="AA756" i="7"/>
  <c r="AA1041" i="7"/>
  <c r="AA1024" i="7"/>
  <c r="AA268" i="7"/>
  <c r="AA1058" i="7"/>
  <c r="AA742" i="7"/>
  <c r="AA767" i="7"/>
  <c r="AA1193" i="7"/>
  <c r="AA1136" i="7"/>
  <c r="AA1170" i="7"/>
  <c r="AA207" i="7"/>
  <c r="AA686" i="7"/>
  <c r="AA1124" i="7"/>
  <c r="AA1092" i="7"/>
  <c r="AA504" i="7"/>
  <c r="AA465" i="7"/>
  <c r="AA112" i="7"/>
  <c r="AA66" i="7"/>
  <c r="AA682" i="7"/>
  <c r="AA935" i="7"/>
  <c r="AA655" i="7"/>
  <c r="AA53" i="7"/>
  <c r="AA870" i="7"/>
  <c r="AA1076" i="7"/>
  <c r="AA345" i="7"/>
  <c r="AA392" i="7"/>
  <c r="AA395" i="7"/>
  <c r="AA412" i="7"/>
  <c r="AA152" i="7"/>
  <c r="AA352" i="7"/>
  <c r="AA586" i="7"/>
  <c r="AA20" i="7"/>
  <c r="AA851" i="7"/>
  <c r="AA401" i="7"/>
  <c r="AA363" i="7"/>
  <c r="AA319" i="7"/>
  <c r="AA697" i="7"/>
  <c r="AA1140" i="7"/>
  <c r="AA1187" i="7"/>
  <c r="AA188" i="7"/>
  <c r="AA174" i="7"/>
  <c r="AA846" i="7"/>
  <c r="AA432" i="7"/>
  <c r="AA379" i="7"/>
  <c r="AA405" i="7"/>
  <c r="AA1164" i="7"/>
  <c r="AA186" i="7"/>
  <c r="AA723" i="7"/>
  <c r="AA695" i="7"/>
  <c r="AA531" i="7"/>
  <c r="AA226" i="7"/>
  <c r="AA375" i="7"/>
  <c r="AA311" i="7"/>
  <c r="AA1165" i="7"/>
  <c r="AA409" i="7"/>
  <c r="AA1192" i="7"/>
  <c r="AA495" i="7"/>
  <c r="AA780" i="7"/>
  <c r="AA1179" i="7"/>
  <c r="AA134" i="7"/>
  <c r="AA812" i="7"/>
  <c r="AA726" i="7"/>
  <c r="AA894" i="7"/>
  <c r="AA619" i="7"/>
  <c r="AA860" i="7"/>
  <c r="AA204" i="7"/>
  <c r="AA298" i="7"/>
  <c r="AA246" i="7"/>
  <c r="AA285" i="7"/>
  <c r="AA575" i="7"/>
  <c r="AA177" i="7"/>
  <c r="AA171" i="7"/>
  <c r="AA585" i="7"/>
  <c r="AA657" i="7"/>
  <c r="AA1013" i="7"/>
  <c r="AA832" i="7"/>
  <c r="AA688" i="7"/>
  <c r="AA1102" i="7"/>
  <c r="AA1086" i="7"/>
  <c r="AA716" i="7"/>
  <c r="AA566" i="7"/>
  <c r="AA153" i="7"/>
  <c r="AA184" i="7"/>
  <c r="AA415" i="7"/>
  <c r="AA303" i="7"/>
  <c r="AA1154" i="7"/>
  <c r="AA1055" i="7"/>
  <c r="AA902" i="7"/>
  <c r="AA679" i="7"/>
  <c r="AA318" i="7"/>
  <c r="AA801" i="7"/>
  <c r="AA1119" i="7"/>
  <c r="AA223" i="7"/>
  <c r="AA1079" i="7"/>
  <c r="AA781" i="7"/>
  <c r="AA296" i="7"/>
  <c r="AA647" i="7"/>
  <c r="AA724" i="7"/>
  <c r="AA28" i="7"/>
  <c r="AA567" i="7"/>
  <c r="AA312" i="7"/>
  <c r="AA533" i="7"/>
  <c r="AA399" i="7"/>
  <c r="AA838" i="7"/>
  <c r="AA1103" i="7"/>
  <c r="AA899" i="7"/>
  <c r="AA420" i="7"/>
  <c r="AA711" i="7"/>
  <c r="AA549" i="7"/>
  <c r="AA1005" i="7"/>
  <c r="AA1057" i="7"/>
  <c r="AA863" i="7"/>
  <c r="AA612" i="7"/>
  <c r="AA802" i="7"/>
  <c r="AA105" i="7"/>
  <c r="AA1019" i="7"/>
  <c r="AA90" i="7"/>
  <c r="AA962" i="7"/>
  <c r="AA1107" i="7"/>
  <c r="AA1116" i="7"/>
  <c r="AA413" i="7"/>
  <c r="AA182" i="7"/>
  <c r="AA912" i="7"/>
  <c r="AA645" i="7"/>
  <c r="AA190" i="7"/>
  <c r="AA257" i="7"/>
  <c r="AA462" i="7"/>
  <c r="AA820" i="7"/>
  <c r="AA1121" i="7"/>
  <c r="AA537" i="7"/>
  <c r="AA663" i="7"/>
  <c r="AA172" i="7"/>
  <c r="AA349" i="7"/>
  <c r="AA752" i="7"/>
  <c r="AA999" i="7"/>
  <c r="AA1007" i="7"/>
  <c r="AA745" i="7"/>
  <c r="AA511" i="7"/>
  <c r="AA1074" i="7"/>
  <c r="AA580" i="7"/>
  <c r="AA317" i="7"/>
  <c r="AA208" i="7"/>
  <c r="AA590" i="7"/>
  <c r="AA1166" i="7"/>
  <c r="AA99" i="7"/>
  <c r="AA314" i="7"/>
  <c r="AA921" i="7"/>
  <c r="AA760" i="7"/>
  <c r="AA509" i="7"/>
  <c r="AA354" i="7"/>
  <c r="AA355" i="7"/>
  <c r="AA898" i="7"/>
  <c r="AA525" i="7"/>
  <c r="AA463" i="7"/>
  <c r="AA841" i="7"/>
  <c r="AA217" i="7"/>
  <c r="AA55" i="7"/>
  <c r="AA1186" i="7"/>
  <c r="AA267" i="7"/>
  <c r="AA385" i="7"/>
  <c r="AA524" i="7"/>
  <c r="AA905" i="7"/>
  <c r="AA181" i="7"/>
  <c r="AA435" i="7"/>
  <c r="AA1066" i="7"/>
  <c r="AA544" i="7"/>
  <c r="AA297" i="7"/>
  <c r="AA124" i="7"/>
  <c r="AA831" i="7"/>
  <c r="AA1000" i="7"/>
  <c r="AA1044" i="7"/>
  <c r="AA274" i="7"/>
  <c r="AA439" i="7"/>
  <c r="AA517" i="7"/>
  <c r="AA321" i="7"/>
  <c r="AA121" i="7"/>
  <c r="AA1180" i="7"/>
  <c r="AA475" i="7"/>
  <c r="AA741" i="7"/>
  <c r="AA1105" i="7"/>
  <c r="AA461" i="7"/>
  <c r="AA497" i="7"/>
  <c r="AA872" i="7"/>
  <c r="AA1132" i="7"/>
  <c r="AA133" i="7"/>
  <c r="AA988" i="7"/>
  <c r="AA943" i="7"/>
  <c r="AA383" i="7"/>
  <c r="AA455" i="7"/>
  <c r="AA259" i="7"/>
  <c r="AA602" i="7"/>
  <c r="AA192" i="7"/>
  <c r="AA991" i="7"/>
  <c r="AA634" i="7"/>
  <c r="AA664" i="7"/>
  <c r="AA519" i="7"/>
  <c r="AA864" i="7"/>
  <c r="AA911" i="7"/>
  <c r="AA560" i="7"/>
  <c r="AA295" i="7"/>
  <c r="AA440" i="7"/>
  <c r="AA945" i="7"/>
  <c r="AA161" i="7"/>
  <c r="AA71" i="7"/>
  <c r="AA74" i="7"/>
  <c r="AA185" i="7"/>
  <c r="AA290" i="7"/>
  <c r="AA700" i="7"/>
  <c r="AA578" i="7"/>
  <c r="AA39" i="7"/>
  <c r="AA222" i="7"/>
  <c r="AA175" i="7"/>
  <c r="AA173" i="7"/>
  <c r="AA722" i="7"/>
  <c r="AA1108" i="7"/>
  <c r="AA917" i="7"/>
  <c r="AA119" i="7"/>
  <c r="AA796" i="7"/>
  <c r="AA769" i="7"/>
  <c r="AA1197" i="7"/>
  <c r="AA799" i="7"/>
  <c r="AA250" i="7"/>
  <c r="AA507" i="7"/>
  <c r="AA502" i="7"/>
  <c r="AA941" i="7"/>
  <c r="AA83" i="7"/>
  <c r="AA1002" i="7"/>
  <c r="AA390" i="7"/>
  <c r="AA70" i="7"/>
  <c r="AA484" i="7"/>
  <c r="AA438" i="7"/>
  <c r="AA1039" i="7"/>
  <c r="AA69" i="7"/>
  <c r="AA596" i="7"/>
  <c r="AA959" i="7"/>
  <c r="AA421" i="7"/>
  <c r="AA1178" i="7"/>
  <c r="AA896" i="7"/>
  <c r="AA1194" i="7"/>
  <c r="AA1114" i="7"/>
  <c r="AA244" i="7"/>
  <c r="AA545" i="7"/>
  <c r="AA1151" i="7"/>
  <c r="AA147" i="7"/>
  <c r="AA541" i="7"/>
  <c r="AA282" i="7"/>
  <c r="AA100" i="7"/>
  <c r="AA693" i="7"/>
  <c r="AA674" i="7"/>
  <c r="AA381" i="7"/>
  <c r="AA252" i="7"/>
  <c r="AA728" i="7"/>
  <c r="AA332" i="7"/>
  <c r="AA1094" i="7"/>
  <c r="AA900" i="7"/>
  <c r="AA734" i="7"/>
  <c r="AA197" i="7"/>
  <c r="AA727" i="7"/>
  <c r="AA950" i="7"/>
  <c r="AA261" i="7"/>
  <c r="AA849" i="7"/>
  <c r="AA1059" i="7"/>
  <c r="AA515" i="7"/>
  <c r="AA264" i="7"/>
  <c r="AA1182" i="7"/>
</calcChain>
</file>

<file path=xl/sharedStrings.xml><?xml version="1.0" encoding="utf-8"?>
<sst xmlns="http://schemas.openxmlformats.org/spreadsheetml/2006/main" count="11259" uniqueCount="647">
  <si>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</si>
  <si>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</si>
  <si>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</si>
  <si>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</si>
  <si>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</si>
  <si>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</si>
  <si>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</si>
  <si>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</si>
  <si>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</si>
  <si>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</si>
  <si>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</si>
  <si>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</si>
  <si>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</si>
  <si>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</si>
  <si>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</si>
  <si>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</si>
  <si>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</si>
  <si>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</si>
  <si>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</si>
  <si>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</si>
  <si>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</si>
  <si>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</si>
  <si>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</si>
  <si>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</si>
  <si>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</si>
  <si>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</si>
  <si>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</si>
  <si>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</si>
  <si>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</si>
  <si>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</si>
  <si>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</si>
  <si>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</si>
  <si>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</si>
  <si>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</si>
  <si>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</si>
  <si>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</si>
  <si>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</si>
  <si>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</si>
  <si>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</si>
  <si>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</si>
  <si>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</si>
  <si>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</si>
  <si>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</si>
  <si>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</si>
  <si>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</si>
  <si>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</si>
  <si>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</si>
  <si>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</si>
  <si>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</si>
  <si>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</si>
  <si>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</si>
  <si>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</si>
  <si>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</si>
  <si>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</si>
  <si>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</si>
  <si>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</si>
  <si>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</si>
  <si>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</si>
  <si>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</si>
  <si>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</si>
  <si>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</si>
  <si>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</si>
  <si>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</si>
  <si>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</si>
  <si>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</si>
  <si>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</si>
  <si>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</si>
  <si>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</si>
  <si>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</si>
  <si>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</si>
  <si>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</si>
  <si>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</si>
  <si>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</si>
  <si>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</si>
  <si>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</si>
  <si>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</si>
  <si>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</si>
  <si>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</si>
  <si>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</si>
  <si>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</si>
  <si>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</si>
  <si>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</si>
  <si>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</si>
  <si>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</si>
  <si>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</si>
  <si>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</si>
  <si>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</si>
  <si>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</si>
  <si>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</si>
  <si>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</si>
  <si>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</si>
  <si>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</si>
  <si>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</si>
  <si>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</si>
  <si>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</si>
  <si>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</si>
  <si>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</si>
  <si>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</si>
  <si>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</si>
  <si>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</si>
  <si>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</si>
  <si>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</si>
  <si>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</si>
  <si>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</si>
  <si>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</si>
  <si>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</si>
  <si>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</si>
  <si>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</si>
  <si>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</si>
  <si>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</si>
  <si>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</si>
  <si>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</si>
  <si>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</si>
  <si>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</si>
  <si>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</si>
  <si>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</si>
  <si>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</si>
  <si>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</si>
  <si>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</si>
  <si>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</si>
  <si>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</si>
  <si>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</si>
  <si>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</si>
  <si>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</si>
  <si>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</si>
  <si>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</si>
  <si>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</si>
  <si>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</si>
  <si>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</si>
  <si>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</si>
  <si>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</si>
  <si>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</si>
  <si>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</si>
  <si>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</si>
  <si>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</si>
  <si>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</si>
  <si>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</si>
  <si>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</si>
  <si>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</si>
  <si>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</si>
  <si>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</si>
  <si>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</si>
  <si>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</si>
  <si>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</si>
  <si>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</si>
  <si>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</si>
  <si>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</si>
  <si>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</si>
  <si>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</si>
  <si>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</si>
  <si>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</si>
  <si>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</si>
  <si>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</si>
  <si>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</si>
  <si>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</si>
  <si>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</si>
  <si>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</si>
  <si>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</si>
  <si>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</si>
  <si>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</si>
  <si>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</si>
  <si>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</si>
  <si>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</si>
  <si>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</si>
  <si>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</si>
  <si>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</si>
  <si>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</si>
  <si>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暂定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</si>
  <si>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</si>
  <si>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</si>
  <si>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</si>
  <si>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</si>
  <si>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</si>
  <si>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</si>
  <si>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</si>
  <si>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</si>
  <si>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</si>
  <si>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</si>
  <si>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</si>
  <si>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</si>
  <si>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</si>
  <si>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</si>
  <si>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</si>
  <si>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</si>
  <si>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</si>
  <si>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</si>
  <si>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</si>
  <si>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</si>
  <si>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</si>
  <si>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</si>
  <si>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</si>
  <si>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</si>
  <si>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</si>
  <si>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</si>
  <si>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</si>
  <si>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</si>
  <si>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</si>
  <si>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</si>
  <si>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</si>
  <si>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</si>
  <si>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</si>
  <si>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</si>
  <si>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</si>
  <si>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</si>
  <si>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</si>
  <si>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</si>
  <si>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</si>
  <si>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</si>
  <si>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</si>
  <si>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</si>
  <si>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</si>
  <si>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</si>
  <si>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</si>
  <si>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</si>
  <si>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</si>
  <si>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</si>
  <si>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</si>
  <si>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</si>
  <si>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</si>
  <si>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</si>
  <si>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</si>
  <si>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</si>
  <si>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</si>
  <si>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</si>
  <si>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</si>
  <si>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</si>
  <si>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</si>
  <si>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</si>
  <si>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</si>
  <si>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</si>
  <si>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</si>
  <si>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</si>
  <si>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</si>
  <si>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</si>
  <si>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</si>
  <si>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</si>
  <si>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</si>
  <si>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</si>
  <si>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</si>
  <si>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</si>
  <si>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</si>
  <si>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</si>
  <si>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</si>
  <si>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</si>
  <si>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</si>
  <si>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</si>
  <si>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</si>
  <si>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</si>
  <si>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</si>
  <si>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</si>
  <si>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</si>
  <si>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</si>
  <si>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</si>
  <si>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</si>
  <si>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</si>
  <si>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</si>
  <si>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</si>
  <si>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</si>
  <si>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</si>
  <si>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</si>
  <si>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</si>
  <si>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</si>
  <si>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</si>
  <si>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</si>
  <si>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</si>
  <si>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</si>
  <si>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</si>
  <si>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</si>
  <si>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</si>
  <si>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</si>
  <si>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</si>
  <si>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</si>
  <si>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</si>
  <si>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</si>
  <si>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</si>
  <si>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</si>
  <si>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</si>
  <si>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</si>
  <si>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</si>
  <si>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</si>
  <si>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</si>
  <si>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</si>
  <si>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</si>
  <si>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</si>
  <si>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</si>
  <si>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</si>
  <si>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</si>
  <si>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</si>
  <si>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</si>
  <si>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</si>
  <si>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</si>
  <si>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</si>
  <si>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</si>
  <si>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</si>
  <si>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</si>
  <si>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</si>
  <si>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</si>
  <si>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</si>
  <si>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</si>
  <si>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</si>
  <si>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</si>
  <si>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</si>
  <si>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</si>
  <si>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</si>
  <si>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</si>
  <si>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</si>
  <si>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</si>
  <si>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</si>
  <si>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</si>
  <si>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</si>
  <si>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</si>
  <si>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</si>
  <si>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</si>
  <si>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</si>
  <si>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</si>
  <si>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</si>
  <si>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</si>
  <si>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</si>
  <si>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</si>
  <si>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</si>
  <si>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</si>
  <si>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</si>
  <si>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</si>
  <si>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</si>
  <si>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</si>
  <si>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</si>
  <si>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</si>
  <si>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</si>
  <si>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</si>
  <si>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</si>
  <si>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</si>
  <si>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</si>
  <si>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</si>
  <si>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</si>
  <si>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</si>
  <si>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</si>
  <si>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</si>
  <si>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</si>
  <si>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</si>
  <si>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</si>
  <si>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</si>
  <si>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</si>
  <si>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</si>
  <si>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</si>
  <si>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</si>
  <si>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</si>
  <si>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</si>
  <si>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</si>
  <si>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</si>
  <si>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</si>
  <si>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</si>
  <si>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</si>
  <si>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</si>
  <si>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</si>
  <si>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</si>
  <si>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</si>
  <si>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</si>
  <si>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</si>
  <si>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</si>
  <si>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</si>
  <si>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</si>
  <si>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</si>
  <si>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</si>
  <si>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</si>
  <si>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</si>
  <si>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</si>
  <si>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</si>
  <si>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</si>
  <si>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</si>
  <si>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</si>
  <si>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</si>
  <si>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</si>
  <si>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</si>
  <si>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</si>
  <si>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</si>
  <si>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</si>
  <si>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</si>
  <si>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</si>
  <si>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</si>
  <si>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</si>
  <si>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</si>
  <si>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</si>
  <si>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</si>
  <si>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</si>
  <si>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</si>
  <si>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</si>
  <si>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</si>
  <si>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</si>
  <si>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</si>
  <si>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</si>
  <si>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</si>
  <si>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</si>
  <si>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</si>
  <si>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</si>
  <si>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</si>
  <si>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</si>
  <si>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</si>
  <si>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</si>
  <si>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</si>
  <si>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</si>
  <si>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</si>
  <si>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</si>
  <si>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</si>
  <si>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</si>
  <si>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</si>
  <si>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</si>
  <si>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</si>
  <si>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</si>
  <si>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</si>
  <si>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</si>
  <si>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</si>
  <si>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</si>
  <si>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</si>
  <si>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</si>
  <si>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</si>
  <si>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</si>
  <si>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</si>
  <si>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</si>
  <si>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</si>
  <si>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</si>
  <si>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</si>
  <si>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</si>
  <si>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</si>
  <si>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</si>
  <si>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</si>
  <si>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</si>
  <si>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</si>
  <si>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</si>
  <si>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</si>
  <si>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</si>
  <si>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</si>
  <si>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</si>
  <si>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</si>
  <si>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</si>
  <si>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</si>
  <si>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</si>
  <si>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</si>
  <si>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</si>
  <si>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</si>
  <si>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</si>
  <si>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</si>
  <si>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</si>
  <si>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</si>
  <si>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</si>
  <si>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</si>
  <si>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</si>
  <si>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</si>
  <si>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</si>
  <si>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</si>
  <si>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</si>
  <si>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</si>
  <si>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</si>
  <si>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</si>
  <si>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</si>
  <si>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</si>
  <si>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</si>
  <si>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</si>
  <si>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</si>
  <si>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</si>
  <si>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</si>
  <si>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</si>
  <si>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</si>
  <si>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</si>
  <si>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</si>
  <si>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</si>
  <si>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</si>
  <si>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</si>
  <si>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</si>
  <si>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</si>
  <si>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</si>
  <si>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</si>
  <si>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</si>
  <si>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</si>
  <si>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</si>
  <si>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</si>
  <si>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</si>
  <si>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</si>
  <si>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</si>
  <si>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</si>
  <si>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</si>
  <si>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</si>
  <si>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</si>
  <si>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</si>
  <si>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</si>
  <si>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</si>
  <si>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</si>
  <si>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</si>
  <si>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</si>
  <si>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</si>
  <si>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</si>
  <si>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</si>
  <si>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</si>
  <si>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</si>
  <si>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</si>
  <si>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</si>
  <si>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</si>
  <si>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</si>
  <si>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</si>
  <si>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</si>
  <si>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</si>
  <si>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</si>
  <si>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</si>
  <si>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</si>
  <si>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</si>
  <si>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</si>
  <si>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</si>
  <si>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</si>
  <si>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</si>
  <si>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</si>
  <si>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</si>
  <si>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</si>
  <si>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</si>
  <si>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</si>
  <si>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</si>
  <si>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</si>
  <si>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</si>
  <si>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</si>
  <si>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</si>
  <si>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</si>
  <si>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</si>
  <si>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</si>
  <si>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</si>
  <si>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</si>
  <si>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</si>
  <si>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</si>
  <si>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</si>
  <si>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</si>
  <si>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</si>
  <si>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</si>
  <si>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</si>
  <si>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</si>
  <si>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</si>
  <si>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</si>
  <si>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</si>
  <si>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</si>
  <si>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</si>
  <si>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</si>
  <si>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</si>
  <si>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</si>
  <si>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</si>
  <si>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</si>
  <si>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</si>
  <si>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</si>
  <si>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</si>
  <si>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</si>
  <si>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</si>
  <si>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</si>
  <si>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</si>
  <si>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</si>
  <si>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</si>
  <si>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</si>
  <si>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</si>
  <si>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</si>
  <si>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</si>
  <si>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</si>
  <si>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</si>
  <si>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</si>
  <si>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</si>
  <si>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</si>
  <si>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</si>
  <si>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</si>
  <si>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</si>
  <si>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</si>
  <si>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</si>
  <si>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</si>
  <si>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</si>
  <si>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</si>
  <si>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</si>
  <si>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</si>
  <si>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</si>
  <si>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</si>
  <si>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</si>
  <si>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</si>
  <si>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</si>
  <si>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</si>
  <si>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</si>
  <si>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
类别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</si>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</sst>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2</xdr:col>
          <xdr:colOff>214313</xdr:colOff>
          <xdr:row>0</xdr:row>
          <xdr:rowOff>485775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3</xdr:col>
          <xdr:colOff>314325</xdr:colOff>
          <xdr:row>2</xdr:row>
          <xdr:rowOff>200025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21" zoomScale="90" zoomScaleNormal="90" workbookViewId="0">
      <selection activeCell="A27" sqref="A27:C51"/>
    </sheetView>
  </sheetViews>
  <sheetFormatPr defaultColWidth="9" defaultRowHeight="20" customHeight="1" x14ac:dyDescent="0.3"/>
  <cols>
    <col min="1" max="1" width="18" style="38" customWidth="1"/>
    <col min="2" max="2" width="21.6640625" style="38" customWidth="1"/>
    <col min="3" max="3" width="15.53125" style="37" customWidth="1"/>
    <col min="4" max="4" width="21.6640625" style="37" customWidth="1"/>
    <col min="5" max="5" width="19.46484375" style="37" customWidth="1"/>
    <col min="6" max="6" width="18.53125" style="37" customWidth="1"/>
    <col min="7" max="7" width="9" style="37"/>
    <col min="8" max="8" width="19.33203125" style="37" customWidth="1"/>
    <col min="9" max="9" width="18.19921875" style="37" customWidth="1"/>
    <col min="10" max="10" width="7.33203125" style="37" customWidth="1"/>
    <col min="11" max="12" width="11.46484375" style="37" customWidth="1"/>
    <col min="13" max="13" width="10.33203125" style="37" customWidth="1"/>
    <col min="14" max="14" width="14.86328125" style="37" customWidth="1"/>
    <col min="15" max="15" width="5.33203125" style="37" customWidth="1"/>
    <col min="16" max="16" width="8.86328125" style="37" customWidth="1"/>
    <col min="17" max="16384" width="9" style="37"/>
  </cols>
  <sheetData>
    <row r="1" spans="1:5" ht="20" customHeight="1" x14ac:dyDescent="0.3">
      <c r="A1" s="48" t="s">
        <v>0</v>
      </c>
    </row>
    <row r="2" spans="1:5" ht="20" customHeight="1" x14ac:dyDescent="0.3">
      <c r="A2" s="48" t="s">
        <v>1</v>
      </c>
    </row>
    <row r="3" spans="1:5" ht="20" customHeight="1" x14ac:dyDescent="0.3">
      <c r="A3" s="48" t="s">
        <v>2</v>
      </c>
    </row>
    <row r="4" spans="1:5" ht="20" customHeight="1" x14ac:dyDescent="0.3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20" customHeight="1" x14ac:dyDescent="0.3">
      <c r="A5" s="38" t="s">
        <v>8</v>
      </c>
      <c r="B5" s="77" t="s">
        <v>9</v>
      </c>
      <c r="C5" s="38" t="s">
        <v>10</v>
      </c>
      <c r="D5" s="38" t="s">
        <v>11</v>
      </c>
      <c r="E5" s="38" t="s">
        <v>12</v>
      </c>
    </row>
    <row r="6" spans="1:5" ht="20" customHeight="1" x14ac:dyDescent="0.3">
      <c r="A6" s="84" t="s">
        <v>13</v>
      </c>
      <c r="B6" s="85"/>
      <c r="C6" s="85"/>
      <c r="D6" s="85"/>
      <c r="E6" s="85"/>
    </row>
    <row r="7" spans="1:5" ht="20" customHeight="1" x14ac:dyDescent="0.3">
      <c r="A7" s="48" t="s">
        <v>14</v>
      </c>
    </row>
    <row r="8" spans="1:5" ht="20" customHeight="1" x14ac:dyDescent="0.3">
      <c r="A8" s="48" t="s">
        <v>15</v>
      </c>
    </row>
    <row r="9" spans="1:5" ht="20" customHeight="1" x14ac:dyDescent="0.3">
      <c r="A9" s="48" t="s">
        <v>16</v>
      </c>
    </row>
    <row r="10" spans="1:5" ht="20" customHeight="1" x14ac:dyDescent="0.3">
      <c r="A10" s="48" t="s">
        <v>17</v>
      </c>
    </row>
    <row r="11" spans="1:5" ht="20" customHeight="1" x14ac:dyDescent="0.3">
      <c r="A11" s="48" t="s">
        <v>18</v>
      </c>
    </row>
    <row r="12" spans="1:5" ht="20" customHeight="1" x14ac:dyDescent="0.3">
      <c r="A12" s="48" t="s">
        <v>19</v>
      </c>
    </row>
    <row r="13" spans="1:5" ht="20" customHeight="1" x14ac:dyDescent="0.3">
      <c r="A13" s="48" t="s">
        <v>20</v>
      </c>
    </row>
    <row r="14" spans="1:5" ht="20" customHeight="1" x14ac:dyDescent="0.3">
      <c r="A14" s="48" t="s">
        <v>21</v>
      </c>
    </row>
    <row r="15" spans="1:5" ht="20" customHeight="1" x14ac:dyDescent="0.3">
      <c r="A15" s="48" t="s">
        <v>22</v>
      </c>
    </row>
    <row r="16" spans="1:5" ht="20" customHeight="1" x14ac:dyDescent="0.3">
      <c r="A16" s="48" t="s">
        <v>23</v>
      </c>
    </row>
    <row r="18" spans="1:16" ht="20" customHeight="1" x14ac:dyDescent="0.3">
      <c r="A18" s="48" t="s">
        <v>24</v>
      </c>
    </row>
    <row r="19" spans="1:16" ht="20" customHeight="1" x14ac:dyDescent="0.3">
      <c r="A19" s="48" t="s">
        <v>25</v>
      </c>
    </row>
    <row r="20" spans="1:16" ht="20" customHeight="1" x14ac:dyDescent="0.3">
      <c r="A20" s="48" t="s">
        <v>26</v>
      </c>
    </row>
    <row r="21" spans="1:16" ht="20" customHeight="1" x14ac:dyDescent="0.3">
      <c r="A21" s="48" t="s">
        <v>27</v>
      </c>
    </row>
    <row r="22" spans="1:16" ht="20" customHeight="1" x14ac:dyDescent="0.3">
      <c r="A22" s="48" t="s">
        <v>28</v>
      </c>
    </row>
    <row r="23" spans="1:16" ht="20" customHeight="1" x14ac:dyDescent="0.3">
      <c r="A23" s="48"/>
    </row>
    <row r="24" spans="1:16" ht="20" customHeight="1" x14ac:dyDescent="0.3">
      <c r="A24" s="48"/>
    </row>
    <row r="25" spans="1:16" ht="20" customHeight="1" x14ac:dyDescent="0.3">
      <c r="A25" s="48"/>
    </row>
    <row r="26" spans="1:16" ht="20" customHeight="1" x14ac:dyDescent="0.3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8" t="s">
        <v>29</v>
      </c>
      <c r="I26" s="78" t="s">
        <v>30</v>
      </c>
      <c r="J26" s="78" t="s">
        <v>31</v>
      </c>
      <c r="K26" s="78" t="s">
        <v>32</v>
      </c>
      <c r="L26" s="78" t="s">
        <v>33</v>
      </c>
      <c r="M26" s="78" t="s">
        <v>34</v>
      </c>
      <c r="N26" s="78" t="s">
        <v>35</v>
      </c>
      <c r="O26" s="78" t="s">
        <v>36</v>
      </c>
      <c r="P26" s="78" t="s">
        <v>37</v>
      </c>
    </row>
    <row r="27" spans="1:16" ht="20" customHeight="1" x14ac:dyDescent="0.3">
      <c r="A27" s="38" t="s">
        <v>8</v>
      </c>
      <c r="C27" s="37">
        <v>20</v>
      </c>
      <c r="E27" s="38" t="s">
        <v>12</v>
      </c>
      <c r="H27" s="78" t="s">
        <v>38</v>
      </c>
      <c r="I27" s="78"/>
      <c r="J27" s="78"/>
      <c r="K27" s="78"/>
      <c r="L27" s="78"/>
      <c r="M27" s="78"/>
      <c r="N27" s="78" t="s">
        <v>39</v>
      </c>
      <c r="O27" s="78" t="s">
        <v>40</v>
      </c>
      <c r="P27" s="78"/>
    </row>
    <row r="28" spans="1:16" ht="20" customHeight="1" x14ac:dyDescent="0.3">
      <c r="A28" s="38" t="s">
        <v>41</v>
      </c>
      <c r="C28" s="37">
        <v>40</v>
      </c>
      <c r="E28" s="38" t="s">
        <v>12</v>
      </c>
      <c r="H28" s="81" t="s">
        <v>42</v>
      </c>
      <c r="I28" s="64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1">
        <v>20</v>
      </c>
    </row>
    <row r="29" spans="1:16" ht="20" customHeight="1" x14ac:dyDescent="0.3">
      <c r="A29" s="38" t="s">
        <v>44</v>
      </c>
      <c r="C29" s="37">
        <v>60</v>
      </c>
      <c r="E29" s="38" t="s">
        <v>12</v>
      </c>
      <c r="H29" s="83"/>
      <c r="I29" s="62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83"/>
    </row>
    <row r="30" spans="1:16" ht="20" customHeight="1" x14ac:dyDescent="0.3">
      <c r="E30" s="38"/>
      <c r="H30" s="81" t="s">
        <v>46</v>
      </c>
      <c r="I30" s="64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1">
        <v>20</v>
      </c>
    </row>
    <row r="31" spans="1:16" ht="20" customHeight="1" x14ac:dyDescent="0.3">
      <c r="A31" s="38" t="s">
        <v>48</v>
      </c>
      <c r="C31" s="37">
        <v>20</v>
      </c>
      <c r="E31" s="38" t="s">
        <v>12</v>
      </c>
      <c r="H31" s="83"/>
      <c r="I31" s="62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83"/>
    </row>
    <row r="32" spans="1:16" ht="20" customHeight="1" x14ac:dyDescent="0.3">
      <c r="A32" s="38" t="s">
        <v>50</v>
      </c>
      <c r="C32" s="37">
        <v>40</v>
      </c>
      <c r="H32" s="81" t="s">
        <v>51</v>
      </c>
      <c r="I32" s="64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1">
        <v>20</v>
      </c>
    </row>
    <row r="33" spans="1:16" ht="20" customHeight="1" x14ac:dyDescent="0.3">
      <c r="A33" s="38" t="s">
        <v>53</v>
      </c>
      <c r="C33" s="37">
        <v>60</v>
      </c>
      <c r="H33" s="82"/>
      <c r="I33" s="62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82"/>
    </row>
    <row r="34" spans="1:16" ht="20" customHeight="1" x14ac:dyDescent="0.3">
      <c r="H34" s="82"/>
      <c r="I34" s="64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82"/>
    </row>
    <row r="35" spans="1:16" ht="20" customHeight="1" x14ac:dyDescent="0.3">
      <c r="A35" s="38" t="s">
        <v>56</v>
      </c>
      <c r="C35" s="37">
        <v>40</v>
      </c>
      <c r="H35" s="82"/>
      <c r="I35" s="62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82"/>
    </row>
    <row r="36" spans="1:16" ht="20" customHeight="1" x14ac:dyDescent="0.3">
      <c r="A36" s="38" t="s">
        <v>58</v>
      </c>
      <c r="C36" s="37">
        <v>60</v>
      </c>
      <c r="H36" s="83"/>
      <c r="I36" s="64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83"/>
    </row>
    <row r="37" spans="1:16" ht="20" customHeight="1" x14ac:dyDescent="0.3">
      <c r="A37" s="38" t="s">
        <v>60</v>
      </c>
      <c r="C37" s="37">
        <v>80</v>
      </c>
      <c r="H37" s="81" t="s">
        <v>61</v>
      </c>
      <c r="I37" s="62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1">
        <v>20</v>
      </c>
    </row>
    <row r="38" spans="1:16" ht="20" customHeight="1" x14ac:dyDescent="0.3">
      <c r="H38" s="82"/>
      <c r="I38" s="64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82"/>
    </row>
    <row r="39" spans="1:16" ht="20" customHeight="1" x14ac:dyDescent="0.3">
      <c r="A39" s="38" t="s">
        <v>62</v>
      </c>
      <c r="C39" s="37">
        <v>30</v>
      </c>
      <c r="H39" s="82"/>
      <c r="I39" s="62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82"/>
    </row>
    <row r="40" spans="1:16" ht="20" customHeight="1" x14ac:dyDescent="0.3">
      <c r="A40" s="38" t="s">
        <v>64</v>
      </c>
      <c r="C40" s="37">
        <v>50</v>
      </c>
      <c r="H40" s="82"/>
      <c r="I40" s="64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82"/>
    </row>
    <row r="41" spans="1:16" ht="20" customHeight="1" x14ac:dyDescent="0.3">
      <c r="A41" s="38" t="s">
        <v>66</v>
      </c>
      <c r="C41" s="37">
        <v>70</v>
      </c>
      <c r="H41" s="83"/>
      <c r="I41" s="62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83"/>
    </row>
    <row r="42" spans="1:16" ht="20" customHeight="1" x14ac:dyDescent="0.3">
      <c r="H42" s="81" t="s">
        <v>68</v>
      </c>
      <c r="I42" s="64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1">
        <v>30</v>
      </c>
    </row>
    <row r="43" spans="1:16" ht="20" customHeight="1" x14ac:dyDescent="0.3">
      <c r="A43" s="38" t="s">
        <v>69</v>
      </c>
      <c r="C43" s="37">
        <v>40</v>
      </c>
      <c r="H43" s="83"/>
      <c r="I43" s="62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83"/>
    </row>
    <row r="44" spans="1:16" ht="20" customHeight="1" x14ac:dyDescent="0.3">
      <c r="A44" s="38" t="s">
        <v>71</v>
      </c>
      <c r="C44" s="37">
        <v>60</v>
      </c>
      <c r="H44" s="58" t="s">
        <v>72</v>
      </c>
      <c r="I44" s="64" t="s">
        <v>45</v>
      </c>
      <c r="J44">
        <v>1</v>
      </c>
      <c r="K44"/>
      <c r="L44"/>
      <c r="M44"/>
      <c r="N44">
        <v>1</v>
      </c>
      <c r="O44">
        <v>30</v>
      </c>
      <c r="P44" s="58">
        <v>30</v>
      </c>
    </row>
    <row r="45" spans="1:16" ht="20" customHeight="1" x14ac:dyDescent="0.3">
      <c r="A45" s="38" t="s">
        <v>73</v>
      </c>
      <c r="C45" s="37">
        <v>80</v>
      </c>
      <c r="H45" s="58" t="s">
        <v>74</v>
      </c>
      <c r="I45" s="62" t="s">
        <v>74</v>
      </c>
      <c r="J45">
        <v>1</v>
      </c>
      <c r="K45"/>
      <c r="L45"/>
      <c r="M45"/>
      <c r="N45">
        <v>1</v>
      </c>
      <c r="O45">
        <v>30</v>
      </c>
      <c r="P45" s="58">
        <v>30</v>
      </c>
    </row>
    <row r="46" spans="1:16" ht="20" customHeight="1" x14ac:dyDescent="0.3">
      <c r="H46" s="81" t="s">
        <v>75</v>
      </c>
      <c r="I46" s="64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1">
        <v>30</v>
      </c>
    </row>
    <row r="47" spans="1:16" ht="20" customHeight="1" x14ac:dyDescent="0.3">
      <c r="A47" s="38" t="s">
        <v>77</v>
      </c>
      <c r="C47" s="37">
        <v>60</v>
      </c>
      <c r="H47" s="82"/>
      <c r="I47" s="62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82"/>
    </row>
    <row r="48" spans="1:16" ht="20" customHeight="1" x14ac:dyDescent="0.3">
      <c r="A48" s="38" t="s">
        <v>79</v>
      </c>
      <c r="C48" s="37">
        <v>80</v>
      </c>
      <c r="H48" s="83"/>
      <c r="I48" s="64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83"/>
    </row>
    <row r="49" spans="1:16" ht="20" customHeight="1" x14ac:dyDescent="0.3">
      <c r="A49" s="38" t="s">
        <v>81</v>
      </c>
      <c r="C49" s="37">
        <v>100</v>
      </c>
      <c r="H49" s="81" t="s">
        <v>82</v>
      </c>
      <c r="I49" s="62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1">
        <v>50</v>
      </c>
    </row>
    <row r="50" spans="1:16" ht="20" customHeight="1" x14ac:dyDescent="0.3">
      <c r="A50" s="37"/>
      <c r="B50" s="37"/>
      <c r="H50" s="82"/>
      <c r="I50" s="64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82"/>
    </row>
    <row r="51" spans="1:16" ht="20" customHeight="1" x14ac:dyDescent="0.3">
      <c r="A51" s="38" t="s">
        <v>85</v>
      </c>
      <c r="C51" s="37">
        <v>30</v>
      </c>
      <c r="H51" s="83"/>
      <c r="I51" s="62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83"/>
    </row>
    <row r="52" spans="1:16" ht="20" customHeight="1" x14ac:dyDescent="0.3">
      <c r="A52" s="37"/>
      <c r="B52" s="37"/>
      <c r="H52" s="81" t="s">
        <v>87</v>
      </c>
      <c r="I52" s="64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1">
        <v>30</v>
      </c>
    </row>
    <row r="53" spans="1:16" ht="20" customHeight="1" x14ac:dyDescent="0.3">
      <c r="A53" s="37"/>
      <c r="B53" s="37"/>
      <c r="H53" s="82"/>
      <c r="I53" s="62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82"/>
    </row>
    <row r="54" spans="1:16" ht="20" customHeight="1" x14ac:dyDescent="0.3">
      <c r="A54" s="37"/>
      <c r="B54" s="37"/>
      <c r="H54" s="83"/>
      <c r="I54" s="64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83"/>
    </row>
    <row r="55" spans="1:16" ht="20" customHeight="1" x14ac:dyDescent="0.3">
      <c r="A55" s="37"/>
      <c r="B55" s="37"/>
      <c r="H55" s="81" t="s">
        <v>90</v>
      </c>
      <c r="I55" s="62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1">
        <v>30</v>
      </c>
    </row>
    <row r="56" spans="1:16" ht="20" customHeight="1" x14ac:dyDescent="0.3">
      <c r="A56" s="37"/>
      <c r="B56" s="37"/>
      <c r="H56" s="82"/>
      <c r="I56" s="64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82"/>
    </row>
    <row r="57" spans="1:16" ht="20" customHeight="1" x14ac:dyDescent="0.3">
      <c r="A57" s="37"/>
      <c r="B57" s="37"/>
      <c r="H57" s="83"/>
      <c r="I57" s="62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83"/>
    </row>
    <row r="58" spans="1:16" ht="20" customHeight="1" x14ac:dyDescent="0.3">
      <c r="A58" s="37"/>
      <c r="B58" s="37"/>
      <c r="H58" s="81" t="s">
        <v>92</v>
      </c>
      <c r="I58" s="64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1">
        <v>30</v>
      </c>
    </row>
    <row r="59" spans="1:16" ht="20" customHeight="1" x14ac:dyDescent="0.3">
      <c r="A59" s="37"/>
      <c r="B59" s="37"/>
      <c r="H59" s="82"/>
      <c r="I59" s="62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82"/>
    </row>
    <row r="60" spans="1:16" ht="20" customHeight="1" x14ac:dyDescent="0.3">
      <c r="A60" s="37"/>
      <c r="B60" s="37"/>
      <c r="H60" s="82"/>
      <c r="I60" s="64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82"/>
    </row>
    <row r="61" spans="1:16" ht="20" customHeight="1" x14ac:dyDescent="0.3">
      <c r="A61" s="37"/>
      <c r="B61" s="37"/>
      <c r="H61" s="83"/>
      <c r="I61" s="62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83"/>
    </row>
    <row r="62" spans="1:16" ht="20" customHeight="1" x14ac:dyDescent="0.3">
      <c r="A62" s="37"/>
      <c r="B62" s="37"/>
      <c r="H62" s="81" t="s">
        <v>94</v>
      </c>
      <c r="I62" s="64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1">
        <v>60</v>
      </c>
    </row>
    <row r="63" spans="1:16" ht="20" customHeight="1" x14ac:dyDescent="0.3">
      <c r="A63" s="37"/>
      <c r="B63" s="37"/>
      <c r="H63" s="82"/>
      <c r="I63" s="62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82"/>
    </row>
    <row r="64" spans="1:16" ht="20" customHeight="1" x14ac:dyDescent="0.3">
      <c r="A64" s="37"/>
      <c r="B64" s="37"/>
      <c r="H64" s="82"/>
      <c r="I64" s="64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82"/>
    </row>
    <row r="65" spans="1:16" ht="20" customHeight="1" x14ac:dyDescent="0.3">
      <c r="A65" s="37"/>
      <c r="B65" s="37"/>
      <c r="H65" s="83"/>
      <c r="I65" s="62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83"/>
    </row>
    <row r="66" spans="1:16" ht="20" customHeight="1" x14ac:dyDescent="0.3">
      <c r="A66" s="37"/>
      <c r="B66" s="37"/>
      <c r="H66" s="81" t="s">
        <v>99</v>
      </c>
      <c r="I66" s="64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1">
        <v>30</v>
      </c>
    </row>
    <row r="67" spans="1:16" ht="20" customHeight="1" x14ac:dyDescent="0.3">
      <c r="A67" s="37"/>
      <c r="B67" s="37"/>
      <c r="H67" s="83"/>
      <c r="I67" s="62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83"/>
    </row>
    <row r="68" spans="1:16" ht="20" customHeight="1" x14ac:dyDescent="0.3">
      <c r="A68" s="37"/>
      <c r="B68" s="37"/>
    </row>
    <row r="69" spans="1:16" ht="20" customHeight="1" x14ac:dyDescent="0.3">
      <c r="A69" s="37"/>
      <c r="B69" s="37"/>
    </row>
    <row r="70" spans="1:16" ht="20" customHeight="1" x14ac:dyDescent="0.3">
      <c r="A70" s="37"/>
      <c r="B70" s="37"/>
    </row>
    <row r="71" spans="1:16" ht="20" customHeight="1" x14ac:dyDescent="0.3">
      <c r="A71" s="37"/>
      <c r="B71" s="37"/>
    </row>
    <row r="72" spans="1:16" ht="20" customHeight="1" x14ac:dyDescent="0.3">
      <c r="A72" s="37"/>
      <c r="B72" s="37"/>
    </row>
    <row r="73" spans="1:16" ht="20" customHeight="1" x14ac:dyDescent="0.3">
      <c r="A73" s="37"/>
      <c r="B73" s="37"/>
    </row>
    <row r="74" spans="1:16" ht="20" customHeight="1" x14ac:dyDescent="0.3">
      <c r="A74" s="37"/>
      <c r="B74" s="37"/>
    </row>
    <row r="75" spans="1:16" ht="20" customHeight="1" x14ac:dyDescent="0.3">
      <c r="A75" s="37"/>
      <c r="B75" s="37"/>
    </row>
    <row r="76" spans="1:16" ht="20" customHeight="1" x14ac:dyDescent="0.3">
      <c r="A76" s="37"/>
      <c r="B76" s="37"/>
    </row>
    <row r="77" spans="1:16" ht="20" customHeight="1" x14ac:dyDescent="0.3">
      <c r="A77" s="37"/>
      <c r="B77" s="37"/>
    </row>
    <row r="78" spans="1:16" ht="20" customHeight="1" x14ac:dyDescent="0.3">
      <c r="A78" s="37"/>
      <c r="B78" s="37"/>
    </row>
    <row r="79" spans="1:16" ht="20" customHeight="1" x14ac:dyDescent="0.3">
      <c r="A79" s="37"/>
      <c r="B79" s="37"/>
    </row>
    <row r="80" spans="1:16" ht="20" customHeight="1" x14ac:dyDescent="0.3">
      <c r="A80" s="37"/>
      <c r="B80" s="37"/>
    </row>
    <row r="81" s="37" customFormat="1" ht="20" customHeight="1" x14ac:dyDescent="0.3"/>
    <row r="82" s="37" customFormat="1" ht="20" customHeight="1" x14ac:dyDescent="0.3"/>
    <row r="83" s="37" customFormat="1" ht="20" customHeight="1" x14ac:dyDescent="0.3"/>
    <row r="84" s="37" customFormat="1" ht="20" customHeight="1" x14ac:dyDescent="0.3"/>
    <row r="85" s="37" customFormat="1" ht="20" customHeight="1" x14ac:dyDescent="0.3"/>
    <row r="86" s="37" customFormat="1" ht="20" customHeight="1" x14ac:dyDescent="0.3"/>
    <row r="87" s="37" customFormat="1" ht="20" customHeight="1" x14ac:dyDescent="0.3"/>
    <row r="88" s="37" customFormat="1" ht="20" customHeight="1" x14ac:dyDescent="0.3"/>
    <row r="89" s="37" customFormat="1" ht="20" customHeight="1" x14ac:dyDescent="0.3"/>
    <row r="90" s="37" customFormat="1" ht="20" customHeight="1" x14ac:dyDescent="0.3"/>
    <row r="91" s="37" customFormat="1" ht="20" customHeight="1" x14ac:dyDescent="0.3"/>
    <row r="92" s="37" customFormat="1" ht="20" customHeight="1" x14ac:dyDescent="0.3"/>
    <row r="93" s="37" customFormat="1" ht="20" customHeight="1" x14ac:dyDescent="0.3"/>
    <row r="94" s="37" customFormat="1" ht="20" customHeight="1" x14ac:dyDescent="0.3"/>
    <row r="95" s="37" customFormat="1" ht="20" customHeight="1" x14ac:dyDescent="0.3"/>
    <row r="96" s="37" customFormat="1" ht="20" customHeight="1" x14ac:dyDescent="0.3"/>
  </sheetData>
  <mergeCells count="25"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0"/>
  <sheetViews>
    <sheetView showGridLines="0" zoomScale="90" zoomScaleNormal="90" workbookViewId="0">
      <pane ySplit="3" topLeftCell="A34" activePane="bottomLeft" state="frozen"/>
      <selection pane="bottomLeft" activeCell="A55" sqref="A55"/>
    </sheetView>
  </sheetViews>
  <sheetFormatPr defaultColWidth="9" defaultRowHeight="20" customHeight="1" x14ac:dyDescent="0.3"/>
  <cols>
    <col min="1" max="2" width="17.19921875" style="38" customWidth="1"/>
    <col min="3" max="7" width="13.1328125" style="38" customWidth="1"/>
    <col min="8" max="14" width="13.1328125" style="37" customWidth="1"/>
    <col min="15" max="16384" width="9" style="37"/>
  </cols>
  <sheetData>
    <row r="3" spans="1:19" ht="30" customHeight="1" x14ac:dyDescent="0.3">
      <c r="A3" s="74" t="s">
        <v>101</v>
      </c>
      <c r="B3" s="74" t="s">
        <v>101</v>
      </c>
      <c r="C3" s="74" t="s">
        <v>101</v>
      </c>
      <c r="E3" s="74" t="s">
        <v>102</v>
      </c>
      <c r="F3" s="74">
        <v>1</v>
      </c>
      <c r="G3" s="74">
        <v>2</v>
      </c>
      <c r="H3" s="74">
        <v>3</v>
      </c>
      <c r="I3" s="74">
        <v>4</v>
      </c>
      <c r="J3" s="74">
        <v>5</v>
      </c>
      <c r="K3" s="74">
        <v>6</v>
      </c>
      <c r="L3" s="74">
        <v>7</v>
      </c>
      <c r="M3" s="74">
        <v>8</v>
      </c>
      <c r="N3" s="74">
        <v>9</v>
      </c>
      <c r="O3" s="74">
        <v>10</v>
      </c>
      <c r="P3" s="74">
        <v>11</v>
      </c>
      <c r="Q3" s="74">
        <v>12</v>
      </c>
      <c r="R3" s="74">
        <v>13</v>
      </c>
      <c r="S3" s="86"/>
    </row>
    <row r="4" spans="1:19" ht="22.05" customHeight="1" x14ac:dyDescent="0.3">
      <c r="A4" s="75" t="s">
        <v>103</v>
      </c>
      <c r="B4" s="38" t="s">
        <v>8</v>
      </c>
      <c r="C4" s="76">
        <v>20</v>
      </c>
      <c r="E4" s="86" t="s">
        <v>104</v>
      </c>
      <c r="F4" s="75" t="s">
        <v>103</v>
      </c>
      <c r="G4" s="75" t="s">
        <v>105</v>
      </c>
      <c r="H4" s="75" t="s">
        <v>106</v>
      </c>
      <c r="I4" s="75" t="s">
        <v>107</v>
      </c>
      <c r="J4" s="75" t="s">
        <v>108</v>
      </c>
      <c r="K4" s="75" t="s">
        <v>109</v>
      </c>
      <c r="L4" s="75" t="s">
        <v>110</v>
      </c>
      <c r="M4" s="75" t="s">
        <v>111</v>
      </c>
      <c r="N4" s="75" t="s">
        <v>112</v>
      </c>
      <c r="S4" s="88"/>
    </row>
    <row r="5" spans="1:19" ht="22.05" customHeight="1" x14ac:dyDescent="0.3">
      <c r="A5" s="75" t="s">
        <v>105</v>
      </c>
      <c r="B5" s="38" t="s">
        <v>8</v>
      </c>
      <c r="C5" s="76">
        <v>20</v>
      </c>
      <c r="E5" s="87"/>
      <c r="F5" s="76">
        <v>20</v>
      </c>
      <c r="G5" s="76">
        <v>20</v>
      </c>
      <c r="H5" s="76">
        <v>40</v>
      </c>
      <c r="I5" s="76">
        <v>40</v>
      </c>
      <c r="J5" s="76">
        <v>40</v>
      </c>
      <c r="K5" s="76">
        <v>60</v>
      </c>
      <c r="L5" s="76">
        <v>60</v>
      </c>
      <c r="M5" s="76">
        <v>60</v>
      </c>
      <c r="N5" s="76">
        <v>60</v>
      </c>
      <c r="S5" s="88"/>
    </row>
    <row r="6" spans="1:19" ht="22.05" customHeight="1" x14ac:dyDescent="0.3">
      <c r="A6" s="75" t="s">
        <v>106</v>
      </c>
      <c r="B6" s="38" t="s">
        <v>41</v>
      </c>
      <c r="C6" s="76">
        <v>40</v>
      </c>
      <c r="E6" s="86" t="s">
        <v>113</v>
      </c>
      <c r="F6" s="75" t="s">
        <v>114</v>
      </c>
      <c r="G6" s="75" t="s">
        <v>115</v>
      </c>
      <c r="H6" s="75" t="s">
        <v>116</v>
      </c>
      <c r="I6" s="75" t="s">
        <v>117</v>
      </c>
      <c r="J6" s="75" t="s">
        <v>118</v>
      </c>
      <c r="K6" s="75" t="s">
        <v>119</v>
      </c>
      <c r="L6" s="75" t="s">
        <v>120</v>
      </c>
      <c r="M6" s="75" t="s">
        <v>121</v>
      </c>
      <c r="S6" s="88"/>
    </row>
    <row r="7" spans="1:19" ht="22.05" customHeight="1" x14ac:dyDescent="0.3">
      <c r="A7" s="75" t="s">
        <v>107</v>
      </c>
      <c r="B7" s="38" t="s">
        <v>41</v>
      </c>
      <c r="C7" s="76">
        <v>40</v>
      </c>
      <c r="E7" s="87"/>
      <c r="F7" s="76">
        <v>20</v>
      </c>
      <c r="G7" s="76">
        <v>20</v>
      </c>
      <c r="H7" s="76">
        <v>20</v>
      </c>
      <c r="I7" s="76">
        <v>40</v>
      </c>
      <c r="J7" s="76">
        <v>40</v>
      </c>
      <c r="K7" s="76">
        <v>40</v>
      </c>
      <c r="L7" s="76">
        <v>60</v>
      </c>
      <c r="M7" s="76">
        <v>60</v>
      </c>
      <c r="S7" s="88"/>
    </row>
    <row r="8" spans="1:19" ht="22.05" customHeight="1" x14ac:dyDescent="0.3">
      <c r="A8" s="75" t="s">
        <v>108</v>
      </c>
      <c r="B8" s="38" t="s">
        <v>41</v>
      </c>
      <c r="C8" s="76">
        <v>40</v>
      </c>
      <c r="E8" s="86" t="s">
        <v>85</v>
      </c>
      <c r="F8" s="75" t="s">
        <v>122</v>
      </c>
      <c r="G8" s="75" t="s">
        <v>123</v>
      </c>
      <c r="H8" s="75" t="s">
        <v>124</v>
      </c>
      <c r="I8" s="75" t="s">
        <v>125</v>
      </c>
      <c r="J8" s="38"/>
      <c r="K8" s="38"/>
      <c r="S8" s="88"/>
    </row>
    <row r="9" spans="1:19" ht="22.05" customHeight="1" x14ac:dyDescent="0.3">
      <c r="A9" s="75" t="s">
        <v>109</v>
      </c>
      <c r="B9" s="38" t="s">
        <v>44</v>
      </c>
      <c r="C9" s="76">
        <v>60</v>
      </c>
      <c r="E9" s="87"/>
      <c r="F9" s="76">
        <v>30</v>
      </c>
      <c r="G9" s="76">
        <v>30</v>
      </c>
      <c r="H9" s="76">
        <v>50</v>
      </c>
      <c r="I9" s="76">
        <v>50</v>
      </c>
      <c r="J9" s="38"/>
      <c r="K9" s="38"/>
      <c r="S9" s="88"/>
    </row>
    <row r="10" spans="1:19" ht="22.05" customHeight="1" x14ac:dyDescent="0.3">
      <c r="A10" s="75" t="s">
        <v>110</v>
      </c>
      <c r="B10" s="38" t="s">
        <v>44</v>
      </c>
      <c r="C10" s="76">
        <v>60</v>
      </c>
      <c r="E10" s="86" t="s">
        <v>126</v>
      </c>
      <c r="F10" s="75" t="s">
        <v>127</v>
      </c>
      <c r="G10" s="75" t="s">
        <v>128</v>
      </c>
      <c r="H10" s="75" t="s">
        <v>129</v>
      </c>
      <c r="I10" s="75" t="s">
        <v>130</v>
      </c>
      <c r="J10" s="75" t="s">
        <v>131</v>
      </c>
      <c r="K10" s="75" t="s">
        <v>132</v>
      </c>
      <c r="L10" s="75" t="s">
        <v>133</v>
      </c>
      <c r="M10" s="75" t="s">
        <v>134</v>
      </c>
      <c r="N10" s="75" t="s">
        <v>135</v>
      </c>
      <c r="O10" s="75" t="s">
        <v>136</v>
      </c>
      <c r="P10" s="75" t="s">
        <v>137</v>
      </c>
      <c r="Q10" s="75" t="s">
        <v>138</v>
      </c>
      <c r="R10" s="75" t="s">
        <v>139</v>
      </c>
      <c r="S10" s="88"/>
    </row>
    <row r="11" spans="1:19" ht="22.05" customHeight="1" x14ac:dyDescent="0.3">
      <c r="A11" s="75" t="s">
        <v>111</v>
      </c>
      <c r="B11" s="38" t="s">
        <v>44</v>
      </c>
      <c r="C11" s="76">
        <v>60</v>
      </c>
      <c r="E11" s="87"/>
      <c r="F11" s="76">
        <v>30</v>
      </c>
      <c r="G11" s="76">
        <v>30</v>
      </c>
      <c r="H11" s="76">
        <v>30</v>
      </c>
      <c r="I11" s="76">
        <v>30</v>
      </c>
      <c r="J11" s="76">
        <v>30</v>
      </c>
      <c r="K11" s="76">
        <v>30</v>
      </c>
      <c r="L11" s="76">
        <v>50</v>
      </c>
      <c r="M11" s="76">
        <v>50</v>
      </c>
      <c r="N11" s="76">
        <v>50</v>
      </c>
      <c r="O11" s="76">
        <v>50</v>
      </c>
      <c r="P11" s="76">
        <v>70</v>
      </c>
      <c r="Q11" s="76">
        <v>70</v>
      </c>
      <c r="R11" s="76">
        <v>70</v>
      </c>
      <c r="S11" s="88"/>
    </row>
    <row r="12" spans="1:19" ht="22.05" customHeight="1" x14ac:dyDescent="0.3">
      <c r="A12" s="75" t="s">
        <v>112</v>
      </c>
      <c r="B12" s="38" t="s">
        <v>44</v>
      </c>
      <c r="C12" s="76">
        <v>60</v>
      </c>
      <c r="E12" s="86" t="s">
        <v>140</v>
      </c>
      <c r="F12" s="75" t="s">
        <v>141</v>
      </c>
      <c r="G12" s="75" t="s">
        <v>142</v>
      </c>
      <c r="H12" s="75" t="s">
        <v>143</v>
      </c>
      <c r="I12" s="75" t="s">
        <v>144</v>
      </c>
      <c r="J12" s="75" t="s">
        <v>145</v>
      </c>
      <c r="K12" s="38"/>
      <c r="S12" s="88"/>
    </row>
    <row r="13" spans="1:19" ht="22.05" customHeight="1" x14ac:dyDescent="0.3">
      <c r="A13" s="75" t="s">
        <v>114</v>
      </c>
      <c r="B13" s="38" t="s">
        <v>48</v>
      </c>
      <c r="C13" s="76">
        <v>20</v>
      </c>
      <c r="E13" s="87"/>
      <c r="F13" s="76">
        <v>40</v>
      </c>
      <c r="G13" s="76">
        <v>40</v>
      </c>
      <c r="H13" s="76">
        <v>60</v>
      </c>
      <c r="I13" s="76">
        <v>60</v>
      </c>
      <c r="J13" s="76">
        <v>80</v>
      </c>
      <c r="K13" s="38"/>
      <c r="S13" s="88"/>
    </row>
    <row r="14" spans="1:19" ht="22.05" customHeight="1" x14ac:dyDescent="0.3">
      <c r="A14" s="75" t="s">
        <v>115</v>
      </c>
      <c r="B14" s="38" t="s">
        <v>48</v>
      </c>
      <c r="C14" s="76">
        <v>20</v>
      </c>
      <c r="E14" s="86" t="s">
        <v>146</v>
      </c>
      <c r="F14" s="75" t="s">
        <v>146</v>
      </c>
      <c r="G14" s="75" t="s">
        <v>147</v>
      </c>
      <c r="H14" s="75" t="s">
        <v>148</v>
      </c>
      <c r="I14" s="75" t="s">
        <v>149</v>
      </c>
      <c r="J14" s="75" t="s">
        <v>150</v>
      </c>
      <c r="K14" s="75" t="s">
        <v>151</v>
      </c>
      <c r="S14" s="88"/>
    </row>
    <row r="15" spans="1:19" ht="22.05" customHeight="1" x14ac:dyDescent="0.3">
      <c r="A15" s="75" t="s">
        <v>116</v>
      </c>
      <c r="B15" s="38" t="s">
        <v>48</v>
      </c>
      <c r="C15" s="76">
        <v>20</v>
      </c>
      <c r="E15" s="87"/>
      <c r="F15" s="76">
        <v>40</v>
      </c>
      <c r="G15" s="76">
        <v>40</v>
      </c>
      <c r="H15" s="76">
        <v>60</v>
      </c>
      <c r="I15" s="76">
        <v>60</v>
      </c>
      <c r="J15" s="76">
        <v>80</v>
      </c>
      <c r="K15" s="76">
        <v>80</v>
      </c>
      <c r="S15" s="88"/>
    </row>
    <row r="16" spans="1:19" ht="22.05" customHeight="1" x14ac:dyDescent="0.3">
      <c r="A16" s="75" t="s">
        <v>117</v>
      </c>
      <c r="B16" s="38" t="s">
        <v>50</v>
      </c>
      <c r="C16" s="76">
        <v>40</v>
      </c>
      <c r="E16" s="86" t="s">
        <v>152</v>
      </c>
      <c r="F16" s="75" t="s">
        <v>153</v>
      </c>
      <c r="G16" s="75" t="s">
        <v>154</v>
      </c>
      <c r="H16" s="75" t="s">
        <v>155</v>
      </c>
      <c r="I16" s="75" t="s">
        <v>156</v>
      </c>
      <c r="J16" s="75" t="s">
        <v>157</v>
      </c>
      <c r="K16" s="75" t="s">
        <v>158</v>
      </c>
      <c r="L16" s="75" t="s">
        <v>159</v>
      </c>
      <c r="M16" s="75" t="s">
        <v>160</v>
      </c>
      <c r="N16" s="75" t="s">
        <v>161</v>
      </c>
      <c r="O16" s="75" t="s">
        <v>162</v>
      </c>
      <c r="S16" s="88"/>
    </row>
    <row r="17" spans="1:19" ht="22.05" customHeight="1" x14ac:dyDescent="0.3">
      <c r="A17" s="75" t="s">
        <v>118</v>
      </c>
      <c r="B17" s="38" t="s">
        <v>50</v>
      </c>
      <c r="C17" s="76">
        <v>40</v>
      </c>
      <c r="E17" s="87"/>
      <c r="F17" s="76">
        <v>60</v>
      </c>
      <c r="G17" s="76">
        <v>60</v>
      </c>
      <c r="H17" s="76">
        <v>60</v>
      </c>
      <c r="I17" s="76">
        <v>80</v>
      </c>
      <c r="J17" s="76">
        <v>80</v>
      </c>
      <c r="K17" s="76">
        <v>80</v>
      </c>
      <c r="L17" s="76">
        <v>80</v>
      </c>
      <c r="M17" s="76">
        <v>100</v>
      </c>
      <c r="N17" s="76">
        <v>100</v>
      </c>
      <c r="O17" s="76">
        <v>100</v>
      </c>
      <c r="S17" s="88"/>
    </row>
    <row r="18" spans="1:19" ht="22.05" customHeight="1" x14ac:dyDescent="0.3">
      <c r="A18" s="75" t="s">
        <v>119</v>
      </c>
      <c r="B18" s="38" t="s">
        <v>50</v>
      </c>
      <c r="C18" s="76">
        <v>40</v>
      </c>
      <c r="E18" s="86" t="s">
        <v>163</v>
      </c>
      <c r="F18" s="75" t="s">
        <v>164</v>
      </c>
      <c r="H18" s="38"/>
      <c r="I18" s="38"/>
      <c r="J18" s="38"/>
      <c r="K18" s="38"/>
      <c r="S18" s="88"/>
    </row>
    <row r="19" spans="1:19" ht="22.05" customHeight="1" x14ac:dyDescent="0.3">
      <c r="A19" s="75" t="s">
        <v>120</v>
      </c>
      <c r="B19" s="38" t="s">
        <v>53</v>
      </c>
      <c r="C19" s="76">
        <v>60</v>
      </c>
      <c r="E19" s="87"/>
      <c r="F19" s="76">
        <v>40</v>
      </c>
      <c r="H19" s="38"/>
      <c r="I19" s="38"/>
      <c r="J19" s="38"/>
      <c r="K19" s="38"/>
      <c r="S19" s="88"/>
    </row>
    <row r="20" spans="1:19" ht="22.05" customHeight="1" x14ac:dyDescent="0.3">
      <c r="A20" s="75" t="s">
        <v>121</v>
      </c>
      <c r="B20" s="38" t="s">
        <v>53</v>
      </c>
      <c r="C20" s="76">
        <v>60</v>
      </c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87"/>
    </row>
    <row r="21" spans="1:19" ht="20" customHeight="1" x14ac:dyDescent="0.3">
      <c r="A21" s="75" t="s">
        <v>122</v>
      </c>
      <c r="B21" s="38" t="s">
        <v>85</v>
      </c>
      <c r="C21" s="76">
        <v>30</v>
      </c>
    </row>
    <row r="22" spans="1:19" ht="20" customHeight="1" x14ac:dyDescent="0.3">
      <c r="A22" s="75" t="s">
        <v>123</v>
      </c>
      <c r="B22" s="38" t="s">
        <v>85</v>
      </c>
      <c r="C22" s="76">
        <v>30</v>
      </c>
    </row>
    <row r="23" spans="1:19" ht="20" customHeight="1" x14ac:dyDescent="0.3">
      <c r="A23" s="75" t="s">
        <v>124</v>
      </c>
      <c r="B23" s="38" t="s">
        <v>85</v>
      </c>
      <c r="C23" s="76">
        <v>50</v>
      </c>
    </row>
    <row r="24" spans="1:19" ht="20" customHeight="1" x14ac:dyDescent="0.3">
      <c r="A24" s="75" t="s">
        <v>125</v>
      </c>
      <c r="B24" s="38" t="s">
        <v>85</v>
      </c>
      <c r="C24" s="76">
        <v>50</v>
      </c>
    </row>
    <row r="25" spans="1:19" ht="20" customHeight="1" x14ac:dyDescent="0.3">
      <c r="A25" s="75" t="s">
        <v>127</v>
      </c>
      <c r="B25" s="38" t="s">
        <v>62</v>
      </c>
      <c r="C25" s="76">
        <v>30</v>
      </c>
    </row>
    <row r="26" spans="1:19" ht="20" customHeight="1" x14ac:dyDescent="0.3">
      <c r="A26" s="75" t="s">
        <v>128</v>
      </c>
      <c r="B26" s="38" t="s">
        <v>62</v>
      </c>
      <c r="C26" s="76">
        <v>30</v>
      </c>
    </row>
    <row r="27" spans="1:19" ht="20" customHeight="1" x14ac:dyDescent="0.3">
      <c r="A27" s="75" t="s">
        <v>129</v>
      </c>
      <c r="B27" s="38" t="s">
        <v>62</v>
      </c>
      <c r="C27" s="76">
        <v>30</v>
      </c>
    </row>
    <row r="28" spans="1:19" ht="20" customHeight="1" x14ac:dyDescent="0.3">
      <c r="A28" s="75" t="s">
        <v>130</v>
      </c>
      <c r="B28" s="38" t="s">
        <v>62</v>
      </c>
      <c r="C28" s="76">
        <v>30</v>
      </c>
    </row>
    <row r="29" spans="1:19" ht="20" customHeight="1" x14ac:dyDescent="0.3">
      <c r="A29" s="75" t="s">
        <v>131</v>
      </c>
      <c r="B29" s="38" t="s">
        <v>62</v>
      </c>
      <c r="C29" s="76">
        <v>30</v>
      </c>
    </row>
    <row r="30" spans="1:19" ht="20" customHeight="1" x14ac:dyDescent="0.3">
      <c r="A30" s="75" t="s">
        <v>165</v>
      </c>
      <c r="B30" s="38" t="s">
        <v>62</v>
      </c>
      <c r="C30" s="76">
        <v>30</v>
      </c>
    </row>
    <row r="31" spans="1:19" ht="20" customHeight="1" x14ac:dyDescent="0.3">
      <c r="A31" s="75" t="s">
        <v>133</v>
      </c>
      <c r="B31" s="38" t="s">
        <v>64</v>
      </c>
      <c r="C31" s="76">
        <v>50</v>
      </c>
    </row>
    <row r="32" spans="1:19" ht="20" customHeight="1" x14ac:dyDescent="0.3">
      <c r="A32" s="75" t="s">
        <v>134</v>
      </c>
      <c r="B32" s="38" t="s">
        <v>64</v>
      </c>
      <c r="C32" s="76">
        <v>50</v>
      </c>
    </row>
    <row r="33" spans="1:3" ht="20" customHeight="1" x14ac:dyDescent="0.3">
      <c r="A33" s="75" t="s">
        <v>135</v>
      </c>
      <c r="B33" s="38" t="s">
        <v>64</v>
      </c>
      <c r="C33" s="76">
        <v>50</v>
      </c>
    </row>
    <row r="34" spans="1:3" ht="20" customHeight="1" x14ac:dyDescent="0.3">
      <c r="A34" s="75" t="s">
        <v>136</v>
      </c>
      <c r="B34" s="38" t="s">
        <v>64</v>
      </c>
      <c r="C34" s="76">
        <v>50</v>
      </c>
    </row>
    <row r="35" spans="1:3" ht="20" customHeight="1" x14ac:dyDescent="0.3">
      <c r="A35" s="75" t="s">
        <v>137</v>
      </c>
      <c r="B35" s="38" t="s">
        <v>66</v>
      </c>
      <c r="C35" s="76">
        <v>70</v>
      </c>
    </row>
    <row r="36" spans="1:3" ht="20" customHeight="1" x14ac:dyDescent="0.3">
      <c r="A36" s="75" t="s">
        <v>138</v>
      </c>
      <c r="B36" s="38" t="s">
        <v>66</v>
      </c>
      <c r="C36" s="76">
        <v>70</v>
      </c>
    </row>
    <row r="37" spans="1:3" ht="20" customHeight="1" x14ac:dyDescent="0.3">
      <c r="A37" s="75" t="s">
        <v>139</v>
      </c>
      <c r="B37" s="38" t="s">
        <v>66</v>
      </c>
      <c r="C37" s="76">
        <v>70</v>
      </c>
    </row>
    <row r="38" spans="1:3" ht="20" customHeight="1" x14ac:dyDescent="0.3">
      <c r="A38" s="75" t="s">
        <v>141</v>
      </c>
      <c r="B38" s="38" t="s">
        <v>56</v>
      </c>
      <c r="C38" s="76">
        <v>40</v>
      </c>
    </row>
    <row r="39" spans="1:3" ht="20" customHeight="1" x14ac:dyDescent="0.3">
      <c r="A39" s="75" t="s">
        <v>142</v>
      </c>
      <c r="B39" s="38" t="s">
        <v>56</v>
      </c>
      <c r="C39" s="76">
        <v>40</v>
      </c>
    </row>
    <row r="40" spans="1:3" ht="20" customHeight="1" x14ac:dyDescent="0.3">
      <c r="A40" s="75" t="s">
        <v>143</v>
      </c>
      <c r="B40" s="38" t="s">
        <v>58</v>
      </c>
      <c r="C40" s="76">
        <v>60</v>
      </c>
    </row>
    <row r="41" spans="1:3" ht="20" customHeight="1" x14ac:dyDescent="0.3">
      <c r="A41" s="75" t="s">
        <v>144</v>
      </c>
      <c r="B41" s="38" t="s">
        <v>58</v>
      </c>
      <c r="C41" s="76">
        <v>60</v>
      </c>
    </row>
    <row r="42" spans="1:3" ht="20" customHeight="1" x14ac:dyDescent="0.3">
      <c r="A42" s="75" t="s">
        <v>145</v>
      </c>
      <c r="B42" s="38" t="s">
        <v>60</v>
      </c>
      <c r="C42" s="76">
        <v>80</v>
      </c>
    </row>
    <row r="43" spans="1:3" ht="20" customHeight="1" x14ac:dyDescent="0.3">
      <c r="A43" s="75" t="s">
        <v>146</v>
      </c>
      <c r="B43" s="38" t="s">
        <v>69</v>
      </c>
      <c r="C43" s="76">
        <v>40</v>
      </c>
    </row>
    <row r="44" spans="1:3" ht="20" customHeight="1" x14ac:dyDescent="0.3">
      <c r="A44" s="75" t="s">
        <v>147</v>
      </c>
      <c r="B44" s="38" t="s">
        <v>69</v>
      </c>
      <c r="C44" s="76">
        <v>40</v>
      </c>
    </row>
    <row r="45" spans="1:3" ht="20" customHeight="1" x14ac:dyDescent="0.3">
      <c r="A45" s="75" t="s">
        <v>148</v>
      </c>
      <c r="B45" s="38" t="s">
        <v>71</v>
      </c>
      <c r="C45" s="76">
        <v>60</v>
      </c>
    </row>
    <row r="46" spans="1:3" ht="20" customHeight="1" x14ac:dyDescent="0.3">
      <c r="A46" s="75" t="s">
        <v>149</v>
      </c>
      <c r="B46" s="38" t="s">
        <v>71</v>
      </c>
      <c r="C46" s="76">
        <v>60</v>
      </c>
    </row>
    <row r="47" spans="1:3" ht="20" customHeight="1" x14ac:dyDescent="0.3">
      <c r="A47" s="75" t="s">
        <v>150</v>
      </c>
      <c r="B47" s="38" t="s">
        <v>73</v>
      </c>
      <c r="C47" s="76">
        <v>80</v>
      </c>
    </row>
    <row r="48" spans="1:3" ht="20" customHeight="1" x14ac:dyDescent="0.3">
      <c r="A48" s="75" t="s">
        <v>151</v>
      </c>
      <c r="B48" s="38" t="s">
        <v>73</v>
      </c>
      <c r="C48" s="76">
        <v>80</v>
      </c>
    </row>
    <row r="49" spans="1:3" ht="20" customHeight="1" x14ac:dyDescent="0.3">
      <c r="A49" s="75" t="s">
        <v>153</v>
      </c>
      <c r="B49" s="38" t="s">
        <v>77</v>
      </c>
      <c r="C49" s="76">
        <v>60</v>
      </c>
    </row>
    <row r="50" spans="1:3" ht="20" customHeight="1" x14ac:dyDescent="0.3">
      <c r="A50" s="75" t="s">
        <v>154</v>
      </c>
      <c r="B50" s="38" t="s">
        <v>77</v>
      </c>
      <c r="C50" s="76">
        <v>60</v>
      </c>
    </row>
    <row r="51" spans="1:3" ht="20" customHeight="1" x14ac:dyDescent="0.3">
      <c r="A51" s="75" t="s">
        <v>155</v>
      </c>
      <c r="B51" s="38" t="s">
        <v>77</v>
      </c>
      <c r="C51" s="76">
        <v>60</v>
      </c>
    </row>
    <row r="52" spans="1:3" ht="20" customHeight="1" x14ac:dyDescent="0.3">
      <c r="A52" s="75" t="s">
        <v>156</v>
      </c>
      <c r="B52" s="38" t="s">
        <v>79</v>
      </c>
      <c r="C52" s="76">
        <v>80</v>
      </c>
    </row>
    <row r="53" spans="1:3" ht="20" customHeight="1" x14ac:dyDescent="0.3">
      <c r="A53" s="75" t="s">
        <v>157</v>
      </c>
      <c r="B53" s="38" t="s">
        <v>79</v>
      </c>
      <c r="C53" s="76">
        <v>80</v>
      </c>
    </row>
    <row r="54" spans="1:3" ht="20" customHeight="1" x14ac:dyDescent="0.3">
      <c r="A54" s="75" t="s">
        <v>158</v>
      </c>
      <c r="B54" s="38" t="s">
        <v>79</v>
      </c>
      <c r="C54" s="76">
        <v>80</v>
      </c>
    </row>
    <row r="55" spans="1:3" ht="20" customHeight="1" x14ac:dyDescent="0.3">
      <c r="A55" s="75" t="s">
        <v>159</v>
      </c>
      <c r="B55" s="38" t="s">
        <v>79</v>
      </c>
      <c r="C55" s="76">
        <v>80</v>
      </c>
    </row>
    <row r="56" spans="1:3" ht="20" customHeight="1" x14ac:dyDescent="0.3">
      <c r="A56" s="75" t="s">
        <v>160</v>
      </c>
      <c r="B56" s="38" t="s">
        <v>81</v>
      </c>
      <c r="C56" s="76">
        <v>100</v>
      </c>
    </row>
    <row r="57" spans="1:3" ht="20" customHeight="1" x14ac:dyDescent="0.3">
      <c r="A57" s="75" t="s">
        <v>161</v>
      </c>
      <c r="B57" s="38" t="s">
        <v>81</v>
      </c>
      <c r="C57" s="76">
        <v>100</v>
      </c>
    </row>
    <row r="58" spans="1:3" ht="20" customHeight="1" x14ac:dyDescent="0.3">
      <c r="A58" s="75" t="s">
        <v>162</v>
      </c>
      <c r="B58" s="38" t="s">
        <v>81</v>
      </c>
      <c r="C58" s="76">
        <v>100</v>
      </c>
    </row>
    <row r="59" spans="1:3" ht="20" customHeight="1" x14ac:dyDescent="0.3">
      <c r="A59" s="75" t="s">
        <v>164</v>
      </c>
      <c r="C59" s="76">
        <v>40</v>
      </c>
    </row>
    <row r="60" spans="1:3" ht="20" customHeight="1" x14ac:dyDescent="0.3">
      <c r="A60" s="75" t="s">
        <v>166</v>
      </c>
      <c r="C60" s="76" t="s">
        <v>167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workbookViewId="0">
      <selection activeCell="A3" sqref="A3"/>
    </sheetView>
  </sheetViews>
  <sheetFormatPr defaultColWidth="9" defaultRowHeight="20" customHeight="1" x14ac:dyDescent="0.3"/>
  <cols>
    <col min="2" max="2" width="9.6640625" style="1" customWidth="1"/>
    <col min="3" max="3" width="11.19921875" style="1" customWidth="1"/>
    <col min="4" max="4" width="17.1328125" customWidth="1"/>
    <col min="5" max="5" width="12.6640625" customWidth="1"/>
    <col min="6" max="6" width="11.46484375" customWidth="1"/>
    <col min="7" max="7" width="19.33203125" customWidth="1"/>
    <col min="8" max="8" width="17.1328125" customWidth="1"/>
    <col min="9" max="9" width="8.33203125" customWidth="1"/>
    <col min="10" max="10" width="12.6640625" customWidth="1"/>
    <col min="11" max="11" width="9.33203125" customWidth="1"/>
    <col min="12" max="14" width="14.86328125" customWidth="1"/>
    <col min="15" max="15" width="12.6640625" customWidth="1"/>
    <col min="16" max="16" width="13.796875" customWidth="1"/>
    <col min="17" max="17" width="7.33203125" customWidth="1"/>
  </cols>
  <sheetData>
    <row r="2" spans="1:17" s="55" customFormat="1" ht="34.049999999999997" customHeight="1" x14ac:dyDescent="0.3">
      <c r="A2" s="56" t="s">
        <v>168</v>
      </c>
      <c r="B2" s="57" t="s">
        <v>169</v>
      </c>
      <c r="C2" s="57" t="s">
        <v>170</v>
      </c>
      <c r="D2" s="56" t="s">
        <v>42</v>
      </c>
      <c r="E2" s="56" t="s">
        <v>46</v>
      </c>
      <c r="F2" s="56" t="s">
        <v>51</v>
      </c>
      <c r="G2" s="56" t="s">
        <v>72</v>
      </c>
      <c r="H2" s="56" t="s">
        <v>68</v>
      </c>
      <c r="I2" s="56" t="s">
        <v>61</v>
      </c>
      <c r="J2" s="56" t="s">
        <v>75</v>
      </c>
      <c r="K2" s="56" t="s">
        <v>74</v>
      </c>
      <c r="L2" s="56" t="s">
        <v>82</v>
      </c>
      <c r="M2" s="56" t="s">
        <v>87</v>
      </c>
      <c r="N2" s="56" t="s">
        <v>90</v>
      </c>
      <c r="O2" s="56" t="s">
        <v>92</v>
      </c>
      <c r="P2" s="56" t="s">
        <v>94</v>
      </c>
      <c r="Q2" s="73" t="s">
        <v>99</v>
      </c>
    </row>
    <row r="3" spans="1:17" s="55" customFormat="1" ht="20" customHeight="1" x14ac:dyDescent="0.3">
      <c r="A3" s="56" t="s">
        <v>171</v>
      </c>
      <c r="B3" s="56" t="s">
        <v>172</v>
      </c>
      <c r="C3" s="56" t="s">
        <v>173</v>
      </c>
      <c r="D3" s="56" t="s">
        <v>174</v>
      </c>
      <c r="E3" s="56" t="s">
        <v>175</v>
      </c>
      <c r="F3" s="56" t="s">
        <v>176</v>
      </c>
      <c r="G3" s="56" t="s">
        <v>177</v>
      </c>
      <c r="H3" s="56" t="s">
        <v>178</v>
      </c>
      <c r="I3" s="56" t="s">
        <v>179</v>
      </c>
      <c r="J3" s="56" t="s">
        <v>165</v>
      </c>
      <c r="K3" s="56" t="s">
        <v>128</v>
      </c>
      <c r="L3" s="56" t="s">
        <v>180</v>
      </c>
      <c r="M3" s="56" t="s">
        <v>181</v>
      </c>
      <c r="N3" s="56" t="s">
        <v>182</v>
      </c>
      <c r="O3" s="56" t="s">
        <v>183</v>
      </c>
      <c r="P3" s="56" t="s">
        <v>184</v>
      </c>
      <c r="Q3" s="73" t="s">
        <v>185</v>
      </c>
    </row>
    <row r="4" spans="1:17" ht="20" customHeight="1" x14ac:dyDescent="0.3">
      <c r="A4" s="58">
        <v>1</v>
      </c>
      <c r="B4" s="58">
        <v>0.03</v>
      </c>
      <c r="C4" s="58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20" customHeight="1" x14ac:dyDescent="0.3">
      <c r="A5" s="58">
        <v>2</v>
      </c>
      <c r="B5" s="58">
        <v>0.04</v>
      </c>
      <c r="C5" s="58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20" customHeight="1" x14ac:dyDescent="0.3">
      <c r="A6" s="58">
        <v>3</v>
      </c>
      <c r="B6" s="58">
        <v>0.05</v>
      </c>
      <c r="C6" s="58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20" customHeight="1" x14ac:dyDescent="0.3">
      <c r="A7" s="58">
        <v>4</v>
      </c>
      <c r="B7" s="58">
        <v>0.1</v>
      </c>
      <c r="C7" s="58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20" customHeight="1" x14ac:dyDescent="0.3">
      <c r="A8" s="59">
        <v>5</v>
      </c>
      <c r="B8" s="59">
        <v>0.15</v>
      </c>
      <c r="C8" s="59">
        <f t="shared" si="0"/>
        <v>221</v>
      </c>
      <c r="D8" s="50">
        <v>38</v>
      </c>
      <c r="E8" s="50">
        <v>13</v>
      </c>
      <c r="F8" s="50">
        <v>126</v>
      </c>
      <c r="G8" s="50"/>
      <c r="H8" s="50"/>
      <c r="I8" s="50">
        <v>21</v>
      </c>
      <c r="J8" s="50">
        <v>23</v>
      </c>
      <c r="K8" s="50"/>
      <c r="L8" s="50"/>
      <c r="M8" s="50"/>
      <c r="N8" s="50"/>
      <c r="O8" s="50"/>
      <c r="P8" s="50"/>
      <c r="Q8" s="50"/>
    </row>
    <row r="9" spans="1:17" ht="20" customHeight="1" x14ac:dyDescent="0.3">
      <c r="A9" s="59">
        <v>6</v>
      </c>
      <c r="B9" s="59">
        <v>0.25</v>
      </c>
      <c r="C9" s="59">
        <f t="shared" si="0"/>
        <v>241</v>
      </c>
      <c r="D9" s="50">
        <v>43</v>
      </c>
      <c r="E9" s="50">
        <v>19</v>
      </c>
      <c r="F9" s="50">
        <v>132</v>
      </c>
      <c r="G9" s="50"/>
      <c r="H9" s="50"/>
      <c r="I9" s="50">
        <v>24</v>
      </c>
      <c r="J9" s="50">
        <v>23</v>
      </c>
      <c r="K9" s="50"/>
      <c r="L9" s="50"/>
      <c r="M9" s="50"/>
      <c r="N9" s="50"/>
      <c r="O9" s="50"/>
      <c r="P9" s="50"/>
      <c r="Q9" s="50"/>
    </row>
    <row r="10" spans="1:17" ht="20" customHeight="1" x14ac:dyDescent="0.3">
      <c r="A10" s="59">
        <v>7</v>
      </c>
      <c r="B10" s="59">
        <v>0.35</v>
      </c>
      <c r="C10" s="59">
        <f t="shared" si="0"/>
        <v>263</v>
      </c>
      <c r="D10" s="50">
        <v>43</v>
      </c>
      <c r="E10" s="50">
        <v>27</v>
      </c>
      <c r="F10" s="50">
        <v>143</v>
      </c>
      <c r="G10" s="50"/>
      <c r="H10" s="50"/>
      <c r="I10" s="50">
        <v>27</v>
      </c>
      <c r="J10" s="50">
        <v>23</v>
      </c>
      <c r="K10" s="50"/>
      <c r="L10" s="50"/>
      <c r="M10" s="50"/>
      <c r="N10" s="50"/>
      <c r="O10" s="50"/>
      <c r="P10" s="50"/>
      <c r="Q10" s="50"/>
    </row>
    <row r="11" spans="1:17" ht="20" customHeight="1" x14ac:dyDescent="0.3">
      <c r="A11" s="59">
        <v>8</v>
      </c>
      <c r="B11" s="59">
        <v>0.45</v>
      </c>
      <c r="C11" s="59">
        <f t="shared" si="0"/>
        <v>288</v>
      </c>
      <c r="D11" s="50">
        <v>43</v>
      </c>
      <c r="E11" s="50">
        <v>41</v>
      </c>
      <c r="F11" s="50">
        <v>150</v>
      </c>
      <c r="G11" s="50"/>
      <c r="H11" s="50"/>
      <c r="I11" s="50">
        <v>31</v>
      </c>
      <c r="J11" s="50">
        <v>23</v>
      </c>
      <c r="K11" s="50"/>
      <c r="L11" s="50"/>
      <c r="M11" s="50"/>
      <c r="N11" s="50"/>
      <c r="O11" s="50"/>
      <c r="P11" s="50"/>
      <c r="Q11" s="50"/>
    </row>
    <row r="12" spans="1:17" ht="20" customHeight="1" x14ac:dyDescent="0.3">
      <c r="A12" s="59">
        <v>9</v>
      </c>
      <c r="B12" s="59">
        <v>0.6</v>
      </c>
      <c r="C12" s="59">
        <f t="shared" si="0"/>
        <v>305</v>
      </c>
      <c r="D12" s="50">
        <v>43</v>
      </c>
      <c r="E12" s="50">
        <v>53</v>
      </c>
      <c r="F12" s="50">
        <v>150</v>
      </c>
      <c r="G12" s="50"/>
      <c r="H12" s="50"/>
      <c r="I12" s="50">
        <v>36</v>
      </c>
      <c r="J12" s="50">
        <v>23</v>
      </c>
      <c r="K12" s="50"/>
      <c r="L12" s="50"/>
      <c r="M12" s="50"/>
      <c r="N12" s="50"/>
      <c r="O12" s="50"/>
      <c r="P12" s="50"/>
      <c r="Q12" s="50"/>
    </row>
    <row r="13" spans="1:17" ht="20" customHeight="1" x14ac:dyDescent="0.3">
      <c r="A13" s="60">
        <v>10</v>
      </c>
      <c r="B13" s="60">
        <v>0.75</v>
      </c>
      <c r="C13" s="60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20" customHeight="1" x14ac:dyDescent="0.3">
      <c r="A14" s="60">
        <v>11</v>
      </c>
      <c r="B14" s="60">
        <v>0.9</v>
      </c>
      <c r="C14" s="60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20" customHeight="1" x14ac:dyDescent="0.3">
      <c r="A15" s="60">
        <v>12</v>
      </c>
      <c r="B15" s="60">
        <v>1.4</v>
      </c>
      <c r="C15" s="60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20" customHeight="1" x14ac:dyDescent="0.3">
      <c r="A16" s="60">
        <v>13</v>
      </c>
      <c r="B16" s="60">
        <v>1.9</v>
      </c>
      <c r="C16" s="60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20" customHeight="1" x14ac:dyDescent="0.3">
      <c r="A17" s="60">
        <v>14</v>
      </c>
      <c r="B17" s="60">
        <v>2.4</v>
      </c>
      <c r="C17" s="60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20" customHeight="1" x14ac:dyDescent="0.3">
      <c r="A18" s="61">
        <v>15</v>
      </c>
      <c r="B18" s="61">
        <v>4.5999999999999996</v>
      </c>
      <c r="C18" s="61">
        <f t="shared" si="0"/>
        <v>571</v>
      </c>
      <c r="D18" s="62"/>
      <c r="E18" s="62"/>
      <c r="F18" s="62">
        <v>179</v>
      </c>
      <c r="G18" s="62">
        <v>106</v>
      </c>
      <c r="H18" s="62">
        <v>89</v>
      </c>
      <c r="I18" s="62">
        <v>29</v>
      </c>
      <c r="J18" s="62">
        <v>56</v>
      </c>
      <c r="K18" s="62">
        <v>67</v>
      </c>
      <c r="L18" s="62">
        <v>17</v>
      </c>
      <c r="M18" s="62">
        <v>17</v>
      </c>
      <c r="N18" s="62"/>
      <c r="O18" s="62"/>
      <c r="P18" s="62">
        <v>11</v>
      </c>
      <c r="Q18" s="62"/>
    </row>
    <row r="19" spans="1:17" ht="20" customHeight="1" x14ac:dyDescent="0.3">
      <c r="A19" s="61">
        <v>16</v>
      </c>
      <c r="B19" s="61">
        <v>6.8</v>
      </c>
      <c r="C19" s="61">
        <f t="shared" si="0"/>
        <v>629</v>
      </c>
      <c r="D19" s="62"/>
      <c r="E19" s="62"/>
      <c r="F19" s="62">
        <v>182</v>
      </c>
      <c r="G19" s="62">
        <v>110</v>
      </c>
      <c r="H19" s="62">
        <v>98</v>
      </c>
      <c r="I19" s="62">
        <v>29</v>
      </c>
      <c r="J19" s="62">
        <v>61</v>
      </c>
      <c r="K19" s="62">
        <v>77</v>
      </c>
      <c r="L19" s="62">
        <v>24</v>
      </c>
      <c r="M19" s="62">
        <v>24</v>
      </c>
      <c r="N19" s="62"/>
      <c r="O19" s="62"/>
      <c r="P19" s="62">
        <v>24</v>
      </c>
      <c r="Q19" s="62"/>
    </row>
    <row r="20" spans="1:17" ht="20" customHeight="1" x14ac:dyDescent="0.3">
      <c r="A20" s="61">
        <v>17</v>
      </c>
      <c r="B20" s="61">
        <v>9</v>
      </c>
      <c r="C20" s="61">
        <f t="shared" si="0"/>
        <v>694</v>
      </c>
      <c r="D20" s="62"/>
      <c r="E20" s="62"/>
      <c r="F20" s="62">
        <v>182</v>
      </c>
      <c r="G20" s="62">
        <v>114</v>
      </c>
      <c r="H20" s="62">
        <v>107</v>
      </c>
      <c r="I20" s="62">
        <v>29</v>
      </c>
      <c r="J20" s="62">
        <v>67</v>
      </c>
      <c r="K20" s="62">
        <v>88</v>
      </c>
      <c r="L20" s="62">
        <v>40</v>
      </c>
      <c r="M20" s="62">
        <v>27</v>
      </c>
      <c r="N20" s="62"/>
      <c r="O20" s="62"/>
      <c r="P20" s="62">
        <v>40</v>
      </c>
      <c r="Q20" s="62"/>
    </row>
    <row r="21" spans="1:17" ht="20" customHeight="1" x14ac:dyDescent="0.3">
      <c r="A21" s="61">
        <v>18</v>
      </c>
      <c r="B21" s="61">
        <v>12</v>
      </c>
      <c r="C21" s="61">
        <f t="shared" si="0"/>
        <v>764</v>
      </c>
      <c r="D21" s="62"/>
      <c r="E21" s="62"/>
      <c r="F21" s="62">
        <v>182</v>
      </c>
      <c r="G21" s="62">
        <v>117</v>
      </c>
      <c r="H21" s="62">
        <v>117</v>
      </c>
      <c r="I21" s="62">
        <v>29</v>
      </c>
      <c r="J21" s="62">
        <v>73</v>
      </c>
      <c r="K21" s="62">
        <v>99</v>
      </c>
      <c r="L21" s="62">
        <v>59</v>
      </c>
      <c r="M21" s="62">
        <v>29</v>
      </c>
      <c r="N21" s="62"/>
      <c r="O21" s="62"/>
      <c r="P21" s="62">
        <v>59</v>
      </c>
      <c r="Q21" s="62"/>
    </row>
    <row r="22" spans="1:17" ht="20" customHeight="1" x14ac:dyDescent="0.3">
      <c r="A22" s="61">
        <v>19</v>
      </c>
      <c r="B22" s="61">
        <v>15</v>
      </c>
      <c r="C22" s="61">
        <f t="shared" si="0"/>
        <v>845</v>
      </c>
      <c r="D22" s="62"/>
      <c r="E22" s="62"/>
      <c r="F22" s="62">
        <v>182</v>
      </c>
      <c r="G22" s="62">
        <v>119</v>
      </c>
      <c r="H22" s="62">
        <v>127</v>
      </c>
      <c r="I22" s="62">
        <v>29</v>
      </c>
      <c r="J22" s="62">
        <v>79</v>
      </c>
      <c r="K22" s="62">
        <v>111</v>
      </c>
      <c r="L22" s="62">
        <v>79</v>
      </c>
      <c r="M22" s="62">
        <v>40</v>
      </c>
      <c r="N22" s="62"/>
      <c r="O22" s="62"/>
      <c r="P22" s="62">
        <v>79</v>
      </c>
      <c r="Q22" s="62"/>
    </row>
    <row r="23" spans="1:17" ht="20" customHeight="1" x14ac:dyDescent="0.3">
      <c r="A23" s="63">
        <v>20</v>
      </c>
      <c r="B23" s="63">
        <v>18</v>
      </c>
      <c r="C23" s="63">
        <f t="shared" si="0"/>
        <v>934</v>
      </c>
      <c r="D23" s="64"/>
      <c r="E23" s="64"/>
      <c r="F23" s="64">
        <v>182</v>
      </c>
      <c r="G23" s="64">
        <v>127</v>
      </c>
      <c r="H23" s="64">
        <v>135</v>
      </c>
      <c r="I23" s="64">
        <v>29</v>
      </c>
      <c r="J23" s="64">
        <v>85</v>
      </c>
      <c r="K23" s="64">
        <v>122</v>
      </c>
      <c r="L23" s="64">
        <v>85</v>
      </c>
      <c r="M23" s="64">
        <v>42</v>
      </c>
      <c r="N23" s="64">
        <v>17</v>
      </c>
      <c r="O23" s="64">
        <v>8</v>
      </c>
      <c r="P23" s="64">
        <v>102</v>
      </c>
      <c r="Q23" s="64"/>
    </row>
    <row r="24" spans="1:17" ht="20" customHeight="1" x14ac:dyDescent="0.3">
      <c r="A24" s="63">
        <v>21</v>
      </c>
      <c r="B24" s="63">
        <v>23</v>
      </c>
      <c r="C24" s="63">
        <f t="shared" si="0"/>
        <v>1025</v>
      </c>
      <c r="D24" s="64"/>
      <c r="E24" s="64"/>
      <c r="F24" s="64">
        <v>182</v>
      </c>
      <c r="G24" s="64">
        <v>140</v>
      </c>
      <c r="H24" s="64">
        <v>131</v>
      </c>
      <c r="I24" s="64">
        <v>29</v>
      </c>
      <c r="J24" s="64">
        <v>94</v>
      </c>
      <c r="K24" s="64">
        <v>139</v>
      </c>
      <c r="L24" s="64">
        <v>94</v>
      </c>
      <c r="M24" s="64">
        <v>47</v>
      </c>
      <c r="N24" s="64">
        <v>19</v>
      </c>
      <c r="O24" s="64">
        <v>19</v>
      </c>
      <c r="P24" s="64">
        <v>131</v>
      </c>
      <c r="Q24" s="64"/>
    </row>
    <row r="25" spans="1:17" ht="20" customHeight="1" x14ac:dyDescent="0.3">
      <c r="A25" s="63">
        <v>22</v>
      </c>
      <c r="B25" s="63">
        <v>28</v>
      </c>
      <c r="C25" s="63">
        <f t="shared" si="0"/>
        <v>1123</v>
      </c>
      <c r="D25" s="64"/>
      <c r="E25" s="64"/>
      <c r="F25" s="64">
        <v>182</v>
      </c>
      <c r="G25" s="64">
        <v>145</v>
      </c>
      <c r="H25" s="64">
        <v>134</v>
      </c>
      <c r="I25" s="64">
        <v>29</v>
      </c>
      <c r="J25" s="64">
        <v>103</v>
      </c>
      <c r="K25" s="64">
        <v>158</v>
      </c>
      <c r="L25" s="64">
        <v>103</v>
      </c>
      <c r="M25" s="64">
        <v>52</v>
      </c>
      <c r="N25" s="64">
        <v>21</v>
      </c>
      <c r="O25" s="64">
        <v>31</v>
      </c>
      <c r="P25" s="64">
        <v>165</v>
      </c>
      <c r="Q25" s="64"/>
    </row>
    <row r="26" spans="1:17" ht="20" customHeight="1" x14ac:dyDescent="0.3">
      <c r="A26" s="63">
        <v>23</v>
      </c>
      <c r="B26" s="63">
        <v>33</v>
      </c>
      <c r="C26" s="63">
        <f t="shared" si="0"/>
        <v>1236</v>
      </c>
      <c r="D26" s="64"/>
      <c r="E26" s="64"/>
      <c r="F26" s="64">
        <v>182</v>
      </c>
      <c r="G26" s="64">
        <v>147</v>
      </c>
      <c r="H26" s="64">
        <v>136</v>
      </c>
      <c r="I26" s="64">
        <v>29</v>
      </c>
      <c r="J26" s="64">
        <v>113</v>
      </c>
      <c r="K26" s="64">
        <v>178</v>
      </c>
      <c r="L26" s="64">
        <v>124</v>
      </c>
      <c r="M26" s="64">
        <v>56</v>
      </c>
      <c r="N26" s="64">
        <v>23</v>
      </c>
      <c r="O26" s="64">
        <v>45</v>
      </c>
      <c r="P26" s="64">
        <v>203</v>
      </c>
      <c r="Q26" s="64"/>
    </row>
    <row r="27" spans="1:17" ht="20" customHeight="1" x14ac:dyDescent="0.3">
      <c r="A27" s="63">
        <v>24</v>
      </c>
      <c r="B27" s="63">
        <v>40</v>
      </c>
      <c r="C27" s="63">
        <f t="shared" si="0"/>
        <v>1360</v>
      </c>
      <c r="D27" s="64"/>
      <c r="E27" s="64"/>
      <c r="F27" s="64">
        <v>182</v>
      </c>
      <c r="G27" s="64">
        <v>146</v>
      </c>
      <c r="H27" s="64">
        <v>146</v>
      </c>
      <c r="I27" s="64">
        <v>29</v>
      </c>
      <c r="J27" s="64">
        <v>122</v>
      </c>
      <c r="K27" s="64">
        <v>199</v>
      </c>
      <c r="L27" s="64">
        <v>134</v>
      </c>
      <c r="M27" s="64">
        <v>73</v>
      </c>
      <c r="N27" s="64">
        <v>24</v>
      </c>
      <c r="O27" s="64">
        <v>61</v>
      </c>
      <c r="P27" s="64">
        <v>244</v>
      </c>
      <c r="Q27" s="64"/>
    </row>
    <row r="28" spans="1:17" ht="20" customHeight="1" x14ac:dyDescent="0.3">
      <c r="A28" s="63">
        <v>25</v>
      </c>
      <c r="B28" s="63">
        <v>47</v>
      </c>
      <c r="C28" s="63">
        <f t="shared" si="0"/>
        <v>1502</v>
      </c>
      <c r="D28" s="64"/>
      <c r="E28" s="64"/>
      <c r="F28" s="64">
        <v>181</v>
      </c>
      <c r="G28" s="64">
        <v>161</v>
      </c>
      <c r="H28" s="64">
        <v>155</v>
      </c>
      <c r="I28" s="64">
        <v>29</v>
      </c>
      <c r="J28" s="64">
        <v>129</v>
      </c>
      <c r="K28" s="64">
        <v>215</v>
      </c>
      <c r="L28" s="64">
        <v>155</v>
      </c>
      <c r="M28" s="64">
        <v>90</v>
      </c>
      <c r="N28" s="64">
        <v>26</v>
      </c>
      <c r="O28" s="64">
        <v>77</v>
      </c>
      <c r="P28" s="64">
        <v>284</v>
      </c>
      <c r="Q28" s="64"/>
    </row>
    <row r="29" spans="1:17" ht="20" customHeight="1" x14ac:dyDescent="0.3">
      <c r="A29" s="63">
        <v>26</v>
      </c>
      <c r="B29" s="63">
        <v>52</v>
      </c>
      <c r="C29" s="63">
        <f t="shared" si="0"/>
        <v>1649</v>
      </c>
      <c r="D29" s="64"/>
      <c r="E29" s="64"/>
      <c r="F29" s="64">
        <v>170</v>
      </c>
      <c r="G29" s="64">
        <v>161</v>
      </c>
      <c r="H29" s="64">
        <v>170</v>
      </c>
      <c r="I29" s="64">
        <v>29</v>
      </c>
      <c r="J29" s="64">
        <v>141</v>
      </c>
      <c r="K29" s="64">
        <v>243</v>
      </c>
      <c r="L29" s="64">
        <v>170</v>
      </c>
      <c r="M29" s="64">
        <v>113</v>
      </c>
      <c r="N29" s="64">
        <v>28</v>
      </c>
      <c r="O29" s="64">
        <v>85</v>
      </c>
      <c r="P29" s="64">
        <v>339</v>
      </c>
      <c r="Q29" s="64"/>
    </row>
    <row r="30" spans="1:17" ht="20" customHeight="1" x14ac:dyDescent="0.3">
      <c r="A30" s="63">
        <v>27</v>
      </c>
      <c r="B30" s="63">
        <v>60</v>
      </c>
      <c r="C30" s="63">
        <f t="shared" si="0"/>
        <v>1816</v>
      </c>
      <c r="D30" s="64"/>
      <c r="E30" s="64"/>
      <c r="F30" s="64">
        <v>154</v>
      </c>
      <c r="G30" s="64">
        <v>161</v>
      </c>
      <c r="H30" s="64">
        <v>185</v>
      </c>
      <c r="I30" s="64">
        <v>29</v>
      </c>
      <c r="J30" s="64">
        <v>154</v>
      </c>
      <c r="K30" s="64">
        <v>271</v>
      </c>
      <c r="L30" s="64">
        <v>185</v>
      </c>
      <c r="M30" s="64">
        <v>138</v>
      </c>
      <c r="N30" s="64">
        <v>31</v>
      </c>
      <c r="O30" s="64">
        <v>108</v>
      </c>
      <c r="P30" s="64">
        <v>400</v>
      </c>
      <c r="Q30" s="64"/>
    </row>
    <row r="31" spans="1:17" ht="20" customHeight="1" x14ac:dyDescent="0.3">
      <c r="A31" s="63">
        <v>28</v>
      </c>
      <c r="B31" s="63">
        <v>68</v>
      </c>
      <c r="C31" s="63">
        <f t="shared" si="0"/>
        <v>1998</v>
      </c>
      <c r="D31" s="64"/>
      <c r="E31" s="64"/>
      <c r="F31" s="64">
        <v>132</v>
      </c>
      <c r="G31" s="64">
        <v>161</v>
      </c>
      <c r="H31" s="64">
        <v>199</v>
      </c>
      <c r="I31" s="64">
        <v>29</v>
      </c>
      <c r="J31" s="64">
        <v>166</v>
      </c>
      <c r="K31" s="64">
        <v>300</v>
      </c>
      <c r="L31" s="64">
        <v>199</v>
      </c>
      <c r="M31" s="64">
        <v>166</v>
      </c>
      <c r="N31" s="64">
        <v>33</v>
      </c>
      <c r="O31" s="64">
        <v>149</v>
      </c>
      <c r="P31" s="64">
        <v>464</v>
      </c>
      <c r="Q31" s="64"/>
    </row>
    <row r="32" spans="1:17" ht="20" customHeight="1" x14ac:dyDescent="0.3">
      <c r="A32" s="63">
        <v>29</v>
      </c>
      <c r="B32" s="63">
        <v>76</v>
      </c>
      <c r="C32" s="63">
        <f t="shared" si="0"/>
        <v>2197</v>
      </c>
      <c r="D32" s="64"/>
      <c r="E32" s="64"/>
      <c r="F32" s="64">
        <v>107</v>
      </c>
      <c r="G32" s="64">
        <v>161</v>
      </c>
      <c r="H32" s="64">
        <v>215</v>
      </c>
      <c r="I32" s="64">
        <v>29</v>
      </c>
      <c r="J32" s="64">
        <v>179</v>
      </c>
      <c r="K32" s="64">
        <v>324</v>
      </c>
      <c r="L32" s="64">
        <v>233</v>
      </c>
      <c r="M32" s="64">
        <v>179</v>
      </c>
      <c r="N32" s="64">
        <v>36</v>
      </c>
      <c r="O32" s="64">
        <v>197</v>
      </c>
      <c r="P32" s="64">
        <v>537</v>
      </c>
      <c r="Q32" s="64"/>
    </row>
    <row r="33" spans="1:17" ht="20" customHeight="1" x14ac:dyDescent="0.3">
      <c r="A33" s="65">
        <v>30</v>
      </c>
      <c r="B33" s="65">
        <v>88</v>
      </c>
      <c r="C33" s="65">
        <f t="shared" si="0"/>
        <v>2434</v>
      </c>
      <c r="D33" s="66"/>
      <c r="E33" s="66"/>
      <c r="F33" s="66"/>
      <c r="G33" s="66">
        <v>161</v>
      </c>
      <c r="H33" s="66">
        <v>207</v>
      </c>
      <c r="I33" s="66">
        <v>29</v>
      </c>
      <c r="J33" s="66">
        <v>216</v>
      </c>
      <c r="K33" s="66">
        <v>374</v>
      </c>
      <c r="L33" s="66">
        <v>269</v>
      </c>
      <c r="M33" s="66">
        <v>207</v>
      </c>
      <c r="N33" s="66">
        <v>62</v>
      </c>
      <c r="O33" s="66">
        <v>269</v>
      </c>
      <c r="P33" s="66">
        <v>640</v>
      </c>
      <c r="Q33" s="66"/>
    </row>
    <row r="34" spans="1:17" ht="20" customHeight="1" x14ac:dyDescent="0.3">
      <c r="A34" s="65">
        <v>31</v>
      </c>
      <c r="B34" s="65">
        <v>110</v>
      </c>
      <c r="C34" s="65">
        <f t="shared" si="0"/>
        <v>2710</v>
      </c>
      <c r="D34" s="66"/>
      <c r="E34" s="66"/>
      <c r="F34" s="66"/>
      <c r="G34" s="66">
        <v>161</v>
      </c>
      <c r="H34" s="66">
        <v>238</v>
      </c>
      <c r="I34" s="66">
        <v>29</v>
      </c>
      <c r="J34" s="66">
        <v>216</v>
      </c>
      <c r="K34" s="66">
        <v>406</v>
      </c>
      <c r="L34" s="66">
        <v>314</v>
      </c>
      <c r="M34" s="66">
        <v>224</v>
      </c>
      <c r="N34" s="66">
        <v>90</v>
      </c>
      <c r="O34" s="66">
        <v>314</v>
      </c>
      <c r="P34" s="66">
        <v>718</v>
      </c>
      <c r="Q34" s="66"/>
    </row>
    <row r="35" spans="1:17" ht="20" customHeight="1" x14ac:dyDescent="0.3">
      <c r="A35" s="65">
        <v>32</v>
      </c>
      <c r="B35" s="65">
        <v>120</v>
      </c>
      <c r="C35" s="65">
        <f t="shared" si="0"/>
        <v>2970</v>
      </c>
      <c r="D35" s="66"/>
      <c r="E35" s="66"/>
      <c r="F35" s="66"/>
      <c r="G35" s="66">
        <v>161</v>
      </c>
      <c r="H35" s="66">
        <v>238</v>
      </c>
      <c r="I35" s="66">
        <v>29</v>
      </c>
      <c r="J35" s="66">
        <v>216</v>
      </c>
      <c r="K35" s="66">
        <v>447</v>
      </c>
      <c r="L35" s="66">
        <v>346</v>
      </c>
      <c r="M35" s="66">
        <v>247</v>
      </c>
      <c r="N35" s="66">
        <v>124</v>
      </c>
      <c r="O35" s="66">
        <v>346</v>
      </c>
      <c r="P35" s="66">
        <v>816</v>
      </c>
      <c r="Q35" s="66"/>
    </row>
    <row r="36" spans="1:17" ht="20" customHeight="1" x14ac:dyDescent="0.3">
      <c r="A36" s="65">
        <v>33</v>
      </c>
      <c r="B36" s="65">
        <v>130</v>
      </c>
      <c r="C36" s="65">
        <f t="shared" si="0"/>
        <v>3253</v>
      </c>
      <c r="D36" s="66"/>
      <c r="E36" s="66"/>
      <c r="F36" s="66"/>
      <c r="G36" s="66">
        <v>161</v>
      </c>
      <c r="H36" s="66">
        <v>238</v>
      </c>
      <c r="I36" s="66">
        <v>29</v>
      </c>
      <c r="J36" s="66">
        <v>216</v>
      </c>
      <c r="K36" s="66">
        <v>497</v>
      </c>
      <c r="L36" s="66">
        <v>384</v>
      </c>
      <c r="M36" s="66">
        <v>274</v>
      </c>
      <c r="N36" s="66">
        <v>137</v>
      </c>
      <c r="O36" s="66">
        <v>384</v>
      </c>
      <c r="P36" s="66">
        <v>933</v>
      </c>
      <c r="Q36" s="66"/>
    </row>
    <row r="37" spans="1:17" ht="20" customHeight="1" x14ac:dyDescent="0.3">
      <c r="A37" s="65">
        <v>34</v>
      </c>
      <c r="B37" s="65">
        <v>145</v>
      </c>
      <c r="C37" s="65">
        <f t="shared" ref="C37:C68" si="1">SUM(D37:Q37)</f>
        <v>3566</v>
      </c>
      <c r="D37" s="66"/>
      <c r="E37" s="66"/>
      <c r="F37" s="66"/>
      <c r="G37" s="66">
        <v>161</v>
      </c>
      <c r="H37" s="66">
        <v>238</v>
      </c>
      <c r="I37" s="66">
        <v>29</v>
      </c>
      <c r="J37" s="66">
        <v>216</v>
      </c>
      <c r="K37" s="66">
        <v>550</v>
      </c>
      <c r="L37" s="66">
        <v>426</v>
      </c>
      <c r="M37" s="66">
        <v>304</v>
      </c>
      <c r="N37" s="66">
        <v>152</v>
      </c>
      <c r="O37" s="66">
        <v>426</v>
      </c>
      <c r="P37" s="66">
        <v>1064</v>
      </c>
      <c r="Q37" s="66"/>
    </row>
    <row r="38" spans="1:17" ht="20" customHeight="1" x14ac:dyDescent="0.3">
      <c r="A38" s="65">
        <v>35</v>
      </c>
      <c r="B38" s="65">
        <v>160</v>
      </c>
      <c r="C38" s="65">
        <f t="shared" si="1"/>
        <v>3905</v>
      </c>
      <c r="D38" s="66"/>
      <c r="E38" s="66"/>
      <c r="F38" s="66"/>
      <c r="G38" s="66">
        <v>161</v>
      </c>
      <c r="H38" s="66">
        <v>238</v>
      </c>
      <c r="I38" s="66">
        <v>29</v>
      </c>
      <c r="J38" s="66">
        <v>216</v>
      </c>
      <c r="K38" s="66">
        <v>614</v>
      </c>
      <c r="L38" s="66">
        <v>441</v>
      </c>
      <c r="M38" s="66">
        <v>339</v>
      </c>
      <c r="N38" s="66">
        <v>204</v>
      </c>
      <c r="O38" s="66">
        <v>475</v>
      </c>
      <c r="P38" s="66">
        <v>1188</v>
      </c>
      <c r="Q38" s="66"/>
    </row>
    <row r="39" spans="1:17" ht="20" customHeight="1" x14ac:dyDescent="0.3">
      <c r="A39" s="65">
        <v>36</v>
      </c>
      <c r="B39" s="65">
        <v>175</v>
      </c>
      <c r="C39" s="65">
        <f t="shared" si="1"/>
        <v>4287</v>
      </c>
      <c r="D39" s="66"/>
      <c r="E39" s="66"/>
      <c r="F39" s="66"/>
      <c r="G39" s="66">
        <v>161</v>
      </c>
      <c r="H39" s="66">
        <v>238</v>
      </c>
      <c r="I39" s="66">
        <v>29</v>
      </c>
      <c r="J39" s="66">
        <v>216</v>
      </c>
      <c r="K39" s="66">
        <v>679</v>
      </c>
      <c r="L39" s="66">
        <v>488</v>
      </c>
      <c r="M39" s="66">
        <v>375</v>
      </c>
      <c r="N39" s="66">
        <v>225</v>
      </c>
      <c r="O39" s="66">
        <v>563</v>
      </c>
      <c r="P39" s="66">
        <v>1313</v>
      </c>
      <c r="Q39" s="66"/>
    </row>
    <row r="40" spans="1:17" ht="20" customHeight="1" x14ac:dyDescent="0.3">
      <c r="A40" s="65">
        <v>37</v>
      </c>
      <c r="B40" s="65">
        <v>190</v>
      </c>
      <c r="C40" s="65">
        <f t="shared" si="1"/>
        <v>4701</v>
      </c>
      <c r="D40" s="66"/>
      <c r="E40" s="66"/>
      <c r="F40" s="66"/>
      <c r="G40" s="66">
        <v>161</v>
      </c>
      <c r="H40" s="66">
        <v>238</v>
      </c>
      <c r="I40" s="66">
        <v>29</v>
      </c>
      <c r="J40" s="66">
        <v>216</v>
      </c>
      <c r="K40" s="66">
        <v>756</v>
      </c>
      <c r="L40" s="66">
        <v>543</v>
      </c>
      <c r="M40" s="66">
        <v>418</v>
      </c>
      <c r="N40" s="66">
        <v>251</v>
      </c>
      <c r="O40" s="66">
        <v>627</v>
      </c>
      <c r="P40" s="66">
        <v>1462</v>
      </c>
      <c r="Q40" s="66"/>
    </row>
    <row r="41" spans="1:17" ht="20" customHeight="1" x14ac:dyDescent="0.3">
      <c r="A41" s="65">
        <v>38</v>
      </c>
      <c r="B41" s="65">
        <v>205</v>
      </c>
      <c r="C41" s="65">
        <f t="shared" si="1"/>
        <v>5157</v>
      </c>
      <c r="D41" s="66"/>
      <c r="E41" s="66"/>
      <c r="F41" s="66"/>
      <c r="G41" s="66">
        <v>161</v>
      </c>
      <c r="H41" s="66">
        <v>238</v>
      </c>
      <c r="I41" s="66">
        <v>29</v>
      </c>
      <c r="J41" s="66">
        <v>216</v>
      </c>
      <c r="K41" s="66">
        <v>841</v>
      </c>
      <c r="L41" s="66">
        <v>604</v>
      </c>
      <c r="M41" s="66">
        <v>465</v>
      </c>
      <c r="N41" s="66">
        <v>279</v>
      </c>
      <c r="O41" s="66">
        <v>697</v>
      </c>
      <c r="P41" s="66">
        <v>1627</v>
      </c>
      <c r="Q41" s="66"/>
    </row>
    <row r="42" spans="1:17" ht="20" customHeight="1" x14ac:dyDescent="0.3">
      <c r="A42" s="65">
        <v>39</v>
      </c>
      <c r="B42" s="65">
        <v>225</v>
      </c>
      <c r="C42" s="65">
        <f t="shared" si="1"/>
        <v>5667</v>
      </c>
      <c r="D42" s="66"/>
      <c r="E42" s="66"/>
      <c r="F42" s="66"/>
      <c r="G42" s="66">
        <v>161</v>
      </c>
      <c r="H42" s="66">
        <v>238</v>
      </c>
      <c r="I42" s="66">
        <v>29</v>
      </c>
      <c r="J42" s="66">
        <v>216</v>
      </c>
      <c r="K42" s="66">
        <v>927</v>
      </c>
      <c r="L42" s="66">
        <v>666</v>
      </c>
      <c r="M42" s="66">
        <v>512</v>
      </c>
      <c r="N42" s="66">
        <v>358</v>
      </c>
      <c r="O42" s="66">
        <v>768</v>
      </c>
      <c r="P42" s="66">
        <v>1792</v>
      </c>
      <c r="Q42" s="66"/>
    </row>
    <row r="43" spans="1:17" ht="20" customHeight="1" x14ac:dyDescent="0.3">
      <c r="A43" s="67">
        <v>40</v>
      </c>
      <c r="B43" s="67">
        <v>245</v>
      </c>
      <c r="C43" s="67">
        <f t="shared" si="1"/>
        <v>6211</v>
      </c>
      <c r="D43" s="68"/>
      <c r="E43" s="68"/>
      <c r="F43" s="68"/>
      <c r="G43" s="68"/>
      <c r="H43" s="68">
        <v>238</v>
      </c>
      <c r="I43" s="68">
        <v>29</v>
      </c>
      <c r="J43" s="68">
        <v>216</v>
      </c>
      <c r="K43" s="68">
        <v>964</v>
      </c>
      <c r="L43" s="68">
        <v>681</v>
      </c>
      <c r="M43" s="68">
        <v>567</v>
      </c>
      <c r="N43" s="68">
        <v>454</v>
      </c>
      <c r="O43" s="68">
        <v>851</v>
      </c>
      <c r="P43" s="68">
        <v>2098</v>
      </c>
      <c r="Q43" s="68">
        <v>113</v>
      </c>
    </row>
    <row r="44" spans="1:17" ht="20" customHeight="1" x14ac:dyDescent="0.3">
      <c r="A44" s="67">
        <v>41</v>
      </c>
      <c r="B44" s="67">
        <v>265</v>
      </c>
      <c r="C44" s="67">
        <f t="shared" si="1"/>
        <v>6829</v>
      </c>
      <c r="D44" s="68"/>
      <c r="E44" s="68"/>
      <c r="F44" s="68"/>
      <c r="G44" s="68"/>
      <c r="H44" s="68">
        <v>238</v>
      </c>
      <c r="I44" s="68">
        <v>29</v>
      </c>
      <c r="J44" s="68">
        <v>216</v>
      </c>
      <c r="K44" s="68">
        <v>995</v>
      </c>
      <c r="L44" s="68">
        <v>747</v>
      </c>
      <c r="M44" s="68">
        <v>622</v>
      </c>
      <c r="N44" s="68">
        <v>560</v>
      </c>
      <c r="O44" s="68">
        <v>871</v>
      </c>
      <c r="P44" s="68">
        <v>2364</v>
      </c>
      <c r="Q44" s="68">
        <v>187</v>
      </c>
    </row>
    <row r="45" spans="1:17" ht="20" customHeight="1" x14ac:dyDescent="0.3">
      <c r="A45" s="67">
        <v>42</v>
      </c>
      <c r="B45" s="67">
        <v>285</v>
      </c>
      <c r="C45" s="67">
        <f t="shared" si="1"/>
        <v>7509</v>
      </c>
      <c r="D45" s="68"/>
      <c r="E45" s="68"/>
      <c r="F45" s="68"/>
      <c r="G45" s="68"/>
      <c r="H45" s="68">
        <v>238</v>
      </c>
      <c r="I45" s="68">
        <v>29</v>
      </c>
      <c r="J45" s="68">
        <v>216</v>
      </c>
      <c r="K45" s="68">
        <v>1023</v>
      </c>
      <c r="L45" s="68">
        <v>819</v>
      </c>
      <c r="M45" s="68">
        <v>682</v>
      </c>
      <c r="N45" s="68">
        <v>682</v>
      </c>
      <c r="O45" s="68">
        <v>887</v>
      </c>
      <c r="P45" s="68">
        <v>2660</v>
      </c>
      <c r="Q45" s="68">
        <v>273</v>
      </c>
    </row>
    <row r="46" spans="1:17" ht="20" customHeight="1" x14ac:dyDescent="0.3">
      <c r="A46" s="67">
        <v>43</v>
      </c>
      <c r="B46" s="67">
        <v>305</v>
      </c>
      <c r="C46" s="67">
        <f t="shared" si="1"/>
        <v>8261</v>
      </c>
      <c r="D46" s="68"/>
      <c r="E46" s="68"/>
      <c r="F46" s="68"/>
      <c r="G46" s="68"/>
      <c r="H46" s="68">
        <v>238</v>
      </c>
      <c r="I46" s="68">
        <v>29</v>
      </c>
      <c r="J46" s="68">
        <v>216</v>
      </c>
      <c r="K46" s="68">
        <v>1111</v>
      </c>
      <c r="L46" s="68">
        <v>889</v>
      </c>
      <c r="M46" s="68">
        <v>741</v>
      </c>
      <c r="N46" s="68">
        <v>741</v>
      </c>
      <c r="O46" s="68">
        <v>963</v>
      </c>
      <c r="P46" s="68">
        <v>2963</v>
      </c>
      <c r="Q46" s="68">
        <v>370</v>
      </c>
    </row>
    <row r="47" spans="1:17" ht="20" customHeight="1" x14ac:dyDescent="0.3">
      <c r="A47" s="67">
        <v>44</v>
      </c>
      <c r="B47" s="67">
        <v>325</v>
      </c>
      <c r="C47" s="67">
        <f t="shared" si="1"/>
        <v>9081</v>
      </c>
      <c r="D47" s="68"/>
      <c r="E47" s="68"/>
      <c r="F47" s="68"/>
      <c r="G47" s="68"/>
      <c r="H47" s="68">
        <v>238</v>
      </c>
      <c r="I47" s="68">
        <v>29</v>
      </c>
      <c r="J47" s="68">
        <v>216</v>
      </c>
      <c r="K47" s="68">
        <v>1228</v>
      </c>
      <c r="L47" s="68">
        <v>983</v>
      </c>
      <c r="M47" s="68">
        <v>819</v>
      </c>
      <c r="N47" s="68">
        <v>819</v>
      </c>
      <c r="O47" s="68">
        <v>1065</v>
      </c>
      <c r="P47" s="68">
        <v>3275</v>
      </c>
      <c r="Q47" s="68">
        <v>409</v>
      </c>
    </row>
    <row r="48" spans="1:17" ht="20" customHeight="1" x14ac:dyDescent="0.3">
      <c r="A48" s="69">
        <v>45</v>
      </c>
      <c r="B48" s="69">
        <v>350</v>
      </c>
      <c r="C48" s="69">
        <f t="shared" si="1"/>
        <v>9955</v>
      </c>
      <c r="D48" s="70"/>
      <c r="E48" s="70"/>
      <c r="F48" s="70"/>
      <c r="G48" s="70"/>
      <c r="H48" s="70"/>
      <c r="I48" s="70">
        <v>29</v>
      </c>
      <c r="J48" s="70">
        <v>216</v>
      </c>
      <c r="K48" s="70">
        <v>1400</v>
      </c>
      <c r="L48" s="70">
        <v>1027</v>
      </c>
      <c r="M48" s="70">
        <v>934</v>
      </c>
      <c r="N48" s="70">
        <v>934</v>
      </c>
      <c r="O48" s="70">
        <v>1214</v>
      </c>
      <c r="P48" s="70">
        <v>3734</v>
      </c>
      <c r="Q48" s="70">
        <v>467</v>
      </c>
    </row>
    <row r="49" spans="1:17" ht="20" customHeight="1" x14ac:dyDescent="0.3">
      <c r="A49" s="69">
        <v>46</v>
      </c>
      <c r="B49" s="69">
        <v>375</v>
      </c>
      <c r="C49" s="69">
        <f t="shared" si="1"/>
        <v>10948</v>
      </c>
      <c r="D49" s="70"/>
      <c r="E49" s="70"/>
      <c r="F49" s="70"/>
      <c r="G49" s="70"/>
      <c r="H49" s="70"/>
      <c r="I49" s="70">
        <v>29</v>
      </c>
      <c r="J49" s="70">
        <v>216</v>
      </c>
      <c r="K49" s="70">
        <v>1544</v>
      </c>
      <c r="L49" s="70">
        <v>1132</v>
      </c>
      <c r="M49" s="70">
        <v>1029</v>
      </c>
      <c r="N49" s="70">
        <v>1029</v>
      </c>
      <c r="O49" s="70">
        <v>1338</v>
      </c>
      <c r="P49" s="70">
        <v>4116</v>
      </c>
      <c r="Q49" s="70">
        <v>515</v>
      </c>
    </row>
    <row r="50" spans="1:17" ht="20" customHeight="1" x14ac:dyDescent="0.3">
      <c r="A50" s="69">
        <v>47</v>
      </c>
      <c r="B50" s="69">
        <v>400</v>
      </c>
      <c r="C50" s="69">
        <f t="shared" si="1"/>
        <v>12040</v>
      </c>
      <c r="D50" s="70"/>
      <c r="E50" s="70"/>
      <c r="F50" s="70"/>
      <c r="G50" s="70"/>
      <c r="H50" s="70"/>
      <c r="I50" s="70">
        <v>29</v>
      </c>
      <c r="J50" s="70">
        <v>216</v>
      </c>
      <c r="K50" s="70">
        <v>1701</v>
      </c>
      <c r="L50" s="70">
        <v>1248</v>
      </c>
      <c r="M50" s="70">
        <v>1134</v>
      </c>
      <c r="N50" s="70">
        <v>1134</v>
      </c>
      <c r="O50" s="70">
        <v>1474</v>
      </c>
      <c r="P50" s="70">
        <v>4537</v>
      </c>
      <c r="Q50" s="70">
        <v>567</v>
      </c>
    </row>
    <row r="51" spans="1:17" ht="20" customHeight="1" x14ac:dyDescent="0.3">
      <c r="A51" s="69">
        <v>48</v>
      </c>
      <c r="B51" s="69">
        <v>425</v>
      </c>
      <c r="C51" s="69">
        <f t="shared" si="1"/>
        <v>13244</v>
      </c>
      <c r="D51" s="70"/>
      <c r="E51" s="70"/>
      <c r="F51" s="70"/>
      <c r="G51" s="70"/>
      <c r="H51" s="70"/>
      <c r="I51" s="70">
        <v>29</v>
      </c>
      <c r="J51" s="70">
        <v>216</v>
      </c>
      <c r="K51" s="70">
        <v>1875</v>
      </c>
      <c r="L51" s="70">
        <v>1375</v>
      </c>
      <c r="M51" s="70">
        <v>1250</v>
      </c>
      <c r="N51" s="70">
        <v>1250</v>
      </c>
      <c r="O51" s="70">
        <v>1625</v>
      </c>
      <c r="P51" s="70">
        <v>4999</v>
      </c>
      <c r="Q51" s="70">
        <v>625</v>
      </c>
    </row>
    <row r="52" spans="1:17" ht="20" customHeight="1" x14ac:dyDescent="0.3">
      <c r="A52" s="69">
        <v>49</v>
      </c>
      <c r="B52" s="69">
        <v>450</v>
      </c>
      <c r="C52" s="69">
        <f t="shared" si="1"/>
        <v>14566</v>
      </c>
      <c r="D52" s="70"/>
      <c r="E52" s="70"/>
      <c r="F52" s="70"/>
      <c r="G52" s="70"/>
      <c r="H52" s="70"/>
      <c r="I52" s="70">
        <v>29</v>
      </c>
      <c r="J52" s="70">
        <v>216</v>
      </c>
      <c r="K52" s="70">
        <v>2046</v>
      </c>
      <c r="L52" s="70">
        <v>1500</v>
      </c>
      <c r="M52" s="70">
        <v>1364</v>
      </c>
      <c r="N52" s="70">
        <v>1364</v>
      </c>
      <c r="O52" s="70">
        <v>1773</v>
      </c>
      <c r="P52" s="70">
        <v>5456</v>
      </c>
      <c r="Q52" s="70">
        <v>818</v>
      </c>
    </row>
    <row r="53" spans="1:17" ht="20" customHeight="1" x14ac:dyDescent="0.3">
      <c r="A53" s="69">
        <v>50</v>
      </c>
      <c r="B53" s="69">
        <v>475</v>
      </c>
      <c r="C53" s="69">
        <f t="shared" si="1"/>
        <v>16024</v>
      </c>
      <c r="D53" s="70"/>
      <c r="E53" s="70"/>
      <c r="F53" s="70"/>
      <c r="G53" s="70"/>
      <c r="H53" s="70"/>
      <c r="I53" s="70">
        <v>29</v>
      </c>
      <c r="J53" s="70">
        <v>216</v>
      </c>
      <c r="K53" s="70">
        <v>2254</v>
      </c>
      <c r="L53" s="70">
        <v>1503</v>
      </c>
      <c r="M53" s="70">
        <v>1503</v>
      </c>
      <c r="N53" s="70">
        <v>1503</v>
      </c>
      <c r="O53" s="70">
        <v>1953</v>
      </c>
      <c r="P53" s="70">
        <v>6011</v>
      </c>
      <c r="Q53" s="70">
        <v>1052</v>
      </c>
    </row>
    <row r="54" spans="1:17" ht="20" customHeight="1" x14ac:dyDescent="0.3">
      <c r="A54" s="69">
        <v>51</v>
      </c>
      <c r="B54" s="69">
        <v>500</v>
      </c>
      <c r="C54" s="69">
        <f t="shared" si="1"/>
        <v>17627</v>
      </c>
      <c r="D54" s="70"/>
      <c r="E54" s="70"/>
      <c r="F54" s="70"/>
      <c r="G54" s="70"/>
      <c r="H54" s="70"/>
      <c r="I54" s="70">
        <v>29</v>
      </c>
      <c r="J54" s="70">
        <v>216</v>
      </c>
      <c r="K54" s="70">
        <v>2459</v>
      </c>
      <c r="L54" s="70">
        <v>1640</v>
      </c>
      <c r="M54" s="70">
        <v>1640</v>
      </c>
      <c r="N54" s="70">
        <v>1640</v>
      </c>
      <c r="O54" s="70">
        <v>1968</v>
      </c>
      <c r="P54" s="70">
        <v>6559</v>
      </c>
      <c r="Q54" s="70">
        <v>1476</v>
      </c>
    </row>
    <row r="55" spans="1:17" ht="20" customHeight="1" x14ac:dyDescent="0.3">
      <c r="A55" s="69">
        <v>52</v>
      </c>
      <c r="B55" s="69">
        <v>525</v>
      </c>
      <c r="C55" s="69">
        <f t="shared" si="1"/>
        <v>19391</v>
      </c>
      <c r="D55" s="70"/>
      <c r="E55" s="70"/>
      <c r="F55" s="70"/>
      <c r="G55" s="70"/>
      <c r="H55" s="70"/>
      <c r="I55" s="70">
        <v>29</v>
      </c>
      <c r="J55" s="70">
        <v>216</v>
      </c>
      <c r="K55" s="70">
        <v>2659</v>
      </c>
      <c r="L55" s="70">
        <v>1773</v>
      </c>
      <c r="M55" s="70">
        <v>1773</v>
      </c>
      <c r="N55" s="70">
        <v>1773</v>
      </c>
      <c r="O55" s="70">
        <v>2127</v>
      </c>
      <c r="P55" s="70">
        <v>7091</v>
      </c>
      <c r="Q55" s="70">
        <v>1950</v>
      </c>
    </row>
    <row r="56" spans="1:17" ht="20" customHeight="1" x14ac:dyDescent="0.3">
      <c r="A56" s="69">
        <v>53</v>
      </c>
      <c r="B56" s="69">
        <v>550</v>
      </c>
      <c r="C56" s="69">
        <f t="shared" si="1"/>
        <v>21331</v>
      </c>
      <c r="D56" s="70"/>
      <c r="E56" s="70"/>
      <c r="F56" s="70"/>
      <c r="G56" s="70"/>
      <c r="H56" s="70"/>
      <c r="I56" s="70">
        <v>29</v>
      </c>
      <c r="J56" s="70">
        <v>216</v>
      </c>
      <c r="K56" s="70">
        <v>2875</v>
      </c>
      <c r="L56" s="70">
        <v>1917</v>
      </c>
      <c r="M56" s="70">
        <v>1917</v>
      </c>
      <c r="N56" s="70">
        <v>1917</v>
      </c>
      <c r="O56" s="70">
        <v>2300</v>
      </c>
      <c r="P56" s="70">
        <v>7668</v>
      </c>
      <c r="Q56" s="70">
        <v>2492</v>
      </c>
    </row>
    <row r="57" spans="1:17" ht="20" customHeight="1" x14ac:dyDescent="0.3">
      <c r="A57" s="69">
        <v>54</v>
      </c>
      <c r="B57" s="69">
        <v>575</v>
      </c>
      <c r="C57" s="69">
        <f t="shared" si="1"/>
        <v>23465</v>
      </c>
      <c r="D57" s="70"/>
      <c r="E57" s="70"/>
      <c r="F57" s="70"/>
      <c r="G57" s="70"/>
      <c r="H57" s="70"/>
      <c r="I57" s="70">
        <v>29</v>
      </c>
      <c r="J57" s="70">
        <v>216</v>
      </c>
      <c r="K57" s="70">
        <v>3110</v>
      </c>
      <c r="L57" s="70">
        <v>2073</v>
      </c>
      <c r="M57" s="70">
        <v>2073</v>
      </c>
      <c r="N57" s="70">
        <v>2073</v>
      </c>
      <c r="O57" s="70">
        <v>2488</v>
      </c>
      <c r="P57" s="70">
        <v>8293</v>
      </c>
      <c r="Q57" s="70">
        <v>3110</v>
      </c>
    </row>
    <row r="58" spans="1:17" ht="20" customHeight="1" x14ac:dyDescent="0.3">
      <c r="A58" s="71">
        <v>55</v>
      </c>
      <c r="B58" s="71">
        <v>600</v>
      </c>
      <c r="C58" s="71">
        <f t="shared" si="1"/>
        <v>25810</v>
      </c>
      <c r="D58" s="72"/>
      <c r="E58" s="72"/>
      <c r="F58" s="72"/>
      <c r="G58" s="72"/>
      <c r="H58" s="72"/>
      <c r="I58" s="72">
        <v>29</v>
      </c>
      <c r="J58" s="72">
        <v>216</v>
      </c>
      <c r="K58" s="72">
        <v>3394</v>
      </c>
      <c r="L58" s="72">
        <v>2262</v>
      </c>
      <c r="M58" s="72">
        <v>2262</v>
      </c>
      <c r="N58" s="72">
        <v>2262</v>
      </c>
      <c r="O58" s="72">
        <v>2489</v>
      </c>
      <c r="P58" s="72">
        <v>9050</v>
      </c>
      <c r="Q58" s="72">
        <v>3846</v>
      </c>
    </row>
    <row r="59" spans="1:17" ht="20" customHeight="1" x14ac:dyDescent="0.3">
      <c r="A59" s="71">
        <v>56</v>
      </c>
      <c r="B59" s="71">
        <v>620</v>
      </c>
      <c r="C59" s="71">
        <f t="shared" si="1"/>
        <v>28392</v>
      </c>
      <c r="D59" s="72"/>
      <c r="E59" s="72"/>
      <c r="F59" s="72"/>
      <c r="G59" s="72"/>
      <c r="H59" s="72"/>
      <c r="I59" s="72">
        <v>29</v>
      </c>
      <c r="J59" s="72">
        <v>216</v>
      </c>
      <c r="K59" s="72">
        <v>3671</v>
      </c>
      <c r="L59" s="72">
        <v>2448</v>
      </c>
      <c r="M59" s="72">
        <v>2448</v>
      </c>
      <c r="N59" s="72">
        <v>2448</v>
      </c>
      <c r="O59" s="72">
        <v>2692</v>
      </c>
      <c r="P59" s="72">
        <v>9790</v>
      </c>
      <c r="Q59" s="72">
        <v>4650</v>
      </c>
    </row>
    <row r="60" spans="1:17" ht="20" customHeight="1" x14ac:dyDescent="0.3">
      <c r="A60" s="71">
        <v>57</v>
      </c>
      <c r="B60" s="71">
        <v>640</v>
      </c>
      <c r="C60" s="71">
        <f t="shared" si="1"/>
        <v>31231</v>
      </c>
      <c r="D60" s="72"/>
      <c r="E60" s="72"/>
      <c r="F60" s="72"/>
      <c r="G60" s="72"/>
      <c r="H60" s="72"/>
      <c r="I60" s="72">
        <v>29</v>
      </c>
      <c r="J60" s="72">
        <v>216</v>
      </c>
      <c r="K60" s="72">
        <v>3973</v>
      </c>
      <c r="L60" s="72">
        <v>2648</v>
      </c>
      <c r="M60" s="72">
        <v>2648</v>
      </c>
      <c r="N60" s="72">
        <v>2648</v>
      </c>
      <c r="O60" s="72">
        <v>2913</v>
      </c>
      <c r="P60" s="72">
        <v>10594</v>
      </c>
      <c r="Q60" s="72">
        <v>5562</v>
      </c>
    </row>
    <row r="61" spans="1:17" ht="20" customHeight="1" x14ac:dyDescent="0.3">
      <c r="A61" s="71">
        <v>58</v>
      </c>
      <c r="B61" s="71">
        <v>660</v>
      </c>
      <c r="C61" s="71">
        <f t="shared" si="1"/>
        <v>34354</v>
      </c>
      <c r="D61" s="72"/>
      <c r="E61" s="72"/>
      <c r="F61" s="72"/>
      <c r="G61" s="72"/>
      <c r="H61" s="72"/>
      <c r="I61" s="72">
        <v>29</v>
      </c>
      <c r="J61" s="72">
        <v>216</v>
      </c>
      <c r="K61" s="72">
        <v>4300</v>
      </c>
      <c r="L61" s="72">
        <v>2866</v>
      </c>
      <c r="M61" s="72">
        <v>2866</v>
      </c>
      <c r="N61" s="72">
        <v>2866</v>
      </c>
      <c r="O61" s="72">
        <v>3153</v>
      </c>
      <c r="P61" s="72">
        <v>11465</v>
      </c>
      <c r="Q61" s="72">
        <v>6593</v>
      </c>
    </row>
    <row r="62" spans="1:17" ht="20" customHeight="1" x14ac:dyDescent="0.3">
      <c r="A62" s="71">
        <v>59</v>
      </c>
      <c r="B62" s="71">
        <v>680</v>
      </c>
      <c r="C62" s="71">
        <f t="shared" si="1"/>
        <v>37789</v>
      </c>
      <c r="D62" s="72"/>
      <c r="E62" s="72"/>
      <c r="F62" s="72"/>
      <c r="G62" s="72"/>
      <c r="H62" s="72"/>
      <c r="I62" s="72">
        <v>29</v>
      </c>
      <c r="J62" s="72">
        <v>216</v>
      </c>
      <c r="K62" s="72">
        <v>4654</v>
      </c>
      <c r="L62" s="72">
        <v>3103</v>
      </c>
      <c r="M62" s="72">
        <v>3103</v>
      </c>
      <c r="N62" s="72">
        <v>3103</v>
      </c>
      <c r="O62" s="72">
        <v>3413</v>
      </c>
      <c r="P62" s="72">
        <v>12411</v>
      </c>
      <c r="Q62" s="72">
        <v>7757</v>
      </c>
    </row>
    <row r="63" spans="1:17" ht="20" customHeight="1" x14ac:dyDescent="0.3">
      <c r="A63" s="71">
        <v>60</v>
      </c>
      <c r="B63" s="71">
        <v>700</v>
      </c>
      <c r="C63" s="71">
        <f t="shared" si="1"/>
        <v>41566</v>
      </c>
      <c r="D63" s="72"/>
      <c r="E63" s="72"/>
      <c r="F63" s="72"/>
      <c r="G63" s="72"/>
      <c r="H63" s="72"/>
      <c r="I63" s="72">
        <v>29</v>
      </c>
      <c r="J63" s="72">
        <v>216</v>
      </c>
      <c r="K63" s="72">
        <v>5080</v>
      </c>
      <c r="L63" s="72">
        <v>3387</v>
      </c>
      <c r="M63" s="72">
        <v>3387</v>
      </c>
      <c r="N63" s="72">
        <v>3387</v>
      </c>
      <c r="O63" s="72">
        <v>3387</v>
      </c>
      <c r="P63" s="72">
        <v>13548</v>
      </c>
      <c r="Q63" s="72">
        <v>9145</v>
      </c>
    </row>
    <row r="64" spans="1:17" ht="20" customHeight="1" x14ac:dyDescent="0.3">
      <c r="A64" s="71">
        <v>61</v>
      </c>
      <c r="B64" s="71">
        <v>720</v>
      </c>
      <c r="C64" s="71">
        <f t="shared" si="1"/>
        <v>45721</v>
      </c>
      <c r="D64" s="72"/>
      <c r="E64" s="72"/>
      <c r="F64" s="72"/>
      <c r="G64" s="72"/>
      <c r="H64" s="72"/>
      <c r="I64" s="72">
        <v>29</v>
      </c>
      <c r="J64" s="72">
        <v>216</v>
      </c>
      <c r="K64" s="72">
        <v>5457</v>
      </c>
      <c r="L64" s="72">
        <v>3638</v>
      </c>
      <c r="M64" s="72">
        <v>3638</v>
      </c>
      <c r="N64" s="72">
        <v>3638</v>
      </c>
      <c r="O64" s="72">
        <v>3638</v>
      </c>
      <c r="P64" s="72">
        <v>14553</v>
      </c>
      <c r="Q64" s="72">
        <v>10914</v>
      </c>
    </row>
    <row r="65" spans="1:17" ht="20" customHeight="1" x14ac:dyDescent="0.3">
      <c r="A65" s="71">
        <v>62</v>
      </c>
      <c r="B65" s="71">
        <v>740</v>
      </c>
      <c r="C65" s="71">
        <f t="shared" si="1"/>
        <v>50291</v>
      </c>
      <c r="D65" s="72"/>
      <c r="E65" s="72"/>
      <c r="F65" s="72"/>
      <c r="G65" s="72"/>
      <c r="H65" s="72"/>
      <c r="I65" s="72">
        <v>29</v>
      </c>
      <c r="J65" s="72">
        <v>216</v>
      </c>
      <c r="K65" s="72">
        <v>5958</v>
      </c>
      <c r="L65" s="72">
        <v>3972</v>
      </c>
      <c r="M65" s="72">
        <v>3972</v>
      </c>
      <c r="N65" s="72">
        <v>3972</v>
      </c>
      <c r="O65" s="72">
        <v>3972</v>
      </c>
      <c r="P65" s="72">
        <v>15887</v>
      </c>
      <c r="Q65" s="72">
        <v>12313</v>
      </c>
    </row>
    <row r="66" spans="1:17" ht="20" customHeight="1" x14ac:dyDescent="0.3">
      <c r="A66" s="71">
        <v>63</v>
      </c>
      <c r="B66" s="71">
        <v>760</v>
      </c>
      <c r="C66" s="71">
        <f t="shared" si="1"/>
        <v>55314</v>
      </c>
      <c r="D66" s="72"/>
      <c r="E66" s="72"/>
      <c r="F66" s="72"/>
      <c r="G66" s="72"/>
      <c r="H66" s="72"/>
      <c r="I66" s="72">
        <v>29</v>
      </c>
      <c r="J66" s="72">
        <v>216</v>
      </c>
      <c r="K66" s="72">
        <v>6504</v>
      </c>
      <c r="L66" s="72">
        <v>4336</v>
      </c>
      <c r="M66" s="72">
        <v>4336</v>
      </c>
      <c r="N66" s="72">
        <v>4336</v>
      </c>
      <c r="O66" s="72">
        <v>4336</v>
      </c>
      <c r="P66" s="72">
        <v>17345</v>
      </c>
      <c r="Q66" s="72">
        <v>13876</v>
      </c>
    </row>
    <row r="67" spans="1:17" ht="20" customHeight="1" x14ac:dyDescent="0.3">
      <c r="A67" s="71">
        <v>64</v>
      </c>
      <c r="B67" s="71">
        <v>780</v>
      </c>
      <c r="C67" s="71">
        <f t="shared" si="1"/>
        <v>60842</v>
      </c>
      <c r="D67" s="72"/>
      <c r="E67" s="72"/>
      <c r="F67" s="72"/>
      <c r="G67" s="72"/>
      <c r="H67" s="72"/>
      <c r="I67" s="72">
        <v>29</v>
      </c>
      <c r="J67" s="72">
        <v>216</v>
      </c>
      <c r="K67" s="72">
        <v>7101</v>
      </c>
      <c r="L67" s="72">
        <v>4734</v>
      </c>
      <c r="M67" s="72">
        <v>4734</v>
      </c>
      <c r="N67" s="72">
        <v>4734</v>
      </c>
      <c r="O67" s="72">
        <v>4734</v>
      </c>
      <c r="P67" s="72">
        <v>18937</v>
      </c>
      <c r="Q67" s="72">
        <v>15623</v>
      </c>
    </row>
    <row r="68" spans="1:17" ht="20" customHeight="1" x14ac:dyDescent="0.3">
      <c r="A68" s="71">
        <v>65</v>
      </c>
      <c r="B68" s="71">
        <v>800</v>
      </c>
      <c r="C68" s="71">
        <f t="shared" si="1"/>
        <v>66924</v>
      </c>
      <c r="D68" s="72"/>
      <c r="E68" s="72"/>
      <c r="F68" s="72"/>
      <c r="G68" s="72"/>
      <c r="H68" s="72"/>
      <c r="I68" s="72">
        <v>29</v>
      </c>
      <c r="J68" s="72">
        <v>216</v>
      </c>
      <c r="K68" s="72">
        <v>7753</v>
      </c>
      <c r="L68" s="72">
        <v>5169</v>
      </c>
      <c r="M68" s="72">
        <v>5169</v>
      </c>
      <c r="N68" s="72">
        <v>5169</v>
      </c>
      <c r="O68" s="72">
        <v>5169</v>
      </c>
      <c r="P68" s="72">
        <v>20676</v>
      </c>
      <c r="Q68" s="72">
        <v>17574</v>
      </c>
    </row>
    <row r="69" spans="1:17" ht="20" customHeight="1" x14ac:dyDescent="0.3">
      <c r="A69" s="71">
        <v>66</v>
      </c>
      <c r="B69" s="71">
        <v>820</v>
      </c>
      <c r="C69" s="71">
        <f t="shared" ref="C69:C102" si="2">SUM(D69:Q69)</f>
        <v>73614</v>
      </c>
      <c r="D69" s="72"/>
      <c r="E69" s="72"/>
      <c r="F69" s="72"/>
      <c r="G69" s="72"/>
      <c r="H69" s="72"/>
      <c r="I69" s="72">
        <v>29</v>
      </c>
      <c r="J69" s="72">
        <v>216</v>
      </c>
      <c r="K69" s="72">
        <v>8465</v>
      </c>
      <c r="L69" s="72">
        <v>5644</v>
      </c>
      <c r="M69" s="72">
        <v>5644</v>
      </c>
      <c r="N69" s="72">
        <v>5644</v>
      </c>
      <c r="O69" s="72">
        <v>5644</v>
      </c>
      <c r="P69" s="72">
        <v>22575</v>
      </c>
      <c r="Q69" s="72">
        <v>19753</v>
      </c>
    </row>
    <row r="70" spans="1:17" ht="20" customHeight="1" x14ac:dyDescent="0.3">
      <c r="A70" s="71">
        <v>67</v>
      </c>
      <c r="B70" s="71">
        <v>840</v>
      </c>
      <c r="C70" s="71">
        <f t="shared" si="2"/>
        <v>80969</v>
      </c>
      <c r="D70" s="72"/>
      <c r="E70" s="72"/>
      <c r="F70" s="72"/>
      <c r="G70" s="72"/>
      <c r="H70" s="72"/>
      <c r="I70" s="72">
        <v>29</v>
      </c>
      <c r="J70" s="72">
        <v>216</v>
      </c>
      <c r="K70" s="72">
        <v>9243</v>
      </c>
      <c r="L70" s="72">
        <v>6162</v>
      </c>
      <c r="M70" s="72">
        <v>6162</v>
      </c>
      <c r="N70" s="72">
        <v>6162</v>
      </c>
      <c r="O70" s="72">
        <v>6162</v>
      </c>
      <c r="P70" s="72">
        <v>24649</v>
      </c>
      <c r="Q70" s="72">
        <v>22184</v>
      </c>
    </row>
    <row r="71" spans="1:17" ht="20" customHeight="1" x14ac:dyDescent="0.3">
      <c r="A71" s="71">
        <v>68</v>
      </c>
      <c r="B71" s="71">
        <v>860</v>
      </c>
      <c r="C71" s="71">
        <f t="shared" si="2"/>
        <v>89064</v>
      </c>
      <c r="D71" s="72"/>
      <c r="E71" s="72"/>
      <c r="F71" s="72"/>
      <c r="G71" s="72"/>
      <c r="H71" s="72"/>
      <c r="I71" s="72">
        <v>29</v>
      </c>
      <c r="J71" s="72">
        <v>216</v>
      </c>
      <c r="K71" s="72">
        <v>10093</v>
      </c>
      <c r="L71" s="72">
        <v>6729</v>
      </c>
      <c r="M71" s="72">
        <v>6729</v>
      </c>
      <c r="N71" s="72">
        <v>6729</v>
      </c>
      <c r="O71" s="72">
        <v>6729</v>
      </c>
      <c r="P71" s="72">
        <v>26914</v>
      </c>
      <c r="Q71" s="72">
        <v>24896</v>
      </c>
    </row>
    <row r="72" spans="1:17" ht="20" customHeight="1" x14ac:dyDescent="0.3">
      <c r="A72" s="71">
        <v>69</v>
      </c>
      <c r="B72" s="71">
        <v>880</v>
      </c>
      <c r="C72" s="71">
        <f t="shared" si="2"/>
        <v>97963</v>
      </c>
      <c r="D72" s="72"/>
      <c r="E72" s="72"/>
      <c r="F72" s="72"/>
      <c r="G72" s="72"/>
      <c r="H72" s="72"/>
      <c r="I72" s="72">
        <v>29</v>
      </c>
      <c r="J72" s="72">
        <v>216</v>
      </c>
      <c r="K72" s="72">
        <v>11021</v>
      </c>
      <c r="L72" s="72">
        <v>7347</v>
      </c>
      <c r="M72" s="72">
        <v>7347</v>
      </c>
      <c r="N72" s="72">
        <v>7347</v>
      </c>
      <c r="O72" s="72">
        <v>7347</v>
      </c>
      <c r="P72" s="72">
        <v>29389</v>
      </c>
      <c r="Q72" s="72">
        <v>27920</v>
      </c>
    </row>
    <row r="73" spans="1:17" ht="20" customHeight="1" x14ac:dyDescent="0.3">
      <c r="A73" s="71">
        <v>70</v>
      </c>
      <c r="B73" s="71">
        <v>900</v>
      </c>
      <c r="C73" s="71">
        <f t="shared" si="2"/>
        <v>107757</v>
      </c>
      <c r="D73" s="72"/>
      <c r="E73" s="72"/>
      <c r="F73" s="72"/>
      <c r="G73" s="72"/>
      <c r="H73" s="72"/>
      <c r="I73" s="72">
        <v>29</v>
      </c>
      <c r="J73" s="72">
        <v>216</v>
      </c>
      <c r="K73" s="72">
        <v>11946</v>
      </c>
      <c r="L73" s="72">
        <v>7964</v>
      </c>
      <c r="M73" s="72">
        <v>7964</v>
      </c>
      <c r="N73" s="72">
        <v>7964</v>
      </c>
      <c r="O73" s="72">
        <v>7964</v>
      </c>
      <c r="P73" s="72">
        <v>31855</v>
      </c>
      <c r="Q73" s="72">
        <v>31855</v>
      </c>
    </row>
    <row r="74" spans="1:17" ht="20" customHeight="1" x14ac:dyDescent="0.3">
      <c r="A74" s="71">
        <v>71</v>
      </c>
      <c r="B74" s="71">
        <v>920</v>
      </c>
      <c r="C74" s="71">
        <f t="shared" si="2"/>
        <v>118527</v>
      </c>
      <c r="D74" s="72"/>
      <c r="E74" s="72"/>
      <c r="F74" s="72"/>
      <c r="G74" s="72"/>
      <c r="H74" s="72"/>
      <c r="I74" s="72">
        <v>29</v>
      </c>
      <c r="J74" s="72">
        <v>216</v>
      </c>
      <c r="K74" s="72">
        <v>13142</v>
      </c>
      <c r="L74" s="72">
        <v>8762</v>
      </c>
      <c r="M74" s="72">
        <v>8762</v>
      </c>
      <c r="N74" s="72">
        <v>8762</v>
      </c>
      <c r="O74" s="72">
        <v>8762</v>
      </c>
      <c r="P74" s="72">
        <v>35046</v>
      </c>
      <c r="Q74" s="72">
        <v>35046</v>
      </c>
    </row>
    <row r="75" spans="1:17" ht="20" customHeight="1" x14ac:dyDescent="0.3">
      <c r="A75" s="71">
        <v>72</v>
      </c>
      <c r="B75" s="71">
        <v>940</v>
      </c>
      <c r="C75" s="71">
        <f t="shared" si="2"/>
        <v>130372</v>
      </c>
      <c r="D75" s="72"/>
      <c r="E75" s="72"/>
      <c r="F75" s="72"/>
      <c r="G75" s="72"/>
      <c r="H75" s="72"/>
      <c r="I75" s="72">
        <v>29</v>
      </c>
      <c r="J75" s="72">
        <v>216</v>
      </c>
      <c r="K75" s="72">
        <v>14459</v>
      </c>
      <c r="L75" s="72">
        <v>9639</v>
      </c>
      <c r="M75" s="72">
        <v>9639</v>
      </c>
      <c r="N75" s="72">
        <v>9639</v>
      </c>
      <c r="O75" s="72">
        <v>9639</v>
      </c>
      <c r="P75" s="72">
        <v>38556</v>
      </c>
      <c r="Q75" s="72">
        <v>38556</v>
      </c>
    </row>
    <row r="76" spans="1:17" ht="20" customHeight="1" x14ac:dyDescent="0.3">
      <c r="A76" s="71">
        <v>73</v>
      </c>
      <c r="B76" s="71">
        <v>960</v>
      </c>
      <c r="C76" s="71">
        <f t="shared" si="2"/>
        <v>143401</v>
      </c>
      <c r="D76" s="72"/>
      <c r="E76" s="72"/>
      <c r="F76" s="72"/>
      <c r="G76" s="72"/>
      <c r="H76" s="72"/>
      <c r="I76" s="72">
        <v>29</v>
      </c>
      <c r="J76" s="72">
        <v>216</v>
      </c>
      <c r="K76" s="72">
        <v>15906</v>
      </c>
      <c r="L76" s="72">
        <v>10604</v>
      </c>
      <c r="M76" s="72">
        <v>10604</v>
      </c>
      <c r="N76" s="72">
        <v>10604</v>
      </c>
      <c r="O76" s="72">
        <v>10604</v>
      </c>
      <c r="P76" s="72">
        <v>42417</v>
      </c>
      <c r="Q76" s="72">
        <v>42417</v>
      </c>
    </row>
    <row r="77" spans="1:17" ht="20" customHeight="1" x14ac:dyDescent="0.3">
      <c r="A77" s="71">
        <v>74</v>
      </c>
      <c r="B77" s="71">
        <v>980</v>
      </c>
      <c r="C77" s="71">
        <f t="shared" si="2"/>
        <v>157736</v>
      </c>
      <c r="D77" s="72"/>
      <c r="E77" s="72"/>
      <c r="F77" s="72"/>
      <c r="G77" s="72"/>
      <c r="H77" s="72"/>
      <c r="I77" s="72">
        <v>29</v>
      </c>
      <c r="J77" s="72">
        <v>216</v>
      </c>
      <c r="K77" s="72">
        <v>17499</v>
      </c>
      <c r="L77" s="72">
        <v>11666</v>
      </c>
      <c r="M77" s="72">
        <v>11666</v>
      </c>
      <c r="N77" s="72">
        <v>11666</v>
      </c>
      <c r="O77" s="72">
        <v>11666</v>
      </c>
      <c r="P77" s="72">
        <v>46664</v>
      </c>
      <c r="Q77" s="72">
        <v>46664</v>
      </c>
    </row>
    <row r="78" spans="1:17" ht="20" customHeight="1" x14ac:dyDescent="0.3">
      <c r="A78" s="71">
        <v>75</v>
      </c>
      <c r="B78" s="71">
        <v>1000</v>
      </c>
      <c r="C78" s="71">
        <f t="shared" si="2"/>
        <v>173504</v>
      </c>
      <c r="D78" s="72"/>
      <c r="E78" s="72"/>
      <c r="F78" s="72"/>
      <c r="G78" s="72"/>
      <c r="H78" s="72"/>
      <c r="I78" s="72">
        <v>29</v>
      </c>
      <c r="J78" s="72">
        <v>216</v>
      </c>
      <c r="K78" s="72">
        <v>19251</v>
      </c>
      <c r="L78" s="72">
        <v>12834</v>
      </c>
      <c r="M78" s="72">
        <v>12834</v>
      </c>
      <c r="N78" s="72">
        <v>12834</v>
      </c>
      <c r="O78" s="72">
        <v>12834</v>
      </c>
      <c r="P78" s="72">
        <v>51336</v>
      </c>
      <c r="Q78" s="72">
        <v>51336</v>
      </c>
    </row>
    <row r="79" spans="1:17" ht="20" customHeight="1" x14ac:dyDescent="0.3">
      <c r="A79" s="71">
        <v>76</v>
      </c>
      <c r="B79" s="71">
        <v>1020</v>
      </c>
      <c r="C79" s="71">
        <f t="shared" si="2"/>
        <v>190849</v>
      </c>
      <c r="D79" s="72"/>
      <c r="E79" s="72"/>
      <c r="F79" s="72"/>
      <c r="G79" s="72"/>
      <c r="H79" s="72"/>
      <c r="I79" s="72">
        <v>29</v>
      </c>
      <c r="J79" s="72">
        <v>216</v>
      </c>
      <c r="K79" s="72">
        <v>21178</v>
      </c>
      <c r="L79" s="72">
        <v>14119</v>
      </c>
      <c r="M79" s="72">
        <v>14119</v>
      </c>
      <c r="N79" s="72">
        <v>14119</v>
      </c>
      <c r="O79" s="72">
        <v>14119</v>
      </c>
      <c r="P79" s="72">
        <v>56475</v>
      </c>
      <c r="Q79" s="72">
        <v>56475</v>
      </c>
    </row>
    <row r="80" spans="1:17" ht="20" customHeight="1" x14ac:dyDescent="0.3">
      <c r="A80" s="71">
        <v>77</v>
      </c>
      <c r="B80" s="71">
        <v>1040</v>
      </c>
      <c r="C80" s="71">
        <f t="shared" si="2"/>
        <v>209927</v>
      </c>
      <c r="D80" s="72"/>
      <c r="E80" s="72"/>
      <c r="F80" s="72"/>
      <c r="G80" s="72"/>
      <c r="H80" s="72"/>
      <c r="I80" s="72">
        <v>29</v>
      </c>
      <c r="J80" s="72">
        <v>216</v>
      </c>
      <c r="K80" s="72">
        <v>23298</v>
      </c>
      <c r="L80" s="72">
        <v>15532</v>
      </c>
      <c r="M80" s="72">
        <v>15532</v>
      </c>
      <c r="N80" s="72">
        <v>15532</v>
      </c>
      <c r="O80" s="72">
        <v>15532</v>
      </c>
      <c r="P80" s="72">
        <v>62128</v>
      </c>
      <c r="Q80" s="72">
        <v>62128</v>
      </c>
    </row>
    <row r="81" spans="1:17" ht="20" customHeight="1" x14ac:dyDescent="0.3">
      <c r="A81" s="71">
        <v>78</v>
      </c>
      <c r="B81" s="71">
        <v>1060</v>
      </c>
      <c r="C81" s="71">
        <f t="shared" si="2"/>
        <v>230911</v>
      </c>
      <c r="D81" s="72"/>
      <c r="E81" s="72"/>
      <c r="F81" s="72"/>
      <c r="G81" s="72"/>
      <c r="H81" s="72"/>
      <c r="I81" s="72">
        <v>29</v>
      </c>
      <c r="J81" s="72">
        <v>216</v>
      </c>
      <c r="K81" s="72">
        <v>25630</v>
      </c>
      <c r="L81" s="72">
        <v>17086</v>
      </c>
      <c r="M81" s="72">
        <v>17086</v>
      </c>
      <c r="N81" s="72">
        <v>17086</v>
      </c>
      <c r="O81" s="72">
        <v>17086</v>
      </c>
      <c r="P81" s="72">
        <v>68346</v>
      </c>
      <c r="Q81" s="72">
        <v>68346</v>
      </c>
    </row>
    <row r="82" spans="1:17" ht="20" customHeight="1" x14ac:dyDescent="0.3">
      <c r="A82" s="71">
        <v>79</v>
      </c>
      <c r="B82" s="71">
        <v>1080</v>
      </c>
      <c r="C82" s="71">
        <f t="shared" si="2"/>
        <v>253996</v>
      </c>
      <c r="D82" s="72"/>
      <c r="E82" s="72"/>
      <c r="F82" s="72"/>
      <c r="G82" s="72"/>
      <c r="H82" s="72"/>
      <c r="I82" s="72">
        <v>29</v>
      </c>
      <c r="J82" s="72">
        <v>216</v>
      </c>
      <c r="K82" s="72">
        <v>28195</v>
      </c>
      <c r="L82" s="72">
        <v>18796</v>
      </c>
      <c r="M82" s="72">
        <v>18796</v>
      </c>
      <c r="N82" s="72">
        <v>18796</v>
      </c>
      <c r="O82" s="72">
        <v>18796</v>
      </c>
      <c r="P82" s="72">
        <v>75186</v>
      </c>
      <c r="Q82" s="72">
        <v>75186</v>
      </c>
    </row>
    <row r="83" spans="1:17" ht="20" customHeight="1" x14ac:dyDescent="0.3">
      <c r="A83" s="71">
        <v>80</v>
      </c>
      <c r="B83" s="71">
        <v>1100</v>
      </c>
      <c r="C83" s="71">
        <f t="shared" si="2"/>
        <v>279389</v>
      </c>
      <c r="D83" s="72"/>
      <c r="E83" s="72"/>
      <c r="F83" s="72"/>
      <c r="G83" s="72"/>
      <c r="H83" s="72"/>
      <c r="I83" s="72">
        <v>29</v>
      </c>
      <c r="J83" s="72">
        <v>216</v>
      </c>
      <c r="K83" s="72">
        <v>31016</v>
      </c>
      <c r="L83" s="72">
        <v>20677</v>
      </c>
      <c r="M83" s="72">
        <v>20677</v>
      </c>
      <c r="N83" s="72">
        <v>20677</v>
      </c>
      <c r="O83" s="72">
        <v>20677</v>
      </c>
      <c r="P83" s="72">
        <v>82710</v>
      </c>
      <c r="Q83" s="72">
        <v>82710</v>
      </c>
    </row>
    <row r="84" spans="1:17" ht="20" customHeight="1" x14ac:dyDescent="0.3">
      <c r="A84" s="71">
        <v>81</v>
      </c>
      <c r="B84" s="71">
        <v>1120</v>
      </c>
      <c r="C84" s="71">
        <f t="shared" si="2"/>
        <v>307325</v>
      </c>
      <c r="D84" s="72"/>
      <c r="E84" s="72"/>
      <c r="F84" s="72"/>
      <c r="G84" s="72"/>
      <c r="H84" s="72"/>
      <c r="I84" s="72">
        <v>29</v>
      </c>
      <c r="J84" s="72">
        <v>216</v>
      </c>
      <c r="K84" s="72">
        <v>34120</v>
      </c>
      <c r="L84" s="72">
        <v>22747</v>
      </c>
      <c r="M84" s="72">
        <v>22747</v>
      </c>
      <c r="N84" s="72">
        <v>22747</v>
      </c>
      <c r="O84" s="72">
        <v>22747</v>
      </c>
      <c r="P84" s="72">
        <v>90986</v>
      </c>
      <c r="Q84" s="72">
        <v>90986</v>
      </c>
    </row>
    <row r="85" spans="1:17" ht="20" customHeight="1" x14ac:dyDescent="0.3">
      <c r="A85" s="71">
        <v>82</v>
      </c>
      <c r="B85" s="71">
        <v>1140</v>
      </c>
      <c r="C85" s="71">
        <f t="shared" si="2"/>
        <v>338051</v>
      </c>
      <c r="D85" s="72"/>
      <c r="E85" s="72"/>
      <c r="F85" s="72"/>
      <c r="G85" s="72"/>
      <c r="H85" s="72"/>
      <c r="I85" s="72">
        <v>29</v>
      </c>
      <c r="J85" s="72">
        <v>216</v>
      </c>
      <c r="K85" s="72">
        <v>37534</v>
      </c>
      <c r="L85" s="72">
        <v>25023</v>
      </c>
      <c r="M85" s="72">
        <v>25023</v>
      </c>
      <c r="N85" s="72">
        <v>25023</v>
      </c>
      <c r="O85" s="72">
        <v>25023</v>
      </c>
      <c r="P85" s="72">
        <v>100090</v>
      </c>
      <c r="Q85" s="72">
        <v>100090</v>
      </c>
    </row>
    <row r="86" spans="1:17" ht="20" customHeight="1" x14ac:dyDescent="0.3">
      <c r="A86" s="71">
        <v>83</v>
      </c>
      <c r="B86" s="71">
        <v>1160</v>
      </c>
      <c r="C86" s="71">
        <f t="shared" si="2"/>
        <v>371848</v>
      </c>
      <c r="D86" s="72"/>
      <c r="E86" s="72"/>
      <c r="F86" s="72"/>
      <c r="G86" s="72"/>
      <c r="H86" s="72"/>
      <c r="I86" s="72">
        <v>29</v>
      </c>
      <c r="J86" s="72">
        <v>216</v>
      </c>
      <c r="K86" s="72">
        <v>41289</v>
      </c>
      <c r="L86" s="72">
        <v>27526</v>
      </c>
      <c r="M86" s="72">
        <v>27526</v>
      </c>
      <c r="N86" s="72">
        <v>27526</v>
      </c>
      <c r="O86" s="72">
        <v>27526</v>
      </c>
      <c r="P86" s="72">
        <v>110105</v>
      </c>
      <c r="Q86" s="72">
        <v>110105</v>
      </c>
    </row>
    <row r="87" spans="1:17" ht="20" customHeight="1" x14ac:dyDescent="0.3">
      <c r="A87" s="71">
        <v>84</v>
      </c>
      <c r="B87" s="71">
        <v>1180</v>
      </c>
      <c r="C87" s="71">
        <f t="shared" si="2"/>
        <v>409025</v>
      </c>
      <c r="D87" s="72"/>
      <c r="E87" s="72"/>
      <c r="F87" s="72"/>
      <c r="G87" s="72"/>
      <c r="H87" s="72"/>
      <c r="I87" s="72">
        <v>29</v>
      </c>
      <c r="J87" s="72">
        <v>216</v>
      </c>
      <c r="K87" s="72">
        <v>45420</v>
      </c>
      <c r="L87" s="72">
        <v>30280</v>
      </c>
      <c r="M87" s="72">
        <v>30280</v>
      </c>
      <c r="N87" s="72">
        <v>30280</v>
      </c>
      <c r="O87" s="72">
        <v>30280</v>
      </c>
      <c r="P87" s="72">
        <v>121120</v>
      </c>
      <c r="Q87" s="72">
        <v>121120</v>
      </c>
    </row>
    <row r="88" spans="1:17" ht="20" customHeight="1" x14ac:dyDescent="0.3">
      <c r="A88" s="71">
        <v>85</v>
      </c>
      <c r="B88" s="71">
        <v>1200</v>
      </c>
      <c r="C88" s="71">
        <f t="shared" si="2"/>
        <v>449921</v>
      </c>
      <c r="D88" s="72"/>
      <c r="E88" s="72"/>
      <c r="F88" s="72"/>
      <c r="G88" s="72"/>
      <c r="H88" s="72"/>
      <c r="I88" s="72">
        <v>29</v>
      </c>
      <c r="J88" s="72">
        <v>216</v>
      </c>
      <c r="K88" s="72">
        <v>49964</v>
      </c>
      <c r="L88" s="72">
        <v>33309</v>
      </c>
      <c r="M88" s="72">
        <v>33309</v>
      </c>
      <c r="N88" s="72">
        <v>33309</v>
      </c>
      <c r="O88" s="72">
        <v>33309</v>
      </c>
      <c r="P88" s="72">
        <v>133238</v>
      </c>
      <c r="Q88" s="72">
        <v>133238</v>
      </c>
    </row>
    <row r="89" spans="1:17" ht="20" customHeight="1" x14ac:dyDescent="0.3">
      <c r="A89" s="71">
        <v>86</v>
      </c>
      <c r="B89" s="71">
        <v>1220</v>
      </c>
      <c r="C89" s="71">
        <f t="shared" si="2"/>
        <v>494910</v>
      </c>
      <c r="D89" s="72"/>
      <c r="E89" s="72"/>
      <c r="F89" s="72"/>
      <c r="G89" s="72"/>
      <c r="H89" s="72"/>
      <c r="I89" s="72">
        <v>29</v>
      </c>
      <c r="J89" s="72">
        <v>216</v>
      </c>
      <c r="K89" s="72">
        <v>54963</v>
      </c>
      <c r="L89" s="72">
        <v>36642</v>
      </c>
      <c r="M89" s="72">
        <v>36642</v>
      </c>
      <c r="N89" s="72">
        <v>36642</v>
      </c>
      <c r="O89" s="72">
        <v>36642</v>
      </c>
      <c r="P89" s="72">
        <v>146567</v>
      </c>
      <c r="Q89" s="72">
        <v>146567</v>
      </c>
    </row>
    <row r="90" spans="1:17" ht="20" customHeight="1" x14ac:dyDescent="0.3">
      <c r="A90" s="71">
        <v>87</v>
      </c>
      <c r="B90" s="71">
        <v>1240</v>
      </c>
      <c r="C90" s="71">
        <f t="shared" si="2"/>
        <v>544392</v>
      </c>
      <c r="D90" s="72"/>
      <c r="E90" s="72"/>
      <c r="F90" s="72"/>
      <c r="G90" s="72"/>
      <c r="H90" s="72"/>
      <c r="I90" s="72">
        <v>29</v>
      </c>
      <c r="J90" s="72">
        <v>216</v>
      </c>
      <c r="K90" s="72">
        <v>60461</v>
      </c>
      <c r="L90" s="72">
        <v>40307</v>
      </c>
      <c r="M90" s="72">
        <v>40307</v>
      </c>
      <c r="N90" s="72">
        <v>40307</v>
      </c>
      <c r="O90" s="72">
        <v>40307</v>
      </c>
      <c r="P90" s="72">
        <v>161229</v>
      </c>
      <c r="Q90" s="72">
        <v>161229</v>
      </c>
    </row>
    <row r="91" spans="1:17" ht="20" customHeight="1" x14ac:dyDescent="0.3">
      <c r="A91" s="71">
        <v>88</v>
      </c>
      <c r="B91" s="71">
        <v>1260</v>
      </c>
      <c r="C91" s="71">
        <f t="shared" si="2"/>
        <v>598824</v>
      </c>
      <c r="D91" s="72"/>
      <c r="E91" s="72"/>
      <c r="F91" s="72"/>
      <c r="G91" s="72"/>
      <c r="H91" s="72"/>
      <c r="I91" s="72">
        <v>29</v>
      </c>
      <c r="J91" s="72">
        <v>216</v>
      </c>
      <c r="K91" s="72">
        <v>66509</v>
      </c>
      <c r="L91" s="72">
        <v>44339</v>
      </c>
      <c r="M91" s="72">
        <v>44339</v>
      </c>
      <c r="N91" s="72">
        <v>44339</v>
      </c>
      <c r="O91" s="72">
        <v>44339</v>
      </c>
      <c r="P91" s="72">
        <v>177357</v>
      </c>
      <c r="Q91" s="72">
        <v>177357</v>
      </c>
    </row>
    <row r="92" spans="1:17" ht="20" customHeight="1" x14ac:dyDescent="0.3">
      <c r="A92" s="71">
        <v>89</v>
      </c>
      <c r="B92" s="71">
        <v>1280</v>
      </c>
      <c r="C92" s="71">
        <f t="shared" si="2"/>
        <v>658705</v>
      </c>
      <c r="D92" s="72"/>
      <c r="E92" s="72"/>
      <c r="F92" s="72"/>
      <c r="G92" s="72"/>
      <c r="H92" s="72"/>
      <c r="I92" s="72">
        <v>29</v>
      </c>
      <c r="J92" s="72">
        <v>216</v>
      </c>
      <c r="K92" s="72">
        <v>73162</v>
      </c>
      <c r="L92" s="72">
        <v>48775</v>
      </c>
      <c r="M92" s="72">
        <v>48775</v>
      </c>
      <c r="N92" s="72">
        <v>48775</v>
      </c>
      <c r="O92" s="72">
        <v>48775</v>
      </c>
      <c r="P92" s="72">
        <v>195099</v>
      </c>
      <c r="Q92" s="72">
        <v>195099</v>
      </c>
    </row>
    <row r="93" spans="1:17" ht="20" customHeight="1" x14ac:dyDescent="0.3">
      <c r="A93" s="71">
        <v>90</v>
      </c>
      <c r="B93" s="71">
        <v>1300</v>
      </c>
      <c r="C93" s="71">
        <f t="shared" si="2"/>
        <v>724565</v>
      </c>
      <c r="D93" s="72"/>
      <c r="E93" s="72"/>
      <c r="F93" s="72"/>
      <c r="G93" s="72"/>
      <c r="H93" s="72"/>
      <c r="I93" s="72">
        <v>29</v>
      </c>
      <c r="J93" s="72">
        <v>216</v>
      </c>
      <c r="K93" s="72">
        <v>80480</v>
      </c>
      <c r="L93" s="72">
        <v>53653</v>
      </c>
      <c r="M93" s="72">
        <v>53653</v>
      </c>
      <c r="N93" s="72">
        <v>53653</v>
      </c>
      <c r="O93" s="72">
        <v>53653</v>
      </c>
      <c r="P93" s="72">
        <v>214614</v>
      </c>
      <c r="Q93" s="72">
        <v>214614</v>
      </c>
    </row>
    <row r="94" spans="1:17" ht="20" customHeight="1" x14ac:dyDescent="0.3">
      <c r="A94" s="71">
        <v>91</v>
      </c>
      <c r="B94" s="71">
        <v>1320</v>
      </c>
      <c r="C94" s="71">
        <f t="shared" si="2"/>
        <v>797017</v>
      </c>
      <c r="D94" s="72"/>
      <c r="E94" s="72"/>
      <c r="F94" s="72"/>
      <c r="G94" s="72"/>
      <c r="H94" s="72"/>
      <c r="I94" s="72">
        <v>29</v>
      </c>
      <c r="J94" s="72">
        <v>216</v>
      </c>
      <c r="K94" s="72">
        <v>88530</v>
      </c>
      <c r="L94" s="72">
        <v>59020</v>
      </c>
      <c r="M94" s="72">
        <v>59020</v>
      </c>
      <c r="N94" s="72">
        <v>59020</v>
      </c>
      <c r="O94" s="72">
        <v>59020</v>
      </c>
      <c r="P94" s="72">
        <v>236081</v>
      </c>
      <c r="Q94" s="72">
        <v>236081</v>
      </c>
    </row>
    <row r="95" spans="1:17" ht="20" customHeight="1" x14ac:dyDescent="0.3">
      <c r="A95" s="71">
        <v>92</v>
      </c>
      <c r="B95" s="71">
        <v>1340</v>
      </c>
      <c r="C95" s="71">
        <f t="shared" si="2"/>
        <v>876710</v>
      </c>
      <c r="D95" s="72"/>
      <c r="E95" s="72"/>
      <c r="F95" s="72"/>
      <c r="G95" s="72"/>
      <c r="H95" s="72"/>
      <c r="I95" s="72">
        <v>29</v>
      </c>
      <c r="J95" s="72">
        <v>216</v>
      </c>
      <c r="K95" s="72">
        <v>97385</v>
      </c>
      <c r="L95" s="72">
        <v>64923</v>
      </c>
      <c r="M95" s="72">
        <v>64923</v>
      </c>
      <c r="N95" s="72">
        <v>64923</v>
      </c>
      <c r="O95" s="72">
        <v>64923</v>
      </c>
      <c r="P95" s="72">
        <v>259694</v>
      </c>
      <c r="Q95" s="72">
        <v>259694</v>
      </c>
    </row>
    <row r="96" spans="1:17" ht="20" customHeight="1" x14ac:dyDescent="0.3">
      <c r="A96" s="71">
        <v>93</v>
      </c>
      <c r="B96" s="71">
        <v>1360</v>
      </c>
      <c r="C96" s="71">
        <f t="shared" si="2"/>
        <v>964377</v>
      </c>
      <c r="D96" s="72"/>
      <c r="E96" s="72"/>
      <c r="F96" s="72"/>
      <c r="G96" s="72"/>
      <c r="H96" s="72"/>
      <c r="I96" s="72">
        <v>29</v>
      </c>
      <c r="J96" s="72">
        <v>216</v>
      </c>
      <c r="K96" s="72">
        <v>107126</v>
      </c>
      <c r="L96" s="72">
        <v>71417</v>
      </c>
      <c r="M96" s="72">
        <v>71417</v>
      </c>
      <c r="N96" s="72">
        <v>71417</v>
      </c>
      <c r="O96" s="72">
        <v>71417</v>
      </c>
      <c r="P96" s="72">
        <v>285669</v>
      </c>
      <c r="Q96" s="72">
        <v>285669</v>
      </c>
    </row>
    <row r="97" spans="1:17" ht="20" customHeight="1" x14ac:dyDescent="0.3">
      <c r="A97" s="71">
        <v>94</v>
      </c>
      <c r="B97" s="71">
        <v>1380</v>
      </c>
      <c r="C97" s="71">
        <f t="shared" si="2"/>
        <v>1060807</v>
      </c>
      <c r="D97" s="72"/>
      <c r="E97" s="72"/>
      <c r="F97" s="72"/>
      <c r="G97" s="72"/>
      <c r="H97" s="72"/>
      <c r="I97" s="72">
        <v>29</v>
      </c>
      <c r="J97" s="72">
        <v>216</v>
      </c>
      <c r="K97" s="72">
        <v>117840</v>
      </c>
      <c r="L97" s="72">
        <v>78560</v>
      </c>
      <c r="M97" s="72">
        <v>78560</v>
      </c>
      <c r="N97" s="72">
        <v>78560</v>
      </c>
      <c r="O97" s="72">
        <v>78560</v>
      </c>
      <c r="P97" s="72">
        <v>314241</v>
      </c>
      <c r="Q97" s="72">
        <v>314241</v>
      </c>
    </row>
    <row r="98" spans="1:17" ht="20" customHeight="1" x14ac:dyDescent="0.3">
      <c r="A98" s="71">
        <v>95</v>
      </c>
      <c r="B98" s="71">
        <v>1400</v>
      </c>
      <c r="C98" s="71">
        <f t="shared" si="2"/>
        <v>1166883</v>
      </c>
      <c r="D98" s="72"/>
      <c r="E98" s="72"/>
      <c r="F98" s="72"/>
      <c r="G98" s="72"/>
      <c r="H98" s="72"/>
      <c r="I98" s="72">
        <v>29</v>
      </c>
      <c r="J98" s="72">
        <v>216</v>
      </c>
      <c r="K98" s="72">
        <v>129626</v>
      </c>
      <c r="L98" s="72">
        <v>86418</v>
      </c>
      <c r="M98" s="72">
        <v>86418</v>
      </c>
      <c r="N98" s="72">
        <v>86418</v>
      </c>
      <c r="O98" s="72">
        <v>86418</v>
      </c>
      <c r="P98" s="72">
        <v>345670</v>
      </c>
      <c r="Q98" s="72">
        <v>345670</v>
      </c>
    </row>
    <row r="99" spans="1:17" ht="20" customHeight="1" x14ac:dyDescent="0.3">
      <c r="A99" s="71">
        <v>96</v>
      </c>
      <c r="B99" s="71">
        <v>1420</v>
      </c>
      <c r="C99" s="71">
        <f t="shared" si="2"/>
        <v>1283566</v>
      </c>
      <c r="D99" s="72"/>
      <c r="E99" s="72"/>
      <c r="F99" s="72"/>
      <c r="G99" s="72"/>
      <c r="H99" s="72"/>
      <c r="I99" s="72">
        <v>29</v>
      </c>
      <c r="J99" s="72">
        <v>216</v>
      </c>
      <c r="K99" s="72">
        <v>142591</v>
      </c>
      <c r="L99" s="72">
        <v>95061</v>
      </c>
      <c r="M99" s="72">
        <v>95061</v>
      </c>
      <c r="N99" s="72">
        <v>95061</v>
      </c>
      <c r="O99" s="72">
        <v>95061</v>
      </c>
      <c r="P99" s="72">
        <v>380243</v>
      </c>
      <c r="Q99" s="72">
        <v>380243</v>
      </c>
    </row>
    <row r="100" spans="1:17" ht="20" customHeight="1" x14ac:dyDescent="0.3">
      <c r="A100" s="71">
        <v>97</v>
      </c>
      <c r="B100" s="71">
        <v>1440</v>
      </c>
      <c r="C100" s="71">
        <f t="shared" si="2"/>
        <v>1411915</v>
      </c>
      <c r="D100" s="72"/>
      <c r="E100" s="72"/>
      <c r="F100" s="72"/>
      <c r="G100" s="72"/>
      <c r="H100" s="72"/>
      <c r="I100" s="72">
        <v>29</v>
      </c>
      <c r="J100" s="72">
        <v>216</v>
      </c>
      <c r="K100" s="72">
        <v>156852</v>
      </c>
      <c r="L100" s="72">
        <v>104568</v>
      </c>
      <c r="M100" s="72">
        <v>104568</v>
      </c>
      <c r="N100" s="72">
        <v>104568</v>
      </c>
      <c r="O100" s="72">
        <v>104568</v>
      </c>
      <c r="P100" s="72">
        <v>418273</v>
      </c>
      <c r="Q100" s="72">
        <v>418273</v>
      </c>
    </row>
    <row r="101" spans="1:17" ht="20" customHeight="1" x14ac:dyDescent="0.3">
      <c r="A101" s="71">
        <v>98</v>
      </c>
      <c r="B101" s="71">
        <v>1460</v>
      </c>
      <c r="C101" s="71">
        <f t="shared" si="2"/>
        <v>1553098</v>
      </c>
      <c r="D101" s="72"/>
      <c r="E101" s="72"/>
      <c r="F101" s="72"/>
      <c r="G101" s="72"/>
      <c r="H101" s="72"/>
      <c r="I101" s="72">
        <v>29</v>
      </c>
      <c r="J101" s="72">
        <v>216</v>
      </c>
      <c r="K101" s="72">
        <v>172539</v>
      </c>
      <c r="L101" s="72">
        <v>115026</v>
      </c>
      <c r="M101" s="72">
        <v>115026</v>
      </c>
      <c r="N101" s="72">
        <v>115026</v>
      </c>
      <c r="O101" s="72">
        <v>115026</v>
      </c>
      <c r="P101" s="72">
        <v>460105</v>
      </c>
      <c r="Q101" s="72">
        <v>460105</v>
      </c>
    </row>
    <row r="102" spans="1:17" ht="20" customHeight="1" x14ac:dyDescent="0.3">
      <c r="A102" s="71">
        <v>99</v>
      </c>
      <c r="B102" s="71">
        <v>1480</v>
      </c>
      <c r="C102" s="71">
        <f t="shared" si="2"/>
        <v>1708402</v>
      </c>
      <c r="D102" s="72"/>
      <c r="E102" s="72"/>
      <c r="F102" s="72"/>
      <c r="G102" s="72"/>
      <c r="H102" s="72"/>
      <c r="I102" s="72">
        <v>29</v>
      </c>
      <c r="J102" s="72">
        <v>216</v>
      </c>
      <c r="K102" s="72">
        <v>189795</v>
      </c>
      <c r="L102" s="72">
        <v>126530</v>
      </c>
      <c r="M102" s="72">
        <v>126530</v>
      </c>
      <c r="N102" s="72">
        <v>126530</v>
      </c>
      <c r="O102" s="72">
        <v>126530</v>
      </c>
      <c r="P102" s="72">
        <v>506121</v>
      </c>
      <c r="Q102" s="72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E4" sqref="E4"/>
    </sheetView>
  </sheetViews>
  <sheetFormatPr defaultColWidth="9" defaultRowHeight="20" customHeight="1" x14ac:dyDescent="0.3"/>
  <cols>
    <col min="1" max="1" width="14.796875" customWidth="1"/>
    <col min="2" max="2" width="9.6640625" customWidth="1"/>
    <col min="3" max="5" width="14.6640625" customWidth="1"/>
    <col min="6" max="6" width="9.86328125" customWidth="1"/>
    <col min="7" max="7" width="14.6640625" customWidth="1"/>
    <col min="8" max="8" width="38.19921875" customWidth="1"/>
    <col min="9" max="9" width="11.796875" customWidth="1"/>
  </cols>
  <sheetData>
    <row r="2" spans="1:8" ht="36" customHeight="1" x14ac:dyDescent="0.3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spans="1:8" ht="20" customHeight="1" x14ac:dyDescent="0.3">
      <c r="A3" t="s">
        <v>194</v>
      </c>
      <c r="B3" t="s">
        <v>195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20" customHeight="1" x14ac:dyDescent="0.3">
      <c r="A4" t="s">
        <v>196</v>
      </c>
      <c r="B4" t="s">
        <v>195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20" customHeight="1" x14ac:dyDescent="0.3">
      <c r="A5" t="s">
        <v>197</v>
      </c>
      <c r="B5" t="s">
        <v>195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20" customHeight="1" x14ac:dyDescent="0.3">
      <c r="A6" t="s">
        <v>198</v>
      </c>
      <c r="B6" t="s">
        <v>199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20" customHeight="1" x14ac:dyDescent="0.3">
      <c r="A7" t="s">
        <v>200</v>
      </c>
      <c r="B7" t="s">
        <v>199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20" customHeight="1" x14ac:dyDescent="0.3">
      <c r="A8" t="s">
        <v>201</v>
      </c>
      <c r="B8" t="s">
        <v>199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20" customHeight="1" x14ac:dyDescent="0.3">
      <c r="A9" t="s">
        <v>202</v>
      </c>
      <c r="B9" t="s">
        <v>199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20" customHeight="1" x14ac:dyDescent="0.3">
      <c r="A10" t="s">
        <v>203</v>
      </c>
      <c r="B10" t="s">
        <v>199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20" customHeight="1" x14ac:dyDescent="0.3">
      <c r="A11" t="s">
        <v>204</v>
      </c>
      <c r="B11" t="s">
        <v>199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20" customHeight="1" x14ac:dyDescent="0.3">
      <c r="A12" t="s">
        <v>205</v>
      </c>
      <c r="B12" t="s">
        <v>206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20" customHeight="1" x14ac:dyDescent="0.3">
      <c r="A13" t="s">
        <v>207</v>
      </c>
      <c r="B13" t="s">
        <v>206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20" customHeight="1" x14ac:dyDescent="0.3">
      <c r="A14" t="s">
        <v>208</v>
      </c>
      <c r="B14" t="s">
        <v>206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20" customHeight="1" x14ac:dyDescent="0.3">
      <c r="A15" t="s">
        <v>209</v>
      </c>
      <c r="B15" t="s">
        <v>206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20" customHeight="1" x14ac:dyDescent="0.3">
      <c r="A19" t="s">
        <v>210</v>
      </c>
      <c r="B19" t="s">
        <v>199</v>
      </c>
      <c r="H19" t="s">
        <v>211</v>
      </c>
    </row>
    <row r="21" spans="1:8" ht="20" customHeight="1" x14ac:dyDescent="0.3">
      <c r="A21" s="89" t="s">
        <v>212</v>
      </c>
      <c r="B21" s="90"/>
      <c r="C21" s="90"/>
      <c r="D21" s="90"/>
      <c r="E21" s="90"/>
      <c r="F21" s="90"/>
      <c r="G21" s="90"/>
      <c r="H21" s="90"/>
    </row>
    <row r="22" spans="1:8" ht="40.049999999999997" customHeight="1" x14ac:dyDescent="0.3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213</v>
      </c>
      <c r="H22" s="2" t="s">
        <v>193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workbookViewId="0">
      <selection activeCell="J5" sqref="J5"/>
    </sheetView>
  </sheetViews>
  <sheetFormatPr defaultColWidth="9" defaultRowHeight="20" customHeight="1" x14ac:dyDescent="0.3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6328125" style="1" customWidth="1"/>
    <col min="15" max="15" width="13.6640625" customWidth="1"/>
    <col min="16" max="16" width="16.86328125" customWidth="1"/>
  </cols>
  <sheetData>
    <row r="1" spans="1:16" ht="40.049999999999997" customHeight="1" x14ac:dyDescent="0.3">
      <c r="A1" s="91"/>
      <c r="B1" s="92"/>
      <c r="C1" s="9" t="s">
        <v>214</v>
      </c>
      <c r="D1" s="2">
        <v>68</v>
      </c>
    </row>
    <row r="2" spans="1:16" ht="20" customHeight="1" x14ac:dyDescent="0.3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spans="1:16" ht="20" customHeight="1" x14ac:dyDescent="0.3">
      <c r="A3" t="s">
        <v>222</v>
      </c>
      <c r="B3" s="49" t="s">
        <v>223</v>
      </c>
      <c r="C3" s="53" t="s">
        <v>224</v>
      </c>
      <c r="D3" s="54">
        <v>5</v>
      </c>
      <c r="E3" s="53" t="s">
        <v>225</v>
      </c>
      <c r="F3" s="54">
        <v>5</v>
      </c>
      <c r="G3" s="53" t="s">
        <v>225</v>
      </c>
      <c r="H3" s="54">
        <v>5</v>
      </c>
      <c r="I3" s="53" t="s">
        <v>226</v>
      </c>
      <c r="J3" s="54">
        <v>8</v>
      </c>
      <c r="K3" s="53"/>
      <c r="L3" s="54"/>
      <c r="M3" s="1" t="s">
        <v>127</v>
      </c>
      <c r="N3" s="1"/>
      <c r="P3" t="str">
        <f t="shared" ref="P3:P11" si="0">"building_"&amp;B3</f>
        <v>building_食品厂</v>
      </c>
    </row>
    <row r="4" spans="1:16" ht="20" customHeight="1" x14ac:dyDescent="0.3">
      <c r="A4" t="s">
        <v>222</v>
      </c>
      <c r="B4" s="49" t="s">
        <v>227</v>
      </c>
      <c r="C4" s="53" t="s">
        <v>224</v>
      </c>
      <c r="D4" s="54">
        <v>5</v>
      </c>
      <c r="E4" s="53" t="s">
        <v>225</v>
      </c>
      <c r="F4" s="54">
        <v>5</v>
      </c>
      <c r="G4" s="53" t="s">
        <v>225</v>
      </c>
      <c r="H4" s="54">
        <v>5</v>
      </c>
      <c r="I4" s="53" t="s">
        <v>226</v>
      </c>
      <c r="J4" s="54">
        <v>8</v>
      </c>
      <c r="K4" s="53"/>
      <c r="L4" s="54"/>
      <c r="M4" s="1" t="s">
        <v>132</v>
      </c>
      <c r="N4" s="1"/>
      <c r="P4" t="str">
        <f t="shared" si="0"/>
        <v>building_酿酒厂</v>
      </c>
    </row>
    <row r="5" spans="1:16" ht="20" customHeight="1" x14ac:dyDescent="0.3">
      <c r="A5" t="s">
        <v>222</v>
      </c>
      <c r="B5" s="49" t="s">
        <v>228</v>
      </c>
      <c r="C5" s="53" t="s">
        <v>224</v>
      </c>
      <c r="D5" s="54">
        <v>5</v>
      </c>
      <c r="E5" s="53" t="s">
        <v>225</v>
      </c>
      <c r="F5" s="54">
        <v>5</v>
      </c>
      <c r="G5" s="53" t="s">
        <v>225</v>
      </c>
      <c r="H5" s="54">
        <v>5</v>
      </c>
      <c r="I5" s="53" t="s">
        <v>226</v>
      </c>
      <c r="J5" s="54">
        <v>8</v>
      </c>
      <c r="K5" s="53"/>
      <c r="L5" s="54"/>
      <c r="M5" s="1" t="s">
        <v>141</v>
      </c>
      <c r="N5" s="1"/>
      <c r="P5" t="str">
        <f t="shared" si="0"/>
        <v>building_造纸厂</v>
      </c>
    </row>
    <row r="6" spans="1:16" ht="20" customHeight="1" x14ac:dyDescent="0.3">
      <c r="A6" t="s">
        <v>222</v>
      </c>
      <c r="B6" s="49" t="s">
        <v>229</v>
      </c>
      <c r="C6" s="53" t="s">
        <v>224</v>
      </c>
      <c r="D6" s="54">
        <v>5</v>
      </c>
      <c r="E6" s="53" t="s">
        <v>230</v>
      </c>
      <c r="F6" s="54">
        <v>5</v>
      </c>
      <c r="G6" s="53" t="s">
        <v>225</v>
      </c>
      <c r="H6" s="54">
        <v>5</v>
      </c>
      <c r="I6" s="53" t="s">
        <v>225</v>
      </c>
      <c r="J6" s="54">
        <v>5</v>
      </c>
      <c r="K6" s="53" t="s">
        <v>226</v>
      </c>
      <c r="L6" s="54">
        <v>8</v>
      </c>
      <c r="M6" s="1" t="s">
        <v>130</v>
      </c>
      <c r="N6" s="1" t="s">
        <v>231</v>
      </c>
      <c r="P6" t="str">
        <f t="shared" si="0"/>
        <v>building_纺织厂</v>
      </c>
    </row>
    <row r="7" spans="1:16" ht="20" customHeight="1" x14ac:dyDescent="0.3">
      <c r="A7" t="s">
        <v>222</v>
      </c>
      <c r="B7" s="49" t="s">
        <v>232</v>
      </c>
      <c r="C7" s="53" t="s">
        <v>224</v>
      </c>
      <c r="D7" s="54">
        <v>5</v>
      </c>
      <c r="E7" s="53" t="s">
        <v>230</v>
      </c>
      <c r="F7" s="54">
        <v>5</v>
      </c>
      <c r="G7" s="53" t="s">
        <v>225</v>
      </c>
      <c r="H7" s="54">
        <v>5</v>
      </c>
      <c r="I7" s="53" t="s">
        <v>225</v>
      </c>
      <c r="J7" s="54">
        <v>5</v>
      </c>
      <c r="K7" s="53" t="s">
        <v>226</v>
      </c>
      <c r="L7" s="54">
        <v>8</v>
      </c>
      <c r="M7" s="1" t="s">
        <v>131</v>
      </c>
      <c r="N7" s="1" t="s">
        <v>135</v>
      </c>
      <c r="P7" t="str">
        <f t="shared" si="0"/>
        <v>building_家具厂</v>
      </c>
    </row>
    <row r="8" spans="1:16" ht="20" customHeight="1" x14ac:dyDescent="0.3">
      <c r="A8" t="s">
        <v>222</v>
      </c>
      <c r="B8" s="49" t="s">
        <v>233</v>
      </c>
      <c r="C8" s="53" t="s">
        <v>224</v>
      </c>
      <c r="D8" s="54">
        <v>5</v>
      </c>
      <c r="E8" s="53" t="s">
        <v>230</v>
      </c>
      <c r="F8" s="54">
        <v>5</v>
      </c>
      <c r="G8" s="53" t="s">
        <v>225</v>
      </c>
      <c r="H8" s="54">
        <v>5</v>
      </c>
      <c r="I8" s="53" t="s">
        <v>225</v>
      </c>
      <c r="J8" s="54">
        <v>5</v>
      </c>
      <c r="K8" s="53" t="s">
        <v>226</v>
      </c>
      <c r="L8" s="54">
        <v>8</v>
      </c>
      <c r="M8" s="1" t="s">
        <v>129</v>
      </c>
      <c r="N8" s="1" t="s">
        <v>234</v>
      </c>
      <c r="P8" t="str">
        <f t="shared" si="0"/>
        <v>building_玻璃厂</v>
      </c>
    </row>
    <row r="9" spans="1:16" ht="20" customHeight="1" x14ac:dyDescent="0.3">
      <c r="A9" t="s">
        <v>222</v>
      </c>
      <c r="B9" s="49" t="s">
        <v>235</v>
      </c>
      <c r="C9" s="53" t="s">
        <v>224</v>
      </c>
      <c r="D9" s="54">
        <v>5</v>
      </c>
      <c r="E9" s="53" t="s">
        <v>230</v>
      </c>
      <c r="F9" s="54">
        <v>5</v>
      </c>
      <c r="G9" s="53" t="s">
        <v>225</v>
      </c>
      <c r="H9" s="54">
        <v>5</v>
      </c>
      <c r="I9" s="53" t="s">
        <v>225</v>
      </c>
      <c r="J9" s="54">
        <v>5</v>
      </c>
      <c r="K9" s="53" t="s">
        <v>226</v>
      </c>
      <c r="L9" s="54">
        <v>8</v>
      </c>
      <c r="M9" s="1" t="s">
        <v>143</v>
      </c>
      <c r="N9" s="1" t="s">
        <v>149</v>
      </c>
      <c r="P9" t="str">
        <f t="shared" si="0"/>
        <v>building_化工厂</v>
      </c>
    </row>
    <row r="10" spans="1:16" ht="20" customHeight="1" x14ac:dyDescent="0.3">
      <c r="A10" t="s">
        <v>222</v>
      </c>
      <c r="B10" s="49" t="s">
        <v>236</v>
      </c>
      <c r="C10" s="53" t="s">
        <v>224</v>
      </c>
      <c r="D10" s="54">
        <v>5</v>
      </c>
      <c r="E10" s="53" t="s">
        <v>225</v>
      </c>
      <c r="F10" s="54">
        <v>5</v>
      </c>
      <c r="G10" s="53" t="s">
        <v>225</v>
      </c>
      <c r="H10" s="54">
        <v>5</v>
      </c>
      <c r="I10" s="53" t="s">
        <v>226</v>
      </c>
      <c r="J10" s="54">
        <v>8</v>
      </c>
      <c r="K10" s="53"/>
      <c r="L10" s="54"/>
      <c r="M10" s="1" t="s">
        <v>146</v>
      </c>
      <c r="N10" s="1"/>
      <c r="P10" t="str">
        <f t="shared" si="0"/>
        <v>building_工具作坊</v>
      </c>
    </row>
    <row r="11" spans="1:16" ht="20" customHeight="1" x14ac:dyDescent="0.3">
      <c r="A11" t="s">
        <v>222</v>
      </c>
      <c r="B11" s="49" t="s">
        <v>237</v>
      </c>
      <c r="C11" s="53" t="s">
        <v>224</v>
      </c>
      <c r="D11" s="54">
        <v>5</v>
      </c>
      <c r="E11" s="53" t="s">
        <v>225</v>
      </c>
      <c r="F11" s="54">
        <v>5</v>
      </c>
      <c r="G11" s="53" t="s">
        <v>225</v>
      </c>
      <c r="H11" s="54">
        <v>5</v>
      </c>
      <c r="I11" s="53" t="s">
        <v>226</v>
      </c>
      <c r="J11" s="54">
        <v>8</v>
      </c>
      <c r="K11" s="53"/>
      <c r="L11" s="54"/>
      <c r="M11" s="1" t="s">
        <v>147</v>
      </c>
      <c r="N11" s="1"/>
      <c r="P11" t="str">
        <f t="shared" si="0"/>
        <v>building_魔偶工厂</v>
      </c>
    </row>
    <row r="12" spans="1:16" ht="20" customHeight="1" x14ac:dyDescent="0.3">
      <c r="A12" t="s">
        <v>222</v>
      </c>
      <c r="B12" s="49" t="s">
        <v>238</v>
      </c>
      <c r="C12" s="53" t="s">
        <v>224</v>
      </c>
      <c r="D12" s="54">
        <v>5</v>
      </c>
      <c r="E12" s="53" t="s">
        <v>230</v>
      </c>
      <c r="F12" s="54">
        <v>5</v>
      </c>
      <c r="G12" s="53" t="s">
        <v>225</v>
      </c>
      <c r="H12" s="54">
        <v>5</v>
      </c>
      <c r="I12" s="53" t="s">
        <v>225</v>
      </c>
      <c r="J12" s="54">
        <v>5</v>
      </c>
      <c r="K12" s="53" t="s">
        <v>226</v>
      </c>
      <c r="L12" s="54">
        <v>8</v>
      </c>
      <c r="P12" t="str">
        <f t="shared" ref="P12:P34" si="1">"building_"&amp;B12</f>
        <v>building_科学武器厂</v>
      </c>
    </row>
    <row r="13" spans="1:16" ht="20" customHeight="1" x14ac:dyDescent="0.3">
      <c r="A13" t="s">
        <v>222</v>
      </c>
      <c r="B13" s="49" t="s">
        <v>239</v>
      </c>
      <c r="C13" s="53" t="s">
        <v>224</v>
      </c>
      <c r="D13" s="54">
        <v>5</v>
      </c>
      <c r="E13" s="53" t="s">
        <v>230</v>
      </c>
      <c r="F13" s="54">
        <v>5</v>
      </c>
      <c r="G13" s="53" t="s">
        <v>225</v>
      </c>
      <c r="H13" s="54">
        <v>5</v>
      </c>
      <c r="I13" s="53" t="s">
        <v>225</v>
      </c>
      <c r="J13" s="54">
        <v>5</v>
      </c>
      <c r="K13" s="53" t="s">
        <v>226</v>
      </c>
      <c r="L13" s="54">
        <v>8</v>
      </c>
      <c r="P13" t="str">
        <f t="shared" si="1"/>
        <v>building_魔导武器厂</v>
      </c>
    </row>
    <row r="14" spans="1:16" ht="20" customHeight="1" x14ac:dyDescent="0.3">
      <c r="M14"/>
    </row>
    <row r="15" spans="1:16" ht="20" customHeight="1" x14ac:dyDescent="0.3">
      <c r="A15" t="s">
        <v>240</v>
      </c>
      <c r="B15" s="49" t="s">
        <v>241</v>
      </c>
      <c r="C15" s="53" t="s">
        <v>224</v>
      </c>
      <c r="D15" s="54">
        <v>5</v>
      </c>
      <c r="E15" s="53" t="s">
        <v>225</v>
      </c>
      <c r="F15" s="54">
        <v>5</v>
      </c>
      <c r="G15" s="53" t="s">
        <v>225</v>
      </c>
      <c r="H15" s="54">
        <v>5</v>
      </c>
      <c r="I15" s="53" t="s">
        <v>226</v>
      </c>
      <c r="J15" s="54">
        <v>8</v>
      </c>
      <c r="K15" s="53"/>
      <c r="L15" s="54"/>
      <c r="P15" t="str">
        <f t="shared" si="1"/>
        <v>building_合成材料工厂</v>
      </c>
    </row>
    <row r="16" spans="1:16" ht="20" customHeight="1" x14ac:dyDescent="0.3">
      <c r="A16" t="s">
        <v>240</v>
      </c>
      <c r="B16" s="49" t="s">
        <v>242</v>
      </c>
      <c r="C16" s="53" t="s">
        <v>224</v>
      </c>
      <c r="D16" s="54">
        <v>5</v>
      </c>
      <c r="E16" s="53" t="s">
        <v>225</v>
      </c>
      <c r="F16" s="54">
        <v>5</v>
      </c>
      <c r="G16" s="53" t="s">
        <v>225</v>
      </c>
      <c r="H16" s="54">
        <v>5</v>
      </c>
      <c r="I16" s="53" t="s">
        <v>226</v>
      </c>
      <c r="J16" s="54">
        <v>8</v>
      </c>
      <c r="K16" s="53"/>
      <c r="L16" s="54"/>
      <c r="M16" s="1" t="s">
        <v>144</v>
      </c>
      <c r="N16" s="1"/>
      <c r="P16" t="str">
        <f t="shared" si="1"/>
        <v>building_钢铁厂</v>
      </c>
    </row>
    <row r="17" spans="1:16" ht="20" customHeight="1" x14ac:dyDescent="0.3">
      <c r="A17" t="s">
        <v>240</v>
      </c>
      <c r="B17" s="49" t="s">
        <v>243</v>
      </c>
      <c r="C17" s="53" t="s">
        <v>224</v>
      </c>
      <c r="D17" s="54">
        <v>5</v>
      </c>
      <c r="E17" s="53" t="s">
        <v>225</v>
      </c>
      <c r="F17" s="54">
        <v>5</v>
      </c>
      <c r="G17" s="53" t="s">
        <v>225</v>
      </c>
      <c r="H17" s="54">
        <v>5</v>
      </c>
      <c r="I17" s="53" t="s">
        <v>226</v>
      </c>
      <c r="J17" s="54">
        <v>8</v>
      </c>
      <c r="K17" s="53"/>
      <c r="L17" s="54"/>
      <c r="M17" s="1" t="s">
        <v>145</v>
      </c>
      <c r="N17" s="1"/>
      <c r="P17" t="str">
        <f t="shared" si="1"/>
        <v>building_炼金厂</v>
      </c>
    </row>
    <row r="18" spans="1:16" ht="20" customHeight="1" x14ac:dyDescent="0.3">
      <c r="A18" t="s">
        <v>240</v>
      </c>
      <c r="B18" s="49" t="s">
        <v>244</v>
      </c>
      <c r="C18" s="53" t="s">
        <v>224</v>
      </c>
      <c r="D18" s="54">
        <v>5</v>
      </c>
      <c r="E18" s="53" t="s">
        <v>225</v>
      </c>
      <c r="F18" s="54">
        <v>5</v>
      </c>
      <c r="G18" s="53" t="s">
        <v>225</v>
      </c>
      <c r="H18" s="54">
        <v>5</v>
      </c>
      <c r="I18" s="53" t="s">
        <v>226</v>
      </c>
      <c r="J18" s="54">
        <v>8</v>
      </c>
      <c r="K18" s="53"/>
      <c r="L18" s="54"/>
      <c r="M18" s="1" t="s">
        <v>123</v>
      </c>
      <c r="N18" s="1"/>
      <c r="P18" t="str">
        <f t="shared" si="1"/>
        <v>building_晶体萃取厂</v>
      </c>
    </row>
    <row r="19" spans="1:16" ht="20" customHeight="1" x14ac:dyDescent="0.3">
      <c r="A19" t="s">
        <v>240</v>
      </c>
      <c r="B19" s="49" t="s">
        <v>245</v>
      </c>
      <c r="C19" s="53" t="s">
        <v>224</v>
      </c>
      <c r="D19" s="54">
        <v>5</v>
      </c>
      <c r="E19" s="53" t="s">
        <v>225</v>
      </c>
      <c r="F19" s="54">
        <v>5</v>
      </c>
      <c r="G19" s="53" t="s">
        <v>225</v>
      </c>
      <c r="H19" s="54">
        <v>5</v>
      </c>
      <c r="I19" s="53" t="s">
        <v>226</v>
      </c>
      <c r="J19" s="54">
        <v>8</v>
      </c>
      <c r="K19" s="53"/>
      <c r="L19" s="54"/>
      <c r="M19" s="1" t="s">
        <v>150</v>
      </c>
      <c r="N19" s="1"/>
      <c r="P19" t="str">
        <f t="shared" si="1"/>
        <v>building_科学动力厂</v>
      </c>
    </row>
    <row r="20" spans="1:16" ht="20" customHeight="1" x14ac:dyDescent="0.3">
      <c r="A20" t="s">
        <v>240</v>
      </c>
      <c r="B20" s="49" t="s">
        <v>246</v>
      </c>
      <c r="C20" s="53" t="s">
        <v>224</v>
      </c>
      <c r="D20" s="54">
        <v>5</v>
      </c>
      <c r="E20" s="53" t="s">
        <v>225</v>
      </c>
      <c r="F20" s="54">
        <v>5</v>
      </c>
      <c r="G20" s="53" t="s">
        <v>225</v>
      </c>
      <c r="H20" s="54">
        <v>5</v>
      </c>
      <c r="I20" s="53" t="s">
        <v>226</v>
      </c>
      <c r="J20" s="54">
        <v>8</v>
      </c>
      <c r="K20" s="53"/>
      <c r="L20" s="54"/>
      <c r="M20" s="1" t="s">
        <v>151</v>
      </c>
      <c r="N20" s="1"/>
      <c r="P20" t="str">
        <f t="shared" si="1"/>
        <v>building_魔导动力厂</v>
      </c>
    </row>
    <row r="21" spans="1:16" ht="20" customHeight="1" x14ac:dyDescent="0.3">
      <c r="A21" t="s">
        <v>240</v>
      </c>
      <c r="B21" s="49" t="s">
        <v>247</v>
      </c>
      <c r="C21" s="53" t="s">
        <v>224</v>
      </c>
      <c r="D21" s="54">
        <v>5</v>
      </c>
      <c r="E21" s="53" t="s">
        <v>230</v>
      </c>
      <c r="F21" s="54">
        <v>5</v>
      </c>
      <c r="G21" s="53" t="s">
        <v>225</v>
      </c>
      <c r="H21" s="54">
        <v>5</v>
      </c>
      <c r="I21" s="53" t="s">
        <v>225</v>
      </c>
      <c r="J21" s="54">
        <v>5</v>
      </c>
      <c r="K21" s="53" t="s">
        <v>226</v>
      </c>
      <c r="L21" s="54">
        <v>8</v>
      </c>
      <c r="P21" t="str">
        <f t="shared" si="1"/>
        <v>building_魔能军械厂</v>
      </c>
    </row>
    <row r="22" spans="1:16" ht="20" customHeight="1" x14ac:dyDescent="0.3">
      <c r="A22" t="s">
        <v>240</v>
      </c>
      <c r="B22" s="49" t="s">
        <v>248</v>
      </c>
      <c r="C22" s="53" t="s">
        <v>224</v>
      </c>
      <c r="D22" s="54">
        <v>5</v>
      </c>
      <c r="E22" s="53" t="s">
        <v>230</v>
      </c>
      <c r="F22" s="54">
        <v>5</v>
      </c>
      <c r="G22" s="53" t="s">
        <v>225</v>
      </c>
      <c r="H22" s="54">
        <v>5</v>
      </c>
      <c r="I22" s="53" t="s">
        <v>225</v>
      </c>
      <c r="J22" s="54">
        <v>5</v>
      </c>
      <c r="K22" s="53" t="s">
        <v>226</v>
      </c>
      <c r="L22" s="54">
        <v>8</v>
      </c>
      <c r="P22" t="str">
        <f t="shared" si="1"/>
        <v>building_科学军械厂</v>
      </c>
    </row>
    <row r="23" spans="1:16" ht="20" customHeight="1" x14ac:dyDescent="0.3">
      <c r="M23"/>
    </row>
    <row r="24" spans="1:16" ht="20" customHeight="1" x14ac:dyDescent="0.3">
      <c r="A24" t="s">
        <v>249</v>
      </c>
      <c r="B24" s="49" t="s">
        <v>250</v>
      </c>
      <c r="C24" s="53" t="s">
        <v>224</v>
      </c>
      <c r="D24" s="54">
        <v>5</v>
      </c>
      <c r="E24" s="53" t="s">
        <v>226</v>
      </c>
      <c r="F24" s="54">
        <v>5</v>
      </c>
      <c r="G24" s="53" t="s">
        <v>251</v>
      </c>
      <c r="H24" s="54"/>
      <c r="I24" s="53"/>
      <c r="J24" s="54"/>
      <c r="K24" s="53"/>
      <c r="L24" s="54"/>
      <c r="M24" s="1" t="s">
        <v>148</v>
      </c>
      <c r="P24" t="str">
        <f t="shared" si="1"/>
        <v>building_道路</v>
      </c>
    </row>
    <row r="25" spans="1:16" ht="20" customHeight="1" x14ac:dyDescent="0.3">
      <c r="A25" t="s">
        <v>249</v>
      </c>
      <c r="B25" s="49" t="s">
        <v>252</v>
      </c>
      <c r="C25" s="53" t="s">
        <v>224</v>
      </c>
      <c r="D25" s="54">
        <v>5</v>
      </c>
      <c r="E25" s="53" t="s">
        <v>226</v>
      </c>
      <c r="F25" s="54">
        <v>5</v>
      </c>
      <c r="G25" s="53" t="s">
        <v>251</v>
      </c>
      <c r="H25" s="54"/>
      <c r="I25" s="53"/>
      <c r="J25" s="54"/>
      <c r="K25" s="53"/>
      <c r="L25" s="54"/>
      <c r="M25" s="1" t="s">
        <v>148</v>
      </c>
      <c r="P25" t="str">
        <f t="shared" si="1"/>
        <v>building_铁路</v>
      </c>
    </row>
    <row r="26" spans="1:16" ht="20" customHeight="1" x14ac:dyDescent="0.3">
      <c r="A26" t="s">
        <v>249</v>
      </c>
      <c r="B26" s="49" t="s">
        <v>253</v>
      </c>
      <c r="C26" s="53" t="s">
        <v>224</v>
      </c>
      <c r="D26" s="54">
        <v>5</v>
      </c>
      <c r="E26" s="53" t="s">
        <v>226</v>
      </c>
      <c r="F26" s="54">
        <v>5</v>
      </c>
      <c r="G26" s="53" t="s">
        <v>251</v>
      </c>
      <c r="H26" s="54"/>
      <c r="I26" s="53"/>
      <c r="J26" s="54"/>
      <c r="K26" s="53"/>
      <c r="L26" s="54"/>
      <c r="M26" s="1" t="s">
        <v>148</v>
      </c>
      <c r="P26" t="str">
        <f t="shared" si="1"/>
        <v>building_传送阵</v>
      </c>
    </row>
    <row r="27" spans="1:16" ht="20" customHeight="1" x14ac:dyDescent="0.3">
      <c r="A27" t="s">
        <v>249</v>
      </c>
      <c r="B27" s="49" t="s">
        <v>254</v>
      </c>
      <c r="C27" s="53"/>
      <c r="D27" s="54"/>
      <c r="E27" s="53"/>
      <c r="F27" s="54"/>
      <c r="G27" s="53"/>
      <c r="H27" s="54"/>
      <c r="I27" s="53"/>
      <c r="J27" s="54"/>
      <c r="K27" s="53"/>
      <c r="L27" s="54"/>
      <c r="P27" t="str">
        <f t="shared" si="1"/>
        <v>building_贸易中心</v>
      </c>
    </row>
    <row r="28" spans="1:16" ht="20" customHeight="1" x14ac:dyDescent="0.3">
      <c r="M28"/>
    </row>
    <row r="29" spans="1:16" ht="20" customHeight="1" x14ac:dyDescent="0.3">
      <c r="A29" t="s">
        <v>249</v>
      </c>
      <c r="B29" s="49" t="s">
        <v>255</v>
      </c>
      <c r="C29" s="53" t="s">
        <v>224</v>
      </c>
      <c r="D29" s="54">
        <v>5</v>
      </c>
      <c r="E29" s="53" t="s">
        <v>226</v>
      </c>
      <c r="F29" s="54">
        <v>8</v>
      </c>
      <c r="G29" s="53" t="s">
        <v>226</v>
      </c>
      <c r="H29" s="54">
        <v>8</v>
      </c>
      <c r="I29" s="53"/>
      <c r="J29" s="54"/>
      <c r="K29" s="53"/>
      <c r="L29" s="54"/>
      <c r="M29" s="1" t="s">
        <v>128</v>
      </c>
      <c r="P29" t="str">
        <f t="shared" si="1"/>
        <v>building_艺术学院</v>
      </c>
    </row>
    <row r="30" spans="1:16" ht="20" customHeight="1" x14ac:dyDescent="0.3">
      <c r="A30" t="s">
        <v>249</v>
      </c>
      <c r="B30" s="49" t="s">
        <v>256</v>
      </c>
      <c r="C30" s="53" t="s">
        <v>224</v>
      </c>
      <c r="D30" s="54">
        <v>5</v>
      </c>
      <c r="E30" s="53" t="s">
        <v>224</v>
      </c>
      <c r="F30" s="54">
        <v>5</v>
      </c>
      <c r="G30" s="53" t="s">
        <v>257</v>
      </c>
      <c r="H30" s="54">
        <v>5</v>
      </c>
      <c r="I30" s="53" t="s">
        <v>226</v>
      </c>
      <c r="J30" s="54">
        <v>8</v>
      </c>
      <c r="K30" s="53"/>
      <c r="L30" s="54"/>
      <c r="M30" s="1" t="s">
        <v>128</v>
      </c>
      <c r="P30" t="str">
        <f t="shared" si="1"/>
        <v>building_城镇中心</v>
      </c>
    </row>
    <row r="31" spans="1:16" ht="20" customHeight="1" x14ac:dyDescent="0.3">
      <c r="M31"/>
    </row>
    <row r="32" spans="1:16" ht="20" customHeight="1" x14ac:dyDescent="0.3">
      <c r="A32" t="s">
        <v>249</v>
      </c>
      <c r="B32" s="49" t="s">
        <v>258</v>
      </c>
      <c r="C32" s="53" t="s">
        <v>224</v>
      </c>
      <c r="D32" s="54">
        <v>5</v>
      </c>
      <c r="E32" s="53"/>
      <c r="F32" s="54"/>
      <c r="G32" s="53"/>
      <c r="H32" s="54"/>
      <c r="I32" s="53"/>
      <c r="J32" s="54"/>
      <c r="K32" s="53"/>
      <c r="L32" s="54"/>
      <c r="M32" s="1" t="s">
        <v>164</v>
      </c>
      <c r="P32" t="str">
        <f t="shared" si="1"/>
        <v>building_建造部门</v>
      </c>
    </row>
    <row r="33" spans="1:16" ht="20" customHeight="1" x14ac:dyDescent="0.3">
      <c r="M33"/>
    </row>
    <row r="34" spans="1:16" ht="20" customHeight="1" x14ac:dyDescent="0.3">
      <c r="A34" t="s">
        <v>240</v>
      </c>
      <c r="B34" s="49" t="s">
        <v>259</v>
      </c>
      <c r="C34" s="53" t="s">
        <v>224</v>
      </c>
      <c r="D34" s="54">
        <v>5</v>
      </c>
      <c r="E34" s="53" t="s">
        <v>226</v>
      </c>
      <c r="F34" s="54">
        <v>8</v>
      </c>
      <c r="G34" s="53"/>
      <c r="H34" s="54"/>
      <c r="I34" s="53"/>
      <c r="J34" s="54"/>
      <c r="K34" s="53"/>
      <c r="L34" s="54"/>
      <c r="P34" t="str">
        <f t="shared" si="1"/>
        <v>building_港口</v>
      </c>
    </row>
    <row r="35" spans="1:16" ht="20" customHeight="1" x14ac:dyDescent="0.3">
      <c r="A35" t="s">
        <v>240</v>
      </c>
      <c r="B35" s="49" t="s">
        <v>260</v>
      </c>
      <c r="C35" s="53" t="s">
        <v>224</v>
      </c>
      <c r="D35" s="54">
        <v>5</v>
      </c>
      <c r="E35" s="53" t="s">
        <v>226</v>
      </c>
      <c r="F35" s="54">
        <v>8</v>
      </c>
      <c r="G35" s="53" t="s">
        <v>226</v>
      </c>
      <c r="H35" s="54">
        <v>8</v>
      </c>
      <c r="I35" s="53"/>
      <c r="J35" s="54"/>
      <c r="K35" s="53"/>
      <c r="L35" s="54"/>
      <c r="P35" t="str">
        <f t="shared" ref="P35:P62" si="2">"building_"&amp;B35</f>
        <v>building_行政机构</v>
      </c>
    </row>
    <row r="36" spans="1:16" ht="20" customHeight="1" x14ac:dyDescent="0.3">
      <c r="A36" t="s">
        <v>240</v>
      </c>
      <c r="B36" s="49" t="s">
        <v>261</v>
      </c>
      <c r="C36" s="53" t="s">
        <v>224</v>
      </c>
      <c r="D36" s="54">
        <v>5</v>
      </c>
      <c r="E36" s="53" t="s">
        <v>226</v>
      </c>
      <c r="F36" s="54">
        <v>8</v>
      </c>
      <c r="G36" s="53" t="s">
        <v>226</v>
      </c>
      <c r="H36" s="54">
        <v>8</v>
      </c>
      <c r="I36" s="53"/>
      <c r="J36" s="54"/>
      <c r="K36" s="53"/>
      <c r="L36" s="54"/>
      <c r="P36" t="str">
        <f t="shared" si="2"/>
        <v>building_大学</v>
      </c>
    </row>
    <row r="37" spans="1:16" ht="20" customHeight="1" x14ac:dyDescent="0.3">
      <c r="M37"/>
    </row>
    <row r="38" spans="1:16" ht="20" customHeight="1" x14ac:dyDescent="0.3">
      <c r="A38" t="s">
        <v>262</v>
      </c>
      <c r="B38" s="49" t="s">
        <v>263</v>
      </c>
      <c r="C38" s="53" t="s">
        <v>224</v>
      </c>
      <c r="D38" s="54">
        <v>5</v>
      </c>
      <c r="E38" s="53" t="s">
        <v>230</v>
      </c>
      <c r="F38" s="54">
        <v>5</v>
      </c>
      <c r="G38" s="53" t="s">
        <v>225</v>
      </c>
      <c r="H38" s="54">
        <v>5</v>
      </c>
      <c r="I38" s="53" t="s">
        <v>225</v>
      </c>
      <c r="J38" s="54">
        <v>5</v>
      </c>
      <c r="K38" s="53" t="s">
        <v>226</v>
      </c>
      <c r="L38" s="54">
        <v>8</v>
      </c>
      <c r="P38" t="str">
        <f t="shared" si="2"/>
        <v>building_煤矿</v>
      </c>
    </row>
    <row r="39" spans="1:16" ht="20" customHeight="1" x14ac:dyDescent="0.3">
      <c r="A39" t="s">
        <v>262</v>
      </c>
      <c r="B39" s="49" t="s">
        <v>264</v>
      </c>
      <c r="C39" s="53" t="s">
        <v>224</v>
      </c>
      <c r="D39" s="54">
        <v>5</v>
      </c>
      <c r="E39" s="53" t="s">
        <v>230</v>
      </c>
      <c r="F39" s="54">
        <v>5</v>
      </c>
      <c r="G39" s="53" t="s">
        <v>225</v>
      </c>
      <c r="H39" s="54">
        <v>5</v>
      </c>
      <c r="I39" s="53" t="s">
        <v>225</v>
      </c>
      <c r="J39" s="54">
        <v>5</v>
      </c>
      <c r="K39" s="53" t="s">
        <v>226</v>
      </c>
      <c r="L39" s="54">
        <v>8</v>
      </c>
      <c r="P39" t="str">
        <f t="shared" si="2"/>
        <v>building_铁矿</v>
      </c>
    </row>
    <row r="40" spans="1:16" ht="20" customHeight="1" x14ac:dyDescent="0.3">
      <c r="A40" t="s">
        <v>262</v>
      </c>
      <c r="B40" s="49" t="s">
        <v>265</v>
      </c>
      <c r="C40" s="53" t="s">
        <v>224</v>
      </c>
      <c r="D40" s="54">
        <v>5</v>
      </c>
      <c r="E40" s="53" t="s">
        <v>230</v>
      </c>
      <c r="F40" s="54">
        <v>5</v>
      </c>
      <c r="G40" s="53" t="s">
        <v>225</v>
      </c>
      <c r="H40" s="54">
        <v>5</v>
      </c>
      <c r="I40" s="53" t="s">
        <v>225</v>
      </c>
      <c r="J40" s="54">
        <v>5</v>
      </c>
      <c r="K40" s="53" t="s">
        <v>226</v>
      </c>
      <c r="L40" s="54">
        <v>8</v>
      </c>
      <c r="P40" t="str">
        <f t="shared" si="2"/>
        <v>building_铅矿</v>
      </c>
    </row>
    <row r="41" spans="1:16" ht="20" customHeight="1" x14ac:dyDescent="0.3">
      <c r="A41" t="s">
        <v>262</v>
      </c>
      <c r="B41" s="49" t="s">
        <v>266</v>
      </c>
      <c r="C41" s="53" t="s">
        <v>224</v>
      </c>
      <c r="D41" s="54">
        <v>5</v>
      </c>
      <c r="E41" s="53" t="s">
        <v>230</v>
      </c>
      <c r="F41" s="54">
        <v>5</v>
      </c>
      <c r="G41" s="53" t="s">
        <v>225</v>
      </c>
      <c r="H41" s="54">
        <v>5</v>
      </c>
      <c r="I41" s="53" t="s">
        <v>225</v>
      </c>
      <c r="J41" s="54">
        <v>5</v>
      </c>
      <c r="K41" s="53" t="s">
        <v>226</v>
      </c>
      <c r="L41" s="54">
        <v>8</v>
      </c>
      <c r="P41" t="str">
        <f t="shared" si="2"/>
        <v>building_硫矿</v>
      </c>
    </row>
    <row r="42" spans="1:16" ht="20" customHeight="1" x14ac:dyDescent="0.3">
      <c r="A42" t="s">
        <v>262</v>
      </c>
      <c r="B42" s="49" t="s">
        <v>267</v>
      </c>
      <c r="C42" s="53" t="s">
        <v>224</v>
      </c>
      <c r="D42" s="54">
        <v>5</v>
      </c>
      <c r="E42" s="53" t="s">
        <v>230</v>
      </c>
      <c r="F42" s="54">
        <v>5</v>
      </c>
      <c r="G42" s="53" t="s">
        <v>225</v>
      </c>
      <c r="H42" s="54">
        <v>5</v>
      </c>
      <c r="I42" s="53" t="s">
        <v>225</v>
      </c>
      <c r="J42" s="54">
        <v>5</v>
      </c>
      <c r="K42" s="53" t="s">
        <v>226</v>
      </c>
      <c r="L42" s="54">
        <v>8</v>
      </c>
      <c r="P42" t="str">
        <f t="shared" si="2"/>
        <v>building_金矿</v>
      </c>
    </row>
    <row r="43" spans="1:16" ht="20" customHeight="1" x14ac:dyDescent="0.3">
      <c r="A43" t="s">
        <v>262</v>
      </c>
      <c r="B43" s="49" t="s">
        <v>268</v>
      </c>
      <c r="C43" s="53" t="s">
        <v>224</v>
      </c>
      <c r="D43" s="54">
        <v>5</v>
      </c>
      <c r="E43" s="53" t="s">
        <v>230</v>
      </c>
      <c r="F43" s="54">
        <v>5</v>
      </c>
      <c r="G43" s="53" t="s">
        <v>225</v>
      </c>
      <c r="H43" s="54">
        <v>5</v>
      </c>
      <c r="I43" s="53" t="s">
        <v>225</v>
      </c>
      <c r="J43" s="54">
        <v>5</v>
      </c>
      <c r="K43" s="53" t="s">
        <v>226</v>
      </c>
      <c r="L43" s="54">
        <v>8</v>
      </c>
      <c r="P43" t="str">
        <f t="shared" si="2"/>
        <v>building_油井</v>
      </c>
    </row>
    <row r="44" spans="1:16" ht="20" customHeight="1" x14ac:dyDescent="0.3">
      <c r="M44"/>
    </row>
    <row r="45" spans="1:16" ht="20" customHeight="1" x14ac:dyDescent="0.3">
      <c r="A45" t="s">
        <v>222</v>
      </c>
      <c r="B45" s="49" t="s">
        <v>269</v>
      </c>
      <c r="C45" s="53" t="s">
        <v>224</v>
      </c>
      <c r="D45" s="54">
        <v>5</v>
      </c>
      <c r="E45" s="53" t="s">
        <v>225</v>
      </c>
      <c r="F45" s="54">
        <v>5</v>
      </c>
      <c r="G45" s="53" t="s">
        <v>225</v>
      </c>
      <c r="H45" s="54">
        <v>5</v>
      </c>
      <c r="I45" s="53" t="s">
        <v>226</v>
      </c>
      <c r="J45" s="54">
        <v>8</v>
      </c>
      <c r="K45" s="53"/>
      <c r="L45" s="54"/>
      <c r="P45" t="str">
        <f t="shared" si="2"/>
        <v>building_棉花</v>
      </c>
    </row>
    <row r="46" spans="1:16" ht="20" customHeight="1" x14ac:dyDescent="0.3">
      <c r="A46" t="s">
        <v>222</v>
      </c>
      <c r="B46" s="49" t="s">
        <v>116</v>
      </c>
      <c r="C46" s="53" t="s">
        <v>224</v>
      </c>
      <c r="D46" s="54">
        <v>5</v>
      </c>
      <c r="E46" s="53" t="s">
        <v>225</v>
      </c>
      <c r="F46" s="54">
        <v>5</v>
      </c>
      <c r="G46" s="53" t="s">
        <v>225</v>
      </c>
      <c r="H46" s="54">
        <v>5</v>
      </c>
      <c r="I46" s="53" t="s">
        <v>226</v>
      </c>
      <c r="J46" s="54">
        <v>8</v>
      </c>
      <c r="K46" s="53"/>
      <c r="L46" s="54"/>
      <c r="P46" t="str">
        <f t="shared" si="2"/>
        <v>building_染料</v>
      </c>
    </row>
    <row r="47" spans="1:16" ht="20" customHeight="1" x14ac:dyDescent="0.3">
      <c r="A47" t="s">
        <v>222</v>
      </c>
      <c r="B47" s="49" t="s">
        <v>270</v>
      </c>
      <c r="C47" s="53" t="s">
        <v>224</v>
      </c>
      <c r="D47" s="54">
        <v>5</v>
      </c>
      <c r="E47" s="53" t="s">
        <v>225</v>
      </c>
      <c r="F47" s="54">
        <v>5</v>
      </c>
      <c r="G47" s="53" t="s">
        <v>225</v>
      </c>
      <c r="H47" s="54">
        <v>5</v>
      </c>
      <c r="I47" s="53" t="s">
        <v>226</v>
      </c>
      <c r="J47" s="54">
        <v>8</v>
      </c>
      <c r="K47" s="53"/>
      <c r="L47" s="54"/>
      <c r="P47" t="str">
        <f t="shared" si="2"/>
        <v>building_鸦片</v>
      </c>
    </row>
    <row r="48" spans="1:16" ht="20" customHeight="1" x14ac:dyDescent="0.3">
      <c r="A48" t="s">
        <v>222</v>
      </c>
      <c r="B48" s="49" t="s">
        <v>271</v>
      </c>
      <c r="C48" s="53" t="s">
        <v>224</v>
      </c>
      <c r="D48" s="54">
        <v>5</v>
      </c>
      <c r="E48" s="53" t="s">
        <v>225</v>
      </c>
      <c r="F48" s="54">
        <v>5</v>
      </c>
      <c r="G48" s="53" t="s">
        <v>225</v>
      </c>
      <c r="H48" s="54">
        <v>5</v>
      </c>
      <c r="I48" s="53" t="s">
        <v>226</v>
      </c>
      <c r="J48" s="54">
        <v>8</v>
      </c>
      <c r="K48" s="53"/>
      <c r="L48" s="54"/>
      <c r="P48" t="str">
        <f t="shared" si="2"/>
        <v>building_茶叶</v>
      </c>
    </row>
    <row r="49" spans="1:16" ht="20" customHeight="1" x14ac:dyDescent="0.3">
      <c r="A49" t="s">
        <v>222</v>
      </c>
      <c r="B49" s="49" t="s">
        <v>110</v>
      </c>
      <c r="C49" s="53" t="s">
        <v>224</v>
      </c>
      <c r="D49" s="54">
        <v>5</v>
      </c>
      <c r="E49" s="53" t="s">
        <v>225</v>
      </c>
      <c r="F49" s="54">
        <v>5</v>
      </c>
      <c r="G49" s="53" t="s">
        <v>225</v>
      </c>
      <c r="H49" s="54">
        <v>5</v>
      </c>
      <c r="I49" s="53" t="s">
        <v>226</v>
      </c>
      <c r="J49" s="54">
        <v>8</v>
      </c>
      <c r="K49" s="53"/>
      <c r="L49" s="54"/>
      <c r="P49" t="str">
        <f t="shared" si="2"/>
        <v>building_烟草</v>
      </c>
    </row>
    <row r="50" spans="1:16" ht="20" customHeight="1" x14ac:dyDescent="0.3">
      <c r="A50" t="s">
        <v>222</v>
      </c>
      <c r="B50" s="49" t="s">
        <v>272</v>
      </c>
      <c r="C50" s="53" t="s">
        <v>224</v>
      </c>
      <c r="D50" s="54">
        <v>5</v>
      </c>
      <c r="E50" s="53" t="s">
        <v>225</v>
      </c>
      <c r="F50" s="54">
        <v>5</v>
      </c>
      <c r="G50" s="53" t="s">
        <v>225</v>
      </c>
      <c r="H50" s="54">
        <v>5</v>
      </c>
      <c r="I50" s="53" t="s">
        <v>226</v>
      </c>
      <c r="J50" s="54">
        <v>8</v>
      </c>
      <c r="K50" s="53"/>
      <c r="L50" s="54"/>
      <c r="P50" t="str">
        <f t="shared" si="2"/>
        <v>building_香蕉</v>
      </c>
    </row>
    <row r="51" spans="1:16" ht="20" customHeight="1" x14ac:dyDescent="0.3">
      <c r="A51" t="s">
        <v>222</v>
      </c>
      <c r="B51" s="49" t="s">
        <v>273</v>
      </c>
      <c r="C51" s="53" t="s">
        <v>224</v>
      </c>
      <c r="D51" s="54">
        <v>5</v>
      </c>
      <c r="E51" s="53" t="s">
        <v>225</v>
      </c>
      <c r="F51" s="54">
        <v>5</v>
      </c>
      <c r="G51" s="53" t="s">
        <v>225</v>
      </c>
      <c r="H51" s="54">
        <v>5</v>
      </c>
      <c r="I51" s="53" t="s">
        <v>226</v>
      </c>
      <c r="J51" s="54">
        <v>8</v>
      </c>
      <c r="K51" s="53"/>
      <c r="L51" s="54"/>
      <c r="P51" t="str">
        <f t="shared" si="2"/>
        <v>building_糖类</v>
      </c>
    </row>
    <row r="52" spans="1:16" ht="20" customHeight="1" x14ac:dyDescent="0.3">
      <c r="A52" t="s">
        <v>222</v>
      </c>
      <c r="B52" s="49" t="s">
        <v>112</v>
      </c>
      <c r="C52" s="53" t="s">
        <v>224</v>
      </c>
      <c r="D52" s="54">
        <v>5</v>
      </c>
      <c r="E52" s="53" t="s">
        <v>225</v>
      </c>
      <c r="F52" s="54">
        <v>5</v>
      </c>
      <c r="G52" s="53" t="s">
        <v>225</v>
      </c>
      <c r="H52" s="54">
        <v>5</v>
      </c>
      <c r="I52" s="53" t="s">
        <v>226</v>
      </c>
      <c r="J52" s="54">
        <v>8</v>
      </c>
      <c r="K52" s="53"/>
      <c r="L52" s="54"/>
      <c r="P52" t="str">
        <f t="shared" si="2"/>
        <v>building_丝绸</v>
      </c>
    </row>
    <row r="53" spans="1:16" ht="20" customHeight="1" x14ac:dyDescent="0.3">
      <c r="A53" t="s">
        <v>222</v>
      </c>
      <c r="B53" s="49" t="s">
        <v>274</v>
      </c>
      <c r="C53" s="53" t="s">
        <v>224</v>
      </c>
      <c r="D53" s="54">
        <v>5</v>
      </c>
      <c r="E53" s="53" t="s">
        <v>225</v>
      </c>
      <c r="F53" s="54">
        <v>5</v>
      </c>
      <c r="G53" s="53" t="s">
        <v>225</v>
      </c>
      <c r="H53" s="54">
        <v>5</v>
      </c>
      <c r="I53" s="53" t="s">
        <v>226</v>
      </c>
      <c r="J53" s="54">
        <v>8</v>
      </c>
      <c r="K53" s="53"/>
      <c r="L53" s="54"/>
      <c r="P53" t="str">
        <f t="shared" si="2"/>
        <v>building_伐木场</v>
      </c>
    </row>
    <row r="54" spans="1:16" ht="20" customHeight="1" x14ac:dyDescent="0.3">
      <c r="A54" t="s">
        <v>222</v>
      </c>
      <c r="B54" s="49" t="s">
        <v>118</v>
      </c>
      <c r="C54" s="53" t="s">
        <v>224</v>
      </c>
      <c r="D54" s="54">
        <v>5</v>
      </c>
      <c r="E54" s="53" t="s">
        <v>225</v>
      </c>
      <c r="F54" s="54">
        <v>5</v>
      </c>
      <c r="G54" s="53" t="s">
        <v>225</v>
      </c>
      <c r="H54" s="54">
        <v>5</v>
      </c>
      <c r="I54" s="53" t="s">
        <v>226</v>
      </c>
      <c r="J54" s="54">
        <v>8</v>
      </c>
      <c r="K54" s="53"/>
      <c r="L54" s="54"/>
      <c r="P54" t="str">
        <f t="shared" si="2"/>
        <v>building_树胶</v>
      </c>
    </row>
    <row r="55" spans="1:16" ht="20" customHeight="1" x14ac:dyDescent="0.3">
      <c r="A55" t="s">
        <v>222</v>
      </c>
      <c r="B55" s="49" t="s">
        <v>275</v>
      </c>
      <c r="C55" s="53" t="s">
        <v>224</v>
      </c>
      <c r="D55" s="54">
        <v>5</v>
      </c>
      <c r="E55" s="53" t="s">
        <v>225</v>
      </c>
      <c r="F55" s="54">
        <v>5</v>
      </c>
      <c r="G55" s="53" t="s">
        <v>225</v>
      </c>
      <c r="H55" s="54">
        <v>5</v>
      </c>
      <c r="I55" s="53" t="s">
        <v>226</v>
      </c>
      <c r="J55" s="54">
        <v>8</v>
      </c>
      <c r="K55" s="53"/>
      <c r="L55" s="54"/>
      <c r="P55" t="str">
        <f t="shared" si="2"/>
        <v>building_黑麦</v>
      </c>
    </row>
    <row r="56" spans="1:16" ht="20" customHeight="1" x14ac:dyDescent="0.3">
      <c r="A56" t="s">
        <v>222</v>
      </c>
      <c r="B56" s="49" t="s">
        <v>276</v>
      </c>
      <c r="C56" s="53" t="s">
        <v>224</v>
      </c>
      <c r="D56" s="54">
        <v>5</v>
      </c>
      <c r="E56" s="53" t="s">
        <v>225</v>
      </c>
      <c r="F56" s="54">
        <v>5</v>
      </c>
      <c r="G56" s="53" t="s">
        <v>225</v>
      </c>
      <c r="H56" s="54">
        <v>5</v>
      </c>
      <c r="I56" s="53" t="s">
        <v>226</v>
      </c>
      <c r="J56" s="54">
        <v>8</v>
      </c>
      <c r="K56" s="53"/>
      <c r="L56" s="54"/>
      <c r="P56" t="str">
        <f t="shared" si="2"/>
        <v>building_小麦</v>
      </c>
    </row>
    <row r="57" spans="1:16" ht="20" customHeight="1" x14ac:dyDescent="0.3">
      <c r="A57" t="s">
        <v>222</v>
      </c>
      <c r="B57" s="49" t="s">
        <v>277</v>
      </c>
      <c r="C57" s="53" t="s">
        <v>224</v>
      </c>
      <c r="D57" s="54">
        <v>5</v>
      </c>
      <c r="E57" s="53" t="s">
        <v>225</v>
      </c>
      <c r="F57" s="54">
        <v>5</v>
      </c>
      <c r="G57" s="53" t="s">
        <v>225</v>
      </c>
      <c r="H57" s="54">
        <v>5</v>
      </c>
      <c r="I57" s="53" t="s">
        <v>226</v>
      </c>
      <c r="J57" s="54">
        <v>8</v>
      </c>
      <c r="K57" s="53"/>
      <c r="L57" s="54"/>
      <c r="P57" t="str">
        <f t="shared" si="2"/>
        <v>building_大米</v>
      </c>
    </row>
    <row r="58" spans="1:16" ht="20" customHeight="1" x14ac:dyDescent="0.3">
      <c r="A58" t="s">
        <v>222</v>
      </c>
      <c r="B58" s="49" t="s">
        <v>278</v>
      </c>
      <c r="C58" s="53" t="s">
        <v>224</v>
      </c>
      <c r="D58" s="54">
        <v>5</v>
      </c>
      <c r="E58" s="53" t="s">
        <v>225</v>
      </c>
      <c r="F58" s="54">
        <v>5</v>
      </c>
      <c r="G58" s="53" t="s">
        <v>225</v>
      </c>
      <c r="H58" s="54">
        <v>5</v>
      </c>
      <c r="I58" s="53" t="s">
        <v>226</v>
      </c>
      <c r="J58" s="54">
        <v>8</v>
      </c>
      <c r="K58" s="53"/>
      <c r="L58" s="54"/>
      <c r="P58" t="str">
        <f t="shared" si="2"/>
        <v>building_玉米</v>
      </c>
    </row>
    <row r="59" spans="1:16" ht="20" customHeight="1" x14ac:dyDescent="0.3">
      <c r="A59" t="s">
        <v>222</v>
      </c>
      <c r="B59" s="49" t="s">
        <v>279</v>
      </c>
      <c r="C59" s="53" t="s">
        <v>224</v>
      </c>
      <c r="D59" s="54">
        <v>5</v>
      </c>
      <c r="E59" s="53" t="s">
        <v>225</v>
      </c>
      <c r="F59" s="54">
        <v>5</v>
      </c>
      <c r="G59" s="53" t="s">
        <v>225</v>
      </c>
      <c r="H59" s="54">
        <v>5</v>
      </c>
      <c r="I59" s="53" t="s">
        <v>226</v>
      </c>
      <c r="J59" s="54">
        <v>8</v>
      </c>
      <c r="K59" s="53"/>
      <c r="L59" s="54"/>
      <c r="P59" t="str">
        <f t="shared" si="2"/>
        <v>building_小米</v>
      </c>
    </row>
    <row r="60" spans="1:16" ht="20" customHeight="1" x14ac:dyDescent="0.3">
      <c r="A60" t="s">
        <v>222</v>
      </c>
      <c r="B60" s="49" t="s">
        <v>280</v>
      </c>
      <c r="C60" s="53" t="s">
        <v>224</v>
      </c>
      <c r="D60" s="54">
        <v>5</v>
      </c>
      <c r="E60" s="53" t="s">
        <v>225</v>
      </c>
      <c r="F60" s="54">
        <v>5</v>
      </c>
      <c r="G60" s="53" t="s">
        <v>225</v>
      </c>
      <c r="H60" s="54">
        <v>5</v>
      </c>
      <c r="I60" s="53" t="s">
        <v>226</v>
      </c>
      <c r="J60" s="54">
        <v>8</v>
      </c>
      <c r="K60" s="53"/>
      <c r="L60" s="54"/>
      <c r="P60" t="str">
        <f t="shared" si="2"/>
        <v>building_牧场</v>
      </c>
    </row>
    <row r="61" spans="1:16" ht="20" customHeight="1" x14ac:dyDescent="0.3">
      <c r="A61" t="s">
        <v>222</v>
      </c>
      <c r="B61" s="49" t="s">
        <v>281</v>
      </c>
      <c r="C61" s="53" t="s">
        <v>224</v>
      </c>
      <c r="D61" s="54">
        <v>5</v>
      </c>
      <c r="E61" s="53" t="s">
        <v>225</v>
      </c>
      <c r="F61" s="54">
        <v>5</v>
      </c>
      <c r="G61" s="53" t="s">
        <v>225</v>
      </c>
      <c r="H61" s="54">
        <v>5</v>
      </c>
      <c r="I61" s="53" t="s">
        <v>226</v>
      </c>
      <c r="J61" s="54">
        <v>8</v>
      </c>
      <c r="K61" s="53"/>
      <c r="L61" s="54"/>
      <c r="P61" t="str">
        <f t="shared" si="2"/>
        <v>building_渔船码头</v>
      </c>
    </row>
    <row r="62" spans="1:16" ht="20" customHeight="1" x14ac:dyDescent="0.3">
      <c r="A62" t="s">
        <v>222</v>
      </c>
      <c r="B62" s="49" t="s">
        <v>282</v>
      </c>
      <c r="C62" s="53" t="s">
        <v>224</v>
      </c>
      <c r="D62" s="54">
        <v>5</v>
      </c>
      <c r="E62" s="53" t="s">
        <v>225</v>
      </c>
      <c r="F62" s="54">
        <v>5</v>
      </c>
      <c r="G62" s="53" t="s">
        <v>225</v>
      </c>
      <c r="H62" s="54">
        <v>5</v>
      </c>
      <c r="I62" s="53" t="s">
        <v>226</v>
      </c>
      <c r="J62" s="54">
        <v>8</v>
      </c>
      <c r="K62" s="53"/>
      <c r="L62" s="54"/>
      <c r="P62" t="str">
        <f t="shared" si="2"/>
        <v>building_捕鲸站</v>
      </c>
    </row>
    <row r="63" spans="1:16" ht="20" customHeight="1" x14ac:dyDescent="0.3">
      <c r="M63"/>
    </row>
    <row r="64" spans="1:16" ht="20" customHeight="1" x14ac:dyDescent="0.3">
      <c r="A64" t="s">
        <v>240</v>
      </c>
      <c r="B64" s="49" t="s">
        <v>283</v>
      </c>
      <c r="C64" s="53"/>
      <c r="D64" s="54"/>
      <c r="E64" s="53"/>
      <c r="F64" s="54"/>
      <c r="G64" s="53"/>
      <c r="H64" s="54"/>
      <c r="I64" s="53"/>
      <c r="J64" s="54"/>
      <c r="K64" s="53"/>
      <c r="L64" s="54"/>
      <c r="P64" t="str">
        <f>"building_"&amp;B64</f>
        <v>building_常备军营</v>
      </c>
    </row>
    <row r="65" spans="1:16" ht="20" customHeight="1" x14ac:dyDescent="0.3">
      <c r="A65" t="s">
        <v>240</v>
      </c>
      <c r="B65" s="49" t="s">
        <v>284</v>
      </c>
      <c r="C65" s="53"/>
      <c r="D65" s="54"/>
      <c r="E65" s="53"/>
      <c r="F65" s="54"/>
      <c r="G65" s="53"/>
      <c r="H65" s="54"/>
      <c r="I65" s="53"/>
      <c r="J65" s="54"/>
      <c r="K65" s="53"/>
      <c r="L65" s="54"/>
      <c r="P65" t="str">
        <f>"building_"&amp;B65</f>
        <v>building_动员军营</v>
      </c>
    </row>
    <row r="66" spans="1:16" ht="20" customHeight="1" x14ac:dyDescent="0.3">
      <c r="A66" t="s">
        <v>240</v>
      </c>
      <c r="B66" s="49" t="s">
        <v>285</v>
      </c>
      <c r="C66" s="53"/>
      <c r="D66" s="54"/>
      <c r="E66" s="53"/>
      <c r="F66" s="54"/>
      <c r="G66" s="53"/>
      <c r="H66" s="54"/>
      <c r="I66" s="53"/>
      <c r="J66" s="54"/>
      <c r="K66" s="53"/>
      <c r="L66" s="54"/>
      <c r="P66" t="str">
        <f>"building_"&amp;B66</f>
        <v>building_军港</v>
      </c>
    </row>
    <row r="67" spans="1:16" ht="20" customHeight="1" x14ac:dyDescent="0.3">
      <c r="M67"/>
    </row>
    <row r="68" spans="1:16" ht="20" customHeight="1" x14ac:dyDescent="0.3">
      <c r="A68" t="s">
        <v>222</v>
      </c>
      <c r="B68" s="49" t="s">
        <v>286</v>
      </c>
      <c r="C68" s="53"/>
      <c r="D68" s="54"/>
      <c r="E68" s="53"/>
      <c r="F68" s="54"/>
      <c r="G68" s="53"/>
      <c r="H68" s="54"/>
      <c r="I68" s="53"/>
      <c r="J68" s="54"/>
      <c r="K68" s="53"/>
      <c r="L68" s="54"/>
      <c r="P68" t="str">
        <f>"building_"&amp;B68</f>
        <v>building_自给农场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2</xdr:col>
                <xdr:colOff>128588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195"/>
  <sheetViews>
    <sheetView showGridLines="0" topLeftCell="A1165" zoomScale="90" zoomScaleNormal="90" workbookViewId="0">
      <selection activeCell="D1189" sqref="D1189"/>
    </sheetView>
  </sheetViews>
  <sheetFormatPr defaultColWidth="9" defaultRowHeight="21" customHeight="1" x14ac:dyDescent="0.3"/>
  <cols>
    <col min="1" max="1" width="14.6640625" style="1" customWidth="1"/>
    <col min="2" max="2" width="22.86328125" style="49" customWidth="1"/>
    <col min="3" max="3" width="26.86328125" style="50" customWidth="1"/>
    <col min="4" max="4" width="23.796875" style="1" customWidth="1"/>
    <col min="5" max="5" width="14.6640625" style="50" customWidth="1"/>
  </cols>
  <sheetData>
    <row r="2" spans="1:5" ht="21" customHeight="1" x14ac:dyDescent="0.3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spans="1:5" ht="21" customHeight="1" x14ac:dyDescent="0.3">
      <c r="A3" s="1" t="s">
        <v>222</v>
      </c>
      <c r="B3" s="51" t="s">
        <v>289</v>
      </c>
      <c r="C3" s="5" t="s">
        <v>290</v>
      </c>
      <c r="D3" s="1" t="s">
        <v>224</v>
      </c>
      <c r="E3" s="5">
        <v>1</v>
      </c>
    </row>
    <row r="4" spans="1:5" ht="21" customHeight="1" x14ac:dyDescent="0.3">
      <c r="A4" s="1" t="s">
        <v>222</v>
      </c>
      <c r="B4" s="51" t="s">
        <v>289</v>
      </c>
      <c r="C4" s="5" t="s">
        <v>290</v>
      </c>
      <c r="D4" s="1" t="s">
        <v>224</v>
      </c>
      <c r="E4" s="5">
        <v>2</v>
      </c>
    </row>
    <row r="5" spans="1:5" ht="21" customHeight="1" x14ac:dyDescent="0.3">
      <c r="A5" s="1" t="s">
        <v>222</v>
      </c>
      <c r="B5" s="51" t="s">
        <v>289</v>
      </c>
      <c r="C5" s="5" t="s">
        <v>290</v>
      </c>
      <c r="D5" s="1" t="s">
        <v>224</v>
      </c>
      <c r="E5" s="5">
        <v>3</v>
      </c>
    </row>
    <row r="6" spans="1:5" ht="21" customHeight="1" x14ac:dyDescent="0.3">
      <c r="A6" s="1" t="s">
        <v>222</v>
      </c>
      <c r="B6" s="51" t="s">
        <v>289</v>
      </c>
      <c r="C6" s="5" t="s">
        <v>290</v>
      </c>
      <c r="D6" s="1" t="s">
        <v>224</v>
      </c>
      <c r="E6" s="5">
        <v>4</v>
      </c>
    </row>
    <row r="7" spans="1:5" ht="21" customHeight="1" x14ac:dyDescent="0.3">
      <c r="A7" s="1" t="s">
        <v>222</v>
      </c>
      <c r="B7" s="51" t="s">
        <v>289</v>
      </c>
      <c r="C7" s="5" t="s">
        <v>290</v>
      </c>
      <c r="D7" s="1" t="s">
        <v>224</v>
      </c>
      <c r="E7" s="5">
        <v>5</v>
      </c>
    </row>
    <row r="8" spans="1:5" ht="21" customHeight="1" x14ac:dyDescent="0.3">
      <c r="A8" s="1" t="s">
        <v>222</v>
      </c>
      <c r="B8" s="51" t="s">
        <v>289</v>
      </c>
      <c r="C8" s="18" t="s">
        <v>291</v>
      </c>
      <c r="D8" s="1" t="s">
        <v>225</v>
      </c>
      <c r="E8" s="18">
        <v>1</v>
      </c>
    </row>
    <row r="9" spans="1:5" ht="21" customHeight="1" x14ac:dyDescent="0.3">
      <c r="A9" s="1" t="s">
        <v>222</v>
      </c>
      <c r="B9" s="51" t="s">
        <v>289</v>
      </c>
      <c r="C9" s="18" t="s">
        <v>291</v>
      </c>
      <c r="D9" s="1" t="s">
        <v>225</v>
      </c>
      <c r="E9" s="18">
        <v>2</v>
      </c>
    </row>
    <row r="10" spans="1:5" ht="21" customHeight="1" x14ac:dyDescent="0.3">
      <c r="A10" s="1" t="s">
        <v>222</v>
      </c>
      <c r="B10" s="51" t="s">
        <v>289</v>
      </c>
      <c r="C10" s="18" t="s">
        <v>291</v>
      </c>
      <c r="D10" s="1" t="s">
        <v>225</v>
      </c>
      <c r="E10" s="18">
        <v>3</v>
      </c>
    </row>
    <row r="11" spans="1:5" ht="21" customHeight="1" x14ac:dyDescent="0.3">
      <c r="A11" s="1" t="s">
        <v>222</v>
      </c>
      <c r="B11" s="51" t="s">
        <v>289</v>
      </c>
      <c r="C11" s="18" t="s">
        <v>291</v>
      </c>
      <c r="D11" s="1" t="s">
        <v>225</v>
      </c>
      <c r="E11" s="18">
        <v>4</v>
      </c>
    </row>
    <row r="12" spans="1:5" ht="21" customHeight="1" x14ac:dyDescent="0.3">
      <c r="A12" s="1" t="s">
        <v>222</v>
      </c>
      <c r="B12" s="51" t="s">
        <v>289</v>
      </c>
      <c r="C12" s="18" t="s">
        <v>291</v>
      </c>
      <c r="D12" s="1" t="s">
        <v>225</v>
      </c>
      <c r="E12" s="18">
        <v>5</v>
      </c>
    </row>
    <row r="13" spans="1:5" ht="21" customHeight="1" x14ac:dyDescent="0.3">
      <c r="A13" s="1" t="s">
        <v>222</v>
      </c>
      <c r="B13" s="51" t="s">
        <v>289</v>
      </c>
      <c r="C13" s="5" t="s">
        <v>291</v>
      </c>
      <c r="D13" s="1" t="s">
        <v>225</v>
      </c>
      <c r="E13" s="5">
        <v>1</v>
      </c>
    </row>
    <row r="14" spans="1:5" ht="21" customHeight="1" x14ac:dyDescent="0.3">
      <c r="A14" s="1" t="s">
        <v>222</v>
      </c>
      <c r="B14" s="51" t="s">
        <v>289</v>
      </c>
      <c r="C14" s="5" t="s">
        <v>291</v>
      </c>
      <c r="D14" s="1" t="s">
        <v>225</v>
      </c>
      <c r="E14" s="5">
        <v>2</v>
      </c>
    </row>
    <row r="15" spans="1:5" ht="21" customHeight="1" x14ac:dyDescent="0.3">
      <c r="A15" s="1" t="s">
        <v>222</v>
      </c>
      <c r="B15" s="51" t="s">
        <v>289</v>
      </c>
      <c r="C15" s="5" t="s">
        <v>291</v>
      </c>
      <c r="D15" s="1" t="s">
        <v>225</v>
      </c>
      <c r="E15" s="5">
        <v>3</v>
      </c>
    </row>
    <row r="16" spans="1:5" ht="21" customHeight="1" x14ac:dyDescent="0.3">
      <c r="A16" s="1" t="s">
        <v>222</v>
      </c>
      <c r="B16" s="51" t="s">
        <v>289</v>
      </c>
      <c r="C16" s="5" t="s">
        <v>291</v>
      </c>
      <c r="D16" s="1" t="s">
        <v>225</v>
      </c>
      <c r="E16" s="5">
        <v>4</v>
      </c>
    </row>
    <row r="17" spans="1:5" ht="21" customHeight="1" x14ac:dyDescent="0.3">
      <c r="A17" s="1" t="s">
        <v>222</v>
      </c>
      <c r="B17" s="51" t="s">
        <v>289</v>
      </c>
      <c r="C17" s="5" t="s">
        <v>291</v>
      </c>
      <c r="D17" s="1" t="s">
        <v>225</v>
      </c>
      <c r="E17" s="5">
        <v>5</v>
      </c>
    </row>
    <row r="18" spans="1:5" ht="21" customHeight="1" x14ac:dyDescent="0.3">
      <c r="A18" s="1" t="s">
        <v>292</v>
      </c>
      <c r="B18" s="51" t="s">
        <v>289</v>
      </c>
      <c r="C18" s="18" t="s">
        <v>293</v>
      </c>
      <c r="D18" s="1" t="s">
        <v>226</v>
      </c>
      <c r="E18" s="18">
        <v>1</v>
      </c>
    </row>
    <row r="19" spans="1:5" ht="21" customHeight="1" x14ac:dyDescent="0.3">
      <c r="A19" s="1" t="s">
        <v>292</v>
      </c>
      <c r="B19" s="51" t="s">
        <v>289</v>
      </c>
      <c r="C19" s="18" t="s">
        <v>293</v>
      </c>
      <c r="D19" s="1" t="s">
        <v>226</v>
      </c>
      <c r="E19" s="18">
        <v>2</v>
      </c>
    </row>
    <row r="20" spans="1:5" ht="21" customHeight="1" x14ac:dyDescent="0.3">
      <c r="A20" s="1" t="s">
        <v>292</v>
      </c>
      <c r="B20" s="51" t="s">
        <v>289</v>
      </c>
      <c r="C20" s="18" t="s">
        <v>293</v>
      </c>
      <c r="D20" s="1" t="s">
        <v>226</v>
      </c>
      <c r="E20" s="18">
        <v>3</v>
      </c>
    </row>
    <row r="21" spans="1:5" ht="21" customHeight="1" x14ac:dyDescent="0.3">
      <c r="A21" s="1" t="s">
        <v>292</v>
      </c>
      <c r="B21" s="51" t="s">
        <v>289</v>
      </c>
      <c r="C21" s="18" t="s">
        <v>293</v>
      </c>
      <c r="D21" s="1" t="s">
        <v>226</v>
      </c>
      <c r="E21" s="18">
        <v>4</v>
      </c>
    </row>
    <row r="22" spans="1:5" ht="21" customHeight="1" x14ac:dyDescent="0.3">
      <c r="A22" s="1" t="s">
        <v>292</v>
      </c>
      <c r="B22" s="51" t="s">
        <v>289</v>
      </c>
      <c r="C22" s="18" t="s">
        <v>293</v>
      </c>
      <c r="D22" s="1" t="s">
        <v>226</v>
      </c>
      <c r="E22" s="18">
        <v>5</v>
      </c>
    </row>
    <row r="23" spans="1:5" ht="21" customHeight="1" x14ac:dyDescent="0.3">
      <c r="A23" s="1" t="s">
        <v>292</v>
      </c>
      <c r="B23" s="51" t="s">
        <v>289</v>
      </c>
      <c r="C23" s="18" t="s">
        <v>293</v>
      </c>
      <c r="D23" s="1" t="s">
        <v>226</v>
      </c>
      <c r="E23" s="18">
        <v>6</v>
      </c>
    </row>
    <row r="24" spans="1:5" ht="21" customHeight="1" x14ac:dyDescent="0.3">
      <c r="A24" s="1" t="s">
        <v>292</v>
      </c>
      <c r="B24" s="51" t="s">
        <v>289</v>
      </c>
      <c r="C24" s="18" t="s">
        <v>293</v>
      </c>
      <c r="D24" s="1" t="s">
        <v>226</v>
      </c>
      <c r="E24" s="18">
        <v>7</v>
      </c>
    </row>
    <row r="25" spans="1:5" ht="21" customHeight="1" x14ac:dyDescent="0.3">
      <c r="A25" s="1" t="s">
        <v>292</v>
      </c>
      <c r="B25" s="51" t="s">
        <v>289</v>
      </c>
      <c r="C25" s="18" t="s">
        <v>293</v>
      </c>
      <c r="D25" s="1" t="s">
        <v>226</v>
      </c>
      <c r="E25" s="18">
        <v>8</v>
      </c>
    </row>
    <row r="26" spans="1:5" ht="21" customHeight="1" x14ac:dyDescent="0.3">
      <c r="A26" s="1" t="s">
        <v>222</v>
      </c>
      <c r="B26" s="52" t="s">
        <v>294</v>
      </c>
      <c r="C26" s="5" t="s">
        <v>295</v>
      </c>
      <c r="D26" s="1" t="s">
        <v>224</v>
      </c>
      <c r="E26" s="5">
        <v>1</v>
      </c>
    </row>
    <row r="27" spans="1:5" ht="21" customHeight="1" x14ac:dyDescent="0.3">
      <c r="A27" s="1" t="s">
        <v>222</v>
      </c>
      <c r="B27" s="52" t="s">
        <v>294</v>
      </c>
      <c r="C27" s="5" t="s">
        <v>295</v>
      </c>
      <c r="D27" s="1" t="s">
        <v>224</v>
      </c>
      <c r="E27" s="5">
        <v>2</v>
      </c>
    </row>
    <row r="28" spans="1:5" ht="21" customHeight="1" x14ac:dyDescent="0.3">
      <c r="A28" s="1" t="s">
        <v>222</v>
      </c>
      <c r="B28" s="52" t="s">
        <v>294</v>
      </c>
      <c r="C28" s="5" t="s">
        <v>295</v>
      </c>
      <c r="D28" s="1" t="s">
        <v>224</v>
      </c>
      <c r="E28" s="5">
        <v>3</v>
      </c>
    </row>
    <row r="29" spans="1:5" ht="21" customHeight="1" x14ac:dyDescent="0.3">
      <c r="A29" s="1" t="s">
        <v>222</v>
      </c>
      <c r="B29" s="52" t="s">
        <v>294</v>
      </c>
      <c r="C29" s="5" t="s">
        <v>295</v>
      </c>
      <c r="D29" s="1" t="s">
        <v>224</v>
      </c>
      <c r="E29" s="5">
        <v>4</v>
      </c>
    </row>
    <row r="30" spans="1:5" ht="21" customHeight="1" x14ac:dyDescent="0.3">
      <c r="A30" s="1" t="s">
        <v>222</v>
      </c>
      <c r="B30" s="52" t="s">
        <v>294</v>
      </c>
      <c r="C30" s="5" t="s">
        <v>295</v>
      </c>
      <c r="D30" s="1" t="s">
        <v>224</v>
      </c>
      <c r="E30" s="5">
        <v>5</v>
      </c>
    </row>
    <row r="31" spans="1:5" ht="21" customHeight="1" x14ac:dyDescent="0.3">
      <c r="A31" s="1" t="s">
        <v>222</v>
      </c>
      <c r="B31" s="52" t="s">
        <v>294</v>
      </c>
      <c r="C31" s="18" t="s">
        <v>296</v>
      </c>
      <c r="D31" s="1" t="s">
        <v>225</v>
      </c>
      <c r="E31" s="18">
        <v>1</v>
      </c>
    </row>
    <row r="32" spans="1:5" ht="21" customHeight="1" x14ac:dyDescent="0.3">
      <c r="A32" s="1" t="s">
        <v>222</v>
      </c>
      <c r="B32" s="52" t="s">
        <v>294</v>
      </c>
      <c r="C32" s="18" t="s">
        <v>296</v>
      </c>
      <c r="D32" s="1" t="s">
        <v>225</v>
      </c>
      <c r="E32" s="18">
        <v>2</v>
      </c>
    </row>
    <row r="33" spans="1:5" ht="21" customHeight="1" x14ac:dyDescent="0.3">
      <c r="A33" s="1" t="s">
        <v>222</v>
      </c>
      <c r="B33" s="52" t="s">
        <v>294</v>
      </c>
      <c r="C33" s="18" t="s">
        <v>296</v>
      </c>
      <c r="D33" s="1" t="s">
        <v>225</v>
      </c>
      <c r="E33" s="18">
        <v>3</v>
      </c>
    </row>
    <row r="34" spans="1:5" ht="21" customHeight="1" x14ac:dyDescent="0.3">
      <c r="A34" s="1" t="s">
        <v>222</v>
      </c>
      <c r="B34" s="52" t="s">
        <v>294</v>
      </c>
      <c r="C34" s="18" t="s">
        <v>296</v>
      </c>
      <c r="D34" s="1" t="s">
        <v>225</v>
      </c>
      <c r="E34" s="18">
        <v>4</v>
      </c>
    </row>
    <row r="35" spans="1:5" ht="21" customHeight="1" x14ac:dyDescent="0.3">
      <c r="A35" s="1" t="s">
        <v>222</v>
      </c>
      <c r="B35" s="52" t="s">
        <v>294</v>
      </c>
      <c r="C35" s="18" t="s">
        <v>296</v>
      </c>
      <c r="D35" s="1" t="s">
        <v>225</v>
      </c>
      <c r="E35" s="18">
        <v>5</v>
      </c>
    </row>
    <row r="36" spans="1:5" ht="21" customHeight="1" x14ac:dyDescent="0.3">
      <c r="A36" s="1" t="s">
        <v>222</v>
      </c>
      <c r="B36" s="52" t="s">
        <v>294</v>
      </c>
      <c r="C36" s="5" t="s">
        <v>296</v>
      </c>
      <c r="D36" s="1" t="s">
        <v>225</v>
      </c>
      <c r="E36" s="5">
        <v>1</v>
      </c>
    </row>
    <row r="37" spans="1:5" ht="21" customHeight="1" x14ac:dyDescent="0.3">
      <c r="A37" s="1" t="s">
        <v>222</v>
      </c>
      <c r="B37" s="52" t="s">
        <v>294</v>
      </c>
      <c r="C37" s="5" t="s">
        <v>296</v>
      </c>
      <c r="D37" s="1" t="s">
        <v>225</v>
      </c>
      <c r="E37" s="5">
        <v>2</v>
      </c>
    </row>
    <row r="38" spans="1:5" ht="21" customHeight="1" x14ac:dyDescent="0.3">
      <c r="A38" s="1" t="s">
        <v>222</v>
      </c>
      <c r="B38" s="52" t="s">
        <v>294</v>
      </c>
      <c r="C38" s="5" t="s">
        <v>296</v>
      </c>
      <c r="D38" s="1" t="s">
        <v>225</v>
      </c>
      <c r="E38" s="5">
        <v>3</v>
      </c>
    </row>
    <row r="39" spans="1:5" ht="21" customHeight="1" x14ac:dyDescent="0.3">
      <c r="A39" s="1" t="s">
        <v>222</v>
      </c>
      <c r="B39" s="52" t="s">
        <v>294</v>
      </c>
      <c r="C39" s="5" t="s">
        <v>296</v>
      </c>
      <c r="D39" s="1" t="s">
        <v>225</v>
      </c>
      <c r="E39" s="5">
        <v>4</v>
      </c>
    </row>
    <row r="40" spans="1:5" ht="21" customHeight="1" x14ac:dyDescent="0.3">
      <c r="A40" s="1" t="s">
        <v>222</v>
      </c>
      <c r="B40" s="52" t="s">
        <v>294</v>
      </c>
      <c r="C40" s="5" t="s">
        <v>296</v>
      </c>
      <c r="D40" s="1" t="s">
        <v>225</v>
      </c>
      <c r="E40" s="5">
        <v>5</v>
      </c>
    </row>
    <row r="41" spans="1:5" ht="21" customHeight="1" x14ac:dyDescent="0.3">
      <c r="A41" s="1" t="s">
        <v>292</v>
      </c>
      <c r="B41" s="52" t="s">
        <v>294</v>
      </c>
      <c r="C41" s="18" t="s">
        <v>297</v>
      </c>
      <c r="D41" s="1" t="s">
        <v>226</v>
      </c>
      <c r="E41" s="18">
        <v>1</v>
      </c>
    </row>
    <row r="42" spans="1:5" ht="21" customHeight="1" x14ac:dyDescent="0.3">
      <c r="A42" s="1" t="s">
        <v>292</v>
      </c>
      <c r="B42" s="52" t="s">
        <v>294</v>
      </c>
      <c r="C42" s="18" t="s">
        <v>297</v>
      </c>
      <c r="D42" s="1" t="s">
        <v>226</v>
      </c>
      <c r="E42" s="18">
        <v>2</v>
      </c>
    </row>
    <row r="43" spans="1:5" ht="21" customHeight="1" x14ac:dyDescent="0.3">
      <c r="A43" s="1" t="s">
        <v>292</v>
      </c>
      <c r="B43" s="52" t="s">
        <v>294</v>
      </c>
      <c r="C43" s="18" t="s">
        <v>297</v>
      </c>
      <c r="D43" s="1" t="s">
        <v>226</v>
      </c>
      <c r="E43" s="18">
        <v>3</v>
      </c>
    </row>
    <row r="44" spans="1:5" ht="21" customHeight="1" x14ac:dyDescent="0.3">
      <c r="A44" s="1" t="s">
        <v>292</v>
      </c>
      <c r="B44" s="52" t="s">
        <v>294</v>
      </c>
      <c r="C44" s="18" t="s">
        <v>297</v>
      </c>
      <c r="D44" s="1" t="s">
        <v>226</v>
      </c>
      <c r="E44" s="18">
        <v>4</v>
      </c>
    </row>
    <row r="45" spans="1:5" ht="21" customHeight="1" x14ac:dyDescent="0.3">
      <c r="A45" s="1" t="s">
        <v>292</v>
      </c>
      <c r="B45" s="52" t="s">
        <v>294</v>
      </c>
      <c r="C45" s="18" t="s">
        <v>297</v>
      </c>
      <c r="D45" s="1" t="s">
        <v>226</v>
      </c>
      <c r="E45" s="18">
        <v>5</v>
      </c>
    </row>
    <row r="46" spans="1:5" ht="21" customHeight="1" x14ac:dyDescent="0.3">
      <c r="A46" s="1" t="s">
        <v>292</v>
      </c>
      <c r="B46" s="52" t="s">
        <v>294</v>
      </c>
      <c r="C46" s="18" t="s">
        <v>297</v>
      </c>
      <c r="D46" s="1" t="s">
        <v>226</v>
      </c>
      <c r="E46" s="18">
        <v>6</v>
      </c>
    </row>
    <row r="47" spans="1:5" ht="21" customHeight="1" x14ac:dyDescent="0.3">
      <c r="A47" s="1" t="s">
        <v>292</v>
      </c>
      <c r="B47" s="52" t="s">
        <v>294</v>
      </c>
      <c r="C47" s="18" t="s">
        <v>297</v>
      </c>
      <c r="D47" s="1" t="s">
        <v>226</v>
      </c>
      <c r="E47" s="18">
        <v>7</v>
      </c>
    </row>
    <row r="48" spans="1:5" ht="21" customHeight="1" x14ac:dyDescent="0.3">
      <c r="A48" s="1" t="s">
        <v>292</v>
      </c>
      <c r="B48" s="52" t="s">
        <v>294</v>
      </c>
      <c r="C48" s="18" t="s">
        <v>297</v>
      </c>
      <c r="D48" s="1" t="s">
        <v>226</v>
      </c>
      <c r="E48" s="18">
        <v>8</v>
      </c>
    </row>
    <row r="49" spans="1:5" ht="21" customHeight="1" x14ac:dyDescent="0.3">
      <c r="A49" s="1" t="s">
        <v>222</v>
      </c>
      <c r="B49" s="51" t="s">
        <v>298</v>
      </c>
      <c r="C49" s="5" t="s">
        <v>299</v>
      </c>
      <c r="D49" s="1" t="s">
        <v>224</v>
      </c>
      <c r="E49" s="5">
        <v>1</v>
      </c>
    </row>
    <row r="50" spans="1:5" ht="21" customHeight="1" x14ac:dyDescent="0.3">
      <c r="A50" s="1" t="s">
        <v>222</v>
      </c>
      <c r="B50" s="51" t="s">
        <v>298</v>
      </c>
      <c r="C50" s="5" t="s">
        <v>299</v>
      </c>
      <c r="D50" s="1" t="s">
        <v>224</v>
      </c>
      <c r="E50" s="5">
        <v>2</v>
      </c>
    </row>
    <row r="51" spans="1:5" ht="21" customHeight="1" x14ac:dyDescent="0.3">
      <c r="A51" s="1" t="s">
        <v>222</v>
      </c>
      <c r="B51" s="51" t="s">
        <v>298</v>
      </c>
      <c r="C51" s="5" t="s">
        <v>299</v>
      </c>
      <c r="D51" s="1" t="s">
        <v>224</v>
      </c>
      <c r="E51" s="5">
        <v>3</v>
      </c>
    </row>
    <row r="52" spans="1:5" ht="21" customHeight="1" x14ac:dyDescent="0.3">
      <c r="A52" s="1" t="s">
        <v>222</v>
      </c>
      <c r="B52" s="51" t="s">
        <v>298</v>
      </c>
      <c r="C52" s="5" t="s">
        <v>299</v>
      </c>
      <c r="D52" s="1" t="s">
        <v>224</v>
      </c>
      <c r="E52" s="5">
        <v>4</v>
      </c>
    </row>
    <row r="53" spans="1:5" ht="21" customHeight="1" x14ac:dyDescent="0.3">
      <c r="A53" s="1" t="s">
        <v>222</v>
      </c>
      <c r="B53" s="51" t="s">
        <v>298</v>
      </c>
      <c r="C53" s="5" t="s">
        <v>299</v>
      </c>
      <c r="D53" s="1" t="s">
        <v>224</v>
      </c>
      <c r="E53" s="5">
        <v>5</v>
      </c>
    </row>
    <row r="54" spans="1:5" ht="21" customHeight="1" x14ac:dyDescent="0.3">
      <c r="A54" s="1" t="s">
        <v>222</v>
      </c>
      <c r="B54" s="51" t="s">
        <v>298</v>
      </c>
      <c r="C54" s="18" t="s">
        <v>300</v>
      </c>
      <c r="D54" s="1" t="s">
        <v>225</v>
      </c>
      <c r="E54" s="18">
        <v>1</v>
      </c>
    </row>
    <row r="55" spans="1:5" ht="21" customHeight="1" x14ac:dyDescent="0.3">
      <c r="A55" s="1" t="s">
        <v>222</v>
      </c>
      <c r="B55" s="51" t="s">
        <v>298</v>
      </c>
      <c r="C55" s="18" t="s">
        <v>300</v>
      </c>
      <c r="D55" s="1" t="s">
        <v>225</v>
      </c>
      <c r="E55" s="18">
        <v>2</v>
      </c>
    </row>
    <row r="56" spans="1:5" ht="21" customHeight="1" x14ac:dyDescent="0.3">
      <c r="A56" s="1" t="s">
        <v>222</v>
      </c>
      <c r="B56" s="51" t="s">
        <v>298</v>
      </c>
      <c r="C56" s="18" t="s">
        <v>300</v>
      </c>
      <c r="D56" s="1" t="s">
        <v>225</v>
      </c>
      <c r="E56" s="18">
        <v>3</v>
      </c>
    </row>
    <row r="57" spans="1:5" ht="21" customHeight="1" x14ac:dyDescent="0.3">
      <c r="A57" s="1" t="s">
        <v>222</v>
      </c>
      <c r="B57" s="51" t="s">
        <v>298</v>
      </c>
      <c r="C57" s="18" t="s">
        <v>300</v>
      </c>
      <c r="D57" s="1" t="s">
        <v>225</v>
      </c>
      <c r="E57" s="18">
        <v>4</v>
      </c>
    </row>
    <row r="58" spans="1:5" ht="21" customHeight="1" x14ac:dyDescent="0.3">
      <c r="A58" s="1" t="s">
        <v>222</v>
      </c>
      <c r="B58" s="51" t="s">
        <v>298</v>
      </c>
      <c r="C58" s="18" t="s">
        <v>300</v>
      </c>
      <c r="D58" s="1" t="s">
        <v>225</v>
      </c>
      <c r="E58" s="18">
        <v>5</v>
      </c>
    </row>
    <row r="59" spans="1:5" ht="21" customHeight="1" x14ac:dyDescent="0.3">
      <c r="A59" s="1" t="s">
        <v>222</v>
      </c>
      <c r="B59" s="51" t="s">
        <v>298</v>
      </c>
      <c r="C59" s="5" t="s">
        <v>300</v>
      </c>
      <c r="D59" s="1" t="s">
        <v>225</v>
      </c>
      <c r="E59" s="5">
        <v>1</v>
      </c>
    </row>
    <row r="60" spans="1:5" ht="21" customHeight="1" x14ac:dyDescent="0.3">
      <c r="A60" s="1" t="s">
        <v>222</v>
      </c>
      <c r="B60" s="51" t="s">
        <v>298</v>
      </c>
      <c r="C60" s="5" t="s">
        <v>300</v>
      </c>
      <c r="D60" s="1" t="s">
        <v>225</v>
      </c>
      <c r="E60" s="5">
        <v>2</v>
      </c>
    </row>
    <row r="61" spans="1:5" ht="21" customHeight="1" x14ac:dyDescent="0.3">
      <c r="A61" s="1" t="s">
        <v>222</v>
      </c>
      <c r="B61" s="51" t="s">
        <v>298</v>
      </c>
      <c r="C61" s="5" t="s">
        <v>300</v>
      </c>
      <c r="D61" s="1" t="s">
        <v>225</v>
      </c>
      <c r="E61" s="5">
        <v>3</v>
      </c>
    </row>
    <row r="62" spans="1:5" ht="21" customHeight="1" x14ac:dyDescent="0.3">
      <c r="A62" s="1" t="s">
        <v>222</v>
      </c>
      <c r="B62" s="51" t="s">
        <v>298</v>
      </c>
      <c r="C62" s="5" t="s">
        <v>300</v>
      </c>
      <c r="D62" s="1" t="s">
        <v>225</v>
      </c>
      <c r="E62" s="5">
        <v>4</v>
      </c>
    </row>
    <row r="63" spans="1:5" ht="21" customHeight="1" x14ac:dyDescent="0.3">
      <c r="A63" s="1" t="s">
        <v>222</v>
      </c>
      <c r="B63" s="51" t="s">
        <v>298</v>
      </c>
      <c r="C63" s="5" t="s">
        <v>300</v>
      </c>
      <c r="D63" s="1" t="s">
        <v>225</v>
      </c>
      <c r="E63" s="5">
        <v>5</v>
      </c>
    </row>
    <row r="64" spans="1:5" ht="21" customHeight="1" x14ac:dyDescent="0.3">
      <c r="A64" s="1" t="s">
        <v>292</v>
      </c>
      <c r="B64" s="51" t="s">
        <v>298</v>
      </c>
      <c r="C64" s="18" t="s">
        <v>301</v>
      </c>
      <c r="D64" s="1" t="s">
        <v>226</v>
      </c>
      <c r="E64" s="18">
        <v>1</v>
      </c>
    </row>
    <row r="65" spans="1:5" ht="21" customHeight="1" x14ac:dyDescent="0.3">
      <c r="A65" s="1" t="s">
        <v>292</v>
      </c>
      <c r="B65" s="51" t="s">
        <v>298</v>
      </c>
      <c r="C65" s="18" t="s">
        <v>301</v>
      </c>
      <c r="D65" s="1" t="s">
        <v>226</v>
      </c>
      <c r="E65" s="18">
        <v>2</v>
      </c>
    </row>
    <row r="66" spans="1:5" ht="21" customHeight="1" x14ac:dyDescent="0.3">
      <c r="A66" s="1" t="s">
        <v>292</v>
      </c>
      <c r="B66" s="51" t="s">
        <v>298</v>
      </c>
      <c r="C66" s="18" t="s">
        <v>301</v>
      </c>
      <c r="D66" s="1" t="s">
        <v>226</v>
      </c>
      <c r="E66" s="18">
        <v>3</v>
      </c>
    </row>
    <row r="67" spans="1:5" ht="21" customHeight="1" x14ac:dyDescent="0.3">
      <c r="A67" s="1" t="s">
        <v>292</v>
      </c>
      <c r="B67" s="51" t="s">
        <v>298</v>
      </c>
      <c r="C67" s="18" t="s">
        <v>301</v>
      </c>
      <c r="D67" s="1" t="s">
        <v>226</v>
      </c>
      <c r="E67" s="18">
        <v>4</v>
      </c>
    </row>
    <row r="68" spans="1:5" ht="21" customHeight="1" x14ac:dyDescent="0.3">
      <c r="A68" s="1" t="s">
        <v>292</v>
      </c>
      <c r="B68" s="51" t="s">
        <v>298</v>
      </c>
      <c r="C68" s="18" t="s">
        <v>301</v>
      </c>
      <c r="D68" s="1" t="s">
        <v>226</v>
      </c>
      <c r="E68" s="18">
        <v>5</v>
      </c>
    </row>
    <row r="69" spans="1:5" ht="21" customHeight="1" x14ac:dyDescent="0.3">
      <c r="A69" s="1" t="s">
        <v>292</v>
      </c>
      <c r="B69" s="51" t="s">
        <v>298</v>
      </c>
      <c r="C69" s="18" t="s">
        <v>301</v>
      </c>
      <c r="D69" s="1" t="s">
        <v>226</v>
      </c>
      <c r="E69" s="18">
        <v>6</v>
      </c>
    </row>
    <row r="70" spans="1:5" ht="21" customHeight="1" x14ac:dyDescent="0.3">
      <c r="A70" s="1" t="s">
        <v>292</v>
      </c>
      <c r="B70" s="51" t="s">
        <v>298</v>
      </c>
      <c r="C70" s="18" t="s">
        <v>301</v>
      </c>
      <c r="D70" s="1" t="s">
        <v>226</v>
      </c>
      <c r="E70" s="18">
        <v>7</v>
      </c>
    </row>
    <row r="71" spans="1:5" ht="21" customHeight="1" x14ac:dyDescent="0.3">
      <c r="A71" s="1" t="s">
        <v>292</v>
      </c>
      <c r="B71" s="51" t="s">
        <v>298</v>
      </c>
      <c r="C71" s="18" t="s">
        <v>301</v>
      </c>
      <c r="D71" s="1" t="s">
        <v>226</v>
      </c>
      <c r="E71" s="18">
        <v>8</v>
      </c>
    </row>
    <row r="72" spans="1:5" ht="21" customHeight="1" x14ac:dyDescent="0.3">
      <c r="A72" s="1" t="s">
        <v>222</v>
      </c>
      <c r="B72" s="52" t="s">
        <v>302</v>
      </c>
      <c r="C72" s="5" t="s">
        <v>303</v>
      </c>
      <c r="D72" s="1" t="s">
        <v>224</v>
      </c>
      <c r="E72" s="5">
        <v>1</v>
      </c>
    </row>
    <row r="73" spans="1:5" ht="21" customHeight="1" x14ac:dyDescent="0.3">
      <c r="A73" s="1" t="s">
        <v>222</v>
      </c>
      <c r="B73" s="52" t="s">
        <v>302</v>
      </c>
      <c r="C73" s="5" t="s">
        <v>303</v>
      </c>
      <c r="D73" s="1" t="s">
        <v>224</v>
      </c>
      <c r="E73" s="5">
        <v>2</v>
      </c>
    </row>
    <row r="74" spans="1:5" ht="21" customHeight="1" x14ac:dyDescent="0.3">
      <c r="A74" s="1" t="s">
        <v>222</v>
      </c>
      <c r="B74" s="52" t="s">
        <v>302</v>
      </c>
      <c r="C74" s="5" t="s">
        <v>303</v>
      </c>
      <c r="D74" s="1" t="s">
        <v>224</v>
      </c>
      <c r="E74" s="5">
        <v>3</v>
      </c>
    </row>
    <row r="75" spans="1:5" ht="21" customHeight="1" x14ac:dyDescent="0.3">
      <c r="A75" s="1" t="s">
        <v>222</v>
      </c>
      <c r="B75" s="52" t="s">
        <v>302</v>
      </c>
      <c r="C75" s="5" t="s">
        <v>303</v>
      </c>
      <c r="D75" s="1" t="s">
        <v>224</v>
      </c>
      <c r="E75" s="5">
        <v>4</v>
      </c>
    </row>
    <row r="76" spans="1:5" ht="21" customHeight="1" x14ac:dyDescent="0.3">
      <c r="A76" s="1" t="s">
        <v>222</v>
      </c>
      <c r="B76" s="52" t="s">
        <v>302</v>
      </c>
      <c r="C76" s="5" t="s">
        <v>303</v>
      </c>
      <c r="D76" s="1" t="s">
        <v>224</v>
      </c>
      <c r="E76" s="5">
        <v>5</v>
      </c>
    </row>
    <row r="77" spans="1:5" ht="21" customHeight="1" x14ac:dyDescent="0.3">
      <c r="A77" s="1" t="s">
        <v>222</v>
      </c>
      <c r="B77" s="52" t="s">
        <v>302</v>
      </c>
      <c r="C77" s="18" t="s">
        <v>304</v>
      </c>
      <c r="D77" s="1" t="s">
        <v>230</v>
      </c>
      <c r="E77" s="18">
        <v>1</v>
      </c>
    </row>
    <row r="78" spans="1:5" ht="21" customHeight="1" x14ac:dyDescent="0.3">
      <c r="A78" s="1" t="s">
        <v>222</v>
      </c>
      <c r="B78" s="52" t="s">
        <v>302</v>
      </c>
      <c r="C78" s="18" t="s">
        <v>304</v>
      </c>
      <c r="D78" s="1" t="s">
        <v>230</v>
      </c>
      <c r="E78" s="18">
        <v>2</v>
      </c>
    </row>
    <row r="79" spans="1:5" ht="21" customHeight="1" x14ac:dyDescent="0.3">
      <c r="A79" s="1" t="s">
        <v>222</v>
      </c>
      <c r="B79" s="52" t="s">
        <v>302</v>
      </c>
      <c r="C79" s="18" t="s">
        <v>304</v>
      </c>
      <c r="D79" s="1" t="s">
        <v>230</v>
      </c>
      <c r="E79" s="18">
        <v>3</v>
      </c>
    </row>
    <row r="80" spans="1:5" ht="21" customHeight="1" x14ac:dyDescent="0.3">
      <c r="A80" s="1" t="s">
        <v>222</v>
      </c>
      <c r="B80" s="52" t="s">
        <v>302</v>
      </c>
      <c r="C80" s="18" t="s">
        <v>304</v>
      </c>
      <c r="D80" s="1" t="s">
        <v>230</v>
      </c>
      <c r="E80" s="18">
        <v>4</v>
      </c>
    </row>
    <row r="81" spans="1:5" ht="21" customHeight="1" x14ac:dyDescent="0.3">
      <c r="A81" s="1" t="s">
        <v>222</v>
      </c>
      <c r="B81" s="52" t="s">
        <v>302</v>
      </c>
      <c r="C81" s="18" t="s">
        <v>304</v>
      </c>
      <c r="D81" s="1" t="s">
        <v>230</v>
      </c>
      <c r="E81" s="18">
        <v>5</v>
      </c>
    </row>
    <row r="82" spans="1:5" ht="21" customHeight="1" x14ac:dyDescent="0.3">
      <c r="A82" s="1" t="s">
        <v>222</v>
      </c>
      <c r="B82" s="52" t="s">
        <v>302</v>
      </c>
      <c r="C82" s="5" t="s">
        <v>305</v>
      </c>
      <c r="D82" s="1" t="s">
        <v>225</v>
      </c>
      <c r="E82" s="5">
        <v>1</v>
      </c>
    </row>
    <row r="83" spans="1:5" ht="21" customHeight="1" x14ac:dyDescent="0.3">
      <c r="A83" s="1" t="s">
        <v>222</v>
      </c>
      <c r="B83" s="52" t="s">
        <v>302</v>
      </c>
      <c r="C83" s="5" t="s">
        <v>305</v>
      </c>
      <c r="D83" s="1" t="s">
        <v>225</v>
      </c>
      <c r="E83" s="5">
        <v>2</v>
      </c>
    </row>
    <row r="84" spans="1:5" ht="21" customHeight="1" x14ac:dyDescent="0.3">
      <c r="A84" s="1" t="s">
        <v>222</v>
      </c>
      <c r="B84" s="52" t="s">
        <v>302</v>
      </c>
      <c r="C84" s="5" t="s">
        <v>305</v>
      </c>
      <c r="D84" s="1" t="s">
        <v>225</v>
      </c>
      <c r="E84" s="5">
        <v>3</v>
      </c>
    </row>
    <row r="85" spans="1:5" ht="21" customHeight="1" x14ac:dyDescent="0.3">
      <c r="A85" s="1" t="s">
        <v>222</v>
      </c>
      <c r="B85" s="52" t="s">
        <v>302</v>
      </c>
      <c r="C85" s="5" t="s">
        <v>305</v>
      </c>
      <c r="D85" s="1" t="s">
        <v>225</v>
      </c>
      <c r="E85" s="5">
        <v>4</v>
      </c>
    </row>
    <row r="86" spans="1:5" ht="21" customHeight="1" x14ac:dyDescent="0.3">
      <c r="A86" s="1" t="s">
        <v>222</v>
      </c>
      <c r="B86" s="52" t="s">
        <v>302</v>
      </c>
      <c r="C86" s="5" t="s">
        <v>305</v>
      </c>
      <c r="D86" s="1" t="s">
        <v>225</v>
      </c>
      <c r="E86" s="5">
        <v>5</v>
      </c>
    </row>
    <row r="87" spans="1:5" ht="21" customHeight="1" x14ac:dyDescent="0.3">
      <c r="A87" s="1" t="s">
        <v>222</v>
      </c>
      <c r="B87" s="52" t="s">
        <v>302</v>
      </c>
      <c r="C87" s="18" t="s">
        <v>305</v>
      </c>
      <c r="D87" s="1" t="s">
        <v>225</v>
      </c>
      <c r="E87" s="18">
        <v>1</v>
      </c>
    </row>
    <row r="88" spans="1:5" ht="21" customHeight="1" x14ac:dyDescent="0.3">
      <c r="A88" s="1" t="s">
        <v>222</v>
      </c>
      <c r="B88" s="52" t="s">
        <v>302</v>
      </c>
      <c r="C88" s="18" t="s">
        <v>305</v>
      </c>
      <c r="D88" s="1" t="s">
        <v>225</v>
      </c>
      <c r="E88" s="18">
        <v>2</v>
      </c>
    </row>
    <row r="89" spans="1:5" ht="21" customHeight="1" x14ac:dyDescent="0.3">
      <c r="A89" s="1" t="s">
        <v>222</v>
      </c>
      <c r="B89" s="52" t="s">
        <v>302</v>
      </c>
      <c r="C89" s="18" t="s">
        <v>305</v>
      </c>
      <c r="D89" s="1" t="s">
        <v>225</v>
      </c>
      <c r="E89" s="18">
        <v>3</v>
      </c>
    </row>
    <row r="90" spans="1:5" ht="21" customHeight="1" x14ac:dyDescent="0.3">
      <c r="A90" s="1" t="s">
        <v>222</v>
      </c>
      <c r="B90" s="52" t="s">
        <v>302</v>
      </c>
      <c r="C90" s="18" t="s">
        <v>305</v>
      </c>
      <c r="D90" s="1" t="s">
        <v>225</v>
      </c>
      <c r="E90" s="18">
        <v>4</v>
      </c>
    </row>
    <row r="91" spans="1:5" ht="21" customHeight="1" x14ac:dyDescent="0.3">
      <c r="A91" s="1" t="s">
        <v>222</v>
      </c>
      <c r="B91" s="52" t="s">
        <v>302</v>
      </c>
      <c r="C91" s="18" t="s">
        <v>305</v>
      </c>
      <c r="D91" s="1" t="s">
        <v>225</v>
      </c>
      <c r="E91" s="18">
        <v>5</v>
      </c>
    </row>
    <row r="92" spans="1:5" ht="21" customHeight="1" x14ac:dyDescent="0.3">
      <c r="A92" s="1" t="s">
        <v>292</v>
      </c>
      <c r="B92" s="52" t="s">
        <v>302</v>
      </c>
      <c r="C92" s="5" t="s">
        <v>306</v>
      </c>
      <c r="D92" s="1" t="s">
        <v>226</v>
      </c>
      <c r="E92" s="5">
        <v>1</v>
      </c>
    </row>
    <row r="93" spans="1:5" ht="21" customHeight="1" x14ac:dyDescent="0.3">
      <c r="A93" s="1" t="s">
        <v>292</v>
      </c>
      <c r="B93" s="52" t="s">
        <v>302</v>
      </c>
      <c r="C93" s="5" t="s">
        <v>306</v>
      </c>
      <c r="D93" s="1" t="s">
        <v>226</v>
      </c>
      <c r="E93" s="5">
        <v>2</v>
      </c>
    </row>
    <row r="94" spans="1:5" ht="21" customHeight="1" x14ac:dyDescent="0.3">
      <c r="A94" s="1" t="s">
        <v>292</v>
      </c>
      <c r="B94" s="52" t="s">
        <v>302</v>
      </c>
      <c r="C94" s="5" t="s">
        <v>306</v>
      </c>
      <c r="D94" s="1" t="s">
        <v>226</v>
      </c>
      <c r="E94" s="5">
        <v>3</v>
      </c>
    </row>
    <row r="95" spans="1:5" ht="21" customHeight="1" x14ac:dyDescent="0.3">
      <c r="A95" s="1" t="s">
        <v>292</v>
      </c>
      <c r="B95" s="52" t="s">
        <v>302</v>
      </c>
      <c r="C95" s="5" t="s">
        <v>306</v>
      </c>
      <c r="D95" s="1" t="s">
        <v>226</v>
      </c>
      <c r="E95" s="5">
        <v>4</v>
      </c>
    </row>
    <row r="96" spans="1:5" ht="21" customHeight="1" x14ac:dyDescent="0.3">
      <c r="A96" s="1" t="s">
        <v>292</v>
      </c>
      <c r="B96" s="52" t="s">
        <v>302</v>
      </c>
      <c r="C96" s="5" t="s">
        <v>306</v>
      </c>
      <c r="D96" s="1" t="s">
        <v>226</v>
      </c>
      <c r="E96" s="5">
        <v>5</v>
      </c>
    </row>
    <row r="97" spans="1:5" ht="21" customHeight="1" x14ac:dyDescent="0.3">
      <c r="A97" s="1" t="s">
        <v>292</v>
      </c>
      <c r="B97" s="52" t="s">
        <v>302</v>
      </c>
      <c r="C97" s="5" t="s">
        <v>306</v>
      </c>
      <c r="D97" s="1" t="s">
        <v>226</v>
      </c>
      <c r="E97" s="5">
        <v>6</v>
      </c>
    </row>
    <row r="98" spans="1:5" ht="21" customHeight="1" x14ac:dyDescent="0.3">
      <c r="A98" s="1" t="s">
        <v>292</v>
      </c>
      <c r="B98" s="52" t="s">
        <v>302</v>
      </c>
      <c r="C98" s="5" t="s">
        <v>306</v>
      </c>
      <c r="D98" s="1" t="s">
        <v>226</v>
      </c>
      <c r="E98" s="5">
        <v>7</v>
      </c>
    </row>
    <row r="99" spans="1:5" ht="21" customHeight="1" x14ac:dyDescent="0.3">
      <c r="A99" s="1" t="s">
        <v>292</v>
      </c>
      <c r="B99" s="52" t="s">
        <v>302</v>
      </c>
      <c r="C99" s="5" t="s">
        <v>306</v>
      </c>
      <c r="D99" s="1" t="s">
        <v>226</v>
      </c>
      <c r="E99" s="5">
        <v>8</v>
      </c>
    </row>
    <row r="100" spans="1:5" ht="21" customHeight="1" x14ac:dyDescent="0.3">
      <c r="A100" s="1" t="s">
        <v>222</v>
      </c>
      <c r="B100" s="51" t="s">
        <v>307</v>
      </c>
      <c r="C100" s="18" t="s">
        <v>308</v>
      </c>
      <c r="D100" s="1" t="s">
        <v>224</v>
      </c>
      <c r="E100" s="18">
        <v>1</v>
      </c>
    </row>
    <row r="101" spans="1:5" ht="21" customHeight="1" x14ac:dyDescent="0.3">
      <c r="A101" s="1" t="s">
        <v>222</v>
      </c>
      <c r="B101" s="51" t="s">
        <v>307</v>
      </c>
      <c r="C101" s="18" t="s">
        <v>308</v>
      </c>
      <c r="D101" s="1" t="s">
        <v>224</v>
      </c>
      <c r="E101" s="18">
        <v>2</v>
      </c>
    </row>
    <row r="102" spans="1:5" ht="21" customHeight="1" x14ac:dyDescent="0.3">
      <c r="A102" s="1" t="s">
        <v>222</v>
      </c>
      <c r="B102" s="51" t="s">
        <v>307</v>
      </c>
      <c r="C102" s="18" t="s">
        <v>308</v>
      </c>
      <c r="D102" s="1" t="s">
        <v>224</v>
      </c>
      <c r="E102" s="18">
        <v>3</v>
      </c>
    </row>
    <row r="103" spans="1:5" ht="21" customHeight="1" x14ac:dyDescent="0.3">
      <c r="A103" s="1" t="s">
        <v>222</v>
      </c>
      <c r="B103" s="51" t="s">
        <v>307</v>
      </c>
      <c r="C103" s="18" t="s">
        <v>308</v>
      </c>
      <c r="D103" s="1" t="s">
        <v>224</v>
      </c>
      <c r="E103" s="18">
        <v>4</v>
      </c>
    </row>
    <row r="104" spans="1:5" ht="21" customHeight="1" x14ac:dyDescent="0.3">
      <c r="A104" s="1" t="s">
        <v>222</v>
      </c>
      <c r="B104" s="51" t="s">
        <v>307</v>
      </c>
      <c r="C104" s="18" t="s">
        <v>308</v>
      </c>
      <c r="D104" s="1" t="s">
        <v>224</v>
      </c>
      <c r="E104" s="18">
        <v>5</v>
      </c>
    </row>
    <row r="105" spans="1:5" ht="21" customHeight="1" x14ac:dyDescent="0.3">
      <c r="A105" s="1" t="s">
        <v>222</v>
      </c>
      <c r="B105" s="51" t="s">
        <v>307</v>
      </c>
      <c r="C105" s="5" t="s">
        <v>309</v>
      </c>
      <c r="D105" s="1" t="s">
        <v>230</v>
      </c>
      <c r="E105" s="5">
        <v>1</v>
      </c>
    </row>
    <row r="106" spans="1:5" ht="21" customHeight="1" x14ac:dyDescent="0.3">
      <c r="A106" s="1" t="s">
        <v>222</v>
      </c>
      <c r="B106" s="51" t="s">
        <v>307</v>
      </c>
      <c r="C106" s="5" t="s">
        <v>309</v>
      </c>
      <c r="D106" s="1" t="s">
        <v>230</v>
      </c>
      <c r="E106" s="5">
        <v>2</v>
      </c>
    </row>
    <row r="107" spans="1:5" ht="21" customHeight="1" x14ac:dyDescent="0.3">
      <c r="A107" s="1" t="s">
        <v>222</v>
      </c>
      <c r="B107" s="51" t="s">
        <v>307</v>
      </c>
      <c r="C107" s="5" t="s">
        <v>309</v>
      </c>
      <c r="D107" s="1" t="s">
        <v>230</v>
      </c>
      <c r="E107" s="5">
        <v>3</v>
      </c>
    </row>
    <row r="108" spans="1:5" ht="21" customHeight="1" x14ac:dyDescent="0.3">
      <c r="A108" s="1" t="s">
        <v>222</v>
      </c>
      <c r="B108" s="51" t="s">
        <v>307</v>
      </c>
      <c r="C108" s="5" t="s">
        <v>309</v>
      </c>
      <c r="D108" s="1" t="s">
        <v>230</v>
      </c>
      <c r="E108" s="5">
        <v>4</v>
      </c>
    </row>
    <row r="109" spans="1:5" ht="21" customHeight="1" x14ac:dyDescent="0.3">
      <c r="A109" s="1" t="s">
        <v>222</v>
      </c>
      <c r="B109" s="51" t="s">
        <v>307</v>
      </c>
      <c r="C109" s="5" t="s">
        <v>309</v>
      </c>
      <c r="D109" s="1" t="s">
        <v>230</v>
      </c>
      <c r="E109" s="5">
        <v>5</v>
      </c>
    </row>
    <row r="110" spans="1:5" ht="21" customHeight="1" x14ac:dyDescent="0.3">
      <c r="A110" s="1" t="s">
        <v>222</v>
      </c>
      <c r="B110" s="51" t="s">
        <v>307</v>
      </c>
      <c r="C110" s="18" t="s">
        <v>310</v>
      </c>
      <c r="D110" s="1" t="s">
        <v>225</v>
      </c>
      <c r="E110" s="18">
        <v>1</v>
      </c>
    </row>
    <row r="111" spans="1:5" ht="21" customHeight="1" x14ac:dyDescent="0.3">
      <c r="A111" s="1" t="s">
        <v>222</v>
      </c>
      <c r="B111" s="51" t="s">
        <v>307</v>
      </c>
      <c r="C111" s="18" t="s">
        <v>310</v>
      </c>
      <c r="D111" s="1" t="s">
        <v>225</v>
      </c>
      <c r="E111" s="18">
        <v>2</v>
      </c>
    </row>
    <row r="112" spans="1:5" ht="21" customHeight="1" x14ac:dyDescent="0.3">
      <c r="A112" s="1" t="s">
        <v>222</v>
      </c>
      <c r="B112" s="51" t="s">
        <v>307</v>
      </c>
      <c r="C112" s="18" t="s">
        <v>310</v>
      </c>
      <c r="D112" s="1" t="s">
        <v>225</v>
      </c>
      <c r="E112" s="18">
        <v>3</v>
      </c>
    </row>
    <row r="113" spans="1:5" ht="21" customHeight="1" x14ac:dyDescent="0.3">
      <c r="A113" s="1" t="s">
        <v>222</v>
      </c>
      <c r="B113" s="51" t="s">
        <v>307</v>
      </c>
      <c r="C113" s="18" t="s">
        <v>310</v>
      </c>
      <c r="D113" s="1" t="s">
        <v>225</v>
      </c>
      <c r="E113" s="18">
        <v>4</v>
      </c>
    </row>
    <row r="114" spans="1:5" ht="21" customHeight="1" x14ac:dyDescent="0.3">
      <c r="A114" s="1" t="s">
        <v>222</v>
      </c>
      <c r="B114" s="51" t="s">
        <v>307</v>
      </c>
      <c r="C114" s="18" t="s">
        <v>310</v>
      </c>
      <c r="D114" s="1" t="s">
        <v>225</v>
      </c>
      <c r="E114" s="18">
        <v>5</v>
      </c>
    </row>
    <row r="115" spans="1:5" ht="21" customHeight="1" x14ac:dyDescent="0.3">
      <c r="A115" s="1" t="s">
        <v>222</v>
      </c>
      <c r="B115" s="51" t="s">
        <v>307</v>
      </c>
      <c r="C115" s="5" t="s">
        <v>310</v>
      </c>
      <c r="D115" s="1" t="s">
        <v>225</v>
      </c>
      <c r="E115" s="5">
        <v>1</v>
      </c>
    </row>
    <row r="116" spans="1:5" ht="21" customHeight="1" x14ac:dyDescent="0.3">
      <c r="A116" s="1" t="s">
        <v>222</v>
      </c>
      <c r="B116" s="51" t="s">
        <v>307</v>
      </c>
      <c r="C116" s="5" t="s">
        <v>310</v>
      </c>
      <c r="D116" s="1" t="s">
        <v>225</v>
      </c>
      <c r="E116" s="5">
        <v>2</v>
      </c>
    </row>
    <row r="117" spans="1:5" ht="21" customHeight="1" x14ac:dyDescent="0.3">
      <c r="A117" s="1" t="s">
        <v>222</v>
      </c>
      <c r="B117" s="51" t="s">
        <v>307</v>
      </c>
      <c r="C117" s="5" t="s">
        <v>310</v>
      </c>
      <c r="D117" s="1" t="s">
        <v>225</v>
      </c>
      <c r="E117" s="5">
        <v>3</v>
      </c>
    </row>
    <row r="118" spans="1:5" ht="21" customHeight="1" x14ac:dyDescent="0.3">
      <c r="A118" s="1" t="s">
        <v>222</v>
      </c>
      <c r="B118" s="51" t="s">
        <v>307</v>
      </c>
      <c r="C118" s="5" t="s">
        <v>310</v>
      </c>
      <c r="D118" s="1" t="s">
        <v>225</v>
      </c>
      <c r="E118" s="5">
        <v>4</v>
      </c>
    </row>
    <row r="119" spans="1:5" ht="21" customHeight="1" x14ac:dyDescent="0.3">
      <c r="A119" s="1" t="s">
        <v>222</v>
      </c>
      <c r="B119" s="51" t="s">
        <v>307</v>
      </c>
      <c r="C119" s="5" t="s">
        <v>310</v>
      </c>
      <c r="D119" s="1" t="s">
        <v>225</v>
      </c>
      <c r="E119" s="5">
        <v>5</v>
      </c>
    </row>
    <row r="120" spans="1:5" ht="21" customHeight="1" x14ac:dyDescent="0.3">
      <c r="A120" s="1" t="s">
        <v>292</v>
      </c>
      <c r="B120" s="51" t="s">
        <v>307</v>
      </c>
      <c r="C120" s="18" t="s">
        <v>311</v>
      </c>
      <c r="D120" s="1" t="s">
        <v>226</v>
      </c>
      <c r="E120" s="18">
        <v>1</v>
      </c>
    </row>
    <row r="121" spans="1:5" ht="21" customHeight="1" x14ac:dyDescent="0.3">
      <c r="A121" s="1" t="s">
        <v>292</v>
      </c>
      <c r="B121" s="51" t="s">
        <v>307</v>
      </c>
      <c r="C121" s="18" t="s">
        <v>311</v>
      </c>
      <c r="D121" s="1" t="s">
        <v>226</v>
      </c>
      <c r="E121" s="18">
        <v>2</v>
      </c>
    </row>
    <row r="122" spans="1:5" ht="21" customHeight="1" x14ac:dyDescent="0.3">
      <c r="A122" s="1" t="s">
        <v>292</v>
      </c>
      <c r="B122" s="51" t="s">
        <v>307</v>
      </c>
      <c r="C122" s="18" t="s">
        <v>311</v>
      </c>
      <c r="D122" s="1" t="s">
        <v>226</v>
      </c>
      <c r="E122" s="18">
        <v>3</v>
      </c>
    </row>
    <row r="123" spans="1:5" ht="21" customHeight="1" x14ac:dyDescent="0.3">
      <c r="A123" s="1" t="s">
        <v>292</v>
      </c>
      <c r="B123" s="51" t="s">
        <v>307</v>
      </c>
      <c r="C123" s="18" t="s">
        <v>311</v>
      </c>
      <c r="D123" s="1" t="s">
        <v>226</v>
      </c>
      <c r="E123" s="18">
        <v>4</v>
      </c>
    </row>
    <row r="124" spans="1:5" ht="21" customHeight="1" x14ac:dyDescent="0.3">
      <c r="A124" s="1" t="s">
        <v>292</v>
      </c>
      <c r="B124" s="51" t="s">
        <v>307</v>
      </c>
      <c r="C124" s="18" t="s">
        <v>311</v>
      </c>
      <c r="D124" s="1" t="s">
        <v>226</v>
      </c>
      <c r="E124" s="18">
        <v>5</v>
      </c>
    </row>
    <row r="125" spans="1:5" ht="21" customHeight="1" x14ac:dyDescent="0.3">
      <c r="A125" s="1" t="s">
        <v>292</v>
      </c>
      <c r="B125" s="51" t="s">
        <v>307</v>
      </c>
      <c r="C125" s="18" t="s">
        <v>311</v>
      </c>
      <c r="D125" s="1" t="s">
        <v>226</v>
      </c>
      <c r="E125" s="18">
        <v>6</v>
      </c>
    </row>
    <row r="126" spans="1:5" ht="21" customHeight="1" x14ac:dyDescent="0.3">
      <c r="A126" s="1" t="s">
        <v>292</v>
      </c>
      <c r="B126" s="51" t="s">
        <v>307</v>
      </c>
      <c r="C126" s="18" t="s">
        <v>311</v>
      </c>
      <c r="D126" s="1" t="s">
        <v>226</v>
      </c>
      <c r="E126" s="18">
        <v>7</v>
      </c>
    </row>
    <row r="127" spans="1:5" ht="21" customHeight="1" x14ac:dyDescent="0.3">
      <c r="A127" s="1" t="s">
        <v>292</v>
      </c>
      <c r="B127" s="51" t="s">
        <v>307</v>
      </c>
      <c r="C127" s="18" t="s">
        <v>311</v>
      </c>
      <c r="D127" s="1" t="s">
        <v>226</v>
      </c>
      <c r="E127" s="18">
        <v>8</v>
      </c>
    </row>
    <row r="128" spans="1:5" ht="21" customHeight="1" x14ac:dyDescent="0.3">
      <c r="A128" s="1" t="s">
        <v>222</v>
      </c>
      <c r="B128" s="52" t="s">
        <v>312</v>
      </c>
      <c r="C128" s="5" t="s">
        <v>313</v>
      </c>
      <c r="D128" s="1" t="s">
        <v>224</v>
      </c>
      <c r="E128" s="5">
        <v>1</v>
      </c>
    </row>
    <row r="129" spans="1:5" ht="21" customHeight="1" x14ac:dyDescent="0.3">
      <c r="A129" s="1" t="s">
        <v>222</v>
      </c>
      <c r="B129" s="52" t="s">
        <v>312</v>
      </c>
      <c r="C129" s="5" t="s">
        <v>313</v>
      </c>
      <c r="D129" s="1" t="s">
        <v>224</v>
      </c>
      <c r="E129" s="5">
        <v>2</v>
      </c>
    </row>
    <row r="130" spans="1:5" ht="21" customHeight="1" x14ac:dyDescent="0.3">
      <c r="A130" s="1" t="s">
        <v>222</v>
      </c>
      <c r="B130" s="52" t="s">
        <v>312</v>
      </c>
      <c r="C130" s="5" t="s">
        <v>313</v>
      </c>
      <c r="D130" s="1" t="s">
        <v>224</v>
      </c>
      <c r="E130" s="5">
        <v>3</v>
      </c>
    </row>
    <row r="131" spans="1:5" ht="21" customHeight="1" x14ac:dyDescent="0.3">
      <c r="A131" s="1" t="s">
        <v>222</v>
      </c>
      <c r="B131" s="52" t="s">
        <v>312</v>
      </c>
      <c r="C131" s="5" t="s">
        <v>313</v>
      </c>
      <c r="D131" s="1" t="s">
        <v>224</v>
      </c>
      <c r="E131" s="5">
        <v>4</v>
      </c>
    </row>
    <row r="132" spans="1:5" ht="21" customHeight="1" x14ac:dyDescent="0.3">
      <c r="A132" s="1" t="s">
        <v>222</v>
      </c>
      <c r="B132" s="52" t="s">
        <v>312</v>
      </c>
      <c r="C132" s="5" t="s">
        <v>313</v>
      </c>
      <c r="D132" s="1" t="s">
        <v>224</v>
      </c>
      <c r="E132" s="5">
        <v>5</v>
      </c>
    </row>
    <row r="133" spans="1:5" ht="21" customHeight="1" x14ac:dyDescent="0.3">
      <c r="A133" s="1" t="s">
        <v>222</v>
      </c>
      <c r="B133" s="52" t="s">
        <v>312</v>
      </c>
      <c r="C133" s="18" t="s">
        <v>314</v>
      </c>
      <c r="D133" s="1" t="s">
        <v>230</v>
      </c>
      <c r="E133" s="18">
        <v>1</v>
      </c>
    </row>
    <row r="134" spans="1:5" ht="21" customHeight="1" x14ac:dyDescent="0.3">
      <c r="A134" s="1" t="s">
        <v>222</v>
      </c>
      <c r="B134" s="52" t="s">
        <v>312</v>
      </c>
      <c r="C134" s="18" t="s">
        <v>314</v>
      </c>
      <c r="D134" s="1" t="s">
        <v>230</v>
      </c>
      <c r="E134" s="18">
        <v>2</v>
      </c>
    </row>
    <row r="135" spans="1:5" ht="21" customHeight="1" x14ac:dyDescent="0.3">
      <c r="A135" s="1" t="s">
        <v>222</v>
      </c>
      <c r="B135" s="52" t="s">
        <v>312</v>
      </c>
      <c r="C135" s="18" t="s">
        <v>314</v>
      </c>
      <c r="D135" s="1" t="s">
        <v>230</v>
      </c>
      <c r="E135" s="18">
        <v>3</v>
      </c>
    </row>
    <row r="136" spans="1:5" ht="21" customHeight="1" x14ac:dyDescent="0.3">
      <c r="A136" s="1" t="s">
        <v>222</v>
      </c>
      <c r="B136" s="52" t="s">
        <v>312</v>
      </c>
      <c r="C136" s="18" t="s">
        <v>314</v>
      </c>
      <c r="D136" s="1" t="s">
        <v>230</v>
      </c>
      <c r="E136" s="18">
        <v>4</v>
      </c>
    </row>
    <row r="137" spans="1:5" ht="21" customHeight="1" x14ac:dyDescent="0.3">
      <c r="A137" s="1" t="s">
        <v>222</v>
      </c>
      <c r="B137" s="52" t="s">
        <v>312</v>
      </c>
      <c r="C137" s="18" t="s">
        <v>314</v>
      </c>
      <c r="D137" s="1" t="s">
        <v>230</v>
      </c>
      <c r="E137" s="18">
        <v>5</v>
      </c>
    </row>
    <row r="138" spans="1:5" ht="21" customHeight="1" x14ac:dyDescent="0.3">
      <c r="A138" s="1" t="s">
        <v>222</v>
      </c>
      <c r="B138" s="52" t="s">
        <v>312</v>
      </c>
      <c r="C138" s="5" t="s">
        <v>315</v>
      </c>
      <c r="D138" s="1" t="s">
        <v>225</v>
      </c>
      <c r="E138" s="5">
        <v>1</v>
      </c>
    </row>
    <row r="139" spans="1:5" ht="21" customHeight="1" x14ac:dyDescent="0.3">
      <c r="A139" s="1" t="s">
        <v>222</v>
      </c>
      <c r="B139" s="52" t="s">
        <v>312</v>
      </c>
      <c r="C139" s="5" t="s">
        <v>315</v>
      </c>
      <c r="D139" s="1" t="s">
        <v>225</v>
      </c>
      <c r="E139" s="5">
        <v>2</v>
      </c>
    </row>
    <row r="140" spans="1:5" ht="21" customHeight="1" x14ac:dyDescent="0.3">
      <c r="A140" s="1" t="s">
        <v>222</v>
      </c>
      <c r="B140" s="52" t="s">
        <v>312</v>
      </c>
      <c r="C140" s="5" t="s">
        <v>315</v>
      </c>
      <c r="D140" s="1" t="s">
        <v>225</v>
      </c>
      <c r="E140" s="5">
        <v>3</v>
      </c>
    </row>
    <row r="141" spans="1:5" ht="21" customHeight="1" x14ac:dyDescent="0.3">
      <c r="A141" s="1" t="s">
        <v>222</v>
      </c>
      <c r="B141" s="52" t="s">
        <v>312</v>
      </c>
      <c r="C141" s="5" t="s">
        <v>315</v>
      </c>
      <c r="D141" s="1" t="s">
        <v>225</v>
      </c>
      <c r="E141" s="5">
        <v>4</v>
      </c>
    </row>
    <row r="142" spans="1:5" ht="21" customHeight="1" x14ac:dyDescent="0.3">
      <c r="A142" s="1" t="s">
        <v>222</v>
      </c>
      <c r="B142" s="52" t="s">
        <v>312</v>
      </c>
      <c r="C142" s="5" t="s">
        <v>315</v>
      </c>
      <c r="D142" s="1" t="s">
        <v>225</v>
      </c>
      <c r="E142" s="5">
        <v>5</v>
      </c>
    </row>
    <row r="143" spans="1:5" ht="21" customHeight="1" x14ac:dyDescent="0.3">
      <c r="A143" s="1" t="s">
        <v>222</v>
      </c>
      <c r="B143" s="52" t="s">
        <v>312</v>
      </c>
      <c r="C143" s="18" t="s">
        <v>315</v>
      </c>
      <c r="D143" s="1" t="s">
        <v>225</v>
      </c>
      <c r="E143" s="18">
        <v>1</v>
      </c>
    </row>
    <row r="144" spans="1:5" ht="21" customHeight="1" x14ac:dyDescent="0.3">
      <c r="A144" s="1" t="s">
        <v>222</v>
      </c>
      <c r="B144" s="52" t="s">
        <v>312</v>
      </c>
      <c r="C144" s="18" t="s">
        <v>315</v>
      </c>
      <c r="D144" s="1" t="s">
        <v>225</v>
      </c>
      <c r="E144" s="18">
        <v>2</v>
      </c>
    </row>
    <row r="145" spans="1:5" ht="21" customHeight="1" x14ac:dyDescent="0.3">
      <c r="A145" s="1" t="s">
        <v>222</v>
      </c>
      <c r="B145" s="52" t="s">
        <v>312</v>
      </c>
      <c r="C145" s="18" t="s">
        <v>315</v>
      </c>
      <c r="D145" s="1" t="s">
        <v>225</v>
      </c>
      <c r="E145" s="18">
        <v>3</v>
      </c>
    </row>
    <row r="146" spans="1:5" ht="21" customHeight="1" x14ac:dyDescent="0.3">
      <c r="A146" s="1" t="s">
        <v>222</v>
      </c>
      <c r="B146" s="52" t="s">
        <v>312</v>
      </c>
      <c r="C146" s="18" t="s">
        <v>315</v>
      </c>
      <c r="D146" s="1" t="s">
        <v>225</v>
      </c>
      <c r="E146" s="18">
        <v>4</v>
      </c>
    </row>
    <row r="147" spans="1:5" ht="21" customHeight="1" x14ac:dyDescent="0.3">
      <c r="A147" s="1" t="s">
        <v>222</v>
      </c>
      <c r="B147" s="52" t="s">
        <v>312</v>
      </c>
      <c r="C147" s="18" t="s">
        <v>315</v>
      </c>
      <c r="D147" s="1" t="s">
        <v>225</v>
      </c>
      <c r="E147" s="18">
        <v>5</v>
      </c>
    </row>
    <row r="148" spans="1:5" ht="21" customHeight="1" x14ac:dyDescent="0.3">
      <c r="A148" s="1" t="s">
        <v>292</v>
      </c>
      <c r="B148" s="52" t="s">
        <v>312</v>
      </c>
      <c r="C148" s="5" t="s">
        <v>316</v>
      </c>
      <c r="D148" s="1" t="s">
        <v>226</v>
      </c>
      <c r="E148" s="5">
        <v>1</v>
      </c>
    </row>
    <row r="149" spans="1:5" ht="21" customHeight="1" x14ac:dyDescent="0.3">
      <c r="A149" s="1" t="s">
        <v>292</v>
      </c>
      <c r="B149" s="52" t="s">
        <v>312</v>
      </c>
      <c r="C149" s="5" t="s">
        <v>316</v>
      </c>
      <c r="D149" s="1" t="s">
        <v>226</v>
      </c>
      <c r="E149" s="5">
        <v>2</v>
      </c>
    </row>
    <row r="150" spans="1:5" ht="21" customHeight="1" x14ac:dyDescent="0.3">
      <c r="A150" s="1" t="s">
        <v>292</v>
      </c>
      <c r="B150" s="52" t="s">
        <v>312</v>
      </c>
      <c r="C150" s="5" t="s">
        <v>316</v>
      </c>
      <c r="D150" s="1" t="s">
        <v>226</v>
      </c>
      <c r="E150" s="5">
        <v>3</v>
      </c>
    </row>
    <row r="151" spans="1:5" ht="21" customHeight="1" x14ac:dyDescent="0.3">
      <c r="A151" s="1" t="s">
        <v>292</v>
      </c>
      <c r="B151" s="52" t="s">
        <v>312</v>
      </c>
      <c r="C151" s="5" t="s">
        <v>316</v>
      </c>
      <c r="D151" s="1" t="s">
        <v>226</v>
      </c>
      <c r="E151" s="5">
        <v>4</v>
      </c>
    </row>
    <row r="152" spans="1:5" ht="21" customHeight="1" x14ac:dyDescent="0.3">
      <c r="A152" s="1" t="s">
        <v>292</v>
      </c>
      <c r="B152" s="52" t="s">
        <v>312</v>
      </c>
      <c r="C152" s="5" t="s">
        <v>316</v>
      </c>
      <c r="D152" s="1" t="s">
        <v>226</v>
      </c>
      <c r="E152" s="5">
        <v>5</v>
      </c>
    </row>
    <row r="153" spans="1:5" ht="21" customHeight="1" x14ac:dyDescent="0.3">
      <c r="A153" s="1" t="s">
        <v>292</v>
      </c>
      <c r="B153" s="52" t="s">
        <v>312</v>
      </c>
      <c r="C153" s="5" t="s">
        <v>316</v>
      </c>
      <c r="D153" s="1" t="s">
        <v>226</v>
      </c>
      <c r="E153" s="5">
        <v>6</v>
      </c>
    </row>
    <row r="154" spans="1:5" ht="21" customHeight="1" x14ac:dyDescent="0.3">
      <c r="A154" s="1" t="s">
        <v>292</v>
      </c>
      <c r="B154" s="52" t="s">
        <v>312</v>
      </c>
      <c r="C154" s="5" t="s">
        <v>316</v>
      </c>
      <c r="D154" s="1" t="s">
        <v>226</v>
      </c>
      <c r="E154" s="5">
        <v>7</v>
      </c>
    </row>
    <row r="155" spans="1:5" ht="21" customHeight="1" x14ac:dyDescent="0.3">
      <c r="A155" s="1" t="s">
        <v>292</v>
      </c>
      <c r="B155" s="52" t="s">
        <v>312</v>
      </c>
      <c r="C155" s="5" t="s">
        <v>316</v>
      </c>
      <c r="D155" s="1" t="s">
        <v>226</v>
      </c>
      <c r="E155" s="5">
        <v>8</v>
      </c>
    </row>
    <row r="156" spans="1:5" ht="21" customHeight="1" x14ac:dyDescent="0.3">
      <c r="A156" s="1" t="s">
        <v>222</v>
      </c>
      <c r="B156" s="51" t="s">
        <v>317</v>
      </c>
      <c r="C156" s="18" t="s">
        <v>318</v>
      </c>
      <c r="D156" s="1" t="s">
        <v>224</v>
      </c>
      <c r="E156" s="18">
        <v>1</v>
      </c>
    </row>
    <row r="157" spans="1:5" ht="21" customHeight="1" x14ac:dyDescent="0.3">
      <c r="A157" s="1" t="s">
        <v>222</v>
      </c>
      <c r="B157" s="51" t="s">
        <v>317</v>
      </c>
      <c r="C157" s="18" t="s">
        <v>318</v>
      </c>
      <c r="D157" s="1" t="s">
        <v>224</v>
      </c>
      <c r="E157" s="18">
        <v>2</v>
      </c>
    </row>
    <row r="158" spans="1:5" ht="21" customHeight="1" x14ac:dyDescent="0.3">
      <c r="A158" s="1" t="s">
        <v>222</v>
      </c>
      <c r="B158" s="51" t="s">
        <v>317</v>
      </c>
      <c r="C158" s="18" t="s">
        <v>318</v>
      </c>
      <c r="D158" s="1" t="s">
        <v>224</v>
      </c>
      <c r="E158" s="18">
        <v>3</v>
      </c>
    </row>
    <row r="159" spans="1:5" ht="21" customHeight="1" x14ac:dyDescent="0.3">
      <c r="A159" s="1" t="s">
        <v>222</v>
      </c>
      <c r="B159" s="51" t="s">
        <v>317</v>
      </c>
      <c r="C159" s="18" t="s">
        <v>318</v>
      </c>
      <c r="D159" s="1" t="s">
        <v>224</v>
      </c>
      <c r="E159" s="18">
        <v>4</v>
      </c>
    </row>
    <row r="160" spans="1:5" ht="21" customHeight="1" x14ac:dyDescent="0.3">
      <c r="A160" s="1" t="s">
        <v>222</v>
      </c>
      <c r="B160" s="51" t="s">
        <v>317</v>
      </c>
      <c r="C160" s="18" t="s">
        <v>318</v>
      </c>
      <c r="D160" s="1" t="s">
        <v>224</v>
      </c>
      <c r="E160" s="18">
        <v>5</v>
      </c>
    </row>
    <row r="161" spans="1:5" ht="21" customHeight="1" x14ac:dyDescent="0.3">
      <c r="A161" s="1" t="s">
        <v>222</v>
      </c>
      <c r="B161" s="51" t="s">
        <v>317</v>
      </c>
      <c r="C161" s="5" t="s">
        <v>319</v>
      </c>
      <c r="D161" s="1" t="s">
        <v>230</v>
      </c>
      <c r="E161" s="5">
        <v>1</v>
      </c>
    </row>
    <row r="162" spans="1:5" ht="21" customHeight="1" x14ac:dyDescent="0.3">
      <c r="A162" s="1" t="s">
        <v>222</v>
      </c>
      <c r="B162" s="51" t="s">
        <v>317</v>
      </c>
      <c r="C162" s="5" t="s">
        <v>319</v>
      </c>
      <c r="D162" s="1" t="s">
        <v>230</v>
      </c>
      <c r="E162" s="5">
        <v>2</v>
      </c>
    </row>
    <row r="163" spans="1:5" ht="21" customHeight="1" x14ac:dyDescent="0.3">
      <c r="A163" s="1" t="s">
        <v>222</v>
      </c>
      <c r="B163" s="51" t="s">
        <v>317</v>
      </c>
      <c r="C163" s="5" t="s">
        <v>319</v>
      </c>
      <c r="D163" s="1" t="s">
        <v>230</v>
      </c>
      <c r="E163" s="5">
        <v>3</v>
      </c>
    </row>
    <row r="164" spans="1:5" ht="21" customHeight="1" x14ac:dyDescent="0.3">
      <c r="A164" s="1" t="s">
        <v>222</v>
      </c>
      <c r="B164" s="51" t="s">
        <v>317</v>
      </c>
      <c r="C164" s="5" t="s">
        <v>319</v>
      </c>
      <c r="D164" s="1" t="s">
        <v>230</v>
      </c>
      <c r="E164" s="5">
        <v>4</v>
      </c>
    </row>
    <row r="165" spans="1:5" ht="21" customHeight="1" x14ac:dyDescent="0.3">
      <c r="A165" s="1" t="s">
        <v>222</v>
      </c>
      <c r="B165" s="51" t="s">
        <v>317</v>
      </c>
      <c r="C165" s="5" t="s">
        <v>319</v>
      </c>
      <c r="D165" s="1" t="s">
        <v>230</v>
      </c>
      <c r="E165" s="5">
        <v>5</v>
      </c>
    </row>
    <row r="166" spans="1:5" ht="21" customHeight="1" x14ac:dyDescent="0.3">
      <c r="A166" s="1" t="s">
        <v>222</v>
      </c>
      <c r="B166" s="51" t="s">
        <v>317</v>
      </c>
      <c r="C166" s="18" t="s">
        <v>320</v>
      </c>
      <c r="D166" s="1" t="s">
        <v>225</v>
      </c>
      <c r="E166" s="18">
        <v>1</v>
      </c>
    </row>
    <row r="167" spans="1:5" ht="21" customHeight="1" x14ac:dyDescent="0.3">
      <c r="A167" s="1" t="s">
        <v>222</v>
      </c>
      <c r="B167" s="51" t="s">
        <v>317</v>
      </c>
      <c r="C167" s="18" t="s">
        <v>320</v>
      </c>
      <c r="D167" s="1" t="s">
        <v>225</v>
      </c>
      <c r="E167" s="18">
        <v>2</v>
      </c>
    </row>
    <row r="168" spans="1:5" ht="21" customHeight="1" x14ac:dyDescent="0.3">
      <c r="A168" s="1" t="s">
        <v>222</v>
      </c>
      <c r="B168" s="51" t="s">
        <v>317</v>
      </c>
      <c r="C168" s="18" t="s">
        <v>320</v>
      </c>
      <c r="D168" s="1" t="s">
        <v>225</v>
      </c>
      <c r="E168" s="18">
        <v>3</v>
      </c>
    </row>
    <row r="169" spans="1:5" ht="21" customHeight="1" x14ac:dyDescent="0.3">
      <c r="A169" s="1" t="s">
        <v>222</v>
      </c>
      <c r="B169" s="51" t="s">
        <v>317</v>
      </c>
      <c r="C169" s="18" t="s">
        <v>320</v>
      </c>
      <c r="D169" s="1" t="s">
        <v>225</v>
      </c>
      <c r="E169" s="18">
        <v>4</v>
      </c>
    </row>
    <row r="170" spans="1:5" ht="21" customHeight="1" x14ac:dyDescent="0.3">
      <c r="A170" s="1" t="s">
        <v>222</v>
      </c>
      <c r="B170" s="51" t="s">
        <v>317</v>
      </c>
      <c r="C170" s="18" t="s">
        <v>320</v>
      </c>
      <c r="D170" s="1" t="s">
        <v>225</v>
      </c>
      <c r="E170" s="18">
        <v>5</v>
      </c>
    </row>
    <row r="171" spans="1:5" ht="21" customHeight="1" x14ac:dyDescent="0.3">
      <c r="A171" s="1" t="s">
        <v>222</v>
      </c>
      <c r="B171" s="51" t="s">
        <v>317</v>
      </c>
      <c r="C171" s="5" t="s">
        <v>320</v>
      </c>
      <c r="D171" s="1" t="s">
        <v>225</v>
      </c>
      <c r="E171" s="5">
        <v>1</v>
      </c>
    </row>
    <row r="172" spans="1:5" ht="21" customHeight="1" x14ac:dyDescent="0.3">
      <c r="A172" s="1" t="s">
        <v>222</v>
      </c>
      <c r="B172" s="51" t="s">
        <v>317</v>
      </c>
      <c r="C172" s="5" t="s">
        <v>320</v>
      </c>
      <c r="D172" s="1" t="s">
        <v>225</v>
      </c>
      <c r="E172" s="5">
        <v>2</v>
      </c>
    </row>
    <row r="173" spans="1:5" ht="21" customHeight="1" x14ac:dyDescent="0.3">
      <c r="A173" s="1" t="s">
        <v>222</v>
      </c>
      <c r="B173" s="51" t="s">
        <v>317</v>
      </c>
      <c r="C173" s="5" t="s">
        <v>320</v>
      </c>
      <c r="D173" s="1" t="s">
        <v>225</v>
      </c>
      <c r="E173" s="5">
        <v>3</v>
      </c>
    </row>
    <row r="174" spans="1:5" ht="21" customHeight="1" x14ac:dyDescent="0.3">
      <c r="A174" s="1" t="s">
        <v>222</v>
      </c>
      <c r="B174" s="51" t="s">
        <v>317</v>
      </c>
      <c r="C174" s="5" t="s">
        <v>320</v>
      </c>
      <c r="D174" s="1" t="s">
        <v>225</v>
      </c>
      <c r="E174" s="5">
        <v>4</v>
      </c>
    </row>
    <row r="175" spans="1:5" ht="21" customHeight="1" x14ac:dyDescent="0.3">
      <c r="A175" s="1" t="s">
        <v>222</v>
      </c>
      <c r="B175" s="51" t="s">
        <v>317</v>
      </c>
      <c r="C175" s="5" t="s">
        <v>320</v>
      </c>
      <c r="D175" s="1" t="s">
        <v>225</v>
      </c>
      <c r="E175" s="5">
        <v>5</v>
      </c>
    </row>
    <row r="176" spans="1:5" ht="21" customHeight="1" x14ac:dyDescent="0.3">
      <c r="A176" s="1" t="s">
        <v>292</v>
      </c>
      <c r="B176" s="51" t="s">
        <v>317</v>
      </c>
      <c r="C176" s="18" t="s">
        <v>321</v>
      </c>
      <c r="D176" s="1" t="s">
        <v>226</v>
      </c>
      <c r="E176" s="18">
        <v>1</v>
      </c>
    </row>
    <row r="177" spans="1:5" ht="21" customHeight="1" x14ac:dyDescent="0.3">
      <c r="A177" s="1" t="s">
        <v>292</v>
      </c>
      <c r="B177" s="51" t="s">
        <v>317</v>
      </c>
      <c r="C177" s="18" t="s">
        <v>321</v>
      </c>
      <c r="D177" s="1" t="s">
        <v>226</v>
      </c>
      <c r="E177" s="18">
        <v>2</v>
      </c>
    </row>
    <row r="178" spans="1:5" ht="21" customHeight="1" x14ac:dyDescent="0.3">
      <c r="A178" s="1" t="s">
        <v>292</v>
      </c>
      <c r="B178" s="51" t="s">
        <v>317</v>
      </c>
      <c r="C178" s="18" t="s">
        <v>321</v>
      </c>
      <c r="D178" s="1" t="s">
        <v>226</v>
      </c>
      <c r="E178" s="18">
        <v>3</v>
      </c>
    </row>
    <row r="179" spans="1:5" ht="21" customHeight="1" x14ac:dyDescent="0.3">
      <c r="A179" s="1" t="s">
        <v>292</v>
      </c>
      <c r="B179" s="51" t="s">
        <v>317</v>
      </c>
      <c r="C179" s="18" t="s">
        <v>321</v>
      </c>
      <c r="D179" s="1" t="s">
        <v>226</v>
      </c>
      <c r="E179" s="18">
        <v>4</v>
      </c>
    </row>
    <row r="180" spans="1:5" ht="21" customHeight="1" x14ac:dyDescent="0.3">
      <c r="A180" s="1" t="s">
        <v>292</v>
      </c>
      <c r="B180" s="51" t="s">
        <v>317</v>
      </c>
      <c r="C180" s="18" t="s">
        <v>321</v>
      </c>
      <c r="D180" s="1" t="s">
        <v>226</v>
      </c>
      <c r="E180" s="18">
        <v>5</v>
      </c>
    </row>
    <row r="181" spans="1:5" ht="21" customHeight="1" x14ac:dyDescent="0.3">
      <c r="A181" s="1" t="s">
        <v>292</v>
      </c>
      <c r="B181" s="51" t="s">
        <v>317</v>
      </c>
      <c r="C181" s="18" t="s">
        <v>321</v>
      </c>
      <c r="D181" s="1" t="s">
        <v>226</v>
      </c>
      <c r="E181" s="18">
        <v>6</v>
      </c>
    </row>
    <row r="182" spans="1:5" ht="21" customHeight="1" x14ac:dyDescent="0.3">
      <c r="A182" s="1" t="s">
        <v>292</v>
      </c>
      <c r="B182" s="51" t="s">
        <v>317</v>
      </c>
      <c r="C182" s="18" t="s">
        <v>321</v>
      </c>
      <c r="D182" s="1" t="s">
        <v>226</v>
      </c>
      <c r="E182" s="18">
        <v>7</v>
      </c>
    </row>
    <row r="183" spans="1:5" ht="21" customHeight="1" x14ac:dyDescent="0.3">
      <c r="A183" s="1" t="s">
        <v>292</v>
      </c>
      <c r="B183" s="51" t="s">
        <v>317</v>
      </c>
      <c r="C183" s="18" t="s">
        <v>321</v>
      </c>
      <c r="D183" s="1" t="s">
        <v>226</v>
      </c>
      <c r="E183" s="18">
        <v>8</v>
      </c>
    </row>
    <row r="184" spans="1:5" ht="21" customHeight="1" x14ac:dyDescent="0.3">
      <c r="A184" s="1" t="s">
        <v>222</v>
      </c>
      <c r="B184" s="52" t="s">
        <v>322</v>
      </c>
      <c r="C184" s="5" t="s">
        <v>323</v>
      </c>
      <c r="D184" s="1" t="s">
        <v>224</v>
      </c>
      <c r="E184" s="5">
        <v>1</v>
      </c>
    </row>
    <row r="185" spans="1:5" ht="21" customHeight="1" x14ac:dyDescent="0.3">
      <c r="A185" s="1" t="s">
        <v>222</v>
      </c>
      <c r="B185" s="52" t="s">
        <v>322</v>
      </c>
      <c r="C185" s="5" t="s">
        <v>323</v>
      </c>
      <c r="D185" s="1" t="s">
        <v>224</v>
      </c>
      <c r="E185" s="5">
        <v>2</v>
      </c>
    </row>
    <row r="186" spans="1:5" ht="21" customHeight="1" x14ac:dyDescent="0.3">
      <c r="A186" s="1" t="s">
        <v>222</v>
      </c>
      <c r="B186" s="52" t="s">
        <v>322</v>
      </c>
      <c r="C186" s="5" t="s">
        <v>323</v>
      </c>
      <c r="D186" s="1" t="s">
        <v>224</v>
      </c>
      <c r="E186" s="5">
        <v>3</v>
      </c>
    </row>
    <row r="187" spans="1:5" ht="21" customHeight="1" x14ac:dyDescent="0.3">
      <c r="A187" s="1" t="s">
        <v>222</v>
      </c>
      <c r="B187" s="52" t="s">
        <v>322</v>
      </c>
      <c r="C187" s="5" t="s">
        <v>323</v>
      </c>
      <c r="D187" s="1" t="s">
        <v>224</v>
      </c>
      <c r="E187" s="5">
        <v>4</v>
      </c>
    </row>
    <row r="188" spans="1:5" ht="21" customHeight="1" x14ac:dyDescent="0.3">
      <c r="A188" s="1" t="s">
        <v>222</v>
      </c>
      <c r="B188" s="52" t="s">
        <v>322</v>
      </c>
      <c r="C188" s="5" t="s">
        <v>323</v>
      </c>
      <c r="D188" s="1" t="s">
        <v>224</v>
      </c>
      <c r="E188" s="5">
        <v>5</v>
      </c>
    </row>
    <row r="189" spans="1:5" ht="21" customHeight="1" x14ac:dyDescent="0.3">
      <c r="A189" s="1" t="s">
        <v>222</v>
      </c>
      <c r="B189" s="52" t="s">
        <v>322</v>
      </c>
      <c r="C189" s="18" t="s">
        <v>324</v>
      </c>
      <c r="D189" s="1" t="s">
        <v>225</v>
      </c>
      <c r="E189" s="18">
        <v>1</v>
      </c>
    </row>
    <row r="190" spans="1:5" ht="21" customHeight="1" x14ac:dyDescent="0.3">
      <c r="A190" s="1" t="s">
        <v>222</v>
      </c>
      <c r="B190" s="52" t="s">
        <v>322</v>
      </c>
      <c r="C190" s="18" t="s">
        <v>324</v>
      </c>
      <c r="D190" s="1" t="s">
        <v>225</v>
      </c>
      <c r="E190" s="18">
        <v>2</v>
      </c>
    </row>
    <row r="191" spans="1:5" ht="21" customHeight="1" x14ac:dyDescent="0.3">
      <c r="A191" s="1" t="s">
        <v>222</v>
      </c>
      <c r="B191" s="52" t="s">
        <v>322</v>
      </c>
      <c r="C191" s="18" t="s">
        <v>324</v>
      </c>
      <c r="D191" s="1" t="s">
        <v>225</v>
      </c>
      <c r="E191" s="18">
        <v>3</v>
      </c>
    </row>
    <row r="192" spans="1:5" ht="21" customHeight="1" x14ac:dyDescent="0.3">
      <c r="A192" s="1" t="s">
        <v>222</v>
      </c>
      <c r="B192" s="52" t="s">
        <v>322</v>
      </c>
      <c r="C192" s="18" t="s">
        <v>324</v>
      </c>
      <c r="D192" s="1" t="s">
        <v>225</v>
      </c>
      <c r="E192" s="18">
        <v>4</v>
      </c>
    </row>
    <row r="193" spans="1:5" ht="21" customHeight="1" x14ac:dyDescent="0.3">
      <c r="A193" s="1" t="s">
        <v>222</v>
      </c>
      <c r="B193" s="52" t="s">
        <v>322</v>
      </c>
      <c r="C193" s="18" t="s">
        <v>324</v>
      </c>
      <c r="D193" s="1" t="s">
        <v>225</v>
      </c>
      <c r="E193" s="18">
        <v>5</v>
      </c>
    </row>
    <row r="194" spans="1:5" ht="21" customHeight="1" x14ac:dyDescent="0.3">
      <c r="A194" s="1" t="s">
        <v>222</v>
      </c>
      <c r="B194" s="52" t="s">
        <v>322</v>
      </c>
      <c r="C194" s="5" t="s">
        <v>324</v>
      </c>
      <c r="D194" s="1" t="s">
        <v>225</v>
      </c>
      <c r="E194" s="5">
        <v>1</v>
      </c>
    </row>
    <row r="195" spans="1:5" ht="21" customHeight="1" x14ac:dyDescent="0.3">
      <c r="A195" s="1" t="s">
        <v>222</v>
      </c>
      <c r="B195" s="52" t="s">
        <v>322</v>
      </c>
      <c r="C195" s="5" t="s">
        <v>324</v>
      </c>
      <c r="D195" s="1" t="s">
        <v>225</v>
      </c>
      <c r="E195" s="5">
        <v>2</v>
      </c>
    </row>
    <row r="196" spans="1:5" ht="21" customHeight="1" x14ac:dyDescent="0.3">
      <c r="A196" s="1" t="s">
        <v>222</v>
      </c>
      <c r="B196" s="52" t="s">
        <v>322</v>
      </c>
      <c r="C196" s="5" t="s">
        <v>324</v>
      </c>
      <c r="D196" s="1" t="s">
        <v>225</v>
      </c>
      <c r="E196" s="5">
        <v>3</v>
      </c>
    </row>
    <row r="197" spans="1:5" ht="21" customHeight="1" x14ac:dyDescent="0.3">
      <c r="A197" s="1" t="s">
        <v>222</v>
      </c>
      <c r="B197" s="52" t="s">
        <v>322</v>
      </c>
      <c r="C197" s="5" t="s">
        <v>324</v>
      </c>
      <c r="D197" s="1" t="s">
        <v>225</v>
      </c>
      <c r="E197" s="5">
        <v>4</v>
      </c>
    </row>
    <row r="198" spans="1:5" ht="21" customHeight="1" x14ac:dyDescent="0.3">
      <c r="A198" s="1" t="s">
        <v>222</v>
      </c>
      <c r="B198" s="52" t="s">
        <v>322</v>
      </c>
      <c r="C198" s="5" t="s">
        <v>324</v>
      </c>
      <c r="D198" s="1" t="s">
        <v>225</v>
      </c>
      <c r="E198" s="5">
        <v>5</v>
      </c>
    </row>
    <row r="199" spans="1:5" ht="21" customHeight="1" x14ac:dyDescent="0.3">
      <c r="A199" s="1" t="s">
        <v>292</v>
      </c>
      <c r="B199" s="52" t="s">
        <v>322</v>
      </c>
      <c r="C199" s="18" t="s">
        <v>325</v>
      </c>
      <c r="D199" s="1" t="s">
        <v>226</v>
      </c>
      <c r="E199" s="18">
        <v>1</v>
      </c>
    </row>
    <row r="200" spans="1:5" ht="21" customHeight="1" x14ac:dyDescent="0.3">
      <c r="A200" s="1" t="s">
        <v>292</v>
      </c>
      <c r="B200" s="52" t="s">
        <v>322</v>
      </c>
      <c r="C200" s="18" t="s">
        <v>325</v>
      </c>
      <c r="D200" s="1" t="s">
        <v>226</v>
      </c>
      <c r="E200" s="18">
        <v>2</v>
      </c>
    </row>
    <row r="201" spans="1:5" ht="21" customHeight="1" x14ac:dyDescent="0.3">
      <c r="A201" s="1" t="s">
        <v>292</v>
      </c>
      <c r="B201" s="52" t="s">
        <v>322</v>
      </c>
      <c r="C201" s="18" t="s">
        <v>325</v>
      </c>
      <c r="D201" s="1" t="s">
        <v>226</v>
      </c>
      <c r="E201" s="18">
        <v>3</v>
      </c>
    </row>
    <row r="202" spans="1:5" ht="21" customHeight="1" x14ac:dyDescent="0.3">
      <c r="A202" s="1" t="s">
        <v>292</v>
      </c>
      <c r="B202" s="52" t="s">
        <v>322</v>
      </c>
      <c r="C202" s="18" t="s">
        <v>325</v>
      </c>
      <c r="D202" s="1" t="s">
        <v>226</v>
      </c>
      <c r="E202" s="18">
        <v>4</v>
      </c>
    </row>
    <row r="203" spans="1:5" ht="21" customHeight="1" x14ac:dyDescent="0.3">
      <c r="A203" s="1" t="s">
        <v>292</v>
      </c>
      <c r="B203" s="52" t="s">
        <v>322</v>
      </c>
      <c r="C203" s="18" t="s">
        <v>325</v>
      </c>
      <c r="D203" s="1" t="s">
        <v>226</v>
      </c>
      <c r="E203" s="18">
        <v>5</v>
      </c>
    </row>
    <row r="204" spans="1:5" ht="21" customHeight="1" x14ac:dyDescent="0.3">
      <c r="A204" s="1" t="s">
        <v>292</v>
      </c>
      <c r="B204" s="52" t="s">
        <v>322</v>
      </c>
      <c r="C204" s="18" t="s">
        <v>325</v>
      </c>
      <c r="D204" s="1" t="s">
        <v>226</v>
      </c>
      <c r="E204" s="18">
        <v>6</v>
      </c>
    </row>
    <row r="205" spans="1:5" ht="21" customHeight="1" x14ac:dyDescent="0.3">
      <c r="A205" s="1" t="s">
        <v>292</v>
      </c>
      <c r="B205" s="52" t="s">
        <v>322</v>
      </c>
      <c r="C205" s="18" t="s">
        <v>325</v>
      </c>
      <c r="D205" s="1" t="s">
        <v>226</v>
      </c>
      <c r="E205" s="18">
        <v>7</v>
      </c>
    </row>
    <row r="206" spans="1:5" ht="21" customHeight="1" x14ac:dyDescent="0.3">
      <c r="A206" s="1" t="s">
        <v>292</v>
      </c>
      <c r="B206" s="52" t="s">
        <v>322</v>
      </c>
      <c r="C206" s="18" t="s">
        <v>325</v>
      </c>
      <c r="D206" s="1" t="s">
        <v>226</v>
      </c>
      <c r="E206" s="18">
        <v>8</v>
      </c>
    </row>
    <row r="207" spans="1:5" ht="21" customHeight="1" x14ac:dyDescent="0.3">
      <c r="A207" s="1" t="s">
        <v>222</v>
      </c>
      <c r="B207" s="51" t="s">
        <v>326</v>
      </c>
      <c r="C207" s="5" t="s">
        <v>327</v>
      </c>
      <c r="D207" s="1" t="s">
        <v>224</v>
      </c>
      <c r="E207" s="5">
        <v>1</v>
      </c>
    </row>
    <row r="208" spans="1:5" ht="21" customHeight="1" x14ac:dyDescent="0.3">
      <c r="A208" s="1" t="s">
        <v>222</v>
      </c>
      <c r="B208" s="51" t="s">
        <v>326</v>
      </c>
      <c r="C208" s="5" t="s">
        <v>327</v>
      </c>
      <c r="D208" s="1" t="s">
        <v>224</v>
      </c>
      <c r="E208" s="5">
        <v>2</v>
      </c>
    </row>
    <row r="209" spans="1:5" ht="21" customHeight="1" x14ac:dyDescent="0.3">
      <c r="A209" s="1" t="s">
        <v>222</v>
      </c>
      <c r="B209" s="51" t="s">
        <v>326</v>
      </c>
      <c r="C209" s="5" t="s">
        <v>327</v>
      </c>
      <c r="D209" s="1" t="s">
        <v>224</v>
      </c>
      <c r="E209" s="5">
        <v>3</v>
      </c>
    </row>
    <row r="210" spans="1:5" ht="21" customHeight="1" x14ac:dyDescent="0.3">
      <c r="A210" s="1" t="s">
        <v>222</v>
      </c>
      <c r="B210" s="51" t="s">
        <v>326</v>
      </c>
      <c r="C210" s="5" t="s">
        <v>327</v>
      </c>
      <c r="D210" s="1" t="s">
        <v>224</v>
      </c>
      <c r="E210" s="5">
        <v>4</v>
      </c>
    </row>
    <row r="211" spans="1:5" ht="21" customHeight="1" x14ac:dyDescent="0.3">
      <c r="A211" s="1" t="s">
        <v>222</v>
      </c>
      <c r="B211" s="51" t="s">
        <v>326</v>
      </c>
      <c r="C211" s="5" t="s">
        <v>327</v>
      </c>
      <c r="D211" s="1" t="s">
        <v>224</v>
      </c>
      <c r="E211" s="5">
        <v>5</v>
      </c>
    </row>
    <row r="212" spans="1:5" ht="21" customHeight="1" x14ac:dyDescent="0.3">
      <c r="A212" s="1" t="s">
        <v>222</v>
      </c>
      <c r="B212" s="51" t="s">
        <v>326</v>
      </c>
      <c r="C212" s="18" t="s">
        <v>328</v>
      </c>
      <c r="D212" s="1" t="s">
        <v>225</v>
      </c>
      <c r="E212" s="18">
        <v>1</v>
      </c>
    </row>
    <row r="213" spans="1:5" ht="21" customHeight="1" x14ac:dyDescent="0.3">
      <c r="A213" s="1" t="s">
        <v>222</v>
      </c>
      <c r="B213" s="51" t="s">
        <v>326</v>
      </c>
      <c r="C213" s="18" t="s">
        <v>328</v>
      </c>
      <c r="D213" s="1" t="s">
        <v>225</v>
      </c>
      <c r="E213" s="18">
        <v>2</v>
      </c>
    </row>
    <row r="214" spans="1:5" ht="21" customHeight="1" x14ac:dyDescent="0.3">
      <c r="A214" s="1" t="s">
        <v>222</v>
      </c>
      <c r="B214" s="51" t="s">
        <v>326</v>
      </c>
      <c r="C214" s="18" t="s">
        <v>328</v>
      </c>
      <c r="D214" s="1" t="s">
        <v>225</v>
      </c>
      <c r="E214" s="18">
        <v>3</v>
      </c>
    </row>
    <row r="215" spans="1:5" ht="21" customHeight="1" x14ac:dyDescent="0.3">
      <c r="A215" s="1" t="s">
        <v>222</v>
      </c>
      <c r="B215" s="51" t="s">
        <v>326</v>
      </c>
      <c r="C215" s="18" t="s">
        <v>328</v>
      </c>
      <c r="D215" s="1" t="s">
        <v>225</v>
      </c>
      <c r="E215" s="18">
        <v>4</v>
      </c>
    </row>
    <row r="216" spans="1:5" ht="21" customHeight="1" x14ac:dyDescent="0.3">
      <c r="A216" s="1" t="s">
        <v>222</v>
      </c>
      <c r="B216" s="51" t="s">
        <v>326</v>
      </c>
      <c r="C216" s="18" t="s">
        <v>328</v>
      </c>
      <c r="D216" s="1" t="s">
        <v>225</v>
      </c>
      <c r="E216" s="18">
        <v>5</v>
      </c>
    </row>
    <row r="217" spans="1:5" ht="21" customHeight="1" x14ac:dyDescent="0.3">
      <c r="A217" s="1" t="s">
        <v>222</v>
      </c>
      <c r="B217" s="51" t="s">
        <v>326</v>
      </c>
      <c r="C217" s="5" t="s">
        <v>328</v>
      </c>
      <c r="D217" s="1" t="s">
        <v>225</v>
      </c>
      <c r="E217" s="5">
        <v>1</v>
      </c>
    </row>
    <row r="218" spans="1:5" ht="21" customHeight="1" x14ac:dyDescent="0.3">
      <c r="A218" s="1" t="s">
        <v>222</v>
      </c>
      <c r="B218" s="51" t="s">
        <v>326</v>
      </c>
      <c r="C218" s="5" t="s">
        <v>328</v>
      </c>
      <c r="D218" s="1" t="s">
        <v>225</v>
      </c>
      <c r="E218" s="5">
        <v>2</v>
      </c>
    </row>
    <row r="219" spans="1:5" ht="21" customHeight="1" x14ac:dyDescent="0.3">
      <c r="A219" s="1" t="s">
        <v>222</v>
      </c>
      <c r="B219" s="51" t="s">
        <v>326</v>
      </c>
      <c r="C219" s="5" t="s">
        <v>328</v>
      </c>
      <c r="D219" s="1" t="s">
        <v>225</v>
      </c>
      <c r="E219" s="5">
        <v>3</v>
      </c>
    </row>
    <row r="220" spans="1:5" ht="21" customHeight="1" x14ac:dyDescent="0.3">
      <c r="A220" s="1" t="s">
        <v>222</v>
      </c>
      <c r="B220" s="51" t="s">
        <v>326</v>
      </c>
      <c r="C220" s="5" t="s">
        <v>328</v>
      </c>
      <c r="D220" s="1" t="s">
        <v>225</v>
      </c>
      <c r="E220" s="5">
        <v>4</v>
      </c>
    </row>
    <row r="221" spans="1:5" ht="21" customHeight="1" x14ac:dyDescent="0.3">
      <c r="A221" s="1" t="s">
        <v>222</v>
      </c>
      <c r="B221" s="51" t="s">
        <v>326</v>
      </c>
      <c r="C221" s="5" t="s">
        <v>328</v>
      </c>
      <c r="D221" s="1" t="s">
        <v>225</v>
      </c>
      <c r="E221" s="5">
        <v>5</v>
      </c>
    </row>
    <row r="222" spans="1:5" ht="21" customHeight="1" x14ac:dyDescent="0.3">
      <c r="A222" s="1" t="s">
        <v>292</v>
      </c>
      <c r="B222" s="51" t="s">
        <v>326</v>
      </c>
      <c r="C222" s="18" t="s">
        <v>329</v>
      </c>
      <c r="D222" s="1" t="s">
        <v>226</v>
      </c>
      <c r="E222" s="18">
        <v>1</v>
      </c>
    </row>
    <row r="223" spans="1:5" ht="21" customHeight="1" x14ac:dyDescent="0.3">
      <c r="A223" s="1" t="s">
        <v>292</v>
      </c>
      <c r="B223" s="51" t="s">
        <v>326</v>
      </c>
      <c r="C223" s="18" t="s">
        <v>329</v>
      </c>
      <c r="D223" s="1" t="s">
        <v>226</v>
      </c>
      <c r="E223" s="18">
        <v>2</v>
      </c>
    </row>
    <row r="224" spans="1:5" ht="21" customHeight="1" x14ac:dyDescent="0.3">
      <c r="A224" s="1" t="s">
        <v>292</v>
      </c>
      <c r="B224" s="51" t="s">
        <v>326</v>
      </c>
      <c r="C224" s="18" t="s">
        <v>329</v>
      </c>
      <c r="D224" s="1" t="s">
        <v>226</v>
      </c>
      <c r="E224" s="18">
        <v>3</v>
      </c>
    </row>
    <row r="225" spans="1:5" ht="21" customHeight="1" x14ac:dyDescent="0.3">
      <c r="A225" s="1" t="s">
        <v>292</v>
      </c>
      <c r="B225" s="51" t="s">
        <v>326</v>
      </c>
      <c r="C225" s="18" t="s">
        <v>329</v>
      </c>
      <c r="D225" s="1" t="s">
        <v>226</v>
      </c>
      <c r="E225" s="18">
        <v>4</v>
      </c>
    </row>
    <row r="226" spans="1:5" ht="21" customHeight="1" x14ac:dyDescent="0.3">
      <c r="A226" s="1" t="s">
        <v>292</v>
      </c>
      <c r="B226" s="51" t="s">
        <v>326</v>
      </c>
      <c r="C226" s="18" t="s">
        <v>329</v>
      </c>
      <c r="D226" s="1" t="s">
        <v>226</v>
      </c>
      <c r="E226" s="18">
        <v>5</v>
      </c>
    </row>
    <row r="227" spans="1:5" ht="21" customHeight="1" x14ac:dyDescent="0.3">
      <c r="A227" s="1" t="s">
        <v>292</v>
      </c>
      <c r="B227" s="51" t="s">
        <v>326</v>
      </c>
      <c r="C227" s="18" t="s">
        <v>329</v>
      </c>
      <c r="D227" s="1" t="s">
        <v>226</v>
      </c>
      <c r="E227" s="18">
        <v>6</v>
      </c>
    </row>
    <row r="228" spans="1:5" ht="21" customHeight="1" x14ac:dyDescent="0.3">
      <c r="A228" s="1" t="s">
        <v>292</v>
      </c>
      <c r="B228" s="51" t="s">
        <v>326</v>
      </c>
      <c r="C228" s="18" t="s">
        <v>329</v>
      </c>
      <c r="D228" s="1" t="s">
        <v>226</v>
      </c>
      <c r="E228" s="18">
        <v>7</v>
      </c>
    </row>
    <row r="229" spans="1:5" ht="21" customHeight="1" x14ac:dyDescent="0.3">
      <c r="A229" s="1" t="s">
        <v>292</v>
      </c>
      <c r="B229" s="51" t="s">
        <v>326</v>
      </c>
      <c r="C229" s="18" t="s">
        <v>329</v>
      </c>
      <c r="D229" s="1" t="s">
        <v>226</v>
      </c>
      <c r="E229" s="18">
        <v>8</v>
      </c>
    </row>
    <row r="230" spans="1:5" ht="21" customHeight="1" x14ac:dyDescent="0.3">
      <c r="A230" s="1" t="s">
        <v>222</v>
      </c>
      <c r="B230" s="52" t="s">
        <v>330</v>
      </c>
      <c r="C230" s="5" t="s">
        <v>331</v>
      </c>
      <c r="D230" s="1" t="s">
        <v>224</v>
      </c>
      <c r="E230" s="5">
        <v>1</v>
      </c>
    </row>
    <row r="231" spans="1:5" ht="21" customHeight="1" x14ac:dyDescent="0.3">
      <c r="A231" s="1" t="s">
        <v>222</v>
      </c>
      <c r="B231" s="52" t="s">
        <v>330</v>
      </c>
      <c r="C231" s="5" t="s">
        <v>331</v>
      </c>
      <c r="D231" s="1" t="s">
        <v>224</v>
      </c>
      <c r="E231" s="5">
        <v>2</v>
      </c>
    </row>
    <row r="232" spans="1:5" ht="21" customHeight="1" x14ac:dyDescent="0.3">
      <c r="A232" s="1" t="s">
        <v>222</v>
      </c>
      <c r="B232" s="52" t="s">
        <v>330</v>
      </c>
      <c r="C232" s="5" t="s">
        <v>331</v>
      </c>
      <c r="D232" s="1" t="s">
        <v>224</v>
      </c>
      <c r="E232" s="5">
        <v>3</v>
      </c>
    </row>
    <row r="233" spans="1:5" ht="21" customHeight="1" x14ac:dyDescent="0.3">
      <c r="A233" s="1" t="s">
        <v>222</v>
      </c>
      <c r="B233" s="52" t="s">
        <v>330</v>
      </c>
      <c r="C233" s="5" t="s">
        <v>331</v>
      </c>
      <c r="D233" s="1" t="s">
        <v>224</v>
      </c>
      <c r="E233" s="5">
        <v>4</v>
      </c>
    </row>
    <row r="234" spans="1:5" ht="21" customHeight="1" x14ac:dyDescent="0.3">
      <c r="A234" s="1" t="s">
        <v>222</v>
      </c>
      <c r="B234" s="52" t="s">
        <v>330</v>
      </c>
      <c r="C234" s="5" t="s">
        <v>331</v>
      </c>
      <c r="D234" s="1" t="s">
        <v>224</v>
      </c>
      <c r="E234" s="5">
        <v>5</v>
      </c>
    </row>
    <row r="235" spans="1:5" ht="21" customHeight="1" x14ac:dyDescent="0.3">
      <c r="A235" s="1" t="s">
        <v>222</v>
      </c>
      <c r="B235" s="52" t="s">
        <v>330</v>
      </c>
      <c r="C235" s="18" t="s">
        <v>332</v>
      </c>
      <c r="D235" s="1" t="s">
        <v>230</v>
      </c>
      <c r="E235" s="18">
        <v>1</v>
      </c>
    </row>
    <row r="236" spans="1:5" ht="21" customHeight="1" x14ac:dyDescent="0.3">
      <c r="A236" s="1" t="s">
        <v>222</v>
      </c>
      <c r="B236" s="52" t="s">
        <v>330</v>
      </c>
      <c r="C236" s="18" t="s">
        <v>332</v>
      </c>
      <c r="D236" s="1" t="s">
        <v>230</v>
      </c>
      <c r="E236" s="18">
        <v>2</v>
      </c>
    </row>
    <row r="237" spans="1:5" ht="21" customHeight="1" x14ac:dyDescent="0.3">
      <c r="A237" s="1" t="s">
        <v>222</v>
      </c>
      <c r="B237" s="52" t="s">
        <v>330</v>
      </c>
      <c r="C237" s="18" t="s">
        <v>332</v>
      </c>
      <c r="D237" s="1" t="s">
        <v>230</v>
      </c>
      <c r="E237" s="18">
        <v>3</v>
      </c>
    </row>
    <row r="238" spans="1:5" ht="21" customHeight="1" x14ac:dyDescent="0.3">
      <c r="A238" s="1" t="s">
        <v>222</v>
      </c>
      <c r="B238" s="52" t="s">
        <v>330</v>
      </c>
      <c r="C238" s="18" t="s">
        <v>332</v>
      </c>
      <c r="D238" s="1" t="s">
        <v>230</v>
      </c>
      <c r="E238" s="18">
        <v>4</v>
      </c>
    </row>
    <row r="239" spans="1:5" ht="21" customHeight="1" x14ac:dyDescent="0.3">
      <c r="A239" s="1" t="s">
        <v>222</v>
      </c>
      <c r="B239" s="52" t="s">
        <v>330</v>
      </c>
      <c r="C239" s="18" t="s">
        <v>332</v>
      </c>
      <c r="D239" s="1" t="s">
        <v>230</v>
      </c>
      <c r="E239" s="18">
        <v>5</v>
      </c>
    </row>
    <row r="240" spans="1:5" ht="21" customHeight="1" x14ac:dyDescent="0.3">
      <c r="A240" s="1" t="s">
        <v>222</v>
      </c>
      <c r="B240" s="52" t="s">
        <v>330</v>
      </c>
      <c r="C240" s="5" t="s">
        <v>333</v>
      </c>
      <c r="D240" s="1" t="s">
        <v>225</v>
      </c>
      <c r="E240" s="5">
        <v>1</v>
      </c>
    </row>
    <row r="241" spans="1:5" ht="21" customHeight="1" x14ac:dyDescent="0.3">
      <c r="A241" s="1" t="s">
        <v>222</v>
      </c>
      <c r="B241" s="52" t="s">
        <v>330</v>
      </c>
      <c r="C241" s="5" t="s">
        <v>333</v>
      </c>
      <c r="D241" s="1" t="s">
        <v>225</v>
      </c>
      <c r="E241" s="5">
        <v>2</v>
      </c>
    </row>
    <row r="242" spans="1:5" ht="21" customHeight="1" x14ac:dyDescent="0.3">
      <c r="A242" s="1" t="s">
        <v>222</v>
      </c>
      <c r="B242" s="52" t="s">
        <v>330</v>
      </c>
      <c r="C242" s="5" t="s">
        <v>333</v>
      </c>
      <c r="D242" s="1" t="s">
        <v>225</v>
      </c>
      <c r="E242" s="5">
        <v>3</v>
      </c>
    </row>
    <row r="243" spans="1:5" ht="21" customHeight="1" x14ac:dyDescent="0.3">
      <c r="A243" s="1" t="s">
        <v>222</v>
      </c>
      <c r="B243" s="52" t="s">
        <v>330</v>
      </c>
      <c r="C243" s="5" t="s">
        <v>333</v>
      </c>
      <c r="D243" s="1" t="s">
        <v>225</v>
      </c>
      <c r="E243" s="5">
        <v>4</v>
      </c>
    </row>
    <row r="244" spans="1:5" ht="21" customHeight="1" x14ac:dyDescent="0.3">
      <c r="A244" s="1" t="s">
        <v>222</v>
      </c>
      <c r="B244" s="52" t="s">
        <v>330</v>
      </c>
      <c r="C244" s="5" t="s">
        <v>333</v>
      </c>
      <c r="D244" s="1" t="s">
        <v>225</v>
      </c>
      <c r="E244" s="5">
        <v>5</v>
      </c>
    </row>
    <row r="245" spans="1:5" ht="21" customHeight="1" x14ac:dyDescent="0.3">
      <c r="A245" s="1" t="s">
        <v>222</v>
      </c>
      <c r="B245" s="52" t="s">
        <v>330</v>
      </c>
      <c r="C245" s="18" t="s">
        <v>333</v>
      </c>
      <c r="D245" s="1" t="s">
        <v>225</v>
      </c>
      <c r="E245" s="18">
        <v>1</v>
      </c>
    </row>
    <row r="246" spans="1:5" ht="21" customHeight="1" x14ac:dyDescent="0.3">
      <c r="A246" s="1" t="s">
        <v>222</v>
      </c>
      <c r="B246" s="52" t="s">
        <v>330</v>
      </c>
      <c r="C246" s="18" t="s">
        <v>333</v>
      </c>
      <c r="D246" s="1" t="s">
        <v>225</v>
      </c>
      <c r="E246" s="18">
        <v>2</v>
      </c>
    </row>
    <row r="247" spans="1:5" ht="21" customHeight="1" x14ac:dyDescent="0.3">
      <c r="A247" s="1" t="s">
        <v>222</v>
      </c>
      <c r="B247" s="52" t="s">
        <v>330</v>
      </c>
      <c r="C247" s="18" t="s">
        <v>333</v>
      </c>
      <c r="D247" s="1" t="s">
        <v>225</v>
      </c>
      <c r="E247" s="18">
        <v>3</v>
      </c>
    </row>
    <row r="248" spans="1:5" ht="21" customHeight="1" x14ac:dyDescent="0.3">
      <c r="A248" s="1" t="s">
        <v>222</v>
      </c>
      <c r="B248" s="52" t="s">
        <v>330</v>
      </c>
      <c r="C248" s="18" t="s">
        <v>333</v>
      </c>
      <c r="D248" s="1" t="s">
        <v>225</v>
      </c>
      <c r="E248" s="18">
        <v>4</v>
      </c>
    </row>
    <row r="249" spans="1:5" ht="21" customHeight="1" x14ac:dyDescent="0.3">
      <c r="A249" s="1" t="s">
        <v>222</v>
      </c>
      <c r="B249" s="52" t="s">
        <v>330</v>
      </c>
      <c r="C249" s="18" t="s">
        <v>333</v>
      </c>
      <c r="D249" s="1" t="s">
        <v>225</v>
      </c>
      <c r="E249" s="18">
        <v>5</v>
      </c>
    </row>
    <row r="250" spans="1:5" ht="21" customHeight="1" x14ac:dyDescent="0.3">
      <c r="A250" s="1" t="s">
        <v>292</v>
      </c>
      <c r="B250" s="52" t="s">
        <v>330</v>
      </c>
      <c r="C250" s="5" t="s">
        <v>334</v>
      </c>
      <c r="D250" s="1" t="s">
        <v>226</v>
      </c>
      <c r="E250" s="5">
        <v>1</v>
      </c>
    </row>
    <row r="251" spans="1:5" ht="21" customHeight="1" x14ac:dyDescent="0.3">
      <c r="A251" s="1" t="s">
        <v>292</v>
      </c>
      <c r="B251" s="52" t="s">
        <v>330</v>
      </c>
      <c r="C251" s="5" t="s">
        <v>334</v>
      </c>
      <c r="D251" s="1" t="s">
        <v>226</v>
      </c>
      <c r="E251" s="5">
        <v>2</v>
      </c>
    </row>
    <row r="252" spans="1:5" ht="21" customHeight="1" x14ac:dyDescent="0.3">
      <c r="A252" s="1" t="s">
        <v>292</v>
      </c>
      <c r="B252" s="52" t="s">
        <v>330</v>
      </c>
      <c r="C252" s="5" t="s">
        <v>334</v>
      </c>
      <c r="D252" s="1" t="s">
        <v>226</v>
      </c>
      <c r="E252" s="5">
        <v>3</v>
      </c>
    </row>
    <row r="253" spans="1:5" ht="21" customHeight="1" x14ac:dyDescent="0.3">
      <c r="A253" s="1" t="s">
        <v>292</v>
      </c>
      <c r="B253" s="52" t="s">
        <v>330</v>
      </c>
      <c r="C253" s="5" t="s">
        <v>334</v>
      </c>
      <c r="D253" s="1" t="s">
        <v>226</v>
      </c>
      <c r="E253" s="5">
        <v>4</v>
      </c>
    </row>
    <row r="254" spans="1:5" ht="21" customHeight="1" x14ac:dyDescent="0.3">
      <c r="A254" s="1" t="s">
        <v>292</v>
      </c>
      <c r="B254" s="52" t="s">
        <v>330</v>
      </c>
      <c r="C254" s="5" t="s">
        <v>334</v>
      </c>
      <c r="D254" s="1" t="s">
        <v>226</v>
      </c>
      <c r="E254" s="5">
        <v>5</v>
      </c>
    </row>
    <row r="255" spans="1:5" ht="21" customHeight="1" x14ac:dyDescent="0.3">
      <c r="A255" s="1" t="s">
        <v>292</v>
      </c>
      <c r="B255" s="52" t="s">
        <v>330</v>
      </c>
      <c r="C255" s="5" t="s">
        <v>334</v>
      </c>
      <c r="D255" s="1" t="s">
        <v>226</v>
      </c>
      <c r="E255" s="5">
        <v>6</v>
      </c>
    </row>
    <row r="256" spans="1:5" ht="21" customHeight="1" x14ac:dyDescent="0.3">
      <c r="A256" s="1" t="s">
        <v>292</v>
      </c>
      <c r="B256" s="52" t="s">
        <v>330</v>
      </c>
      <c r="C256" s="5" t="s">
        <v>334</v>
      </c>
      <c r="D256" s="1" t="s">
        <v>226</v>
      </c>
      <c r="E256" s="5">
        <v>7</v>
      </c>
    </row>
    <row r="257" spans="1:5" ht="21" customHeight="1" x14ac:dyDescent="0.3">
      <c r="A257" s="1" t="s">
        <v>292</v>
      </c>
      <c r="B257" s="52" t="s">
        <v>330</v>
      </c>
      <c r="C257" s="5" t="s">
        <v>334</v>
      </c>
      <c r="D257" s="1" t="s">
        <v>226</v>
      </c>
      <c r="E257" s="5">
        <v>8</v>
      </c>
    </row>
    <row r="258" spans="1:5" ht="21" customHeight="1" x14ac:dyDescent="0.3">
      <c r="A258" s="1" t="s">
        <v>222</v>
      </c>
      <c r="B258" s="51" t="s">
        <v>335</v>
      </c>
      <c r="C258" s="18" t="s">
        <v>336</v>
      </c>
      <c r="D258" s="1" t="s">
        <v>224</v>
      </c>
      <c r="E258" s="18">
        <v>1</v>
      </c>
    </row>
    <row r="259" spans="1:5" ht="21" customHeight="1" x14ac:dyDescent="0.3">
      <c r="A259" s="1" t="s">
        <v>222</v>
      </c>
      <c r="B259" s="51" t="s">
        <v>335</v>
      </c>
      <c r="C259" s="18" t="s">
        <v>336</v>
      </c>
      <c r="D259" s="1" t="s">
        <v>224</v>
      </c>
      <c r="E259" s="18">
        <v>2</v>
      </c>
    </row>
    <row r="260" spans="1:5" ht="21" customHeight="1" x14ac:dyDescent="0.3">
      <c r="A260" s="1" t="s">
        <v>222</v>
      </c>
      <c r="B260" s="51" t="s">
        <v>335</v>
      </c>
      <c r="C260" s="18" t="s">
        <v>336</v>
      </c>
      <c r="D260" s="1" t="s">
        <v>224</v>
      </c>
      <c r="E260" s="18">
        <v>3</v>
      </c>
    </row>
    <row r="261" spans="1:5" ht="21" customHeight="1" x14ac:dyDescent="0.3">
      <c r="A261" s="1" t="s">
        <v>222</v>
      </c>
      <c r="B261" s="51" t="s">
        <v>335</v>
      </c>
      <c r="C261" s="18" t="s">
        <v>336</v>
      </c>
      <c r="D261" s="1" t="s">
        <v>224</v>
      </c>
      <c r="E261" s="18">
        <v>4</v>
      </c>
    </row>
    <row r="262" spans="1:5" ht="21" customHeight="1" x14ac:dyDescent="0.3">
      <c r="A262" s="1" t="s">
        <v>222</v>
      </c>
      <c r="B262" s="51" t="s">
        <v>335</v>
      </c>
      <c r="C262" s="18" t="s">
        <v>336</v>
      </c>
      <c r="D262" s="1" t="s">
        <v>224</v>
      </c>
      <c r="E262" s="18">
        <v>5</v>
      </c>
    </row>
    <row r="263" spans="1:5" ht="21" customHeight="1" x14ac:dyDescent="0.3">
      <c r="A263" s="1" t="s">
        <v>222</v>
      </c>
      <c r="B263" s="51" t="s">
        <v>335</v>
      </c>
      <c r="C263" s="5" t="s">
        <v>337</v>
      </c>
      <c r="D263" s="1" t="s">
        <v>230</v>
      </c>
      <c r="E263" s="5">
        <v>1</v>
      </c>
    </row>
    <row r="264" spans="1:5" ht="21" customHeight="1" x14ac:dyDescent="0.3">
      <c r="A264" s="1" t="s">
        <v>222</v>
      </c>
      <c r="B264" s="51" t="s">
        <v>335</v>
      </c>
      <c r="C264" s="5" t="s">
        <v>337</v>
      </c>
      <c r="D264" s="1" t="s">
        <v>230</v>
      </c>
      <c r="E264" s="5">
        <v>2</v>
      </c>
    </row>
    <row r="265" spans="1:5" ht="21" customHeight="1" x14ac:dyDescent="0.3">
      <c r="A265" s="1" t="s">
        <v>222</v>
      </c>
      <c r="B265" s="51" t="s">
        <v>335</v>
      </c>
      <c r="C265" s="5" t="s">
        <v>337</v>
      </c>
      <c r="D265" s="1" t="s">
        <v>230</v>
      </c>
      <c r="E265" s="5">
        <v>3</v>
      </c>
    </row>
    <row r="266" spans="1:5" ht="21" customHeight="1" x14ac:dyDescent="0.3">
      <c r="A266" s="1" t="s">
        <v>222</v>
      </c>
      <c r="B266" s="51" t="s">
        <v>335</v>
      </c>
      <c r="C266" s="5" t="s">
        <v>337</v>
      </c>
      <c r="D266" s="1" t="s">
        <v>230</v>
      </c>
      <c r="E266" s="5">
        <v>4</v>
      </c>
    </row>
    <row r="267" spans="1:5" ht="21" customHeight="1" x14ac:dyDescent="0.3">
      <c r="A267" s="1" t="s">
        <v>222</v>
      </c>
      <c r="B267" s="51" t="s">
        <v>335</v>
      </c>
      <c r="C267" s="5" t="s">
        <v>337</v>
      </c>
      <c r="D267" s="1" t="s">
        <v>230</v>
      </c>
      <c r="E267" s="5">
        <v>5</v>
      </c>
    </row>
    <row r="268" spans="1:5" ht="21" customHeight="1" x14ac:dyDescent="0.3">
      <c r="A268" s="1" t="s">
        <v>222</v>
      </c>
      <c r="B268" s="51" t="s">
        <v>335</v>
      </c>
      <c r="C268" s="18" t="s">
        <v>338</v>
      </c>
      <c r="D268" s="1" t="s">
        <v>225</v>
      </c>
      <c r="E268" s="18">
        <v>1</v>
      </c>
    </row>
    <row r="269" spans="1:5" ht="21" customHeight="1" x14ac:dyDescent="0.3">
      <c r="A269" s="1" t="s">
        <v>222</v>
      </c>
      <c r="B269" s="51" t="s">
        <v>335</v>
      </c>
      <c r="C269" s="18" t="s">
        <v>338</v>
      </c>
      <c r="D269" s="1" t="s">
        <v>225</v>
      </c>
      <c r="E269" s="18">
        <v>2</v>
      </c>
    </row>
    <row r="270" spans="1:5" ht="21" customHeight="1" x14ac:dyDescent="0.3">
      <c r="A270" s="1" t="s">
        <v>222</v>
      </c>
      <c r="B270" s="51" t="s">
        <v>335</v>
      </c>
      <c r="C270" s="18" t="s">
        <v>338</v>
      </c>
      <c r="D270" s="1" t="s">
        <v>225</v>
      </c>
      <c r="E270" s="18">
        <v>3</v>
      </c>
    </row>
    <row r="271" spans="1:5" ht="21" customHeight="1" x14ac:dyDescent="0.3">
      <c r="A271" s="1" t="s">
        <v>222</v>
      </c>
      <c r="B271" s="51" t="s">
        <v>335</v>
      </c>
      <c r="C271" s="18" t="s">
        <v>338</v>
      </c>
      <c r="D271" s="1" t="s">
        <v>225</v>
      </c>
      <c r="E271" s="18">
        <v>4</v>
      </c>
    </row>
    <row r="272" spans="1:5" ht="21" customHeight="1" x14ac:dyDescent="0.3">
      <c r="A272" s="1" t="s">
        <v>222</v>
      </c>
      <c r="B272" s="51" t="s">
        <v>335</v>
      </c>
      <c r="C272" s="18" t="s">
        <v>338</v>
      </c>
      <c r="D272" s="1" t="s">
        <v>225</v>
      </c>
      <c r="E272" s="18">
        <v>5</v>
      </c>
    </row>
    <row r="273" spans="1:5" ht="21" customHeight="1" x14ac:dyDescent="0.3">
      <c r="A273" s="1" t="s">
        <v>222</v>
      </c>
      <c r="B273" s="51" t="s">
        <v>335</v>
      </c>
      <c r="C273" s="5" t="s">
        <v>338</v>
      </c>
      <c r="D273" s="1" t="s">
        <v>225</v>
      </c>
      <c r="E273" s="5">
        <v>1</v>
      </c>
    </row>
    <row r="274" spans="1:5" ht="21" customHeight="1" x14ac:dyDescent="0.3">
      <c r="A274" s="1" t="s">
        <v>222</v>
      </c>
      <c r="B274" s="51" t="s">
        <v>335</v>
      </c>
      <c r="C274" s="5" t="s">
        <v>338</v>
      </c>
      <c r="D274" s="1" t="s">
        <v>225</v>
      </c>
      <c r="E274" s="5">
        <v>2</v>
      </c>
    </row>
    <row r="275" spans="1:5" ht="21" customHeight="1" x14ac:dyDescent="0.3">
      <c r="A275" s="1" t="s">
        <v>222</v>
      </c>
      <c r="B275" s="51" t="s">
        <v>335</v>
      </c>
      <c r="C275" s="5" t="s">
        <v>338</v>
      </c>
      <c r="D275" s="1" t="s">
        <v>225</v>
      </c>
      <c r="E275" s="5">
        <v>3</v>
      </c>
    </row>
    <row r="276" spans="1:5" ht="21" customHeight="1" x14ac:dyDescent="0.3">
      <c r="A276" s="1" t="s">
        <v>222</v>
      </c>
      <c r="B276" s="51" t="s">
        <v>335</v>
      </c>
      <c r="C276" s="5" t="s">
        <v>338</v>
      </c>
      <c r="D276" s="1" t="s">
        <v>225</v>
      </c>
      <c r="E276" s="5">
        <v>4</v>
      </c>
    </row>
    <row r="277" spans="1:5" ht="21" customHeight="1" x14ac:dyDescent="0.3">
      <c r="A277" s="1" t="s">
        <v>222</v>
      </c>
      <c r="B277" s="51" t="s">
        <v>335</v>
      </c>
      <c r="C277" s="5" t="s">
        <v>338</v>
      </c>
      <c r="D277" s="1" t="s">
        <v>225</v>
      </c>
      <c r="E277" s="5">
        <v>5</v>
      </c>
    </row>
    <row r="278" spans="1:5" ht="21" customHeight="1" x14ac:dyDescent="0.3">
      <c r="A278" s="1" t="s">
        <v>292</v>
      </c>
      <c r="B278" s="51" t="s">
        <v>335</v>
      </c>
      <c r="C278" s="18" t="s">
        <v>339</v>
      </c>
      <c r="D278" s="1" t="s">
        <v>226</v>
      </c>
      <c r="E278" s="18">
        <v>1</v>
      </c>
    </row>
    <row r="279" spans="1:5" ht="21" customHeight="1" x14ac:dyDescent="0.3">
      <c r="A279" s="1" t="s">
        <v>292</v>
      </c>
      <c r="B279" s="51" t="s">
        <v>335</v>
      </c>
      <c r="C279" s="18" t="s">
        <v>339</v>
      </c>
      <c r="D279" s="1" t="s">
        <v>226</v>
      </c>
      <c r="E279" s="18">
        <v>2</v>
      </c>
    </row>
    <row r="280" spans="1:5" ht="21" customHeight="1" x14ac:dyDescent="0.3">
      <c r="A280" s="1" t="s">
        <v>292</v>
      </c>
      <c r="B280" s="51" t="s">
        <v>335</v>
      </c>
      <c r="C280" s="18" t="s">
        <v>339</v>
      </c>
      <c r="D280" s="1" t="s">
        <v>226</v>
      </c>
      <c r="E280" s="18">
        <v>3</v>
      </c>
    </row>
    <row r="281" spans="1:5" ht="21" customHeight="1" x14ac:dyDescent="0.3">
      <c r="A281" s="1" t="s">
        <v>292</v>
      </c>
      <c r="B281" s="51" t="s">
        <v>335</v>
      </c>
      <c r="C281" s="18" t="s">
        <v>339</v>
      </c>
      <c r="D281" s="1" t="s">
        <v>226</v>
      </c>
      <c r="E281" s="18">
        <v>4</v>
      </c>
    </row>
    <row r="282" spans="1:5" ht="21" customHeight="1" x14ac:dyDescent="0.3">
      <c r="A282" s="1" t="s">
        <v>292</v>
      </c>
      <c r="B282" s="51" t="s">
        <v>335</v>
      </c>
      <c r="C282" s="18" t="s">
        <v>339</v>
      </c>
      <c r="D282" s="1" t="s">
        <v>226</v>
      </c>
      <c r="E282" s="18">
        <v>5</v>
      </c>
    </row>
    <row r="283" spans="1:5" ht="21" customHeight="1" x14ac:dyDescent="0.3">
      <c r="A283" s="1" t="s">
        <v>292</v>
      </c>
      <c r="B283" s="51" t="s">
        <v>335</v>
      </c>
      <c r="C283" s="18" t="s">
        <v>339</v>
      </c>
      <c r="D283" s="1" t="s">
        <v>226</v>
      </c>
      <c r="E283" s="18">
        <v>6</v>
      </c>
    </row>
    <row r="284" spans="1:5" ht="21" customHeight="1" x14ac:dyDescent="0.3">
      <c r="A284" s="1" t="s">
        <v>292</v>
      </c>
      <c r="B284" s="51" t="s">
        <v>335</v>
      </c>
      <c r="C284" s="18" t="s">
        <v>339</v>
      </c>
      <c r="D284" s="1" t="s">
        <v>226</v>
      </c>
      <c r="E284" s="18">
        <v>7</v>
      </c>
    </row>
    <row r="285" spans="1:5" ht="21" customHeight="1" x14ac:dyDescent="0.3">
      <c r="A285" s="1" t="s">
        <v>292</v>
      </c>
      <c r="B285" s="51" t="s">
        <v>335</v>
      </c>
      <c r="C285" s="18" t="s">
        <v>339</v>
      </c>
      <c r="D285" s="1" t="s">
        <v>226</v>
      </c>
      <c r="E285" s="18">
        <v>8</v>
      </c>
    </row>
    <row r="286" spans="1:5" ht="21" customHeight="1" x14ac:dyDescent="0.3">
      <c r="A286" s="1" t="s">
        <v>240</v>
      </c>
      <c r="B286" s="51" t="s">
        <v>340</v>
      </c>
      <c r="C286" s="5" t="s">
        <v>341</v>
      </c>
      <c r="D286" s="1" t="s">
        <v>224</v>
      </c>
      <c r="E286" s="5">
        <v>1</v>
      </c>
    </row>
    <row r="287" spans="1:5" ht="21" customHeight="1" x14ac:dyDescent="0.3">
      <c r="A287" s="1" t="s">
        <v>240</v>
      </c>
      <c r="B287" s="51" t="s">
        <v>340</v>
      </c>
      <c r="C287" s="5" t="s">
        <v>341</v>
      </c>
      <c r="D287" s="1" t="s">
        <v>224</v>
      </c>
      <c r="E287" s="5">
        <v>2</v>
      </c>
    </row>
    <row r="288" spans="1:5" ht="21" customHeight="1" x14ac:dyDescent="0.3">
      <c r="A288" s="1" t="s">
        <v>240</v>
      </c>
      <c r="B288" s="51" t="s">
        <v>340</v>
      </c>
      <c r="C288" s="5" t="s">
        <v>341</v>
      </c>
      <c r="D288" s="1" t="s">
        <v>224</v>
      </c>
      <c r="E288" s="5">
        <v>3</v>
      </c>
    </row>
    <row r="289" spans="1:5" ht="21" customHeight="1" x14ac:dyDescent="0.3">
      <c r="A289" s="1" t="s">
        <v>240</v>
      </c>
      <c r="B289" s="51" t="s">
        <v>340</v>
      </c>
      <c r="C289" s="5" t="s">
        <v>341</v>
      </c>
      <c r="D289" s="1" t="s">
        <v>224</v>
      </c>
      <c r="E289" s="5">
        <v>4</v>
      </c>
    </row>
    <row r="290" spans="1:5" ht="21" customHeight="1" x14ac:dyDescent="0.3">
      <c r="A290" s="1" t="s">
        <v>240</v>
      </c>
      <c r="B290" s="51" t="s">
        <v>340</v>
      </c>
      <c r="C290" s="5" t="s">
        <v>341</v>
      </c>
      <c r="D290" s="1" t="s">
        <v>224</v>
      </c>
      <c r="E290" s="5">
        <v>5</v>
      </c>
    </row>
    <row r="291" spans="1:5" ht="21" customHeight="1" x14ac:dyDescent="0.3">
      <c r="A291" s="1" t="s">
        <v>240</v>
      </c>
      <c r="B291" s="51" t="s">
        <v>340</v>
      </c>
      <c r="C291" s="18" t="s">
        <v>342</v>
      </c>
      <c r="D291" s="1" t="s">
        <v>225</v>
      </c>
      <c r="E291" s="18">
        <v>1</v>
      </c>
    </row>
    <row r="292" spans="1:5" ht="21" customHeight="1" x14ac:dyDescent="0.3">
      <c r="A292" s="1" t="s">
        <v>240</v>
      </c>
      <c r="B292" s="51" t="s">
        <v>340</v>
      </c>
      <c r="C292" s="18" t="s">
        <v>342</v>
      </c>
      <c r="D292" s="1" t="s">
        <v>225</v>
      </c>
      <c r="E292" s="18">
        <v>2</v>
      </c>
    </row>
    <row r="293" spans="1:5" ht="21" customHeight="1" x14ac:dyDescent="0.3">
      <c r="A293" s="1" t="s">
        <v>240</v>
      </c>
      <c r="B293" s="51" t="s">
        <v>340</v>
      </c>
      <c r="C293" s="18" t="s">
        <v>342</v>
      </c>
      <c r="D293" s="1" t="s">
        <v>225</v>
      </c>
      <c r="E293" s="18">
        <v>3</v>
      </c>
    </row>
    <row r="294" spans="1:5" ht="21" customHeight="1" x14ac:dyDescent="0.3">
      <c r="A294" s="1" t="s">
        <v>240</v>
      </c>
      <c r="B294" s="51" t="s">
        <v>340</v>
      </c>
      <c r="C294" s="18" t="s">
        <v>342</v>
      </c>
      <c r="D294" s="1" t="s">
        <v>225</v>
      </c>
      <c r="E294" s="18">
        <v>4</v>
      </c>
    </row>
    <row r="295" spans="1:5" ht="21" customHeight="1" x14ac:dyDescent="0.3">
      <c r="A295" s="1" t="s">
        <v>240</v>
      </c>
      <c r="B295" s="51" t="s">
        <v>340</v>
      </c>
      <c r="C295" s="18" t="s">
        <v>342</v>
      </c>
      <c r="D295" s="1" t="s">
        <v>225</v>
      </c>
      <c r="E295" s="18">
        <v>5</v>
      </c>
    </row>
    <row r="296" spans="1:5" ht="21" customHeight="1" x14ac:dyDescent="0.3">
      <c r="A296" s="1" t="s">
        <v>240</v>
      </c>
      <c r="B296" s="51" t="s">
        <v>340</v>
      </c>
      <c r="C296" s="5" t="s">
        <v>342</v>
      </c>
      <c r="D296" s="1" t="s">
        <v>225</v>
      </c>
      <c r="E296" s="5">
        <v>1</v>
      </c>
    </row>
    <row r="297" spans="1:5" ht="21" customHeight="1" x14ac:dyDescent="0.3">
      <c r="A297" s="1" t="s">
        <v>240</v>
      </c>
      <c r="B297" s="51" t="s">
        <v>340</v>
      </c>
      <c r="C297" s="5" t="s">
        <v>342</v>
      </c>
      <c r="D297" s="1" t="s">
        <v>225</v>
      </c>
      <c r="E297" s="5">
        <v>2</v>
      </c>
    </row>
    <row r="298" spans="1:5" ht="21" customHeight="1" x14ac:dyDescent="0.3">
      <c r="A298" s="1" t="s">
        <v>240</v>
      </c>
      <c r="B298" s="51" t="s">
        <v>340</v>
      </c>
      <c r="C298" s="5" t="s">
        <v>342</v>
      </c>
      <c r="D298" s="1" t="s">
        <v>225</v>
      </c>
      <c r="E298" s="5">
        <v>3</v>
      </c>
    </row>
    <row r="299" spans="1:5" ht="21" customHeight="1" x14ac:dyDescent="0.3">
      <c r="A299" s="1" t="s">
        <v>240</v>
      </c>
      <c r="B299" s="51" t="s">
        <v>340</v>
      </c>
      <c r="C299" s="5" t="s">
        <v>342</v>
      </c>
      <c r="D299" s="1" t="s">
        <v>225</v>
      </c>
      <c r="E299" s="5">
        <v>4</v>
      </c>
    </row>
    <row r="300" spans="1:5" ht="21" customHeight="1" x14ac:dyDescent="0.3">
      <c r="A300" s="1" t="s">
        <v>240</v>
      </c>
      <c r="B300" s="51" t="s">
        <v>340</v>
      </c>
      <c r="C300" s="5" t="s">
        <v>342</v>
      </c>
      <c r="D300" s="1" t="s">
        <v>225</v>
      </c>
      <c r="E300" s="5">
        <v>5</v>
      </c>
    </row>
    <row r="301" spans="1:5" ht="21" customHeight="1" x14ac:dyDescent="0.3">
      <c r="A301" s="1" t="s">
        <v>292</v>
      </c>
      <c r="B301" s="51" t="s">
        <v>340</v>
      </c>
      <c r="C301" s="18" t="s">
        <v>343</v>
      </c>
      <c r="D301" s="1" t="s">
        <v>226</v>
      </c>
      <c r="E301" s="18">
        <v>1</v>
      </c>
    </row>
    <row r="302" spans="1:5" ht="21" customHeight="1" x14ac:dyDescent="0.3">
      <c r="A302" s="1" t="s">
        <v>292</v>
      </c>
      <c r="B302" s="51" t="s">
        <v>340</v>
      </c>
      <c r="C302" s="18" t="s">
        <v>343</v>
      </c>
      <c r="D302" s="1" t="s">
        <v>226</v>
      </c>
      <c r="E302" s="18">
        <v>2</v>
      </c>
    </row>
    <row r="303" spans="1:5" ht="21" customHeight="1" x14ac:dyDescent="0.3">
      <c r="A303" s="1" t="s">
        <v>292</v>
      </c>
      <c r="B303" s="51" t="s">
        <v>340</v>
      </c>
      <c r="C303" s="18" t="s">
        <v>343</v>
      </c>
      <c r="D303" s="1" t="s">
        <v>226</v>
      </c>
      <c r="E303" s="18">
        <v>3</v>
      </c>
    </row>
    <row r="304" spans="1:5" ht="21" customHeight="1" x14ac:dyDescent="0.3">
      <c r="A304" s="1" t="s">
        <v>292</v>
      </c>
      <c r="B304" s="51" t="s">
        <v>340</v>
      </c>
      <c r="C304" s="18" t="s">
        <v>343</v>
      </c>
      <c r="D304" s="1" t="s">
        <v>226</v>
      </c>
      <c r="E304" s="18">
        <v>4</v>
      </c>
    </row>
    <row r="305" spans="1:5" ht="21" customHeight="1" x14ac:dyDescent="0.3">
      <c r="A305" s="1" t="s">
        <v>292</v>
      </c>
      <c r="B305" s="51" t="s">
        <v>340</v>
      </c>
      <c r="C305" s="18" t="s">
        <v>343</v>
      </c>
      <c r="D305" s="1" t="s">
        <v>226</v>
      </c>
      <c r="E305" s="18">
        <v>5</v>
      </c>
    </row>
    <row r="306" spans="1:5" ht="21" customHeight="1" x14ac:dyDescent="0.3">
      <c r="A306" s="1" t="s">
        <v>292</v>
      </c>
      <c r="B306" s="51" t="s">
        <v>340</v>
      </c>
      <c r="C306" s="18" t="s">
        <v>343</v>
      </c>
      <c r="D306" s="1" t="s">
        <v>226</v>
      </c>
      <c r="E306" s="18">
        <v>6</v>
      </c>
    </row>
    <row r="307" spans="1:5" ht="21" customHeight="1" x14ac:dyDescent="0.3">
      <c r="A307" s="1" t="s">
        <v>292</v>
      </c>
      <c r="B307" s="51" t="s">
        <v>340</v>
      </c>
      <c r="C307" s="18" t="s">
        <v>343</v>
      </c>
      <c r="D307" s="1" t="s">
        <v>226</v>
      </c>
      <c r="E307" s="18">
        <v>7</v>
      </c>
    </row>
    <row r="308" spans="1:5" ht="21" customHeight="1" x14ac:dyDescent="0.3">
      <c r="A308" s="1" t="s">
        <v>292</v>
      </c>
      <c r="B308" s="51" t="s">
        <v>340</v>
      </c>
      <c r="C308" s="18" t="s">
        <v>343</v>
      </c>
      <c r="D308" s="1" t="s">
        <v>226</v>
      </c>
      <c r="E308" s="18">
        <v>8</v>
      </c>
    </row>
    <row r="309" spans="1:5" ht="21" customHeight="1" x14ac:dyDescent="0.3">
      <c r="A309" s="1" t="s">
        <v>240</v>
      </c>
      <c r="B309" s="52" t="s">
        <v>344</v>
      </c>
      <c r="C309" s="5" t="s">
        <v>345</v>
      </c>
      <c r="D309" s="1" t="s">
        <v>224</v>
      </c>
      <c r="E309" s="5">
        <v>1</v>
      </c>
    </row>
    <row r="310" spans="1:5" ht="21" customHeight="1" x14ac:dyDescent="0.3">
      <c r="A310" s="1" t="s">
        <v>240</v>
      </c>
      <c r="B310" s="52" t="s">
        <v>344</v>
      </c>
      <c r="C310" s="5" t="s">
        <v>345</v>
      </c>
      <c r="D310" s="1" t="s">
        <v>224</v>
      </c>
      <c r="E310" s="5">
        <v>2</v>
      </c>
    </row>
    <row r="311" spans="1:5" ht="21" customHeight="1" x14ac:dyDescent="0.3">
      <c r="A311" s="1" t="s">
        <v>240</v>
      </c>
      <c r="B311" s="52" t="s">
        <v>344</v>
      </c>
      <c r="C311" s="5" t="s">
        <v>345</v>
      </c>
      <c r="D311" s="1" t="s">
        <v>224</v>
      </c>
      <c r="E311" s="5">
        <v>3</v>
      </c>
    </row>
    <row r="312" spans="1:5" ht="21" customHeight="1" x14ac:dyDescent="0.3">
      <c r="A312" s="1" t="s">
        <v>240</v>
      </c>
      <c r="B312" s="52" t="s">
        <v>344</v>
      </c>
      <c r="C312" s="5" t="s">
        <v>345</v>
      </c>
      <c r="D312" s="1" t="s">
        <v>224</v>
      </c>
      <c r="E312" s="5">
        <v>4</v>
      </c>
    </row>
    <row r="313" spans="1:5" ht="21" customHeight="1" x14ac:dyDescent="0.3">
      <c r="A313" s="1" t="s">
        <v>240</v>
      </c>
      <c r="B313" s="52" t="s">
        <v>344</v>
      </c>
      <c r="C313" s="5" t="s">
        <v>345</v>
      </c>
      <c r="D313" s="1" t="s">
        <v>224</v>
      </c>
      <c r="E313" s="5">
        <v>5</v>
      </c>
    </row>
    <row r="314" spans="1:5" ht="21" customHeight="1" x14ac:dyDescent="0.3">
      <c r="A314" s="1" t="s">
        <v>240</v>
      </c>
      <c r="B314" s="52" t="s">
        <v>344</v>
      </c>
      <c r="C314" s="18" t="s">
        <v>346</v>
      </c>
      <c r="D314" s="1" t="s">
        <v>225</v>
      </c>
      <c r="E314" s="18">
        <v>1</v>
      </c>
    </row>
    <row r="315" spans="1:5" ht="21" customHeight="1" x14ac:dyDescent="0.3">
      <c r="A315" s="1" t="s">
        <v>240</v>
      </c>
      <c r="B315" s="52" t="s">
        <v>344</v>
      </c>
      <c r="C315" s="18" t="s">
        <v>346</v>
      </c>
      <c r="D315" s="1" t="s">
        <v>225</v>
      </c>
      <c r="E315" s="18">
        <v>2</v>
      </c>
    </row>
    <row r="316" spans="1:5" ht="21" customHeight="1" x14ac:dyDescent="0.3">
      <c r="A316" s="1" t="s">
        <v>240</v>
      </c>
      <c r="B316" s="52" t="s">
        <v>344</v>
      </c>
      <c r="C316" s="18" t="s">
        <v>346</v>
      </c>
      <c r="D316" s="1" t="s">
        <v>225</v>
      </c>
      <c r="E316" s="18">
        <v>3</v>
      </c>
    </row>
    <row r="317" spans="1:5" ht="21" customHeight="1" x14ac:dyDescent="0.3">
      <c r="A317" s="1" t="s">
        <v>240</v>
      </c>
      <c r="B317" s="52" t="s">
        <v>344</v>
      </c>
      <c r="C317" s="18" t="s">
        <v>346</v>
      </c>
      <c r="D317" s="1" t="s">
        <v>225</v>
      </c>
      <c r="E317" s="18">
        <v>4</v>
      </c>
    </row>
    <row r="318" spans="1:5" ht="21" customHeight="1" x14ac:dyDescent="0.3">
      <c r="A318" s="1" t="s">
        <v>240</v>
      </c>
      <c r="B318" s="52" t="s">
        <v>344</v>
      </c>
      <c r="C318" s="18" t="s">
        <v>346</v>
      </c>
      <c r="D318" s="1" t="s">
        <v>225</v>
      </c>
      <c r="E318" s="18">
        <v>5</v>
      </c>
    </row>
    <row r="319" spans="1:5" ht="21" customHeight="1" x14ac:dyDescent="0.3">
      <c r="A319" s="1" t="s">
        <v>240</v>
      </c>
      <c r="B319" s="52" t="s">
        <v>344</v>
      </c>
      <c r="C319" s="5" t="s">
        <v>346</v>
      </c>
      <c r="D319" s="1" t="s">
        <v>225</v>
      </c>
      <c r="E319" s="5">
        <v>1</v>
      </c>
    </row>
    <row r="320" spans="1:5" ht="21" customHeight="1" x14ac:dyDescent="0.3">
      <c r="A320" s="1" t="s">
        <v>240</v>
      </c>
      <c r="B320" s="52" t="s">
        <v>344</v>
      </c>
      <c r="C320" s="5" t="s">
        <v>346</v>
      </c>
      <c r="D320" s="1" t="s">
        <v>225</v>
      </c>
      <c r="E320" s="5">
        <v>2</v>
      </c>
    </row>
    <row r="321" spans="1:5" ht="21" customHeight="1" x14ac:dyDescent="0.3">
      <c r="A321" s="1" t="s">
        <v>240</v>
      </c>
      <c r="B321" s="52" t="s">
        <v>344</v>
      </c>
      <c r="C321" s="5" t="s">
        <v>346</v>
      </c>
      <c r="D321" s="1" t="s">
        <v>225</v>
      </c>
      <c r="E321" s="5">
        <v>3</v>
      </c>
    </row>
    <row r="322" spans="1:5" ht="21" customHeight="1" x14ac:dyDescent="0.3">
      <c r="A322" s="1" t="s">
        <v>240</v>
      </c>
      <c r="B322" s="52" t="s">
        <v>344</v>
      </c>
      <c r="C322" s="5" t="s">
        <v>346</v>
      </c>
      <c r="D322" s="1" t="s">
        <v>225</v>
      </c>
      <c r="E322" s="5">
        <v>4</v>
      </c>
    </row>
    <row r="323" spans="1:5" ht="21" customHeight="1" x14ac:dyDescent="0.3">
      <c r="A323" s="1" t="s">
        <v>240</v>
      </c>
      <c r="B323" s="52" t="s">
        <v>344</v>
      </c>
      <c r="C323" s="5" t="s">
        <v>346</v>
      </c>
      <c r="D323" s="1" t="s">
        <v>225</v>
      </c>
      <c r="E323" s="5">
        <v>5</v>
      </c>
    </row>
    <row r="324" spans="1:5" ht="21" customHeight="1" x14ac:dyDescent="0.3">
      <c r="A324" s="1" t="s">
        <v>292</v>
      </c>
      <c r="B324" s="52" t="s">
        <v>344</v>
      </c>
      <c r="C324" s="18" t="s">
        <v>347</v>
      </c>
      <c r="D324" s="1" t="s">
        <v>226</v>
      </c>
      <c r="E324" s="18">
        <v>1</v>
      </c>
    </row>
    <row r="325" spans="1:5" ht="21" customHeight="1" x14ac:dyDescent="0.3">
      <c r="A325" s="1" t="s">
        <v>292</v>
      </c>
      <c r="B325" s="52" t="s">
        <v>344</v>
      </c>
      <c r="C325" s="18" t="s">
        <v>347</v>
      </c>
      <c r="D325" s="1" t="s">
        <v>226</v>
      </c>
      <c r="E325" s="18">
        <v>2</v>
      </c>
    </row>
    <row r="326" spans="1:5" ht="21" customHeight="1" x14ac:dyDescent="0.3">
      <c r="A326" s="1" t="s">
        <v>292</v>
      </c>
      <c r="B326" s="52" t="s">
        <v>344</v>
      </c>
      <c r="C326" s="18" t="s">
        <v>347</v>
      </c>
      <c r="D326" s="1" t="s">
        <v>226</v>
      </c>
      <c r="E326" s="18">
        <v>3</v>
      </c>
    </row>
    <row r="327" spans="1:5" ht="21" customHeight="1" x14ac:dyDescent="0.3">
      <c r="A327" s="1" t="s">
        <v>292</v>
      </c>
      <c r="B327" s="52" t="s">
        <v>344</v>
      </c>
      <c r="C327" s="18" t="s">
        <v>347</v>
      </c>
      <c r="D327" s="1" t="s">
        <v>226</v>
      </c>
      <c r="E327" s="18">
        <v>4</v>
      </c>
    </row>
    <row r="328" spans="1:5" ht="21" customHeight="1" x14ac:dyDescent="0.3">
      <c r="A328" s="1" t="s">
        <v>292</v>
      </c>
      <c r="B328" s="52" t="s">
        <v>344</v>
      </c>
      <c r="C328" s="18" t="s">
        <v>347</v>
      </c>
      <c r="D328" s="1" t="s">
        <v>226</v>
      </c>
      <c r="E328" s="18">
        <v>5</v>
      </c>
    </row>
    <row r="329" spans="1:5" ht="21" customHeight="1" x14ac:dyDescent="0.3">
      <c r="A329" s="1" t="s">
        <v>292</v>
      </c>
      <c r="B329" s="52" t="s">
        <v>344</v>
      </c>
      <c r="C329" s="18" t="s">
        <v>347</v>
      </c>
      <c r="D329" s="1" t="s">
        <v>226</v>
      </c>
      <c r="E329" s="18">
        <v>6</v>
      </c>
    </row>
    <row r="330" spans="1:5" ht="21" customHeight="1" x14ac:dyDescent="0.3">
      <c r="A330" s="1" t="s">
        <v>292</v>
      </c>
      <c r="B330" s="52" t="s">
        <v>344</v>
      </c>
      <c r="C330" s="18" t="s">
        <v>347</v>
      </c>
      <c r="D330" s="1" t="s">
        <v>226</v>
      </c>
      <c r="E330" s="18">
        <v>7</v>
      </c>
    </row>
    <row r="331" spans="1:5" ht="21" customHeight="1" x14ac:dyDescent="0.3">
      <c r="A331" s="1" t="s">
        <v>292</v>
      </c>
      <c r="B331" s="52" t="s">
        <v>344</v>
      </c>
      <c r="C331" s="18" t="s">
        <v>347</v>
      </c>
      <c r="D331" s="1" t="s">
        <v>226</v>
      </c>
      <c r="E331" s="18">
        <v>8</v>
      </c>
    </row>
    <row r="332" spans="1:5" ht="21" customHeight="1" x14ac:dyDescent="0.3">
      <c r="A332" s="1" t="s">
        <v>240</v>
      </c>
      <c r="B332" s="51" t="s">
        <v>348</v>
      </c>
      <c r="C332" s="5" t="s">
        <v>349</v>
      </c>
      <c r="D332" s="1" t="s">
        <v>224</v>
      </c>
      <c r="E332" s="5">
        <v>1</v>
      </c>
    </row>
    <row r="333" spans="1:5" ht="21" customHeight="1" x14ac:dyDescent="0.3">
      <c r="A333" s="1" t="s">
        <v>240</v>
      </c>
      <c r="B333" s="51" t="s">
        <v>348</v>
      </c>
      <c r="C333" s="5" t="s">
        <v>349</v>
      </c>
      <c r="D333" s="1" t="s">
        <v>224</v>
      </c>
      <c r="E333" s="5">
        <v>2</v>
      </c>
    </row>
    <row r="334" spans="1:5" ht="21" customHeight="1" x14ac:dyDescent="0.3">
      <c r="A334" s="1" t="s">
        <v>240</v>
      </c>
      <c r="B334" s="51" t="s">
        <v>348</v>
      </c>
      <c r="C334" s="5" t="s">
        <v>349</v>
      </c>
      <c r="D334" s="1" t="s">
        <v>224</v>
      </c>
      <c r="E334" s="5">
        <v>3</v>
      </c>
    </row>
    <row r="335" spans="1:5" ht="21" customHeight="1" x14ac:dyDescent="0.3">
      <c r="A335" s="1" t="s">
        <v>240</v>
      </c>
      <c r="B335" s="51" t="s">
        <v>348</v>
      </c>
      <c r="C335" s="5" t="s">
        <v>349</v>
      </c>
      <c r="D335" s="1" t="s">
        <v>224</v>
      </c>
      <c r="E335" s="5">
        <v>4</v>
      </c>
    </row>
    <row r="336" spans="1:5" ht="21" customHeight="1" x14ac:dyDescent="0.3">
      <c r="A336" s="1" t="s">
        <v>240</v>
      </c>
      <c r="B336" s="51" t="s">
        <v>348</v>
      </c>
      <c r="C336" s="5" t="s">
        <v>349</v>
      </c>
      <c r="D336" s="1" t="s">
        <v>224</v>
      </c>
      <c r="E336" s="5">
        <v>5</v>
      </c>
    </row>
    <row r="337" spans="1:5" ht="21" customHeight="1" x14ac:dyDescent="0.3">
      <c r="A337" s="1" t="s">
        <v>240</v>
      </c>
      <c r="B337" s="51" t="s">
        <v>348</v>
      </c>
      <c r="C337" s="18" t="s">
        <v>350</v>
      </c>
      <c r="D337" s="1" t="s">
        <v>225</v>
      </c>
      <c r="E337" s="18">
        <v>1</v>
      </c>
    </row>
    <row r="338" spans="1:5" ht="21" customHeight="1" x14ac:dyDescent="0.3">
      <c r="A338" s="1" t="s">
        <v>240</v>
      </c>
      <c r="B338" s="51" t="s">
        <v>348</v>
      </c>
      <c r="C338" s="18" t="s">
        <v>350</v>
      </c>
      <c r="D338" s="1" t="s">
        <v>225</v>
      </c>
      <c r="E338" s="18">
        <v>2</v>
      </c>
    </row>
    <row r="339" spans="1:5" ht="21" customHeight="1" x14ac:dyDescent="0.3">
      <c r="A339" s="1" t="s">
        <v>240</v>
      </c>
      <c r="B339" s="51" t="s">
        <v>348</v>
      </c>
      <c r="C339" s="18" t="s">
        <v>350</v>
      </c>
      <c r="D339" s="1" t="s">
        <v>225</v>
      </c>
      <c r="E339" s="18">
        <v>3</v>
      </c>
    </row>
    <row r="340" spans="1:5" ht="21" customHeight="1" x14ac:dyDescent="0.3">
      <c r="A340" s="1" t="s">
        <v>240</v>
      </c>
      <c r="B340" s="51" t="s">
        <v>348</v>
      </c>
      <c r="C340" s="18" t="s">
        <v>350</v>
      </c>
      <c r="D340" s="1" t="s">
        <v>225</v>
      </c>
      <c r="E340" s="18">
        <v>4</v>
      </c>
    </row>
    <row r="341" spans="1:5" ht="21" customHeight="1" x14ac:dyDescent="0.3">
      <c r="A341" s="1" t="s">
        <v>240</v>
      </c>
      <c r="B341" s="51" t="s">
        <v>348</v>
      </c>
      <c r="C341" s="18" t="s">
        <v>350</v>
      </c>
      <c r="D341" s="1" t="s">
        <v>225</v>
      </c>
      <c r="E341" s="18">
        <v>5</v>
      </c>
    </row>
    <row r="342" spans="1:5" ht="21" customHeight="1" x14ac:dyDescent="0.3">
      <c r="A342" s="1" t="s">
        <v>240</v>
      </c>
      <c r="B342" s="51" t="s">
        <v>348</v>
      </c>
      <c r="C342" s="5" t="s">
        <v>350</v>
      </c>
      <c r="D342" s="1" t="s">
        <v>225</v>
      </c>
      <c r="E342" s="5">
        <v>1</v>
      </c>
    </row>
    <row r="343" spans="1:5" ht="21" customHeight="1" x14ac:dyDescent="0.3">
      <c r="A343" s="1" t="s">
        <v>240</v>
      </c>
      <c r="B343" s="51" t="s">
        <v>348</v>
      </c>
      <c r="C343" s="5" t="s">
        <v>350</v>
      </c>
      <c r="D343" s="1" t="s">
        <v>225</v>
      </c>
      <c r="E343" s="5">
        <v>2</v>
      </c>
    </row>
    <row r="344" spans="1:5" ht="21" customHeight="1" x14ac:dyDescent="0.3">
      <c r="A344" s="1" t="s">
        <v>240</v>
      </c>
      <c r="B344" s="51" t="s">
        <v>348</v>
      </c>
      <c r="C344" s="5" t="s">
        <v>350</v>
      </c>
      <c r="D344" s="1" t="s">
        <v>225</v>
      </c>
      <c r="E344" s="5">
        <v>3</v>
      </c>
    </row>
    <row r="345" spans="1:5" ht="21" customHeight="1" x14ac:dyDescent="0.3">
      <c r="A345" s="1" t="s">
        <v>240</v>
      </c>
      <c r="B345" s="51" t="s">
        <v>348</v>
      </c>
      <c r="C345" s="5" t="s">
        <v>350</v>
      </c>
      <c r="D345" s="1" t="s">
        <v>225</v>
      </c>
      <c r="E345" s="5">
        <v>4</v>
      </c>
    </row>
    <row r="346" spans="1:5" ht="21" customHeight="1" x14ac:dyDescent="0.3">
      <c r="A346" s="1" t="s">
        <v>240</v>
      </c>
      <c r="B346" s="51" t="s">
        <v>348</v>
      </c>
      <c r="C346" s="5" t="s">
        <v>350</v>
      </c>
      <c r="D346" s="1" t="s">
        <v>225</v>
      </c>
      <c r="E346" s="5">
        <v>5</v>
      </c>
    </row>
    <row r="347" spans="1:5" ht="21" customHeight="1" x14ac:dyDescent="0.3">
      <c r="A347" s="1" t="s">
        <v>292</v>
      </c>
      <c r="B347" s="51" t="s">
        <v>348</v>
      </c>
      <c r="C347" s="18" t="s">
        <v>351</v>
      </c>
      <c r="D347" s="1" t="s">
        <v>226</v>
      </c>
      <c r="E347" s="18">
        <v>1</v>
      </c>
    </row>
    <row r="348" spans="1:5" ht="21" customHeight="1" x14ac:dyDescent="0.3">
      <c r="A348" s="1" t="s">
        <v>292</v>
      </c>
      <c r="B348" s="51" t="s">
        <v>348</v>
      </c>
      <c r="C348" s="18" t="s">
        <v>351</v>
      </c>
      <c r="D348" s="1" t="s">
        <v>226</v>
      </c>
      <c r="E348" s="18">
        <v>2</v>
      </c>
    </row>
    <row r="349" spans="1:5" ht="21" customHeight="1" x14ac:dyDescent="0.3">
      <c r="A349" s="1" t="s">
        <v>292</v>
      </c>
      <c r="B349" s="51" t="s">
        <v>348</v>
      </c>
      <c r="C349" s="18" t="s">
        <v>351</v>
      </c>
      <c r="D349" s="1" t="s">
        <v>226</v>
      </c>
      <c r="E349" s="18">
        <v>3</v>
      </c>
    </row>
    <row r="350" spans="1:5" ht="21" customHeight="1" x14ac:dyDescent="0.3">
      <c r="A350" s="1" t="s">
        <v>292</v>
      </c>
      <c r="B350" s="51" t="s">
        <v>348</v>
      </c>
      <c r="C350" s="18" t="s">
        <v>351</v>
      </c>
      <c r="D350" s="1" t="s">
        <v>226</v>
      </c>
      <c r="E350" s="18">
        <v>4</v>
      </c>
    </row>
    <row r="351" spans="1:5" ht="21" customHeight="1" x14ac:dyDescent="0.3">
      <c r="A351" s="1" t="s">
        <v>292</v>
      </c>
      <c r="B351" s="51" t="s">
        <v>348</v>
      </c>
      <c r="C351" s="18" t="s">
        <v>351</v>
      </c>
      <c r="D351" s="1" t="s">
        <v>226</v>
      </c>
      <c r="E351" s="18">
        <v>5</v>
      </c>
    </row>
    <row r="352" spans="1:5" ht="21" customHeight="1" x14ac:dyDescent="0.3">
      <c r="A352" s="1" t="s">
        <v>292</v>
      </c>
      <c r="B352" s="51" t="s">
        <v>348</v>
      </c>
      <c r="C352" s="18" t="s">
        <v>351</v>
      </c>
      <c r="D352" s="1" t="s">
        <v>226</v>
      </c>
      <c r="E352" s="18">
        <v>6</v>
      </c>
    </row>
    <row r="353" spans="1:5" ht="21" customHeight="1" x14ac:dyDescent="0.3">
      <c r="A353" s="1" t="s">
        <v>292</v>
      </c>
      <c r="B353" s="51" t="s">
        <v>348</v>
      </c>
      <c r="C353" s="18" t="s">
        <v>351</v>
      </c>
      <c r="D353" s="1" t="s">
        <v>226</v>
      </c>
      <c r="E353" s="18">
        <v>7</v>
      </c>
    </row>
    <row r="354" spans="1:5" ht="21" customHeight="1" x14ac:dyDescent="0.3">
      <c r="A354" s="1" t="s">
        <v>292</v>
      </c>
      <c r="B354" s="51" t="s">
        <v>348</v>
      </c>
      <c r="C354" s="18" t="s">
        <v>351</v>
      </c>
      <c r="D354" s="1" t="s">
        <v>226</v>
      </c>
      <c r="E354" s="18">
        <v>8</v>
      </c>
    </row>
    <row r="355" spans="1:5" ht="21" customHeight="1" x14ac:dyDescent="0.3">
      <c r="A355" s="1" t="s">
        <v>240</v>
      </c>
      <c r="B355" s="52" t="s">
        <v>352</v>
      </c>
      <c r="C355" s="5" t="s">
        <v>353</v>
      </c>
      <c r="D355" s="1" t="s">
        <v>224</v>
      </c>
      <c r="E355" s="5">
        <v>1</v>
      </c>
    </row>
    <row r="356" spans="1:5" ht="21" customHeight="1" x14ac:dyDescent="0.3">
      <c r="A356" s="1" t="s">
        <v>240</v>
      </c>
      <c r="B356" s="52" t="s">
        <v>352</v>
      </c>
      <c r="C356" s="5" t="s">
        <v>353</v>
      </c>
      <c r="D356" s="1" t="s">
        <v>224</v>
      </c>
      <c r="E356" s="5">
        <v>2</v>
      </c>
    </row>
    <row r="357" spans="1:5" ht="21" customHeight="1" x14ac:dyDescent="0.3">
      <c r="A357" s="1" t="s">
        <v>240</v>
      </c>
      <c r="B357" s="52" t="s">
        <v>352</v>
      </c>
      <c r="C357" s="5" t="s">
        <v>353</v>
      </c>
      <c r="D357" s="1" t="s">
        <v>224</v>
      </c>
      <c r="E357" s="5">
        <v>3</v>
      </c>
    </row>
    <row r="358" spans="1:5" ht="21" customHeight="1" x14ac:dyDescent="0.3">
      <c r="A358" s="1" t="s">
        <v>240</v>
      </c>
      <c r="B358" s="52" t="s">
        <v>352</v>
      </c>
      <c r="C358" s="5" t="s">
        <v>353</v>
      </c>
      <c r="D358" s="1" t="s">
        <v>224</v>
      </c>
      <c r="E358" s="5">
        <v>4</v>
      </c>
    </row>
    <row r="359" spans="1:5" ht="21" customHeight="1" x14ac:dyDescent="0.3">
      <c r="A359" s="1" t="s">
        <v>240</v>
      </c>
      <c r="B359" s="52" t="s">
        <v>352</v>
      </c>
      <c r="C359" s="5" t="s">
        <v>353</v>
      </c>
      <c r="D359" s="1" t="s">
        <v>224</v>
      </c>
      <c r="E359" s="5">
        <v>5</v>
      </c>
    </row>
    <row r="360" spans="1:5" ht="21" customHeight="1" x14ac:dyDescent="0.3">
      <c r="A360" s="1" t="s">
        <v>240</v>
      </c>
      <c r="B360" s="52" t="s">
        <v>352</v>
      </c>
      <c r="C360" s="18" t="s">
        <v>354</v>
      </c>
      <c r="D360" s="1" t="s">
        <v>225</v>
      </c>
      <c r="E360" s="18">
        <v>1</v>
      </c>
    </row>
    <row r="361" spans="1:5" ht="21" customHeight="1" x14ac:dyDescent="0.3">
      <c r="A361" s="1" t="s">
        <v>240</v>
      </c>
      <c r="B361" s="52" t="s">
        <v>352</v>
      </c>
      <c r="C361" s="18" t="s">
        <v>354</v>
      </c>
      <c r="D361" s="1" t="s">
        <v>225</v>
      </c>
      <c r="E361" s="18">
        <v>2</v>
      </c>
    </row>
    <row r="362" spans="1:5" ht="21" customHeight="1" x14ac:dyDescent="0.3">
      <c r="A362" s="1" t="s">
        <v>240</v>
      </c>
      <c r="B362" s="52" t="s">
        <v>352</v>
      </c>
      <c r="C362" s="18" t="s">
        <v>354</v>
      </c>
      <c r="D362" s="1" t="s">
        <v>225</v>
      </c>
      <c r="E362" s="18">
        <v>3</v>
      </c>
    </row>
    <row r="363" spans="1:5" ht="21" customHeight="1" x14ac:dyDescent="0.3">
      <c r="A363" s="1" t="s">
        <v>240</v>
      </c>
      <c r="B363" s="52" t="s">
        <v>352</v>
      </c>
      <c r="C363" s="18" t="s">
        <v>354</v>
      </c>
      <c r="D363" s="1" t="s">
        <v>225</v>
      </c>
      <c r="E363" s="18">
        <v>4</v>
      </c>
    </row>
    <row r="364" spans="1:5" ht="21" customHeight="1" x14ac:dyDescent="0.3">
      <c r="A364" s="1" t="s">
        <v>240</v>
      </c>
      <c r="B364" s="52" t="s">
        <v>352</v>
      </c>
      <c r="C364" s="18" t="s">
        <v>354</v>
      </c>
      <c r="D364" s="1" t="s">
        <v>225</v>
      </c>
      <c r="E364" s="18">
        <v>5</v>
      </c>
    </row>
    <row r="365" spans="1:5" ht="21" customHeight="1" x14ac:dyDescent="0.3">
      <c r="A365" s="1" t="s">
        <v>240</v>
      </c>
      <c r="B365" s="52" t="s">
        <v>352</v>
      </c>
      <c r="C365" s="5" t="s">
        <v>354</v>
      </c>
      <c r="D365" s="1" t="s">
        <v>225</v>
      </c>
      <c r="E365" s="5">
        <v>1</v>
      </c>
    </row>
    <row r="366" spans="1:5" ht="21" customHeight="1" x14ac:dyDescent="0.3">
      <c r="A366" s="1" t="s">
        <v>240</v>
      </c>
      <c r="B366" s="52" t="s">
        <v>352</v>
      </c>
      <c r="C366" s="5" t="s">
        <v>354</v>
      </c>
      <c r="D366" s="1" t="s">
        <v>225</v>
      </c>
      <c r="E366" s="5">
        <v>2</v>
      </c>
    </row>
    <row r="367" spans="1:5" ht="21" customHeight="1" x14ac:dyDescent="0.3">
      <c r="A367" s="1" t="s">
        <v>240</v>
      </c>
      <c r="B367" s="52" t="s">
        <v>352</v>
      </c>
      <c r="C367" s="5" t="s">
        <v>354</v>
      </c>
      <c r="D367" s="1" t="s">
        <v>225</v>
      </c>
      <c r="E367" s="5">
        <v>3</v>
      </c>
    </row>
    <row r="368" spans="1:5" ht="21" customHeight="1" x14ac:dyDescent="0.3">
      <c r="A368" s="1" t="s">
        <v>240</v>
      </c>
      <c r="B368" s="52" t="s">
        <v>352</v>
      </c>
      <c r="C368" s="5" t="s">
        <v>354</v>
      </c>
      <c r="D368" s="1" t="s">
        <v>225</v>
      </c>
      <c r="E368" s="5">
        <v>4</v>
      </c>
    </row>
    <row r="369" spans="1:5" ht="21" customHeight="1" x14ac:dyDescent="0.3">
      <c r="A369" s="1" t="s">
        <v>240</v>
      </c>
      <c r="B369" s="52" t="s">
        <v>352</v>
      </c>
      <c r="C369" s="5" t="s">
        <v>354</v>
      </c>
      <c r="D369" s="1" t="s">
        <v>225</v>
      </c>
      <c r="E369" s="5">
        <v>5</v>
      </c>
    </row>
    <row r="370" spans="1:5" ht="21" customHeight="1" x14ac:dyDescent="0.3">
      <c r="A370" s="1" t="s">
        <v>292</v>
      </c>
      <c r="B370" s="52" t="s">
        <v>352</v>
      </c>
      <c r="C370" s="18" t="s">
        <v>355</v>
      </c>
      <c r="D370" s="1" t="s">
        <v>226</v>
      </c>
      <c r="E370" s="18">
        <v>1</v>
      </c>
    </row>
    <row r="371" spans="1:5" ht="21" customHeight="1" x14ac:dyDescent="0.3">
      <c r="A371" s="1" t="s">
        <v>292</v>
      </c>
      <c r="B371" s="52" t="s">
        <v>352</v>
      </c>
      <c r="C371" s="18" t="s">
        <v>355</v>
      </c>
      <c r="D371" s="1" t="s">
        <v>226</v>
      </c>
      <c r="E371" s="18">
        <v>2</v>
      </c>
    </row>
    <row r="372" spans="1:5" ht="21" customHeight="1" x14ac:dyDescent="0.3">
      <c r="A372" s="1" t="s">
        <v>292</v>
      </c>
      <c r="B372" s="52" t="s">
        <v>352</v>
      </c>
      <c r="C372" s="18" t="s">
        <v>355</v>
      </c>
      <c r="D372" s="1" t="s">
        <v>226</v>
      </c>
      <c r="E372" s="18">
        <v>3</v>
      </c>
    </row>
    <row r="373" spans="1:5" ht="21" customHeight="1" x14ac:dyDescent="0.3">
      <c r="A373" s="1" t="s">
        <v>292</v>
      </c>
      <c r="B373" s="52" t="s">
        <v>352</v>
      </c>
      <c r="C373" s="18" t="s">
        <v>355</v>
      </c>
      <c r="D373" s="1" t="s">
        <v>226</v>
      </c>
      <c r="E373" s="18">
        <v>4</v>
      </c>
    </row>
    <row r="374" spans="1:5" ht="21" customHeight="1" x14ac:dyDescent="0.3">
      <c r="A374" s="1" t="s">
        <v>292</v>
      </c>
      <c r="B374" s="52" t="s">
        <v>352</v>
      </c>
      <c r="C374" s="18" t="s">
        <v>355</v>
      </c>
      <c r="D374" s="1" t="s">
        <v>226</v>
      </c>
      <c r="E374" s="18">
        <v>5</v>
      </c>
    </row>
    <row r="375" spans="1:5" ht="21" customHeight="1" x14ac:dyDescent="0.3">
      <c r="A375" s="1" t="s">
        <v>292</v>
      </c>
      <c r="B375" s="52" t="s">
        <v>352</v>
      </c>
      <c r="C375" s="18" t="s">
        <v>355</v>
      </c>
      <c r="D375" s="1" t="s">
        <v>226</v>
      </c>
      <c r="E375" s="18">
        <v>6</v>
      </c>
    </row>
    <row r="376" spans="1:5" ht="21" customHeight="1" x14ac:dyDescent="0.3">
      <c r="A376" s="1" t="s">
        <v>292</v>
      </c>
      <c r="B376" s="52" t="s">
        <v>352</v>
      </c>
      <c r="C376" s="18" t="s">
        <v>355</v>
      </c>
      <c r="D376" s="1" t="s">
        <v>226</v>
      </c>
      <c r="E376" s="18">
        <v>7</v>
      </c>
    </row>
    <row r="377" spans="1:5" ht="21" customHeight="1" x14ac:dyDescent="0.3">
      <c r="A377" s="1" t="s">
        <v>292</v>
      </c>
      <c r="B377" s="52" t="s">
        <v>352</v>
      </c>
      <c r="C377" s="18" t="s">
        <v>355</v>
      </c>
      <c r="D377" s="1" t="s">
        <v>226</v>
      </c>
      <c r="E377" s="18">
        <v>8</v>
      </c>
    </row>
    <row r="378" spans="1:5" ht="21" customHeight="1" x14ac:dyDescent="0.3">
      <c r="A378" s="1" t="s">
        <v>240</v>
      </c>
      <c r="B378" s="51" t="s">
        <v>356</v>
      </c>
      <c r="C378" s="5" t="s">
        <v>357</v>
      </c>
      <c r="D378" s="1" t="s">
        <v>224</v>
      </c>
      <c r="E378" s="5">
        <v>1</v>
      </c>
    </row>
    <row r="379" spans="1:5" ht="21" customHeight="1" x14ac:dyDescent="0.3">
      <c r="A379" s="1" t="s">
        <v>240</v>
      </c>
      <c r="B379" s="51" t="s">
        <v>356</v>
      </c>
      <c r="C379" s="5" t="s">
        <v>357</v>
      </c>
      <c r="D379" s="1" t="s">
        <v>224</v>
      </c>
      <c r="E379" s="5">
        <v>2</v>
      </c>
    </row>
    <row r="380" spans="1:5" ht="21" customHeight="1" x14ac:dyDescent="0.3">
      <c r="A380" s="1" t="s">
        <v>240</v>
      </c>
      <c r="B380" s="51" t="s">
        <v>356</v>
      </c>
      <c r="C380" s="5" t="s">
        <v>357</v>
      </c>
      <c r="D380" s="1" t="s">
        <v>224</v>
      </c>
      <c r="E380" s="5">
        <v>3</v>
      </c>
    </row>
    <row r="381" spans="1:5" ht="21" customHeight="1" x14ac:dyDescent="0.3">
      <c r="A381" s="1" t="s">
        <v>240</v>
      </c>
      <c r="B381" s="51" t="s">
        <v>356</v>
      </c>
      <c r="C381" s="5" t="s">
        <v>357</v>
      </c>
      <c r="D381" s="1" t="s">
        <v>224</v>
      </c>
      <c r="E381" s="5">
        <v>4</v>
      </c>
    </row>
    <row r="382" spans="1:5" ht="21" customHeight="1" x14ac:dyDescent="0.3">
      <c r="A382" s="1" t="s">
        <v>240</v>
      </c>
      <c r="B382" s="51" t="s">
        <v>356</v>
      </c>
      <c r="C382" s="5" t="s">
        <v>357</v>
      </c>
      <c r="D382" s="1" t="s">
        <v>224</v>
      </c>
      <c r="E382" s="5">
        <v>5</v>
      </c>
    </row>
    <row r="383" spans="1:5" ht="21" customHeight="1" x14ac:dyDescent="0.3">
      <c r="A383" s="1" t="s">
        <v>240</v>
      </c>
      <c r="B383" s="51" t="s">
        <v>356</v>
      </c>
      <c r="C383" s="18" t="s">
        <v>358</v>
      </c>
      <c r="D383" s="1" t="s">
        <v>225</v>
      </c>
      <c r="E383" s="18">
        <v>1</v>
      </c>
    </row>
    <row r="384" spans="1:5" ht="21" customHeight="1" x14ac:dyDescent="0.3">
      <c r="A384" s="1" t="s">
        <v>240</v>
      </c>
      <c r="B384" s="51" t="s">
        <v>356</v>
      </c>
      <c r="C384" s="18" t="s">
        <v>358</v>
      </c>
      <c r="D384" s="1" t="s">
        <v>225</v>
      </c>
      <c r="E384" s="18">
        <v>2</v>
      </c>
    </row>
    <row r="385" spans="1:5" ht="21" customHeight="1" x14ac:dyDescent="0.3">
      <c r="A385" s="1" t="s">
        <v>240</v>
      </c>
      <c r="B385" s="51" t="s">
        <v>356</v>
      </c>
      <c r="C385" s="18" t="s">
        <v>358</v>
      </c>
      <c r="D385" s="1" t="s">
        <v>225</v>
      </c>
      <c r="E385" s="18">
        <v>3</v>
      </c>
    </row>
    <row r="386" spans="1:5" ht="21" customHeight="1" x14ac:dyDescent="0.3">
      <c r="A386" s="1" t="s">
        <v>240</v>
      </c>
      <c r="B386" s="51" t="s">
        <v>356</v>
      </c>
      <c r="C386" s="18" t="s">
        <v>358</v>
      </c>
      <c r="D386" s="1" t="s">
        <v>225</v>
      </c>
      <c r="E386" s="18">
        <v>4</v>
      </c>
    </row>
    <row r="387" spans="1:5" ht="21" customHeight="1" x14ac:dyDescent="0.3">
      <c r="A387" s="1" t="s">
        <v>240</v>
      </c>
      <c r="B387" s="51" t="s">
        <v>356</v>
      </c>
      <c r="C387" s="18" t="s">
        <v>358</v>
      </c>
      <c r="D387" s="1" t="s">
        <v>225</v>
      </c>
      <c r="E387" s="18">
        <v>5</v>
      </c>
    </row>
    <row r="388" spans="1:5" ht="21" customHeight="1" x14ac:dyDescent="0.3">
      <c r="A388" s="1" t="s">
        <v>240</v>
      </c>
      <c r="B388" s="51" t="s">
        <v>356</v>
      </c>
      <c r="C388" s="5" t="s">
        <v>358</v>
      </c>
      <c r="D388" s="1" t="s">
        <v>225</v>
      </c>
      <c r="E388" s="5">
        <v>1</v>
      </c>
    </row>
    <row r="389" spans="1:5" ht="21" customHeight="1" x14ac:dyDescent="0.3">
      <c r="A389" s="1" t="s">
        <v>240</v>
      </c>
      <c r="B389" s="51" t="s">
        <v>356</v>
      </c>
      <c r="C389" s="5" t="s">
        <v>358</v>
      </c>
      <c r="D389" s="1" t="s">
        <v>225</v>
      </c>
      <c r="E389" s="5">
        <v>2</v>
      </c>
    </row>
    <row r="390" spans="1:5" ht="21" customHeight="1" x14ac:dyDescent="0.3">
      <c r="A390" s="1" t="s">
        <v>240</v>
      </c>
      <c r="B390" s="51" t="s">
        <v>356</v>
      </c>
      <c r="C390" s="5" t="s">
        <v>358</v>
      </c>
      <c r="D390" s="1" t="s">
        <v>225</v>
      </c>
      <c r="E390" s="5">
        <v>3</v>
      </c>
    </row>
    <row r="391" spans="1:5" ht="21" customHeight="1" x14ac:dyDescent="0.3">
      <c r="A391" s="1" t="s">
        <v>240</v>
      </c>
      <c r="B391" s="51" t="s">
        <v>356</v>
      </c>
      <c r="C391" s="5" t="s">
        <v>358</v>
      </c>
      <c r="D391" s="1" t="s">
        <v>225</v>
      </c>
      <c r="E391" s="5">
        <v>4</v>
      </c>
    </row>
    <row r="392" spans="1:5" ht="21" customHeight="1" x14ac:dyDescent="0.3">
      <c r="A392" s="1" t="s">
        <v>240</v>
      </c>
      <c r="B392" s="51" t="s">
        <v>356</v>
      </c>
      <c r="C392" s="5" t="s">
        <v>358</v>
      </c>
      <c r="D392" s="1" t="s">
        <v>225</v>
      </c>
      <c r="E392" s="5">
        <v>5</v>
      </c>
    </row>
    <row r="393" spans="1:5" ht="21" customHeight="1" x14ac:dyDescent="0.3">
      <c r="A393" s="1" t="s">
        <v>292</v>
      </c>
      <c r="B393" s="51" t="s">
        <v>356</v>
      </c>
      <c r="C393" s="18" t="s">
        <v>359</v>
      </c>
      <c r="D393" s="1" t="s">
        <v>226</v>
      </c>
      <c r="E393" s="18">
        <v>1</v>
      </c>
    </row>
    <row r="394" spans="1:5" ht="21" customHeight="1" x14ac:dyDescent="0.3">
      <c r="A394" s="1" t="s">
        <v>292</v>
      </c>
      <c r="B394" s="51" t="s">
        <v>356</v>
      </c>
      <c r="C394" s="18" t="s">
        <v>359</v>
      </c>
      <c r="D394" s="1" t="s">
        <v>226</v>
      </c>
      <c r="E394" s="18">
        <v>2</v>
      </c>
    </row>
    <row r="395" spans="1:5" ht="21" customHeight="1" x14ac:dyDescent="0.3">
      <c r="A395" s="1" t="s">
        <v>292</v>
      </c>
      <c r="B395" s="51" t="s">
        <v>356</v>
      </c>
      <c r="C395" s="18" t="s">
        <v>359</v>
      </c>
      <c r="D395" s="1" t="s">
        <v>226</v>
      </c>
      <c r="E395" s="18">
        <v>3</v>
      </c>
    </row>
    <row r="396" spans="1:5" ht="21" customHeight="1" x14ac:dyDescent="0.3">
      <c r="A396" s="1" t="s">
        <v>292</v>
      </c>
      <c r="B396" s="51" t="s">
        <v>356</v>
      </c>
      <c r="C396" s="18" t="s">
        <v>359</v>
      </c>
      <c r="D396" s="1" t="s">
        <v>226</v>
      </c>
      <c r="E396" s="18">
        <v>4</v>
      </c>
    </row>
    <row r="397" spans="1:5" ht="21" customHeight="1" x14ac:dyDescent="0.3">
      <c r="A397" s="1" t="s">
        <v>292</v>
      </c>
      <c r="B397" s="51" t="s">
        <v>356</v>
      </c>
      <c r="C397" s="18" t="s">
        <v>359</v>
      </c>
      <c r="D397" s="1" t="s">
        <v>226</v>
      </c>
      <c r="E397" s="18">
        <v>5</v>
      </c>
    </row>
    <row r="398" spans="1:5" ht="21" customHeight="1" x14ac:dyDescent="0.3">
      <c r="A398" s="1" t="s">
        <v>292</v>
      </c>
      <c r="B398" s="51" t="s">
        <v>356</v>
      </c>
      <c r="C398" s="18" t="s">
        <v>359</v>
      </c>
      <c r="D398" s="1" t="s">
        <v>226</v>
      </c>
      <c r="E398" s="18">
        <v>6</v>
      </c>
    </row>
    <row r="399" spans="1:5" ht="21" customHeight="1" x14ac:dyDescent="0.3">
      <c r="A399" s="1" t="s">
        <v>292</v>
      </c>
      <c r="B399" s="51" t="s">
        <v>356</v>
      </c>
      <c r="C399" s="18" t="s">
        <v>359</v>
      </c>
      <c r="D399" s="1" t="s">
        <v>226</v>
      </c>
      <c r="E399" s="18">
        <v>7</v>
      </c>
    </row>
    <row r="400" spans="1:5" ht="21" customHeight="1" x14ac:dyDescent="0.3">
      <c r="A400" s="1" t="s">
        <v>292</v>
      </c>
      <c r="B400" s="51" t="s">
        <v>356</v>
      </c>
      <c r="C400" s="18" t="s">
        <v>359</v>
      </c>
      <c r="D400" s="1" t="s">
        <v>226</v>
      </c>
      <c r="E400" s="18">
        <v>8</v>
      </c>
    </row>
    <row r="401" spans="1:5" ht="21" customHeight="1" x14ac:dyDescent="0.3">
      <c r="A401" s="1" t="s">
        <v>240</v>
      </c>
      <c r="B401" s="52" t="s">
        <v>360</v>
      </c>
      <c r="C401" s="5" t="s">
        <v>361</v>
      </c>
      <c r="D401" s="1" t="s">
        <v>224</v>
      </c>
      <c r="E401" s="5">
        <v>1</v>
      </c>
    </row>
    <row r="402" spans="1:5" ht="21" customHeight="1" x14ac:dyDescent="0.3">
      <c r="A402" s="1" t="s">
        <v>240</v>
      </c>
      <c r="B402" s="52" t="s">
        <v>360</v>
      </c>
      <c r="C402" s="5" t="s">
        <v>361</v>
      </c>
      <c r="D402" s="1" t="s">
        <v>224</v>
      </c>
      <c r="E402" s="5">
        <v>2</v>
      </c>
    </row>
    <row r="403" spans="1:5" ht="21" customHeight="1" x14ac:dyDescent="0.3">
      <c r="A403" s="1" t="s">
        <v>240</v>
      </c>
      <c r="B403" s="52" t="s">
        <v>360</v>
      </c>
      <c r="C403" s="5" t="s">
        <v>361</v>
      </c>
      <c r="D403" s="1" t="s">
        <v>224</v>
      </c>
      <c r="E403" s="5">
        <v>3</v>
      </c>
    </row>
    <row r="404" spans="1:5" ht="21" customHeight="1" x14ac:dyDescent="0.3">
      <c r="A404" s="1" t="s">
        <v>240</v>
      </c>
      <c r="B404" s="52" t="s">
        <v>360</v>
      </c>
      <c r="C404" s="5" t="s">
        <v>361</v>
      </c>
      <c r="D404" s="1" t="s">
        <v>224</v>
      </c>
      <c r="E404" s="5">
        <v>4</v>
      </c>
    </row>
    <row r="405" spans="1:5" ht="21" customHeight="1" x14ac:dyDescent="0.3">
      <c r="A405" s="1" t="s">
        <v>240</v>
      </c>
      <c r="B405" s="52" t="s">
        <v>360</v>
      </c>
      <c r="C405" s="5" t="s">
        <v>361</v>
      </c>
      <c r="D405" s="1" t="s">
        <v>224</v>
      </c>
      <c r="E405" s="5">
        <v>5</v>
      </c>
    </row>
    <row r="406" spans="1:5" ht="21" customHeight="1" x14ac:dyDescent="0.3">
      <c r="A406" s="1" t="s">
        <v>240</v>
      </c>
      <c r="B406" s="52" t="s">
        <v>360</v>
      </c>
      <c r="C406" s="18" t="s">
        <v>362</v>
      </c>
      <c r="D406" s="1" t="s">
        <v>225</v>
      </c>
      <c r="E406" s="18">
        <v>1</v>
      </c>
    </row>
    <row r="407" spans="1:5" ht="21" customHeight="1" x14ac:dyDescent="0.3">
      <c r="A407" s="1" t="s">
        <v>240</v>
      </c>
      <c r="B407" s="52" t="s">
        <v>360</v>
      </c>
      <c r="C407" s="18" t="s">
        <v>362</v>
      </c>
      <c r="D407" s="1" t="s">
        <v>225</v>
      </c>
      <c r="E407" s="18">
        <v>2</v>
      </c>
    </row>
    <row r="408" spans="1:5" ht="21" customHeight="1" x14ac:dyDescent="0.3">
      <c r="A408" s="1" t="s">
        <v>240</v>
      </c>
      <c r="B408" s="52" t="s">
        <v>360</v>
      </c>
      <c r="C408" s="18" t="s">
        <v>362</v>
      </c>
      <c r="D408" s="1" t="s">
        <v>225</v>
      </c>
      <c r="E408" s="18">
        <v>3</v>
      </c>
    </row>
    <row r="409" spans="1:5" ht="21" customHeight="1" x14ac:dyDescent="0.3">
      <c r="A409" s="1" t="s">
        <v>240</v>
      </c>
      <c r="B409" s="52" t="s">
        <v>360</v>
      </c>
      <c r="C409" s="18" t="s">
        <v>362</v>
      </c>
      <c r="D409" s="1" t="s">
        <v>225</v>
      </c>
      <c r="E409" s="18">
        <v>4</v>
      </c>
    </row>
    <row r="410" spans="1:5" ht="21" customHeight="1" x14ac:dyDescent="0.3">
      <c r="A410" s="1" t="s">
        <v>240</v>
      </c>
      <c r="B410" s="52" t="s">
        <v>360</v>
      </c>
      <c r="C410" s="18" t="s">
        <v>362</v>
      </c>
      <c r="D410" s="1" t="s">
        <v>225</v>
      </c>
      <c r="E410" s="18">
        <v>5</v>
      </c>
    </row>
    <row r="411" spans="1:5" ht="21" customHeight="1" x14ac:dyDescent="0.3">
      <c r="A411" s="1" t="s">
        <v>240</v>
      </c>
      <c r="B411" s="52" t="s">
        <v>360</v>
      </c>
      <c r="C411" s="5" t="s">
        <v>362</v>
      </c>
      <c r="D411" s="1" t="s">
        <v>225</v>
      </c>
      <c r="E411" s="5">
        <v>1</v>
      </c>
    </row>
    <row r="412" spans="1:5" ht="21" customHeight="1" x14ac:dyDescent="0.3">
      <c r="A412" s="1" t="s">
        <v>240</v>
      </c>
      <c r="B412" s="52" t="s">
        <v>360</v>
      </c>
      <c r="C412" s="5" t="s">
        <v>362</v>
      </c>
      <c r="D412" s="1" t="s">
        <v>225</v>
      </c>
      <c r="E412" s="5">
        <v>2</v>
      </c>
    </row>
    <row r="413" spans="1:5" ht="21" customHeight="1" x14ac:dyDescent="0.3">
      <c r="A413" s="1" t="s">
        <v>240</v>
      </c>
      <c r="B413" s="52" t="s">
        <v>360</v>
      </c>
      <c r="C413" s="5" t="s">
        <v>362</v>
      </c>
      <c r="D413" s="1" t="s">
        <v>225</v>
      </c>
      <c r="E413" s="5">
        <v>3</v>
      </c>
    </row>
    <row r="414" spans="1:5" ht="21" customHeight="1" x14ac:dyDescent="0.3">
      <c r="A414" s="1" t="s">
        <v>240</v>
      </c>
      <c r="B414" s="52" t="s">
        <v>360</v>
      </c>
      <c r="C414" s="5" t="s">
        <v>362</v>
      </c>
      <c r="D414" s="1" t="s">
        <v>225</v>
      </c>
      <c r="E414" s="5">
        <v>4</v>
      </c>
    </row>
    <row r="415" spans="1:5" ht="21" customHeight="1" x14ac:dyDescent="0.3">
      <c r="A415" s="1" t="s">
        <v>240</v>
      </c>
      <c r="B415" s="52" t="s">
        <v>360</v>
      </c>
      <c r="C415" s="5" t="s">
        <v>362</v>
      </c>
      <c r="D415" s="1" t="s">
        <v>225</v>
      </c>
      <c r="E415" s="5">
        <v>5</v>
      </c>
    </row>
    <row r="416" spans="1:5" ht="21" customHeight="1" x14ac:dyDescent="0.3">
      <c r="A416" s="1" t="s">
        <v>292</v>
      </c>
      <c r="B416" s="52" t="s">
        <v>360</v>
      </c>
      <c r="C416" s="18" t="s">
        <v>363</v>
      </c>
      <c r="D416" s="1" t="s">
        <v>226</v>
      </c>
      <c r="E416" s="18">
        <v>1</v>
      </c>
    </row>
    <row r="417" spans="1:5" ht="21" customHeight="1" x14ac:dyDescent="0.3">
      <c r="A417" s="1" t="s">
        <v>292</v>
      </c>
      <c r="B417" s="52" t="s">
        <v>360</v>
      </c>
      <c r="C417" s="18" t="s">
        <v>363</v>
      </c>
      <c r="D417" s="1" t="s">
        <v>226</v>
      </c>
      <c r="E417" s="18">
        <v>2</v>
      </c>
    </row>
    <row r="418" spans="1:5" ht="21" customHeight="1" x14ac:dyDescent="0.3">
      <c r="A418" s="1" t="s">
        <v>292</v>
      </c>
      <c r="B418" s="52" t="s">
        <v>360</v>
      </c>
      <c r="C418" s="18" t="s">
        <v>363</v>
      </c>
      <c r="D418" s="1" t="s">
        <v>226</v>
      </c>
      <c r="E418" s="18">
        <v>3</v>
      </c>
    </row>
    <row r="419" spans="1:5" ht="21" customHeight="1" x14ac:dyDescent="0.3">
      <c r="A419" s="1" t="s">
        <v>292</v>
      </c>
      <c r="B419" s="52" t="s">
        <v>360</v>
      </c>
      <c r="C419" s="18" t="s">
        <v>363</v>
      </c>
      <c r="D419" s="1" t="s">
        <v>226</v>
      </c>
      <c r="E419" s="18">
        <v>4</v>
      </c>
    </row>
    <row r="420" spans="1:5" ht="21" customHeight="1" x14ac:dyDescent="0.3">
      <c r="A420" s="1" t="s">
        <v>292</v>
      </c>
      <c r="B420" s="52" t="s">
        <v>360</v>
      </c>
      <c r="C420" s="18" t="s">
        <v>363</v>
      </c>
      <c r="D420" s="1" t="s">
        <v>226</v>
      </c>
      <c r="E420" s="18">
        <v>5</v>
      </c>
    </row>
    <row r="421" spans="1:5" ht="21" customHeight="1" x14ac:dyDescent="0.3">
      <c r="A421" s="1" t="s">
        <v>292</v>
      </c>
      <c r="B421" s="52" t="s">
        <v>360</v>
      </c>
      <c r="C421" s="18" t="s">
        <v>363</v>
      </c>
      <c r="D421" s="1" t="s">
        <v>226</v>
      </c>
      <c r="E421" s="18">
        <v>6</v>
      </c>
    </row>
    <row r="422" spans="1:5" ht="21" customHeight="1" x14ac:dyDescent="0.3">
      <c r="A422" s="1" t="s">
        <v>292</v>
      </c>
      <c r="B422" s="52" t="s">
        <v>360</v>
      </c>
      <c r="C422" s="18" t="s">
        <v>363</v>
      </c>
      <c r="D422" s="1" t="s">
        <v>226</v>
      </c>
      <c r="E422" s="18">
        <v>7</v>
      </c>
    </row>
    <row r="423" spans="1:5" ht="21" customHeight="1" x14ac:dyDescent="0.3">
      <c r="A423" s="1" t="s">
        <v>292</v>
      </c>
      <c r="B423" s="52" t="s">
        <v>360</v>
      </c>
      <c r="C423" s="18" t="s">
        <v>363</v>
      </c>
      <c r="D423" s="1" t="s">
        <v>226</v>
      </c>
      <c r="E423" s="18">
        <v>8</v>
      </c>
    </row>
    <row r="424" spans="1:5" ht="21" customHeight="1" x14ac:dyDescent="0.3">
      <c r="A424" s="1" t="s">
        <v>240</v>
      </c>
      <c r="B424" s="51" t="s">
        <v>364</v>
      </c>
      <c r="C424" s="5" t="s">
        <v>365</v>
      </c>
      <c r="D424" s="1" t="s">
        <v>224</v>
      </c>
      <c r="E424" s="5">
        <v>1</v>
      </c>
    </row>
    <row r="425" spans="1:5" ht="21" customHeight="1" x14ac:dyDescent="0.3">
      <c r="A425" s="1" t="s">
        <v>240</v>
      </c>
      <c r="B425" s="51" t="s">
        <v>364</v>
      </c>
      <c r="C425" s="5" t="s">
        <v>365</v>
      </c>
      <c r="D425" s="1" t="s">
        <v>224</v>
      </c>
      <c r="E425" s="5">
        <v>2</v>
      </c>
    </row>
    <row r="426" spans="1:5" ht="21" customHeight="1" x14ac:dyDescent="0.3">
      <c r="A426" s="1" t="s">
        <v>240</v>
      </c>
      <c r="B426" s="51" t="s">
        <v>364</v>
      </c>
      <c r="C426" s="5" t="s">
        <v>365</v>
      </c>
      <c r="D426" s="1" t="s">
        <v>224</v>
      </c>
      <c r="E426" s="5">
        <v>3</v>
      </c>
    </row>
    <row r="427" spans="1:5" ht="21" customHeight="1" x14ac:dyDescent="0.3">
      <c r="A427" s="1" t="s">
        <v>240</v>
      </c>
      <c r="B427" s="51" t="s">
        <v>364</v>
      </c>
      <c r="C427" s="5" t="s">
        <v>365</v>
      </c>
      <c r="D427" s="1" t="s">
        <v>224</v>
      </c>
      <c r="E427" s="5">
        <v>4</v>
      </c>
    </row>
    <row r="428" spans="1:5" ht="21" customHeight="1" x14ac:dyDescent="0.3">
      <c r="A428" s="1" t="s">
        <v>240</v>
      </c>
      <c r="B428" s="51" t="s">
        <v>364</v>
      </c>
      <c r="C428" s="5" t="s">
        <v>365</v>
      </c>
      <c r="D428" s="1" t="s">
        <v>224</v>
      </c>
      <c r="E428" s="5">
        <v>5</v>
      </c>
    </row>
    <row r="429" spans="1:5" ht="21" customHeight="1" x14ac:dyDescent="0.3">
      <c r="A429" s="1" t="s">
        <v>240</v>
      </c>
      <c r="B429" s="51" t="s">
        <v>364</v>
      </c>
      <c r="C429" s="18" t="s">
        <v>366</v>
      </c>
      <c r="D429" s="1" t="s">
        <v>230</v>
      </c>
      <c r="E429" s="18">
        <v>1</v>
      </c>
    </row>
    <row r="430" spans="1:5" ht="21" customHeight="1" x14ac:dyDescent="0.3">
      <c r="A430" s="1" t="s">
        <v>240</v>
      </c>
      <c r="B430" s="51" t="s">
        <v>364</v>
      </c>
      <c r="C430" s="18" t="s">
        <v>366</v>
      </c>
      <c r="D430" s="1" t="s">
        <v>230</v>
      </c>
      <c r="E430" s="18">
        <v>2</v>
      </c>
    </row>
    <row r="431" spans="1:5" ht="21" customHeight="1" x14ac:dyDescent="0.3">
      <c r="A431" s="1" t="s">
        <v>240</v>
      </c>
      <c r="B431" s="51" t="s">
        <v>364</v>
      </c>
      <c r="C431" s="18" t="s">
        <v>366</v>
      </c>
      <c r="D431" s="1" t="s">
        <v>230</v>
      </c>
      <c r="E431" s="18">
        <v>3</v>
      </c>
    </row>
    <row r="432" spans="1:5" ht="21" customHeight="1" x14ac:dyDescent="0.3">
      <c r="A432" s="1" t="s">
        <v>240</v>
      </c>
      <c r="B432" s="51" t="s">
        <v>364</v>
      </c>
      <c r="C432" s="18" t="s">
        <v>366</v>
      </c>
      <c r="D432" s="1" t="s">
        <v>230</v>
      </c>
      <c r="E432" s="18">
        <v>4</v>
      </c>
    </row>
    <row r="433" spans="1:5" ht="21" customHeight="1" x14ac:dyDescent="0.3">
      <c r="A433" s="1" t="s">
        <v>240</v>
      </c>
      <c r="B433" s="51" t="s">
        <v>364</v>
      </c>
      <c r="C433" s="18" t="s">
        <v>366</v>
      </c>
      <c r="D433" s="1" t="s">
        <v>230</v>
      </c>
      <c r="E433" s="18">
        <v>5</v>
      </c>
    </row>
    <row r="434" spans="1:5" ht="21" customHeight="1" x14ac:dyDescent="0.3">
      <c r="A434" s="1" t="s">
        <v>240</v>
      </c>
      <c r="B434" s="51" t="s">
        <v>364</v>
      </c>
      <c r="C434" s="5" t="s">
        <v>367</v>
      </c>
      <c r="D434" s="1" t="s">
        <v>225</v>
      </c>
      <c r="E434" s="5">
        <v>1</v>
      </c>
    </row>
    <row r="435" spans="1:5" ht="21" customHeight="1" x14ac:dyDescent="0.3">
      <c r="A435" s="1" t="s">
        <v>240</v>
      </c>
      <c r="B435" s="51" t="s">
        <v>364</v>
      </c>
      <c r="C435" s="5" t="s">
        <v>367</v>
      </c>
      <c r="D435" s="1" t="s">
        <v>225</v>
      </c>
      <c r="E435" s="5">
        <v>2</v>
      </c>
    </row>
    <row r="436" spans="1:5" ht="21" customHeight="1" x14ac:dyDescent="0.3">
      <c r="A436" s="1" t="s">
        <v>240</v>
      </c>
      <c r="B436" s="51" t="s">
        <v>364</v>
      </c>
      <c r="C436" s="5" t="s">
        <v>367</v>
      </c>
      <c r="D436" s="1" t="s">
        <v>225</v>
      </c>
      <c r="E436" s="5">
        <v>3</v>
      </c>
    </row>
    <row r="437" spans="1:5" ht="21" customHeight="1" x14ac:dyDescent="0.3">
      <c r="A437" s="1" t="s">
        <v>240</v>
      </c>
      <c r="B437" s="51" t="s">
        <v>364</v>
      </c>
      <c r="C437" s="5" t="s">
        <v>367</v>
      </c>
      <c r="D437" s="1" t="s">
        <v>225</v>
      </c>
      <c r="E437" s="5">
        <v>4</v>
      </c>
    </row>
    <row r="438" spans="1:5" ht="21" customHeight="1" x14ac:dyDescent="0.3">
      <c r="A438" s="1" t="s">
        <v>240</v>
      </c>
      <c r="B438" s="51" t="s">
        <v>364</v>
      </c>
      <c r="C438" s="5" t="s">
        <v>367</v>
      </c>
      <c r="D438" s="1" t="s">
        <v>225</v>
      </c>
      <c r="E438" s="5">
        <v>5</v>
      </c>
    </row>
    <row r="439" spans="1:5" ht="21" customHeight="1" x14ac:dyDescent="0.3">
      <c r="A439" s="1" t="s">
        <v>240</v>
      </c>
      <c r="B439" s="51" t="s">
        <v>364</v>
      </c>
      <c r="C439" s="18" t="s">
        <v>367</v>
      </c>
      <c r="D439" s="1" t="s">
        <v>225</v>
      </c>
      <c r="E439" s="18">
        <v>1</v>
      </c>
    </row>
    <row r="440" spans="1:5" ht="21" customHeight="1" x14ac:dyDescent="0.3">
      <c r="A440" s="1" t="s">
        <v>240</v>
      </c>
      <c r="B440" s="51" t="s">
        <v>364</v>
      </c>
      <c r="C440" s="18" t="s">
        <v>367</v>
      </c>
      <c r="D440" s="1" t="s">
        <v>225</v>
      </c>
      <c r="E440" s="18">
        <v>2</v>
      </c>
    </row>
    <row r="441" spans="1:5" ht="21" customHeight="1" x14ac:dyDescent="0.3">
      <c r="A441" s="1" t="s">
        <v>240</v>
      </c>
      <c r="B441" s="51" t="s">
        <v>364</v>
      </c>
      <c r="C441" s="18" t="s">
        <v>367</v>
      </c>
      <c r="D441" s="1" t="s">
        <v>225</v>
      </c>
      <c r="E441" s="18">
        <v>3</v>
      </c>
    </row>
    <row r="442" spans="1:5" ht="21" customHeight="1" x14ac:dyDescent="0.3">
      <c r="A442" s="1" t="s">
        <v>240</v>
      </c>
      <c r="B442" s="51" t="s">
        <v>364</v>
      </c>
      <c r="C442" s="18" t="s">
        <v>367</v>
      </c>
      <c r="D442" s="1" t="s">
        <v>225</v>
      </c>
      <c r="E442" s="18">
        <v>4</v>
      </c>
    </row>
    <row r="443" spans="1:5" ht="21" customHeight="1" x14ac:dyDescent="0.3">
      <c r="A443" s="1" t="s">
        <v>240</v>
      </c>
      <c r="B443" s="51" t="s">
        <v>364</v>
      </c>
      <c r="C443" s="18" t="s">
        <v>367</v>
      </c>
      <c r="D443" s="1" t="s">
        <v>225</v>
      </c>
      <c r="E443" s="18">
        <v>5</v>
      </c>
    </row>
    <row r="444" spans="1:5" ht="21" customHeight="1" x14ac:dyDescent="0.3">
      <c r="A444" s="1" t="s">
        <v>292</v>
      </c>
      <c r="B444" s="51" t="s">
        <v>364</v>
      </c>
      <c r="C444" s="5" t="s">
        <v>368</v>
      </c>
      <c r="D444" s="1" t="s">
        <v>226</v>
      </c>
      <c r="E444" s="5">
        <v>1</v>
      </c>
    </row>
    <row r="445" spans="1:5" ht="21" customHeight="1" x14ac:dyDescent="0.3">
      <c r="A445" s="1" t="s">
        <v>292</v>
      </c>
      <c r="B445" s="51" t="s">
        <v>364</v>
      </c>
      <c r="C445" s="5" t="s">
        <v>368</v>
      </c>
      <c r="D445" s="1" t="s">
        <v>226</v>
      </c>
      <c r="E445" s="5">
        <v>2</v>
      </c>
    </row>
    <row r="446" spans="1:5" ht="21" customHeight="1" x14ac:dyDescent="0.3">
      <c r="A446" s="1" t="s">
        <v>292</v>
      </c>
      <c r="B446" s="51" t="s">
        <v>364</v>
      </c>
      <c r="C446" s="5" t="s">
        <v>368</v>
      </c>
      <c r="D446" s="1" t="s">
        <v>226</v>
      </c>
      <c r="E446" s="5">
        <v>3</v>
      </c>
    </row>
    <row r="447" spans="1:5" ht="21" customHeight="1" x14ac:dyDescent="0.3">
      <c r="A447" s="1" t="s">
        <v>292</v>
      </c>
      <c r="B447" s="51" t="s">
        <v>364</v>
      </c>
      <c r="C447" s="5" t="s">
        <v>368</v>
      </c>
      <c r="D447" s="1" t="s">
        <v>226</v>
      </c>
      <c r="E447" s="5">
        <v>4</v>
      </c>
    </row>
    <row r="448" spans="1:5" ht="21" customHeight="1" x14ac:dyDescent="0.3">
      <c r="A448" s="1" t="s">
        <v>292</v>
      </c>
      <c r="B448" s="51" t="s">
        <v>364</v>
      </c>
      <c r="C448" s="5" t="s">
        <v>368</v>
      </c>
      <c r="D448" s="1" t="s">
        <v>226</v>
      </c>
      <c r="E448" s="5">
        <v>5</v>
      </c>
    </row>
    <row r="449" spans="1:5" ht="21" customHeight="1" x14ac:dyDescent="0.3">
      <c r="A449" s="1" t="s">
        <v>292</v>
      </c>
      <c r="B449" s="51" t="s">
        <v>364</v>
      </c>
      <c r="C449" s="5" t="s">
        <v>368</v>
      </c>
      <c r="D449" s="1" t="s">
        <v>226</v>
      </c>
      <c r="E449" s="5">
        <v>6</v>
      </c>
    </row>
    <row r="450" spans="1:5" ht="21" customHeight="1" x14ac:dyDescent="0.3">
      <c r="A450" s="1" t="s">
        <v>292</v>
      </c>
      <c r="B450" s="51" t="s">
        <v>364</v>
      </c>
      <c r="C450" s="5" t="s">
        <v>368</v>
      </c>
      <c r="D450" s="1" t="s">
        <v>226</v>
      </c>
      <c r="E450" s="5">
        <v>7</v>
      </c>
    </row>
    <row r="451" spans="1:5" ht="21" customHeight="1" x14ac:dyDescent="0.3">
      <c r="A451" s="1" t="s">
        <v>292</v>
      </c>
      <c r="B451" s="51" t="s">
        <v>364</v>
      </c>
      <c r="C451" s="5" t="s">
        <v>368</v>
      </c>
      <c r="D451" s="1" t="s">
        <v>226</v>
      </c>
      <c r="E451" s="5">
        <v>8</v>
      </c>
    </row>
    <row r="452" spans="1:5" ht="21" customHeight="1" x14ac:dyDescent="0.3">
      <c r="A452" s="1" t="s">
        <v>240</v>
      </c>
      <c r="B452" s="52" t="s">
        <v>369</v>
      </c>
      <c r="C452" s="18" t="s">
        <v>370</v>
      </c>
      <c r="D452" s="1" t="s">
        <v>224</v>
      </c>
      <c r="E452" s="18">
        <v>1</v>
      </c>
    </row>
    <row r="453" spans="1:5" ht="21" customHeight="1" x14ac:dyDescent="0.3">
      <c r="A453" s="1" t="s">
        <v>240</v>
      </c>
      <c r="B453" s="52" t="s">
        <v>369</v>
      </c>
      <c r="C453" s="18" t="s">
        <v>370</v>
      </c>
      <c r="D453" s="1" t="s">
        <v>224</v>
      </c>
      <c r="E453" s="18">
        <v>2</v>
      </c>
    </row>
    <row r="454" spans="1:5" ht="21" customHeight="1" x14ac:dyDescent="0.3">
      <c r="A454" s="1" t="s">
        <v>240</v>
      </c>
      <c r="B454" s="52" t="s">
        <v>369</v>
      </c>
      <c r="C454" s="18" t="s">
        <v>370</v>
      </c>
      <c r="D454" s="1" t="s">
        <v>224</v>
      </c>
      <c r="E454" s="18">
        <v>3</v>
      </c>
    </row>
    <row r="455" spans="1:5" ht="21" customHeight="1" x14ac:dyDescent="0.3">
      <c r="A455" s="1" t="s">
        <v>240</v>
      </c>
      <c r="B455" s="52" t="s">
        <v>369</v>
      </c>
      <c r="C455" s="18" t="s">
        <v>370</v>
      </c>
      <c r="D455" s="1" t="s">
        <v>224</v>
      </c>
      <c r="E455" s="18">
        <v>4</v>
      </c>
    </row>
    <row r="456" spans="1:5" ht="21" customHeight="1" x14ac:dyDescent="0.3">
      <c r="A456" s="1" t="s">
        <v>240</v>
      </c>
      <c r="B456" s="52" t="s">
        <v>369</v>
      </c>
      <c r="C456" s="18" t="s">
        <v>370</v>
      </c>
      <c r="D456" s="1" t="s">
        <v>224</v>
      </c>
      <c r="E456" s="18">
        <v>5</v>
      </c>
    </row>
    <row r="457" spans="1:5" ht="21" customHeight="1" x14ac:dyDescent="0.3">
      <c r="A457" s="1" t="s">
        <v>240</v>
      </c>
      <c r="B457" s="52" t="s">
        <v>369</v>
      </c>
      <c r="C457" s="5" t="s">
        <v>371</v>
      </c>
      <c r="D457" s="1" t="s">
        <v>230</v>
      </c>
      <c r="E457" s="5">
        <v>1</v>
      </c>
    </row>
    <row r="458" spans="1:5" ht="21" customHeight="1" x14ac:dyDescent="0.3">
      <c r="A458" s="1" t="s">
        <v>240</v>
      </c>
      <c r="B458" s="52" t="s">
        <v>369</v>
      </c>
      <c r="C458" s="5" t="s">
        <v>371</v>
      </c>
      <c r="D458" s="1" t="s">
        <v>230</v>
      </c>
      <c r="E458" s="5">
        <v>2</v>
      </c>
    </row>
    <row r="459" spans="1:5" ht="21" customHeight="1" x14ac:dyDescent="0.3">
      <c r="A459" s="1" t="s">
        <v>240</v>
      </c>
      <c r="B459" s="52" t="s">
        <v>369</v>
      </c>
      <c r="C459" s="5" t="s">
        <v>371</v>
      </c>
      <c r="D459" s="1" t="s">
        <v>230</v>
      </c>
      <c r="E459" s="5">
        <v>3</v>
      </c>
    </row>
    <row r="460" spans="1:5" ht="21" customHeight="1" x14ac:dyDescent="0.3">
      <c r="A460" s="1" t="s">
        <v>240</v>
      </c>
      <c r="B460" s="52" t="s">
        <v>369</v>
      </c>
      <c r="C460" s="5" t="s">
        <v>371</v>
      </c>
      <c r="D460" s="1" t="s">
        <v>230</v>
      </c>
      <c r="E460" s="5">
        <v>4</v>
      </c>
    </row>
    <row r="461" spans="1:5" ht="21" customHeight="1" x14ac:dyDescent="0.3">
      <c r="A461" s="1" t="s">
        <v>240</v>
      </c>
      <c r="B461" s="52" t="s">
        <v>369</v>
      </c>
      <c r="C461" s="5" t="s">
        <v>371</v>
      </c>
      <c r="D461" s="1" t="s">
        <v>230</v>
      </c>
      <c r="E461" s="5">
        <v>5</v>
      </c>
    </row>
    <row r="462" spans="1:5" ht="21" customHeight="1" x14ac:dyDescent="0.3">
      <c r="A462" s="1" t="s">
        <v>240</v>
      </c>
      <c r="B462" s="52" t="s">
        <v>369</v>
      </c>
      <c r="C462" s="18" t="s">
        <v>372</v>
      </c>
      <c r="D462" s="1" t="s">
        <v>225</v>
      </c>
      <c r="E462" s="18">
        <v>1</v>
      </c>
    </row>
    <row r="463" spans="1:5" ht="21" customHeight="1" x14ac:dyDescent="0.3">
      <c r="A463" s="1" t="s">
        <v>240</v>
      </c>
      <c r="B463" s="52" t="s">
        <v>369</v>
      </c>
      <c r="C463" s="18" t="s">
        <v>372</v>
      </c>
      <c r="D463" s="1" t="s">
        <v>225</v>
      </c>
      <c r="E463" s="18">
        <v>2</v>
      </c>
    </row>
    <row r="464" spans="1:5" ht="21" customHeight="1" x14ac:dyDescent="0.3">
      <c r="A464" s="1" t="s">
        <v>240</v>
      </c>
      <c r="B464" s="52" t="s">
        <v>369</v>
      </c>
      <c r="C464" s="18" t="s">
        <v>372</v>
      </c>
      <c r="D464" s="1" t="s">
        <v>225</v>
      </c>
      <c r="E464" s="18">
        <v>3</v>
      </c>
    </row>
    <row r="465" spans="1:5" ht="21" customHeight="1" x14ac:dyDescent="0.3">
      <c r="A465" s="1" t="s">
        <v>240</v>
      </c>
      <c r="B465" s="52" t="s">
        <v>369</v>
      </c>
      <c r="C465" s="18" t="s">
        <v>372</v>
      </c>
      <c r="D465" s="1" t="s">
        <v>225</v>
      </c>
      <c r="E465" s="18">
        <v>4</v>
      </c>
    </row>
    <row r="466" spans="1:5" ht="21" customHeight="1" x14ac:dyDescent="0.3">
      <c r="A466" s="1" t="s">
        <v>240</v>
      </c>
      <c r="B466" s="52" t="s">
        <v>369</v>
      </c>
      <c r="C466" s="18" t="s">
        <v>372</v>
      </c>
      <c r="D466" s="1" t="s">
        <v>225</v>
      </c>
      <c r="E466" s="18">
        <v>5</v>
      </c>
    </row>
    <row r="467" spans="1:5" ht="21" customHeight="1" x14ac:dyDescent="0.3">
      <c r="A467" s="1" t="s">
        <v>240</v>
      </c>
      <c r="B467" s="52" t="s">
        <v>369</v>
      </c>
      <c r="C467" s="5" t="s">
        <v>372</v>
      </c>
      <c r="D467" s="1" t="s">
        <v>225</v>
      </c>
      <c r="E467" s="5">
        <v>1</v>
      </c>
    </row>
    <row r="468" spans="1:5" ht="21" customHeight="1" x14ac:dyDescent="0.3">
      <c r="A468" s="1" t="s">
        <v>240</v>
      </c>
      <c r="B468" s="52" t="s">
        <v>369</v>
      </c>
      <c r="C468" s="5" t="s">
        <v>372</v>
      </c>
      <c r="D468" s="1" t="s">
        <v>225</v>
      </c>
      <c r="E468" s="5">
        <v>2</v>
      </c>
    </row>
    <row r="469" spans="1:5" ht="21" customHeight="1" x14ac:dyDescent="0.3">
      <c r="A469" s="1" t="s">
        <v>240</v>
      </c>
      <c r="B469" s="52" t="s">
        <v>369</v>
      </c>
      <c r="C469" s="5" t="s">
        <v>372</v>
      </c>
      <c r="D469" s="1" t="s">
        <v>225</v>
      </c>
      <c r="E469" s="5">
        <v>3</v>
      </c>
    </row>
    <row r="470" spans="1:5" ht="21" customHeight="1" x14ac:dyDescent="0.3">
      <c r="A470" s="1" t="s">
        <v>240</v>
      </c>
      <c r="B470" s="52" t="s">
        <v>369</v>
      </c>
      <c r="C470" s="5" t="s">
        <v>372</v>
      </c>
      <c r="D470" s="1" t="s">
        <v>225</v>
      </c>
      <c r="E470" s="5">
        <v>4</v>
      </c>
    </row>
    <row r="471" spans="1:5" ht="21" customHeight="1" x14ac:dyDescent="0.3">
      <c r="A471" s="1" t="s">
        <v>240</v>
      </c>
      <c r="B471" s="52" t="s">
        <v>369</v>
      </c>
      <c r="C471" s="5" t="s">
        <v>372</v>
      </c>
      <c r="D471" s="1" t="s">
        <v>225</v>
      </c>
      <c r="E471" s="5">
        <v>5</v>
      </c>
    </row>
    <row r="472" spans="1:5" ht="21" customHeight="1" x14ac:dyDescent="0.3">
      <c r="A472" s="1" t="s">
        <v>292</v>
      </c>
      <c r="B472" s="52" t="s">
        <v>369</v>
      </c>
      <c r="C472" s="18" t="s">
        <v>373</v>
      </c>
      <c r="D472" s="1" t="s">
        <v>226</v>
      </c>
      <c r="E472" s="18">
        <v>1</v>
      </c>
    </row>
    <row r="473" spans="1:5" ht="21" customHeight="1" x14ac:dyDescent="0.3">
      <c r="A473" s="1" t="s">
        <v>292</v>
      </c>
      <c r="B473" s="52" t="s">
        <v>369</v>
      </c>
      <c r="C473" s="18" t="s">
        <v>373</v>
      </c>
      <c r="D473" s="1" t="s">
        <v>226</v>
      </c>
      <c r="E473" s="18">
        <v>2</v>
      </c>
    </row>
    <row r="474" spans="1:5" ht="21" customHeight="1" x14ac:dyDescent="0.3">
      <c r="A474" s="1" t="s">
        <v>292</v>
      </c>
      <c r="B474" s="52" t="s">
        <v>369</v>
      </c>
      <c r="C474" s="18" t="s">
        <v>373</v>
      </c>
      <c r="D474" s="1" t="s">
        <v>226</v>
      </c>
      <c r="E474" s="18">
        <v>3</v>
      </c>
    </row>
    <row r="475" spans="1:5" ht="21" customHeight="1" x14ac:dyDescent="0.3">
      <c r="A475" s="1" t="s">
        <v>292</v>
      </c>
      <c r="B475" s="52" t="s">
        <v>369</v>
      </c>
      <c r="C475" s="18" t="s">
        <v>373</v>
      </c>
      <c r="D475" s="1" t="s">
        <v>226</v>
      </c>
      <c r="E475" s="18">
        <v>4</v>
      </c>
    </row>
    <row r="476" spans="1:5" ht="21" customHeight="1" x14ac:dyDescent="0.3">
      <c r="A476" s="1" t="s">
        <v>292</v>
      </c>
      <c r="B476" s="52" t="s">
        <v>369</v>
      </c>
      <c r="C476" s="18" t="s">
        <v>373</v>
      </c>
      <c r="D476" s="1" t="s">
        <v>226</v>
      </c>
      <c r="E476" s="18">
        <v>5</v>
      </c>
    </row>
    <row r="477" spans="1:5" ht="21" customHeight="1" x14ac:dyDescent="0.3">
      <c r="A477" s="1" t="s">
        <v>292</v>
      </c>
      <c r="B477" s="52" t="s">
        <v>369</v>
      </c>
      <c r="C477" s="18" t="s">
        <v>373</v>
      </c>
      <c r="D477" s="1" t="s">
        <v>226</v>
      </c>
      <c r="E477" s="18">
        <v>6</v>
      </c>
    </row>
    <row r="478" spans="1:5" ht="21" customHeight="1" x14ac:dyDescent="0.3">
      <c r="A478" s="1" t="s">
        <v>292</v>
      </c>
      <c r="B478" s="52" t="s">
        <v>369</v>
      </c>
      <c r="C478" s="18" t="s">
        <v>373</v>
      </c>
      <c r="D478" s="1" t="s">
        <v>226</v>
      </c>
      <c r="E478" s="18">
        <v>7</v>
      </c>
    </row>
    <row r="479" spans="1:5" ht="21" customHeight="1" x14ac:dyDescent="0.3">
      <c r="A479" s="1" t="s">
        <v>292</v>
      </c>
      <c r="B479" s="52" t="s">
        <v>369</v>
      </c>
      <c r="C479" s="18" t="s">
        <v>373</v>
      </c>
      <c r="D479" s="1" t="s">
        <v>226</v>
      </c>
      <c r="E479" s="18">
        <v>8</v>
      </c>
    </row>
    <row r="480" spans="1:5" ht="21" customHeight="1" x14ac:dyDescent="0.3">
      <c r="A480" s="1" t="s">
        <v>249</v>
      </c>
      <c r="B480" s="52" t="s">
        <v>374</v>
      </c>
      <c r="C480" s="5" t="s">
        <v>375</v>
      </c>
      <c r="D480" s="1" t="s">
        <v>224</v>
      </c>
      <c r="E480" s="5">
        <v>1</v>
      </c>
    </row>
    <row r="481" spans="1:5" ht="21" customHeight="1" x14ac:dyDescent="0.3">
      <c r="A481" s="1" t="s">
        <v>249</v>
      </c>
      <c r="B481" s="52" t="s">
        <v>374</v>
      </c>
      <c r="C481" s="5" t="s">
        <v>375</v>
      </c>
      <c r="D481" s="1" t="s">
        <v>224</v>
      </c>
      <c r="E481" s="5">
        <v>2</v>
      </c>
    </row>
    <row r="482" spans="1:5" ht="21" customHeight="1" x14ac:dyDescent="0.3">
      <c r="A482" s="1" t="s">
        <v>249</v>
      </c>
      <c r="B482" s="52" t="s">
        <v>374</v>
      </c>
      <c r="C482" s="5" t="s">
        <v>375</v>
      </c>
      <c r="D482" s="1" t="s">
        <v>224</v>
      </c>
      <c r="E482" s="5">
        <v>3</v>
      </c>
    </row>
    <row r="483" spans="1:5" ht="21" customHeight="1" x14ac:dyDescent="0.3">
      <c r="A483" s="1" t="s">
        <v>249</v>
      </c>
      <c r="B483" s="52" t="s">
        <v>374</v>
      </c>
      <c r="C483" s="5" t="s">
        <v>375</v>
      </c>
      <c r="D483" s="1" t="s">
        <v>224</v>
      </c>
      <c r="E483" s="5">
        <v>4</v>
      </c>
    </row>
    <row r="484" spans="1:5" ht="21" customHeight="1" x14ac:dyDescent="0.3">
      <c r="A484" s="1" t="s">
        <v>249</v>
      </c>
      <c r="B484" s="52" t="s">
        <v>374</v>
      </c>
      <c r="C484" s="5" t="s">
        <v>375</v>
      </c>
      <c r="D484" s="1" t="s">
        <v>224</v>
      </c>
      <c r="E484" s="5">
        <v>5</v>
      </c>
    </row>
    <row r="485" spans="1:5" ht="21" customHeight="1" x14ac:dyDescent="0.3">
      <c r="A485" s="1" t="s">
        <v>292</v>
      </c>
      <c r="B485" s="52" t="s">
        <v>374</v>
      </c>
      <c r="C485" s="18" t="s">
        <v>376</v>
      </c>
      <c r="D485" s="1" t="s">
        <v>226</v>
      </c>
      <c r="E485" s="18">
        <v>1</v>
      </c>
    </row>
    <row r="486" spans="1:5" ht="21" customHeight="1" x14ac:dyDescent="0.3">
      <c r="A486" s="1" t="s">
        <v>292</v>
      </c>
      <c r="B486" s="52" t="s">
        <v>374</v>
      </c>
      <c r="C486" s="18" t="s">
        <v>376</v>
      </c>
      <c r="D486" s="1" t="s">
        <v>226</v>
      </c>
      <c r="E486" s="18">
        <v>2</v>
      </c>
    </row>
    <row r="487" spans="1:5" ht="21" customHeight="1" x14ac:dyDescent="0.3">
      <c r="A487" s="1" t="s">
        <v>292</v>
      </c>
      <c r="B487" s="52" t="s">
        <v>374</v>
      </c>
      <c r="C487" s="18" t="s">
        <v>376</v>
      </c>
      <c r="D487" s="1" t="s">
        <v>226</v>
      </c>
      <c r="E487" s="18">
        <v>3</v>
      </c>
    </row>
    <row r="488" spans="1:5" ht="21" customHeight="1" x14ac:dyDescent="0.3">
      <c r="A488" s="1" t="s">
        <v>292</v>
      </c>
      <c r="B488" s="52" t="s">
        <v>374</v>
      </c>
      <c r="C488" s="18" t="s">
        <v>376</v>
      </c>
      <c r="D488" s="1" t="s">
        <v>226</v>
      </c>
      <c r="E488" s="18">
        <v>4</v>
      </c>
    </row>
    <row r="489" spans="1:5" ht="21" customHeight="1" x14ac:dyDescent="0.3">
      <c r="A489" s="1" t="s">
        <v>292</v>
      </c>
      <c r="B489" s="52" t="s">
        <v>374</v>
      </c>
      <c r="C489" s="18" t="s">
        <v>376</v>
      </c>
      <c r="D489" s="1" t="s">
        <v>226</v>
      </c>
      <c r="E489" s="18">
        <v>5</v>
      </c>
    </row>
    <row r="490" spans="1:5" ht="21" customHeight="1" x14ac:dyDescent="0.3">
      <c r="A490" s="1" t="s">
        <v>249</v>
      </c>
      <c r="B490" s="51" t="s">
        <v>377</v>
      </c>
      <c r="C490" s="5" t="s">
        <v>378</v>
      </c>
      <c r="D490" s="1" t="s">
        <v>224</v>
      </c>
      <c r="E490" s="5">
        <v>1</v>
      </c>
    </row>
    <row r="491" spans="1:5" ht="21" customHeight="1" x14ac:dyDescent="0.3">
      <c r="A491" s="1" t="s">
        <v>249</v>
      </c>
      <c r="B491" s="51" t="s">
        <v>377</v>
      </c>
      <c r="C491" s="5" t="s">
        <v>378</v>
      </c>
      <c r="D491" s="1" t="s">
        <v>224</v>
      </c>
      <c r="E491" s="5">
        <v>2</v>
      </c>
    </row>
    <row r="492" spans="1:5" ht="21" customHeight="1" x14ac:dyDescent="0.3">
      <c r="A492" s="1" t="s">
        <v>249</v>
      </c>
      <c r="B492" s="51" t="s">
        <v>377</v>
      </c>
      <c r="C492" s="5" t="s">
        <v>378</v>
      </c>
      <c r="D492" s="1" t="s">
        <v>224</v>
      </c>
      <c r="E492" s="5">
        <v>3</v>
      </c>
    </row>
    <row r="493" spans="1:5" ht="21" customHeight="1" x14ac:dyDescent="0.3">
      <c r="A493" s="1" t="s">
        <v>249</v>
      </c>
      <c r="B493" s="51" t="s">
        <v>377</v>
      </c>
      <c r="C493" s="5" t="s">
        <v>378</v>
      </c>
      <c r="D493" s="1" t="s">
        <v>224</v>
      </c>
      <c r="E493" s="5">
        <v>4</v>
      </c>
    </row>
    <row r="494" spans="1:5" ht="21" customHeight="1" x14ac:dyDescent="0.3">
      <c r="A494" s="1" t="s">
        <v>249</v>
      </c>
      <c r="B494" s="51" t="s">
        <v>377</v>
      </c>
      <c r="C494" s="5" t="s">
        <v>378</v>
      </c>
      <c r="D494" s="1" t="s">
        <v>224</v>
      </c>
      <c r="E494" s="5">
        <v>5</v>
      </c>
    </row>
    <row r="495" spans="1:5" ht="21" customHeight="1" x14ac:dyDescent="0.3">
      <c r="A495" s="1" t="s">
        <v>292</v>
      </c>
      <c r="B495" s="51" t="s">
        <v>377</v>
      </c>
      <c r="C495" s="18" t="s">
        <v>379</v>
      </c>
      <c r="D495" s="1" t="s">
        <v>226</v>
      </c>
      <c r="E495" s="18">
        <v>1</v>
      </c>
    </row>
    <row r="496" spans="1:5" ht="21" customHeight="1" x14ac:dyDescent="0.3">
      <c r="A496" s="1" t="s">
        <v>292</v>
      </c>
      <c r="B496" s="51" t="s">
        <v>377</v>
      </c>
      <c r="C496" s="18" t="s">
        <v>379</v>
      </c>
      <c r="D496" s="1" t="s">
        <v>226</v>
      </c>
      <c r="E496" s="18">
        <v>2</v>
      </c>
    </row>
    <row r="497" spans="1:5" ht="21" customHeight="1" x14ac:dyDescent="0.3">
      <c r="A497" s="1" t="s">
        <v>292</v>
      </c>
      <c r="B497" s="51" t="s">
        <v>377</v>
      </c>
      <c r="C497" s="18" t="s">
        <v>379</v>
      </c>
      <c r="D497" s="1" t="s">
        <v>226</v>
      </c>
      <c r="E497" s="18">
        <v>3</v>
      </c>
    </row>
    <row r="498" spans="1:5" ht="21" customHeight="1" x14ac:dyDescent="0.3">
      <c r="A498" s="1" t="s">
        <v>292</v>
      </c>
      <c r="B498" s="51" t="s">
        <v>377</v>
      </c>
      <c r="C498" s="18" t="s">
        <v>379</v>
      </c>
      <c r="D498" s="1" t="s">
        <v>226</v>
      </c>
      <c r="E498" s="18">
        <v>4</v>
      </c>
    </row>
    <row r="499" spans="1:5" ht="21" customHeight="1" x14ac:dyDescent="0.3">
      <c r="A499" s="1" t="s">
        <v>292</v>
      </c>
      <c r="B499" s="51" t="s">
        <v>377</v>
      </c>
      <c r="C499" s="18" t="s">
        <v>379</v>
      </c>
      <c r="D499" s="1" t="s">
        <v>226</v>
      </c>
      <c r="E499" s="18">
        <v>5</v>
      </c>
    </row>
    <row r="500" spans="1:5" ht="21" customHeight="1" x14ac:dyDescent="0.3">
      <c r="A500" s="1" t="s">
        <v>249</v>
      </c>
      <c r="B500" s="52" t="s">
        <v>380</v>
      </c>
      <c r="C500" s="5" t="s">
        <v>381</v>
      </c>
      <c r="D500" s="1" t="s">
        <v>224</v>
      </c>
      <c r="E500" s="5">
        <v>1</v>
      </c>
    </row>
    <row r="501" spans="1:5" ht="21" customHeight="1" x14ac:dyDescent="0.3">
      <c r="A501" s="1" t="s">
        <v>249</v>
      </c>
      <c r="B501" s="52" t="s">
        <v>380</v>
      </c>
      <c r="C501" s="5" t="s">
        <v>381</v>
      </c>
      <c r="D501" s="1" t="s">
        <v>224</v>
      </c>
      <c r="E501" s="5">
        <v>2</v>
      </c>
    </row>
    <row r="502" spans="1:5" ht="21" customHeight="1" x14ac:dyDescent="0.3">
      <c r="A502" s="1" t="s">
        <v>249</v>
      </c>
      <c r="B502" s="52" t="s">
        <v>380</v>
      </c>
      <c r="C502" s="5" t="s">
        <v>381</v>
      </c>
      <c r="D502" s="1" t="s">
        <v>224</v>
      </c>
      <c r="E502" s="5">
        <v>3</v>
      </c>
    </row>
    <row r="503" spans="1:5" ht="21" customHeight="1" x14ac:dyDescent="0.3">
      <c r="A503" s="1" t="s">
        <v>249</v>
      </c>
      <c r="B503" s="52" t="s">
        <v>380</v>
      </c>
      <c r="C503" s="5" t="s">
        <v>381</v>
      </c>
      <c r="D503" s="1" t="s">
        <v>224</v>
      </c>
      <c r="E503" s="5">
        <v>4</v>
      </c>
    </row>
    <row r="504" spans="1:5" ht="21" customHeight="1" x14ac:dyDescent="0.3">
      <c r="A504" s="1" t="s">
        <v>249</v>
      </c>
      <c r="B504" s="52" t="s">
        <v>380</v>
      </c>
      <c r="C504" s="5" t="s">
        <v>381</v>
      </c>
      <c r="D504" s="1" t="s">
        <v>224</v>
      </c>
      <c r="E504" s="5">
        <v>5</v>
      </c>
    </row>
    <row r="505" spans="1:5" ht="21" customHeight="1" x14ac:dyDescent="0.3">
      <c r="A505" s="1" t="s">
        <v>292</v>
      </c>
      <c r="B505" s="52" t="s">
        <v>380</v>
      </c>
      <c r="C505" s="18" t="s">
        <v>382</v>
      </c>
      <c r="D505" s="1" t="s">
        <v>226</v>
      </c>
      <c r="E505" s="18">
        <v>1</v>
      </c>
    </row>
    <row r="506" spans="1:5" ht="21" customHeight="1" x14ac:dyDescent="0.3">
      <c r="A506" s="1" t="s">
        <v>292</v>
      </c>
      <c r="B506" s="52" t="s">
        <v>380</v>
      </c>
      <c r="C506" s="18" t="s">
        <v>382</v>
      </c>
      <c r="D506" s="1" t="s">
        <v>226</v>
      </c>
      <c r="E506" s="18">
        <v>2</v>
      </c>
    </row>
    <row r="507" spans="1:5" ht="21" customHeight="1" x14ac:dyDescent="0.3">
      <c r="A507" s="1" t="s">
        <v>292</v>
      </c>
      <c r="B507" s="52" t="s">
        <v>380</v>
      </c>
      <c r="C507" s="18" t="s">
        <v>382</v>
      </c>
      <c r="D507" s="1" t="s">
        <v>226</v>
      </c>
      <c r="E507" s="18">
        <v>3</v>
      </c>
    </row>
    <row r="508" spans="1:5" ht="21" customHeight="1" x14ac:dyDescent="0.3">
      <c r="A508" s="1" t="s">
        <v>292</v>
      </c>
      <c r="B508" s="52" t="s">
        <v>380</v>
      </c>
      <c r="C508" s="18" t="s">
        <v>382</v>
      </c>
      <c r="D508" s="1" t="s">
        <v>226</v>
      </c>
      <c r="E508" s="18">
        <v>4</v>
      </c>
    </row>
    <row r="509" spans="1:5" ht="21" customHeight="1" x14ac:dyDescent="0.3">
      <c r="A509" s="1" t="s">
        <v>292</v>
      </c>
      <c r="B509" s="52" t="s">
        <v>380</v>
      </c>
      <c r="C509" s="18" t="s">
        <v>382</v>
      </c>
      <c r="D509" s="1" t="s">
        <v>226</v>
      </c>
      <c r="E509" s="18">
        <v>5</v>
      </c>
    </row>
    <row r="510" spans="1:5" ht="21" customHeight="1" x14ac:dyDescent="0.3">
      <c r="A510" s="1" t="s">
        <v>249</v>
      </c>
      <c r="B510" s="51" t="s">
        <v>383</v>
      </c>
      <c r="C510" s="5" t="s">
        <v>384</v>
      </c>
      <c r="D510" s="1" t="s">
        <v>224</v>
      </c>
      <c r="E510" s="5">
        <v>1</v>
      </c>
    </row>
    <row r="511" spans="1:5" ht="21" customHeight="1" x14ac:dyDescent="0.3">
      <c r="A511" s="1" t="s">
        <v>249</v>
      </c>
      <c r="B511" s="51" t="s">
        <v>383</v>
      </c>
      <c r="C511" s="5" t="s">
        <v>384</v>
      </c>
      <c r="D511" s="1" t="s">
        <v>224</v>
      </c>
      <c r="E511" s="5">
        <v>2</v>
      </c>
    </row>
    <row r="512" spans="1:5" ht="21" customHeight="1" x14ac:dyDescent="0.3">
      <c r="A512" s="1" t="s">
        <v>249</v>
      </c>
      <c r="B512" s="51" t="s">
        <v>383</v>
      </c>
      <c r="C512" s="5" t="s">
        <v>384</v>
      </c>
      <c r="D512" s="1" t="s">
        <v>224</v>
      </c>
      <c r="E512" s="5">
        <v>3</v>
      </c>
    </row>
    <row r="513" spans="1:5" ht="21" customHeight="1" x14ac:dyDescent="0.3">
      <c r="A513" s="1" t="s">
        <v>249</v>
      </c>
      <c r="B513" s="51" t="s">
        <v>383</v>
      </c>
      <c r="C513" s="5" t="s">
        <v>384</v>
      </c>
      <c r="D513" s="1" t="s">
        <v>224</v>
      </c>
      <c r="E513" s="5">
        <v>4</v>
      </c>
    </row>
    <row r="514" spans="1:5" ht="21" customHeight="1" x14ac:dyDescent="0.3">
      <c r="A514" s="1" t="s">
        <v>249</v>
      </c>
      <c r="B514" s="51" t="s">
        <v>383</v>
      </c>
      <c r="C514" s="5" t="s">
        <v>384</v>
      </c>
      <c r="D514" s="1" t="s">
        <v>224</v>
      </c>
      <c r="E514" s="5">
        <v>5</v>
      </c>
    </row>
    <row r="515" spans="1:5" ht="21" customHeight="1" x14ac:dyDescent="0.3">
      <c r="A515" s="1" t="s">
        <v>292</v>
      </c>
      <c r="B515" s="51" t="s">
        <v>383</v>
      </c>
      <c r="C515" s="18" t="s">
        <v>385</v>
      </c>
      <c r="D515" s="1" t="s">
        <v>226</v>
      </c>
      <c r="E515" s="18">
        <v>1</v>
      </c>
    </row>
    <row r="516" spans="1:5" ht="21" customHeight="1" x14ac:dyDescent="0.3">
      <c r="A516" s="1" t="s">
        <v>292</v>
      </c>
      <c r="B516" s="51" t="s">
        <v>383</v>
      </c>
      <c r="C516" s="18" t="s">
        <v>385</v>
      </c>
      <c r="D516" s="1" t="s">
        <v>226</v>
      </c>
      <c r="E516" s="18">
        <v>2</v>
      </c>
    </row>
    <row r="517" spans="1:5" ht="21" customHeight="1" x14ac:dyDescent="0.3">
      <c r="A517" s="1" t="s">
        <v>292</v>
      </c>
      <c r="B517" s="51" t="s">
        <v>383</v>
      </c>
      <c r="C517" s="18" t="s">
        <v>385</v>
      </c>
      <c r="D517" s="1" t="s">
        <v>226</v>
      </c>
      <c r="E517" s="18">
        <v>3</v>
      </c>
    </row>
    <row r="518" spans="1:5" ht="21" customHeight="1" x14ac:dyDescent="0.3">
      <c r="A518" s="1" t="s">
        <v>292</v>
      </c>
      <c r="B518" s="51" t="s">
        <v>383</v>
      </c>
      <c r="C518" s="18" t="s">
        <v>385</v>
      </c>
      <c r="D518" s="1" t="s">
        <v>226</v>
      </c>
      <c r="E518" s="18">
        <v>4</v>
      </c>
    </row>
    <row r="519" spans="1:5" ht="21" customHeight="1" x14ac:dyDescent="0.3">
      <c r="A519" s="1" t="s">
        <v>292</v>
      </c>
      <c r="B519" s="51" t="s">
        <v>383</v>
      </c>
      <c r="C519" s="18" t="s">
        <v>385</v>
      </c>
      <c r="D519" s="1" t="s">
        <v>226</v>
      </c>
      <c r="E519" s="18">
        <v>5</v>
      </c>
    </row>
    <row r="520" spans="1:5" ht="21" customHeight="1" x14ac:dyDescent="0.3">
      <c r="A520" s="1" t="s">
        <v>292</v>
      </c>
      <c r="B520" s="51" t="s">
        <v>383</v>
      </c>
      <c r="C520" s="18" t="s">
        <v>385</v>
      </c>
      <c r="D520" s="1" t="s">
        <v>226</v>
      </c>
      <c r="E520" s="18">
        <v>6</v>
      </c>
    </row>
    <row r="521" spans="1:5" ht="21" customHeight="1" x14ac:dyDescent="0.3">
      <c r="A521" s="1" t="s">
        <v>292</v>
      </c>
      <c r="B521" s="51" t="s">
        <v>383</v>
      </c>
      <c r="C521" s="18" t="s">
        <v>385</v>
      </c>
      <c r="D521" s="1" t="s">
        <v>226</v>
      </c>
      <c r="E521" s="18">
        <v>7</v>
      </c>
    </row>
    <row r="522" spans="1:5" ht="21" customHeight="1" x14ac:dyDescent="0.3">
      <c r="A522" s="1" t="s">
        <v>292</v>
      </c>
      <c r="B522" s="51" t="s">
        <v>383</v>
      </c>
      <c r="C522" s="18" t="s">
        <v>385</v>
      </c>
      <c r="D522" s="1" t="s">
        <v>226</v>
      </c>
      <c r="E522" s="18">
        <v>8</v>
      </c>
    </row>
    <row r="523" spans="1:5" ht="21" customHeight="1" x14ac:dyDescent="0.3">
      <c r="A523" s="1" t="s">
        <v>292</v>
      </c>
      <c r="B523" s="51" t="s">
        <v>383</v>
      </c>
      <c r="C523" s="5" t="s">
        <v>385</v>
      </c>
      <c r="D523" s="1" t="s">
        <v>226</v>
      </c>
      <c r="E523" s="5">
        <v>1</v>
      </c>
    </row>
    <row r="524" spans="1:5" ht="21" customHeight="1" x14ac:dyDescent="0.3">
      <c r="A524" s="1" t="s">
        <v>292</v>
      </c>
      <c r="B524" s="51" t="s">
        <v>383</v>
      </c>
      <c r="C524" s="5" t="s">
        <v>385</v>
      </c>
      <c r="D524" s="1" t="s">
        <v>226</v>
      </c>
      <c r="E524" s="5">
        <v>2</v>
      </c>
    </row>
    <row r="525" spans="1:5" ht="21" customHeight="1" x14ac:dyDescent="0.3">
      <c r="A525" s="1" t="s">
        <v>292</v>
      </c>
      <c r="B525" s="51" t="s">
        <v>383</v>
      </c>
      <c r="C525" s="5" t="s">
        <v>385</v>
      </c>
      <c r="D525" s="1" t="s">
        <v>226</v>
      </c>
      <c r="E525" s="5">
        <v>3</v>
      </c>
    </row>
    <row r="526" spans="1:5" ht="21" customHeight="1" x14ac:dyDescent="0.3">
      <c r="A526" s="1" t="s">
        <v>292</v>
      </c>
      <c r="B526" s="51" t="s">
        <v>383</v>
      </c>
      <c r="C526" s="5" t="s">
        <v>385</v>
      </c>
      <c r="D526" s="1" t="s">
        <v>226</v>
      </c>
      <c r="E526" s="5">
        <v>4</v>
      </c>
    </row>
    <row r="527" spans="1:5" ht="21" customHeight="1" x14ac:dyDescent="0.3">
      <c r="A527" s="1" t="s">
        <v>292</v>
      </c>
      <c r="B527" s="51" t="s">
        <v>383</v>
      </c>
      <c r="C527" s="5" t="s">
        <v>385</v>
      </c>
      <c r="D527" s="1" t="s">
        <v>226</v>
      </c>
      <c r="E527" s="5">
        <v>5</v>
      </c>
    </row>
    <row r="528" spans="1:5" ht="21" customHeight="1" x14ac:dyDescent="0.3">
      <c r="A528" s="1" t="s">
        <v>292</v>
      </c>
      <c r="B528" s="51" t="s">
        <v>383</v>
      </c>
      <c r="C528" s="5" t="s">
        <v>385</v>
      </c>
      <c r="D528" s="1" t="s">
        <v>226</v>
      </c>
      <c r="E528" s="5">
        <v>6</v>
      </c>
    </row>
    <row r="529" spans="1:5" ht="21" customHeight="1" x14ac:dyDescent="0.3">
      <c r="A529" s="1" t="s">
        <v>292</v>
      </c>
      <c r="B529" s="51" t="s">
        <v>383</v>
      </c>
      <c r="C529" s="5" t="s">
        <v>385</v>
      </c>
      <c r="D529" s="1" t="s">
        <v>226</v>
      </c>
      <c r="E529" s="5">
        <v>7</v>
      </c>
    </row>
    <row r="530" spans="1:5" ht="21" customHeight="1" x14ac:dyDescent="0.3">
      <c r="A530" s="1" t="s">
        <v>292</v>
      </c>
      <c r="B530" s="51" t="s">
        <v>383</v>
      </c>
      <c r="C530" s="5" t="s">
        <v>385</v>
      </c>
      <c r="D530" s="1" t="s">
        <v>226</v>
      </c>
      <c r="E530" s="5">
        <v>8</v>
      </c>
    </row>
    <row r="531" spans="1:5" ht="21" customHeight="1" x14ac:dyDescent="0.3">
      <c r="A531" s="1" t="s">
        <v>249</v>
      </c>
      <c r="B531" s="52" t="s">
        <v>386</v>
      </c>
      <c r="C531" s="18" t="s">
        <v>387</v>
      </c>
      <c r="D531" s="1" t="s">
        <v>224</v>
      </c>
      <c r="E531" s="18">
        <v>1</v>
      </c>
    </row>
    <row r="532" spans="1:5" ht="21" customHeight="1" x14ac:dyDescent="0.3">
      <c r="A532" s="1" t="s">
        <v>249</v>
      </c>
      <c r="B532" s="52" t="s">
        <v>386</v>
      </c>
      <c r="C532" s="18" t="s">
        <v>387</v>
      </c>
      <c r="D532" s="1" t="s">
        <v>224</v>
      </c>
      <c r="E532" s="18">
        <v>2</v>
      </c>
    </row>
    <row r="533" spans="1:5" ht="21" customHeight="1" x14ac:dyDescent="0.3">
      <c r="A533" s="1" t="s">
        <v>249</v>
      </c>
      <c r="B533" s="52" t="s">
        <v>386</v>
      </c>
      <c r="C533" s="18" t="s">
        <v>387</v>
      </c>
      <c r="D533" s="1" t="s">
        <v>224</v>
      </c>
      <c r="E533" s="18">
        <v>3</v>
      </c>
    </row>
    <row r="534" spans="1:5" ht="21" customHeight="1" x14ac:dyDescent="0.3">
      <c r="A534" s="1" t="s">
        <v>249</v>
      </c>
      <c r="B534" s="52" t="s">
        <v>386</v>
      </c>
      <c r="C534" s="18" t="s">
        <v>387</v>
      </c>
      <c r="D534" s="1" t="s">
        <v>224</v>
      </c>
      <c r="E534" s="18">
        <v>4</v>
      </c>
    </row>
    <row r="535" spans="1:5" ht="21" customHeight="1" x14ac:dyDescent="0.3">
      <c r="A535" s="1" t="s">
        <v>249</v>
      </c>
      <c r="B535" s="52" t="s">
        <v>386</v>
      </c>
      <c r="C535" s="18" t="s">
        <v>387</v>
      </c>
      <c r="D535" s="1" t="s">
        <v>224</v>
      </c>
      <c r="E535" s="18">
        <v>5</v>
      </c>
    </row>
    <row r="536" spans="1:5" ht="21" customHeight="1" x14ac:dyDescent="0.3">
      <c r="A536" s="1" t="s">
        <v>249</v>
      </c>
      <c r="B536" s="52" t="s">
        <v>386</v>
      </c>
      <c r="C536" s="5" t="s">
        <v>387</v>
      </c>
      <c r="D536" s="1" t="s">
        <v>224</v>
      </c>
      <c r="E536" s="5">
        <v>1</v>
      </c>
    </row>
    <row r="537" spans="1:5" ht="21" customHeight="1" x14ac:dyDescent="0.3">
      <c r="A537" s="1" t="s">
        <v>249</v>
      </c>
      <c r="B537" s="52" t="s">
        <v>386</v>
      </c>
      <c r="C537" s="5" t="s">
        <v>387</v>
      </c>
      <c r="D537" s="1" t="s">
        <v>224</v>
      </c>
      <c r="E537" s="5">
        <v>2</v>
      </c>
    </row>
    <row r="538" spans="1:5" ht="21" customHeight="1" x14ac:dyDescent="0.3">
      <c r="A538" s="1" t="s">
        <v>249</v>
      </c>
      <c r="B538" s="52" t="s">
        <v>386</v>
      </c>
      <c r="C538" s="5" t="s">
        <v>387</v>
      </c>
      <c r="D538" s="1" t="s">
        <v>224</v>
      </c>
      <c r="E538" s="5">
        <v>3</v>
      </c>
    </row>
    <row r="539" spans="1:5" ht="21" customHeight="1" x14ac:dyDescent="0.3">
      <c r="A539" s="1" t="s">
        <v>249</v>
      </c>
      <c r="B539" s="52" t="s">
        <v>386</v>
      </c>
      <c r="C539" s="5" t="s">
        <v>387</v>
      </c>
      <c r="D539" s="1" t="s">
        <v>224</v>
      </c>
      <c r="E539" s="5">
        <v>4</v>
      </c>
    </row>
    <row r="540" spans="1:5" ht="21" customHeight="1" x14ac:dyDescent="0.3">
      <c r="A540" s="1" t="s">
        <v>249</v>
      </c>
      <c r="B540" s="52" t="s">
        <v>386</v>
      </c>
      <c r="C540" s="5" t="s">
        <v>387</v>
      </c>
      <c r="D540" s="1" t="s">
        <v>224</v>
      </c>
      <c r="E540" s="5">
        <v>5</v>
      </c>
    </row>
    <row r="541" spans="1:5" ht="21" customHeight="1" x14ac:dyDescent="0.3">
      <c r="A541" s="1" t="s">
        <v>249</v>
      </c>
      <c r="B541" s="52" t="s">
        <v>386</v>
      </c>
      <c r="C541" s="18" t="s">
        <v>388</v>
      </c>
      <c r="D541" s="1" t="s">
        <v>257</v>
      </c>
      <c r="E541" s="18">
        <v>1</v>
      </c>
    </row>
    <row r="542" spans="1:5" ht="21" customHeight="1" x14ac:dyDescent="0.3">
      <c r="A542" s="1" t="s">
        <v>249</v>
      </c>
      <c r="B542" s="52" t="s">
        <v>386</v>
      </c>
      <c r="C542" s="18" t="s">
        <v>388</v>
      </c>
      <c r="D542" s="1" t="s">
        <v>257</v>
      </c>
      <c r="E542" s="18">
        <v>2</v>
      </c>
    </row>
    <row r="543" spans="1:5" ht="21" customHeight="1" x14ac:dyDescent="0.3">
      <c r="A543" s="1" t="s">
        <v>249</v>
      </c>
      <c r="B543" s="52" t="s">
        <v>386</v>
      </c>
      <c r="C543" s="18" t="s">
        <v>388</v>
      </c>
      <c r="D543" s="1" t="s">
        <v>257</v>
      </c>
      <c r="E543" s="18">
        <v>3</v>
      </c>
    </row>
    <row r="544" spans="1:5" ht="21" customHeight="1" x14ac:dyDescent="0.3">
      <c r="A544" s="1" t="s">
        <v>249</v>
      </c>
      <c r="B544" s="52" t="s">
        <v>386</v>
      </c>
      <c r="C544" s="18" t="s">
        <v>388</v>
      </c>
      <c r="D544" s="1" t="s">
        <v>257</v>
      </c>
      <c r="E544" s="18">
        <v>4</v>
      </c>
    </row>
    <row r="545" spans="1:5" ht="21" customHeight="1" x14ac:dyDescent="0.3">
      <c r="A545" s="1" t="s">
        <v>249</v>
      </c>
      <c r="B545" s="52" t="s">
        <v>386</v>
      </c>
      <c r="C545" s="18" t="s">
        <v>388</v>
      </c>
      <c r="D545" s="1" t="s">
        <v>257</v>
      </c>
      <c r="E545" s="18">
        <v>5</v>
      </c>
    </row>
    <row r="546" spans="1:5" ht="21" customHeight="1" x14ac:dyDescent="0.3">
      <c r="A546" s="1" t="s">
        <v>292</v>
      </c>
      <c r="B546" s="52" t="s">
        <v>386</v>
      </c>
      <c r="C546" s="5" t="s">
        <v>389</v>
      </c>
      <c r="D546" s="1" t="s">
        <v>226</v>
      </c>
      <c r="E546" s="5">
        <v>1</v>
      </c>
    </row>
    <row r="547" spans="1:5" ht="21" customHeight="1" x14ac:dyDescent="0.3">
      <c r="A547" s="1" t="s">
        <v>292</v>
      </c>
      <c r="B547" s="52" t="s">
        <v>386</v>
      </c>
      <c r="C547" s="5" t="s">
        <v>389</v>
      </c>
      <c r="D547" s="1" t="s">
        <v>226</v>
      </c>
      <c r="E547" s="5">
        <v>2</v>
      </c>
    </row>
    <row r="548" spans="1:5" ht="21" customHeight="1" x14ac:dyDescent="0.3">
      <c r="A548" s="1" t="s">
        <v>292</v>
      </c>
      <c r="B548" s="52" t="s">
        <v>386</v>
      </c>
      <c r="C548" s="5" t="s">
        <v>389</v>
      </c>
      <c r="D548" s="1" t="s">
        <v>226</v>
      </c>
      <c r="E548" s="5">
        <v>3</v>
      </c>
    </row>
    <row r="549" spans="1:5" ht="21" customHeight="1" x14ac:dyDescent="0.3">
      <c r="A549" s="1" t="s">
        <v>292</v>
      </c>
      <c r="B549" s="52" t="s">
        <v>386</v>
      </c>
      <c r="C549" s="5" t="s">
        <v>389</v>
      </c>
      <c r="D549" s="1" t="s">
        <v>226</v>
      </c>
      <c r="E549" s="5">
        <v>4</v>
      </c>
    </row>
    <row r="550" spans="1:5" ht="21" customHeight="1" x14ac:dyDescent="0.3">
      <c r="A550" s="1" t="s">
        <v>292</v>
      </c>
      <c r="B550" s="52" t="s">
        <v>386</v>
      </c>
      <c r="C550" s="5" t="s">
        <v>389</v>
      </c>
      <c r="D550" s="1" t="s">
        <v>226</v>
      </c>
      <c r="E550" s="5">
        <v>5</v>
      </c>
    </row>
    <row r="551" spans="1:5" ht="21" customHeight="1" x14ac:dyDescent="0.3">
      <c r="A551" s="1" t="s">
        <v>292</v>
      </c>
      <c r="B551" s="52" t="s">
        <v>386</v>
      </c>
      <c r="C551" s="5" t="s">
        <v>389</v>
      </c>
      <c r="D551" s="1" t="s">
        <v>226</v>
      </c>
      <c r="E551" s="5">
        <v>6</v>
      </c>
    </row>
    <row r="552" spans="1:5" ht="21" customHeight="1" x14ac:dyDescent="0.3">
      <c r="A552" s="1" t="s">
        <v>292</v>
      </c>
      <c r="B552" s="52" t="s">
        <v>386</v>
      </c>
      <c r="C552" s="5" t="s">
        <v>389</v>
      </c>
      <c r="D552" s="1" t="s">
        <v>226</v>
      </c>
      <c r="E552" s="5">
        <v>7</v>
      </c>
    </row>
    <row r="553" spans="1:5" ht="21" customHeight="1" x14ac:dyDescent="0.3">
      <c r="A553" s="1" t="s">
        <v>292</v>
      </c>
      <c r="B553" s="52" t="s">
        <v>386</v>
      </c>
      <c r="C553" s="5" t="s">
        <v>389</v>
      </c>
      <c r="D553" s="1" t="s">
        <v>226</v>
      </c>
      <c r="E553" s="5">
        <v>8</v>
      </c>
    </row>
    <row r="554" spans="1:5" ht="21" customHeight="1" x14ac:dyDescent="0.3">
      <c r="A554" s="1" t="s">
        <v>249</v>
      </c>
      <c r="B554" s="52" t="s">
        <v>390</v>
      </c>
      <c r="C554" s="18" t="s">
        <v>391</v>
      </c>
      <c r="D554" s="1" t="s">
        <v>224</v>
      </c>
      <c r="E554" s="18">
        <v>1</v>
      </c>
    </row>
    <row r="555" spans="1:5" ht="21" customHeight="1" x14ac:dyDescent="0.3">
      <c r="A555" s="1" t="s">
        <v>249</v>
      </c>
      <c r="B555" s="52" t="s">
        <v>390</v>
      </c>
      <c r="C555" s="18" t="s">
        <v>391</v>
      </c>
      <c r="D555" s="1" t="s">
        <v>224</v>
      </c>
      <c r="E555" s="18">
        <v>2</v>
      </c>
    </row>
    <row r="556" spans="1:5" ht="21" customHeight="1" x14ac:dyDescent="0.3">
      <c r="A556" s="1" t="s">
        <v>249</v>
      </c>
      <c r="B556" s="52" t="s">
        <v>390</v>
      </c>
      <c r="C556" s="18" t="s">
        <v>391</v>
      </c>
      <c r="D556" s="1" t="s">
        <v>224</v>
      </c>
      <c r="E556" s="18">
        <v>3</v>
      </c>
    </row>
    <row r="557" spans="1:5" ht="21" customHeight="1" x14ac:dyDescent="0.3">
      <c r="A557" s="1" t="s">
        <v>249</v>
      </c>
      <c r="B557" s="52" t="s">
        <v>390</v>
      </c>
      <c r="C557" s="18" t="s">
        <v>391</v>
      </c>
      <c r="D557" s="1" t="s">
        <v>224</v>
      </c>
      <c r="E557" s="18">
        <v>4</v>
      </c>
    </row>
    <row r="558" spans="1:5" ht="21" customHeight="1" x14ac:dyDescent="0.3">
      <c r="A558" s="1" t="s">
        <v>249</v>
      </c>
      <c r="B558" s="52" t="s">
        <v>390</v>
      </c>
      <c r="C558" s="18" t="s">
        <v>391</v>
      </c>
      <c r="D558" s="1" t="s">
        <v>224</v>
      </c>
      <c r="E558" s="18">
        <v>5</v>
      </c>
    </row>
    <row r="559" spans="1:5" ht="21" customHeight="1" x14ac:dyDescent="0.3">
      <c r="A559" s="1" t="s">
        <v>240</v>
      </c>
      <c r="B559" s="52" t="s">
        <v>392</v>
      </c>
      <c r="C559" s="5" t="s">
        <v>393</v>
      </c>
      <c r="D559" s="1" t="s">
        <v>224</v>
      </c>
      <c r="E559" s="5">
        <v>1</v>
      </c>
    </row>
    <row r="560" spans="1:5" ht="21" customHeight="1" x14ac:dyDescent="0.3">
      <c r="A560" s="1" t="s">
        <v>240</v>
      </c>
      <c r="B560" s="52" t="s">
        <v>392</v>
      </c>
      <c r="C560" s="5" t="s">
        <v>393</v>
      </c>
      <c r="D560" s="1" t="s">
        <v>224</v>
      </c>
      <c r="E560" s="5">
        <v>2</v>
      </c>
    </row>
    <row r="561" spans="1:5" ht="21" customHeight="1" x14ac:dyDescent="0.3">
      <c r="A561" s="1" t="s">
        <v>240</v>
      </c>
      <c r="B561" s="52" t="s">
        <v>392</v>
      </c>
      <c r="C561" s="5" t="s">
        <v>393</v>
      </c>
      <c r="D561" s="1" t="s">
        <v>224</v>
      </c>
      <c r="E561" s="5">
        <v>3</v>
      </c>
    </row>
    <row r="562" spans="1:5" ht="21" customHeight="1" x14ac:dyDescent="0.3">
      <c r="A562" s="1" t="s">
        <v>240</v>
      </c>
      <c r="B562" s="52" t="s">
        <v>392</v>
      </c>
      <c r="C562" s="5" t="s">
        <v>393</v>
      </c>
      <c r="D562" s="1" t="s">
        <v>224</v>
      </c>
      <c r="E562" s="5">
        <v>4</v>
      </c>
    </row>
    <row r="563" spans="1:5" ht="21" customHeight="1" x14ac:dyDescent="0.3">
      <c r="A563" s="1" t="s">
        <v>240</v>
      </c>
      <c r="B563" s="52" t="s">
        <v>392</v>
      </c>
      <c r="C563" s="5" t="s">
        <v>393</v>
      </c>
      <c r="D563" s="1" t="s">
        <v>224</v>
      </c>
      <c r="E563" s="5">
        <v>5</v>
      </c>
    </row>
    <row r="564" spans="1:5" ht="21" customHeight="1" x14ac:dyDescent="0.3">
      <c r="A564" s="1" t="s">
        <v>292</v>
      </c>
      <c r="B564" s="52" t="s">
        <v>392</v>
      </c>
      <c r="C564" s="18" t="s">
        <v>394</v>
      </c>
      <c r="D564" s="1" t="s">
        <v>226</v>
      </c>
      <c r="E564" s="18">
        <v>1</v>
      </c>
    </row>
    <row r="565" spans="1:5" ht="21" customHeight="1" x14ac:dyDescent="0.3">
      <c r="A565" s="1" t="s">
        <v>292</v>
      </c>
      <c r="B565" s="52" t="s">
        <v>392</v>
      </c>
      <c r="C565" s="18" t="s">
        <v>394</v>
      </c>
      <c r="D565" s="1" t="s">
        <v>226</v>
      </c>
      <c r="E565" s="18">
        <v>2</v>
      </c>
    </row>
    <row r="566" spans="1:5" ht="21" customHeight="1" x14ac:dyDescent="0.3">
      <c r="A566" s="1" t="s">
        <v>292</v>
      </c>
      <c r="B566" s="52" t="s">
        <v>392</v>
      </c>
      <c r="C566" s="18" t="s">
        <v>394</v>
      </c>
      <c r="D566" s="1" t="s">
        <v>226</v>
      </c>
      <c r="E566" s="18">
        <v>3</v>
      </c>
    </row>
    <row r="567" spans="1:5" ht="21" customHeight="1" x14ac:dyDescent="0.3">
      <c r="A567" s="1" t="s">
        <v>292</v>
      </c>
      <c r="B567" s="52" t="s">
        <v>392</v>
      </c>
      <c r="C567" s="18" t="s">
        <v>394</v>
      </c>
      <c r="D567" s="1" t="s">
        <v>226</v>
      </c>
      <c r="E567" s="18">
        <v>4</v>
      </c>
    </row>
    <row r="568" spans="1:5" ht="21" customHeight="1" x14ac:dyDescent="0.3">
      <c r="A568" s="1" t="s">
        <v>292</v>
      </c>
      <c r="B568" s="52" t="s">
        <v>392</v>
      </c>
      <c r="C568" s="18" t="s">
        <v>394</v>
      </c>
      <c r="D568" s="1" t="s">
        <v>226</v>
      </c>
      <c r="E568" s="18">
        <v>5</v>
      </c>
    </row>
    <row r="569" spans="1:5" ht="21" customHeight="1" x14ac:dyDescent="0.3">
      <c r="A569" s="1" t="s">
        <v>292</v>
      </c>
      <c r="B569" s="52" t="s">
        <v>392</v>
      </c>
      <c r="C569" s="18" t="s">
        <v>394</v>
      </c>
      <c r="D569" s="1" t="s">
        <v>226</v>
      </c>
      <c r="E569" s="18">
        <v>6</v>
      </c>
    </row>
    <row r="570" spans="1:5" ht="21" customHeight="1" x14ac:dyDescent="0.3">
      <c r="A570" s="1" t="s">
        <v>292</v>
      </c>
      <c r="B570" s="52" t="s">
        <v>392</v>
      </c>
      <c r="C570" s="18" t="s">
        <v>394</v>
      </c>
      <c r="D570" s="1" t="s">
        <v>226</v>
      </c>
      <c r="E570" s="18">
        <v>7</v>
      </c>
    </row>
    <row r="571" spans="1:5" ht="21" customHeight="1" x14ac:dyDescent="0.3">
      <c r="A571" s="1" t="s">
        <v>292</v>
      </c>
      <c r="B571" s="52" t="s">
        <v>392</v>
      </c>
      <c r="C571" s="18" t="s">
        <v>394</v>
      </c>
      <c r="D571" s="1" t="s">
        <v>226</v>
      </c>
      <c r="E571" s="18">
        <v>8</v>
      </c>
    </row>
    <row r="572" spans="1:5" ht="21" customHeight="1" x14ac:dyDescent="0.3">
      <c r="A572" s="1" t="s">
        <v>240</v>
      </c>
      <c r="B572" s="51" t="s">
        <v>395</v>
      </c>
      <c r="C572" s="5" t="s">
        <v>396</v>
      </c>
      <c r="D572" s="1" t="s">
        <v>224</v>
      </c>
      <c r="E572" s="5">
        <v>1</v>
      </c>
    </row>
    <row r="573" spans="1:5" ht="21" customHeight="1" x14ac:dyDescent="0.3">
      <c r="A573" s="1" t="s">
        <v>240</v>
      </c>
      <c r="B573" s="51" t="s">
        <v>395</v>
      </c>
      <c r="C573" s="5" t="s">
        <v>396</v>
      </c>
      <c r="D573" s="1" t="s">
        <v>224</v>
      </c>
      <c r="E573" s="5">
        <v>2</v>
      </c>
    </row>
    <row r="574" spans="1:5" ht="21" customHeight="1" x14ac:dyDescent="0.3">
      <c r="A574" s="1" t="s">
        <v>240</v>
      </c>
      <c r="B574" s="51" t="s">
        <v>395</v>
      </c>
      <c r="C574" s="5" t="s">
        <v>396</v>
      </c>
      <c r="D574" s="1" t="s">
        <v>224</v>
      </c>
      <c r="E574" s="5">
        <v>3</v>
      </c>
    </row>
    <row r="575" spans="1:5" ht="21" customHeight="1" x14ac:dyDescent="0.3">
      <c r="A575" s="1" t="s">
        <v>240</v>
      </c>
      <c r="B575" s="51" t="s">
        <v>395</v>
      </c>
      <c r="C575" s="5" t="s">
        <v>396</v>
      </c>
      <c r="D575" s="1" t="s">
        <v>224</v>
      </c>
      <c r="E575" s="5">
        <v>4</v>
      </c>
    </row>
    <row r="576" spans="1:5" ht="21" customHeight="1" x14ac:dyDescent="0.3">
      <c r="A576" s="1" t="s">
        <v>240</v>
      </c>
      <c r="B576" s="51" t="s">
        <v>395</v>
      </c>
      <c r="C576" s="5" t="s">
        <v>396</v>
      </c>
      <c r="D576" s="1" t="s">
        <v>224</v>
      </c>
      <c r="E576" s="5">
        <v>5</v>
      </c>
    </row>
    <row r="577" spans="1:5" ht="21" customHeight="1" x14ac:dyDescent="0.3">
      <c r="A577" s="1" t="s">
        <v>292</v>
      </c>
      <c r="B577" s="51" t="s">
        <v>395</v>
      </c>
      <c r="C577" s="18" t="s">
        <v>397</v>
      </c>
      <c r="D577" s="1" t="s">
        <v>226</v>
      </c>
      <c r="E577" s="18">
        <v>1</v>
      </c>
    </row>
    <row r="578" spans="1:5" ht="21" customHeight="1" x14ac:dyDescent="0.3">
      <c r="A578" s="1" t="s">
        <v>292</v>
      </c>
      <c r="B578" s="51" t="s">
        <v>395</v>
      </c>
      <c r="C578" s="18" t="s">
        <v>397</v>
      </c>
      <c r="D578" s="1" t="s">
        <v>226</v>
      </c>
      <c r="E578" s="18">
        <v>2</v>
      </c>
    </row>
    <row r="579" spans="1:5" ht="21" customHeight="1" x14ac:dyDescent="0.3">
      <c r="A579" s="1" t="s">
        <v>292</v>
      </c>
      <c r="B579" s="51" t="s">
        <v>395</v>
      </c>
      <c r="C579" s="18" t="s">
        <v>397</v>
      </c>
      <c r="D579" s="1" t="s">
        <v>226</v>
      </c>
      <c r="E579" s="18">
        <v>3</v>
      </c>
    </row>
    <row r="580" spans="1:5" ht="21" customHeight="1" x14ac:dyDescent="0.3">
      <c r="A580" s="1" t="s">
        <v>292</v>
      </c>
      <c r="B580" s="51" t="s">
        <v>395</v>
      </c>
      <c r="C580" s="18" t="s">
        <v>397</v>
      </c>
      <c r="D580" s="1" t="s">
        <v>226</v>
      </c>
      <c r="E580" s="18">
        <v>4</v>
      </c>
    </row>
    <row r="581" spans="1:5" ht="21" customHeight="1" x14ac:dyDescent="0.3">
      <c r="A581" s="1" t="s">
        <v>292</v>
      </c>
      <c r="B581" s="51" t="s">
        <v>395</v>
      </c>
      <c r="C581" s="18" t="s">
        <v>397</v>
      </c>
      <c r="D581" s="1" t="s">
        <v>226</v>
      </c>
      <c r="E581" s="18">
        <v>5</v>
      </c>
    </row>
    <row r="582" spans="1:5" ht="21" customHeight="1" x14ac:dyDescent="0.3">
      <c r="A582" s="1" t="s">
        <v>292</v>
      </c>
      <c r="B582" s="51" t="s">
        <v>395</v>
      </c>
      <c r="C582" s="18" t="s">
        <v>397</v>
      </c>
      <c r="D582" s="1" t="s">
        <v>226</v>
      </c>
      <c r="E582" s="18">
        <v>6</v>
      </c>
    </row>
    <row r="583" spans="1:5" ht="21" customHeight="1" x14ac:dyDescent="0.3">
      <c r="A583" s="1" t="s">
        <v>292</v>
      </c>
      <c r="B583" s="51" t="s">
        <v>395</v>
      </c>
      <c r="C583" s="18" t="s">
        <v>397</v>
      </c>
      <c r="D583" s="1" t="s">
        <v>226</v>
      </c>
      <c r="E583" s="18">
        <v>7</v>
      </c>
    </row>
    <row r="584" spans="1:5" ht="21" customHeight="1" x14ac:dyDescent="0.3">
      <c r="A584" s="1" t="s">
        <v>292</v>
      </c>
      <c r="B584" s="51" t="s">
        <v>395</v>
      </c>
      <c r="C584" s="18" t="s">
        <v>397</v>
      </c>
      <c r="D584" s="1" t="s">
        <v>226</v>
      </c>
      <c r="E584" s="18">
        <v>8</v>
      </c>
    </row>
    <row r="585" spans="1:5" ht="21" customHeight="1" x14ac:dyDescent="0.3">
      <c r="A585" s="1" t="s">
        <v>292</v>
      </c>
      <c r="B585" s="51" t="s">
        <v>395</v>
      </c>
      <c r="C585" s="5" t="s">
        <v>397</v>
      </c>
      <c r="D585" s="1" t="s">
        <v>226</v>
      </c>
      <c r="E585" s="5">
        <v>1</v>
      </c>
    </row>
    <row r="586" spans="1:5" ht="21" customHeight="1" x14ac:dyDescent="0.3">
      <c r="A586" s="1" t="s">
        <v>292</v>
      </c>
      <c r="B586" s="51" t="s">
        <v>395</v>
      </c>
      <c r="C586" s="5" t="s">
        <v>397</v>
      </c>
      <c r="D586" s="1" t="s">
        <v>226</v>
      </c>
      <c r="E586" s="5">
        <v>2</v>
      </c>
    </row>
    <row r="587" spans="1:5" ht="21" customHeight="1" x14ac:dyDescent="0.3">
      <c r="A587" s="1" t="s">
        <v>292</v>
      </c>
      <c r="B587" s="51" t="s">
        <v>395</v>
      </c>
      <c r="C587" s="5" t="s">
        <v>397</v>
      </c>
      <c r="D587" s="1" t="s">
        <v>226</v>
      </c>
      <c r="E587" s="5">
        <v>3</v>
      </c>
    </row>
    <row r="588" spans="1:5" ht="21" customHeight="1" x14ac:dyDescent="0.3">
      <c r="A588" s="1" t="s">
        <v>292</v>
      </c>
      <c r="B588" s="51" t="s">
        <v>395</v>
      </c>
      <c r="C588" s="5" t="s">
        <v>397</v>
      </c>
      <c r="D588" s="1" t="s">
        <v>226</v>
      </c>
      <c r="E588" s="5">
        <v>4</v>
      </c>
    </row>
    <row r="589" spans="1:5" ht="21" customHeight="1" x14ac:dyDescent="0.3">
      <c r="A589" s="1" t="s">
        <v>292</v>
      </c>
      <c r="B589" s="51" t="s">
        <v>395</v>
      </c>
      <c r="C589" s="5" t="s">
        <v>397</v>
      </c>
      <c r="D589" s="1" t="s">
        <v>226</v>
      </c>
      <c r="E589" s="5">
        <v>5</v>
      </c>
    </row>
    <row r="590" spans="1:5" ht="21" customHeight="1" x14ac:dyDescent="0.3">
      <c r="A590" s="1" t="s">
        <v>292</v>
      </c>
      <c r="B590" s="51" t="s">
        <v>395</v>
      </c>
      <c r="C590" s="5" t="s">
        <v>397</v>
      </c>
      <c r="D590" s="1" t="s">
        <v>226</v>
      </c>
      <c r="E590" s="5">
        <v>6</v>
      </c>
    </row>
    <row r="591" spans="1:5" ht="21" customHeight="1" x14ac:dyDescent="0.3">
      <c r="A591" s="1" t="s">
        <v>292</v>
      </c>
      <c r="B591" s="51" t="s">
        <v>395</v>
      </c>
      <c r="C591" s="5" t="s">
        <v>397</v>
      </c>
      <c r="D591" s="1" t="s">
        <v>226</v>
      </c>
      <c r="E591" s="5">
        <v>7</v>
      </c>
    </row>
    <row r="592" spans="1:5" ht="21" customHeight="1" x14ac:dyDescent="0.3">
      <c r="A592" s="1" t="s">
        <v>292</v>
      </c>
      <c r="B592" s="51" t="s">
        <v>395</v>
      </c>
      <c r="C592" s="5" t="s">
        <v>397</v>
      </c>
      <c r="D592" s="1" t="s">
        <v>226</v>
      </c>
      <c r="E592" s="5">
        <v>8</v>
      </c>
    </row>
    <row r="593" spans="1:5" ht="21" customHeight="1" x14ac:dyDescent="0.3">
      <c r="A593" s="1" t="s">
        <v>240</v>
      </c>
      <c r="B593" s="52" t="s">
        <v>398</v>
      </c>
      <c r="C593" s="18" t="s">
        <v>399</v>
      </c>
      <c r="D593" s="1" t="s">
        <v>224</v>
      </c>
      <c r="E593" s="18">
        <v>1</v>
      </c>
    </row>
    <row r="594" spans="1:5" ht="21" customHeight="1" x14ac:dyDescent="0.3">
      <c r="A594" s="1" t="s">
        <v>240</v>
      </c>
      <c r="B594" s="52" t="s">
        <v>398</v>
      </c>
      <c r="C594" s="18" t="s">
        <v>399</v>
      </c>
      <c r="D594" s="1" t="s">
        <v>224</v>
      </c>
      <c r="E594" s="18">
        <v>2</v>
      </c>
    </row>
    <row r="595" spans="1:5" ht="21" customHeight="1" x14ac:dyDescent="0.3">
      <c r="A595" s="1" t="s">
        <v>240</v>
      </c>
      <c r="B595" s="52" t="s">
        <v>398</v>
      </c>
      <c r="C595" s="18" t="s">
        <v>399</v>
      </c>
      <c r="D595" s="1" t="s">
        <v>224</v>
      </c>
      <c r="E595" s="18">
        <v>3</v>
      </c>
    </row>
    <row r="596" spans="1:5" ht="21" customHeight="1" x14ac:dyDescent="0.3">
      <c r="A596" s="1" t="s">
        <v>240</v>
      </c>
      <c r="B596" s="52" t="s">
        <v>398</v>
      </c>
      <c r="C596" s="18" t="s">
        <v>399</v>
      </c>
      <c r="D596" s="1" t="s">
        <v>224</v>
      </c>
      <c r="E596" s="18">
        <v>4</v>
      </c>
    </row>
    <row r="597" spans="1:5" ht="21" customHeight="1" x14ac:dyDescent="0.3">
      <c r="A597" s="1" t="s">
        <v>240</v>
      </c>
      <c r="B597" s="52" t="s">
        <v>398</v>
      </c>
      <c r="C597" s="18" t="s">
        <v>399</v>
      </c>
      <c r="D597" s="1" t="s">
        <v>224</v>
      </c>
      <c r="E597" s="18">
        <v>5</v>
      </c>
    </row>
    <row r="598" spans="1:5" ht="21" customHeight="1" x14ac:dyDescent="0.3">
      <c r="A598" s="1" t="s">
        <v>292</v>
      </c>
      <c r="B598" s="52" t="s">
        <v>398</v>
      </c>
      <c r="C598" s="5" t="s">
        <v>400</v>
      </c>
      <c r="D598" s="1" t="s">
        <v>226</v>
      </c>
      <c r="E598" s="5">
        <v>1</v>
      </c>
    </row>
    <row r="599" spans="1:5" ht="21" customHeight="1" x14ac:dyDescent="0.3">
      <c r="A599" s="1" t="s">
        <v>292</v>
      </c>
      <c r="B599" s="52" t="s">
        <v>398</v>
      </c>
      <c r="C599" s="5" t="s">
        <v>400</v>
      </c>
      <c r="D599" s="1" t="s">
        <v>226</v>
      </c>
      <c r="E599" s="5">
        <v>2</v>
      </c>
    </row>
    <row r="600" spans="1:5" ht="21" customHeight="1" x14ac:dyDescent="0.3">
      <c r="A600" s="1" t="s">
        <v>292</v>
      </c>
      <c r="B600" s="52" t="s">
        <v>398</v>
      </c>
      <c r="C600" s="5" t="s">
        <v>400</v>
      </c>
      <c r="D600" s="1" t="s">
        <v>226</v>
      </c>
      <c r="E600" s="5">
        <v>3</v>
      </c>
    </row>
    <row r="601" spans="1:5" ht="21" customHeight="1" x14ac:dyDescent="0.3">
      <c r="A601" s="1" t="s">
        <v>292</v>
      </c>
      <c r="B601" s="52" t="s">
        <v>398</v>
      </c>
      <c r="C601" s="5" t="s">
        <v>400</v>
      </c>
      <c r="D601" s="1" t="s">
        <v>226</v>
      </c>
      <c r="E601" s="5">
        <v>4</v>
      </c>
    </row>
    <row r="602" spans="1:5" ht="21" customHeight="1" x14ac:dyDescent="0.3">
      <c r="A602" s="1" t="s">
        <v>292</v>
      </c>
      <c r="B602" s="52" t="s">
        <v>398</v>
      </c>
      <c r="C602" s="5" t="s">
        <v>400</v>
      </c>
      <c r="D602" s="1" t="s">
        <v>226</v>
      </c>
      <c r="E602" s="5">
        <v>5</v>
      </c>
    </row>
    <row r="603" spans="1:5" ht="21" customHeight="1" x14ac:dyDescent="0.3">
      <c r="A603" s="1" t="s">
        <v>292</v>
      </c>
      <c r="B603" s="52" t="s">
        <v>398</v>
      </c>
      <c r="C603" s="5" t="s">
        <v>400</v>
      </c>
      <c r="D603" s="1" t="s">
        <v>226</v>
      </c>
      <c r="E603" s="5">
        <v>6</v>
      </c>
    </row>
    <row r="604" spans="1:5" ht="21" customHeight="1" x14ac:dyDescent="0.3">
      <c r="A604" s="1" t="s">
        <v>292</v>
      </c>
      <c r="B604" s="52" t="s">
        <v>398</v>
      </c>
      <c r="C604" s="5" t="s">
        <v>400</v>
      </c>
      <c r="D604" s="1" t="s">
        <v>226</v>
      </c>
      <c r="E604" s="5">
        <v>7</v>
      </c>
    </row>
    <row r="605" spans="1:5" ht="21" customHeight="1" x14ac:dyDescent="0.3">
      <c r="A605" s="1" t="s">
        <v>292</v>
      </c>
      <c r="B605" s="52" t="s">
        <v>398</v>
      </c>
      <c r="C605" s="5" t="s">
        <v>400</v>
      </c>
      <c r="D605" s="1" t="s">
        <v>226</v>
      </c>
      <c r="E605" s="5">
        <v>8</v>
      </c>
    </row>
    <row r="606" spans="1:5" ht="21" customHeight="1" x14ac:dyDescent="0.3">
      <c r="A606" s="1" t="s">
        <v>292</v>
      </c>
      <c r="B606" s="52" t="s">
        <v>398</v>
      </c>
      <c r="C606" s="18" t="s">
        <v>400</v>
      </c>
      <c r="D606" s="1" t="s">
        <v>226</v>
      </c>
      <c r="E606" s="18">
        <v>1</v>
      </c>
    </row>
    <row r="607" spans="1:5" ht="21" customHeight="1" x14ac:dyDescent="0.3">
      <c r="A607" s="1" t="s">
        <v>292</v>
      </c>
      <c r="B607" s="52" t="s">
        <v>398</v>
      </c>
      <c r="C607" s="18" t="s">
        <v>400</v>
      </c>
      <c r="D607" s="1" t="s">
        <v>226</v>
      </c>
      <c r="E607" s="18">
        <v>2</v>
      </c>
    </row>
    <row r="608" spans="1:5" ht="21" customHeight="1" x14ac:dyDescent="0.3">
      <c r="A608" s="1" t="s">
        <v>292</v>
      </c>
      <c r="B608" s="52" t="s">
        <v>398</v>
      </c>
      <c r="C608" s="18" t="s">
        <v>400</v>
      </c>
      <c r="D608" s="1" t="s">
        <v>226</v>
      </c>
      <c r="E608" s="18">
        <v>3</v>
      </c>
    </row>
    <row r="609" spans="1:5" ht="21" customHeight="1" x14ac:dyDescent="0.3">
      <c r="A609" s="1" t="s">
        <v>292</v>
      </c>
      <c r="B609" s="52" t="s">
        <v>398</v>
      </c>
      <c r="C609" s="18" t="s">
        <v>400</v>
      </c>
      <c r="D609" s="1" t="s">
        <v>226</v>
      </c>
      <c r="E609" s="18">
        <v>4</v>
      </c>
    </row>
    <row r="610" spans="1:5" ht="21" customHeight="1" x14ac:dyDescent="0.3">
      <c r="A610" s="1" t="s">
        <v>292</v>
      </c>
      <c r="B610" s="52" t="s">
        <v>398</v>
      </c>
      <c r="C610" s="18" t="s">
        <v>400</v>
      </c>
      <c r="D610" s="1" t="s">
        <v>226</v>
      </c>
      <c r="E610" s="18">
        <v>5</v>
      </c>
    </row>
    <row r="611" spans="1:5" ht="21" customHeight="1" x14ac:dyDescent="0.3">
      <c r="A611" s="1" t="s">
        <v>292</v>
      </c>
      <c r="B611" s="52" t="s">
        <v>398</v>
      </c>
      <c r="C611" s="18" t="s">
        <v>400</v>
      </c>
      <c r="D611" s="1" t="s">
        <v>226</v>
      </c>
      <c r="E611" s="18">
        <v>6</v>
      </c>
    </row>
    <row r="612" spans="1:5" ht="21" customHeight="1" x14ac:dyDescent="0.3">
      <c r="A612" s="1" t="s">
        <v>292</v>
      </c>
      <c r="B612" s="52" t="s">
        <v>398</v>
      </c>
      <c r="C612" s="18" t="s">
        <v>400</v>
      </c>
      <c r="D612" s="1" t="s">
        <v>226</v>
      </c>
      <c r="E612" s="18">
        <v>7</v>
      </c>
    </row>
    <row r="613" spans="1:5" ht="21" customHeight="1" x14ac:dyDescent="0.3">
      <c r="A613" s="1" t="s">
        <v>292</v>
      </c>
      <c r="B613" s="52" t="s">
        <v>398</v>
      </c>
      <c r="C613" s="18" t="s">
        <v>400</v>
      </c>
      <c r="D613" s="1" t="s">
        <v>226</v>
      </c>
      <c r="E613" s="18">
        <v>8</v>
      </c>
    </row>
    <row r="614" spans="1:5" ht="21" customHeight="1" x14ac:dyDescent="0.3">
      <c r="A614" s="1" t="s">
        <v>262</v>
      </c>
      <c r="B614" s="52" t="s">
        <v>401</v>
      </c>
      <c r="C614" s="5" t="s">
        <v>402</v>
      </c>
      <c r="D614" s="1" t="s">
        <v>224</v>
      </c>
      <c r="E614" s="5">
        <v>1</v>
      </c>
    </row>
    <row r="615" spans="1:5" ht="21" customHeight="1" x14ac:dyDescent="0.3">
      <c r="A615" s="1" t="s">
        <v>262</v>
      </c>
      <c r="B615" s="52" t="s">
        <v>401</v>
      </c>
      <c r="C615" s="5" t="s">
        <v>402</v>
      </c>
      <c r="D615" s="1" t="s">
        <v>224</v>
      </c>
      <c r="E615" s="5">
        <v>2</v>
      </c>
    </row>
    <row r="616" spans="1:5" ht="21" customHeight="1" x14ac:dyDescent="0.3">
      <c r="A616" s="1" t="s">
        <v>262</v>
      </c>
      <c r="B616" s="52" t="s">
        <v>401</v>
      </c>
      <c r="C616" s="5" t="s">
        <v>402</v>
      </c>
      <c r="D616" s="1" t="s">
        <v>224</v>
      </c>
      <c r="E616" s="5">
        <v>3</v>
      </c>
    </row>
    <row r="617" spans="1:5" ht="21" customHeight="1" x14ac:dyDescent="0.3">
      <c r="A617" s="1" t="s">
        <v>262</v>
      </c>
      <c r="B617" s="52" t="s">
        <v>401</v>
      </c>
      <c r="C617" s="5" t="s">
        <v>402</v>
      </c>
      <c r="D617" s="1" t="s">
        <v>224</v>
      </c>
      <c r="E617" s="5">
        <v>4</v>
      </c>
    </row>
    <row r="618" spans="1:5" ht="21" customHeight="1" x14ac:dyDescent="0.3">
      <c r="A618" s="1" t="s">
        <v>262</v>
      </c>
      <c r="B618" s="52" t="s">
        <v>401</v>
      </c>
      <c r="C618" s="5" t="s">
        <v>402</v>
      </c>
      <c r="D618" s="1" t="s">
        <v>224</v>
      </c>
      <c r="E618" s="5">
        <v>5</v>
      </c>
    </row>
    <row r="619" spans="1:5" ht="21" customHeight="1" x14ac:dyDescent="0.3">
      <c r="A619" s="1" t="s">
        <v>262</v>
      </c>
      <c r="B619" s="52" t="s">
        <v>401</v>
      </c>
      <c r="C619" s="18" t="s">
        <v>403</v>
      </c>
      <c r="D619" s="1" t="s">
        <v>230</v>
      </c>
      <c r="E619" s="18">
        <v>1</v>
      </c>
    </row>
    <row r="620" spans="1:5" ht="21" customHeight="1" x14ac:dyDescent="0.3">
      <c r="A620" s="1" t="s">
        <v>262</v>
      </c>
      <c r="B620" s="52" t="s">
        <v>401</v>
      </c>
      <c r="C620" s="18" t="s">
        <v>403</v>
      </c>
      <c r="D620" s="1" t="s">
        <v>230</v>
      </c>
      <c r="E620" s="18">
        <v>2</v>
      </c>
    </row>
    <row r="621" spans="1:5" ht="21" customHeight="1" x14ac:dyDescent="0.3">
      <c r="A621" s="1" t="s">
        <v>262</v>
      </c>
      <c r="B621" s="52" t="s">
        <v>401</v>
      </c>
      <c r="C621" s="18" t="s">
        <v>403</v>
      </c>
      <c r="D621" s="1" t="s">
        <v>230</v>
      </c>
      <c r="E621" s="18">
        <v>3</v>
      </c>
    </row>
    <row r="622" spans="1:5" ht="21" customHeight="1" x14ac:dyDescent="0.3">
      <c r="A622" s="1" t="s">
        <v>262</v>
      </c>
      <c r="B622" s="52" t="s">
        <v>401</v>
      </c>
      <c r="C622" s="18" t="s">
        <v>403</v>
      </c>
      <c r="D622" s="1" t="s">
        <v>230</v>
      </c>
      <c r="E622" s="18">
        <v>4</v>
      </c>
    </row>
    <row r="623" spans="1:5" ht="21" customHeight="1" x14ac:dyDescent="0.3">
      <c r="A623" s="1" t="s">
        <v>262</v>
      </c>
      <c r="B623" s="52" t="s">
        <v>401</v>
      </c>
      <c r="C623" s="18" t="s">
        <v>403</v>
      </c>
      <c r="D623" s="1" t="s">
        <v>230</v>
      </c>
      <c r="E623" s="18">
        <v>5</v>
      </c>
    </row>
    <row r="624" spans="1:5" ht="21" customHeight="1" x14ac:dyDescent="0.3">
      <c r="A624" s="1" t="s">
        <v>262</v>
      </c>
      <c r="B624" s="52" t="s">
        <v>401</v>
      </c>
      <c r="C624" s="5" t="s">
        <v>404</v>
      </c>
      <c r="D624" s="1" t="s">
        <v>225</v>
      </c>
      <c r="E624" s="5">
        <v>1</v>
      </c>
    </row>
    <row r="625" spans="1:5" ht="21" customHeight="1" x14ac:dyDescent="0.3">
      <c r="A625" s="1" t="s">
        <v>262</v>
      </c>
      <c r="B625" s="52" t="s">
        <v>401</v>
      </c>
      <c r="C625" s="5" t="s">
        <v>404</v>
      </c>
      <c r="D625" s="1" t="s">
        <v>225</v>
      </c>
      <c r="E625" s="5">
        <v>2</v>
      </c>
    </row>
    <row r="626" spans="1:5" ht="21" customHeight="1" x14ac:dyDescent="0.3">
      <c r="A626" s="1" t="s">
        <v>262</v>
      </c>
      <c r="B626" s="52" t="s">
        <v>401</v>
      </c>
      <c r="C626" s="5" t="s">
        <v>404</v>
      </c>
      <c r="D626" s="1" t="s">
        <v>225</v>
      </c>
      <c r="E626" s="5">
        <v>3</v>
      </c>
    </row>
    <row r="627" spans="1:5" ht="21" customHeight="1" x14ac:dyDescent="0.3">
      <c r="A627" s="1" t="s">
        <v>262</v>
      </c>
      <c r="B627" s="52" t="s">
        <v>401</v>
      </c>
      <c r="C627" s="5" t="s">
        <v>404</v>
      </c>
      <c r="D627" s="1" t="s">
        <v>225</v>
      </c>
      <c r="E627" s="5">
        <v>4</v>
      </c>
    </row>
    <row r="628" spans="1:5" ht="21" customHeight="1" x14ac:dyDescent="0.3">
      <c r="A628" s="1" t="s">
        <v>262</v>
      </c>
      <c r="B628" s="52" t="s">
        <v>401</v>
      </c>
      <c r="C628" s="5" t="s">
        <v>404</v>
      </c>
      <c r="D628" s="1" t="s">
        <v>225</v>
      </c>
      <c r="E628" s="5">
        <v>5</v>
      </c>
    </row>
    <row r="629" spans="1:5" ht="21" customHeight="1" x14ac:dyDescent="0.3">
      <c r="A629" s="1" t="s">
        <v>262</v>
      </c>
      <c r="B629" s="52" t="s">
        <v>401</v>
      </c>
      <c r="C629" s="18" t="s">
        <v>404</v>
      </c>
      <c r="D629" s="1" t="s">
        <v>225</v>
      </c>
      <c r="E629" s="18">
        <v>1</v>
      </c>
    </row>
    <row r="630" spans="1:5" ht="21" customHeight="1" x14ac:dyDescent="0.3">
      <c r="A630" s="1" t="s">
        <v>262</v>
      </c>
      <c r="B630" s="52" t="s">
        <v>401</v>
      </c>
      <c r="C630" s="18" t="s">
        <v>404</v>
      </c>
      <c r="D630" s="1" t="s">
        <v>225</v>
      </c>
      <c r="E630" s="18">
        <v>2</v>
      </c>
    </row>
    <row r="631" spans="1:5" ht="21" customHeight="1" x14ac:dyDescent="0.3">
      <c r="A631" s="1" t="s">
        <v>262</v>
      </c>
      <c r="B631" s="52" t="s">
        <v>401</v>
      </c>
      <c r="C631" s="18" t="s">
        <v>404</v>
      </c>
      <c r="D631" s="1" t="s">
        <v>225</v>
      </c>
      <c r="E631" s="18">
        <v>3</v>
      </c>
    </row>
    <row r="632" spans="1:5" ht="21" customHeight="1" x14ac:dyDescent="0.3">
      <c r="A632" s="1" t="s">
        <v>262</v>
      </c>
      <c r="B632" s="52" t="s">
        <v>401</v>
      </c>
      <c r="C632" s="18" t="s">
        <v>404</v>
      </c>
      <c r="D632" s="1" t="s">
        <v>225</v>
      </c>
      <c r="E632" s="18">
        <v>4</v>
      </c>
    </row>
    <row r="633" spans="1:5" ht="21" customHeight="1" x14ac:dyDescent="0.3">
      <c r="A633" s="1" t="s">
        <v>262</v>
      </c>
      <c r="B633" s="52" t="s">
        <v>401</v>
      </c>
      <c r="C633" s="18" t="s">
        <v>404</v>
      </c>
      <c r="D633" s="1" t="s">
        <v>225</v>
      </c>
      <c r="E633" s="18">
        <v>5</v>
      </c>
    </row>
    <row r="634" spans="1:5" ht="21" customHeight="1" x14ac:dyDescent="0.3">
      <c r="A634" s="1" t="s">
        <v>292</v>
      </c>
      <c r="B634" s="52" t="s">
        <v>401</v>
      </c>
      <c r="C634" s="5" t="s">
        <v>405</v>
      </c>
      <c r="D634" s="1" t="s">
        <v>226</v>
      </c>
      <c r="E634" s="5">
        <v>1</v>
      </c>
    </row>
    <row r="635" spans="1:5" ht="21" customHeight="1" x14ac:dyDescent="0.3">
      <c r="A635" s="1" t="s">
        <v>292</v>
      </c>
      <c r="B635" s="52" t="s">
        <v>401</v>
      </c>
      <c r="C635" s="5" t="s">
        <v>405</v>
      </c>
      <c r="D635" s="1" t="s">
        <v>226</v>
      </c>
      <c r="E635" s="5">
        <v>2</v>
      </c>
    </row>
    <row r="636" spans="1:5" ht="21" customHeight="1" x14ac:dyDescent="0.3">
      <c r="A636" s="1" t="s">
        <v>292</v>
      </c>
      <c r="B636" s="52" t="s">
        <v>401</v>
      </c>
      <c r="C636" s="5" t="s">
        <v>405</v>
      </c>
      <c r="D636" s="1" t="s">
        <v>226</v>
      </c>
      <c r="E636" s="5">
        <v>3</v>
      </c>
    </row>
    <row r="637" spans="1:5" ht="21" customHeight="1" x14ac:dyDescent="0.3">
      <c r="A637" s="1" t="s">
        <v>292</v>
      </c>
      <c r="B637" s="52" t="s">
        <v>401</v>
      </c>
      <c r="C637" s="5" t="s">
        <v>405</v>
      </c>
      <c r="D637" s="1" t="s">
        <v>226</v>
      </c>
      <c r="E637" s="5">
        <v>4</v>
      </c>
    </row>
    <row r="638" spans="1:5" ht="21" customHeight="1" x14ac:dyDescent="0.3">
      <c r="A638" s="1" t="s">
        <v>292</v>
      </c>
      <c r="B638" s="52" t="s">
        <v>401</v>
      </c>
      <c r="C638" s="5" t="s">
        <v>405</v>
      </c>
      <c r="D638" s="1" t="s">
        <v>226</v>
      </c>
      <c r="E638" s="5">
        <v>5</v>
      </c>
    </row>
    <row r="639" spans="1:5" ht="21" customHeight="1" x14ac:dyDescent="0.3">
      <c r="A639" s="1" t="s">
        <v>292</v>
      </c>
      <c r="B639" s="52" t="s">
        <v>401</v>
      </c>
      <c r="C639" s="5" t="s">
        <v>405</v>
      </c>
      <c r="D639" s="1" t="s">
        <v>226</v>
      </c>
      <c r="E639" s="5">
        <v>6</v>
      </c>
    </row>
    <row r="640" spans="1:5" ht="21" customHeight="1" x14ac:dyDescent="0.3">
      <c r="A640" s="1" t="s">
        <v>292</v>
      </c>
      <c r="B640" s="52" t="s">
        <v>401</v>
      </c>
      <c r="C640" s="5" t="s">
        <v>405</v>
      </c>
      <c r="D640" s="1" t="s">
        <v>226</v>
      </c>
      <c r="E640" s="5">
        <v>7</v>
      </c>
    </row>
    <row r="641" spans="1:5" ht="21" customHeight="1" x14ac:dyDescent="0.3">
      <c r="A641" s="1" t="s">
        <v>292</v>
      </c>
      <c r="B641" s="52" t="s">
        <v>401</v>
      </c>
      <c r="C641" s="5" t="s">
        <v>405</v>
      </c>
      <c r="D641" s="1" t="s">
        <v>226</v>
      </c>
      <c r="E641" s="5">
        <v>8</v>
      </c>
    </row>
    <row r="642" spans="1:5" ht="21" customHeight="1" x14ac:dyDescent="0.3">
      <c r="A642" s="1" t="s">
        <v>262</v>
      </c>
      <c r="B642" s="51" t="s">
        <v>406</v>
      </c>
      <c r="C642" s="18" t="s">
        <v>407</v>
      </c>
      <c r="D642" s="1" t="s">
        <v>224</v>
      </c>
      <c r="E642" s="18">
        <v>1</v>
      </c>
    </row>
    <row r="643" spans="1:5" ht="21" customHeight="1" x14ac:dyDescent="0.3">
      <c r="A643" s="1" t="s">
        <v>262</v>
      </c>
      <c r="B643" s="51" t="s">
        <v>406</v>
      </c>
      <c r="C643" s="18" t="s">
        <v>407</v>
      </c>
      <c r="D643" s="1" t="s">
        <v>224</v>
      </c>
      <c r="E643" s="18">
        <v>2</v>
      </c>
    </row>
    <row r="644" spans="1:5" ht="21" customHeight="1" x14ac:dyDescent="0.3">
      <c r="A644" s="1" t="s">
        <v>262</v>
      </c>
      <c r="B644" s="51" t="s">
        <v>406</v>
      </c>
      <c r="C644" s="18" t="s">
        <v>407</v>
      </c>
      <c r="D644" s="1" t="s">
        <v>224</v>
      </c>
      <c r="E644" s="18">
        <v>3</v>
      </c>
    </row>
    <row r="645" spans="1:5" ht="21" customHeight="1" x14ac:dyDescent="0.3">
      <c r="A645" s="1" t="s">
        <v>262</v>
      </c>
      <c r="B645" s="51" t="s">
        <v>406</v>
      </c>
      <c r="C645" s="18" t="s">
        <v>407</v>
      </c>
      <c r="D645" s="1" t="s">
        <v>224</v>
      </c>
      <c r="E645" s="18">
        <v>4</v>
      </c>
    </row>
    <row r="646" spans="1:5" ht="21" customHeight="1" x14ac:dyDescent="0.3">
      <c r="A646" s="1" t="s">
        <v>262</v>
      </c>
      <c r="B646" s="51" t="s">
        <v>406</v>
      </c>
      <c r="C646" s="18" t="s">
        <v>407</v>
      </c>
      <c r="D646" s="1" t="s">
        <v>224</v>
      </c>
      <c r="E646" s="18">
        <v>5</v>
      </c>
    </row>
    <row r="647" spans="1:5" ht="21" customHeight="1" x14ac:dyDescent="0.3">
      <c r="A647" s="1" t="s">
        <v>262</v>
      </c>
      <c r="B647" s="51" t="s">
        <v>406</v>
      </c>
      <c r="C647" s="5" t="s">
        <v>408</v>
      </c>
      <c r="D647" s="1" t="s">
        <v>230</v>
      </c>
      <c r="E647" s="5">
        <v>1</v>
      </c>
    </row>
    <row r="648" spans="1:5" ht="21" customHeight="1" x14ac:dyDescent="0.3">
      <c r="A648" s="1" t="s">
        <v>262</v>
      </c>
      <c r="B648" s="51" t="s">
        <v>406</v>
      </c>
      <c r="C648" s="5" t="s">
        <v>408</v>
      </c>
      <c r="D648" s="1" t="s">
        <v>230</v>
      </c>
      <c r="E648" s="5">
        <v>2</v>
      </c>
    </row>
    <row r="649" spans="1:5" ht="21" customHeight="1" x14ac:dyDescent="0.3">
      <c r="A649" s="1" t="s">
        <v>262</v>
      </c>
      <c r="B649" s="51" t="s">
        <v>406</v>
      </c>
      <c r="C649" s="5" t="s">
        <v>408</v>
      </c>
      <c r="D649" s="1" t="s">
        <v>230</v>
      </c>
      <c r="E649" s="5">
        <v>3</v>
      </c>
    </row>
    <row r="650" spans="1:5" ht="21" customHeight="1" x14ac:dyDescent="0.3">
      <c r="A650" s="1" t="s">
        <v>262</v>
      </c>
      <c r="B650" s="51" t="s">
        <v>406</v>
      </c>
      <c r="C650" s="5" t="s">
        <v>408</v>
      </c>
      <c r="D650" s="1" t="s">
        <v>230</v>
      </c>
      <c r="E650" s="5">
        <v>4</v>
      </c>
    </row>
    <row r="651" spans="1:5" ht="21" customHeight="1" x14ac:dyDescent="0.3">
      <c r="A651" s="1" t="s">
        <v>262</v>
      </c>
      <c r="B651" s="51" t="s">
        <v>406</v>
      </c>
      <c r="C651" s="5" t="s">
        <v>408</v>
      </c>
      <c r="D651" s="1" t="s">
        <v>230</v>
      </c>
      <c r="E651" s="5">
        <v>5</v>
      </c>
    </row>
    <row r="652" spans="1:5" ht="21" customHeight="1" x14ac:dyDescent="0.3">
      <c r="A652" s="1" t="s">
        <v>262</v>
      </c>
      <c r="B652" s="51" t="s">
        <v>406</v>
      </c>
      <c r="C652" s="18" t="s">
        <v>409</v>
      </c>
      <c r="D652" s="1" t="s">
        <v>225</v>
      </c>
      <c r="E652" s="18">
        <v>1</v>
      </c>
    </row>
    <row r="653" spans="1:5" ht="21" customHeight="1" x14ac:dyDescent="0.3">
      <c r="A653" s="1" t="s">
        <v>262</v>
      </c>
      <c r="B653" s="51" t="s">
        <v>406</v>
      </c>
      <c r="C653" s="18" t="s">
        <v>409</v>
      </c>
      <c r="D653" s="1" t="s">
        <v>225</v>
      </c>
      <c r="E653" s="18">
        <v>2</v>
      </c>
    </row>
    <row r="654" spans="1:5" ht="21" customHeight="1" x14ac:dyDescent="0.3">
      <c r="A654" s="1" t="s">
        <v>262</v>
      </c>
      <c r="B654" s="51" t="s">
        <v>406</v>
      </c>
      <c r="C654" s="18" t="s">
        <v>409</v>
      </c>
      <c r="D654" s="1" t="s">
        <v>225</v>
      </c>
      <c r="E654" s="18">
        <v>3</v>
      </c>
    </row>
    <row r="655" spans="1:5" ht="21" customHeight="1" x14ac:dyDescent="0.3">
      <c r="A655" s="1" t="s">
        <v>262</v>
      </c>
      <c r="B655" s="51" t="s">
        <v>406</v>
      </c>
      <c r="C655" s="18" t="s">
        <v>409</v>
      </c>
      <c r="D655" s="1" t="s">
        <v>225</v>
      </c>
      <c r="E655" s="18">
        <v>4</v>
      </c>
    </row>
    <row r="656" spans="1:5" ht="21" customHeight="1" x14ac:dyDescent="0.3">
      <c r="A656" s="1" t="s">
        <v>262</v>
      </c>
      <c r="B656" s="51" t="s">
        <v>406</v>
      </c>
      <c r="C656" s="18" t="s">
        <v>409</v>
      </c>
      <c r="D656" s="1" t="s">
        <v>225</v>
      </c>
      <c r="E656" s="18">
        <v>5</v>
      </c>
    </row>
    <row r="657" spans="1:5" ht="21" customHeight="1" x14ac:dyDescent="0.3">
      <c r="A657" s="1" t="s">
        <v>262</v>
      </c>
      <c r="B657" s="51" t="s">
        <v>406</v>
      </c>
      <c r="C657" s="5" t="s">
        <v>409</v>
      </c>
      <c r="D657" s="1" t="s">
        <v>225</v>
      </c>
      <c r="E657" s="5">
        <v>1</v>
      </c>
    </row>
    <row r="658" spans="1:5" ht="21" customHeight="1" x14ac:dyDescent="0.3">
      <c r="A658" s="1" t="s">
        <v>262</v>
      </c>
      <c r="B658" s="51" t="s">
        <v>406</v>
      </c>
      <c r="C658" s="5" t="s">
        <v>409</v>
      </c>
      <c r="D658" s="1" t="s">
        <v>225</v>
      </c>
      <c r="E658" s="5">
        <v>2</v>
      </c>
    </row>
    <row r="659" spans="1:5" ht="21" customHeight="1" x14ac:dyDescent="0.3">
      <c r="A659" s="1" t="s">
        <v>262</v>
      </c>
      <c r="B659" s="51" t="s">
        <v>406</v>
      </c>
      <c r="C659" s="5" t="s">
        <v>409</v>
      </c>
      <c r="D659" s="1" t="s">
        <v>225</v>
      </c>
      <c r="E659" s="5">
        <v>3</v>
      </c>
    </row>
    <row r="660" spans="1:5" ht="21" customHeight="1" x14ac:dyDescent="0.3">
      <c r="A660" s="1" t="s">
        <v>262</v>
      </c>
      <c r="B660" s="51" t="s">
        <v>406</v>
      </c>
      <c r="C660" s="5" t="s">
        <v>409</v>
      </c>
      <c r="D660" s="1" t="s">
        <v>225</v>
      </c>
      <c r="E660" s="5">
        <v>4</v>
      </c>
    </row>
    <row r="661" spans="1:5" ht="21" customHeight="1" x14ac:dyDescent="0.3">
      <c r="A661" s="1" t="s">
        <v>262</v>
      </c>
      <c r="B661" s="51" t="s">
        <v>406</v>
      </c>
      <c r="C661" s="5" t="s">
        <v>409</v>
      </c>
      <c r="D661" s="1" t="s">
        <v>225</v>
      </c>
      <c r="E661" s="5">
        <v>5</v>
      </c>
    </row>
    <row r="662" spans="1:5" ht="21" customHeight="1" x14ac:dyDescent="0.3">
      <c r="A662" s="1" t="s">
        <v>292</v>
      </c>
      <c r="B662" s="51" t="s">
        <v>406</v>
      </c>
      <c r="C662" s="18" t="s">
        <v>410</v>
      </c>
      <c r="D662" s="1" t="s">
        <v>226</v>
      </c>
      <c r="E662" s="18">
        <v>1</v>
      </c>
    </row>
    <row r="663" spans="1:5" ht="21" customHeight="1" x14ac:dyDescent="0.3">
      <c r="A663" s="1" t="s">
        <v>292</v>
      </c>
      <c r="B663" s="51" t="s">
        <v>406</v>
      </c>
      <c r="C663" s="18" t="s">
        <v>410</v>
      </c>
      <c r="D663" s="1" t="s">
        <v>226</v>
      </c>
      <c r="E663" s="18">
        <v>2</v>
      </c>
    </row>
    <row r="664" spans="1:5" ht="21" customHeight="1" x14ac:dyDescent="0.3">
      <c r="A664" s="1" t="s">
        <v>292</v>
      </c>
      <c r="B664" s="51" t="s">
        <v>406</v>
      </c>
      <c r="C664" s="18" t="s">
        <v>410</v>
      </c>
      <c r="D664" s="1" t="s">
        <v>226</v>
      </c>
      <c r="E664" s="18">
        <v>3</v>
      </c>
    </row>
    <row r="665" spans="1:5" ht="21" customHeight="1" x14ac:dyDescent="0.3">
      <c r="A665" s="1" t="s">
        <v>292</v>
      </c>
      <c r="B665" s="51" t="s">
        <v>406</v>
      </c>
      <c r="C665" s="18" t="s">
        <v>410</v>
      </c>
      <c r="D665" s="1" t="s">
        <v>226</v>
      </c>
      <c r="E665" s="18">
        <v>4</v>
      </c>
    </row>
    <row r="666" spans="1:5" ht="21" customHeight="1" x14ac:dyDescent="0.3">
      <c r="A666" s="1" t="s">
        <v>292</v>
      </c>
      <c r="B666" s="51" t="s">
        <v>406</v>
      </c>
      <c r="C666" s="18" t="s">
        <v>410</v>
      </c>
      <c r="D666" s="1" t="s">
        <v>226</v>
      </c>
      <c r="E666" s="18">
        <v>5</v>
      </c>
    </row>
    <row r="667" spans="1:5" ht="21" customHeight="1" x14ac:dyDescent="0.3">
      <c r="A667" s="1" t="s">
        <v>292</v>
      </c>
      <c r="B667" s="51" t="s">
        <v>406</v>
      </c>
      <c r="C667" s="18" t="s">
        <v>410</v>
      </c>
      <c r="D667" s="1" t="s">
        <v>226</v>
      </c>
      <c r="E667" s="18">
        <v>6</v>
      </c>
    </row>
    <row r="668" spans="1:5" ht="21" customHeight="1" x14ac:dyDescent="0.3">
      <c r="A668" s="1" t="s">
        <v>292</v>
      </c>
      <c r="B668" s="51" t="s">
        <v>406</v>
      </c>
      <c r="C668" s="18" t="s">
        <v>410</v>
      </c>
      <c r="D668" s="1" t="s">
        <v>226</v>
      </c>
      <c r="E668" s="18">
        <v>7</v>
      </c>
    </row>
    <row r="669" spans="1:5" ht="21" customHeight="1" x14ac:dyDescent="0.3">
      <c r="A669" s="1" t="s">
        <v>292</v>
      </c>
      <c r="B669" s="51" t="s">
        <v>406</v>
      </c>
      <c r="C669" s="18" t="s">
        <v>410</v>
      </c>
      <c r="D669" s="1" t="s">
        <v>226</v>
      </c>
      <c r="E669" s="18">
        <v>8</v>
      </c>
    </row>
    <row r="670" spans="1:5" ht="21" customHeight="1" x14ac:dyDescent="0.3">
      <c r="A670" s="1" t="s">
        <v>262</v>
      </c>
      <c r="B670" s="52" t="s">
        <v>411</v>
      </c>
      <c r="C670" s="5" t="s">
        <v>412</v>
      </c>
      <c r="D670" s="1" t="s">
        <v>224</v>
      </c>
      <c r="E670" s="5">
        <v>1</v>
      </c>
    </row>
    <row r="671" spans="1:5" ht="21" customHeight="1" x14ac:dyDescent="0.3">
      <c r="A671" s="1" t="s">
        <v>262</v>
      </c>
      <c r="B671" s="52" t="s">
        <v>411</v>
      </c>
      <c r="C671" s="5" t="s">
        <v>412</v>
      </c>
      <c r="D671" s="1" t="s">
        <v>224</v>
      </c>
      <c r="E671" s="5">
        <v>2</v>
      </c>
    </row>
    <row r="672" spans="1:5" ht="21" customHeight="1" x14ac:dyDescent="0.3">
      <c r="A672" s="1" t="s">
        <v>262</v>
      </c>
      <c r="B672" s="52" t="s">
        <v>411</v>
      </c>
      <c r="C672" s="5" t="s">
        <v>412</v>
      </c>
      <c r="D672" s="1" t="s">
        <v>224</v>
      </c>
      <c r="E672" s="5">
        <v>3</v>
      </c>
    </row>
    <row r="673" spans="1:5" ht="21" customHeight="1" x14ac:dyDescent="0.3">
      <c r="A673" s="1" t="s">
        <v>262</v>
      </c>
      <c r="B673" s="52" t="s">
        <v>411</v>
      </c>
      <c r="C673" s="5" t="s">
        <v>412</v>
      </c>
      <c r="D673" s="1" t="s">
        <v>224</v>
      </c>
      <c r="E673" s="5">
        <v>4</v>
      </c>
    </row>
    <row r="674" spans="1:5" ht="21" customHeight="1" x14ac:dyDescent="0.3">
      <c r="A674" s="1" t="s">
        <v>262</v>
      </c>
      <c r="B674" s="52" t="s">
        <v>411</v>
      </c>
      <c r="C674" s="5" t="s">
        <v>412</v>
      </c>
      <c r="D674" s="1" t="s">
        <v>224</v>
      </c>
      <c r="E674" s="5">
        <v>5</v>
      </c>
    </row>
    <row r="675" spans="1:5" ht="21" customHeight="1" x14ac:dyDescent="0.3">
      <c r="A675" s="1" t="s">
        <v>262</v>
      </c>
      <c r="B675" s="52" t="s">
        <v>411</v>
      </c>
      <c r="C675" s="18" t="s">
        <v>413</v>
      </c>
      <c r="D675" s="1" t="s">
        <v>230</v>
      </c>
      <c r="E675" s="18">
        <v>1</v>
      </c>
    </row>
    <row r="676" spans="1:5" ht="21" customHeight="1" x14ac:dyDescent="0.3">
      <c r="A676" s="1" t="s">
        <v>262</v>
      </c>
      <c r="B676" s="52" t="s">
        <v>411</v>
      </c>
      <c r="C676" s="18" t="s">
        <v>413</v>
      </c>
      <c r="D676" s="1" t="s">
        <v>230</v>
      </c>
      <c r="E676" s="18">
        <v>2</v>
      </c>
    </row>
    <row r="677" spans="1:5" ht="21" customHeight="1" x14ac:dyDescent="0.3">
      <c r="A677" s="1" t="s">
        <v>262</v>
      </c>
      <c r="B677" s="52" t="s">
        <v>411</v>
      </c>
      <c r="C677" s="18" t="s">
        <v>413</v>
      </c>
      <c r="D677" s="1" t="s">
        <v>230</v>
      </c>
      <c r="E677" s="18">
        <v>3</v>
      </c>
    </row>
    <row r="678" spans="1:5" ht="21" customHeight="1" x14ac:dyDescent="0.3">
      <c r="A678" s="1" t="s">
        <v>262</v>
      </c>
      <c r="B678" s="52" t="s">
        <v>411</v>
      </c>
      <c r="C678" s="18" t="s">
        <v>413</v>
      </c>
      <c r="D678" s="1" t="s">
        <v>230</v>
      </c>
      <c r="E678" s="18">
        <v>4</v>
      </c>
    </row>
    <row r="679" spans="1:5" ht="21" customHeight="1" x14ac:dyDescent="0.3">
      <c r="A679" s="1" t="s">
        <v>262</v>
      </c>
      <c r="B679" s="52" t="s">
        <v>411</v>
      </c>
      <c r="C679" s="18" t="s">
        <v>413</v>
      </c>
      <c r="D679" s="1" t="s">
        <v>230</v>
      </c>
      <c r="E679" s="18">
        <v>5</v>
      </c>
    </row>
    <row r="680" spans="1:5" ht="21" customHeight="1" x14ac:dyDescent="0.3">
      <c r="A680" s="1" t="s">
        <v>262</v>
      </c>
      <c r="B680" s="52" t="s">
        <v>411</v>
      </c>
      <c r="C680" s="5" t="s">
        <v>414</v>
      </c>
      <c r="D680" s="1" t="s">
        <v>225</v>
      </c>
      <c r="E680" s="5">
        <v>1</v>
      </c>
    </row>
    <row r="681" spans="1:5" ht="21" customHeight="1" x14ac:dyDescent="0.3">
      <c r="A681" s="1" t="s">
        <v>262</v>
      </c>
      <c r="B681" s="52" t="s">
        <v>411</v>
      </c>
      <c r="C681" s="5" t="s">
        <v>414</v>
      </c>
      <c r="D681" s="1" t="s">
        <v>225</v>
      </c>
      <c r="E681" s="5">
        <v>2</v>
      </c>
    </row>
    <row r="682" spans="1:5" ht="21" customHeight="1" x14ac:dyDescent="0.3">
      <c r="A682" s="1" t="s">
        <v>262</v>
      </c>
      <c r="B682" s="52" t="s">
        <v>411</v>
      </c>
      <c r="C682" s="5" t="s">
        <v>414</v>
      </c>
      <c r="D682" s="1" t="s">
        <v>225</v>
      </c>
      <c r="E682" s="5">
        <v>3</v>
      </c>
    </row>
    <row r="683" spans="1:5" ht="21" customHeight="1" x14ac:dyDescent="0.3">
      <c r="A683" s="1" t="s">
        <v>262</v>
      </c>
      <c r="B683" s="52" t="s">
        <v>411</v>
      </c>
      <c r="C683" s="5" t="s">
        <v>414</v>
      </c>
      <c r="D683" s="1" t="s">
        <v>225</v>
      </c>
      <c r="E683" s="5">
        <v>4</v>
      </c>
    </row>
    <row r="684" spans="1:5" ht="21" customHeight="1" x14ac:dyDescent="0.3">
      <c r="A684" s="1" t="s">
        <v>262</v>
      </c>
      <c r="B684" s="52" t="s">
        <v>411</v>
      </c>
      <c r="C684" s="5" t="s">
        <v>414</v>
      </c>
      <c r="D684" s="1" t="s">
        <v>225</v>
      </c>
      <c r="E684" s="5">
        <v>5</v>
      </c>
    </row>
    <row r="685" spans="1:5" ht="21" customHeight="1" x14ac:dyDescent="0.3">
      <c r="A685" s="1" t="s">
        <v>262</v>
      </c>
      <c r="B685" s="52" t="s">
        <v>411</v>
      </c>
      <c r="C685" s="18" t="s">
        <v>414</v>
      </c>
      <c r="D685" s="1" t="s">
        <v>225</v>
      </c>
      <c r="E685" s="18">
        <v>1</v>
      </c>
    </row>
    <row r="686" spans="1:5" ht="21" customHeight="1" x14ac:dyDescent="0.3">
      <c r="A686" s="1" t="s">
        <v>262</v>
      </c>
      <c r="B686" s="52" t="s">
        <v>411</v>
      </c>
      <c r="C686" s="18" t="s">
        <v>414</v>
      </c>
      <c r="D686" s="1" t="s">
        <v>225</v>
      </c>
      <c r="E686" s="18">
        <v>2</v>
      </c>
    </row>
    <row r="687" spans="1:5" ht="21" customHeight="1" x14ac:dyDescent="0.3">
      <c r="A687" s="1" t="s">
        <v>262</v>
      </c>
      <c r="B687" s="52" t="s">
        <v>411</v>
      </c>
      <c r="C687" s="18" t="s">
        <v>414</v>
      </c>
      <c r="D687" s="1" t="s">
        <v>225</v>
      </c>
      <c r="E687" s="18">
        <v>3</v>
      </c>
    </row>
    <row r="688" spans="1:5" ht="21" customHeight="1" x14ac:dyDescent="0.3">
      <c r="A688" s="1" t="s">
        <v>262</v>
      </c>
      <c r="B688" s="52" t="s">
        <v>411</v>
      </c>
      <c r="C688" s="18" t="s">
        <v>414</v>
      </c>
      <c r="D688" s="1" t="s">
        <v>225</v>
      </c>
      <c r="E688" s="18">
        <v>4</v>
      </c>
    </row>
    <row r="689" spans="1:5" ht="21" customHeight="1" x14ac:dyDescent="0.3">
      <c r="A689" s="1" t="s">
        <v>262</v>
      </c>
      <c r="B689" s="52" t="s">
        <v>411</v>
      </c>
      <c r="C689" s="18" t="s">
        <v>414</v>
      </c>
      <c r="D689" s="1" t="s">
        <v>225</v>
      </c>
      <c r="E689" s="18">
        <v>5</v>
      </c>
    </row>
    <row r="690" spans="1:5" ht="21" customHeight="1" x14ac:dyDescent="0.3">
      <c r="A690" s="1" t="s">
        <v>292</v>
      </c>
      <c r="B690" s="52" t="s">
        <v>411</v>
      </c>
      <c r="C690" s="5" t="s">
        <v>415</v>
      </c>
      <c r="D690" s="1" t="s">
        <v>226</v>
      </c>
      <c r="E690" s="5">
        <v>1</v>
      </c>
    </row>
    <row r="691" spans="1:5" ht="21" customHeight="1" x14ac:dyDescent="0.3">
      <c r="A691" s="1" t="s">
        <v>292</v>
      </c>
      <c r="B691" s="52" t="s">
        <v>411</v>
      </c>
      <c r="C691" s="5" t="s">
        <v>415</v>
      </c>
      <c r="D691" s="1" t="s">
        <v>226</v>
      </c>
      <c r="E691" s="5">
        <v>2</v>
      </c>
    </row>
    <row r="692" spans="1:5" ht="21" customHeight="1" x14ac:dyDescent="0.3">
      <c r="A692" s="1" t="s">
        <v>292</v>
      </c>
      <c r="B692" s="52" t="s">
        <v>411</v>
      </c>
      <c r="C692" s="5" t="s">
        <v>415</v>
      </c>
      <c r="D692" s="1" t="s">
        <v>226</v>
      </c>
      <c r="E692" s="5">
        <v>3</v>
      </c>
    </row>
    <row r="693" spans="1:5" ht="21" customHeight="1" x14ac:dyDescent="0.3">
      <c r="A693" s="1" t="s">
        <v>292</v>
      </c>
      <c r="B693" s="52" t="s">
        <v>411</v>
      </c>
      <c r="C693" s="5" t="s">
        <v>415</v>
      </c>
      <c r="D693" s="1" t="s">
        <v>226</v>
      </c>
      <c r="E693" s="5">
        <v>4</v>
      </c>
    </row>
    <row r="694" spans="1:5" ht="21" customHeight="1" x14ac:dyDescent="0.3">
      <c r="A694" s="1" t="s">
        <v>292</v>
      </c>
      <c r="B694" s="52" t="s">
        <v>411</v>
      </c>
      <c r="C694" s="5" t="s">
        <v>415</v>
      </c>
      <c r="D694" s="1" t="s">
        <v>226</v>
      </c>
      <c r="E694" s="5">
        <v>5</v>
      </c>
    </row>
    <row r="695" spans="1:5" ht="21" customHeight="1" x14ac:dyDescent="0.3">
      <c r="A695" s="1" t="s">
        <v>292</v>
      </c>
      <c r="B695" s="52" t="s">
        <v>411</v>
      </c>
      <c r="C695" s="5" t="s">
        <v>415</v>
      </c>
      <c r="D695" s="1" t="s">
        <v>226</v>
      </c>
      <c r="E695" s="5">
        <v>6</v>
      </c>
    </row>
    <row r="696" spans="1:5" ht="21" customHeight="1" x14ac:dyDescent="0.3">
      <c r="A696" s="1" t="s">
        <v>292</v>
      </c>
      <c r="B696" s="52" t="s">
        <v>411</v>
      </c>
      <c r="C696" s="5" t="s">
        <v>415</v>
      </c>
      <c r="D696" s="1" t="s">
        <v>226</v>
      </c>
      <c r="E696" s="5">
        <v>7</v>
      </c>
    </row>
    <row r="697" spans="1:5" ht="21" customHeight="1" x14ac:dyDescent="0.3">
      <c r="A697" s="1" t="s">
        <v>292</v>
      </c>
      <c r="B697" s="52" t="s">
        <v>411</v>
      </c>
      <c r="C697" s="5" t="s">
        <v>415</v>
      </c>
      <c r="D697" s="1" t="s">
        <v>226</v>
      </c>
      <c r="E697" s="5">
        <v>8</v>
      </c>
    </row>
    <row r="698" spans="1:5" ht="21" customHeight="1" x14ac:dyDescent="0.3">
      <c r="A698" s="1" t="s">
        <v>262</v>
      </c>
      <c r="B698" s="51" t="s">
        <v>416</v>
      </c>
      <c r="C698" s="18" t="s">
        <v>417</v>
      </c>
      <c r="D698" s="1" t="s">
        <v>224</v>
      </c>
      <c r="E698" s="18">
        <v>1</v>
      </c>
    </row>
    <row r="699" spans="1:5" ht="21" customHeight="1" x14ac:dyDescent="0.3">
      <c r="A699" s="1" t="s">
        <v>262</v>
      </c>
      <c r="B699" s="51" t="s">
        <v>416</v>
      </c>
      <c r="C699" s="18" t="s">
        <v>417</v>
      </c>
      <c r="D699" s="1" t="s">
        <v>224</v>
      </c>
      <c r="E699" s="18">
        <v>2</v>
      </c>
    </row>
    <row r="700" spans="1:5" ht="21" customHeight="1" x14ac:dyDescent="0.3">
      <c r="A700" s="1" t="s">
        <v>262</v>
      </c>
      <c r="B700" s="51" t="s">
        <v>416</v>
      </c>
      <c r="C700" s="18" t="s">
        <v>417</v>
      </c>
      <c r="D700" s="1" t="s">
        <v>224</v>
      </c>
      <c r="E700" s="18">
        <v>3</v>
      </c>
    </row>
    <row r="701" spans="1:5" ht="21" customHeight="1" x14ac:dyDescent="0.3">
      <c r="A701" s="1" t="s">
        <v>262</v>
      </c>
      <c r="B701" s="51" t="s">
        <v>416</v>
      </c>
      <c r="C701" s="18" t="s">
        <v>417</v>
      </c>
      <c r="D701" s="1" t="s">
        <v>224</v>
      </c>
      <c r="E701" s="18">
        <v>4</v>
      </c>
    </row>
    <row r="702" spans="1:5" ht="21" customHeight="1" x14ac:dyDescent="0.3">
      <c r="A702" s="1" t="s">
        <v>262</v>
      </c>
      <c r="B702" s="51" t="s">
        <v>416</v>
      </c>
      <c r="C702" s="18" t="s">
        <v>417</v>
      </c>
      <c r="D702" s="1" t="s">
        <v>224</v>
      </c>
      <c r="E702" s="18">
        <v>5</v>
      </c>
    </row>
    <row r="703" spans="1:5" ht="21" customHeight="1" x14ac:dyDescent="0.3">
      <c r="A703" s="1" t="s">
        <v>262</v>
      </c>
      <c r="B703" s="51" t="s">
        <v>416</v>
      </c>
      <c r="C703" s="5" t="s">
        <v>418</v>
      </c>
      <c r="D703" s="1" t="s">
        <v>230</v>
      </c>
      <c r="E703" s="5">
        <v>1</v>
      </c>
    </row>
    <row r="704" spans="1:5" ht="21" customHeight="1" x14ac:dyDescent="0.3">
      <c r="A704" s="1" t="s">
        <v>262</v>
      </c>
      <c r="B704" s="51" t="s">
        <v>416</v>
      </c>
      <c r="C704" s="5" t="s">
        <v>418</v>
      </c>
      <c r="D704" s="1" t="s">
        <v>230</v>
      </c>
      <c r="E704" s="5">
        <v>2</v>
      </c>
    </row>
    <row r="705" spans="1:5" ht="21" customHeight="1" x14ac:dyDescent="0.3">
      <c r="A705" s="1" t="s">
        <v>262</v>
      </c>
      <c r="B705" s="51" t="s">
        <v>416</v>
      </c>
      <c r="C705" s="5" t="s">
        <v>418</v>
      </c>
      <c r="D705" s="1" t="s">
        <v>230</v>
      </c>
      <c r="E705" s="5">
        <v>3</v>
      </c>
    </row>
    <row r="706" spans="1:5" ht="21" customHeight="1" x14ac:dyDescent="0.3">
      <c r="A706" s="1" t="s">
        <v>262</v>
      </c>
      <c r="B706" s="51" t="s">
        <v>416</v>
      </c>
      <c r="C706" s="5" t="s">
        <v>418</v>
      </c>
      <c r="D706" s="1" t="s">
        <v>230</v>
      </c>
      <c r="E706" s="5">
        <v>4</v>
      </c>
    </row>
    <row r="707" spans="1:5" ht="21" customHeight="1" x14ac:dyDescent="0.3">
      <c r="A707" s="1" t="s">
        <v>262</v>
      </c>
      <c r="B707" s="51" t="s">
        <v>416</v>
      </c>
      <c r="C707" s="5" t="s">
        <v>418</v>
      </c>
      <c r="D707" s="1" t="s">
        <v>230</v>
      </c>
      <c r="E707" s="5">
        <v>5</v>
      </c>
    </row>
    <row r="708" spans="1:5" ht="21" customHeight="1" x14ac:dyDescent="0.3">
      <c r="A708" s="1" t="s">
        <v>262</v>
      </c>
      <c r="B708" s="51" t="s">
        <v>416</v>
      </c>
      <c r="C708" s="18" t="s">
        <v>419</v>
      </c>
      <c r="D708" s="1" t="s">
        <v>225</v>
      </c>
      <c r="E708" s="18">
        <v>1</v>
      </c>
    </row>
    <row r="709" spans="1:5" ht="21" customHeight="1" x14ac:dyDescent="0.3">
      <c r="A709" s="1" t="s">
        <v>262</v>
      </c>
      <c r="B709" s="51" t="s">
        <v>416</v>
      </c>
      <c r="C709" s="18" t="s">
        <v>419</v>
      </c>
      <c r="D709" s="1" t="s">
        <v>225</v>
      </c>
      <c r="E709" s="18">
        <v>2</v>
      </c>
    </row>
    <row r="710" spans="1:5" ht="21" customHeight="1" x14ac:dyDescent="0.3">
      <c r="A710" s="1" t="s">
        <v>262</v>
      </c>
      <c r="B710" s="51" t="s">
        <v>416</v>
      </c>
      <c r="C710" s="18" t="s">
        <v>419</v>
      </c>
      <c r="D710" s="1" t="s">
        <v>225</v>
      </c>
      <c r="E710" s="18">
        <v>3</v>
      </c>
    </row>
    <row r="711" spans="1:5" ht="21" customHeight="1" x14ac:dyDescent="0.3">
      <c r="A711" s="1" t="s">
        <v>262</v>
      </c>
      <c r="B711" s="51" t="s">
        <v>416</v>
      </c>
      <c r="C711" s="18" t="s">
        <v>419</v>
      </c>
      <c r="D711" s="1" t="s">
        <v>225</v>
      </c>
      <c r="E711" s="18">
        <v>4</v>
      </c>
    </row>
    <row r="712" spans="1:5" ht="21" customHeight="1" x14ac:dyDescent="0.3">
      <c r="A712" s="1" t="s">
        <v>262</v>
      </c>
      <c r="B712" s="51" t="s">
        <v>416</v>
      </c>
      <c r="C712" s="18" t="s">
        <v>419</v>
      </c>
      <c r="D712" s="1" t="s">
        <v>225</v>
      </c>
      <c r="E712" s="18">
        <v>5</v>
      </c>
    </row>
    <row r="713" spans="1:5" ht="21" customHeight="1" x14ac:dyDescent="0.3">
      <c r="A713" s="1" t="s">
        <v>262</v>
      </c>
      <c r="B713" s="51" t="s">
        <v>416</v>
      </c>
      <c r="C713" s="5" t="s">
        <v>419</v>
      </c>
      <c r="D713" s="1" t="s">
        <v>225</v>
      </c>
      <c r="E713" s="5">
        <v>1</v>
      </c>
    </row>
    <row r="714" spans="1:5" ht="21" customHeight="1" x14ac:dyDescent="0.3">
      <c r="A714" s="1" t="s">
        <v>262</v>
      </c>
      <c r="B714" s="51" t="s">
        <v>416</v>
      </c>
      <c r="C714" s="5" t="s">
        <v>419</v>
      </c>
      <c r="D714" s="1" t="s">
        <v>225</v>
      </c>
      <c r="E714" s="5">
        <v>2</v>
      </c>
    </row>
    <row r="715" spans="1:5" ht="21" customHeight="1" x14ac:dyDescent="0.3">
      <c r="A715" s="1" t="s">
        <v>262</v>
      </c>
      <c r="B715" s="51" t="s">
        <v>416</v>
      </c>
      <c r="C715" s="5" t="s">
        <v>419</v>
      </c>
      <c r="D715" s="1" t="s">
        <v>225</v>
      </c>
      <c r="E715" s="5">
        <v>3</v>
      </c>
    </row>
    <row r="716" spans="1:5" ht="21" customHeight="1" x14ac:dyDescent="0.3">
      <c r="A716" s="1" t="s">
        <v>262</v>
      </c>
      <c r="B716" s="51" t="s">
        <v>416</v>
      </c>
      <c r="C716" s="5" t="s">
        <v>419</v>
      </c>
      <c r="D716" s="1" t="s">
        <v>225</v>
      </c>
      <c r="E716" s="5">
        <v>4</v>
      </c>
    </row>
    <row r="717" spans="1:5" ht="21" customHeight="1" x14ac:dyDescent="0.3">
      <c r="A717" s="1" t="s">
        <v>262</v>
      </c>
      <c r="B717" s="51" t="s">
        <v>416</v>
      </c>
      <c r="C717" s="5" t="s">
        <v>419</v>
      </c>
      <c r="D717" s="1" t="s">
        <v>225</v>
      </c>
      <c r="E717" s="5">
        <v>5</v>
      </c>
    </row>
    <row r="718" spans="1:5" ht="21" customHeight="1" x14ac:dyDescent="0.3">
      <c r="A718" s="1" t="s">
        <v>292</v>
      </c>
      <c r="B718" s="51" t="s">
        <v>416</v>
      </c>
      <c r="C718" s="18" t="s">
        <v>420</v>
      </c>
      <c r="D718" s="1" t="s">
        <v>226</v>
      </c>
      <c r="E718" s="18">
        <v>1</v>
      </c>
    </row>
    <row r="719" spans="1:5" ht="21" customHeight="1" x14ac:dyDescent="0.3">
      <c r="A719" s="1" t="s">
        <v>292</v>
      </c>
      <c r="B719" s="51" t="s">
        <v>416</v>
      </c>
      <c r="C719" s="18" t="s">
        <v>420</v>
      </c>
      <c r="D719" s="1" t="s">
        <v>226</v>
      </c>
      <c r="E719" s="18">
        <v>2</v>
      </c>
    </row>
    <row r="720" spans="1:5" ht="21" customHeight="1" x14ac:dyDescent="0.3">
      <c r="A720" s="1" t="s">
        <v>292</v>
      </c>
      <c r="B720" s="51" t="s">
        <v>416</v>
      </c>
      <c r="C720" s="18" t="s">
        <v>420</v>
      </c>
      <c r="D720" s="1" t="s">
        <v>226</v>
      </c>
      <c r="E720" s="18">
        <v>3</v>
      </c>
    </row>
    <row r="721" spans="1:5" ht="21" customHeight="1" x14ac:dyDescent="0.3">
      <c r="A721" s="1" t="s">
        <v>292</v>
      </c>
      <c r="B721" s="51" t="s">
        <v>416</v>
      </c>
      <c r="C721" s="18" t="s">
        <v>420</v>
      </c>
      <c r="D721" s="1" t="s">
        <v>226</v>
      </c>
      <c r="E721" s="18">
        <v>4</v>
      </c>
    </row>
    <row r="722" spans="1:5" ht="21" customHeight="1" x14ac:dyDescent="0.3">
      <c r="A722" s="1" t="s">
        <v>292</v>
      </c>
      <c r="B722" s="51" t="s">
        <v>416</v>
      </c>
      <c r="C722" s="18" t="s">
        <v>420</v>
      </c>
      <c r="D722" s="1" t="s">
        <v>226</v>
      </c>
      <c r="E722" s="18">
        <v>5</v>
      </c>
    </row>
    <row r="723" spans="1:5" ht="21" customHeight="1" x14ac:dyDescent="0.3">
      <c r="A723" s="1" t="s">
        <v>292</v>
      </c>
      <c r="B723" s="51" t="s">
        <v>416</v>
      </c>
      <c r="C723" s="18" t="s">
        <v>420</v>
      </c>
      <c r="D723" s="1" t="s">
        <v>226</v>
      </c>
      <c r="E723" s="18">
        <v>6</v>
      </c>
    </row>
    <row r="724" spans="1:5" ht="21" customHeight="1" x14ac:dyDescent="0.3">
      <c r="A724" s="1" t="s">
        <v>292</v>
      </c>
      <c r="B724" s="51" t="s">
        <v>416</v>
      </c>
      <c r="C724" s="18" t="s">
        <v>420</v>
      </c>
      <c r="D724" s="1" t="s">
        <v>226</v>
      </c>
      <c r="E724" s="18">
        <v>7</v>
      </c>
    </row>
    <row r="725" spans="1:5" ht="21" customHeight="1" x14ac:dyDescent="0.3">
      <c r="A725" s="1" t="s">
        <v>292</v>
      </c>
      <c r="B725" s="51" t="s">
        <v>416</v>
      </c>
      <c r="C725" s="18" t="s">
        <v>420</v>
      </c>
      <c r="D725" s="1" t="s">
        <v>226</v>
      </c>
      <c r="E725" s="18">
        <v>8</v>
      </c>
    </row>
    <row r="726" spans="1:5" ht="21" customHeight="1" x14ac:dyDescent="0.3">
      <c r="A726" s="1" t="s">
        <v>262</v>
      </c>
      <c r="B726" s="52" t="s">
        <v>421</v>
      </c>
      <c r="C726" s="5" t="s">
        <v>422</v>
      </c>
      <c r="D726" s="1" t="s">
        <v>224</v>
      </c>
      <c r="E726" s="5">
        <v>1</v>
      </c>
    </row>
    <row r="727" spans="1:5" ht="21" customHeight="1" x14ac:dyDescent="0.3">
      <c r="A727" s="1" t="s">
        <v>262</v>
      </c>
      <c r="B727" s="52" t="s">
        <v>421</v>
      </c>
      <c r="C727" s="5" t="s">
        <v>422</v>
      </c>
      <c r="D727" s="1" t="s">
        <v>224</v>
      </c>
      <c r="E727" s="5">
        <v>2</v>
      </c>
    </row>
    <row r="728" spans="1:5" ht="21" customHeight="1" x14ac:dyDescent="0.3">
      <c r="A728" s="1" t="s">
        <v>262</v>
      </c>
      <c r="B728" s="52" t="s">
        <v>421</v>
      </c>
      <c r="C728" s="5" t="s">
        <v>422</v>
      </c>
      <c r="D728" s="1" t="s">
        <v>224</v>
      </c>
      <c r="E728" s="5">
        <v>3</v>
      </c>
    </row>
    <row r="729" spans="1:5" ht="21" customHeight="1" x14ac:dyDescent="0.3">
      <c r="A729" s="1" t="s">
        <v>262</v>
      </c>
      <c r="B729" s="52" t="s">
        <v>421</v>
      </c>
      <c r="C729" s="5" t="s">
        <v>422</v>
      </c>
      <c r="D729" s="1" t="s">
        <v>224</v>
      </c>
      <c r="E729" s="5">
        <v>4</v>
      </c>
    </row>
    <row r="730" spans="1:5" ht="21" customHeight="1" x14ac:dyDescent="0.3">
      <c r="A730" s="1" t="s">
        <v>262</v>
      </c>
      <c r="B730" s="52" t="s">
        <v>421</v>
      </c>
      <c r="C730" s="5" t="s">
        <v>422</v>
      </c>
      <c r="D730" s="1" t="s">
        <v>224</v>
      </c>
      <c r="E730" s="5">
        <v>5</v>
      </c>
    </row>
    <row r="731" spans="1:5" ht="21" customHeight="1" x14ac:dyDescent="0.3">
      <c r="A731" s="1" t="s">
        <v>262</v>
      </c>
      <c r="B731" s="52" t="s">
        <v>421</v>
      </c>
      <c r="C731" s="18" t="s">
        <v>423</v>
      </c>
      <c r="D731" s="1" t="s">
        <v>230</v>
      </c>
      <c r="E731" s="18">
        <v>1</v>
      </c>
    </row>
    <row r="732" spans="1:5" ht="21" customHeight="1" x14ac:dyDescent="0.3">
      <c r="A732" s="1" t="s">
        <v>262</v>
      </c>
      <c r="B732" s="52" t="s">
        <v>421</v>
      </c>
      <c r="C732" s="18" t="s">
        <v>423</v>
      </c>
      <c r="D732" s="1" t="s">
        <v>230</v>
      </c>
      <c r="E732" s="18">
        <v>2</v>
      </c>
    </row>
    <row r="733" spans="1:5" ht="21" customHeight="1" x14ac:dyDescent="0.3">
      <c r="A733" s="1" t="s">
        <v>262</v>
      </c>
      <c r="B733" s="52" t="s">
        <v>421</v>
      </c>
      <c r="C733" s="18" t="s">
        <v>423</v>
      </c>
      <c r="D733" s="1" t="s">
        <v>230</v>
      </c>
      <c r="E733" s="18">
        <v>3</v>
      </c>
    </row>
    <row r="734" spans="1:5" ht="21" customHeight="1" x14ac:dyDescent="0.3">
      <c r="A734" s="1" t="s">
        <v>262</v>
      </c>
      <c r="B734" s="52" t="s">
        <v>421</v>
      </c>
      <c r="C734" s="18" t="s">
        <v>423</v>
      </c>
      <c r="D734" s="1" t="s">
        <v>230</v>
      </c>
      <c r="E734" s="18">
        <v>4</v>
      </c>
    </row>
    <row r="735" spans="1:5" ht="21" customHeight="1" x14ac:dyDescent="0.3">
      <c r="A735" s="1" t="s">
        <v>262</v>
      </c>
      <c r="B735" s="52" t="s">
        <v>421</v>
      </c>
      <c r="C735" s="18" t="s">
        <v>423</v>
      </c>
      <c r="D735" s="1" t="s">
        <v>230</v>
      </c>
      <c r="E735" s="18">
        <v>5</v>
      </c>
    </row>
    <row r="736" spans="1:5" ht="21" customHeight="1" x14ac:dyDescent="0.3">
      <c r="A736" s="1" t="s">
        <v>262</v>
      </c>
      <c r="B736" s="52" t="s">
        <v>421</v>
      </c>
      <c r="C736" s="5" t="s">
        <v>424</v>
      </c>
      <c r="D736" s="1" t="s">
        <v>225</v>
      </c>
      <c r="E736" s="5">
        <v>1</v>
      </c>
    </row>
    <row r="737" spans="1:5" ht="21" customHeight="1" x14ac:dyDescent="0.3">
      <c r="A737" s="1" t="s">
        <v>262</v>
      </c>
      <c r="B737" s="52" t="s">
        <v>421</v>
      </c>
      <c r="C737" s="5" t="s">
        <v>424</v>
      </c>
      <c r="D737" s="1" t="s">
        <v>225</v>
      </c>
      <c r="E737" s="5">
        <v>2</v>
      </c>
    </row>
    <row r="738" spans="1:5" ht="21" customHeight="1" x14ac:dyDescent="0.3">
      <c r="A738" s="1" t="s">
        <v>262</v>
      </c>
      <c r="B738" s="52" t="s">
        <v>421</v>
      </c>
      <c r="C738" s="5" t="s">
        <v>424</v>
      </c>
      <c r="D738" s="1" t="s">
        <v>225</v>
      </c>
      <c r="E738" s="5">
        <v>3</v>
      </c>
    </row>
    <row r="739" spans="1:5" ht="21" customHeight="1" x14ac:dyDescent="0.3">
      <c r="A739" s="1" t="s">
        <v>262</v>
      </c>
      <c r="B739" s="52" t="s">
        <v>421</v>
      </c>
      <c r="C739" s="5" t="s">
        <v>424</v>
      </c>
      <c r="D739" s="1" t="s">
        <v>225</v>
      </c>
      <c r="E739" s="5">
        <v>4</v>
      </c>
    </row>
    <row r="740" spans="1:5" ht="21" customHeight="1" x14ac:dyDescent="0.3">
      <c r="A740" s="1" t="s">
        <v>262</v>
      </c>
      <c r="B740" s="52" t="s">
        <v>421</v>
      </c>
      <c r="C740" s="5" t="s">
        <v>424</v>
      </c>
      <c r="D740" s="1" t="s">
        <v>225</v>
      </c>
      <c r="E740" s="5">
        <v>5</v>
      </c>
    </row>
    <row r="741" spans="1:5" ht="21" customHeight="1" x14ac:dyDescent="0.3">
      <c r="A741" s="1" t="s">
        <v>262</v>
      </c>
      <c r="B741" s="52" t="s">
        <v>421</v>
      </c>
      <c r="C741" s="18" t="s">
        <v>424</v>
      </c>
      <c r="D741" s="1" t="s">
        <v>225</v>
      </c>
      <c r="E741" s="18">
        <v>1</v>
      </c>
    </row>
    <row r="742" spans="1:5" ht="21" customHeight="1" x14ac:dyDescent="0.3">
      <c r="A742" s="1" t="s">
        <v>262</v>
      </c>
      <c r="B742" s="52" t="s">
        <v>421</v>
      </c>
      <c r="C742" s="18" t="s">
        <v>424</v>
      </c>
      <c r="D742" s="1" t="s">
        <v>225</v>
      </c>
      <c r="E742" s="18">
        <v>2</v>
      </c>
    </row>
    <row r="743" spans="1:5" ht="21" customHeight="1" x14ac:dyDescent="0.3">
      <c r="A743" s="1" t="s">
        <v>262</v>
      </c>
      <c r="B743" s="52" t="s">
        <v>421</v>
      </c>
      <c r="C743" s="18" t="s">
        <v>424</v>
      </c>
      <c r="D743" s="1" t="s">
        <v>225</v>
      </c>
      <c r="E743" s="18">
        <v>3</v>
      </c>
    </row>
    <row r="744" spans="1:5" ht="21" customHeight="1" x14ac:dyDescent="0.3">
      <c r="A744" s="1" t="s">
        <v>262</v>
      </c>
      <c r="B744" s="52" t="s">
        <v>421</v>
      </c>
      <c r="C744" s="18" t="s">
        <v>424</v>
      </c>
      <c r="D744" s="1" t="s">
        <v>225</v>
      </c>
      <c r="E744" s="18">
        <v>4</v>
      </c>
    </row>
    <row r="745" spans="1:5" ht="21" customHeight="1" x14ac:dyDescent="0.3">
      <c r="A745" s="1" t="s">
        <v>262</v>
      </c>
      <c r="B745" s="52" t="s">
        <v>421</v>
      </c>
      <c r="C745" s="18" t="s">
        <v>424</v>
      </c>
      <c r="D745" s="1" t="s">
        <v>225</v>
      </c>
      <c r="E745" s="18">
        <v>5</v>
      </c>
    </row>
    <row r="746" spans="1:5" ht="21" customHeight="1" x14ac:dyDescent="0.3">
      <c r="A746" s="1" t="s">
        <v>292</v>
      </c>
      <c r="B746" s="52" t="s">
        <v>421</v>
      </c>
      <c r="C746" s="5" t="s">
        <v>425</v>
      </c>
      <c r="D746" s="1" t="s">
        <v>226</v>
      </c>
      <c r="E746" s="5">
        <v>1</v>
      </c>
    </row>
    <row r="747" spans="1:5" ht="21" customHeight="1" x14ac:dyDescent="0.3">
      <c r="A747" s="1" t="s">
        <v>292</v>
      </c>
      <c r="B747" s="52" t="s">
        <v>421</v>
      </c>
      <c r="C747" s="5" t="s">
        <v>425</v>
      </c>
      <c r="D747" s="1" t="s">
        <v>226</v>
      </c>
      <c r="E747" s="5">
        <v>2</v>
      </c>
    </row>
    <row r="748" spans="1:5" ht="21" customHeight="1" x14ac:dyDescent="0.3">
      <c r="A748" s="1" t="s">
        <v>292</v>
      </c>
      <c r="B748" s="52" t="s">
        <v>421</v>
      </c>
      <c r="C748" s="5" t="s">
        <v>425</v>
      </c>
      <c r="D748" s="1" t="s">
        <v>226</v>
      </c>
      <c r="E748" s="5">
        <v>3</v>
      </c>
    </row>
    <row r="749" spans="1:5" ht="21" customHeight="1" x14ac:dyDescent="0.3">
      <c r="A749" s="1" t="s">
        <v>292</v>
      </c>
      <c r="B749" s="52" t="s">
        <v>421</v>
      </c>
      <c r="C749" s="5" t="s">
        <v>425</v>
      </c>
      <c r="D749" s="1" t="s">
        <v>226</v>
      </c>
      <c r="E749" s="5">
        <v>4</v>
      </c>
    </row>
    <row r="750" spans="1:5" ht="21" customHeight="1" x14ac:dyDescent="0.3">
      <c r="A750" s="1" t="s">
        <v>292</v>
      </c>
      <c r="B750" s="52" t="s">
        <v>421</v>
      </c>
      <c r="C750" s="5" t="s">
        <v>425</v>
      </c>
      <c r="D750" s="1" t="s">
        <v>226</v>
      </c>
      <c r="E750" s="5">
        <v>5</v>
      </c>
    </row>
    <row r="751" spans="1:5" ht="21" customHeight="1" x14ac:dyDescent="0.3">
      <c r="A751" s="1" t="s">
        <v>292</v>
      </c>
      <c r="B751" s="52" t="s">
        <v>421</v>
      </c>
      <c r="C751" s="5" t="s">
        <v>425</v>
      </c>
      <c r="D751" s="1" t="s">
        <v>226</v>
      </c>
      <c r="E751" s="5">
        <v>6</v>
      </c>
    </row>
    <row r="752" spans="1:5" ht="21" customHeight="1" x14ac:dyDescent="0.3">
      <c r="A752" s="1" t="s">
        <v>292</v>
      </c>
      <c r="B752" s="52" t="s">
        <v>421</v>
      </c>
      <c r="C752" s="5" t="s">
        <v>425</v>
      </c>
      <c r="D752" s="1" t="s">
        <v>226</v>
      </c>
      <c r="E752" s="5">
        <v>7</v>
      </c>
    </row>
    <row r="753" spans="1:5" ht="21" customHeight="1" x14ac:dyDescent="0.3">
      <c r="A753" s="1" t="s">
        <v>292</v>
      </c>
      <c r="B753" s="52" t="s">
        <v>421</v>
      </c>
      <c r="C753" s="5" t="s">
        <v>425</v>
      </c>
      <c r="D753" s="1" t="s">
        <v>226</v>
      </c>
      <c r="E753" s="5">
        <v>8</v>
      </c>
    </row>
    <row r="754" spans="1:5" ht="21" customHeight="1" x14ac:dyDescent="0.3">
      <c r="A754" s="1" t="s">
        <v>262</v>
      </c>
      <c r="B754" s="51" t="s">
        <v>426</v>
      </c>
      <c r="C754" s="18" t="s">
        <v>427</v>
      </c>
      <c r="D754" s="1" t="s">
        <v>224</v>
      </c>
      <c r="E754" s="18">
        <v>1</v>
      </c>
    </row>
    <row r="755" spans="1:5" ht="21" customHeight="1" x14ac:dyDescent="0.3">
      <c r="A755" s="1" t="s">
        <v>262</v>
      </c>
      <c r="B755" s="51" t="s">
        <v>426</v>
      </c>
      <c r="C755" s="18" t="s">
        <v>427</v>
      </c>
      <c r="D755" s="1" t="s">
        <v>224</v>
      </c>
      <c r="E755" s="18">
        <v>2</v>
      </c>
    </row>
    <row r="756" spans="1:5" ht="21" customHeight="1" x14ac:dyDescent="0.3">
      <c r="A756" s="1" t="s">
        <v>262</v>
      </c>
      <c r="B756" s="51" t="s">
        <v>426</v>
      </c>
      <c r="C756" s="18" t="s">
        <v>427</v>
      </c>
      <c r="D756" s="1" t="s">
        <v>224</v>
      </c>
      <c r="E756" s="18">
        <v>3</v>
      </c>
    </row>
    <row r="757" spans="1:5" ht="21" customHeight="1" x14ac:dyDescent="0.3">
      <c r="A757" s="1" t="s">
        <v>262</v>
      </c>
      <c r="B757" s="51" t="s">
        <v>426</v>
      </c>
      <c r="C757" s="18" t="s">
        <v>427</v>
      </c>
      <c r="D757" s="1" t="s">
        <v>224</v>
      </c>
      <c r="E757" s="18">
        <v>4</v>
      </c>
    </row>
    <row r="758" spans="1:5" ht="21" customHeight="1" x14ac:dyDescent="0.3">
      <c r="A758" s="1" t="s">
        <v>262</v>
      </c>
      <c r="B758" s="51" t="s">
        <v>426</v>
      </c>
      <c r="C758" s="18" t="s">
        <v>427</v>
      </c>
      <c r="D758" s="1" t="s">
        <v>224</v>
      </c>
      <c r="E758" s="18">
        <v>5</v>
      </c>
    </row>
    <row r="759" spans="1:5" ht="21" customHeight="1" x14ac:dyDescent="0.3">
      <c r="A759" s="1" t="s">
        <v>262</v>
      </c>
      <c r="B759" s="51" t="s">
        <v>426</v>
      </c>
      <c r="C759" s="5" t="s">
        <v>428</v>
      </c>
      <c r="D759" s="1" t="s">
        <v>230</v>
      </c>
      <c r="E759" s="5">
        <v>1</v>
      </c>
    </row>
    <row r="760" spans="1:5" ht="21" customHeight="1" x14ac:dyDescent="0.3">
      <c r="A760" s="1" t="s">
        <v>262</v>
      </c>
      <c r="B760" s="51" t="s">
        <v>426</v>
      </c>
      <c r="C760" s="5" t="s">
        <v>428</v>
      </c>
      <c r="D760" s="1" t="s">
        <v>230</v>
      </c>
      <c r="E760" s="5">
        <v>2</v>
      </c>
    </row>
    <row r="761" spans="1:5" ht="21" customHeight="1" x14ac:dyDescent="0.3">
      <c r="A761" s="1" t="s">
        <v>262</v>
      </c>
      <c r="B761" s="51" t="s">
        <v>426</v>
      </c>
      <c r="C761" s="5" t="s">
        <v>428</v>
      </c>
      <c r="D761" s="1" t="s">
        <v>230</v>
      </c>
      <c r="E761" s="5">
        <v>3</v>
      </c>
    </row>
    <row r="762" spans="1:5" ht="21" customHeight="1" x14ac:dyDescent="0.3">
      <c r="A762" s="1" t="s">
        <v>262</v>
      </c>
      <c r="B762" s="51" t="s">
        <v>426</v>
      </c>
      <c r="C762" s="5" t="s">
        <v>428</v>
      </c>
      <c r="D762" s="1" t="s">
        <v>230</v>
      </c>
      <c r="E762" s="5">
        <v>4</v>
      </c>
    </row>
    <row r="763" spans="1:5" ht="21" customHeight="1" x14ac:dyDescent="0.3">
      <c r="A763" s="1" t="s">
        <v>262</v>
      </c>
      <c r="B763" s="51" t="s">
        <v>426</v>
      </c>
      <c r="C763" s="5" t="s">
        <v>428</v>
      </c>
      <c r="D763" s="1" t="s">
        <v>230</v>
      </c>
      <c r="E763" s="5">
        <v>5</v>
      </c>
    </row>
    <row r="764" spans="1:5" ht="21" customHeight="1" x14ac:dyDescent="0.3">
      <c r="A764" s="1" t="s">
        <v>262</v>
      </c>
      <c r="B764" s="51" t="s">
        <v>426</v>
      </c>
      <c r="C764" s="18" t="s">
        <v>429</v>
      </c>
      <c r="D764" s="1" t="s">
        <v>225</v>
      </c>
      <c r="E764" s="18">
        <v>1</v>
      </c>
    </row>
    <row r="765" spans="1:5" ht="21" customHeight="1" x14ac:dyDescent="0.3">
      <c r="A765" s="1" t="s">
        <v>262</v>
      </c>
      <c r="B765" s="51" t="s">
        <v>426</v>
      </c>
      <c r="C765" s="18" t="s">
        <v>429</v>
      </c>
      <c r="D765" s="1" t="s">
        <v>225</v>
      </c>
      <c r="E765" s="18">
        <v>2</v>
      </c>
    </row>
    <row r="766" spans="1:5" ht="21" customHeight="1" x14ac:dyDescent="0.3">
      <c r="A766" s="1" t="s">
        <v>262</v>
      </c>
      <c r="B766" s="51" t="s">
        <v>426</v>
      </c>
      <c r="C766" s="18" t="s">
        <v>429</v>
      </c>
      <c r="D766" s="1" t="s">
        <v>225</v>
      </c>
      <c r="E766" s="18">
        <v>3</v>
      </c>
    </row>
    <row r="767" spans="1:5" ht="21" customHeight="1" x14ac:dyDescent="0.3">
      <c r="A767" s="1" t="s">
        <v>262</v>
      </c>
      <c r="B767" s="51" t="s">
        <v>426</v>
      </c>
      <c r="C767" s="18" t="s">
        <v>429</v>
      </c>
      <c r="D767" s="1" t="s">
        <v>225</v>
      </c>
      <c r="E767" s="18">
        <v>4</v>
      </c>
    </row>
    <row r="768" spans="1:5" ht="21" customHeight="1" x14ac:dyDescent="0.3">
      <c r="A768" s="1" t="s">
        <v>262</v>
      </c>
      <c r="B768" s="51" t="s">
        <v>426</v>
      </c>
      <c r="C768" s="18" t="s">
        <v>429</v>
      </c>
      <c r="D768" s="1" t="s">
        <v>225</v>
      </c>
      <c r="E768" s="18">
        <v>5</v>
      </c>
    </row>
    <row r="769" spans="1:5" ht="21" customHeight="1" x14ac:dyDescent="0.3">
      <c r="A769" s="1" t="s">
        <v>262</v>
      </c>
      <c r="B769" s="51" t="s">
        <v>426</v>
      </c>
      <c r="C769" s="5" t="s">
        <v>429</v>
      </c>
      <c r="D769" s="1" t="s">
        <v>225</v>
      </c>
      <c r="E769" s="5">
        <v>1</v>
      </c>
    </row>
    <row r="770" spans="1:5" ht="21" customHeight="1" x14ac:dyDescent="0.3">
      <c r="A770" s="1" t="s">
        <v>262</v>
      </c>
      <c r="B770" s="51" t="s">
        <v>426</v>
      </c>
      <c r="C770" s="5" t="s">
        <v>429</v>
      </c>
      <c r="D770" s="1" t="s">
        <v>225</v>
      </c>
      <c r="E770" s="5">
        <v>2</v>
      </c>
    </row>
    <row r="771" spans="1:5" ht="21" customHeight="1" x14ac:dyDescent="0.3">
      <c r="A771" s="1" t="s">
        <v>262</v>
      </c>
      <c r="B771" s="51" t="s">
        <v>426</v>
      </c>
      <c r="C771" s="5" t="s">
        <v>429</v>
      </c>
      <c r="D771" s="1" t="s">
        <v>225</v>
      </c>
      <c r="E771" s="5">
        <v>3</v>
      </c>
    </row>
    <row r="772" spans="1:5" ht="21" customHeight="1" x14ac:dyDescent="0.3">
      <c r="A772" s="1" t="s">
        <v>262</v>
      </c>
      <c r="B772" s="51" t="s">
        <v>426</v>
      </c>
      <c r="C772" s="5" t="s">
        <v>429</v>
      </c>
      <c r="D772" s="1" t="s">
        <v>225</v>
      </c>
      <c r="E772" s="5">
        <v>4</v>
      </c>
    </row>
    <row r="773" spans="1:5" ht="21" customHeight="1" x14ac:dyDescent="0.3">
      <c r="A773" s="1" t="s">
        <v>262</v>
      </c>
      <c r="B773" s="51" t="s">
        <v>426</v>
      </c>
      <c r="C773" s="5" t="s">
        <v>429</v>
      </c>
      <c r="D773" s="1" t="s">
        <v>225</v>
      </c>
      <c r="E773" s="5">
        <v>5</v>
      </c>
    </row>
    <row r="774" spans="1:5" ht="21" customHeight="1" x14ac:dyDescent="0.3">
      <c r="A774" s="1" t="s">
        <v>292</v>
      </c>
      <c r="B774" s="51" t="s">
        <v>426</v>
      </c>
      <c r="C774" s="18" t="s">
        <v>430</v>
      </c>
      <c r="D774" s="1" t="s">
        <v>226</v>
      </c>
      <c r="E774" s="18">
        <v>1</v>
      </c>
    </row>
    <row r="775" spans="1:5" ht="21" customHeight="1" x14ac:dyDescent="0.3">
      <c r="A775" s="1" t="s">
        <v>292</v>
      </c>
      <c r="B775" s="51" t="s">
        <v>426</v>
      </c>
      <c r="C775" s="18" t="s">
        <v>430</v>
      </c>
      <c r="D775" s="1" t="s">
        <v>226</v>
      </c>
      <c r="E775" s="18">
        <v>2</v>
      </c>
    </row>
    <row r="776" spans="1:5" ht="21" customHeight="1" x14ac:dyDescent="0.3">
      <c r="A776" s="1" t="s">
        <v>292</v>
      </c>
      <c r="B776" s="51" t="s">
        <v>426</v>
      </c>
      <c r="C776" s="18" t="s">
        <v>430</v>
      </c>
      <c r="D776" s="1" t="s">
        <v>226</v>
      </c>
      <c r="E776" s="18">
        <v>3</v>
      </c>
    </row>
    <row r="777" spans="1:5" ht="21" customHeight="1" x14ac:dyDescent="0.3">
      <c r="A777" s="1" t="s">
        <v>292</v>
      </c>
      <c r="B777" s="51" t="s">
        <v>426</v>
      </c>
      <c r="C777" s="18" t="s">
        <v>430</v>
      </c>
      <c r="D777" s="1" t="s">
        <v>226</v>
      </c>
      <c r="E777" s="18">
        <v>4</v>
      </c>
    </row>
    <row r="778" spans="1:5" ht="21" customHeight="1" x14ac:dyDescent="0.3">
      <c r="A778" s="1" t="s">
        <v>292</v>
      </c>
      <c r="B778" s="51" t="s">
        <v>426</v>
      </c>
      <c r="C778" s="18" t="s">
        <v>430</v>
      </c>
      <c r="D778" s="1" t="s">
        <v>226</v>
      </c>
      <c r="E778" s="18">
        <v>5</v>
      </c>
    </row>
    <row r="779" spans="1:5" ht="21" customHeight="1" x14ac:dyDescent="0.3">
      <c r="A779" s="1" t="s">
        <v>292</v>
      </c>
      <c r="B779" s="51" t="s">
        <v>426</v>
      </c>
      <c r="C779" s="18" t="s">
        <v>430</v>
      </c>
      <c r="D779" s="1" t="s">
        <v>226</v>
      </c>
      <c r="E779" s="18">
        <v>6</v>
      </c>
    </row>
    <row r="780" spans="1:5" ht="21" customHeight="1" x14ac:dyDescent="0.3">
      <c r="A780" s="1" t="s">
        <v>292</v>
      </c>
      <c r="B780" s="51" t="s">
        <v>426</v>
      </c>
      <c r="C780" s="18" t="s">
        <v>430</v>
      </c>
      <c r="D780" s="1" t="s">
        <v>226</v>
      </c>
      <c r="E780" s="18">
        <v>7</v>
      </c>
    </row>
    <row r="781" spans="1:5" ht="21" customHeight="1" x14ac:dyDescent="0.3">
      <c r="A781" s="1" t="s">
        <v>292</v>
      </c>
      <c r="B781" s="51" t="s">
        <v>426</v>
      </c>
      <c r="C781" s="18" t="s">
        <v>430</v>
      </c>
      <c r="D781" s="1" t="s">
        <v>226</v>
      </c>
      <c r="E781" s="18">
        <v>8</v>
      </c>
    </row>
    <row r="782" spans="1:5" ht="21" customHeight="1" x14ac:dyDescent="0.3">
      <c r="A782" s="1" t="s">
        <v>222</v>
      </c>
      <c r="B782" s="51" t="s">
        <v>431</v>
      </c>
      <c r="C782" s="5" t="s">
        <v>432</v>
      </c>
      <c r="D782" s="1" t="s">
        <v>224</v>
      </c>
      <c r="E782" s="5">
        <v>1</v>
      </c>
    </row>
    <row r="783" spans="1:5" ht="21" customHeight="1" x14ac:dyDescent="0.3">
      <c r="A783" s="1" t="s">
        <v>222</v>
      </c>
      <c r="B783" s="51" t="s">
        <v>431</v>
      </c>
      <c r="C783" s="5" t="s">
        <v>432</v>
      </c>
      <c r="D783" s="1" t="s">
        <v>224</v>
      </c>
      <c r="E783" s="5">
        <v>2</v>
      </c>
    </row>
    <row r="784" spans="1:5" ht="21" customHeight="1" x14ac:dyDescent="0.3">
      <c r="A784" s="1" t="s">
        <v>222</v>
      </c>
      <c r="B784" s="51" t="s">
        <v>431</v>
      </c>
      <c r="C784" s="5" t="s">
        <v>432</v>
      </c>
      <c r="D784" s="1" t="s">
        <v>224</v>
      </c>
      <c r="E784" s="5">
        <v>3</v>
      </c>
    </row>
    <row r="785" spans="1:5" ht="21" customHeight="1" x14ac:dyDescent="0.3">
      <c r="A785" s="1" t="s">
        <v>222</v>
      </c>
      <c r="B785" s="51" t="s">
        <v>431</v>
      </c>
      <c r="C785" s="5" t="s">
        <v>432</v>
      </c>
      <c r="D785" s="1" t="s">
        <v>224</v>
      </c>
      <c r="E785" s="5">
        <v>4</v>
      </c>
    </row>
    <row r="786" spans="1:5" ht="21" customHeight="1" x14ac:dyDescent="0.3">
      <c r="A786" s="1" t="s">
        <v>222</v>
      </c>
      <c r="B786" s="51" t="s">
        <v>431</v>
      </c>
      <c r="C786" s="5" t="s">
        <v>432</v>
      </c>
      <c r="D786" s="1" t="s">
        <v>224</v>
      </c>
      <c r="E786" s="5">
        <v>5</v>
      </c>
    </row>
    <row r="787" spans="1:5" ht="21" customHeight="1" x14ac:dyDescent="0.3">
      <c r="A787" s="1" t="s">
        <v>222</v>
      </c>
      <c r="B787" s="51" t="s">
        <v>431</v>
      </c>
      <c r="C787" s="18" t="s">
        <v>433</v>
      </c>
      <c r="D787" s="1" t="s">
        <v>225</v>
      </c>
      <c r="E787" s="18">
        <v>1</v>
      </c>
    </row>
    <row r="788" spans="1:5" ht="21" customHeight="1" x14ac:dyDescent="0.3">
      <c r="A788" s="1" t="s">
        <v>222</v>
      </c>
      <c r="B788" s="51" t="s">
        <v>431</v>
      </c>
      <c r="C788" s="18" t="s">
        <v>433</v>
      </c>
      <c r="D788" s="1" t="s">
        <v>225</v>
      </c>
      <c r="E788" s="18">
        <v>2</v>
      </c>
    </row>
    <row r="789" spans="1:5" ht="21" customHeight="1" x14ac:dyDescent="0.3">
      <c r="A789" s="1" t="s">
        <v>222</v>
      </c>
      <c r="B789" s="51" t="s">
        <v>431</v>
      </c>
      <c r="C789" s="18" t="s">
        <v>433</v>
      </c>
      <c r="D789" s="1" t="s">
        <v>225</v>
      </c>
      <c r="E789" s="18">
        <v>3</v>
      </c>
    </row>
    <row r="790" spans="1:5" ht="21" customHeight="1" x14ac:dyDescent="0.3">
      <c r="A790" s="1" t="s">
        <v>222</v>
      </c>
      <c r="B790" s="51" t="s">
        <v>431</v>
      </c>
      <c r="C790" s="18" t="s">
        <v>433</v>
      </c>
      <c r="D790" s="1" t="s">
        <v>225</v>
      </c>
      <c r="E790" s="18">
        <v>4</v>
      </c>
    </row>
    <row r="791" spans="1:5" ht="21" customHeight="1" x14ac:dyDescent="0.3">
      <c r="A791" s="1" t="s">
        <v>222</v>
      </c>
      <c r="B791" s="51" t="s">
        <v>431</v>
      </c>
      <c r="C791" s="18" t="s">
        <v>433</v>
      </c>
      <c r="D791" s="1" t="s">
        <v>225</v>
      </c>
      <c r="E791" s="18">
        <v>5</v>
      </c>
    </row>
    <row r="792" spans="1:5" ht="21" customHeight="1" x14ac:dyDescent="0.3">
      <c r="A792" s="1" t="s">
        <v>222</v>
      </c>
      <c r="B792" s="51" t="s">
        <v>431</v>
      </c>
      <c r="C792" s="5" t="s">
        <v>433</v>
      </c>
      <c r="D792" s="1" t="s">
        <v>225</v>
      </c>
      <c r="E792" s="5">
        <v>1</v>
      </c>
    </row>
    <row r="793" spans="1:5" ht="21" customHeight="1" x14ac:dyDescent="0.3">
      <c r="A793" s="1" t="s">
        <v>222</v>
      </c>
      <c r="B793" s="51" t="s">
        <v>431</v>
      </c>
      <c r="C793" s="5" t="s">
        <v>433</v>
      </c>
      <c r="D793" s="1" t="s">
        <v>225</v>
      </c>
      <c r="E793" s="5">
        <v>2</v>
      </c>
    </row>
    <row r="794" spans="1:5" ht="21" customHeight="1" x14ac:dyDescent="0.3">
      <c r="A794" s="1" t="s">
        <v>222</v>
      </c>
      <c r="B794" s="51" t="s">
        <v>431</v>
      </c>
      <c r="C794" s="5" t="s">
        <v>433</v>
      </c>
      <c r="D794" s="1" t="s">
        <v>225</v>
      </c>
      <c r="E794" s="5">
        <v>3</v>
      </c>
    </row>
    <row r="795" spans="1:5" ht="21" customHeight="1" x14ac:dyDescent="0.3">
      <c r="A795" s="1" t="s">
        <v>222</v>
      </c>
      <c r="B795" s="51" t="s">
        <v>431</v>
      </c>
      <c r="C795" s="5" t="s">
        <v>433</v>
      </c>
      <c r="D795" s="1" t="s">
        <v>225</v>
      </c>
      <c r="E795" s="5">
        <v>4</v>
      </c>
    </row>
    <row r="796" spans="1:5" ht="21" customHeight="1" x14ac:dyDescent="0.3">
      <c r="A796" s="1" t="s">
        <v>222</v>
      </c>
      <c r="B796" s="51" t="s">
        <v>431</v>
      </c>
      <c r="C796" s="5" t="s">
        <v>433</v>
      </c>
      <c r="D796" s="1" t="s">
        <v>225</v>
      </c>
      <c r="E796" s="5">
        <v>5</v>
      </c>
    </row>
    <row r="797" spans="1:5" ht="21" customHeight="1" x14ac:dyDescent="0.3">
      <c r="A797" s="1" t="s">
        <v>292</v>
      </c>
      <c r="B797" s="51" t="s">
        <v>431</v>
      </c>
      <c r="C797" s="18" t="s">
        <v>434</v>
      </c>
      <c r="D797" s="1" t="s">
        <v>226</v>
      </c>
      <c r="E797" s="18">
        <v>1</v>
      </c>
    </row>
    <row r="798" spans="1:5" ht="21" customHeight="1" x14ac:dyDescent="0.3">
      <c r="A798" s="1" t="s">
        <v>292</v>
      </c>
      <c r="B798" s="51" t="s">
        <v>431</v>
      </c>
      <c r="C798" s="18" t="s">
        <v>434</v>
      </c>
      <c r="D798" s="1" t="s">
        <v>226</v>
      </c>
      <c r="E798" s="18">
        <v>2</v>
      </c>
    </row>
    <row r="799" spans="1:5" ht="21" customHeight="1" x14ac:dyDescent="0.3">
      <c r="A799" s="1" t="s">
        <v>292</v>
      </c>
      <c r="B799" s="51" t="s">
        <v>431</v>
      </c>
      <c r="C799" s="18" t="s">
        <v>434</v>
      </c>
      <c r="D799" s="1" t="s">
        <v>226</v>
      </c>
      <c r="E799" s="18">
        <v>3</v>
      </c>
    </row>
    <row r="800" spans="1:5" ht="21" customHeight="1" x14ac:dyDescent="0.3">
      <c r="A800" s="1" t="s">
        <v>292</v>
      </c>
      <c r="B800" s="51" t="s">
        <v>431</v>
      </c>
      <c r="C800" s="18" t="s">
        <v>434</v>
      </c>
      <c r="D800" s="1" t="s">
        <v>226</v>
      </c>
      <c r="E800" s="18">
        <v>4</v>
      </c>
    </row>
    <row r="801" spans="1:5" ht="21" customHeight="1" x14ac:dyDescent="0.3">
      <c r="A801" s="1" t="s">
        <v>292</v>
      </c>
      <c r="B801" s="51" t="s">
        <v>431</v>
      </c>
      <c r="C801" s="18" t="s">
        <v>434</v>
      </c>
      <c r="D801" s="1" t="s">
        <v>226</v>
      </c>
      <c r="E801" s="18">
        <v>5</v>
      </c>
    </row>
    <row r="802" spans="1:5" ht="21" customHeight="1" x14ac:dyDescent="0.3">
      <c r="A802" s="1" t="s">
        <v>292</v>
      </c>
      <c r="B802" s="51" t="s">
        <v>431</v>
      </c>
      <c r="C802" s="18" t="s">
        <v>434</v>
      </c>
      <c r="D802" s="1" t="s">
        <v>226</v>
      </c>
      <c r="E802" s="18">
        <v>6</v>
      </c>
    </row>
    <row r="803" spans="1:5" ht="21" customHeight="1" x14ac:dyDescent="0.3">
      <c r="A803" s="1" t="s">
        <v>292</v>
      </c>
      <c r="B803" s="51" t="s">
        <v>431</v>
      </c>
      <c r="C803" s="18" t="s">
        <v>434</v>
      </c>
      <c r="D803" s="1" t="s">
        <v>226</v>
      </c>
      <c r="E803" s="18">
        <v>7</v>
      </c>
    </row>
    <row r="804" spans="1:5" ht="21" customHeight="1" x14ac:dyDescent="0.3">
      <c r="A804" s="1" t="s">
        <v>292</v>
      </c>
      <c r="B804" s="51" t="s">
        <v>431</v>
      </c>
      <c r="C804" s="18" t="s">
        <v>434</v>
      </c>
      <c r="D804" s="1" t="s">
        <v>226</v>
      </c>
      <c r="E804" s="18">
        <v>8</v>
      </c>
    </row>
    <row r="805" spans="1:5" ht="21" customHeight="1" x14ac:dyDescent="0.3">
      <c r="A805" s="1" t="s">
        <v>222</v>
      </c>
      <c r="B805" s="52" t="s">
        <v>435</v>
      </c>
      <c r="C805" s="5" t="s">
        <v>436</v>
      </c>
      <c r="D805" s="1" t="s">
        <v>224</v>
      </c>
      <c r="E805" s="5">
        <v>1</v>
      </c>
    </row>
    <row r="806" spans="1:5" ht="21" customHeight="1" x14ac:dyDescent="0.3">
      <c r="A806" s="1" t="s">
        <v>222</v>
      </c>
      <c r="B806" s="52" t="s">
        <v>435</v>
      </c>
      <c r="C806" s="5" t="s">
        <v>436</v>
      </c>
      <c r="D806" s="1" t="s">
        <v>224</v>
      </c>
      <c r="E806" s="5">
        <v>2</v>
      </c>
    </row>
    <row r="807" spans="1:5" ht="21" customHeight="1" x14ac:dyDescent="0.3">
      <c r="A807" s="1" t="s">
        <v>222</v>
      </c>
      <c r="B807" s="52" t="s">
        <v>435</v>
      </c>
      <c r="C807" s="5" t="s">
        <v>436</v>
      </c>
      <c r="D807" s="1" t="s">
        <v>224</v>
      </c>
      <c r="E807" s="5">
        <v>3</v>
      </c>
    </row>
    <row r="808" spans="1:5" ht="21" customHeight="1" x14ac:dyDescent="0.3">
      <c r="A808" s="1" t="s">
        <v>222</v>
      </c>
      <c r="B808" s="52" t="s">
        <v>435</v>
      </c>
      <c r="C808" s="5" t="s">
        <v>436</v>
      </c>
      <c r="D808" s="1" t="s">
        <v>224</v>
      </c>
      <c r="E808" s="5">
        <v>4</v>
      </c>
    </row>
    <row r="809" spans="1:5" ht="21" customHeight="1" x14ac:dyDescent="0.3">
      <c r="A809" s="1" t="s">
        <v>222</v>
      </c>
      <c r="B809" s="52" t="s">
        <v>435</v>
      </c>
      <c r="C809" s="5" t="s">
        <v>436</v>
      </c>
      <c r="D809" s="1" t="s">
        <v>224</v>
      </c>
      <c r="E809" s="5">
        <v>5</v>
      </c>
    </row>
    <row r="810" spans="1:5" ht="21" customHeight="1" x14ac:dyDescent="0.3">
      <c r="A810" s="1" t="s">
        <v>222</v>
      </c>
      <c r="B810" s="52" t="s">
        <v>435</v>
      </c>
      <c r="C810" s="18" t="s">
        <v>437</v>
      </c>
      <c r="D810" s="1" t="s">
        <v>225</v>
      </c>
      <c r="E810" s="18">
        <v>1</v>
      </c>
    </row>
    <row r="811" spans="1:5" ht="21" customHeight="1" x14ac:dyDescent="0.3">
      <c r="A811" s="1" t="s">
        <v>222</v>
      </c>
      <c r="B811" s="52" t="s">
        <v>435</v>
      </c>
      <c r="C811" s="18" t="s">
        <v>437</v>
      </c>
      <c r="D811" s="1" t="s">
        <v>225</v>
      </c>
      <c r="E811" s="18">
        <v>2</v>
      </c>
    </row>
    <row r="812" spans="1:5" ht="21" customHeight="1" x14ac:dyDescent="0.3">
      <c r="A812" s="1" t="s">
        <v>222</v>
      </c>
      <c r="B812" s="52" t="s">
        <v>435</v>
      </c>
      <c r="C812" s="18" t="s">
        <v>437</v>
      </c>
      <c r="D812" s="1" t="s">
        <v>225</v>
      </c>
      <c r="E812" s="18">
        <v>3</v>
      </c>
    </row>
    <row r="813" spans="1:5" ht="21" customHeight="1" x14ac:dyDescent="0.3">
      <c r="A813" s="1" t="s">
        <v>222</v>
      </c>
      <c r="B813" s="52" t="s">
        <v>435</v>
      </c>
      <c r="C813" s="18" t="s">
        <v>437</v>
      </c>
      <c r="D813" s="1" t="s">
        <v>225</v>
      </c>
      <c r="E813" s="18">
        <v>4</v>
      </c>
    </row>
    <row r="814" spans="1:5" ht="21" customHeight="1" x14ac:dyDescent="0.3">
      <c r="A814" s="1" t="s">
        <v>222</v>
      </c>
      <c r="B814" s="52" t="s">
        <v>435</v>
      </c>
      <c r="C814" s="18" t="s">
        <v>437</v>
      </c>
      <c r="D814" s="1" t="s">
        <v>225</v>
      </c>
      <c r="E814" s="18">
        <v>5</v>
      </c>
    </row>
    <row r="815" spans="1:5" ht="21" customHeight="1" x14ac:dyDescent="0.3">
      <c r="A815" s="1" t="s">
        <v>222</v>
      </c>
      <c r="B815" s="52" t="s">
        <v>435</v>
      </c>
      <c r="C815" s="5" t="s">
        <v>437</v>
      </c>
      <c r="D815" s="1" t="s">
        <v>225</v>
      </c>
      <c r="E815" s="5">
        <v>1</v>
      </c>
    </row>
    <row r="816" spans="1:5" ht="21" customHeight="1" x14ac:dyDescent="0.3">
      <c r="A816" s="1" t="s">
        <v>222</v>
      </c>
      <c r="B816" s="52" t="s">
        <v>435</v>
      </c>
      <c r="C816" s="5" t="s">
        <v>437</v>
      </c>
      <c r="D816" s="1" t="s">
        <v>225</v>
      </c>
      <c r="E816" s="5">
        <v>2</v>
      </c>
    </row>
    <row r="817" spans="1:5" ht="21" customHeight="1" x14ac:dyDescent="0.3">
      <c r="A817" s="1" t="s">
        <v>222</v>
      </c>
      <c r="B817" s="52" t="s">
        <v>435</v>
      </c>
      <c r="C817" s="5" t="s">
        <v>437</v>
      </c>
      <c r="D817" s="1" t="s">
        <v>225</v>
      </c>
      <c r="E817" s="5">
        <v>3</v>
      </c>
    </row>
    <row r="818" spans="1:5" ht="21" customHeight="1" x14ac:dyDescent="0.3">
      <c r="A818" s="1" t="s">
        <v>222</v>
      </c>
      <c r="B818" s="52" t="s">
        <v>435</v>
      </c>
      <c r="C818" s="5" t="s">
        <v>437</v>
      </c>
      <c r="D818" s="1" t="s">
        <v>225</v>
      </c>
      <c r="E818" s="5">
        <v>4</v>
      </c>
    </row>
    <row r="819" spans="1:5" ht="21" customHeight="1" x14ac:dyDescent="0.3">
      <c r="A819" s="1" t="s">
        <v>222</v>
      </c>
      <c r="B819" s="52" t="s">
        <v>435</v>
      </c>
      <c r="C819" s="5" t="s">
        <v>437</v>
      </c>
      <c r="D819" s="1" t="s">
        <v>225</v>
      </c>
      <c r="E819" s="5">
        <v>5</v>
      </c>
    </row>
    <row r="820" spans="1:5" ht="21" customHeight="1" x14ac:dyDescent="0.3">
      <c r="A820" s="1" t="s">
        <v>292</v>
      </c>
      <c r="B820" s="52" t="s">
        <v>435</v>
      </c>
      <c r="C820" s="18" t="s">
        <v>438</v>
      </c>
      <c r="D820" s="1" t="s">
        <v>226</v>
      </c>
      <c r="E820" s="18">
        <v>1</v>
      </c>
    </row>
    <row r="821" spans="1:5" ht="21" customHeight="1" x14ac:dyDescent="0.3">
      <c r="A821" s="1" t="s">
        <v>292</v>
      </c>
      <c r="B821" s="52" t="s">
        <v>435</v>
      </c>
      <c r="C821" s="18" t="s">
        <v>438</v>
      </c>
      <c r="D821" s="1" t="s">
        <v>226</v>
      </c>
      <c r="E821" s="18">
        <v>2</v>
      </c>
    </row>
    <row r="822" spans="1:5" ht="21" customHeight="1" x14ac:dyDescent="0.3">
      <c r="A822" s="1" t="s">
        <v>292</v>
      </c>
      <c r="B822" s="52" t="s">
        <v>435</v>
      </c>
      <c r="C822" s="18" t="s">
        <v>438</v>
      </c>
      <c r="D822" s="1" t="s">
        <v>226</v>
      </c>
      <c r="E822" s="18">
        <v>3</v>
      </c>
    </row>
    <row r="823" spans="1:5" ht="21" customHeight="1" x14ac:dyDescent="0.3">
      <c r="A823" s="1" t="s">
        <v>292</v>
      </c>
      <c r="B823" s="52" t="s">
        <v>435</v>
      </c>
      <c r="C823" s="18" t="s">
        <v>438</v>
      </c>
      <c r="D823" s="1" t="s">
        <v>226</v>
      </c>
      <c r="E823" s="18">
        <v>4</v>
      </c>
    </row>
    <row r="824" spans="1:5" ht="21" customHeight="1" x14ac:dyDescent="0.3">
      <c r="A824" s="1" t="s">
        <v>292</v>
      </c>
      <c r="B824" s="52" t="s">
        <v>435</v>
      </c>
      <c r="C824" s="18" t="s">
        <v>438</v>
      </c>
      <c r="D824" s="1" t="s">
        <v>226</v>
      </c>
      <c r="E824" s="18">
        <v>5</v>
      </c>
    </row>
    <row r="825" spans="1:5" ht="21" customHeight="1" x14ac:dyDescent="0.3">
      <c r="A825" s="1" t="s">
        <v>292</v>
      </c>
      <c r="B825" s="52" t="s">
        <v>435</v>
      </c>
      <c r="C825" s="18" t="s">
        <v>438</v>
      </c>
      <c r="D825" s="1" t="s">
        <v>226</v>
      </c>
      <c r="E825" s="18">
        <v>6</v>
      </c>
    </row>
    <row r="826" spans="1:5" ht="21" customHeight="1" x14ac:dyDescent="0.3">
      <c r="A826" s="1" t="s">
        <v>292</v>
      </c>
      <c r="B826" s="52" t="s">
        <v>435</v>
      </c>
      <c r="C826" s="18" t="s">
        <v>438</v>
      </c>
      <c r="D826" s="1" t="s">
        <v>226</v>
      </c>
      <c r="E826" s="18">
        <v>7</v>
      </c>
    </row>
    <row r="827" spans="1:5" ht="21" customHeight="1" x14ac:dyDescent="0.3">
      <c r="A827" s="1" t="s">
        <v>292</v>
      </c>
      <c r="B827" s="52" t="s">
        <v>435</v>
      </c>
      <c r="C827" s="18" t="s">
        <v>438</v>
      </c>
      <c r="D827" s="1" t="s">
        <v>226</v>
      </c>
      <c r="E827" s="18">
        <v>8</v>
      </c>
    </row>
    <row r="828" spans="1:5" ht="21" customHeight="1" x14ac:dyDescent="0.3">
      <c r="A828" s="1" t="s">
        <v>222</v>
      </c>
      <c r="B828" s="51" t="s">
        <v>439</v>
      </c>
      <c r="C828" s="5" t="s">
        <v>440</v>
      </c>
      <c r="D828" s="1" t="s">
        <v>224</v>
      </c>
      <c r="E828" s="5">
        <v>1</v>
      </c>
    </row>
    <row r="829" spans="1:5" ht="21" customHeight="1" x14ac:dyDescent="0.3">
      <c r="A829" s="1" t="s">
        <v>222</v>
      </c>
      <c r="B829" s="51" t="s">
        <v>439</v>
      </c>
      <c r="C829" s="5" t="s">
        <v>440</v>
      </c>
      <c r="D829" s="1" t="s">
        <v>224</v>
      </c>
      <c r="E829" s="5">
        <v>2</v>
      </c>
    </row>
    <row r="830" spans="1:5" ht="21" customHeight="1" x14ac:dyDescent="0.3">
      <c r="A830" s="1" t="s">
        <v>222</v>
      </c>
      <c r="B830" s="51" t="s">
        <v>439</v>
      </c>
      <c r="C830" s="5" t="s">
        <v>440</v>
      </c>
      <c r="D830" s="1" t="s">
        <v>224</v>
      </c>
      <c r="E830" s="5">
        <v>3</v>
      </c>
    </row>
    <row r="831" spans="1:5" ht="21" customHeight="1" x14ac:dyDescent="0.3">
      <c r="A831" s="1" t="s">
        <v>222</v>
      </c>
      <c r="B831" s="51" t="s">
        <v>439</v>
      </c>
      <c r="C831" s="5" t="s">
        <v>440</v>
      </c>
      <c r="D831" s="1" t="s">
        <v>224</v>
      </c>
      <c r="E831" s="5">
        <v>4</v>
      </c>
    </row>
    <row r="832" spans="1:5" ht="21" customHeight="1" x14ac:dyDescent="0.3">
      <c r="A832" s="1" t="s">
        <v>222</v>
      </c>
      <c r="B832" s="51" t="s">
        <v>439</v>
      </c>
      <c r="C832" s="5" t="s">
        <v>440</v>
      </c>
      <c r="D832" s="1" t="s">
        <v>224</v>
      </c>
      <c r="E832" s="5">
        <v>5</v>
      </c>
    </row>
    <row r="833" spans="1:5" ht="21" customHeight="1" x14ac:dyDescent="0.3">
      <c r="A833" s="1" t="s">
        <v>222</v>
      </c>
      <c r="B833" s="51" t="s">
        <v>439</v>
      </c>
      <c r="C833" s="18" t="s">
        <v>441</v>
      </c>
      <c r="D833" s="1" t="s">
        <v>225</v>
      </c>
      <c r="E833" s="18">
        <v>1</v>
      </c>
    </row>
    <row r="834" spans="1:5" ht="21" customHeight="1" x14ac:dyDescent="0.3">
      <c r="A834" s="1" t="s">
        <v>222</v>
      </c>
      <c r="B834" s="51" t="s">
        <v>439</v>
      </c>
      <c r="C834" s="18" t="s">
        <v>441</v>
      </c>
      <c r="D834" s="1" t="s">
        <v>225</v>
      </c>
      <c r="E834" s="18">
        <v>2</v>
      </c>
    </row>
    <row r="835" spans="1:5" ht="21" customHeight="1" x14ac:dyDescent="0.3">
      <c r="A835" s="1" t="s">
        <v>222</v>
      </c>
      <c r="B835" s="51" t="s">
        <v>439</v>
      </c>
      <c r="C835" s="18" t="s">
        <v>441</v>
      </c>
      <c r="D835" s="1" t="s">
        <v>225</v>
      </c>
      <c r="E835" s="18">
        <v>3</v>
      </c>
    </row>
    <row r="836" spans="1:5" ht="21" customHeight="1" x14ac:dyDescent="0.3">
      <c r="A836" s="1" t="s">
        <v>222</v>
      </c>
      <c r="B836" s="51" t="s">
        <v>439</v>
      </c>
      <c r="C836" s="18" t="s">
        <v>441</v>
      </c>
      <c r="D836" s="1" t="s">
        <v>225</v>
      </c>
      <c r="E836" s="18">
        <v>4</v>
      </c>
    </row>
    <row r="837" spans="1:5" ht="21" customHeight="1" x14ac:dyDescent="0.3">
      <c r="A837" s="1" t="s">
        <v>222</v>
      </c>
      <c r="B837" s="51" t="s">
        <v>439</v>
      </c>
      <c r="C837" s="18" t="s">
        <v>441</v>
      </c>
      <c r="D837" s="1" t="s">
        <v>225</v>
      </c>
      <c r="E837" s="18">
        <v>5</v>
      </c>
    </row>
    <row r="838" spans="1:5" ht="21" customHeight="1" x14ac:dyDescent="0.3">
      <c r="A838" s="1" t="s">
        <v>222</v>
      </c>
      <c r="B838" s="51" t="s">
        <v>439</v>
      </c>
      <c r="C838" s="5" t="s">
        <v>441</v>
      </c>
      <c r="D838" s="1" t="s">
        <v>225</v>
      </c>
      <c r="E838" s="5">
        <v>1</v>
      </c>
    </row>
    <row r="839" spans="1:5" ht="21" customHeight="1" x14ac:dyDescent="0.3">
      <c r="A839" s="1" t="s">
        <v>222</v>
      </c>
      <c r="B839" s="51" t="s">
        <v>439</v>
      </c>
      <c r="C839" s="5" t="s">
        <v>441</v>
      </c>
      <c r="D839" s="1" t="s">
        <v>225</v>
      </c>
      <c r="E839" s="5">
        <v>2</v>
      </c>
    </row>
    <row r="840" spans="1:5" ht="21" customHeight="1" x14ac:dyDescent="0.3">
      <c r="A840" s="1" t="s">
        <v>222</v>
      </c>
      <c r="B840" s="51" t="s">
        <v>439</v>
      </c>
      <c r="C840" s="5" t="s">
        <v>441</v>
      </c>
      <c r="D840" s="1" t="s">
        <v>225</v>
      </c>
      <c r="E840" s="5">
        <v>3</v>
      </c>
    </row>
    <row r="841" spans="1:5" ht="21" customHeight="1" x14ac:dyDescent="0.3">
      <c r="A841" s="1" t="s">
        <v>222</v>
      </c>
      <c r="B841" s="51" t="s">
        <v>439</v>
      </c>
      <c r="C841" s="5" t="s">
        <v>441</v>
      </c>
      <c r="D841" s="1" t="s">
        <v>225</v>
      </c>
      <c r="E841" s="5">
        <v>4</v>
      </c>
    </row>
    <row r="842" spans="1:5" ht="21" customHeight="1" x14ac:dyDescent="0.3">
      <c r="A842" s="1" t="s">
        <v>222</v>
      </c>
      <c r="B842" s="51" t="s">
        <v>439</v>
      </c>
      <c r="C842" s="5" t="s">
        <v>441</v>
      </c>
      <c r="D842" s="1" t="s">
        <v>225</v>
      </c>
      <c r="E842" s="5">
        <v>5</v>
      </c>
    </row>
    <row r="843" spans="1:5" ht="21" customHeight="1" x14ac:dyDescent="0.3">
      <c r="A843" s="1" t="s">
        <v>292</v>
      </c>
      <c r="B843" s="51" t="s">
        <v>439</v>
      </c>
      <c r="C843" s="18" t="s">
        <v>442</v>
      </c>
      <c r="D843" s="1" t="s">
        <v>226</v>
      </c>
      <c r="E843" s="18">
        <v>1</v>
      </c>
    </row>
    <row r="844" spans="1:5" ht="21" customHeight="1" x14ac:dyDescent="0.3">
      <c r="A844" s="1" t="s">
        <v>292</v>
      </c>
      <c r="B844" s="51" t="s">
        <v>439</v>
      </c>
      <c r="C844" s="18" t="s">
        <v>442</v>
      </c>
      <c r="D844" s="1" t="s">
        <v>226</v>
      </c>
      <c r="E844" s="18">
        <v>2</v>
      </c>
    </row>
    <row r="845" spans="1:5" ht="21" customHeight="1" x14ac:dyDescent="0.3">
      <c r="A845" s="1" t="s">
        <v>292</v>
      </c>
      <c r="B845" s="51" t="s">
        <v>439</v>
      </c>
      <c r="C845" s="18" t="s">
        <v>442</v>
      </c>
      <c r="D845" s="1" t="s">
        <v>226</v>
      </c>
      <c r="E845" s="18">
        <v>3</v>
      </c>
    </row>
    <row r="846" spans="1:5" ht="21" customHeight="1" x14ac:dyDescent="0.3">
      <c r="A846" s="1" t="s">
        <v>292</v>
      </c>
      <c r="B846" s="51" t="s">
        <v>439</v>
      </c>
      <c r="C846" s="18" t="s">
        <v>442</v>
      </c>
      <c r="D846" s="1" t="s">
        <v>226</v>
      </c>
      <c r="E846" s="18">
        <v>4</v>
      </c>
    </row>
    <row r="847" spans="1:5" ht="21" customHeight="1" x14ac:dyDescent="0.3">
      <c r="A847" s="1" t="s">
        <v>292</v>
      </c>
      <c r="B847" s="51" t="s">
        <v>439</v>
      </c>
      <c r="C847" s="18" t="s">
        <v>442</v>
      </c>
      <c r="D847" s="1" t="s">
        <v>226</v>
      </c>
      <c r="E847" s="18">
        <v>5</v>
      </c>
    </row>
    <row r="848" spans="1:5" ht="21" customHeight="1" x14ac:dyDescent="0.3">
      <c r="A848" s="1" t="s">
        <v>292</v>
      </c>
      <c r="B848" s="51" t="s">
        <v>439</v>
      </c>
      <c r="C848" s="18" t="s">
        <v>442</v>
      </c>
      <c r="D848" s="1" t="s">
        <v>226</v>
      </c>
      <c r="E848" s="18">
        <v>6</v>
      </c>
    </row>
    <row r="849" spans="1:5" ht="21" customHeight="1" x14ac:dyDescent="0.3">
      <c r="A849" s="1" t="s">
        <v>292</v>
      </c>
      <c r="B849" s="51" t="s">
        <v>439</v>
      </c>
      <c r="C849" s="18" t="s">
        <v>442</v>
      </c>
      <c r="D849" s="1" t="s">
        <v>226</v>
      </c>
      <c r="E849" s="18">
        <v>7</v>
      </c>
    </row>
    <row r="850" spans="1:5" ht="21" customHeight="1" x14ac:dyDescent="0.3">
      <c r="A850" s="1" t="s">
        <v>292</v>
      </c>
      <c r="B850" s="51" t="s">
        <v>439</v>
      </c>
      <c r="C850" s="18" t="s">
        <v>442</v>
      </c>
      <c r="D850" s="1" t="s">
        <v>226</v>
      </c>
      <c r="E850" s="18">
        <v>8</v>
      </c>
    </row>
    <row r="851" spans="1:5" ht="21" customHeight="1" x14ac:dyDescent="0.3">
      <c r="A851" s="1" t="s">
        <v>222</v>
      </c>
      <c r="B851" s="52" t="s">
        <v>443</v>
      </c>
      <c r="C851" s="5" t="s">
        <v>444</v>
      </c>
      <c r="D851" s="1" t="s">
        <v>224</v>
      </c>
      <c r="E851" s="5">
        <v>1</v>
      </c>
    </row>
    <row r="852" spans="1:5" ht="21" customHeight="1" x14ac:dyDescent="0.3">
      <c r="A852" s="1" t="s">
        <v>222</v>
      </c>
      <c r="B852" s="52" t="s">
        <v>443</v>
      </c>
      <c r="C852" s="5" t="s">
        <v>444</v>
      </c>
      <c r="D852" s="1" t="s">
        <v>224</v>
      </c>
      <c r="E852" s="5">
        <v>2</v>
      </c>
    </row>
    <row r="853" spans="1:5" ht="21" customHeight="1" x14ac:dyDescent="0.3">
      <c r="A853" s="1" t="s">
        <v>222</v>
      </c>
      <c r="B853" s="52" t="s">
        <v>443</v>
      </c>
      <c r="C853" s="5" t="s">
        <v>444</v>
      </c>
      <c r="D853" s="1" t="s">
        <v>224</v>
      </c>
      <c r="E853" s="5">
        <v>3</v>
      </c>
    </row>
    <row r="854" spans="1:5" ht="21" customHeight="1" x14ac:dyDescent="0.3">
      <c r="A854" s="1" t="s">
        <v>222</v>
      </c>
      <c r="B854" s="52" t="s">
        <v>443</v>
      </c>
      <c r="C854" s="5" t="s">
        <v>444</v>
      </c>
      <c r="D854" s="1" t="s">
        <v>224</v>
      </c>
      <c r="E854" s="5">
        <v>4</v>
      </c>
    </row>
    <row r="855" spans="1:5" ht="21" customHeight="1" x14ac:dyDescent="0.3">
      <c r="A855" s="1" t="s">
        <v>222</v>
      </c>
      <c r="B855" s="52" t="s">
        <v>443</v>
      </c>
      <c r="C855" s="5" t="s">
        <v>444</v>
      </c>
      <c r="D855" s="1" t="s">
        <v>224</v>
      </c>
      <c r="E855" s="5">
        <v>5</v>
      </c>
    </row>
    <row r="856" spans="1:5" ht="21" customHeight="1" x14ac:dyDescent="0.3">
      <c r="A856" s="1" t="s">
        <v>222</v>
      </c>
      <c r="B856" s="52" t="s">
        <v>443</v>
      </c>
      <c r="C856" s="18" t="s">
        <v>445</v>
      </c>
      <c r="D856" s="1" t="s">
        <v>225</v>
      </c>
      <c r="E856" s="18">
        <v>1</v>
      </c>
    </row>
    <row r="857" spans="1:5" ht="21" customHeight="1" x14ac:dyDescent="0.3">
      <c r="A857" s="1" t="s">
        <v>222</v>
      </c>
      <c r="B857" s="52" t="s">
        <v>443</v>
      </c>
      <c r="C857" s="18" t="s">
        <v>445</v>
      </c>
      <c r="D857" s="1" t="s">
        <v>225</v>
      </c>
      <c r="E857" s="18">
        <v>2</v>
      </c>
    </row>
    <row r="858" spans="1:5" ht="21" customHeight="1" x14ac:dyDescent="0.3">
      <c r="A858" s="1" t="s">
        <v>222</v>
      </c>
      <c r="B858" s="52" t="s">
        <v>443</v>
      </c>
      <c r="C858" s="18" t="s">
        <v>445</v>
      </c>
      <c r="D858" s="1" t="s">
        <v>225</v>
      </c>
      <c r="E858" s="18">
        <v>3</v>
      </c>
    </row>
    <row r="859" spans="1:5" ht="21" customHeight="1" x14ac:dyDescent="0.3">
      <c r="A859" s="1" t="s">
        <v>222</v>
      </c>
      <c r="B859" s="52" t="s">
        <v>443</v>
      </c>
      <c r="C859" s="18" t="s">
        <v>445</v>
      </c>
      <c r="D859" s="1" t="s">
        <v>225</v>
      </c>
      <c r="E859" s="18">
        <v>4</v>
      </c>
    </row>
    <row r="860" spans="1:5" ht="21" customHeight="1" x14ac:dyDescent="0.3">
      <c r="A860" s="1" t="s">
        <v>222</v>
      </c>
      <c r="B860" s="52" t="s">
        <v>443</v>
      </c>
      <c r="C860" s="18" t="s">
        <v>445</v>
      </c>
      <c r="D860" s="1" t="s">
        <v>225</v>
      </c>
      <c r="E860" s="18">
        <v>5</v>
      </c>
    </row>
    <row r="861" spans="1:5" ht="21" customHeight="1" x14ac:dyDescent="0.3">
      <c r="A861" s="1" t="s">
        <v>222</v>
      </c>
      <c r="B861" s="52" t="s">
        <v>443</v>
      </c>
      <c r="C861" s="5" t="s">
        <v>445</v>
      </c>
      <c r="D861" s="1" t="s">
        <v>225</v>
      </c>
      <c r="E861" s="5">
        <v>1</v>
      </c>
    </row>
    <row r="862" spans="1:5" ht="21" customHeight="1" x14ac:dyDescent="0.3">
      <c r="A862" s="1" t="s">
        <v>222</v>
      </c>
      <c r="B862" s="52" t="s">
        <v>443</v>
      </c>
      <c r="C862" s="5" t="s">
        <v>445</v>
      </c>
      <c r="D862" s="1" t="s">
        <v>225</v>
      </c>
      <c r="E862" s="5">
        <v>2</v>
      </c>
    </row>
    <row r="863" spans="1:5" ht="21" customHeight="1" x14ac:dyDescent="0.3">
      <c r="A863" s="1" t="s">
        <v>222</v>
      </c>
      <c r="B863" s="52" t="s">
        <v>443</v>
      </c>
      <c r="C863" s="5" t="s">
        <v>445</v>
      </c>
      <c r="D863" s="1" t="s">
        <v>225</v>
      </c>
      <c r="E863" s="5">
        <v>3</v>
      </c>
    </row>
    <row r="864" spans="1:5" ht="21" customHeight="1" x14ac:dyDescent="0.3">
      <c r="A864" s="1" t="s">
        <v>222</v>
      </c>
      <c r="B864" s="52" t="s">
        <v>443</v>
      </c>
      <c r="C864" s="5" t="s">
        <v>445</v>
      </c>
      <c r="D864" s="1" t="s">
        <v>225</v>
      </c>
      <c r="E864" s="5">
        <v>4</v>
      </c>
    </row>
    <row r="865" spans="1:5" ht="21" customHeight="1" x14ac:dyDescent="0.3">
      <c r="A865" s="1" t="s">
        <v>222</v>
      </c>
      <c r="B865" s="52" t="s">
        <v>443</v>
      </c>
      <c r="C865" s="5" t="s">
        <v>445</v>
      </c>
      <c r="D865" s="1" t="s">
        <v>225</v>
      </c>
      <c r="E865" s="5">
        <v>5</v>
      </c>
    </row>
    <row r="866" spans="1:5" ht="21" customHeight="1" x14ac:dyDescent="0.3">
      <c r="A866" s="1" t="s">
        <v>292</v>
      </c>
      <c r="B866" s="52" t="s">
        <v>443</v>
      </c>
      <c r="C866" s="18" t="s">
        <v>446</v>
      </c>
      <c r="D866" s="1" t="s">
        <v>226</v>
      </c>
      <c r="E866" s="18">
        <v>1</v>
      </c>
    </row>
    <row r="867" spans="1:5" ht="21" customHeight="1" x14ac:dyDescent="0.3">
      <c r="A867" s="1" t="s">
        <v>292</v>
      </c>
      <c r="B867" s="52" t="s">
        <v>443</v>
      </c>
      <c r="C867" s="18" t="s">
        <v>446</v>
      </c>
      <c r="D867" s="1" t="s">
        <v>226</v>
      </c>
      <c r="E867" s="18">
        <v>2</v>
      </c>
    </row>
    <row r="868" spans="1:5" ht="21" customHeight="1" x14ac:dyDescent="0.3">
      <c r="A868" s="1" t="s">
        <v>292</v>
      </c>
      <c r="B868" s="52" t="s">
        <v>443</v>
      </c>
      <c r="C868" s="18" t="s">
        <v>446</v>
      </c>
      <c r="D868" s="1" t="s">
        <v>226</v>
      </c>
      <c r="E868" s="18">
        <v>3</v>
      </c>
    </row>
    <row r="869" spans="1:5" ht="21" customHeight="1" x14ac:dyDescent="0.3">
      <c r="A869" s="1" t="s">
        <v>292</v>
      </c>
      <c r="B869" s="52" t="s">
        <v>443</v>
      </c>
      <c r="C869" s="18" t="s">
        <v>446</v>
      </c>
      <c r="D869" s="1" t="s">
        <v>226</v>
      </c>
      <c r="E869" s="18">
        <v>4</v>
      </c>
    </row>
    <row r="870" spans="1:5" ht="21" customHeight="1" x14ac:dyDescent="0.3">
      <c r="A870" s="1" t="s">
        <v>292</v>
      </c>
      <c r="B870" s="52" t="s">
        <v>443</v>
      </c>
      <c r="C870" s="18" t="s">
        <v>446</v>
      </c>
      <c r="D870" s="1" t="s">
        <v>226</v>
      </c>
      <c r="E870" s="18">
        <v>5</v>
      </c>
    </row>
    <row r="871" spans="1:5" ht="21" customHeight="1" x14ac:dyDescent="0.3">
      <c r="A871" s="1" t="s">
        <v>292</v>
      </c>
      <c r="B871" s="52" t="s">
        <v>443</v>
      </c>
      <c r="C871" s="18" t="s">
        <v>446</v>
      </c>
      <c r="D871" s="1" t="s">
        <v>226</v>
      </c>
      <c r="E871" s="18">
        <v>6</v>
      </c>
    </row>
    <row r="872" spans="1:5" ht="21" customHeight="1" x14ac:dyDescent="0.3">
      <c r="A872" s="1" t="s">
        <v>292</v>
      </c>
      <c r="B872" s="52" t="s">
        <v>443</v>
      </c>
      <c r="C872" s="18" t="s">
        <v>446</v>
      </c>
      <c r="D872" s="1" t="s">
        <v>226</v>
      </c>
      <c r="E872" s="18">
        <v>7</v>
      </c>
    </row>
    <row r="873" spans="1:5" ht="21" customHeight="1" x14ac:dyDescent="0.3">
      <c r="A873" s="1" t="s">
        <v>292</v>
      </c>
      <c r="B873" s="52" t="s">
        <v>443</v>
      </c>
      <c r="C873" s="18" t="s">
        <v>446</v>
      </c>
      <c r="D873" s="1" t="s">
        <v>226</v>
      </c>
      <c r="E873" s="18">
        <v>8</v>
      </c>
    </row>
    <row r="874" spans="1:5" ht="21" customHeight="1" x14ac:dyDescent="0.3">
      <c r="A874" s="1" t="s">
        <v>222</v>
      </c>
      <c r="B874" s="51" t="s">
        <v>447</v>
      </c>
      <c r="C874" s="5" t="s">
        <v>448</v>
      </c>
      <c r="D874" s="1" t="s">
        <v>224</v>
      </c>
      <c r="E874" s="5">
        <v>1</v>
      </c>
    </row>
    <row r="875" spans="1:5" ht="21" customHeight="1" x14ac:dyDescent="0.3">
      <c r="A875" s="1" t="s">
        <v>222</v>
      </c>
      <c r="B875" s="51" t="s">
        <v>447</v>
      </c>
      <c r="C875" s="5" t="s">
        <v>448</v>
      </c>
      <c r="D875" s="1" t="s">
        <v>224</v>
      </c>
      <c r="E875" s="5">
        <v>2</v>
      </c>
    </row>
    <row r="876" spans="1:5" ht="21" customHeight="1" x14ac:dyDescent="0.3">
      <c r="A876" s="1" t="s">
        <v>222</v>
      </c>
      <c r="B876" s="51" t="s">
        <v>447</v>
      </c>
      <c r="C876" s="5" t="s">
        <v>448</v>
      </c>
      <c r="D876" s="1" t="s">
        <v>224</v>
      </c>
      <c r="E876" s="5">
        <v>3</v>
      </c>
    </row>
    <row r="877" spans="1:5" ht="21" customHeight="1" x14ac:dyDescent="0.3">
      <c r="A877" s="1" t="s">
        <v>222</v>
      </c>
      <c r="B877" s="51" t="s">
        <v>447</v>
      </c>
      <c r="C877" s="5" t="s">
        <v>448</v>
      </c>
      <c r="D877" s="1" t="s">
        <v>224</v>
      </c>
      <c r="E877" s="5">
        <v>4</v>
      </c>
    </row>
    <row r="878" spans="1:5" ht="21" customHeight="1" x14ac:dyDescent="0.3">
      <c r="A878" s="1" t="s">
        <v>222</v>
      </c>
      <c r="B878" s="51" t="s">
        <v>447</v>
      </c>
      <c r="C878" s="5" t="s">
        <v>448</v>
      </c>
      <c r="D878" s="1" t="s">
        <v>224</v>
      </c>
      <c r="E878" s="5">
        <v>5</v>
      </c>
    </row>
    <row r="879" spans="1:5" ht="21" customHeight="1" x14ac:dyDescent="0.3">
      <c r="A879" s="1" t="s">
        <v>222</v>
      </c>
      <c r="B879" s="51" t="s">
        <v>447</v>
      </c>
      <c r="C879" s="18" t="s">
        <v>449</v>
      </c>
      <c r="D879" s="1" t="s">
        <v>225</v>
      </c>
      <c r="E879" s="18">
        <v>1</v>
      </c>
    </row>
    <row r="880" spans="1:5" ht="21" customHeight="1" x14ac:dyDescent="0.3">
      <c r="A880" s="1" t="s">
        <v>222</v>
      </c>
      <c r="B880" s="51" t="s">
        <v>447</v>
      </c>
      <c r="C880" s="18" t="s">
        <v>449</v>
      </c>
      <c r="D880" s="1" t="s">
        <v>225</v>
      </c>
      <c r="E880" s="18">
        <v>2</v>
      </c>
    </row>
    <row r="881" spans="1:5" ht="21" customHeight="1" x14ac:dyDescent="0.3">
      <c r="A881" s="1" t="s">
        <v>222</v>
      </c>
      <c r="B881" s="51" t="s">
        <v>447</v>
      </c>
      <c r="C881" s="18" t="s">
        <v>449</v>
      </c>
      <c r="D881" s="1" t="s">
        <v>225</v>
      </c>
      <c r="E881" s="18">
        <v>3</v>
      </c>
    </row>
    <row r="882" spans="1:5" ht="21" customHeight="1" x14ac:dyDescent="0.3">
      <c r="A882" s="1" t="s">
        <v>222</v>
      </c>
      <c r="B882" s="51" t="s">
        <v>447</v>
      </c>
      <c r="C882" s="18" t="s">
        <v>449</v>
      </c>
      <c r="D882" s="1" t="s">
        <v>225</v>
      </c>
      <c r="E882" s="18">
        <v>4</v>
      </c>
    </row>
    <row r="883" spans="1:5" ht="21" customHeight="1" x14ac:dyDescent="0.3">
      <c r="A883" s="1" t="s">
        <v>222</v>
      </c>
      <c r="B883" s="51" t="s">
        <v>447</v>
      </c>
      <c r="C883" s="18" t="s">
        <v>449</v>
      </c>
      <c r="D883" s="1" t="s">
        <v>225</v>
      </c>
      <c r="E883" s="18">
        <v>5</v>
      </c>
    </row>
    <row r="884" spans="1:5" ht="21" customHeight="1" x14ac:dyDescent="0.3">
      <c r="A884" s="1" t="s">
        <v>222</v>
      </c>
      <c r="B884" s="51" t="s">
        <v>447</v>
      </c>
      <c r="C884" s="5" t="s">
        <v>449</v>
      </c>
      <c r="D884" s="1" t="s">
        <v>225</v>
      </c>
      <c r="E884" s="5">
        <v>1</v>
      </c>
    </row>
    <row r="885" spans="1:5" ht="21" customHeight="1" x14ac:dyDescent="0.3">
      <c r="A885" s="1" t="s">
        <v>222</v>
      </c>
      <c r="B885" s="51" t="s">
        <v>447</v>
      </c>
      <c r="C885" s="5" t="s">
        <v>449</v>
      </c>
      <c r="D885" s="1" t="s">
        <v>225</v>
      </c>
      <c r="E885" s="5">
        <v>2</v>
      </c>
    </row>
    <row r="886" spans="1:5" ht="21" customHeight="1" x14ac:dyDescent="0.3">
      <c r="A886" s="1" t="s">
        <v>222</v>
      </c>
      <c r="B886" s="51" t="s">
        <v>447</v>
      </c>
      <c r="C886" s="5" t="s">
        <v>449</v>
      </c>
      <c r="D886" s="1" t="s">
        <v>225</v>
      </c>
      <c r="E886" s="5">
        <v>3</v>
      </c>
    </row>
    <row r="887" spans="1:5" ht="21" customHeight="1" x14ac:dyDescent="0.3">
      <c r="A887" s="1" t="s">
        <v>222</v>
      </c>
      <c r="B887" s="51" t="s">
        <v>447</v>
      </c>
      <c r="C887" s="5" t="s">
        <v>449</v>
      </c>
      <c r="D887" s="1" t="s">
        <v>225</v>
      </c>
      <c r="E887" s="5">
        <v>4</v>
      </c>
    </row>
    <row r="888" spans="1:5" ht="21" customHeight="1" x14ac:dyDescent="0.3">
      <c r="A888" s="1" t="s">
        <v>222</v>
      </c>
      <c r="B888" s="51" t="s">
        <v>447</v>
      </c>
      <c r="C888" s="5" t="s">
        <v>449</v>
      </c>
      <c r="D888" s="1" t="s">
        <v>225</v>
      </c>
      <c r="E888" s="5">
        <v>5</v>
      </c>
    </row>
    <row r="889" spans="1:5" ht="21" customHeight="1" x14ac:dyDescent="0.3">
      <c r="A889" s="1" t="s">
        <v>292</v>
      </c>
      <c r="B889" s="51" t="s">
        <v>447</v>
      </c>
      <c r="C889" s="18" t="s">
        <v>450</v>
      </c>
      <c r="D889" s="1" t="s">
        <v>226</v>
      </c>
      <c r="E889" s="18">
        <v>1</v>
      </c>
    </row>
    <row r="890" spans="1:5" ht="21" customHeight="1" x14ac:dyDescent="0.3">
      <c r="A890" s="1" t="s">
        <v>292</v>
      </c>
      <c r="B890" s="51" t="s">
        <v>447</v>
      </c>
      <c r="C890" s="18" t="s">
        <v>450</v>
      </c>
      <c r="D890" s="1" t="s">
        <v>226</v>
      </c>
      <c r="E890" s="18">
        <v>2</v>
      </c>
    </row>
    <row r="891" spans="1:5" ht="21" customHeight="1" x14ac:dyDescent="0.3">
      <c r="A891" s="1" t="s">
        <v>292</v>
      </c>
      <c r="B891" s="51" t="s">
        <v>447</v>
      </c>
      <c r="C891" s="18" t="s">
        <v>450</v>
      </c>
      <c r="D891" s="1" t="s">
        <v>226</v>
      </c>
      <c r="E891" s="18">
        <v>3</v>
      </c>
    </row>
    <row r="892" spans="1:5" ht="21" customHeight="1" x14ac:dyDescent="0.3">
      <c r="A892" s="1" t="s">
        <v>292</v>
      </c>
      <c r="B892" s="51" t="s">
        <v>447</v>
      </c>
      <c r="C892" s="18" t="s">
        <v>450</v>
      </c>
      <c r="D892" s="1" t="s">
        <v>226</v>
      </c>
      <c r="E892" s="18">
        <v>4</v>
      </c>
    </row>
    <row r="893" spans="1:5" ht="21" customHeight="1" x14ac:dyDescent="0.3">
      <c r="A893" s="1" t="s">
        <v>292</v>
      </c>
      <c r="B893" s="51" t="s">
        <v>447</v>
      </c>
      <c r="C893" s="18" t="s">
        <v>450</v>
      </c>
      <c r="D893" s="1" t="s">
        <v>226</v>
      </c>
      <c r="E893" s="18">
        <v>5</v>
      </c>
    </row>
    <row r="894" spans="1:5" ht="21" customHeight="1" x14ac:dyDescent="0.3">
      <c r="A894" s="1" t="s">
        <v>292</v>
      </c>
      <c r="B894" s="51" t="s">
        <v>447</v>
      </c>
      <c r="C894" s="18" t="s">
        <v>450</v>
      </c>
      <c r="D894" s="1" t="s">
        <v>226</v>
      </c>
      <c r="E894" s="18">
        <v>6</v>
      </c>
    </row>
    <row r="895" spans="1:5" ht="21" customHeight="1" x14ac:dyDescent="0.3">
      <c r="A895" s="1" t="s">
        <v>292</v>
      </c>
      <c r="B895" s="51" t="s">
        <v>447</v>
      </c>
      <c r="C895" s="18" t="s">
        <v>450</v>
      </c>
      <c r="D895" s="1" t="s">
        <v>226</v>
      </c>
      <c r="E895" s="18">
        <v>7</v>
      </c>
    </row>
    <row r="896" spans="1:5" ht="21" customHeight="1" x14ac:dyDescent="0.3">
      <c r="A896" s="1" t="s">
        <v>292</v>
      </c>
      <c r="B896" s="51" t="s">
        <v>447</v>
      </c>
      <c r="C896" s="18" t="s">
        <v>450</v>
      </c>
      <c r="D896" s="1" t="s">
        <v>226</v>
      </c>
      <c r="E896" s="18">
        <v>8</v>
      </c>
    </row>
    <row r="897" spans="1:5" ht="21" customHeight="1" x14ac:dyDescent="0.3">
      <c r="A897" s="1" t="s">
        <v>222</v>
      </c>
      <c r="B897" s="52" t="s">
        <v>451</v>
      </c>
      <c r="C897" s="5" t="s">
        <v>452</v>
      </c>
      <c r="D897" s="1" t="s">
        <v>224</v>
      </c>
      <c r="E897" s="5">
        <v>1</v>
      </c>
    </row>
    <row r="898" spans="1:5" ht="21" customHeight="1" x14ac:dyDescent="0.3">
      <c r="A898" s="1" t="s">
        <v>222</v>
      </c>
      <c r="B898" s="52" t="s">
        <v>451</v>
      </c>
      <c r="C898" s="5" t="s">
        <v>452</v>
      </c>
      <c r="D898" s="1" t="s">
        <v>224</v>
      </c>
      <c r="E898" s="5">
        <v>2</v>
      </c>
    </row>
    <row r="899" spans="1:5" ht="21" customHeight="1" x14ac:dyDescent="0.3">
      <c r="A899" s="1" t="s">
        <v>222</v>
      </c>
      <c r="B899" s="52" t="s">
        <v>451</v>
      </c>
      <c r="C899" s="5" t="s">
        <v>452</v>
      </c>
      <c r="D899" s="1" t="s">
        <v>224</v>
      </c>
      <c r="E899" s="5">
        <v>3</v>
      </c>
    </row>
    <row r="900" spans="1:5" ht="21" customHeight="1" x14ac:dyDescent="0.3">
      <c r="A900" s="1" t="s">
        <v>222</v>
      </c>
      <c r="B900" s="52" t="s">
        <v>451</v>
      </c>
      <c r="C900" s="5" t="s">
        <v>452</v>
      </c>
      <c r="D900" s="1" t="s">
        <v>224</v>
      </c>
      <c r="E900" s="5">
        <v>4</v>
      </c>
    </row>
    <row r="901" spans="1:5" ht="21" customHeight="1" x14ac:dyDescent="0.3">
      <c r="A901" s="1" t="s">
        <v>222</v>
      </c>
      <c r="B901" s="52" t="s">
        <v>451</v>
      </c>
      <c r="C901" s="5" t="s">
        <v>452</v>
      </c>
      <c r="D901" s="1" t="s">
        <v>224</v>
      </c>
      <c r="E901" s="5">
        <v>5</v>
      </c>
    </row>
    <row r="902" spans="1:5" ht="21" customHeight="1" x14ac:dyDescent="0.3">
      <c r="A902" s="1" t="s">
        <v>222</v>
      </c>
      <c r="B902" s="52" t="s">
        <v>451</v>
      </c>
      <c r="C902" s="18" t="s">
        <v>453</v>
      </c>
      <c r="D902" s="1" t="s">
        <v>225</v>
      </c>
      <c r="E902" s="18">
        <v>1</v>
      </c>
    </row>
    <row r="903" spans="1:5" ht="21" customHeight="1" x14ac:dyDescent="0.3">
      <c r="A903" s="1" t="s">
        <v>222</v>
      </c>
      <c r="B903" s="52" t="s">
        <v>451</v>
      </c>
      <c r="C903" s="18" t="s">
        <v>453</v>
      </c>
      <c r="D903" s="1" t="s">
        <v>225</v>
      </c>
      <c r="E903" s="18">
        <v>2</v>
      </c>
    </row>
    <row r="904" spans="1:5" ht="21" customHeight="1" x14ac:dyDescent="0.3">
      <c r="A904" s="1" t="s">
        <v>222</v>
      </c>
      <c r="B904" s="52" t="s">
        <v>451</v>
      </c>
      <c r="C904" s="18" t="s">
        <v>453</v>
      </c>
      <c r="D904" s="1" t="s">
        <v>225</v>
      </c>
      <c r="E904" s="18">
        <v>3</v>
      </c>
    </row>
    <row r="905" spans="1:5" ht="21" customHeight="1" x14ac:dyDescent="0.3">
      <c r="A905" s="1" t="s">
        <v>222</v>
      </c>
      <c r="B905" s="52" t="s">
        <v>451</v>
      </c>
      <c r="C905" s="18" t="s">
        <v>453</v>
      </c>
      <c r="D905" s="1" t="s">
        <v>225</v>
      </c>
      <c r="E905" s="18">
        <v>4</v>
      </c>
    </row>
    <row r="906" spans="1:5" ht="21" customHeight="1" x14ac:dyDescent="0.3">
      <c r="A906" s="1" t="s">
        <v>222</v>
      </c>
      <c r="B906" s="52" t="s">
        <v>451</v>
      </c>
      <c r="C906" s="18" t="s">
        <v>453</v>
      </c>
      <c r="D906" s="1" t="s">
        <v>225</v>
      </c>
      <c r="E906" s="18">
        <v>5</v>
      </c>
    </row>
    <row r="907" spans="1:5" ht="21" customHeight="1" x14ac:dyDescent="0.3">
      <c r="A907" s="1" t="s">
        <v>222</v>
      </c>
      <c r="B907" s="52" t="s">
        <v>451</v>
      </c>
      <c r="C907" s="5" t="s">
        <v>453</v>
      </c>
      <c r="D907" s="1" t="s">
        <v>225</v>
      </c>
      <c r="E907" s="5">
        <v>1</v>
      </c>
    </row>
    <row r="908" spans="1:5" ht="21" customHeight="1" x14ac:dyDescent="0.3">
      <c r="A908" s="1" t="s">
        <v>222</v>
      </c>
      <c r="B908" s="52" t="s">
        <v>451</v>
      </c>
      <c r="C908" s="5" t="s">
        <v>453</v>
      </c>
      <c r="D908" s="1" t="s">
        <v>225</v>
      </c>
      <c r="E908" s="5">
        <v>2</v>
      </c>
    </row>
    <row r="909" spans="1:5" ht="21" customHeight="1" x14ac:dyDescent="0.3">
      <c r="A909" s="1" t="s">
        <v>222</v>
      </c>
      <c r="B909" s="52" t="s">
        <v>451</v>
      </c>
      <c r="C909" s="5" t="s">
        <v>453</v>
      </c>
      <c r="D909" s="1" t="s">
        <v>225</v>
      </c>
      <c r="E909" s="5">
        <v>3</v>
      </c>
    </row>
    <row r="910" spans="1:5" ht="21" customHeight="1" x14ac:dyDescent="0.3">
      <c r="A910" s="1" t="s">
        <v>222</v>
      </c>
      <c r="B910" s="52" t="s">
        <v>451</v>
      </c>
      <c r="C910" s="5" t="s">
        <v>453</v>
      </c>
      <c r="D910" s="1" t="s">
        <v>225</v>
      </c>
      <c r="E910" s="5">
        <v>4</v>
      </c>
    </row>
    <row r="911" spans="1:5" ht="21" customHeight="1" x14ac:dyDescent="0.3">
      <c r="A911" s="1" t="s">
        <v>222</v>
      </c>
      <c r="B911" s="52" t="s">
        <v>451</v>
      </c>
      <c r="C911" s="5" t="s">
        <v>453</v>
      </c>
      <c r="D911" s="1" t="s">
        <v>225</v>
      </c>
      <c r="E911" s="5">
        <v>5</v>
      </c>
    </row>
    <row r="912" spans="1:5" ht="21" customHeight="1" x14ac:dyDescent="0.3">
      <c r="A912" s="1" t="s">
        <v>292</v>
      </c>
      <c r="B912" s="52" t="s">
        <v>451</v>
      </c>
      <c r="C912" s="18" t="s">
        <v>454</v>
      </c>
      <c r="D912" s="1" t="s">
        <v>226</v>
      </c>
      <c r="E912" s="18">
        <v>1</v>
      </c>
    </row>
    <row r="913" spans="1:5" ht="21" customHeight="1" x14ac:dyDescent="0.3">
      <c r="A913" s="1" t="s">
        <v>292</v>
      </c>
      <c r="B913" s="52" t="s">
        <v>451</v>
      </c>
      <c r="C913" s="18" t="s">
        <v>454</v>
      </c>
      <c r="D913" s="1" t="s">
        <v>226</v>
      </c>
      <c r="E913" s="18">
        <v>2</v>
      </c>
    </row>
    <row r="914" spans="1:5" ht="21" customHeight="1" x14ac:dyDescent="0.3">
      <c r="A914" s="1" t="s">
        <v>292</v>
      </c>
      <c r="B914" s="52" t="s">
        <v>451</v>
      </c>
      <c r="C914" s="18" t="s">
        <v>454</v>
      </c>
      <c r="D914" s="1" t="s">
        <v>226</v>
      </c>
      <c r="E914" s="18">
        <v>3</v>
      </c>
    </row>
    <row r="915" spans="1:5" ht="21" customHeight="1" x14ac:dyDescent="0.3">
      <c r="A915" s="1" t="s">
        <v>292</v>
      </c>
      <c r="B915" s="52" t="s">
        <v>451</v>
      </c>
      <c r="C915" s="18" t="s">
        <v>454</v>
      </c>
      <c r="D915" s="1" t="s">
        <v>226</v>
      </c>
      <c r="E915" s="18">
        <v>4</v>
      </c>
    </row>
    <row r="916" spans="1:5" ht="21" customHeight="1" x14ac:dyDescent="0.3">
      <c r="A916" s="1" t="s">
        <v>292</v>
      </c>
      <c r="B916" s="52" t="s">
        <v>451</v>
      </c>
      <c r="C916" s="18" t="s">
        <v>454</v>
      </c>
      <c r="D916" s="1" t="s">
        <v>226</v>
      </c>
      <c r="E916" s="18">
        <v>5</v>
      </c>
    </row>
    <row r="917" spans="1:5" ht="21" customHeight="1" x14ac:dyDescent="0.3">
      <c r="A917" s="1" t="s">
        <v>292</v>
      </c>
      <c r="B917" s="52" t="s">
        <v>451</v>
      </c>
      <c r="C917" s="18" t="s">
        <v>454</v>
      </c>
      <c r="D917" s="1" t="s">
        <v>226</v>
      </c>
      <c r="E917" s="18">
        <v>6</v>
      </c>
    </row>
    <row r="918" spans="1:5" ht="21" customHeight="1" x14ac:dyDescent="0.3">
      <c r="A918" s="1" t="s">
        <v>292</v>
      </c>
      <c r="B918" s="52" t="s">
        <v>451</v>
      </c>
      <c r="C918" s="18" t="s">
        <v>454</v>
      </c>
      <c r="D918" s="1" t="s">
        <v>226</v>
      </c>
      <c r="E918" s="18">
        <v>7</v>
      </c>
    </row>
    <row r="919" spans="1:5" ht="21" customHeight="1" x14ac:dyDescent="0.3">
      <c r="A919" s="1" t="s">
        <v>292</v>
      </c>
      <c r="B919" s="52" t="s">
        <v>451</v>
      </c>
      <c r="C919" s="18" t="s">
        <v>454</v>
      </c>
      <c r="D919" s="1" t="s">
        <v>226</v>
      </c>
      <c r="E919" s="18">
        <v>8</v>
      </c>
    </row>
    <row r="920" spans="1:5" ht="21" customHeight="1" x14ac:dyDescent="0.3">
      <c r="A920" s="1" t="s">
        <v>222</v>
      </c>
      <c r="B920" s="51" t="s">
        <v>455</v>
      </c>
      <c r="C920" s="5" t="s">
        <v>456</v>
      </c>
      <c r="D920" s="1" t="s">
        <v>224</v>
      </c>
      <c r="E920" s="5">
        <v>1</v>
      </c>
    </row>
    <row r="921" spans="1:5" ht="21" customHeight="1" x14ac:dyDescent="0.3">
      <c r="A921" s="1" t="s">
        <v>222</v>
      </c>
      <c r="B921" s="51" t="s">
        <v>455</v>
      </c>
      <c r="C921" s="5" t="s">
        <v>456</v>
      </c>
      <c r="D921" s="1" t="s">
        <v>224</v>
      </c>
      <c r="E921" s="5">
        <v>2</v>
      </c>
    </row>
    <row r="922" spans="1:5" ht="21" customHeight="1" x14ac:dyDescent="0.3">
      <c r="A922" s="1" t="s">
        <v>222</v>
      </c>
      <c r="B922" s="51" t="s">
        <v>455</v>
      </c>
      <c r="C922" s="5" t="s">
        <v>456</v>
      </c>
      <c r="D922" s="1" t="s">
        <v>224</v>
      </c>
      <c r="E922" s="5">
        <v>3</v>
      </c>
    </row>
    <row r="923" spans="1:5" ht="21" customHeight="1" x14ac:dyDescent="0.3">
      <c r="A923" s="1" t="s">
        <v>222</v>
      </c>
      <c r="B923" s="51" t="s">
        <v>455</v>
      </c>
      <c r="C923" s="5" t="s">
        <v>456</v>
      </c>
      <c r="D923" s="1" t="s">
        <v>224</v>
      </c>
      <c r="E923" s="5">
        <v>4</v>
      </c>
    </row>
    <row r="924" spans="1:5" ht="21" customHeight="1" x14ac:dyDescent="0.3">
      <c r="A924" s="1" t="s">
        <v>222</v>
      </c>
      <c r="B924" s="51" t="s">
        <v>455</v>
      </c>
      <c r="C924" s="5" t="s">
        <v>456</v>
      </c>
      <c r="D924" s="1" t="s">
        <v>224</v>
      </c>
      <c r="E924" s="5">
        <v>5</v>
      </c>
    </row>
    <row r="925" spans="1:5" ht="21" customHeight="1" x14ac:dyDescent="0.3">
      <c r="A925" s="1" t="s">
        <v>222</v>
      </c>
      <c r="B925" s="51" t="s">
        <v>455</v>
      </c>
      <c r="C925" s="18" t="s">
        <v>457</v>
      </c>
      <c r="D925" s="1" t="s">
        <v>225</v>
      </c>
      <c r="E925" s="18">
        <v>1</v>
      </c>
    </row>
    <row r="926" spans="1:5" ht="21" customHeight="1" x14ac:dyDescent="0.3">
      <c r="A926" s="1" t="s">
        <v>222</v>
      </c>
      <c r="B926" s="51" t="s">
        <v>455</v>
      </c>
      <c r="C926" s="18" t="s">
        <v>457</v>
      </c>
      <c r="D926" s="1" t="s">
        <v>225</v>
      </c>
      <c r="E926" s="18">
        <v>2</v>
      </c>
    </row>
    <row r="927" spans="1:5" ht="21" customHeight="1" x14ac:dyDescent="0.3">
      <c r="A927" s="1" t="s">
        <v>222</v>
      </c>
      <c r="B927" s="51" t="s">
        <v>455</v>
      </c>
      <c r="C927" s="18" t="s">
        <v>457</v>
      </c>
      <c r="D927" s="1" t="s">
        <v>225</v>
      </c>
      <c r="E927" s="18">
        <v>3</v>
      </c>
    </row>
    <row r="928" spans="1:5" ht="21" customHeight="1" x14ac:dyDescent="0.3">
      <c r="A928" s="1" t="s">
        <v>222</v>
      </c>
      <c r="B928" s="51" t="s">
        <v>455</v>
      </c>
      <c r="C928" s="18" t="s">
        <v>457</v>
      </c>
      <c r="D928" s="1" t="s">
        <v>225</v>
      </c>
      <c r="E928" s="18">
        <v>4</v>
      </c>
    </row>
    <row r="929" spans="1:5" ht="21" customHeight="1" x14ac:dyDescent="0.3">
      <c r="A929" s="1" t="s">
        <v>222</v>
      </c>
      <c r="B929" s="51" t="s">
        <v>455</v>
      </c>
      <c r="C929" s="18" t="s">
        <v>457</v>
      </c>
      <c r="D929" s="1" t="s">
        <v>225</v>
      </c>
      <c r="E929" s="18">
        <v>5</v>
      </c>
    </row>
    <row r="930" spans="1:5" ht="21" customHeight="1" x14ac:dyDescent="0.3">
      <c r="A930" s="1" t="s">
        <v>222</v>
      </c>
      <c r="B930" s="51" t="s">
        <v>455</v>
      </c>
      <c r="C930" s="5" t="s">
        <v>457</v>
      </c>
      <c r="D930" s="1" t="s">
        <v>225</v>
      </c>
      <c r="E930" s="5">
        <v>1</v>
      </c>
    </row>
    <row r="931" spans="1:5" ht="21" customHeight="1" x14ac:dyDescent="0.3">
      <c r="A931" s="1" t="s">
        <v>222</v>
      </c>
      <c r="B931" s="51" t="s">
        <v>455</v>
      </c>
      <c r="C931" s="5" t="s">
        <v>457</v>
      </c>
      <c r="D931" s="1" t="s">
        <v>225</v>
      </c>
      <c r="E931" s="5">
        <v>2</v>
      </c>
    </row>
    <row r="932" spans="1:5" ht="21" customHeight="1" x14ac:dyDescent="0.3">
      <c r="A932" s="1" t="s">
        <v>222</v>
      </c>
      <c r="B932" s="51" t="s">
        <v>455</v>
      </c>
      <c r="C932" s="5" t="s">
        <v>457</v>
      </c>
      <c r="D932" s="1" t="s">
        <v>225</v>
      </c>
      <c r="E932" s="5">
        <v>3</v>
      </c>
    </row>
    <row r="933" spans="1:5" ht="21" customHeight="1" x14ac:dyDescent="0.3">
      <c r="A933" s="1" t="s">
        <v>222</v>
      </c>
      <c r="B933" s="51" t="s">
        <v>455</v>
      </c>
      <c r="C933" s="5" t="s">
        <v>457</v>
      </c>
      <c r="D933" s="1" t="s">
        <v>225</v>
      </c>
      <c r="E933" s="5">
        <v>4</v>
      </c>
    </row>
    <row r="934" spans="1:5" ht="21" customHeight="1" x14ac:dyDescent="0.3">
      <c r="A934" s="1" t="s">
        <v>222</v>
      </c>
      <c r="B934" s="51" t="s">
        <v>455</v>
      </c>
      <c r="C934" s="5" t="s">
        <v>457</v>
      </c>
      <c r="D934" s="1" t="s">
        <v>225</v>
      </c>
      <c r="E934" s="5">
        <v>5</v>
      </c>
    </row>
    <row r="935" spans="1:5" ht="21" customHeight="1" x14ac:dyDescent="0.3">
      <c r="A935" s="1" t="s">
        <v>292</v>
      </c>
      <c r="B935" s="51" t="s">
        <v>455</v>
      </c>
      <c r="C935" s="18" t="s">
        <v>458</v>
      </c>
      <c r="D935" s="1" t="s">
        <v>226</v>
      </c>
      <c r="E935" s="18">
        <v>1</v>
      </c>
    </row>
    <row r="936" spans="1:5" ht="21" customHeight="1" x14ac:dyDescent="0.3">
      <c r="A936" s="1" t="s">
        <v>292</v>
      </c>
      <c r="B936" s="51" t="s">
        <v>455</v>
      </c>
      <c r="C936" s="18" t="s">
        <v>458</v>
      </c>
      <c r="D936" s="1" t="s">
        <v>226</v>
      </c>
      <c r="E936" s="18">
        <v>2</v>
      </c>
    </row>
    <row r="937" spans="1:5" ht="21" customHeight="1" x14ac:dyDescent="0.3">
      <c r="A937" s="1" t="s">
        <v>292</v>
      </c>
      <c r="B937" s="51" t="s">
        <v>455</v>
      </c>
      <c r="C937" s="18" t="s">
        <v>458</v>
      </c>
      <c r="D937" s="1" t="s">
        <v>226</v>
      </c>
      <c r="E937" s="18">
        <v>3</v>
      </c>
    </row>
    <row r="938" spans="1:5" ht="21" customHeight="1" x14ac:dyDescent="0.3">
      <c r="A938" s="1" t="s">
        <v>292</v>
      </c>
      <c r="B938" s="51" t="s">
        <v>455</v>
      </c>
      <c r="C938" s="18" t="s">
        <v>458</v>
      </c>
      <c r="D938" s="1" t="s">
        <v>226</v>
      </c>
      <c r="E938" s="18">
        <v>4</v>
      </c>
    </row>
    <row r="939" spans="1:5" ht="21" customHeight="1" x14ac:dyDescent="0.3">
      <c r="A939" s="1" t="s">
        <v>292</v>
      </c>
      <c r="B939" s="51" t="s">
        <v>455</v>
      </c>
      <c r="C939" s="18" t="s">
        <v>458</v>
      </c>
      <c r="D939" s="1" t="s">
        <v>226</v>
      </c>
      <c r="E939" s="18">
        <v>5</v>
      </c>
    </row>
    <row r="940" spans="1:5" ht="21" customHeight="1" x14ac:dyDescent="0.3">
      <c r="A940" s="1" t="s">
        <v>292</v>
      </c>
      <c r="B940" s="51" t="s">
        <v>455</v>
      </c>
      <c r="C940" s="18" t="s">
        <v>458</v>
      </c>
      <c r="D940" s="1" t="s">
        <v>226</v>
      </c>
      <c r="E940" s="18">
        <v>6</v>
      </c>
    </row>
    <row r="941" spans="1:5" ht="21" customHeight="1" x14ac:dyDescent="0.3">
      <c r="A941" s="1" t="s">
        <v>292</v>
      </c>
      <c r="B941" s="51" t="s">
        <v>455</v>
      </c>
      <c r="C941" s="18" t="s">
        <v>458</v>
      </c>
      <c r="D941" s="1" t="s">
        <v>226</v>
      </c>
      <c r="E941" s="18">
        <v>7</v>
      </c>
    </row>
    <row r="942" spans="1:5" ht="21" customHeight="1" x14ac:dyDescent="0.3">
      <c r="A942" s="1" t="s">
        <v>292</v>
      </c>
      <c r="B942" s="51" t="s">
        <v>455</v>
      </c>
      <c r="C942" s="18" t="s">
        <v>458</v>
      </c>
      <c r="D942" s="1" t="s">
        <v>226</v>
      </c>
      <c r="E942" s="18">
        <v>8</v>
      </c>
    </row>
    <row r="943" spans="1:5" ht="21" customHeight="1" x14ac:dyDescent="0.3">
      <c r="A943" s="1" t="s">
        <v>222</v>
      </c>
      <c r="B943" s="52" t="s">
        <v>459</v>
      </c>
      <c r="C943" s="5" t="s">
        <v>460</v>
      </c>
      <c r="D943" s="1" t="s">
        <v>224</v>
      </c>
      <c r="E943" s="5">
        <v>1</v>
      </c>
    </row>
    <row r="944" spans="1:5" ht="21" customHeight="1" x14ac:dyDescent="0.3">
      <c r="A944" s="1" t="s">
        <v>222</v>
      </c>
      <c r="B944" s="52" t="s">
        <v>459</v>
      </c>
      <c r="C944" s="5" t="s">
        <v>460</v>
      </c>
      <c r="D944" s="1" t="s">
        <v>224</v>
      </c>
      <c r="E944" s="5">
        <v>2</v>
      </c>
    </row>
    <row r="945" spans="1:5" ht="21" customHeight="1" x14ac:dyDescent="0.3">
      <c r="A945" s="1" t="s">
        <v>222</v>
      </c>
      <c r="B945" s="52" t="s">
        <v>459</v>
      </c>
      <c r="C945" s="5" t="s">
        <v>460</v>
      </c>
      <c r="D945" s="1" t="s">
        <v>224</v>
      </c>
      <c r="E945" s="5">
        <v>3</v>
      </c>
    </row>
    <row r="946" spans="1:5" ht="21" customHeight="1" x14ac:dyDescent="0.3">
      <c r="A946" s="1" t="s">
        <v>222</v>
      </c>
      <c r="B946" s="52" t="s">
        <v>459</v>
      </c>
      <c r="C946" s="5" t="s">
        <v>460</v>
      </c>
      <c r="D946" s="1" t="s">
        <v>224</v>
      </c>
      <c r="E946" s="5">
        <v>4</v>
      </c>
    </row>
    <row r="947" spans="1:5" ht="21" customHeight="1" x14ac:dyDescent="0.3">
      <c r="A947" s="1" t="s">
        <v>222</v>
      </c>
      <c r="B947" s="52" t="s">
        <v>459</v>
      </c>
      <c r="C947" s="5" t="s">
        <v>460</v>
      </c>
      <c r="D947" s="1" t="s">
        <v>224</v>
      </c>
      <c r="E947" s="5">
        <v>5</v>
      </c>
    </row>
    <row r="948" spans="1:5" ht="21" customHeight="1" x14ac:dyDescent="0.3">
      <c r="A948" s="1" t="s">
        <v>222</v>
      </c>
      <c r="B948" s="52" t="s">
        <v>459</v>
      </c>
      <c r="C948" s="18" t="s">
        <v>461</v>
      </c>
      <c r="D948" s="1" t="s">
        <v>225</v>
      </c>
      <c r="E948" s="18">
        <v>1</v>
      </c>
    </row>
    <row r="949" spans="1:5" ht="21" customHeight="1" x14ac:dyDescent="0.3">
      <c r="A949" s="1" t="s">
        <v>222</v>
      </c>
      <c r="B949" s="52" t="s">
        <v>459</v>
      </c>
      <c r="C949" s="18" t="s">
        <v>461</v>
      </c>
      <c r="D949" s="1" t="s">
        <v>225</v>
      </c>
      <c r="E949" s="18">
        <v>2</v>
      </c>
    </row>
    <row r="950" spans="1:5" ht="21" customHeight="1" x14ac:dyDescent="0.3">
      <c r="A950" s="1" t="s">
        <v>222</v>
      </c>
      <c r="B950" s="52" t="s">
        <v>459</v>
      </c>
      <c r="C950" s="18" t="s">
        <v>461</v>
      </c>
      <c r="D950" s="1" t="s">
        <v>225</v>
      </c>
      <c r="E950" s="18">
        <v>3</v>
      </c>
    </row>
    <row r="951" spans="1:5" ht="21" customHeight="1" x14ac:dyDescent="0.3">
      <c r="A951" s="1" t="s">
        <v>222</v>
      </c>
      <c r="B951" s="52" t="s">
        <v>459</v>
      </c>
      <c r="C951" s="18" t="s">
        <v>461</v>
      </c>
      <c r="D951" s="1" t="s">
        <v>225</v>
      </c>
      <c r="E951" s="18">
        <v>4</v>
      </c>
    </row>
    <row r="952" spans="1:5" ht="21" customHeight="1" x14ac:dyDescent="0.3">
      <c r="A952" s="1" t="s">
        <v>222</v>
      </c>
      <c r="B952" s="52" t="s">
        <v>459</v>
      </c>
      <c r="C952" s="18" t="s">
        <v>461</v>
      </c>
      <c r="D952" s="1" t="s">
        <v>225</v>
      </c>
      <c r="E952" s="18">
        <v>5</v>
      </c>
    </row>
    <row r="953" spans="1:5" ht="21" customHeight="1" x14ac:dyDescent="0.3">
      <c r="A953" s="1" t="s">
        <v>222</v>
      </c>
      <c r="B953" s="52" t="s">
        <v>459</v>
      </c>
      <c r="C953" s="5" t="s">
        <v>461</v>
      </c>
      <c r="D953" s="1" t="s">
        <v>225</v>
      </c>
      <c r="E953" s="5">
        <v>1</v>
      </c>
    </row>
    <row r="954" spans="1:5" ht="21" customHeight="1" x14ac:dyDescent="0.3">
      <c r="A954" s="1" t="s">
        <v>222</v>
      </c>
      <c r="B954" s="52" t="s">
        <v>459</v>
      </c>
      <c r="C954" s="5" t="s">
        <v>461</v>
      </c>
      <c r="D954" s="1" t="s">
        <v>225</v>
      </c>
      <c r="E954" s="5">
        <v>2</v>
      </c>
    </row>
    <row r="955" spans="1:5" ht="21" customHeight="1" x14ac:dyDescent="0.3">
      <c r="A955" s="1" t="s">
        <v>222</v>
      </c>
      <c r="B955" s="52" t="s">
        <v>459</v>
      </c>
      <c r="C955" s="5" t="s">
        <v>461</v>
      </c>
      <c r="D955" s="1" t="s">
        <v>225</v>
      </c>
      <c r="E955" s="5">
        <v>3</v>
      </c>
    </row>
    <row r="956" spans="1:5" ht="21" customHeight="1" x14ac:dyDescent="0.3">
      <c r="A956" s="1" t="s">
        <v>222</v>
      </c>
      <c r="B956" s="52" t="s">
        <v>459</v>
      </c>
      <c r="C956" s="5" t="s">
        <v>461</v>
      </c>
      <c r="D956" s="1" t="s">
        <v>225</v>
      </c>
      <c r="E956" s="5">
        <v>4</v>
      </c>
    </row>
    <row r="957" spans="1:5" ht="21" customHeight="1" x14ac:dyDescent="0.3">
      <c r="A957" s="1" t="s">
        <v>222</v>
      </c>
      <c r="B957" s="52" t="s">
        <v>459</v>
      </c>
      <c r="C957" s="5" t="s">
        <v>461</v>
      </c>
      <c r="D957" s="1" t="s">
        <v>225</v>
      </c>
      <c r="E957" s="5">
        <v>5</v>
      </c>
    </row>
    <row r="958" spans="1:5" ht="21" customHeight="1" x14ac:dyDescent="0.3">
      <c r="A958" s="1" t="s">
        <v>292</v>
      </c>
      <c r="B958" s="52" t="s">
        <v>459</v>
      </c>
      <c r="C958" s="18" t="s">
        <v>462</v>
      </c>
      <c r="D958" s="1" t="s">
        <v>226</v>
      </c>
      <c r="E958" s="18">
        <v>1</v>
      </c>
    </row>
    <row r="959" spans="1:5" ht="21" customHeight="1" x14ac:dyDescent="0.3">
      <c r="A959" s="1" t="s">
        <v>292</v>
      </c>
      <c r="B959" s="52" t="s">
        <v>459</v>
      </c>
      <c r="C959" s="18" t="s">
        <v>462</v>
      </c>
      <c r="D959" s="1" t="s">
        <v>226</v>
      </c>
      <c r="E959" s="18">
        <v>2</v>
      </c>
    </row>
    <row r="960" spans="1:5" ht="21" customHeight="1" x14ac:dyDescent="0.3">
      <c r="A960" s="1" t="s">
        <v>292</v>
      </c>
      <c r="B960" s="52" t="s">
        <v>459</v>
      </c>
      <c r="C960" s="18" t="s">
        <v>462</v>
      </c>
      <c r="D960" s="1" t="s">
        <v>226</v>
      </c>
      <c r="E960" s="18">
        <v>3</v>
      </c>
    </row>
    <row r="961" spans="1:5" ht="21" customHeight="1" x14ac:dyDescent="0.3">
      <c r="A961" s="1" t="s">
        <v>292</v>
      </c>
      <c r="B961" s="52" t="s">
        <v>459</v>
      </c>
      <c r="C961" s="18" t="s">
        <v>462</v>
      </c>
      <c r="D961" s="1" t="s">
        <v>226</v>
      </c>
      <c r="E961" s="18">
        <v>4</v>
      </c>
    </row>
    <row r="962" spans="1:5" ht="21" customHeight="1" x14ac:dyDescent="0.3">
      <c r="A962" s="1" t="s">
        <v>292</v>
      </c>
      <c r="B962" s="52" t="s">
        <v>459</v>
      </c>
      <c r="C962" s="18" t="s">
        <v>462</v>
      </c>
      <c r="D962" s="1" t="s">
        <v>226</v>
      </c>
      <c r="E962" s="18">
        <v>5</v>
      </c>
    </row>
    <row r="963" spans="1:5" ht="21" customHeight="1" x14ac:dyDescent="0.3">
      <c r="A963" s="1" t="s">
        <v>292</v>
      </c>
      <c r="B963" s="52" t="s">
        <v>459</v>
      </c>
      <c r="C963" s="18" t="s">
        <v>462</v>
      </c>
      <c r="D963" s="1" t="s">
        <v>226</v>
      </c>
      <c r="E963" s="18">
        <v>6</v>
      </c>
    </row>
    <row r="964" spans="1:5" ht="21" customHeight="1" x14ac:dyDescent="0.3">
      <c r="A964" s="1" t="s">
        <v>292</v>
      </c>
      <c r="B964" s="52" t="s">
        <v>459</v>
      </c>
      <c r="C964" s="18" t="s">
        <v>462</v>
      </c>
      <c r="D964" s="1" t="s">
        <v>226</v>
      </c>
      <c r="E964" s="18">
        <v>7</v>
      </c>
    </row>
    <row r="965" spans="1:5" ht="21" customHeight="1" x14ac:dyDescent="0.3">
      <c r="A965" s="1" t="s">
        <v>292</v>
      </c>
      <c r="B965" s="52" t="s">
        <v>459</v>
      </c>
      <c r="C965" s="18" t="s">
        <v>462</v>
      </c>
      <c r="D965" s="1" t="s">
        <v>226</v>
      </c>
      <c r="E965" s="18">
        <v>8</v>
      </c>
    </row>
    <row r="966" spans="1:5" ht="21" customHeight="1" x14ac:dyDescent="0.3">
      <c r="A966" s="1" t="s">
        <v>222</v>
      </c>
      <c r="B966" s="51" t="s">
        <v>463</v>
      </c>
      <c r="C966" s="5" t="s">
        <v>464</v>
      </c>
      <c r="D966" s="1" t="s">
        <v>224</v>
      </c>
      <c r="E966" s="5">
        <v>1</v>
      </c>
    </row>
    <row r="967" spans="1:5" ht="21" customHeight="1" x14ac:dyDescent="0.3">
      <c r="A967" s="1" t="s">
        <v>222</v>
      </c>
      <c r="B967" s="51" t="s">
        <v>463</v>
      </c>
      <c r="C967" s="5" t="s">
        <v>464</v>
      </c>
      <c r="D967" s="1" t="s">
        <v>224</v>
      </c>
      <c r="E967" s="5">
        <v>2</v>
      </c>
    </row>
    <row r="968" spans="1:5" ht="21" customHeight="1" x14ac:dyDescent="0.3">
      <c r="A968" s="1" t="s">
        <v>222</v>
      </c>
      <c r="B968" s="51" t="s">
        <v>463</v>
      </c>
      <c r="C968" s="5" t="s">
        <v>464</v>
      </c>
      <c r="D968" s="1" t="s">
        <v>224</v>
      </c>
      <c r="E968" s="5">
        <v>3</v>
      </c>
    </row>
    <row r="969" spans="1:5" ht="21" customHeight="1" x14ac:dyDescent="0.3">
      <c r="A969" s="1" t="s">
        <v>222</v>
      </c>
      <c r="B969" s="51" t="s">
        <v>463</v>
      </c>
      <c r="C969" s="5" t="s">
        <v>464</v>
      </c>
      <c r="D969" s="1" t="s">
        <v>224</v>
      </c>
      <c r="E969" s="5">
        <v>4</v>
      </c>
    </row>
    <row r="970" spans="1:5" ht="21" customHeight="1" x14ac:dyDescent="0.3">
      <c r="A970" s="1" t="s">
        <v>222</v>
      </c>
      <c r="B970" s="51" t="s">
        <v>463</v>
      </c>
      <c r="C970" s="5" t="s">
        <v>464</v>
      </c>
      <c r="D970" s="1" t="s">
        <v>224</v>
      </c>
      <c r="E970" s="5">
        <v>5</v>
      </c>
    </row>
    <row r="971" spans="1:5" ht="21" customHeight="1" x14ac:dyDescent="0.3">
      <c r="A971" s="1" t="s">
        <v>222</v>
      </c>
      <c r="B971" s="51" t="s">
        <v>463</v>
      </c>
      <c r="C971" s="18" t="s">
        <v>465</v>
      </c>
      <c r="D971" s="1" t="s">
        <v>225</v>
      </c>
      <c r="E971" s="18">
        <v>1</v>
      </c>
    </row>
    <row r="972" spans="1:5" ht="21" customHeight="1" x14ac:dyDescent="0.3">
      <c r="A972" s="1" t="s">
        <v>222</v>
      </c>
      <c r="B972" s="51" t="s">
        <v>463</v>
      </c>
      <c r="C972" s="18" t="s">
        <v>465</v>
      </c>
      <c r="D972" s="1" t="s">
        <v>225</v>
      </c>
      <c r="E972" s="18">
        <v>2</v>
      </c>
    </row>
    <row r="973" spans="1:5" ht="21" customHeight="1" x14ac:dyDescent="0.3">
      <c r="A973" s="1" t="s">
        <v>222</v>
      </c>
      <c r="B973" s="51" t="s">
        <v>463</v>
      </c>
      <c r="C973" s="18" t="s">
        <v>465</v>
      </c>
      <c r="D973" s="1" t="s">
        <v>225</v>
      </c>
      <c r="E973" s="18">
        <v>3</v>
      </c>
    </row>
    <row r="974" spans="1:5" ht="21" customHeight="1" x14ac:dyDescent="0.3">
      <c r="A974" s="1" t="s">
        <v>222</v>
      </c>
      <c r="B974" s="51" t="s">
        <v>463</v>
      </c>
      <c r="C974" s="18" t="s">
        <v>465</v>
      </c>
      <c r="D974" s="1" t="s">
        <v>225</v>
      </c>
      <c r="E974" s="18">
        <v>4</v>
      </c>
    </row>
    <row r="975" spans="1:5" ht="21" customHeight="1" x14ac:dyDescent="0.3">
      <c r="A975" s="1" t="s">
        <v>222</v>
      </c>
      <c r="B975" s="51" t="s">
        <v>463</v>
      </c>
      <c r="C975" s="18" t="s">
        <v>465</v>
      </c>
      <c r="D975" s="1" t="s">
        <v>225</v>
      </c>
      <c r="E975" s="18">
        <v>5</v>
      </c>
    </row>
    <row r="976" spans="1:5" ht="21" customHeight="1" x14ac:dyDescent="0.3">
      <c r="A976" s="1" t="s">
        <v>222</v>
      </c>
      <c r="B976" s="51" t="s">
        <v>463</v>
      </c>
      <c r="C976" s="5" t="s">
        <v>465</v>
      </c>
      <c r="D976" s="1" t="s">
        <v>225</v>
      </c>
      <c r="E976" s="5">
        <v>1</v>
      </c>
    </row>
    <row r="977" spans="1:5" ht="21" customHeight="1" x14ac:dyDescent="0.3">
      <c r="A977" s="1" t="s">
        <v>222</v>
      </c>
      <c r="B977" s="51" t="s">
        <v>463</v>
      </c>
      <c r="C977" s="5" t="s">
        <v>465</v>
      </c>
      <c r="D977" s="1" t="s">
        <v>225</v>
      </c>
      <c r="E977" s="5">
        <v>2</v>
      </c>
    </row>
    <row r="978" spans="1:5" ht="21" customHeight="1" x14ac:dyDescent="0.3">
      <c r="A978" s="1" t="s">
        <v>222</v>
      </c>
      <c r="B978" s="51" t="s">
        <v>463</v>
      </c>
      <c r="C978" s="5" t="s">
        <v>465</v>
      </c>
      <c r="D978" s="1" t="s">
        <v>225</v>
      </c>
      <c r="E978" s="5">
        <v>3</v>
      </c>
    </row>
    <row r="979" spans="1:5" ht="21" customHeight="1" x14ac:dyDescent="0.3">
      <c r="A979" s="1" t="s">
        <v>222</v>
      </c>
      <c r="B979" s="51" t="s">
        <v>463</v>
      </c>
      <c r="C979" s="5" t="s">
        <v>465</v>
      </c>
      <c r="D979" s="1" t="s">
        <v>225</v>
      </c>
      <c r="E979" s="5">
        <v>4</v>
      </c>
    </row>
    <row r="980" spans="1:5" ht="21" customHeight="1" x14ac:dyDescent="0.3">
      <c r="A980" s="1" t="s">
        <v>222</v>
      </c>
      <c r="B980" s="51" t="s">
        <v>463</v>
      </c>
      <c r="C980" s="5" t="s">
        <v>465</v>
      </c>
      <c r="D980" s="1" t="s">
        <v>225</v>
      </c>
      <c r="E980" s="5">
        <v>5</v>
      </c>
    </row>
    <row r="981" spans="1:5" ht="21" customHeight="1" x14ac:dyDescent="0.3">
      <c r="A981" s="1" t="s">
        <v>292</v>
      </c>
      <c r="B981" s="51" t="s">
        <v>463</v>
      </c>
      <c r="C981" s="18" t="s">
        <v>466</v>
      </c>
      <c r="D981" s="1" t="s">
        <v>226</v>
      </c>
      <c r="E981" s="18">
        <v>1</v>
      </c>
    </row>
    <row r="982" spans="1:5" ht="21" customHeight="1" x14ac:dyDescent="0.3">
      <c r="A982" s="1" t="s">
        <v>292</v>
      </c>
      <c r="B982" s="51" t="s">
        <v>463</v>
      </c>
      <c r="C982" s="18" t="s">
        <v>466</v>
      </c>
      <c r="D982" s="1" t="s">
        <v>226</v>
      </c>
      <c r="E982" s="18">
        <v>2</v>
      </c>
    </row>
    <row r="983" spans="1:5" ht="21" customHeight="1" x14ac:dyDescent="0.3">
      <c r="A983" s="1" t="s">
        <v>292</v>
      </c>
      <c r="B983" s="51" t="s">
        <v>463</v>
      </c>
      <c r="C983" s="18" t="s">
        <v>466</v>
      </c>
      <c r="D983" s="1" t="s">
        <v>226</v>
      </c>
      <c r="E983" s="18">
        <v>3</v>
      </c>
    </row>
    <row r="984" spans="1:5" ht="21" customHeight="1" x14ac:dyDescent="0.3">
      <c r="A984" s="1" t="s">
        <v>292</v>
      </c>
      <c r="B984" s="51" t="s">
        <v>463</v>
      </c>
      <c r="C984" s="18" t="s">
        <v>466</v>
      </c>
      <c r="D984" s="1" t="s">
        <v>226</v>
      </c>
      <c r="E984" s="18">
        <v>4</v>
      </c>
    </row>
    <row r="985" spans="1:5" ht="21" customHeight="1" x14ac:dyDescent="0.3">
      <c r="A985" s="1" t="s">
        <v>292</v>
      </c>
      <c r="B985" s="51" t="s">
        <v>463</v>
      </c>
      <c r="C985" s="18" t="s">
        <v>466</v>
      </c>
      <c r="D985" s="1" t="s">
        <v>226</v>
      </c>
      <c r="E985" s="18">
        <v>5</v>
      </c>
    </row>
    <row r="986" spans="1:5" ht="21" customHeight="1" x14ac:dyDescent="0.3">
      <c r="A986" s="1" t="s">
        <v>292</v>
      </c>
      <c r="B986" s="51" t="s">
        <v>463</v>
      </c>
      <c r="C986" s="18" t="s">
        <v>466</v>
      </c>
      <c r="D986" s="1" t="s">
        <v>226</v>
      </c>
      <c r="E986" s="18">
        <v>6</v>
      </c>
    </row>
    <row r="987" spans="1:5" ht="21" customHeight="1" x14ac:dyDescent="0.3">
      <c r="A987" s="1" t="s">
        <v>292</v>
      </c>
      <c r="B987" s="51" t="s">
        <v>463</v>
      </c>
      <c r="C987" s="18" t="s">
        <v>466</v>
      </c>
      <c r="D987" s="1" t="s">
        <v>226</v>
      </c>
      <c r="E987" s="18">
        <v>7</v>
      </c>
    </row>
    <row r="988" spans="1:5" ht="21" customHeight="1" x14ac:dyDescent="0.3">
      <c r="A988" s="1" t="s">
        <v>292</v>
      </c>
      <c r="B988" s="51" t="s">
        <v>463</v>
      </c>
      <c r="C988" s="18" t="s">
        <v>466</v>
      </c>
      <c r="D988" s="1" t="s">
        <v>226</v>
      </c>
      <c r="E988" s="18">
        <v>8</v>
      </c>
    </row>
    <row r="989" spans="1:5" ht="21" customHeight="1" x14ac:dyDescent="0.3">
      <c r="A989" s="1" t="s">
        <v>222</v>
      </c>
      <c r="B989" s="52" t="s">
        <v>467</v>
      </c>
      <c r="C989" s="5" t="s">
        <v>468</v>
      </c>
      <c r="D989" s="1" t="s">
        <v>224</v>
      </c>
      <c r="E989" s="5">
        <v>1</v>
      </c>
    </row>
    <row r="990" spans="1:5" ht="21" customHeight="1" x14ac:dyDescent="0.3">
      <c r="A990" s="1" t="s">
        <v>222</v>
      </c>
      <c r="B990" s="52" t="s">
        <v>467</v>
      </c>
      <c r="C990" s="5" t="s">
        <v>468</v>
      </c>
      <c r="D990" s="1" t="s">
        <v>224</v>
      </c>
      <c r="E990" s="5">
        <v>2</v>
      </c>
    </row>
    <row r="991" spans="1:5" ht="21" customHeight="1" x14ac:dyDescent="0.3">
      <c r="A991" s="1" t="s">
        <v>222</v>
      </c>
      <c r="B991" s="52" t="s">
        <v>467</v>
      </c>
      <c r="C991" s="5" t="s">
        <v>468</v>
      </c>
      <c r="D991" s="1" t="s">
        <v>224</v>
      </c>
      <c r="E991" s="5">
        <v>3</v>
      </c>
    </row>
    <row r="992" spans="1:5" ht="21" customHeight="1" x14ac:dyDescent="0.3">
      <c r="A992" s="1" t="s">
        <v>222</v>
      </c>
      <c r="B992" s="52" t="s">
        <v>467</v>
      </c>
      <c r="C992" s="5" t="s">
        <v>468</v>
      </c>
      <c r="D992" s="1" t="s">
        <v>224</v>
      </c>
      <c r="E992" s="5">
        <v>4</v>
      </c>
    </row>
    <row r="993" spans="1:5" ht="21" customHeight="1" x14ac:dyDescent="0.3">
      <c r="A993" s="1" t="s">
        <v>222</v>
      </c>
      <c r="B993" s="52" t="s">
        <v>467</v>
      </c>
      <c r="C993" s="5" t="s">
        <v>468</v>
      </c>
      <c r="D993" s="1" t="s">
        <v>224</v>
      </c>
      <c r="E993" s="5">
        <v>5</v>
      </c>
    </row>
    <row r="994" spans="1:5" ht="21" customHeight="1" x14ac:dyDescent="0.3">
      <c r="A994" s="1" t="s">
        <v>222</v>
      </c>
      <c r="B994" s="52" t="s">
        <v>467</v>
      </c>
      <c r="C994" s="18" t="s">
        <v>469</v>
      </c>
      <c r="D994" s="1" t="s">
        <v>225</v>
      </c>
      <c r="E994" s="18">
        <v>1</v>
      </c>
    </row>
    <row r="995" spans="1:5" ht="21" customHeight="1" x14ac:dyDescent="0.3">
      <c r="A995" s="1" t="s">
        <v>222</v>
      </c>
      <c r="B995" s="52" t="s">
        <v>467</v>
      </c>
      <c r="C995" s="18" t="s">
        <v>469</v>
      </c>
      <c r="D995" s="1" t="s">
        <v>225</v>
      </c>
      <c r="E995" s="18">
        <v>2</v>
      </c>
    </row>
    <row r="996" spans="1:5" ht="21" customHeight="1" x14ac:dyDescent="0.3">
      <c r="A996" s="1" t="s">
        <v>222</v>
      </c>
      <c r="B996" s="52" t="s">
        <v>467</v>
      </c>
      <c r="C996" s="18" t="s">
        <v>469</v>
      </c>
      <c r="D996" s="1" t="s">
        <v>225</v>
      </c>
      <c r="E996" s="18">
        <v>3</v>
      </c>
    </row>
    <row r="997" spans="1:5" ht="21" customHeight="1" x14ac:dyDescent="0.3">
      <c r="A997" s="1" t="s">
        <v>222</v>
      </c>
      <c r="B997" s="52" t="s">
        <v>467</v>
      </c>
      <c r="C997" s="18" t="s">
        <v>469</v>
      </c>
      <c r="D997" s="1" t="s">
        <v>225</v>
      </c>
      <c r="E997" s="18">
        <v>4</v>
      </c>
    </row>
    <row r="998" spans="1:5" ht="21" customHeight="1" x14ac:dyDescent="0.3">
      <c r="A998" s="1" t="s">
        <v>222</v>
      </c>
      <c r="B998" s="52" t="s">
        <v>467</v>
      </c>
      <c r="C998" s="18" t="s">
        <v>469</v>
      </c>
      <c r="D998" s="1" t="s">
        <v>225</v>
      </c>
      <c r="E998" s="18">
        <v>5</v>
      </c>
    </row>
    <row r="999" spans="1:5" ht="21" customHeight="1" x14ac:dyDescent="0.3">
      <c r="A999" s="1" t="s">
        <v>222</v>
      </c>
      <c r="B999" s="52" t="s">
        <v>467</v>
      </c>
      <c r="C999" s="5" t="s">
        <v>469</v>
      </c>
      <c r="D999" s="1" t="s">
        <v>225</v>
      </c>
      <c r="E999" s="5">
        <v>1</v>
      </c>
    </row>
    <row r="1000" spans="1:5" ht="21" customHeight="1" x14ac:dyDescent="0.3">
      <c r="A1000" s="1" t="s">
        <v>222</v>
      </c>
      <c r="B1000" s="52" t="s">
        <v>467</v>
      </c>
      <c r="C1000" s="5" t="s">
        <v>469</v>
      </c>
      <c r="D1000" s="1" t="s">
        <v>225</v>
      </c>
      <c r="E1000" s="5">
        <v>2</v>
      </c>
    </row>
    <row r="1001" spans="1:5" ht="21" customHeight="1" x14ac:dyDescent="0.3">
      <c r="A1001" s="1" t="s">
        <v>222</v>
      </c>
      <c r="B1001" s="52" t="s">
        <v>467</v>
      </c>
      <c r="C1001" s="5" t="s">
        <v>469</v>
      </c>
      <c r="D1001" s="1" t="s">
        <v>225</v>
      </c>
      <c r="E1001" s="5">
        <v>3</v>
      </c>
    </row>
    <row r="1002" spans="1:5" ht="21" customHeight="1" x14ac:dyDescent="0.3">
      <c r="A1002" s="1" t="s">
        <v>222</v>
      </c>
      <c r="B1002" s="52" t="s">
        <v>467</v>
      </c>
      <c r="C1002" s="5" t="s">
        <v>469</v>
      </c>
      <c r="D1002" s="1" t="s">
        <v>225</v>
      </c>
      <c r="E1002" s="5">
        <v>4</v>
      </c>
    </row>
    <row r="1003" spans="1:5" ht="21" customHeight="1" x14ac:dyDescent="0.3">
      <c r="A1003" s="1" t="s">
        <v>222</v>
      </c>
      <c r="B1003" s="52" t="s">
        <v>467</v>
      </c>
      <c r="C1003" s="5" t="s">
        <v>469</v>
      </c>
      <c r="D1003" s="1" t="s">
        <v>225</v>
      </c>
      <c r="E1003" s="5">
        <v>5</v>
      </c>
    </row>
    <row r="1004" spans="1:5" ht="21" customHeight="1" x14ac:dyDescent="0.3">
      <c r="A1004" s="1" t="s">
        <v>292</v>
      </c>
      <c r="B1004" s="52" t="s">
        <v>467</v>
      </c>
      <c r="C1004" s="18" t="s">
        <v>470</v>
      </c>
      <c r="D1004" s="1" t="s">
        <v>226</v>
      </c>
      <c r="E1004" s="18">
        <v>1</v>
      </c>
    </row>
    <row r="1005" spans="1:5" ht="21" customHeight="1" x14ac:dyDescent="0.3">
      <c r="A1005" s="1" t="s">
        <v>292</v>
      </c>
      <c r="B1005" s="52" t="s">
        <v>467</v>
      </c>
      <c r="C1005" s="18" t="s">
        <v>470</v>
      </c>
      <c r="D1005" s="1" t="s">
        <v>226</v>
      </c>
      <c r="E1005" s="18">
        <v>2</v>
      </c>
    </row>
    <row r="1006" spans="1:5" ht="21" customHeight="1" x14ac:dyDescent="0.3">
      <c r="A1006" s="1" t="s">
        <v>292</v>
      </c>
      <c r="B1006" s="52" t="s">
        <v>467</v>
      </c>
      <c r="C1006" s="18" t="s">
        <v>470</v>
      </c>
      <c r="D1006" s="1" t="s">
        <v>226</v>
      </c>
      <c r="E1006" s="18">
        <v>3</v>
      </c>
    </row>
    <row r="1007" spans="1:5" ht="21" customHeight="1" x14ac:dyDescent="0.3">
      <c r="A1007" s="1" t="s">
        <v>292</v>
      </c>
      <c r="B1007" s="52" t="s">
        <v>467</v>
      </c>
      <c r="C1007" s="18" t="s">
        <v>470</v>
      </c>
      <c r="D1007" s="1" t="s">
        <v>226</v>
      </c>
      <c r="E1007" s="18">
        <v>4</v>
      </c>
    </row>
    <row r="1008" spans="1:5" ht="21" customHeight="1" x14ac:dyDescent="0.3">
      <c r="A1008" s="1" t="s">
        <v>292</v>
      </c>
      <c r="B1008" s="52" t="s">
        <v>467</v>
      </c>
      <c r="C1008" s="18" t="s">
        <v>470</v>
      </c>
      <c r="D1008" s="1" t="s">
        <v>226</v>
      </c>
      <c r="E1008" s="18">
        <v>5</v>
      </c>
    </row>
    <row r="1009" spans="1:5" ht="21" customHeight="1" x14ac:dyDescent="0.3">
      <c r="A1009" s="1" t="s">
        <v>292</v>
      </c>
      <c r="B1009" s="52" t="s">
        <v>467</v>
      </c>
      <c r="C1009" s="18" t="s">
        <v>470</v>
      </c>
      <c r="D1009" s="1" t="s">
        <v>226</v>
      </c>
      <c r="E1009" s="18">
        <v>6</v>
      </c>
    </row>
    <row r="1010" spans="1:5" ht="21" customHeight="1" x14ac:dyDescent="0.3">
      <c r="A1010" s="1" t="s">
        <v>292</v>
      </c>
      <c r="B1010" s="52" t="s">
        <v>467</v>
      </c>
      <c r="C1010" s="18" t="s">
        <v>470</v>
      </c>
      <c r="D1010" s="1" t="s">
        <v>226</v>
      </c>
      <c r="E1010" s="18">
        <v>7</v>
      </c>
    </row>
    <row r="1011" spans="1:5" ht="21" customHeight="1" x14ac:dyDescent="0.3">
      <c r="A1011" s="1" t="s">
        <v>292</v>
      </c>
      <c r="B1011" s="52" t="s">
        <v>467</v>
      </c>
      <c r="C1011" s="18" t="s">
        <v>470</v>
      </c>
      <c r="D1011" s="1" t="s">
        <v>226</v>
      </c>
      <c r="E1011" s="18">
        <v>8</v>
      </c>
    </row>
    <row r="1012" spans="1:5" ht="21" customHeight="1" x14ac:dyDescent="0.3">
      <c r="A1012" s="1" t="s">
        <v>222</v>
      </c>
      <c r="B1012" s="51" t="s">
        <v>471</v>
      </c>
      <c r="C1012" s="5" t="s">
        <v>472</v>
      </c>
      <c r="D1012" s="1" t="s">
        <v>224</v>
      </c>
      <c r="E1012" s="5">
        <v>1</v>
      </c>
    </row>
    <row r="1013" spans="1:5" ht="21" customHeight="1" x14ac:dyDescent="0.3">
      <c r="A1013" s="1" t="s">
        <v>222</v>
      </c>
      <c r="B1013" s="51" t="s">
        <v>471</v>
      </c>
      <c r="C1013" s="5" t="s">
        <v>472</v>
      </c>
      <c r="D1013" s="1" t="s">
        <v>224</v>
      </c>
      <c r="E1013" s="5">
        <v>2</v>
      </c>
    </row>
    <row r="1014" spans="1:5" ht="21" customHeight="1" x14ac:dyDescent="0.3">
      <c r="A1014" s="1" t="s">
        <v>222</v>
      </c>
      <c r="B1014" s="51" t="s">
        <v>471</v>
      </c>
      <c r="C1014" s="5" t="s">
        <v>472</v>
      </c>
      <c r="D1014" s="1" t="s">
        <v>224</v>
      </c>
      <c r="E1014" s="5">
        <v>3</v>
      </c>
    </row>
    <row r="1015" spans="1:5" ht="21" customHeight="1" x14ac:dyDescent="0.3">
      <c r="A1015" s="1" t="s">
        <v>222</v>
      </c>
      <c r="B1015" s="51" t="s">
        <v>471</v>
      </c>
      <c r="C1015" s="5" t="s">
        <v>472</v>
      </c>
      <c r="D1015" s="1" t="s">
        <v>224</v>
      </c>
      <c r="E1015" s="5">
        <v>4</v>
      </c>
    </row>
    <row r="1016" spans="1:5" ht="21" customHeight="1" x14ac:dyDescent="0.3">
      <c r="A1016" s="1" t="s">
        <v>222</v>
      </c>
      <c r="B1016" s="51" t="s">
        <v>471</v>
      </c>
      <c r="C1016" s="5" t="s">
        <v>472</v>
      </c>
      <c r="D1016" s="1" t="s">
        <v>224</v>
      </c>
      <c r="E1016" s="5">
        <v>5</v>
      </c>
    </row>
    <row r="1017" spans="1:5" ht="21" customHeight="1" x14ac:dyDescent="0.3">
      <c r="A1017" s="1" t="s">
        <v>222</v>
      </c>
      <c r="B1017" s="51" t="s">
        <v>471</v>
      </c>
      <c r="C1017" s="18" t="s">
        <v>473</v>
      </c>
      <c r="D1017" s="1" t="s">
        <v>225</v>
      </c>
      <c r="E1017" s="18">
        <v>1</v>
      </c>
    </row>
    <row r="1018" spans="1:5" ht="21" customHeight="1" x14ac:dyDescent="0.3">
      <c r="A1018" s="1" t="s">
        <v>222</v>
      </c>
      <c r="B1018" s="51" t="s">
        <v>471</v>
      </c>
      <c r="C1018" s="18" t="s">
        <v>473</v>
      </c>
      <c r="D1018" s="1" t="s">
        <v>225</v>
      </c>
      <c r="E1018" s="18">
        <v>2</v>
      </c>
    </row>
    <row r="1019" spans="1:5" ht="21" customHeight="1" x14ac:dyDescent="0.3">
      <c r="A1019" s="1" t="s">
        <v>222</v>
      </c>
      <c r="B1019" s="51" t="s">
        <v>471</v>
      </c>
      <c r="C1019" s="18" t="s">
        <v>473</v>
      </c>
      <c r="D1019" s="1" t="s">
        <v>225</v>
      </c>
      <c r="E1019" s="18">
        <v>3</v>
      </c>
    </row>
    <row r="1020" spans="1:5" ht="21" customHeight="1" x14ac:dyDescent="0.3">
      <c r="A1020" s="1" t="s">
        <v>222</v>
      </c>
      <c r="B1020" s="51" t="s">
        <v>471</v>
      </c>
      <c r="C1020" s="18" t="s">
        <v>473</v>
      </c>
      <c r="D1020" s="1" t="s">
        <v>225</v>
      </c>
      <c r="E1020" s="18">
        <v>4</v>
      </c>
    </row>
    <row r="1021" spans="1:5" ht="21" customHeight="1" x14ac:dyDescent="0.3">
      <c r="A1021" s="1" t="s">
        <v>222</v>
      </c>
      <c r="B1021" s="51" t="s">
        <v>471</v>
      </c>
      <c r="C1021" s="18" t="s">
        <v>473</v>
      </c>
      <c r="D1021" s="1" t="s">
        <v>225</v>
      </c>
      <c r="E1021" s="18">
        <v>5</v>
      </c>
    </row>
    <row r="1022" spans="1:5" ht="21" customHeight="1" x14ac:dyDescent="0.3">
      <c r="A1022" s="1" t="s">
        <v>222</v>
      </c>
      <c r="B1022" s="51" t="s">
        <v>471</v>
      </c>
      <c r="C1022" s="5" t="s">
        <v>473</v>
      </c>
      <c r="D1022" s="1" t="s">
        <v>225</v>
      </c>
      <c r="E1022" s="5">
        <v>1</v>
      </c>
    </row>
    <row r="1023" spans="1:5" ht="21" customHeight="1" x14ac:dyDescent="0.3">
      <c r="A1023" s="1" t="s">
        <v>222</v>
      </c>
      <c r="B1023" s="51" t="s">
        <v>471</v>
      </c>
      <c r="C1023" s="5" t="s">
        <v>473</v>
      </c>
      <c r="D1023" s="1" t="s">
        <v>225</v>
      </c>
      <c r="E1023" s="5">
        <v>2</v>
      </c>
    </row>
    <row r="1024" spans="1:5" ht="21" customHeight="1" x14ac:dyDescent="0.3">
      <c r="A1024" s="1" t="s">
        <v>222</v>
      </c>
      <c r="B1024" s="51" t="s">
        <v>471</v>
      </c>
      <c r="C1024" s="5" t="s">
        <v>473</v>
      </c>
      <c r="D1024" s="1" t="s">
        <v>225</v>
      </c>
      <c r="E1024" s="5">
        <v>3</v>
      </c>
    </row>
    <row r="1025" spans="1:5" ht="21" customHeight="1" x14ac:dyDescent="0.3">
      <c r="A1025" s="1" t="s">
        <v>222</v>
      </c>
      <c r="B1025" s="51" t="s">
        <v>471</v>
      </c>
      <c r="C1025" s="5" t="s">
        <v>473</v>
      </c>
      <c r="D1025" s="1" t="s">
        <v>225</v>
      </c>
      <c r="E1025" s="5">
        <v>4</v>
      </c>
    </row>
    <row r="1026" spans="1:5" ht="21" customHeight="1" x14ac:dyDescent="0.3">
      <c r="A1026" s="1" t="s">
        <v>222</v>
      </c>
      <c r="B1026" s="51" t="s">
        <v>471</v>
      </c>
      <c r="C1026" s="5" t="s">
        <v>473</v>
      </c>
      <c r="D1026" s="1" t="s">
        <v>225</v>
      </c>
      <c r="E1026" s="5">
        <v>5</v>
      </c>
    </row>
    <row r="1027" spans="1:5" ht="21" customHeight="1" x14ac:dyDescent="0.3">
      <c r="A1027" s="1" t="s">
        <v>292</v>
      </c>
      <c r="B1027" s="51" t="s">
        <v>471</v>
      </c>
      <c r="C1027" s="18" t="s">
        <v>474</v>
      </c>
      <c r="D1027" s="1" t="s">
        <v>226</v>
      </c>
      <c r="E1027" s="18">
        <v>1</v>
      </c>
    </row>
    <row r="1028" spans="1:5" ht="21" customHeight="1" x14ac:dyDescent="0.3">
      <c r="A1028" s="1" t="s">
        <v>292</v>
      </c>
      <c r="B1028" s="51" t="s">
        <v>471</v>
      </c>
      <c r="C1028" s="18" t="s">
        <v>474</v>
      </c>
      <c r="D1028" s="1" t="s">
        <v>226</v>
      </c>
      <c r="E1028" s="18">
        <v>2</v>
      </c>
    </row>
    <row r="1029" spans="1:5" ht="21" customHeight="1" x14ac:dyDescent="0.3">
      <c r="A1029" s="1" t="s">
        <v>292</v>
      </c>
      <c r="B1029" s="51" t="s">
        <v>471</v>
      </c>
      <c r="C1029" s="18" t="s">
        <v>474</v>
      </c>
      <c r="D1029" s="1" t="s">
        <v>226</v>
      </c>
      <c r="E1029" s="18">
        <v>3</v>
      </c>
    </row>
    <row r="1030" spans="1:5" ht="21" customHeight="1" x14ac:dyDescent="0.3">
      <c r="A1030" s="1" t="s">
        <v>292</v>
      </c>
      <c r="B1030" s="51" t="s">
        <v>471</v>
      </c>
      <c r="C1030" s="18" t="s">
        <v>474</v>
      </c>
      <c r="D1030" s="1" t="s">
        <v>226</v>
      </c>
      <c r="E1030" s="18">
        <v>4</v>
      </c>
    </row>
    <row r="1031" spans="1:5" ht="21" customHeight="1" x14ac:dyDescent="0.3">
      <c r="A1031" s="1" t="s">
        <v>292</v>
      </c>
      <c r="B1031" s="51" t="s">
        <v>471</v>
      </c>
      <c r="C1031" s="18" t="s">
        <v>474</v>
      </c>
      <c r="D1031" s="1" t="s">
        <v>226</v>
      </c>
      <c r="E1031" s="18">
        <v>5</v>
      </c>
    </row>
    <row r="1032" spans="1:5" ht="21" customHeight="1" x14ac:dyDescent="0.3">
      <c r="A1032" s="1" t="s">
        <v>292</v>
      </c>
      <c r="B1032" s="51" t="s">
        <v>471</v>
      </c>
      <c r="C1032" s="18" t="s">
        <v>474</v>
      </c>
      <c r="D1032" s="1" t="s">
        <v>226</v>
      </c>
      <c r="E1032" s="18">
        <v>6</v>
      </c>
    </row>
    <row r="1033" spans="1:5" ht="21" customHeight="1" x14ac:dyDescent="0.3">
      <c r="A1033" s="1" t="s">
        <v>292</v>
      </c>
      <c r="B1033" s="51" t="s">
        <v>471</v>
      </c>
      <c r="C1033" s="18" t="s">
        <v>474</v>
      </c>
      <c r="D1033" s="1" t="s">
        <v>226</v>
      </c>
      <c r="E1033" s="18">
        <v>7</v>
      </c>
    </row>
    <row r="1034" spans="1:5" ht="21" customHeight="1" x14ac:dyDescent="0.3">
      <c r="A1034" s="1" t="s">
        <v>292</v>
      </c>
      <c r="B1034" s="51" t="s">
        <v>471</v>
      </c>
      <c r="C1034" s="18" t="s">
        <v>474</v>
      </c>
      <c r="D1034" s="1" t="s">
        <v>226</v>
      </c>
      <c r="E1034" s="18">
        <v>8</v>
      </c>
    </row>
    <row r="1035" spans="1:5" ht="21" customHeight="1" x14ac:dyDescent="0.3">
      <c r="A1035" s="1" t="s">
        <v>222</v>
      </c>
      <c r="B1035" s="52" t="s">
        <v>475</v>
      </c>
      <c r="C1035" s="5" t="s">
        <v>476</v>
      </c>
      <c r="D1035" s="1" t="s">
        <v>224</v>
      </c>
      <c r="E1035" s="5">
        <v>1</v>
      </c>
    </row>
    <row r="1036" spans="1:5" ht="21" customHeight="1" x14ac:dyDescent="0.3">
      <c r="A1036" s="1" t="s">
        <v>222</v>
      </c>
      <c r="B1036" s="52" t="s">
        <v>475</v>
      </c>
      <c r="C1036" s="5" t="s">
        <v>476</v>
      </c>
      <c r="D1036" s="1" t="s">
        <v>224</v>
      </c>
      <c r="E1036" s="5">
        <v>2</v>
      </c>
    </row>
    <row r="1037" spans="1:5" ht="21" customHeight="1" x14ac:dyDescent="0.3">
      <c r="A1037" s="1" t="s">
        <v>222</v>
      </c>
      <c r="B1037" s="52" t="s">
        <v>475</v>
      </c>
      <c r="C1037" s="5" t="s">
        <v>476</v>
      </c>
      <c r="D1037" s="1" t="s">
        <v>224</v>
      </c>
      <c r="E1037" s="5">
        <v>3</v>
      </c>
    </row>
    <row r="1038" spans="1:5" ht="21" customHeight="1" x14ac:dyDescent="0.3">
      <c r="A1038" s="1" t="s">
        <v>222</v>
      </c>
      <c r="B1038" s="52" t="s">
        <v>475</v>
      </c>
      <c r="C1038" s="5" t="s">
        <v>476</v>
      </c>
      <c r="D1038" s="1" t="s">
        <v>224</v>
      </c>
      <c r="E1038" s="5">
        <v>4</v>
      </c>
    </row>
    <row r="1039" spans="1:5" ht="21" customHeight="1" x14ac:dyDescent="0.3">
      <c r="A1039" s="1" t="s">
        <v>222</v>
      </c>
      <c r="B1039" s="52" t="s">
        <v>475</v>
      </c>
      <c r="C1039" s="5" t="s">
        <v>476</v>
      </c>
      <c r="D1039" s="1" t="s">
        <v>224</v>
      </c>
      <c r="E1039" s="5">
        <v>5</v>
      </c>
    </row>
    <row r="1040" spans="1:5" ht="21" customHeight="1" x14ac:dyDescent="0.3">
      <c r="A1040" s="1" t="s">
        <v>222</v>
      </c>
      <c r="B1040" s="52" t="s">
        <v>475</v>
      </c>
      <c r="C1040" s="18" t="s">
        <v>477</v>
      </c>
      <c r="D1040" s="1" t="s">
        <v>225</v>
      </c>
      <c r="E1040" s="18">
        <v>1</v>
      </c>
    </row>
    <row r="1041" spans="1:5" ht="21" customHeight="1" x14ac:dyDescent="0.3">
      <c r="A1041" s="1" t="s">
        <v>222</v>
      </c>
      <c r="B1041" s="52" t="s">
        <v>475</v>
      </c>
      <c r="C1041" s="18" t="s">
        <v>477</v>
      </c>
      <c r="D1041" s="1" t="s">
        <v>225</v>
      </c>
      <c r="E1041" s="18">
        <v>2</v>
      </c>
    </row>
    <row r="1042" spans="1:5" ht="21" customHeight="1" x14ac:dyDescent="0.3">
      <c r="A1042" s="1" t="s">
        <v>222</v>
      </c>
      <c r="B1042" s="52" t="s">
        <v>475</v>
      </c>
      <c r="C1042" s="18" t="s">
        <v>477</v>
      </c>
      <c r="D1042" s="1" t="s">
        <v>225</v>
      </c>
      <c r="E1042" s="18">
        <v>3</v>
      </c>
    </row>
    <row r="1043" spans="1:5" ht="21" customHeight="1" x14ac:dyDescent="0.3">
      <c r="A1043" s="1" t="s">
        <v>222</v>
      </c>
      <c r="B1043" s="52" t="s">
        <v>475</v>
      </c>
      <c r="C1043" s="18" t="s">
        <v>477</v>
      </c>
      <c r="D1043" s="1" t="s">
        <v>225</v>
      </c>
      <c r="E1043" s="18">
        <v>4</v>
      </c>
    </row>
    <row r="1044" spans="1:5" ht="21" customHeight="1" x14ac:dyDescent="0.3">
      <c r="A1044" s="1" t="s">
        <v>222</v>
      </c>
      <c r="B1044" s="52" t="s">
        <v>475</v>
      </c>
      <c r="C1044" s="18" t="s">
        <v>477</v>
      </c>
      <c r="D1044" s="1" t="s">
        <v>225</v>
      </c>
      <c r="E1044" s="18">
        <v>5</v>
      </c>
    </row>
    <row r="1045" spans="1:5" ht="21" customHeight="1" x14ac:dyDescent="0.3">
      <c r="A1045" s="1" t="s">
        <v>222</v>
      </c>
      <c r="B1045" s="52" t="s">
        <v>475</v>
      </c>
      <c r="C1045" s="5" t="s">
        <v>477</v>
      </c>
      <c r="D1045" s="1" t="s">
        <v>225</v>
      </c>
      <c r="E1045" s="5">
        <v>1</v>
      </c>
    </row>
    <row r="1046" spans="1:5" ht="21" customHeight="1" x14ac:dyDescent="0.3">
      <c r="A1046" s="1" t="s">
        <v>222</v>
      </c>
      <c r="B1046" s="52" t="s">
        <v>475</v>
      </c>
      <c r="C1046" s="5" t="s">
        <v>477</v>
      </c>
      <c r="D1046" s="1" t="s">
        <v>225</v>
      </c>
      <c r="E1046" s="5">
        <v>2</v>
      </c>
    </row>
    <row r="1047" spans="1:5" ht="21" customHeight="1" x14ac:dyDescent="0.3">
      <c r="A1047" s="1" t="s">
        <v>222</v>
      </c>
      <c r="B1047" s="52" t="s">
        <v>475</v>
      </c>
      <c r="C1047" s="5" t="s">
        <v>477</v>
      </c>
      <c r="D1047" s="1" t="s">
        <v>225</v>
      </c>
      <c r="E1047" s="5">
        <v>3</v>
      </c>
    </row>
    <row r="1048" spans="1:5" ht="21" customHeight="1" x14ac:dyDescent="0.3">
      <c r="A1048" s="1" t="s">
        <v>222</v>
      </c>
      <c r="B1048" s="52" t="s">
        <v>475</v>
      </c>
      <c r="C1048" s="5" t="s">
        <v>477</v>
      </c>
      <c r="D1048" s="1" t="s">
        <v>225</v>
      </c>
      <c r="E1048" s="5">
        <v>4</v>
      </c>
    </row>
    <row r="1049" spans="1:5" ht="21" customHeight="1" x14ac:dyDescent="0.3">
      <c r="A1049" s="1" t="s">
        <v>222</v>
      </c>
      <c r="B1049" s="52" t="s">
        <v>475</v>
      </c>
      <c r="C1049" s="5" t="s">
        <v>477</v>
      </c>
      <c r="D1049" s="1" t="s">
        <v>225</v>
      </c>
      <c r="E1049" s="5">
        <v>5</v>
      </c>
    </row>
    <row r="1050" spans="1:5" ht="21" customHeight="1" x14ac:dyDescent="0.3">
      <c r="A1050" s="1" t="s">
        <v>292</v>
      </c>
      <c r="B1050" s="52" t="s">
        <v>475</v>
      </c>
      <c r="C1050" s="18" t="s">
        <v>478</v>
      </c>
      <c r="D1050" s="1" t="s">
        <v>226</v>
      </c>
      <c r="E1050" s="18">
        <v>1</v>
      </c>
    </row>
    <row r="1051" spans="1:5" ht="21" customHeight="1" x14ac:dyDescent="0.3">
      <c r="A1051" s="1" t="s">
        <v>292</v>
      </c>
      <c r="B1051" s="52" t="s">
        <v>475</v>
      </c>
      <c r="C1051" s="18" t="s">
        <v>478</v>
      </c>
      <c r="D1051" s="1" t="s">
        <v>226</v>
      </c>
      <c r="E1051" s="18">
        <v>2</v>
      </c>
    </row>
    <row r="1052" spans="1:5" ht="21" customHeight="1" x14ac:dyDescent="0.3">
      <c r="A1052" s="1" t="s">
        <v>292</v>
      </c>
      <c r="B1052" s="52" t="s">
        <v>475</v>
      </c>
      <c r="C1052" s="18" t="s">
        <v>478</v>
      </c>
      <c r="D1052" s="1" t="s">
        <v>226</v>
      </c>
      <c r="E1052" s="18">
        <v>3</v>
      </c>
    </row>
    <row r="1053" spans="1:5" ht="21" customHeight="1" x14ac:dyDescent="0.3">
      <c r="A1053" s="1" t="s">
        <v>292</v>
      </c>
      <c r="B1053" s="52" t="s">
        <v>475</v>
      </c>
      <c r="C1053" s="18" t="s">
        <v>478</v>
      </c>
      <c r="D1053" s="1" t="s">
        <v>226</v>
      </c>
      <c r="E1053" s="18">
        <v>4</v>
      </c>
    </row>
    <row r="1054" spans="1:5" ht="21" customHeight="1" x14ac:dyDescent="0.3">
      <c r="A1054" s="1" t="s">
        <v>292</v>
      </c>
      <c r="B1054" s="52" t="s">
        <v>475</v>
      </c>
      <c r="C1054" s="18" t="s">
        <v>478</v>
      </c>
      <c r="D1054" s="1" t="s">
        <v>226</v>
      </c>
      <c r="E1054" s="18">
        <v>5</v>
      </c>
    </row>
    <row r="1055" spans="1:5" ht="21" customHeight="1" x14ac:dyDescent="0.3">
      <c r="A1055" s="1" t="s">
        <v>292</v>
      </c>
      <c r="B1055" s="52" t="s">
        <v>475</v>
      </c>
      <c r="C1055" s="18" t="s">
        <v>478</v>
      </c>
      <c r="D1055" s="1" t="s">
        <v>226</v>
      </c>
      <c r="E1055" s="18">
        <v>6</v>
      </c>
    </row>
    <row r="1056" spans="1:5" ht="21" customHeight="1" x14ac:dyDescent="0.3">
      <c r="A1056" s="1" t="s">
        <v>292</v>
      </c>
      <c r="B1056" s="52" t="s">
        <v>475</v>
      </c>
      <c r="C1056" s="18" t="s">
        <v>478</v>
      </c>
      <c r="D1056" s="1" t="s">
        <v>226</v>
      </c>
      <c r="E1056" s="18">
        <v>7</v>
      </c>
    </row>
    <row r="1057" spans="1:5" ht="21" customHeight="1" x14ac:dyDescent="0.3">
      <c r="A1057" s="1" t="s">
        <v>292</v>
      </c>
      <c r="B1057" s="52" t="s">
        <v>475</v>
      </c>
      <c r="C1057" s="18" t="s">
        <v>478</v>
      </c>
      <c r="D1057" s="1" t="s">
        <v>226</v>
      </c>
      <c r="E1057" s="18">
        <v>8</v>
      </c>
    </row>
    <row r="1058" spans="1:5" ht="21" customHeight="1" x14ac:dyDescent="0.3">
      <c r="A1058" s="1" t="s">
        <v>222</v>
      </c>
      <c r="B1058" s="51" t="s">
        <v>479</v>
      </c>
      <c r="C1058" s="5" t="s">
        <v>480</v>
      </c>
      <c r="D1058" s="1" t="s">
        <v>224</v>
      </c>
      <c r="E1058" s="5">
        <v>1</v>
      </c>
    </row>
    <row r="1059" spans="1:5" ht="21" customHeight="1" x14ac:dyDescent="0.3">
      <c r="A1059" s="1" t="s">
        <v>222</v>
      </c>
      <c r="B1059" s="51" t="s">
        <v>479</v>
      </c>
      <c r="C1059" s="5" t="s">
        <v>480</v>
      </c>
      <c r="D1059" s="1" t="s">
        <v>224</v>
      </c>
      <c r="E1059" s="5">
        <v>2</v>
      </c>
    </row>
    <row r="1060" spans="1:5" ht="21" customHeight="1" x14ac:dyDescent="0.3">
      <c r="A1060" s="1" t="s">
        <v>222</v>
      </c>
      <c r="B1060" s="51" t="s">
        <v>479</v>
      </c>
      <c r="C1060" s="5" t="s">
        <v>480</v>
      </c>
      <c r="D1060" s="1" t="s">
        <v>224</v>
      </c>
      <c r="E1060" s="5">
        <v>3</v>
      </c>
    </row>
    <row r="1061" spans="1:5" ht="21" customHeight="1" x14ac:dyDescent="0.3">
      <c r="A1061" s="1" t="s">
        <v>222</v>
      </c>
      <c r="B1061" s="51" t="s">
        <v>479</v>
      </c>
      <c r="C1061" s="5" t="s">
        <v>480</v>
      </c>
      <c r="D1061" s="1" t="s">
        <v>224</v>
      </c>
      <c r="E1061" s="5">
        <v>4</v>
      </c>
    </row>
    <row r="1062" spans="1:5" ht="21" customHeight="1" x14ac:dyDescent="0.3">
      <c r="A1062" s="1" t="s">
        <v>222</v>
      </c>
      <c r="B1062" s="51" t="s">
        <v>479</v>
      </c>
      <c r="C1062" s="5" t="s">
        <v>480</v>
      </c>
      <c r="D1062" s="1" t="s">
        <v>224</v>
      </c>
      <c r="E1062" s="5">
        <v>5</v>
      </c>
    </row>
    <row r="1063" spans="1:5" ht="21" customHeight="1" x14ac:dyDescent="0.3">
      <c r="A1063" s="1" t="s">
        <v>222</v>
      </c>
      <c r="B1063" s="51" t="s">
        <v>479</v>
      </c>
      <c r="C1063" s="18" t="s">
        <v>481</v>
      </c>
      <c r="D1063" s="1" t="s">
        <v>225</v>
      </c>
      <c r="E1063" s="18">
        <v>1</v>
      </c>
    </row>
    <row r="1064" spans="1:5" ht="21" customHeight="1" x14ac:dyDescent="0.3">
      <c r="A1064" s="1" t="s">
        <v>222</v>
      </c>
      <c r="B1064" s="51" t="s">
        <v>479</v>
      </c>
      <c r="C1064" s="18" t="s">
        <v>481</v>
      </c>
      <c r="D1064" s="1" t="s">
        <v>225</v>
      </c>
      <c r="E1064" s="18">
        <v>2</v>
      </c>
    </row>
    <row r="1065" spans="1:5" ht="21" customHeight="1" x14ac:dyDescent="0.3">
      <c r="A1065" s="1" t="s">
        <v>222</v>
      </c>
      <c r="B1065" s="51" t="s">
        <v>479</v>
      </c>
      <c r="C1065" s="18" t="s">
        <v>481</v>
      </c>
      <c r="D1065" s="1" t="s">
        <v>225</v>
      </c>
      <c r="E1065" s="18">
        <v>3</v>
      </c>
    </row>
    <row r="1066" spans="1:5" ht="21" customHeight="1" x14ac:dyDescent="0.3">
      <c r="A1066" s="1" t="s">
        <v>222</v>
      </c>
      <c r="B1066" s="51" t="s">
        <v>479</v>
      </c>
      <c r="C1066" s="18" t="s">
        <v>481</v>
      </c>
      <c r="D1066" s="1" t="s">
        <v>225</v>
      </c>
      <c r="E1066" s="18">
        <v>4</v>
      </c>
    </row>
    <row r="1067" spans="1:5" ht="21" customHeight="1" x14ac:dyDescent="0.3">
      <c r="A1067" s="1" t="s">
        <v>222</v>
      </c>
      <c r="B1067" s="51" t="s">
        <v>479</v>
      </c>
      <c r="C1067" s="18" t="s">
        <v>481</v>
      </c>
      <c r="D1067" s="1" t="s">
        <v>225</v>
      </c>
      <c r="E1067" s="18">
        <v>5</v>
      </c>
    </row>
    <row r="1068" spans="1:5" ht="21" customHeight="1" x14ac:dyDescent="0.3">
      <c r="A1068" s="1" t="s">
        <v>222</v>
      </c>
      <c r="B1068" s="51" t="s">
        <v>479</v>
      </c>
      <c r="C1068" s="5" t="s">
        <v>481</v>
      </c>
      <c r="D1068" s="1" t="s">
        <v>225</v>
      </c>
      <c r="E1068" s="5">
        <v>1</v>
      </c>
    </row>
    <row r="1069" spans="1:5" ht="21" customHeight="1" x14ac:dyDescent="0.3">
      <c r="A1069" s="1" t="s">
        <v>222</v>
      </c>
      <c r="B1069" s="51" t="s">
        <v>479</v>
      </c>
      <c r="C1069" s="5" t="s">
        <v>481</v>
      </c>
      <c r="D1069" s="1" t="s">
        <v>225</v>
      </c>
      <c r="E1069" s="5">
        <v>2</v>
      </c>
    </row>
    <row r="1070" spans="1:5" ht="21" customHeight="1" x14ac:dyDescent="0.3">
      <c r="A1070" s="1" t="s">
        <v>222</v>
      </c>
      <c r="B1070" s="51" t="s">
        <v>479</v>
      </c>
      <c r="C1070" s="5" t="s">
        <v>481</v>
      </c>
      <c r="D1070" s="1" t="s">
        <v>225</v>
      </c>
      <c r="E1070" s="5">
        <v>3</v>
      </c>
    </row>
    <row r="1071" spans="1:5" ht="21" customHeight="1" x14ac:dyDescent="0.3">
      <c r="A1071" s="1" t="s">
        <v>222</v>
      </c>
      <c r="B1071" s="51" t="s">
        <v>479</v>
      </c>
      <c r="C1071" s="5" t="s">
        <v>481</v>
      </c>
      <c r="D1071" s="1" t="s">
        <v>225</v>
      </c>
      <c r="E1071" s="5">
        <v>4</v>
      </c>
    </row>
    <row r="1072" spans="1:5" ht="21" customHeight="1" x14ac:dyDescent="0.3">
      <c r="A1072" s="1" t="s">
        <v>222</v>
      </c>
      <c r="B1072" s="51" t="s">
        <v>479</v>
      </c>
      <c r="C1072" s="5" t="s">
        <v>481</v>
      </c>
      <c r="D1072" s="1" t="s">
        <v>225</v>
      </c>
      <c r="E1072" s="5">
        <v>5</v>
      </c>
    </row>
    <row r="1073" spans="1:5" ht="21" customHeight="1" x14ac:dyDescent="0.3">
      <c r="A1073" s="1" t="s">
        <v>292</v>
      </c>
      <c r="B1073" s="51" t="s">
        <v>479</v>
      </c>
      <c r="C1073" s="18" t="s">
        <v>482</v>
      </c>
      <c r="D1073" s="1" t="s">
        <v>226</v>
      </c>
      <c r="E1073" s="18">
        <v>1</v>
      </c>
    </row>
    <row r="1074" spans="1:5" ht="21" customHeight="1" x14ac:dyDescent="0.3">
      <c r="A1074" s="1" t="s">
        <v>292</v>
      </c>
      <c r="B1074" s="51" t="s">
        <v>479</v>
      </c>
      <c r="C1074" s="18" t="s">
        <v>482</v>
      </c>
      <c r="D1074" s="1" t="s">
        <v>226</v>
      </c>
      <c r="E1074" s="18">
        <v>2</v>
      </c>
    </row>
    <row r="1075" spans="1:5" ht="21" customHeight="1" x14ac:dyDescent="0.3">
      <c r="A1075" s="1" t="s">
        <v>292</v>
      </c>
      <c r="B1075" s="51" t="s">
        <v>479</v>
      </c>
      <c r="C1075" s="18" t="s">
        <v>482</v>
      </c>
      <c r="D1075" s="1" t="s">
        <v>226</v>
      </c>
      <c r="E1075" s="18">
        <v>3</v>
      </c>
    </row>
    <row r="1076" spans="1:5" ht="21" customHeight="1" x14ac:dyDescent="0.3">
      <c r="A1076" s="1" t="s">
        <v>292</v>
      </c>
      <c r="B1076" s="51" t="s">
        <v>479</v>
      </c>
      <c r="C1076" s="18" t="s">
        <v>482</v>
      </c>
      <c r="D1076" s="1" t="s">
        <v>226</v>
      </c>
      <c r="E1076" s="18">
        <v>4</v>
      </c>
    </row>
    <row r="1077" spans="1:5" ht="21" customHeight="1" x14ac:dyDescent="0.3">
      <c r="A1077" s="1" t="s">
        <v>292</v>
      </c>
      <c r="B1077" s="51" t="s">
        <v>479</v>
      </c>
      <c r="C1077" s="18" t="s">
        <v>482</v>
      </c>
      <c r="D1077" s="1" t="s">
        <v>226</v>
      </c>
      <c r="E1077" s="18">
        <v>5</v>
      </c>
    </row>
    <row r="1078" spans="1:5" ht="21" customHeight="1" x14ac:dyDescent="0.3">
      <c r="A1078" s="1" t="s">
        <v>292</v>
      </c>
      <c r="B1078" s="51" t="s">
        <v>479</v>
      </c>
      <c r="C1078" s="18" t="s">
        <v>482</v>
      </c>
      <c r="D1078" s="1" t="s">
        <v>226</v>
      </c>
      <c r="E1078" s="18">
        <v>6</v>
      </c>
    </row>
    <row r="1079" spans="1:5" ht="21" customHeight="1" x14ac:dyDescent="0.3">
      <c r="A1079" s="1" t="s">
        <v>292</v>
      </c>
      <c r="B1079" s="51" t="s">
        <v>479</v>
      </c>
      <c r="C1079" s="18" t="s">
        <v>482</v>
      </c>
      <c r="D1079" s="1" t="s">
        <v>226</v>
      </c>
      <c r="E1079" s="18">
        <v>7</v>
      </c>
    </row>
    <row r="1080" spans="1:5" ht="21" customHeight="1" x14ac:dyDescent="0.3">
      <c r="A1080" s="1" t="s">
        <v>292</v>
      </c>
      <c r="B1080" s="51" t="s">
        <v>479</v>
      </c>
      <c r="C1080" s="18" t="s">
        <v>482</v>
      </c>
      <c r="D1080" s="1" t="s">
        <v>226</v>
      </c>
      <c r="E1080" s="18">
        <v>8</v>
      </c>
    </row>
    <row r="1081" spans="1:5" ht="21" customHeight="1" x14ac:dyDescent="0.3">
      <c r="A1081" s="1" t="s">
        <v>222</v>
      </c>
      <c r="B1081" s="52" t="s">
        <v>483</v>
      </c>
      <c r="C1081" s="5" t="s">
        <v>484</v>
      </c>
      <c r="D1081" s="1" t="s">
        <v>224</v>
      </c>
      <c r="E1081" s="5">
        <v>1</v>
      </c>
    </row>
    <row r="1082" spans="1:5" ht="21" customHeight="1" x14ac:dyDescent="0.3">
      <c r="A1082" s="1" t="s">
        <v>222</v>
      </c>
      <c r="B1082" s="52" t="s">
        <v>483</v>
      </c>
      <c r="C1082" s="5" t="s">
        <v>484</v>
      </c>
      <c r="D1082" s="1" t="s">
        <v>224</v>
      </c>
      <c r="E1082" s="5">
        <v>2</v>
      </c>
    </row>
    <row r="1083" spans="1:5" ht="21" customHeight="1" x14ac:dyDescent="0.3">
      <c r="A1083" s="1" t="s">
        <v>222</v>
      </c>
      <c r="B1083" s="52" t="s">
        <v>483</v>
      </c>
      <c r="C1083" s="5" t="s">
        <v>484</v>
      </c>
      <c r="D1083" s="1" t="s">
        <v>224</v>
      </c>
      <c r="E1083" s="5">
        <v>3</v>
      </c>
    </row>
    <row r="1084" spans="1:5" ht="21" customHeight="1" x14ac:dyDescent="0.3">
      <c r="A1084" s="1" t="s">
        <v>222</v>
      </c>
      <c r="B1084" s="52" t="s">
        <v>483</v>
      </c>
      <c r="C1084" s="5" t="s">
        <v>484</v>
      </c>
      <c r="D1084" s="1" t="s">
        <v>224</v>
      </c>
      <c r="E1084" s="5">
        <v>4</v>
      </c>
    </row>
    <row r="1085" spans="1:5" ht="21" customHeight="1" x14ac:dyDescent="0.3">
      <c r="A1085" s="1" t="s">
        <v>222</v>
      </c>
      <c r="B1085" s="52" t="s">
        <v>483</v>
      </c>
      <c r="C1085" s="5" t="s">
        <v>484</v>
      </c>
      <c r="D1085" s="1" t="s">
        <v>224</v>
      </c>
      <c r="E1085" s="5">
        <v>5</v>
      </c>
    </row>
    <row r="1086" spans="1:5" ht="21" customHeight="1" x14ac:dyDescent="0.3">
      <c r="A1086" s="1" t="s">
        <v>222</v>
      </c>
      <c r="B1086" s="52" t="s">
        <v>483</v>
      </c>
      <c r="C1086" s="18" t="s">
        <v>485</v>
      </c>
      <c r="D1086" s="1" t="s">
        <v>225</v>
      </c>
      <c r="E1086" s="18">
        <v>1</v>
      </c>
    </row>
    <row r="1087" spans="1:5" ht="21" customHeight="1" x14ac:dyDescent="0.3">
      <c r="A1087" s="1" t="s">
        <v>222</v>
      </c>
      <c r="B1087" s="52" t="s">
        <v>483</v>
      </c>
      <c r="C1087" s="18" t="s">
        <v>485</v>
      </c>
      <c r="D1087" s="1" t="s">
        <v>225</v>
      </c>
      <c r="E1087" s="18">
        <v>2</v>
      </c>
    </row>
    <row r="1088" spans="1:5" ht="21" customHeight="1" x14ac:dyDescent="0.3">
      <c r="A1088" s="1" t="s">
        <v>222</v>
      </c>
      <c r="B1088" s="52" t="s">
        <v>483</v>
      </c>
      <c r="C1088" s="18" t="s">
        <v>485</v>
      </c>
      <c r="D1088" s="1" t="s">
        <v>225</v>
      </c>
      <c r="E1088" s="18">
        <v>3</v>
      </c>
    </row>
    <row r="1089" spans="1:5" ht="21" customHeight="1" x14ac:dyDescent="0.3">
      <c r="A1089" s="1" t="s">
        <v>222</v>
      </c>
      <c r="B1089" s="52" t="s">
        <v>483</v>
      </c>
      <c r="C1089" s="18" t="s">
        <v>485</v>
      </c>
      <c r="D1089" s="1" t="s">
        <v>225</v>
      </c>
      <c r="E1089" s="18">
        <v>4</v>
      </c>
    </row>
    <row r="1090" spans="1:5" ht="21" customHeight="1" x14ac:dyDescent="0.3">
      <c r="A1090" s="1" t="s">
        <v>222</v>
      </c>
      <c r="B1090" s="52" t="s">
        <v>483</v>
      </c>
      <c r="C1090" s="18" t="s">
        <v>485</v>
      </c>
      <c r="D1090" s="1" t="s">
        <v>225</v>
      </c>
      <c r="E1090" s="18">
        <v>5</v>
      </c>
    </row>
    <row r="1091" spans="1:5" ht="21" customHeight="1" x14ac:dyDescent="0.3">
      <c r="A1091" s="1" t="s">
        <v>222</v>
      </c>
      <c r="B1091" s="52" t="s">
        <v>483</v>
      </c>
      <c r="C1091" s="5" t="s">
        <v>485</v>
      </c>
      <c r="D1091" s="1" t="s">
        <v>225</v>
      </c>
      <c r="E1091" s="5">
        <v>1</v>
      </c>
    </row>
    <row r="1092" spans="1:5" ht="21" customHeight="1" x14ac:dyDescent="0.3">
      <c r="A1092" s="1" t="s">
        <v>222</v>
      </c>
      <c r="B1092" s="52" t="s">
        <v>483</v>
      </c>
      <c r="C1092" s="5" t="s">
        <v>485</v>
      </c>
      <c r="D1092" s="1" t="s">
        <v>225</v>
      </c>
      <c r="E1092" s="5">
        <v>2</v>
      </c>
    </row>
    <row r="1093" spans="1:5" ht="21" customHeight="1" x14ac:dyDescent="0.3">
      <c r="A1093" s="1" t="s">
        <v>222</v>
      </c>
      <c r="B1093" s="52" t="s">
        <v>483</v>
      </c>
      <c r="C1093" s="5" t="s">
        <v>485</v>
      </c>
      <c r="D1093" s="1" t="s">
        <v>225</v>
      </c>
      <c r="E1093" s="5">
        <v>3</v>
      </c>
    </row>
    <row r="1094" spans="1:5" ht="21" customHeight="1" x14ac:dyDescent="0.3">
      <c r="A1094" s="1" t="s">
        <v>222</v>
      </c>
      <c r="B1094" s="52" t="s">
        <v>483</v>
      </c>
      <c r="C1094" s="5" t="s">
        <v>485</v>
      </c>
      <c r="D1094" s="1" t="s">
        <v>225</v>
      </c>
      <c r="E1094" s="5">
        <v>4</v>
      </c>
    </row>
    <row r="1095" spans="1:5" ht="21" customHeight="1" x14ac:dyDescent="0.3">
      <c r="A1095" s="1" t="s">
        <v>222</v>
      </c>
      <c r="B1095" s="52" t="s">
        <v>483</v>
      </c>
      <c r="C1095" s="5" t="s">
        <v>485</v>
      </c>
      <c r="D1095" s="1" t="s">
        <v>225</v>
      </c>
      <c r="E1095" s="5">
        <v>5</v>
      </c>
    </row>
    <row r="1096" spans="1:5" ht="21" customHeight="1" x14ac:dyDescent="0.3">
      <c r="A1096" s="1" t="s">
        <v>292</v>
      </c>
      <c r="B1096" s="52" t="s">
        <v>483</v>
      </c>
      <c r="C1096" s="18" t="s">
        <v>486</v>
      </c>
      <c r="D1096" s="1" t="s">
        <v>226</v>
      </c>
      <c r="E1096" s="18">
        <v>1</v>
      </c>
    </row>
    <row r="1097" spans="1:5" ht="21" customHeight="1" x14ac:dyDescent="0.3">
      <c r="A1097" s="1" t="s">
        <v>292</v>
      </c>
      <c r="B1097" s="52" t="s">
        <v>483</v>
      </c>
      <c r="C1097" s="18" t="s">
        <v>486</v>
      </c>
      <c r="D1097" s="1" t="s">
        <v>226</v>
      </c>
      <c r="E1097" s="18">
        <v>2</v>
      </c>
    </row>
    <row r="1098" spans="1:5" ht="21" customHeight="1" x14ac:dyDescent="0.3">
      <c r="A1098" s="1" t="s">
        <v>292</v>
      </c>
      <c r="B1098" s="52" t="s">
        <v>483</v>
      </c>
      <c r="C1098" s="18" t="s">
        <v>486</v>
      </c>
      <c r="D1098" s="1" t="s">
        <v>226</v>
      </c>
      <c r="E1098" s="18">
        <v>3</v>
      </c>
    </row>
    <row r="1099" spans="1:5" ht="21" customHeight="1" x14ac:dyDescent="0.3">
      <c r="A1099" s="1" t="s">
        <v>292</v>
      </c>
      <c r="B1099" s="52" t="s">
        <v>483</v>
      </c>
      <c r="C1099" s="18" t="s">
        <v>486</v>
      </c>
      <c r="D1099" s="1" t="s">
        <v>226</v>
      </c>
      <c r="E1099" s="18">
        <v>4</v>
      </c>
    </row>
    <row r="1100" spans="1:5" ht="21" customHeight="1" x14ac:dyDescent="0.3">
      <c r="A1100" s="1" t="s">
        <v>292</v>
      </c>
      <c r="B1100" s="52" t="s">
        <v>483</v>
      </c>
      <c r="C1100" s="18" t="s">
        <v>486</v>
      </c>
      <c r="D1100" s="1" t="s">
        <v>226</v>
      </c>
      <c r="E1100" s="18">
        <v>5</v>
      </c>
    </row>
    <row r="1101" spans="1:5" ht="21" customHeight="1" x14ac:dyDescent="0.3">
      <c r="A1101" s="1" t="s">
        <v>292</v>
      </c>
      <c r="B1101" s="52" t="s">
        <v>483</v>
      </c>
      <c r="C1101" s="18" t="s">
        <v>486</v>
      </c>
      <c r="D1101" s="1" t="s">
        <v>226</v>
      </c>
      <c r="E1101" s="18">
        <v>6</v>
      </c>
    </row>
    <row r="1102" spans="1:5" ht="21" customHeight="1" x14ac:dyDescent="0.3">
      <c r="A1102" s="1" t="s">
        <v>292</v>
      </c>
      <c r="B1102" s="52" t="s">
        <v>483</v>
      </c>
      <c r="C1102" s="18" t="s">
        <v>486</v>
      </c>
      <c r="D1102" s="1" t="s">
        <v>226</v>
      </c>
      <c r="E1102" s="18">
        <v>7</v>
      </c>
    </row>
    <row r="1103" spans="1:5" ht="21" customHeight="1" x14ac:dyDescent="0.3">
      <c r="A1103" s="1" t="s">
        <v>292</v>
      </c>
      <c r="B1103" s="52" t="s">
        <v>483</v>
      </c>
      <c r="C1103" s="18" t="s">
        <v>486</v>
      </c>
      <c r="D1103" s="1" t="s">
        <v>226</v>
      </c>
      <c r="E1103" s="18">
        <v>8</v>
      </c>
    </row>
    <row r="1104" spans="1:5" ht="21" customHeight="1" x14ac:dyDescent="0.3">
      <c r="A1104" s="1" t="s">
        <v>222</v>
      </c>
      <c r="B1104" s="51" t="s">
        <v>487</v>
      </c>
      <c r="C1104" s="5" t="s">
        <v>488</v>
      </c>
      <c r="D1104" s="1" t="s">
        <v>224</v>
      </c>
      <c r="E1104" s="5">
        <v>1</v>
      </c>
    </row>
    <row r="1105" spans="1:5" ht="21" customHeight="1" x14ac:dyDescent="0.3">
      <c r="A1105" s="1" t="s">
        <v>222</v>
      </c>
      <c r="B1105" s="51" t="s">
        <v>487</v>
      </c>
      <c r="C1105" s="5" t="s">
        <v>488</v>
      </c>
      <c r="D1105" s="1" t="s">
        <v>224</v>
      </c>
      <c r="E1105" s="5">
        <v>2</v>
      </c>
    </row>
    <row r="1106" spans="1:5" ht="21" customHeight="1" x14ac:dyDescent="0.3">
      <c r="A1106" s="1" t="s">
        <v>222</v>
      </c>
      <c r="B1106" s="51" t="s">
        <v>487</v>
      </c>
      <c r="C1106" s="5" t="s">
        <v>488</v>
      </c>
      <c r="D1106" s="1" t="s">
        <v>224</v>
      </c>
      <c r="E1106" s="5">
        <v>3</v>
      </c>
    </row>
    <row r="1107" spans="1:5" ht="21" customHeight="1" x14ac:dyDescent="0.3">
      <c r="A1107" s="1" t="s">
        <v>222</v>
      </c>
      <c r="B1107" s="51" t="s">
        <v>487</v>
      </c>
      <c r="C1107" s="5" t="s">
        <v>488</v>
      </c>
      <c r="D1107" s="1" t="s">
        <v>224</v>
      </c>
      <c r="E1107" s="5">
        <v>4</v>
      </c>
    </row>
    <row r="1108" spans="1:5" ht="21" customHeight="1" x14ac:dyDescent="0.3">
      <c r="A1108" s="1" t="s">
        <v>222</v>
      </c>
      <c r="B1108" s="51" t="s">
        <v>487</v>
      </c>
      <c r="C1108" s="5" t="s">
        <v>488</v>
      </c>
      <c r="D1108" s="1" t="s">
        <v>224</v>
      </c>
      <c r="E1108" s="5">
        <v>5</v>
      </c>
    </row>
    <row r="1109" spans="1:5" ht="21" customHeight="1" x14ac:dyDescent="0.3">
      <c r="A1109" s="1" t="s">
        <v>222</v>
      </c>
      <c r="B1109" s="51" t="s">
        <v>487</v>
      </c>
      <c r="C1109" s="18" t="s">
        <v>489</v>
      </c>
      <c r="D1109" s="1" t="s">
        <v>225</v>
      </c>
      <c r="E1109" s="18">
        <v>1</v>
      </c>
    </row>
    <row r="1110" spans="1:5" ht="21" customHeight="1" x14ac:dyDescent="0.3">
      <c r="A1110" s="1" t="s">
        <v>222</v>
      </c>
      <c r="B1110" s="51" t="s">
        <v>487</v>
      </c>
      <c r="C1110" s="18" t="s">
        <v>489</v>
      </c>
      <c r="D1110" s="1" t="s">
        <v>225</v>
      </c>
      <c r="E1110" s="18">
        <v>2</v>
      </c>
    </row>
    <row r="1111" spans="1:5" ht="21" customHeight="1" x14ac:dyDescent="0.3">
      <c r="A1111" s="1" t="s">
        <v>222</v>
      </c>
      <c r="B1111" s="51" t="s">
        <v>487</v>
      </c>
      <c r="C1111" s="18" t="s">
        <v>489</v>
      </c>
      <c r="D1111" s="1" t="s">
        <v>225</v>
      </c>
      <c r="E1111" s="18">
        <v>3</v>
      </c>
    </row>
    <row r="1112" spans="1:5" ht="21" customHeight="1" x14ac:dyDescent="0.3">
      <c r="A1112" s="1" t="s">
        <v>222</v>
      </c>
      <c r="B1112" s="51" t="s">
        <v>487</v>
      </c>
      <c r="C1112" s="18" t="s">
        <v>489</v>
      </c>
      <c r="D1112" s="1" t="s">
        <v>225</v>
      </c>
      <c r="E1112" s="18">
        <v>4</v>
      </c>
    </row>
    <row r="1113" spans="1:5" ht="21" customHeight="1" x14ac:dyDescent="0.3">
      <c r="A1113" s="1" t="s">
        <v>222</v>
      </c>
      <c r="B1113" s="51" t="s">
        <v>487</v>
      </c>
      <c r="C1113" s="18" t="s">
        <v>489</v>
      </c>
      <c r="D1113" s="1" t="s">
        <v>225</v>
      </c>
      <c r="E1113" s="18">
        <v>5</v>
      </c>
    </row>
    <row r="1114" spans="1:5" ht="21" customHeight="1" x14ac:dyDescent="0.3">
      <c r="A1114" s="1" t="s">
        <v>222</v>
      </c>
      <c r="B1114" s="51" t="s">
        <v>487</v>
      </c>
      <c r="C1114" s="5" t="s">
        <v>489</v>
      </c>
      <c r="D1114" s="1" t="s">
        <v>225</v>
      </c>
      <c r="E1114" s="5">
        <v>1</v>
      </c>
    </row>
    <row r="1115" spans="1:5" ht="21" customHeight="1" x14ac:dyDescent="0.3">
      <c r="A1115" s="1" t="s">
        <v>222</v>
      </c>
      <c r="B1115" s="51" t="s">
        <v>487</v>
      </c>
      <c r="C1115" s="5" t="s">
        <v>489</v>
      </c>
      <c r="D1115" s="1" t="s">
        <v>225</v>
      </c>
      <c r="E1115" s="5">
        <v>2</v>
      </c>
    </row>
    <row r="1116" spans="1:5" ht="21" customHeight="1" x14ac:dyDescent="0.3">
      <c r="A1116" s="1" t="s">
        <v>222</v>
      </c>
      <c r="B1116" s="51" t="s">
        <v>487</v>
      </c>
      <c r="C1116" s="5" t="s">
        <v>489</v>
      </c>
      <c r="D1116" s="1" t="s">
        <v>225</v>
      </c>
      <c r="E1116" s="5">
        <v>3</v>
      </c>
    </row>
    <row r="1117" spans="1:5" ht="21" customHeight="1" x14ac:dyDescent="0.3">
      <c r="A1117" s="1" t="s">
        <v>222</v>
      </c>
      <c r="B1117" s="51" t="s">
        <v>487</v>
      </c>
      <c r="C1117" s="5" t="s">
        <v>489</v>
      </c>
      <c r="D1117" s="1" t="s">
        <v>225</v>
      </c>
      <c r="E1117" s="5">
        <v>4</v>
      </c>
    </row>
    <row r="1118" spans="1:5" ht="21" customHeight="1" x14ac:dyDescent="0.3">
      <c r="A1118" s="1" t="s">
        <v>222</v>
      </c>
      <c r="B1118" s="51" t="s">
        <v>487</v>
      </c>
      <c r="C1118" s="5" t="s">
        <v>489</v>
      </c>
      <c r="D1118" s="1" t="s">
        <v>225</v>
      </c>
      <c r="E1118" s="5">
        <v>5</v>
      </c>
    </row>
    <row r="1119" spans="1:5" ht="21" customHeight="1" x14ac:dyDescent="0.3">
      <c r="A1119" s="1" t="s">
        <v>292</v>
      </c>
      <c r="B1119" s="51" t="s">
        <v>487</v>
      </c>
      <c r="C1119" s="18" t="s">
        <v>490</v>
      </c>
      <c r="D1119" s="1" t="s">
        <v>226</v>
      </c>
      <c r="E1119" s="18">
        <v>1</v>
      </c>
    </row>
    <row r="1120" spans="1:5" ht="21" customHeight="1" x14ac:dyDescent="0.3">
      <c r="A1120" s="1" t="s">
        <v>292</v>
      </c>
      <c r="B1120" s="51" t="s">
        <v>487</v>
      </c>
      <c r="C1120" s="18" t="s">
        <v>490</v>
      </c>
      <c r="D1120" s="1" t="s">
        <v>226</v>
      </c>
      <c r="E1120" s="18">
        <v>2</v>
      </c>
    </row>
    <row r="1121" spans="1:5" ht="21" customHeight="1" x14ac:dyDescent="0.3">
      <c r="A1121" s="1" t="s">
        <v>292</v>
      </c>
      <c r="B1121" s="51" t="s">
        <v>487</v>
      </c>
      <c r="C1121" s="18" t="s">
        <v>490</v>
      </c>
      <c r="D1121" s="1" t="s">
        <v>226</v>
      </c>
      <c r="E1121" s="18">
        <v>3</v>
      </c>
    </row>
    <row r="1122" spans="1:5" ht="21" customHeight="1" x14ac:dyDescent="0.3">
      <c r="A1122" s="1" t="s">
        <v>292</v>
      </c>
      <c r="B1122" s="51" t="s">
        <v>487</v>
      </c>
      <c r="C1122" s="18" t="s">
        <v>490</v>
      </c>
      <c r="D1122" s="1" t="s">
        <v>226</v>
      </c>
      <c r="E1122" s="18">
        <v>4</v>
      </c>
    </row>
    <row r="1123" spans="1:5" ht="21" customHeight="1" x14ac:dyDescent="0.3">
      <c r="A1123" s="1" t="s">
        <v>292</v>
      </c>
      <c r="B1123" s="51" t="s">
        <v>487</v>
      </c>
      <c r="C1123" s="18" t="s">
        <v>490</v>
      </c>
      <c r="D1123" s="1" t="s">
        <v>226</v>
      </c>
      <c r="E1123" s="18">
        <v>5</v>
      </c>
    </row>
    <row r="1124" spans="1:5" ht="21" customHeight="1" x14ac:dyDescent="0.3">
      <c r="A1124" s="1" t="s">
        <v>292</v>
      </c>
      <c r="B1124" s="51" t="s">
        <v>487</v>
      </c>
      <c r="C1124" s="18" t="s">
        <v>490</v>
      </c>
      <c r="D1124" s="1" t="s">
        <v>226</v>
      </c>
      <c r="E1124" s="18">
        <v>6</v>
      </c>
    </row>
    <row r="1125" spans="1:5" ht="21" customHeight="1" x14ac:dyDescent="0.3">
      <c r="A1125" s="1" t="s">
        <v>292</v>
      </c>
      <c r="B1125" s="51" t="s">
        <v>487</v>
      </c>
      <c r="C1125" s="18" t="s">
        <v>490</v>
      </c>
      <c r="D1125" s="1" t="s">
        <v>226</v>
      </c>
      <c r="E1125" s="18">
        <v>7</v>
      </c>
    </row>
    <row r="1126" spans="1:5" ht="21" customHeight="1" x14ac:dyDescent="0.3">
      <c r="A1126" s="1" t="s">
        <v>292</v>
      </c>
      <c r="B1126" s="51" t="s">
        <v>487</v>
      </c>
      <c r="C1126" s="18" t="s">
        <v>490</v>
      </c>
      <c r="D1126" s="1" t="s">
        <v>226</v>
      </c>
      <c r="E1126" s="18">
        <v>8</v>
      </c>
    </row>
    <row r="1127" spans="1:5" ht="21" customHeight="1" x14ac:dyDescent="0.3">
      <c r="A1127" s="1" t="s">
        <v>222</v>
      </c>
      <c r="B1127" s="52" t="s">
        <v>491</v>
      </c>
      <c r="C1127" s="5" t="s">
        <v>492</v>
      </c>
      <c r="D1127" s="1" t="s">
        <v>224</v>
      </c>
      <c r="E1127" s="5">
        <v>1</v>
      </c>
    </row>
    <row r="1128" spans="1:5" ht="21" customHeight="1" x14ac:dyDescent="0.3">
      <c r="A1128" s="1" t="s">
        <v>222</v>
      </c>
      <c r="B1128" s="52" t="s">
        <v>491</v>
      </c>
      <c r="C1128" s="5" t="s">
        <v>492</v>
      </c>
      <c r="D1128" s="1" t="s">
        <v>224</v>
      </c>
      <c r="E1128" s="5">
        <v>2</v>
      </c>
    </row>
    <row r="1129" spans="1:5" ht="21" customHeight="1" x14ac:dyDescent="0.3">
      <c r="A1129" s="1" t="s">
        <v>222</v>
      </c>
      <c r="B1129" s="52" t="s">
        <v>491</v>
      </c>
      <c r="C1129" s="5" t="s">
        <v>492</v>
      </c>
      <c r="D1129" s="1" t="s">
        <v>224</v>
      </c>
      <c r="E1129" s="5">
        <v>3</v>
      </c>
    </row>
    <row r="1130" spans="1:5" ht="21" customHeight="1" x14ac:dyDescent="0.3">
      <c r="A1130" s="1" t="s">
        <v>222</v>
      </c>
      <c r="B1130" s="52" t="s">
        <v>491</v>
      </c>
      <c r="C1130" s="5" t="s">
        <v>492</v>
      </c>
      <c r="D1130" s="1" t="s">
        <v>224</v>
      </c>
      <c r="E1130" s="5">
        <v>4</v>
      </c>
    </row>
    <row r="1131" spans="1:5" ht="21" customHeight="1" x14ac:dyDescent="0.3">
      <c r="A1131" s="1" t="s">
        <v>222</v>
      </c>
      <c r="B1131" s="52" t="s">
        <v>491</v>
      </c>
      <c r="C1131" s="5" t="s">
        <v>492</v>
      </c>
      <c r="D1131" s="1" t="s">
        <v>224</v>
      </c>
      <c r="E1131" s="5">
        <v>5</v>
      </c>
    </row>
    <row r="1132" spans="1:5" ht="21" customHeight="1" x14ac:dyDescent="0.3">
      <c r="A1132" s="1" t="s">
        <v>222</v>
      </c>
      <c r="B1132" s="52" t="s">
        <v>491</v>
      </c>
      <c r="C1132" s="18" t="s">
        <v>493</v>
      </c>
      <c r="D1132" s="1" t="s">
        <v>225</v>
      </c>
      <c r="E1132" s="18">
        <v>1</v>
      </c>
    </row>
    <row r="1133" spans="1:5" ht="21" customHeight="1" x14ac:dyDescent="0.3">
      <c r="A1133" s="1" t="s">
        <v>222</v>
      </c>
      <c r="B1133" s="52" t="s">
        <v>491</v>
      </c>
      <c r="C1133" s="18" t="s">
        <v>493</v>
      </c>
      <c r="D1133" s="1" t="s">
        <v>225</v>
      </c>
      <c r="E1133" s="18">
        <v>2</v>
      </c>
    </row>
    <row r="1134" spans="1:5" ht="21" customHeight="1" x14ac:dyDescent="0.3">
      <c r="A1134" s="1" t="s">
        <v>222</v>
      </c>
      <c r="B1134" s="52" t="s">
        <v>491</v>
      </c>
      <c r="C1134" s="18" t="s">
        <v>493</v>
      </c>
      <c r="D1134" s="1" t="s">
        <v>225</v>
      </c>
      <c r="E1134" s="18">
        <v>3</v>
      </c>
    </row>
    <row r="1135" spans="1:5" ht="21" customHeight="1" x14ac:dyDescent="0.3">
      <c r="A1135" s="1" t="s">
        <v>222</v>
      </c>
      <c r="B1135" s="52" t="s">
        <v>491</v>
      </c>
      <c r="C1135" s="18" t="s">
        <v>493</v>
      </c>
      <c r="D1135" s="1" t="s">
        <v>225</v>
      </c>
      <c r="E1135" s="18">
        <v>4</v>
      </c>
    </row>
    <row r="1136" spans="1:5" ht="21" customHeight="1" x14ac:dyDescent="0.3">
      <c r="A1136" s="1" t="s">
        <v>222</v>
      </c>
      <c r="B1136" s="52" t="s">
        <v>491</v>
      </c>
      <c r="C1136" s="18" t="s">
        <v>493</v>
      </c>
      <c r="D1136" s="1" t="s">
        <v>225</v>
      </c>
      <c r="E1136" s="18">
        <v>5</v>
      </c>
    </row>
    <row r="1137" spans="1:5" ht="21" customHeight="1" x14ac:dyDescent="0.3">
      <c r="A1137" s="1" t="s">
        <v>222</v>
      </c>
      <c r="B1137" s="52" t="s">
        <v>491</v>
      </c>
      <c r="C1137" s="5" t="s">
        <v>493</v>
      </c>
      <c r="D1137" s="1" t="s">
        <v>225</v>
      </c>
      <c r="E1137" s="5">
        <v>1</v>
      </c>
    </row>
    <row r="1138" spans="1:5" ht="21" customHeight="1" x14ac:dyDescent="0.3">
      <c r="A1138" s="1" t="s">
        <v>222</v>
      </c>
      <c r="B1138" s="52" t="s">
        <v>491</v>
      </c>
      <c r="C1138" s="5" t="s">
        <v>493</v>
      </c>
      <c r="D1138" s="1" t="s">
        <v>225</v>
      </c>
      <c r="E1138" s="5">
        <v>2</v>
      </c>
    </row>
    <row r="1139" spans="1:5" ht="21" customHeight="1" x14ac:dyDescent="0.3">
      <c r="A1139" s="1" t="s">
        <v>222</v>
      </c>
      <c r="B1139" s="52" t="s">
        <v>491</v>
      </c>
      <c r="C1139" s="5" t="s">
        <v>493</v>
      </c>
      <c r="D1139" s="1" t="s">
        <v>225</v>
      </c>
      <c r="E1139" s="5">
        <v>3</v>
      </c>
    </row>
    <row r="1140" spans="1:5" ht="21" customHeight="1" x14ac:dyDescent="0.3">
      <c r="A1140" s="1" t="s">
        <v>222</v>
      </c>
      <c r="B1140" s="52" t="s">
        <v>491</v>
      </c>
      <c r="C1140" s="5" t="s">
        <v>493</v>
      </c>
      <c r="D1140" s="1" t="s">
        <v>225</v>
      </c>
      <c r="E1140" s="5">
        <v>4</v>
      </c>
    </row>
    <row r="1141" spans="1:5" ht="21" customHeight="1" x14ac:dyDescent="0.3">
      <c r="A1141" s="1" t="s">
        <v>222</v>
      </c>
      <c r="B1141" s="52" t="s">
        <v>491</v>
      </c>
      <c r="C1141" s="5" t="s">
        <v>493</v>
      </c>
      <c r="D1141" s="1" t="s">
        <v>225</v>
      </c>
      <c r="E1141" s="5">
        <v>5</v>
      </c>
    </row>
    <row r="1142" spans="1:5" ht="21" customHeight="1" x14ac:dyDescent="0.3">
      <c r="A1142" s="1" t="s">
        <v>292</v>
      </c>
      <c r="B1142" s="52" t="s">
        <v>491</v>
      </c>
      <c r="C1142" s="18" t="s">
        <v>494</v>
      </c>
      <c r="D1142" s="1" t="s">
        <v>226</v>
      </c>
      <c r="E1142" s="18">
        <v>1</v>
      </c>
    </row>
    <row r="1143" spans="1:5" ht="21" customHeight="1" x14ac:dyDescent="0.3">
      <c r="A1143" s="1" t="s">
        <v>292</v>
      </c>
      <c r="B1143" s="52" t="s">
        <v>491</v>
      </c>
      <c r="C1143" s="18" t="s">
        <v>494</v>
      </c>
      <c r="D1143" s="1" t="s">
        <v>226</v>
      </c>
      <c r="E1143" s="18">
        <v>2</v>
      </c>
    </row>
    <row r="1144" spans="1:5" ht="21" customHeight="1" x14ac:dyDescent="0.3">
      <c r="A1144" s="1" t="s">
        <v>292</v>
      </c>
      <c r="B1144" s="52" t="s">
        <v>491</v>
      </c>
      <c r="C1144" s="18" t="s">
        <v>494</v>
      </c>
      <c r="D1144" s="1" t="s">
        <v>226</v>
      </c>
      <c r="E1144" s="18">
        <v>3</v>
      </c>
    </row>
    <row r="1145" spans="1:5" ht="21" customHeight="1" x14ac:dyDescent="0.3">
      <c r="A1145" s="1" t="s">
        <v>292</v>
      </c>
      <c r="B1145" s="52" t="s">
        <v>491</v>
      </c>
      <c r="C1145" s="18" t="s">
        <v>494</v>
      </c>
      <c r="D1145" s="1" t="s">
        <v>226</v>
      </c>
      <c r="E1145" s="18">
        <v>4</v>
      </c>
    </row>
    <row r="1146" spans="1:5" ht="21" customHeight="1" x14ac:dyDescent="0.3">
      <c r="A1146" s="1" t="s">
        <v>292</v>
      </c>
      <c r="B1146" s="52" t="s">
        <v>491</v>
      </c>
      <c r="C1146" s="18" t="s">
        <v>494</v>
      </c>
      <c r="D1146" s="1" t="s">
        <v>226</v>
      </c>
      <c r="E1146" s="18">
        <v>5</v>
      </c>
    </row>
    <row r="1147" spans="1:5" ht="21" customHeight="1" x14ac:dyDescent="0.3">
      <c r="A1147" s="1" t="s">
        <v>292</v>
      </c>
      <c r="B1147" s="52" t="s">
        <v>491</v>
      </c>
      <c r="C1147" s="18" t="s">
        <v>494</v>
      </c>
      <c r="D1147" s="1" t="s">
        <v>226</v>
      </c>
      <c r="E1147" s="18">
        <v>6</v>
      </c>
    </row>
    <row r="1148" spans="1:5" ht="21" customHeight="1" x14ac:dyDescent="0.3">
      <c r="A1148" s="1" t="s">
        <v>292</v>
      </c>
      <c r="B1148" s="52" t="s">
        <v>491</v>
      </c>
      <c r="C1148" s="18" t="s">
        <v>494</v>
      </c>
      <c r="D1148" s="1" t="s">
        <v>226</v>
      </c>
      <c r="E1148" s="18">
        <v>7</v>
      </c>
    </row>
    <row r="1149" spans="1:5" ht="21" customHeight="1" x14ac:dyDescent="0.3">
      <c r="A1149" s="1" t="s">
        <v>292</v>
      </c>
      <c r="B1149" s="52" t="s">
        <v>491</v>
      </c>
      <c r="C1149" s="18" t="s">
        <v>494</v>
      </c>
      <c r="D1149" s="1" t="s">
        <v>226</v>
      </c>
      <c r="E1149" s="18">
        <v>8</v>
      </c>
    </row>
    <row r="1150" spans="1:5" ht="21" customHeight="1" x14ac:dyDescent="0.3">
      <c r="A1150" s="1" t="s">
        <v>222</v>
      </c>
      <c r="B1150" s="51" t="s">
        <v>495</v>
      </c>
      <c r="C1150" s="5" t="s">
        <v>496</v>
      </c>
      <c r="D1150" s="1" t="s">
        <v>224</v>
      </c>
      <c r="E1150" s="5">
        <v>1</v>
      </c>
    </row>
    <row r="1151" spans="1:5" ht="21" customHeight="1" x14ac:dyDescent="0.3">
      <c r="A1151" s="1" t="s">
        <v>222</v>
      </c>
      <c r="B1151" s="51" t="s">
        <v>495</v>
      </c>
      <c r="C1151" s="5" t="s">
        <v>496</v>
      </c>
      <c r="D1151" s="1" t="s">
        <v>224</v>
      </c>
      <c r="E1151" s="5">
        <v>2</v>
      </c>
    </row>
    <row r="1152" spans="1:5" ht="21" customHeight="1" x14ac:dyDescent="0.3">
      <c r="A1152" s="1" t="s">
        <v>222</v>
      </c>
      <c r="B1152" s="51" t="s">
        <v>495</v>
      </c>
      <c r="C1152" s="5" t="s">
        <v>496</v>
      </c>
      <c r="D1152" s="1" t="s">
        <v>224</v>
      </c>
      <c r="E1152" s="5">
        <v>3</v>
      </c>
    </row>
    <row r="1153" spans="1:5" ht="21" customHeight="1" x14ac:dyDescent="0.3">
      <c r="A1153" s="1" t="s">
        <v>222</v>
      </c>
      <c r="B1153" s="51" t="s">
        <v>495</v>
      </c>
      <c r="C1153" s="5" t="s">
        <v>496</v>
      </c>
      <c r="D1153" s="1" t="s">
        <v>224</v>
      </c>
      <c r="E1153" s="5">
        <v>4</v>
      </c>
    </row>
    <row r="1154" spans="1:5" ht="21" customHeight="1" x14ac:dyDescent="0.3">
      <c r="A1154" s="1" t="s">
        <v>222</v>
      </c>
      <c r="B1154" s="51" t="s">
        <v>495</v>
      </c>
      <c r="C1154" s="5" t="s">
        <v>496</v>
      </c>
      <c r="D1154" s="1" t="s">
        <v>224</v>
      </c>
      <c r="E1154" s="5">
        <v>5</v>
      </c>
    </row>
    <row r="1155" spans="1:5" ht="21" customHeight="1" x14ac:dyDescent="0.3">
      <c r="A1155" s="1" t="s">
        <v>222</v>
      </c>
      <c r="B1155" s="51" t="s">
        <v>495</v>
      </c>
      <c r="C1155" s="18" t="s">
        <v>497</v>
      </c>
      <c r="D1155" s="1" t="s">
        <v>225</v>
      </c>
      <c r="E1155" s="18">
        <v>1</v>
      </c>
    </row>
    <row r="1156" spans="1:5" ht="21" customHeight="1" x14ac:dyDescent="0.3">
      <c r="A1156" s="1" t="s">
        <v>222</v>
      </c>
      <c r="B1156" s="51" t="s">
        <v>495</v>
      </c>
      <c r="C1156" s="18" t="s">
        <v>497</v>
      </c>
      <c r="D1156" s="1" t="s">
        <v>225</v>
      </c>
      <c r="E1156" s="18">
        <v>2</v>
      </c>
    </row>
    <row r="1157" spans="1:5" ht="21" customHeight="1" x14ac:dyDescent="0.3">
      <c r="A1157" s="1" t="s">
        <v>222</v>
      </c>
      <c r="B1157" s="51" t="s">
        <v>495</v>
      </c>
      <c r="C1157" s="18" t="s">
        <v>497</v>
      </c>
      <c r="D1157" s="1" t="s">
        <v>225</v>
      </c>
      <c r="E1157" s="18">
        <v>3</v>
      </c>
    </row>
    <row r="1158" spans="1:5" ht="21" customHeight="1" x14ac:dyDescent="0.3">
      <c r="A1158" s="1" t="s">
        <v>222</v>
      </c>
      <c r="B1158" s="51" t="s">
        <v>495</v>
      </c>
      <c r="C1158" s="18" t="s">
        <v>497</v>
      </c>
      <c r="D1158" s="1" t="s">
        <v>225</v>
      </c>
      <c r="E1158" s="18">
        <v>4</v>
      </c>
    </row>
    <row r="1159" spans="1:5" ht="21" customHeight="1" x14ac:dyDescent="0.3">
      <c r="A1159" s="1" t="s">
        <v>222</v>
      </c>
      <c r="B1159" s="51" t="s">
        <v>495</v>
      </c>
      <c r="C1159" s="18" t="s">
        <v>497</v>
      </c>
      <c r="D1159" s="1" t="s">
        <v>225</v>
      </c>
      <c r="E1159" s="18">
        <v>5</v>
      </c>
    </row>
    <row r="1160" spans="1:5" ht="21" customHeight="1" x14ac:dyDescent="0.3">
      <c r="A1160" s="1" t="s">
        <v>222</v>
      </c>
      <c r="B1160" s="51" t="s">
        <v>495</v>
      </c>
      <c r="C1160" s="5" t="s">
        <v>497</v>
      </c>
      <c r="D1160" s="1" t="s">
        <v>225</v>
      </c>
      <c r="E1160" s="5">
        <v>1</v>
      </c>
    </row>
    <row r="1161" spans="1:5" ht="21" customHeight="1" x14ac:dyDescent="0.3">
      <c r="A1161" s="1" t="s">
        <v>222</v>
      </c>
      <c r="B1161" s="51" t="s">
        <v>495</v>
      </c>
      <c r="C1161" s="5" t="s">
        <v>497</v>
      </c>
      <c r="D1161" s="1" t="s">
        <v>225</v>
      </c>
      <c r="E1161" s="5">
        <v>2</v>
      </c>
    </row>
    <row r="1162" spans="1:5" ht="21" customHeight="1" x14ac:dyDescent="0.3">
      <c r="A1162" s="1" t="s">
        <v>222</v>
      </c>
      <c r="B1162" s="51" t="s">
        <v>495</v>
      </c>
      <c r="C1162" s="5" t="s">
        <v>497</v>
      </c>
      <c r="D1162" s="1" t="s">
        <v>225</v>
      </c>
      <c r="E1162" s="5">
        <v>3</v>
      </c>
    </row>
    <row r="1163" spans="1:5" ht="21" customHeight="1" x14ac:dyDescent="0.3">
      <c r="A1163" s="1" t="s">
        <v>222</v>
      </c>
      <c r="B1163" s="51" t="s">
        <v>495</v>
      </c>
      <c r="C1163" s="5" t="s">
        <v>497</v>
      </c>
      <c r="D1163" s="1" t="s">
        <v>225</v>
      </c>
      <c r="E1163" s="5">
        <v>4</v>
      </c>
    </row>
    <row r="1164" spans="1:5" ht="21" customHeight="1" x14ac:dyDescent="0.3">
      <c r="A1164" s="1" t="s">
        <v>222</v>
      </c>
      <c r="B1164" s="51" t="s">
        <v>495</v>
      </c>
      <c r="C1164" s="5" t="s">
        <v>497</v>
      </c>
      <c r="D1164" s="1" t="s">
        <v>225</v>
      </c>
      <c r="E1164" s="5">
        <v>5</v>
      </c>
    </row>
    <row r="1165" spans="1:5" ht="21" customHeight="1" x14ac:dyDescent="0.3">
      <c r="A1165" s="1" t="s">
        <v>292</v>
      </c>
      <c r="B1165" s="51" t="s">
        <v>495</v>
      </c>
      <c r="C1165" s="18" t="s">
        <v>498</v>
      </c>
      <c r="D1165" s="1" t="s">
        <v>226</v>
      </c>
      <c r="E1165" s="18">
        <v>1</v>
      </c>
    </row>
    <row r="1166" spans="1:5" ht="21" customHeight="1" x14ac:dyDescent="0.3">
      <c r="A1166" s="1" t="s">
        <v>292</v>
      </c>
      <c r="B1166" s="51" t="s">
        <v>495</v>
      </c>
      <c r="C1166" s="18" t="s">
        <v>498</v>
      </c>
      <c r="D1166" s="1" t="s">
        <v>226</v>
      </c>
      <c r="E1166" s="18">
        <v>2</v>
      </c>
    </row>
    <row r="1167" spans="1:5" ht="21" customHeight="1" x14ac:dyDescent="0.3">
      <c r="A1167" s="1" t="s">
        <v>292</v>
      </c>
      <c r="B1167" s="51" t="s">
        <v>495</v>
      </c>
      <c r="C1167" s="18" t="s">
        <v>498</v>
      </c>
      <c r="D1167" s="1" t="s">
        <v>226</v>
      </c>
      <c r="E1167" s="18">
        <v>3</v>
      </c>
    </row>
    <row r="1168" spans="1:5" ht="21" customHeight="1" x14ac:dyDescent="0.3">
      <c r="A1168" s="1" t="s">
        <v>292</v>
      </c>
      <c r="B1168" s="51" t="s">
        <v>495</v>
      </c>
      <c r="C1168" s="18" t="s">
        <v>498</v>
      </c>
      <c r="D1168" s="1" t="s">
        <v>226</v>
      </c>
      <c r="E1168" s="18">
        <v>4</v>
      </c>
    </row>
    <row r="1169" spans="1:5" ht="21" customHeight="1" x14ac:dyDescent="0.3">
      <c r="A1169" s="1" t="s">
        <v>292</v>
      </c>
      <c r="B1169" s="51" t="s">
        <v>495</v>
      </c>
      <c r="C1169" s="18" t="s">
        <v>498</v>
      </c>
      <c r="D1169" s="1" t="s">
        <v>226</v>
      </c>
      <c r="E1169" s="18">
        <v>5</v>
      </c>
    </row>
    <row r="1170" spans="1:5" ht="21" customHeight="1" x14ac:dyDescent="0.3">
      <c r="A1170" s="1" t="s">
        <v>292</v>
      </c>
      <c r="B1170" s="51" t="s">
        <v>495</v>
      </c>
      <c r="C1170" s="18" t="s">
        <v>498</v>
      </c>
      <c r="D1170" s="1" t="s">
        <v>226</v>
      </c>
      <c r="E1170" s="18">
        <v>6</v>
      </c>
    </row>
    <row r="1171" spans="1:5" ht="21" customHeight="1" x14ac:dyDescent="0.3">
      <c r="A1171" s="1" t="s">
        <v>292</v>
      </c>
      <c r="B1171" s="51" t="s">
        <v>495</v>
      </c>
      <c r="C1171" s="18" t="s">
        <v>498</v>
      </c>
      <c r="D1171" s="1" t="s">
        <v>226</v>
      </c>
      <c r="E1171" s="18">
        <v>7</v>
      </c>
    </row>
    <row r="1172" spans="1:5" ht="21" customHeight="1" x14ac:dyDescent="0.3">
      <c r="A1172" s="1" t="s">
        <v>292</v>
      </c>
      <c r="B1172" s="51" t="s">
        <v>495</v>
      </c>
      <c r="C1172" s="18" t="s">
        <v>498</v>
      </c>
      <c r="D1172" s="1" t="s">
        <v>226</v>
      </c>
      <c r="E1172" s="18">
        <v>8</v>
      </c>
    </row>
    <row r="1173" spans="1:5" ht="21" customHeight="1" x14ac:dyDescent="0.3">
      <c r="A1173" s="1" t="s">
        <v>222</v>
      </c>
      <c r="B1173" s="52" t="s">
        <v>499</v>
      </c>
      <c r="C1173" s="5" t="s">
        <v>500</v>
      </c>
      <c r="D1173" s="1" t="s">
        <v>224</v>
      </c>
      <c r="E1173" s="5">
        <v>1</v>
      </c>
    </row>
    <row r="1174" spans="1:5" ht="21" customHeight="1" x14ac:dyDescent="0.3">
      <c r="A1174" s="1" t="s">
        <v>222</v>
      </c>
      <c r="B1174" s="52" t="s">
        <v>499</v>
      </c>
      <c r="C1174" s="5" t="s">
        <v>500</v>
      </c>
      <c r="D1174" s="1" t="s">
        <v>224</v>
      </c>
      <c r="E1174" s="5">
        <v>2</v>
      </c>
    </row>
    <row r="1175" spans="1:5" ht="21" customHeight="1" x14ac:dyDescent="0.3">
      <c r="A1175" s="1" t="s">
        <v>222</v>
      </c>
      <c r="B1175" s="52" t="s">
        <v>499</v>
      </c>
      <c r="C1175" s="5" t="s">
        <v>500</v>
      </c>
      <c r="D1175" s="1" t="s">
        <v>224</v>
      </c>
      <c r="E1175" s="5">
        <v>3</v>
      </c>
    </row>
    <row r="1176" spans="1:5" ht="21" customHeight="1" x14ac:dyDescent="0.3">
      <c r="A1176" s="1" t="s">
        <v>222</v>
      </c>
      <c r="B1176" s="52" t="s">
        <v>499</v>
      </c>
      <c r="C1176" s="5" t="s">
        <v>500</v>
      </c>
      <c r="D1176" s="1" t="s">
        <v>224</v>
      </c>
      <c r="E1176" s="5">
        <v>4</v>
      </c>
    </row>
    <row r="1177" spans="1:5" ht="21" customHeight="1" x14ac:dyDescent="0.3">
      <c r="A1177" s="1" t="s">
        <v>222</v>
      </c>
      <c r="B1177" s="52" t="s">
        <v>499</v>
      </c>
      <c r="C1177" s="5" t="s">
        <v>500</v>
      </c>
      <c r="D1177" s="1" t="s">
        <v>224</v>
      </c>
      <c r="E1177" s="5">
        <v>5</v>
      </c>
    </row>
    <row r="1178" spans="1:5" ht="21" customHeight="1" x14ac:dyDescent="0.3">
      <c r="A1178" s="1" t="s">
        <v>222</v>
      </c>
      <c r="B1178" s="52" t="s">
        <v>499</v>
      </c>
      <c r="C1178" s="18" t="s">
        <v>501</v>
      </c>
      <c r="D1178" s="1" t="s">
        <v>225</v>
      </c>
      <c r="E1178" s="18">
        <v>1</v>
      </c>
    </row>
    <row r="1179" spans="1:5" ht="21" customHeight="1" x14ac:dyDescent="0.3">
      <c r="A1179" s="1" t="s">
        <v>222</v>
      </c>
      <c r="B1179" s="52" t="s">
        <v>499</v>
      </c>
      <c r="C1179" s="18" t="s">
        <v>501</v>
      </c>
      <c r="D1179" s="1" t="s">
        <v>225</v>
      </c>
      <c r="E1179" s="18">
        <v>2</v>
      </c>
    </row>
    <row r="1180" spans="1:5" ht="21" customHeight="1" x14ac:dyDescent="0.3">
      <c r="A1180" s="1" t="s">
        <v>222</v>
      </c>
      <c r="B1180" s="52" t="s">
        <v>499</v>
      </c>
      <c r="C1180" s="18" t="s">
        <v>501</v>
      </c>
      <c r="D1180" s="1" t="s">
        <v>225</v>
      </c>
      <c r="E1180" s="18">
        <v>3</v>
      </c>
    </row>
    <row r="1181" spans="1:5" ht="21" customHeight="1" x14ac:dyDescent="0.3">
      <c r="A1181" s="1" t="s">
        <v>222</v>
      </c>
      <c r="B1181" s="52" t="s">
        <v>499</v>
      </c>
      <c r="C1181" s="18" t="s">
        <v>501</v>
      </c>
      <c r="D1181" s="1" t="s">
        <v>225</v>
      </c>
      <c r="E1181" s="18">
        <v>4</v>
      </c>
    </row>
    <row r="1182" spans="1:5" ht="21" customHeight="1" x14ac:dyDescent="0.3">
      <c r="A1182" s="1" t="s">
        <v>222</v>
      </c>
      <c r="B1182" s="52" t="s">
        <v>499</v>
      </c>
      <c r="C1182" s="18" t="s">
        <v>501</v>
      </c>
      <c r="D1182" s="1" t="s">
        <v>225</v>
      </c>
      <c r="E1182" s="18">
        <v>5</v>
      </c>
    </row>
    <row r="1183" spans="1:5" ht="21" customHeight="1" x14ac:dyDescent="0.3">
      <c r="A1183" s="1" t="s">
        <v>222</v>
      </c>
      <c r="B1183" s="52" t="s">
        <v>499</v>
      </c>
      <c r="C1183" s="5" t="s">
        <v>501</v>
      </c>
      <c r="D1183" s="1" t="s">
        <v>225</v>
      </c>
      <c r="E1183" s="5">
        <v>1</v>
      </c>
    </row>
    <row r="1184" spans="1:5" ht="21" customHeight="1" x14ac:dyDescent="0.3">
      <c r="A1184" s="1" t="s">
        <v>222</v>
      </c>
      <c r="B1184" s="52" t="s">
        <v>499</v>
      </c>
      <c r="C1184" s="5" t="s">
        <v>501</v>
      </c>
      <c r="D1184" s="1" t="s">
        <v>225</v>
      </c>
      <c r="E1184" s="5">
        <v>2</v>
      </c>
    </row>
    <row r="1185" spans="1:5" ht="21" customHeight="1" x14ac:dyDescent="0.3">
      <c r="A1185" s="1" t="s">
        <v>222</v>
      </c>
      <c r="B1185" s="52" t="s">
        <v>499</v>
      </c>
      <c r="C1185" s="5" t="s">
        <v>501</v>
      </c>
      <c r="D1185" s="1" t="s">
        <v>225</v>
      </c>
      <c r="E1185" s="5">
        <v>3</v>
      </c>
    </row>
    <row r="1186" spans="1:5" ht="21" customHeight="1" x14ac:dyDescent="0.3">
      <c r="A1186" s="1" t="s">
        <v>222</v>
      </c>
      <c r="B1186" s="52" t="s">
        <v>499</v>
      </c>
      <c r="C1186" s="5" t="s">
        <v>501</v>
      </c>
      <c r="D1186" s="1" t="s">
        <v>225</v>
      </c>
      <c r="E1186" s="5">
        <v>4</v>
      </c>
    </row>
    <row r="1187" spans="1:5" ht="21" customHeight="1" x14ac:dyDescent="0.3">
      <c r="A1187" s="1" t="s">
        <v>222</v>
      </c>
      <c r="B1187" s="52" t="s">
        <v>499</v>
      </c>
      <c r="C1187" s="5" t="s">
        <v>501</v>
      </c>
      <c r="D1187" s="1" t="s">
        <v>225</v>
      </c>
      <c r="E1187" s="5">
        <v>5</v>
      </c>
    </row>
    <row r="1188" spans="1:5" ht="21" customHeight="1" x14ac:dyDescent="0.3">
      <c r="A1188" s="1" t="s">
        <v>292</v>
      </c>
      <c r="B1188" s="52" t="s">
        <v>499</v>
      </c>
      <c r="C1188" s="18" t="s">
        <v>502</v>
      </c>
      <c r="D1188" s="1" t="s">
        <v>226</v>
      </c>
      <c r="E1188" s="18">
        <v>1</v>
      </c>
    </row>
    <row r="1189" spans="1:5" ht="21" customHeight="1" x14ac:dyDescent="0.3">
      <c r="A1189" s="1" t="s">
        <v>292</v>
      </c>
      <c r="B1189" s="52" t="s">
        <v>499</v>
      </c>
      <c r="C1189" s="18" t="s">
        <v>502</v>
      </c>
      <c r="D1189" s="1" t="s">
        <v>226</v>
      </c>
      <c r="E1189" s="18">
        <v>2</v>
      </c>
    </row>
    <row r="1190" spans="1:5" ht="21" customHeight="1" x14ac:dyDescent="0.3">
      <c r="A1190" s="1" t="s">
        <v>292</v>
      </c>
      <c r="B1190" s="52" t="s">
        <v>499</v>
      </c>
      <c r="C1190" s="18" t="s">
        <v>502</v>
      </c>
      <c r="D1190" s="1" t="s">
        <v>226</v>
      </c>
      <c r="E1190" s="18">
        <v>3</v>
      </c>
    </row>
    <row r="1191" spans="1:5" ht="21" customHeight="1" x14ac:dyDescent="0.3">
      <c r="A1191" s="1" t="s">
        <v>292</v>
      </c>
      <c r="B1191" s="52" t="s">
        <v>499</v>
      </c>
      <c r="C1191" s="18" t="s">
        <v>502</v>
      </c>
      <c r="D1191" s="1" t="s">
        <v>226</v>
      </c>
      <c r="E1191" s="18">
        <v>4</v>
      </c>
    </row>
    <row r="1192" spans="1:5" ht="21" customHeight="1" x14ac:dyDescent="0.3">
      <c r="A1192" s="1" t="s">
        <v>292</v>
      </c>
      <c r="B1192" s="52" t="s">
        <v>499</v>
      </c>
      <c r="C1192" s="18" t="s">
        <v>502</v>
      </c>
      <c r="D1192" s="1" t="s">
        <v>226</v>
      </c>
      <c r="E1192" s="18">
        <v>5</v>
      </c>
    </row>
    <row r="1193" spans="1:5" ht="21" customHeight="1" x14ac:dyDescent="0.3">
      <c r="A1193" s="1" t="s">
        <v>292</v>
      </c>
      <c r="B1193" s="52" t="s">
        <v>499</v>
      </c>
      <c r="C1193" s="18" t="s">
        <v>502</v>
      </c>
      <c r="D1193" s="1" t="s">
        <v>226</v>
      </c>
      <c r="E1193" s="18">
        <v>6</v>
      </c>
    </row>
    <row r="1194" spans="1:5" ht="21" customHeight="1" x14ac:dyDescent="0.3">
      <c r="A1194" s="1" t="s">
        <v>292</v>
      </c>
      <c r="B1194" s="52" t="s">
        <v>499</v>
      </c>
      <c r="C1194" s="18" t="s">
        <v>502</v>
      </c>
      <c r="D1194" s="1" t="s">
        <v>226</v>
      </c>
      <c r="E1194" s="18">
        <v>7</v>
      </c>
    </row>
    <row r="1195" spans="1:5" ht="21" customHeight="1" x14ac:dyDescent="0.3">
      <c r="A1195" s="1" t="s">
        <v>292</v>
      </c>
      <c r="B1195" s="52" t="s">
        <v>499</v>
      </c>
      <c r="C1195" s="18" t="s">
        <v>502</v>
      </c>
      <c r="D1195" s="1" t="s">
        <v>226</v>
      </c>
      <c r="E1195" s="18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zoomScale="90" zoomScaleNormal="90" workbookViewId="0">
      <selection activeCell="A8" sqref="A8"/>
    </sheetView>
  </sheetViews>
  <sheetFormatPr defaultColWidth="9" defaultRowHeight="20" customHeight="1" x14ac:dyDescent="0.3"/>
  <cols>
    <col min="1" max="1" width="17.33203125" style="38" customWidth="1"/>
    <col min="2" max="2" width="11.86328125" style="38" customWidth="1"/>
    <col min="3" max="3" width="10.86328125" style="38" customWidth="1"/>
    <col min="4" max="4" width="14.796875" style="38" customWidth="1"/>
    <col min="5" max="5" width="11.86328125" style="38" customWidth="1"/>
    <col min="6" max="6" width="20.1328125" style="38" customWidth="1"/>
    <col min="7" max="7" width="11.86328125" style="37" customWidth="1"/>
    <col min="8" max="8" width="10.86328125" style="37" customWidth="1"/>
    <col min="9" max="9" width="15.19921875" style="37" customWidth="1"/>
    <col min="10" max="10" width="11.86328125" style="37" customWidth="1"/>
    <col min="11" max="16384" width="9" style="37"/>
  </cols>
  <sheetData>
    <row r="1" spans="1:12" ht="20" customHeight="1" x14ac:dyDescent="0.3">
      <c r="A1" s="39"/>
      <c r="B1" s="39"/>
      <c r="C1" s="39"/>
      <c r="D1" s="39"/>
      <c r="E1" s="39"/>
    </row>
    <row r="2" spans="1:12" ht="58.05" customHeight="1" x14ac:dyDescent="0.3">
      <c r="A2" s="40" t="s">
        <v>215</v>
      </c>
      <c r="B2" s="40" t="s">
        <v>503</v>
      </c>
      <c r="C2" s="41" t="s">
        <v>213</v>
      </c>
      <c r="D2" s="42" t="s">
        <v>504</v>
      </c>
      <c r="E2" s="40" t="s">
        <v>505</v>
      </c>
      <c r="F2" s="43" t="s">
        <v>217</v>
      </c>
      <c r="G2" s="40" t="s">
        <v>503</v>
      </c>
      <c r="H2" s="41" t="s">
        <v>213</v>
      </c>
      <c r="I2" s="42" t="s">
        <v>504</v>
      </c>
      <c r="J2" s="40" t="s">
        <v>505</v>
      </c>
    </row>
    <row r="3" spans="1:12" ht="20" customHeight="1" x14ac:dyDescent="0.3">
      <c r="A3" s="44" t="s">
        <v>506</v>
      </c>
      <c r="B3" s="44">
        <v>0</v>
      </c>
      <c r="C3" s="44">
        <v>70</v>
      </c>
      <c r="D3" s="44">
        <v>4</v>
      </c>
      <c r="E3" s="45">
        <f>ROUND((B3+C3)*(1+D3),0)</f>
        <v>350</v>
      </c>
      <c r="F3" s="44" t="s">
        <v>507</v>
      </c>
      <c r="G3" s="44">
        <v>0</v>
      </c>
      <c r="H3" s="44">
        <v>0</v>
      </c>
      <c r="I3" s="44">
        <v>4</v>
      </c>
      <c r="J3" s="45">
        <f>ROUND((G3+H3)*(1+I3),0)</f>
        <v>0</v>
      </c>
      <c r="L3" s="47" t="s">
        <v>508</v>
      </c>
    </row>
    <row r="4" spans="1:12" ht="20" customHeight="1" x14ac:dyDescent="0.3">
      <c r="A4" s="44" t="s">
        <v>509</v>
      </c>
      <c r="B4" s="44">
        <v>500</v>
      </c>
      <c r="C4" s="44">
        <v>90</v>
      </c>
      <c r="D4" s="44">
        <v>0</v>
      </c>
      <c r="E4" s="45">
        <f t="shared" ref="E4:E22" si="0">ROUND((B4+C4)*(1+D4),0)</f>
        <v>590</v>
      </c>
      <c r="F4" s="44" t="s">
        <v>510</v>
      </c>
      <c r="G4" s="44">
        <v>500</v>
      </c>
      <c r="H4" s="44">
        <v>0</v>
      </c>
      <c r="I4" s="44">
        <v>0.1</v>
      </c>
      <c r="J4" s="45">
        <f t="shared" ref="J4:J22" si="1">ROUND((G4+H4)*(1+I4),0)</f>
        <v>550</v>
      </c>
      <c r="L4" s="47" t="s">
        <v>511</v>
      </c>
    </row>
    <row r="5" spans="1:12" ht="20" customHeight="1" x14ac:dyDescent="0.3">
      <c r="A5" s="44" t="s">
        <v>512</v>
      </c>
      <c r="B5" s="44">
        <v>1000</v>
      </c>
      <c r="C5" s="44">
        <v>80</v>
      </c>
      <c r="D5" s="44">
        <v>0</v>
      </c>
      <c r="E5" s="45">
        <f t="shared" si="0"/>
        <v>1080</v>
      </c>
      <c r="F5" s="44" t="s">
        <v>513</v>
      </c>
      <c r="G5" s="44">
        <v>625</v>
      </c>
      <c r="H5" s="44">
        <v>0</v>
      </c>
      <c r="I5" s="44">
        <v>0.1</v>
      </c>
      <c r="J5" s="45">
        <f t="shared" si="1"/>
        <v>688</v>
      </c>
      <c r="L5" s="47" t="s">
        <v>514</v>
      </c>
    </row>
    <row r="6" spans="1:12" ht="20" customHeight="1" x14ac:dyDescent="0.3">
      <c r="A6" s="44" t="s">
        <v>515</v>
      </c>
      <c r="B6" s="44">
        <v>1500</v>
      </c>
      <c r="C6" s="44">
        <v>70</v>
      </c>
      <c r="D6" s="44">
        <v>0</v>
      </c>
      <c r="E6" s="45">
        <f t="shared" si="0"/>
        <v>1570</v>
      </c>
      <c r="F6" s="44" t="s">
        <v>516</v>
      </c>
      <c r="G6" s="44">
        <v>750</v>
      </c>
      <c r="H6" s="44">
        <v>0</v>
      </c>
      <c r="I6" s="44">
        <v>0.1</v>
      </c>
      <c r="J6" s="45">
        <f t="shared" si="1"/>
        <v>825</v>
      </c>
      <c r="L6" s="48" t="s">
        <v>517</v>
      </c>
    </row>
    <row r="7" spans="1:12" ht="20" customHeight="1" x14ac:dyDescent="0.3">
      <c r="A7" s="44" t="s">
        <v>518</v>
      </c>
      <c r="B7" s="44">
        <v>2000</v>
      </c>
      <c r="C7" s="44">
        <v>60</v>
      </c>
      <c r="D7" s="44">
        <v>0</v>
      </c>
      <c r="E7" s="45">
        <f t="shared" si="0"/>
        <v>2060</v>
      </c>
      <c r="F7" s="44" t="s">
        <v>519</v>
      </c>
      <c r="G7" s="44">
        <v>875</v>
      </c>
      <c r="H7" s="44">
        <v>0</v>
      </c>
      <c r="I7" s="44">
        <v>0.1</v>
      </c>
      <c r="J7" s="45">
        <f t="shared" si="1"/>
        <v>963</v>
      </c>
      <c r="L7" s="48" t="s">
        <v>520</v>
      </c>
    </row>
    <row r="8" spans="1:12" ht="20" customHeight="1" x14ac:dyDescent="0.3">
      <c r="A8" s="46" t="s">
        <v>521</v>
      </c>
      <c r="B8" s="46">
        <v>600</v>
      </c>
      <c r="C8" s="46">
        <v>150</v>
      </c>
      <c r="D8" s="46">
        <v>0.05</v>
      </c>
      <c r="E8" s="45">
        <f t="shared" si="0"/>
        <v>788</v>
      </c>
      <c r="F8" s="46" t="s">
        <v>522</v>
      </c>
      <c r="G8" s="46">
        <v>0</v>
      </c>
      <c r="H8" s="46">
        <v>0</v>
      </c>
      <c r="I8" s="46">
        <v>4</v>
      </c>
      <c r="J8" s="45">
        <f t="shared" si="1"/>
        <v>0</v>
      </c>
      <c r="L8" s="48" t="s">
        <v>523</v>
      </c>
    </row>
    <row r="9" spans="1:12" ht="20" customHeight="1" x14ac:dyDescent="0.3">
      <c r="A9" s="46" t="s">
        <v>524</v>
      </c>
      <c r="B9" s="46">
        <v>700</v>
      </c>
      <c r="C9" s="46">
        <v>140</v>
      </c>
      <c r="D9" s="46">
        <v>0</v>
      </c>
      <c r="E9" s="45">
        <f t="shared" si="0"/>
        <v>840</v>
      </c>
      <c r="F9" s="46" t="s">
        <v>525</v>
      </c>
      <c r="G9" s="46">
        <v>400</v>
      </c>
      <c r="H9" s="46">
        <v>10</v>
      </c>
      <c r="I9" s="46">
        <v>0.1</v>
      </c>
      <c r="J9" s="45">
        <f t="shared" si="1"/>
        <v>451</v>
      </c>
      <c r="L9" s="48" t="s">
        <v>526</v>
      </c>
    </row>
    <row r="10" spans="1:12" ht="20" customHeight="1" x14ac:dyDescent="0.3">
      <c r="A10" s="46" t="s">
        <v>527</v>
      </c>
      <c r="B10" s="46">
        <v>800</v>
      </c>
      <c r="C10" s="46">
        <v>130</v>
      </c>
      <c r="D10" s="46">
        <v>0</v>
      </c>
      <c r="E10" s="45">
        <f t="shared" si="0"/>
        <v>930</v>
      </c>
      <c r="F10" s="46" t="s">
        <v>528</v>
      </c>
      <c r="G10" s="46">
        <v>500</v>
      </c>
      <c r="H10" s="46">
        <v>15</v>
      </c>
      <c r="I10" s="46">
        <v>0.1</v>
      </c>
      <c r="J10" s="45">
        <f t="shared" si="1"/>
        <v>567</v>
      </c>
      <c r="L10" s="48" t="s">
        <v>529</v>
      </c>
    </row>
    <row r="11" spans="1:12" ht="20" customHeight="1" x14ac:dyDescent="0.3">
      <c r="A11" s="46" t="s">
        <v>530</v>
      </c>
      <c r="B11" s="46">
        <v>900</v>
      </c>
      <c r="C11" s="46">
        <v>120</v>
      </c>
      <c r="D11" s="46">
        <v>0</v>
      </c>
      <c r="E11" s="45">
        <f t="shared" si="0"/>
        <v>1020</v>
      </c>
      <c r="F11" s="46" t="s">
        <v>531</v>
      </c>
      <c r="G11" s="46">
        <v>600</v>
      </c>
      <c r="H11" s="46">
        <v>20</v>
      </c>
      <c r="I11" s="46">
        <v>0.1</v>
      </c>
      <c r="J11" s="45">
        <f t="shared" si="1"/>
        <v>682</v>
      </c>
      <c r="L11" s="48" t="s">
        <v>532</v>
      </c>
    </row>
    <row r="12" spans="1:12" ht="20" customHeight="1" x14ac:dyDescent="0.3">
      <c r="A12" s="46" t="s">
        <v>533</v>
      </c>
      <c r="B12" s="46">
        <v>1000</v>
      </c>
      <c r="C12" s="46">
        <v>110</v>
      </c>
      <c r="D12" s="46">
        <v>0</v>
      </c>
      <c r="E12" s="45">
        <f t="shared" si="0"/>
        <v>1110</v>
      </c>
      <c r="F12" s="46" t="s">
        <v>534</v>
      </c>
      <c r="G12" s="46">
        <v>700</v>
      </c>
      <c r="H12" s="46">
        <v>25</v>
      </c>
      <c r="I12" s="46">
        <v>0.1</v>
      </c>
      <c r="J12" s="45">
        <f t="shared" si="1"/>
        <v>798</v>
      </c>
      <c r="L12" s="47" t="s">
        <v>535</v>
      </c>
    </row>
    <row r="13" spans="1:12" ht="20" customHeight="1" x14ac:dyDescent="0.3">
      <c r="A13" s="44" t="s">
        <v>536</v>
      </c>
      <c r="B13" s="44">
        <v>1000</v>
      </c>
      <c r="C13" s="44">
        <v>40</v>
      </c>
      <c r="D13" s="44">
        <v>0.1</v>
      </c>
      <c r="E13" s="45">
        <f t="shared" si="0"/>
        <v>1144</v>
      </c>
      <c r="F13" s="44" t="s">
        <v>537</v>
      </c>
      <c r="G13" s="44">
        <v>0</v>
      </c>
      <c r="H13" s="44">
        <v>0</v>
      </c>
      <c r="I13" s="44">
        <v>0</v>
      </c>
      <c r="J13" s="45">
        <f t="shared" si="1"/>
        <v>0</v>
      </c>
      <c r="L13" s="47" t="s">
        <v>538</v>
      </c>
    </row>
    <row r="14" spans="1:12" ht="20" customHeight="1" x14ac:dyDescent="0.3">
      <c r="A14" s="44" t="s">
        <v>539</v>
      </c>
      <c r="B14" s="44">
        <v>1100</v>
      </c>
      <c r="C14" s="44">
        <v>50</v>
      </c>
      <c r="D14" s="44">
        <v>0.2</v>
      </c>
      <c r="E14" s="45">
        <f t="shared" si="0"/>
        <v>1380</v>
      </c>
      <c r="F14" s="44" t="s">
        <v>540</v>
      </c>
      <c r="G14" s="44">
        <v>750</v>
      </c>
      <c r="H14" s="44">
        <v>40</v>
      </c>
      <c r="I14" s="44">
        <v>-0.2</v>
      </c>
      <c r="J14" s="45">
        <f t="shared" si="1"/>
        <v>632</v>
      </c>
    </row>
    <row r="15" spans="1:12" ht="20" customHeight="1" x14ac:dyDescent="0.3">
      <c r="A15" s="44" t="s">
        <v>541</v>
      </c>
      <c r="B15" s="44">
        <v>1200</v>
      </c>
      <c r="C15" s="44">
        <v>60</v>
      </c>
      <c r="D15" s="44">
        <v>0.3</v>
      </c>
      <c r="E15" s="45">
        <f t="shared" si="0"/>
        <v>1638</v>
      </c>
      <c r="F15" s="44" t="s">
        <v>542</v>
      </c>
      <c r="G15" s="44">
        <v>1000</v>
      </c>
      <c r="H15" s="44">
        <v>60</v>
      </c>
      <c r="I15" s="44">
        <v>-0.15</v>
      </c>
      <c r="J15" s="45">
        <f t="shared" si="1"/>
        <v>901</v>
      </c>
    </row>
    <row r="16" spans="1:12" ht="20" customHeight="1" x14ac:dyDescent="0.3">
      <c r="A16" s="44" t="s">
        <v>543</v>
      </c>
      <c r="B16" s="44">
        <v>1300</v>
      </c>
      <c r="C16" s="44">
        <v>70</v>
      </c>
      <c r="D16" s="44">
        <v>0.4</v>
      </c>
      <c r="E16" s="45">
        <f t="shared" si="0"/>
        <v>1918</v>
      </c>
      <c r="F16" s="44" t="s">
        <v>544</v>
      </c>
      <c r="G16" s="44">
        <v>1250</v>
      </c>
      <c r="H16" s="44">
        <v>80</v>
      </c>
      <c r="I16" s="44">
        <v>-0.1</v>
      </c>
      <c r="J16" s="45">
        <f t="shared" si="1"/>
        <v>1197</v>
      </c>
    </row>
    <row r="17" spans="1:12" ht="20" customHeight="1" x14ac:dyDescent="0.3">
      <c r="A17" s="44" t="s">
        <v>545</v>
      </c>
      <c r="B17" s="44">
        <v>1400</v>
      </c>
      <c r="C17" s="44">
        <v>80</v>
      </c>
      <c r="D17" s="44">
        <v>0.5</v>
      </c>
      <c r="E17" s="45">
        <f t="shared" si="0"/>
        <v>2220</v>
      </c>
      <c r="F17" s="44" t="s">
        <v>546</v>
      </c>
      <c r="G17" s="44">
        <v>1500</v>
      </c>
      <c r="H17" s="44">
        <v>100</v>
      </c>
      <c r="I17" s="44">
        <v>0.1</v>
      </c>
      <c r="J17" s="45">
        <f t="shared" si="1"/>
        <v>1760</v>
      </c>
    </row>
    <row r="18" spans="1:12" ht="20" customHeight="1" x14ac:dyDescent="0.3">
      <c r="A18" s="46" t="s">
        <v>547</v>
      </c>
      <c r="B18" s="46">
        <v>2000</v>
      </c>
      <c r="C18" s="46">
        <v>100</v>
      </c>
      <c r="D18" s="46">
        <v>0.1</v>
      </c>
      <c r="E18" s="45">
        <f t="shared" si="0"/>
        <v>2310</v>
      </c>
      <c r="F18" s="46" t="s">
        <v>548</v>
      </c>
      <c r="G18" s="46">
        <v>0</v>
      </c>
      <c r="H18" s="46">
        <v>0</v>
      </c>
      <c r="I18" s="46">
        <v>4</v>
      </c>
      <c r="J18" s="45">
        <f t="shared" si="1"/>
        <v>0</v>
      </c>
    </row>
    <row r="19" spans="1:12" ht="20" customHeight="1" x14ac:dyDescent="0.3">
      <c r="A19" s="46" t="s">
        <v>549</v>
      </c>
      <c r="B19" s="46">
        <v>2400</v>
      </c>
      <c r="C19" s="46">
        <v>90</v>
      </c>
      <c r="D19" s="46">
        <v>0.1</v>
      </c>
      <c r="E19" s="45">
        <f t="shared" si="0"/>
        <v>2739</v>
      </c>
      <c r="F19" s="46" t="s">
        <v>550</v>
      </c>
      <c r="G19" s="46">
        <v>500</v>
      </c>
      <c r="H19" s="46">
        <v>0</v>
      </c>
      <c r="I19" s="46">
        <v>0.1</v>
      </c>
      <c r="J19" s="45">
        <f t="shared" si="1"/>
        <v>550</v>
      </c>
    </row>
    <row r="20" spans="1:12" ht="20" customHeight="1" x14ac:dyDescent="0.3">
      <c r="A20" s="46" t="s">
        <v>551</v>
      </c>
      <c r="B20" s="46">
        <v>2800</v>
      </c>
      <c r="C20" s="46">
        <v>80</v>
      </c>
      <c r="D20" s="46">
        <v>0.1</v>
      </c>
      <c r="E20" s="45">
        <f t="shared" si="0"/>
        <v>3168</v>
      </c>
      <c r="F20" s="46" t="s">
        <v>552</v>
      </c>
      <c r="G20" s="46">
        <v>1000</v>
      </c>
      <c r="H20" s="46">
        <v>0</v>
      </c>
      <c r="I20" s="46">
        <v>0.1</v>
      </c>
      <c r="J20" s="45">
        <f t="shared" si="1"/>
        <v>1100</v>
      </c>
    </row>
    <row r="21" spans="1:12" ht="20" customHeight="1" x14ac:dyDescent="0.3">
      <c r="A21" s="46" t="s">
        <v>553</v>
      </c>
      <c r="B21" s="46">
        <v>3200</v>
      </c>
      <c r="C21" s="46">
        <v>70</v>
      </c>
      <c r="D21" s="46">
        <v>0.1</v>
      </c>
      <c r="E21" s="45">
        <f t="shared" si="0"/>
        <v>3597</v>
      </c>
      <c r="F21" s="46" t="s">
        <v>554</v>
      </c>
      <c r="G21" s="46">
        <v>1500</v>
      </c>
      <c r="H21" s="46">
        <v>0</v>
      </c>
      <c r="I21" s="46">
        <v>0.1</v>
      </c>
      <c r="J21" s="45">
        <f t="shared" si="1"/>
        <v>1650</v>
      </c>
    </row>
    <row r="22" spans="1:12" ht="20" customHeight="1" x14ac:dyDescent="0.3">
      <c r="A22" s="46" t="s">
        <v>555</v>
      </c>
      <c r="B22" s="46">
        <v>3600</v>
      </c>
      <c r="C22" s="46">
        <v>60</v>
      </c>
      <c r="D22" s="46">
        <v>0.1</v>
      </c>
      <c r="E22" s="45">
        <f t="shared" si="0"/>
        <v>4026</v>
      </c>
      <c r="F22" s="46" t="s">
        <v>556</v>
      </c>
      <c r="G22" s="46">
        <v>2000</v>
      </c>
      <c r="H22" s="46">
        <v>0</v>
      </c>
      <c r="I22" s="46">
        <v>0.1</v>
      </c>
      <c r="J22" s="45">
        <f t="shared" si="1"/>
        <v>2200</v>
      </c>
    </row>
    <row r="23" spans="1:12" ht="20" customHeight="1" x14ac:dyDescent="0.3">
      <c r="A23" s="44" t="s">
        <v>557</v>
      </c>
      <c r="B23" s="44">
        <v>0</v>
      </c>
      <c r="C23" s="44">
        <v>100</v>
      </c>
      <c r="D23" s="44">
        <v>0</v>
      </c>
      <c r="E23" s="45">
        <f t="shared" ref="E23:E38" si="2">ROUND((B23+C23)*(1+D23),0)</f>
        <v>100</v>
      </c>
      <c r="F23" s="44" t="s">
        <v>557</v>
      </c>
      <c r="G23" s="44">
        <v>0</v>
      </c>
      <c r="H23" s="44">
        <v>100</v>
      </c>
      <c r="I23" s="44">
        <v>0</v>
      </c>
      <c r="J23" s="45">
        <f t="shared" ref="J23:J38" si="3">ROUND((G23+H23)*(1+I23),0)</f>
        <v>100</v>
      </c>
      <c r="L23" s="47"/>
    </row>
    <row r="24" spans="1:12" ht="20" customHeight="1" x14ac:dyDescent="0.3">
      <c r="A24" s="44" t="s">
        <v>558</v>
      </c>
      <c r="B24" s="44">
        <v>0</v>
      </c>
      <c r="C24" s="44">
        <v>100</v>
      </c>
      <c r="D24" s="44">
        <v>0</v>
      </c>
      <c r="E24" s="45">
        <f t="shared" si="2"/>
        <v>100</v>
      </c>
      <c r="F24" s="44" t="s">
        <v>558</v>
      </c>
      <c r="G24" s="44">
        <v>0</v>
      </c>
      <c r="H24" s="44">
        <v>100</v>
      </c>
      <c r="I24" s="44">
        <v>0</v>
      </c>
      <c r="J24" s="45">
        <f t="shared" si="3"/>
        <v>100</v>
      </c>
      <c r="L24" s="47"/>
    </row>
    <row r="25" spans="1:12" ht="20" customHeight="1" x14ac:dyDescent="0.3">
      <c r="A25" s="44" t="s">
        <v>559</v>
      </c>
      <c r="B25" s="44">
        <v>0</v>
      </c>
      <c r="C25" s="44">
        <v>100</v>
      </c>
      <c r="D25" s="44">
        <v>0</v>
      </c>
      <c r="E25" s="45">
        <f t="shared" si="2"/>
        <v>100</v>
      </c>
      <c r="F25" s="44" t="s">
        <v>559</v>
      </c>
      <c r="G25" s="44">
        <v>0</v>
      </c>
      <c r="H25" s="44">
        <v>100</v>
      </c>
      <c r="I25" s="44">
        <v>0</v>
      </c>
      <c r="J25" s="45">
        <f t="shared" si="3"/>
        <v>100</v>
      </c>
      <c r="L25" s="47"/>
    </row>
    <row r="26" spans="1:12" ht="20" customHeight="1" x14ac:dyDescent="0.3">
      <c r="A26" s="44" t="s">
        <v>560</v>
      </c>
      <c r="B26" s="44">
        <v>0</v>
      </c>
      <c r="C26" s="44">
        <v>100</v>
      </c>
      <c r="D26" s="44">
        <v>0</v>
      </c>
      <c r="E26" s="45">
        <f t="shared" si="2"/>
        <v>100</v>
      </c>
      <c r="F26" s="44" t="s">
        <v>560</v>
      </c>
      <c r="G26" s="44">
        <v>0</v>
      </c>
      <c r="H26" s="44">
        <v>100</v>
      </c>
      <c r="I26" s="44">
        <v>0</v>
      </c>
      <c r="J26" s="45">
        <f t="shared" si="3"/>
        <v>100</v>
      </c>
      <c r="L26" s="47"/>
    </row>
    <row r="27" spans="1:12" ht="20" customHeight="1" x14ac:dyDescent="0.3">
      <c r="A27" s="44" t="s">
        <v>561</v>
      </c>
      <c r="B27" s="44">
        <v>0</v>
      </c>
      <c r="C27" s="44">
        <v>100</v>
      </c>
      <c r="D27" s="44">
        <v>0</v>
      </c>
      <c r="E27" s="45">
        <f t="shared" si="2"/>
        <v>100</v>
      </c>
      <c r="F27" s="44" t="s">
        <v>561</v>
      </c>
      <c r="G27" s="44">
        <v>0</v>
      </c>
      <c r="H27" s="44">
        <v>100</v>
      </c>
      <c r="I27" s="44">
        <v>0</v>
      </c>
      <c r="J27" s="45">
        <f t="shared" si="3"/>
        <v>100</v>
      </c>
      <c r="L27" s="47"/>
    </row>
    <row r="28" spans="1:12" ht="20" customHeight="1" x14ac:dyDescent="0.3">
      <c r="A28" s="44" t="s">
        <v>562</v>
      </c>
      <c r="B28" s="44">
        <v>0</v>
      </c>
      <c r="C28" s="44">
        <v>100</v>
      </c>
      <c r="D28" s="44">
        <v>0</v>
      </c>
      <c r="E28" s="45">
        <f t="shared" si="2"/>
        <v>100</v>
      </c>
      <c r="F28" s="44" t="s">
        <v>562</v>
      </c>
      <c r="G28" s="44">
        <v>0</v>
      </c>
      <c r="H28" s="44">
        <v>100</v>
      </c>
      <c r="I28" s="44">
        <v>0</v>
      </c>
      <c r="J28" s="45">
        <f t="shared" si="3"/>
        <v>100</v>
      </c>
      <c r="L28" s="47"/>
    </row>
    <row r="29" spans="1:12" ht="20" customHeight="1" x14ac:dyDescent="0.3">
      <c r="A29" s="44" t="s">
        <v>563</v>
      </c>
      <c r="B29" s="44">
        <v>0</v>
      </c>
      <c r="C29" s="44">
        <v>100</v>
      </c>
      <c r="D29" s="44">
        <v>0</v>
      </c>
      <c r="E29" s="45">
        <f t="shared" si="2"/>
        <v>100</v>
      </c>
      <c r="F29" s="44" t="s">
        <v>563</v>
      </c>
      <c r="G29" s="44">
        <v>0</v>
      </c>
      <c r="H29" s="44">
        <v>100</v>
      </c>
      <c r="I29" s="44">
        <v>0</v>
      </c>
      <c r="J29" s="45">
        <f t="shared" si="3"/>
        <v>100</v>
      </c>
      <c r="L29" s="47"/>
    </row>
    <row r="30" spans="1:12" ht="20" customHeight="1" x14ac:dyDescent="0.3">
      <c r="A30" s="44" t="s">
        <v>564</v>
      </c>
      <c r="B30" s="44">
        <v>0</v>
      </c>
      <c r="C30" s="44">
        <v>100</v>
      </c>
      <c r="D30" s="44">
        <v>0</v>
      </c>
      <c r="E30" s="45">
        <f t="shared" si="2"/>
        <v>100</v>
      </c>
      <c r="F30" s="44" t="s">
        <v>564</v>
      </c>
      <c r="G30" s="44">
        <v>0</v>
      </c>
      <c r="H30" s="44">
        <v>100</v>
      </c>
      <c r="I30" s="44">
        <v>0</v>
      </c>
      <c r="J30" s="45">
        <f t="shared" si="3"/>
        <v>100</v>
      </c>
      <c r="L30" s="47"/>
    </row>
    <row r="31" spans="1:12" ht="20" customHeight="1" x14ac:dyDescent="0.3">
      <c r="A31" s="46" t="s">
        <v>565</v>
      </c>
      <c r="B31" s="46">
        <v>0</v>
      </c>
      <c r="C31" s="46">
        <v>0</v>
      </c>
      <c r="D31" s="46">
        <v>0</v>
      </c>
      <c r="E31" s="45">
        <f t="shared" si="2"/>
        <v>0</v>
      </c>
      <c r="F31" s="46" t="s">
        <v>565</v>
      </c>
      <c r="G31" s="46">
        <v>0</v>
      </c>
      <c r="H31" s="46">
        <v>0</v>
      </c>
      <c r="I31" s="46">
        <v>0</v>
      </c>
      <c r="J31" s="45">
        <f t="shared" si="3"/>
        <v>0</v>
      </c>
    </row>
    <row r="32" spans="1:12" ht="20" customHeight="1" x14ac:dyDescent="0.3">
      <c r="A32" s="46" t="s">
        <v>566</v>
      </c>
      <c r="B32" s="46">
        <v>0</v>
      </c>
      <c r="C32" s="46">
        <v>0</v>
      </c>
      <c r="D32" s="46">
        <v>0</v>
      </c>
      <c r="E32" s="45">
        <f t="shared" si="2"/>
        <v>0</v>
      </c>
      <c r="F32" s="46" t="s">
        <v>566</v>
      </c>
      <c r="G32" s="46">
        <v>0</v>
      </c>
      <c r="H32" s="46">
        <v>0</v>
      </c>
      <c r="I32" s="46">
        <v>0</v>
      </c>
      <c r="J32" s="45">
        <f t="shared" si="3"/>
        <v>0</v>
      </c>
    </row>
    <row r="33" spans="1:10" ht="20" customHeight="1" x14ac:dyDescent="0.3">
      <c r="A33" s="46" t="s">
        <v>567</v>
      </c>
      <c r="B33" s="46">
        <v>0</v>
      </c>
      <c r="C33" s="46">
        <v>0</v>
      </c>
      <c r="D33" s="46">
        <v>0</v>
      </c>
      <c r="E33" s="45">
        <f t="shared" si="2"/>
        <v>0</v>
      </c>
      <c r="F33" s="46" t="s">
        <v>567</v>
      </c>
      <c r="G33" s="46">
        <v>0</v>
      </c>
      <c r="H33" s="46">
        <v>0</v>
      </c>
      <c r="I33" s="46">
        <v>0</v>
      </c>
      <c r="J33" s="45">
        <f t="shared" si="3"/>
        <v>0</v>
      </c>
    </row>
    <row r="34" spans="1:10" ht="20" customHeight="1" x14ac:dyDescent="0.3">
      <c r="A34" s="46" t="s">
        <v>568</v>
      </c>
      <c r="B34" s="46">
        <v>0</v>
      </c>
      <c r="C34" s="46">
        <v>0</v>
      </c>
      <c r="D34" s="46">
        <v>0</v>
      </c>
      <c r="E34" s="45">
        <f t="shared" si="2"/>
        <v>0</v>
      </c>
      <c r="F34" s="46" t="s">
        <v>568</v>
      </c>
      <c r="G34" s="46">
        <v>0</v>
      </c>
      <c r="H34" s="46">
        <v>0</v>
      </c>
      <c r="I34" s="46">
        <v>0</v>
      </c>
      <c r="J34" s="45">
        <f t="shared" si="3"/>
        <v>0</v>
      </c>
    </row>
    <row r="35" spans="1:10" ht="20" customHeight="1" x14ac:dyDescent="0.3">
      <c r="A35" s="46" t="s">
        <v>569</v>
      </c>
      <c r="B35" s="46">
        <v>0</v>
      </c>
      <c r="C35" s="46">
        <v>0</v>
      </c>
      <c r="D35" s="46">
        <v>0</v>
      </c>
      <c r="E35" s="45">
        <f t="shared" si="2"/>
        <v>0</v>
      </c>
      <c r="F35" s="46" t="s">
        <v>569</v>
      </c>
      <c r="G35" s="46">
        <v>0</v>
      </c>
      <c r="H35" s="46">
        <v>0</v>
      </c>
      <c r="I35" s="46">
        <v>0</v>
      </c>
      <c r="J35" s="45">
        <f t="shared" si="3"/>
        <v>0</v>
      </c>
    </row>
    <row r="36" spans="1:10" ht="20" customHeight="1" x14ac:dyDescent="0.3">
      <c r="A36" s="46" t="s">
        <v>570</v>
      </c>
      <c r="B36" s="46">
        <v>0</v>
      </c>
      <c r="C36" s="46">
        <v>0</v>
      </c>
      <c r="D36" s="46">
        <v>0</v>
      </c>
      <c r="E36" s="45">
        <f t="shared" si="2"/>
        <v>0</v>
      </c>
      <c r="F36" s="46" t="s">
        <v>570</v>
      </c>
      <c r="G36" s="46">
        <v>0</v>
      </c>
      <c r="H36" s="46">
        <v>0</v>
      </c>
      <c r="I36" s="46">
        <v>0</v>
      </c>
      <c r="J36" s="45">
        <f t="shared" si="3"/>
        <v>0</v>
      </c>
    </row>
    <row r="37" spans="1:10" ht="20" customHeight="1" x14ac:dyDescent="0.3">
      <c r="A37" s="46" t="s">
        <v>571</v>
      </c>
      <c r="B37" s="46">
        <v>0</v>
      </c>
      <c r="C37" s="46">
        <v>0</v>
      </c>
      <c r="D37" s="46">
        <v>0</v>
      </c>
      <c r="E37" s="45">
        <f t="shared" si="2"/>
        <v>0</v>
      </c>
      <c r="F37" s="46" t="s">
        <v>571</v>
      </c>
      <c r="G37" s="46">
        <v>0</v>
      </c>
      <c r="H37" s="46">
        <v>0</v>
      </c>
      <c r="I37" s="46">
        <v>0</v>
      </c>
      <c r="J37" s="45">
        <f t="shared" si="3"/>
        <v>0</v>
      </c>
    </row>
    <row r="38" spans="1:10" ht="20" customHeight="1" x14ac:dyDescent="0.3">
      <c r="A38" s="46" t="s">
        <v>572</v>
      </c>
      <c r="B38" s="46">
        <v>0</v>
      </c>
      <c r="C38" s="46">
        <v>0</v>
      </c>
      <c r="D38" s="46">
        <v>0</v>
      </c>
      <c r="E38" s="45">
        <f t="shared" si="2"/>
        <v>0</v>
      </c>
      <c r="F38" s="46" t="s">
        <v>572</v>
      </c>
      <c r="G38" s="46">
        <v>0</v>
      </c>
      <c r="H38" s="46">
        <v>0</v>
      </c>
      <c r="I38" s="46">
        <v>0</v>
      </c>
      <c r="J38" s="45">
        <f t="shared" si="3"/>
        <v>0</v>
      </c>
    </row>
    <row r="39" spans="1:10" ht="20" customHeight="1" x14ac:dyDescent="0.3">
      <c r="A39" s="37"/>
      <c r="B39" s="39"/>
      <c r="C39" s="39"/>
      <c r="E39" s="37"/>
      <c r="G39" s="39"/>
      <c r="H39" s="39"/>
    </row>
    <row r="40" spans="1:10" ht="20" customHeight="1" x14ac:dyDescent="0.3">
      <c r="A40" s="37"/>
      <c r="B40" s="39"/>
      <c r="C40" s="39"/>
      <c r="E40" s="37"/>
      <c r="G40" s="39"/>
      <c r="H40" s="39"/>
    </row>
    <row r="41" spans="1:10" ht="20" customHeight="1" x14ac:dyDescent="0.3">
      <c r="A41" s="37"/>
      <c r="B41" s="39"/>
      <c r="C41" s="39"/>
      <c r="E41" s="37"/>
      <c r="G41" s="39"/>
      <c r="H41" s="39"/>
    </row>
    <row r="42" spans="1:10" ht="20" customHeight="1" x14ac:dyDescent="0.3">
      <c r="A42" s="37"/>
      <c r="B42" s="39"/>
      <c r="C42" s="39"/>
      <c r="E42" s="37"/>
      <c r="G42" s="39"/>
      <c r="H42" s="39"/>
    </row>
    <row r="43" spans="1:10" ht="20" customHeight="1" x14ac:dyDescent="0.3">
      <c r="A43" s="37"/>
      <c r="B43" s="39"/>
      <c r="C43" s="39"/>
      <c r="E43" s="37"/>
      <c r="G43" s="39"/>
      <c r="H43" s="39"/>
    </row>
    <row r="44" spans="1:10" ht="20" customHeight="1" x14ac:dyDescent="0.3">
      <c r="A44" s="37"/>
      <c r="B44" s="39"/>
      <c r="C44" s="39"/>
      <c r="E44" s="37"/>
      <c r="G44" s="39"/>
      <c r="H44" s="39"/>
    </row>
    <row r="45" spans="1:10" ht="20" customHeight="1" x14ac:dyDescent="0.3">
      <c r="A45" s="37"/>
      <c r="B45" s="39"/>
      <c r="C45" s="39"/>
      <c r="E45" s="37"/>
      <c r="G45" s="39"/>
      <c r="H45" s="39"/>
    </row>
    <row r="46" spans="1:10" ht="20" customHeight="1" x14ac:dyDescent="0.3">
      <c r="A46" s="37"/>
      <c r="B46" s="39"/>
      <c r="C46" s="39"/>
      <c r="G46" s="39"/>
      <c r="H46" s="39"/>
    </row>
    <row r="47" spans="1:10" ht="20" customHeight="1" x14ac:dyDescent="0.3">
      <c r="A47" s="37"/>
      <c r="B47" s="39"/>
    </row>
    <row r="48" spans="1:10" ht="20" customHeight="1" x14ac:dyDescent="0.3">
      <c r="A48" s="37"/>
    </row>
    <row r="49" spans="1:1" ht="20" customHeight="1" x14ac:dyDescent="0.3">
      <c r="A49" s="37"/>
    </row>
    <row r="50" spans="1:1" ht="20" customHeight="1" x14ac:dyDescent="0.3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197"/>
  <sheetViews>
    <sheetView showGridLines="0" tabSelected="1" zoomScale="90" zoomScaleNormal="90" workbookViewId="0">
      <pane xSplit="3" ySplit="4" topLeftCell="D458" activePane="bottomRight" state="frozen"/>
      <selection pane="topRight"/>
      <selection pane="bottomLeft"/>
      <selection pane="bottomRight" activeCell="O431" sqref="O431"/>
    </sheetView>
  </sheetViews>
  <sheetFormatPr defaultColWidth="9" defaultRowHeight="20" customHeight="1" x14ac:dyDescent="0.3"/>
  <cols>
    <col min="1" max="1" width="26.86328125" style="1" customWidth="1"/>
    <col min="2" max="2" width="13.46484375" style="1" customWidth="1"/>
    <col min="3" max="3" width="5.6640625" style="1" customWidth="1"/>
    <col min="4" max="4" width="10.46484375" style="21" customWidth="1"/>
    <col min="5" max="5" width="11.1328125" style="21" customWidth="1"/>
    <col min="6" max="6" width="8.86328125" style="1" customWidth="1"/>
    <col min="7" max="7" width="4.86328125" style="1" customWidth="1"/>
    <col min="8" max="8" width="8.86328125" style="1" customWidth="1"/>
    <col min="9" max="9" width="4.86328125" style="1" customWidth="1"/>
    <col min="10" max="10" width="4.86328125" style="22" customWidth="1"/>
    <col min="11" max="11" width="4.86328125" style="23" customWidth="1"/>
    <col min="12" max="12" width="6.33203125" style="1" customWidth="1"/>
    <col min="13" max="13" width="6.796875" style="1" customWidth="1"/>
    <col min="14" max="14" width="4.86328125" style="1" customWidth="1"/>
    <col min="15" max="15" width="7" style="1" customWidth="1"/>
    <col min="16" max="16" width="4.86328125" style="1" customWidth="1"/>
    <col min="17" max="17" width="6.796875" style="1" customWidth="1"/>
    <col min="18" max="18" width="4.86328125" style="1" customWidth="1"/>
    <col min="19" max="19" width="5.6640625" style="1" customWidth="1"/>
    <col min="20" max="20" width="8.86328125" style="1" customWidth="1"/>
    <col min="21" max="21" width="4.86328125" style="1" customWidth="1"/>
    <col min="22" max="22" width="6.796875" style="1" customWidth="1"/>
    <col min="23" max="23" width="4.86328125" style="1" customWidth="1"/>
    <col min="24" max="24" width="6.33203125" style="1" customWidth="1"/>
    <col min="25" max="25" width="30.1328125" style="24" customWidth="1"/>
    <col min="26" max="26" width="31.6640625" style="1" customWidth="1"/>
    <col min="27" max="27" width="19.8632812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328125" customWidth="1"/>
    <col min="33" max="34" width="12.19921875" customWidth="1"/>
    <col min="35" max="35" width="6.796875" customWidth="1"/>
    <col min="36" max="37" width="9.1328125" customWidth="1"/>
    <col min="38" max="46" width="6.796875" customWidth="1"/>
    <col min="50" max="50" width="4.86328125" customWidth="1"/>
  </cols>
  <sheetData>
    <row r="1" spans="1:50" ht="20" customHeight="1" x14ac:dyDescent="0.3">
      <c r="A1" s="98"/>
      <c r="B1" s="99"/>
      <c r="C1" s="100"/>
      <c r="D1" s="1"/>
      <c r="E1" s="1"/>
      <c r="J1" s="1"/>
      <c r="K1" s="1"/>
      <c r="M1" s="105" t="s">
        <v>573</v>
      </c>
      <c r="N1" s="106"/>
      <c r="O1" s="106"/>
      <c r="P1" s="106"/>
      <c r="Q1" s="106"/>
      <c r="R1" s="106"/>
      <c r="AD1" s="93" t="s">
        <v>574</v>
      </c>
      <c r="AX1" s="96" t="s">
        <v>574</v>
      </c>
    </row>
    <row r="2" spans="1:50" ht="20" customHeight="1" x14ac:dyDescent="0.3">
      <c r="A2" s="89"/>
      <c r="B2" s="90"/>
      <c r="C2" s="101"/>
      <c r="D2" s="1"/>
      <c r="E2" s="1"/>
      <c r="J2" s="1"/>
      <c r="K2" s="1"/>
      <c r="M2" s="106"/>
      <c r="N2" s="106"/>
      <c r="O2" s="106"/>
      <c r="P2" s="106"/>
      <c r="Q2" s="106"/>
      <c r="R2" s="106"/>
      <c r="AD2" s="94"/>
      <c r="AX2" s="97"/>
    </row>
    <row r="3" spans="1:50" ht="20" customHeight="1" x14ac:dyDescent="0.3">
      <c r="A3" s="102"/>
      <c r="B3" s="103"/>
      <c r="C3" s="104"/>
      <c r="D3" s="1"/>
      <c r="E3" s="1"/>
      <c r="J3" s="1"/>
      <c r="K3" s="1"/>
      <c r="M3" s="106"/>
      <c r="N3" s="106"/>
      <c r="O3" s="106"/>
      <c r="P3" s="106"/>
      <c r="Q3" s="106"/>
      <c r="R3" s="106"/>
      <c r="AD3" s="94"/>
      <c r="AX3" s="97"/>
    </row>
    <row r="4" spans="1:50" ht="60" customHeight="1" x14ac:dyDescent="0.3">
      <c r="A4" s="2" t="s">
        <v>287</v>
      </c>
      <c r="B4" s="2" t="s">
        <v>575</v>
      </c>
      <c r="C4" s="3" t="s">
        <v>218</v>
      </c>
      <c r="D4" s="26" t="s">
        <v>576</v>
      </c>
      <c r="E4" s="26" t="s">
        <v>577</v>
      </c>
      <c r="F4" s="4" t="s">
        <v>578</v>
      </c>
      <c r="G4" s="27" t="s">
        <v>579</v>
      </c>
      <c r="H4" s="4" t="s">
        <v>580</v>
      </c>
      <c r="I4" s="27" t="s">
        <v>579</v>
      </c>
      <c r="J4" s="27" t="s">
        <v>581</v>
      </c>
      <c r="K4" s="27" t="s">
        <v>582</v>
      </c>
      <c r="L4" s="27" t="s">
        <v>583</v>
      </c>
      <c r="M4" s="2" t="s">
        <v>584</v>
      </c>
      <c r="N4" s="9" t="s">
        <v>579</v>
      </c>
      <c r="O4" s="2" t="s">
        <v>585</v>
      </c>
      <c r="P4" s="9" t="s">
        <v>579</v>
      </c>
      <c r="Q4" s="2" t="s">
        <v>586</v>
      </c>
      <c r="R4" s="9" t="s">
        <v>579</v>
      </c>
      <c r="S4" s="28" t="s">
        <v>587</v>
      </c>
      <c r="T4" s="8" t="s">
        <v>219</v>
      </c>
      <c r="U4" s="29" t="s">
        <v>579</v>
      </c>
      <c r="V4" s="8" t="s">
        <v>220</v>
      </c>
      <c r="W4" s="29" t="s">
        <v>579</v>
      </c>
      <c r="X4" s="29" t="s">
        <v>588</v>
      </c>
      <c r="Y4" s="30" t="s">
        <v>589</v>
      </c>
      <c r="Z4" s="9" t="s">
        <v>590</v>
      </c>
      <c r="AA4" s="8" t="s">
        <v>591</v>
      </c>
      <c r="AB4" s="31" t="s">
        <v>592</v>
      </c>
      <c r="AC4" s="32" t="s">
        <v>593</v>
      </c>
      <c r="AD4" s="95"/>
      <c r="AE4" s="33" t="s">
        <v>578</v>
      </c>
      <c r="AF4" s="4" t="s">
        <v>580</v>
      </c>
      <c r="AG4" s="2" t="s">
        <v>584</v>
      </c>
      <c r="AH4" s="2" t="s">
        <v>585</v>
      </c>
      <c r="AI4" s="2" t="s">
        <v>586</v>
      </c>
      <c r="AJ4" s="8" t="s">
        <v>219</v>
      </c>
      <c r="AK4" s="8" t="s">
        <v>220</v>
      </c>
      <c r="AL4" s="4" t="s">
        <v>594</v>
      </c>
      <c r="AM4" s="4" t="s">
        <v>595</v>
      </c>
      <c r="AN4" s="27" t="s">
        <v>596</v>
      </c>
      <c r="AO4" s="27" t="s">
        <v>597</v>
      </c>
      <c r="AP4" s="2" t="s">
        <v>594</v>
      </c>
      <c r="AQ4" s="2" t="s">
        <v>595</v>
      </c>
      <c r="AR4" s="2" t="s">
        <v>598</v>
      </c>
      <c r="AS4" s="8" t="s">
        <v>594</v>
      </c>
      <c r="AT4" s="8" t="s">
        <v>595</v>
      </c>
      <c r="AU4" s="27" t="s">
        <v>599</v>
      </c>
      <c r="AV4" s="9" t="s">
        <v>600</v>
      </c>
      <c r="AW4" s="29" t="s">
        <v>601</v>
      </c>
      <c r="AX4" s="97"/>
    </row>
    <row r="5" spans="1:50" ht="20" customHeight="1" x14ac:dyDescent="0.3">
      <c r="A5" s="5" t="s">
        <v>290</v>
      </c>
      <c r="B5" s="6"/>
      <c r="C5" s="5">
        <v>1</v>
      </c>
      <c r="D5" s="21" t="s">
        <v>222</v>
      </c>
      <c r="E5" s="21" t="s">
        <v>224</v>
      </c>
      <c r="F5" s="1" t="s">
        <v>103</v>
      </c>
      <c r="G5" s="1">
        <v>30</v>
      </c>
      <c r="J5" s="22">
        <v>5</v>
      </c>
      <c r="K5" s="23">
        <v>10</v>
      </c>
      <c r="L5" s="5">
        <f>IFERROR(VLOOKUP($D5&amp;$C5,生产方式定位!$A$2:$E$38,2,FALSE)+VLOOKUP($E5&amp;$C5,生产方式定位!$F$3:$J$38,2,FALSE),0)</f>
        <v>600</v>
      </c>
      <c r="M5" s="1" t="s">
        <v>208</v>
      </c>
      <c r="N5" s="1">
        <v>100</v>
      </c>
      <c r="S5" s="5">
        <f>IFERROR(VLOOKUP($D5&amp;$C5,生产方式定位!$A$2:$E$38,3,FALSE)+VLOOKUP($E5&amp;$C5,生产方式定位!$F$3:$J$38,3,FALSE),0)</f>
        <v>150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788</v>
      </c>
      <c r="Y5" s="24" t="str">
        <f>IF(AE5="","",AE5)&amp;IF(AF5="","",","&amp;AF5)&amp;IF(AN5=0,"",",运力*"&amp;AN5)&amp;IF(AO5=0,"",",交易*"&amp;AO5)</f>
        <v>谷物*20,运力*1,交易*2</v>
      </c>
      <c r="Z5" s="34" t="str">
        <f>IF(AG5="","",AG5)&amp;IF(AH5="","",","&amp;AH5)&amp;IF(AI5="","",","&amp;AI5)</f>
        <v>劳工*6787</v>
      </c>
      <c r="AA5" s="34" t="str">
        <f t="shared" ref="AA5:AA68" si="0">IF(AJ5="","",AJ5)&amp;IF(AK5="","",","&amp;AK5)</f>
        <v>食品*26</v>
      </c>
      <c r="AB5" s="25" t="str">
        <f>IFERROR(ROUND(((X5/L5)-1)*100,0)&amp;"%","")</f>
        <v>31%</v>
      </c>
      <c r="AC5" s="1">
        <f>IF(X5-S5-L5=0,"",X5-S5-L5)</f>
        <v>38</v>
      </c>
      <c r="AD5" s="35">
        <f t="shared" ref="AD5:AD68" si="1">C5</f>
        <v>1</v>
      </c>
      <c r="AE5" t="str">
        <f>IF(AL5="","",F5&amp;"*"&amp;AL5)</f>
        <v>谷物*20</v>
      </c>
      <c r="AF5" t="str">
        <f>IF(AM5="","",H5&amp;"*"&amp;AM5)</f>
        <v/>
      </c>
      <c r="AG5" t="str">
        <f>IF(AP5="","",M5&amp;"*"&amp;AP5)</f>
        <v>劳工*6787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食品*26</v>
      </c>
      <c r="AK5" t="str">
        <f>IF(AT5="","",V5&amp;"*"&amp;AT5)</f>
        <v/>
      </c>
      <c r="AL5">
        <f>IFERROR(ROUND(L5*(G5/$AU5)/VLOOKUP(F5,商品!$A$4:$C$60,3,FALSE),0),"")</f>
        <v>20</v>
      </c>
      <c r="AM5" t="str">
        <f>IFERROR(ROUND(L5*(I5/$AU5)/VLOOKUP(H5,商品!$A$4:$C$60,3,FALSE),0),"")</f>
        <v/>
      </c>
      <c r="AN5">
        <f>IFERROR(ROUND(L5*(J5/$AU5)/VLOOKUP("运力",商品!$A$4:$C$60,3,FALSE),0),0)</f>
        <v>1</v>
      </c>
      <c r="AO5">
        <f>IFERROR(ROUND(L5*(K5/$AU5)/VLOOKUP("运力",商品!$A$4:$C$60,3,FALSE),0),0)</f>
        <v>2</v>
      </c>
      <c r="AP5">
        <f>IFERROR(ROUND(S5*(N5/$AV5)/VLOOKUP(M5,职业!$A$3:$E$16,4,FALSE),0),"")</f>
        <v>6787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26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20" customHeight="1" x14ac:dyDescent="0.3">
      <c r="A6" s="5" t="s">
        <v>290</v>
      </c>
      <c r="B6" s="6"/>
      <c r="C6" s="5">
        <v>2</v>
      </c>
      <c r="D6" s="21" t="s">
        <v>222</v>
      </c>
      <c r="E6" s="21" t="s">
        <v>224</v>
      </c>
      <c r="F6" s="1" t="s">
        <v>103</v>
      </c>
      <c r="G6" s="1">
        <v>30</v>
      </c>
      <c r="J6" s="22">
        <v>5</v>
      </c>
      <c r="K6" s="23">
        <v>10</v>
      </c>
      <c r="L6" s="5">
        <f>IFERROR(VLOOKUP($D6&amp;$C6,生产方式定位!$A$2:$E$38,2,FALSE)+VLOOKUP($E6&amp;$C6,生产方式定位!$F$3:$J$38,2,FALSE),0)</f>
        <v>1200</v>
      </c>
      <c r="M6" s="1" t="s">
        <v>208</v>
      </c>
      <c r="N6" s="1">
        <v>100</v>
      </c>
      <c r="O6" s="1" t="s">
        <v>201</v>
      </c>
      <c r="P6" s="1">
        <v>5</v>
      </c>
      <c r="S6" s="5">
        <f>IFERROR(VLOOKUP($D6&amp;$C6,生产方式定位!$A$2:$E$38,3,FALSE)+VLOOKUP($E6&amp;$C6,生产方式定位!$F$3:$J$38,3,FALSE),0)</f>
        <v>140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1390</v>
      </c>
      <c r="Y6" s="24" t="str">
        <f t="shared" ref="Y6:Y69" si="2">IF(AE6="","",AE6)&amp;IF(AF6="","",","&amp;AF6)&amp;IF(AN6=0,"",",运力*"&amp;AN6)&amp;IF(AO6=0,"",",交易*"&amp;AO6)</f>
        <v>谷物*40,运力*2,交易*4</v>
      </c>
      <c r="Z6" s="34" t="str">
        <f t="shared" ref="Z6:Z69" si="3">IF(AG6="","",AG6)&amp;IF(AH6="","",","&amp;AH6)&amp;IF(AI6="","",","&amp;AI6)</f>
        <v>劳工*6033,工程师*101</v>
      </c>
      <c r="AA6" s="34" t="str">
        <f t="shared" si="0"/>
        <v>食品*46</v>
      </c>
      <c r="AB6" s="25" t="str">
        <f t="shared" ref="AB6:AB69" si="4">IFERROR(ROUND(((X6/L6)-1)*100,0)&amp;"%","")</f>
        <v>16%</v>
      </c>
      <c r="AC6" s="1">
        <f>IF(X6-S6-L6=0,"",X6-S6-L6)</f>
        <v>50</v>
      </c>
      <c r="AD6" s="35">
        <f t="shared" si="1"/>
        <v>2</v>
      </c>
      <c r="AE6" t="str">
        <f t="shared" ref="AE6:AE69" si="5">IF(AL6="","",F6&amp;"*"&amp;AL6)</f>
        <v>谷物*40</v>
      </c>
      <c r="AF6" t="str">
        <f t="shared" ref="AF6:AF69" si="6">IF(AM6="","",H6&amp;"*"&amp;AM6)</f>
        <v/>
      </c>
      <c r="AG6" t="str">
        <f t="shared" ref="AG6:AG69" si="7">IF(AP6="","",M6&amp;"*"&amp;AP6)</f>
        <v>劳工*6033</v>
      </c>
      <c r="AH6" t="str">
        <f t="shared" ref="AH6:AH69" si="8">IF(AQ6="","",O6&amp;"*"&amp;AQ6)</f>
        <v>工程师*101</v>
      </c>
      <c r="AI6" t="str">
        <f t="shared" ref="AI6:AI69" si="9">IF(AR6="","",Q6&amp;"*"&amp;AR6)</f>
        <v/>
      </c>
      <c r="AJ6" t="str">
        <f t="shared" ref="AJ6:AJ69" si="10">IF(AS6="","",T6&amp;"*"&amp;AS6)</f>
        <v>食品*46</v>
      </c>
      <c r="AK6" t="str">
        <f t="shared" ref="AK6:AK69" si="11">IF(AT6="","",V6&amp;"*"&amp;AT6)</f>
        <v/>
      </c>
      <c r="AL6">
        <f>IFERROR(ROUND(L6*(G6/$AU6)/VLOOKUP(F6,商品!$A$4:$C$60,3,FALSE),0),"")</f>
        <v>40</v>
      </c>
      <c r="AM6" t="str">
        <f>IFERROR(ROUND(L6*(I6/$AU6)/VLOOKUP(H6,商品!$A$4:$C$60,3,FALSE),0),"")</f>
        <v/>
      </c>
      <c r="AN6">
        <f>IFERROR(ROUND(L6*(J6/$AU6)/VLOOKUP("运力",商品!$A$4:$C$60,3,FALSE),0),0)</f>
        <v>2</v>
      </c>
      <c r="AO6">
        <f>IFERROR(ROUND(L6*(K6/$AU6)/VLOOKUP("运力",商品!$A$4:$C$60,3,FALSE),0),0)</f>
        <v>4</v>
      </c>
      <c r="AP6">
        <f>IFERROR(ROUND(S6*(N6/$AV6)/VLOOKUP(M6,职业!$A$3:$E$16,4,FALSE),0),"")</f>
        <v>6033</v>
      </c>
      <c r="AQ6">
        <f>IFERROR(ROUND(S6*(P6/$AV6)/VLOOKUP(O6,职业!$A$3:$E$16,4,FALSE),0),"")</f>
        <v>101</v>
      </c>
      <c r="AR6" t="str">
        <f>IFERROR(ROUND(S6*(R6/$AV6)/VLOOKUP(Q6,职业!$A$3:$E$16,4,FALSE),0),"")</f>
        <v/>
      </c>
      <c r="AS6">
        <f>IFERROR(ROUND(X6*(U6/$AW6)/VLOOKUP(T6,商品!$A$4:$C$60,3,FALSE),0),"")</f>
        <v>46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20" customHeight="1" x14ac:dyDescent="0.3">
      <c r="A7" s="5" t="s">
        <v>290</v>
      </c>
      <c r="C7" s="5">
        <v>3</v>
      </c>
      <c r="D7" s="21" t="s">
        <v>222</v>
      </c>
      <c r="E7" s="21" t="s">
        <v>224</v>
      </c>
      <c r="F7" s="1" t="s">
        <v>103</v>
      </c>
      <c r="G7" s="1">
        <v>30</v>
      </c>
      <c r="H7" s="1" t="s">
        <v>129</v>
      </c>
      <c r="I7" s="1">
        <v>5</v>
      </c>
      <c r="J7" s="22">
        <v>5</v>
      </c>
      <c r="K7" s="23">
        <v>10</v>
      </c>
      <c r="L7" s="5">
        <f>IFERROR(VLOOKUP($D7&amp;$C7,生产方式定位!$A$2:$E$38,2,FALSE)+VLOOKUP($E7&amp;$C7,生产方式定位!$F$3:$J$38,2,FALSE),0)</f>
        <v>1425</v>
      </c>
      <c r="M7" s="1" t="s">
        <v>208</v>
      </c>
      <c r="N7" s="1">
        <v>100</v>
      </c>
      <c r="O7" s="1" t="s">
        <v>201</v>
      </c>
      <c r="P7" s="1">
        <v>10</v>
      </c>
      <c r="S7" s="5">
        <f>IFERROR(VLOOKUP($D7&amp;$C7,生产方式定位!$A$2:$E$38,3,FALSE)+VLOOKUP($E7&amp;$C7,生产方式定位!$F$3:$J$38,3,FALSE),0)</f>
        <v>130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1618</v>
      </c>
      <c r="Y7" s="24" t="str">
        <f t="shared" si="2"/>
        <v>谷物*43,玻璃*5,运力*2,交易*5</v>
      </c>
      <c r="Z7" s="34" t="str">
        <f t="shared" si="3"/>
        <v>劳工*5348,工程师*178</v>
      </c>
      <c r="AA7" s="34" t="str">
        <f t="shared" si="0"/>
        <v>食品*54</v>
      </c>
      <c r="AB7" s="25" t="str">
        <f t="shared" si="4"/>
        <v>14%</v>
      </c>
      <c r="AC7" s="1">
        <f t="shared" ref="AC7:AC69" si="15">IF(X7-S7-L7=0,"",X7-S7-L7)</f>
        <v>63</v>
      </c>
      <c r="AD7" s="35">
        <f t="shared" si="1"/>
        <v>3</v>
      </c>
      <c r="AE7" t="str">
        <f t="shared" si="5"/>
        <v>谷物*43</v>
      </c>
      <c r="AF7" t="str">
        <f t="shared" si="6"/>
        <v>玻璃*5</v>
      </c>
      <c r="AG7" t="str">
        <f t="shared" si="7"/>
        <v>劳工*5348</v>
      </c>
      <c r="AH7" t="str">
        <f t="shared" si="8"/>
        <v>工程师*178</v>
      </c>
      <c r="AI7" t="str">
        <f t="shared" si="9"/>
        <v/>
      </c>
      <c r="AJ7" t="str">
        <f t="shared" si="10"/>
        <v>食品*54</v>
      </c>
      <c r="AK7" t="str">
        <f t="shared" si="11"/>
        <v/>
      </c>
      <c r="AL7">
        <f>IFERROR(ROUND(L7*(G7/$AU7)/VLOOKUP(F7,商品!$A$4:$C$60,3,FALSE),0),"")</f>
        <v>43</v>
      </c>
      <c r="AM7">
        <f>IFERROR(ROUND(L7*(I7/$AU7)/VLOOKUP(H7,商品!$A$4:$C$60,3,FALSE),0),"")</f>
        <v>5</v>
      </c>
      <c r="AN7">
        <f>IFERROR(ROUND(L7*(J7/$AU7)/VLOOKUP("运力",商品!$A$4:$C$60,3,FALSE),0),0)</f>
        <v>2</v>
      </c>
      <c r="AO7">
        <f>IFERROR(ROUND(L7*(K7/$AU7)/VLOOKUP("运力",商品!$A$4:$C$60,3,FALSE),0),0)</f>
        <v>5</v>
      </c>
      <c r="AP7">
        <f>IFERROR(ROUND(S7*(N7/$AV7)/VLOOKUP(M7,职业!$A$3:$E$16,4,FALSE),0),"")</f>
        <v>5348</v>
      </c>
      <c r="AQ7">
        <f>IFERROR(ROUND(S7*(P7/$AV7)/VLOOKUP(O7,职业!$A$3:$E$16,4,FALSE),0),"")</f>
        <v>178</v>
      </c>
      <c r="AR7" t="str">
        <f>IFERROR(ROUND(S7*(R7/$AV7)/VLOOKUP(Q7,职业!$A$3:$E$16,4,FALSE),0),"")</f>
        <v/>
      </c>
      <c r="AS7">
        <f>IFERROR(ROUND(X7*(U7/$AW7)/VLOOKUP(T7,商品!$A$4:$C$60,3,FALSE),0),"")</f>
        <v>54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20" customHeight="1" x14ac:dyDescent="0.3">
      <c r="A8" s="5" t="s">
        <v>290</v>
      </c>
      <c r="C8" s="5">
        <v>4</v>
      </c>
      <c r="D8" s="21" t="s">
        <v>222</v>
      </c>
      <c r="E8" s="21" t="s">
        <v>224</v>
      </c>
      <c r="F8" s="1" t="s">
        <v>103</v>
      </c>
      <c r="G8" s="1">
        <v>30</v>
      </c>
      <c r="H8" s="1" t="s">
        <v>129</v>
      </c>
      <c r="I8" s="1">
        <v>10</v>
      </c>
      <c r="J8" s="22">
        <v>5</v>
      </c>
      <c r="K8" s="23">
        <v>10</v>
      </c>
      <c r="L8" s="5">
        <f>IFERROR(VLOOKUP($D8&amp;$C8,生产方式定位!$A$2:$E$38,2,FALSE)+VLOOKUP($E8&amp;$C8,生产方式定位!$F$3:$J$38,2,FALSE),0)</f>
        <v>1650</v>
      </c>
      <c r="M8" s="1" t="s">
        <v>208</v>
      </c>
      <c r="N8" s="1">
        <v>100</v>
      </c>
      <c r="O8" s="1" t="s">
        <v>201</v>
      </c>
      <c r="P8" s="1">
        <v>15</v>
      </c>
      <c r="S8" s="5">
        <f>IFERROR(VLOOKUP($D8&amp;$C8,生产方式定位!$A$2:$E$38,3,FALSE)+VLOOKUP($E8&amp;$C8,生产方式定位!$F$3:$J$38,3,FALSE),0)</f>
        <v>120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1845</v>
      </c>
      <c r="Y8" s="24" t="str">
        <f t="shared" si="2"/>
        <v>谷物*45,玻璃*10,运力*3,交易*5</v>
      </c>
      <c r="Z8" s="34" t="str">
        <f t="shared" si="3"/>
        <v>劳工*4722,工程师*236</v>
      </c>
      <c r="AA8" s="34" t="str">
        <f t="shared" si="0"/>
        <v>食品*62</v>
      </c>
      <c r="AB8" s="25" t="str">
        <f t="shared" si="4"/>
        <v>12%</v>
      </c>
      <c r="AC8" s="1">
        <f t="shared" si="15"/>
        <v>75</v>
      </c>
      <c r="AD8" s="35">
        <f t="shared" si="1"/>
        <v>4</v>
      </c>
      <c r="AE8" t="str">
        <f t="shared" si="5"/>
        <v>谷物*45</v>
      </c>
      <c r="AF8" t="str">
        <f t="shared" si="6"/>
        <v>玻璃*10</v>
      </c>
      <c r="AG8" t="str">
        <f t="shared" si="7"/>
        <v>劳工*4722</v>
      </c>
      <c r="AH8" t="str">
        <f t="shared" si="8"/>
        <v>工程师*236</v>
      </c>
      <c r="AI8" t="str">
        <f t="shared" si="9"/>
        <v/>
      </c>
      <c r="AJ8" t="str">
        <f t="shared" si="10"/>
        <v>食品*62</v>
      </c>
      <c r="AK8" t="str">
        <f t="shared" si="11"/>
        <v/>
      </c>
      <c r="AL8">
        <f>IFERROR(ROUND(L8*(G8/$AU8)/VLOOKUP(F8,商品!$A$4:$C$60,3,FALSE),0),"")</f>
        <v>45</v>
      </c>
      <c r="AM8">
        <f>IFERROR(ROUND(L8*(I8/$AU8)/VLOOKUP(H8,商品!$A$4:$C$60,3,FALSE),0),"")</f>
        <v>10</v>
      </c>
      <c r="AN8">
        <f>IFERROR(ROUND(L8*(J8/$AU8)/VLOOKUP("运力",商品!$A$4:$C$60,3,FALSE),0),0)</f>
        <v>3</v>
      </c>
      <c r="AO8">
        <f>IFERROR(ROUND(L8*(K8/$AU8)/VLOOKUP("运力",商品!$A$4:$C$60,3,FALSE),0),0)</f>
        <v>5</v>
      </c>
      <c r="AP8">
        <f>IFERROR(ROUND(S8*(N8/$AV8)/VLOOKUP(M8,职业!$A$3:$E$16,4,FALSE),0),"")</f>
        <v>4722</v>
      </c>
      <c r="AQ8">
        <f>IFERROR(ROUND(S8*(P8/$AV8)/VLOOKUP(O8,职业!$A$3:$E$16,4,FALSE),0),"")</f>
        <v>236</v>
      </c>
      <c r="AR8" t="str">
        <f>IFERROR(ROUND(S8*(R8/$AV8)/VLOOKUP(Q8,职业!$A$3:$E$16,4,FALSE),0),"")</f>
        <v/>
      </c>
      <c r="AS8">
        <f>IFERROR(ROUND(X8*(U8/$AW8)/VLOOKUP(T8,商品!$A$4:$C$60,3,FALSE),0),"")</f>
        <v>62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20" customHeight="1" x14ac:dyDescent="0.3">
      <c r="A9" s="5" t="s">
        <v>290</v>
      </c>
      <c r="C9" s="5">
        <v>5</v>
      </c>
      <c r="D9" s="21" t="s">
        <v>222</v>
      </c>
      <c r="E9" s="21" t="s">
        <v>224</v>
      </c>
      <c r="F9" s="1" t="s">
        <v>103</v>
      </c>
      <c r="G9" s="1">
        <v>30</v>
      </c>
      <c r="H9" s="1" t="s">
        <v>129</v>
      </c>
      <c r="I9" s="1">
        <v>15</v>
      </c>
      <c r="J9" s="22">
        <v>5</v>
      </c>
      <c r="K9" s="23">
        <v>10</v>
      </c>
      <c r="L9" s="5">
        <f>IFERROR(VLOOKUP($D9&amp;$C9,生产方式定位!$A$2:$E$38,2,FALSE)+VLOOKUP($E9&amp;$C9,生产方式定位!$F$3:$J$38,2,FALSE),0)</f>
        <v>1875</v>
      </c>
      <c r="M9" s="1" t="s">
        <v>208</v>
      </c>
      <c r="N9" s="1">
        <v>100</v>
      </c>
      <c r="O9" s="1" t="s">
        <v>201</v>
      </c>
      <c r="P9" s="1">
        <v>20</v>
      </c>
      <c r="S9" s="5">
        <f>IFERROR(VLOOKUP($D9&amp;$C9,生产方式定位!$A$2:$E$38,3,FALSE)+VLOOKUP($E9&amp;$C9,生产方式定位!$F$3:$J$38,3,FALSE),0)</f>
        <v>110</v>
      </c>
      <c r="T9" s="1" t="s">
        <v>127</v>
      </c>
      <c r="U9" s="1">
        <v>1</v>
      </c>
      <c r="X9" s="5">
        <f>IFERROR(VLOOKUP($D9&amp;$C9,生产方式定位!$A$2:$E$38,5,FALSE)+VLOOKUP($E9&amp;$C9,生产方式定位!$F$3:$J$38,5,FALSE),"错误")</f>
        <v>2073</v>
      </c>
      <c r="Y9" s="24" t="str">
        <f t="shared" si="2"/>
        <v>谷物*47,玻璃*16,运力*3,交易*5</v>
      </c>
      <c r="Z9" s="34" t="str">
        <f t="shared" si="3"/>
        <v>劳工*4148,工程师*277</v>
      </c>
      <c r="AA9" s="34" t="str">
        <f t="shared" si="0"/>
        <v>食品*69</v>
      </c>
      <c r="AB9" s="25" t="str">
        <f t="shared" si="4"/>
        <v>11%</v>
      </c>
      <c r="AC9" s="1">
        <f t="shared" si="15"/>
        <v>88</v>
      </c>
      <c r="AD9" s="35">
        <f t="shared" si="1"/>
        <v>5</v>
      </c>
      <c r="AE9" t="str">
        <f t="shared" si="5"/>
        <v>谷物*47</v>
      </c>
      <c r="AF9" t="str">
        <f t="shared" si="6"/>
        <v>玻璃*16</v>
      </c>
      <c r="AG9" t="str">
        <f t="shared" si="7"/>
        <v>劳工*4148</v>
      </c>
      <c r="AH9" t="str">
        <f t="shared" si="8"/>
        <v>工程师*277</v>
      </c>
      <c r="AI9" t="str">
        <f t="shared" si="9"/>
        <v/>
      </c>
      <c r="AJ9" t="str">
        <f t="shared" si="10"/>
        <v>食品*69</v>
      </c>
      <c r="AK9" t="str">
        <f t="shared" si="11"/>
        <v/>
      </c>
      <c r="AL9">
        <f>IFERROR(ROUND(L9*(G9/$AU9)/VLOOKUP(F9,商品!$A$4:$C$60,3,FALSE),0),"")</f>
        <v>47</v>
      </c>
      <c r="AM9">
        <f>IFERROR(ROUND(L9*(I9/$AU9)/VLOOKUP(H9,商品!$A$4:$C$60,3,FALSE),0),"")</f>
        <v>16</v>
      </c>
      <c r="AN9">
        <f>IFERROR(ROUND(L9*(J9/$AU9)/VLOOKUP("运力",商品!$A$4:$C$60,3,FALSE),0),0)</f>
        <v>3</v>
      </c>
      <c r="AO9">
        <f>IFERROR(ROUND(L9*(K9/$AU9)/VLOOKUP("运力",商品!$A$4:$C$60,3,FALSE),0),0)</f>
        <v>5</v>
      </c>
      <c r="AP9">
        <f>IFERROR(ROUND(S9*(N9/$AV9)/VLOOKUP(M9,职业!$A$3:$E$16,4,FALSE),0),"")</f>
        <v>4148</v>
      </c>
      <c r="AQ9">
        <f>IFERROR(ROUND(S9*(P9/$AV9)/VLOOKUP(O9,职业!$A$3:$E$16,4,FALSE),0),"")</f>
        <v>277</v>
      </c>
      <c r="AR9" t="str">
        <f>IFERROR(ROUND(S9*(R9/$AV9)/VLOOKUP(Q9,职业!$A$3:$E$16,4,FALSE),0),"")</f>
        <v/>
      </c>
      <c r="AS9">
        <f>IFERROR(ROUND(X9*(U9/$AW9)/VLOOKUP(T9,商品!$A$4:$C$60,3,FALSE),0),"")</f>
        <v>69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20" customHeight="1" x14ac:dyDescent="0.3">
      <c r="A10" s="18" t="s">
        <v>291</v>
      </c>
      <c r="C10" s="18">
        <v>1</v>
      </c>
      <c r="D10" s="21" t="s">
        <v>292</v>
      </c>
      <c r="E10" s="21" t="s">
        <v>225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20" customHeight="1" x14ac:dyDescent="0.3">
      <c r="A11" s="18" t="s">
        <v>291</v>
      </c>
      <c r="C11" s="18">
        <v>2</v>
      </c>
      <c r="D11" s="21" t="s">
        <v>292</v>
      </c>
      <c r="E11" s="21" t="s">
        <v>225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750</v>
      </c>
      <c r="M11" s="1" t="s">
        <v>208</v>
      </c>
      <c r="N11" s="1">
        <v>-20</v>
      </c>
      <c r="O11" s="1" t="s">
        <v>201</v>
      </c>
      <c r="P11" s="1">
        <v>5</v>
      </c>
      <c r="S11" s="18">
        <f>IFERROR(VLOOKUP($D11&amp;$C11,生产方式定位!$A$2:$E$38,3,FALSE)+VLOOKUP($E11&amp;$C11,生产方式定位!$F$3:$J$38,3,FALSE),0)</f>
        <v>40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632</v>
      </c>
      <c r="Y11" s="24" t="str">
        <f t="shared" si="2"/>
        <v>工具*19</v>
      </c>
      <c r="Z11" s="34" t="str">
        <f t="shared" si="3"/>
        <v>劳工*-1448,工程师*121</v>
      </c>
      <c r="AA11" s="34" t="str">
        <f t="shared" si="0"/>
        <v>食品*21</v>
      </c>
      <c r="AB11" s="25" t="str">
        <f t="shared" si="4"/>
        <v>-16%</v>
      </c>
      <c r="AC11" s="1">
        <f t="shared" si="15"/>
        <v>-158</v>
      </c>
      <c r="AD11" s="36">
        <f t="shared" si="1"/>
        <v>2</v>
      </c>
      <c r="AE11" t="str">
        <f t="shared" si="5"/>
        <v>工具*19</v>
      </c>
      <c r="AF11" t="str">
        <f t="shared" si="6"/>
        <v/>
      </c>
      <c r="AG11" t="str">
        <f t="shared" si="7"/>
        <v>劳工*-1448</v>
      </c>
      <c r="AH11" t="str">
        <f t="shared" si="8"/>
        <v>工程师*121</v>
      </c>
      <c r="AI11" t="str">
        <f t="shared" si="9"/>
        <v/>
      </c>
      <c r="AJ11" t="str">
        <f t="shared" si="10"/>
        <v>食品*21</v>
      </c>
      <c r="AK11" t="str">
        <f t="shared" si="11"/>
        <v/>
      </c>
      <c r="AL11">
        <f>IFERROR(ROUND(L11*(G11/$AU11)/VLOOKUP(F11,商品!$A$4:$C$60,3,FALSE),0),"")</f>
        <v>19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-1448</v>
      </c>
      <c r="AQ11">
        <f>IFERROR(ROUND(S11*(P11/$AV11)/VLOOKUP(O11,职业!$A$3:$E$16,4,FALSE),0),"")</f>
        <v>121</v>
      </c>
      <c r="AR11" t="str">
        <f>IFERROR(ROUND(S11*(R11/$AV11)/VLOOKUP(Q11,职业!$A$3:$E$16,4,FALSE),0),"")</f>
        <v/>
      </c>
      <c r="AS11">
        <f>IFERROR(ROUND(X11*(U11/$AW11)/VLOOKUP(T11,商品!$A$4:$C$60,3,FALSE),0),"")</f>
        <v>21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25</v>
      </c>
      <c r="AW11">
        <f t="shared" si="14"/>
        <v>1</v>
      </c>
    </row>
    <row r="12" spans="1:50" ht="20" customHeight="1" x14ac:dyDescent="0.3">
      <c r="A12" s="18" t="s">
        <v>291</v>
      </c>
      <c r="C12" s="18">
        <v>3</v>
      </c>
      <c r="D12" s="21" t="s">
        <v>292</v>
      </c>
      <c r="E12" s="21" t="s">
        <v>225</v>
      </c>
      <c r="F12" s="1" t="s">
        <v>124</v>
      </c>
      <c r="G12" s="1">
        <v>10</v>
      </c>
      <c r="L12" s="18">
        <f>IFERROR(VLOOKUP($D12&amp;$C12,生产方式定位!$A$2:$E$38,2,FALSE)+VLOOKUP($E12&amp;$C12,生产方式定位!$F$3:$J$38,2,FALSE),0)</f>
        <v>1000</v>
      </c>
      <c r="M12" s="1" t="s">
        <v>208</v>
      </c>
      <c r="N12" s="1">
        <v>-20</v>
      </c>
      <c r="O12" s="1" t="s">
        <v>201</v>
      </c>
      <c r="P12" s="1">
        <v>7</v>
      </c>
      <c r="S12" s="18">
        <f>IFERROR(VLOOKUP($D12&amp;$C12,生产方式定位!$A$2:$E$38,3,FALSE)+VLOOKUP($E12&amp;$C12,生产方式定位!$F$3:$J$38,3,FALSE),0)</f>
        <v>60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901</v>
      </c>
      <c r="Y12" s="24" t="str">
        <f t="shared" si="2"/>
        <v>磁魔素*20</v>
      </c>
      <c r="Z12" s="34" t="str">
        <f t="shared" si="3"/>
        <v>劳工*-2011,工程师*235</v>
      </c>
      <c r="AA12" s="34" t="str">
        <f t="shared" si="0"/>
        <v>食品*30</v>
      </c>
      <c r="AB12" s="25" t="str">
        <f t="shared" si="4"/>
        <v>-10%</v>
      </c>
      <c r="AC12" s="1">
        <f t="shared" si="15"/>
        <v>-159</v>
      </c>
      <c r="AD12" s="36">
        <f t="shared" si="1"/>
        <v>3</v>
      </c>
      <c r="AE12" t="str">
        <f t="shared" si="5"/>
        <v>磁魔素*20</v>
      </c>
      <c r="AF12" t="str">
        <f t="shared" si="6"/>
        <v/>
      </c>
      <c r="AG12" t="str">
        <f t="shared" si="7"/>
        <v>劳工*-2011</v>
      </c>
      <c r="AH12" t="str">
        <f t="shared" si="8"/>
        <v>工程师*235</v>
      </c>
      <c r="AI12" t="str">
        <f t="shared" si="9"/>
        <v/>
      </c>
      <c r="AJ12" t="str">
        <f t="shared" si="10"/>
        <v>食品*30</v>
      </c>
      <c r="AK12" t="str">
        <f t="shared" si="11"/>
        <v/>
      </c>
      <c r="AL12">
        <f>IFERROR(ROUND(L12*(G12/$AU12)/VLOOKUP(F12,商品!$A$4:$C$60,3,FALSE),0),"")</f>
        <v>20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-2011</v>
      </c>
      <c r="AQ12">
        <f>IFERROR(ROUND(S12*(P12/$AV12)/VLOOKUP(O12,职业!$A$3:$E$16,4,FALSE),0),"")</f>
        <v>235</v>
      </c>
      <c r="AR12" t="str">
        <f>IFERROR(ROUND(S12*(R12/$AV12)/VLOOKUP(Q12,职业!$A$3:$E$16,4,FALSE),0),"")</f>
        <v/>
      </c>
      <c r="AS12">
        <f>IFERROR(ROUND(X12*(U12/$AW12)/VLOOKUP(T12,商品!$A$4:$C$60,3,FALSE),0),"")</f>
        <v>30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27</v>
      </c>
      <c r="AW12">
        <f t="shared" si="14"/>
        <v>1</v>
      </c>
    </row>
    <row r="13" spans="1:50" ht="20" customHeight="1" x14ac:dyDescent="0.3">
      <c r="A13" s="18" t="s">
        <v>291</v>
      </c>
      <c r="C13" s="18">
        <v>4</v>
      </c>
      <c r="D13" s="21" t="s">
        <v>292</v>
      </c>
      <c r="E13" s="21" t="s">
        <v>225</v>
      </c>
      <c r="F13" s="1" t="s">
        <v>150</v>
      </c>
      <c r="G13" s="1">
        <v>10</v>
      </c>
      <c r="L13" s="18">
        <f>IFERROR(VLOOKUP($D13&amp;$C13,生产方式定位!$A$2:$E$38,2,FALSE)+VLOOKUP($E13&amp;$C13,生产方式定位!$F$3:$J$38,2,FALSE),0)</f>
        <v>1250</v>
      </c>
      <c r="M13" s="1" t="s">
        <v>208</v>
      </c>
      <c r="N13" s="1">
        <v>-20</v>
      </c>
      <c r="O13" s="1" t="s">
        <v>201</v>
      </c>
      <c r="P13" s="1">
        <v>9</v>
      </c>
      <c r="S13" s="18">
        <f>IFERROR(VLOOKUP($D13&amp;$C13,生产方式定位!$A$2:$E$38,3,FALSE)+VLOOKUP($E13&amp;$C13,生产方式定位!$F$3:$J$38,3,FALSE),0)</f>
        <v>80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1197</v>
      </c>
      <c r="Y13" s="24" t="str">
        <f t="shared" si="2"/>
        <v>科学引擎*16</v>
      </c>
      <c r="Z13" s="34" t="str">
        <f t="shared" si="3"/>
        <v>劳工*-2496,工程师*374</v>
      </c>
      <c r="AA13" s="34" t="str">
        <f t="shared" si="0"/>
        <v>食品*40</v>
      </c>
      <c r="AB13" s="25" t="str">
        <f t="shared" si="4"/>
        <v>-4%</v>
      </c>
      <c r="AC13" s="1">
        <f t="shared" si="15"/>
        <v>-133</v>
      </c>
      <c r="AD13" s="36">
        <f t="shared" si="1"/>
        <v>4</v>
      </c>
      <c r="AE13" t="str">
        <f t="shared" si="5"/>
        <v>科学引擎*16</v>
      </c>
      <c r="AF13" t="str">
        <f t="shared" si="6"/>
        <v/>
      </c>
      <c r="AG13" t="str">
        <f t="shared" si="7"/>
        <v>劳工*-2496</v>
      </c>
      <c r="AH13" t="str">
        <f t="shared" si="8"/>
        <v>工程师*374</v>
      </c>
      <c r="AI13" t="str">
        <f t="shared" si="9"/>
        <v/>
      </c>
      <c r="AJ13" t="str">
        <f t="shared" si="10"/>
        <v>食品*40</v>
      </c>
      <c r="AK13" t="str">
        <f t="shared" si="11"/>
        <v/>
      </c>
      <c r="AL13">
        <f>IFERROR(ROUND(L13*(G13/$AU13)/VLOOKUP(F13,商品!$A$4:$C$60,3,FALSE),0),"")</f>
        <v>16</v>
      </c>
      <c r="AM13" t="str">
        <f>IFERROR(ROUND(L13*(I13/$AU13)/VLOOKUP(H13,商品!$A$4:$C$60,3,FALSE),0),"")</f>
        <v/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-2496</v>
      </c>
      <c r="AQ13">
        <f>IFERROR(ROUND(S13*(P13/$AV13)/VLOOKUP(O13,职业!$A$3:$E$16,4,FALSE),0),"")</f>
        <v>374</v>
      </c>
      <c r="AR13" t="str">
        <f>IFERROR(ROUND(S13*(R13/$AV13)/VLOOKUP(Q13,职业!$A$3:$E$16,4,FALSE),0),"")</f>
        <v/>
      </c>
      <c r="AS13">
        <f>IFERROR(ROUND(X13*(U13/$AW13)/VLOOKUP(T13,商品!$A$4:$C$60,3,FALSE),0),"")</f>
        <v>40</v>
      </c>
      <c r="AT13" t="str">
        <f>IFERROR(ROUND(X13*(W13/$AW13)/VLOOKUP(V13,商品!$A$4:$C$60,3,FALSE),0),"")</f>
        <v/>
      </c>
      <c r="AU13">
        <f t="shared" si="12"/>
        <v>10</v>
      </c>
      <c r="AV13">
        <f t="shared" si="13"/>
        <v>29</v>
      </c>
      <c r="AW13">
        <f t="shared" si="14"/>
        <v>1</v>
      </c>
    </row>
    <row r="14" spans="1:50" ht="20" customHeight="1" x14ac:dyDescent="0.3">
      <c r="A14" s="18" t="s">
        <v>291</v>
      </c>
      <c r="C14" s="18">
        <v>5</v>
      </c>
      <c r="D14" s="21" t="s">
        <v>292</v>
      </c>
      <c r="E14" s="21" t="s">
        <v>225</v>
      </c>
      <c r="F14" s="1" t="s">
        <v>150</v>
      </c>
      <c r="G14" s="1">
        <v>10</v>
      </c>
      <c r="H14" s="1" t="s">
        <v>151</v>
      </c>
      <c r="I14" s="1">
        <v>7</v>
      </c>
      <c r="L14" s="18">
        <f>IFERROR(VLOOKUP($D14&amp;$C14,生产方式定位!$A$2:$E$38,2,FALSE)+VLOOKUP($E14&amp;$C14,生产方式定位!$F$3:$J$38,2,FALSE),0)</f>
        <v>1500</v>
      </c>
      <c r="M14" s="1" t="s">
        <v>208</v>
      </c>
      <c r="N14" s="1">
        <v>-20</v>
      </c>
      <c r="O14" s="1" t="s">
        <v>201</v>
      </c>
      <c r="P14" s="1">
        <v>11</v>
      </c>
      <c r="S14" s="18">
        <f>IFERROR(VLOOKUP($D14&amp;$C14,生产方式定位!$A$2:$E$38,3,FALSE)+VLOOKUP($E14&amp;$C14,生产方式定位!$F$3:$J$38,3,FALSE),0)</f>
        <v>100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1760</v>
      </c>
      <c r="Y14" s="24" t="str">
        <f t="shared" si="2"/>
        <v>科学引擎*11,魔导引擎*8</v>
      </c>
      <c r="Z14" s="34" t="str">
        <f t="shared" si="3"/>
        <v>劳工*-2919,工程师*535</v>
      </c>
      <c r="AA14" s="34" t="str">
        <f t="shared" si="0"/>
        <v>食品*59</v>
      </c>
      <c r="AB14" s="25" t="str">
        <f t="shared" si="4"/>
        <v>17%</v>
      </c>
      <c r="AC14" s="1">
        <f t="shared" si="15"/>
        <v>160</v>
      </c>
      <c r="AD14" s="36">
        <f t="shared" si="1"/>
        <v>5</v>
      </c>
      <c r="AE14" t="str">
        <f t="shared" si="5"/>
        <v>科学引擎*11</v>
      </c>
      <c r="AF14" t="str">
        <f t="shared" si="6"/>
        <v>魔导引擎*8</v>
      </c>
      <c r="AG14" t="str">
        <f t="shared" si="7"/>
        <v>劳工*-2919</v>
      </c>
      <c r="AH14" t="str">
        <f t="shared" si="8"/>
        <v>工程师*535</v>
      </c>
      <c r="AI14" t="str">
        <f t="shared" si="9"/>
        <v/>
      </c>
      <c r="AJ14" t="str">
        <f t="shared" si="10"/>
        <v>食品*59</v>
      </c>
      <c r="AK14" t="str">
        <f t="shared" si="11"/>
        <v/>
      </c>
      <c r="AL14">
        <f>IFERROR(ROUND(L14*(G14/$AU14)/VLOOKUP(F14,商品!$A$4:$C$60,3,FALSE),0),"")</f>
        <v>11</v>
      </c>
      <c r="AM14">
        <f>IFERROR(ROUND(L14*(I14/$AU14)/VLOOKUP(H14,商品!$A$4:$C$60,3,FALSE),0),"")</f>
        <v>8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-2919</v>
      </c>
      <c r="AQ14">
        <f>IFERROR(ROUND(S14*(P14/$AV14)/VLOOKUP(O14,职业!$A$3:$E$16,4,FALSE),0),"")</f>
        <v>535</v>
      </c>
      <c r="AR14" t="str">
        <f>IFERROR(ROUND(S14*(R14/$AV14)/VLOOKUP(Q14,职业!$A$3:$E$16,4,FALSE),0),"")</f>
        <v/>
      </c>
      <c r="AS14">
        <f>IFERROR(ROUND(X14*(U14/$AW14)/VLOOKUP(T14,商品!$A$4:$C$60,3,FALSE),0),"")</f>
        <v>59</v>
      </c>
      <c r="AT14" t="str">
        <f>IFERROR(ROUND(X14*(W14/$AW14)/VLOOKUP(V14,商品!$A$4:$C$60,3,FALSE),0),"")</f>
        <v/>
      </c>
      <c r="AU14">
        <f t="shared" si="12"/>
        <v>17</v>
      </c>
      <c r="AV14">
        <f t="shared" si="13"/>
        <v>31</v>
      </c>
      <c r="AW14">
        <f t="shared" si="14"/>
        <v>1</v>
      </c>
    </row>
    <row r="15" spans="1:50" ht="20" customHeight="1" x14ac:dyDescent="0.3">
      <c r="A15" s="5" t="s">
        <v>291</v>
      </c>
      <c r="C15" s="5">
        <v>1</v>
      </c>
      <c r="D15" s="21" t="s">
        <v>292</v>
      </c>
      <c r="E15" s="21" t="s">
        <v>225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20" customHeight="1" x14ac:dyDescent="0.3">
      <c r="A16" s="5" t="s">
        <v>291</v>
      </c>
      <c r="C16" s="5">
        <v>2</v>
      </c>
      <c r="D16" s="21" t="s">
        <v>292</v>
      </c>
      <c r="E16" s="21" t="s">
        <v>225</v>
      </c>
      <c r="F16" s="1" t="s">
        <v>147</v>
      </c>
      <c r="G16" s="1">
        <v>10</v>
      </c>
      <c r="L16" s="5">
        <f>IFERROR(VLOOKUP($D16&amp;$C16,生产方式定位!$A$2:$E$38,2,FALSE)+VLOOKUP($E16&amp;$C16,生产方式定位!$F$3:$J$38,2,FALSE),0)</f>
        <v>750</v>
      </c>
      <c r="M16" s="1" t="s">
        <v>208</v>
      </c>
      <c r="N16" s="1">
        <v>-20</v>
      </c>
      <c r="O16" s="1" t="s">
        <v>202</v>
      </c>
      <c r="P16" s="1">
        <v>5</v>
      </c>
      <c r="S16" s="5">
        <f>IFERROR(VLOOKUP($D16&amp;$C16,生产方式定位!$A$2:$E$38,3,FALSE)+VLOOKUP($E16&amp;$C16,生产方式定位!$F$3:$J$38,3,FALSE),0)</f>
        <v>40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632</v>
      </c>
      <c r="Y16" s="24" t="str">
        <f t="shared" si="2"/>
        <v>魔偶*19</v>
      </c>
      <c r="Z16" s="34" t="str">
        <f t="shared" si="3"/>
        <v>劳工*-1448,法士*90</v>
      </c>
      <c r="AA16" s="34" t="str">
        <f t="shared" si="0"/>
        <v>食品*21</v>
      </c>
      <c r="AB16" s="25" t="str">
        <f t="shared" si="4"/>
        <v>-16%</v>
      </c>
      <c r="AC16" s="1">
        <f t="shared" si="15"/>
        <v>-158</v>
      </c>
      <c r="AD16" s="35">
        <f t="shared" si="1"/>
        <v>2</v>
      </c>
      <c r="AE16" t="str">
        <f t="shared" si="5"/>
        <v>魔偶*19</v>
      </c>
      <c r="AF16" t="str">
        <f t="shared" si="6"/>
        <v/>
      </c>
      <c r="AG16" t="str">
        <f t="shared" si="7"/>
        <v>劳工*-1448</v>
      </c>
      <c r="AH16" t="str">
        <f t="shared" si="8"/>
        <v>法士*90</v>
      </c>
      <c r="AI16" t="str">
        <f t="shared" si="9"/>
        <v/>
      </c>
      <c r="AJ16" t="str">
        <f t="shared" si="10"/>
        <v>食品*21</v>
      </c>
      <c r="AK16" t="str">
        <f t="shared" si="11"/>
        <v/>
      </c>
      <c r="AL16">
        <f>IFERROR(ROUND(L16*(G16/$AU16)/VLOOKUP(F16,商品!$A$4:$C$60,3,FALSE),0),"")</f>
        <v>19</v>
      </c>
      <c r="AM16" t="str">
        <f>IFERROR(ROUND(L16*(I16/$AU16)/VLOOKUP(H16,商品!$A$4:$C$60,3,FALSE),0),"")</f>
        <v/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-1448</v>
      </c>
      <c r="AQ16">
        <f>IFERROR(ROUND(S16*(P16/$AV16)/VLOOKUP(O16,职业!$A$3:$E$16,4,FALSE),0),"")</f>
        <v>90</v>
      </c>
      <c r="AR16" t="str">
        <f>IFERROR(ROUND(S16*(R16/$AV16)/VLOOKUP(Q16,职业!$A$3:$E$16,4,FALSE),0),"")</f>
        <v/>
      </c>
      <c r="AS16">
        <f>IFERROR(ROUND(X16*(U16/$AW16)/VLOOKUP(T16,商品!$A$4:$C$60,3,FALSE),0),"")</f>
        <v>21</v>
      </c>
      <c r="AT16" t="str">
        <f>IFERROR(ROUND(X16*(W16/$AW16)/VLOOKUP(V16,商品!$A$4:$C$60,3,FALSE),0),"")</f>
        <v/>
      </c>
      <c r="AU16">
        <f t="shared" si="12"/>
        <v>10</v>
      </c>
      <c r="AV16">
        <f t="shared" si="13"/>
        <v>25</v>
      </c>
      <c r="AW16">
        <f t="shared" si="14"/>
        <v>1</v>
      </c>
    </row>
    <row r="17" spans="1:49" ht="20" customHeight="1" x14ac:dyDescent="0.3">
      <c r="A17" s="5" t="s">
        <v>291</v>
      </c>
      <c r="C17" s="5">
        <v>3</v>
      </c>
      <c r="D17" s="21" t="s">
        <v>292</v>
      </c>
      <c r="E17" s="21" t="s">
        <v>225</v>
      </c>
      <c r="F17" s="1" t="s">
        <v>125</v>
      </c>
      <c r="G17" s="1">
        <v>10</v>
      </c>
      <c r="L17" s="5">
        <f>IFERROR(VLOOKUP($D17&amp;$C17,生产方式定位!$A$2:$E$38,2,FALSE)+VLOOKUP($E17&amp;$C17,生产方式定位!$F$3:$J$38,2,FALSE),0)</f>
        <v>1000</v>
      </c>
      <c r="M17" s="1" t="s">
        <v>208</v>
      </c>
      <c r="N17" s="1">
        <v>-20</v>
      </c>
      <c r="O17" s="1" t="s">
        <v>202</v>
      </c>
      <c r="P17" s="1">
        <v>7</v>
      </c>
      <c r="S17" s="5">
        <f>IFERROR(VLOOKUP($D17&amp;$C17,生产方式定位!$A$2:$E$38,3,FALSE)+VLOOKUP($E17&amp;$C17,生产方式定位!$F$3:$J$38,3,FALSE),0)</f>
        <v>60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901</v>
      </c>
      <c r="Y17" s="24" t="str">
        <f t="shared" si="2"/>
        <v>泽洛*20</v>
      </c>
      <c r="Z17" s="34" t="str">
        <f t="shared" si="3"/>
        <v>劳工*-2011,法士*176</v>
      </c>
      <c r="AA17" s="34" t="str">
        <f t="shared" si="0"/>
        <v>食品*30</v>
      </c>
      <c r="AB17" s="25" t="str">
        <f t="shared" si="4"/>
        <v>-10%</v>
      </c>
      <c r="AC17" s="1">
        <f t="shared" si="15"/>
        <v>-159</v>
      </c>
      <c r="AD17" s="35">
        <f t="shared" si="1"/>
        <v>3</v>
      </c>
      <c r="AE17" t="str">
        <f t="shared" si="5"/>
        <v>泽洛*20</v>
      </c>
      <c r="AF17" t="str">
        <f t="shared" si="6"/>
        <v/>
      </c>
      <c r="AG17" t="str">
        <f t="shared" si="7"/>
        <v>劳工*-2011</v>
      </c>
      <c r="AH17" t="str">
        <f t="shared" si="8"/>
        <v>法士*176</v>
      </c>
      <c r="AI17" t="str">
        <f t="shared" si="9"/>
        <v/>
      </c>
      <c r="AJ17" t="str">
        <f t="shared" si="10"/>
        <v>食品*30</v>
      </c>
      <c r="AK17" t="str">
        <f t="shared" si="11"/>
        <v/>
      </c>
      <c r="AL17">
        <f>IFERROR(ROUND(L17*(G17/$AU17)/VLOOKUP(F17,商品!$A$4:$C$60,3,FALSE),0),"")</f>
        <v>20</v>
      </c>
      <c r="AM17" t="str">
        <f>IFERROR(ROUND(L17*(I17/$AU17)/VLOOKUP(H17,商品!$A$4:$C$60,3,FALSE),0),"")</f>
        <v/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-2011</v>
      </c>
      <c r="AQ17">
        <f>IFERROR(ROUND(S17*(P17/$AV17)/VLOOKUP(O17,职业!$A$3:$E$16,4,FALSE),0),"")</f>
        <v>176</v>
      </c>
      <c r="AR17" t="str">
        <f>IFERROR(ROUND(S17*(R17/$AV17)/VLOOKUP(Q17,职业!$A$3:$E$16,4,FALSE),0),"")</f>
        <v/>
      </c>
      <c r="AS17">
        <f>IFERROR(ROUND(X17*(U17/$AW17)/VLOOKUP(T17,商品!$A$4:$C$60,3,FALSE),0),"")</f>
        <v>30</v>
      </c>
      <c r="AT17" t="str">
        <f>IFERROR(ROUND(X17*(W17/$AW17)/VLOOKUP(V17,商品!$A$4:$C$60,3,FALSE),0),"")</f>
        <v/>
      </c>
      <c r="AU17">
        <f t="shared" si="12"/>
        <v>10</v>
      </c>
      <c r="AV17">
        <f t="shared" si="13"/>
        <v>27</v>
      </c>
      <c r="AW17">
        <f t="shared" si="14"/>
        <v>1</v>
      </c>
    </row>
    <row r="18" spans="1:49" ht="20" customHeight="1" x14ac:dyDescent="0.3">
      <c r="A18" s="5" t="s">
        <v>291</v>
      </c>
      <c r="C18" s="5">
        <v>4</v>
      </c>
      <c r="D18" s="21" t="s">
        <v>292</v>
      </c>
      <c r="E18" s="21" t="s">
        <v>225</v>
      </c>
      <c r="F18" s="1" t="s">
        <v>151</v>
      </c>
      <c r="G18" s="1">
        <v>10</v>
      </c>
      <c r="L18" s="5">
        <f>IFERROR(VLOOKUP($D18&amp;$C18,生产方式定位!$A$2:$E$38,2,FALSE)+VLOOKUP($E18&amp;$C18,生产方式定位!$F$3:$J$38,2,FALSE),0)</f>
        <v>1250</v>
      </c>
      <c r="M18" s="1" t="s">
        <v>208</v>
      </c>
      <c r="N18" s="1">
        <v>-20</v>
      </c>
      <c r="O18" s="1" t="s">
        <v>202</v>
      </c>
      <c r="P18" s="1">
        <v>9</v>
      </c>
      <c r="S18" s="5">
        <f>IFERROR(VLOOKUP($D18&amp;$C18,生产方式定位!$A$2:$E$38,3,FALSE)+VLOOKUP($E18&amp;$C18,生产方式定位!$F$3:$J$38,3,FALSE),0)</f>
        <v>80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1197</v>
      </c>
      <c r="Y18" s="24" t="str">
        <f t="shared" si="2"/>
        <v>魔导引擎*16</v>
      </c>
      <c r="Z18" s="34" t="str">
        <f t="shared" si="3"/>
        <v>劳工*-2496,法士*281</v>
      </c>
      <c r="AA18" s="34" t="str">
        <f t="shared" si="0"/>
        <v>食品*40</v>
      </c>
      <c r="AB18" s="25" t="str">
        <f t="shared" si="4"/>
        <v>-4%</v>
      </c>
      <c r="AC18" s="1">
        <f t="shared" si="15"/>
        <v>-133</v>
      </c>
      <c r="AD18" s="35">
        <f t="shared" si="1"/>
        <v>4</v>
      </c>
      <c r="AE18" t="str">
        <f t="shared" si="5"/>
        <v>魔导引擎*16</v>
      </c>
      <c r="AF18" t="str">
        <f t="shared" si="6"/>
        <v/>
      </c>
      <c r="AG18" t="str">
        <f t="shared" si="7"/>
        <v>劳工*-2496</v>
      </c>
      <c r="AH18" t="str">
        <f t="shared" si="8"/>
        <v>法士*281</v>
      </c>
      <c r="AI18" t="str">
        <f t="shared" si="9"/>
        <v/>
      </c>
      <c r="AJ18" t="str">
        <f t="shared" si="10"/>
        <v>食品*40</v>
      </c>
      <c r="AK18" t="str">
        <f t="shared" si="11"/>
        <v/>
      </c>
      <c r="AL18">
        <f>IFERROR(ROUND(L18*(G18/$AU18)/VLOOKUP(F18,商品!$A$4:$C$60,3,FALSE),0),"")</f>
        <v>16</v>
      </c>
      <c r="AM18" t="str">
        <f>IFERROR(ROUND(L18*(I18/$AU18)/VLOOKUP(H18,商品!$A$4:$C$60,3,FALSE),0),"")</f>
        <v/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-2496</v>
      </c>
      <c r="AQ18">
        <f>IFERROR(ROUND(S18*(P18/$AV18)/VLOOKUP(O18,职业!$A$3:$E$16,4,FALSE),0),"")</f>
        <v>281</v>
      </c>
      <c r="AR18" t="str">
        <f>IFERROR(ROUND(S18*(R18/$AV18)/VLOOKUP(Q18,职业!$A$3:$E$16,4,FALSE),0),"")</f>
        <v/>
      </c>
      <c r="AS18">
        <f>IFERROR(ROUND(X18*(U18/$AW18)/VLOOKUP(T18,商品!$A$4:$C$60,3,FALSE),0),"")</f>
        <v>40</v>
      </c>
      <c r="AT18" t="str">
        <f>IFERROR(ROUND(X18*(W18/$AW18)/VLOOKUP(V18,商品!$A$4:$C$60,3,FALSE),0),"")</f>
        <v/>
      </c>
      <c r="AU18">
        <f t="shared" si="12"/>
        <v>10</v>
      </c>
      <c r="AV18">
        <f t="shared" si="13"/>
        <v>29</v>
      </c>
      <c r="AW18">
        <f t="shared" si="14"/>
        <v>1</v>
      </c>
    </row>
    <row r="19" spans="1:49" ht="20" customHeight="1" x14ac:dyDescent="0.3">
      <c r="A19" s="5" t="s">
        <v>291</v>
      </c>
      <c r="C19" s="5">
        <v>5</v>
      </c>
      <c r="D19" s="21" t="s">
        <v>292</v>
      </c>
      <c r="E19" s="21" t="s">
        <v>225</v>
      </c>
      <c r="F19" s="1" t="s">
        <v>150</v>
      </c>
      <c r="G19" s="1">
        <v>7</v>
      </c>
      <c r="H19" s="1" t="s">
        <v>151</v>
      </c>
      <c r="I19" s="1">
        <v>10</v>
      </c>
      <c r="L19" s="5">
        <f>IFERROR(VLOOKUP($D19&amp;$C19,生产方式定位!$A$2:$E$38,2,FALSE)+VLOOKUP($E19&amp;$C19,生产方式定位!$F$3:$J$38,2,FALSE),0)</f>
        <v>1500</v>
      </c>
      <c r="M19" s="1" t="s">
        <v>208</v>
      </c>
      <c r="N19" s="1">
        <v>-20</v>
      </c>
      <c r="O19" s="1" t="s">
        <v>202</v>
      </c>
      <c r="P19" s="1">
        <v>11</v>
      </c>
      <c r="S19" s="5">
        <f>IFERROR(VLOOKUP($D19&amp;$C19,生产方式定位!$A$2:$E$38,3,FALSE)+VLOOKUP($E19&amp;$C19,生产方式定位!$F$3:$J$38,3,FALSE),0)</f>
        <v>100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1760</v>
      </c>
      <c r="Y19" s="24" t="str">
        <f t="shared" si="2"/>
        <v>科学引擎*8,魔导引擎*11</v>
      </c>
      <c r="Z19" s="34" t="str">
        <f t="shared" si="3"/>
        <v>劳工*-2919,法士*401</v>
      </c>
      <c r="AA19" s="34" t="str">
        <f t="shared" si="0"/>
        <v>食品*59</v>
      </c>
      <c r="AB19" s="25" t="str">
        <f t="shared" si="4"/>
        <v>17%</v>
      </c>
      <c r="AC19" s="1">
        <f t="shared" si="15"/>
        <v>160</v>
      </c>
      <c r="AD19" s="35">
        <f t="shared" si="1"/>
        <v>5</v>
      </c>
      <c r="AE19" t="str">
        <f t="shared" si="5"/>
        <v>科学引擎*8</v>
      </c>
      <c r="AF19" t="str">
        <f t="shared" si="6"/>
        <v>魔导引擎*11</v>
      </c>
      <c r="AG19" t="str">
        <f t="shared" si="7"/>
        <v>劳工*-2919</v>
      </c>
      <c r="AH19" t="str">
        <f t="shared" si="8"/>
        <v>法士*401</v>
      </c>
      <c r="AI19" t="str">
        <f t="shared" si="9"/>
        <v/>
      </c>
      <c r="AJ19" t="str">
        <f t="shared" si="10"/>
        <v>食品*59</v>
      </c>
      <c r="AK19" t="str">
        <f t="shared" si="11"/>
        <v/>
      </c>
      <c r="AL19">
        <f>IFERROR(ROUND(L19*(G19/$AU19)/VLOOKUP(F19,商品!$A$4:$C$60,3,FALSE),0),"")</f>
        <v>8</v>
      </c>
      <c r="AM19">
        <f>IFERROR(ROUND(L19*(I19/$AU19)/VLOOKUP(H19,商品!$A$4:$C$60,3,FALSE),0),"")</f>
        <v>11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-2919</v>
      </c>
      <c r="AQ19">
        <f>IFERROR(ROUND(S19*(P19/$AV19)/VLOOKUP(O19,职业!$A$3:$E$16,4,FALSE),0),"")</f>
        <v>401</v>
      </c>
      <c r="AR19" t="str">
        <f>IFERROR(ROUND(S19*(R19/$AV19)/VLOOKUP(Q19,职业!$A$3:$E$16,4,FALSE),0),"")</f>
        <v/>
      </c>
      <c r="AS19">
        <f>IFERROR(ROUND(X19*(U19/$AW19)/VLOOKUP(T19,商品!$A$4:$C$60,3,FALSE),0),"")</f>
        <v>59</v>
      </c>
      <c r="AT19" t="str">
        <f>IFERROR(ROUND(X19*(W19/$AW19)/VLOOKUP(V19,商品!$A$4:$C$60,3,FALSE),0),"")</f>
        <v/>
      </c>
      <c r="AU19">
        <f t="shared" si="12"/>
        <v>17</v>
      </c>
      <c r="AV19">
        <f t="shared" si="13"/>
        <v>31</v>
      </c>
      <c r="AW19">
        <f t="shared" si="14"/>
        <v>1</v>
      </c>
    </row>
    <row r="20" spans="1:49" ht="20" customHeight="1" x14ac:dyDescent="0.3">
      <c r="A20" s="18" t="s">
        <v>293</v>
      </c>
      <c r="C20" s="18">
        <v>1</v>
      </c>
      <c r="D20" s="21" t="s">
        <v>292</v>
      </c>
      <c r="E20" s="21" t="s">
        <v>226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20" customHeight="1" x14ac:dyDescent="0.3">
      <c r="A21" s="18" t="s">
        <v>293</v>
      </c>
      <c r="C21" s="18">
        <v>2</v>
      </c>
      <c r="D21" s="21" t="s">
        <v>292</v>
      </c>
      <c r="E21" s="21" t="s">
        <v>226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20" customHeight="1" x14ac:dyDescent="0.3">
      <c r="A22" s="18" t="s">
        <v>293</v>
      </c>
      <c r="C22" s="18">
        <v>3</v>
      </c>
      <c r="D22" s="21" t="s">
        <v>292</v>
      </c>
      <c r="E22" s="21" t="s">
        <v>226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20" customHeight="1" x14ac:dyDescent="0.3">
      <c r="A23" s="18" t="s">
        <v>293</v>
      </c>
      <c r="C23" s="18">
        <v>4</v>
      </c>
      <c r="D23" s="21" t="s">
        <v>292</v>
      </c>
      <c r="E23" s="21" t="s">
        <v>226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20" customHeight="1" x14ac:dyDescent="0.3">
      <c r="A24" s="18" t="s">
        <v>293</v>
      </c>
      <c r="C24" s="18">
        <v>5</v>
      </c>
      <c r="D24" s="21" t="s">
        <v>292</v>
      </c>
      <c r="E24" s="21" t="s">
        <v>226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20" customHeight="1" x14ac:dyDescent="0.3">
      <c r="A25" s="18" t="s">
        <v>293</v>
      </c>
      <c r="C25" s="18">
        <v>6</v>
      </c>
      <c r="D25" s="21" t="s">
        <v>292</v>
      </c>
      <c r="E25" s="21" t="s">
        <v>226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20" customHeight="1" x14ac:dyDescent="0.3">
      <c r="A26" s="18" t="s">
        <v>293</v>
      </c>
      <c r="C26" s="18">
        <v>7</v>
      </c>
      <c r="D26" s="21" t="s">
        <v>292</v>
      </c>
      <c r="E26" s="21" t="s">
        <v>226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20" customHeight="1" x14ac:dyDescent="0.3">
      <c r="A27" s="18" t="s">
        <v>293</v>
      </c>
      <c r="C27" s="18">
        <v>8</v>
      </c>
      <c r="D27" s="21" t="s">
        <v>292</v>
      </c>
      <c r="E27" s="21" t="s">
        <v>226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20" customHeight="1" x14ac:dyDescent="0.3">
      <c r="A28" s="5" t="s">
        <v>295</v>
      </c>
      <c r="C28" s="5">
        <v>1</v>
      </c>
      <c r="D28" s="21" t="s">
        <v>222</v>
      </c>
      <c r="E28" s="21" t="s">
        <v>224</v>
      </c>
      <c r="F28" s="1" t="s">
        <v>103</v>
      </c>
      <c r="G28" s="1">
        <v>10</v>
      </c>
      <c r="L28" s="5">
        <f>IFERROR(VLOOKUP($D28&amp;$C28,生产方式定位!$A$2:$E$38,2,FALSE)+VLOOKUP($E28&amp;$C28,生产方式定位!$F$3:$J$38,2,FALSE),0)</f>
        <v>600</v>
      </c>
      <c r="M28" s="1" t="s">
        <v>208</v>
      </c>
      <c r="N28" s="1">
        <v>100</v>
      </c>
      <c r="S28" s="5">
        <f>IFERROR(VLOOKUP($D28&amp;$C28,生产方式定位!$A$2:$E$38,3,FALSE)+VLOOKUP($E28&amp;$C28,生产方式定位!$F$3:$J$38,3,FALSE),0)</f>
        <v>150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788</v>
      </c>
      <c r="Y28" s="24" t="str">
        <f t="shared" si="2"/>
        <v>谷物*30</v>
      </c>
      <c r="Z28" s="34" t="str">
        <f t="shared" si="3"/>
        <v>劳工*6787</v>
      </c>
      <c r="AA28" s="34" t="str">
        <f t="shared" si="0"/>
        <v>饮品*26</v>
      </c>
      <c r="AB28" s="25" t="str">
        <f t="shared" si="4"/>
        <v>31%</v>
      </c>
      <c r="AC28" s="1">
        <f t="shared" si="15"/>
        <v>38</v>
      </c>
      <c r="AD28" s="35">
        <f t="shared" si="1"/>
        <v>1</v>
      </c>
      <c r="AE28" t="str">
        <f t="shared" si="5"/>
        <v>谷物*30</v>
      </c>
      <c r="AF28" t="str">
        <f t="shared" si="6"/>
        <v/>
      </c>
      <c r="AG28" t="str">
        <f t="shared" si="7"/>
        <v>劳工*6787</v>
      </c>
      <c r="AH28" t="str">
        <f t="shared" si="8"/>
        <v/>
      </c>
      <c r="AI28" t="str">
        <f t="shared" si="9"/>
        <v/>
      </c>
      <c r="AJ28" t="str">
        <f t="shared" si="10"/>
        <v>饮品*26</v>
      </c>
      <c r="AK28" t="str">
        <f t="shared" si="11"/>
        <v/>
      </c>
      <c r="AL28">
        <f>IFERROR(ROUND(L28*(G28/$AU28)/VLOOKUP(F28,商品!$A$4:$C$60,3,FALSE),0),"")</f>
        <v>30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0</v>
      </c>
      <c r="AO28">
        <f>IFERROR(ROUND(L28*(K28/$AU28)/VLOOKUP("运力",商品!$A$4:$C$60,3,FALSE),0),0)</f>
        <v>0</v>
      </c>
      <c r="AP28">
        <f>IFERROR(ROUND(S28*(N28/$AV28)/VLOOKUP(M28,职业!$A$3:$E$16,4,FALSE),0),"")</f>
        <v>6787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26</v>
      </c>
      <c r="AT28" t="str">
        <f>IFERROR(ROUND(X28*(W28/$AW28)/VLOOKUP(V28,商品!$A$4:$C$60,3,FALSE),0),"")</f>
        <v/>
      </c>
      <c r="AU28">
        <f t="shared" si="12"/>
        <v>10</v>
      </c>
      <c r="AV28">
        <f t="shared" si="13"/>
        <v>100</v>
      </c>
      <c r="AW28">
        <f t="shared" si="14"/>
        <v>1</v>
      </c>
    </row>
    <row r="29" spans="1:49" ht="20" customHeight="1" x14ac:dyDescent="0.3">
      <c r="A29" s="5" t="s">
        <v>295</v>
      </c>
      <c r="C29" s="5">
        <v>2</v>
      </c>
      <c r="D29" s="21" t="s">
        <v>222</v>
      </c>
      <c r="E29" s="21" t="s">
        <v>224</v>
      </c>
      <c r="F29" s="1" t="s">
        <v>103</v>
      </c>
      <c r="G29" s="1">
        <v>10</v>
      </c>
      <c r="H29" s="80" t="s">
        <v>636</v>
      </c>
      <c r="I29" s="1">
        <v>5</v>
      </c>
      <c r="L29" s="5">
        <f>IFERROR(VLOOKUP($D29&amp;$C29,生产方式定位!$A$2:$E$38,2,FALSE)+VLOOKUP($E29&amp;$C29,生产方式定位!$F$3:$J$38,2,FALSE),0)</f>
        <v>1200</v>
      </c>
      <c r="M29" s="1" t="s">
        <v>208</v>
      </c>
      <c r="N29" s="1">
        <v>100</v>
      </c>
      <c r="O29" s="1" t="s">
        <v>201</v>
      </c>
      <c r="P29" s="1">
        <v>5</v>
      </c>
      <c r="S29" s="5">
        <f>IFERROR(VLOOKUP($D29&amp;$C29,生产方式定位!$A$2:$E$38,3,FALSE)+VLOOKUP($E29&amp;$C29,生产方式定位!$F$3:$J$38,3,FALSE),0)</f>
        <v>140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1390</v>
      </c>
      <c r="Y29" s="24" t="str">
        <f t="shared" si="2"/>
        <v>谷物*40,玻璃*13</v>
      </c>
      <c r="Z29" s="34" t="str">
        <f t="shared" si="3"/>
        <v>劳工*6033,工程师*101</v>
      </c>
      <c r="AA29" s="34" t="str">
        <f t="shared" si="0"/>
        <v>饮品*46</v>
      </c>
      <c r="AB29" s="25" t="str">
        <f t="shared" si="4"/>
        <v>16%</v>
      </c>
      <c r="AC29" s="1">
        <f t="shared" si="15"/>
        <v>50</v>
      </c>
      <c r="AD29" s="35">
        <f t="shared" si="1"/>
        <v>2</v>
      </c>
      <c r="AE29" t="str">
        <f t="shared" si="5"/>
        <v>谷物*40</v>
      </c>
      <c r="AF29" t="str">
        <f t="shared" si="6"/>
        <v>玻璃*13</v>
      </c>
      <c r="AG29" t="str">
        <f t="shared" si="7"/>
        <v>劳工*6033</v>
      </c>
      <c r="AH29" t="str">
        <f t="shared" si="8"/>
        <v>工程师*101</v>
      </c>
      <c r="AI29" t="str">
        <f t="shared" si="9"/>
        <v/>
      </c>
      <c r="AJ29" t="str">
        <f t="shared" si="10"/>
        <v>饮品*46</v>
      </c>
      <c r="AK29" t="str">
        <f t="shared" si="11"/>
        <v/>
      </c>
      <c r="AL29">
        <f>IFERROR(ROUND(L29*(G29/$AU29)/VLOOKUP(F29,商品!$A$4:$C$60,3,FALSE),0),"")</f>
        <v>40</v>
      </c>
      <c r="AM29">
        <f>IFERROR(ROUND(L29*(I29/$AU29)/VLOOKUP(H29,商品!$A$4:$C$60,3,FALSE),0),"")</f>
        <v>13</v>
      </c>
      <c r="AN29">
        <f>IFERROR(ROUND(L29*(J29/$AU29)/VLOOKUP("运力",商品!$A$4:$C$60,3,FALSE),0),0)</f>
        <v>0</v>
      </c>
      <c r="AO29">
        <f>IFERROR(ROUND(L29*(K29/$AU29)/VLOOKUP("运力",商品!$A$4:$C$60,3,FALSE),0),0)</f>
        <v>0</v>
      </c>
      <c r="AP29">
        <f>IFERROR(ROUND(S29*(N29/$AV29)/VLOOKUP(M29,职业!$A$3:$E$16,4,FALSE),0),"")</f>
        <v>6033</v>
      </c>
      <c r="AQ29">
        <f>IFERROR(ROUND(S29*(P29/$AV29)/VLOOKUP(O29,职业!$A$3:$E$16,4,FALSE),0),"")</f>
        <v>101</v>
      </c>
      <c r="AR29" t="str">
        <f>IFERROR(ROUND(S29*(R29/$AV29)/VLOOKUP(Q29,职业!$A$3:$E$16,4,FALSE),0),"")</f>
        <v/>
      </c>
      <c r="AS29">
        <f>IFERROR(ROUND(X29*(U29/$AW29)/VLOOKUP(T29,商品!$A$4:$C$60,3,FALSE),0),"")</f>
        <v>46</v>
      </c>
      <c r="AT29" t="str">
        <f>IFERROR(ROUND(X29*(W29/$AW29)/VLOOKUP(V29,商品!$A$4:$C$60,3,FALSE),0),"")</f>
        <v/>
      </c>
      <c r="AU29">
        <f t="shared" si="12"/>
        <v>15</v>
      </c>
      <c r="AV29">
        <f t="shared" si="13"/>
        <v>105</v>
      </c>
      <c r="AW29">
        <f t="shared" si="14"/>
        <v>1</v>
      </c>
    </row>
    <row r="30" spans="1:49" ht="20" customHeight="1" x14ac:dyDescent="0.3">
      <c r="A30" s="5" t="s">
        <v>295</v>
      </c>
      <c r="C30" s="5">
        <v>3</v>
      </c>
      <c r="D30" s="21" t="s">
        <v>222</v>
      </c>
      <c r="E30" s="21" t="s">
        <v>224</v>
      </c>
      <c r="F30" s="1" t="s">
        <v>103</v>
      </c>
      <c r="G30" s="1">
        <v>10</v>
      </c>
      <c r="H30" s="1" t="s">
        <v>129</v>
      </c>
      <c r="I30" s="1">
        <v>10</v>
      </c>
      <c r="L30" s="5">
        <f>IFERROR(VLOOKUP($D30&amp;$C30,生产方式定位!$A$2:$E$38,2,FALSE)+VLOOKUP($E30&amp;$C30,生产方式定位!$F$3:$J$38,2,FALSE),0)</f>
        <v>1425</v>
      </c>
      <c r="M30" s="1" t="s">
        <v>208</v>
      </c>
      <c r="N30" s="1">
        <v>100</v>
      </c>
      <c r="O30" s="1" t="s">
        <v>201</v>
      </c>
      <c r="P30" s="1">
        <v>10</v>
      </c>
      <c r="S30" s="5">
        <f>IFERROR(VLOOKUP($D30&amp;$C30,生产方式定位!$A$2:$E$38,3,FALSE)+VLOOKUP($E30&amp;$C30,生产方式定位!$F$3:$J$38,3,FALSE),0)</f>
        <v>130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1618</v>
      </c>
      <c r="Y30" s="24" t="str">
        <f t="shared" si="2"/>
        <v>谷物*36,玻璃*24</v>
      </c>
      <c r="Z30" s="34" t="str">
        <f t="shared" si="3"/>
        <v>劳工*5348,工程师*178</v>
      </c>
      <c r="AA30" s="34" t="str">
        <f t="shared" si="0"/>
        <v>饮品*54</v>
      </c>
      <c r="AB30" s="25" t="str">
        <f t="shared" si="4"/>
        <v>14%</v>
      </c>
      <c r="AC30" s="1">
        <f t="shared" si="15"/>
        <v>63</v>
      </c>
      <c r="AD30" s="35">
        <f t="shared" si="1"/>
        <v>3</v>
      </c>
      <c r="AE30" t="str">
        <f t="shared" si="5"/>
        <v>谷物*36</v>
      </c>
      <c r="AF30" t="str">
        <f t="shared" si="6"/>
        <v>玻璃*24</v>
      </c>
      <c r="AG30" t="str">
        <f t="shared" si="7"/>
        <v>劳工*5348</v>
      </c>
      <c r="AH30" t="str">
        <f t="shared" si="8"/>
        <v>工程师*178</v>
      </c>
      <c r="AI30" t="str">
        <f t="shared" si="9"/>
        <v/>
      </c>
      <c r="AJ30" t="str">
        <f t="shared" si="10"/>
        <v>饮品*54</v>
      </c>
      <c r="AK30" t="str">
        <f t="shared" si="11"/>
        <v/>
      </c>
      <c r="AL30">
        <f>IFERROR(ROUND(L30*(G30/$AU30)/VLOOKUP(F30,商品!$A$4:$C$60,3,FALSE),0),"")</f>
        <v>36</v>
      </c>
      <c r="AM30">
        <f>IFERROR(ROUND(L30*(I30/$AU30)/VLOOKUP(H30,商品!$A$4:$C$60,3,FALSE),0),"")</f>
        <v>24</v>
      </c>
      <c r="AN30">
        <f>IFERROR(ROUND(L30*(J30/$AU30)/VLOOKUP("运力",商品!$A$4:$C$60,3,FALSE),0),0)</f>
        <v>0</v>
      </c>
      <c r="AO30">
        <f>IFERROR(ROUND(L30*(K30/$AU30)/VLOOKUP("运力",商品!$A$4:$C$60,3,FALSE),0),0)</f>
        <v>0</v>
      </c>
      <c r="AP30">
        <f>IFERROR(ROUND(S30*(N30/$AV30)/VLOOKUP(M30,职业!$A$3:$E$16,4,FALSE),0),"")</f>
        <v>5348</v>
      </c>
      <c r="AQ30">
        <f>IFERROR(ROUND(S30*(P30/$AV30)/VLOOKUP(O30,职业!$A$3:$E$16,4,FALSE),0),"")</f>
        <v>178</v>
      </c>
      <c r="AR30" t="str">
        <f>IFERROR(ROUND(S30*(R30/$AV30)/VLOOKUP(Q30,职业!$A$3:$E$16,4,FALSE),0),"")</f>
        <v/>
      </c>
      <c r="AS30">
        <f>IFERROR(ROUND(X30*(U30/$AW30)/VLOOKUP(T30,商品!$A$4:$C$60,3,FALSE),0),"")</f>
        <v>54</v>
      </c>
      <c r="AT30" t="str">
        <f>IFERROR(ROUND(X30*(W30/$AW30)/VLOOKUP(V30,商品!$A$4:$C$60,3,FALSE),0),"")</f>
        <v/>
      </c>
      <c r="AU30">
        <f t="shared" si="12"/>
        <v>20</v>
      </c>
      <c r="AV30">
        <f t="shared" si="13"/>
        <v>110</v>
      </c>
      <c r="AW30">
        <f t="shared" si="14"/>
        <v>1</v>
      </c>
    </row>
    <row r="31" spans="1:49" ht="20" customHeight="1" x14ac:dyDescent="0.3">
      <c r="A31" s="5" t="s">
        <v>295</v>
      </c>
      <c r="C31" s="5">
        <v>4</v>
      </c>
      <c r="D31" s="21" t="s">
        <v>222</v>
      </c>
      <c r="E31" s="21" t="s">
        <v>224</v>
      </c>
      <c r="F31" s="1" t="s">
        <v>103</v>
      </c>
      <c r="G31" s="1">
        <v>10</v>
      </c>
      <c r="H31" s="1" t="s">
        <v>129</v>
      </c>
      <c r="I31" s="1">
        <v>15</v>
      </c>
      <c r="L31" s="5">
        <f>IFERROR(VLOOKUP($D31&amp;$C31,生产方式定位!$A$2:$E$38,2,FALSE)+VLOOKUP($E31&amp;$C31,生产方式定位!$F$3:$J$38,2,FALSE),0)</f>
        <v>1650</v>
      </c>
      <c r="M31" s="1" t="s">
        <v>208</v>
      </c>
      <c r="N31" s="1">
        <v>100</v>
      </c>
      <c r="O31" s="1" t="s">
        <v>201</v>
      </c>
      <c r="P31" s="1">
        <v>15</v>
      </c>
      <c r="S31" s="5">
        <f>IFERROR(VLOOKUP($D31&amp;$C31,生产方式定位!$A$2:$E$38,3,FALSE)+VLOOKUP($E31&amp;$C31,生产方式定位!$F$3:$J$38,3,FALSE),0)</f>
        <v>120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1845</v>
      </c>
      <c r="Y31" s="24" t="str">
        <f t="shared" si="2"/>
        <v>谷物*33,玻璃*33</v>
      </c>
      <c r="Z31" s="34" t="str">
        <f t="shared" si="3"/>
        <v>劳工*4722,工程师*236</v>
      </c>
      <c r="AA31" s="34" t="str">
        <f t="shared" si="0"/>
        <v>饮品*62</v>
      </c>
      <c r="AB31" s="25" t="str">
        <f t="shared" si="4"/>
        <v>12%</v>
      </c>
      <c r="AC31" s="1">
        <f t="shared" si="15"/>
        <v>75</v>
      </c>
      <c r="AD31" s="35">
        <f t="shared" si="1"/>
        <v>4</v>
      </c>
      <c r="AE31" t="str">
        <f t="shared" si="5"/>
        <v>谷物*33</v>
      </c>
      <c r="AF31" t="str">
        <f t="shared" si="6"/>
        <v>玻璃*33</v>
      </c>
      <c r="AG31" t="str">
        <f t="shared" si="7"/>
        <v>劳工*4722</v>
      </c>
      <c r="AH31" t="str">
        <f t="shared" si="8"/>
        <v>工程师*236</v>
      </c>
      <c r="AI31" t="str">
        <f t="shared" si="9"/>
        <v/>
      </c>
      <c r="AJ31" t="str">
        <f t="shared" si="10"/>
        <v>饮品*62</v>
      </c>
      <c r="AK31" t="str">
        <f t="shared" si="11"/>
        <v/>
      </c>
      <c r="AL31">
        <f>IFERROR(ROUND(L31*(G31/$AU31)/VLOOKUP(F31,商品!$A$4:$C$60,3,FALSE),0),"")</f>
        <v>33</v>
      </c>
      <c r="AM31">
        <f>IFERROR(ROUND(L31*(I31/$AU31)/VLOOKUP(H31,商品!$A$4:$C$60,3,FALSE),0),"")</f>
        <v>33</v>
      </c>
      <c r="AN31">
        <f>IFERROR(ROUND(L31*(J31/$AU31)/VLOOKUP("运力",商品!$A$4:$C$60,3,FALSE),0),0)</f>
        <v>0</v>
      </c>
      <c r="AO31">
        <f>IFERROR(ROUND(L31*(K31/$AU31)/VLOOKUP("运力",商品!$A$4:$C$60,3,FALSE),0),0)</f>
        <v>0</v>
      </c>
      <c r="AP31">
        <f>IFERROR(ROUND(S31*(N31/$AV31)/VLOOKUP(M31,职业!$A$3:$E$16,4,FALSE),0),"")</f>
        <v>4722</v>
      </c>
      <c r="AQ31">
        <f>IFERROR(ROUND(S31*(P31/$AV31)/VLOOKUP(O31,职业!$A$3:$E$16,4,FALSE),0),"")</f>
        <v>236</v>
      </c>
      <c r="AR31" t="str">
        <f>IFERROR(ROUND(S31*(R31/$AV31)/VLOOKUP(Q31,职业!$A$3:$E$16,4,FALSE),0),"")</f>
        <v/>
      </c>
      <c r="AS31">
        <f>IFERROR(ROUND(X31*(U31/$AW31)/VLOOKUP(T31,商品!$A$4:$C$60,3,FALSE),0),"")</f>
        <v>62</v>
      </c>
      <c r="AT31" t="str">
        <f>IFERROR(ROUND(X31*(W31/$AW31)/VLOOKUP(V31,商品!$A$4:$C$60,3,FALSE),0),"")</f>
        <v/>
      </c>
      <c r="AU31">
        <f t="shared" si="12"/>
        <v>25</v>
      </c>
      <c r="AV31">
        <f t="shared" si="13"/>
        <v>115</v>
      </c>
      <c r="AW31">
        <f t="shared" si="14"/>
        <v>1</v>
      </c>
    </row>
    <row r="32" spans="1:49" ht="20" customHeight="1" x14ac:dyDescent="0.3">
      <c r="A32" s="5" t="s">
        <v>295</v>
      </c>
      <c r="C32" s="5">
        <v>5</v>
      </c>
      <c r="D32" s="21" t="s">
        <v>222</v>
      </c>
      <c r="E32" s="21" t="s">
        <v>224</v>
      </c>
      <c r="F32" s="1" t="s">
        <v>103</v>
      </c>
      <c r="G32" s="1">
        <v>10</v>
      </c>
      <c r="H32" s="1" t="s">
        <v>129</v>
      </c>
      <c r="I32" s="1">
        <v>20</v>
      </c>
      <c r="L32" s="5">
        <f>IFERROR(VLOOKUP($D32&amp;$C32,生产方式定位!$A$2:$E$38,2,FALSE)+VLOOKUP($E32&amp;$C32,生产方式定位!$F$3:$J$38,2,FALSE),0)</f>
        <v>1875</v>
      </c>
      <c r="M32" s="1" t="s">
        <v>208</v>
      </c>
      <c r="N32" s="1">
        <v>100</v>
      </c>
      <c r="O32" s="1" t="s">
        <v>201</v>
      </c>
      <c r="P32" s="1">
        <v>20</v>
      </c>
      <c r="S32" s="5">
        <f>IFERROR(VLOOKUP($D32&amp;$C32,生产方式定位!$A$2:$E$38,3,FALSE)+VLOOKUP($E32&amp;$C32,生产方式定位!$F$3:$J$38,3,FALSE),0)</f>
        <v>110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2073</v>
      </c>
      <c r="Y32" s="24" t="str">
        <f t="shared" si="2"/>
        <v>谷物*31,玻璃*42</v>
      </c>
      <c r="Z32" s="34" t="str">
        <f t="shared" si="3"/>
        <v>劳工*4148,工程师*277</v>
      </c>
      <c r="AA32" s="34" t="str">
        <f t="shared" si="0"/>
        <v>饮品*69</v>
      </c>
      <c r="AB32" s="25" t="str">
        <f t="shared" si="4"/>
        <v>11%</v>
      </c>
      <c r="AC32" s="1">
        <f t="shared" si="15"/>
        <v>88</v>
      </c>
      <c r="AD32" s="35">
        <f t="shared" si="1"/>
        <v>5</v>
      </c>
      <c r="AE32" t="str">
        <f t="shared" si="5"/>
        <v>谷物*31</v>
      </c>
      <c r="AF32" t="str">
        <f t="shared" si="6"/>
        <v>玻璃*42</v>
      </c>
      <c r="AG32" t="str">
        <f t="shared" si="7"/>
        <v>劳工*4148</v>
      </c>
      <c r="AH32" t="str">
        <f t="shared" si="8"/>
        <v>工程师*277</v>
      </c>
      <c r="AI32" t="str">
        <f t="shared" si="9"/>
        <v/>
      </c>
      <c r="AJ32" t="str">
        <f t="shared" si="10"/>
        <v>饮品*69</v>
      </c>
      <c r="AK32" t="str">
        <f t="shared" si="11"/>
        <v/>
      </c>
      <c r="AL32">
        <f>IFERROR(ROUND(L32*(G32/$AU32)/VLOOKUP(F32,商品!$A$4:$C$60,3,FALSE),0),"")</f>
        <v>31</v>
      </c>
      <c r="AM32">
        <f>IFERROR(ROUND(L32*(I32/$AU32)/VLOOKUP(H32,商品!$A$4:$C$60,3,FALSE),0),"")</f>
        <v>42</v>
      </c>
      <c r="AN32">
        <f>IFERROR(ROUND(L32*(J32/$AU32)/VLOOKUP("运力",商品!$A$4:$C$60,3,FALSE),0),0)</f>
        <v>0</v>
      </c>
      <c r="AO32">
        <f>IFERROR(ROUND(L32*(K32/$AU32)/VLOOKUP("运力",商品!$A$4:$C$60,3,FALSE),0),0)</f>
        <v>0</v>
      </c>
      <c r="AP32">
        <f>IFERROR(ROUND(S32*(N32/$AV32)/VLOOKUP(M32,职业!$A$3:$E$16,4,FALSE),0),"")</f>
        <v>4148</v>
      </c>
      <c r="AQ32">
        <f>IFERROR(ROUND(S32*(P32/$AV32)/VLOOKUP(O32,职业!$A$3:$E$16,4,FALSE),0),"")</f>
        <v>277</v>
      </c>
      <c r="AR32" t="str">
        <f>IFERROR(ROUND(S32*(R32/$AV32)/VLOOKUP(Q32,职业!$A$3:$E$16,4,FALSE),0),"")</f>
        <v/>
      </c>
      <c r="AS32">
        <f>IFERROR(ROUND(X32*(U32/$AW32)/VLOOKUP(T32,商品!$A$4:$C$60,3,FALSE),0),"")</f>
        <v>69</v>
      </c>
      <c r="AT32" t="str">
        <f>IFERROR(ROUND(X32*(W32/$AW32)/VLOOKUP(V32,商品!$A$4:$C$60,3,FALSE),0),"")</f>
        <v/>
      </c>
      <c r="AU32">
        <f t="shared" si="12"/>
        <v>30</v>
      </c>
      <c r="AV32">
        <f t="shared" si="13"/>
        <v>120</v>
      </c>
      <c r="AW32">
        <f t="shared" si="14"/>
        <v>1</v>
      </c>
    </row>
    <row r="33" spans="1:49" ht="20" customHeight="1" x14ac:dyDescent="0.3">
      <c r="A33" s="18" t="s">
        <v>296</v>
      </c>
      <c r="C33" s="18">
        <v>1</v>
      </c>
      <c r="D33" s="21" t="s">
        <v>292</v>
      </c>
      <c r="E33" s="21" t="s">
        <v>225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20" customHeight="1" x14ac:dyDescent="0.3">
      <c r="A34" s="18" t="s">
        <v>296</v>
      </c>
      <c r="C34" s="18">
        <v>2</v>
      </c>
      <c r="D34" s="21" t="s">
        <v>292</v>
      </c>
      <c r="E34" s="21" t="s">
        <v>225</v>
      </c>
      <c r="F34" s="1" t="s">
        <v>146</v>
      </c>
      <c r="G34" s="1">
        <v>10</v>
      </c>
      <c r="L34" s="18">
        <f>IFERROR(VLOOKUP($D34&amp;$C34,生产方式定位!$A$2:$E$38,2,FALSE)+VLOOKUP($E34&amp;$C34,生产方式定位!$F$3:$J$38,2,FALSE),0)</f>
        <v>750</v>
      </c>
      <c r="M34" s="1" t="s">
        <v>208</v>
      </c>
      <c r="N34" s="1">
        <v>-20</v>
      </c>
      <c r="O34" s="1" t="s">
        <v>201</v>
      </c>
      <c r="P34" s="1">
        <v>5</v>
      </c>
      <c r="S34" s="18">
        <f>IFERROR(VLOOKUP($D34&amp;$C34,生产方式定位!$A$2:$E$38,3,FALSE)+VLOOKUP($E34&amp;$C34,生产方式定位!$F$3:$J$38,3,FALSE),0)</f>
        <v>40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632</v>
      </c>
      <c r="Y34" s="24" t="str">
        <f t="shared" si="2"/>
        <v>工具*19</v>
      </c>
      <c r="Z34" s="34" t="str">
        <f t="shared" si="3"/>
        <v>劳工*-1448,工程师*121</v>
      </c>
      <c r="AA34" s="34" t="str">
        <f t="shared" si="0"/>
        <v>饮品*21</v>
      </c>
      <c r="AB34" s="25" t="str">
        <f t="shared" si="4"/>
        <v>-16%</v>
      </c>
      <c r="AC34" s="1">
        <f t="shared" si="15"/>
        <v>-158</v>
      </c>
      <c r="AD34" s="36">
        <f t="shared" si="1"/>
        <v>2</v>
      </c>
      <c r="AE34" t="str">
        <f t="shared" si="5"/>
        <v>工具*19</v>
      </c>
      <c r="AF34" t="str">
        <f t="shared" si="6"/>
        <v/>
      </c>
      <c r="AG34" t="str">
        <f t="shared" si="7"/>
        <v>劳工*-1448</v>
      </c>
      <c r="AH34" t="str">
        <f t="shared" si="8"/>
        <v>工程师*121</v>
      </c>
      <c r="AI34" t="str">
        <f t="shared" si="9"/>
        <v/>
      </c>
      <c r="AJ34" t="str">
        <f t="shared" si="10"/>
        <v>饮品*21</v>
      </c>
      <c r="AK34" t="str">
        <f t="shared" si="11"/>
        <v/>
      </c>
      <c r="AL34">
        <f>IFERROR(ROUND(L34*(G34/$AU34)/VLOOKUP(F34,商品!$A$4:$C$60,3,FALSE),0),"")</f>
        <v>19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-1448</v>
      </c>
      <c r="AQ34">
        <f>IFERROR(ROUND(S34*(P34/$AV34)/VLOOKUP(O34,职业!$A$3:$E$16,4,FALSE),0),"")</f>
        <v>121</v>
      </c>
      <c r="AR34" t="str">
        <f>IFERROR(ROUND(S34*(R34/$AV34)/VLOOKUP(Q34,职业!$A$3:$E$16,4,FALSE),0),"")</f>
        <v/>
      </c>
      <c r="AS34">
        <f>IFERROR(ROUND(X34*(U34/$AW34)/VLOOKUP(T34,商品!$A$4:$C$60,3,FALSE),0),"")</f>
        <v>21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25</v>
      </c>
      <c r="AW34">
        <f t="shared" si="14"/>
        <v>1</v>
      </c>
    </row>
    <row r="35" spans="1:49" ht="20" customHeight="1" x14ac:dyDescent="0.3">
      <c r="A35" s="18" t="s">
        <v>296</v>
      </c>
      <c r="C35" s="18">
        <v>3</v>
      </c>
      <c r="D35" s="21" t="s">
        <v>292</v>
      </c>
      <c r="E35" s="21" t="s">
        <v>225</v>
      </c>
      <c r="F35" s="1" t="s">
        <v>124</v>
      </c>
      <c r="G35" s="1">
        <v>10</v>
      </c>
      <c r="L35" s="18">
        <f>IFERROR(VLOOKUP($D35&amp;$C35,生产方式定位!$A$2:$E$38,2,FALSE)+VLOOKUP($E35&amp;$C35,生产方式定位!$F$3:$J$38,2,FALSE),0)</f>
        <v>1000</v>
      </c>
      <c r="M35" s="1" t="s">
        <v>208</v>
      </c>
      <c r="N35" s="1">
        <v>-20</v>
      </c>
      <c r="O35" s="1" t="s">
        <v>201</v>
      </c>
      <c r="P35" s="1">
        <v>7</v>
      </c>
      <c r="S35" s="18">
        <f>IFERROR(VLOOKUP($D35&amp;$C35,生产方式定位!$A$2:$E$38,3,FALSE)+VLOOKUP($E35&amp;$C35,生产方式定位!$F$3:$J$38,3,FALSE),0)</f>
        <v>60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901</v>
      </c>
      <c r="Y35" s="24" t="str">
        <f t="shared" si="2"/>
        <v>磁魔素*20</v>
      </c>
      <c r="Z35" s="34" t="str">
        <f t="shared" si="3"/>
        <v>劳工*-2011,工程师*235</v>
      </c>
      <c r="AA35" s="34" t="str">
        <f t="shared" si="0"/>
        <v>饮品*30</v>
      </c>
      <c r="AB35" s="25" t="str">
        <f t="shared" si="4"/>
        <v>-10%</v>
      </c>
      <c r="AC35" s="1">
        <f t="shared" si="15"/>
        <v>-159</v>
      </c>
      <c r="AD35" s="36">
        <f t="shared" si="1"/>
        <v>3</v>
      </c>
      <c r="AE35" t="str">
        <f t="shared" si="5"/>
        <v>磁魔素*20</v>
      </c>
      <c r="AF35" t="str">
        <f t="shared" si="6"/>
        <v/>
      </c>
      <c r="AG35" t="str">
        <f t="shared" si="7"/>
        <v>劳工*-2011</v>
      </c>
      <c r="AH35" t="str">
        <f t="shared" si="8"/>
        <v>工程师*235</v>
      </c>
      <c r="AI35" t="str">
        <f t="shared" si="9"/>
        <v/>
      </c>
      <c r="AJ35" t="str">
        <f t="shared" si="10"/>
        <v>饮品*30</v>
      </c>
      <c r="AK35" t="str">
        <f t="shared" si="11"/>
        <v/>
      </c>
      <c r="AL35">
        <f>IFERROR(ROUND(L35*(G35/$AU35)/VLOOKUP(F35,商品!$A$4:$C$60,3,FALSE),0),"")</f>
        <v>20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-2011</v>
      </c>
      <c r="AQ35">
        <f>IFERROR(ROUND(S35*(P35/$AV35)/VLOOKUP(O35,职业!$A$3:$E$16,4,FALSE),0),"")</f>
        <v>235</v>
      </c>
      <c r="AR35" t="str">
        <f>IFERROR(ROUND(S35*(R35/$AV35)/VLOOKUP(Q35,职业!$A$3:$E$16,4,FALSE),0),"")</f>
        <v/>
      </c>
      <c r="AS35">
        <f>IFERROR(ROUND(X35*(U35/$AW35)/VLOOKUP(T35,商品!$A$4:$C$60,3,FALSE),0),"")</f>
        <v>30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27</v>
      </c>
      <c r="AW35">
        <f t="shared" si="14"/>
        <v>1</v>
      </c>
    </row>
    <row r="36" spans="1:49" ht="20" customHeight="1" x14ac:dyDescent="0.3">
      <c r="A36" s="18" t="s">
        <v>296</v>
      </c>
      <c r="C36" s="18">
        <v>4</v>
      </c>
      <c r="D36" s="21" t="s">
        <v>292</v>
      </c>
      <c r="E36" s="21" t="s">
        <v>225</v>
      </c>
      <c r="F36" s="1" t="s">
        <v>150</v>
      </c>
      <c r="G36" s="1">
        <v>10</v>
      </c>
      <c r="L36" s="18">
        <f>IFERROR(VLOOKUP($D36&amp;$C36,生产方式定位!$A$2:$E$38,2,FALSE)+VLOOKUP($E36&amp;$C36,生产方式定位!$F$3:$J$38,2,FALSE),0)</f>
        <v>1250</v>
      </c>
      <c r="M36" s="1" t="s">
        <v>208</v>
      </c>
      <c r="N36" s="1">
        <v>-20</v>
      </c>
      <c r="O36" s="1" t="s">
        <v>201</v>
      </c>
      <c r="P36" s="1">
        <v>9</v>
      </c>
      <c r="S36" s="18">
        <f>IFERROR(VLOOKUP($D36&amp;$C36,生产方式定位!$A$2:$E$38,3,FALSE)+VLOOKUP($E36&amp;$C36,生产方式定位!$F$3:$J$38,3,FALSE),0)</f>
        <v>80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1197</v>
      </c>
      <c r="Y36" s="24" t="str">
        <f t="shared" si="2"/>
        <v>科学引擎*16</v>
      </c>
      <c r="Z36" s="34" t="str">
        <f t="shared" si="3"/>
        <v>劳工*-2496,工程师*374</v>
      </c>
      <c r="AA36" s="34" t="str">
        <f t="shared" si="0"/>
        <v>饮品*40</v>
      </c>
      <c r="AB36" s="25" t="str">
        <f t="shared" si="4"/>
        <v>-4%</v>
      </c>
      <c r="AC36" s="1">
        <f t="shared" si="15"/>
        <v>-133</v>
      </c>
      <c r="AD36" s="36">
        <f t="shared" si="1"/>
        <v>4</v>
      </c>
      <c r="AE36" t="str">
        <f t="shared" si="5"/>
        <v>科学引擎*16</v>
      </c>
      <c r="AF36" t="str">
        <f t="shared" si="6"/>
        <v/>
      </c>
      <c r="AG36" t="str">
        <f t="shared" si="7"/>
        <v>劳工*-2496</v>
      </c>
      <c r="AH36" t="str">
        <f t="shared" si="8"/>
        <v>工程师*374</v>
      </c>
      <c r="AI36" t="str">
        <f t="shared" si="9"/>
        <v/>
      </c>
      <c r="AJ36" t="str">
        <f t="shared" si="10"/>
        <v>饮品*40</v>
      </c>
      <c r="AK36" t="str">
        <f t="shared" si="11"/>
        <v/>
      </c>
      <c r="AL36">
        <f>IFERROR(ROUND(L36*(G36/$AU36)/VLOOKUP(F36,商品!$A$4:$C$60,3,FALSE),0),"")</f>
        <v>16</v>
      </c>
      <c r="AM36" t="str">
        <f>IFERROR(ROUND(L36*(I36/$AU36)/VLOOKUP(H36,商品!$A$4:$C$60,3,FALSE),0),"")</f>
        <v/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-2496</v>
      </c>
      <c r="AQ36">
        <f>IFERROR(ROUND(S36*(P36/$AV36)/VLOOKUP(O36,职业!$A$3:$E$16,4,FALSE),0),"")</f>
        <v>374</v>
      </c>
      <c r="AR36" t="str">
        <f>IFERROR(ROUND(S36*(R36/$AV36)/VLOOKUP(Q36,职业!$A$3:$E$16,4,FALSE),0),"")</f>
        <v/>
      </c>
      <c r="AS36">
        <f>IFERROR(ROUND(X36*(U36/$AW36)/VLOOKUP(T36,商品!$A$4:$C$60,3,FALSE),0),"")</f>
        <v>40</v>
      </c>
      <c r="AT36" t="str">
        <f>IFERROR(ROUND(X36*(W36/$AW36)/VLOOKUP(V36,商品!$A$4:$C$60,3,FALSE),0),"")</f>
        <v/>
      </c>
      <c r="AU36">
        <f t="shared" si="12"/>
        <v>10</v>
      </c>
      <c r="AV36">
        <f t="shared" si="13"/>
        <v>29</v>
      </c>
      <c r="AW36">
        <f t="shared" si="14"/>
        <v>1</v>
      </c>
    </row>
    <row r="37" spans="1:49" ht="20" customHeight="1" x14ac:dyDescent="0.3">
      <c r="A37" s="18" t="s">
        <v>296</v>
      </c>
      <c r="C37" s="18">
        <v>5</v>
      </c>
      <c r="D37" s="21" t="s">
        <v>292</v>
      </c>
      <c r="E37" s="21" t="s">
        <v>225</v>
      </c>
      <c r="F37" s="1" t="s">
        <v>150</v>
      </c>
      <c r="G37" s="1">
        <v>10</v>
      </c>
      <c r="H37" s="1" t="s">
        <v>151</v>
      </c>
      <c r="I37" s="1">
        <v>7</v>
      </c>
      <c r="L37" s="18">
        <f>IFERROR(VLOOKUP($D37&amp;$C37,生产方式定位!$A$2:$E$38,2,FALSE)+VLOOKUP($E37&amp;$C37,生产方式定位!$F$3:$J$38,2,FALSE),0)</f>
        <v>1500</v>
      </c>
      <c r="M37" s="1" t="s">
        <v>208</v>
      </c>
      <c r="N37" s="1">
        <v>-20</v>
      </c>
      <c r="O37" s="1" t="s">
        <v>201</v>
      </c>
      <c r="P37" s="1">
        <v>11</v>
      </c>
      <c r="S37" s="18">
        <f>IFERROR(VLOOKUP($D37&amp;$C37,生产方式定位!$A$2:$E$38,3,FALSE)+VLOOKUP($E37&amp;$C37,生产方式定位!$F$3:$J$38,3,FALSE),0)</f>
        <v>100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1760</v>
      </c>
      <c r="Y37" s="24" t="str">
        <f t="shared" si="2"/>
        <v>科学引擎*11,魔导引擎*8</v>
      </c>
      <c r="Z37" s="34" t="str">
        <f t="shared" si="3"/>
        <v>劳工*-2919,工程师*535</v>
      </c>
      <c r="AA37" s="34" t="str">
        <f t="shared" si="0"/>
        <v>饮品*59</v>
      </c>
      <c r="AB37" s="25" t="str">
        <f t="shared" si="4"/>
        <v>17%</v>
      </c>
      <c r="AC37" s="1">
        <f t="shared" si="15"/>
        <v>160</v>
      </c>
      <c r="AD37" s="36">
        <f t="shared" si="1"/>
        <v>5</v>
      </c>
      <c r="AE37" t="str">
        <f t="shared" si="5"/>
        <v>科学引擎*11</v>
      </c>
      <c r="AF37" t="str">
        <f t="shared" si="6"/>
        <v>魔导引擎*8</v>
      </c>
      <c r="AG37" t="str">
        <f t="shared" si="7"/>
        <v>劳工*-2919</v>
      </c>
      <c r="AH37" t="str">
        <f t="shared" si="8"/>
        <v>工程师*535</v>
      </c>
      <c r="AI37" t="str">
        <f t="shared" si="9"/>
        <v/>
      </c>
      <c r="AJ37" t="str">
        <f t="shared" si="10"/>
        <v>饮品*59</v>
      </c>
      <c r="AK37" t="str">
        <f t="shared" si="11"/>
        <v/>
      </c>
      <c r="AL37">
        <f>IFERROR(ROUND(L37*(G37/$AU37)/VLOOKUP(F37,商品!$A$4:$C$60,3,FALSE),0),"")</f>
        <v>11</v>
      </c>
      <c r="AM37">
        <f>IFERROR(ROUND(L37*(I37/$AU37)/VLOOKUP(H37,商品!$A$4:$C$60,3,FALSE),0),"")</f>
        <v>8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-2919</v>
      </c>
      <c r="AQ37">
        <f>IFERROR(ROUND(S37*(P37/$AV37)/VLOOKUP(O37,职业!$A$3:$E$16,4,FALSE),0),"")</f>
        <v>535</v>
      </c>
      <c r="AR37" t="str">
        <f>IFERROR(ROUND(S37*(R37/$AV37)/VLOOKUP(Q37,职业!$A$3:$E$16,4,FALSE),0),"")</f>
        <v/>
      </c>
      <c r="AS37">
        <f>IFERROR(ROUND(X37*(U37/$AW37)/VLOOKUP(T37,商品!$A$4:$C$60,3,FALSE),0),"")</f>
        <v>59</v>
      </c>
      <c r="AT37" t="str">
        <f>IFERROR(ROUND(X37*(W37/$AW37)/VLOOKUP(V37,商品!$A$4:$C$60,3,FALSE),0),"")</f>
        <v/>
      </c>
      <c r="AU37">
        <f t="shared" si="12"/>
        <v>17</v>
      </c>
      <c r="AV37">
        <f t="shared" si="13"/>
        <v>31</v>
      </c>
      <c r="AW37">
        <f t="shared" si="14"/>
        <v>1</v>
      </c>
    </row>
    <row r="38" spans="1:49" ht="20" customHeight="1" x14ac:dyDescent="0.3">
      <c r="A38" s="5" t="s">
        <v>296</v>
      </c>
      <c r="C38" s="5">
        <v>1</v>
      </c>
      <c r="D38" s="21" t="s">
        <v>292</v>
      </c>
      <c r="E38" s="21" t="s">
        <v>225</v>
      </c>
      <c r="L38" s="5">
        <f>IFERROR(VLOOKUP($D38&amp;$C38,生产方式定位!$A$2:$E$38,2,FALSE)+VLOOKUP($E38&amp;$C38,生产方式定位!$F$3:$J$38,2,FALSE),0)</f>
        <v>0</v>
      </c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20" customHeight="1" x14ac:dyDescent="0.3">
      <c r="A39" s="5" t="s">
        <v>296</v>
      </c>
      <c r="C39" s="5">
        <v>2</v>
      </c>
      <c r="D39" s="21" t="s">
        <v>292</v>
      </c>
      <c r="E39" s="21" t="s">
        <v>225</v>
      </c>
      <c r="F39" s="1" t="s">
        <v>147</v>
      </c>
      <c r="G39" s="1">
        <v>10</v>
      </c>
      <c r="L39" s="5">
        <f>IFERROR(VLOOKUP($D39&amp;$C39,生产方式定位!$A$2:$E$38,2,FALSE)+VLOOKUP($E39&amp;$C39,生产方式定位!$F$3:$J$38,2,FALSE),0)</f>
        <v>750</v>
      </c>
      <c r="M39" s="1" t="s">
        <v>208</v>
      </c>
      <c r="N39" s="1">
        <v>-20</v>
      </c>
      <c r="O39" s="1" t="s">
        <v>202</v>
      </c>
      <c r="P39" s="1">
        <v>5</v>
      </c>
      <c r="S39" s="5">
        <f>IFERROR(VLOOKUP($D39&amp;$C39,生产方式定位!$A$2:$E$38,3,FALSE)+VLOOKUP($E39&amp;$C39,生产方式定位!$F$3:$J$38,3,FALSE),0)</f>
        <v>40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632</v>
      </c>
      <c r="Y39" s="24" t="str">
        <f t="shared" si="2"/>
        <v>魔偶*19</v>
      </c>
      <c r="Z39" s="34" t="str">
        <f t="shared" si="3"/>
        <v>劳工*-1448,法士*90</v>
      </c>
      <c r="AA39" s="34" t="str">
        <f t="shared" si="0"/>
        <v>饮品*21</v>
      </c>
      <c r="AB39" s="25" t="str">
        <f t="shared" si="4"/>
        <v>-16%</v>
      </c>
      <c r="AC39" s="1">
        <f t="shared" si="15"/>
        <v>-158</v>
      </c>
      <c r="AD39" s="35">
        <f t="shared" si="1"/>
        <v>2</v>
      </c>
      <c r="AE39" t="str">
        <f t="shared" si="5"/>
        <v>魔偶*19</v>
      </c>
      <c r="AF39" t="str">
        <f t="shared" si="6"/>
        <v/>
      </c>
      <c r="AG39" t="str">
        <f t="shared" si="7"/>
        <v>劳工*-1448</v>
      </c>
      <c r="AH39" t="str">
        <f t="shared" si="8"/>
        <v>法士*90</v>
      </c>
      <c r="AI39" t="str">
        <f t="shared" si="9"/>
        <v/>
      </c>
      <c r="AJ39" t="str">
        <f t="shared" si="10"/>
        <v>饮品*21</v>
      </c>
      <c r="AK39" t="str">
        <f t="shared" si="11"/>
        <v/>
      </c>
      <c r="AL39">
        <f>IFERROR(ROUND(L39*(G39/$AU39)/VLOOKUP(F39,商品!$A$4:$C$60,3,FALSE),0),"")</f>
        <v>19</v>
      </c>
      <c r="AM39" t="str">
        <f>IFERROR(ROUND(L39*(I39/$AU39)/VLOOKUP(H39,商品!$A$4:$C$60,3,FALSE),0),"")</f>
        <v/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-1448</v>
      </c>
      <c r="AQ39">
        <f>IFERROR(ROUND(S39*(P39/$AV39)/VLOOKUP(O39,职业!$A$3:$E$16,4,FALSE),0),"")</f>
        <v>90</v>
      </c>
      <c r="AR39" t="str">
        <f>IFERROR(ROUND(S39*(R39/$AV39)/VLOOKUP(Q39,职业!$A$3:$E$16,4,FALSE),0),"")</f>
        <v/>
      </c>
      <c r="AS39">
        <f>IFERROR(ROUND(X39*(U39/$AW39)/VLOOKUP(T39,商品!$A$4:$C$60,3,FALSE),0),"")</f>
        <v>21</v>
      </c>
      <c r="AT39" t="str">
        <f>IFERROR(ROUND(X39*(W39/$AW39)/VLOOKUP(V39,商品!$A$4:$C$60,3,FALSE),0),"")</f>
        <v/>
      </c>
      <c r="AU39">
        <f t="shared" si="12"/>
        <v>10</v>
      </c>
      <c r="AV39">
        <f t="shared" si="13"/>
        <v>25</v>
      </c>
      <c r="AW39">
        <f t="shared" si="14"/>
        <v>1</v>
      </c>
    </row>
    <row r="40" spans="1:49" ht="20" customHeight="1" x14ac:dyDescent="0.3">
      <c r="A40" s="5" t="s">
        <v>296</v>
      </c>
      <c r="C40" s="5">
        <v>3</v>
      </c>
      <c r="D40" s="21" t="s">
        <v>292</v>
      </c>
      <c r="E40" s="21" t="s">
        <v>225</v>
      </c>
      <c r="F40" s="1" t="s">
        <v>125</v>
      </c>
      <c r="G40" s="1">
        <v>10</v>
      </c>
      <c r="L40" s="5">
        <f>IFERROR(VLOOKUP($D40&amp;$C40,生产方式定位!$A$2:$E$38,2,FALSE)+VLOOKUP($E40&amp;$C40,生产方式定位!$F$3:$J$38,2,FALSE),0)</f>
        <v>1000</v>
      </c>
      <c r="M40" s="1" t="s">
        <v>208</v>
      </c>
      <c r="N40" s="1">
        <v>-20</v>
      </c>
      <c r="O40" s="1" t="s">
        <v>202</v>
      </c>
      <c r="P40" s="1">
        <v>7</v>
      </c>
      <c r="S40" s="5">
        <f>IFERROR(VLOOKUP($D40&amp;$C40,生产方式定位!$A$2:$E$38,3,FALSE)+VLOOKUP($E40&amp;$C40,生产方式定位!$F$3:$J$38,3,FALSE),0)</f>
        <v>60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901</v>
      </c>
      <c r="Y40" s="24" t="str">
        <f t="shared" si="2"/>
        <v>泽洛*20</v>
      </c>
      <c r="Z40" s="34" t="str">
        <f t="shared" si="3"/>
        <v>劳工*-2011,法士*176</v>
      </c>
      <c r="AA40" s="34" t="str">
        <f t="shared" si="0"/>
        <v>饮品*30</v>
      </c>
      <c r="AB40" s="25" t="str">
        <f t="shared" si="4"/>
        <v>-10%</v>
      </c>
      <c r="AC40" s="1">
        <f t="shared" si="15"/>
        <v>-159</v>
      </c>
      <c r="AD40" s="35">
        <f t="shared" si="1"/>
        <v>3</v>
      </c>
      <c r="AE40" t="str">
        <f t="shared" si="5"/>
        <v>泽洛*20</v>
      </c>
      <c r="AF40" t="str">
        <f t="shared" si="6"/>
        <v/>
      </c>
      <c r="AG40" t="str">
        <f t="shared" si="7"/>
        <v>劳工*-2011</v>
      </c>
      <c r="AH40" t="str">
        <f t="shared" si="8"/>
        <v>法士*176</v>
      </c>
      <c r="AI40" t="str">
        <f t="shared" si="9"/>
        <v/>
      </c>
      <c r="AJ40" t="str">
        <f t="shared" si="10"/>
        <v>饮品*30</v>
      </c>
      <c r="AK40" t="str">
        <f t="shared" si="11"/>
        <v/>
      </c>
      <c r="AL40">
        <f>IFERROR(ROUND(L40*(G40/$AU40)/VLOOKUP(F40,商品!$A$4:$C$60,3,FALSE),0),"")</f>
        <v>20</v>
      </c>
      <c r="AM40" t="str">
        <f>IFERROR(ROUND(L40*(I40/$AU40)/VLOOKUP(H40,商品!$A$4:$C$60,3,FALSE),0),"")</f>
        <v/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-2011</v>
      </c>
      <c r="AQ40">
        <f>IFERROR(ROUND(S40*(P40/$AV40)/VLOOKUP(O40,职业!$A$3:$E$16,4,FALSE),0),"")</f>
        <v>176</v>
      </c>
      <c r="AR40" t="str">
        <f>IFERROR(ROUND(S40*(R40/$AV40)/VLOOKUP(Q40,职业!$A$3:$E$16,4,FALSE),0),"")</f>
        <v/>
      </c>
      <c r="AS40">
        <f>IFERROR(ROUND(X40*(U40/$AW40)/VLOOKUP(T40,商品!$A$4:$C$60,3,FALSE),0),"")</f>
        <v>30</v>
      </c>
      <c r="AT40" t="str">
        <f>IFERROR(ROUND(X40*(W40/$AW40)/VLOOKUP(V40,商品!$A$4:$C$60,3,FALSE),0),"")</f>
        <v/>
      </c>
      <c r="AU40">
        <f t="shared" si="12"/>
        <v>10</v>
      </c>
      <c r="AV40">
        <f t="shared" si="13"/>
        <v>27</v>
      </c>
      <c r="AW40">
        <f t="shared" si="14"/>
        <v>1</v>
      </c>
    </row>
    <row r="41" spans="1:49" ht="20" customHeight="1" x14ac:dyDescent="0.3">
      <c r="A41" s="5" t="s">
        <v>296</v>
      </c>
      <c r="C41" s="5">
        <v>4</v>
      </c>
      <c r="D41" s="21" t="s">
        <v>292</v>
      </c>
      <c r="E41" s="21" t="s">
        <v>225</v>
      </c>
      <c r="F41" s="1" t="s">
        <v>151</v>
      </c>
      <c r="G41" s="1">
        <v>10</v>
      </c>
      <c r="L41" s="5">
        <f>IFERROR(VLOOKUP($D41&amp;$C41,生产方式定位!$A$2:$E$38,2,FALSE)+VLOOKUP($E41&amp;$C41,生产方式定位!$F$3:$J$38,2,FALSE),0)</f>
        <v>1250</v>
      </c>
      <c r="M41" s="1" t="s">
        <v>208</v>
      </c>
      <c r="N41" s="1">
        <v>-20</v>
      </c>
      <c r="O41" s="1" t="s">
        <v>202</v>
      </c>
      <c r="P41" s="1">
        <v>9</v>
      </c>
      <c r="S41" s="5">
        <f>IFERROR(VLOOKUP($D41&amp;$C41,生产方式定位!$A$2:$E$38,3,FALSE)+VLOOKUP($E41&amp;$C41,生产方式定位!$F$3:$J$38,3,FALSE),0)</f>
        <v>80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1197</v>
      </c>
      <c r="Y41" s="24" t="str">
        <f t="shared" si="2"/>
        <v>魔导引擎*16</v>
      </c>
      <c r="Z41" s="34" t="str">
        <f t="shared" si="3"/>
        <v>劳工*-2496,法士*281</v>
      </c>
      <c r="AA41" s="34" t="str">
        <f t="shared" si="0"/>
        <v>饮品*40</v>
      </c>
      <c r="AB41" s="25" t="str">
        <f t="shared" si="4"/>
        <v>-4%</v>
      </c>
      <c r="AC41" s="1">
        <f t="shared" si="15"/>
        <v>-133</v>
      </c>
      <c r="AD41" s="35">
        <f t="shared" si="1"/>
        <v>4</v>
      </c>
      <c r="AE41" t="str">
        <f t="shared" si="5"/>
        <v>魔导引擎*16</v>
      </c>
      <c r="AF41" t="str">
        <f t="shared" si="6"/>
        <v/>
      </c>
      <c r="AG41" t="str">
        <f t="shared" si="7"/>
        <v>劳工*-2496</v>
      </c>
      <c r="AH41" t="str">
        <f t="shared" si="8"/>
        <v>法士*281</v>
      </c>
      <c r="AI41" t="str">
        <f t="shared" si="9"/>
        <v/>
      </c>
      <c r="AJ41" t="str">
        <f t="shared" si="10"/>
        <v>饮品*40</v>
      </c>
      <c r="AK41" t="str">
        <f t="shared" si="11"/>
        <v/>
      </c>
      <c r="AL41">
        <f>IFERROR(ROUND(L41*(G41/$AU41)/VLOOKUP(F41,商品!$A$4:$C$60,3,FALSE),0),"")</f>
        <v>16</v>
      </c>
      <c r="AM41" t="str">
        <f>IFERROR(ROUND(L41*(I41/$AU41)/VLOOKUP(H41,商品!$A$4:$C$60,3,FALSE),0),"")</f>
        <v/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-2496</v>
      </c>
      <c r="AQ41">
        <f>IFERROR(ROUND(S41*(P41/$AV41)/VLOOKUP(O41,职业!$A$3:$E$16,4,FALSE),0),"")</f>
        <v>281</v>
      </c>
      <c r="AR41" t="str">
        <f>IFERROR(ROUND(S41*(R41/$AV41)/VLOOKUP(Q41,职业!$A$3:$E$16,4,FALSE),0),"")</f>
        <v/>
      </c>
      <c r="AS41">
        <f>IFERROR(ROUND(X41*(U41/$AW41)/VLOOKUP(T41,商品!$A$4:$C$60,3,FALSE),0),"")</f>
        <v>40</v>
      </c>
      <c r="AT41" t="str">
        <f>IFERROR(ROUND(X41*(W41/$AW41)/VLOOKUP(V41,商品!$A$4:$C$60,3,FALSE),0),"")</f>
        <v/>
      </c>
      <c r="AU41">
        <f t="shared" si="12"/>
        <v>10</v>
      </c>
      <c r="AV41">
        <f t="shared" si="13"/>
        <v>29</v>
      </c>
      <c r="AW41">
        <f t="shared" si="14"/>
        <v>1</v>
      </c>
    </row>
    <row r="42" spans="1:49" ht="20" customHeight="1" x14ac:dyDescent="0.3">
      <c r="A42" s="5" t="s">
        <v>296</v>
      </c>
      <c r="C42" s="5">
        <v>5</v>
      </c>
      <c r="D42" s="21" t="s">
        <v>292</v>
      </c>
      <c r="E42" s="21" t="s">
        <v>225</v>
      </c>
      <c r="F42" s="1" t="s">
        <v>150</v>
      </c>
      <c r="G42" s="1">
        <v>7</v>
      </c>
      <c r="H42" s="1" t="s">
        <v>151</v>
      </c>
      <c r="I42" s="1">
        <v>10</v>
      </c>
      <c r="L42" s="5">
        <f>IFERROR(VLOOKUP($D42&amp;$C42,生产方式定位!$A$2:$E$38,2,FALSE)+VLOOKUP($E42&amp;$C42,生产方式定位!$F$3:$J$38,2,FALSE),0)</f>
        <v>1500</v>
      </c>
      <c r="M42" s="1" t="s">
        <v>208</v>
      </c>
      <c r="N42" s="1">
        <v>-20</v>
      </c>
      <c r="O42" s="1" t="s">
        <v>202</v>
      </c>
      <c r="P42" s="1">
        <v>11</v>
      </c>
      <c r="S42" s="5">
        <f>IFERROR(VLOOKUP($D42&amp;$C42,生产方式定位!$A$2:$E$38,3,FALSE)+VLOOKUP($E42&amp;$C42,生产方式定位!$F$3:$J$38,3,FALSE),0)</f>
        <v>100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1760</v>
      </c>
      <c r="Y42" s="24" t="str">
        <f t="shared" si="2"/>
        <v>科学引擎*8,魔导引擎*11</v>
      </c>
      <c r="Z42" s="34" t="str">
        <f t="shared" si="3"/>
        <v>劳工*-2919,法士*401</v>
      </c>
      <c r="AA42" s="34" t="str">
        <f t="shared" si="0"/>
        <v>饮品*59</v>
      </c>
      <c r="AB42" s="25" t="str">
        <f t="shared" si="4"/>
        <v>17%</v>
      </c>
      <c r="AC42" s="1">
        <f t="shared" si="15"/>
        <v>160</v>
      </c>
      <c r="AD42" s="35">
        <f t="shared" si="1"/>
        <v>5</v>
      </c>
      <c r="AE42" t="str">
        <f t="shared" si="5"/>
        <v>科学引擎*8</v>
      </c>
      <c r="AF42" t="str">
        <f t="shared" si="6"/>
        <v>魔导引擎*11</v>
      </c>
      <c r="AG42" t="str">
        <f t="shared" si="7"/>
        <v>劳工*-2919</v>
      </c>
      <c r="AH42" t="str">
        <f t="shared" si="8"/>
        <v>法士*401</v>
      </c>
      <c r="AI42" t="str">
        <f t="shared" si="9"/>
        <v/>
      </c>
      <c r="AJ42" t="str">
        <f t="shared" si="10"/>
        <v>饮品*59</v>
      </c>
      <c r="AK42" t="str">
        <f t="shared" si="11"/>
        <v/>
      </c>
      <c r="AL42">
        <f>IFERROR(ROUND(L42*(G42/$AU42)/VLOOKUP(F42,商品!$A$4:$C$60,3,FALSE),0),"")</f>
        <v>8</v>
      </c>
      <c r="AM42">
        <f>IFERROR(ROUND(L42*(I42/$AU42)/VLOOKUP(H42,商品!$A$4:$C$60,3,FALSE),0),"")</f>
        <v>11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-2919</v>
      </c>
      <c r="AQ42">
        <f>IFERROR(ROUND(S42*(P42/$AV42)/VLOOKUP(O42,职业!$A$3:$E$16,4,FALSE),0),"")</f>
        <v>401</v>
      </c>
      <c r="AR42" t="str">
        <f>IFERROR(ROUND(S42*(R42/$AV42)/VLOOKUP(Q42,职业!$A$3:$E$16,4,FALSE),0),"")</f>
        <v/>
      </c>
      <c r="AS42">
        <f>IFERROR(ROUND(X42*(U42/$AW42)/VLOOKUP(T42,商品!$A$4:$C$60,3,FALSE),0),"")</f>
        <v>59</v>
      </c>
      <c r="AT42" t="str">
        <f>IFERROR(ROUND(X42*(W42/$AW42)/VLOOKUP(V42,商品!$A$4:$C$60,3,FALSE),0),"")</f>
        <v/>
      </c>
      <c r="AU42">
        <f t="shared" si="12"/>
        <v>17</v>
      </c>
      <c r="AV42">
        <f t="shared" si="13"/>
        <v>31</v>
      </c>
      <c r="AW42">
        <f t="shared" si="14"/>
        <v>1</v>
      </c>
    </row>
    <row r="43" spans="1:49" ht="20" customHeight="1" x14ac:dyDescent="0.3">
      <c r="A43" s="18" t="s">
        <v>297</v>
      </c>
      <c r="C43" s="18">
        <v>1</v>
      </c>
      <c r="D43" s="21" t="s">
        <v>292</v>
      </c>
      <c r="E43" s="21" t="s">
        <v>226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20" customHeight="1" x14ac:dyDescent="0.3">
      <c r="A44" s="18" t="s">
        <v>297</v>
      </c>
      <c r="C44" s="18">
        <v>2</v>
      </c>
      <c r="D44" s="21" t="s">
        <v>292</v>
      </c>
      <c r="E44" s="21" t="s">
        <v>226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20" customHeight="1" x14ac:dyDescent="0.3">
      <c r="A45" s="18" t="s">
        <v>297</v>
      </c>
      <c r="C45" s="18">
        <v>3</v>
      </c>
      <c r="D45" s="21" t="s">
        <v>292</v>
      </c>
      <c r="E45" s="21" t="s">
        <v>226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20" customHeight="1" x14ac:dyDescent="0.3">
      <c r="A46" s="18" t="s">
        <v>297</v>
      </c>
      <c r="C46" s="18">
        <v>4</v>
      </c>
      <c r="D46" s="21" t="s">
        <v>292</v>
      </c>
      <c r="E46" s="21" t="s">
        <v>226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20" customHeight="1" x14ac:dyDescent="0.3">
      <c r="A47" s="18" t="s">
        <v>297</v>
      </c>
      <c r="C47" s="18">
        <v>5</v>
      </c>
      <c r="D47" s="21" t="s">
        <v>292</v>
      </c>
      <c r="E47" s="21" t="s">
        <v>226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20" customHeight="1" x14ac:dyDescent="0.3">
      <c r="A48" s="18" t="s">
        <v>297</v>
      </c>
      <c r="C48" s="18">
        <v>6</v>
      </c>
      <c r="D48" s="21" t="s">
        <v>292</v>
      </c>
      <c r="E48" s="21" t="s">
        <v>226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20" customHeight="1" x14ac:dyDescent="0.3">
      <c r="A49" s="18" t="s">
        <v>297</v>
      </c>
      <c r="C49" s="18">
        <v>7</v>
      </c>
      <c r="D49" s="21" t="s">
        <v>292</v>
      </c>
      <c r="E49" s="21" t="s">
        <v>226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20" customHeight="1" x14ac:dyDescent="0.3">
      <c r="A50" s="18" t="s">
        <v>297</v>
      </c>
      <c r="C50" s="18">
        <v>8</v>
      </c>
      <c r="D50" s="21" t="s">
        <v>292</v>
      </c>
      <c r="E50" s="21" t="s">
        <v>226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20" customHeight="1" x14ac:dyDescent="0.3">
      <c r="A51" s="5" t="s">
        <v>299</v>
      </c>
      <c r="C51" s="5">
        <v>1</v>
      </c>
      <c r="D51" s="21" t="s">
        <v>222</v>
      </c>
      <c r="E51" s="21" t="s">
        <v>224</v>
      </c>
      <c r="F51" s="1" t="s">
        <v>114</v>
      </c>
      <c r="G51" s="1">
        <v>10</v>
      </c>
      <c r="L51" s="5">
        <f>IFERROR(VLOOKUP($D51&amp;$C51,生产方式定位!$A$2:$E$38,2,FALSE)+VLOOKUP($E51&amp;$C51,生产方式定位!$F$3:$J$38,2,FALSE),0)</f>
        <v>600</v>
      </c>
      <c r="M51" s="1" t="s">
        <v>208</v>
      </c>
      <c r="N51" s="1">
        <v>100</v>
      </c>
      <c r="S51" s="5">
        <f>IFERROR(VLOOKUP($D51&amp;$C51,生产方式定位!$A$2:$E$38,3,FALSE)+VLOOKUP($E51&amp;$C51,生产方式定位!$F$3:$J$38,3,FALSE),0)</f>
        <v>150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788</v>
      </c>
      <c r="Y51" s="24" t="str">
        <f t="shared" si="2"/>
        <v>木材*30</v>
      </c>
      <c r="Z51" s="34" t="str">
        <f t="shared" si="3"/>
        <v>劳工*6787</v>
      </c>
      <c r="AA51" s="34" t="str">
        <f t="shared" si="0"/>
        <v>纸张*20</v>
      </c>
      <c r="AB51" s="25" t="str">
        <f t="shared" si="4"/>
        <v>31%</v>
      </c>
      <c r="AC51" s="1">
        <f t="shared" si="15"/>
        <v>38</v>
      </c>
      <c r="AD51" s="35">
        <f t="shared" si="1"/>
        <v>1</v>
      </c>
      <c r="AE51" t="str">
        <f t="shared" si="5"/>
        <v>木材*30</v>
      </c>
      <c r="AF51" t="str">
        <f t="shared" si="6"/>
        <v/>
      </c>
      <c r="AG51" t="str">
        <f t="shared" si="7"/>
        <v>劳工*6787</v>
      </c>
      <c r="AH51" t="str">
        <f t="shared" si="8"/>
        <v/>
      </c>
      <c r="AI51" t="str">
        <f t="shared" si="9"/>
        <v/>
      </c>
      <c r="AJ51" t="str">
        <f t="shared" si="10"/>
        <v>纸张*20</v>
      </c>
      <c r="AK51" t="str">
        <f t="shared" si="11"/>
        <v/>
      </c>
      <c r="AL51">
        <f>IFERROR(ROUND(L51*(G51/$AU51)/VLOOKUP(F51,商品!$A$4:$C$60,3,FALSE),0),"")</f>
        <v>30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0</v>
      </c>
      <c r="AO51">
        <f>IFERROR(ROUND(L51*(K51/$AU51)/VLOOKUP("运力",商品!$A$4:$C$60,3,FALSE),0),0)</f>
        <v>0</v>
      </c>
      <c r="AP51">
        <f>IFERROR(ROUND(S51*(N51/$AV51)/VLOOKUP(M51,职业!$A$3:$E$16,4,FALSE),0),"")</f>
        <v>6787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20</v>
      </c>
      <c r="AT51" t="str">
        <f>IFERROR(ROUND(X51*(W51/$AW51)/VLOOKUP(V51,商品!$A$4:$C$60,3,FALSE),0),"")</f>
        <v/>
      </c>
      <c r="AU51">
        <f t="shared" si="12"/>
        <v>10</v>
      </c>
      <c r="AV51">
        <f t="shared" si="13"/>
        <v>100</v>
      </c>
      <c r="AW51">
        <f t="shared" si="14"/>
        <v>1</v>
      </c>
    </row>
    <row r="52" spans="1:49" ht="20" customHeight="1" x14ac:dyDescent="0.3">
      <c r="A52" s="5" t="s">
        <v>299</v>
      </c>
      <c r="C52" s="5">
        <v>2</v>
      </c>
      <c r="D52" s="21" t="s">
        <v>222</v>
      </c>
      <c r="E52" s="21" t="s">
        <v>224</v>
      </c>
      <c r="F52" s="1" t="s">
        <v>114</v>
      </c>
      <c r="G52" s="1">
        <v>10</v>
      </c>
      <c r="L52" s="5">
        <f>IFERROR(VLOOKUP($D52&amp;$C52,生产方式定位!$A$2:$E$38,2,FALSE)+VLOOKUP($E52&amp;$C52,生产方式定位!$F$3:$J$38,2,FALSE),0)</f>
        <v>1200</v>
      </c>
      <c r="M52" s="1" t="s">
        <v>208</v>
      </c>
      <c r="N52" s="1">
        <v>100</v>
      </c>
      <c r="O52" s="1" t="s">
        <v>201</v>
      </c>
      <c r="P52" s="1">
        <v>5</v>
      </c>
      <c r="S52" s="5">
        <f>IFERROR(VLOOKUP($D52&amp;$C52,生产方式定位!$A$2:$E$38,3,FALSE)+VLOOKUP($E52&amp;$C52,生产方式定位!$F$3:$J$38,3,FALSE),0)</f>
        <v>140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1390</v>
      </c>
      <c r="Y52" s="24" t="str">
        <f t="shared" si="2"/>
        <v>木材*60</v>
      </c>
      <c r="Z52" s="34" t="str">
        <f t="shared" si="3"/>
        <v>劳工*6033,工程师*101</v>
      </c>
      <c r="AA52" s="34" t="str">
        <f t="shared" si="0"/>
        <v>纸张*35</v>
      </c>
      <c r="AB52" s="25" t="str">
        <f t="shared" si="4"/>
        <v>16%</v>
      </c>
      <c r="AC52" s="1">
        <f t="shared" si="15"/>
        <v>50</v>
      </c>
      <c r="AD52" s="35">
        <f t="shared" si="1"/>
        <v>2</v>
      </c>
      <c r="AE52" t="str">
        <f t="shared" si="5"/>
        <v>木材*60</v>
      </c>
      <c r="AF52" t="str">
        <f t="shared" si="6"/>
        <v/>
      </c>
      <c r="AG52" t="str">
        <f t="shared" si="7"/>
        <v>劳工*6033</v>
      </c>
      <c r="AH52" t="str">
        <f t="shared" si="8"/>
        <v>工程师*101</v>
      </c>
      <c r="AI52" t="str">
        <f t="shared" si="9"/>
        <v/>
      </c>
      <c r="AJ52" t="str">
        <f t="shared" si="10"/>
        <v>纸张*35</v>
      </c>
      <c r="AK52" t="str">
        <f t="shared" si="11"/>
        <v/>
      </c>
      <c r="AL52">
        <f>IFERROR(ROUND(L52*(G52/$AU52)/VLOOKUP(F52,商品!$A$4:$C$60,3,FALSE),0),"")</f>
        <v>60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6033</v>
      </c>
      <c r="AQ52">
        <f>IFERROR(ROUND(S52*(P52/$AV52)/VLOOKUP(O52,职业!$A$3:$E$16,4,FALSE),0),"")</f>
        <v>101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35</v>
      </c>
      <c r="AT52" t="str">
        <f>IFERROR(ROUND(X52*(W52/$AW52)/VLOOKUP(V52,商品!$A$4:$C$60,3,FALSE),0),"")</f>
        <v/>
      </c>
      <c r="AU52">
        <f t="shared" si="12"/>
        <v>10</v>
      </c>
      <c r="AV52">
        <f t="shared" si="13"/>
        <v>105</v>
      </c>
      <c r="AW52">
        <f t="shared" si="14"/>
        <v>1</v>
      </c>
    </row>
    <row r="53" spans="1:49" ht="20" customHeight="1" x14ac:dyDescent="0.3">
      <c r="A53" s="5" t="s">
        <v>299</v>
      </c>
      <c r="C53" s="5">
        <v>3</v>
      </c>
      <c r="D53" s="21" t="s">
        <v>222</v>
      </c>
      <c r="E53" s="21" t="s">
        <v>224</v>
      </c>
      <c r="F53" s="1" t="s">
        <v>114</v>
      </c>
      <c r="G53" s="1">
        <v>10</v>
      </c>
      <c r="H53" s="1" t="s">
        <v>116</v>
      </c>
      <c r="I53" s="1">
        <v>5</v>
      </c>
      <c r="L53" s="5">
        <f>IFERROR(VLOOKUP($D53&amp;$C53,生产方式定位!$A$2:$E$38,2,FALSE)+VLOOKUP($E53&amp;$C53,生产方式定位!$F$3:$J$38,2,FALSE),0)</f>
        <v>1425</v>
      </c>
      <c r="M53" s="1" t="s">
        <v>208</v>
      </c>
      <c r="N53" s="1">
        <v>100</v>
      </c>
      <c r="O53" s="1" t="s">
        <v>201</v>
      </c>
      <c r="P53" s="1">
        <v>10</v>
      </c>
      <c r="S53" s="5">
        <f>IFERROR(VLOOKUP($D53&amp;$C53,生产方式定位!$A$2:$E$38,3,FALSE)+VLOOKUP($E53&amp;$C53,生产方式定位!$F$3:$J$38,3,FALSE),0)</f>
        <v>130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1618</v>
      </c>
      <c r="Y53" s="24" t="str">
        <f t="shared" si="2"/>
        <v>木材*48,染料*24</v>
      </c>
      <c r="Z53" s="34" t="str">
        <f t="shared" si="3"/>
        <v>劳工*5348,工程师*178</v>
      </c>
      <c r="AA53" s="34" t="str">
        <f t="shared" si="0"/>
        <v>纸张*40</v>
      </c>
      <c r="AB53" s="25" t="str">
        <f t="shared" si="4"/>
        <v>14%</v>
      </c>
      <c r="AC53" s="1">
        <f t="shared" si="15"/>
        <v>63</v>
      </c>
      <c r="AD53" s="36">
        <f t="shared" si="1"/>
        <v>3</v>
      </c>
      <c r="AE53" t="str">
        <f t="shared" si="5"/>
        <v>木材*48</v>
      </c>
      <c r="AF53" t="str">
        <f t="shared" si="6"/>
        <v>染料*24</v>
      </c>
      <c r="AG53" t="str">
        <f t="shared" si="7"/>
        <v>劳工*5348</v>
      </c>
      <c r="AH53" t="str">
        <f t="shared" si="8"/>
        <v>工程师*178</v>
      </c>
      <c r="AI53" t="str">
        <f t="shared" si="9"/>
        <v/>
      </c>
      <c r="AJ53" t="str">
        <f t="shared" si="10"/>
        <v>纸张*40</v>
      </c>
      <c r="AK53" t="str">
        <f t="shared" si="11"/>
        <v/>
      </c>
      <c r="AL53">
        <f>IFERROR(ROUND(L53*(G53/$AU53)/VLOOKUP(F53,商品!$A$4:$C$60,3,FALSE),0),"")</f>
        <v>48</v>
      </c>
      <c r="AM53">
        <f>IFERROR(ROUND(L53*(I53/$AU53)/VLOOKUP(H53,商品!$A$4:$C$60,3,FALSE),0),"")</f>
        <v>24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5348</v>
      </c>
      <c r="AQ53">
        <f>IFERROR(ROUND(S53*(P53/$AV53)/VLOOKUP(O53,职业!$A$3:$E$16,4,FALSE),0),"")</f>
        <v>178</v>
      </c>
      <c r="AR53" t="str">
        <f>IFERROR(ROUND(S53*(R53/$AV53)/VLOOKUP(Q53,职业!$A$3:$E$16,4,FALSE),0),"")</f>
        <v/>
      </c>
      <c r="AS53">
        <f>IFERROR(ROUND(X53*(U53/$AW53)/VLOOKUP(T53,商品!$A$4:$C$60,3,FALSE),0),"")</f>
        <v>40</v>
      </c>
      <c r="AT53" t="str">
        <f>IFERROR(ROUND(X53*(W53/$AW53)/VLOOKUP(V53,商品!$A$4:$C$60,3,FALSE),0),"")</f>
        <v/>
      </c>
      <c r="AU53">
        <f t="shared" si="12"/>
        <v>15</v>
      </c>
      <c r="AV53">
        <f t="shared" si="13"/>
        <v>110</v>
      </c>
      <c r="AW53">
        <f t="shared" si="14"/>
        <v>1</v>
      </c>
    </row>
    <row r="54" spans="1:49" ht="20" customHeight="1" x14ac:dyDescent="0.3">
      <c r="A54" s="5" t="s">
        <v>299</v>
      </c>
      <c r="C54" s="5">
        <v>4</v>
      </c>
      <c r="D54" s="21" t="s">
        <v>222</v>
      </c>
      <c r="E54" s="21" t="s">
        <v>224</v>
      </c>
      <c r="F54" s="1" t="s">
        <v>114</v>
      </c>
      <c r="G54" s="1">
        <v>10</v>
      </c>
      <c r="H54" s="1" t="s">
        <v>116</v>
      </c>
      <c r="I54" s="1">
        <v>10</v>
      </c>
      <c r="L54" s="5">
        <f>IFERROR(VLOOKUP($D54&amp;$C54,生产方式定位!$A$2:$E$38,2,FALSE)+VLOOKUP($E54&amp;$C54,生产方式定位!$F$3:$J$38,2,FALSE),0)</f>
        <v>1650</v>
      </c>
      <c r="M54" s="1" t="s">
        <v>208</v>
      </c>
      <c r="N54" s="1">
        <v>100</v>
      </c>
      <c r="O54" s="1" t="s">
        <v>201</v>
      </c>
      <c r="P54" s="1">
        <v>15</v>
      </c>
      <c r="S54" s="5">
        <f>IFERROR(VLOOKUP($D54&amp;$C54,生产方式定位!$A$2:$E$38,3,FALSE)+VLOOKUP($E54&amp;$C54,生产方式定位!$F$3:$J$38,3,FALSE),0)</f>
        <v>120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1845</v>
      </c>
      <c r="Y54" s="24" t="str">
        <f t="shared" si="2"/>
        <v>木材*41,染料*41</v>
      </c>
      <c r="Z54" s="34" t="str">
        <f t="shared" si="3"/>
        <v>劳工*4722,工程师*236</v>
      </c>
      <c r="AA54" s="34" t="str">
        <f t="shared" si="0"/>
        <v>纸张*46</v>
      </c>
      <c r="AB54" s="25" t="str">
        <f t="shared" si="4"/>
        <v>12%</v>
      </c>
      <c r="AC54" s="1">
        <f t="shared" si="15"/>
        <v>75</v>
      </c>
      <c r="AD54" s="36">
        <f t="shared" si="1"/>
        <v>4</v>
      </c>
      <c r="AE54" t="str">
        <f t="shared" si="5"/>
        <v>木材*41</v>
      </c>
      <c r="AF54" t="str">
        <f t="shared" si="6"/>
        <v>染料*41</v>
      </c>
      <c r="AG54" t="str">
        <f t="shared" si="7"/>
        <v>劳工*4722</v>
      </c>
      <c r="AH54" t="str">
        <f t="shared" si="8"/>
        <v>工程师*236</v>
      </c>
      <c r="AI54" t="str">
        <f t="shared" si="9"/>
        <v/>
      </c>
      <c r="AJ54" t="str">
        <f t="shared" si="10"/>
        <v>纸张*46</v>
      </c>
      <c r="AK54" t="str">
        <f t="shared" si="11"/>
        <v/>
      </c>
      <c r="AL54">
        <f>IFERROR(ROUND(L54*(G54/$AU54)/VLOOKUP(F54,商品!$A$4:$C$60,3,FALSE),0),"")</f>
        <v>41</v>
      </c>
      <c r="AM54">
        <f>IFERROR(ROUND(L54*(I54/$AU54)/VLOOKUP(H54,商品!$A$4:$C$60,3,FALSE),0),"")</f>
        <v>41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4722</v>
      </c>
      <c r="AQ54">
        <f>IFERROR(ROUND(S54*(P54/$AV54)/VLOOKUP(O54,职业!$A$3:$E$16,4,FALSE),0),"")</f>
        <v>236</v>
      </c>
      <c r="AR54" t="str">
        <f>IFERROR(ROUND(S54*(R54/$AV54)/VLOOKUP(Q54,职业!$A$3:$E$16,4,FALSE),0),"")</f>
        <v/>
      </c>
      <c r="AS54">
        <f>IFERROR(ROUND(X54*(U54/$AW54)/VLOOKUP(T54,商品!$A$4:$C$60,3,FALSE),0),"")</f>
        <v>46</v>
      </c>
      <c r="AT54" t="str">
        <f>IFERROR(ROUND(X54*(W54/$AW54)/VLOOKUP(V54,商品!$A$4:$C$60,3,FALSE),0),"")</f>
        <v/>
      </c>
      <c r="AU54">
        <f t="shared" si="12"/>
        <v>20</v>
      </c>
      <c r="AV54">
        <f t="shared" si="13"/>
        <v>115</v>
      </c>
      <c r="AW54">
        <f t="shared" si="14"/>
        <v>1</v>
      </c>
    </row>
    <row r="55" spans="1:49" ht="20" customHeight="1" x14ac:dyDescent="0.3">
      <c r="A55" s="5" t="s">
        <v>299</v>
      </c>
      <c r="C55" s="5">
        <v>5</v>
      </c>
      <c r="D55" s="21" t="s">
        <v>222</v>
      </c>
      <c r="E55" s="21" t="s">
        <v>224</v>
      </c>
      <c r="F55" s="1" t="s">
        <v>114</v>
      </c>
      <c r="G55" s="1">
        <v>10</v>
      </c>
      <c r="H55" s="1" t="s">
        <v>116</v>
      </c>
      <c r="I55" s="1">
        <v>15</v>
      </c>
      <c r="L55" s="5">
        <f>IFERROR(VLOOKUP($D55&amp;$C55,生产方式定位!$A$2:$E$38,2,FALSE)+VLOOKUP($E55&amp;$C55,生产方式定位!$F$3:$J$38,2,FALSE),0)</f>
        <v>1875</v>
      </c>
      <c r="M55" s="1" t="s">
        <v>208</v>
      </c>
      <c r="N55" s="1">
        <v>100</v>
      </c>
      <c r="O55" s="1" t="s">
        <v>201</v>
      </c>
      <c r="P55" s="1">
        <v>20</v>
      </c>
      <c r="S55" s="5">
        <f>IFERROR(VLOOKUP($D55&amp;$C55,生产方式定位!$A$2:$E$38,3,FALSE)+VLOOKUP($E55&amp;$C55,生产方式定位!$F$3:$J$38,3,FALSE),0)</f>
        <v>110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2073</v>
      </c>
      <c r="Y55" s="24" t="str">
        <f t="shared" si="2"/>
        <v>木材*38,染料*56</v>
      </c>
      <c r="Z55" s="34" t="str">
        <f t="shared" si="3"/>
        <v>劳工*4148,工程师*277</v>
      </c>
      <c r="AA55" s="34" t="str">
        <f t="shared" si="0"/>
        <v>纸张*52</v>
      </c>
      <c r="AB55" s="25" t="str">
        <f t="shared" si="4"/>
        <v>11%</v>
      </c>
      <c r="AC55" s="1">
        <f t="shared" si="15"/>
        <v>88</v>
      </c>
      <c r="AD55" s="36">
        <f t="shared" si="1"/>
        <v>5</v>
      </c>
      <c r="AE55" t="str">
        <f t="shared" si="5"/>
        <v>木材*38</v>
      </c>
      <c r="AF55" t="str">
        <f t="shared" si="6"/>
        <v>染料*56</v>
      </c>
      <c r="AG55" t="str">
        <f t="shared" si="7"/>
        <v>劳工*4148</v>
      </c>
      <c r="AH55" t="str">
        <f t="shared" si="8"/>
        <v>工程师*277</v>
      </c>
      <c r="AI55" t="str">
        <f t="shared" si="9"/>
        <v/>
      </c>
      <c r="AJ55" t="str">
        <f t="shared" si="10"/>
        <v>纸张*52</v>
      </c>
      <c r="AK55" t="str">
        <f t="shared" si="11"/>
        <v/>
      </c>
      <c r="AL55">
        <f>IFERROR(ROUND(L55*(G55/$AU55)/VLOOKUP(F55,商品!$A$4:$C$60,3,FALSE),0),"")</f>
        <v>38</v>
      </c>
      <c r="AM55">
        <f>IFERROR(ROUND(L55*(I55/$AU55)/VLOOKUP(H55,商品!$A$4:$C$60,3,FALSE),0),"")</f>
        <v>56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4148</v>
      </c>
      <c r="AQ55">
        <f>IFERROR(ROUND(S55*(P55/$AV55)/VLOOKUP(O55,职业!$A$3:$E$16,4,FALSE),0),"")</f>
        <v>277</v>
      </c>
      <c r="AR55" t="str">
        <f>IFERROR(ROUND(S55*(R55/$AV55)/VLOOKUP(Q55,职业!$A$3:$E$16,4,FALSE),0),"")</f>
        <v/>
      </c>
      <c r="AS55">
        <f>IFERROR(ROUND(X55*(U55/$AW55)/VLOOKUP(T55,商品!$A$4:$C$60,3,FALSE),0),"")</f>
        <v>52</v>
      </c>
      <c r="AT55" t="str">
        <f>IFERROR(ROUND(X55*(W55/$AW55)/VLOOKUP(V55,商品!$A$4:$C$60,3,FALSE),0),"")</f>
        <v/>
      </c>
      <c r="AU55">
        <f t="shared" si="12"/>
        <v>25</v>
      </c>
      <c r="AV55">
        <f t="shared" si="13"/>
        <v>120</v>
      </c>
      <c r="AW55">
        <f t="shared" si="14"/>
        <v>1</v>
      </c>
    </row>
    <row r="56" spans="1:49" ht="20" customHeight="1" x14ac:dyDescent="0.3">
      <c r="A56" s="18" t="s">
        <v>300</v>
      </c>
      <c r="C56" s="18">
        <v>1</v>
      </c>
      <c r="D56" s="21" t="s">
        <v>240</v>
      </c>
      <c r="E56" s="21" t="s">
        <v>225</v>
      </c>
      <c r="L56" s="18">
        <f>IFERROR(VLOOKUP($D56&amp;$C56,生产方式定位!$A$2:$E$38,2,FALSE)+VLOOKUP($E56&amp;$C56,生产方式定位!$F$3:$J$38,2,FALSE),0)</f>
        <v>1000</v>
      </c>
      <c r="S56" s="18">
        <f>IFERROR(VLOOKUP($D56&amp;$C56,生产方式定位!$A$2:$E$38,3,FALSE)+VLOOKUP($E56&amp;$C56,生产方式定位!$F$3:$J$38,3,FALSE),0)</f>
        <v>40</v>
      </c>
      <c r="X56" s="18">
        <f>IFERROR(VLOOKUP($D56&amp;$C56,生产方式定位!$A$2:$E$38,5,FALSE)+VLOOKUP($E56&amp;$C56,生产方式定位!$F$3:$J$38,5,FALSE),"错误")</f>
        <v>1144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>14%</v>
      </c>
      <c r="AC56" s="1">
        <f t="shared" si="15"/>
        <v>104</v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20" customHeight="1" x14ac:dyDescent="0.3">
      <c r="A57" s="18" t="s">
        <v>300</v>
      </c>
      <c r="C57" s="18">
        <v>2</v>
      </c>
      <c r="D57" s="21" t="s">
        <v>240</v>
      </c>
      <c r="E57" s="21" t="s">
        <v>225</v>
      </c>
      <c r="F57" s="1" t="s">
        <v>146</v>
      </c>
      <c r="G57" s="1">
        <v>10</v>
      </c>
      <c r="L57" s="18">
        <f>IFERROR(VLOOKUP($D57&amp;$C57,生产方式定位!$A$2:$E$38,2,FALSE)+VLOOKUP($E57&amp;$C57,生产方式定位!$F$3:$J$38,2,FALSE),0)</f>
        <v>1850</v>
      </c>
      <c r="M57" s="1" t="s">
        <v>208</v>
      </c>
      <c r="N57" s="1">
        <v>-20</v>
      </c>
      <c r="O57" s="1" t="s">
        <v>201</v>
      </c>
      <c r="P57" s="1">
        <v>20</v>
      </c>
      <c r="S57" s="18">
        <f>IFERROR(VLOOKUP($D57&amp;$C57,生产方式定位!$A$2:$E$38,3,FALSE)+VLOOKUP($E57&amp;$C57,生产方式定位!$F$3:$J$38,3,FALSE),0)</f>
        <v>90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2012</v>
      </c>
      <c r="Y57" s="24" t="str">
        <f t="shared" si="2"/>
        <v>工具*46</v>
      </c>
      <c r="Z57" s="34" t="str">
        <f t="shared" si="3"/>
        <v>劳工*-2036,工程师*679</v>
      </c>
      <c r="AA57" s="34" t="str">
        <f t="shared" si="0"/>
        <v>纸张*50</v>
      </c>
      <c r="AB57" s="25" t="str">
        <f t="shared" si="4"/>
        <v>9%</v>
      </c>
      <c r="AC57" s="1">
        <f t="shared" si="15"/>
        <v>72</v>
      </c>
      <c r="AD57" s="36">
        <f t="shared" si="1"/>
        <v>2</v>
      </c>
      <c r="AE57" t="str">
        <f t="shared" si="5"/>
        <v>工具*46</v>
      </c>
      <c r="AF57" t="str">
        <f t="shared" si="6"/>
        <v/>
      </c>
      <c r="AG57" t="str">
        <f t="shared" si="7"/>
        <v>劳工*-2036</v>
      </c>
      <c r="AH57" t="str">
        <f t="shared" si="8"/>
        <v>工程师*679</v>
      </c>
      <c r="AI57" t="str">
        <f t="shared" si="9"/>
        <v/>
      </c>
      <c r="AJ57" t="str">
        <f t="shared" si="10"/>
        <v>纸张*50</v>
      </c>
      <c r="AK57" t="str">
        <f t="shared" si="11"/>
        <v/>
      </c>
      <c r="AL57">
        <f>IFERROR(ROUND(L57*(G57/$AU57)/VLOOKUP(F57,商品!$A$4:$C$60,3,FALSE),0),"")</f>
        <v>46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-2036</v>
      </c>
      <c r="AQ57">
        <f>IFERROR(ROUND(S57*(P57/$AV57)/VLOOKUP(O57,职业!$A$3:$E$16,4,FALSE),0),"")</f>
        <v>679</v>
      </c>
      <c r="AR57" t="str">
        <f>IFERROR(ROUND(S57*(R57/$AV57)/VLOOKUP(Q57,职业!$A$3:$E$16,4,FALSE),0),"")</f>
        <v/>
      </c>
      <c r="AS57">
        <f>IFERROR(ROUND(X57*(U57/$AW57)/VLOOKUP(T57,商品!$A$4:$C$60,3,FALSE),0),"")</f>
        <v>50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40</v>
      </c>
      <c r="AW57">
        <f t="shared" si="14"/>
        <v>1</v>
      </c>
    </row>
    <row r="58" spans="1:49" ht="20" customHeight="1" x14ac:dyDescent="0.3">
      <c r="A58" s="18" t="s">
        <v>300</v>
      </c>
      <c r="C58" s="18">
        <v>3</v>
      </c>
      <c r="D58" s="21" t="s">
        <v>240</v>
      </c>
      <c r="E58" s="21" t="s">
        <v>225</v>
      </c>
      <c r="F58" s="1" t="s">
        <v>124</v>
      </c>
      <c r="G58" s="1">
        <v>10</v>
      </c>
      <c r="L58" s="18">
        <f>IFERROR(VLOOKUP($D58&amp;$C58,生产方式定位!$A$2:$E$38,2,FALSE)+VLOOKUP($E58&amp;$C58,生产方式定位!$F$3:$J$38,2,FALSE),0)</f>
        <v>2200</v>
      </c>
      <c r="M58" s="1" t="s">
        <v>208</v>
      </c>
      <c r="N58" s="1">
        <v>-20</v>
      </c>
      <c r="O58" s="1" t="s">
        <v>201</v>
      </c>
      <c r="P58" s="1">
        <v>22</v>
      </c>
      <c r="S58" s="18">
        <f>IFERROR(VLOOKUP($D58&amp;$C58,生产方式定位!$A$2:$E$38,3,FALSE)+VLOOKUP($E58&amp;$C58,生产方式定位!$F$3:$J$38,3,FALSE),0)</f>
        <v>120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2539</v>
      </c>
      <c r="Y58" s="24" t="str">
        <f t="shared" si="2"/>
        <v>磁魔素*44</v>
      </c>
      <c r="Z58" s="34" t="str">
        <f t="shared" si="3"/>
        <v>劳工*-2586,工程师*948</v>
      </c>
      <c r="AA58" s="34" t="str">
        <f t="shared" si="0"/>
        <v>纸张*63</v>
      </c>
      <c r="AB58" s="25" t="str">
        <f t="shared" si="4"/>
        <v>15%</v>
      </c>
      <c r="AC58" s="1">
        <f t="shared" si="15"/>
        <v>219</v>
      </c>
      <c r="AD58" s="36">
        <f t="shared" si="1"/>
        <v>3</v>
      </c>
      <c r="AE58" t="str">
        <f t="shared" si="5"/>
        <v>磁魔素*44</v>
      </c>
      <c r="AF58" t="str">
        <f t="shared" si="6"/>
        <v/>
      </c>
      <c r="AG58" t="str">
        <f t="shared" si="7"/>
        <v>劳工*-2586</v>
      </c>
      <c r="AH58" t="str">
        <f t="shared" si="8"/>
        <v>工程师*948</v>
      </c>
      <c r="AI58" t="str">
        <f t="shared" si="9"/>
        <v/>
      </c>
      <c r="AJ58" t="str">
        <f t="shared" si="10"/>
        <v>纸张*63</v>
      </c>
      <c r="AK58" t="str">
        <f t="shared" si="11"/>
        <v/>
      </c>
      <c r="AL58">
        <f>IFERROR(ROUND(L58*(G58/$AU58)/VLOOKUP(F58,商品!$A$4:$C$60,3,FALSE),0),"")</f>
        <v>44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-2586</v>
      </c>
      <c r="AQ58">
        <f>IFERROR(ROUND(S58*(P58/$AV58)/VLOOKUP(O58,职业!$A$3:$E$16,4,FALSE),0),"")</f>
        <v>948</v>
      </c>
      <c r="AR58" t="str">
        <f>IFERROR(ROUND(S58*(R58/$AV58)/VLOOKUP(Q58,职业!$A$3:$E$16,4,FALSE),0),"")</f>
        <v/>
      </c>
      <c r="AS58">
        <f>IFERROR(ROUND(X58*(U58/$AW58)/VLOOKUP(T58,商品!$A$4:$C$60,3,FALSE),0),"")</f>
        <v>63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42</v>
      </c>
      <c r="AW58">
        <f t="shared" si="14"/>
        <v>1</v>
      </c>
    </row>
    <row r="59" spans="1:49" ht="20" customHeight="1" x14ac:dyDescent="0.3">
      <c r="A59" s="18" t="s">
        <v>300</v>
      </c>
      <c r="C59" s="18">
        <v>4</v>
      </c>
      <c r="D59" s="21" t="s">
        <v>240</v>
      </c>
      <c r="E59" s="21" t="s">
        <v>225</v>
      </c>
      <c r="F59" s="1" t="s">
        <v>150</v>
      </c>
      <c r="G59" s="1">
        <v>10</v>
      </c>
      <c r="L59" s="18">
        <f>IFERROR(VLOOKUP($D59&amp;$C59,生产方式定位!$A$2:$E$38,2,FALSE)+VLOOKUP($E59&amp;$C59,生产方式定位!$F$3:$J$38,2,FALSE),0)</f>
        <v>2550</v>
      </c>
      <c r="M59" s="1" t="s">
        <v>208</v>
      </c>
      <c r="N59" s="1">
        <v>-20</v>
      </c>
      <c r="O59" s="1" t="s">
        <v>201</v>
      </c>
      <c r="P59" s="1">
        <v>24</v>
      </c>
      <c r="S59" s="18">
        <f>IFERROR(VLOOKUP($D59&amp;$C59,生产方式定位!$A$2:$E$38,3,FALSE)+VLOOKUP($E59&amp;$C59,生产方式定位!$F$3:$J$38,3,FALSE),0)</f>
        <v>150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3115</v>
      </c>
      <c r="Y59" s="24" t="str">
        <f t="shared" si="2"/>
        <v>科学引擎*32</v>
      </c>
      <c r="Z59" s="34" t="str">
        <f t="shared" si="3"/>
        <v>劳工*-3085,工程师*1234</v>
      </c>
      <c r="AA59" s="34" t="str">
        <f t="shared" si="0"/>
        <v>纸张*78</v>
      </c>
      <c r="AB59" s="25" t="str">
        <f t="shared" si="4"/>
        <v>22%</v>
      </c>
      <c r="AC59" s="1">
        <f t="shared" si="15"/>
        <v>415</v>
      </c>
      <c r="AD59" s="36">
        <f t="shared" si="1"/>
        <v>4</v>
      </c>
      <c r="AE59" t="str">
        <f t="shared" si="5"/>
        <v>科学引擎*32</v>
      </c>
      <c r="AF59" t="str">
        <f t="shared" si="6"/>
        <v/>
      </c>
      <c r="AG59" t="str">
        <f t="shared" si="7"/>
        <v>劳工*-3085</v>
      </c>
      <c r="AH59" t="str">
        <f t="shared" si="8"/>
        <v>工程师*1234</v>
      </c>
      <c r="AI59" t="str">
        <f t="shared" si="9"/>
        <v/>
      </c>
      <c r="AJ59" t="str">
        <f t="shared" si="10"/>
        <v>纸张*78</v>
      </c>
      <c r="AK59" t="str">
        <f t="shared" si="11"/>
        <v/>
      </c>
      <c r="AL59">
        <f>IFERROR(ROUND(L59*(G59/$AU59)/VLOOKUP(F59,商品!$A$4:$C$60,3,FALSE),0),"")</f>
        <v>32</v>
      </c>
      <c r="AM59" t="str">
        <f>IFERROR(ROUND(L59*(I59/$AU59)/VLOOKUP(H59,商品!$A$4:$C$60,3,FALSE),0),"")</f>
        <v/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-3085</v>
      </c>
      <c r="AQ59">
        <f>IFERROR(ROUND(S59*(P59/$AV59)/VLOOKUP(O59,职业!$A$3:$E$16,4,FALSE),0),"")</f>
        <v>1234</v>
      </c>
      <c r="AR59" t="str">
        <f>IFERROR(ROUND(S59*(R59/$AV59)/VLOOKUP(Q59,职业!$A$3:$E$16,4,FALSE),0),"")</f>
        <v/>
      </c>
      <c r="AS59">
        <f>IFERROR(ROUND(X59*(U59/$AW59)/VLOOKUP(T59,商品!$A$4:$C$60,3,FALSE),0),"")</f>
        <v>78</v>
      </c>
      <c r="AT59" t="str">
        <f>IFERROR(ROUND(X59*(W59/$AW59)/VLOOKUP(V59,商品!$A$4:$C$60,3,FALSE),0),"")</f>
        <v/>
      </c>
      <c r="AU59">
        <f t="shared" si="12"/>
        <v>10</v>
      </c>
      <c r="AV59">
        <f t="shared" si="13"/>
        <v>44</v>
      </c>
      <c r="AW59">
        <f t="shared" si="14"/>
        <v>1</v>
      </c>
    </row>
    <row r="60" spans="1:49" ht="20" customHeight="1" x14ac:dyDescent="0.3">
      <c r="A60" s="18" t="s">
        <v>300</v>
      </c>
      <c r="C60" s="18">
        <v>5</v>
      </c>
      <c r="D60" s="21" t="s">
        <v>240</v>
      </c>
      <c r="E60" s="21" t="s">
        <v>225</v>
      </c>
      <c r="F60" s="1" t="s">
        <v>150</v>
      </c>
      <c r="G60" s="1">
        <v>10</v>
      </c>
      <c r="H60" s="1" t="s">
        <v>151</v>
      </c>
      <c r="I60" s="1">
        <v>7</v>
      </c>
      <c r="L60" s="18">
        <f>IFERROR(VLOOKUP($D60&amp;$C60,生产方式定位!$A$2:$E$38,2,FALSE)+VLOOKUP($E60&amp;$C60,生产方式定位!$F$3:$J$38,2,FALSE),0)</f>
        <v>2900</v>
      </c>
      <c r="M60" s="1" t="s">
        <v>208</v>
      </c>
      <c r="N60" s="1">
        <v>-20</v>
      </c>
      <c r="O60" s="1" t="s">
        <v>201</v>
      </c>
      <c r="P60" s="1">
        <v>26</v>
      </c>
      <c r="S60" s="18">
        <f>IFERROR(VLOOKUP($D60&amp;$C60,生产方式定位!$A$2:$E$38,3,FALSE)+VLOOKUP($E60&amp;$C60,生产方式定位!$F$3:$J$38,3,FALSE),0)</f>
        <v>180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3980</v>
      </c>
      <c r="Y60" s="24" t="str">
        <f t="shared" si="2"/>
        <v>科学引擎*21,魔导引擎*15</v>
      </c>
      <c r="Z60" s="34" t="str">
        <f t="shared" si="3"/>
        <v>劳工*-3541,工程师*1535</v>
      </c>
      <c r="AA60" s="34" t="str">
        <f t="shared" si="0"/>
        <v>纸张*100</v>
      </c>
      <c r="AB60" s="25" t="str">
        <f t="shared" si="4"/>
        <v>37%</v>
      </c>
      <c r="AC60" s="1">
        <f t="shared" si="15"/>
        <v>900</v>
      </c>
      <c r="AD60" s="36">
        <f t="shared" si="1"/>
        <v>5</v>
      </c>
      <c r="AE60" t="str">
        <f t="shared" si="5"/>
        <v>科学引擎*21</v>
      </c>
      <c r="AF60" t="str">
        <f t="shared" si="6"/>
        <v>魔导引擎*15</v>
      </c>
      <c r="AG60" t="str">
        <f t="shared" si="7"/>
        <v>劳工*-3541</v>
      </c>
      <c r="AH60" t="str">
        <f t="shared" si="8"/>
        <v>工程师*1535</v>
      </c>
      <c r="AI60" t="str">
        <f t="shared" si="9"/>
        <v/>
      </c>
      <c r="AJ60" t="str">
        <f t="shared" si="10"/>
        <v>纸张*100</v>
      </c>
      <c r="AK60" t="str">
        <f t="shared" si="11"/>
        <v/>
      </c>
      <c r="AL60">
        <f>IFERROR(ROUND(L60*(G60/$AU60)/VLOOKUP(F60,商品!$A$4:$C$60,3,FALSE),0),"")</f>
        <v>21</v>
      </c>
      <c r="AM60">
        <f>IFERROR(ROUND(L60*(I60/$AU60)/VLOOKUP(H60,商品!$A$4:$C$60,3,FALSE),0),"")</f>
        <v>15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-3541</v>
      </c>
      <c r="AQ60">
        <f>IFERROR(ROUND(S60*(P60/$AV60)/VLOOKUP(O60,职业!$A$3:$E$16,4,FALSE),0),"")</f>
        <v>1535</v>
      </c>
      <c r="AR60" t="str">
        <f>IFERROR(ROUND(S60*(R60/$AV60)/VLOOKUP(Q60,职业!$A$3:$E$16,4,FALSE),0),"")</f>
        <v/>
      </c>
      <c r="AS60">
        <f>IFERROR(ROUND(X60*(U60/$AW60)/VLOOKUP(T60,商品!$A$4:$C$60,3,FALSE),0),"")</f>
        <v>100</v>
      </c>
      <c r="AT60" t="str">
        <f>IFERROR(ROUND(X60*(W60/$AW60)/VLOOKUP(V60,商品!$A$4:$C$60,3,FALSE),0),"")</f>
        <v/>
      </c>
      <c r="AU60">
        <f t="shared" si="12"/>
        <v>17</v>
      </c>
      <c r="AV60">
        <f t="shared" si="13"/>
        <v>46</v>
      </c>
      <c r="AW60">
        <f t="shared" si="14"/>
        <v>1</v>
      </c>
    </row>
    <row r="61" spans="1:49" ht="20" customHeight="1" x14ac:dyDescent="0.3">
      <c r="A61" s="5" t="s">
        <v>300</v>
      </c>
      <c r="C61" s="5">
        <v>1</v>
      </c>
      <c r="D61" s="21" t="s">
        <v>240</v>
      </c>
      <c r="E61" s="21" t="s">
        <v>225</v>
      </c>
      <c r="L61" s="5">
        <f>IFERROR(VLOOKUP($D61&amp;$C61,生产方式定位!$A$2:$E$38,2,FALSE)+VLOOKUP($E61&amp;$C61,生产方式定位!$F$3:$J$38,2,FALSE),0)</f>
        <v>1000</v>
      </c>
      <c r="S61" s="5">
        <f>IFERROR(VLOOKUP($D61&amp;$C61,生产方式定位!$A$2:$E$38,3,FALSE)+VLOOKUP($E61&amp;$C61,生产方式定位!$F$3:$J$38,3,FALSE),0)</f>
        <v>40</v>
      </c>
      <c r="X61" s="5">
        <f>IFERROR(VLOOKUP($D61&amp;$C61,生产方式定位!$A$2:$E$38,5,FALSE)+VLOOKUP($E61&amp;$C61,生产方式定位!$F$3:$J$38,5,FALSE),"错误")</f>
        <v>1144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>14%</v>
      </c>
      <c r="AC61" s="1">
        <f t="shared" si="15"/>
        <v>104</v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20" customHeight="1" x14ac:dyDescent="0.3">
      <c r="A62" s="5" t="s">
        <v>300</v>
      </c>
      <c r="C62" s="5">
        <v>2</v>
      </c>
      <c r="D62" s="21" t="s">
        <v>240</v>
      </c>
      <c r="E62" s="21" t="s">
        <v>225</v>
      </c>
      <c r="F62" s="1" t="s">
        <v>147</v>
      </c>
      <c r="G62" s="1">
        <v>10</v>
      </c>
      <c r="L62" s="5">
        <f>IFERROR(VLOOKUP($D62&amp;$C62,生产方式定位!$A$2:$E$38,2,FALSE)+VLOOKUP($E62&amp;$C62,生产方式定位!$F$3:$J$38,2,FALSE),0)</f>
        <v>1850</v>
      </c>
      <c r="M62" s="1" t="s">
        <v>208</v>
      </c>
      <c r="N62" s="1">
        <v>-20</v>
      </c>
      <c r="O62" s="1" t="s">
        <v>201</v>
      </c>
      <c r="P62" s="1">
        <v>20</v>
      </c>
      <c r="S62" s="5">
        <f>IFERROR(VLOOKUP($D62&amp;$C62,生产方式定位!$A$2:$E$38,3,FALSE)+VLOOKUP($E62&amp;$C62,生产方式定位!$F$3:$J$38,3,FALSE),0)</f>
        <v>90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2012</v>
      </c>
      <c r="Y62" s="24" t="str">
        <f t="shared" si="2"/>
        <v>魔偶*46</v>
      </c>
      <c r="Z62" s="34" t="str">
        <f t="shared" si="3"/>
        <v>劳工*-2036,工程师*679</v>
      </c>
      <c r="AA62" s="34" t="str">
        <f t="shared" si="0"/>
        <v>纸张*50</v>
      </c>
      <c r="AB62" s="25" t="str">
        <f t="shared" si="4"/>
        <v>9%</v>
      </c>
      <c r="AC62" s="1">
        <f t="shared" si="15"/>
        <v>72</v>
      </c>
      <c r="AD62" s="35">
        <f t="shared" si="1"/>
        <v>2</v>
      </c>
      <c r="AE62" t="str">
        <f t="shared" si="5"/>
        <v>魔偶*46</v>
      </c>
      <c r="AF62" t="str">
        <f t="shared" si="6"/>
        <v/>
      </c>
      <c r="AG62" t="str">
        <f t="shared" si="7"/>
        <v>劳工*-2036</v>
      </c>
      <c r="AH62" t="str">
        <f t="shared" si="8"/>
        <v>工程师*679</v>
      </c>
      <c r="AI62" t="str">
        <f t="shared" si="9"/>
        <v/>
      </c>
      <c r="AJ62" t="str">
        <f t="shared" si="10"/>
        <v>纸张*50</v>
      </c>
      <c r="AK62" t="str">
        <f t="shared" si="11"/>
        <v/>
      </c>
      <c r="AL62">
        <f>IFERROR(ROUND(L62*(G62/$AU62)/VLOOKUP(F62,商品!$A$4:$C$60,3,FALSE),0),"")</f>
        <v>46</v>
      </c>
      <c r="AM62" t="str">
        <f>IFERROR(ROUND(L62*(I62/$AU62)/VLOOKUP(H62,商品!$A$4:$C$60,3,FALSE),0),"")</f>
        <v/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-2036</v>
      </c>
      <c r="AQ62">
        <f>IFERROR(ROUND(S62*(P62/$AV62)/VLOOKUP(O62,职业!$A$3:$E$16,4,FALSE),0),"")</f>
        <v>679</v>
      </c>
      <c r="AR62" t="str">
        <f>IFERROR(ROUND(S62*(R62/$AV62)/VLOOKUP(Q62,职业!$A$3:$E$16,4,FALSE),0),"")</f>
        <v/>
      </c>
      <c r="AS62">
        <f>IFERROR(ROUND(X62*(U62/$AW62)/VLOOKUP(T62,商品!$A$4:$C$60,3,FALSE),0),"")</f>
        <v>50</v>
      </c>
      <c r="AT62" t="str">
        <f>IFERROR(ROUND(X62*(W62/$AW62)/VLOOKUP(V62,商品!$A$4:$C$60,3,FALSE),0),"")</f>
        <v/>
      </c>
      <c r="AU62">
        <f t="shared" si="12"/>
        <v>10</v>
      </c>
      <c r="AV62">
        <f t="shared" si="13"/>
        <v>40</v>
      </c>
      <c r="AW62">
        <f t="shared" si="14"/>
        <v>1</v>
      </c>
    </row>
    <row r="63" spans="1:49" ht="20" customHeight="1" x14ac:dyDescent="0.3">
      <c r="A63" s="5" t="s">
        <v>300</v>
      </c>
      <c r="C63" s="5">
        <v>3</v>
      </c>
      <c r="D63" s="21" t="s">
        <v>240</v>
      </c>
      <c r="E63" s="21" t="s">
        <v>225</v>
      </c>
      <c r="F63" s="1" t="s">
        <v>125</v>
      </c>
      <c r="G63" s="1">
        <v>10</v>
      </c>
      <c r="L63" s="5">
        <f>IFERROR(VLOOKUP($D63&amp;$C63,生产方式定位!$A$2:$E$38,2,FALSE)+VLOOKUP($E63&amp;$C63,生产方式定位!$F$3:$J$38,2,FALSE),0)</f>
        <v>2200</v>
      </c>
      <c r="M63" s="1" t="s">
        <v>208</v>
      </c>
      <c r="N63" s="1">
        <v>-20</v>
      </c>
      <c r="O63" s="1" t="s">
        <v>201</v>
      </c>
      <c r="P63" s="1">
        <v>22</v>
      </c>
      <c r="S63" s="5">
        <f>IFERROR(VLOOKUP($D63&amp;$C63,生产方式定位!$A$2:$E$38,3,FALSE)+VLOOKUP($E63&amp;$C63,生产方式定位!$F$3:$J$38,3,FALSE),0)</f>
        <v>120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2539</v>
      </c>
      <c r="Y63" s="24" t="str">
        <f t="shared" si="2"/>
        <v>泽洛*44</v>
      </c>
      <c r="Z63" s="34" t="str">
        <f t="shared" si="3"/>
        <v>劳工*-2586,工程师*948</v>
      </c>
      <c r="AA63" s="34" t="str">
        <f t="shared" si="0"/>
        <v>纸张*63</v>
      </c>
      <c r="AB63" s="25" t="str">
        <f t="shared" si="4"/>
        <v>15%</v>
      </c>
      <c r="AC63" s="1">
        <f t="shared" si="15"/>
        <v>219</v>
      </c>
      <c r="AD63" s="35">
        <f t="shared" si="1"/>
        <v>3</v>
      </c>
      <c r="AE63" t="str">
        <f t="shared" si="5"/>
        <v>泽洛*44</v>
      </c>
      <c r="AF63" t="str">
        <f t="shared" si="6"/>
        <v/>
      </c>
      <c r="AG63" t="str">
        <f t="shared" si="7"/>
        <v>劳工*-2586</v>
      </c>
      <c r="AH63" t="str">
        <f t="shared" si="8"/>
        <v>工程师*948</v>
      </c>
      <c r="AI63" t="str">
        <f t="shared" si="9"/>
        <v/>
      </c>
      <c r="AJ63" t="str">
        <f t="shared" si="10"/>
        <v>纸张*63</v>
      </c>
      <c r="AK63" t="str">
        <f t="shared" si="11"/>
        <v/>
      </c>
      <c r="AL63">
        <f>IFERROR(ROUND(L63*(G63/$AU63)/VLOOKUP(F63,商品!$A$4:$C$60,3,FALSE),0),"")</f>
        <v>44</v>
      </c>
      <c r="AM63" t="str">
        <f>IFERROR(ROUND(L63*(I63/$AU63)/VLOOKUP(H63,商品!$A$4:$C$60,3,FALSE),0),"")</f>
        <v/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-2586</v>
      </c>
      <c r="AQ63">
        <f>IFERROR(ROUND(S63*(P63/$AV63)/VLOOKUP(O63,职业!$A$3:$E$16,4,FALSE),0),"")</f>
        <v>948</v>
      </c>
      <c r="AR63" t="str">
        <f>IFERROR(ROUND(S63*(R63/$AV63)/VLOOKUP(Q63,职业!$A$3:$E$16,4,FALSE),0),"")</f>
        <v/>
      </c>
      <c r="AS63">
        <f>IFERROR(ROUND(X63*(U63/$AW63)/VLOOKUP(T63,商品!$A$4:$C$60,3,FALSE),0),"")</f>
        <v>63</v>
      </c>
      <c r="AT63" t="str">
        <f>IFERROR(ROUND(X63*(W63/$AW63)/VLOOKUP(V63,商品!$A$4:$C$60,3,FALSE),0),"")</f>
        <v/>
      </c>
      <c r="AU63">
        <f t="shared" si="12"/>
        <v>10</v>
      </c>
      <c r="AV63">
        <f t="shared" si="13"/>
        <v>42</v>
      </c>
      <c r="AW63">
        <f t="shared" si="14"/>
        <v>1</v>
      </c>
    </row>
    <row r="64" spans="1:49" ht="20" customHeight="1" x14ac:dyDescent="0.3">
      <c r="A64" s="5" t="s">
        <v>300</v>
      </c>
      <c r="C64" s="5">
        <v>4</v>
      </c>
      <c r="D64" s="21" t="s">
        <v>240</v>
      </c>
      <c r="E64" s="21" t="s">
        <v>225</v>
      </c>
      <c r="F64" s="1" t="s">
        <v>151</v>
      </c>
      <c r="G64" s="1">
        <v>10</v>
      </c>
      <c r="L64" s="5">
        <f>IFERROR(VLOOKUP($D64&amp;$C64,生产方式定位!$A$2:$E$38,2,FALSE)+VLOOKUP($E64&amp;$C64,生产方式定位!$F$3:$J$38,2,FALSE),0)</f>
        <v>2550</v>
      </c>
      <c r="M64" s="1" t="s">
        <v>208</v>
      </c>
      <c r="N64" s="1">
        <v>-20</v>
      </c>
      <c r="O64" s="1" t="s">
        <v>201</v>
      </c>
      <c r="P64" s="1">
        <v>24</v>
      </c>
      <c r="S64" s="5">
        <f>IFERROR(VLOOKUP($D64&amp;$C64,生产方式定位!$A$2:$E$38,3,FALSE)+VLOOKUP($E64&amp;$C64,生产方式定位!$F$3:$J$38,3,FALSE),0)</f>
        <v>150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3115</v>
      </c>
      <c r="Y64" s="24" t="str">
        <f t="shared" si="2"/>
        <v>魔导引擎*32</v>
      </c>
      <c r="Z64" s="34" t="str">
        <f t="shared" si="3"/>
        <v>劳工*-3085,工程师*1234</v>
      </c>
      <c r="AA64" s="34" t="str">
        <f t="shared" si="0"/>
        <v>纸张*78</v>
      </c>
      <c r="AB64" s="25" t="str">
        <f t="shared" si="4"/>
        <v>22%</v>
      </c>
      <c r="AC64" s="1">
        <f t="shared" si="15"/>
        <v>415</v>
      </c>
      <c r="AD64" s="35">
        <f t="shared" si="1"/>
        <v>4</v>
      </c>
      <c r="AE64" t="str">
        <f t="shared" si="5"/>
        <v>魔导引擎*32</v>
      </c>
      <c r="AF64" t="str">
        <f t="shared" si="6"/>
        <v/>
      </c>
      <c r="AG64" t="str">
        <f t="shared" si="7"/>
        <v>劳工*-3085</v>
      </c>
      <c r="AH64" t="str">
        <f t="shared" si="8"/>
        <v>工程师*1234</v>
      </c>
      <c r="AI64" t="str">
        <f t="shared" si="9"/>
        <v/>
      </c>
      <c r="AJ64" t="str">
        <f t="shared" si="10"/>
        <v>纸张*78</v>
      </c>
      <c r="AK64" t="str">
        <f t="shared" si="11"/>
        <v/>
      </c>
      <c r="AL64">
        <f>IFERROR(ROUND(L64*(G64/$AU64)/VLOOKUP(F64,商品!$A$4:$C$60,3,FALSE),0),"")</f>
        <v>32</v>
      </c>
      <c r="AM64" t="str">
        <f>IFERROR(ROUND(L64*(I64/$AU64)/VLOOKUP(H64,商品!$A$4:$C$60,3,FALSE),0),"")</f>
        <v/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-3085</v>
      </c>
      <c r="AQ64">
        <f>IFERROR(ROUND(S64*(P64/$AV64)/VLOOKUP(O64,职业!$A$3:$E$16,4,FALSE),0),"")</f>
        <v>1234</v>
      </c>
      <c r="AR64" t="str">
        <f>IFERROR(ROUND(S64*(R64/$AV64)/VLOOKUP(Q64,职业!$A$3:$E$16,4,FALSE),0),"")</f>
        <v/>
      </c>
      <c r="AS64">
        <f>IFERROR(ROUND(X64*(U64/$AW64)/VLOOKUP(T64,商品!$A$4:$C$60,3,FALSE),0),"")</f>
        <v>78</v>
      </c>
      <c r="AT64" t="str">
        <f>IFERROR(ROUND(X64*(W64/$AW64)/VLOOKUP(V64,商品!$A$4:$C$60,3,FALSE),0),"")</f>
        <v/>
      </c>
      <c r="AU64">
        <f t="shared" si="12"/>
        <v>10</v>
      </c>
      <c r="AV64">
        <f t="shared" si="13"/>
        <v>44</v>
      </c>
      <c r="AW64">
        <f t="shared" si="14"/>
        <v>1</v>
      </c>
    </row>
    <row r="65" spans="1:49" ht="20" customHeight="1" x14ac:dyDescent="0.3">
      <c r="A65" s="5" t="s">
        <v>300</v>
      </c>
      <c r="C65" s="5">
        <v>5</v>
      </c>
      <c r="D65" s="21" t="s">
        <v>240</v>
      </c>
      <c r="E65" s="21" t="s">
        <v>225</v>
      </c>
      <c r="F65" s="1" t="s">
        <v>150</v>
      </c>
      <c r="G65" s="1">
        <v>7</v>
      </c>
      <c r="H65" s="1" t="s">
        <v>151</v>
      </c>
      <c r="I65" s="1">
        <v>10</v>
      </c>
      <c r="L65" s="5">
        <f>IFERROR(VLOOKUP($D65&amp;$C65,生产方式定位!$A$2:$E$38,2,FALSE)+VLOOKUP($E65&amp;$C65,生产方式定位!$F$3:$J$38,2,FALSE),0)</f>
        <v>2900</v>
      </c>
      <c r="M65" s="1" t="s">
        <v>208</v>
      </c>
      <c r="N65" s="1">
        <v>-20</v>
      </c>
      <c r="O65" s="1" t="s">
        <v>201</v>
      </c>
      <c r="P65" s="1">
        <v>26</v>
      </c>
      <c r="S65" s="5">
        <f>IFERROR(VLOOKUP($D65&amp;$C65,生产方式定位!$A$2:$E$38,3,FALSE)+VLOOKUP($E65&amp;$C65,生产方式定位!$F$3:$J$38,3,FALSE),0)</f>
        <v>180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3980</v>
      </c>
      <c r="Y65" s="24" t="str">
        <f t="shared" si="2"/>
        <v>科学引擎*15,魔导引擎*21</v>
      </c>
      <c r="Z65" s="34" t="str">
        <f t="shared" si="3"/>
        <v>劳工*-3541,工程师*1535</v>
      </c>
      <c r="AA65" s="34" t="str">
        <f t="shared" si="0"/>
        <v>纸张*100</v>
      </c>
      <c r="AB65" s="25" t="str">
        <f t="shared" si="4"/>
        <v>37%</v>
      </c>
      <c r="AC65" s="1">
        <f t="shared" si="15"/>
        <v>900</v>
      </c>
      <c r="AD65" s="35">
        <f t="shared" si="1"/>
        <v>5</v>
      </c>
      <c r="AE65" t="str">
        <f t="shared" si="5"/>
        <v>科学引擎*15</v>
      </c>
      <c r="AF65" t="str">
        <f t="shared" si="6"/>
        <v>魔导引擎*21</v>
      </c>
      <c r="AG65" t="str">
        <f t="shared" si="7"/>
        <v>劳工*-3541</v>
      </c>
      <c r="AH65" t="str">
        <f t="shared" si="8"/>
        <v>工程师*1535</v>
      </c>
      <c r="AI65" t="str">
        <f t="shared" si="9"/>
        <v/>
      </c>
      <c r="AJ65" t="str">
        <f t="shared" si="10"/>
        <v>纸张*100</v>
      </c>
      <c r="AK65" t="str">
        <f t="shared" si="11"/>
        <v/>
      </c>
      <c r="AL65">
        <f>IFERROR(ROUND(L65*(G65/$AU65)/VLOOKUP(F65,商品!$A$4:$C$60,3,FALSE),0),"")</f>
        <v>15</v>
      </c>
      <c r="AM65">
        <f>IFERROR(ROUND(L65*(I65/$AU65)/VLOOKUP(H65,商品!$A$4:$C$60,3,FALSE),0),"")</f>
        <v>21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-3541</v>
      </c>
      <c r="AQ65">
        <f>IFERROR(ROUND(S65*(P65/$AV65)/VLOOKUP(O65,职业!$A$3:$E$16,4,FALSE),0),"")</f>
        <v>1535</v>
      </c>
      <c r="AR65" t="str">
        <f>IFERROR(ROUND(S65*(R65/$AV65)/VLOOKUP(Q65,职业!$A$3:$E$16,4,FALSE),0),"")</f>
        <v/>
      </c>
      <c r="AS65">
        <f>IFERROR(ROUND(X65*(U65/$AW65)/VLOOKUP(T65,商品!$A$4:$C$60,3,FALSE),0),"")</f>
        <v>100</v>
      </c>
      <c r="AT65" t="str">
        <f>IFERROR(ROUND(X65*(W65/$AW65)/VLOOKUP(V65,商品!$A$4:$C$60,3,FALSE),0),"")</f>
        <v/>
      </c>
      <c r="AU65">
        <f t="shared" si="12"/>
        <v>17</v>
      </c>
      <c r="AV65">
        <f t="shared" si="13"/>
        <v>46</v>
      </c>
      <c r="AW65">
        <f t="shared" si="14"/>
        <v>1</v>
      </c>
    </row>
    <row r="66" spans="1:49" ht="20" customHeight="1" x14ac:dyDescent="0.3">
      <c r="A66" s="18" t="s">
        <v>301</v>
      </c>
      <c r="C66" s="18">
        <v>1</v>
      </c>
      <c r="D66" s="21" t="s">
        <v>292</v>
      </c>
      <c r="E66" s="21" t="s">
        <v>226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20" customHeight="1" x14ac:dyDescent="0.3">
      <c r="A67" s="18" t="s">
        <v>301</v>
      </c>
      <c r="C67" s="18">
        <v>2</v>
      </c>
      <c r="D67" s="21" t="s">
        <v>292</v>
      </c>
      <c r="E67" s="21" t="s">
        <v>226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20" customHeight="1" x14ac:dyDescent="0.3">
      <c r="A68" s="18" t="s">
        <v>301</v>
      </c>
      <c r="C68" s="18">
        <v>3</v>
      </c>
      <c r="D68" s="21" t="s">
        <v>292</v>
      </c>
      <c r="E68" s="21" t="s">
        <v>226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20" customHeight="1" x14ac:dyDescent="0.3">
      <c r="A69" s="18" t="s">
        <v>301</v>
      </c>
      <c r="C69" s="18">
        <v>4</v>
      </c>
      <c r="D69" s="21" t="s">
        <v>292</v>
      </c>
      <c r="E69" s="21" t="s">
        <v>226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20" customHeight="1" x14ac:dyDescent="0.3">
      <c r="A70" s="18" t="s">
        <v>301</v>
      </c>
      <c r="C70" s="18">
        <v>5</v>
      </c>
      <c r="D70" s="21" t="s">
        <v>292</v>
      </c>
      <c r="E70" s="21" t="s">
        <v>226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20" customHeight="1" x14ac:dyDescent="0.3">
      <c r="A71" s="18" t="s">
        <v>301</v>
      </c>
      <c r="C71" s="18">
        <v>6</v>
      </c>
      <c r="D71" s="21" t="s">
        <v>292</v>
      </c>
      <c r="E71" s="21" t="s">
        <v>226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20" customHeight="1" x14ac:dyDescent="0.3">
      <c r="A72" s="18" t="s">
        <v>301</v>
      </c>
      <c r="C72" s="18">
        <v>7</v>
      </c>
      <c r="D72" s="21" t="s">
        <v>292</v>
      </c>
      <c r="E72" s="21" t="s">
        <v>226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20" customHeight="1" x14ac:dyDescent="0.3">
      <c r="A73" s="18" t="s">
        <v>301</v>
      </c>
      <c r="C73" s="18">
        <v>8</v>
      </c>
      <c r="D73" s="21" t="s">
        <v>292</v>
      </c>
      <c r="E73" s="21" t="s">
        <v>226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20" customHeight="1" x14ac:dyDescent="0.3">
      <c r="A74" s="5" t="s">
        <v>303</v>
      </c>
      <c r="C74" s="5">
        <v>1</v>
      </c>
      <c r="D74" s="21" t="s">
        <v>222</v>
      </c>
      <c r="E74" s="21" t="s">
        <v>224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600</v>
      </c>
      <c r="M74" s="1" t="s">
        <v>208</v>
      </c>
      <c r="N74" s="1">
        <v>100</v>
      </c>
      <c r="S74" s="5">
        <f>IFERROR(VLOOKUP($D74&amp;$C74,生产方式定位!$A$2:$E$38,3,FALSE)+VLOOKUP($E74&amp;$C74,生产方式定位!$F$3:$J$38,3,FALSE),0)</f>
        <v>150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788</v>
      </c>
      <c r="Y74" s="24" t="str">
        <f t="shared" si="18"/>
        <v>布料*22,运力*2,交易*1</v>
      </c>
      <c r="Z74" s="34" t="str">
        <f t="shared" si="19"/>
        <v>劳工*6787</v>
      </c>
      <c r="AA74" s="34" t="str">
        <f t="shared" si="16"/>
        <v>衣物*26</v>
      </c>
      <c r="AB74" s="25" t="str">
        <f t="shared" si="20"/>
        <v>31%</v>
      </c>
      <c r="AC74" s="1">
        <f t="shared" si="21"/>
        <v>38</v>
      </c>
      <c r="AD74" s="35">
        <f t="shared" si="17"/>
        <v>1</v>
      </c>
      <c r="AE74" t="str">
        <f t="shared" si="22"/>
        <v>布料*22</v>
      </c>
      <c r="AF74" t="str">
        <f t="shared" si="23"/>
        <v/>
      </c>
      <c r="AG74" t="str">
        <f t="shared" si="24"/>
        <v>劳工*6787</v>
      </c>
      <c r="AH74" t="str">
        <f t="shared" si="25"/>
        <v/>
      </c>
      <c r="AI74" t="str">
        <f t="shared" si="26"/>
        <v/>
      </c>
      <c r="AJ74" t="str">
        <f t="shared" si="27"/>
        <v>衣物*26</v>
      </c>
      <c r="AK74" t="str">
        <f t="shared" si="28"/>
        <v/>
      </c>
      <c r="AL74">
        <f>IFERROR(ROUND(L74*(G74/$AU74)/VLOOKUP(F74,商品!$A$4:$C$60,3,FALSE),0),"")</f>
        <v>22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2</v>
      </c>
      <c r="AO74">
        <f>IFERROR(ROUND(L74*(K74/$AU74)/VLOOKUP("运力",商品!$A$4:$C$60,3,FALSE),0),0)</f>
        <v>1</v>
      </c>
      <c r="AP74">
        <f>IFERROR(ROUND(S74*(N74/$AV74)/VLOOKUP(M74,职业!$A$3:$E$16,4,FALSE),0),"")</f>
        <v>6787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26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20" customHeight="1" x14ac:dyDescent="0.3">
      <c r="A75" s="5" t="s">
        <v>303</v>
      </c>
      <c r="C75" s="5">
        <v>2</v>
      </c>
      <c r="D75" s="21" t="s">
        <v>222</v>
      </c>
      <c r="E75" s="21" t="s">
        <v>224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1200</v>
      </c>
      <c r="M75" s="1" t="s">
        <v>208</v>
      </c>
      <c r="N75" s="1">
        <v>100</v>
      </c>
      <c r="O75" s="1" t="s">
        <v>201</v>
      </c>
      <c r="P75" s="1">
        <v>5</v>
      </c>
      <c r="S75" s="5">
        <f>IFERROR(VLOOKUP($D75&amp;$C75,生产方式定位!$A$2:$E$38,3,FALSE)+VLOOKUP($E75&amp;$C75,生产方式定位!$F$3:$J$38,3,FALSE),0)</f>
        <v>140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1390</v>
      </c>
      <c r="Y75" s="24" t="str">
        <f t="shared" si="18"/>
        <v>布料*44,运力*4,交易*2</v>
      </c>
      <c r="Z75" s="34" t="str">
        <f t="shared" si="19"/>
        <v>劳工*6033,工程师*101</v>
      </c>
      <c r="AA75" s="34" t="str">
        <f t="shared" si="16"/>
        <v>衣物*46</v>
      </c>
      <c r="AB75" s="25" t="str">
        <f t="shared" si="20"/>
        <v>16%</v>
      </c>
      <c r="AC75" s="1">
        <f t="shared" si="21"/>
        <v>50</v>
      </c>
      <c r="AD75" s="35">
        <f t="shared" si="17"/>
        <v>2</v>
      </c>
      <c r="AE75" t="str">
        <f t="shared" si="22"/>
        <v>布料*44</v>
      </c>
      <c r="AF75" t="str">
        <f t="shared" si="23"/>
        <v/>
      </c>
      <c r="AG75" t="str">
        <f t="shared" si="24"/>
        <v>劳工*6033</v>
      </c>
      <c r="AH75" t="str">
        <f t="shared" si="25"/>
        <v>工程师*101</v>
      </c>
      <c r="AI75" t="str">
        <f t="shared" si="26"/>
        <v/>
      </c>
      <c r="AJ75" t="str">
        <f t="shared" si="27"/>
        <v>衣物*46</v>
      </c>
      <c r="AK75" t="str">
        <f t="shared" si="28"/>
        <v/>
      </c>
      <c r="AL75">
        <f>IFERROR(ROUND(L75*(G75/$AU75)/VLOOKUP(F75,商品!$A$4:$C$60,3,FALSE),0),"")</f>
        <v>44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4</v>
      </c>
      <c r="AO75">
        <f>IFERROR(ROUND(L75*(K75/$AU75)/VLOOKUP("运力",商品!$A$4:$C$60,3,FALSE),0),0)</f>
        <v>2</v>
      </c>
      <c r="AP75">
        <f>IFERROR(ROUND(S75*(N75/$AV75)/VLOOKUP(M75,职业!$A$3:$E$16,4,FALSE),0),"")</f>
        <v>6033</v>
      </c>
      <c r="AQ75">
        <f>IFERROR(ROUND(S75*(P75/$AV75)/VLOOKUP(O75,职业!$A$3:$E$16,4,FALSE),0),"")</f>
        <v>101</v>
      </c>
      <c r="AR75" t="str">
        <f>IFERROR(ROUND(S75*(R75/$AV75)/VLOOKUP(Q75,职业!$A$3:$E$16,4,FALSE),0),"")</f>
        <v/>
      </c>
      <c r="AS75">
        <f>IFERROR(ROUND(X75*(U75/$AW75)/VLOOKUP(T75,商品!$A$4:$C$60,3,FALSE),0),"")</f>
        <v>46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20" customHeight="1" x14ac:dyDescent="0.3">
      <c r="A76" s="5" t="s">
        <v>303</v>
      </c>
      <c r="C76" s="5">
        <v>3</v>
      </c>
      <c r="D76" s="21" t="s">
        <v>222</v>
      </c>
      <c r="E76" s="21" t="s">
        <v>224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1425</v>
      </c>
      <c r="M76" s="1" t="s">
        <v>208</v>
      </c>
      <c r="N76" s="1">
        <v>100</v>
      </c>
      <c r="O76" s="1" t="s">
        <v>201</v>
      </c>
      <c r="P76" s="1">
        <v>10</v>
      </c>
      <c r="S76" s="5">
        <f>IFERROR(VLOOKUP($D76&amp;$C76,生产方式定位!$A$2:$E$38,3,FALSE)+VLOOKUP($E76&amp;$C76,生产方式定位!$F$3:$J$38,3,FALSE),0)</f>
        <v>130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1618</v>
      </c>
      <c r="Y76" s="24" t="str">
        <f t="shared" si="18"/>
        <v>布料*52,运力*4,交易*2</v>
      </c>
      <c r="Z76" s="34" t="str">
        <f t="shared" si="19"/>
        <v>劳工*5348,工程师*178</v>
      </c>
      <c r="AA76" s="34" t="str">
        <f t="shared" si="16"/>
        <v>衣物*54</v>
      </c>
      <c r="AB76" s="25" t="str">
        <f t="shared" si="20"/>
        <v>14%</v>
      </c>
      <c r="AC76" s="1">
        <f t="shared" si="21"/>
        <v>63</v>
      </c>
      <c r="AD76" s="36">
        <f t="shared" si="17"/>
        <v>3</v>
      </c>
      <c r="AE76" t="str">
        <f t="shared" si="22"/>
        <v>布料*52</v>
      </c>
      <c r="AF76" t="str">
        <f t="shared" si="23"/>
        <v/>
      </c>
      <c r="AG76" t="str">
        <f t="shared" si="24"/>
        <v>劳工*5348</v>
      </c>
      <c r="AH76" t="str">
        <f t="shared" si="25"/>
        <v>工程师*178</v>
      </c>
      <c r="AI76" t="str">
        <f t="shared" si="26"/>
        <v/>
      </c>
      <c r="AJ76" t="str">
        <f t="shared" si="27"/>
        <v>衣物*54</v>
      </c>
      <c r="AK76" t="str">
        <f t="shared" si="28"/>
        <v/>
      </c>
      <c r="AL76">
        <f>IFERROR(ROUND(L76*(G76/$AU76)/VLOOKUP(F76,商品!$A$4:$C$60,3,FALSE),0),"")</f>
        <v>52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4</v>
      </c>
      <c r="AO76">
        <f>IFERROR(ROUND(L76*(K76/$AU76)/VLOOKUP("运力",商品!$A$4:$C$60,3,FALSE),0),0)</f>
        <v>2</v>
      </c>
      <c r="AP76">
        <f>IFERROR(ROUND(S76*(N76/$AV76)/VLOOKUP(M76,职业!$A$3:$E$16,4,FALSE),0),"")</f>
        <v>5348</v>
      </c>
      <c r="AQ76">
        <f>IFERROR(ROUND(S76*(P76/$AV76)/VLOOKUP(O76,职业!$A$3:$E$16,4,FALSE),0),"")</f>
        <v>178</v>
      </c>
      <c r="AR76" t="str">
        <f>IFERROR(ROUND(S76*(R76/$AV76)/VLOOKUP(Q76,职业!$A$3:$E$16,4,FALSE),0),"")</f>
        <v/>
      </c>
      <c r="AS76">
        <f>IFERROR(ROUND(X76*(U76/$AW76)/VLOOKUP(T76,商品!$A$4:$C$60,3,FALSE),0),"")</f>
        <v>54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20" customHeight="1" x14ac:dyDescent="0.3">
      <c r="A77" s="5" t="s">
        <v>303</v>
      </c>
      <c r="C77" s="5">
        <v>4</v>
      </c>
      <c r="D77" s="21" t="s">
        <v>222</v>
      </c>
      <c r="E77" s="21" t="s">
        <v>224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1650</v>
      </c>
      <c r="M77" s="1" t="s">
        <v>208</v>
      </c>
      <c r="N77" s="1">
        <v>100</v>
      </c>
      <c r="O77" s="1" t="s">
        <v>201</v>
      </c>
      <c r="P77" s="1">
        <v>15</v>
      </c>
      <c r="S77" s="5">
        <f>IFERROR(VLOOKUP($D77&amp;$C77,生产方式定位!$A$2:$E$38,3,FALSE)+VLOOKUP($E77&amp;$C77,生产方式定位!$F$3:$J$38,3,FALSE),0)</f>
        <v>120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1845</v>
      </c>
      <c r="Y77" s="24" t="str">
        <f t="shared" si="18"/>
        <v>布料*60,运力*5,交易*3</v>
      </c>
      <c r="Z77" s="34" t="str">
        <f t="shared" si="19"/>
        <v>劳工*4722,工程师*236</v>
      </c>
      <c r="AA77" s="34" t="str">
        <f t="shared" si="16"/>
        <v>衣物*62</v>
      </c>
      <c r="AB77" s="25" t="str">
        <f t="shared" si="20"/>
        <v>12%</v>
      </c>
      <c r="AC77" s="1">
        <f t="shared" si="21"/>
        <v>75</v>
      </c>
      <c r="AD77" s="36">
        <f t="shared" si="17"/>
        <v>4</v>
      </c>
      <c r="AE77" t="str">
        <f t="shared" si="22"/>
        <v>布料*60</v>
      </c>
      <c r="AF77" t="str">
        <f t="shared" si="23"/>
        <v/>
      </c>
      <c r="AG77" t="str">
        <f t="shared" si="24"/>
        <v>劳工*4722</v>
      </c>
      <c r="AH77" t="str">
        <f t="shared" si="25"/>
        <v>工程师*236</v>
      </c>
      <c r="AI77" t="str">
        <f t="shared" si="26"/>
        <v/>
      </c>
      <c r="AJ77" t="str">
        <f t="shared" si="27"/>
        <v>衣物*62</v>
      </c>
      <c r="AK77" t="str">
        <f t="shared" si="28"/>
        <v/>
      </c>
      <c r="AL77">
        <f>IFERROR(ROUND(L77*(G77/$AU77)/VLOOKUP(F77,商品!$A$4:$C$60,3,FALSE),0),"")</f>
        <v>60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5</v>
      </c>
      <c r="AO77">
        <f>IFERROR(ROUND(L77*(K77/$AU77)/VLOOKUP("运力",商品!$A$4:$C$60,3,FALSE),0),0)</f>
        <v>3</v>
      </c>
      <c r="AP77">
        <f>IFERROR(ROUND(S77*(N77/$AV77)/VLOOKUP(M77,职业!$A$3:$E$16,4,FALSE),0),"")</f>
        <v>4722</v>
      </c>
      <c r="AQ77">
        <f>IFERROR(ROUND(S77*(P77/$AV77)/VLOOKUP(O77,职业!$A$3:$E$16,4,FALSE),0),"")</f>
        <v>236</v>
      </c>
      <c r="AR77" t="str">
        <f>IFERROR(ROUND(S77*(R77/$AV77)/VLOOKUP(Q77,职业!$A$3:$E$16,4,FALSE),0),"")</f>
        <v/>
      </c>
      <c r="AS77">
        <f>IFERROR(ROUND(X77*(U77/$AW77)/VLOOKUP(T77,商品!$A$4:$C$60,3,FALSE),0),"")</f>
        <v>62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20" customHeight="1" x14ac:dyDescent="0.3">
      <c r="A78" s="5" t="s">
        <v>303</v>
      </c>
      <c r="C78" s="5">
        <v>5</v>
      </c>
      <c r="D78" s="21" t="s">
        <v>222</v>
      </c>
      <c r="E78" s="21" t="s">
        <v>224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1875</v>
      </c>
      <c r="M78" s="1" t="s">
        <v>208</v>
      </c>
      <c r="N78" s="1">
        <v>100</v>
      </c>
      <c r="O78" s="1" t="s">
        <v>201</v>
      </c>
      <c r="P78" s="1">
        <v>20</v>
      </c>
      <c r="S78" s="5">
        <f>IFERROR(VLOOKUP($D78&amp;$C78,生产方式定位!$A$2:$E$38,3,FALSE)+VLOOKUP($E78&amp;$C78,生产方式定位!$F$3:$J$38,3,FALSE),0)</f>
        <v>110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2073</v>
      </c>
      <c r="Y78" s="24" t="str">
        <f t="shared" si="18"/>
        <v>布料*68,运力*6,交易*3</v>
      </c>
      <c r="Z78" s="34" t="str">
        <f t="shared" si="19"/>
        <v>劳工*4148,工程师*277</v>
      </c>
      <c r="AA78" s="34" t="str">
        <f t="shared" si="16"/>
        <v>衣物*69</v>
      </c>
      <c r="AB78" s="25" t="str">
        <f t="shared" si="20"/>
        <v>11%</v>
      </c>
      <c r="AC78" s="1">
        <f t="shared" si="21"/>
        <v>88</v>
      </c>
      <c r="AD78" s="36">
        <f t="shared" si="17"/>
        <v>5</v>
      </c>
      <c r="AE78" t="str">
        <f t="shared" si="22"/>
        <v>布料*68</v>
      </c>
      <c r="AF78" t="str">
        <f t="shared" si="23"/>
        <v/>
      </c>
      <c r="AG78" t="str">
        <f t="shared" si="24"/>
        <v>劳工*4148</v>
      </c>
      <c r="AH78" t="str">
        <f t="shared" si="25"/>
        <v>工程师*277</v>
      </c>
      <c r="AI78" t="str">
        <f t="shared" si="26"/>
        <v/>
      </c>
      <c r="AJ78" t="str">
        <f t="shared" si="27"/>
        <v>衣物*69</v>
      </c>
      <c r="AK78" t="str">
        <f t="shared" si="28"/>
        <v/>
      </c>
      <c r="AL78">
        <f>IFERROR(ROUND(L78*(G78/$AU78)/VLOOKUP(F78,商品!$A$4:$C$60,3,FALSE),0),"")</f>
        <v>68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6</v>
      </c>
      <c r="AO78">
        <f>IFERROR(ROUND(L78*(K78/$AU78)/VLOOKUP("运力",商品!$A$4:$C$60,3,FALSE),0),0)</f>
        <v>3</v>
      </c>
      <c r="AP78">
        <f>IFERROR(ROUND(S78*(N78/$AV78)/VLOOKUP(M78,职业!$A$3:$E$16,4,FALSE),0),"")</f>
        <v>4148</v>
      </c>
      <c r="AQ78">
        <f>IFERROR(ROUND(S78*(P78/$AV78)/VLOOKUP(O78,职业!$A$3:$E$16,4,FALSE),0),"")</f>
        <v>277</v>
      </c>
      <c r="AR78" t="str">
        <f>IFERROR(ROUND(S78*(R78/$AV78)/VLOOKUP(Q78,职业!$A$3:$E$16,4,FALSE),0),"")</f>
        <v/>
      </c>
      <c r="AS78">
        <f>IFERROR(ROUND(X78*(U78/$AW78)/VLOOKUP(T78,商品!$A$4:$C$60,3,FALSE),0),"")</f>
        <v>69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20" customHeight="1" x14ac:dyDescent="0.3">
      <c r="A79" s="18" t="s">
        <v>304</v>
      </c>
      <c r="C79" s="18">
        <v>1</v>
      </c>
      <c r="D79" s="21" t="s">
        <v>240</v>
      </c>
      <c r="E79" s="21" t="s">
        <v>230</v>
      </c>
      <c r="L79" s="18">
        <f>IFERROR(VLOOKUP($D79&amp;$C79,生产方式定位!$A$2:$E$38,2,FALSE)+VLOOKUP($E79&amp;$C79,生产方式定位!$F$3:$J$38,2,FALSE),0)</f>
        <v>1000</v>
      </c>
      <c r="S79" s="18">
        <f>IFERROR(VLOOKUP($D79&amp;$C79,生产方式定位!$A$2:$E$38,3,FALSE)+VLOOKUP($E79&amp;$C79,生产方式定位!$F$3:$J$38,3,FALSE),0)</f>
        <v>40</v>
      </c>
      <c r="X79" s="18">
        <f>IFERROR(VLOOKUP($D79&amp;$C79,生产方式定位!$A$2:$E$38,5,FALSE)+VLOOKUP($E79&amp;$C79,生产方式定位!$F$3:$J$38,5,FALSE),"错误")</f>
        <v>1144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14%</v>
      </c>
      <c r="AC79" s="1">
        <f t="shared" si="21"/>
        <v>104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20" customHeight="1" x14ac:dyDescent="0.3">
      <c r="A80" s="18" t="s">
        <v>304</v>
      </c>
      <c r="C80" s="18">
        <v>2</v>
      </c>
      <c r="D80" s="21" t="s">
        <v>240</v>
      </c>
      <c r="E80" s="21" t="s">
        <v>230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1500</v>
      </c>
      <c r="M80" s="1" t="s">
        <v>201</v>
      </c>
      <c r="N80" s="1">
        <v>5</v>
      </c>
      <c r="S80" s="18">
        <f>IFERROR(VLOOKUP($D80&amp;$C80,生产方式定位!$A$2:$E$38,3,FALSE)+VLOOKUP($E80&amp;$C80,生产方式定位!$F$3:$J$38,3,FALSE),0)</f>
        <v>60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1831</v>
      </c>
      <c r="Y80" s="24" t="str">
        <f t="shared" si="18"/>
        <v>衣物*36,运力*5,交易*2</v>
      </c>
      <c r="Z80" s="34" t="str">
        <f t="shared" si="19"/>
        <v>工程师*905</v>
      </c>
      <c r="AA80" s="34" t="str">
        <f t="shared" si="16"/>
        <v>奢侈服装*37</v>
      </c>
      <c r="AB80" s="25" t="str">
        <f t="shared" si="20"/>
        <v>22%</v>
      </c>
      <c r="AC80" s="1">
        <f t="shared" si="21"/>
        <v>271</v>
      </c>
      <c r="AD80" s="36">
        <f t="shared" si="17"/>
        <v>2</v>
      </c>
      <c r="AE80" t="str">
        <f t="shared" si="22"/>
        <v>衣物*36</v>
      </c>
      <c r="AF80" t="str">
        <f t="shared" si="23"/>
        <v/>
      </c>
      <c r="AG80" t="str">
        <f t="shared" si="24"/>
        <v>工程师*905</v>
      </c>
      <c r="AH80" t="str">
        <f t="shared" si="25"/>
        <v/>
      </c>
      <c r="AI80" t="str">
        <f t="shared" si="26"/>
        <v/>
      </c>
      <c r="AJ80" t="str">
        <f t="shared" si="27"/>
        <v>奢侈服装*37</v>
      </c>
      <c r="AK80" t="str">
        <f t="shared" si="28"/>
        <v/>
      </c>
      <c r="AL80">
        <f>IFERROR(ROUND(L80*(G80/$AU80)/VLOOKUP(F80,商品!$A$4:$C$60,3,FALSE),0),"")</f>
        <v>36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5</v>
      </c>
      <c r="AO80">
        <f>IFERROR(ROUND(L80*(K80/$AU80)/VLOOKUP("运力",商品!$A$4:$C$60,3,FALSE),0),0)</f>
        <v>2</v>
      </c>
      <c r="AP80">
        <f>IFERROR(ROUND(S80*(N80/$AV80)/VLOOKUP(M80,职业!$A$3:$E$16,4,FALSE),0),"")</f>
        <v>905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37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20" customHeight="1" x14ac:dyDescent="0.3">
      <c r="A81" s="18" t="s">
        <v>304</v>
      </c>
      <c r="C81" s="18">
        <v>3</v>
      </c>
      <c r="D81" s="21" t="s">
        <v>240</v>
      </c>
      <c r="E81" s="21" t="s">
        <v>230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1700</v>
      </c>
      <c r="M81" s="1" t="s">
        <v>201</v>
      </c>
      <c r="N81" s="1">
        <v>10</v>
      </c>
      <c r="S81" s="18">
        <f>IFERROR(VLOOKUP($D81&amp;$C81,生产方式定位!$A$2:$E$38,3,FALSE)+VLOOKUP($E81&amp;$C81,生产方式定位!$F$3:$J$38,3,FALSE),0)</f>
        <v>75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2205</v>
      </c>
      <c r="Y81" s="24" t="str">
        <f t="shared" si="18"/>
        <v>衣物*30,染料*23,运力*4,交易*2</v>
      </c>
      <c r="Z81" s="34" t="str">
        <f t="shared" si="19"/>
        <v>工程师*1131</v>
      </c>
      <c r="AA81" s="34" t="str">
        <f t="shared" si="16"/>
        <v>奢侈服装*44</v>
      </c>
      <c r="AB81" s="25" t="str">
        <f t="shared" si="20"/>
        <v>30%</v>
      </c>
      <c r="AC81" s="1">
        <f t="shared" si="21"/>
        <v>430</v>
      </c>
      <c r="AD81" s="36">
        <f t="shared" si="17"/>
        <v>3</v>
      </c>
      <c r="AE81" t="str">
        <f t="shared" si="22"/>
        <v>衣物*30</v>
      </c>
      <c r="AF81" t="str">
        <f t="shared" si="23"/>
        <v>染料*23</v>
      </c>
      <c r="AG81" t="str">
        <f t="shared" si="24"/>
        <v>工程师*1131</v>
      </c>
      <c r="AH81" t="str">
        <f t="shared" si="25"/>
        <v/>
      </c>
      <c r="AI81" t="str">
        <f t="shared" si="26"/>
        <v/>
      </c>
      <c r="AJ81" t="str">
        <f t="shared" si="27"/>
        <v>奢侈服装*44</v>
      </c>
      <c r="AK81" t="str">
        <f t="shared" si="28"/>
        <v/>
      </c>
      <c r="AL81">
        <f>IFERROR(ROUND(L81*(G81/$AU81)/VLOOKUP(F81,商品!$A$4:$C$60,3,FALSE),0),"")</f>
        <v>30</v>
      </c>
      <c r="AM81">
        <f>IFERROR(ROUND(L81*(I81/$AU81)/VLOOKUP(H81,商品!$A$4:$C$60,3,FALSE),0),"")</f>
        <v>23</v>
      </c>
      <c r="AN81">
        <f>IFERROR(ROUND(L81*(J81/$AU81)/VLOOKUP("运力",商品!$A$4:$C$60,3,FALSE),0),0)</f>
        <v>4</v>
      </c>
      <c r="AO81">
        <f>IFERROR(ROUND(L81*(K81/$AU81)/VLOOKUP("运力",商品!$A$4:$C$60,3,FALSE),0),0)</f>
        <v>2</v>
      </c>
      <c r="AP81">
        <f>IFERROR(ROUND(S81*(N81/$AV81)/VLOOKUP(M81,职业!$A$3:$E$16,4,FALSE),0),"")</f>
        <v>1131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44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20" customHeight="1" x14ac:dyDescent="0.3">
      <c r="A82" s="18" t="s">
        <v>304</v>
      </c>
      <c r="C82" s="18">
        <v>4</v>
      </c>
      <c r="D82" s="21" t="s">
        <v>240</v>
      </c>
      <c r="E82" s="21" t="s">
        <v>230</v>
      </c>
      <c r="F82" s="1" t="s">
        <v>130</v>
      </c>
      <c r="G82" s="79">
        <v>40</v>
      </c>
      <c r="H82" s="1" t="s">
        <v>116</v>
      </c>
      <c r="I82" s="79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1900</v>
      </c>
      <c r="M82" s="1" t="s">
        <v>201</v>
      </c>
      <c r="N82" s="1">
        <v>15</v>
      </c>
      <c r="S82" s="18">
        <f>IFERROR(VLOOKUP($D82&amp;$C82,生产方式定位!$A$2:$E$38,3,FALSE)+VLOOKUP($E82&amp;$C82,生产方式定位!$F$3:$J$38,3,FALSE),0)</f>
        <v>90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2600</v>
      </c>
      <c r="Y82" s="24" t="str">
        <f t="shared" si="18"/>
        <v>衣物*34,染料*25,运力*4,交易*2</v>
      </c>
      <c r="Z82" s="34" t="str">
        <f t="shared" si="19"/>
        <v>工程师*1357</v>
      </c>
      <c r="AA82" s="34" t="str">
        <f t="shared" si="16"/>
        <v>奢侈服装*52</v>
      </c>
      <c r="AB82" s="25" t="str">
        <f t="shared" si="20"/>
        <v>37%</v>
      </c>
      <c r="AC82" s="1">
        <f t="shared" si="21"/>
        <v>610</v>
      </c>
      <c r="AD82" s="36">
        <f t="shared" si="17"/>
        <v>4</v>
      </c>
      <c r="AE82" t="str">
        <f t="shared" si="22"/>
        <v>衣物*34</v>
      </c>
      <c r="AF82" t="str">
        <f t="shared" si="23"/>
        <v>染料*25</v>
      </c>
      <c r="AG82" t="str">
        <f t="shared" si="24"/>
        <v>工程师*1357</v>
      </c>
      <c r="AH82" t="str">
        <f t="shared" si="25"/>
        <v/>
      </c>
      <c r="AI82" t="str">
        <f t="shared" si="26"/>
        <v/>
      </c>
      <c r="AJ82" t="str">
        <f t="shared" si="27"/>
        <v>奢侈服装*52</v>
      </c>
      <c r="AK82" t="str">
        <f t="shared" si="28"/>
        <v/>
      </c>
      <c r="AL82">
        <f>IFERROR(ROUND(L82*(G82/$AU82)/VLOOKUP(F82,商品!$A$4:$C$60,3,FALSE),0),"")</f>
        <v>34</v>
      </c>
      <c r="AM82">
        <f>IFERROR(ROUND(L82*(I82/$AU82)/VLOOKUP(H82,商品!$A$4:$C$60,3,FALSE),0),"")</f>
        <v>25</v>
      </c>
      <c r="AN82">
        <f>IFERROR(ROUND(L82*(J82/$AU82)/VLOOKUP("运力",商品!$A$4:$C$60,3,FALSE),0),0)</f>
        <v>4</v>
      </c>
      <c r="AO82">
        <f>IFERROR(ROUND(L82*(K82/$AU82)/VLOOKUP("运力",商品!$A$4:$C$60,3,FALSE),0),0)</f>
        <v>2</v>
      </c>
      <c r="AP82">
        <f>IFERROR(ROUND(S82*(N82/$AV82)/VLOOKUP(M82,职业!$A$3:$E$16,4,FALSE),0),"")</f>
        <v>1357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52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20" customHeight="1" x14ac:dyDescent="0.3">
      <c r="A83" s="18" t="s">
        <v>304</v>
      </c>
      <c r="C83" s="18">
        <v>5</v>
      </c>
      <c r="D83" s="21" t="s">
        <v>240</v>
      </c>
      <c r="E83" s="21" t="s">
        <v>230</v>
      </c>
      <c r="F83" s="1" t="s">
        <v>130</v>
      </c>
      <c r="G83" s="79">
        <v>40</v>
      </c>
      <c r="H83" s="1" t="s">
        <v>116</v>
      </c>
      <c r="I83" s="79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2100</v>
      </c>
      <c r="M83" s="1" t="s">
        <v>201</v>
      </c>
      <c r="N83" s="1">
        <v>20</v>
      </c>
      <c r="S83" s="18">
        <f>IFERROR(VLOOKUP($D83&amp;$C83,生产方式定位!$A$2:$E$38,3,FALSE)+VLOOKUP($E83&amp;$C83,生产方式定位!$F$3:$J$38,3,FALSE),0)</f>
        <v>105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3018</v>
      </c>
      <c r="Y83" s="24" t="str">
        <f t="shared" si="18"/>
        <v>衣物*37,染料*28,运力*5,交易*2</v>
      </c>
      <c r="Z83" s="34" t="str">
        <f t="shared" si="19"/>
        <v>工程师*1584</v>
      </c>
      <c r="AA83" s="34" t="str">
        <f t="shared" si="16"/>
        <v>奢侈服装*60</v>
      </c>
      <c r="AB83" s="25" t="str">
        <f t="shared" si="20"/>
        <v>44%</v>
      </c>
      <c r="AC83" s="1">
        <f t="shared" si="21"/>
        <v>813</v>
      </c>
      <c r="AD83" s="36">
        <f t="shared" si="17"/>
        <v>5</v>
      </c>
      <c r="AE83" t="str">
        <f t="shared" si="22"/>
        <v>衣物*37</v>
      </c>
      <c r="AF83" t="str">
        <f t="shared" si="23"/>
        <v>染料*28</v>
      </c>
      <c r="AG83" t="str">
        <f t="shared" si="24"/>
        <v>工程师*1584</v>
      </c>
      <c r="AH83" t="str">
        <f t="shared" si="25"/>
        <v/>
      </c>
      <c r="AI83" t="str">
        <f t="shared" si="26"/>
        <v/>
      </c>
      <c r="AJ83" t="str">
        <f t="shared" si="27"/>
        <v>奢侈服装*60</v>
      </c>
      <c r="AK83" t="str">
        <f t="shared" si="28"/>
        <v/>
      </c>
      <c r="AL83">
        <f>IFERROR(ROUND(L83*(G83/$AU83)/VLOOKUP(F83,商品!$A$4:$C$60,3,FALSE),0),"")</f>
        <v>37</v>
      </c>
      <c r="AM83">
        <f>IFERROR(ROUND(L83*(I83/$AU83)/VLOOKUP(H83,商品!$A$4:$C$60,3,FALSE),0),"")</f>
        <v>28</v>
      </c>
      <c r="AN83">
        <f>IFERROR(ROUND(L83*(J83/$AU83)/VLOOKUP("运力",商品!$A$4:$C$60,3,FALSE),0),0)</f>
        <v>5</v>
      </c>
      <c r="AO83">
        <f>IFERROR(ROUND(L83*(K83/$AU83)/VLOOKUP("运力",商品!$A$4:$C$60,3,FALSE),0),0)</f>
        <v>2</v>
      </c>
      <c r="AP83">
        <f>IFERROR(ROUND(S83*(N83/$AV83)/VLOOKUP(M83,职业!$A$3:$E$16,4,FALSE),0),"")</f>
        <v>1584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60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20" customHeight="1" x14ac:dyDescent="0.3">
      <c r="A84" s="5" t="s">
        <v>305</v>
      </c>
      <c r="C84" s="5">
        <v>1</v>
      </c>
      <c r="D84" s="21" t="s">
        <v>292</v>
      </c>
      <c r="E84" s="21" t="s">
        <v>225</v>
      </c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20" customHeight="1" x14ac:dyDescent="0.3">
      <c r="A85" s="5" t="s">
        <v>305</v>
      </c>
      <c r="C85" s="5">
        <v>2</v>
      </c>
      <c r="D85" s="21" t="s">
        <v>292</v>
      </c>
      <c r="E85" s="21" t="s">
        <v>225</v>
      </c>
      <c r="F85" s="1" t="s">
        <v>146</v>
      </c>
      <c r="G85" s="1">
        <v>10</v>
      </c>
      <c r="L85" s="5">
        <f>IFERROR(VLOOKUP($D85&amp;$C85,生产方式定位!$A$2:$E$38,2,FALSE)+VLOOKUP($E85&amp;$C85,生产方式定位!$F$3:$J$38,2,FALSE),0)</f>
        <v>750</v>
      </c>
      <c r="M85" s="1" t="s">
        <v>208</v>
      </c>
      <c r="N85" s="1">
        <v>-20</v>
      </c>
      <c r="O85" s="1" t="s">
        <v>201</v>
      </c>
      <c r="P85" s="1">
        <v>5</v>
      </c>
      <c r="S85" s="5">
        <f>IFERROR(VLOOKUP($D85&amp;$C85,生产方式定位!$A$2:$E$38,3,FALSE)+VLOOKUP($E85&amp;$C85,生产方式定位!$F$3:$J$38,3,FALSE),0)</f>
        <v>40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632</v>
      </c>
      <c r="Y85" s="24" t="str">
        <f t="shared" si="18"/>
        <v>工具*19</v>
      </c>
      <c r="Z85" s="34" t="str">
        <f t="shared" si="19"/>
        <v>劳工*-1448,工程师*121</v>
      </c>
      <c r="AA85" s="34" t="str">
        <f t="shared" si="16"/>
        <v>衣物*21</v>
      </c>
      <c r="AB85" s="25" t="str">
        <f t="shared" si="20"/>
        <v>-16%</v>
      </c>
      <c r="AC85" s="1">
        <f t="shared" si="21"/>
        <v>-158</v>
      </c>
      <c r="AD85" s="35">
        <f t="shared" si="17"/>
        <v>2</v>
      </c>
      <c r="AE85" t="str">
        <f t="shared" si="22"/>
        <v>工具*19</v>
      </c>
      <c r="AF85" t="str">
        <f t="shared" si="23"/>
        <v/>
      </c>
      <c r="AG85" t="str">
        <f t="shared" si="24"/>
        <v>劳工*-1448</v>
      </c>
      <c r="AH85" t="str">
        <f t="shared" si="25"/>
        <v>工程师*121</v>
      </c>
      <c r="AI85" t="str">
        <f t="shared" si="26"/>
        <v/>
      </c>
      <c r="AJ85" t="str">
        <f t="shared" si="27"/>
        <v>衣物*21</v>
      </c>
      <c r="AK85" t="str">
        <f t="shared" si="28"/>
        <v/>
      </c>
      <c r="AL85">
        <f>IFERROR(ROUND(L85*(G85/$AU85)/VLOOKUP(F85,商品!$A$4:$C$60,3,FALSE),0),"")</f>
        <v>19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-1448</v>
      </c>
      <c r="AQ85">
        <f>IFERROR(ROUND(S85*(P85/$AV85)/VLOOKUP(O85,职业!$A$3:$E$16,4,FALSE),0),"")</f>
        <v>121</v>
      </c>
      <c r="AR85" t="str">
        <f>IFERROR(ROUND(S85*(R85/$AV85)/VLOOKUP(Q85,职业!$A$3:$E$16,4,FALSE),0),"")</f>
        <v/>
      </c>
      <c r="AS85">
        <f>IFERROR(ROUND(X85*(U85/$AW85)/VLOOKUP(T85,商品!$A$4:$C$60,3,FALSE),0),"")</f>
        <v>21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20" customHeight="1" x14ac:dyDescent="0.3">
      <c r="A86" s="5" t="s">
        <v>305</v>
      </c>
      <c r="C86" s="5">
        <v>3</v>
      </c>
      <c r="D86" s="21" t="s">
        <v>292</v>
      </c>
      <c r="E86" s="21" t="s">
        <v>225</v>
      </c>
      <c r="F86" s="1" t="s">
        <v>124</v>
      </c>
      <c r="G86" s="1">
        <v>10</v>
      </c>
      <c r="L86" s="5">
        <f>IFERROR(VLOOKUP($D86&amp;$C86,生产方式定位!$A$2:$E$38,2,FALSE)+VLOOKUP($E86&amp;$C86,生产方式定位!$F$3:$J$38,2,FALSE),0)</f>
        <v>1000</v>
      </c>
      <c r="M86" s="1" t="s">
        <v>208</v>
      </c>
      <c r="N86" s="1">
        <v>-20</v>
      </c>
      <c r="O86" s="1" t="s">
        <v>201</v>
      </c>
      <c r="P86" s="1">
        <v>7</v>
      </c>
      <c r="S86" s="5">
        <f>IFERROR(VLOOKUP($D86&amp;$C86,生产方式定位!$A$2:$E$38,3,FALSE)+VLOOKUP($E86&amp;$C86,生产方式定位!$F$3:$J$38,3,FALSE),0)</f>
        <v>60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901</v>
      </c>
      <c r="Y86" s="24" t="str">
        <f t="shared" si="18"/>
        <v>磁魔素*20</v>
      </c>
      <c r="Z86" s="34" t="str">
        <f t="shared" si="19"/>
        <v>劳工*-2011,工程师*235</v>
      </c>
      <c r="AA86" s="34" t="str">
        <f t="shared" si="16"/>
        <v>衣物*30</v>
      </c>
      <c r="AB86" s="25" t="str">
        <f t="shared" si="20"/>
        <v>-10%</v>
      </c>
      <c r="AC86" s="1">
        <f t="shared" si="21"/>
        <v>-159</v>
      </c>
      <c r="AD86" s="35">
        <f t="shared" si="17"/>
        <v>3</v>
      </c>
      <c r="AE86" t="str">
        <f t="shared" si="22"/>
        <v>磁魔素*20</v>
      </c>
      <c r="AF86" t="str">
        <f t="shared" si="23"/>
        <v/>
      </c>
      <c r="AG86" t="str">
        <f t="shared" si="24"/>
        <v>劳工*-2011</v>
      </c>
      <c r="AH86" t="str">
        <f t="shared" si="25"/>
        <v>工程师*235</v>
      </c>
      <c r="AI86" t="str">
        <f t="shared" si="26"/>
        <v/>
      </c>
      <c r="AJ86" t="str">
        <f t="shared" si="27"/>
        <v>衣物*30</v>
      </c>
      <c r="AK86" t="str">
        <f t="shared" si="28"/>
        <v/>
      </c>
      <c r="AL86">
        <f>IFERROR(ROUND(L86*(G86/$AU86)/VLOOKUP(F86,商品!$A$4:$C$60,3,FALSE),0),"")</f>
        <v>20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-2011</v>
      </c>
      <c r="AQ86">
        <f>IFERROR(ROUND(S86*(P86/$AV86)/VLOOKUP(O86,职业!$A$3:$E$16,4,FALSE),0),"")</f>
        <v>235</v>
      </c>
      <c r="AR86" t="str">
        <f>IFERROR(ROUND(S86*(R86/$AV86)/VLOOKUP(Q86,职业!$A$3:$E$16,4,FALSE),0),"")</f>
        <v/>
      </c>
      <c r="AS86">
        <f>IFERROR(ROUND(X86*(U86/$AW86)/VLOOKUP(T86,商品!$A$4:$C$60,3,FALSE),0),"")</f>
        <v>30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20" customHeight="1" x14ac:dyDescent="0.3">
      <c r="A87" s="5" t="s">
        <v>305</v>
      </c>
      <c r="C87" s="5">
        <v>4</v>
      </c>
      <c r="D87" s="21" t="s">
        <v>292</v>
      </c>
      <c r="E87" s="21" t="s">
        <v>225</v>
      </c>
      <c r="F87" s="1" t="s">
        <v>150</v>
      </c>
      <c r="G87" s="1">
        <v>10</v>
      </c>
      <c r="L87" s="5">
        <f>IFERROR(VLOOKUP($D87&amp;$C87,生产方式定位!$A$2:$E$38,2,FALSE)+VLOOKUP($E87&amp;$C87,生产方式定位!$F$3:$J$38,2,FALSE),0)</f>
        <v>1250</v>
      </c>
      <c r="M87" s="1" t="s">
        <v>208</v>
      </c>
      <c r="N87" s="1">
        <v>-20</v>
      </c>
      <c r="O87" s="1" t="s">
        <v>201</v>
      </c>
      <c r="P87" s="1">
        <v>9</v>
      </c>
      <c r="S87" s="5">
        <f>IFERROR(VLOOKUP($D87&amp;$C87,生产方式定位!$A$2:$E$38,3,FALSE)+VLOOKUP($E87&amp;$C87,生产方式定位!$F$3:$J$38,3,FALSE),0)</f>
        <v>80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1197</v>
      </c>
      <c r="Y87" s="24" t="str">
        <f t="shared" si="18"/>
        <v>科学引擎*16</v>
      </c>
      <c r="Z87" s="34" t="str">
        <f t="shared" si="19"/>
        <v>劳工*-2496,工程师*374</v>
      </c>
      <c r="AA87" s="34" t="str">
        <f t="shared" si="16"/>
        <v>衣物*40</v>
      </c>
      <c r="AB87" s="25" t="str">
        <f t="shared" si="20"/>
        <v>-4%</v>
      </c>
      <c r="AC87" s="1">
        <f t="shared" si="21"/>
        <v>-133</v>
      </c>
      <c r="AD87" s="35">
        <f t="shared" si="17"/>
        <v>4</v>
      </c>
      <c r="AE87" t="str">
        <f t="shared" si="22"/>
        <v>科学引擎*16</v>
      </c>
      <c r="AF87" t="str">
        <f t="shared" si="23"/>
        <v/>
      </c>
      <c r="AG87" t="str">
        <f t="shared" si="24"/>
        <v>劳工*-2496</v>
      </c>
      <c r="AH87" t="str">
        <f t="shared" si="25"/>
        <v>工程师*374</v>
      </c>
      <c r="AI87" t="str">
        <f t="shared" si="26"/>
        <v/>
      </c>
      <c r="AJ87" t="str">
        <f t="shared" si="27"/>
        <v>衣物*40</v>
      </c>
      <c r="AK87" t="str">
        <f t="shared" si="28"/>
        <v/>
      </c>
      <c r="AL87">
        <f>IFERROR(ROUND(L87*(G87/$AU87)/VLOOKUP(F87,商品!$A$4:$C$60,3,FALSE),0),"")</f>
        <v>16</v>
      </c>
      <c r="AM87" t="str">
        <f>IFERROR(ROUND(L87*(I87/$AU87)/VLOOKUP(H87,商品!$A$4:$C$60,3,FALSE),0),"")</f>
        <v/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-2496</v>
      </c>
      <c r="AQ87">
        <f>IFERROR(ROUND(S87*(P87/$AV87)/VLOOKUP(O87,职业!$A$3:$E$16,4,FALSE),0),"")</f>
        <v>374</v>
      </c>
      <c r="AR87" t="str">
        <f>IFERROR(ROUND(S87*(R87/$AV87)/VLOOKUP(Q87,职业!$A$3:$E$16,4,FALSE),0),"")</f>
        <v/>
      </c>
      <c r="AS87">
        <f>IFERROR(ROUND(X87*(U87/$AW87)/VLOOKUP(T87,商品!$A$4:$C$60,3,FALSE),0),"")</f>
        <v>40</v>
      </c>
      <c r="AT87" t="str">
        <f>IFERROR(ROUND(X87*(W87/$AW87)/VLOOKUP(V87,商品!$A$4:$C$60,3,FALSE),0),"")</f>
        <v/>
      </c>
      <c r="AU87">
        <f t="shared" si="29"/>
        <v>10</v>
      </c>
      <c r="AV87">
        <f t="shared" si="30"/>
        <v>29</v>
      </c>
      <c r="AW87">
        <f t="shared" si="31"/>
        <v>1</v>
      </c>
    </row>
    <row r="88" spans="1:49" ht="20" customHeight="1" x14ac:dyDescent="0.3">
      <c r="A88" s="5" t="s">
        <v>305</v>
      </c>
      <c r="C88" s="5">
        <v>5</v>
      </c>
      <c r="D88" s="21" t="s">
        <v>292</v>
      </c>
      <c r="E88" s="21" t="s">
        <v>225</v>
      </c>
      <c r="F88" s="1" t="s">
        <v>150</v>
      </c>
      <c r="G88" s="1">
        <v>10</v>
      </c>
      <c r="H88" s="1" t="s">
        <v>151</v>
      </c>
      <c r="I88" s="1">
        <v>7</v>
      </c>
      <c r="L88" s="5">
        <f>IFERROR(VLOOKUP($D88&amp;$C88,生产方式定位!$A$2:$E$38,2,FALSE)+VLOOKUP($E88&amp;$C88,生产方式定位!$F$3:$J$38,2,FALSE),0)</f>
        <v>1500</v>
      </c>
      <c r="M88" s="1" t="s">
        <v>208</v>
      </c>
      <c r="N88" s="1">
        <v>-20</v>
      </c>
      <c r="O88" s="1" t="s">
        <v>201</v>
      </c>
      <c r="P88" s="1">
        <v>11</v>
      </c>
      <c r="S88" s="5">
        <f>IFERROR(VLOOKUP($D88&amp;$C88,生产方式定位!$A$2:$E$38,3,FALSE)+VLOOKUP($E88&amp;$C88,生产方式定位!$F$3:$J$38,3,FALSE),0)</f>
        <v>100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1760</v>
      </c>
      <c r="Y88" s="24" t="str">
        <f t="shared" si="18"/>
        <v>科学引擎*11,魔导引擎*8</v>
      </c>
      <c r="Z88" s="34" t="str">
        <f t="shared" si="19"/>
        <v>劳工*-2919,工程师*535</v>
      </c>
      <c r="AA88" s="34" t="str">
        <f t="shared" si="16"/>
        <v>衣物*59</v>
      </c>
      <c r="AB88" s="25" t="str">
        <f t="shared" si="20"/>
        <v>17%</v>
      </c>
      <c r="AC88" s="1">
        <f t="shared" si="21"/>
        <v>160</v>
      </c>
      <c r="AD88" s="35">
        <f t="shared" si="17"/>
        <v>5</v>
      </c>
      <c r="AE88" t="str">
        <f t="shared" si="22"/>
        <v>科学引擎*11</v>
      </c>
      <c r="AF88" t="str">
        <f t="shared" si="23"/>
        <v>魔导引擎*8</v>
      </c>
      <c r="AG88" t="str">
        <f t="shared" si="24"/>
        <v>劳工*-2919</v>
      </c>
      <c r="AH88" t="str">
        <f t="shared" si="25"/>
        <v>工程师*535</v>
      </c>
      <c r="AI88" t="str">
        <f t="shared" si="26"/>
        <v/>
      </c>
      <c r="AJ88" t="str">
        <f t="shared" si="27"/>
        <v>衣物*59</v>
      </c>
      <c r="AK88" t="str">
        <f t="shared" si="28"/>
        <v/>
      </c>
      <c r="AL88">
        <f>IFERROR(ROUND(L88*(G88/$AU88)/VLOOKUP(F88,商品!$A$4:$C$60,3,FALSE),0),"")</f>
        <v>11</v>
      </c>
      <c r="AM88">
        <f>IFERROR(ROUND(L88*(I88/$AU88)/VLOOKUP(H88,商品!$A$4:$C$60,3,FALSE),0),"")</f>
        <v>8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-2919</v>
      </c>
      <c r="AQ88">
        <f>IFERROR(ROUND(S88*(P88/$AV88)/VLOOKUP(O88,职业!$A$3:$E$16,4,FALSE),0),"")</f>
        <v>535</v>
      </c>
      <c r="AR88" t="str">
        <f>IFERROR(ROUND(S88*(R88/$AV88)/VLOOKUP(Q88,职业!$A$3:$E$16,4,FALSE),0),"")</f>
        <v/>
      </c>
      <c r="AS88">
        <f>IFERROR(ROUND(X88*(U88/$AW88)/VLOOKUP(T88,商品!$A$4:$C$60,3,FALSE),0),"")</f>
        <v>59</v>
      </c>
      <c r="AT88" t="str">
        <f>IFERROR(ROUND(X88*(W88/$AW88)/VLOOKUP(V88,商品!$A$4:$C$60,3,FALSE),0),"")</f>
        <v/>
      </c>
      <c r="AU88">
        <f t="shared" si="29"/>
        <v>17</v>
      </c>
      <c r="AV88">
        <f t="shared" si="30"/>
        <v>31</v>
      </c>
      <c r="AW88">
        <f t="shared" si="31"/>
        <v>1</v>
      </c>
    </row>
    <row r="89" spans="1:49" ht="20" customHeight="1" x14ac:dyDescent="0.3">
      <c r="A89" s="18" t="s">
        <v>305</v>
      </c>
      <c r="C89" s="18">
        <v>1</v>
      </c>
      <c r="D89" s="21" t="s">
        <v>292</v>
      </c>
      <c r="E89" s="21" t="s">
        <v>225</v>
      </c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20" customHeight="1" x14ac:dyDescent="0.3">
      <c r="A90" s="18" t="s">
        <v>305</v>
      </c>
      <c r="C90" s="18">
        <v>2</v>
      </c>
      <c r="D90" s="21" t="s">
        <v>292</v>
      </c>
      <c r="E90" s="21" t="s">
        <v>225</v>
      </c>
      <c r="F90" s="1" t="s">
        <v>147</v>
      </c>
      <c r="G90" s="1">
        <v>10</v>
      </c>
      <c r="L90" s="18">
        <f>IFERROR(VLOOKUP($D90&amp;$C90,生产方式定位!$A$2:$E$38,2,FALSE)+VLOOKUP($E90&amp;$C90,生产方式定位!$F$3:$J$38,2,FALSE),0)</f>
        <v>750</v>
      </c>
      <c r="M90" s="1" t="s">
        <v>208</v>
      </c>
      <c r="N90" s="1">
        <v>-20</v>
      </c>
      <c r="O90" s="1" t="s">
        <v>202</v>
      </c>
      <c r="P90" s="1">
        <v>5</v>
      </c>
      <c r="S90" s="18">
        <f>IFERROR(VLOOKUP($D90&amp;$C90,生产方式定位!$A$2:$E$38,3,FALSE)+VLOOKUP($E90&amp;$C90,生产方式定位!$F$3:$J$38,3,FALSE),0)</f>
        <v>40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632</v>
      </c>
      <c r="Y90" s="24" t="str">
        <f t="shared" si="18"/>
        <v>魔偶*19</v>
      </c>
      <c r="Z90" s="34" t="str">
        <f t="shared" si="19"/>
        <v>劳工*-1448,法士*90</v>
      </c>
      <c r="AA90" s="34" t="str">
        <f t="shared" si="16"/>
        <v>衣物*21</v>
      </c>
      <c r="AB90" s="25" t="str">
        <f t="shared" si="20"/>
        <v>-16%</v>
      </c>
      <c r="AC90" s="1">
        <f t="shared" si="21"/>
        <v>-158</v>
      </c>
      <c r="AD90" s="36">
        <f t="shared" si="17"/>
        <v>2</v>
      </c>
      <c r="AE90" t="str">
        <f t="shared" si="22"/>
        <v>魔偶*19</v>
      </c>
      <c r="AF90" t="str">
        <f t="shared" si="23"/>
        <v/>
      </c>
      <c r="AG90" t="str">
        <f t="shared" si="24"/>
        <v>劳工*-1448</v>
      </c>
      <c r="AH90" t="str">
        <f t="shared" si="25"/>
        <v>法士*90</v>
      </c>
      <c r="AI90" t="str">
        <f t="shared" si="26"/>
        <v/>
      </c>
      <c r="AJ90" t="str">
        <f t="shared" si="27"/>
        <v>衣物*21</v>
      </c>
      <c r="AK90" t="str">
        <f t="shared" si="28"/>
        <v/>
      </c>
      <c r="AL90">
        <f>IFERROR(ROUND(L90*(G90/$AU90)/VLOOKUP(F90,商品!$A$4:$C$60,3,FALSE),0),"")</f>
        <v>19</v>
      </c>
      <c r="AM90" t="str">
        <f>IFERROR(ROUND(L90*(I90/$AU90)/VLOOKUP(H90,商品!$A$4:$C$60,3,FALSE),0),"")</f>
        <v/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-1448</v>
      </c>
      <c r="AQ90">
        <f>IFERROR(ROUND(S90*(P90/$AV90)/VLOOKUP(O90,职业!$A$3:$E$16,4,FALSE),0),"")</f>
        <v>90</v>
      </c>
      <c r="AR90" t="str">
        <f>IFERROR(ROUND(S90*(R90/$AV90)/VLOOKUP(Q90,职业!$A$3:$E$16,4,FALSE),0),"")</f>
        <v/>
      </c>
      <c r="AS90">
        <f>IFERROR(ROUND(X90*(U90/$AW90)/VLOOKUP(T90,商品!$A$4:$C$60,3,FALSE),0),"")</f>
        <v>21</v>
      </c>
      <c r="AT90" t="str">
        <f>IFERROR(ROUND(X90*(W90/$AW90)/VLOOKUP(V90,商品!$A$4:$C$60,3,FALSE),0),"")</f>
        <v/>
      </c>
      <c r="AU90">
        <f t="shared" si="29"/>
        <v>10</v>
      </c>
      <c r="AV90">
        <f t="shared" si="30"/>
        <v>25</v>
      </c>
      <c r="AW90">
        <f t="shared" si="31"/>
        <v>1</v>
      </c>
    </row>
    <row r="91" spans="1:49" ht="20" customHeight="1" x14ac:dyDescent="0.3">
      <c r="A91" s="18" t="s">
        <v>305</v>
      </c>
      <c r="C91" s="18">
        <v>3</v>
      </c>
      <c r="D91" s="21" t="s">
        <v>292</v>
      </c>
      <c r="E91" s="21" t="s">
        <v>225</v>
      </c>
      <c r="F91" s="1" t="s">
        <v>125</v>
      </c>
      <c r="G91" s="1">
        <v>10</v>
      </c>
      <c r="L91" s="18">
        <f>IFERROR(VLOOKUP($D91&amp;$C91,生产方式定位!$A$2:$E$38,2,FALSE)+VLOOKUP($E91&amp;$C91,生产方式定位!$F$3:$J$38,2,FALSE),0)</f>
        <v>1000</v>
      </c>
      <c r="M91" s="1" t="s">
        <v>208</v>
      </c>
      <c r="N91" s="1">
        <v>-20</v>
      </c>
      <c r="O91" s="1" t="s">
        <v>202</v>
      </c>
      <c r="P91" s="1">
        <v>7</v>
      </c>
      <c r="S91" s="18">
        <f>IFERROR(VLOOKUP($D91&amp;$C91,生产方式定位!$A$2:$E$38,3,FALSE)+VLOOKUP($E91&amp;$C91,生产方式定位!$F$3:$J$38,3,FALSE),0)</f>
        <v>60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901</v>
      </c>
      <c r="Y91" s="24" t="str">
        <f t="shared" si="18"/>
        <v>泽洛*20</v>
      </c>
      <c r="Z91" s="34" t="str">
        <f t="shared" si="19"/>
        <v>劳工*-2011,法士*176</v>
      </c>
      <c r="AA91" s="34" t="str">
        <f t="shared" si="16"/>
        <v>衣物*30</v>
      </c>
      <c r="AB91" s="25" t="str">
        <f t="shared" si="20"/>
        <v>-10%</v>
      </c>
      <c r="AC91" s="1">
        <f t="shared" si="21"/>
        <v>-159</v>
      </c>
      <c r="AD91" s="36">
        <f t="shared" si="17"/>
        <v>3</v>
      </c>
      <c r="AE91" t="str">
        <f t="shared" si="22"/>
        <v>泽洛*20</v>
      </c>
      <c r="AF91" t="str">
        <f t="shared" si="23"/>
        <v/>
      </c>
      <c r="AG91" t="str">
        <f t="shared" si="24"/>
        <v>劳工*-2011</v>
      </c>
      <c r="AH91" t="str">
        <f t="shared" si="25"/>
        <v>法士*176</v>
      </c>
      <c r="AI91" t="str">
        <f t="shared" si="26"/>
        <v/>
      </c>
      <c r="AJ91" t="str">
        <f t="shared" si="27"/>
        <v>衣物*30</v>
      </c>
      <c r="AK91" t="str">
        <f t="shared" si="28"/>
        <v/>
      </c>
      <c r="AL91">
        <f>IFERROR(ROUND(L91*(G91/$AU91)/VLOOKUP(F91,商品!$A$4:$C$60,3,FALSE),0),"")</f>
        <v>20</v>
      </c>
      <c r="AM91" t="str">
        <f>IFERROR(ROUND(L91*(I91/$AU91)/VLOOKUP(H91,商品!$A$4:$C$60,3,FALSE),0),"")</f>
        <v/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-2011</v>
      </c>
      <c r="AQ91">
        <f>IFERROR(ROUND(S91*(P91/$AV91)/VLOOKUP(O91,职业!$A$3:$E$16,4,FALSE),0),"")</f>
        <v>176</v>
      </c>
      <c r="AR91" t="str">
        <f>IFERROR(ROUND(S91*(R91/$AV91)/VLOOKUP(Q91,职业!$A$3:$E$16,4,FALSE),0),"")</f>
        <v/>
      </c>
      <c r="AS91">
        <f>IFERROR(ROUND(X91*(U91/$AW91)/VLOOKUP(T91,商品!$A$4:$C$60,3,FALSE),0),"")</f>
        <v>30</v>
      </c>
      <c r="AT91" t="str">
        <f>IFERROR(ROUND(X91*(W91/$AW91)/VLOOKUP(V91,商品!$A$4:$C$60,3,FALSE),0),"")</f>
        <v/>
      </c>
      <c r="AU91">
        <f t="shared" si="29"/>
        <v>10</v>
      </c>
      <c r="AV91">
        <f t="shared" si="30"/>
        <v>27</v>
      </c>
      <c r="AW91">
        <f t="shared" si="31"/>
        <v>1</v>
      </c>
    </row>
    <row r="92" spans="1:49" ht="20" customHeight="1" x14ac:dyDescent="0.3">
      <c r="A92" s="18" t="s">
        <v>305</v>
      </c>
      <c r="C92" s="18">
        <v>4</v>
      </c>
      <c r="D92" s="21" t="s">
        <v>292</v>
      </c>
      <c r="E92" s="21" t="s">
        <v>225</v>
      </c>
      <c r="F92" s="1" t="s">
        <v>151</v>
      </c>
      <c r="G92" s="1">
        <v>10</v>
      </c>
      <c r="L92" s="18">
        <f>IFERROR(VLOOKUP($D92&amp;$C92,生产方式定位!$A$2:$E$38,2,FALSE)+VLOOKUP($E92&amp;$C92,生产方式定位!$F$3:$J$38,2,FALSE),0)</f>
        <v>1250</v>
      </c>
      <c r="M92" s="1" t="s">
        <v>208</v>
      </c>
      <c r="N92" s="1">
        <v>-20</v>
      </c>
      <c r="O92" s="1" t="s">
        <v>202</v>
      </c>
      <c r="P92" s="1">
        <v>9</v>
      </c>
      <c r="S92" s="18">
        <f>IFERROR(VLOOKUP($D92&amp;$C92,生产方式定位!$A$2:$E$38,3,FALSE)+VLOOKUP($E92&amp;$C92,生产方式定位!$F$3:$J$38,3,FALSE),0)</f>
        <v>80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1197</v>
      </c>
      <c r="Y92" s="24" t="str">
        <f t="shared" si="18"/>
        <v>魔导引擎*16</v>
      </c>
      <c r="Z92" s="34" t="str">
        <f t="shared" si="19"/>
        <v>劳工*-2496,法士*281</v>
      </c>
      <c r="AA92" s="34" t="str">
        <f t="shared" si="16"/>
        <v>衣物*40</v>
      </c>
      <c r="AB92" s="25" t="str">
        <f t="shared" si="20"/>
        <v>-4%</v>
      </c>
      <c r="AC92" s="1">
        <f t="shared" si="21"/>
        <v>-133</v>
      </c>
      <c r="AD92" s="36">
        <f t="shared" si="17"/>
        <v>4</v>
      </c>
      <c r="AE92" t="str">
        <f t="shared" si="22"/>
        <v>魔导引擎*16</v>
      </c>
      <c r="AF92" t="str">
        <f t="shared" si="23"/>
        <v/>
      </c>
      <c r="AG92" t="str">
        <f t="shared" si="24"/>
        <v>劳工*-2496</v>
      </c>
      <c r="AH92" t="str">
        <f t="shared" si="25"/>
        <v>法士*281</v>
      </c>
      <c r="AI92" t="str">
        <f t="shared" si="26"/>
        <v/>
      </c>
      <c r="AJ92" t="str">
        <f t="shared" si="27"/>
        <v>衣物*40</v>
      </c>
      <c r="AK92" t="str">
        <f t="shared" si="28"/>
        <v/>
      </c>
      <c r="AL92">
        <f>IFERROR(ROUND(L92*(G92/$AU92)/VLOOKUP(F92,商品!$A$4:$C$60,3,FALSE),0),"")</f>
        <v>16</v>
      </c>
      <c r="AM92" t="str">
        <f>IFERROR(ROUND(L92*(I92/$AU92)/VLOOKUP(H92,商品!$A$4:$C$60,3,FALSE),0),"")</f>
        <v/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-2496</v>
      </c>
      <c r="AQ92">
        <f>IFERROR(ROUND(S92*(P92/$AV92)/VLOOKUP(O92,职业!$A$3:$E$16,4,FALSE),0),"")</f>
        <v>281</v>
      </c>
      <c r="AR92" t="str">
        <f>IFERROR(ROUND(S92*(R92/$AV92)/VLOOKUP(Q92,职业!$A$3:$E$16,4,FALSE),0),"")</f>
        <v/>
      </c>
      <c r="AS92">
        <f>IFERROR(ROUND(X92*(U92/$AW92)/VLOOKUP(T92,商品!$A$4:$C$60,3,FALSE),0),"")</f>
        <v>40</v>
      </c>
      <c r="AT92" t="str">
        <f>IFERROR(ROUND(X92*(W92/$AW92)/VLOOKUP(V92,商品!$A$4:$C$60,3,FALSE),0),"")</f>
        <v/>
      </c>
      <c r="AU92">
        <f t="shared" si="29"/>
        <v>10</v>
      </c>
      <c r="AV92">
        <f t="shared" si="30"/>
        <v>29</v>
      </c>
      <c r="AW92">
        <f t="shared" si="31"/>
        <v>1</v>
      </c>
    </row>
    <row r="93" spans="1:49" ht="20" customHeight="1" x14ac:dyDescent="0.3">
      <c r="A93" s="18" t="s">
        <v>305</v>
      </c>
      <c r="C93" s="18">
        <v>5</v>
      </c>
      <c r="D93" s="21" t="s">
        <v>292</v>
      </c>
      <c r="E93" s="21" t="s">
        <v>225</v>
      </c>
      <c r="F93" s="1" t="s">
        <v>150</v>
      </c>
      <c r="G93" s="1">
        <v>7</v>
      </c>
      <c r="H93" s="1" t="s">
        <v>151</v>
      </c>
      <c r="I93" s="1">
        <v>10</v>
      </c>
      <c r="L93" s="18">
        <f>IFERROR(VLOOKUP($D93&amp;$C93,生产方式定位!$A$2:$E$38,2,FALSE)+VLOOKUP($E93&amp;$C93,生产方式定位!$F$3:$J$38,2,FALSE),0)</f>
        <v>1500</v>
      </c>
      <c r="M93" s="1" t="s">
        <v>208</v>
      </c>
      <c r="N93" s="1">
        <v>-20</v>
      </c>
      <c r="O93" s="1" t="s">
        <v>202</v>
      </c>
      <c r="P93" s="1">
        <v>11</v>
      </c>
      <c r="S93" s="18">
        <f>IFERROR(VLOOKUP($D93&amp;$C93,生产方式定位!$A$2:$E$38,3,FALSE)+VLOOKUP($E93&amp;$C93,生产方式定位!$F$3:$J$38,3,FALSE),0)</f>
        <v>100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1760</v>
      </c>
      <c r="Y93" s="24" t="str">
        <f t="shared" si="18"/>
        <v>科学引擎*8,魔导引擎*11</v>
      </c>
      <c r="Z93" s="34" t="str">
        <f t="shared" si="19"/>
        <v>劳工*-2919,法士*401</v>
      </c>
      <c r="AA93" s="34" t="str">
        <f t="shared" si="16"/>
        <v>衣物*59</v>
      </c>
      <c r="AB93" s="25" t="str">
        <f t="shared" si="20"/>
        <v>17%</v>
      </c>
      <c r="AC93" s="1">
        <f t="shared" si="21"/>
        <v>160</v>
      </c>
      <c r="AD93" s="36">
        <f t="shared" si="17"/>
        <v>5</v>
      </c>
      <c r="AE93" t="str">
        <f t="shared" si="22"/>
        <v>科学引擎*8</v>
      </c>
      <c r="AF93" t="str">
        <f t="shared" si="23"/>
        <v>魔导引擎*11</v>
      </c>
      <c r="AG93" t="str">
        <f t="shared" si="24"/>
        <v>劳工*-2919</v>
      </c>
      <c r="AH93" t="str">
        <f t="shared" si="25"/>
        <v>法士*401</v>
      </c>
      <c r="AI93" t="str">
        <f t="shared" si="26"/>
        <v/>
      </c>
      <c r="AJ93" t="str">
        <f t="shared" si="27"/>
        <v>衣物*59</v>
      </c>
      <c r="AK93" t="str">
        <f t="shared" si="28"/>
        <v/>
      </c>
      <c r="AL93">
        <f>IFERROR(ROUND(L93*(G93/$AU93)/VLOOKUP(F93,商品!$A$4:$C$60,3,FALSE),0),"")</f>
        <v>8</v>
      </c>
      <c r="AM93">
        <f>IFERROR(ROUND(L93*(I93/$AU93)/VLOOKUP(H93,商品!$A$4:$C$60,3,FALSE),0),"")</f>
        <v>11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-2919</v>
      </c>
      <c r="AQ93">
        <f>IFERROR(ROUND(S93*(P93/$AV93)/VLOOKUP(O93,职业!$A$3:$E$16,4,FALSE),0),"")</f>
        <v>401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59</v>
      </c>
      <c r="AT93" t="str">
        <f>IFERROR(ROUND(X93*(W93/$AW93)/VLOOKUP(V93,商品!$A$4:$C$60,3,FALSE),0),"")</f>
        <v/>
      </c>
      <c r="AU93">
        <f t="shared" si="29"/>
        <v>17</v>
      </c>
      <c r="AV93">
        <f t="shared" si="30"/>
        <v>31</v>
      </c>
      <c r="AW93">
        <f t="shared" si="31"/>
        <v>1</v>
      </c>
    </row>
    <row r="94" spans="1:49" ht="20" customHeight="1" x14ac:dyDescent="0.3">
      <c r="A94" s="5" t="s">
        <v>306</v>
      </c>
      <c r="C94" s="5">
        <v>1</v>
      </c>
      <c r="D94" s="21" t="s">
        <v>292</v>
      </c>
      <c r="E94" s="21" t="s">
        <v>226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20" customHeight="1" x14ac:dyDescent="0.3">
      <c r="A95" s="5" t="s">
        <v>306</v>
      </c>
      <c r="C95" s="5">
        <v>2</v>
      </c>
      <c r="D95" s="21" t="s">
        <v>292</v>
      </c>
      <c r="E95" s="21" t="s">
        <v>226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20" customHeight="1" x14ac:dyDescent="0.3">
      <c r="A96" s="5" t="s">
        <v>306</v>
      </c>
      <c r="C96" s="5">
        <v>3</v>
      </c>
      <c r="D96" s="21" t="s">
        <v>292</v>
      </c>
      <c r="E96" s="21" t="s">
        <v>226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20" customHeight="1" x14ac:dyDescent="0.3">
      <c r="A97" s="5" t="s">
        <v>306</v>
      </c>
      <c r="C97" s="5">
        <v>4</v>
      </c>
      <c r="D97" s="21" t="s">
        <v>292</v>
      </c>
      <c r="E97" s="21" t="s">
        <v>226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20" customHeight="1" x14ac:dyDescent="0.3">
      <c r="A98" s="5" t="s">
        <v>306</v>
      </c>
      <c r="C98" s="5">
        <v>5</v>
      </c>
      <c r="D98" s="21" t="s">
        <v>292</v>
      </c>
      <c r="E98" s="21" t="s">
        <v>226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20" customHeight="1" x14ac:dyDescent="0.3">
      <c r="A99" s="5" t="s">
        <v>306</v>
      </c>
      <c r="C99" s="5">
        <v>6</v>
      </c>
      <c r="D99" s="21" t="s">
        <v>292</v>
      </c>
      <c r="E99" s="21" t="s">
        <v>226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20" customHeight="1" x14ac:dyDescent="0.3">
      <c r="A100" s="5" t="s">
        <v>306</v>
      </c>
      <c r="C100" s="5">
        <v>7</v>
      </c>
      <c r="D100" s="21" t="s">
        <v>292</v>
      </c>
      <c r="E100" s="21" t="s">
        <v>226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20" customHeight="1" x14ac:dyDescent="0.3">
      <c r="A101" s="5" t="s">
        <v>306</v>
      </c>
      <c r="C101" s="5">
        <v>8</v>
      </c>
      <c r="D101" s="21" t="s">
        <v>292</v>
      </c>
      <c r="E101" s="21" t="s">
        <v>226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20" customHeight="1" x14ac:dyDescent="0.3">
      <c r="A102" s="18" t="s">
        <v>308</v>
      </c>
      <c r="C102" s="18">
        <v>1</v>
      </c>
      <c r="D102" s="21" t="s">
        <v>222</v>
      </c>
      <c r="E102" s="21" t="s">
        <v>224</v>
      </c>
      <c r="F102" s="1" t="s">
        <v>114</v>
      </c>
      <c r="G102" s="1">
        <v>25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600</v>
      </c>
      <c r="M102" s="1" t="s">
        <v>208</v>
      </c>
      <c r="N102" s="1">
        <v>100</v>
      </c>
      <c r="S102" s="18">
        <f>IFERROR(VLOOKUP($D102&amp;$C102,生产方式定位!$A$2:$E$38,3,FALSE)+VLOOKUP($E102&amp;$C102,生产方式定位!$F$3:$J$38,3,FALSE),0)</f>
        <v>150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788</v>
      </c>
      <c r="Y102" s="24" t="str">
        <f t="shared" si="18"/>
        <v>木材*19,运力*3,交易*1</v>
      </c>
      <c r="Z102" s="34" t="str">
        <f t="shared" si="19"/>
        <v>劳工*6787</v>
      </c>
      <c r="AA102" s="34" t="str">
        <f t="shared" si="16"/>
        <v>家具*26</v>
      </c>
      <c r="AB102" s="25" t="str">
        <f t="shared" si="20"/>
        <v>31%</v>
      </c>
      <c r="AC102" s="1">
        <f t="shared" si="21"/>
        <v>38</v>
      </c>
      <c r="AD102" s="36">
        <f t="shared" si="17"/>
        <v>1</v>
      </c>
      <c r="AE102" t="str">
        <f t="shared" si="22"/>
        <v>木材*19</v>
      </c>
      <c r="AF102" t="str">
        <f t="shared" si="23"/>
        <v/>
      </c>
      <c r="AG102" t="str">
        <f t="shared" si="24"/>
        <v>劳工*6787</v>
      </c>
      <c r="AH102" t="str">
        <f t="shared" si="25"/>
        <v/>
      </c>
      <c r="AI102" t="str">
        <f t="shared" si="26"/>
        <v/>
      </c>
      <c r="AJ102" t="str">
        <f t="shared" si="27"/>
        <v>家具*26</v>
      </c>
      <c r="AK102" t="str">
        <f t="shared" si="28"/>
        <v/>
      </c>
      <c r="AL102">
        <f>IFERROR(ROUND(L102*(G102/$AU102)/VLOOKUP(F102,商品!$A$4:$C$60,3,FALSE),0),"")</f>
        <v>19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3</v>
      </c>
      <c r="AO102">
        <f>IFERROR(ROUND(L102*(K102/$AU102)/VLOOKUP("运力",商品!$A$4:$C$60,3,FALSE),0),0)</f>
        <v>1</v>
      </c>
      <c r="AP102">
        <f>IFERROR(ROUND(S102*(N102/$AV102)/VLOOKUP(M102,职业!$A$3:$E$16,4,FALSE),0),"")</f>
        <v>6787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26</v>
      </c>
      <c r="AT102" t="str">
        <f>IFERROR(ROUND(X102*(W102/$AW102)/VLOOKUP(V102,商品!$A$4:$C$60,3,FALSE),0),"")</f>
        <v/>
      </c>
      <c r="AU102">
        <f t="shared" si="29"/>
        <v>40</v>
      </c>
      <c r="AV102">
        <f t="shared" si="30"/>
        <v>100</v>
      </c>
      <c r="AW102">
        <f t="shared" si="31"/>
        <v>1</v>
      </c>
    </row>
    <row r="103" spans="1:49" ht="20" customHeight="1" x14ac:dyDescent="0.3">
      <c r="A103" s="18" t="s">
        <v>308</v>
      </c>
      <c r="C103" s="18">
        <v>2</v>
      </c>
      <c r="D103" s="21" t="s">
        <v>222</v>
      </c>
      <c r="E103" s="21" t="s">
        <v>224</v>
      </c>
      <c r="F103" s="1" t="s">
        <v>114</v>
      </c>
      <c r="G103" s="79">
        <v>25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1200</v>
      </c>
      <c r="M103" s="1" t="s">
        <v>208</v>
      </c>
      <c r="N103" s="1">
        <v>100</v>
      </c>
      <c r="O103" s="1" t="s">
        <v>201</v>
      </c>
      <c r="P103" s="1">
        <v>5</v>
      </c>
      <c r="S103" s="18">
        <f>IFERROR(VLOOKUP($D103&amp;$C103,生产方式定位!$A$2:$E$38,3,FALSE)+VLOOKUP($E103&amp;$C103,生产方式定位!$F$3:$J$38,3,FALSE),0)</f>
        <v>140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1390</v>
      </c>
      <c r="Y103" s="24" t="str">
        <f t="shared" si="18"/>
        <v>木材*38,运力*5,交易*3</v>
      </c>
      <c r="Z103" s="34" t="str">
        <f t="shared" si="19"/>
        <v>劳工*6033,工程师*101</v>
      </c>
      <c r="AA103" s="34" t="str">
        <f t="shared" si="16"/>
        <v>家具*46</v>
      </c>
      <c r="AB103" s="25" t="str">
        <f t="shared" si="20"/>
        <v>16%</v>
      </c>
      <c r="AC103" s="1">
        <f t="shared" si="21"/>
        <v>50</v>
      </c>
      <c r="AD103" s="36">
        <f t="shared" si="17"/>
        <v>2</v>
      </c>
      <c r="AE103" t="str">
        <f t="shared" si="22"/>
        <v>木材*38</v>
      </c>
      <c r="AF103" t="str">
        <f t="shared" si="23"/>
        <v/>
      </c>
      <c r="AG103" t="str">
        <f t="shared" si="24"/>
        <v>劳工*6033</v>
      </c>
      <c r="AH103" t="str">
        <f t="shared" si="25"/>
        <v>工程师*101</v>
      </c>
      <c r="AI103" t="str">
        <f t="shared" si="26"/>
        <v/>
      </c>
      <c r="AJ103" t="str">
        <f t="shared" si="27"/>
        <v>家具*46</v>
      </c>
      <c r="AK103" t="str">
        <f t="shared" si="28"/>
        <v/>
      </c>
      <c r="AL103">
        <f>IFERROR(ROUND(L103*(G103/$AU103)/VLOOKUP(F103,商品!$A$4:$C$60,3,FALSE),0),"")</f>
        <v>38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5</v>
      </c>
      <c r="AO103">
        <f>IFERROR(ROUND(L103*(K103/$AU103)/VLOOKUP("运力",商品!$A$4:$C$60,3,FALSE),0),0)</f>
        <v>3</v>
      </c>
      <c r="AP103">
        <f>IFERROR(ROUND(S103*(N103/$AV103)/VLOOKUP(M103,职业!$A$3:$E$16,4,FALSE),0),"")</f>
        <v>6033</v>
      </c>
      <c r="AQ103">
        <f>IFERROR(ROUND(S103*(P103/$AV103)/VLOOKUP(O103,职业!$A$3:$E$16,4,FALSE),0),"")</f>
        <v>101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46</v>
      </c>
      <c r="AT103" t="str">
        <f>IFERROR(ROUND(X103*(W103/$AW103)/VLOOKUP(V103,商品!$A$4:$C$60,3,FALSE),0),"")</f>
        <v/>
      </c>
      <c r="AU103">
        <f t="shared" si="29"/>
        <v>40</v>
      </c>
      <c r="AV103">
        <f t="shared" si="30"/>
        <v>105</v>
      </c>
      <c r="AW103">
        <f t="shared" si="31"/>
        <v>1</v>
      </c>
    </row>
    <row r="104" spans="1:49" ht="20" customHeight="1" x14ac:dyDescent="0.3">
      <c r="A104" s="18" t="s">
        <v>308</v>
      </c>
      <c r="C104" s="18">
        <v>3</v>
      </c>
      <c r="D104" s="21" t="s">
        <v>222</v>
      </c>
      <c r="E104" s="21" t="s">
        <v>224</v>
      </c>
      <c r="F104" s="1" t="s">
        <v>114</v>
      </c>
      <c r="G104" s="79">
        <v>25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1425</v>
      </c>
      <c r="M104" s="1" t="s">
        <v>208</v>
      </c>
      <c r="N104" s="1">
        <v>100</v>
      </c>
      <c r="O104" s="1" t="s">
        <v>201</v>
      </c>
      <c r="P104" s="1">
        <v>10</v>
      </c>
      <c r="S104" s="18">
        <f>IFERROR(VLOOKUP($D104&amp;$C104,生产方式定位!$A$2:$E$38,3,FALSE)+VLOOKUP($E104&amp;$C104,生产方式定位!$F$3:$J$38,3,FALSE),0)</f>
        <v>130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1618</v>
      </c>
      <c r="Y104" s="24" t="str">
        <f t="shared" si="18"/>
        <v>木材*45,运力*6,交易*3</v>
      </c>
      <c r="Z104" s="34" t="str">
        <f t="shared" si="19"/>
        <v>劳工*5348,工程师*178</v>
      </c>
      <c r="AA104" s="34" t="str">
        <f t="shared" si="16"/>
        <v>家具*54</v>
      </c>
      <c r="AB104" s="25" t="str">
        <f t="shared" si="20"/>
        <v>14%</v>
      </c>
      <c r="AC104" s="1">
        <f t="shared" si="21"/>
        <v>63</v>
      </c>
      <c r="AD104" s="35">
        <f t="shared" si="17"/>
        <v>3</v>
      </c>
      <c r="AE104" t="str">
        <f t="shared" si="22"/>
        <v>木材*45</v>
      </c>
      <c r="AF104" t="str">
        <f t="shared" si="23"/>
        <v/>
      </c>
      <c r="AG104" t="str">
        <f t="shared" si="24"/>
        <v>劳工*5348</v>
      </c>
      <c r="AH104" t="str">
        <f t="shared" si="25"/>
        <v>工程师*178</v>
      </c>
      <c r="AI104" t="str">
        <f t="shared" si="26"/>
        <v/>
      </c>
      <c r="AJ104" t="str">
        <f t="shared" si="27"/>
        <v>家具*54</v>
      </c>
      <c r="AK104" t="str">
        <f t="shared" si="28"/>
        <v/>
      </c>
      <c r="AL104">
        <f>IFERROR(ROUND(L104*(G104/$AU104)/VLOOKUP(F104,商品!$A$4:$C$60,3,FALSE),0),"")</f>
        <v>45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6</v>
      </c>
      <c r="AO104">
        <f>IFERROR(ROUND(L104*(K104/$AU104)/VLOOKUP("运力",商品!$A$4:$C$60,3,FALSE),0),0)</f>
        <v>3</v>
      </c>
      <c r="AP104">
        <f>IFERROR(ROUND(S104*(N104/$AV104)/VLOOKUP(M104,职业!$A$3:$E$16,4,FALSE),0),"")</f>
        <v>5348</v>
      </c>
      <c r="AQ104">
        <f>IFERROR(ROUND(S104*(P104/$AV104)/VLOOKUP(O104,职业!$A$3:$E$16,4,FALSE),0),"")</f>
        <v>178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54</v>
      </c>
      <c r="AT104" t="str">
        <f>IFERROR(ROUND(X104*(W104/$AW104)/VLOOKUP(V104,商品!$A$4:$C$60,3,FALSE),0),"")</f>
        <v/>
      </c>
      <c r="AU104">
        <f t="shared" si="29"/>
        <v>40</v>
      </c>
      <c r="AV104">
        <f t="shared" si="30"/>
        <v>110</v>
      </c>
      <c r="AW104">
        <f t="shared" si="31"/>
        <v>1</v>
      </c>
    </row>
    <row r="105" spans="1:49" ht="20" customHeight="1" x14ac:dyDescent="0.3">
      <c r="A105" s="18" t="s">
        <v>308</v>
      </c>
      <c r="C105" s="18">
        <v>4</v>
      </c>
      <c r="D105" s="21" t="s">
        <v>222</v>
      </c>
      <c r="E105" s="21" t="s">
        <v>224</v>
      </c>
      <c r="F105" s="1" t="s">
        <v>114</v>
      </c>
      <c r="G105" s="79">
        <v>25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1650</v>
      </c>
      <c r="M105" s="1" t="s">
        <v>208</v>
      </c>
      <c r="N105" s="1">
        <v>100</v>
      </c>
      <c r="O105" s="1" t="s">
        <v>201</v>
      </c>
      <c r="P105" s="1">
        <v>15</v>
      </c>
      <c r="S105" s="18">
        <f>IFERROR(VLOOKUP($D105&amp;$C105,生产方式定位!$A$2:$E$38,3,FALSE)+VLOOKUP($E105&amp;$C105,生产方式定位!$F$3:$J$38,3,FALSE),0)</f>
        <v>120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1845</v>
      </c>
      <c r="Y105" s="24" t="str">
        <f t="shared" si="18"/>
        <v>木材*52,运力*7,交易*3</v>
      </c>
      <c r="Z105" s="34" t="str">
        <f t="shared" si="19"/>
        <v>劳工*4722,工程师*236</v>
      </c>
      <c r="AA105" s="34" t="str">
        <f t="shared" si="16"/>
        <v>家具*62</v>
      </c>
      <c r="AB105" s="25" t="str">
        <f t="shared" si="20"/>
        <v>12%</v>
      </c>
      <c r="AC105" s="1">
        <f t="shared" si="21"/>
        <v>75</v>
      </c>
      <c r="AD105" s="35">
        <f t="shared" si="17"/>
        <v>4</v>
      </c>
      <c r="AE105" t="str">
        <f t="shared" si="22"/>
        <v>木材*52</v>
      </c>
      <c r="AF105" t="str">
        <f t="shared" si="23"/>
        <v/>
      </c>
      <c r="AG105" t="str">
        <f t="shared" si="24"/>
        <v>劳工*4722</v>
      </c>
      <c r="AH105" t="str">
        <f t="shared" si="25"/>
        <v>工程师*236</v>
      </c>
      <c r="AI105" t="str">
        <f t="shared" si="26"/>
        <v/>
      </c>
      <c r="AJ105" t="str">
        <f t="shared" si="27"/>
        <v>家具*62</v>
      </c>
      <c r="AK105" t="str">
        <f t="shared" si="28"/>
        <v/>
      </c>
      <c r="AL105">
        <f>IFERROR(ROUND(L105*(G105/$AU105)/VLOOKUP(F105,商品!$A$4:$C$60,3,FALSE),0),"")</f>
        <v>52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7</v>
      </c>
      <c r="AO105">
        <f>IFERROR(ROUND(L105*(K105/$AU105)/VLOOKUP("运力",商品!$A$4:$C$60,3,FALSE),0),0)</f>
        <v>3</v>
      </c>
      <c r="AP105">
        <f>IFERROR(ROUND(S105*(N105/$AV105)/VLOOKUP(M105,职业!$A$3:$E$16,4,FALSE),0),"")</f>
        <v>4722</v>
      </c>
      <c r="AQ105">
        <f>IFERROR(ROUND(S105*(P105/$AV105)/VLOOKUP(O105,职业!$A$3:$E$16,4,FALSE),0),"")</f>
        <v>236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62</v>
      </c>
      <c r="AT105" t="str">
        <f>IFERROR(ROUND(X105*(W105/$AW105)/VLOOKUP(V105,商品!$A$4:$C$60,3,FALSE),0),"")</f>
        <v/>
      </c>
      <c r="AU105">
        <f t="shared" si="29"/>
        <v>40</v>
      </c>
      <c r="AV105">
        <f t="shared" si="30"/>
        <v>115</v>
      </c>
      <c r="AW105">
        <f t="shared" si="31"/>
        <v>1</v>
      </c>
    </row>
    <row r="106" spans="1:49" ht="20" customHeight="1" x14ac:dyDescent="0.3">
      <c r="A106" s="18" t="s">
        <v>308</v>
      </c>
      <c r="C106" s="18">
        <v>5</v>
      </c>
      <c r="D106" s="21" t="s">
        <v>222</v>
      </c>
      <c r="E106" s="21" t="s">
        <v>224</v>
      </c>
      <c r="F106" s="1" t="s">
        <v>114</v>
      </c>
      <c r="G106" s="79">
        <v>25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1875</v>
      </c>
      <c r="M106" s="1" t="s">
        <v>208</v>
      </c>
      <c r="N106" s="1">
        <v>100</v>
      </c>
      <c r="O106" s="1" t="s">
        <v>201</v>
      </c>
      <c r="P106" s="1">
        <v>20</v>
      </c>
      <c r="S106" s="18">
        <f>IFERROR(VLOOKUP($D106&amp;$C106,生产方式定位!$A$2:$E$38,3,FALSE)+VLOOKUP($E106&amp;$C106,生产方式定位!$F$3:$J$38,3,FALSE),0)</f>
        <v>110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2073</v>
      </c>
      <c r="Y106" s="24" t="str">
        <f t="shared" si="18"/>
        <v>木材*59,运力*8,交易*4</v>
      </c>
      <c r="Z106" s="34" t="str">
        <f t="shared" si="19"/>
        <v>劳工*4148,工程师*277</v>
      </c>
      <c r="AA106" s="34" t="str">
        <f t="shared" si="16"/>
        <v>家具*69</v>
      </c>
      <c r="AB106" s="25" t="str">
        <f t="shared" si="20"/>
        <v>11%</v>
      </c>
      <c r="AC106" s="1">
        <f t="shared" si="21"/>
        <v>88</v>
      </c>
      <c r="AD106" s="35">
        <f t="shared" si="17"/>
        <v>5</v>
      </c>
      <c r="AE106" t="str">
        <f t="shared" si="22"/>
        <v>木材*59</v>
      </c>
      <c r="AF106" t="str">
        <f t="shared" si="23"/>
        <v/>
      </c>
      <c r="AG106" t="str">
        <f t="shared" si="24"/>
        <v>劳工*4148</v>
      </c>
      <c r="AH106" t="str">
        <f t="shared" si="25"/>
        <v>工程师*277</v>
      </c>
      <c r="AI106" t="str">
        <f t="shared" si="26"/>
        <v/>
      </c>
      <c r="AJ106" t="str">
        <f t="shared" si="27"/>
        <v>家具*69</v>
      </c>
      <c r="AK106" t="str">
        <f t="shared" si="28"/>
        <v/>
      </c>
      <c r="AL106">
        <f>IFERROR(ROUND(L106*(G106/$AU106)/VLOOKUP(F106,商品!$A$4:$C$60,3,FALSE),0),"")</f>
        <v>59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8</v>
      </c>
      <c r="AO106">
        <f>IFERROR(ROUND(L106*(K106/$AU106)/VLOOKUP("运力",商品!$A$4:$C$60,3,FALSE),0),0)</f>
        <v>4</v>
      </c>
      <c r="AP106">
        <f>IFERROR(ROUND(S106*(N106/$AV106)/VLOOKUP(M106,职业!$A$3:$E$16,4,FALSE),0),"")</f>
        <v>4148</v>
      </c>
      <c r="AQ106">
        <f>IFERROR(ROUND(S106*(P106/$AV106)/VLOOKUP(O106,职业!$A$3:$E$16,4,FALSE),0),"")</f>
        <v>277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69</v>
      </c>
      <c r="AT106" t="str">
        <f>IFERROR(ROUND(X106*(W106/$AW106)/VLOOKUP(V106,商品!$A$4:$C$60,3,FALSE),0),"")</f>
        <v/>
      </c>
      <c r="AU106">
        <f t="shared" si="29"/>
        <v>40</v>
      </c>
      <c r="AV106">
        <f t="shared" si="30"/>
        <v>120</v>
      </c>
      <c r="AW106">
        <f t="shared" si="31"/>
        <v>1</v>
      </c>
    </row>
    <row r="107" spans="1:49" ht="20" customHeight="1" x14ac:dyDescent="0.3">
      <c r="A107" s="5" t="s">
        <v>309</v>
      </c>
      <c r="C107" s="5">
        <v>1</v>
      </c>
      <c r="D107" s="21" t="s">
        <v>240</v>
      </c>
      <c r="E107" s="21" t="s">
        <v>230</v>
      </c>
      <c r="L107" s="5">
        <f>IFERROR(VLOOKUP($D107&amp;$C107,生产方式定位!$A$2:$E$38,2,FALSE)+VLOOKUP($E107&amp;$C107,生产方式定位!$F$3:$J$38,2,FALSE),0)</f>
        <v>1000</v>
      </c>
      <c r="S107" s="5">
        <f>IFERROR(VLOOKUP($D107&amp;$C107,生产方式定位!$A$2:$E$38,3,FALSE)+VLOOKUP($E107&amp;$C107,生产方式定位!$F$3:$J$38,3,FALSE),0)</f>
        <v>40</v>
      </c>
      <c r="X107" s="5">
        <f>IFERROR(VLOOKUP($D107&amp;$C107,生产方式定位!$A$2:$E$38,5,FALSE)+VLOOKUP($E107&amp;$C107,生产方式定位!$F$3:$J$38,5,FALSE),"错误")</f>
        <v>1144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14%</v>
      </c>
      <c r="AC107" s="1">
        <f t="shared" si="21"/>
        <v>104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20" customHeight="1" x14ac:dyDescent="0.3">
      <c r="A108" s="5" t="s">
        <v>309</v>
      </c>
      <c r="C108" s="5">
        <v>2</v>
      </c>
      <c r="D108" s="21" t="s">
        <v>240</v>
      </c>
      <c r="E108" s="21" t="s">
        <v>230</v>
      </c>
      <c r="H108" s="1" t="s">
        <v>117</v>
      </c>
      <c r="I108" s="1">
        <v>20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1500</v>
      </c>
      <c r="M108" s="1" t="s">
        <v>201</v>
      </c>
      <c r="N108" s="1">
        <v>5</v>
      </c>
      <c r="S108" s="5">
        <f>IFERROR(VLOOKUP($D108&amp;$C108,生产方式定位!$A$2:$E$38,3,FALSE)+VLOOKUP($E108&amp;$C108,生产方式定位!$F$3:$J$38,3,FALSE),0)</f>
        <v>60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1831</v>
      </c>
      <c r="Y108" s="24" t="str">
        <f t="shared" si="18"/>
        <v>,硬木*21,运力*4,交易*7</v>
      </c>
      <c r="Z108" s="34" t="str">
        <f t="shared" si="19"/>
        <v>工程师*905</v>
      </c>
      <c r="AA108" s="34" t="str">
        <f t="shared" si="16"/>
        <v>奢侈家具*37</v>
      </c>
      <c r="AB108" s="25" t="str">
        <f t="shared" si="20"/>
        <v>22%</v>
      </c>
      <c r="AC108" s="1">
        <f t="shared" si="21"/>
        <v>271</v>
      </c>
      <c r="AD108" s="35">
        <f t="shared" si="17"/>
        <v>2</v>
      </c>
      <c r="AE108" t="str">
        <f t="shared" si="22"/>
        <v/>
      </c>
      <c r="AF108" t="str">
        <f t="shared" si="23"/>
        <v>硬木*21</v>
      </c>
      <c r="AG108" t="str">
        <f t="shared" si="24"/>
        <v>工程师*905</v>
      </c>
      <c r="AH108" t="str">
        <f t="shared" si="25"/>
        <v/>
      </c>
      <c r="AI108" t="str">
        <f t="shared" si="26"/>
        <v/>
      </c>
      <c r="AJ108" t="str">
        <f t="shared" si="27"/>
        <v>奢侈家具*37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21</v>
      </c>
      <c r="AN108">
        <f>IFERROR(ROUND(L108*(J108/$AU108)/VLOOKUP("运力",商品!$A$4:$C$60,3,FALSE),0),0)</f>
        <v>4</v>
      </c>
      <c r="AO108">
        <f>IFERROR(ROUND(L108*(K108/$AU108)/VLOOKUP("运力",商品!$A$4:$C$60,3,FALSE),0),0)</f>
        <v>7</v>
      </c>
      <c r="AP108">
        <f>IFERROR(ROUND(S108*(N108/$AV108)/VLOOKUP(M108,职业!$A$3:$E$16,4,FALSE),0),"")</f>
        <v>905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37</v>
      </c>
      <c r="AT108" t="str">
        <f>IFERROR(ROUND(X108*(W108/$AW108)/VLOOKUP(V108,商品!$A$4:$C$60,3,FALSE),0),"")</f>
        <v/>
      </c>
      <c r="AU108">
        <f t="shared" si="29"/>
        <v>35</v>
      </c>
      <c r="AV108">
        <f t="shared" si="30"/>
        <v>5</v>
      </c>
      <c r="AW108">
        <f t="shared" si="31"/>
        <v>1</v>
      </c>
    </row>
    <row r="109" spans="1:49" ht="20" customHeight="1" x14ac:dyDescent="0.3">
      <c r="A109" s="5" t="s">
        <v>309</v>
      </c>
      <c r="C109" s="5">
        <v>3</v>
      </c>
      <c r="D109" s="21" t="s">
        <v>240</v>
      </c>
      <c r="E109" s="21" t="s">
        <v>230</v>
      </c>
      <c r="G109" s="79"/>
      <c r="H109" s="1" t="s">
        <v>117</v>
      </c>
      <c r="I109" s="79">
        <v>20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1700</v>
      </c>
      <c r="M109" s="1" t="s">
        <v>201</v>
      </c>
      <c r="N109" s="1">
        <v>10</v>
      </c>
      <c r="S109" s="5">
        <f>IFERROR(VLOOKUP($D109&amp;$C109,生产方式定位!$A$2:$E$38,3,FALSE)+VLOOKUP($E109&amp;$C109,生产方式定位!$F$3:$J$38,3,FALSE),0)</f>
        <v>75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2205</v>
      </c>
      <c r="Y109" s="24" t="str">
        <f t="shared" si="18"/>
        <v>,硬木*24,运力*4,交易*8</v>
      </c>
      <c r="Z109" s="34" t="str">
        <f t="shared" si="19"/>
        <v>工程师*1131</v>
      </c>
      <c r="AA109" s="34" t="str">
        <f t="shared" si="16"/>
        <v>奢侈家具*44</v>
      </c>
      <c r="AB109" s="25" t="str">
        <f t="shared" si="20"/>
        <v>30%</v>
      </c>
      <c r="AC109" s="1">
        <f t="shared" si="21"/>
        <v>430</v>
      </c>
      <c r="AD109" s="35">
        <f t="shared" si="17"/>
        <v>3</v>
      </c>
      <c r="AE109" t="str">
        <f t="shared" si="22"/>
        <v/>
      </c>
      <c r="AF109" t="str">
        <f t="shared" si="23"/>
        <v>硬木*24</v>
      </c>
      <c r="AG109" t="str">
        <f t="shared" si="24"/>
        <v>工程师*1131</v>
      </c>
      <c r="AH109" t="str">
        <f t="shared" si="25"/>
        <v/>
      </c>
      <c r="AI109" t="str">
        <f t="shared" si="26"/>
        <v/>
      </c>
      <c r="AJ109" t="str">
        <f t="shared" si="27"/>
        <v>奢侈家具*44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24</v>
      </c>
      <c r="AN109">
        <f>IFERROR(ROUND(L109*(J109/$AU109)/VLOOKUP("运力",商品!$A$4:$C$60,3,FALSE),0),0)</f>
        <v>4</v>
      </c>
      <c r="AO109">
        <f>IFERROR(ROUND(L109*(K109/$AU109)/VLOOKUP("运力",商品!$A$4:$C$60,3,FALSE),0),0)</f>
        <v>8</v>
      </c>
      <c r="AP109">
        <f>IFERROR(ROUND(S109*(N109/$AV109)/VLOOKUP(M109,职业!$A$3:$E$16,4,FALSE),0),"")</f>
        <v>1131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44</v>
      </c>
      <c r="AT109" t="str">
        <f>IFERROR(ROUND(X109*(W109/$AW109)/VLOOKUP(V109,商品!$A$4:$C$60,3,FALSE),0),"")</f>
        <v/>
      </c>
      <c r="AU109">
        <f t="shared" si="29"/>
        <v>35</v>
      </c>
      <c r="AV109">
        <f t="shared" si="30"/>
        <v>10</v>
      </c>
      <c r="AW109">
        <f t="shared" si="31"/>
        <v>1</v>
      </c>
    </row>
    <row r="110" spans="1:49" ht="20" customHeight="1" x14ac:dyDescent="0.3">
      <c r="A110" s="5" t="s">
        <v>309</v>
      </c>
      <c r="C110" s="5">
        <v>4</v>
      </c>
      <c r="D110" s="21" t="s">
        <v>240</v>
      </c>
      <c r="E110" s="21" t="s">
        <v>230</v>
      </c>
      <c r="G110" s="79"/>
      <c r="H110" s="1" t="s">
        <v>117</v>
      </c>
      <c r="I110" s="79">
        <v>20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1900</v>
      </c>
      <c r="M110" s="1" t="s">
        <v>201</v>
      </c>
      <c r="N110" s="1">
        <v>15</v>
      </c>
      <c r="S110" s="5">
        <f>IFERROR(VLOOKUP($D110&amp;$C110,生产方式定位!$A$2:$E$38,3,FALSE)+VLOOKUP($E110&amp;$C110,生产方式定位!$F$3:$J$38,3,FALSE),0)</f>
        <v>90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2600</v>
      </c>
      <c r="Y110" s="24" t="str">
        <f t="shared" si="18"/>
        <v>,硬木*27,运力*5,交易*9</v>
      </c>
      <c r="Z110" s="34" t="str">
        <f t="shared" si="19"/>
        <v>工程师*1357</v>
      </c>
      <c r="AA110" s="34" t="str">
        <f t="shared" si="16"/>
        <v>奢侈家具*52</v>
      </c>
      <c r="AB110" s="25" t="str">
        <f t="shared" si="20"/>
        <v>37%</v>
      </c>
      <c r="AC110" s="1">
        <f t="shared" si="21"/>
        <v>610</v>
      </c>
      <c r="AD110" s="35">
        <f t="shared" si="17"/>
        <v>4</v>
      </c>
      <c r="AE110" t="str">
        <f t="shared" si="22"/>
        <v/>
      </c>
      <c r="AF110" t="str">
        <f t="shared" si="23"/>
        <v>硬木*27</v>
      </c>
      <c r="AG110" t="str">
        <f t="shared" si="24"/>
        <v>工程师*1357</v>
      </c>
      <c r="AH110" t="str">
        <f t="shared" si="25"/>
        <v/>
      </c>
      <c r="AI110" t="str">
        <f t="shared" si="26"/>
        <v/>
      </c>
      <c r="AJ110" t="str">
        <f t="shared" si="27"/>
        <v>奢侈家具*52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27</v>
      </c>
      <c r="AN110">
        <f>IFERROR(ROUND(L110*(J110/$AU110)/VLOOKUP("运力",商品!$A$4:$C$60,3,FALSE),0),0)</f>
        <v>5</v>
      </c>
      <c r="AO110">
        <f>IFERROR(ROUND(L110*(K110/$AU110)/VLOOKUP("运力",商品!$A$4:$C$60,3,FALSE),0),0)</f>
        <v>9</v>
      </c>
      <c r="AP110">
        <f>IFERROR(ROUND(S110*(N110/$AV110)/VLOOKUP(M110,职业!$A$3:$E$16,4,FALSE),0),"")</f>
        <v>1357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52</v>
      </c>
      <c r="AT110" t="str">
        <f>IFERROR(ROUND(X110*(W110/$AW110)/VLOOKUP(V110,商品!$A$4:$C$60,3,FALSE),0),"")</f>
        <v/>
      </c>
      <c r="AU110">
        <f t="shared" si="29"/>
        <v>35</v>
      </c>
      <c r="AV110">
        <f t="shared" si="30"/>
        <v>15</v>
      </c>
      <c r="AW110">
        <f t="shared" si="31"/>
        <v>1</v>
      </c>
    </row>
    <row r="111" spans="1:49" ht="20" customHeight="1" x14ac:dyDescent="0.3">
      <c r="A111" s="5" t="s">
        <v>309</v>
      </c>
      <c r="C111" s="5">
        <v>5</v>
      </c>
      <c r="D111" s="21" t="s">
        <v>240</v>
      </c>
      <c r="E111" s="21" t="s">
        <v>230</v>
      </c>
      <c r="G111" s="79"/>
      <c r="H111" s="1" t="s">
        <v>117</v>
      </c>
      <c r="I111" s="79">
        <v>20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2100</v>
      </c>
      <c r="M111" s="1" t="s">
        <v>201</v>
      </c>
      <c r="N111" s="1">
        <v>20</v>
      </c>
      <c r="S111" s="5">
        <f>IFERROR(VLOOKUP($D111&amp;$C111,生产方式定位!$A$2:$E$38,3,FALSE)+VLOOKUP($E111&amp;$C111,生产方式定位!$F$3:$J$38,3,FALSE),0)</f>
        <v>105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3018</v>
      </c>
      <c r="Y111" s="24" t="str">
        <f t="shared" si="18"/>
        <v>,硬木*30,运力*5,交易*10</v>
      </c>
      <c r="Z111" s="34" t="str">
        <f t="shared" si="19"/>
        <v>工程师*1584</v>
      </c>
      <c r="AA111" s="34" t="str">
        <f t="shared" si="16"/>
        <v>奢侈家具*60</v>
      </c>
      <c r="AB111" s="25" t="str">
        <f t="shared" si="20"/>
        <v>44%</v>
      </c>
      <c r="AC111" s="1">
        <f t="shared" si="21"/>
        <v>813</v>
      </c>
      <c r="AD111" s="35">
        <f t="shared" si="17"/>
        <v>5</v>
      </c>
      <c r="AE111" t="str">
        <f t="shared" si="22"/>
        <v/>
      </c>
      <c r="AF111" t="str">
        <f t="shared" si="23"/>
        <v>硬木*30</v>
      </c>
      <c r="AG111" t="str">
        <f t="shared" si="24"/>
        <v>工程师*1584</v>
      </c>
      <c r="AH111" t="str">
        <f t="shared" si="25"/>
        <v/>
      </c>
      <c r="AI111" t="str">
        <f t="shared" si="26"/>
        <v/>
      </c>
      <c r="AJ111" t="str">
        <f t="shared" si="27"/>
        <v>奢侈家具*60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30</v>
      </c>
      <c r="AN111">
        <f>IFERROR(ROUND(L111*(J111/$AU111)/VLOOKUP("运力",商品!$A$4:$C$60,3,FALSE),0),0)</f>
        <v>5</v>
      </c>
      <c r="AO111">
        <f>IFERROR(ROUND(L111*(K111/$AU111)/VLOOKUP("运力",商品!$A$4:$C$60,3,FALSE),0),0)</f>
        <v>10</v>
      </c>
      <c r="AP111">
        <f>IFERROR(ROUND(S111*(N111/$AV111)/VLOOKUP(M111,职业!$A$3:$E$16,4,FALSE),0),"")</f>
        <v>1584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60</v>
      </c>
      <c r="AT111" t="str">
        <f>IFERROR(ROUND(X111*(W111/$AW111)/VLOOKUP(V111,商品!$A$4:$C$60,3,FALSE),0),"")</f>
        <v/>
      </c>
      <c r="AU111">
        <f t="shared" si="29"/>
        <v>35</v>
      </c>
      <c r="AV111">
        <f t="shared" si="30"/>
        <v>20</v>
      </c>
      <c r="AW111">
        <f t="shared" si="31"/>
        <v>1</v>
      </c>
    </row>
    <row r="112" spans="1:49" ht="20" customHeight="1" x14ac:dyDescent="0.3">
      <c r="A112" s="18" t="s">
        <v>310</v>
      </c>
      <c r="C112" s="18">
        <v>1</v>
      </c>
      <c r="D112" s="21" t="s">
        <v>292</v>
      </c>
      <c r="E112" s="21" t="s">
        <v>225</v>
      </c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20" customHeight="1" x14ac:dyDescent="0.3">
      <c r="A113" s="18" t="s">
        <v>310</v>
      </c>
      <c r="C113" s="18">
        <v>2</v>
      </c>
      <c r="D113" s="21" t="s">
        <v>292</v>
      </c>
      <c r="E113" s="21" t="s">
        <v>225</v>
      </c>
      <c r="F113" s="1" t="s">
        <v>146</v>
      </c>
      <c r="G113" s="1">
        <v>10</v>
      </c>
      <c r="L113" s="18">
        <f>IFERROR(VLOOKUP($D113&amp;$C113,生产方式定位!$A$2:$E$38,2,FALSE)+VLOOKUP($E113&amp;$C113,生产方式定位!$F$3:$J$38,2,FALSE),0)</f>
        <v>750</v>
      </c>
      <c r="M113" s="1" t="s">
        <v>208</v>
      </c>
      <c r="N113" s="1">
        <v>-20</v>
      </c>
      <c r="O113" s="1" t="s">
        <v>201</v>
      </c>
      <c r="P113" s="1">
        <v>5</v>
      </c>
      <c r="S113" s="18">
        <f>IFERROR(VLOOKUP($D113&amp;$C113,生产方式定位!$A$2:$E$38,3,FALSE)+VLOOKUP($E113&amp;$C113,生产方式定位!$F$3:$J$38,3,FALSE),0)</f>
        <v>40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632</v>
      </c>
      <c r="Y113" s="24" t="str">
        <f t="shared" si="18"/>
        <v>工具*19</v>
      </c>
      <c r="Z113" s="34" t="str">
        <f t="shared" si="19"/>
        <v>劳工*-1448,工程师*121</v>
      </c>
      <c r="AA113" s="34" t="str">
        <f t="shared" si="16"/>
        <v>家具*21</v>
      </c>
      <c r="AB113" s="25" t="str">
        <f t="shared" si="20"/>
        <v>-16%</v>
      </c>
      <c r="AC113" s="1">
        <f t="shared" si="21"/>
        <v>-158</v>
      </c>
      <c r="AD113" s="36">
        <f t="shared" si="17"/>
        <v>2</v>
      </c>
      <c r="AE113" t="str">
        <f t="shared" si="22"/>
        <v>工具*19</v>
      </c>
      <c r="AF113" t="str">
        <f t="shared" si="23"/>
        <v/>
      </c>
      <c r="AG113" t="str">
        <f t="shared" si="24"/>
        <v>劳工*-1448</v>
      </c>
      <c r="AH113" t="str">
        <f t="shared" si="25"/>
        <v>工程师*121</v>
      </c>
      <c r="AI113" t="str">
        <f t="shared" si="26"/>
        <v/>
      </c>
      <c r="AJ113" t="str">
        <f t="shared" si="27"/>
        <v>家具*21</v>
      </c>
      <c r="AK113" t="str">
        <f t="shared" si="28"/>
        <v/>
      </c>
      <c r="AL113">
        <f>IFERROR(ROUND(L113*(G113/$AU113)/VLOOKUP(F113,商品!$A$4:$C$60,3,FALSE),0),"")</f>
        <v>19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-1448</v>
      </c>
      <c r="AQ113">
        <f>IFERROR(ROUND(S113*(P113/$AV113)/VLOOKUP(O113,职业!$A$3:$E$16,4,FALSE),0),"")</f>
        <v>121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21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20" customHeight="1" x14ac:dyDescent="0.3">
      <c r="A114" s="18" t="s">
        <v>310</v>
      </c>
      <c r="C114" s="18">
        <v>3</v>
      </c>
      <c r="D114" s="21" t="s">
        <v>292</v>
      </c>
      <c r="E114" s="21" t="s">
        <v>225</v>
      </c>
      <c r="F114" s="1" t="s">
        <v>124</v>
      </c>
      <c r="G114" s="1">
        <v>10</v>
      </c>
      <c r="L114" s="18">
        <f>IFERROR(VLOOKUP($D114&amp;$C114,生产方式定位!$A$2:$E$38,2,FALSE)+VLOOKUP($E114&amp;$C114,生产方式定位!$F$3:$J$38,2,FALSE),0)</f>
        <v>1000</v>
      </c>
      <c r="M114" s="1" t="s">
        <v>208</v>
      </c>
      <c r="N114" s="1">
        <v>-20</v>
      </c>
      <c r="O114" s="1" t="s">
        <v>201</v>
      </c>
      <c r="P114" s="1">
        <v>7</v>
      </c>
      <c r="S114" s="18">
        <f>IFERROR(VLOOKUP($D114&amp;$C114,生产方式定位!$A$2:$E$38,3,FALSE)+VLOOKUP($E114&amp;$C114,生产方式定位!$F$3:$J$38,3,FALSE),0)</f>
        <v>60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901</v>
      </c>
      <c r="Y114" s="24" t="str">
        <f t="shared" si="18"/>
        <v>磁魔素*20</v>
      </c>
      <c r="Z114" s="34" t="str">
        <f t="shared" si="19"/>
        <v>劳工*-2011,工程师*235</v>
      </c>
      <c r="AA114" s="34" t="str">
        <f t="shared" si="16"/>
        <v>家具*30</v>
      </c>
      <c r="AB114" s="25" t="str">
        <f t="shared" si="20"/>
        <v>-10%</v>
      </c>
      <c r="AC114" s="1">
        <f t="shared" si="21"/>
        <v>-159</v>
      </c>
      <c r="AD114" s="36">
        <f t="shared" si="17"/>
        <v>3</v>
      </c>
      <c r="AE114" t="str">
        <f t="shared" si="22"/>
        <v>磁魔素*20</v>
      </c>
      <c r="AF114" t="str">
        <f t="shared" si="23"/>
        <v/>
      </c>
      <c r="AG114" t="str">
        <f t="shared" si="24"/>
        <v>劳工*-2011</v>
      </c>
      <c r="AH114" t="str">
        <f t="shared" si="25"/>
        <v>工程师*235</v>
      </c>
      <c r="AI114" t="str">
        <f t="shared" si="26"/>
        <v/>
      </c>
      <c r="AJ114" t="str">
        <f t="shared" si="27"/>
        <v>家具*30</v>
      </c>
      <c r="AK114" t="str">
        <f t="shared" si="28"/>
        <v/>
      </c>
      <c r="AL114">
        <f>IFERROR(ROUND(L114*(G114/$AU114)/VLOOKUP(F114,商品!$A$4:$C$60,3,FALSE),0),"")</f>
        <v>20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-2011</v>
      </c>
      <c r="AQ114">
        <f>IFERROR(ROUND(S114*(P114/$AV114)/VLOOKUP(O114,职业!$A$3:$E$16,4,FALSE),0),"")</f>
        <v>235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30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20" customHeight="1" x14ac:dyDescent="0.3">
      <c r="A115" s="18" t="s">
        <v>310</v>
      </c>
      <c r="C115" s="18">
        <v>4</v>
      </c>
      <c r="D115" s="21" t="s">
        <v>292</v>
      </c>
      <c r="E115" s="21" t="s">
        <v>225</v>
      </c>
      <c r="F115" s="1" t="s">
        <v>150</v>
      </c>
      <c r="G115" s="1">
        <v>10</v>
      </c>
      <c r="L115" s="18">
        <f>IFERROR(VLOOKUP($D115&amp;$C115,生产方式定位!$A$2:$E$38,2,FALSE)+VLOOKUP($E115&amp;$C115,生产方式定位!$F$3:$J$38,2,FALSE),0)</f>
        <v>1250</v>
      </c>
      <c r="M115" s="1" t="s">
        <v>208</v>
      </c>
      <c r="N115" s="1">
        <v>-20</v>
      </c>
      <c r="O115" s="1" t="s">
        <v>201</v>
      </c>
      <c r="P115" s="1">
        <v>9</v>
      </c>
      <c r="S115" s="18">
        <f>IFERROR(VLOOKUP($D115&amp;$C115,生产方式定位!$A$2:$E$38,3,FALSE)+VLOOKUP($E115&amp;$C115,生产方式定位!$F$3:$J$38,3,FALSE),0)</f>
        <v>80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1197</v>
      </c>
      <c r="Y115" s="24" t="str">
        <f t="shared" si="18"/>
        <v>科学引擎*16</v>
      </c>
      <c r="Z115" s="34" t="str">
        <f t="shared" si="19"/>
        <v>劳工*-2496,工程师*374</v>
      </c>
      <c r="AA115" s="34" t="str">
        <f t="shared" si="16"/>
        <v>家具*40</v>
      </c>
      <c r="AB115" s="25" t="str">
        <f t="shared" si="20"/>
        <v>-4%</v>
      </c>
      <c r="AC115" s="1">
        <f t="shared" si="21"/>
        <v>-133</v>
      </c>
      <c r="AD115" s="36">
        <f t="shared" si="17"/>
        <v>4</v>
      </c>
      <c r="AE115" t="str">
        <f t="shared" si="22"/>
        <v>科学引擎*16</v>
      </c>
      <c r="AF115" t="str">
        <f t="shared" si="23"/>
        <v/>
      </c>
      <c r="AG115" t="str">
        <f t="shared" si="24"/>
        <v>劳工*-2496</v>
      </c>
      <c r="AH115" t="str">
        <f t="shared" si="25"/>
        <v>工程师*374</v>
      </c>
      <c r="AI115" t="str">
        <f t="shared" si="26"/>
        <v/>
      </c>
      <c r="AJ115" t="str">
        <f t="shared" si="27"/>
        <v>家具*40</v>
      </c>
      <c r="AK115" t="str">
        <f t="shared" si="28"/>
        <v/>
      </c>
      <c r="AL115">
        <f>IFERROR(ROUND(L115*(G115/$AU115)/VLOOKUP(F115,商品!$A$4:$C$60,3,FALSE),0),"")</f>
        <v>16</v>
      </c>
      <c r="AM115" t="str">
        <f>IFERROR(ROUND(L115*(I115/$AU115)/VLOOKUP(H115,商品!$A$4:$C$60,3,FALSE),0),"")</f>
        <v/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-2496</v>
      </c>
      <c r="AQ115">
        <f>IFERROR(ROUND(S115*(P115/$AV115)/VLOOKUP(O115,职业!$A$3:$E$16,4,FALSE),0),"")</f>
        <v>374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40</v>
      </c>
      <c r="AT115" t="str">
        <f>IFERROR(ROUND(X115*(W115/$AW115)/VLOOKUP(V115,商品!$A$4:$C$60,3,FALSE),0),"")</f>
        <v/>
      </c>
      <c r="AU115">
        <f t="shared" si="29"/>
        <v>10</v>
      </c>
      <c r="AV115">
        <f t="shared" si="30"/>
        <v>29</v>
      </c>
      <c r="AW115">
        <f t="shared" si="31"/>
        <v>1</v>
      </c>
    </row>
    <row r="116" spans="1:49" ht="20" customHeight="1" x14ac:dyDescent="0.3">
      <c r="A116" s="18" t="s">
        <v>310</v>
      </c>
      <c r="C116" s="18">
        <v>5</v>
      </c>
      <c r="D116" s="21" t="s">
        <v>292</v>
      </c>
      <c r="E116" s="21" t="s">
        <v>225</v>
      </c>
      <c r="F116" s="1" t="s">
        <v>150</v>
      </c>
      <c r="G116" s="1">
        <v>10</v>
      </c>
      <c r="H116" s="1" t="s">
        <v>151</v>
      </c>
      <c r="I116" s="1">
        <v>7</v>
      </c>
      <c r="L116" s="18">
        <f>IFERROR(VLOOKUP($D116&amp;$C116,生产方式定位!$A$2:$E$38,2,FALSE)+VLOOKUP($E116&amp;$C116,生产方式定位!$F$3:$J$38,2,FALSE),0)</f>
        <v>1500</v>
      </c>
      <c r="M116" s="1" t="s">
        <v>208</v>
      </c>
      <c r="N116" s="1">
        <v>-20</v>
      </c>
      <c r="O116" s="1" t="s">
        <v>201</v>
      </c>
      <c r="P116" s="1">
        <v>11</v>
      </c>
      <c r="S116" s="18">
        <f>IFERROR(VLOOKUP($D116&amp;$C116,生产方式定位!$A$2:$E$38,3,FALSE)+VLOOKUP($E116&amp;$C116,生产方式定位!$F$3:$J$38,3,FALSE),0)</f>
        <v>100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1760</v>
      </c>
      <c r="Y116" s="24" t="str">
        <f t="shared" si="18"/>
        <v>科学引擎*11,魔导引擎*8</v>
      </c>
      <c r="Z116" s="34" t="str">
        <f t="shared" si="19"/>
        <v>劳工*-2919,工程师*535</v>
      </c>
      <c r="AA116" s="34" t="str">
        <f t="shared" si="16"/>
        <v>家具*59</v>
      </c>
      <c r="AB116" s="25" t="str">
        <f t="shared" si="20"/>
        <v>17%</v>
      </c>
      <c r="AC116" s="1">
        <f t="shared" si="21"/>
        <v>160</v>
      </c>
      <c r="AD116" s="36">
        <f t="shared" si="17"/>
        <v>5</v>
      </c>
      <c r="AE116" t="str">
        <f t="shared" si="22"/>
        <v>科学引擎*11</v>
      </c>
      <c r="AF116" t="str">
        <f t="shared" si="23"/>
        <v>魔导引擎*8</v>
      </c>
      <c r="AG116" t="str">
        <f t="shared" si="24"/>
        <v>劳工*-2919</v>
      </c>
      <c r="AH116" t="str">
        <f t="shared" si="25"/>
        <v>工程师*535</v>
      </c>
      <c r="AI116" t="str">
        <f t="shared" si="26"/>
        <v/>
      </c>
      <c r="AJ116" t="str">
        <f t="shared" si="27"/>
        <v>家具*59</v>
      </c>
      <c r="AK116" t="str">
        <f t="shared" si="28"/>
        <v/>
      </c>
      <c r="AL116">
        <f>IFERROR(ROUND(L116*(G116/$AU116)/VLOOKUP(F116,商品!$A$4:$C$60,3,FALSE),0),"")</f>
        <v>11</v>
      </c>
      <c r="AM116">
        <f>IFERROR(ROUND(L116*(I116/$AU116)/VLOOKUP(H116,商品!$A$4:$C$60,3,FALSE),0),"")</f>
        <v>8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-2919</v>
      </c>
      <c r="AQ116">
        <f>IFERROR(ROUND(S116*(P116/$AV116)/VLOOKUP(O116,职业!$A$3:$E$16,4,FALSE),0),"")</f>
        <v>535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59</v>
      </c>
      <c r="AT116" t="str">
        <f>IFERROR(ROUND(X116*(W116/$AW116)/VLOOKUP(V116,商品!$A$4:$C$60,3,FALSE),0),"")</f>
        <v/>
      </c>
      <c r="AU116">
        <f t="shared" si="29"/>
        <v>17</v>
      </c>
      <c r="AV116">
        <f t="shared" si="30"/>
        <v>31</v>
      </c>
      <c r="AW116">
        <f t="shared" si="31"/>
        <v>1</v>
      </c>
    </row>
    <row r="117" spans="1:49" ht="20" customHeight="1" x14ac:dyDescent="0.3">
      <c r="A117" s="5" t="s">
        <v>310</v>
      </c>
      <c r="C117" s="5">
        <v>1</v>
      </c>
      <c r="D117" s="21" t="s">
        <v>292</v>
      </c>
      <c r="E117" s="21" t="s">
        <v>225</v>
      </c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20" customHeight="1" x14ac:dyDescent="0.3">
      <c r="A118" s="5" t="s">
        <v>310</v>
      </c>
      <c r="C118" s="5">
        <v>2</v>
      </c>
      <c r="D118" s="21" t="s">
        <v>292</v>
      </c>
      <c r="E118" s="21" t="s">
        <v>225</v>
      </c>
      <c r="F118" s="1" t="s">
        <v>147</v>
      </c>
      <c r="G118" s="1">
        <v>10</v>
      </c>
      <c r="L118" s="5">
        <f>IFERROR(VLOOKUP($D118&amp;$C118,生产方式定位!$A$2:$E$38,2,FALSE)+VLOOKUP($E118&amp;$C118,生产方式定位!$F$3:$J$38,2,FALSE),0)</f>
        <v>750</v>
      </c>
      <c r="M118" s="1" t="s">
        <v>208</v>
      </c>
      <c r="N118" s="1">
        <v>-20</v>
      </c>
      <c r="O118" s="1" t="s">
        <v>202</v>
      </c>
      <c r="P118" s="1">
        <v>5</v>
      </c>
      <c r="S118" s="5">
        <f>IFERROR(VLOOKUP($D118&amp;$C118,生产方式定位!$A$2:$E$38,3,FALSE)+VLOOKUP($E118&amp;$C118,生产方式定位!$F$3:$J$38,3,FALSE),0)</f>
        <v>40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632</v>
      </c>
      <c r="Y118" s="24" t="str">
        <f t="shared" si="18"/>
        <v>魔偶*19</v>
      </c>
      <c r="Z118" s="34" t="str">
        <f t="shared" si="19"/>
        <v>劳工*-1448,法士*90</v>
      </c>
      <c r="AA118" s="34" t="str">
        <f t="shared" si="16"/>
        <v>家具*21</v>
      </c>
      <c r="AB118" s="25" t="str">
        <f t="shared" si="20"/>
        <v>-16%</v>
      </c>
      <c r="AC118" s="1">
        <f t="shared" si="21"/>
        <v>-158</v>
      </c>
      <c r="AD118" s="35">
        <f t="shared" si="17"/>
        <v>2</v>
      </c>
      <c r="AE118" t="str">
        <f t="shared" si="22"/>
        <v>魔偶*19</v>
      </c>
      <c r="AF118" t="str">
        <f t="shared" si="23"/>
        <v/>
      </c>
      <c r="AG118" t="str">
        <f t="shared" si="24"/>
        <v>劳工*-1448</v>
      </c>
      <c r="AH118" t="str">
        <f t="shared" si="25"/>
        <v>法士*90</v>
      </c>
      <c r="AI118" t="str">
        <f t="shared" si="26"/>
        <v/>
      </c>
      <c r="AJ118" t="str">
        <f t="shared" si="27"/>
        <v>家具*21</v>
      </c>
      <c r="AK118" t="str">
        <f t="shared" si="28"/>
        <v/>
      </c>
      <c r="AL118">
        <f>IFERROR(ROUND(L118*(G118/$AU118)/VLOOKUP(F118,商品!$A$4:$C$60,3,FALSE),0),"")</f>
        <v>19</v>
      </c>
      <c r="AM118" t="str">
        <f>IFERROR(ROUND(L118*(I118/$AU118)/VLOOKUP(H118,商品!$A$4:$C$60,3,FALSE),0),"")</f>
        <v/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-1448</v>
      </c>
      <c r="AQ118">
        <f>IFERROR(ROUND(S118*(P118/$AV118)/VLOOKUP(O118,职业!$A$3:$E$16,4,FALSE),0),"")</f>
        <v>90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21</v>
      </c>
      <c r="AT118" t="str">
        <f>IFERROR(ROUND(X118*(W118/$AW118)/VLOOKUP(V118,商品!$A$4:$C$60,3,FALSE),0),"")</f>
        <v/>
      </c>
      <c r="AU118">
        <f t="shared" si="29"/>
        <v>10</v>
      </c>
      <c r="AV118">
        <f t="shared" si="30"/>
        <v>25</v>
      </c>
      <c r="AW118">
        <f t="shared" si="31"/>
        <v>1</v>
      </c>
    </row>
    <row r="119" spans="1:49" ht="20" customHeight="1" x14ac:dyDescent="0.3">
      <c r="A119" s="5" t="s">
        <v>310</v>
      </c>
      <c r="C119" s="5">
        <v>3</v>
      </c>
      <c r="D119" s="21" t="s">
        <v>292</v>
      </c>
      <c r="E119" s="21" t="s">
        <v>225</v>
      </c>
      <c r="F119" s="1" t="s">
        <v>125</v>
      </c>
      <c r="G119" s="1">
        <v>10</v>
      </c>
      <c r="L119" s="5">
        <f>IFERROR(VLOOKUP($D119&amp;$C119,生产方式定位!$A$2:$E$38,2,FALSE)+VLOOKUP($E119&amp;$C119,生产方式定位!$F$3:$J$38,2,FALSE),0)</f>
        <v>1000</v>
      </c>
      <c r="M119" s="1" t="s">
        <v>208</v>
      </c>
      <c r="N119" s="1">
        <v>-20</v>
      </c>
      <c r="O119" s="1" t="s">
        <v>202</v>
      </c>
      <c r="P119" s="1">
        <v>7</v>
      </c>
      <c r="S119" s="5">
        <f>IFERROR(VLOOKUP($D119&amp;$C119,生产方式定位!$A$2:$E$38,3,FALSE)+VLOOKUP($E119&amp;$C119,生产方式定位!$F$3:$J$38,3,FALSE),0)</f>
        <v>60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901</v>
      </c>
      <c r="Y119" s="24" t="str">
        <f t="shared" si="18"/>
        <v>泽洛*20</v>
      </c>
      <c r="Z119" s="34" t="str">
        <f t="shared" si="19"/>
        <v>劳工*-2011,法士*176</v>
      </c>
      <c r="AA119" s="34" t="str">
        <f t="shared" si="16"/>
        <v>家具*30</v>
      </c>
      <c r="AB119" s="25" t="str">
        <f t="shared" si="20"/>
        <v>-10%</v>
      </c>
      <c r="AC119" s="1">
        <f t="shared" si="21"/>
        <v>-159</v>
      </c>
      <c r="AD119" s="35">
        <f t="shared" si="17"/>
        <v>3</v>
      </c>
      <c r="AE119" t="str">
        <f t="shared" si="22"/>
        <v>泽洛*20</v>
      </c>
      <c r="AF119" t="str">
        <f t="shared" si="23"/>
        <v/>
      </c>
      <c r="AG119" t="str">
        <f t="shared" si="24"/>
        <v>劳工*-2011</v>
      </c>
      <c r="AH119" t="str">
        <f t="shared" si="25"/>
        <v>法士*176</v>
      </c>
      <c r="AI119" t="str">
        <f t="shared" si="26"/>
        <v/>
      </c>
      <c r="AJ119" t="str">
        <f t="shared" si="27"/>
        <v>家具*30</v>
      </c>
      <c r="AK119" t="str">
        <f t="shared" si="28"/>
        <v/>
      </c>
      <c r="AL119">
        <f>IFERROR(ROUND(L119*(G119/$AU119)/VLOOKUP(F119,商品!$A$4:$C$60,3,FALSE),0),"")</f>
        <v>20</v>
      </c>
      <c r="AM119" t="str">
        <f>IFERROR(ROUND(L119*(I119/$AU119)/VLOOKUP(H119,商品!$A$4:$C$60,3,FALSE),0),"")</f>
        <v/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-2011</v>
      </c>
      <c r="AQ119">
        <f>IFERROR(ROUND(S119*(P119/$AV119)/VLOOKUP(O119,职业!$A$3:$E$16,4,FALSE),0),"")</f>
        <v>176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30</v>
      </c>
      <c r="AT119" t="str">
        <f>IFERROR(ROUND(X119*(W119/$AW119)/VLOOKUP(V119,商品!$A$4:$C$60,3,FALSE),0),"")</f>
        <v/>
      </c>
      <c r="AU119">
        <f t="shared" si="29"/>
        <v>10</v>
      </c>
      <c r="AV119">
        <f t="shared" si="30"/>
        <v>27</v>
      </c>
      <c r="AW119">
        <f t="shared" si="31"/>
        <v>1</v>
      </c>
    </row>
    <row r="120" spans="1:49" ht="20" customHeight="1" x14ac:dyDescent="0.3">
      <c r="A120" s="5" t="s">
        <v>310</v>
      </c>
      <c r="C120" s="5">
        <v>4</v>
      </c>
      <c r="D120" s="21" t="s">
        <v>292</v>
      </c>
      <c r="E120" s="21" t="s">
        <v>225</v>
      </c>
      <c r="F120" s="1" t="s">
        <v>151</v>
      </c>
      <c r="G120" s="1">
        <v>10</v>
      </c>
      <c r="L120" s="5">
        <f>IFERROR(VLOOKUP($D120&amp;$C120,生产方式定位!$A$2:$E$38,2,FALSE)+VLOOKUP($E120&amp;$C120,生产方式定位!$F$3:$J$38,2,FALSE),0)</f>
        <v>1250</v>
      </c>
      <c r="M120" s="1" t="s">
        <v>208</v>
      </c>
      <c r="N120" s="1">
        <v>-20</v>
      </c>
      <c r="O120" s="1" t="s">
        <v>202</v>
      </c>
      <c r="P120" s="1">
        <v>9</v>
      </c>
      <c r="S120" s="5">
        <f>IFERROR(VLOOKUP($D120&amp;$C120,生产方式定位!$A$2:$E$38,3,FALSE)+VLOOKUP($E120&amp;$C120,生产方式定位!$F$3:$J$38,3,FALSE),0)</f>
        <v>80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1197</v>
      </c>
      <c r="Y120" s="24" t="str">
        <f t="shared" si="18"/>
        <v>魔导引擎*16</v>
      </c>
      <c r="Z120" s="34" t="str">
        <f t="shared" si="19"/>
        <v>劳工*-2496,法士*281</v>
      </c>
      <c r="AA120" s="34" t="str">
        <f t="shared" si="16"/>
        <v>家具*40</v>
      </c>
      <c r="AB120" s="25" t="str">
        <f t="shared" si="20"/>
        <v>-4%</v>
      </c>
      <c r="AC120" s="1">
        <f t="shared" si="21"/>
        <v>-133</v>
      </c>
      <c r="AD120" s="35">
        <f t="shared" si="17"/>
        <v>4</v>
      </c>
      <c r="AE120" t="str">
        <f t="shared" si="22"/>
        <v>魔导引擎*16</v>
      </c>
      <c r="AF120" t="str">
        <f t="shared" si="23"/>
        <v/>
      </c>
      <c r="AG120" t="str">
        <f t="shared" si="24"/>
        <v>劳工*-2496</v>
      </c>
      <c r="AH120" t="str">
        <f t="shared" si="25"/>
        <v>法士*281</v>
      </c>
      <c r="AI120" t="str">
        <f t="shared" si="26"/>
        <v/>
      </c>
      <c r="AJ120" t="str">
        <f t="shared" si="27"/>
        <v>家具*40</v>
      </c>
      <c r="AK120" t="str">
        <f t="shared" si="28"/>
        <v/>
      </c>
      <c r="AL120">
        <f>IFERROR(ROUND(L120*(G120/$AU120)/VLOOKUP(F120,商品!$A$4:$C$60,3,FALSE),0),"")</f>
        <v>16</v>
      </c>
      <c r="AM120" t="str">
        <f>IFERROR(ROUND(L120*(I120/$AU120)/VLOOKUP(H120,商品!$A$4:$C$60,3,FALSE),0),"")</f>
        <v/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-2496</v>
      </c>
      <c r="AQ120">
        <f>IFERROR(ROUND(S120*(P120/$AV120)/VLOOKUP(O120,职业!$A$3:$E$16,4,FALSE),0),"")</f>
        <v>281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40</v>
      </c>
      <c r="AT120" t="str">
        <f>IFERROR(ROUND(X120*(W120/$AW120)/VLOOKUP(V120,商品!$A$4:$C$60,3,FALSE),0),"")</f>
        <v/>
      </c>
      <c r="AU120">
        <f t="shared" si="29"/>
        <v>10</v>
      </c>
      <c r="AV120">
        <f t="shared" si="30"/>
        <v>29</v>
      </c>
      <c r="AW120">
        <f t="shared" si="31"/>
        <v>1</v>
      </c>
    </row>
    <row r="121" spans="1:49" ht="20" customHeight="1" x14ac:dyDescent="0.3">
      <c r="A121" s="5" t="s">
        <v>310</v>
      </c>
      <c r="C121" s="5">
        <v>5</v>
      </c>
      <c r="D121" s="21" t="s">
        <v>292</v>
      </c>
      <c r="E121" s="21" t="s">
        <v>225</v>
      </c>
      <c r="F121" s="1" t="s">
        <v>150</v>
      </c>
      <c r="G121" s="1">
        <v>7</v>
      </c>
      <c r="H121" s="1" t="s">
        <v>151</v>
      </c>
      <c r="I121" s="1">
        <v>10</v>
      </c>
      <c r="L121" s="5">
        <f>IFERROR(VLOOKUP($D121&amp;$C121,生产方式定位!$A$2:$E$38,2,FALSE)+VLOOKUP($E121&amp;$C121,生产方式定位!$F$3:$J$38,2,FALSE),0)</f>
        <v>1500</v>
      </c>
      <c r="M121" s="1" t="s">
        <v>208</v>
      </c>
      <c r="N121" s="1">
        <v>-20</v>
      </c>
      <c r="O121" s="1" t="s">
        <v>202</v>
      </c>
      <c r="P121" s="1">
        <v>11</v>
      </c>
      <c r="S121" s="5">
        <f>IFERROR(VLOOKUP($D121&amp;$C121,生产方式定位!$A$2:$E$38,3,FALSE)+VLOOKUP($E121&amp;$C121,生产方式定位!$F$3:$J$38,3,FALSE),0)</f>
        <v>100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1760</v>
      </c>
      <c r="Y121" s="24" t="str">
        <f t="shared" si="18"/>
        <v>科学引擎*8,魔导引擎*11</v>
      </c>
      <c r="Z121" s="34" t="str">
        <f t="shared" si="19"/>
        <v>劳工*-2919,法士*401</v>
      </c>
      <c r="AA121" s="34" t="str">
        <f t="shared" si="16"/>
        <v>家具*59</v>
      </c>
      <c r="AB121" s="25" t="str">
        <f t="shared" si="20"/>
        <v>17%</v>
      </c>
      <c r="AC121" s="1">
        <f t="shared" si="21"/>
        <v>160</v>
      </c>
      <c r="AD121" s="35">
        <f t="shared" si="17"/>
        <v>5</v>
      </c>
      <c r="AE121" t="str">
        <f t="shared" si="22"/>
        <v>科学引擎*8</v>
      </c>
      <c r="AF121" t="str">
        <f t="shared" si="23"/>
        <v>魔导引擎*11</v>
      </c>
      <c r="AG121" t="str">
        <f t="shared" si="24"/>
        <v>劳工*-2919</v>
      </c>
      <c r="AH121" t="str">
        <f t="shared" si="25"/>
        <v>法士*401</v>
      </c>
      <c r="AI121" t="str">
        <f t="shared" si="26"/>
        <v/>
      </c>
      <c r="AJ121" t="str">
        <f t="shared" si="27"/>
        <v>家具*59</v>
      </c>
      <c r="AK121" t="str">
        <f t="shared" si="28"/>
        <v/>
      </c>
      <c r="AL121">
        <f>IFERROR(ROUND(L121*(G121/$AU121)/VLOOKUP(F121,商品!$A$4:$C$60,3,FALSE),0),"")</f>
        <v>8</v>
      </c>
      <c r="AM121">
        <f>IFERROR(ROUND(L121*(I121/$AU121)/VLOOKUP(H121,商品!$A$4:$C$60,3,FALSE),0),"")</f>
        <v>11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-2919</v>
      </c>
      <c r="AQ121">
        <f>IFERROR(ROUND(S121*(P121/$AV121)/VLOOKUP(O121,职业!$A$3:$E$16,4,FALSE),0),"")</f>
        <v>401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59</v>
      </c>
      <c r="AT121" t="str">
        <f>IFERROR(ROUND(X121*(W121/$AW121)/VLOOKUP(V121,商品!$A$4:$C$60,3,FALSE),0),"")</f>
        <v/>
      </c>
      <c r="AU121">
        <f t="shared" si="29"/>
        <v>17</v>
      </c>
      <c r="AV121">
        <f t="shared" si="30"/>
        <v>31</v>
      </c>
      <c r="AW121">
        <f t="shared" si="31"/>
        <v>1</v>
      </c>
    </row>
    <row r="122" spans="1:49" ht="20" customHeight="1" x14ac:dyDescent="0.3">
      <c r="A122" s="18" t="s">
        <v>311</v>
      </c>
      <c r="C122" s="18">
        <v>1</v>
      </c>
      <c r="D122" s="21" t="s">
        <v>292</v>
      </c>
      <c r="E122" s="21" t="s">
        <v>226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20" customHeight="1" x14ac:dyDescent="0.3">
      <c r="A123" s="18" t="s">
        <v>311</v>
      </c>
      <c r="C123" s="18">
        <v>2</v>
      </c>
      <c r="D123" s="21" t="s">
        <v>292</v>
      </c>
      <c r="E123" s="21" t="s">
        <v>226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20" customHeight="1" x14ac:dyDescent="0.3">
      <c r="A124" s="18" t="s">
        <v>311</v>
      </c>
      <c r="C124" s="18">
        <v>3</v>
      </c>
      <c r="D124" s="21" t="s">
        <v>292</v>
      </c>
      <c r="E124" s="21" t="s">
        <v>226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20" customHeight="1" x14ac:dyDescent="0.3">
      <c r="A125" s="18" t="s">
        <v>311</v>
      </c>
      <c r="C125" s="18">
        <v>4</v>
      </c>
      <c r="D125" s="21" t="s">
        <v>292</v>
      </c>
      <c r="E125" s="21" t="s">
        <v>226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20" customHeight="1" x14ac:dyDescent="0.3">
      <c r="A126" s="18" t="s">
        <v>311</v>
      </c>
      <c r="C126" s="18">
        <v>5</v>
      </c>
      <c r="D126" s="21" t="s">
        <v>292</v>
      </c>
      <c r="E126" s="21" t="s">
        <v>226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20" customHeight="1" x14ac:dyDescent="0.3">
      <c r="A127" s="18" t="s">
        <v>311</v>
      </c>
      <c r="C127" s="18">
        <v>6</v>
      </c>
      <c r="D127" s="21" t="s">
        <v>292</v>
      </c>
      <c r="E127" s="21" t="s">
        <v>226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20" customHeight="1" x14ac:dyDescent="0.3">
      <c r="A128" s="18" t="s">
        <v>311</v>
      </c>
      <c r="C128" s="18">
        <v>7</v>
      </c>
      <c r="D128" s="21" t="s">
        <v>292</v>
      </c>
      <c r="E128" s="21" t="s">
        <v>226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20" customHeight="1" x14ac:dyDescent="0.3">
      <c r="A129" s="18" t="s">
        <v>311</v>
      </c>
      <c r="C129" s="18">
        <v>8</v>
      </c>
      <c r="D129" s="21" t="s">
        <v>292</v>
      </c>
      <c r="E129" s="21" t="s">
        <v>226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20" customHeight="1" x14ac:dyDescent="0.3">
      <c r="A130" s="5" t="s">
        <v>313</v>
      </c>
      <c r="C130" s="5">
        <v>1</v>
      </c>
      <c r="D130" s="21" t="s">
        <v>222</v>
      </c>
      <c r="E130" s="21" t="s">
        <v>224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600</v>
      </c>
      <c r="M130" s="1" t="s">
        <v>208</v>
      </c>
      <c r="N130" s="1">
        <v>100</v>
      </c>
      <c r="S130" s="5">
        <f>IFERROR(VLOOKUP($D130&amp;$C130,生产方式定位!$A$2:$E$38,3,FALSE)+VLOOKUP($E130&amp;$C130,生产方式定位!$F$3:$J$38,3,FALSE),0)</f>
        <v>150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788</v>
      </c>
      <c r="Y130" s="24" t="str">
        <f t="shared" si="18"/>
        <v>铅*7,运力*2,交易*1</v>
      </c>
      <c r="Z130" s="34" t="str">
        <f t="shared" si="19"/>
        <v>劳工*6787</v>
      </c>
      <c r="AA130" s="34" t="str">
        <f t="shared" si="16"/>
        <v>玻璃*26</v>
      </c>
      <c r="AB130" s="25" t="str">
        <f t="shared" si="20"/>
        <v>31%</v>
      </c>
      <c r="AC130" s="1">
        <f t="shared" si="21"/>
        <v>38</v>
      </c>
      <c r="AD130" s="35">
        <f t="shared" si="17"/>
        <v>1</v>
      </c>
      <c r="AE130" t="str">
        <f t="shared" si="22"/>
        <v>铅*7</v>
      </c>
      <c r="AF130" t="str">
        <f t="shared" si="23"/>
        <v/>
      </c>
      <c r="AG130" t="str">
        <f t="shared" si="24"/>
        <v>劳工*6787</v>
      </c>
      <c r="AH130" t="str">
        <f t="shared" si="25"/>
        <v/>
      </c>
      <c r="AI130" t="str">
        <f t="shared" si="26"/>
        <v/>
      </c>
      <c r="AJ130" t="str">
        <f t="shared" si="27"/>
        <v>玻璃*26</v>
      </c>
      <c r="AK130" t="str">
        <f t="shared" si="28"/>
        <v/>
      </c>
      <c r="AL130">
        <f>IFERROR(ROUND(L130*(G130/$AU130)/VLOOKUP(F130,商品!$A$4:$C$60,3,FALSE),0),"")</f>
        <v>7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2</v>
      </c>
      <c r="AO130">
        <f>IFERROR(ROUND(L130*(K130/$AU130)/VLOOKUP("运力",商品!$A$4:$C$60,3,FALSE),0),0)</f>
        <v>1</v>
      </c>
      <c r="AP130">
        <f>IFERROR(ROUND(S130*(N130/$AV130)/VLOOKUP(M130,职业!$A$3:$E$16,4,FALSE),0),"")</f>
        <v>6787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26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20" customHeight="1" x14ac:dyDescent="0.3">
      <c r="A131" s="5" t="s">
        <v>313</v>
      </c>
      <c r="C131" s="5">
        <v>2</v>
      </c>
      <c r="D131" s="21" t="s">
        <v>222</v>
      </c>
      <c r="E131" s="21" t="s">
        <v>224</v>
      </c>
      <c r="F131" s="1" t="s">
        <v>120</v>
      </c>
      <c r="G131" s="79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1200</v>
      </c>
      <c r="M131" s="1" t="s">
        <v>208</v>
      </c>
      <c r="N131" s="1">
        <v>100</v>
      </c>
      <c r="O131" s="1" t="s">
        <v>201</v>
      </c>
      <c r="P131" s="1">
        <v>5</v>
      </c>
      <c r="S131" s="5">
        <f>IFERROR(VLOOKUP($D131&amp;$C131,生产方式定位!$A$2:$E$38,3,FALSE)+VLOOKUP($E131&amp;$C131,生产方式定位!$F$3:$J$38,3,FALSE),0)</f>
        <v>140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1390</v>
      </c>
      <c r="Y131" s="24" t="str">
        <f t="shared" si="18"/>
        <v>铅*13,运力*4,交易*2</v>
      </c>
      <c r="Z131" s="34" t="str">
        <f t="shared" si="19"/>
        <v>劳工*6033,工程师*101</v>
      </c>
      <c r="AA131" s="34" t="str">
        <f t="shared" si="16"/>
        <v>玻璃*46</v>
      </c>
      <c r="AB131" s="25" t="str">
        <f t="shared" si="20"/>
        <v>16%</v>
      </c>
      <c r="AC131" s="1">
        <f t="shared" si="21"/>
        <v>50</v>
      </c>
      <c r="AD131" s="35">
        <f t="shared" si="17"/>
        <v>2</v>
      </c>
      <c r="AE131" t="str">
        <f t="shared" si="22"/>
        <v>铅*13</v>
      </c>
      <c r="AF131" t="str">
        <f t="shared" si="23"/>
        <v/>
      </c>
      <c r="AG131" t="str">
        <f t="shared" si="24"/>
        <v>劳工*6033</v>
      </c>
      <c r="AH131" t="str">
        <f t="shared" si="25"/>
        <v>工程师*101</v>
      </c>
      <c r="AI131" t="str">
        <f t="shared" si="26"/>
        <v/>
      </c>
      <c r="AJ131" t="str">
        <f t="shared" si="27"/>
        <v>玻璃*46</v>
      </c>
      <c r="AK131" t="str">
        <f t="shared" si="28"/>
        <v/>
      </c>
      <c r="AL131">
        <f>IFERROR(ROUND(L131*(G131/$AU131)/VLOOKUP(F131,商品!$A$4:$C$60,3,FALSE),0),"")</f>
        <v>13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4</v>
      </c>
      <c r="AO131">
        <f>IFERROR(ROUND(L131*(K131/$AU131)/VLOOKUP("运力",商品!$A$4:$C$60,3,FALSE),0),0)</f>
        <v>2</v>
      </c>
      <c r="AP131">
        <f>IFERROR(ROUND(S131*(N131/$AV131)/VLOOKUP(M131,职业!$A$3:$E$16,4,FALSE),0),"")</f>
        <v>6033</v>
      </c>
      <c r="AQ131">
        <f>IFERROR(ROUND(S131*(P131/$AV131)/VLOOKUP(O131,职业!$A$3:$E$16,4,FALSE),0),"")</f>
        <v>101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46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20" customHeight="1" x14ac:dyDescent="0.3">
      <c r="A132" s="5" t="s">
        <v>313</v>
      </c>
      <c r="C132" s="5">
        <v>3</v>
      </c>
      <c r="D132" s="21" t="s">
        <v>222</v>
      </c>
      <c r="E132" s="21" t="s">
        <v>224</v>
      </c>
      <c r="F132" s="1" t="s">
        <v>120</v>
      </c>
      <c r="G132" s="79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1425</v>
      </c>
      <c r="M132" s="1" t="s">
        <v>208</v>
      </c>
      <c r="N132" s="1">
        <v>100</v>
      </c>
      <c r="O132" s="1" t="s">
        <v>201</v>
      </c>
      <c r="P132" s="1">
        <v>10</v>
      </c>
      <c r="S132" s="5">
        <f>IFERROR(VLOOKUP($D132&amp;$C132,生产方式定位!$A$2:$E$38,3,FALSE)+VLOOKUP($E132&amp;$C132,生产方式定位!$F$3:$J$38,3,FALSE),0)</f>
        <v>130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1618</v>
      </c>
      <c r="Y132" s="24" t="str">
        <f t="shared" si="18"/>
        <v>铅*16,运力*5,交易*3</v>
      </c>
      <c r="Z132" s="34" t="str">
        <f t="shared" si="19"/>
        <v>劳工*5348,工程师*178</v>
      </c>
      <c r="AA132" s="34" t="str">
        <f t="shared" si="16"/>
        <v>玻璃*54</v>
      </c>
      <c r="AB132" s="25" t="str">
        <f t="shared" si="20"/>
        <v>14%</v>
      </c>
      <c r="AC132" s="1">
        <f t="shared" si="21"/>
        <v>63</v>
      </c>
      <c r="AD132" s="36">
        <f t="shared" si="17"/>
        <v>3</v>
      </c>
      <c r="AE132" t="str">
        <f t="shared" si="22"/>
        <v>铅*16</v>
      </c>
      <c r="AF132" t="str">
        <f t="shared" si="23"/>
        <v/>
      </c>
      <c r="AG132" t="str">
        <f t="shared" si="24"/>
        <v>劳工*5348</v>
      </c>
      <c r="AH132" t="str">
        <f t="shared" si="25"/>
        <v>工程师*178</v>
      </c>
      <c r="AI132" t="str">
        <f t="shared" si="26"/>
        <v/>
      </c>
      <c r="AJ132" t="str">
        <f t="shared" si="27"/>
        <v>玻璃*54</v>
      </c>
      <c r="AK132" t="str">
        <f t="shared" si="28"/>
        <v/>
      </c>
      <c r="AL132">
        <f>IFERROR(ROUND(L132*(G132/$AU132)/VLOOKUP(F132,商品!$A$4:$C$60,3,FALSE),0),"")</f>
        <v>16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5</v>
      </c>
      <c r="AO132">
        <f>IFERROR(ROUND(L132*(K132/$AU132)/VLOOKUP("运力",商品!$A$4:$C$60,3,FALSE),0),0)</f>
        <v>3</v>
      </c>
      <c r="AP132">
        <f>IFERROR(ROUND(S132*(N132/$AV132)/VLOOKUP(M132,职业!$A$3:$E$16,4,FALSE),0),"")</f>
        <v>5348</v>
      </c>
      <c r="AQ132">
        <f>IFERROR(ROUND(S132*(P132/$AV132)/VLOOKUP(O132,职业!$A$3:$E$16,4,FALSE),0),"")</f>
        <v>178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54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20" customHeight="1" x14ac:dyDescent="0.3">
      <c r="A133" s="5" t="s">
        <v>313</v>
      </c>
      <c r="C133" s="5">
        <v>4</v>
      </c>
      <c r="D133" s="21" t="s">
        <v>222</v>
      </c>
      <c r="E133" s="21" t="s">
        <v>224</v>
      </c>
      <c r="F133" s="1" t="s">
        <v>120</v>
      </c>
      <c r="G133" s="79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1650</v>
      </c>
      <c r="M133" s="1" t="s">
        <v>208</v>
      </c>
      <c r="N133" s="1">
        <v>100</v>
      </c>
      <c r="O133" s="1" t="s">
        <v>201</v>
      </c>
      <c r="P133" s="1">
        <v>15</v>
      </c>
      <c r="S133" s="5">
        <f>IFERROR(VLOOKUP($D133&amp;$C133,生产方式定位!$A$2:$E$38,3,FALSE)+VLOOKUP($E133&amp;$C133,生产方式定位!$F$3:$J$38,3,FALSE),0)</f>
        <v>120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1845</v>
      </c>
      <c r="Y133" s="24" t="str">
        <f t="shared" si="18"/>
        <v>铅*18,运力*6,交易*3</v>
      </c>
      <c r="Z133" s="34" t="str">
        <f t="shared" si="19"/>
        <v>劳工*4722,工程师*236</v>
      </c>
      <c r="AA133" s="34" t="str">
        <f t="shared" ref="AA133:AA196" si="32">IF(AJ133="","",AJ133)&amp;IF(AK133="","",","&amp;AK133)</f>
        <v>玻璃*62</v>
      </c>
      <c r="AB133" s="25" t="str">
        <f t="shared" si="20"/>
        <v>12%</v>
      </c>
      <c r="AC133" s="1">
        <f t="shared" si="21"/>
        <v>75</v>
      </c>
      <c r="AD133" s="36">
        <f t="shared" ref="AD133:AD196" si="33">C133</f>
        <v>4</v>
      </c>
      <c r="AE133" t="str">
        <f t="shared" si="22"/>
        <v>铅*18</v>
      </c>
      <c r="AF133" t="str">
        <f t="shared" si="23"/>
        <v/>
      </c>
      <c r="AG133" t="str">
        <f t="shared" si="24"/>
        <v>劳工*4722</v>
      </c>
      <c r="AH133" t="str">
        <f t="shared" si="25"/>
        <v>工程师*236</v>
      </c>
      <c r="AI133" t="str">
        <f t="shared" si="26"/>
        <v/>
      </c>
      <c r="AJ133" t="str">
        <f t="shared" si="27"/>
        <v>玻璃*62</v>
      </c>
      <c r="AK133" t="str">
        <f t="shared" si="28"/>
        <v/>
      </c>
      <c r="AL133">
        <f>IFERROR(ROUND(L133*(G133/$AU133)/VLOOKUP(F133,商品!$A$4:$C$60,3,FALSE),0),"")</f>
        <v>18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6</v>
      </c>
      <c r="AO133">
        <f>IFERROR(ROUND(L133*(K133/$AU133)/VLOOKUP("运力",商品!$A$4:$C$60,3,FALSE),0),0)</f>
        <v>3</v>
      </c>
      <c r="AP133">
        <f>IFERROR(ROUND(S133*(N133/$AV133)/VLOOKUP(M133,职业!$A$3:$E$16,4,FALSE),0),"")</f>
        <v>4722</v>
      </c>
      <c r="AQ133">
        <f>IFERROR(ROUND(S133*(P133/$AV133)/VLOOKUP(O133,职业!$A$3:$E$16,4,FALSE),0),"")</f>
        <v>236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62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20" customHeight="1" x14ac:dyDescent="0.3">
      <c r="A134" s="5" t="s">
        <v>313</v>
      </c>
      <c r="C134" s="5">
        <v>5</v>
      </c>
      <c r="D134" s="21" t="s">
        <v>222</v>
      </c>
      <c r="E134" s="21" t="s">
        <v>224</v>
      </c>
      <c r="F134" s="1" t="s">
        <v>120</v>
      </c>
      <c r="G134" s="79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1875</v>
      </c>
      <c r="M134" s="1" t="s">
        <v>208</v>
      </c>
      <c r="N134" s="1">
        <v>100</v>
      </c>
      <c r="O134" s="1" t="s">
        <v>201</v>
      </c>
      <c r="P134" s="1">
        <v>20</v>
      </c>
      <c r="S134" s="5">
        <f>IFERROR(VLOOKUP($D134&amp;$C134,生产方式定位!$A$2:$E$38,3,FALSE)+VLOOKUP($E134&amp;$C134,生产方式定位!$F$3:$J$38,3,FALSE),0)</f>
        <v>110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2073</v>
      </c>
      <c r="Y134" s="24" t="str">
        <f t="shared" ref="Y134:Y197" si="34">IF(AE134="","",AE134)&amp;IF(AF134="","",","&amp;AF134)&amp;IF(AN134=0,"",",运力*"&amp;AN134)&amp;IF(AO134=0,"",",交易*"&amp;AO134)</f>
        <v>铅*21,运力*7,交易*3</v>
      </c>
      <c r="Z134" s="34" t="str">
        <f t="shared" ref="Z134:Z197" si="35">IF(AG134="","",AG134)&amp;IF(AH134="","",","&amp;AH134)&amp;IF(AI134="","",","&amp;AI134)</f>
        <v>劳工*4148,工程师*277</v>
      </c>
      <c r="AA134" s="34" t="str">
        <f t="shared" si="32"/>
        <v>玻璃*69</v>
      </c>
      <c r="AB134" s="25" t="str">
        <f t="shared" ref="AB134:AB197" si="36">IFERROR(ROUND(((X134/L134)-1)*100,0)&amp;"%","")</f>
        <v>11%</v>
      </c>
      <c r="AC134" s="1">
        <f t="shared" ref="AC134:AC197" si="37">IF(X134-S134-L134=0,"",X134-S134-L134)</f>
        <v>88</v>
      </c>
      <c r="AD134" s="36">
        <f t="shared" si="33"/>
        <v>5</v>
      </c>
      <c r="AE134" t="str">
        <f t="shared" ref="AE134:AE197" si="38">IF(AL134="","",F134&amp;"*"&amp;AL134)</f>
        <v>铅*21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劳工*4148</v>
      </c>
      <c r="AH134" t="str">
        <f t="shared" ref="AH134:AH197" si="41">IF(AQ134="","",O134&amp;"*"&amp;AQ134)</f>
        <v>工程师*277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玻璃*69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21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7</v>
      </c>
      <c r="AO134">
        <f>IFERROR(ROUND(L134*(K134/$AU134)/VLOOKUP("运力",商品!$A$4:$C$60,3,FALSE),0),0)</f>
        <v>3</v>
      </c>
      <c r="AP134">
        <f>IFERROR(ROUND(S134*(N134/$AV134)/VLOOKUP(M134,职业!$A$3:$E$16,4,FALSE),0),"")</f>
        <v>4148</v>
      </c>
      <c r="AQ134">
        <f>IFERROR(ROUND(S134*(P134/$AV134)/VLOOKUP(O134,职业!$A$3:$E$16,4,FALSE),0),"")</f>
        <v>277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69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20" customHeight="1" x14ac:dyDescent="0.3">
      <c r="A135" s="18" t="s">
        <v>314</v>
      </c>
      <c r="C135" s="18">
        <v>1</v>
      </c>
      <c r="D135" s="21" t="s">
        <v>240</v>
      </c>
      <c r="E135" s="21" t="s">
        <v>230</v>
      </c>
      <c r="L135" s="18">
        <f>IFERROR(VLOOKUP($D135&amp;$C135,生产方式定位!$A$2:$E$38,2,FALSE)+VLOOKUP($E135&amp;$C135,生产方式定位!$F$3:$J$38,2,FALSE),0)</f>
        <v>1000</v>
      </c>
      <c r="S135" s="18">
        <f>IFERROR(VLOOKUP($D135&amp;$C135,生产方式定位!$A$2:$E$38,3,FALSE)+VLOOKUP($E135&amp;$C135,生产方式定位!$F$3:$J$38,3,FALSE),0)</f>
        <v>40</v>
      </c>
      <c r="X135" s="18">
        <f>IFERROR(VLOOKUP($D135&amp;$C135,生产方式定位!$A$2:$E$38,5,FALSE)+VLOOKUP($E135&amp;$C135,生产方式定位!$F$3:$J$38,5,FALSE),"错误")</f>
        <v>1144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14%</v>
      </c>
      <c r="AC135" s="1">
        <f t="shared" si="37"/>
        <v>104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20" customHeight="1" x14ac:dyDescent="0.3">
      <c r="A136" s="18" t="s">
        <v>314</v>
      </c>
      <c r="C136" s="18">
        <v>2</v>
      </c>
      <c r="D136" s="21" t="s">
        <v>240</v>
      </c>
      <c r="E136" s="21" t="s">
        <v>230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1500</v>
      </c>
      <c r="M136" s="1" t="s">
        <v>201</v>
      </c>
      <c r="N136" s="1">
        <v>5</v>
      </c>
      <c r="S136" s="18">
        <f>IFERROR(VLOOKUP($D136&amp;$C136,生产方式定位!$A$2:$E$38,3,FALSE)+VLOOKUP($E136&amp;$C136,生产方式定位!$F$3:$J$38,3,FALSE),0)</f>
        <v>60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1831</v>
      </c>
      <c r="Y136" s="24" t="str">
        <f t="shared" si="34"/>
        <v>玻璃*11,染料*33,运力*3,交易*6</v>
      </c>
      <c r="Z136" s="34" t="str">
        <f t="shared" si="35"/>
        <v>工程师*905</v>
      </c>
      <c r="AA136" s="34" t="str">
        <f t="shared" si="32"/>
        <v>瓷器*37</v>
      </c>
      <c r="AB136" s="25" t="str">
        <f t="shared" si="36"/>
        <v>22%</v>
      </c>
      <c r="AC136" s="1">
        <f t="shared" si="37"/>
        <v>271</v>
      </c>
      <c r="AD136" s="36">
        <f t="shared" si="33"/>
        <v>2</v>
      </c>
      <c r="AE136" t="str">
        <f t="shared" si="38"/>
        <v>玻璃*11</v>
      </c>
      <c r="AF136" t="str">
        <f t="shared" si="39"/>
        <v>染料*33</v>
      </c>
      <c r="AG136" t="str">
        <f t="shared" si="40"/>
        <v>工程师*905</v>
      </c>
      <c r="AH136" t="str">
        <f t="shared" si="41"/>
        <v/>
      </c>
      <c r="AI136" t="str">
        <f t="shared" si="42"/>
        <v/>
      </c>
      <c r="AJ136" t="str">
        <f t="shared" si="43"/>
        <v>瓷器*37</v>
      </c>
      <c r="AK136" t="str">
        <f t="shared" si="44"/>
        <v/>
      </c>
      <c r="AL136">
        <f>IFERROR(ROUND(L136*(G136/$AU136)/VLOOKUP(F136,商品!$A$4:$C$60,3,FALSE),0),"")</f>
        <v>11</v>
      </c>
      <c r="AM136">
        <f>IFERROR(ROUND(L136*(I136/$AU136)/VLOOKUP(H136,商品!$A$4:$C$60,3,FALSE),0),"")</f>
        <v>33</v>
      </c>
      <c r="AN136">
        <f>IFERROR(ROUND(L136*(J136/$AU136)/VLOOKUP("运力",商品!$A$4:$C$60,3,FALSE),0),0)</f>
        <v>3</v>
      </c>
      <c r="AO136">
        <f>IFERROR(ROUND(L136*(K136/$AU136)/VLOOKUP("运力",商品!$A$4:$C$60,3,FALSE),0),0)</f>
        <v>6</v>
      </c>
      <c r="AP136">
        <f>IFERROR(ROUND(S136*(N136/$AV136)/VLOOKUP(M136,职业!$A$3:$E$16,4,FALSE),0),"")</f>
        <v>905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37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20" customHeight="1" x14ac:dyDescent="0.3">
      <c r="A137" s="18" t="s">
        <v>314</v>
      </c>
      <c r="C137" s="18">
        <v>3</v>
      </c>
      <c r="D137" s="21" t="s">
        <v>240</v>
      </c>
      <c r="E137" s="21" t="s">
        <v>230</v>
      </c>
      <c r="F137" s="1" t="s">
        <v>129</v>
      </c>
      <c r="G137" s="1">
        <v>10</v>
      </c>
      <c r="H137" s="1" t="s">
        <v>116</v>
      </c>
      <c r="I137" s="79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1700</v>
      </c>
      <c r="M137" s="1" t="s">
        <v>201</v>
      </c>
      <c r="N137" s="1">
        <v>10</v>
      </c>
      <c r="S137" s="18">
        <f>IFERROR(VLOOKUP($D137&amp;$C137,生产方式定位!$A$2:$E$38,3,FALSE)+VLOOKUP($E137&amp;$C137,生产方式定位!$F$3:$J$38,3,FALSE),0)</f>
        <v>75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2205</v>
      </c>
      <c r="Y137" s="24" t="str">
        <f t="shared" si="34"/>
        <v>玻璃*13,染料*38,运力*3,交易*6</v>
      </c>
      <c r="Z137" s="34" t="str">
        <f t="shared" si="35"/>
        <v>工程师*1131</v>
      </c>
      <c r="AA137" s="34" t="str">
        <f t="shared" si="32"/>
        <v>瓷器*44</v>
      </c>
      <c r="AB137" s="25" t="str">
        <f t="shared" si="36"/>
        <v>30%</v>
      </c>
      <c r="AC137" s="1">
        <f t="shared" si="37"/>
        <v>430</v>
      </c>
      <c r="AD137" s="36">
        <f t="shared" si="33"/>
        <v>3</v>
      </c>
      <c r="AE137" t="str">
        <f t="shared" si="38"/>
        <v>玻璃*13</v>
      </c>
      <c r="AF137" t="str">
        <f t="shared" si="39"/>
        <v>染料*38</v>
      </c>
      <c r="AG137" t="str">
        <f t="shared" si="40"/>
        <v>工程师*1131</v>
      </c>
      <c r="AH137" t="str">
        <f t="shared" si="41"/>
        <v/>
      </c>
      <c r="AI137" t="str">
        <f t="shared" si="42"/>
        <v/>
      </c>
      <c r="AJ137" t="str">
        <f t="shared" si="43"/>
        <v>瓷器*44</v>
      </c>
      <c r="AK137" t="str">
        <f t="shared" si="44"/>
        <v/>
      </c>
      <c r="AL137">
        <f>IFERROR(ROUND(L137*(G137/$AU137)/VLOOKUP(F137,商品!$A$4:$C$60,3,FALSE),0),"")</f>
        <v>13</v>
      </c>
      <c r="AM137">
        <f>IFERROR(ROUND(L137*(I137/$AU137)/VLOOKUP(H137,商品!$A$4:$C$60,3,FALSE),0),"")</f>
        <v>38</v>
      </c>
      <c r="AN137">
        <f>IFERROR(ROUND(L137*(J137/$AU137)/VLOOKUP("运力",商品!$A$4:$C$60,3,FALSE),0),0)</f>
        <v>3</v>
      </c>
      <c r="AO137">
        <f>IFERROR(ROUND(L137*(K137/$AU137)/VLOOKUP("运力",商品!$A$4:$C$60,3,FALSE),0),0)</f>
        <v>6</v>
      </c>
      <c r="AP137">
        <f>IFERROR(ROUND(S137*(N137/$AV137)/VLOOKUP(M137,职业!$A$3:$E$16,4,FALSE),0),"")</f>
        <v>1131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44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20" customHeight="1" x14ac:dyDescent="0.3">
      <c r="A138" s="18" t="s">
        <v>314</v>
      </c>
      <c r="C138" s="18">
        <v>4</v>
      </c>
      <c r="D138" s="21" t="s">
        <v>240</v>
      </c>
      <c r="E138" s="21" t="s">
        <v>230</v>
      </c>
      <c r="F138" s="1" t="s">
        <v>129</v>
      </c>
      <c r="G138" s="1">
        <v>10</v>
      </c>
      <c r="H138" s="1" t="s">
        <v>116</v>
      </c>
      <c r="I138" s="79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1900</v>
      </c>
      <c r="M138" s="1" t="s">
        <v>201</v>
      </c>
      <c r="N138" s="1">
        <v>15</v>
      </c>
      <c r="S138" s="18">
        <f>IFERROR(VLOOKUP($D138&amp;$C138,生产方式定位!$A$2:$E$38,3,FALSE)+VLOOKUP($E138&amp;$C138,生产方式定位!$F$3:$J$38,3,FALSE),0)</f>
        <v>90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2600</v>
      </c>
      <c r="Y138" s="24" t="str">
        <f t="shared" si="34"/>
        <v>玻璃*14,染料*42,运力*4,交易*7</v>
      </c>
      <c r="Z138" s="34" t="str">
        <f t="shared" si="35"/>
        <v>工程师*1357</v>
      </c>
      <c r="AA138" s="34" t="str">
        <f t="shared" si="32"/>
        <v>瓷器*52</v>
      </c>
      <c r="AB138" s="25" t="str">
        <f t="shared" si="36"/>
        <v>37%</v>
      </c>
      <c r="AC138" s="1">
        <f t="shared" si="37"/>
        <v>610</v>
      </c>
      <c r="AD138" s="36">
        <f t="shared" si="33"/>
        <v>4</v>
      </c>
      <c r="AE138" t="str">
        <f t="shared" si="38"/>
        <v>玻璃*14</v>
      </c>
      <c r="AF138" t="str">
        <f t="shared" si="39"/>
        <v>染料*42</v>
      </c>
      <c r="AG138" t="str">
        <f t="shared" si="40"/>
        <v>工程师*1357</v>
      </c>
      <c r="AH138" t="str">
        <f t="shared" si="41"/>
        <v/>
      </c>
      <c r="AI138" t="str">
        <f t="shared" si="42"/>
        <v/>
      </c>
      <c r="AJ138" t="str">
        <f t="shared" si="43"/>
        <v>瓷器*52</v>
      </c>
      <c r="AK138" t="str">
        <f t="shared" si="44"/>
        <v/>
      </c>
      <c r="AL138">
        <f>IFERROR(ROUND(L138*(G138/$AU138)/VLOOKUP(F138,商品!$A$4:$C$60,3,FALSE),0),"")</f>
        <v>14</v>
      </c>
      <c r="AM138">
        <f>IFERROR(ROUND(L138*(I138/$AU138)/VLOOKUP(H138,商品!$A$4:$C$60,3,FALSE),0),"")</f>
        <v>42</v>
      </c>
      <c r="AN138">
        <f>IFERROR(ROUND(L138*(J138/$AU138)/VLOOKUP("运力",商品!$A$4:$C$60,3,FALSE),0),0)</f>
        <v>4</v>
      </c>
      <c r="AO138">
        <f>IFERROR(ROUND(L138*(K138/$AU138)/VLOOKUP("运力",商品!$A$4:$C$60,3,FALSE),0),0)</f>
        <v>7</v>
      </c>
      <c r="AP138">
        <f>IFERROR(ROUND(S138*(N138/$AV138)/VLOOKUP(M138,职业!$A$3:$E$16,4,FALSE),0),"")</f>
        <v>1357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52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20" customHeight="1" x14ac:dyDescent="0.3">
      <c r="A139" s="18" t="s">
        <v>314</v>
      </c>
      <c r="C139" s="18">
        <v>5</v>
      </c>
      <c r="D139" s="21" t="s">
        <v>240</v>
      </c>
      <c r="E139" s="21" t="s">
        <v>230</v>
      </c>
      <c r="F139" s="1" t="s">
        <v>129</v>
      </c>
      <c r="G139" s="1">
        <v>10</v>
      </c>
      <c r="H139" s="1" t="s">
        <v>116</v>
      </c>
      <c r="I139" s="79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2100</v>
      </c>
      <c r="M139" s="1" t="s">
        <v>201</v>
      </c>
      <c r="N139" s="1">
        <v>20</v>
      </c>
      <c r="S139" s="18">
        <f>IFERROR(VLOOKUP($D139&amp;$C139,生产方式定位!$A$2:$E$38,3,FALSE)+VLOOKUP($E139&amp;$C139,生产方式定位!$F$3:$J$38,3,FALSE),0)</f>
        <v>105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3018</v>
      </c>
      <c r="Y139" s="24" t="str">
        <f t="shared" si="34"/>
        <v>玻璃*16,染料*47,运力*4,交易*8</v>
      </c>
      <c r="Z139" s="34" t="str">
        <f t="shared" si="35"/>
        <v>工程师*1584</v>
      </c>
      <c r="AA139" s="34" t="str">
        <f t="shared" si="32"/>
        <v>瓷器*60</v>
      </c>
      <c r="AB139" s="25" t="str">
        <f t="shared" si="36"/>
        <v>44%</v>
      </c>
      <c r="AC139" s="1">
        <f t="shared" si="37"/>
        <v>813</v>
      </c>
      <c r="AD139" s="36">
        <f t="shared" si="33"/>
        <v>5</v>
      </c>
      <c r="AE139" t="str">
        <f t="shared" si="38"/>
        <v>玻璃*16</v>
      </c>
      <c r="AF139" t="str">
        <f t="shared" si="39"/>
        <v>染料*47</v>
      </c>
      <c r="AG139" t="str">
        <f t="shared" si="40"/>
        <v>工程师*1584</v>
      </c>
      <c r="AH139" t="str">
        <f t="shared" si="41"/>
        <v/>
      </c>
      <c r="AI139" t="str">
        <f t="shared" si="42"/>
        <v/>
      </c>
      <c r="AJ139" t="str">
        <f t="shared" si="43"/>
        <v>瓷器*60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47</v>
      </c>
      <c r="AN139">
        <f>IFERROR(ROUND(L139*(J139/$AU139)/VLOOKUP("运力",商品!$A$4:$C$60,3,FALSE),0),0)</f>
        <v>4</v>
      </c>
      <c r="AO139">
        <f>IFERROR(ROUND(L139*(K139/$AU139)/VLOOKUP("运力",商品!$A$4:$C$60,3,FALSE),0),0)</f>
        <v>8</v>
      </c>
      <c r="AP139">
        <f>IFERROR(ROUND(S139*(N139/$AV139)/VLOOKUP(M139,职业!$A$3:$E$16,4,FALSE),0),"")</f>
        <v>1584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60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20" customHeight="1" x14ac:dyDescent="0.3">
      <c r="A140" s="5" t="s">
        <v>315</v>
      </c>
      <c r="C140" s="5">
        <v>1</v>
      </c>
      <c r="D140" s="21" t="s">
        <v>292</v>
      </c>
      <c r="E140" s="21" t="s">
        <v>225</v>
      </c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20" customHeight="1" x14ac:dyDescent="0.3">
      <c r="A141" s="5" t="s">
        <v>315</v>
      </c>
      <c r="C141" s="5">
        <v>2</v>
      </c>
      <c r="D141" s="21" t="s">
        <v>292</v>
      </c>
      <c r="E141" s="21" t="s">
        <v>225</v>
      </c>
      <c r="F141" s="1" t="s">
        <v>146</v>
      </c>
      <c r="G141" s="1">
        <v>10</v>
      </c>
      <c r="L141" s="5">
        <f>IFERROR(VLOOKUP($D141&amp;$C141,生产方式定位!$A$2:$E$38,2,FALSE)+VLOOKUP($E141&amp;$C141,生产方式定位!$F$3:$J$38,2,FALSE),0)</f>
        <v>750</v>
      </c>
      <c r="M141" s="1" t="s">
        <v>208</v>
      </c>
      <c r="N141" s="1">
        <v>-20</v>
      </c>
      <c r="O141" s="1" t="s">
        <v>201</v>
      </c>
      <c r="P141" s="1">
        <v>5</v>
      </c>
      <c r="S141" s="5">
        <f>IFERROR(VLOOKUP($D141&amp;$C141,生产方式定位!$A$2:$E$38,3,FALSE)+VLOOKUP($E141&amp;$C141,生产方式定位!$F$3:$J$38,3,FALSE),0)</f>
        <v>40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632</v>
      </c>
      <c r="Y141" s="24" t="str">
        <f t="shared" si="34"/>
        <v>工具*19</v>
      </c>
      <c r="Z141" s="34" t="str">
        <f t="shared" si="35"/>
        <v>劳工*-1448,工程师*121</v>
      </c>
      <c r="AA141" s="34" t="str">
        <f t="shared" si="32"/>
        <v>玻璃*21</v>
      </c>
      <c r="AB141" s="25" t="str">
        <f t="shared" si="36"/>
        <v>-16%</v>
      </c>
      <c r="AC141" s="1">
        <f t="shared" si="37"/>
        <v>-158</v>
      </c>
      <c r="AD141" s="35">
        <f t="shared" si="33"/>
        <v>2</v>
      </c>
      <c r="AE141" t="str">
        <f t="shared" si="38"/>
        <v>工具*19</v>
      </c>
      <c r="AF141" t="str">
        <f t="shared" si="39"/>
        <v/>
      </c>
      <c r="AG141" t="str">
        <f t="shared" si="40"/>
        <v>劳工*-1448</v>
      </c>
      <c r="AH141" t="str">
        <f t="shared" si="41"/>
        <v>工程师*121</v>
      </c>
      <c r="AI141" t="str">
        <f t="shared" si="42"/>
        <v/>
      </c>
      <c r="AJ141" t="str">
        <f t="shared" si="43"/>
        <v>玻璃*21</v>
      </c>
      <c r="AK141" t="str">
        <f t="shared" si="44"/>
        <v/>
      </c>
      <c r="AL141">
        <f>IFERROR(ROUND(L141*(G141/$AU141)/VLOOKUP(F141,商品!$A$4:$C$60,3,FALSE),0),"")</f>
        <v>19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-1448</v>
      </c>
      <c r="AQ141">
        <f>IFERROR(ROUND(S141*(P141/$AV141)/VLOOKUP(O141,职业!$A$3:$E$16,4,FALSE),0),"")</f>
        <v>121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21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20" customHeight="1" x14ac:dyDescent="0.3">
      <c r="A142" s="5" t="s">
        <v>315</v>
      </c>
      <c r="C142" s="5">
        <v>3</v>
      </c>
      <c r="D142" s="21" t="s">
        <v>292</v>
      </c>
      <c r="E142" s="21" t="s">
        <v>225</v>
      </c>
      <c r="F142" s="1" t="s">
        <v>124</v>
      </c>
      <c r="G142" s="1">
        <v>10</v>
      </c>
      <c r="L142" s="5">
        <f>IFERROR(VLOOKUP($D142&amp;$C142,生产方式定位!$A$2:$E$38,2,FALSE)+VLOOKUP($E142&amp;$C142,生产方式定位!$F$3:$J$38,2,FALSE),0)</f>
        <v>1000</v>
      </c>
      <c r="M142" s="1" t="s">
        <v>208</v>
      </c>
      <c r="N142" s="1">
        <v>-20</v>
      </c>
      <c r="O142" s="1" t="s">
        <v>201</v>
      </c>
      <c r="P142" s="1">
        <v>7</v>
      </c>
      <c r="S142" s="5">
        <f>IFERROR(VLOOKUP($D142&amp;$C142,生产方式定位!$A$2:$E$38,3,FALSE)+VLOOKUP($E142&amp;$C142,生产方式定位!$F$3:$J$38,3,FALSE),0)</f>
        <v>60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901</v>
      </c>
      <c r="Y142" s="24" t="str">
        <f t="shared" si="34"/>
        <v>磁魔素*20</v>
      </c>
      <c r="Z142" s="34" t="str">
        <f t="shared" si="35"/>
        <v>劳工*-2011,工程师*235</v>
      </c>
      <c r="AA142" s="34" t="str">
        <f t="shared" si="32"/>
        <v>玻璃*30</v>
      </c>
      <c r="AB142" s="25" t="str">
        <f t="shared" si="36"/>
        <v>-10%</v>
      </c>
      <c r="AC142" s="1">
        <f t="shared" si="37"/>
        <v>-159</v>
      </c>
      <c r="AD142" s="35">
        <f t="shared" si="33"/>
        <v>3</v>
      </c>
      <c r="AE142" t="str">
        <f t="shared" si="38"/>
        <v>磁魔素*20</v>
      </c>
      <c r="AF142" t="str">
        <f t="shared" si="39"/>
        <v/>
      </c>
      <c r="AG142" t="str">
        <f t="shared" si="40"/>
        <v>劳工*-2011</v>
      </c>
      <c r="AH142" t="str">
        <f t="shared" si="41"/>
        <v>工程师*235</v>
      </c>
      <c r="AI142" t="str">
        <f t="shared" si="42"/>
        <v/>
      </c>
      <c r="AJ142" t="str">
        <f t="shared" si="43"/>
        <v>玻璃*30</v>
      </c>
      <c r="AK142" t="str">
        <f t="shared" si="44"/>
        <v/>
      </c>
      <c r="AL142">
        <f>IFERROR(ROUND(L142*(G142/$AU142)/VLOOKUP(F142,商品!$A$4:$C$60,3,FALSE),0),"")</f>
        <v>20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-2011</v>
      </c>
      <c r="AQ142">
        <f>IFERROR(ROUND(S142*(P142/$AV142)/VLOOKUP(O142,职业!$A$3:$E$16,4,FALSE),0),"")</f>
        <v>235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30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20" customHeight="1" x14ac:dyDescent="0.3">
      <c r="A143" s="5" t="s">
        <v>315</v>
      </c>
      <c r="C143" s="5">
        <v>4</v>
      </c>
      <c r="D143" s="21" t="s">
        <v>292</v>
      </c>
      <c r="E143" s="21" t="s">
        <v>225</v>
      </c>
      <c r="F143" s="1" t="s">
        <v>150</v>
      </c>
      <c r="G143" s="1">
        <v>10</v>
      </c>
      <c r="L143" s="5">
        <f>IFERROR(VLOOKUP($D143&amp;$C143,生产方式定位!$A$2:$E$38,2,FALSE)+VLOOKUP($E143&amp;$C143,生产方式定位!$F$3:$J$38,2,FALSE),0)</f>
        <v>1250</v>
      </c>
      <c r="M143" s="1" t="s">
        <v>208</v>
      </c>
      <c r="N143" s="1">
        <v>-20</v>
      </c>
      <c r="O143" s="1" t="s">
        <v>201</v>
      </c>
      <c r="P143" s="1">
        <v>9</v>
      </c>
      <c r="S143" s="5">
        <f>IFERROR(VLOOKUP($D143&amp;$C143,生产方式定位!$A$2:$E$38,3,FALSE)+VLOOKUP($E143&amp;$C143,生产方式定位!$F$3:$J$38,3,FALSE),0)</f>
        <v>80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1197</v>
      </c>
      <c r="Y143" s="24" t="str">
        <f t="shared" si="34"/>
        <v>科学引擎*16</v>
      </c>
      <c r="Z143" s="34" t="str">
        <f t="shared" si="35"/>
        <v>劳工*-2496,工程师*374</v>
      </c>
      <c r="AA143" s="34" t="str">
        <f t="shared" si="32"/>
        <v>玻璃*40</v>
      </c>
      <c r="AB143" s="25" t="str">
        <f t="shared" si="36"/>
        <v>-4%</v>
      </c>
      <c r="AC143" s="1">
        <f t="shared" si="37"/>
        <v>-133</v>
      </c>
      <c r="AD143" s="35">
        <f t="shared" si="33"/>
        <v>4</v>
      </c>
      <c r="AE143" t="str">
        <f t="shared" si="38"/>
        <v>科学引擎*16</v>
      </c>
      <c r="AF143" t="str">
        <f t="shared" si="39"/>
        <v/>
      </c>
      <c r="AG143" t="str">
        <f t="shared" si="40"/>
        <v>劳工*-2496</v>
      </c>
      <c r="AH143" t="str">
        <f t="shared" si="41"/>
        <v>工程师*374</v>
      </c>
      <c r="AI143" t="str">
        <f t="shared" si="42"/>
        <v/>
      </c>
      <c r="AJ143" t="str">
        <f t="shared" si="43"/>
        <v>玻璃*40</v>
      </c>
      <c r="AK143" t="str">
        <f t="shared" si="44"/>
        <v/>
      </c>
      <c r="AL143">
        <f>IFERROR(ROUND(L143*(G143/$AU143)/VLOOKUP(F143,商品!$A$4:$C$60,3,FALSE),0),"")</f>
        <v>16</v>
      </c>
      <c r="AM143" t="str">
        <f>IFERROR(ROUND(L143*(I143/$AU143)/VLOOKUP(H143,商品!$A$4:$C$60,3,FALSE),0),"")</f>
        <v/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-2496</v>
      </c>
      <c r="AQ143">
        <f>IFERROR(ROUND(S143*(P143/$AV143)/VLOOKUP(O143,职业!$A$3:$E$16,4,FALSE),0),"")</f>
        <v>374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40</v>
      </c>
      <c r="AT143" t="str">
        <f>IFERROR(ROUND(X143*(W143/$AW143)/VLOOKUP(V143,商品!$A$4:$C$60,3,FALSE),0),"")</f>
        <v/>
      </c>
      <c r="AU143">
        <f t="shared" si="45"/>
        <v>10</v>
      </c>
      <c r="AV143">
        <f t="shared" si="46"/>
        <v>29</v>
      </c>
      <c r="AW143">
        <f t="shared" si="47"/>
        <v>1</v>
      </c>
    </row>
    <row r="144" spans="1:49" ht="20" customHeight="1" x14ac:dyDescent="0.3">
      <c r="A144" s="5" t="s">
        <v>315</v>
      </c>
      <c r="C144" s="5">
        <v>5</v>
      </c>
      <c r="D144" s="21" t="s">
        <v>292</v>
      </c>
      <c r="E144" s="21" t="s">
        <v>225</v>
      </c>
      <c r="F144" s="1" t="s">
        <v>150</v>
      </c>
      <c r="G144" s="1">
        <v>10</v>
      </c>
      <c r="H144" s="1" t="s">
        <v>151</v>
      </c>
      <c r="I144" s="1">
        <v>7</v>
      </c>
      <c r="L144" s="5">
        <f>IFERROR(VLOOKUP($D144&amp;$C144,生产方式定位!$A$2:$E$38,2,FALSE)+VLOOKUP($E144&amp;$C144,生产方式定位!$F$3:$J$38,2,FALSE),0)</f>
        <v>1500</v>
      </c>
      <c r="M144" s="1" t="s">
        <v>208</v>
      </c>
      <c r="N144" s="1">
        <v>-20</v>
      </c>
      <c r="O144" s="1" t="s">
        <v>201</v>
      </c>
      <c r="P144" s="1">
        <v>11</v>
      </c>
      <c r="S144" s="5">
        <f>IFERROR(VLOOKUP($D144&amp;$C144,生产方式定位!$A$2:$E$38,3,FALSE)+VLOOKUP($E144&amp;$C144,生产方式定位!$F$3:$J$38,3,FALSE),0)</f>
        <v>100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1760</v>
      </c>
      <c r="Y144" s="24" t="str">
        <f t="shared" si="34"/>
        <v>科学引擎*11,魔导引擎*8</v>
      </c>
      <c r="Z144" s="34" t="str">
        <f t="shared" si="35"/>
        <v>劳工*-2919,工程师*535</v>
      </c>
      <c r="AA144" s="34" t="str">
        <f t="shared" si="32"/>
        <v>玻璃*59</v>
      </c>
      <c r="AB144" s="25" t="str">
        <f t="shared" si="36"/>
        <v>17%</v>
      </c>
      <c r="AC144" s="1">
        <f t="shared" si="37"/>
        <v>160</v>
      </c>
      <c r="AD144" s="35">
        <f t="shared" si="33"/>
        <v>5</v>
      </c>
      <c r="AE144" t="str">
        <f t="shared" si="38"/>
        <v>科学引擎*11</v>
      </c>
      <c r="AF144" t="str">
        <f t="shared" si="39"/>
        <v>魔导引擎*8</v>
      </c>
      <c r="AG144" t="str">
        <f t="shared" si="40"/>
        <v>劳工*-2919</v>
      </c>
      <c r="AH144" t="str">
        <f t="shared" si="41"/>
        <v>工程师*535</v>
      </c>
      <c r="AI144" t="str">
        <f t="shared" si="42"/>
        <v/>
      </c>
      <c r="AJ144" t="str">
        <f t="shared" si="43"/>
        <v>玻璃*59</v>
      </c>
      <c r="AK144" t="str">
        <f t="shared" si="44"/>
        <v/>
      </c>
      <c r="AL144">
        <f>IFERROR(ROUND(L144*(G144/$AU144)/VLOOKUP(F144,商品!$A$4:$C$60,3,FALSE),0),"")</f>
        <v>11</v>
      </c>
      <c r="AM144">
        <f>IFERROR(ROUND(L144*(I144/$AU144)/VLOOKUP(H144,商品!$A$4:$C$60,3,FALSE),0),"")</f>
        <v>8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-2919</v>
      </c>
      <c r="AQ144">
        <f>IFERROR(ROUND(S144*(P144/$AV144)/VLOOKUP(O144,职业!$A$3:$E$16,4,FALSE),0),"")</f>
        <v>535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59</v>
      </c>
      <c r="AT144" t="str">
        <f>IFERROR(ROUND(X144*(W144/$AW144)/VLOOKUP(V144,商品!$A$4:$C$60,3,FALSE),0),"")</f>
        <v/>
      </c>
      <c r="AU144">
        <f t="shared" si="45"/>
        <v>17</v>
      </c>
      <c r="AV144">
        <f t="shared" si="46"/>
        <v>31</v>
      </c>
      <c r="AW144">
        <f t="shared" si="47"/>
        <v>1</v>
      </c>
    </row>
    <row r="145" spans="1:49" ht="20" customHeight="1" x14ac:dyDescent="0.3">
      <c r="A145" s="18" t="s">
        <v>315</v>
      </c>
      <c r="C145" s="18">
        <v>1</v>
      </c>
      <c r="D145" s="21" t="s">
        <v>292</v>
      </c>
      <c r="E145" s="21" t="s">
        <v>225</v>
      </c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20" customHeight="1" x14ac:dyDescent="0.3">
      <c r="A146" s="18" t="s">
        <v>315</v>
      </c>
      <c r="C146" s="18">
        <v>2</v>
      </c>
      <c r="D146" s="21" t="s">
        <v>292</v>
      </c>
      <c r="E146" s="21" t="s">
        <v>225</v>
      </c>
      <c r="F146" s="1" t="s">
        <v>147</v>
      </c>
      <c r="G146" s="1">
        <v>10</v>
      </c>
      <c r="L146" s="18">
        <f>IFERROR(VLOOKUP($D146&amp;$C146,生产方式定位!$A$2:$E$38,2,FALSE)+VLOOKUP($E146&amp;$C146,生产方式定位!$F$3:$J$38,2,FALSE),0)</f>
        <v>750</v>
      </c>
      <c r="M146" s="1" t="s">
        <v>208</v>
      </c>
      <c r="N146" s="1">
        <v>-20</v>
      </c>
      <c r="O146" s="1" t="s">
        <v>202</v>
      </c>
      <c r="P146" s="1">
        <v>5</v>
      </c>
      <c r="S146" s="18">
        <f>IFERROR(VLOOKUP($D146&amp;$C146,生产方式定位!$A$2:$E$38,3,FALSE)+VLOOKUP($E146&amp;$C146,生产方式定位!$F$3:$J$38,3,FALSE),0)</f>
        <v>40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632</v>
      </c>
      <c r="Y146" s="24" t="str">
        <f t="shared" si="34"/>
        <v>魔偶*19</v>
      </c>
      <c r="Z146" s="34" t="str">
        <f t="shared" si="35"/>
        <v>劳工*-1448,法士*90</v>
      </c>
      <c r="AA146" s="34" t="str">
        <f t="shared" si="32"/>
        <v>玻璃*21</v>
      </c>
      <c r="AB146" s="25" t="str">
        <f t="shared" si="36"/>
        <v>-16%</v>
      </c>
      <c r="AC146" s="1">
        <f t="shared" si="37"/>
        <v>-158</v>
      </c>
      <c r="AD146" s="36">
        <f t="shared" si="33"/>
        <v>2</v>
      </c>
      <c r="AE146" t="str">
        <f t="shared" si="38"/>
        <v>魔偶*19</v>
      </c>
      <c r="AF146" t="str">
        <f t="shared" si="39"/>
        <v/>
      </c>
      <c r="AG146" t="str">
        <f t="shared" si="40"/>
        <v>劳工*-1448</v>
      </c>
      <c r="AH146" t="str">
        <f t="shared" si="41"/>
        <v>法士*90</v>
      </c>
      <c r="AI146" t="str">
        <f t="shared" si="42"/>
        <v/>
      </c>
      <c r="AJ146" t="str">
        <f t="shared" si="43"/>
        <v>玻璃*21</v>
      </c>
      <c r="AK146" t="str">
        <f t="shared" si="44"/>
        <v/>
      </c>
      <c r="AL146">
        <f>IFERROR(ROUND(L146*(G146/$AU146)/VLOOKUP(F146,商品!$A$4:$C$60,3,FALSE),0),"")</f>
        <v>19</v>
      </c>
      <c r="AM146" t="str">
        <f>IFERROR(ROUND(L146*(I146/$AU146)/VLOOKUP(H146,商品!$A$4:$C$60,3,FALSE),0),"")</f>
        <v/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-1448</v>
      </c>
      <c r="AQ146">
        <f>IFERROR(ROUND(S146*(P146/$AV146)/VLOOKUP(O146,职业!$A$3:$E$16,4,FALSE),0),"")</f>
        <v>90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21</v>
      </c>
      <c r="AT146" t="str">
        <f>IFERROR(ROUND(X146*(W146/$AW146)/VLOOKUP(V146,商品!$A$4:$C$60,3,FALSE),0),"")</f>
        <v/>
      </c>
      <c r="AU146">
        <f t="shared" si="45"/>
        <v>10</v>
      </c>
      <c r="AV146">
        <f t="shared" si="46"/>
        <v>25</v>
      </c>
      <c r="AW146">
        <f t="shared" si="47"/>
        <v>1</v>
      </c>
    </row>
    <row r="147" spans="1:49" ht="20" customHeight="1" x14ac:dyDescent="0.3">
      <c r="A147" s="18" t="s">
        <v>315</v>
      </c>
      <c r="C147" s="18">
        <v>3</v>
      </c>
      <c r="D147" s="21" t="s">
        <v>292</v>
      </c>
      <c r="E147" s="21" t="s">
        <v>225</v>
      </c>
      <c r="F147" s="1" t="s">
        <v>125</v>
      </c>
      <c r="G147" s="1">
        <v>10</v>
      </c>
      <c r="L147" s="18">
        <f>IFERROR(VLOOKUP($D147&amp;$C147,生产方式定位!$A$2:$E$38,2,FALSE)+VLOOKUP($E147&amp;$C147,生产方式定位!$F$3:$J$38,2,FALSE),0)</f>
        <v>1000</v>
      </c>
      <c r="M147" s="1" t="s">
        <v>208</v>
      </c>
      <c r="N147" s="1">
        <v>-20</v>
      </c>
      <c r="O147" s="1" t="s">
        <v>202</v>
      </c>
      <c r="P147" s="1">
        <v>7</v>
      </c>
      <c r="S147" s="18">
        <f>IFERROR(VLOOKUP($D147&amp;$C147,生产方式定位!$A$2:$E$38,3,FALSE)+VLOOKUP($E147&amp;$C147,生产方式定位!$F$3:$J$38,3,FALSE),0)</f>
        <v>60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901</v>
      </c>
      <c r="Y147" s="24" t="str">
        <f t="shared" si="34"/>
        <v>泽洛*20</v>
      </c>
      <c r="Z147" s="34" t="str">
        <f t="shared" si="35"/>
        <v>劳工*-2011,法士*176</v>
      </c>
      <c r="AA147" s="34" t="str">
        <f t="shared" si="32"/>
        <v>玻璃*30</v>
      </c>
      <c r="AB147" s="25" t="str">
        <f t="shared" si="36"/>
        <v>-10%</v>
      </c>
      <c r="AC147" s="1">
        <f t="shared" si="37"/>
        <v>-159</v>
      </c>
      <c r="AD147" s="36">
        <f t="shared" si="33"/>
        <v>3</v>
      </c>
      <c r="AE147" t="str">
        <f t="shared" si="38"/>
        <v>泽洛*20</v>
      </c>
      <c r="AF147" t="str">
        <f t="shared" si="39"/>
        <v/>
      </c>
      <c r="AG147" t="str">
        <f t="shared" si="40"/>
        <v>劳工*-2011</v>
      </c>
      <c r="AH147" t="str">
        <f t="shared" si="41"/>
        <v>法士*176</v>
      </c>
      <c r="AI147" t="str">
        <f t="shared" si="42"/>
        <v/>
      </c>
      <c r="AJ147" t="str">
        <f t="shared" si="43"/>
        <v>玻璃*30</v>
      </c>
      <c r="AK147" t="str">
        <f t="shared" si="44"/>
        <v/>
      </c>
      <c r="AL147">
        <f>IFERROR(ROUND(L147*(G147/$AU147)/VLOOKUP(F147,商品!$A$4:$C$60,3,FALSE),0),"")</f>
        <v>20</v>
      </c>
      <c r="AM147" t="str">
        <f>IFERROR(ROUND(L147*(I147/$AU147)/VLOOKUP(H147,商品!$A$4:$C$60,3,FALSE),0),"")</f>
        <v/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-2011</v>
      </c>
      <c r="AQ147">
        <f>IFERROR(ROUND(S147*(P147/$AV147)/VLOOKUP(O147,职业!$A$3:$E$16,4,FALSE),0),"")</f>
        <v>176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30</v>
      </c>
      <c r="AT147" t="str">
        <f>IFERROR(ROUND(X147*(W147/$AW147)/VLOOKUP(V147,商品!$A$4:$C$60,3,FALSE),0),"")</f>
        <v/>
      </c>
      <c r="AU147">
        <f t="shared" si="45"/>
        <v>10</v>
      </c>
      <c r="AV147">
        <f t="shared" si="46"/>
        <v>27</v>
      </c>
      <c r="AW147">
        <f t="shared" si="47"/>
        <v>1</v>
      </c>
    </row>
    <row r="148" spans="1:49" ht="20" customHeight="1" x14ac:dyDescent="0.3">
      <c r="A148" s="18" t="s">
        <v>315</v>
      </c>
      <c r="C148" s="18">
        <v>4</v>
      </c>
      <c r="D148" s="21" t="s">
        <v>292</v>
      </c>
      <c r="E148" s="21" t="s">
        <v>225</v>
      </c>
      <c r="F148" s="1" t="s">
        <v>151</v>
      </c>
      <c r="G148" s="1">
        <v>10</v>
      </c>
      <c r="L148" s="18">
        <f>IFERROR(VLOOKUP($D148&amp;$C148,生产方式定位!$A$2:$E$38,2,FALSE)+VLOOKUP($E148&amp;$C148,生产方式定位!$F$3:$J$38,2,FALSE),0)</f>
        <v>1250</v>
      </c>
      <c r="M148" s="1" t="s">
        <v>208</v>
      </c>
      <c r="N148" s="1">
        <v>-20</v>
      </c>
      <c r="O148" s="1" t="s">
        <v>202</v>
      </c>
      <c r="P148" s="1">
        <v>9</v>
      </c>
      <c r="S148" s="18">
        <f>IFERROR(VLOOKUP($D148&amp;$C148,生产方式定位!$A$2:$E$38,3,FALSE)+VLOOKUP($E148&amp;$C148,生产方式定位!$F$3:$J$38,3,FALSE),0)</f>
        <v>80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1197</v>
      </c>
      <c r="Y148" s="24" t="str">
        <f t="shared" si="34"/>
        <v>魔导引擎*16</v>
      </c>
      <c r="Z148" s="34" t="str">
        <f t="shared" si="35"/>
        <v>劳工*-2496,法士*281</v>
      </c>
      <c r="AA148" s="34" t="str">
        <f t="shared" si="32"/>
        <v>玻璃*40</v>
      </c>
      <c r="AB148" s="25" t="str">
        <f t="shared" si="36"/>
        <v>-4%</v>
      </c>
      <c r="AC148" s="1">
        <f t="shared" si="37"/>
        <v>-133</v>
      </c>
      <c r="AD148" s="36">
        <f t="shared" si="33"/>
        <v>4</v>
      </c>
      <c r="AE148" t="str">
        <f t="shared" si="38"/>
        <v>魔导引擎*16</v>
      </c>
      <c r="AF148" t="str">
        <f t="shared" si="39"/>
        <v/>
      </c>
      <c r="AG148" t="str">
        <f t="shared" si="40"/>
        <v>劳工*-2496</v>
      </c>
      <c r="AH148" t="str">
        <f t="shared" si="41"/>
        <v>法士*281</v>
      </c>
      <c r="AI148" t="str">
        <f t="shared" si="42"/>
        <v/>
      </c>
      <c r="AJ148" t="str">
        <f t="shared" si="43"/>
        <v>玻璃*40</v>
      </c>
      <c r="AK148" t="str">
        <f t="shared" si="44"/>
        <v/>
      </c>
      <c r="AL148">
        <f>IFERROR(ROUND(L148*(G148/$AU148)/VLOOKUP(F148,商品!$A$4:$C$60,3,FALSE),0),"")</f>
        <v>16</v>
      </c>
      <c r="AM148" t="str">
        <f>IFERROR(ROUND(L148*(I148/$AU148)/VLOOKUP(H148,商品!$A$4:$C$60,3,FALSE),0),"")</f>
        <v/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-2496</v>
      </c>
      <c r="AQ148">
        <f>IFERROR(ROUND(S148*(P148/$AV148)/VLOOKUP(O148,职业!$A$3:$E$16,4,FALSE),0),"")</f>
        <v>281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40</v>
      </c>
      <c r="AT148" t="str">
        <f>IFERROR(ROUND(X148*(W148/$AW148)/VLOOKUP(V148,商品!$A$4:$C$60,3,FALSE),0),"")</f>
        <v/>
      </c>
      <c r="AU148">
        <f t="shared" si="45"/>
        <v>10</v>
      </c>
      <c r="AV148">
        <f t="shared" si="46"/>
        <v>29</v>
      </c>
      <c r="AW148">
        <f t="shared" si="47"/>
        <v>1</v>
      </c>
    </row>
    <row r="149" spans="1:49" ht="20" customHeight="1" x14ac:dyDescent="0.3">
      <c r="A149" s="18" t="s">
        <v>315</v>
      </c>
      <c r="C149" s="18">
        <v>5</v>
      </c>
      <c r="D149" s="21" t="s">
        <v>292</v>
      </c>
      <c r="E149" s="21" t="s">
        <v>225</v>
      </c>
      <c r="F149" s="1" t="s">
        <v>150</v>
      </c>
      <c r="G149" s="1">
        <v>7</v>
      </c>
      <c r="H149" s="1" t="s">
        <v>151</v>
      </c>
      <c r="I149" s="1">
        <v>10</v>
      </c>
      <c r="L149" s="18">
        <f>IFERROR(VLOOKUP($D149&amp;$C149,生产方式定位!$A$2:$E$38,2,FALSE)+VLOOKUP($E149&amp;$C149,生产方式定位!$F$3:$J$38,2,FALSE),0)</f>
        <v>1500</v>
      </c>
      <c r="M149" s="1" t="s">
        <v>208</v>
      </c>
      <c r="N149" s="1">
        <v>-20</v>
      </c>
      <c r="O149" s="1" t="s">
        <v>202</v>
      </c>
      <c r="P149" s="1">
        <v>11</v>
      </c>
      <c r="S149" s="18">
        <f>IFERROR(VLOOKUP($D149&amp;$C149,生产方式定位!$A$2:$E$38,3,FALSE)+VLOOKUP($E149&amp;$C149,生产方式定位!$F$3:$J$38,3,FALSE),0)</f>
        <v>100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1760</v>
      </c>
      <c r="Y149" s="24" t="str">
        <f t="shared" si="34"/>
        <v>科学引擎*8,魔导引擎*11</v>
      </c>
      <c r="Z149" s="34" t="str">
        <f t="shared" si="35"/>
        <v>劳工*-2919,法士*401</v>
      </c>
      <c r="AA149" s="34" t="str">
        <f t="shared" si="32"/>
        <v>玻璃*59</v>
      </c>
      <c r="AB149" s="25" t="str">
        <f t="shared" si="36"/>
        <v>17%</v>
      </c>
      <c r="AC149" s="1">
        <f t="shared" si="37"/>
        <v>160</v>
      </c>
      <c r="AD149" s="36">
        <f t="shared" si="33"/>
        <v>5</v>
      </c>
      <c r="AE149" t="str">
        <f t="shared" si="38"/>
        <v>科学引擎*8</v>
      </c>
      <c r="AF149" t="str">
        <f t="shared" si="39"/>
        <v>魔导引擎*11</v>
      </c>
      <c r="AG149" t="str">
        <f t="shared" si="40"/>
        <v>劳工*-2919</v>
      </c>
      <c r="AH149" t="str">
        <f t="shared" si="41"/>
        <v>法士*401</v>
      </c>
      <c r="AI149" t="str">
        <f t="shared" si="42"/>
        <v/>
      </c>
      <c r="AJ149" t="str">
        <f t="shared" si="43"/>
        <v>玻璃*59</v>
      </c>
      <c r="AK149" t="str">
        <f t="shared" si="44"/>
        <v/>
      </c>
      <c r="AL149">
        <f>IFERROR(ROUND(L149*(G149/$AU149)/VLOOKUP(F149,商品!$A$4:$C$60,3,FALSE),0),"")</f>
        <v>8</v>
      </c>
      <c r="AM149">
        <f>IFERROR(ROUND(L149*(I149/$AU149)/VLOOKUP(H149,商品!$A$4:$C$60,3,FALSE),0),"")</f>
        <v>11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-2919</v>
      </c>
      <c r="AQ149">
        <f>IFERROR(ROUND(S149*(P149/$AV149)/VLOOKUP(O149,职业!$A$3:$E$16,4,FALSE),0),"")</f>
        <v>401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59</v>
      </c>
      <c r="AT149" t="str">
        <f>IFERROR(ROUND(X149*(W149/$AW149)/VLOOKUP(V149,商品!$A$4:$C$60,3,FALSE),0),"")</f>
        <v/>
      </c>
      <c r="AU149">
        <f t="shared" si="45"/>
        <v>17</v>
      </c>
      <c r="AV149">
        <f t="shared" si="46"/>
        <v>31</v>
      </c>
      <c r="AW149">
        <f t="shared" si="47"/>
        <v>1</v>
      </c>
    </row>
    <row r="150" spans="1:49" ht="20" customHeight="1" x14ac:dyDescent="0.3">
      <c r="A150" s="5" t="s">
        <v>316</v>
      </c>
      <c r="C150" s="5">
        <v>1</v>
      </c>
      <c r="D150" s="21" t="s">
        <v>292</v>
      </c>
      <c r="E150" s="21" t="s">
        <v>226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20" customHeight="1" x14ac:dyDescent="0.3">
      <c r="A151" s="5" t="s">
        <v>316</v>
      </c>
      <c r="C151" s="5">
        <v>2</v>
      </c>
      <c r="D151" s="21" t="s">
        <v>292</v>
      </c>
      <c r="E151" s="21" t="s">
        <v>226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20" customHeight="1" x14ac:dyDescent="0.3">
      <c r="A152" s="5" t="s">
        <v>316</v>
      </c>
      <c r="C152" s="5">
        <v>3</v>
      </c>
      <c r="D152" s="21" t="s">
        <v>292</v>
      </c>
      <c r="E152" s="21" t="s">
        <v>226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20" customHeight="1" x14ac:dyDescent="0.3">
      <c r="A153" s="5" t="s">
        <v>316</v>
      </c>
      <c r="C153" s="5">
        <v>4</v>
      </c>
      <c r="D153" s="21" t="s">
        <v>292</v>
      </c>
      <c r="E153" s="21" t="s">
        <v>226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20" customHeight="1" x14ac:dyDescent="0.3">
      <c r="A154" s="5" t="s">
        <v>316</v>
      </c>
      <c r="C154" s="5">
        <v>5</v>
      </c>
      <c r="D154" s="21" t="s">
        <v>292</v>
      </c>
      <c r="E154" s="21" t="s">
        <v>226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20" customHeight="1" x14ac:dyDescent="0.3">
      <c r="A155" s="5" t="s">
        <v>316</v>
      </c>
      <c r="C155" s="5">
        <v>6</v>
      </c>
      <c r="D155" s="21" t="s">
        <v>292</v>
      </c>
      <c r="E155" s="21" t="s">
        <v>226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20" customHeight="1" x14ac:dyDescent="0.3">
      <c r="A156" s="5" t="s">
        <v>316</v>
      </c>
      <c r="C156" s="5">
        <v>7</v>
      </c>
      <c r="D156" s="21" t="s">
        <v>292</v>
      </c>
      <c r="E156" s="21" t="s">
        <v>226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20" customHeight="1" x14ac:dyDescent="0.3">
      <c r="A157" s="5" t="s">
        <v>316</v>
      </c>
      <c r="C157" s="5">
        <v>8</v>
      </c>
      <c r="D157" s="21" t="s">
        <v>292</v>
      </c>
      <c r="E157" s="21" t="s">
        <v>226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20" customHeight="1" x14ac:dyDescent="0.3">
      <c r="A158" s="18" t="s">
        <v>318</v>
      </c>
      <c r="C158" s="18">
        <v>1</v>
      </c>
      <c r="D158" s="21" t="s">
        <v>240</v>
      </c>
      <c r="E158" s="21" t="s">
        <v>224</v>
      </c>
      <c r="F158" s="80" t="s">
        <v>637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1000</v>
      </c>
      <c r="M158" s="1" t="s">
        <v>208</v>
      </c>
      <c r="N158" s="1">
        <v>100</v>
      </c>
      <c r="S158" s="18">
        <f>IFERROR(VLOOKUP($D158&amp;$C158,生产方式定位!$A$2:$E$38,3,FALSE)+VLOOKUP($E158&amp;$C158,生产方式定位!$F$3:$J$38,3,FALSE),0)</f>
        <v>40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1144</v>
      </c>
      <c r="Y158" s="24" t="str">
        <f t="shared" si="34"/>
        <v>硫*13,运力*2,交易*1</v>
      </c>
      <c r="Z158" s="34" t="str">
        <f t="shared" si="35"/>
        <v>劳工*1810</v>
      </c>
      <c r="AA158" s="34" t="str">
        <f t="shared" si="32"/>
        <v>肥料*19</v>
      </c>
      <c r="AB158" s="25" t="str">
        <f t="shared" si="36"/>
        <v>14%</v>
      </c>
      <c r="AC158" s="1">
        <f t="shared" si="37"/>
        <v>104</v>
      </c>
      <c r="AD158" s="36">
        <f t="shared" si="33"/>
        <v>1</v>
      </c>
      <c r="AE158" t="str">
        <f t="shared" si="38"/>
        <v>硫*13</v>
      </c>
      <c r="AF158" t="str">
        <f t="shared" si="39"/>
        <v/>
      </c>
      <c r="AG158" t="str">
        <f t="shared" si="40"/>
        <v>劳工*1810</v>
      </c>
      <c r="AH158" t="str">
        <f t="shared" si="41"/>
        <v/>
      </c>
      <c r="AI158" t="str">
        <f t="shared" si="42"/>
        <v/>
      </c>
      <c r="AJ158" t="str">
        <f t="shared" si="43"/>
        <v>肥料*19</v>
      </c>
      <c r="AK158" t="str">
        <f t="shared" si="44"/>
        <v/>
      </c>
      <c r="AL158">
        <f>IFERROR(ROUND(L158*(G158/$AU158)/VLOOKUP(F158,商品!$A$4:$C$60,3,FALSE),0),"")</f>
        <v>13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2</v>
      </c>
      <c r="AO158">
        <f>IFERROR(ROUND(L158*(K158/$AU158)/VLOOKUP("运力",商品!$A$4:$C$60,3,FALSE),0),0)</f>
        <v>1</v>
      </c>
      <c r="AP158">
        <f>IFERROR(ROUND(S158*(N158/$AV158)/VLOOKUP(M158,职业!$A$3:$E$16,4,FALSE),0),"")</f>
        <v>1810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19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20" customHeight="1" x14ac:dyDescent="0.3">
      <c r="A159" s="18" t="s">
        <v>318</v>
      </c>
      <c r="C159" s="18">
        <v>2</v>
      </c>
      <c r="D159" s="21" t="s">
        <v>240</v>
      </c>
      <c r="E159" s="21" t="s">
        <v>224</v>
      </c>
      <c r="F159" s="80" t="s">
        <v>637</v>
      </c>
      <c r="G159" s="79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1600</v>
      </c>
      <c r="M159" s="1" t="s">
        <v>208</v>
      </c>
      <c r="N159" s="1">
        <v>100</v>
      </c>
      <c r="O159" s="1" t="s">
        <v>201</v>
      </c>
      <c r="P159" s="1">
        <v>5</v>
      </c>
      <c r="S159" s="18">
        <f>IFERROR(VLOOKUP($D159&amp;$C159,生产方式定位!$A$2:$E$38,3,FALSE)+VLOOKUP($E159&amp;$C159,生产方式定位!$F$3:$J$38,3,FALSE),0)</f>
        <v>50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1930</v>
      </c>
      <c r="Y159" s="24" t="str">
        <f t="shared" si="34"/>
        <v>硫*21,运力*4,交易*2</v>
      </c>
      <c r="Z159" s="34" t="str">
        <f t="shared" si="35"/>
        <v>劳工*2155,工程师*36</v>
      </c>
      <c r="AA159" s="34" t="str">
        <f t="shared" si="32"/>
        <v>肥料*32</v>
      </c>
      <c r="AB159" s="25" t="str">
        <f t="shared" si="36"/>
        <v>21%</v>
      </c>
      <c r="AC159" s="1">
        <f t="shared" si="37"/>
        <v>280</v>
      </c>
      <c r="AD159" s="36">
        <f t="shared" si="33"/>
        <v>2</v>
      </c>
      <c r="AE159" t="str">
        <f t="shared" si="38"/>
        <v>硫*21</v>
      </c>
      <c r="AF159" t="str">
        <f t="shared" si="39"/>
        <v/>
      </c>
      <c r="AG159" t="str">
        <f t="shared" si="40"/>
        <v>劳工*2155</v>
      </c>
      <c r="AH159" t="str">
        <f t="shared" si="41"/>
        <v>工程师*36</v>
      </c>
      <c r="AI159" t="str">
        <f t="shared" si="42"/>
        <v/>
      </c>
      <c r="AJ159" t="str">
        <f t="shared" si="43"/>
        <v>肥料*32</v>
      </c>
      <c r="AK159" t="str">
        <f t="shared" si="44"/>
        <v/>
      </c>
      <c r="AL159">
        <f>IFERROR(ROUND(L159*(G159/$AU159)/VLOOKUP(F159,商品!$A$4:$C$60,3,FALSE),0),"")</f>
        <v>21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4</v>
      </c>
      <c r="AO159">
        <f>IFERROR(ROUND(L159*(K159/$AU159)/VLOOKUP("运力",商品!$A$4:$C$60,3,FALSE),0),0)</f>
        <v>2</v>
      </c>
      <c r="AP159">
        <f>IFERROR(ROUND(S159*(N159/$AV159)/VLOOKUP(M159,职业!$A$3:$E$16,4,FALSE),0),"")</f>
        <v>2155</v>
      </c>
      <c r="AQ159">
        <f>IFERROR(ROUND(S159*(P159/$AV159)/VLOOKUP(O159,职业!$A$3:$E$16,4,FALSE),0),"")</f>
        <v>36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32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20" customHeight="1" x14ac:dyDescent="0.3">
      <c r="A160" s="18" t="s">
        <v>318</v>
      </c>
      <c r="C160" s="18">
        <v>3</v>
      </c>
      <c r="D160" s="21" t="s">
        <v>240</v>
      </c>
      <c r="E160" s="21" t="s">
        <v>224</v>
      </c>
      <c r="F160" s="80" t="s">
        <v>637</v>
      </c>
      <c r="G160" s="79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1825</v>
      </c>
      <c r="M160" s="1" t="s">
        <v>208</v>
      </c>
      <c r="N160" s="1">
        <v>100</v>
      </c>
      <c r="O160" s="1" t="s">
        <v>201</v>
      </c>
      <c r="P160" s="1">
        <v>10</v>
      </c>
      <c r="S160" s="18">
        <f>IFERROR(VLOOKUP($D160&amp;$C160,生产方式定位!$A$2:$E$38,3,FALSE)+VLOOKUP($E160&amp;$C160,生产方式定位!$F$3:$J$38,3,FALSE),0)</f>
        <v>60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2326</v>
      </c>
      <c r="Y160" s="24" t="str">
        <f t="shared" si="34"/>
        <v>硫*24,运力*4,交易*2</v>
      </c>
      <c r="Z160" s="34" t="str">
        <f t="shared" si="35"/>
        <v>劳工*2468,工程师*82</v>
      </c>
      <c r="AA160" s="34" t="str">
        <f t="shared" si="32"/>
        <v>肥料*39</v>
      </c>
      <c r="AB160" s="25" t="str">
        <f t="shared" si="36"/>
        <v>27%</v>
      </c>
      <c r="AC160" s="1">
        <f t="shared" si="37"/>
        <v>441</v>
      </c>
      <c r="AD160" s="35">
        <f t="shared" si="33"/>
        <v>3</v>
      </c>
      <c r="AE160" t="str">
        <f t="shared" si="38"/>
        <v>硫*24</v>
      </c>
      <c r="AF160" t="str">
        <f t="shared" si="39"/>
        <v/>
      </c>
      <c r="AG160" t="str">
        <f t="shared" si="40"/>
        <v>劳工*2468</v>
      </c>
      <c r="AH160" t="str">
        <f t="shared" si="41"/>
        <v>工程师*82</v>
      </c>
      <c r="AI160" t="str">
        <f t="shared" si="42"/>
        <v/>
      </c>
      <c r="AJ160" t="str">
        <f t="shared" si="43"/>
        <v>肥料*39</v>
      </c>
      <c r="AK160" t="str">
        <f t="shared" si="44"/>
        <v/>
      </c>
      <c r="AL160">
        <f>IFERROR(ROUND(L160*(G160/$AU160)/VLOOKUP(F160,商品!$A$4:$C$60,3,FALSE),0),"")</f>
        <v>24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4</v>
      </c>
      <c r="AO160">
        <f>IFERROR(ROUND(L160*(K160/$AU160)/VLOOKUP("运力",商品!$A$4:$C$60,3,FALSE),0),0)</f>
        <v>2</v>
      </c>
      <c r="AP160">
        <f>IFERROR(ROUND(S160*(N160/$AV160)/VLOOKUP(M160,职业!$A$3:$E$16,4,FALSE),0),"")</f>
        <v>2468</v>
      </c>
      <c r="AQ160">
        <f>IFERROR(ROUND(S160*(P160/$AV160)/VLOOKUP(O160,职业!$A$3:$E$16,4,FALSE),0),"")</f>
        <v>82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39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20" customHeight="1" x14ac:dyDescent="0.3">
      <c r="A161" s="18" t="s">
        <v>318</v>
      </c>
      <c r="C161" s="18">
        <v>4</v>
      </c>
      <c r="D161" s="21" t="s">
        <v>240</v>
      </c>
      <c r="E161" s="21" t="s">
        <v>224</v>
      </c>
      <c r="F161" s="80" t="s">
        <v>637</v>
      </c>
      <c r="G161" s="79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2050</v>
      </c>
      <c r="M161" s="1" t="s">
        <v>208</v>
      </c>
      <c r="N161" s="1">
        <v>100</v>
      </c>
      <c r="O161" s="1" t="s">
        <v>201</v>
      </c>
      <c r="P161" s="1">
        <v>15</v>
      </c>
      <c r="S161" s="18">
        <f>IFERROR(VLOOKUP($D161&amp;$C161,生产方式定位!$A$2:$E$38,3,FALSE)+VLOOKUP($E161&amp;$C161,生产方式定位!$F$3:$J$38,3,FALSE),0)</f>
        <v>70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2743</v>
      </c>
      <c r="Y161" s="24" t="str">
        <f t="shared" si="34"/>
        <v>硫*27,运力*4,交易*3</v>
      </c>
      <c r="Z161" s="34" t="str">
        <f t="shared" si="35"/>
        <v>劳工*2754,工程师*138</v>
      </c>
      <c r="AA161" s="34" t="str">
        <f t="shared" si="32"/>
        <v>肥料*46</v>
      </c>
      <c r="AB161" s="25" t="str">
        <f t="shared" si="36"/>
        <v>34%</v>
      </c>
      <c r="AC161" s="1">
        <f t="shared" si="37"/>
        <v>623</v>
      </c>
      <c r="AD161" s="35">
        <f t="shared" si="33"/>
        <v>4</v>
      </c>
      <c r="AE161" t="str">
        <f t="shared" si="38"/>
        <v>硫*27</v>
      </c>
      <c r="AF161" t="str">
        <f t="shared" si="39"/>
        <v/>
      </c>
      <c r="AG161" t="str">
        <f t="shared" si="40"/>
        <v>劳工*2754</v>
      </c>
      <c r="AH161" t="str">
        <f t="shared" si="41"/>
        <v>工程师*138</v>
      </c>
      <c r="AI161" t="str">
        <f t="shared" si="42"/>
        <v/>
      </c>
      <c r="AJ161" t="str">
        <f t="shared" si="43"/>
        <v>肥料*46</v>
      </c>
      <c r="AK161" t="str">
        <f t="shared" si="44"/>
        <v/>
      </c>
      <c r="AL161">
        <f>IFERROR(ROUND(L161*(G161/$AU161)/VLOOKUP(F161,商品!$A$4:$C$60,3,FALSE),0),"")</f>
        <v>27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4</v>
      </c>
      <c r="AO161">
        <f>IFERROR(ROUND(L161*(K161/$AU161)/VLOOKUP("运力",商品!$A$4:$C$60,3,FALSE),0),0)</f>
        <v>3</v>
      </c>
      <c r="AP161">
        <f>IFERROR(ROUND(S161*(N161/$AV161)/VLOOKUP(M161,职业!$A$3:$E$16,4,FALSE),0),"")</f>
        <v>2754</v>
      </c>
      <c r="AQ161">
        <f>IFERROR(ROUND(S161*(P161/$AV161)/VLOOKUP(O161,职业!$A$3:$E$16,4,FALSE),0),"")</f>
        <v>138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46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20" customHeight="1" x14ac:dyDescent="0.3">
      <c r="A162" s="18" t="s">
        <v>318</v>
      </c>
      <c r="C162" s="18">
        <v>5</v>
      </c>
      <c r="D162" s="21" t="s">
        <v>240</v>
      </c>
      <c r="E162" s="21" t="s">
        <v>224</v>
      </c>
      <c r="F162" s="80" t="s">
        <v>637</v>
      </c>
      <c r="G162" s="79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2275</v>
      </c>
      <c r="M162" s="1" t="s">
        <v>208</v>
      </c>
      <c r="N162" s="1">
        <v>100</v>
      </c>
      <c r="O162" s="1" t="s">
        <v>201</v>
      </c>
      <c r="P162" s="1">
        <v>20</v>
      </c>
      <c r="S162" s="18">
        <f>IFERROR(VLOOKUP($D162&amp;$C162,生产方式定位!$A$2:$E$38,3,FALSE)+VLOOKUP($E162&amp;$C162,生产方式定位!$F$3:$J$38,3,FALSE),0)</f>
        <v>80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3183</v>
      </c>
      <c r="Y162" s="24" t="str">
        <f t="shared" si="34"/>
        <v>硫*30,运力*5,交易*3</v>
      </c>
      <c r="Z162" s="34" t="str">
        <f t="shared" si="35"/>
        <v>劳工*3017,工程师*201</v>
      </c>
      <c r="AA162" s="34" t="str">
        <f t="shared" si="32"/>
        <v>肥料*53</v>
      </c>
      <c r="AB162" s="25" t="str">
        <f t="shared" si="36"/>
        <v>40%</v>
      </c>
      <c r="AC162" s="1">
        <f t="shared" si="37"/>
        <v>828</v>
      </c>
      <c r="AD162" s="35">
        <f t="shared" si="33"/>
        <v>5</v>
      </c>
      <c r="AE162" t="str">
        <f t="shared" si="38"/>
        <v>硫*30</v>
      </c>
      <c r="AF162" t="str">
        <f t="shared" si="39"/>
        <v/>
      </c>
      <c r="AG162" t="str">
        <f t="shared" si="40"/>
        <v>劳工*3017</v>
      </c>
      <c r="AH162" t="str">
        <f t="shared" si="41"/>
        <v>工程师*201</v>
      </c>
      <c r="AI162" t="str">
        <f t="shared" si="42"/>
        <v/>
      </c>
      <c r="AJ162" t="str">
        <f t="shared" si="43"/>
        <v>肥料*53</v>
      </c>
      <c r="AK162" t="str">
        <f t="shared" si="44"/>
        <v/>
      </c>
      <c r="AL162">
        <f>IFERROR(ROUND(L162*(G162/$AU162)/VLOOKUP(F162,商品!$A$4:$C$60,3,FALSE),0),"")</f>
        <v>30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5</v>
      </c>
      <c r="AO162">
        <f>IFERROR(ROUND(L162*(K162/$AU162)/VLOOKUP("运力",商品!$A$4:$C$60,3,FALSE),0),0)</f>
        <v>3</v>
      </c>
      <c r="AP162">
        <f>IFERROR(ROUND(S162*(N162/$AV162)/VLOOKUP(M162,职业!$A$3:$E$16,4,FALSE),0),"")</f>
        <v>3017</v>
      </c>
      <c r="AQ162">
        <f>IFERROR(ROUND(S162*(P162/$AV162)/VLOOKUP(O162,职业!$A$3:$E$16,4,FALSE),0),"")</f>
        <v>201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53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20" customHeight="1" x14ac:dyDescent="0.3">
      <c r="A163" s="5" t="s">
        <v>319</v>
      </c>
      <c r="C163" s="5">
        <v>1</v>
      </c>
      <c r="D163" s="21" t="s">
        <v>240</v>
      </c>
      <c r="E163" s="21" t="s">
        <v>230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1000</v>
      </c>
      <c r="S163" s="5">
        <f>IFERROR(VLOOKUP($D163&amp;$C163,生产方式定位!$A$2:$E$38,3,FALSE)+VLOOKUP($E163&amp;$C163,生产方式定位!$F$3:$J$38,3,FALSE),0)</f>
        <v>40</v>
      </c>
      <c r="X163" s="5">
        <f>IFERROR(VLOOKUP($D163&amp;$C163,生产方式定位!$A$2:$E$38,5,FALSE)+VLOOKUP($E163&amp;$C163,生产方式定位!$F$3:$J$38,5,FALSE),"错误")</f>
        <v>1144</v>
      </c>
      <c r="Y163" s="24" t="str">
        <f t="shared" si="34"/>
        <v>,运力*10,交易*6</v>
      </c>
      <c r="Z163" s="34" t="str">
        <f t="shared" si="35"/>
        <v/>
      </c>
      <c r="AA163" s="34" t="str">
        <f t="shared" si="32"/>
        <v/>
      </c>
      <c r="AB163" s="25" t="str">
        <f t="shared" si="36"/>
        <v>14%</v>
      </c>
      <c r="AC163" s="1">
        <f t="shared" si="37"/>
        <v>104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10</v>
      </c>
      <c r="AO163">
        <f>IFERROR(ROUND(L163*(K163/$AU163)/VLOOKUP("运力",商品!$A$4:$C$60,3,FALSE),0),0)</f>
        <v>6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20" customHeight="1" x14ac:dyDescent="0.3">
      <c r="A164" s="5" t="s">
        <v>319</v>
      </c>
      <c r="C164" s="5">
        <v>2</v>
      </c>
      <c r="D164" s="21" t="s">
        <v>240</v>
      </c>
      <c r="E164" s="21" t="s">
        <v>230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1500</v>
      </c>
      <c r="M164" s="1" t="s">
        <v>201</v>
      </c>
      <c r="N164" s="1">
        <v>5</v>
      </c>
      <c r="S164" s="5">
        <f>IFERROR(VLOOKUP($D164&amp;$C164,生产方式定位!$A$2:$E$38,3,FALSE)+VLOOKUP($E164&amp;$C164,生产方式定位!$F$3:$J$38,3,FALSE),0)</f>
        <v>60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1831</v>
      </c>
      <c r="Y164" s="24" t="str">
        <f t="shared" si="34"/>
        <v>,硫*20,运力*3,交易*2</v>
      </c>
      <c r="Z164" s="34" t="str">
        <f t="shared" si="35"/>
        <v>工程师*905</v>
      </c>
      <c r="AA164" s="34" t="str">
        <f t="shared" si="32"/>
        <v>炸药*31</v>
      </c>
      <c r="AB164" s="25" t="str">
        <f t="shared" si="36"/>
        <v>22%</v>
      </c>
      <c r="AC164" s="1">
        <f t="shared" si="37"/>
        <v>271</v>
      </c>
      <c r="AD164" s="35">
        <f t="shared" si="33"/>
        <v>2</v>
      </c>
      <c r="AE164" t="str">
        <f t="shared" si="38"/>
        <v/>
      </c>
      <c r="AF164" t="str">
        <f t="shared" si="39"/>
        <v>硫*20</v>
      </c>
      <c r="AG164" t="str">
        <f t="shared" si="40"/>
        <v>工程师*905</v>
      </c>
      <c r="AH164" t="str">
        <f t="shared" si="41"/>
        <v/>
      </c>
      <c r="AI164" t="str">
        <f t="shared" si="42"/>
        <v/>
      </c>
      <c r="AJ164" t="str">
        <f t="shared" si="43"/>
        <v>炸药*31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20</v>
      </c>
      <c r="AN164">
        <f>IFERROR(ROUND(L164*(J164/$AU164)/VLOOKUP("运力",商品!$A$4:$C$60,3,FALSE),0),0)</f>
        <v>3</v>
      </c>
      <c r="AO164">
        <f>IFERROR(ROUND(L164*(K164/$AU164)/VLOOKUP("运力",商品!$A$4:$C$60,3,FALSE),0),0)</f>
        <v>2</v>
      </c>
      <c r="AP164">
        <f>IFERROR(ROUND(S164*(N164/$AV164)/VLOOKUP(M164,职业!$A$3:$E$16,4,FALSE),0),"")</f>
        <v>905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31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20" customHeight="1" x14ac:dyDescent="0.3">
      <c r="A165" s="5" t="s">
        <v>319</v>
      </c>
      <c r="C165" s="5">
        <v>3</v>
      </c>
      <c r="D165" s="21" t="s">
        <v>240</v>
      </c>
      <c r="E165" s="21" t="s">
        <v>230</v>
      </c>
      <c r="H165" s="1" t="s">
        <v>121</v>
      </c>
      <c r="I165" s="79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1700</v>
      </c>
      <c r="M165" s="1" t="s">
        <v>201</v>
      </c>
      <c r="N165" s="1">
        <v>10</v>
      </c>
      <c r="S165" s="5">
        <f>IFERROR(VLOOKUP($D165&amp;$C165,生产方式定位!$A$2:$E$38,3,FALSE)+VLOOKUP($E165&amp;$C165,生产方式定位!$F$3:$J$38,3,FALSE),0)</f>
        <v>75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2205</v>
      </c>
      <c r="Y165" s="24" t="str">
        <f t="shared" si="34"/>
        <v>,硫*22,运力*4,交易*2</v>
      </c>
      <c r="Z165" s="34" t="str">
        <f t="shared" si="35"/>
        <v>工程师*1131</v>
      </c>
      <c r="AA165" s="34" t="str">
        <f t="shared" si="32"/>
        <v>炸药*37</v>
      </c>
      <c r="AB165" s="25" t="str">
        <f t="shared" si="36"/>
        <v>30%</v>
      </c>
      <c r="AC165" s="1">
        <f t="shared" si="37"/>
        <v>430</v>
      </c>
      <c r="AD165" s="35">
        <f t="shared" si="33"/>
        <v>3</v>
      </c>
      <c r="AE165" t="str">
        <f t="shared" si="38"/>
        <v/>
      </c>
      <c r="AF165" t="str">
        <f t="shared" si="39"/>
        <v>硫*22</v>
      </c>
      <c r="AG165" t="str">
        <f t="shared" si="40"/>
        <v>工程师*1131</v>
      </c>
      <c r="AH165" t="str">
        <f t="shared" si="41"/>
        <v/>
      </c>
      <c r="AI165" t="str">
        <f t="shared" si="42"/>
        <v/>
      </c>
      <c r="AJ165" t="str">
        <f t="shared" si="43"/>
        <v>炸药*37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22</v>
      </c>
      <c r="AN165">
        <f>IFERROR(ROUND(L165*(J165/$AU165)/VLOOKUP("运力",商品!$A$4:$C$60,3,FALSE),0),0)</f>
        <v>4</v>
      </c>
      <c r="AO165">
        <f>IFERROR(ROUND(L165*(K165/$AU165)/VLOOKUP("运力",商品!$A$4:$C$60,3,FALSE),0),0)</f>
        <v>2</v>
      </c>
      <c r="AP165">
        <f>IFERROR(ROUND(S165*(N165/$AV165)/VLOOKUP(M165,职业!$A$3:$E$16,4,FALSE),0),"")</f>
        <v>1131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37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20" customHeight="1" x14ac:dyDescent="0.3">
      <c r="A166" s="5" t="s">
        <v>319</v>
      </c>
      <c r="C166" s="5">
        <v>4</v>
      </c>
      <c r="D166" s="21" t="s">
        <v>240</v>
      </c>
      <c r="E166" s="21" t="s">
        <v>230</v>
      </c>
      <c r="H166" s="1" t="s">
        <v>121</v>
      </c>
      <c r="I166" s="79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1900</v>
      </c>
      <c r="M166" s="1" t="s">
        <v>201</v>
      </c>
      <c r="N166" s="1">
        <v>15</v>
      </c>
      <c r="S166" s="5">
        <f>IFERROR(VLOOKUP($D166&amp;$C166,生产方式定位!$A$2:$E$38,3,FALSE)+VLOOKUP($E166&amp;$C166,生产方式定位!$F$3:$J$38,3,FALSE),0)</f>
        <v>90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2600</v>
      </c>
      <c r="Y166" s="24" t="str">
        <f t="shared" si="34"/>
        <v>,硫*25,运力*4,交易*3</v>
      </c>
      <c r="Z166" s="34" t="str">
        <f t="shared" si="35"/>
        <v>工程师*1357</v>
      </c>
      <c r="AA166" s="34" t="str">
        <f t="shared" si="32"/>
        <v>炸药*43</v>
      </c>
      <c r="AB166" s="25" t="str">
        <f t="shared" si="36"/>
        <v>37%</v>
      </c>
      <c r="AC166" s="1">
        <f t="shared" si="37"/>
        <v>610</v>
      </c>
      <c r="AD166" s="35">
        <f t="shared" si="33"/>
        <v>4</v>
      </c>
      <c r="AE166" t="str">
        <f t="shared" si="38"/>
        <v/>
      </c>
      <c r="AF166" t="str">
        <f t="shared" si="39"/>
        <v>硫*25</v>
      </c>
      <c r="AG166" t="str">
        <f t="shared" si="40"/>
        <v>工程师*1357</v>
      </c>
      <c r="AH166" t="str">
        <f t="shared" si="41"/>
        <v/>
      </c>
      <c r="AI166" t="str">
        <f t="shared" si="42"/>
        <v/>
      </c>
      <c r="AJ166" t="str">
        <f t="shared" si="43"/>
        <v>炸药*43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25</v>
      </c>
      <c r="AN166">
        <f>IFERROR(ROUND(L166*(J166/$AU166)/VLOOKUP("运力",商品!$A$4:$C$60,3,FALSE),0),0)</f>
        <v>4</v>
      </c>
      <c r="AO166">
        <f>IFERROR(ROUND(L166*(K166/$AU166)/VLOOKUP("运力",商品!$A$4:$C$60,3,FALSE),0),0)</f>
        <v>3</v>
      </c>
      <c r="AP166">
        <f>IFERROR(ROUND(S166*(N166/$AV166)/VLOOKUP(M166,职业!$A$3:$E$16,4,FALSE),0),"")</f>
        <v>1357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43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20" customHeight="1" x14ac:dyDescent="0.3">
      <c r="A167" s="5" t="s">
        <v>319</v>
      </c>
      <c r="C167" s="5">
        <v>5</v>
      </c>
      <c r="D167" s="21" t="s">
        <v>240</v>
      </c>
      <c r="E167" s="21" t="s">
        <v>230</v>
      </c>
      <c r="H167" s="1" t="s">
        <v>121</v>
      </c>
      <c r="I167" s="79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2100</v>
      </c>
      <c r="M167" s="1" t="s">
        <v>201</v>
      </c>
      <c r="N167" s="1">
        <v>20</v>
      </c>
      <c r="S167" s="5">
        <f>IFERROR(VLOOKUP($D167&amp;$C167,生产方式定位!$A$2:$E$38,3,FALSE)+VLOOKUP($E167&amp;$C167,生产方式定位!$F$3:$J$38,3,FALSE),0)</f>
        <v>105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3018</v>
      </c>
      <c r="Y167" s="24" t="str">
        <f t="shared" si="34"/>
        <v>,硫*28,运力*5,交易*3</v>
      </c>
      <c r="Z167" s="34" t="str">
        <f t="shared" si="35"/>
        <v>工程师*1584</v>
      </c>
      <c r="AA167" s="34" t="str">
        <f t="shared" si="32"/>
        <v>炸药*50</v>
      </c>
      <c r="AB167" s="25" t="str">
        <f t="shared" si="36"/>
        <v>44%</v>
      </c>
      <c r="AC167" s="1">
        <f t="shared" si="37"/>
        <v>813</v>
      </c>
      <c r="AD167" s="35">
        <f t="shared" si="33"/>
        <v>5</v>
      </c>
      <c r="AE167" t="str">
        <f t="shared" si="38"/>
        <v/>
      </c>
      <c r="AF167" t="str">
        <f t="shared" si="39"/>
        <v>硫*28</v>
      </c>
      <c r="AG167" t="str">
        <f t="shared" si="40"/>
        <v>工程师*1584</v>
      </c>
      <c r="AH167" t="str">
        <f t="shared" si="41"/>
        <v/>
      </c>
      <c r="AI167" t="str">
        <f t="shared" si="42"/>
        <v/>
      </c>
      <c r="AJ167" t="str">
        <f t="shared" si="43"/>
        <v>炸药*50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28</v>
      </c>
      <c r="AN167">
        <f>IFERROR(ROUND(L167*(J167/$AU167)/VLOOKUP("运力",商品!$A$4:$C$60,3,FALSE),0),0)</f>
        <v>5</v>
      </c>
      <c r="AO167">
        <f>IFERROR(ROUND(L167*(K167/$AU167)/VLOOKUP("运力",商品!$A$4:$C$60,3,FALSE),0),0)</f>
        <v>3</v>
      </c>
      <c r="AP167">
        <f>IFERROR(ROUND(S167*(N167/$AV167)/VLOOKUP(M167,职业!$A$3:$E$16,4,FALSE),0),"")</f>
        <v>1584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50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20" customHeight="1" x14ac:dyDescent="0.3">
      <c r="A168" s="18" t="s">
        <v>320</v>
      </c>
      <c r="C168" s="18">
        <v>1</v>
      </c>
      <c r="D168" s="21" t="s">
        <v>292</v>
      </c>
      <c r="E168" s="21" t="s">
        <v>225</v>
      </c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20" customHeight="1" x14ac:dyDescent="0.3">
      <c r="A169" s="18" t="s">
        <v>320</v>
      </c>
      <c r="C169" s="18">
        <v>2</v>
      </c>
      <c r="D169" s="21" t="s">
        <v>292</v>
      </c>
      <c r="E169" s="21" t="s">
        <v>225</v>
      </c>
      <c r="F169" s="1" t="s">
        <v>146</v>
      </c>
      <c r="G169" s="1">
        <v>10</v>
      </c>
      <c r="H169" s="1" t="s">
        <v>122</v>
      </c>
      <c r="I169" s="1">
        <v>10</v>
      </c>
      <c r="L169" s="18">
        <f>IFERROR(VLOOKUP($D169&amp;$C169,生产方式定位!$A$2:$E$38,2,FALSE)+VLOOKUP($E169&amp;$C169,生产方式定位!$F$3:$J$38,2,FALSE),0)</f>
        <v>750</v>
      </c>
      <c r="M169" s="1" t="s">
        <v>208</v>
      </c>
      <c r="N169" s="1">
        <v>-20</v>
      </c>
      <c r="O169" s="1" t="s">
        <v>201</v>
      </c>
      <c r="P169" s="1">
        <v>5</v>
      </c>
      <c r="S169" s="18">
        <f>IFERROR(VLOOKUP($D169&amp;$C169,生产方式定位!$A$2:$E$38,3,FALSE)+VLOOKUP($E169&amp;$C169,生产方式定位!$F$3:$J$38,3,FALSE),0)</f>
        <v>40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632</v>
      </c>
      <c r="Y169" s="24" t="str">
        <f t="shared" si="34"/>
        <v>工具*9,煤*13</v>
      </c>
      <c r="Z169" s="34" t="str">
        <f t="shared" si="35"/>
        <v>劳工*-1448,工程师*121</v>
      </c>
      <c r="AA169" s="34" t="str">
        <f t="shared" si="32"/>
        <v>肥料*4,炸药*7</v>
      </c>
      <c r="AB169" s="25" t="str">
        <f t="shared" si="36"/>
        <v>-16%</v>
      </c>
      <c r="AC169" s="1">
        <f t="shared" si="37"/>
        <v>-158</v>
      </c>
      <c r="AD169" s="36">
        <f t="shared" si="33"/>
        <v>2</v>
      </c>
      <c r="AE169" t="str">
        <f t="shared" si="38"/>
        <v>工具*9</v>
      </c>
      <c r="AF169" t="str">
        <f t="shared" si="39"/>
        <v>煤*13</v>
      </c>
      <c r="AG169" t="str">
        <f t="shared" si="40"/>
        <v>劳工*-1448</v>
      </c>
      <c r="AH169" t="str">
        <f t="shared" si="41"/>
        <v>工程师*121</v>
      </c>
      <c r="AI169" t="str">
        <f t="shared" si="42"/>
        <v/>
      </c>
      <c r="AJ169" t="str">
        <f t="shared" si="43"/>
        <v>肥料*4</v>
      </c>
      <c r="AK169" t="str">
        <f t="shared" si="44"/>
        <v>炸药*7</v>
      </c>
      <c r="AL169">
        <f>IFERROR(ROUND(L169*(G169/$AU169)/VLOOKUP(F169,商品!$A$4:$C$60,3,FALSE),0),"")</f>
        <v>9</v>
      </c>
      <c r="AM169">
        <f>IFERROR(ROUND(L169*(I169/$AU169)/VLOOKUP(H169,商品!$A$4:$C$60,3,FALSE),0),"")</f>
        <v>13</v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-1448</v>
      </c>
      <c r="AQ169">
        <f>IFERROR(ROUND(S169*(P169/$AV169)/VLOOKUP(O169,职业!$A$3:$E$16,4,FALSE),0),"")</f>
        <v>121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4</v>
      </c>
      <c r="AT169">
        <f>IFERROR(ROUND(X169*(W169/$AW169)/VLOOKUP(V169,商品!$A$4:$C$60,3,FALSE),0),"")</f>
        <v>7</v>
      </c>
      <c r="AU169">
        <f t="shared" si="45"/>
        <v>20</v>
      </c>
      <c r="AV169">
        <f t="shared" si="46"/>
        <v>25</v>
      </c>
      <c r="AW169">
        <f t="shared" si="47"/>
        <v>3</v>
      </c>
    </row>
    <row r="170" spans="1:49" ht="20" customHeight="1" x14ac:dyDescent="0.3">
      <c r="A170" s="18" t="s">
        <v>320</v>
      </c>
      <c r="C170" s="18">
        <v>3</v>
      </c>
      <c r="D170" s="21" t="s">
        <v>292</v>
      </c>
      <c r="E170" s="21" t="s">
        <v>225</v>
      </c>
      <c r="F170" s="1" t="s">
        <v>124</v>
      </c>
      <c r="G170" s="1">
        <v>10</v>
      </c>
      <c r="L170" s="18">
        <f>IFERROR(VLOOKUP($D170&amp;$C170,生产方式定位!$A$2:$E$38,2,FALSE)+VLOOKUP($E170&amp;$C170,生产方式定位!$F$3:$J$38,2,FALSE),0)</f>
        <v>1000</v>
      </c>
      <c r="M170" s="1" t="s">
        <v>208</v>
      </c>
      <c r="N170" s="1">
        <v>-20</v>
      </c>
      <c r="O170" s="1" t="s">
        <v>201</v>
      </c>
      <c r="P170" s="1">
        <v>7</v>
      </c>
      <c r="S170" s="18">
        <f>IFERROR(VLOOKUP($D170&amp;$C170,生产方式定位!$A$2:$E$38,3,FALSE)+VLOOKUP($E170&amp;$C170,生产方式定位!$F$3:$J$38,3,FALSE),0)</f>
        <v>60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901</v>
      </c>
      <c r="Y170" s="24" t="str">
        <f t="shared" si="34"/>
        <v>磁魔素*20</v>
      </c>
      <c r="Z170" s="34" t="str">
        <f t="shared" si="35"/>
        <v>劳工*-2011,工程师*235</v>
      </c>
      <c r="AA170" s="34" t="str">
        <f t="shared" si="32"/>
        <v>肥料*5,炸药*10</v>
      </c>
      <c r="AB170" s="25" t="str">
        <f t="shared" si="36"/>
        <v>-10%</v>
      </c>
      <c r="AC170" s="1">
        <f t="shared" si="37"/>
        <v>-159</v>
      </c>
      <c r="AD170" s="36">
        <f t="shared" si="33"/>
        <v>3</v>
      </c>
      <c r="AE170" t="str">
        <f t="shared" si="38"/>
        <v>磁魔素*20</v>
      </c>
      <c r="AF170" t="str">
        <f t="shared" si="39"/>
        <v/>
      </c>
      <c r="AG170" t="str">
        <f t="shared" si="40"/>
        <v>劳工*-2011</v>
      </c>
      <c r="AH170" t="str">
        <f t="shared" si="41"/>
        <v>工程师*235</v>
      </c>
      <c r="AI170" t="str">
        <f t="shared" si="42"/>
        <v/>
      </c>
      <c r="AJ170" t="str">
        <f t="shared" si="43"/>
        <v>肥料*5</v>
      </c>
      <c r="AK170" t="str">
        <f t="shared" si="44"/>
        <v>炸药*10</v>
      </c>
      <c r="AL170">
        <f>IFERROR(ROUND(L170*(G170/$AU170)/VLOOKUP(F170,商品!$A$4:$C$60,3,FALSE),0),"")</f>
        <v>20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-2011</v>
      </c>
      <c r="AQ170">
        <f>IFERROR(ROUND(S170*(P170/$AV170)/VLOOKUP(O170,职业!$A$3:$E$16,4,FALSE),0),"")</f>
        <v>235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5</v>
      </c>
      <c r="AT170">
        <f>IFERROR(ROUND(X170*(W170/$AW170)/VLOOKUP(V170,商品!$A$4:$C$60,3,FALSE),0),"")</f>
        <v>10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20" customHeight="1" x14ac:dyDescent="0.3">
      <c r="A171" s="18" t="s">
        <v>320</v>
      </c>
      <c r="C171" s="18">
        <v>4</v>
      </c>
      <c r="D171" s="21" t="s">
        <v>292</v>
      </c>
      <c r="E171" s="21" t="s">
        <v>225</v>
      </c>
      <c r="F171" s="1" t="s">
        <v>150</v>
      </c>
      <c r="G171" s="1">
        <v>10</v>
      </c>
      <c r="L171" s="18">
        <f>IFERROR(VLOOKUP($D171&amp;$C171,生产方式定位!$A$2:$E$38,2,FALSE)+VLOOKUP($E171&amp;$C171,生产方式定位!$F$3:$J$38,2,FALSE),0)</f>
        <v>1250</v>
      </c>
      <c r="M171" s="1" t="s">
        <v>208</v>
      </c>
      <c r="N171" s="1">
        <v>-20</v>
      </c>
      <c r="O171" s="1" t="s">
        <v>201</v>
      </c>
      <c r="P171" s="1">
        <v>9</v>
      </c>
      <c r="S171" s="18">
        <f>IFERROR(VLOOKUP($D171&amp;$C171,生产方式定位!$A$2:$E$38,3,FALSE)+VLOOKUP($E171&amp;$C171,生产方式定位!$F$3:$J$38,3,FALSE),0)</f>
        <v>80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1197</v>
      </c>
      <c r="Y171" s="24" t="str">
        <f t="shared" si="34"/>
        <v>科学引擎*16</v>
      </c>
      <c r="Z171" s="34" t="str">
        <f t="shared" si="35"/>
        <v>劳工*-2496,工程师*374</v>
      </c>
      <c r="AA171" s="34" t="str">
        <f t="shared" si="32"/>
        <v>肥料*7,炸药*13</v>
      </c>
      <c r="AB171" s="25" t="str">
        <f t="shared" si="36"/>
        <v>-4%</v>
      </c>
      <c r="AC171" s="1">
        <f t="shared" si="37"/>
        <v>-133</v>
      </c>
      <c r="AD171" s="36">
        <f t="shared" si="33"/>
        <v>4</v>
      </c>
      <c r="AE171" t="str">
        <f t="shared" si="38"/>
        <v>科学引擎*16</v>
      </c>
      <c r="AF171" t="str">
        <f t="shared" si="39"/>
        <v/>
      </c>
      <c r="AG171" t="str">
        <f t="shared" si="40"/>
        <v>劳工*-2496</v>
      </c>
      <c r="AH171" t="str">
        <f t="shared" si="41"/>
        <v>工程师*374</v>
      </c>
      <c r="AI171" t="str">
        <f t="shared" si="42"/>
        <v/>
      </c>
      <c r="AJ171" t="str">
        <f t="shared" si="43"/>
        <v>肥料*7</v>
      </c>
      <c r="AK171" t="str">
        <f t="shared" si="44"/>
        <v>炸药*13</v>
      </c>
      <c r="AL171">
        <f>IFERROR(ROUND(L171*(G171/$AU171)/VLOOKUP(F171,商品!$A$4:$C$60,3,FALSE),0),"")</f>
        <v>16</v>
      </c>
      <c r="AM171" t="str">
        <f>IFERROR(ROUND(L171*(I171/$AU171)/VLOOKUP(H171,商品!$A$4:$C$60,3,FALSE),0),"")</f>
        <v/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-2496</v>
      </c>
      <c r="AQ171">
        <f>IFERROR(ROUND(S171*(P171/$AV171)/VLOOKUP(O171,职业!$A$3:$E$16,4,FALSE),0),"")</f>
        <v>374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7</v>
      </c>
      <c r="AT171">
        <f>IFERROR(ROUND(X171*(W171/$AW171)/VLOOKUP(V171,商品!$A$4:$C$60,3,FALSE),0),"")</f>
        <v>13</v>
      </c>
      <c r="AU171">
        <f t="shared" si="45"/>
        <v>10</v>
      </c>
      <c r="AV171">
        <f t="shared" si="46"/>
        <v>29</v>
      </c>
      <c r="AW171">
        <f t="shared" si="47"/>
        <v>3</v>
      </c>
    </row>
    <row r="172" spans="1:49" ht="20" customHeight="1" x14ac:dyDescent="0.3">
      <c r="A172" s="18" t="s">
        <v>320</v>
      </c>
      <c r="C172" s="18">
        <v>5</v>
      </c>
      <c r="D172" s="21" t="s">
        <v>292</v>
      </c>
      <c r="E172" s="21" t="s">
        <v>225</v>
      </c>
      <c r="F172" s="1" t="s">
        <v>150</v>
      </c>
      <c r="G172" s="1">
        <v>10</v>
      </c>
      <c r="H172" s="1" t="s">
        <v>151</v>
      </c>
      <c r="I172" s="1">
        <v>7</v>
      </c>
      <c r="L172" s="18">
        <f>IFERROR(VLOOKUP($D172&amp;$C172,生产方式定位!$A$2:$E$38,2,FALSE)+VLOOKUP($E172&amp;$C172,生产方式定位!$F$3:$J$38,2,FALSE),0)</f>
        <v>1500</v>
      </c>
      <c r="M172" s="1" t="s">
        <v>208</v>
      </c>
      <c r="N172" s="1">
        <v>-20</v>
      </c>
      <c r="O172" s="1" t="s">
        <v>201</v>
      </c>
      <c r="P172" s="1">
        <v>11</v>
      </c>
      <c r="S172" s="18">
        <f>IFERROR(VLOOKUP($D172&amp;$C172,生产方式定位!$A$2:$E$38,3,FALSE)+VLOOKUP($E172&amp;$C172,生产方式定位!$F$3:$J$38,3,FALSE),0)</f>
        <v>100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1760</v>
      </c>
      <c r="Y172" s="24" t="str">
        <f t="shared" si="34"/>
        <v>科学引擎*11,魔导引擎*8</v>
      </c>
      <c r="Z172" s="34" t="str">
        <f t="shared" si="35"/>
        <v>劳工*-2919,工程师*535</v>
      </c>
      <c r="AA172" s="34" t="str">
        <f t="shared" si="32"/>
        <v>肥料*10,炸药*20</v>
      </c>
      <c r="AB172" s="25" t="str">
        <f t="shared" si="36"/>
        <v>17%</v>
      </c>
      <c r="AC172" s="1">
        <f t="shared" si="37"/>
        <v>160</v>
      </c>
      <c r="AD172" s="36">
        <f t="shared" si="33"/>
        <v>5</v>
      </c>
      <c r="AE172" t="str">
        <f t="shared" si="38"/>
        <v>科学引擎*11</v>
      </c>
      <c r="AF172" t="str">
        <f t="shared" si="39"/>
        <v>魔导引擎*8</v>
      </c>
      <c r="AG172" t="str">
        <f t="shared" si="40"/>
        <v>劳工*-2919</v>
      </c>
      <c r="AH172" t="str">
        <f t="shared" si="41"/>
        <v>工程师*535</v>
      </c>
      <c r="AI172" t="str">
        <f t="shared" si="42"/>
        <v/>
      </c>
      <c r="AJ172" t="str">
        <f t="shared" si="43"/>
        <v>肥料*10</v>
      </c>
      <c r="AK172" t="str">
        <f t="shared" si="44"/>
        <v>炸药*20</v>
      </c>
      <c r="AL172">
        <f>IFERROR(ROUND(L172*(G172/$AU172)/VLOOKUP(F172,商品!$A$4:$C$60,3,FALSE),0),"")</f>
        <v>11</v>
      </c>
      <c r="AM172">
        <f>IFERROR(ROUND(L172*(I172/$AU172)/VLOOKUP(H172,商品!$A$4:$C$60,3,FALSE),0),"")</f>
        <v>8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-2919</v>
      </c>
      <c r="AQ172">
        <f>IFERROR(ROUND(S172*(P172/$AV172)/VLOOKUP(O172,职业!$A$3:$E$16,4,FALSE),0),"")</f>
        <v>535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10</v>
      </c>
      <c r="AT172">
        <f>IFERROR(ROUND(X172*(W172/$AW172)/VLOOKUP(V172,商品!$A$4:$C$60,3,FALSE),0),"")</f>
        <v>20</v>
      </c>
      <c r="AU172">
        <f t="shared" si="45"/>
        <v>17</v>
      </c>
      <c r="AV172">
        <f t="shared" si="46"/>
        <v>31</v>
      </c>
      <c r="AW172">
        <f t="shared" si="47"/>
        <v>3</v>
      </c>
    </row>
    <row r="173" spans="1:49" ht="20" customHeight="1" x14ac:dyDescent="0.3">
      <c r="A173" s="5" t="s">
        <v>320</v>
      </c>
      <c r="C173" s="5">
        <v>1</v>
      </c>
      <c r="D173" s="21" t="s">
        <v>292</v>
      </c>
      <c r="E173" s="21" t="s">
        <v>225</v>
      </c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20" customHeight="1" x14ac:dyDescent="0.3">
      <c r="A174" s="5" t="s">
        <v>320</v>
      </c>
      <c r="C174" s="5">
        <v>2</v>
      </c>
      <c r="D174" s="21" t="s">
        <v>292</v>
      </c>
      <c r="E174" s="21" t="s">
        <v>225</v>
      </c>
      <c r="F174" s="1" t="s">
        <v>147</v>
      </c>
      <c r="G174" s="1">
        <v>10</v>
      </c>
      <c r="H174" s="1" t="s">
        <v>122</v>
      </c>
      <c r="I174" s="1">
        <v>10</v>
      </c>
      <c r="L174" s="5">
        <f>IFERROR(VLOOKUP($D174&amp;$C174,生产方式定位!$A$2:$E$38,2,FALSE)+VLOOKUP($E174&amp;$C174,生产方式定位!$F$3:$J$38,2,FALSE),0)</f>
        <v>750</v>
      </c>
      <c r="M174" s="1" t="s">
        <v>208</v>
      </c>
      <c r="N174" s="1">
        <v>-20</v>
      </c>
      <c r="O174" s="1" t="s">
        <v>202</v>
      </c>
      <c r="P174" s="1">
        <v>5</v>
      </c>
      <c r="S174" s="5">
        <f>IFERROR(VLOOKUP($D174&amp;$C174,生产方式定位!$A$2:$E$38,3,FALSE)+VLOOKUP($E174&amp;$C174,生产方式定位!$F$3:$J$38,3,FALSE),0)</f>
        <v>40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632</v>
      </c>
      <c r="Y174" s="24" t="str">
        <f t="shared" si="34"/>
        <v>魔偶*9,煤*13</v>
      </c>
      <c r="Z174" s="34" t="str">
        <f t="shared" si="35"/>
        <v>劳工*-1448,法士*90</v>
      </c>
      <c r="AA174" s="34" t="str">
        <f t="shared" si="32"/>
        <v>肥料*7,炸药*4</v>
      </c>
      <c r="AB174" s="25" t="str">
        <f t="shared" si="36"/>
        <v>-16%</v>
      </c>
      <c r="AC174" s="1">
        <f t="shared" si="37"/>
        <v>-158</v>
      </c>
      <c r="AD174" s="35">
        <f t="shared" si="33"/>
        <v>2</v>
      </c>
      <c r="AE174" t="str">
        <f t="shared" si="38"/>
        <v>魔偶*9</v>
      </c>
      <c r="AF174" t="str">
        <f t="shared" si="39"/>
        <v>煤*13</v>
      </c>
      <c r="AG174" t="str">
        <f t="shared" si="40"/>
        <v>劳工*-1448</v>
      </c>
      <c r="AH174" t="str">
        <f t="shared" si="41"/>
        <v>法士*90</v>
      </c>
      <c r="AI174" t="str">
        <f t="shared" si="42"/>
        <v/>
      </c>
      <c r="AJ174" t="str">
        <f t="shared" si="43"/>
        <v>肥料*7</v>
      </c>
      <c r="AK174" t="str">
        <f t="shared" si="44"/>
        <v>炸药*4</v>
      </c>
      <c r="AL174">
        <f>IFERROR(ROUND(L174*(G174/$AU174)/VLOOKUP(F174,商品!$A$4:$C$60,3,FALSE),0),"")</f>
        <v>9</v>
      </c>
      <c r="AM174">
        <f>IFERROR(ROUND(L174*(I174/$AU174)/VLOOKUP(H174,商品!$A$4:$C$60,3,FALSE),0),"")</f>
        <v>13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-1448</v>
      </c>
      <c r="AQ174">
        <f>IFERROR(ROUND(S174*(P174/$AV174)/VLOOKUP(O174,职业!$A$3:$E$16,4,FALSE),0),"")</f>
        <v>90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7</v>
      </c>
      <c r="AT174">
        <f>IFERROR(ROUND(X174*(W174/$AW174)/VLOOKUP(V174,商品!$A$4:$C$60,3,FALSE),0),"")</f>
        <v>4</v>
      </c>
      <c r="AU174">
        <f t="shared" si="45"/>
        <v>20</v>
      </c>
      <c r="AV174">
        <f t="shared" si="46"/>
        <v>25</v>
      </c>
      <c r="AW174">
        <f t="shared" si="47"/>
        <v>3</v>
      </c>
    </row>
    <row r="175" spans="1:49" ht="20" customHeight="1" x14ac:dyDescent="0.3">
      <c r="A175" s="5" t="s">
        <v>320</v>
      </c>
      <c r="C175" s="5">
        <v>3</v>
      </c>
      <c r="D175" s="21" t="s">
        <v>292</v>
      </c>
      <c r="E175" s="21" t="s">
        <v>225</v>
      </c>
      <c r="F175" s="1" t="s">
        <v>125</v>
      </c>
      <c r="G175" s="1">
        <v>10</v>
      </c>
      <c r="L175" s="5">
        <f>IFERROR(VLOOKUP($D175&amp;$C175,生产方式定位!$A$2:$E$38,2,FALSE)+VLOOKUP($E175&amp;$C175,生产方式定位!$F$3:$J$38,2,FALSE),0)</f>
        <v>1000</v>
      </c>
      <c r="M175" s="1" t="s">
        <v>208</v>
      </c>
      <c r="N175" s="1">
        <v>-20</v>
      </c>
      <c r="O175" s="1" t="s">
        <v>202</v>
      </c>
      <c r="P175" s="1">
        <v>7</v>
      </c>
      <c r="S175" s="5">
        <f>IFERROR(VLOOKUP($D175&amp;$C175,生产方式定位!$A$2:$E$38,3,FALSE)+VLOOKUP($E175&amp;$C175,生产方式定位!$F$3:$J$38,3,FALSE),0)</f>
        <v>60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901</v>
      </c>
      <c r="Y175" s="24" t="str">
        <f t="shared" si="34"/>
        <v>泽洛*20</v>
      </c>
      <c r="Z175" s="34" t="str">
        <f t="shared" si="35"/>
        <v>劳工*-2011,法士*176</v>
      </c>
      <c r="AA175" s="34" t="str">
        <f t="shared" si="32"/>
        <v>肥料*10,炸药*5</v>
      </c>
      <c r="AB175" s="25" t="str">
        <f t="shared" si="36"/>
        <v>-10%</v>
      </c>
      <c r="AC175" s="1">
        <f t="shared" si="37"/>
        <v>-159</v>
      </c>
      <c r="AD175" s="35">
        <f t="shared" si="33"/>
        <v>3</v>
      </c>
      <c r="AE175" t="str">
        <f t="shared" si="38"/>
        <v>泽洛*20</v>
      </c>
      <c r="AF175" t="str">
        <f t="shared" si="39"/>
        <v/>
      </c>
      <c r="AG175" t="str">
        <f t="shared" si="40"/>
        <v>劳工*-2011</v>
      </c>
      <c r="AH175" t="str">
        <f t="shared" si="41"/>
        <v>法士*176</v>
      </c>
      <c r="AI175" t="str">
        <f t="shared" si="42"/>
        <v/>
      </c>
      <c r="AJ175" t="str">
        <f t="shared" si="43"/>
        <v>肥料*10</v>
      </c>
      <c r="AK175" t="str">
        <f t="shared" si="44"/>
        <v>炸药*5</v>
      </c>
      <c r="AL175">
        <f>IFERROR(ROUND(L175*(G175/$AU175)/VLOOKUP(F175,商品!$A$4:$C$60,3,FALSE),0),"")</f>
        <v>20</v>
      </c>
      <c r="AM175" t="str">
        <f>IFERROR(ROUND(L175*(I175/$AU175)/VLOOKUP(H175,商品!$A$4:$C$60,3,FALSE),0),"")</f>
        <v/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-2011</v>
      </c>
      <c r="AQ175">
        <f>IFERROR(ROUND(S175*(P175/$AV175)/VLOOKUP(O175,职业!$A$3:$E$16,4,FALSE),0),"")</f>
        <v>176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10</v>
      </c>
      <c r="AT175">
        <f>IFERROR(ROUND(X175*(W175/$AW175)/VLOOKUP(V175,商品!$A$4:$C$60,3,FALSE),0),"")</f>
        <v>5</v>
      </c>
      <c r="AU175">
        <f t="shared" si="45"/>
        <v>10</v>
      </c>
      <c r="AV175">
        <f t="shared" si="46"/>
        <v>27</v>
      </c>
      <c r="AW175">
        <f t="shared" si="47"/>
        <v>3</v>
      </c>
    </row>
    <row r="176" spans="1:49" ht="20" customHeight="1" x14ac:dyDescent="0.3">
      <c r="A176" s="5" t="s">
        <v>320</v>
      </c>
      <c r="C176" s="5">
        <v>4</v>
      </c>
      <c r="D176" s="21" t="s">
        <v>292</v>
      </c>
      <c r="E176" s="21" t="s">
        <v>225</v>
      </c>
      <c r="F176" s="1" t="s">
        <v>151</v>
      </c>
      <c r="G176" s="1">
        <v>10</v>
      </c>
      <c r="L176" s="5">
        <f>IFERROR(VLOOKUP($D176&amp;$C176,生产方式定位!$A$2:$E$38,2,FALSE)+VLOOKUP($E176&amp;$C176,生产方式定位!$F$3:$J$38,2,FALSE),0)</f>
        <v>1250</v>
      </c>
      <c r="M176" s="1" t="s">
        <v>208</v>
      </c>
      <c r="N176" s="1">
        <v>-20</v>
      </c>
      <c r="O176" s="1" t="s">
        <v>202</v>
      </c>
      <c r="P176" s="1">
        <v>9</v>
      </c>
      <c r="S176" s="5">
        <f>IFERROR(VLOOKUP($D176&amp;$C176,生产方式定位!$A$2:$E$38,3,FALSE)+VLOOKUP($E176&amp;$C176,生产方式定位!$F$3:$J$38,3,FALSE),0)</f>
        <v>80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1197</v>
      </c>
      <c r="Y176" s="24" t="str">
        <f t="shared" si="34"/>
        <v>魔导引擎*16</v>
      </c>
      <c r="Z176" s="34" t="str">
        <f t="shared" si="35"/>
        <v>劳工*-2496,法士*281</v>
      </c>
      <c r="AA176" s="34" t="str">
        <f t="shared" si="32"/>
        <v>肥料*13,炸药*7</v>
      </c>
      <c r="AB176" s="25" t="str">
        <f t="shared" si="36"/>
        <v>-4%</v>
      </c>
      <c r="AC176" s="1">
        <f t="shared" si="37"/>
        <v>-133</v>
      </c>
      <c r="AD176" s="35">
        <f t="shared" si="33"/>
        <v>4</v>
      </c>
      <c r="AE176" t="str">
        <f t="shared" si="38"/>
        <v>魔导引擎*16</v>
      </c>
      <c r="AF176" t="str">
        <f t="shared" si="39"/>
        <v/>
      </c>
      <c r="AG176" t="str">
        <f t="shared" si="40"/>
        <v>劳工*-2496</v>
      </c>
      <c r="AH176" t="str">
        <f t="shared" si="41"/>
        <v>法士*281</v>
      </c>
      <c r="AI176" t="str">
        <f t="shared" si="42"/>
        <v/>
      </c>
      <c r="AJ176" t="str">
        <f t="shared" si="43"/>
        <v>肥料*13</v>
      </c>
      <c r="AK176" t="str">
        <f t="shared" si="44"/>
        <v>炸药*7</v>
      </c>
      <c r="AL176">
        <f>IFERROR(ROUND(L176*(G176/$AU176)/VLOOKUP(F176,商品!$A$4:$C$60,3,FALSE),0),"")</f>
        <v>16</v>
      </c>
      <c r="AM176" t="str">
        <f>IFERROR(ROUND(L176*(I176/$AU176)/VLOOKUP(H176,商品!$A$4:$C$60,3,FALSE),0),"")</f>
        <v/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-2496</v>
      </c>
      <c r="AQ176">
        <f>IFERROR(ROUND(S176*(P176/$AV176)/VLOOKUP(O176,职业!$A$3:$E$16,4,FALSE),0),"")</f>
        <v>281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13</v>
      </c>
      <c r="AT176">
        <f>IFERROR(ROUND(X176*(W176/$AW176)/VLOOKUP(V176,商品!$A$4:$C$60,3,FALSE),0),"")</f>
        <v>7</v>
      </c>
      <c r="AU176">
        <f t="shared" si="45"/>
        <v>10</v>
      </c>
      <c r="AV176">
        <f t="shared" si="46"/>
        <v>29</v>
      </c>
      <c r="AW176">
        <f t="shared" si="47"/>
        <v>3</v>
      </c>
    </row>
    <row r="177" spans="1:49" ht="20" customHeight="1" x14ac:dyDescent="0.3">
      <c r="A177" s="5" t="s">
        <v>320</v>
      </c>
      <c r="C177" s="5">
        <v>5</v>
      </c>
      <c r="D177" s="21" t="s">
        <v>292</v>
      </c>
      <c r="E177" s="21" t="s">
        <v>225</v>
      </c>
      <c r="F177" s="1" t="s">
        <v>150</v>
      </c>
      <c r="G177" s="1">
        <v>7</v>
      </c>
      <c r="H177" s="1" t="s">
        <v>151</v>
      </c>
      <c r="I177" s="1">
        <v>10</v>
      </c>
      <c r="L177" s="5">
        <f>IFERROR(VLOOKUP($D177&amp;$C177,生产方式定位!$A$2:$E$38,2,FALSE)+VLOOKUP($E177&amp;$C177,生产方式定位!$F$3:$J$38,2,FALSE),0)</f>
        <v>1500</v>
      </c>
      <c r="M177" s="1" t="s">
        <v>208</v>
      </c>
      <c r="N177" s="1">
        <v>-20</v>
      </c>
      <c r="O177" s="1" t="s">
        <v>202</v>
      </c>
      <c r="P177" s="1">
        <v>11</v>
      </c>
      <c r="S177" s="5">
        <f>IFERROR(VLOOKUP($D177&amp;$C177,生产方式定位!$A$2:$E$38,3,FALSE)+VLOOKUP($E177&amp;$C177,生产方式定位!$F$3:$J$38,3,FALSE),0)</f>
        <v>100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1760</v>
      </c>
      <c r="Y177" s="24" t="str">
        <f t="shared" si="34"/>
        <v>科学引擎*8,魔导引擎*11</v>
      </c>
      <c r="Z177" s="34" t="str">
        <f t="shared" si="35"/>
        <v>劳工*-2919,法士*401</v>
      </c>
      <c r="AA177" s="34" t="str">
        <f t="shared" si="32"/>
        <v>肥料*20,炸药*10</v>
      </c>
      <c r="AB177" s="25" t="str">
        <f t="shared" si="36"/>
        <v>17%</v>
      </c>
      <c r="AC177" s="1">
        <f t="shared" si="37"/>
        <v>160</v>
      </c>
      <c r="AD177" s="35">
        <f t="shared" si="33"/>
        <v>5</v>
      </c>
      <c r="AE177" t="str">
        <f t="shared" si="38"/>
        <v>科学引擎*8</v>
      </c>
      <c r="AF177" t="str">
        <f t="shared" si="39"/>
        <v>魔导引擎*11</v>
      </c>
      <c r="AG177" t="str">
        <f t="shared" si="40"/>
        <v>劳工*-2919</v>
      </c>
      <c r="AH177" t="str">
        <f t="shared" si="41"/>
        <v>法士*401</v>
      </c>
      <c r="AI177" t="str">
        <f t="shared" si="42"/>
        <v/>
      </c>
      <c r="AJ177" t="str">
        <f t="shared" si="43"/>
        <v>肥料*20</v>
      </c>
      <c r="AK177" t="str">
        <f t="shared" si="44"/>
        <v>炸药*10</v>
      </c>
      <c r="AL177">
        <f>IFERROR(ROUND(L177*(G177/$AU177)/VLOOKUP(F177,商品!$A$4:$C$60,3,FALSE),0),"")</f>
        <v>8</v>
      </c>
      <c r="AM177">
        <f>IFERROR(ROUND(L177*(I177/$AU177)/VLOOKUP(H177,商品!$A$4:$C$60,3,FALSE),0),"")</f>
        <v>11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-2919</v>
      </c>
      <c r="AQ177">
        <f>IFERROR(ROUND(S177*(P177/$AV177)/VLOOKUP(O177,职业!$A$3:$E$16,4,FALSE),0),"")</f>
        <v>401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20</v>
      </c>
      <c r="AT177">
        <f>IFERROR(ROUND(X177*(W177/$AW177)/VLOOKUP(V177,商品!$A$4:$C$60,3,FALSE),0),"")</f>
        <v>10</v>
      </c>
      <c r="AU177">
        <f t="shared" si="45"/>
        <v>17</v>
      </c>
      <c r="AV177">
        <f t="shared" si="46"/>
        <v>31</v>
      </c>
      <c r="AW177">
        <f t="shared" si="47"/>
        <v>3</v>
      </c>
    </row>
    <row r="178" spans="1:49" ht="20" customHeight="1" x14ac:dyDescent="0.3">
      <c r="A178" s="18" t="s">
        <v>321</v>
      </c>
      <c r="C178" s="18">
        <v>1</v>
      </c>
      <c r="D178" s="21" t="s">
        <v>292</v>
      </c>
      <c r="E178" s="21" t="s">
        <v>226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20" customHeight="1" x14ac:dyDescent="0.3">
      <c r="A179" s="18" t="s">
        <v>321</v>
      </c>
      <c r="C179" s="18">
        <v>2</v>
      </c>
      <c r="D179" s="21" t="s">
        <v>292</v>
      </c>
      <c r="E179" s="21" t="s">
        <v>226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20" customHeight="1" x14ac:dyDescent="0.3">
      <c r="A180" s="18" t="s">
        <v>321</v>
      </c>
      <c r="C180" s="18">
        <v>3</v>
      </c>
      <c r="D180" s="21" t="s">
        <v>292</v>
      </c>
      <c r="E180" s="21" t="s">
        <v>226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20" customHeight="1" x14ac:dyDescent="0.3">
      <c r="A181" s="18" t="s">
        <v>321</v>
      </c>
      <c r="C181" s="18">
        <v>4</v>
      </c>
      <c r="D181" s="21" t="s">
        <v>292</v>
      </c>
      <c r="E181" s="21" t="s">
        <v>226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20" customHeight="1" x14ac:dyDescent="0.3">
      <c r="A182" s="18" t="s">
        <v>321</v>
      </c>
      <c r="C182" s="18">
        <v>5</v>
      </c>
      <c r="D182" s="21" t="s">
        <v>292</v>
      </c>
      <c r="E182" s="21" t="s">
        <v>226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20" customHeight="1" x14ac:dyDescent="0.3">
      <c r="A183" s="18" t="s">
        <v>321</v>
      </c>
      <c r="C183" s="18">
        <v>6</v>
      </c>
      <c r="D183" s="21" t="s">
        <v>292</v>
      </c>
      <c r="E183" s="21" t="s">
        <v>226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20" customHeight="1" x14ac:dyDescent="0.3">
      <c r="A184" s="18" t="s">
        <v>321</v>
      </c>
      <c r="C184" s="18">
        <v>7</v>
      </c>
      <c r="D184" s="21" t="s">
        <v>292</v>
      </c>
      <c r="E184" s="21" t="s">
        <v>226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20" customHeight="1" x14ac:dyDescent="0.3">
      <c r="A185" s="18" t="s">
        <v>321</v>
      </c>
      <c r="C185" s="18">
        <v>8</v>
      </c>
      <c r="D185" s="21" t="s">
        <v>292</v>
      </c>
      <c r="E185" s="21" t="s">
        <v>226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20" customHeight="1" x14ac:dyDescent="0.3">
      <c r="A186" s="5" t="s">
        <v>323</v>
      </c>
      <c r="C186" s="5">
        <v>1</v>
      </c>
      <c r="D186" s="21" t="s">
        <v>222</v>
      </c>
      <c r="E186" s="21" t="s">
        <v>230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600</v>
      </c>
      <c r="M186" s="1" t="s">
        <v>208</v>
      </c>
      <c r="N186" s="1">
        <v>100</v>
      </c>
      <c r="S186" s="5">
        <f>IFERROR(VLOOKUP($D186&amp;$C186,生产方式定位!$A$2:$E$38,3,FALSE)+VLOOKUP($E186&amp;$C186,生产方式定位!$F$3:$J$38,3,FALSE),0)</f>
        <v>150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788</v>
      </c>
      <c r="Y186" s="24" t="str">
        <f t="shared" si="34"/>
        <v>木材*30</v>
      </c>
      <c r="Z186" s="34" t="str">
        <f t="shared" si="35"/>
        <v>劳工*6787</v>
      </c>
      <c r="AA186" s="34" t="str">
        <f t="shared" si="32"/>
        <v>工具*20</v>
      </c>
      <c r="AB186" s="25" t="str">
        <f t="shared" si="36"/>
        <v>31%</v>
      </c>
      <c r="AC186" s="1">
        <f t="shared" si="37"/>
        <v>38</v>
      </c>
      <c r="AD186" s="35">
        <f t="shared" si="33"/>
        <v>1</v>
      </c>
      <c r="AE186" t="str">
        <f t="shared" si="38"/>
        <v>木材*30</v>
      </c>
      <c r="AF186" t="str">
        <f t="shared" si="39"/>
        <v/>
      </c>
      <c r="AG186" t="str">
        <f t="shared" si="40"/>
        <v>劳工*6787</v>
      </c>
      <c r="AH186" t="str">
        <f t="shared" si="41"/>
        <v/>
      </c>
      <c r="AI186" t="str">
        <f t="shared" si="42"/>
        <v/>
      </c>
      <c r="AJ186" t="str">
        <f t="shared" si="43"/>
        <v>工具*20</v>
      </c>
      <c r="AK186" t="str">
        <f t="shared" si="44"/>
        <v/>
      </c>
      <c r="AL186">
        <f>IFERROR(ROUND(L186*(G186/$AU186)/VLOOKUP(F186,商品!$A$4:$C$60,3,FALSE),0),"")</f>
        <v>30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6787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20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20" customHeight="1" x14ac:dyDescent="0.3">
      <c r="A187" s="5" t="s">
        <v>323</v>
      </c>
      <c r="C187" s="5">
        <v>2</v>
      </c>
      <c r="D187" s="21" t="s">
        <v>222</v>
      </c>
      <c r="E187" s="21" t="s">
        <v>230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1" t="s">
        <v>208</v>
      </c>
      <c r="N187" s="1">
        <v>100</v>
      </c>
      <c r="O187" s="1" t="s">
        <v>201</v>
      </c>
      <c r="P187" s="1">
        <v>4</v>
      </c>
      <c r="S187" s="5">
        <f>IFERROR(VLOOKUP($D187&amp;$C187,生产方式定位!$A$2:$E$38,3,FALSE)+VLOOKUP($E187&amp;$C187,生产方式定位!$F$3:$J$38,3,FALSE),0)</f>
        <v>150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1291</v>
      </c>
      <c r="Y187" s="24" t="str">
        <f t="shared" si="34"/>
        <v>木材*28,铁*14</v>
      </c>
      <c r="Z187" s="34" t="str">
        <f t="shared" si="35"/>
        <v>劳工*6526,工程师*87</v>
      </c>
      <c r="AA187" s="34" t="str">
        <f t="shared" si="32"/>
        <v>工具*32</v>
      </c>
      <c r="AB187" s="25" t="str">
        <f t="shared" si="36"/>
        <v>17%</v>
      </c>
      <c r="AC187" s="1">
        <f t="shared" si="37"/>
        <v>41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劳工*6526</v>
      </c>
      <c r="AH187" t="str">
        <f t="shared" si="41"/>
        <v>工程师*87</v>
      </c>
      <c r="AI187" t="str">
        <f t="shared" si="42"/>
        <v/>
      </c>
      <c r="AJ187" t="str">
        <f t="shared" si="43"/>
        <v>工具*32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6526</v>
      </c>
      <c r="AQ187">
        <f>IFERROR(ROUND(S187*(P187/$AV187)/VLOOKUP(O187,职业!$A$3:$E$16,4,FALSE),0),"")</f>
        <v>87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32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104</v>
      </c>
      <c r="AW187">
        <f t="shared" si="47"/>
        <v>1</v>
      </c>
    </row>
    <row r="188" spans="1:49" ht="20" customHeight="1" x14ac:dyDescent="0.3">
      <c r="A188" s="5" t="s">
        <v>323</v>
      </c>
      <c r="C188" s="5">
        <v>3</v>
      </c>
      <c r="D188" s="21" t="s">
        <v>222</v>
      </c>
      <c r="E188" s="21" t="s">
        <v>230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1300</v>
      </c>
      <c r="M188" s="1" t="s">
        <v>208</v>
      </c>
      <c r="N188" s="1">
        <v>100</v>
      </c>
      <c r="O188" s="1" t="s">
        <v>201</v>
      </c>
      <c r="P188" s="1">
        <v>4</v>
      </c>
      <c r="S188" s="5">
        <f>IFERROR(VLOOKUP($D188&amp;$C188,生产方式定位!$A$2:$E$38,3,FALSE)+VLOOKUP($E188&amp;$C188,生产方式定位!$F$3:$J$38,3,FALSE),0)</f>
        <v>145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1497</v>
      </c>
      <c r="Y188" s="24" t="str">
        <f t="shared" si="34"/>
        <v>铁*33</v>
      </c>
      <c r="Z188" s="34" t="str">
        <f t="shared" si="35"/>
        <v>劳工*6309,工程师*84</v>
      </c>
      <c r="AA188" s="34" t="str">
        <f t="shared" si="32"/>
        <v>工具*37</v>
      </c>
      <c r="AB188" s="25" t="str">
        <f t="shared" si="36"/>
        <v>15%</v>
      </c>
      <c r="AC188" s="1">
        <f t="shared" si="37"/>
        <v>52</v>
      </c>
      <c r="AD188" s="36">
        <f t="shared" si="33"/>
        <v>3</v>
      </c>
      <c r="AE188" t="str">
        <f t="shared" si="38"/>
        <v>铁*33</v>
      </c>
      <c r="AF188" t="str">
        <f t="shared" si="39"/>
        <v/>
      </c>
      <c r="AG188" t="str">
        <f t="shared" si="40"/>
        <v>劳工*6309</v>
      </c>
      <c r="AH188" t="str">
        <f t="shared" si="41"/>
        <v>工程师*84</v>
      </c>
      <c r="AI188" t="str">
        <f t="shared" si="42"/>
        <v/>
      </c>
      <c r="AJ188" t="str">
        <f t="shared" si="43"/>
        <v>工具*37</v>
      </c>
      <c r="AK188" t="str">
        <f t="shared" si="44"/>
        <v/>
      </c>
      <c r="AL188">
        <f>IFERROR(ROUND(L188*(G188/$AU188)/VLOOKUP(F188,商品!$A$4:$C$60,3,FALSE),0),"")</f>
        <v>33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6309</v>
      </c>
      <c r="AQ188">
        <f>IFERROR(ROUND(S188*(P188/$AV188)/VLOOKUP(O188,职业!$A$3:$E$16,4,FALSE),0),"")</f>
        <v>84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37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104</v>
      </c>
      <c r="AW188">
        <f t="shared" si="47"/>
        <v>1</v>
      </c>
    </row>
    <row r="189" spans="1:49" ht="20" customHeight="1" x14ac:dyDescent="0.3">
      <c r="A189" s="5" t="s">
        <v>323</v>
      </c>
      <c r="C189" s="5">
        <v>4</v>
      </c>
      <c r="D189" s="21" t="s">
        <v>222</v>
      </c>
      <c r="E189" s="21" t="s">
        <v>230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1500</v>
      </c>
      <c r="M189" s="1" t="s">
        <v>208</v>
      </c>
      <c r="N189" s="1">
        <v>100</v>
      </c>
      <c r="O189" s="1" t="s">
        <v>201</v>
      </c>
      <c r="P189" s="1">
        <v>5</v>
      </c>
      <c r="S189" s="5">
        <f>IFERROR(VLOOKUP($D189&amp;$C189,生产方式定位!$A$2:$E$38,3,FALSE)+VLOOKUP($E189&amp;$C189,生产方式定位!$F$3:$J$38,3,FALSE),0)</f>
        <v>140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1702</v>
      </c>
      <c r="Y189" s="24" t="str">
        <f t="shared" si="34"/>
        <v>钢铁*25</v>
      </c>
      <c r="Z189" s="34" t="str">
        <f t="shared" si="35"/>
        <v>劳工*6033,工程师*101</v>
      </c>
      <c r="AA189" s="34" t="str">
        <f t="shared" si="32"/>
        <v>工具*43</v>
      </c>
      <c r="AB189" s="25" t="str">
        <f t="shared" si="36"/>
        <v>13%</v>
      </c>
      <c r="AC189" s="1">
        <f t="shared" si="37"/>
        <v>62</v>
      </c>
      <c r="AD189" s="36">
        <f t="shared" si="33"/>
        <v>4</v>
      </c>
      <c r="AE189" t="str">
        <f t="shared" si="38"/>
        <v>钢铁*25</v>
      </c>
      <c r="AF189" t="str">
        <f t="shared" si="39"/>
        <v/>
      </c>
      <c r="AG189" t="str">
        <f t="shared" si="40"/>
        <v>劳工*6033</v>
      </c>
      <c r="AH189" t="str">
        <f t="shared" si="41"/>
        <v>工程师*101</v>
      </c>
      <c r="AI189" t="str">
        <f t="shared" si="42"/>
        <v/>
      </c>
      <c r="AJ189" t="str">
        <f t="shared" si="43"/>
        <v>工具*43</v>
      </c>
      <c r="AK189" t="str">
        <f t="shared" si="44"/>
        <v/>
      </c>
      <c r="AL189">
        <f>IFERROR(ROUND(L189*(G189/$AU189)/VLOOKUP(F189,商品!$A$4:$C$60,3,FALSE),0),"")</f>
        <v>25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6033</v>
      </c>
      <c r="AQ189">
        <f>IFERROR(ROUND(S189*(P189/$AV189)/VLOOKUP(O189,职业!$A$3:$E$16,4,FALSE),0),"")</f>
        <v>101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43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105</v>
      </c>
      <c r="AW189">
        <f t="shared" si="47"/>
        <v>1</v>
      </c>
    </row>
    <row r="190" spans="1:49" ht="20" customHeight="1" x14ac:dyDescent="0.3">
      <c r="A190" s="5" t="s">
        <v>323</v>
      </c>
      <c r="C190" s="5">
        <v>5</v>
      </c>
      <c r="D190" s="21" t="s">
        <v>222</v>
      </c>
      <c r="E190" s="21" t="s">
        <v>230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1700</v>
      </c>
      <c r="M190" s="1" t="s">
        <v>208</v>
      </c>
      <c r="N190" s="1">
        <v>100</v>
      </c>
      <c r="O190" s="1" t="s">
        <v>201</v>
      </c>
      <c r="P190" s="1">
        <v>5</v>
      </c>
      <c r="S190" s="5">
        <f>IFERROR(VLOOKUP($D190&amp;$C190,生产方式定位!$A$2:$E$38,3,FALSE)+VLOOKUP($E190&amp;$C190,生产方式定位!$F$3:$J$38,3,FALSE),0)</f>
        <v>135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1908</v>
      </c>
      <c r="Y190" s="24" t="str">
        <f t="shared" si="34"/>
        <v>钢铁*28</v>
      </c>
      <c r="Z190" s="34" t="str">
        <f t="shared" si="35"/>
        <v>劳工*5818,工程师*97</v>
      </c>
      <c r="AA190" s="34" t="str">
        <f t="shared" si="32"/>
        <v>工具*48</v>
      </c>
      <c r="AB190" s="25" t="str">
        <f t="shared" si="36"/>
        <v>12%</v>
      </c>
      <c r="AC190" s="1">
        <f t="shared" si="37"/>
        <v>73</v>
      </c>
      <c r="AD190" s="36">
        <f t="shared" si="33"/>
        <v>5</v>
      </c>
      <c r="AE190" t="str">
        <f t="shared" si="38"/>
        <v>钢铁*28</v>
      </c>
      <c r="AF190" t="str">
        <f t="shared" si="39"/>
        <v/>
      </c>
      <c r="AG190" t="str">
        <f t="shared" si="40"/>
        <v>劳工*5818</v>
      </c>
      <c r="AH190" t="str">
        <f t="shared" si="41"/>
        <v>工程师*97</v>
      </c>
      <c r="AI190" t="str">
        <f t="shared" si="42"/>
        <v/>
      </c>
      <c r="AJ190" t="str">
        <f t="shared" si="43"/>
        <v>工具*48</v>
      </c>
      <c r="AK190" t="str">
        <f t="shared" si="44"/>
        <v/>
      </c>
      <c r="AL190">
        <f>IFERROR(ROUND(L190*(G190/$AU190)/VLOOKUP(F190,商品!$A$4:$C$60,3,FALSE),0),"")</f>
        <v>28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5818</v>
      </c>
      <c r="AQ190">
        <f>IFERROR(ROUND(S190*(P190/$AV190)/VLOOKUP(O190,职业!$A$3:$E$16,4,FALSE),0),"")</f>
        <v>97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48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105</v>
      </c>
      <c r="AW190">
        <f t="shared" si="47"/>
        <v>1</v>
      </c>
    </row>
    <row r="191" spans="1:49" ht="20" customHeight="1" x14ac:dyDescent="0.3">
      <c r="A191" s="18" t="s">
        <v>324</v>
      </c>
      <c r="C191" s="18">
        <v>1</v>
      </c>
      <c r="D191" s="21" t="s">
        <v>249</v>
      </c>
      <c r="E191" s="21" t="s">
        <v>225</v>
      </c>
      <c r="L191" s="18">
        <f>IFERROR(VLOOKUP($D191&amp;$C191,生产方式定位!$A$2:$E$38,2,FALSE)+VLOOKUP($E191&amp;$C191,生产方式定位!$F$3:$J$38,2,FALSE),0)</f>
        <v>2000</v>
      </c>
      <c r="S191" s="18">
        <f>IFERROR(VLOOKUP($D191&amp;$C191,生产方式定位!$A$2:$E$38,3,FALSE)+VLOOKUP($E191&amp;$C191,生产方式定位!$F$3:$J$38,3,FALSE),0)</f>
        <v>100</v>
      </c>
      <c r="X191" s="18">
        <f>IFERROR(VLOOKUP($D191&amp;$C191,生产方式定位!$A$2:$E$38,5,FALSE)+VLOOKUP($E191&amp;$C191,生产方式定位!$F$3:$J$38,5,FALSE),"错误")</f>
        <v>2310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>16%</v>
      </c>
      <c r="AC191" s="1">
        <f t="shared" si="37"/>
        <v>210</v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20" customHeight="1" x14ac:dyDescent="0.3">
      <c r="A192" s="18" t="s">
        <v>324</v>
      </c>
      <c r="C192" s="18">
        <v>2</v>
      </c>
      <c r="D192" s="21" t="s">
        <v>249</v>
      </c>
      <c r="E192" s="21" t="s">
        <v>225</v>
      </c>
      <c r="F192" s="1" t="s">
        <v>146</v>
      </c>
      <c r="G192" s="1">
        <v>10</v>
      </c>
      <c r="H192" s="1" t="s">
        <v>122</v>
      </c>
      <c r="I192" s="1">
        <v>10</v>
      </c>
      <c r="L192" s="18">
        <f>IFERROR(VLOOKUP($D192&amp;$C192,生产方式定位!$A$2:$E$38,2,FALSE)+VLOOKUP($E192&amp;$C192,生产方式定位!$F$3:$J$38,2,FALSE),0)</f>
        <v>3150</v>
      </c>
      <c r="M192" s="1" t="s">
        <v>208</v>
      </c>
      <c r="N192" s="1">
        <v>-5</v>
      </c>
      <c r="O192" s="1" t="s">
        <v>201</v>
      </c>
      <c r="P192" s="1">
        <v>5</v>
      </c>
      <c r="S192" s="18">
        <f>IFERROR(VLOOKUP($D192&amp;$C192,生产方式定位!$A$2:$E$38,3,FALSE)+VLOOKUP($E192&amp;$C192,生产方式定位!$F$3:$J$38,3,FALSE),0)</f>
        <v>130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3371</v>
      </c>
      <c r="Y192" s="24" t="str">
        <f t="shared" si="34"/>
        <v>工具*39,煤*53</v>
      </c>
      <c r="Z192" s="34" t="str">
        <f t="shared" si="35"/>
        <v>劳工*-2941,工程师*980</v>
      </c>
      <c r="AA192" s="34" t="str">
        <f t="shared" si="32"/>
        <v>工具*84</v>
      </c>
      <c r="AB192" s="25" t="str">
        <f t="shared" si="36"/>
        <v>7%</v>
      </c>
      <c r="AC192" s="1">
        <f t="shared" si="37"/>
        <v>91</v>
      </c>
      <c r="AD192" s="36">
        <f t="shared" si="33"/>
        <v>2</v>
      </c>
      <c r="AE192" t="str">
        <f t="shared" si="38"/>
        <v>工具*39</v>
      </c>
      <c r="AF192" t="str">
        <f t="shared" si="39"/>
        <v>煤*53</v>
      </c>
      <c r="AG192" t="str">
        <f t="shared" si="40"/>
        <v>劳工*-2941</v>
      </c>
      <c r="AH192" t="str">
        <f t="shared" si="41"/>
        <v>工程师*980</v>
      </c>
      <c r="AI192" t="str">
        <f t="shared" si="42"/>
        <v/>
      </c>
      <c r="AJ192" t="str">
        <f t="shared" si="43"/>
        <v>工具*84</v>
      </c>
      <c r="AK192" t="str">
        <f t="shared" si="44"/>
        <v/>
      </c>
      <c r="AL192">
        <f>IFERROR(ROUND(L192*(G192/$AU192)/VLOOKUP(F192,商品!$A$4:$C$60,3,FALSE),0),"")</f>
        <v>39</v>
      </c>
      <c r="AM192">
        <f>IFERROR(ROUND(L192*(I192/$AU192)/VLOOKUP(H192,商品!$A$4:$C$60,3,FALSE),0),"")</f>
        <v>53</v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-2941</v>
      </c>
      <c r="AQ192">
        <f>IFERROR(ROUND(S192*(P192/$AV192)/VLOOKUP(O192,职业!$A$3:$E$16,4,FALSE),0),"")</f>
        <v>980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84</v>
      </c>
      <c r="AT192" t="str">
        <f>IFERROR(ROUND(X192*(W192/$AW192)/VLOOKUP(V192,商品!$A$4:$C$60,3,FALSE),0),"")</f>
        <v/>
      </c>
      <c r="AU192">
        <f t="shared" si="45"/>
        <v>20</v>
      </c>
      <c r="AV192">
        <f t="shared" si="46"/>
        <v>10</v>
      </c>
      <c r="AW192">
        <f t="shared" si="47"/>
        <v>1</v>
      </c>
    </row>
    <row r="193" spans="1:49" ht="20" customHeight="1" x14ac:dyDescent="0.3">
      <c r="A193" s="18" t="s">
        <v>324</v>
      </c>
      <c r="C193" s="18">
        <v>3</v>
      </c>
      <c r="D193" s="21" t="s">
        <v>249</v>
      </c>
      <c r="E193" s="21" t="s">
        <v>225</v>
      </c>
      <c r="F193" s="1" t="s">
        <v>124</v>
      </c>
      <c r="G193" s="1">
        <v>10</v>
      </c>
      <c r="L193" s="18">
        <f>IFERROR(VLOOKUP($D193&amp;$C193,生产方式定位!$A$2:$E$38,2,FALSE)+VLOOKUP($E193&amp;$C193,生产方式定位!$F$3:$J$38,2,FALSE),0)</f>
        <v>3800</v>
      </c>
      <c r="M193" s="1" t="s">
        <v>208</v>
      </c>
      <c r="N193" s="1">
        <v>-7</v>
      </c>
      <c r="O193" s="1" t="s">
        <v>201</v>
      </c>
      <c r="P193" s="1">
        <v>7</v>
      </c>
      <c r="S193" s="18">
        <f>IFERROR(VLOOKUP($D193&amp;$C193,生产方式定位!$A$2:$E$38,3,FALSE)+VLOOKUP($E193&amp;$C193,生产方式定位!$F$3:$J$38,3,FALSE),0)</f>
        <v>140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4069</v>
      </c>
      <c r="Y193" s="24" t="str">
        <f t="shared" si="34"/>
        <v>磁魔素*76</v>
      </c>
      <c r="Z193" s="34" t="str">
        <f t="shared" si="35"/>
        <v>劳工*-3167,工程师*1056</v>
      </c>
      <c r="AA193" s="34" t="str">
        <f t="shared" si="32"/>
        <v>工具*102</v>
      </c>
      <c r="AB193" s="25" t="str">
        <f t="shared" si="36"/>
        <v>7%</v>
      </c>
      <c r="AC193" s="1">
        <f t="shared" si="37"/>
        <v>129</v>
      </c>
      <c r="AD193" s="36">
        <f t="shared" si="33"/>
        <v>3</v>
      </c>
      <c r="AE193" t="str">
        <f t="shared" si="38"/>
        <v>磁魔素*76</v>
      </c>
      <c r="AF193" t="str">
        <f t="shared" si="39"/>
        <v/>
      </c>
      <c r="AG193" t="str">
        <f t="shared" si="40"/>
        <v>劳工*-3167</v>
      </c>
      <c r="AH193" t="str">
        <f t="shared" si="41"/>
        <v>工程师*1056</v>
      </c>
      <c r="AI193" t="str">
        <f t="shared" si="42"/>
        <v/>
      </c>
      <c r="AJ193" t="str">
        <f t="shared" si="43"/>
        <v>工具*102</v>
      </c>
      <c r="AK193" t="str">
        <f t="shared" si="44"/>
        <v/>
      </c>
      <c r="AL193">
        <f>IFERROR(ROUND(L193*(G193/$AU193)/VLOOKUP(F193,商品!$A$4:$C$60,3,FALSE),0),"")</f>
        <v>76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-3167</v>
      </c>
      <c r="AQ193">
        <f>IFERROR(ROUND(S193*(P193/$AV193)/VLOOKUP(O193,职业!$A$3:$E$16,4,FALSE),0),"")</f>
        <v>1056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102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14</v>
      </c>
      <c r="AW193">
        <f t="shared" si="47"/>
        <v>1</v>
      </c>
    </row>
    <row r="194" spans="1:49" ht="20" customHeight="1" x14ac:dyDescent="0.3">
      <c r="A194" s="18" t="s">
        <v>324</v>
      </c>
      <c r="C194" s="18">
        <v>4</v>
      </c>
      <c r="D194" s="21" t="s">
        <v>249</v>
      </c>
      <c r="E194" s="21" t="s">
        <v>225</v>
      </c>
      <c r="F194" s="1" t="s">
        <v>150</v>
      </c>
      <c r="G194" s="1">
        <v>10</v>
      </c>
      <c r="L194" s="18">
        <f>IFERROR(VLOOKUP($D194&amp;$C194,生产方式定位!$A$2:$E$38,2,FALSE)+VLOOKUP($E194&amp;$C194,生产方式定位!$F$3:$J$38,2,FALSE),0)</f>
        <v>4450</v>
      </c>
      <c r="M194" s="1" t="s">
        <v>208</v>
      </c>
      <c r="N194" s="1">
        <v>-9</v>
      </c>
      <c r="O194" s="1" t="s">
        <v>201</v>
      </c>
      <c r="P194" s="1">
        <v>9</v>
      </c>
      <c r="S194" s="18">
        <f>IFERROR(VLOOKUP($D194&amp;$C194,生产方式定位!$A$2:$E$38,3,FALSE)+VLOOKUP($E194&amp;$C194,生产方式定位!$F$3:$J$38,3,FALSE),0)</f>
        <v>150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4794</v>
      </c>
      <c r="Y194" s="24" t="str">
        <f t="shared" si="34"/>
        <v>科学引擎*56</v>
      </c>
      <c r="Z194" s="34" t="str">
        <f t="shared" si="35"/>
        <v>劳工*-3394,工程师*1131</v>
      </c>
      <c r="AA194" s="34" t="str">
        <f t="shared" si="32"/>
        <v>工具*120</v>
      </c>
      <c r="AB194" s="25" t="str">
        <f t="shared" si="36"/>
        <v>8%</v>
      </c>
      <c r="AC194" s="1">
        <f t="shared" si="37"/>
        <v>194</v>
      </c>
      <c r="AD194" s="36">
        <f t="shared" si="33"/>
        <v>4</v>
      </c>
      <c r="AE194" t="str">
        <f t="shared" si="38"/>
        <v>科学引擎*56</v>
      </c>
      <c r="AF194" t="str">
        <f t="shared" si="39"/>
        <v/>
      </c>
      <c r="AG194" t="str">
        <f t="shared" si="40"/>
        <v>劳工*-3394</v>
      </c>
      <c r="AH194" t="str">
        <f t="shared" si="41"/>
        <v>工程师*1131</v>
      </c>
      <c r="AI194" t="str">
        <f t="shared" si="42"/>
        <v/>
      </c>
      <c r="AJ194" t="str">
        <f t="shared" si="43"/>
        <v>工具*120</v>
      </c>
      <c r="AK194" t="str">
        <f t="shared" si="44"/>
        <v/>
      </c>
      <c r="AL194">
        <f>IFERROR(ROUND(L194*(G194/$AU194)/VLOOKUP(F194,商品!$A$4:$C$60,3,FALSE),0),"")</f>
        <v>56</v>
      </c>
      <c r="AM194" t="str">
        <f>IFERROR(ROUND(L194*(I194/$AU194)/VLOOKUP(H194,商品!$A$4:$C$60,3,FALSE),0),"")</f>
        <v/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-3394</v>
      </c>
      <c r="AQ194">
        <f>IFERROR(ROUND(S194*(P194/$AV194)/VLOOKUP(O194,职业!$A$3:$E$16,4,FALSE),0),"")</f>
        <v>1131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120</v>
      </c>
      <c r="AT194" t="str">
        <f>IFERROR(ROUND(X194*(W194/$AW194)/VLOOKUP(V194,商品!$A$4:$C$60,3,FALSE),0),"")</f>
        <v/>
      </c>
      <c r="AU194">
        <f t="shared" si="45"/>
        <v>10</v>
      </c>
      <c r="AV194">
        <f t="shared" si="46"/>
        <v>18</v>
      </c>
      <c r="AW194">
        <f t="shared" si="47"/>
        <v>1</v>
      </c>
    </row>
    <row r="195" spans="1:49" ht="20" customHeight="1" x14ac:dyDescent="0.3">
      <c r="A195" s="18" t="s">
        <v>324</v>
      </c>
      <c r="C195" s="18">
        <v>5</v>
      </c>
      <c r="D195" s="21" t="s">
        <v>249</v>
      </c>
      <c r="E195" s="21" t="s">
        <v>225</v>
      </c>
      <c r="F195" s="1" t="s">
        <v>150</v>
      </c>
      <c r="G195" s="1">
        <v>10</v>
      </c>
      <c r="H195" s="1" t="s">
        <v>151</v>
      </c>
      <c r="I195" s="1">
        <v>7</v>
      </c>
      <c r="L195" s="18">
        <f>IFERROR(VLOOKUP($D195&amp;$C195,生产方式定位!$A$2:$E$38,2,FALSE)+VLOOKUP($E195&amp;$C195,生产方式定位!$F$3:$J$38,2,FALSE),0)</f>
        <v>5100</v>
      </c>
      <c r="M195" s="1" t="s">
        <v>208</v>
      </c>
      <c r="N195" s="1">
        <v>-11</v>
      </c>
      <c r="O195" s="1" t="s">
        <v>201</v>
      </c>
      <c r="P195" s="1">
        <v>11</v>
      </c>
      <c r="S195" s="18">
        <f>IFERROR(VLOOKUP($D195&amp;$C195,生产方式定位!$A$2:$E$38,3,FALSE)+VLOOKUP($E195&amp;$C195,生产方式定位!$F$3:$J$38,3,FALSE),0)</f>
        <v>160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5786</v>
      </c>
      <c r="Y195" s="24" t="str">
        <f t="shared" si="34"/>
        <v>科学引擎*38,魔导引擎*26</v>
      </c>
      <c r="Z195" s="34" t="str">
        <f t="shared" si="35"/>
        <v>劳工*-3620,工程师*1207</v>
      </c>
      <c r="AA195" s="34" t="str">
        <f t="shared" si="32"/>
        <v>工具*145</v>
      </c>
      <c r="AB195" s="25" t="str">
        <f t="shared" si="36"/>
        <v>13%</v>
      </c>
      <c r="AC195" s="1">
        <f t="shared" si="37"/>
        <v>526</v>
      </c>
      <c r="AD195" s="36">
        <f t="shared" si="33"/>
        <v>5</v>
      </c>
      <c r="AE195" t="str">
        <f t="shared" si="38"/>
        <v>科学引擎*38</v>
      </c>
      <c r="AF195" t="str">
        <f t="shared" si="39"/>
        <v>魔导引擎*26</v>
      </c>
      <c r="AG195" t="str">
        <f t="shared" si="40"/>
        <v>劳工*-3620</v>
      </c>
      <c r="AH195" t="str">
        <f t="shared" si="41"/>
        <v>工程师*1207</v>
      </c>
      <c r="AI195" t="str">
        <f t="shared" si="42"/>
        <v/>
      </c>
      <c r="AJ195" t="str">
        <f t="shared" si="43"/>
        <v>工具*145</v>
      </c>
      <c r="AK195" t="str">
        <f t="shared" si="44"/>
        <v/>
      </c>
      <c r="AL195">
        <f>IFERROR(ROUND(L195*(G195/$AU195)/VLOOKUP(F195,商品!$A$4:$C$60,3,FALSE),0),"")</f>
        <v>38</v>
      </c>
      <c r="AM195">
        <f>IFERROR(ROUND(L195*(I195/$AU195)/VLOOKUP(H195,商品!$A$4:$C$60,3,FALSE),0),"")</f>
        <v>26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-3620</v>
      </c>
      <c r="AQ195">
        <f>IFERROR(ROUND(S195*(P195/$AV195)/VLOOKUP(O195,职业!$A$3:$E$16,4,FALSE),0),"")</f>
        <v>1207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145</v>
      </c>
      <c r="AT195" t="str">
        <f>IFERROR(ROUND(X195*(W195/$AW195)/VLOOKUP(V195,商品!$A$4:$C$60,3,FALSE),0),"")</f>
        <v/>
      </c>
      <c r="AU195">
        <f t="shared" si="45"/>
        <v>17</v>
      </c>
      <c r="AV195">
        <f t="shared" si="46"/>
        <v>22</v>
      </c>
      <c r="AW195">
        <f t="shared" si="47"/>
        <v>1</v>
      </c>
    </row>
    <row r="196" spans="1:49" ht="20" customHeight="1" x14ac:dyDescent="0.3">
      <c r="A196" s="5" t="s">
        <v>324</v>
      </c>
      <c r="C196" s="5">
        <v>1</v>
      </c>
      <c r="D196" s="21" t="s">
        <v>249</v>
      </c>
      <c r="E196" s="21" t="s">
        <v>225</v>
      </c>
      <c r="L196" s="5">
        <f>IFERROR(VLOOKUP($D196&amp;$C196,生产方式定位!$A$2:$E$38,2,FALSE)+VLOOKUP($E196&amp;$C196,生产方式定位!$F$3:$J$38,2,FALSE),0)</f>
        <v>2000</v>
      </c>
      <c r="S196" s="5">
        <f>IFERROR(VLOOKUP($D196&amp;$C196,生产方式定位!$A$2:$E$38,3,FALSE)+VLOOKUP($E196&amp;$C196,生产方式定位!$F$3:$J$38,3,FALSE),0)</f>
        <v>100</v>
      </c>
      <c r="X196" s="5">
        <f>IFERROR(VLOOKUP($D196&amp;$C196,生产方式定位!$A$2:$E$38,5,FALSE)+VLOOKUP($E196&amp;$C196,生产方式定位!$F$3:$J$38,5,FALSE),"错误")</f>
        <v>2310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>16%</v>
      </c>
      <c r="AC196" s="1">
        <f t="shared" si="37"/>
        <v>210</v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20" customHeight="1" x14ac:dyDescent="0.3">
      <c r="A197" s="5" t="s">
        <v>324</v>
      </c>
      <c r="C197" s="5">
        <v>2</v>
      </c>
      <c r="D197" s="21" t="s">
        <v>249</v>
      </c>
      <c r="E197" s="21" t="s">
        <v>225</v>
      </c>
      <c r="F197" s="1" t="s">
        <v>147</v>
      </c>
      <c r="G197" s="1">
        <v>10</v>
      </c>
      <c r="H197" s="1" t="s">
        <v>122</v>
      </c>
      <c r="I197" s="1">
        <v>10</v>
      </c>
      <c r="L197" s="5">
        <f>IFERROR(VLOOKUP($D197&amp;$C197,生产方式定位!$A$2:$E$38,2,FALSE)+VLOOKUP($E197&amp;$C197,生产方式定位!$F$3:$J$38,2,FALSE),0)</f>
        <v>3150</v>
      </c>
      <c r="M197" s="1" t="s">
        <v>208</v>
      </c>
      <c r="N197" s="1">
        <v>-5</v>
      </c>
      <c r="O197" s="1" t="s">
        <v>202</v>
      </c>
      <c r="P197" s="1">
        <v>5</v>
      </c>
      <c r="S197" s="5">
        <f>IFERROR(VLOOKUP($D197&amp;$C197,生产方式定位!$A$2:$E$38,3,FALSE)+VLOOKUP($E197&amp;$C197,生产方式定位!$F$3:$J$38,3,FALSE),0)</f>
        <v>130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3371</v>
      </c>
      <c r="Y197" s="24" t="str">
        <f t="shared" si="34"/>
        <v>魔偶*39,煤*53</v>
      </c>
      <c r="Z197" s="34" t="str">
        <f t="shared" si="35"/>
        <v>劳工*-2941,法士*735</v>
      </c>
      <c r="AA197" s="34" t="str">
        <f t="shared" ref="AA197:AA260" si="48">IF(AJ197="","",AJ197)&amp;IF(AK197="","",","&amp;AK197)</f>
        <v>工具*84</v>
      </c>
      <c r="AB197" s="25" t="str">
        <f t="shared" si="36"/>
        <v>7%</v>
      </c>
      <c r="AC197" s="1">
        <f t="shared" si="37"/>
        <v>91</v>
      </c>
      <c r="AD197" s="35">
        <f t="shared" ref="AD197:AD260" si="49">C197</f>
        <v>2</v>
      </c>
      <c r="AE197" t="str">
        <f t="shared" si="38"/>
        <v>魔偶*39</v>
      </c>
      <c r="AF197" t="str">
        <f t="shared" si="39"/>
        <v>煤*53</v>
      </c>
      <c r="AG197" t="str">
        <f t="shared" si="40"/>
        <v>劳工*-2941</v>
      </c>
      <c r="AH197" t="str">
        <f t="shared" si="41"/>
        <v>法士*735</v>
      </c>
      <c r="AI197" t="str">
        <f t="shared" si="42"/>
        <v/>
      </c>
      <c r="AJ197" t="str">
        <f t="shared" si="43"/>
        <v>工具*84</v>
      </c>
      <c r="AK197" t="str">
        <f t="shared" si="44"/>
        <v/>
      </c>
      <c r="AL197">
        <f>IFERROR(ROUND(L197*(G197/$AU197)/VLOOKUP(F197,商品!$A$4:$C$60,3,FALSE),0),"")</f>
        <v>39</v>
      </c>
      <c r="AM197">
        <f>IFERROR(ROUND(L197*(I197/$AU197)/VLOOKUP(H197,商品!$A$4:$C$60,3,FALSE),0),"")</f>
        <v>53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-2941</v>
      </c>
      <c r="AQ197">
        <f>IFERROR(ROUND(S197*(P197/$AV197)/VLOOKUP(O197,职业!$A$3:$E$16,4,FALSE),0),"")</f>
        <v>735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84</v>
      </c>
      <c r="AT197" t="str">
        <f>IFERROR(ROUND(X197*(W197/$AW197)/VLOOKUP(V197,商品!$A$4:$C$60,3,FALSE),0),"")</f>
        <v/>
      </c>
      <c r="AU197">
        <f t="shared" si="45"/>
        <v>20</v>
      </c>
      <c r="AV197">
        <f t="shared" si="46"/>
        <v>10</v>
      </c>
      <c r="AW197">
        <f t="shared" si="47"/>
        <v>1</v>
      </c>
    </row>
    <row r="198" spans="1:49" ht="20" customHeight="1" x14ac:dyDescent="0.3">
      <c r="A198" s="5" t="s">
        <v>324</v>
      </c>
      <c r="C198" s="5">
        <v>3</v>
      </c>
      <c r="D198" s="21" t="s">
        <v>249</v>
      </c>
      <c r="E198" s="21" t="s">
        <v>225</v>
      </c>
      <c r="F198" s="1" t="s">
        <v>125</v>
      </c>
      <c r="G198" s="1">
        <v>10</v>
      </c>
      <c r="L198" s="5">
        <f>IFERROR(VLOOKUP($D198&amp;$C198,生产方式定位!$A$2:$E$38,2,FALSE)+VLOOKUP($E198&amp;$C198,生产方式定位!$F$3:$J$38,2,FALSE),0)</f>
        <v>3800</v>
      </c>
      <c r="M198" s="1" t="s">
        <v>208</v>
      </c>
      <c r="N198" s="1">
        <v>-7</v>
      </c>
      <c r="O198" s="1" t="s">
        <v>202</v>
      </c>
      <c r="P198" s="1">
        <v>7</v>
      </c>
      <c r="S198" s="5">
        <f>IFERROR(VLOOKUP($D198&amp;$C198,生产方式定位!$A$2:$E$38,3,FALSE)+VLOOKUP($E198&amp;$C198,生产方式定位!$F$3:$J$38,3,FALSE),0)</f>
        <v>140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4069</v>
      </c>
      <c r="Y198" s="24" t="str">
        <f t="shared" ref="Y198:Y261" si="50">IF(AE198="","",AE198)&amp;IF(AF198="","",","&amp;AF198)&amp;IF(AN198=0,"",",运力*"&amp;AN198)&amp;IF(AO198=0,"",",交易*"&amp;AO198)</f>
        <v>泽洛*76</v>
      </c>
      <c r="Z198" s="34" t="str">
        <f t="shared" ref="Z198:Z261" si="51">IF(AG198="","",AG198)&amp;IF(AH198="","",","&amp;AH198)&amp;IF(AI198="","",","&amp;AI198)</f>
        <v>劳工*-3167,法士*792</v>
      </c>
      <c r="AA198" s="34" t="str">
        <f t="shared" si="48"/>
        <v>工具*102</v>
      </c>
      <c r="AB198" s="25" t="str">
        <f t="shared" ref="AB198:AB261" si="52">IFERROR(ROUND(((X198/L198)-1)*100,0)&amp;"%","")</f>
        <v>7%</v>
      </c>
      <c r="AC198" s="1">
        <f t="shared" ref="AC198:AC261" si="53">IF(X198-S198-L198=0,"",X198-S198-L198)</f>
        <v>129</v>
      </c>
      <c r="AD198" s="35">
        <f t="shared" si="49"/>
        <v>3</v>
      </c>
      <c r="AE198" t="str">
        <f t="shared" ref="AE198:AE261" si="54">IF(AL198="","",F198&amp;"*"&amp;AL198)</f>
        <v>泽洛*76</v>
      </c>
      <c r="AF198" t="str">
        <f t="shared" ref="AF198:AF261" si="55">IF(AM198="","",H198&amp;"*"&amp;AM198)</f>
        <v/>
      </c>
      <c r="AG198" t="str">
        <f t="shared" ref="AG198:AG261" si="56">IF(AP198="","",M198&amp;"*"&amp;AP198)</f>
        <v>劳工*-3167</v>
      </c>
      <c r="AH198" t="str">
        <f t="shared" ref="AH198:AH261" si="57">IF(AQ198="","",O198&amp;"*"&amp;AQ198)</f>
        <v>法士*792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工具*102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76</v>
      </c>
      <c r="AM198" t="str">
        <f>IFERROR(ROUND(L198*(I198/$AU198)/VLOOKUP(H198,商品!$A$4:$C$60,3,FALSE),0),"")</f>
        <v/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-3167</v>
      </c>
      <c r="AQ198">
        <f>IFERROR(ROUND(S198*(P198/$AV198)/VLOOKUP(O198,职业!$A$3:$E$16,4,FALSE),0),"")</f>
        <v>792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102</v>
      </c>
      <c r="AT198" t="str">
        <f>IFERROR(ROUND(X198*(W198/$AW198)/VLOOKUP(V198,商品!$A$4:$C$60,3,FALSE),0),"")</f>
        <v/>
      </c>
      <c r="AU198">
        <f t="shared" ref="AU198:AU261" si="61">G198+I198+J198+K198</f>
        <v>10</v>
      </c>
      <c r="AV198">
        <f t="shared" ref="AV198:AV261" si="62">ABS(N198)+ABS(P198)+ABS(R198)</f>
        <v>14</v>
      </c>
      <c r="AW198">
        <f t="shared" ref="AW198:AW261" si="63">U198+W198</f>
        <v>1</v>
      </c>
    </row>
    <row r="199" spans="1:49" ht="20" customHeight="1" x14ac:dyDescent="0.3">
      <c r="A199" s="5" t="s">
        <v>324</v>
      </c>
      <c r="C199" s="5">
        <v>4</v>
      </c>
      <c r="D199" s="21" t="s">
        <v>249</v>
      </c>
      <c r="E199" s="21" t="s">
        <v>225</v>
      </c>
      <c r="F199" s="1" t="s">
        <v>151</v>
      </c>
      <c r="G199" s="1">
        <v>10</v>
      </c>
      <c r="L199" s="5">
        <f>IFERROR(VLOOKUP($D199&amp;$C199,生产方式定位!$A$2:$E$38,2,FALSE)+VLOOKUP($E199&amp;$C199,生产方式定位!$F$3:$J$38,2,FALSE),0)</f>
        <v>4450</v>
      </c>
      <c r="M199" s="1" t="s">
        <v>208</v>
      </c>
      <c r="N199" s="1">
        <v>-9</v>
      </c>
      <c r="O199" s="1" t="s">
        <v>202</v>
      </c>
      <c r="P199" s="1">
        <v>9</v>
      </c>
      <c r="S199" s="5">
        <f>IFERROR(VLOOKUP($D199&amp;$C199,生产方式定位!$A$2:$E$38,3,FALSE)+VLOOKUP($E199&amp;$C199,生产方式定位!$F$3:$J$38,3,FALSE),0)</f>
        <v>150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4794</v>
      </c>
      <c r="Y199" s="24" t="str">
        <f t="shared" si="50"/>
        <v>魔导引擎*56</v>
      </c>
      <c r="Z199" s="34" t="str">
        <f t="shared" si="51"/>
        <v>劳工*-3394,法士*848</v>
      </c>
      <c r="AA199" s="34" t="str">
        <f t="shared" si="48"/>
        <v>工具*120</v>
      </c>
      <c r="AB199" s="25" t="str">
        <f t="shared" si="52"/>
        <v>8%</v>
      </c>
      <c r="AC199" s="1">
        <f t="shared" si="53"/>
        <v>194</v>
      </c>
      <c r="AD199" s="35">
        <f t="shared" si="49"/>
        <v>4</v>
      </c>
      <c r="AE199" t="str">
        <f t="shared" si="54"/>
        <v>魔导引擎*56</v>
      </c>
      <c r="AF199" t="str">
        <f t="shared" si="55"/>
        <v/>
      </c>
      <c r="AG199" t="str">
        <f t="shared" si="56"/>
        <v>劳工*-3394</v>
      </c>
      <c r="AH199" t="str">
        <f t="shared" si="57"/>
        <v>法士*848</v>
      </c>
      <c r="AI199" t="str">
        <f t="shared" si="58"/>
        <v/>
      </c>
      <c r="AJ199" t="str">
        <f t="shared" si="59"/>
        <v>工具*120</v>
      </c>
      <c r="AK199" t="str">
        <f t="shared" si="60"/>
        <v/>
      </c>
      <c r="AL199">
        <f>IFERROR(ROUND(L199*(G199/$AU199)/VLOOKUP(F199,商品!$A$4:$C$60,3,FALSE),0),"")</f>
        <v>56</v>
      </c>
      <c r="AM199" t="str">
        <f>IFERROR(ROUND(L199*(I199/$AU199)/VLOOKUP(H199,商品!$A$4:$C$60,3,FALSE),0),"")</f>
        <v/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-3394</v>
      </c>
      <c r="AQ199">
        <f>IFERROR(ROUND(S199*(P199/$AV199)/VLOOKUP(O199,职业!$A$3:$E$16,4,FALSE),0),"")</f>
        <v>848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120</v>
      </c>
      <c r="AT199" t="str">
        <f>IFERROR(ROUND(X199*(W199/$AW199)/VLOOKUP(V199,商品!$A$4:$C$60,3,FALSE),0),"")</f>
        <v/>
      </c>
      <c r="AU199">
        <f t="shared" si="61"/>
        <v>10</v>
      </c>
      <c r="AV199">
        <f t="shared" si="62"/>
        <v>18</v>
      </c>
      <c r="AW199">
        <f t="shared" si="63"/>
        <v>1</v>
      </c>
    </row>
    <row r="200" spans="1:49" ht="20" customHeight="1" x14ac:dyDescent="0.3">
      <c r="A200" s="5" t="s">
        <v>324</v>
      </c>
      <c r="C200" s="5">
        <v>5</v>
      </c>
      <c r="D200" s="21" t="s">
        <v>249</v>
      </c>
      <c r="E200" s="21" t="s">
        <v>225</v>
      </c>
      <c r="F200" s="1" t="s">
        <v>150</v>
      </c>
      <c r="G200" s="1">
        <v>7</v>
      </c>
      <c r="H200" s="1" t="s">
        <v>151</v>
      </c>
      <c r="I200" s="1">
        <v>10</v>
      </c>
      <c r="L200" s="5">
        <f>IFERROR(VLOOKUP($D200&amp;$C200,生产方式定位!$A$2:$E$38,2,FALSE)+VLOOKUP($E200&amp;$C200,生产方式定位!$F$3:$J$38,2,FALSE),0)</f>
        <v>5100</v>
      </c>
      <c r="M200" s="1" t="s">
        <v>208</v>
      </c>
      <c r="N200" s="1">
        <v>-11</v>
      </c>
      <c r="O200" s="1" t="s">
        <v>202</v>
      </c>
      <c r="P200" s="1">
        <v>11</v>
      </c>
      <c r="S200" s="5">
        <f>IFERROR(VLOOKUP($D200&amp;$C200,生产方式定位!$A$2:$E$38,3,FALSE)+VLOOKUP($E200&amp;$C200,生产方式定位!$F$3:$J$38,3,FALSE),0)</f>
        <v>160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5786</v>
      </c>
      <c r="Y200" s="24" t="str">
        <f t="shared" si="50"/>
        <v>科学引擎*26,魔导引擎*38</v>
      </c>
      <c r="Z200" s="34" t="str">
        <f t="shared" si="51"/>
        <v>劳工*-3620,法士*905</v>
      </c>
      <c r="AA200" s="34" t="str">
        <f t="shared" si="48"/>
        <v>工具*145</v>
      </c>
      <c r="AB200" s="25" t="str">
        <f t="shared" si="52"/>
        <v>13%</v>
      </c>
      <c r="AC200" s="1">
        <f t="shared" si="53"/>
        <v>526</v>
      </c>
      <c r="AD200" s="35">
        <f t="shared" si="49"/>
        <v>5</v>
      </c>
      <c r="AE200" t="str">
        <f t="shared" si="54"/>
        <v>科学引擎*26</v>
      </c>
      <c r="AF200" t="str">
        <f t="shared" si="55"/>
        <v>魔导引擎*38</v>
      </c>
      <c r="AG200" t="str">
        <f t="shared" si="56"/>
        <v>劳工*-3620</v>
      </c>
      <c r="AH200" t="str">
        <f t="shared" si="57"/>
        <v>法士*905</v>
      </c>
      <c r="AI200" t="str">
        <f t="shared" si="58"/>
        <v/>
      </c>
      <c r="AJ200" t="str">
        <f t="shared" si="59"/>
        <v>工具*145</v>
      </c>
      <c r="AK200" t="str">
        <f t="shared" si="60"/>
        <v/>
      </c>
      <c r="AL200">
        <f>IFERROR(ROUND(L200*(G200/$AU200)/VLOOKUP(F200,商品!$A$4:$C$60,3,FALSE),0),"")</f>
        <v>26</v>
      </c>
      <c r="AM200">
        <f>IFERROR(ROUND(L200*(I200/$AU200)/VLOOKUP(H200,商品!$A$4:$C$60,3,FALSE),0),"")</f>
        <v>38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-3620</v>
      </c>
      <c r="AQ200">
        <f>IFERROR(ROUND(S200*(P200/$AV200)/VLOOKUP(O200,职业!$A$3:$E$16,4,FALSE),0),"")</f>
        <v>905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145</v>
      </c>
      <c r="AT200" t="str">
        <f>IFERROR(ROUND(X200*(W200/$AW200)/VLOOKUP(V200,商品!$A$4:$C$60,3,FALSE),0),"")</f>
        <v/>
      </c>
      <c r="AU200">
        <f t="shared" si="61"/>
        <v>17</v>
      </c>
      <c r="AV200">
        <f t="shared" si="62"/>
        <v>22</v>
      </c>
      <c r="AW200">
        <f t="shared" si="63"/>
        <v>1</v>
      </c>
    </row>
    <row r="201" spans="1:49" ht="20" customHeight="1" x14ac:dyDescent="0.3">
      <c r="A201" s="18" t="s">
        <v>325</v>
      </c>
      <c r="C201" s="18">
        <v>1</v>
      </c>
      <c r="D201" s="21" t="s">
        <v>292</v>
      </c>
      <c r="E201" s="21" t="s">
        <v>226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20" customHeight="1" x14ac:dyDescent="0.3">
      <c r="A202" s="18" t="s">
        <v>325</v>
      </c>
      <c r="C202" s="18">
        <v>2</v>
      </c>
      <c r="D202" s="21" t="s">
        <v>292</v>
      </c>
      <c r="E202" s="21" t="s">
        <v>226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20" customHeight="1" x14ac:dyDescent="0.3">
      <c r="A203" s="18" t="s">
        <v>325</v>
      </c>
      <c r="C203" s="18">
        <v>3</v>
      </c>
      <c r="D203" s="21" t="s">
        <v>292</v>
      </c>
      <c r="E203" s="21" t="s">
        <v>226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20" customHeight="1" x14ac:dyDescent="0.3">
      <c r="A204" s="18" t="s">
        <v>325</v>
      </c>
      <c r="C204" s="18">
        <v>4</v>
      </c>
      <c r="D204" s="21" t="s">
        <v>292</v>
      </c>
      <c r="E204" s="21" t="s">
        <v>226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20" customHeight="1" x14ac:dyDescent="0.3">
      <c r="A205" s="18" t="s">
        <v>325</v>
      </c>
      <c r="C205" s="18">
        <v>5</v>
      </c>
      <c r="D205" s="21" t="s">
        <v>292</v>
      </c>
      <c r="E205" s="21" t="s">
        <v>226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20" customHeight="1" x14ac:dyDescent="0.3">
      <c r="A206" s="18" t="s">
        <v>325</v>
      </c>
      <c r="C206" s="18">
        <v>6</v>
      </c>
      <c r="D206" s="21" t="s">
        <v>292</v>
      </c>
      <c r="E206" s="21" t="s">
        <v>226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20" customHeight="1" x14ac:dyDescent="0.3">
      <c r="A207" s="18" t="s">
        <v>325</v>
      </c>
      <c r="C207" s="18">
        <v>7</v>
      </c>
      <c r="D207" s="21" t="s">
        <v>292</v>
      </c>
      <c r="E207" s="21" t="s">
        <v>226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20" customHeight="1" x14ac:dyDescent="0.3">
      <c r="A208" s="18" t="s">
        <v>325</v>
      </c>
      <c r="C208" s="18">
        <v>8</v>
      </c>
      <c r="D208" s="21" t="s">
        <v>292</v>
      </c>
      <c r="E208" s="21" t="s">
        <v>226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20" customHeight="1" x14ac:dyDescent="0.3">
      <c r="A209" s="5" t="s">
        <v>327</v>
      </c>
      <c r="C209" s="5">
        <v>1</v>
      </c>
      <c r="D209" s="21" t="s">
        <v>222</v>
      </c>
      <c r="E209" s="21" t="s">
        <v>230</v>
      </c>
      <c r="F209" s="1" t="s">
        <v>114</v>
      </c>
      <c r="G209" s="1">
        <v>5</v>
      </c>
      <c r="L209" s="5">
        <f>IFERROR(VLOOKUP($D209&amp;$C209,生产方式定位!$A$2:$E$38,2,FALSE)+VLOOKUP($E209&amp;$C209,生产方式定位!$F$3:$J$38,2,FALSE),0)</f>
        <v>600</v>
      </c>
      <c r="M209" s="1" t="s">
        <v>208</v>
      </c>
      <c r="N209" s="1">
        <v>100</v>
      </c>
      <c r="S209" s="5">
        <f>IFERROR(VLOOKUP($D209&amp;$C209,生产方式定位!$A$2:$E$38,3,FALSE)+VLOOKUP($E209&amp;$C209,生产方式定位!$F$3:$J$38,3,FALSE),0)</f>
        <v>150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788</v>
      </c>
      <c r="Y209" s="24" t="str">
        <f t="shared" si="50"/>
        <v>木材*30</v>
      </c>
      <c r="Z209" s="34" t="str">
        <f t="shared" si="51"/>
        <v>劳工*6787</v>
      </c>
      <c r="AA209" s="34" t="str">
        <f t="shared" si="48"/>
        <v>魔偶*20</v>
      </c>
      <c r="AB209" s="25" t="str">
        <f t="shared" si="52"/>
        <v>31%</v>
      </c>
      <c r="AC209" s="1">
        <f t="shared" si="53"/>
        <v>38</v>
      </c>
      <c r="AD209" s="35">
        <f t="shared" si="49"/>
        <v>1</v>
      </c>
      <c r="AE209" t="str">
        <f t="shared" si="54"/>
        <v>木材*30</v>
      </c>
      <c r="AF209" t="str">
        <f t="shared" si="55"/>
        <v/>
      </c>
      <c r="AG209" t="str">
        <f t="shared" si="56"/>
        <v>劳工*6787</v>
      </c>
      <c r="AH209" t="str">
        <f t="shared" si="57"/>
        <v/>
      </c>
      <c r="AI209" t="str">
        <f t="shared" si="58"/>
        <v/>
      </c>
      <c r="AJ209" t="str">
        <f t="shared" si="59"/>
        <v>魔偶*20</v>
      </c>
      <c r="AK209" t="str">
        <f t="shared" si="60"/>
        <v/>
      </c>
      <c r="AL209">
        <f>IFERROR(ROUND(L209*(G209/$AU209)/VLOOKUP(F209,商品!$A$4:$C$60,3,FALSE),0),"")</f>
        <v>30</v>
      </c>
      <c r="AM209" t="str">
        <f>IFERROR(ROUND(L209*(I209/$AU209)/VLOOKUP(H209,商品!$A$4:$C$60,3,FALSE),0),"")</f>
        <v/>
      </c>
      <c r="AN209">
        <f>IFERROR(ROUND(L209*(J209/$AU209)/VLOOKUP("运力",商品!$A$4:$C$60,3,FALSE),0),0)</f>
        <v>0</v>
      </c>
      <c r="AO209">
        <f>IFERROR(ROUND(L209*(K209/$AU209)/VLOOKUP("运力",商品!$A$4:$C$60,3,FALSE),0),0)</f>
        <v>0</v>
      </c>
      <c r="AP209">
        <f>IFERROR(ROUND(S209*(N209/$AV209)/VLOOKUP(M209,职业!$A$3:$E$16,4,FALSE),0),"")</f>
        <v>6787</v>
      </c>
      <c r="AQ209" t="str">
        <f>IFERROR(ROUND(S209*(P209/$AV209)/VLOOKUP(O209,职业!$A$3:$E$16,4,FALSE),0),"")</f>
        <v/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20</v>
      </c>
      <c r="AT209" t="str">
        <f>IFERROR(ROUND(X209*(W209/$AW209)/VLOOKUP(V209,商品!$A$4:$C$60,3,FALSE),0),"")</f>
        <v/>
      </c>
      <c r="AU209">
        <f t="shared" si="61"/>
        <v>5</v>
      </c>
      <c r="AV209">
        <f t="shared" si="62"/>
        <v>100</v>
      </c>
      <c r="AW209">
        <f t="shared" si="63"/>
        <v>1</v>
      </c>
    </row>
    <row r="210" spans="1:49" ht="20" customHeight="1" x14ac:dyDescent="0.3">
      <c r="A210" s="5" t="s">
        <v>327</v>
      </c>
      <c r="C210" s="5">
        <v>2</v>
      </c>
      <c r="D210" s="21" t="s">
        <v>222</v>
      </c>
      <c r="E210" s="21" t="s">
        <v>230</v>
      </c>
      <c r="F210" s="1" t="s">
        <v>114</v>
      </c>
      <c r="G210" s="1">
        <v>5</v>
      </c>
      <c r="H210" s="1" t="s">
        <v>119</v>
      </c>
      <c r="I210" s="1">
        <v>5</v>
      </c>
      <c r="L210" s="5">
        <f>IFERROR(VLOOKUP($D210&amp;$C210,生产方式定位!$A$2:$E$38,2,FALSE)+VLOOKUP($E210&amp;$C210,生产方式定位!$F$3:$J$38,2,FALSE),0)</f>
        <v>1100</v>
      </c>
      <c r="M210" s="1" t="s">
        <v>208</v>
      </c>
      <c r="N210" s="1">
        <v>100</v>
      </c>
      <c r="O210" s="1" t="s">
        <v>201</v>
      </c>
      <c r="P210" s="1">
        <v>20</v>
      </c>
      <c r="S210" s="5">
        <f>IFERROR(VLOOKUP($D210&amp;$C210,生产方式定位!$A$2:$E$38,3,FALSE)+VLOOKUP($E210&amp;$C210,生产方式定位!$F$3:$J$38,3,FALSE),0)</f>
        <v>150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1291</v>
      </c>
      <c r="Y210" s="24" t="str">
        <f t="shared" si="50"/>
        <v>木材*28,铁*14</v>
      </c>
      <c r="Z210" s="34" t="str">
        <f t="shared" si="51"/>
        <v>劳工*5656,工程师*377</v>
      </c>
      <c r="AA210" s="34" t="str">
        <f t="shared" si="48"/>
        <v>魔偶*32</v>
      </c>
      <c r="AB210" s="25" t="str">
        <f t="shared" si="52"/>
        <v>17%</v>
      </c>
      <c r="AC210" s="1">
        <f t="shared" si="53"/>
        <v>41</v>
      </c>
      <c r="AD210" s="35">
        <f t="shared" si="49"/>
        <v>2</v>
      </c>
      <c r="AE210" t="str">
        <f t="shared" si="54"/>
        <v>木材*28</v>
      </c>
      <c r="AF210" t="str">
        <f t="shared" si="55"/>
        <v>铁*14</v>
      </c>
      <c r="AG210" t="str">
        <f t="shared" si="56"/>
        <v>劳工*5656</v>
      </c>
      <c r="AH210" t="str">
        <f t="shared" si="57"/>
        <v>工程师*377</v>
      </c>
      <c r="AI210" t="str">
        <f t="shared" si="58"/>
        <v/>
      </c>
      <c r="AJ210" t="str">
        <f t="shared" si="59"/>
        <v>魔偶*32</v>
      </c>
      <c r="AK210" t="str">
        <f t="shared" si="60"/>
        <v/>
      </c>
      <c r="AL210">
        <f>IFERROR(ROUND(L210*(G210/$AU210)/VLOOKUP(F210,商品!$A$4:$C$60,3,FALSE),0),"")</f>
        <v>28</v>
      </c>
      <c r="AM210">
        <f>IFERROR(ROUND(L210*(I210/$AU210)/VLOOKUP(H210,商品!$A$4:$C$60,3,FALSE),0),"")</f>
        <v>14</v>
      </c>
      <c r="AN210">
        <f>IFERROR(ROUND(L210*(J210/$AU210)/VLOOKUP("运力",商品!$A$4:$C$60,3,FALSE),0),0)</f>
        <v>0</v>
      </c>
      <c r="AO210">
        <f>IFERROR(ROUND(L210*(K210/$AU210)/VLOOKUP("运力",商品!$A$4:$C$60,3,FALSE),0),0)</f>
        <v>0</v>
      </c>
      <c r="AP210">
        <f>IFERROR(ROUND(S210*(N210/$AV210)/VLOOKUP(M210,职业!$A$3:$E$16,4,FALSE),0),"")</f>
        <v>5656</v>
      </c>
      <c r="AQ210">
        <f>IFERROR(ROUND(S210*(P210/$AV210)/VLOOKUP(O210,职业!$A$3:$E$16,4,FALSE),0),"")</f>
        <v>377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32</v>
      </c>
      <c r="AT210" t="str">
        <f>IFERROR(ROUND(X210*(W210/$AW210)/VLOOKUP(V210,商品!$A$4:$C$60,3,FALSE),0),"")</f>
        <v/>
      </c>
      <c r="AU210">
        <f t="shared" si="61"/>
        <v>10</v>
      </c>
      <c r="AV210">
        <f t="shared" si="62"/>
        <v>120</v>
      </c>
      <c r="AW210">
        <f t="shared" si="63"/>
        <v>1</v>
      </c>
    </row>
    <row r="211" spans="1:49" ht="20" customHeight="1" x14ac:dyDescent="0.3">
      <c r="A211" s="5" t="s">
        <v>327</v>
      </c>
      <c r="C211" s="5">
        <v>3</v>
      </c>
      <c r="D211" s="21" t="s">
        <v>222</v>
      </c>
      <c r="E211" s="21" t="s">
        <v>230</v>
      </c>
      <c r="F211" s="1" t="s">
        <v>119</v>
      </c>
      <c r="G211" s="1">
        <v>5</v>
      </c>
      <c r="L211" s="5">
        <f>IFERROR(VLOOKUP($D211&amp;$C211,生产方式定位!$A$2:$E$38,2,FALSE)+VLOOKUP($E211&amp;$C211,生产方式定位!$F$3:$J$38,2,FALSE),0)</f>
        <v>1300</v>
      </c>
      <c r="M211" s="1" t="s">
        <v>208</v>
      </c>
      <c r="N211" s="1">
        <v>100</v>
      </c>
      <c r="O211" s="1" t="s">
        <v>201</v>
      </c>
      <c r="P211" s="1">
        <v>40</v>
      </c>
      <c r="S211" s="5">
        <f>IFERROR(VLOOKUP($D211&amp;$C211,生产方式定位!$A$2:$E$38,3,FALSE)+VLOOKUP($E211&amp;$C211,生产方式定位!$F$3:$J$38,3,FALSE),0)</f>
        <v>145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1497</v>
      </c>
      <c r="Y211" s="24" t="str">
        <f t="shared" si="50"/>
        <v>铁*33</v>
      </c>
      <c r="Z211" s="34" t="str">
        <f t="shared" si="51"/>
        <v>劳工*4686,工程师*625</v>
      </c>
      <c r="AA211" s="34" t="str">
        <f t="shared" si="48"/>
        <v>魔偶*37</v>
      </c>
      <c r="AB211" s="25" t="str">
        <f t="shared" si="52"/>
        <v>15%</v>
      </c>
      <c r="AC211" s="1">
        <f t="shared" si="53"/>
        <v>52</v>
      </c>
      <c r="AD211" s="36">
        <f t="shared" si="49"/>
        <v>3</v>
      </c>
      <c r="AE211" t="str">
        <f t="shared" si="54"/>
        <v>铁*33</v>
      </c>
      <c r="AF211" t="str">
        <f t="shared" si="55"/>
        <v/>
      </c>
      <c r="AG211" t="str">
        <f t="shared" si="56"/>
        <v>劳工*4686</v>
      </c>
      <c r="AH211" t="str">
        <f t="shared" si="57"/>
        <v>工程师*625</v>
      </c>
      <c r="AI211" t="str">
        <f t="shared" si="58"/>
        <v/>
      </c>
      <c r="AJ211" t="str">
        <f t="shared" si="59"/>
        <v>魔偶*37</v>
      </c>
      <c r="AK211" t="str">
        <f t="shared" si="60"/>
        <v/>
      </c>
      <c r="AL211">
        <f>IFERROR(ROUND(L211*(G211/$AU211)/VLOOKUP(F211,商品!$A$4:$C$60,3,FALSE),0),"")</f>
        <v>33</v>
      </c>
      <c r="AM211" t="str">
        <f>IFERROR(ROUND(L211*(I211/$AU211)/VLOOKUP(H211,商品!$A$4:$C$60,3,FALSE),0),"")</f>
        <v/>
      </c>
      <c r="AN211">
        <f>IFERROR(ROUND(L211*(J211/$AU211)/VLOOKUP("运力",商品!$A$4:$C$60,3,FALSE),0),0)</f>
        <v>0</v>
      </c>
      <c r="AO211">
        <f>IFERROR(ROUND(L211*(K211/$AU211)/VLOOKUP("运力",商品!$A$4:$C$60,3,FALSE),0),0)</f>
        <v>0</v>
      </c>
      <c r="AP211">
        <f>IFERROR(ROUND(S211*(N211/$AV211)/VLOOKUP(M211,职业!$A$3:$E$16,4,FALSE),0),"")</f>
        <v>4686</v>
      </c>
      <c r="AQ211">
        <f>IFERROR(ROUND(S211*(P211/$AV211)/VLOOKUP(O211,职业!$A$3:$E$16,4,FALSE),0),"")</f>
        <v>625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37</v>
      </c>
      <c r="AT211" t="str">
        <f>IFERROR(ROUND(X211*(W211/$AW211)/VLOOKUP(V211,商品!$A$4:$C$60,3,FALSE),0),"")</f>
        <v/>
      </c>
      <c r="AU211">
        <f t="shared" si="61"/>
        <v>5</v>
      </c>
      <c r="AV211">
        <f t="shared" si="62"/>
        <v>140</v>
      </c>
      <c r="AW211">
        <f t="shared" si="63"/>
        <v>1</v>
      </c>
    </row>
    <row r="212" spans="1:49" ht="20" customHeight="1" x14ac:dyDescent="0.3">
      <c r="A212" s="5" t="s">
        <v>327</v>
      </c>
      <c r="C212" s="5">
        <v>4</v>
      </c>
      <c r="D212" s="21" t="s">
        <v>222</v>
      </c>
      <c r="E212" s="21" t="s">
        <v>230</v>
      </c>
      <c r="F212" s="1" t="s">
        <v>144</v>
      </c>
      <c r="G212" s="1">
        <v>5</v>
      </c>
      <c r="L212" s="5">
        <f>IFERROR(VLOOKUP($D212&amp;$C212,生产方式定位!$A$2:$E$38,2,FALSE)+VLOOKUP($E212&amp;$C212,生产方式定位!$F$3:$J$38,2,FALSE),0)</f>
        <v>1500</v>
      </c>
      <c r="M212" s="1" t="s">
        <v>208</v>
      </c>
      <c r="N212" s="1">
        <v>100</v>
      </c>
      <c r="O212" s="1" t="s">
        <v>201</v>
      </c>
      <c r="P212" s="1">
        <v>55</v>
      </c>
      <c r="S212" s="5">
        <f>IFERROR(VLOOKUP($D212&amp;$C212,生产方式定位!$A$2:$E$38,3,FALSE)+VLOOKUP($E212&amp;$C212,生产方式定位!$F$3:$J$38,3,FALSE),0)</f>
        <v>140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1702</v>
      </c>
      <c r="Y212" s="24" t="str">
        <f t="shared" si="50"/>
        <v>钢铁*25</v>
      </c>
      <c r="Z212" s="34" t="str">
        <f t="shared" si="51"/>
        <v>劳工*4087,工程师*749</v>
      </c>
      <c r="AA212" s="34" t="str">
        <f t="shared" si="48"/>
        <v>魔偶*43</v>
      </c>
      <c r="AB212" s="25" t="str">
        <f t="shared" si="52"/>
        <v>13%</v>
      </c>
      <c r="AC212" s="1">
        <f t="shared" si="53"/>
        <v>62</v>
      </c>
      <c r="AD212" s="36">
        <f t="shared" si="49"/>
        <v>4</v>
      </c>
      <c r="AE212" t="str">
        <f t="shared" si="54"/>
        <v>钢铁*25</v>
      </c>
      <c r="AF212" t="str">
        <f t="shared" si="55"/>
        <v/>
      </c>
      <c r="AG212" t="str">
        <f t="shared" si="56"/>
        <v>劳工*4087</v>
      </c>
      <c r="AH212" t="str">
        <f t="shared" si="57"/>
        <v>工程师*749</v>
      </c>
      <c r="AI212" t="str">
        <f t="shared" si="58"/>
        <v/>
      </c>
      <c r="AJ212" t="str">
        <f t="shared" si="59"/>
        <v>魔偶*43</v>
      </c>
      <c r="AK212" t="str">
        <f t="shared" si="60"/>
        <v/>
      </c>
      <c r="AL212">
        <f>IFERROR(ROUND(L212*(G212/$AU212)/VLOOKUP(F212,商品!$A$4:$C$60,3,FALSE),0),"")</f>
        <v>25</v>
      </c>
      <c r="AM212" t="str">
        <f>IFERROR(ROUND(L212*(I212/$AU212)/VLOOKUP(H212,商品!$A$4:$C$60,3,FALSE),0),"")</f>
        <v/>
      </c>
      <c r="AN212">
        <f>IFERROR(ROUND(L212*(J212/$AU212)/VLOOKUP("运力",商品!$A$4:$C$60,3,FALSE),0),0)</f>
        <v>0</v>
      </c>
      <c r="AO212">
        <f>IFERROR(ROUND(L212*(K212/$AU212)/VLOOKUP("运力",商品!$A$4:$C$60,3,FALSE),0),0)</f>
        <v>0</v>
      </c>
      <c r="AP212">
        <f>IFERROR(ROUND(S212*(N212/$AV212)/VLOOKUP(M212,职业!$A$3:$E$16,4,FALSE),0),"")</f>
        <v>4087</v>
      </c>
      <c r="AQ212">
        <f>IFERROR(ROUND(S212*(P212/$AV212)/VLOOKUP(O212,职业!$A$3:$E$16,4,FALSE),0),"")</f>
        <v>749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43</v>
      </c>
      <c r="AT212" t="str">
        <f>IFERROR(ROUND(X212*(W212/$AW212)/VLOOKUP(V212,商品!$A$4:$C$60,3,FALSE),0),"")</f>
        <v/>
      </c>
      <c r="AU212">
        <f t="shared" si="61"/>
        <v>5</v>
      </c>
      <c r="AV212">
        <f t="shared" si="62"/>
        <v>155</v>
      </c>
      <c r="AW212">
        <f t="shared" si="63"/>
        <v>1</v>
      </c>
    </row>
    <row r="213" spans="1:49" ht="20" customHeight="1" x14ac:dyDescent="0.3">
      <c r="A213" s="5" t="s">
        <v>327</v>
      </c>
      <c r="C213" s="5">
        <v>5</v>
      </c>
      <c r="D213" s="21" t="s">
        <v>222</v>
      </c>
      <c r="E213" s="21" t="s">
        <v>230</v>
      </c>
      <c r="F213" s="1" t="s">
        <v>144</v>
      </c>
      <c r="G213" s="1">
        <v>5</v>
      </c>
      <c r="L213" s="5">
        <f>IFERROR(VLOOKUP($D213&amp;$C213,生产方式定位!$A$2:$E$38,2,FALSE)+VLOOKUP($E213&amp;$C213,生产方式定位!$F$3:$J$38,2,FALSE),0)</f>
        <v>1700</v>
      </c>
      <c r="M213" s="1" t="s">
        <v>208</v>
      </c>
      <c r="N213" s="1">
        <v>100</v>
      </c>
      <c r="O213" s="1" t="s">
        <v>201</v>
      </c>
      <c r="P213" s="1">
        <v>65</v>
      </c>
      <c r="S213" s="5">
        <f>IFERROR(VLOOKUP($D213&amp;$C213,生产方式定位!$A$2:$E$38,3,FALSE)+VLOOKUP($E213&amp;$C213,生产方式定位!$F$3:$J$38,3,FALSE),0)</f>
        <v>135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1908</v>
      </c>
      <c r="Y213" s="24" t="str">
        <f t="shared" si="50"/>
        <v>钢铁*28</v>
      </c>
      <c r="Z213" s="34" t="str">
        <f t="shared" si="51"/>
        <v>劳工*3702,工程师*802</v>
      </c>
      <c r="AA213" s="34" t="str">
        <f t="shared" si="48"/>
        <v>魔偶*48</v>
      </c>
      <c r="AB213" s="25" t="str">
        <f t="shared" si="52"/>
        <v>12%</v>
      </c>
      <c r="AC213" s="1">
        <f t="shared" si="53"/>
        <v>73</v>
      </c>
      <c r="AD213" s="36">
        <f t="shared" si="49"/>
        <v>5</v>
      </c>
      <c r="AE213" t="str">
        <f t="shared" si="54"/>
        <v>钢铁*28</v>
      </c>
      <c r="AF213" t="str">
        <f t="shared" si="55"/>
        <v/>
      </c>
      <c r="AG213" t="str">
        <f t="shared" si="56"/>
        <v>劳工*3702</v>
      </c>
      <c r="AH213" t="str">
        <f t="shared" si="57"/>
        <v>工程师*802</v>
      </c>
      <c r="AI213" t="str">
        <f t="shared" si="58"/>
        <v/>
      </c>
      <c r="AJ213" t="str">
        <f t="shared" si="59"/>
        <v>魔偶*48</v>
      </c>
      <c r="AK213" t="str">
        <f t="shared" si="60"/>
        <v/>
      </c>
      <c r="AL213">
        <f>IFERROR(ROUND(L213*(G213/$AU213)/VLOOKUP(F213,商品!$A$4:$C$60,3,FALSE),0),"")</f>
        <v>28</v>
      </c>
      <c r="AM213" t="str">
        <f>IFERROR(ROUND(L213*(I213/$AU213)/VLOOKUP(H213,商品!$A$4:$C$60,3,FALSE),0),"")</f>
        <v/>
      </c>
      <c r="AN213">
        <f>IFERROR(ROUND(L213*(J213/$AU213)/VLOOKUP("运力",商品!$A$4:$C$60,3,FALSE),0),0)</f>
        <v>0</v>
      </c>
      <c r="AO213">
        <f>IFERROR(ROUND(L213*(K213/$AU213)/VLOOKUP("运力",商品!$A$4:$C$60,3,FALSE),0),0)</f>
        <v>0</v>
      </c>
      <c r="AP213">
        <f>IFERROR(ROUND(S213*(N213/$AV213)/VLOOKUP(M213,职业!$A$3:$E$16,4,FALSE),0),"")</f>
        <v>3702</v>
      </c>
      <c r="AQ213">
        <f>IFERROR(ROUND(S213*(P213/$AV213)/VLOOKUP(O213,职业!$A$3:$E$16,4,FALSE),0),"")</f>
        <v>802</v>
      </c>
      <c r="AR213" t="str">
        <f>IFERROR(ROUND(S213*(R213/$AV213)/VLOOKUP(Q213,职业!$A$3:$E$16,4,FALSE),0),"")</f>
        <v/>
      </c>
      <c r="AS213">
        <f>IFERROR(ROUND(X213*(U213/$AW213)/VLOOKUP(T213,商品!$A$4:$C$60,3,FALSE),0),"")</f>
        <v>48</v>
      </c>
      <c r="AT213" t="str">
        <f>IFERROR(ROUND(X213*(W213/$AW213)/VLOOKUP(V213,商品!$A$4:$C$60,3,FALSE),0),"")</f>
        <v/>
      </c>
      <c r="AU213">
        <f t="shared" si="61"/>
        <v>5</v>
      </c>
      <c r="AV213">
        <f t="shared" si="62"/>
        <v>165</v>
      </c>
      <c r="AW213">
        <f t="shared" si="63"/>
        <v>1</v>
      </c>
    </row>
    <row r="214" spans="1:49" ht="20" customHeight="1" x14ac:dyDescent="0.3">
      <c r="A214" s="18" t="s">
        <v>328</v>
      </c>
      <c r="C214" s="18">
        <v>1</v>
      </c>
      <c r="D214" s="21" t="s">
        <v>249</v>
      </c>
      <c r="E214" s="21" t="s">
        <v>225</v>
      </c>
      <c r="L214" s="18">
        <f>IFERROR(VLOOKUP($D214&amp;$C214,生产方式定位!$A$2:$E$38,2,FALSE)+VLOOKUP($E214&amp;$C214,生产方式定位!$F$3:$J$38,2,FALSE),0)</f>
        <v>2000</v>
      </c>
      <c r="S214" s="18">
        <f>IFERROR(VLOOKUP($D214&amp;$C214,生产方式定位!$A$2:$E$38,3,FALSE)+VLOOKUP($E214&amp;$C214,生产方式定位!$F$3:$J$38,3,FALSE),0)</f>
        <v>100</v>
      </c>
      <c r="X214" s="18">
        <f>IFERROR(VLOOKUP($D214&amp;$C214,生产方式定位!$A$2:$E$38,5,FALSE)+VLOOKUP($E214&amp;$C214,生产方式定位!$F$3:$J$38,5,FALSE),"错误")</f>
        <v>2310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>16%</v>
      </c>
      <c r="AC214" s="1">
        <f t="shared" si="53"/>
        <v>210</v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20" customHeight="1" x14ac:dyDescent="0.3">
      <c r="A215" s="18" t="s">
        <v>328</v>
      </c>
      <c r="C215" s="18">
        <v>2</v>
      </c>
      <c r="D215" s="21" t="s">
        <v>249</v>
      </c>
      <c r="E215" s="21" t="s">
        <v>225</v>
      </c>
      <c r="F215" s="1" t="s">
        <v>146</v>
      </c>
      <c r="G215" s="1">
        <v>10</v>
      </c>
      <c r="H215" s="1" t="s">
        <v>122</v>
      </c>
      <c r="I215" s="1">
        <v>10</v>
      </c>
      <c r="L215" s="18">
        <f>IFERROR(VLOOKUP($D215&amp;$C215,生产方式定位!$A$2:$E$38,2,FALSE)+VLOOKUP($E215&amp;$C215,生产方式定位!$F$3:$J$38,2,FALSE),0)</f>
        <v>3150</v>
      </c>
      <c r="M215" s="1" t="s">
        <v>208</v>
      </c>
      <c r="N215" s="1">
        <v>-5</v>
      </c>
      <c r="O215" s="1" t="s">
        <v>201</v>
      </c>
      <c r="P215" s="1">
        <v>5</v>
      </c>
      <c r="S215" s="18">
        <f>IFERROR(VLOOKUP($D215&amp;$C215,生产方式定位!$A$2:$E$38,3,FALSE)+VLOOKUP($E215&amp;$C215,生产方式定位!$F$3:$J$38,3,FALSE),0)</f>
        <v>130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3371</v>
      </c>
      <c r="Y215" s="24" t="str">
        <f t="shared" si="50"/>
        <v>工具*39,煤*53</v>
      </c>
      <c r="Z215" s="34" t="str">
        <f t="shared" si="51"/>
        <v>劳工*-2941,工程师*980</v>
      </c>
      <c r="AA215" s="34" t="str">
        <f t="shared" si="48"/>
        <v>魔偶*84</v>
      </c>
      <c r="AB215" s="25" t="str">
        <f t="shared" si="52"/>
        <v>7%</v>
      </c>
      <c r="AC215" s="1">
        <f t="shared" si="53"/>
        <v>91</v>
      </c>
      <c r="AD215" s="36">
        <f t="shared" si="49"/>
        <v>2</v>
      </c>
      <c r="AE215" t="str">
        <f t="shared" si="54"/>
        <v>工具*39</v>
      </c>
      <c r="AF215" t="str">
        <f t="shared" si="55"/>
        <v>煤*53</v>
      </c>
      <c r="AG215" t="str">
        <f t="shared" si="56"/>
        <v>劳工*-2941</v>
      </c>
      <c r="AH215" t="str">
        <f t="shared" si="57"/>
        <v>工程师*980</v>
      </c>
      <c r="AI215" t="str">
        <f t="shared" si="58"/>
        <v/>
      </c>
      <c r="AJ215" t="str">
        <f t="shared" si="59"/>
        <v>魔偶*84</v>
      </c>
      <c r="AK215" t="str">
        <f t="shared" si="60"/>
        <v/>
      </c>
      <c r="AL215">
        <f>IFERROR(ROUND(L215*(G215/$AU215)/VLOOKUP(F215,商品!$A$4:$C$60,3,FALSE),0),"")</f>
        <v>39</v>
      </c>
      <c r="AM215">
        <f>IFERROR(ROUND(L215*(I215/$AU215)/VLOOKUP(H215,商品!$A$4:$C$60,3,FALSE),0),"")</f>
        <v>53</v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-2941</v>
      </c>
      <c r="AQ215">
        <f>IFERROR(ROUND(S215*(P215/$AV215)/VLOOKUP(O215,职业!$A$3:$E$16,4,FALSE),0),"")</f>
        <v>980</v>
      </c>
      <c r="AR215" t="str">
        <f>IFERROR(ROUND(S215*(R215/$AV215)/VLOOKUP(Q215,职业!$A$3:$E$16,4,FALSE),0),"")</f>
        <v/>
      </c>
      <c r="AS215">
        <f>IFERROR(ROUND(X215*(U215/$AW215)/VLOOKUP(T215,商品!$A$4:$C$60,3,FALSE),0),"")</f>
        <v>84</v>
      </c>
      <c r="AT215" t="str">
        <f>IFERROR(ROUND(X215*(W215/$AW215)/VLOOKUP(V215,商品!$A$4:$C$60,3,FALSE),0),"")</f>
        <v/>
      </c>
      <c r="AU215">
        <f t="shared" si="61"/>
        <v>20</v>
      </c>
      <c r="AV215">
        <f t="shared" si="62"/>
        <v>10</v>
      </c>
      <c r="AW215">
        <f t="shared" si="63"/>
        <v>1</v>
      </c>
    </row>
    <row r="216" spans="1:49" ht="20" customHeight="1" x14ac:dyDescent="0.3">
      <c r="A216" s="18" t="s">
        <v>328</v>
      </c>
      <c r="C216" s="18">
        <v>3</v>
      </c>
      <c r="D216" s="21" t="s">
        <v>249</v>
      </c>
      <c r="E216" s="21" t="s">
        <v>225</v>
      </c>
      <c r="F216" s="1" t="s">
        <v>124</v>
      </c>
      <c r="G216" s="1">
        <v>10</v>
      </c>
      <c r="L216" s="18">
        <f>IFERROR(VLOOKUP($D216&amp;$C216,生产方式定位!$A$2:$E$38,2,FALSE)+VLOOKUP($E216&amp;$C216,生产方式定位!$F$3:$J$38,2,FALSE),0)</f>
        <v>3800</v>
      </c>
      <c r="M216" s="1" t="s">
        <v>208</v>
      </c>
      <c r="N216" s="1">
        <v>-7</v>
      </c>
      <c r="O216" s="1" t="s">
        <v>201</v>
      </c>
      <c r="P216" s="1">
        <v>7</v>
      </c>
      <c r="S216" s="18">
        <f>IFERROR(VLOOKUP($D216&amp;$C216,生产方式定位!$A$2:$E$38,3,FALSE)+VLOOKUP($E216&amp;$C216,生产方式定位!$F$3:$J$38,3,FALSE),0)</f>
        <v>140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4069</v>
      </c>
      <c r="Y216" s="24" t="str">
        <f t="shared" si="50"/>
        <v>磁魔素*76</v>
      </c>
      <c r="Z216" s="34" t="str">
        <f t="shared" si="51"/>
        <v>劳工*-3167,工程师*1056</v>
      </c>
      <c r="AA216" s="34" t="str">
        <f t="shared" si="48"/>
        <v>魔偶*102</v>
      </c>
      <c r="AB216" s="25" t="str">
        <f t="shared" si="52"/>
        <v>7%</v>
      </c>
      <c r="AC216" s="1">
        <f t="shared" si="53"/>
        <v>129</v>
      </c>
      <c r="AD216" s="36">
        <f t="shared" si="49"/>
        <v>3</v>
      </c>
      <c r="AE216" t="str">
        <f t="shared" si="54"/>
        <v>磁魔素*76</v>
      </c>
      <c r="AF216" t="str">
        <f t="shared" si="55"/>
        <v/>
      </c>
      <c r="AG216" t="str">
        <f t="shared" si="56"/>
        <v>劳工*-3167</v>
      </c>
      <c r="AH216" t="str">
        <f t="shared" si="57"/>
        <v>工程师*1056</v>
      </c>
      <c r="AI216" t="str">
        <f t="shared" si="58"/>
        <v/>
      </c>
      <c r="AJ216" t="str">
        <f t="shared" si="59"/>
        <v>魔偶*102</v>
      </c>
      <c r="AK216" t="str">
        <f t="shared" si="60"/>
        <v/>
      </c>
      <c r="AL216">
        <f>IFERROR(ROUND(L216*(G216/$AU216)/VLOOKUP(F216,商品!$A$4:$C$60,3,FALSE),0),"")</f>
        <v>76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-3167</v>
      </c>
      <c r="AQ216">
        <f>IFERROR(ROUND(S216*(P216/$AV216)/VLOOKUP(O216,职业!$A$3:$E$16,4,FALSE),0),"")</f>
        <v>1056</v>
      </c>
      <c r="AR216" t="str">
        <f>IFERROR(ROUND(S216*(R216/$AV216)/VLOOKUP(Q216,职业!$A$3:$E$16,4,FALSE),0),"")</f>
        <v/>
      </c>
      <c r="AS216">
        <f>IFERROR(ROUND(X216*(U216/$AW216)/VLOOKUP(T216,商品!$A$4:$C$60,3,FALSE),0),"")</f>
        <v>102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14</v>
      </c>
      <c r="AW216">
        <f t="shared" si="63"/>
        <v>1</v>
      </c>
    </row>
    <row r="217" spans="1:49" ht="20" customHeight="1" x14ac:dyDescent="0.3">
      <c r="A217" s="18" t="s">
        <v>328</v>
      </c>
      <c r="C217" s="18">
        <v>4</v>
      </c>
      <c r="D217" s="21" t="s">
        <v>249</v>
      </c>
      <c r="E217" s="21" t="s">
        <v>225</v>
      </c>
      <c r="F217" s="1" t="s">
        <v>150</v>
      </c>
      <c r="G217" s="1">
        <v>10</v>
      </c>
      <c r="L217" s="18">
        <f>IFERROR(VLOOKUP($D217&amp;$C217,生产方式定位!$A$2:$E$38,2,FALSE)+VLOOKUP($E217&amp;$C217,生产方式定位!$F$3:$J$38,2,FALSE),0)</f>
        <v>4450</v>
      </c>
      <c r="M217" s="1" t="s">
        <v>208</v>
      </c>
      <c r="N217" s="1">
        <v>-9</v>
      </c>
      <c r="O217" s="1" t="s">
        <v>201</v>
      </c>
      <c r="P217" s="1">
        <v>9</v>
      </c>
      <c r="S217" s="18">
        <f>IFERROR(VLOOKUP($D217&amp;$C217,生产方式定位!$A$2:$E$38,3,FALSE)+VLOOKUP($E217&amp;$C217,生产方式定位!$F$3:$J$38,3,FALSE),0)</f>
        <v>150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4794</v>
      </c>
      <c r="Y217" s="24" t="str">
        <f t="shared" si="50"/>
        <v>科学引擎*56</v>
      </c>
      <c r="Z217" s="34" t="str">
        <f t="shared" si="51"/>
        <v>劳工*-3394,工程师*1131</v>
      </c>
      <c r="AA217" s="34" t="str">
        <f t="shared" si="48"/>
        <v>魔偶*120</v>
      </c>
      <c r="AB217" s="25" t="str">
        <f t="shared" si="52"/>
        <v>8%</v>
      </c>
      <c r="AC217" s="1">
        <f t="shared" si="53"/>
        <v>194</v>
      </c>
      <c r="AD217" s="36">
        <f t="shared" si="49"/>
        <v>4</v>
      </c>
      <c r="AE217" t="str">
        <f t="shared" si="54"/>
        <v>科学引擎*56</v>
      </c>
      <c r="AF217" t="str">
        <f t="shared" si="55"/>
        <v/>
      </c>
      <c r="AG217" t="str">
        <f t="shared" si="56"/>
        <v>劳工*-3394</v>
      </c>
      <c r="AH217" t="str">
        <f t="shared" si="57"/>
        <v>工程师*1131</v>
      </c>
      <c r="AI217" t="str">
        <f t="shared" si="58"/>
        <v/>
      </c>
      <c r="AJ217" t="str">
        <f t="shared" si="59"/>
        <v>魔偶*120</v>
      </c>
      <c r="AK217" t="str">
        <f t="shared" si="60"/>
        <v/>
      </c>
      <c r="AL217">
        <f>IFERROR(ROUND(L217*(G217/$AU217)/VLOOKUP(F217,商品!$A$4:$C$60,3,FALSE),0),"")</f>
        <v>56</v>
      </c>
      <c r="AM217" t="str">
        <f>IFERROR(ROUND(L217*(I217/$AU217)/VLOOKUP(H217,商品!$A$4:$C$60,3,FALSE),0),"")</f>
        <v/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-3394</v>
      </c>
      <c r="AQ217">
        <f>IFERROR(ROUND(S217*(P217/$AV217)/VLOOKUP(O217,职业!$A$3:$E$16,4,FALSE),0),"")</f>
        <v>1131</v>
      </c>
      <c r="AR217" t="str">
        <f>IFERROR(ROUND(S217*(R217/$AV217)/VLOOKUP(Q217,职业!$A$3:$E$16,4,FALSE),0),"")</f>
        <v/>
      </c>
      <c r="AS217">
        <f>IFERROR(ROUND(X217*(U217/$AW217)/VLOOKUP(T217,商品!$A$4:$C$60,3,FALSE),0),"")</f>
        <v>120</v>
      </c>
      <c r="AT217" t="str">
        <f>IFERROR(ROUND(X217*(W217/$AW217)/VLOOKUP(V217,商品!$A$4:$C$60,3,FALSE),0),"")</f>
        <v/>
      </c>
      <c r="AU217">
        <f t="shared" si="61"/>
        <v>10</v>
      </c>
      <c r="AV217">
        <f t="shared" si="62"/>
        <v>18</v>
      </c>
      <c r="AW217">
        <f t="shared" si="63"/>
        <v>1</v>
      </c>
    </row>
    <row r="218" spans="1:49" ht="20" customHeight="1" x14ac:dyDescent="0.3">
      <c r="A218" s="18" t="s">
        <v>328</v>
      </c>
      <c r="C218" s="18">
        <v>5</v>
      </c>
      <c r="D218" s="21" t="s">
        <v>249</v>
      </c>
      <c r="E218" s="21" t="s">
        <v>225</v>
      </c>
      <c r="F218" s="1" t="s">
        <v>150</v>
      </c>
      <c r="G218" s="1">
        <v>10</v>
      </c>
      <c r="H218" s="1" t="s">
        <v>151</v>
      </c>
      <c r="I218" s="1">
        <v>7</v>
      </c>
      <c r="L218" s="18">
        <f>IFERROR(VLOOKUP($D218&amp;$C218,生产方式定位!$A$2:$E$38,2,FALSE)+VLOOKUP($E218&amp;$C218,生产方式定位!$F$3:$J$38,2,FALSE),0)</f>
        <v>5100</v>
      </c>
      <c r="M218" s="1" t="s">
        <v>208</v>
      </c>
      <c r="N218" s="1">
        <v>-11</v>
      </c>
      <c r="O218" s="1" t="s">
        <v>201</v>
      </c>
      <c r="P218" s="1">
        <v>11</v>
      </c>
      <c r="S218" s="18">
        <f>IFERROR(VLOOKUP($D218&amp;$C218,生产方式定位!$A$2:$E$38,3,FALSE)+VLOOKUP($E218&amp;$C218,生产方式定位!$F$3:$J$38,3,FALSE),0)</f>
        <v>160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5786</v>
      </c>
      <c r="Y218" s="24" t="str">
        <f t="shared" si="50"/>
        <v>科学引擎*38,魔导引擎*26</v>
      </c>
      <c r="Z218" s="34" t="str">
        <f t="shared" si="51"/>
        <v>劳工*-3620,工程师*1207</v>
      </c>
      <c r="AA218" s="34" t="str">
        <f t="shared" si="48"/>
        <v>魔偶*145</v>
      </c>
      <c r="AB218" s="25" t="str">
        <f t="shared" si="52"/>
        <v>13%</v>
      </c>
      <c r="AC218" s="1">
        <f t="shared" si="53"/>
        <v>526</v>
      </c>
      <c r="AD218" s="36">
        <f t="shared" si="49"/>
        <v>5</v>
      </c>
      <c r="AE218" t="str">
        <f t="shared" si="54"/>
        <v>科学引擎*38</v>
      </c>
      <c r="AF218" t="str">
        <f t="shared" si="55"/>
        <v>魔导引擎*26</v>
      </c>
      <c r="AG218" t="str">
        <f t="shared" si="56"/>
        <v>劳工*-3620</v>
      </c>
      <c r="AH218" t="str">
        <f t="shared" si="57"/>
        <v>工程师*1207</v>
      </c>
      <c r="AI218" t="str">
        <f t="shared" si="58"/>
        <v/>
      </c>
      <c r="AJ218" t="str">
        <f t="shared" si="59"/>
        <v>魔偶*145</v>
      </c>
      <c r="AK218" t="str">
        <f t="shared" si="60"/>
        <v/>
      </c>
      <c r="AL218">
        <f>IFERROR(ROUND(L218*(G218/$AU218)/VLOOKUP(F218,商品!$A$4:$C$60,3,FALSE),0),"")</f>
        <v>38</v>
      </c>
      <c r="AM218">
        <f>IFERROR(ROUND(L218*(I218/$AU218)/VLOOKUP(H218,商品!$A$4:$C$60,3,FALSE),0),"")</f>
        <v>26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-3620</v>
      </c>
      <c r="AQ218">
        <f>IFERROR(ROUND(S218*(P218/$AV218)/VLOOKUP(O218,职业!$A$3:$E$16,4,FALSE),0),"")</f>
        <v>1207</v>
      </c>
      <c r="AR218" t="str">
        <f>IFERROR(ROUND(S218*(R218/$AV218)/VLOOKUP(Q218,职业!$A$3:$E$16,4,FALSE),0),"")</f>
        <v/>
      </c>
      <c r="AS218">
        <f>IFERROR(ROUND(X218*(U218/$AW218)/VLOOKUP(T218,商品!$A$4:$C$60,3,FALSE),0),"")</f>
        <v>145</v>
      </c>
      <c r="AT218" t="str">
        <f>IFERROR(ROUND(X218*(W218/$AW218)/VLOOKUP(V218,商品!$A$4:$C$60,3,FALSE),0),"")</f>
        <v/>
      </c>
      <c r="AU218">
        <f t="shared" si="61"/>
        <v>17</v>
      </c>
      <c r="AV218">
        <f t="shared" si="62"/>
        <v>22</v>
      </c>
      <c r="AW218">
        <f t="shared" si="63"/>
        <v>1</v>
      </c>
    </row>
    <row r="219" spans="1:49" ht="20" customHeight="1" x14ac:dyDescent="0.3">
      <c r="A219" s="5" t="s">
        <v>328</v>
      </c>
      <c r="C219" s="5">
        <v>1</v>
      </c>
      <c r="D219" s="21" t="s">
        <v>249</v>
      </c>
      <c r="E219" s="21" t="s">
        <v>225</v>
      </c>
      <c r="L219" s="5">
        <f>IFERROR(VLOOKUP($D219&amp;$C219,生产方式定位!$A$2:$E$38,2,FALSE)+VLOOKUP($E219&amp;$C219,生产方式定位!$F$3:$J$38,2,FALSE),0)</f>
        <v>2000</v>
      </c>
      <c r="S219" s="5">
        <f>IFERROR(VLOOKUP($D219&amp;$C219,生产方式定位!$A$2:$E$38,3,FALSE)+VLOOKUP($E219&amp;$C219,生产方式定位!$F$3:$J$38,3,FALSE),0)</f>
        <v>100</v>
      </c>
      <c r="X219" s="5">
        <f>IFERROR(VLOOKUP($D219&amp;$C219,生产方式定位!$A$2:$E$38,5,FALSE)+VLOOKUP($E219&amp;$C219,生产方式定位!$F$3:$J$38,5,FALSE),"错误")</f>
        <v>2310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>16%</v>
      </c>
      <c r="AC219" s="1">
        <f t="shared" si="53"/>
        <v>210</v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20" customHeight="1" x14ac:dyDescent="0.3">
      <c r="A220" s="5" t="s">
        <v>328</v>
      </c>
      <c r="C220" s="5">
        <v>2</v>
      </c>
      <c r="D220" s="21" t="s">
        <v>249</v>
      </c>
      <c r="E220" s="21" t="s">
        <v>225</v>
      </c>
      <c r="F220" s="1" t="s">
        <v>147</v>
      </c>
      <c r="G220" s="1">
        <v>10</v>
      </c>
      <c r="H220" s="1" t="s">
        <v>122</v>
      </c>
      <c r="I220" s="1">
        <v>10</v>
      </c>
      <c r="L220" s="5">
        <f>IFERROR(VLOOKUP($D220&amp;$C220,生产方式定位!$A$2:$E$38,2,FALSE)+VLOOKUP($E220&amp;$C220,生产方式定位!$F$3:$J$38,2,FALSE),0)</f>
        <v>3150</v>
      </c>
      <c r="M220" s="1" t="s">
        <v>208</v>
      </c>
      <c r="N220" s="1">
        <v>-5</v>
      </c>
      <c r="O220" s="1" t="s">
        <v>202</v>
      </c>
      <c r="P220" s="1">
        <v>5</v>
      </c>
      <c r="S220" s="5">
        <f>IFERROR(VLOOKUP($D220&amp;$C220,生产方式定位!$A$2:$E$38,3,FALSE)+VLOOKUP($E220&amp;$C220,生产方式定位!$F$3:$J$38,3,FALSE),0)</f>
        <v>130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3371</v>
      </c>
      <c r="Y220" s="24" t="str">
        <f t="shared" si="50"/>
        <v>魔偶*39,煤*53</v>
      </c>
      <c r="Z220" s="34" t="str">
        <f t="shared" si="51"/>
        <v>劳工*-2941,法士*735</v>
      </c>
      <c r="AA220" s="34" t="str">
        <f t="shared" si="48"/>
        <v>魔偶*84</v>
      </c>
      <c r="AB220" s="25" t="str">
        <f t="shared" si="52"/>
        <v>7%</v>
      </c>
      <c r="AC220" s="1">
        <f t="shared" si="53"/>
        <v>91</v>
      </c>
      <c r="AD220" s="35">
        <f t="shared" si="49"/>
        <v>2</v>
      </c>
      <c r="AE220" t="str">
        <f t="shared" si="54"/>
        <v>魔偶*39</v>
      </c>
      <c r="AF220" t="str">
        <f t="shared" si="55"/>
        <v>煤*53</v>
      </c>
      <c r="AG220" t="str">
        <f t="shared" si="56"/>
        <v>劳工*-2941</v>
      </c>
      <c r="AH220" t="str">
        <f t="shared" si="57"/>
        <v>法士*735</v>
      </c>
      <c r="AI220" t="str">
        <f t="shared" si="58"/>
        <v/>
      </c>
      <c r="AJ220" t="str">
        <f t="shared" si="59"/>
        <v>魔偶*84</v>
      </c>
      <c r="AK220" t="str">
        <f t="shared" si="60"/>
        <v/>
      </c>
      <c r="AL220">
        <f>IFERROR(ROUND(L220*(G220/$AU220)/VLOOKUP(F220,商品!$A$4:$C$60,3,FALSE),0),"")</f>
        <v>39</v>
      </c>
      <c r="AM220">
        <f>IFERROR(ROUND(L220*(I220/$AU220)/VLOOKUP(H220,商品!$A$4:$C$60,3,FALSE),0),"")</f>
        <v>53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-2941</v>
      </c>
      <c r="AQ220">
        <f>IFERROR(ROUND(S220*(P220/$AV220)/VLOOKUP(O220,职业!$A$3:$E$16,4,FALSE),0),"")</f>
        <v>735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84</v>
      </c>
      <c r="AT220" t="str">
        <f>IFERROR(ROUND(X220*(W220/$AW220)/VLOOKUP(V220,商品!$A$4:$C$60,3,FALSE),0),"")</f>
        <v/>
      </c>
      <c r="AU220">
        <f t="shared" si="61"/>
        <v>20</v>
      </c>
      <c r="AV220">
        <f t="shared" si="62"/>
        <v>10</v>
      </c>
      <c r="AW220">
        <f t="shared" si="63"/>
        <v>1</v>
      </c>
    </row>
    <row r="221" spans="1:49" ht="20" customHeight="1" x14ac:dyDescent="0.3">
      <c r="A221" s="5" t="s">
        <v>328</v>
      </c>
      <c r="C221" s="5">
        <v>3</v>
      </c>
      <c r="D221" s="21" t="s">
        <v>249</v>
      </c>
      <c r="E221" s="21" t="s">
        <v>225</v>
      </c>
      <c r="F221" s="1" t="s">
        <v>125</v>
      </c>
      <c r="G221" s="1">
        <v>10</v>
      </c>
      <c r="L221" s="5">
        <f>IFERROR(VLOOKUP($D221&amp;$C221,生产方式定位!$A$2:$E$38,2,FALSE)+VLOOKUP($E221&amp;$C221,生产方式定位!$F$3:$J$38,2,FALSE),0)</f>
        <v>3800</v>
      </c>
      <c r="M221" s="1" t="s">
        <v>208</v>
      </c>
      <c r="N221" s="1">
        <v>-7</v>
      </c>
      <c r="O221" s="1" t="s">
        <v>202</v>
      </c>
      <c r="P221" s="1">
        <v>7</v>
      </c>
      <c r="S221" s="5">
        <f>IFERROR(VLOOKUP($D221&amp;$C221,生产方式定位!$A$2:$E$38,3,FALSE)+VLOOKUP($E221&amp;$C221,生产方式定位!$F$3:$J$38,3,FALSE),0)</f>
        <v>140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4069</v>
      </c>
      <c r="Y221" s="24" t="str">
        <f t="shared" si="50"/>
        <v>泽洛*76</v>
      </c>
      <c r="Z221" s="34" t="str">
        <f t="shared" si="51"/>
        <v>劳工*-3167,法士*792</v>
      </c>
      <c r="AA221" s="34" t="str">
        <f t="shared" si="48"/>
        <v>魔偶*102</v>
      </c>
      <c r="AB221" s="25" t="str">
        <f t="shared" si="52"/>
        <v>7%</v>
      </c>
      <c r="AC221" s="1">
        <f t="shared" si="53"/>
        <v>129</v>
      </c>
      <c r="AD221" s="35">
        <f t="shared" si="49"/>
        <v>3</v>
      </c>
      <c r="AE221" t="str">
        <f t="shared" si="54"/>
        <v>泽洛*76</v>
      </c>
      <c r="AF221" t="str">
        <f t="shared" si="55"/>
        <v/>
      </c>
      <c r="AG221" t="str">
        <f t="shared" si="56"/>
        <v>劳工*-3167</v>
      </c>
      <c r="AH221" t="str">
        <f t="shared" si="57"/>
        <v>法士*792</v>
      </c>
      <c r="AI221" t="str">
        <f t="shared" si="58"/>
        <v/>
      </c>
      <c r="AJ221" t="str">
        <f t="shared" si="59"/>
        <v>魔偶*102</v>
      </c>
      <c r="AK221" t="str">
        <f t="shared" si="60"/>
        <v/>
      </c>
      <c r="AL221">
        <f>IFERROR(ROUND(L221*(G221/$AU221)/VLOOKUP(F221,商品!$A$4:$C$60,3,FALSE),0),"")</f>
        <v>76</v>
      </c>
      <c r="AM221" t="str">
        <f>IFERROR(ROUND(L221*(I221/$AU221)/VLOOKUP(H221,商品!$A$4:$C$60,3,FALSE),0),"")</f>
        <v/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-3167</v>
      </c>
      <c r="AQ221">
        <f>IFERROR(ROUND(S221*(P221/$AV221)/VLOOKUP(O221,职业!$A$3:$E$16,4,FALSE),0),"")</f>
        <v>792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102</v>
      </c>
      <c r="AT221" t="str">
        <f>IFERROR(ROUND(X221*(W221/$AW221)/VLOOKUP(V221,商品!$A$4:$C$60,3,FALSE),0),"")</f>
        <v/>
      </c>
      <c r="AU221">
        <f t="shared" si="61"/>
        <v>10</v>
      </c>
      <c r="AV221">
        <f t="shared" si="62"/>
        <v>14</v>
      </c>
      <c r="AW221">
        <f t="shared" si="63"/>
        <v>1</v>
      </c>
    </row>
    <row r="222" spans="1:49" ht="20" customHeight="1" x14ac:dyDescent="0.3">
      <c r="A222" s="5" t="s">
        <v>328</v>
      </c>
      <c r="C222" s="5">
        <v>4</v>
      </c>
      <c r="D222" s="21" t="s">
        <v>249</v>
      </c>
      <c r="E222" s="21" t="s">
        <v>225</v>
      </c>
      <c r="F222" s="1" t="s">
        <v>151</v>
      </c>
      <c r="G222" s="1">
        <v>10</v>
      </c>
      <c r="L222" s="5">
        <f>IFERROR(VLOOKUP($D222&amp;$C222,生产方式定位!$A$2:$E$38,2,FALSE)+VLOOKUP($E222&amp;$C222,生产方式定位!$F$3:$J$38,2,FALSE),0)</f>
        <v>4450</v>
      </c>
      <c r="M222" s="1" t="s">
        <v>208</v>
      </c>
      <c r="N222" s="1">
        <v>-9</v>
      </c>
      <c r="O222" s="1" t="s">
        <v>202</v>
      </c>
      <c r="P222" s="1">
        <v>9</v>
      </c>
      <c r="S222" s="5">
        <f>IFERROR(VLOOKUP($D222&amp;$C222,生产方式定位!$A$2:$E$38,3,FALSE)+VLOOKUP($E222&amp;$C222,生产方式定位!$F$3:$J$38,3,FALSE),0)</f>
        <v>150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4794</v>
      </c>
      <c r="Y222" s="24" t="str">
        <f t="shared" si="50"/>
        <v>魔导引擎*56</v>
      </c>
      <c r="Z222" s="34" t="str">
        <f t="shared" si="51"/>
        <v>劳工*-3394,法士*848</v>
      </c>
      <c r="AA222" s="34" t="str">
        <f t="shared" si="48"/>
        <v>魔偶*120</v>
      </c>
      <c r="AB222" s="25" t="str">
        <f t="shared" si="52"/>
        <v>8%</v>
      </c>
      <c r="AC222" s="1">
        <f t="shared" si="53"/>
        <v>194</v>
      </c>
      <c r="AD222" s="35">
        <f t="shared" si="49"/>
        <v>4</v>
      </c>
      <c r="AE222" t="str">
        <f t="shared" si="54"/>
        <v>魔导引擎*56</v>
      </c>
      <c r="AF222" t="str">
        <f t="shared" si="55"/>
        <v/>
      </c>
      <c r="AG222" t="str">
        <f t="shared" si="56"/>
        <v>劳工*-3394</v>
      </c>
      <c r="AH222" t="str">
        <f t="shared" si="57"/>
        <v>法士*848</v>
      </c>
      <c r="AI222" t="str">
        <f t="shared" si="58"/>
        <v/>
      </c>
      <c r="AJ222" t="str">
        <f t="shared" si="59"/>
        <v>魔偶*120</v>
      </c>
      <c r="AK222" t="str">
        <f t="shared" si="60"/>
        <v/>
      </c>
      <c r="AL222">
        <f>IFERROR(ROUND(L222*(G222/$AU222)/VLOOKUP(F222,商品!$A$4:$C$60,3,FALSE),0),"")</f>
        <v>56</v>
      </c>
      <c r="AM222" t="str">
        <f>IFERROR(ROUND(L222*(I222/$AU222)/VLOOKUP(H222,商品!$A$4:$C$60,3,FALSE),0),"")</f>
        <v/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-3394</v>
      </c>
      <c r="AQ222">
        <f>IFERROR(ROUND(S222*(P222/$AV222)/VLOOKUP(O222,职业!$A$3:$E$16,4,FALSE),0),"")</f>
        <v>848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120</v>
      </c>
      <c r="AT222" t="str">
        <f>IFERROR(ROUND(X222*(W222/$AW222)/VLOOKUP(V222,商品!$A$4:$C$60,3,FALSE),0),"")</f>
        <v/>
      </c>
      <c r="AU222">
        <f t="shared" si="61"/>
        <v>10</v>
      </c>
      <c r="AV222">
        <f t="shared" si="62"/>
        <v>18</v>
      </c>
      <c r="AW222">
        <f t="shared" si="63"/>
        <v>1</v>
      </c>
    </row>
    <row r="223" spans="1:49" ht="20" customHeight="1" x14ac:dyDescent="0.3">
      <c r="A223" s="5" t="s">
        <v>328</v>
      </c>
      <c r="C223" s="5">
        <v>5</v>
      </c>
      <c r="D223" s="21" t="s">
        <v>249</v>
      </c>
      <c r="E223" s="21" t="s">
        <v>225</v>
      </c>
      <c r="F223" s="1" t="s">
        <v>150</v>
      </c>
      <c r="G223" s="1">
        <v>7</v>
      </c>
      <c r="H223" s="1" t="s">
        <v>151</v>
      </c>
      <c r="I223" s="1">
        <v>10</v>
      </c>
      <c r="L223" s="5">
        <f>IFERROR(VLOOKUP($D223&amp;$C223,生产方式定位!$A$2:$E$38,2,FALSE)+VLOOKUP($E223&amp;$C223,生产方式定位!$F$3:$J$38,2,FALSE),0)</f>
        <v>5100</v>
      </c>
      <c r="M223" s="1" t="s">
        <v>208</v>
      </c>
      <c r="N223" s="1">
        <v>-11</v>
      </c>
      <c r="O223" s="1" t="s">
        <v>202</v>
      </c>
      <c r="P223" s="1">
        <v>11</v>
      </c>
      <c r="S223" s="5">
        <f>IFERROR(VLOOKUP($D223&amp;$C223,生产方式定位!$A$2:$E$38,3,FALSE)+VLOOKUP($E223&amp;$C223,生产方式定位!$F$3:$J$38,3,FALSE),0)</f>
        <v>160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5786</v>
      </c>
      <c r="Y223" s="24" t="str">
        <f t="shared" si="50"/>
        <v>科学引擎*26,魔导引擎*38</v>
      </c>
      <c r="Z223" s="34" t="str">
        <f t="shared" si="51"/>
        <v>劳工*-3620,法士*905</v>
      </c>
      <c r="AA223" s="34" t="str">
        <f t="shared" si="48"/>
        <v>魔偶*145</v>
      </c>
      <c r="AB223" s="25" t="str">
        <f t="shared" si="52"/>
        <v>13%</v>
      </c>
      <c r="AC223" s="1">
        <f t="shared" si="53"/>
        <v>526</v>
      </c>
      <c r="AD223" s="35">
        <f t="shared" si="49"/>
        <v>5</v>
      </c>
      <c r="AE223" t="str">
        <f t="shared" si="54"/>
        <v>科学引擎*26</v>
      </c>
      <c r="AF223" t="str">
        <f t="shared" si="55"/>
        <v>魔导引擎*38</v>
      </c>
      <c r="AG223" t="str">
        <f t="shared" si="56"/>
        <v>劳工*-3620</v>
      </c>
      <c r="AH223" t="str">
        <f t="shared" si="57"/>
        <v>法士*905</v>
      </c>
      <c r="AI223" t="str">
        <f t="shared" si="58"/>
        <v/>
      </c>
      <c r="AJ223" t="str">
        <f t="shared" si="59"/>
        <v>魔偶*145</v>
      </c>
      <c r="AK223" t="str">
        <f t="shared" si="60"/>
        <v/>
      </c>
      <c r="AL223">
        <f>IFERROR(ROUND(L223*(G223/$AU223)/VLOOKUP(F223,商品!$A$4:$C$60,3,FALSE),0),"")</f>
        <v>26</v>
      </c>
      <c r="AM223">
        <f>IFERROR(ROUND(L223*(I223/$AU223)/VLOOKUP(H223,商品!$A$4:$C$60,3,FALSE),0),"")</f>
        <v>38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-3620</v>
      </c>
      <c r="AQ223">
        <f>IFERROR(ROUND(S223*(P223/$AV223)/VLOOKUP(O223,职业!$A$3:$E$16,4,FALSE),0),"")</f>
        <v>905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145</v>
      </c>
      <c r="AT223" t="str">
        <f>IFERROR(ROUND(X223*(W223/$AW223)/VLOOKUP(V223,商品!$A$4:$C$60,3,FALSE),0),"")</f>
        <v/>
      </c>
      <c r="AU223">
        <f t="shared" si="61"/>
        <v>17</v>
      </c>
      <c r="AV223">
        <f t="shared" si="62"/>
        <v>22</v>
      </c>
      <c r="AW223">
        <f t="shared" si="63"/>
        <v>1</v>
      </c>
    </row>
    <row r="224" spans="1:49" ht="20" customHeight="1" x14ac:dyDescent="0.3">
      <c r="A224" s="18" t="s">
        <v>329</v>
      </c>
      <c r="C224" s="18">
        <v>1</v>
      </c>
      <c r="D224" s="21" t="s">
        <v>292</v>
      </c>
      <c r="E224" s="21" t="s">
        <v>226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20" customHeight="1" x14ac:dyDescent="0.3">
      <c r="A225" s="18" t="s">
        <v>329</v>
      </c>
      <c r="C225" s="18">
        <v>2</v>
      </c>
      <c r="D225" s="21" t="s">
        <v>292</v>
      </c>
      <c r="E225" s="21" t="s">
        <v>226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20" customHeight="1" x14ac:dyDescent="0.3">
      <c r="A226" s="18" t="s">
        <v>329</v>
      </c>
      <c r="C226" s="18">
        <v>3</v>
      </c>
      <c r="D226" s="21" t="s">
        <v>292</v>
      </c>
      <c r="E226" s="21" t="s">
        <v>226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20" customHeight="1" x14ac:dyDescent="0.3">
      <c r="A227" s="18" t="s">
        <v>329</v>
      </c>
      <c r="C227" s="18">
        <v>4</v>
      </c>
      <c r="D227" s="21" t="s">
        <v>292</v>
      </c>
      <c r="E227" s="21" t="s">
        <v>226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20" customHeight="1" x14ac:dyDescent="0.3">
      <c r="A228" s="18" t="s">
        <v>329</v>
      </c>
      <c r="C228" s="18">
        <v>5</v>
      </c>
      <c r="D228" s="21" t="s">
        <v>292</v>
      </c>
      <c r="E228" s="21" t="s">
        <v>226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20" customHeight="1" x14ac:dyDescent="0.3">
      <c r="A229" s="18" t="s">
        <v>329</v>
      </c>
      <c r="C229" s="18">
        <v>6</v>
      </c>
      <c r="D229" s="21" t="s">
        <v>292</v>
      </c>
      <c r="E229" s="21" t="s">
        <v>226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20" customHeight="1" x14ac:dyDescent="0.3">
      <c r="A230" s="18" t="s">
        <v>329</v>
      </c>
      <c r="C230" s="18">
        <v>7</v>
      </c>
      <c r="D230" s="21" t="s">
        <v>292</v>
      </c>
      <c r="E230" s="21" t="s">
        <v>226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20" customHeight="1" x14ac:dyDescent="0.3">
      <c r="A231" s="18" t="s">
        <v>329</v>
      </c>
      <c r="C231" s="18">
        <v>8</v>
      </c>
      <c r="D231" s="21" t="s">
        <v>292</v>
      </c>
      <c r="E231" s="21" t="s">
        <v>226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20" customHeight="1" x14ac:dyDescent="0.3">
      <c r="A232" s="5" t="s">
        <v>331</v>
      </c>
      <c r="C232" s="5">
        <v>1</v>
      </c>
      <c r="D232" s="21" t="s">
        <v>222</v>
      </c>
      <c r="E232" s="21" t="s">
        <v>224</v>
      </c>
      <c r="F232" s="80" t="s">
        <v>639</v>
      </c>
      <c r="G232" s="1">
        <v>15</v>
      </c>
      <c r="H232" s="80" t="s">
        <v>641</v>
      </c>
      <c r="I232" s="1">
        <v>5</v>
      </c>
      <c r="L232" s="5">
        <f>IFERROR(VLOOKUP($D232&amp;$C232,生产方式定位!$A$2:$E$38,2,FALSE)+VLOOKUP($E232&amp;$C232,生产方式定位!$F$3:$J$38,2,FALSE),0)</f>
        <v>600</v>
      </c>
      <c r="S232" s="5">
        <f>IFERROR(VLOOKUP($D232&amp;$C232,生产方式定位!$A$2:$E$38,3,FALSE)+VLOOKUP($E232&amp;$C232,生产方式定位!$F$3:$J$38,3,FALSE),0)</f>
        <v>150</v>
      </c>
      <c r="T232" s="80" t="s">
        <v>642</v>
      </c>
      <c r="U232" s="1">
        <v>1</v>
      </c>
      <c r="X232" s="5">
        <f>IFERROR(VLOOKUP($D232&amp;$C232,生产方式定位!$A$2:$E$38,5,FALSE)+VLOOKUP($E232&amp;$C232,生产方式定位!$F$3:$J$38,5,FALSE),"错误")</f>
        <v>788</v>
      </c>
      <c r="Y232" s="24" t="str">
        <f t="shared" si="50"/>
        <v>钢铁*8,硬木*4</v>
      </c>
      <c r="Z232" s="34" t="str">
        <f t="shared" si="51"/>
        <v/>
      </c>
      <c r="AA232" s="34" t="str">
        <f t="shared" si="48"/>
        <v>轻武器*13</v>
      </c>
      <c r="AB232" s="25" t="str">
        <f t="shared" si="52"/>
        <v>31%</v>
      </c>
      <c r="AC232" s="1">
        <f t="shared" si="53"/>
        <v>38</v>
      </c>
      <c r="AD232" s="35">
        <f t="shared" si="49"/>
        <v>1</v>
      </c>
      <c r="AE232" t="str">
        <f t="shared" si="54"/>
        <v>钢铁*8</v>
      </c>
      <c r="AF232" t="str">
        <f t="shared" si="55"/>
        <v>硬木*4</v>
      </c>
      <c r="AG232" t="str">
        <f t="shared" si="56"/>
        <v/>
      </c>
      <c r="AH232" t="str">
        <f t="shared" si="57"/>
        <v/>
      </c>
      <c r="AI232" t="str">
        <f t="shared" si="58"/>
        <v/>
      </c>
      <c r="AJ232" t="str">
        <f t="shared" si="59"/>
        <v>轻武器*13</v>
      </c>
      <c r="AK232" t="str">
        <f t="shared" si="60"/>
        <v/>
      </c>
      <c r="AL232">
        <f>IFERROR(ROUND(L232*(G232/$AU232)/VLOOKUP(F232,商品!$A$4:$C$60,3,FALSE),0),"")</f>
        <v>8</v>
      </c>
      <c r="AM232">
        <f>IFERROR(ROUND(L232*(I232/$AU232)/VLOOKUP(H232,商品!$A$4:$C$60,3,FALSE),0),"")</f>
        <v>4</v>
      </c>
      <c r="AN232">
        <f>IFERROR(ROUND(L232*(J232/$AU232)/VLOOKUP("运力",商品!$A$4:$C$60,3,FALSE),0),0)</f>
        <v>0</v>
      </c>
      <c r="AO232">
        <f>IFERROR(ROUND(L232*(K232/$AU232)/VLOOKUP("运力",商品!$A$4:$C$60,3,FALSE),0),0)</f>
        <v>0</v>
      </c>
      <c r="AP232" t="str">
        <f>IFERROR(ROUND(S232*(N232/$AV232)/VLOOKUP(M232,职业!$A$3:$E$16,4,FALSE),0),"")</f>
        <v/>
      </c>
      <c r="AQ232" t="str">
        <f>IFERROR(ROUND(S232*(P232/$AV232)/VLOOKUP(O232,职业!$A$3:$E$16,4,FALSE),0),"")</f>
        <v/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13</v>
      </c>
      <c r="AT232" t="str">
        <f>IFERROR(ROUND(X232*(W232/$AW232)/VLOOKUP(V232,商品!$A$4:$C$60,3,FALSE),0),"")</f>
        <v/>
      </c>
      <c r="AU232">
        <f t="shared" si="61"/>
        <v>20</v>
      </c>
      <c r="AV232">
        <f t="shared" si="62"/>
        <v>0</v>
      </c>
      <c r="AW232">
        <f t="shared" si="63"/>
        <v>1</v>
      </c>
    </row>
    <row r="233" spans="1:49" ht="20" customHeight="1" x14ac:dyDescent="0.3">
      <c r="A233" s="5" t="s">
        <v>331</v>
      </c>
      <c r="C233" s="5">
        <v>2</v>
      </c>
      <c r="D233" s="21" t="s">
        <v>222</v>
      </c>
      <c r="E233" s="21" t="s">
        <v>224</v>
      </c>
      <c r="F233" s="80" t="s">
        <v>639</v>
      </c>
      <c r="G233" s="79">
        <v>15</v>
      </c>
      <c r="H233" s="80" t="s">
        <v>641</v>
      </c>
      <c r="I233" s="79">
        <v>5</v>
      </c>
      <c r="L233" s="5">
        <f>IFERROR(VLOOKUP($D233&amp;$C233,生产方式定位!$A$2:$E$38,2,FALSE)+VLOOKUP($E233&amp;$C233,生产方式定位!$F$3:$J$38,2,FALSE),0)</f>
        <v>1200</v>
      </c>
      <c r="S233" s="5">
        <f>IFERROR(VLOOKUP($D233&amp;$C233,生产方式定位!$A$2:$E$38,3,FALSE)+VLOOKUP($E233&amp;$C233,生产方式定位!$F$3:$J$38,3,FALSE),0)</f>
        <v>140</v>
      </c>
      <c r="T233" s="80" t="s">
        <v>642</v>
      </c>
      <c r="U233" s="79">
        <v>1</v>
      </c>
      <c r="X233" s="5">
        <f>IFERROR(VLOOKUP($D233&amp;$C233,生产方式定位!$A$2:$E$38,5,FALSE)+VLOOKUP($E233&amp;$C233,生产方式定位!$F$3:$J$38,5,FALSE),"错误")</f>
        <v>1390</v>
      </c>
      <c r="Y233" s="24" t="str">
        <f t="shared" si="50"/>
        <v>钢铁*15,硬木*8</v>
      </c>
      <c r="Z233" s="34" t="str">
        <f t="shared" si="51"/>
        <v/>
      </c>
      <c r="AA233" s="34" t="str">
        <f t="shared" si="48"/>
        <v>轻武器*23</v>
      </c>
      <c r="AB233" s="25" t="str">
        <f t="shared" si="52"/>
        <v>16%</v>
      </c>
      <c r="AC233" s="1">
        <f t="shared" si="53"/>
        <v>50</v>
      </c>
      <c r="AD233" s="35">
        <f t="shared" si="49"/>
        <v>2</v>
      </c>
      <c r="AE233" t="str">
        <f t="shared" si="54"/>
        <v>钢铁*15</v>
      </c>
      <c r="AF233" t="str">
        <f t="shared" si="55"/>
        <v>硬木*8</v>
      </c>
      <c r="AG233" t="str">
        <f t="shared" si="56"/>
        <v/>
      </c>
      <c r="AH233" t="str">
        <f t="shared" si="57"/>
        <v/>
      </c>
      <c r="AI233" t="str">
        <f t="shared" si="58"/>
        <v/>
      </c>
      <c r="AJ233" t="str">
        <f t="shared" si="59"/>
        <v>轻武器*23</v>
      </c>
      <c r="AK233" t="str">
        <f t="shared" si="60"/>
        <v/>
      </c>
      <c r="AL233">
        <f>IFERROR(ROUND(L233*(G233/$AU233)/VLOOKUP(F233,商品!$A$4:$C$60,3,FALSE),0),"")</f>
        <v>15</v>
      </c>
      <c r="AM233">
        <f>IFERROR(ROUND(L233*(I233/$AU233)/VLOOKUP(H233,商品!$A$4:$C$60,3,FALSE),0),"")</f>
        <v>8</v>
      </c>
      <c r="AN233">
        <f>IFERROR(ROUND(L233*(J233/$AU233)/VLOOKUP("运力",商品!$A$4:$C$60,3,FALSE),0),0)</f>
        <v>0</v>
      </c>
      <c r="AO233">
        <f>IFERROR(ROUND(L233*(K233/$AU233)/VLOOKUP("运力",商品!$A$4:$C$60,3,FALSE),0),0)</f>
        <v>0</v>
      </c>
      <c r="AP233" t="str">
        <f>IFERROR(ROUND(S233*(N233/$AV233)/VLOOKUP(M233,职业!$A$3:$E$16,4,FALSE),0),"")</f>
        <v/>
      </c>
      <c r="AQ233" t="str">
        <f>IFERROR(ROUND(S233*(P233/$AV233)/VLOOKUP(O233,职业!$A$3:$E$16,4,FALSE),0),"")</f>
        <v/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23</v>
      </c>
      <c r="AT233" t="str">
        <f>IFERROR(ROUND(X233*(W233/$AW233)/VLOOKUP(V233,商品!$A$4:$C$60,3,FALSE),0),"")</f>
        <v/>
      </c>
      <c r="AU233">
        <f t="shared" si="61"/>
        <v>20</v>
      </c>
      <c r="AV233">
        <f t="shared" si="62"/>
        <v>0</v>
      </c>
      <c r="AW233">
        <f t="shared" si="63"/>
        <v>1</v>
      </c>
    </row>
    <row r="234" spans="1:49" ht="20" customHeight="1" x14ac:dyDescent="0.3">
      <c r="A234" s="5" t="s">
        <v>331</v>
      </c>
      <c r="C234" s="5">
        <v>3</v>
      </c>
      <c r="D234" s="21" t="s">
        <v>222</v>
      </c>
      <c r="E234" s="21" t="s">
        <v>224</v>
      </c>
      <c r="F234" s="80" t="s">
        <v>639</v>
      </c>
      <c r="G234" s="79">
        <v>15</v>
      </c>
      <c r="H234" s="80" t="s">
        <v>641</v>
      </c>
      <c r="I234" s="79">
        <v>5</v>
      </c>
      <c r="L234" s="5">
        <f>IFERROR(VLOOKUP($D234&amp;$C234,生产方式定位!$A$2:$E$38,2,FALSE)+VLOOKUP($E234&amp;$C234,生产方式定位!$F$3:$J$38,2,FALSE),0)</f>
        <v>1425</v>
      </c>
      <c r="S234" s="5">
        <f>IFERROR(VLOOKUP($D234&amp;$C234,生产方式定位!$A$2:$E$38,3,FALSE)+VLOOKUP($E234&amp;$C234,生产方式定位!$F$3:$J$38,3,FALSE),0)</f>
        <v>130</v>
      </c>
      <c r="T234" s="80" t="s">
        <v>642</v>
      </c>
      <c r="U234" s="79">
        <v>1</v>
      </c>
      <c r="X234" s="5">
        <f>IFERROR(VLOOKUP($D234&amp;$C234,生产方式定位!$A$2:$E$38,5,FALSE)+VLOOKUP($E234&amp;$C234,生产方式定位!$F$3:$J$38,5,FALSE),"错误")</f>
        <v>1618</v>
      </c>
      <c r="Y234" s="24" t="str">
        <f t="shared" si="50"/>
        <v>钢铁*18,硬木*9</v>
      </c>
      <c r="Z234" s="34" t="str">
        <f t="shared" si="51"/>
        <v/>
      </c>
      <c r="AA234" s="34" t="str">
        <f t="shared" si="48"/>
        <v>轻武器*27</v>
      </c>
      <c r="AB234" s="25" t="str">
        <f t="shared" si="52"/>
        <v>14%</v>
      </c>
      <c r="AC234" s="1">
        <f t="shared" si="53"/>
        <v>63</v>
      </c>
      <c r="AD234" s="36">
        <f t="shared" si="49"/>
        <v>3</v>
      </c>
      <c r="AE234" t="str">
        <f t="shared" si="54"/>
        <v>钢铁*18</v>
      </c>
      <c r="AF234" t="str">
        <f t="shared" si="55"/>
        <v>硬木*9</v>
      </c>
      <c r="AG234" t="str">
        <f t="shared" si="56"/>
        <v/>
      </c>
      <c r="AH234" t="str">
        <f t="shared" si="57"/>
        <v/>
      </c>
      <c r="AI234" t="str">
        <f t="shared" si="58"/>
        <v/>
      </c>
      <c r="AJ234" t="str">
        <f t="shared" si="59"/>
        <v>轻武器*27</v>
      </c>
      <c r="AK234" t="str">
        <f t="shared" si="60"/>
        <v/>
      </c>
      <c r="AL234">
        <f>IFERROR(ROUND(L234*(G234/$AU234)/VLOOKUP(F234,商品!$A$4:$C$60,3,FALSE),0),"")</f>
        <v>18</v>
      </c>
      <c r="AM234">
        <f>IFERROR(ROUND(L234*(I234/$AU234)/VLOOKUP(H234,商品!$A$4:$C$60,3,FALSE),0),"")</f>
        <v>9</v>
      </c>
      <c r="AN234">
        <f>IFERROR(ROUND(L234*(J234/$AU234)/VLOOKUP("运力",商品!$A$4:$C$60,3,FALSE),0),0)</f>
        <v>0</v>
      </c>
      <c r="AO234">
        <f>IFERROR(ROUND(L234*(K234/$AU234)/VLOOKUP("运力",商品!$A$4:$C$60,3,FALSE),0),0)</f>
        <v>0</v>
      </c>
      <c r="AP234" t="str">
        <f>IFERROR(ROUND(S234*(N234/$AV234)/VLOOKUP(M234,职业!$A$3:$E$16,4,FALSE),0),"")</f>
        <v/>
      </c>
      <c r="AQ234" t="str">
        <f>IFERROR(ROUND(S234*(P234/$AV234)/VLOOKUP(O234,职业!$A$3:$E$16,4,FALSE),0),"")</f>
        <v/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27</v>
      </c>
      <c r="AT234" t="str">
        <f>IFERROR(ROUND(X234*(W234/$AW234)/VLOOKUP(V234,商品!$A$4:$C$60,3,FALSE),0),"")</f>
        <v/>
      </c>
      <c r="AU234">
        <f t="shared" si="61"/>
        <v>20</v>
      </c>
      <c r="AV234">
        <f t="shared" si="62"/>
        <v>0</v>
      </c>
      <c r="AW234">
        <f t="shared" si="63"/>
        <v>1</v>
      </c>
    </row>
    <row r="235" spans="1:49" ht="20" customHeight="1" x14ac:dyDescent="0.3">
      <c r="A235" s="5" t="s">
        <v>331</v>
      </c>
      <c r="C235" s="5">
        <v>4</v>
      </c>
      <c r="D235" s="21" t="s">
        <v>222</v>
      </c>
      <c r="E235" s="21" t="s">
        <v>224</v>
      </c>
      <c r="F235" s="80" t="s">
        <v>639</v>
      </c>
      <c r="G235" s="79">
        <v>15</v>
      </c>
      <c r="H235" s="80" t="s">
        <v>641</v>
      </c>
      <c r="I235" s="79">
        <v>5</v>
      </c>
      <c r="L235" s="5">
        <f>IFERROR(VLOOKUP($D235&amp;$C235,生产方式定位!$A$2:$E$38,2,FALSE)+VLOOKUP($E235&amp;$C235,生产方式定位!$F$3:$J$38,2,FALSE),0)</f>
        <v>1650</v>
      </c>
      <c r="S235" s="5">
        <f>IFERROR(VLOOKUP($D235&amp;$C235,生产方式定位!$A$2:$E$38,3,FALSE)+VLOOKUP($E235&amp;$C235,生产方式定位!$F$3:$J$38,3,FALSE),0)</f>
        <v>120</v>
      </c>
      <c r="T235" s="80" t="s">
        <v>642</v>
      </c>
      <c r="U235" s="79">
        <v>1</v>
      </c>
      <c r="X235" s="5">
        <f>IFERROR(VLOOKUP($D235&amp;$C235,生产方式定位!$A$2:$E$38,5,FALSE)+VLOOKUP($E235&amp;$C235,生产方式定位!$F$3:$J$38,5,FALSE),"错误")</f>
        <v>1845</v>
      </c>
      <c r="Y235" s="24" t="str">
        <f t="shared" si="50"/>
        <v>钢铁*21,硬木*10</v>
      </c>
      <c r="Z235" s="34" t="str">
        <f t="shared" si="51"/>
        <v/>
      </c>
      <c r="AA235" s="34" t="str">
        <f t="shared" si="48"/>
        <v>轻武器*31</v>
      </c>
      <c r="AB235" s="25" t="str">
        <f t="shared" si="52"/>
        <v>12%</v>
      </c>
      <c r="AC235" s="1">
        <f t="shared" si="53"/>
        <v>75</v>
      </c>
      <c r="AD235" s="36">
        <f t="shared" si="49"/>
        <v>4</v>
      </c>
      <c r="AE235" t="str">
        <f t="shared" si="54"/>
        <v>钢铁*21</v>
      </c>
      <c r="AF235" t="str">
        <f t="shared" si="55"/>
        <v>硬木*10</v>
      </c>
      <c r="AG235" t="str">
        <f t="shared" si="56"/>
        <v/>
      </c>
      <c r="AH235" t="str">
        <f t="shared" si="57"/>
        <v/>
      </c>
      <c r="AI235" t="str">
        <f t="shared" si="58"/>
        <v/>
      </c>
      <c r="AJ235" t="str">
        <f t="shared" si="59"/>
        <v>轻武器*31</v>
      </c>
      <c r="AK235" t="str">
        <f t="shared" si="60"/>
        <v/>
      </c>
      <c r="AL235">
        <f>IFERROR(ROUND(L235*(G235/$AU235)/VLOOKUP(F235,商品!$A$4:$C$60,3,FALSE),0),"")</f>
        <v>21</v>
      </c>
      <c r="AM235">
        <f>IFERROR(ROUND(L235*(I235/$AU235)/VLOOKUP(H235,商品!$A$4:$C$60,3,FALSE),0),"")</f>
        <v>10</v>
      </c>
      <c r="AN235">
        <f>IFERROR(ROUND(L235*(J235/$AU235)/VLOOKUP("运力",商品!$A$4:$C$60,3,FALSE),0),0)</f>
        <v>0</v>
      </c>
      <c r="AO235">
        <f>IFERROR(ROUND(L235*(K235/$AU235)/VLOOKUP("运力",商品!$A$4:$C$60,3,FALSE),0),0)</f>
        <v>0</v>
      </c>
      <c r="AP235" t="str">
        <f>IFERROR(ROUND(S235*(N235/$AV235)/VLOOKUP(M235,职业!$A$3:$E$16,4,FALSE),0),"")</f>
        <v/>
      </c>
      <c r="AQ235" t="str">
        <f>IFERROR(ROUND(S235*(P235/$AV235)/VLOOKUP(O235,职业!$A$3:$E$16,4,FALSE),0),"")</f>
        <v/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31</v>
      </c>
      <c r="AT235" t="str">
        <f>IFERROR(ROUND(X235*(W235/$AW235)/VLOOKUP(V235,商品!$A$4:$C$60,3,FALSE),0),"")</f>
        <v/>
      </c>
      <c r="AU235">
        <f t="shared" si="61"/>
        <v>20</v>
      </c>
      <c r="AV235">
        <f t="shared" si="62"/>
        <v>0</v>
      </c>
      <c r="AW235">
        <f t="shared" si="63"/>
        <v>1</v>
      </c>
    </row>
    <row r="236" spans="1:49" ht="20" customHeight="1" x14ac:dyDescent="0.3">
      <c r="A236" s="5" t="s">
        <v>331</v>
      </c>
      <c r="C236" s="5">
        <v>5</v>
      </c>
      <c r="D236" s="21" t="s">
        <v>222</v>
      </c>
      <c r="E236" s="21" t="s">
        <v>224</v>
      </c>
      <c r="F236" s="80" t="s">
        <v>639</v>
      </c>
      <c r="G236" s="79">
        <v>15</v>
      </c>
      <c r="H236" s="80" t="s">
        <v>641</v>
      </c>
      <c r="I236" s="79">
        <v>5</v>
      </c>
      <c r="L236" s="5">
        <f>IFERROR(VLOOKUP($D236&amp;$C236,生产方式定位!$A$2:$E$38,2,FALSE)+VLOOKUP($E236&amp;$C236,生产方式定位!$F$3:$J$38,2,FALSE),0)</f>
        <v>1875</v>
      </c>
      <c r="S236" s="5">
        <f>IFERROR(VLOOKUP($D236&amp;$C236,生产方式定位!$A$2:$E$38,3,FALSE)+VLOOKUP($E236&amp;$C236,生产方式定位!$F$3:$J$38,3,FALSE),0)</f>
        <v>110</v>
      </c>
      <c r="T236" s="80" t="s">
        <v>642</v>
      </c>
      <c r="U236" s="79">
        <v>1</v>
      </c>
      <c r="X236" s="5">
        <f>IFERROR(VLOOKUP($D236&amp;$C236,生产方式定位!$A$2:$E$38,5,FALSE)+VLOOKUP($E236&amp;$C236,生产方式定位!$F$3:$J$38,5,FALSE),"错误")</f>
        <v>2073</v>
      </c>
      <c r="Y236" s="24" t="str">
        <f t="shared" si="50"/>
        <v>钢铁*23,硬木*12</v>
      </c>
      <c r="Z236" s="34" t="str">
        <f t="shared" si="51"/>
        <v/>
      </c>
      <c r="AA236" s="34" t="str">
        <f t="shared" si="48"/>
        <v>轻武器*35</v>
      </c>
      <c r="AB236" s="25" t="str">
        <f t="shared" si="52"/>
        <v>11%</v>
      </c>
      <c r="AC236" s="1">
        <f t="shared" si="53"/>
        <v>88</v>
      </c>
      <c r="AD236" s="36">
        <f t="shared" si="49"/>
        <v>5</v>
      </c>
      <c r="AE236" t="str">
        <f t="shared" si="54"/>
        <v>钢铁*23</v>
      </c>
      <c r="AF236" t="str">
        <f t="shared" si="55"/>
        <v>硬木*12</v>
      </c>
      <c r="AG236" t="str">
        <f t="shared" si="56"/>
        <v/>
      </c>
      <c r="AH236" t="str">
        <f t="shared" si="57"/>
        <v/>
      </c>
      <c r="AI236" t="str">
        <f t="shared" si="58"/>
        <v/>
      </c>
      <c r="AJ236" t="str">
        <f t="shared" si="59"/>
        <v>轻武器*35</v>
      </c>
      <c r="AK236" t="str">
        <f t="shared" si="60"/>
        <v/>
      </c>
      <c r="AL236">
        <f>IFERROR(ROUND(L236*(G236/$AU236)/VLOOKUP(F236,商品!$A$4:$C$60,3,FALSE),0),"")</f>
        <v>23</v>
      </c>
      <c r="AM236">
        <f>IFERROR(ROUND(L236*(I236/$AU236)/VLOOKUP(H236,商品!$A$4:$C$60,3,FALSE),0),"")</f>
        <v>12</v>
      </c>
      <c r="AN236">
        <f>IFERROR(ROUND(L236*(J236/$AU236)/VLOOKUP("运力",商品!$A$4:$C$60,3,FALSE),0),0)</f>
        <v>0</v>
      </c>
      <c r="AO236">
        <f>IFERROR(ROUND(L236*(K236/$AU236)/VLOOKUP("运力",商品!$A$4:$C$60,3,FALSE),0),0)</f>
        <v>0</v>
      </c>
      <c r="AP236" t="str">
        <f>IFERROR(ROUND(S236*(N236/$AV236)/VLOOKUP(M236,职业!$A$3:$E$16,4,FALSE),0),"")</f>
        <v/>
      </c>
      <c r="AQ236" t="str">
        <f>IFERROR(ROUND(S236*(P236/$AV236)/VLOOKUP(O236,职业!$A$3:$E$16,4,FALSE),0),"")</f>
        <v/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35</v>
      </c>
      <c r="AT236" t="str">
        <f>IFERROR(ROUND(X236*(W236/$AW236)/VLOOKUP(V236,商品!$A$4:$C$60,3,FALSE),0),"")</f>
        <v/>
      </c>
      <c r="AU236">
        <f t="shared" si="61"/>
        <v>20</v>
      </c>
      <c r="AV236">
        <f t="shared" si="62"/>
        <v>0</v>
      </c>
      <c r="AW236">
        <f t="shared" si="63"/>
        <v>1</v>
      </c>
    </row>
    <row r="237" spans="1:49" ht="20" customHeight="1" x14ac:dyDescent="0.3">
      <c r="A237" s="18" t="s">
        <v>332</v>
      </c>
      <c r="C237" s="18">
        <v>1</v>
      </c>
      <c r="D237" s="21" t="s">
        <v>222</v>
      </c>
      <c r="E237" s="21" t="s">
        <v>230</v>
      </c>
      <c r="F237" s="80" t="s">
        <v>639</v>
      </c>
      <c r="G237" s="79">
        <v>15</v>
      </c>
      <c r="H237" s="80" t="s">
        <v>641</v>
      </c>
      <c r="I237" s="79">
        <v>5</v>
      </c>
      <c r="L237" s="18">
        <f>IFERROR(VLOOKUP($D237&amp;$C237,生产方式定位!$A$2:$E$38,2,FALSE)+VLOOKUP($E237&amp;$C237,生产方式定位!$F$3:$J$38,2,FALSE),0)</f>
        <v>600</v>
      </c>
      <c r="S237" s="18">
        <f>IFERROR(VLOOKUP($D237&amp;$C237,生产方式定位!$A$2:$E$38,3,FALSE)+VLOOKUP($E237&amp;$C237,生产方式定位!$F$3:$J$38,3,FALSE),0)</f>
        <v>150</v>
      </c>
      <c r="T237" s="80" t="s">
        <v>640</v>
      </c>
      <c r="U237" s="79">
        <v>1</v>
      </c>
      <c r="X237" s="18">
        <f>IFERROR(VLOOKUP($D237&amp;$C237,生产方式定位!$A$2:$E$38,5,FALSE)+VLOOKUP($E237&amp;$C237,生产方式定位!$F$3:$J$38,5,FALSE),"错误")</f>
        <v>788</v>
      </c>
      <c r="Y237" s="24" t="str">
        <f t="shared" si="50"/>
        <v>钢铁*8,硬木*4</v>
      </c>
      <c r="Z237" s="34" t="str">
        <f t="shared" si="51"/>
        <v/>
      </c>
      <c r="AA237" s="34" t="str">
        <f t="shared" si="48"/>
        <v>火炮*10</v>
      </c>
      <c r="AB237" s="25" t="str">
        <f t="shared" si="52"/>
        <v>31%</v>
      </c>
      <c r="AC237" s="1">
        <f t="shared" si="53"/>
        <v>38</v>
      </c>
      <c r="AD237" s="36">
        <f t="shared" si="49"/>
        <v>1</v>
      </c>
      <c r="AE237" t="str">
        <f t="shared" si="54"/>
        <v>钢铁*8</v>
      </c>
      <c r="AF237" t="str">
        <f t="shared" si="55"/>
        <v>硬木*4</v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火炮*10</v>
      </c>
      <c r="AK237" t="str">
        <f t="shared" si="60"/>
        <v/>
      </c>
      <c r="AL237">
        <f>IFERROR(ROUND(L237*(G237/$AU237)/VLOOKUP(F237,商品!$A$4:$C$60,3,FALSE),0),"")</f>
        <v>8</v>
      </c>
      <c r="AM237">
        <f>IFERROR(ROUND(L237*(I237/$AU237)/VLOOKUP(H237,商品!$A$4:$C$60,3,FALSE),0),"")</f>
        <v>4</v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10</v>
      </c>
      <c r="AT237" t="str">
        <f>IFERROR(ROUND(X237*(W237/$AW237)/VLOOKUP(V237,商品!$A$4:$C$60,3,FALSE),0),"")</f>
        <v/>
      </c>
      <c r="AU237">
        <f t="shared" si="61"/>
        <v>20</v>
      </c>
      <c r="AV237">
        <f t="shared" si="62"/>
        <v>0</v>
      </c>
      <c r="AW237">
        <f t="shared" si="63"/>
        <v>1</v>
      </c>
    </row>
    <row r="238" spans="1:49" ht="20" customHeight="1" x14ac:dyDescent="0.3">
      <c r="A238" s="18" t="s">
        <v>332</v>
      </c>
      <c r="C238" s="18">
        <v>2</v>
      </c>
      <c r="D238" s="21" t="s">
        <v>222</v>
      </c>
      <c r="E238" s="21" t="s">
        <v>230</v>
      </c>
      <c r="F238" s="80" t="s">
        <v>639</v>
      </c>
      <c r="G238" s="79">
        <v>15</v>
      </c>
      <c r="H238" s="80" t="s">
        <v>641</v>
      </c>
      <c r="I238" s="79">
        <v>5</v>
      </c>
      <c r="L238" s="18">
        <f>IFERROR(VLOOKUP($D238&amp;$C238,生产方式定位!$A$2:$E$38,2,FALSE)+VLOOKUP($E238&amp;$C238,生产方式定位!$F$3:$J$38,2,FALSE),0)</f>
        <v>1100</v>
      </c>
      <c r="S238" s="18">
        <f>IFERROR(VLOOKUP($D238&amp;$C238,生产方式定位!$A$2:$E$38,3,FALSE)+VLOOKUP($E238&amp;$C238,生产方式定位!$F$3:$J$38,3,FALSE),0)</f>
        <v>150</v>
      </c>
      <c r="T238" s="80" t="s">
        <v>640</v>
      </c>
      <c r="U238" s="79">
        <v>1</v>
      </c>
      <c r="X238" s="18">
        <f>IFERROR(VLOOKUP($D238&amp;$C238,生产方式定位!$A$2:$E$38,5,FALSE)+VLOOKUP($E238&amp;$C238,生产方式定位!$F$3:$J$38,5,FALSE),"错误")</f>
        <v>1291</v>
      </c>
      <c r="Y238" s="24" t="str">
        <f t="shared" si="50"/>
        <v>钢铁*14,硬木*7</v>
      </c>
      <c r="Z238" s="34" t="str">
        <f t="shared" si="51"/>
        <v/>
      </c>
      <c r="AA238" s="34" t="str">
        <f t="shared" si="48"/>
        <v>火炮*16</v>
      </c>
      <c r="AB238" s="25" t="str">
        <f t="shared" si="52"/>
        <v>17%</v>
      </c>
      <c r="AC238" s="1">
        <f t="shared" si="53"/>
        <v>41</v>
      </c>
      <c r="AD238" s="36">
        <f t="shared" si="49"/>
        <v>2</v>
      </c>
      <c r="AE238" t="str">
        <f t="shared" si="54"/>
        <v>钢铁*14</v>
      </c>
      <c r="AF238" t="str">
        <f t="shared" si="55"/>
        <v>硬木*7</v>
      </c>
      <c r="AG238" t="str">
        <f t="shared" si="56"/>
        <v/>
      </c>
      <c r="AH238" t="str">
        <f t="shared" si="57"/>
        <v/>
      </c>
      <c r="AI238" t="str">
        <f t="shared" si="58"/>
        <v/>
      </c>
      <c r="AJ238" t="str">
        <f t="shared" si="59"/>
        <v>火炮*16</v>
      </c>
      <c r="AK238" t="str">
        <f t="shared" si="60"/>
        <v/>
      </c>
      <c r="AL238">
        <f>IFERROR(ROUND(L238*(G238/$AU238)/VLOOKUP(F238,商品!$A$4:$C$60,3,FALSE),0),"")</f>
        <v>14</v>
      </c>
      <c r="AM238">
        <f>IFERROR(ROUND(L238*(I238/$AU238)/VLOOKUP(H238,商品!$A$4:$C$60,3,FALSE),0),"")</f>
        <v>7</v>
      </c>
      <c r="AN238">
        <f>IFERROR(ROUND(L238*(J238/$AU238)/VLOOKUP("运力",商品!$A$4:$C$60,3,FALSE),0),0)</f>
        <v>0</v>
      </c>
      <c r="AO238">
        <f>IFERROR(ROUND(L238*(K238/$AU238)/VLOOKUP("运力",商品!$A$4:$C$60,3,FALSE),0),0)</f>
        <v>0</v>
      </c>
      <c r="AP238" t="str">
        <f>IFERROR(ROUND(S238*(N238/$AV238)/VLOOKUP(M238,职业!$A$3:$E$16,4,FALSE),0),"")</f>
        <v/>
      </c>
      <c r="AQ238" t="str">
        <f>IFERROR(ROUND(S238*(P238/$AV238)/VLOOKUP(O238,职业!$A$3:$E$16,4,FALSE),0),"")</f>
        <v/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16</v>
      </c>
      <c r="AT238" t="str">
        <f>IFERROR(ROUND(X238*(W238/$AW238)/VLOOKUP(V238,商品!$A$4:$C$60,3,FALSE),0),"")</f>
        <v/>
      </c>
      <c r="AU238">
        <f t="shared" si="61"/>
        <v>20</v>
      </c>
      <c r="AV238">
        <f t="shared" si="62"/>
        <v>0</v>
      </c>
      <c r="AW238">
        <f t="shared" si="63"/>
        <v>1</v>
      </c>
    </row>
    <row r="239" spans="1:49" ht="20" customHeight="1" x14ac:dyDescent="0.3">
      <c r="A239" s="18" t="s">
        <v>332</v>
      </c>
      <c r="C239" s="18">
        <v>3</v>
      </c>
      <c r="D239" s="21" t="s">
        <v>222</v>
      </c>
      <c r="E239" s="21" t="s">
        <v>230</v>
      </c>
      <c r="F239" s="80" t="s">
        <v>639</v>
      </c>
      <c r="G239" s="79">
        <v>15</v>
      </c>
      <c r="H239" s="80" t="s">
        <v>641</v>
      </c>
      <c r="I239" s="79">
        <v>5</v>
      </c>
      <c r="L239" s="18">
        <f>IFERROR(VLOOKUP($D239&amp;$C239,生产方式定位!$A$2:$E$38,2,FALSE)+VLOOKUP($E239&amp;$C239,生产方式定位!$F$3:$J$38,2,FALSE),0)</f>
        <v>1300</v>
      </c>
      <c r="S239" s="18">
        <f>IFERROR(VLOOKUP($D239&amp;$C239,生产方式定位!$A$2:$E$38,3,FALSE)+VLOOKUP($E239&amp;$C239,生产方式定位!$F$3:$J$38,3,FALSE),0)</f>
        <v>145</v>
      </c>
      <c r="T239" s="80" t="s">
        <v>640</v>
      </c>
      <c r="U239" s="79">
        <v>1</v>
      </c>
      <c r="X239" s="18">
        <f>IFERROR(VLOOKUP($D239&amp;$C239,生产方式定位!$A$2:$E$38,5,FALSE)+VLOOKUP($E239&amp;$C239,生产方式定位!$F$3:$J$38,5,FALSE),"错误")</f>
        <v>1497</v>
      </c>
      <c r="Y239" s="24" t="str">
        <f t="shared" si="50"/>
        <v>钢铁*16,硬木*8</v>
      </c>
      <c r="Z239" s="34" t="str">
        <f t="shared" si="51"/>
        <v/>
      </c>
      <c r="AA239" s="34" t="str">
        <f t="shared" si="48"/>
        <v>火炮*19</v>
      </c>
      <c r="AB239" s="25" t="str">
        <f t="shared" si="52"/>
        <v>15%</v>
      </c>
      <c r="AC239" s="1">
        <f t="shared" si="53"/>
        <v>52</v>
      </c>
      <c r="AD239" s="36">
        <f t="shared" si="49"/>
        <v>3</v>
      </c>
      <c r="AE239" t="str">
        <f t="shared" si="54"/>
        <v>钢铁*16</v>
      </c>
      <c r="AF239" t="str">
        <f t="shared" si="55"/>
        <v>硬木*8</v>
      </c>
      <c r="AG239" t="str">
        <f t="shared" si="56"/>
        <v/>
      </c>
      <c r="AH239" t="str">
        <f t="shared" si="57"/>
        <v/>
      </c>
      <c r="AI239" t="str">
        <f t="shared" si="58"/>
        <v/>
      </c>
      <c r="AJ239" t="str">
        <f t="shared" si="59"/>
        <v>火炮*19</v>
      </c>
      <c r="AK239" t="str">
        <f t="shared" si="60"/>
        <v/>
      </c>
      <c r="AL239">
        <f>IFERROR(ROUND(L239*(G239/$AU239)/VLOOKUP(F239,商品!$A$4:$C$60,3,FALSE),0),"")</f>
        <v>16</v>
      </c>
      <c r="AM239">
        <f>IFERROR(ROUND(L239*(I239/$AU239)/VLOOKUP(H239,商品!$A$4:$C$60,3,FALSE),0),"")</f>
        <v>8</v>
      </c>
      <c r="AN239">
        <f>IFERROR(ROUND(L239*(J239/$AU239)/VLOOKUP("运力",商品!$A$4:$C$60,3,FALSE),0),0)</f>
        <v>0</v>
      </c>
      <c r="AO239">
        <f>IFERROR(ROUND(L239*(K239/$AU239)/VLOOKUP("运力",商品!$A$4:$C$60,3,FALSE),0),0)</f>
        <v>0</v>
      </c>
      <c r="AP239" t="str">
        <f>IFERROR(ROUND(S239*(N239/$AV239)/VLOOKUP(M239,职业!$A$3:$E$16,4,FALSE),0),"")</f>
        <v/>
      </c>
      <c r="AQ239" t="str">
        <f>IFERROR(ROUND(S239*(P239/$AV239)/VLOOKUP(O239,职业!$A$3:$E$16,4,FALSE),0),"")</f>
        <v/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19</v>
      </c>
      <c r="AT239" t="str">
        <f>IFERROR(ROUND(X239*(W239/$AW239)/VLOOKUP(V239,商品!$A$4:$C$60,3,FALSE),0),"")</f>
        <v/>
      </c>
      <c r="AU239">
        <f t="shared" si="61"/>
        <v>20</v>
      </c>
      <c r="AV239">
        <f t="shared" si="62"/>
        <v>0</v>
      </c>
      <c r="AW239">
        <f t="shared" si="63"/>
        <v>1</v>
      </c>
    </row>
    <row r="240" spans="1:49" ht="20" customHeight="1" x14ac:dyDescent="0.3">
      <c r="A240" s="18" t="s">
        <v>332</v>
      </c>
      <c r="C240" s="18">
        <v>4</v>
      </c>
      <c r="D240" s="21" t="s">
        <v>222</v>
      </c>
      <c r="E240" s="21" t="s">
        <v>230</v>
      </c>
      <c r="F240" s="80" t="s">
        <v>639</v>
      </c>
      <c r="G240" s="79">
        <v>15</v>
      </c>
      <c r="H240" s="80" t="s">
        <v>641</v>
      </c>
      <c r="I240" s="79">
        <v>5</v>
      </c>
      <c r="L240" s="18">
        <f>IFERROR(VLOOKUP($D240&amp;$C240,生产方式定位!$A$2:$E$38,2,FALSE)+VLOOKUP($E240&amp;$C240,生产方式定位!$F$3:$J$38,2,FALSE),0)</f>
        <v>1500</v>
      </c>
      <c r="S240" s="18">
        <f>IFERROR(VLOOKUP($D240&amp;$C240,生产方式定位!$A$2:$E$38,3,FALSE)+VLOOKUP($E240&amp;$C240,生产方式定位!$F$3:$J$38,3,FALSE),0)</f>
        <v>140</v>
      </c>
      <c r="T240" s="80" t="s">
        <v>640</v>
      </c>
      <c r="U240" s="79">
        <v>1</v>
      </c>
      <c r="X240" s="18">
        <f>IFERROR(VLOOKUP($D240&amp;$C240,生产方式定位!$A$2:$E$38,5,FALSE)+VLOOKUP($E240&amp;$C240,生产方式定位!$F$3:$J$38,5,FALSE),"错误")</f>
        <v>1702</v>
      </c>
      <c r="Y240" s="24" t="str">
        <f t="shared" si="50"/>
        <v>钢铁*19,硬木*9</v>
      </c>
      <c r="Z240" s="34" t="str">
        <f t="shared" si="51"/>
        <v/>
      </c>
      <c r="AA240" s="34" t="str">
        <f t="shared" si="48"/>
        <v>火炮*21</v>
      </c>
      <c r="AB240" s="25" t="str">
        <f t="shared" si="52"/>
        <v>13%</v>
      </c>
      <c r="AC240" s="1">
        <f t="shared" si="53"/>
        <v>62</v>
      </c>
      <c r="AD240" s="36">
        <f t="shared" si="49"/>
        <v>4</v>
      </c>
      <c r="AE240" t="str">
        <f t="shared" si="54"/>
        <v>钢铁*19</v>
      </c>
      <c r="AF240" t="str">
        <f t="shared" si="55"/>
        <v>硬木*9</v>
      </c>
      <c r="AG240" t="str">
        <f t="shared" si="56"/>
        <v/>
      </c>
      <c r="AH240" t="str">
        <f t="shared" si="57"/>
        <v/>
      </c>
      <c r="AI240" t="str">
        <f t="shared" si="58"/>
        <v/>
      </c>
      <c r="AJ240" t="str">
        <f t="shared" si="59"/>
        <v>火炮*21</v>
      </c>
      <c r="AK240" t="str">
        <f t="shared" si="60"/>
        <v/>
      </c>
      <c r="AL240">
        <f>IFERROR(ROUND(L240*(G240/$AU240)/VLOOKUP(F240,商品!$A$4:$C$60,3,FALSE),0),"")</f>
        <v>19</v>
      </c>
      <c r="AM240">
        <f>IFERROR(ROUND(L240*(I240/$AU240)/VLOOKUP(H240,商品!$A$4:$C$60,3,FALSE),0),"")</f>
        <v>9</v>
      </c>
      <c r="AN240">
        <f>IFERROR(ROUND(L240*(J240/$AU240)/VLOOKUP("运力",商品!$A$4:$C$60,3,FALSE),0),0)</f>
        <v>0</v>
      </c>
      <c r="AO240">
        <f>IFERROR(ROUND(L240*(K240/$AU240)/VLOOKUP("运力",商品!$A$4:$C$60,3,FALSE),0),0)</f>
        <v>0</v>
      </c>
      <c r="AP240" t="str">
        <f>IFERROR(ROUND(S240*(N240/$AV240)/VLOOKUP(M240,职业!$A$3:$E$16,4,FALSE),0),"")</f>
        <v/>
      </c>
      <c r="AQ240" t="str">
        <f>IFERROR(ROUND(S240*(P240/$AV240)/VLOOKUP(O240,职业!$A$3:$E$16,4,FALSE),0),"")</f>
        <v/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21</v>
      </c>
      <c r="AT240" t="str">
        <f>IFERROR(ROUND(X240*(W240/$AW240)/VLOOKUP(V240,商品!$A$4:$C$60,3,FALSE),0),"")</f>
        <v/>
      </c>
      <c r="AU240">
        <f t="shared" si="61"/>
        <v>20</v>
      </c>
      <c r="AV240">
        <f t="shared" si="62"/>
        <v>0</v>
      </c>
      <c r="AW240">
        <f t="shared" si="63"/>
        <v>1</v>
      </c>
    </row>
    <row r="241" spans="1:49" ht="20" customHeight="1" x14ac:dyDescent="0.3">
      <c r="A241" s="18" t="s">
        <v>332</v>
      </c>
      <c r="C241" s="18">
        <v>5</v>
      </c>
      <c r="D241" s="21" t="s">
        <v>222</v>
      </c>
      <c r="E241" s="21" t="s">
        <v>230</v>
      </c>
      <c r="F241" s="80" t="s">
        <v>639</v>
      </c>
      <c r="G241" s="79">
        <v>15</v>
      </c>
      <c r="H241" s="80" t="s">
        <v>641</v>
      </c>
      <c r="I241" s="79">
        <v>5</v>
      </c>
      <c r="L241" s="18">
        <f>IFERROR(VLOOKUP($D241&amp;$C241,生产方式定位!$A$2:$E$38,2,FALSE)+VLOOKUP($E241&amp;$C241,生产方式定位!$F$3:$J$38,2,FALSE),0)</f>
        <v>1700</v>
      </c>
      <c r="S241" s="18">
        <f>IFERROR(VLOOKUP($D241&amp;$C241,生产方式定位!$A$2:$E$38,3,FALSE)+VLOOKUP($E241&amp;$C241,生产方式定位!$F$3:$J$38,3,FALSE),0)</f>
        <v>135</v>
      </c>
      <c r="T241" s="80" t="s">
        <v>640</v>
      </c>
      <c r="U241" s="79">
        <v>1</v>
      </c>
      <c r="X241" s="18">
        <f>IFERROR(VLOOKUP($D241&amp;$C241,生产方式定位!$A$2:$E$38,5,FALSE)+VLOOKUP($E241&amp;$C241,生产方式定位!$F$3:$J$38,5,FALSE),"错误")</f>
        <v>1908</v>
      </c>
      <c r="Y241" s="24" t="str">
        <f t="shared" si="50"/>
        <v>钢铁*21,硬木*11</v>
      </c>
      <c r="Z241" s="34" t="str">
        <f t="shared" si="51"/>
        <v/>
      </c>
      <c r="AA241" s="34" t="str">
        <f t="shared" si="48"/>
        <v>火炮*24</v>
      </c>
      <c r="AB241" s="25" t="str">
        <f t="shared" si="52"/>
        <v>12%</v>
      </c>
      <c r="AC241" s="1">
        <f t="shared" si="53"/>
        <v>73</v>
      </c>
      <c r="AD241" s="36">
        <f t="shared" si="49"/>
        <v>5</v>
      </c>
      <c r="AE241" t="str">
        <f t="shared" si="54"/>
        <v>钢铁*21</v>
      </c>
      <c r="AF241" t="str">
        <f t="shared" si="55"/>
        <v>硬木*11</v>
      </c>
      <c r="AG241" t="str">
        <f t="shared" si="56"/>
        <v/>
      </c>
      <c r="AH241" t="str">
        <f t="shared" si="57"/>
        <v/>
      </c>
      <c r="AI241" t="str">
        <f t="shared" si="58"/>
        <v/>
      </c>
      <c r="AJ241" t="str">
        <f t="shared" si="59"/>
        <v>火炮*24</v>
      </c>
      <c r="AK241" t="str">
        <f t="shared" si="60"/>
        <v/>
      </c>
      <c r="AL241">
        <f>IFERROR(ROUND(L241*(G241/$AU241)/VLOOKUP(F241,商品!$A$4:$C$60,3,FALSE),0),"")</f>
        <v>21</v>
      </c>
      <c r="AM241">
        <f>IFERROR(ROUND(L241*(I241/$AU241)/VLOOKUP(H241,商品!$A$4:$C$60,3,FALSE),0),"")</f>
        <v>11</v>
      </c>
      <c r="AN241">
        <f>IFERROR(ROUND(L241*(J241/$AU241)/VLOOKUP("运力",商品!$A$4:$C$60,3,FALSE),0),0)</f>
        <v>0</v>
      </c>
      <c r="AO241">
        <f>IFERROR(ROUND(L241*(K241/$AU241)/VLOOKUP("运力",商品!$A$4:$C$60,3,FALSE),0),0)</f>
        <v>0</v>
      </c>
      <c r="AP241" t="str">
        <f>IFERROR(ROUND(S241*(N241/$AV241)/VLOOKUP(M241,职业!$A$3:$E$16,4,FALSE),0),"")</f>
        <v/>
      </c>
      <c r="AQ241" t="str">
        <f>IFERROR(ROUND(S241*(P241/$AV241)/VLOOKUP(O241,职业!$A$3:$E$16,4,FALSE),0),"")</f>
        <v/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24</v>
      </c>
      <c r="AT241" t="str">
        <f>IFERROR(ROUND(X241*(W241/$AW241)/VLOOKUP(V241,商品!$A$4:$C$60,3,FALSE),0),"")</f>
        <v/>
      </c>
      <c r="AU241">
        <f t="shared" si="61"/>
        <v>20</v>
      </c>
      <c r="AV241">
        <f t="shared" si="62"/>
        <v>0</v>
      </c>
      <c r="AW241">
        <f t="shared" si="63"/>
        <v>1</v>
      </c>
    </row>
    <row r="242" spans="1:49" ht="20" customHeight="1" x14ac:dyDescent="0.3">
      <c r="A242" s="5" t="s">
        <v>333</v>
      </c>
      <c r="C242" s="5">
        <v>1</v>
      </c>
      <c r="D242" s="21" t="s">
        <v>222</v>
      </c>
      <c r="E242" s="21" t="s">
        <v>225</v>
      </c>
      <c r="L242" s="5">
        <f>IFERROR(VLOOKUP($D242&amp;$C242,生产方式定位!$A$2:$E$38,2,FALSE)+VLOOKUP($E242&amp;$C242,生产方式定位!$F$3:$J$38,2,FALSE),0)</f>
        <v>600</v>
      </c>
      <c r="S242" s="5">
        <f>IFERROR(VLOOKUP($D242&amp;$C242,生产方式定位!$A$2:$E$38,3,FALSE)+VLOOKUP($E242&amp;$C242,生产方式定位!$F$3:$J$38,3,FALSE),0)</f>
        <v>150</v>
      </c>
      <c r="X242" s="5">
        <f>IFERROR(VLOOKUP($D242&amp;$C242,生产方式定位!$A$2:$E$38,5,FALSE)+VLOOKUP($E242&amp;$C242,生产方式定位!$F$3:$J$38,5,FALSE),"错误")</f>
        <v>788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>31%</v>
      </c>
      <c r="AC242" s="1">
        <f t="shared" si="53"/>
        <v>38</v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20" customHeight="1" x14ac:dyDescent="0.3">
      <c r="A243" s="5" t="s">
        <v>333</v>
      </c>
      <c r="C243" s="5">
        <v>2</v>
      </c>
      <c r="D243" s="21" t="s">
        <v>222</v>
      </c>
      <c r="E243" s="21" t="s">
        <v>225</v>
      </c>
      <c r="L243" s="5">
        <f>IFERROR(VLOOKUP($D243&amp;$C243,生产方式定位!$A$2:$E$38,2,FALSE)+VLOOKUP($E243&amp;$C243,生产方式定位!$F$3:$J$38,2,FALSE),0)</f>
        <v>1450</v>
      </c>
      <c r="S243" s="5">
        <f>IFERROR(VLOOKUP($D243&amp;$C243,生产方式定位!$A$2:$E$38,3,FALSE)+VLOOKUP($E243&amp;$C243,生产方式定位!$F$3:$J$38,3,FALSE),0)</f>
        <v>180</v>
      </c>
      <c r="X243" s="5">
        <f>IFERROR(VLOOKUP($D243&amp;$C243,生产方式定位!$A$2:$E$38,5,FALSE)+VLOOKUP($E243&amp;$C243,生产方式定位!$F$3:$J$38,5,FALSE),"错误")</f>
        <v>1472</v>
      </c>
      <c r="Y243" s="24" t="str">
        <f t="shared" si="50"/>
        <v/>
      </c>
      <c r="Z243" s="34" t="str">
        <f t="shared" si="51"/>
        <v/>
      </c>
      <c r="AA243" s="34" t="str">
        <f t="shared" si="48"/>
        <v/>
      </c>
      <c r="AB243" s="25" t="str">
        <f t="shared" si="52"/>
        <v>2%</v>
      </c>
      <c r="AC243" s="1">
        <f t="shared" si="53"/>
        <v>-158</v>
      </c>
      <c r="AD243" s="35">
        <f t="shared" si="49"/>
        <v>2</v>
      </c>
      <c r="AE243" t="str">
        <f t="shared" si="54"/>
        <v/>
      </c>
      <c r="AF243" t="str">
        <f t="shared" si="55"/>
        <v/>
      </c>
      <c r="AG243" t="str">
        <f t="shared" si="56"/>
        <v/>
      </c>
      <c r="AH243" t="str">
        <f t="shared" si="57"/>
        <v/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 t="str">
        <f>IFERROR(ROUND(L243*(G243/$AU243)/VLOOKUP(F243,商品!$A$4:$C$60,3,FALSE),0),"")</f>
        <v/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 t="str">
        <f>IFERROR(ROUND(S243*(N243/$AV243)/VLOOKUP(M243,职业!$A$3:$E$16,4,FALSE),0),"")</f>
        <v/>
      </c>
      <c r="AQ243" t="str">
        <f>IFERROR(ROUND(S243*(P243/$AV243)/VLOOKUP(O243,职业!$A$3:$E$16,4,FALSE),0),"")</f>
        <v/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0</v>
      </c>
      <c r="AV243">
        <f t="shared" si="62"/>
        <v>0</v>
      </c>
      <c r="AW243">
        <f t="shared" si="63"/>
        <v>0</v>
      </c>
    </row>
    <row r="244" spans="1:49" ht="20" customHeight="1" x14ac:dyDescent="0.3">
      <c r="A244" s="5" t="s">
        <v>333</v>
      </c>
      <c r="C244" s="5">
        <v>3</v>
      </c>
      <c r="D244" s="21" t="s">
        <v>222</v>
      </c>
      <c r="E244" s="21" t="s">
        <v>225</v>
      </c>
      <c r="L244" s="5">
        <f>IFERROR(VLOOKUP($D244&amp;$C244,生产方式定位!$A$2:$E$38,2,FALSE)+VLOOKUP($E244&amp;$C244,生产方式定位!$F$3:$J$38,2,FALSE),0)</f>
        <v>1800</v>
      </c>
      <c r="S244" s="5">
        <f>IFERROR(VLOOKUP($D244&amp;$C244,生产方式定位!$A$2:$E$38,3,FALSE)+VLOOKUP($E244&amp;$C244,生产方式定位!$F$3:$J$38,3,FALSE),0)</f>
        <v>190</v>
      </c>
      <c r="X244" s="5">
        <f>IFERROR(VLOOKUP($D244&amp;$C244,生产方式定位!$A$2:$E$38,5,FALSE)+VLOOKUP($E244&amp;$C244,生产方式定位!$F$3:$J$38,5,FALSE),"错误")</f>
        <v>1831</v>
      </c>
      <c r="Y244" s="24" t="str">
        <f t="shared" si="50"/>
        <v/>
      </c>
      <c r="Z244" s="34" t="str">
        <f t="shared" si="51"/>
        <v/>
      </c>
      <c r="AA244" s="34" t="str">
        <f t="shared" si="48"/>
        <v/>
      </c>
      <c r="AB244" s="25" t="str">
        <f t="shared" si="52"/>
        <v>2%</v>
      </c>
      <c r="AC244" s="1">
        <f t="shared" si="53"/>
        <v>-159</v>
      </c>
      <c r="AD244" s="35">
        <f t="shared" si="49"/>
        <v>3</v>
      </c>
      <c r="AE244" t="str">
        <f t="shared" si="54"/>
        <v/>
      </c>
      <c r="AF244" t="str">
        <f t="shared" si="55"/>
        <v/>
      </c>
      <c r="AG244" t="str">
        <f t="shared" si="56"/>
        <v/>
      </c>
      <c r="AH244" t="str">
        <f t="shared" si="57"/>
        <v/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 t="str">
        <f>IFERROR(ROUND(L244*(G244/$AU244)/VLOOKUP(F244,商品!$A$4:$C$60,3,FALSE),0),"")</f>
        <v/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 t="str">
        <f>IFERROR(ROUND(S244*(N244/$AV244)/VLOOKUP(M244,职业!$A$3:$E$16,4,FALSE),0),"")</f>
        <v/>
      </c>
      <c r="AQ244" t="str">
        <f>IFERROR(ROUND(S244*(P244/$AV244)/VLOOKUP(O244,职业!$A$3:$E$16,4,FALSE),0),"")</f>
        <v/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0</v>
      </c>
      <c r="AV244">
        <f t="shared" si="62"/>
        <v>0</v>
      </c>
      <c r="AW244">
        <f t="shared" si="63"/>
        <v>0</v>
      </c>
    </row>
    <row r="245" spans="1:49" ht="20" customHeight="1" x14ac:dyDescent="0.3">
      <c r="A245" s="5" t="s">
        <v>333</v>
      </c>
      <c r="C245" s="5">
        <v>4</v>
      </c>
      <c r="D245" s="21" t="s">
        <v>222</v>
      </c>
      <c r="E245" s="21" t="s">
        <v>225</v>
      </c>
      <c r="L245" s="5">
        <f>IFERROR(VLOOKUP($D245&amp;$C245,生产方式定位!$A$2:$E$38,2,FALSE)+VLOOKUP($E245&amp;$C245,生产方式定位!$F$3:$J$38,2,FALSE),0)</f>
        <v>2150</v>
      </c>
      <c r="S245" s="5">
        <f>IFERROR(VLOOKUP($D245&amp;$C245,生产方式定位!$A$2:$E$38,3,FALSE)+VLOOKUP($E245&amp;$C245,生产方式定位!$F$3:$J$38,3,FALSE),0)</f>
        <v>200</v>
      </c>
      <c r="X245" s="5">
        <f>IFERROR(VLOOKUP($D245&amp;$C245,生产方式定位!$A$2:$E$38,5,FALSE)+VLOOKUP($E245&amp;$C245,生产方式定位!$F$3:$J$38,5,FALSE),"错误")</f>
        <v>2217</v>
      </c>
      <c r="Y245" s="24" t="str">
        <f t="shared" si="50"/>
        <v/>
      </c>
      <c r="Z245" s="34" t="str">
        <f t="shared" si="51"/>
        <v/>
      </c>
      <c r="AA245" s="34" t="str">
        <f t="shared" si="48"/>
        <v/>
      </c>
      <c r="AB245" s="25" t="str">
        <f t="shared" si="52"/>
        <v>3%</v>
      </c>
      <c r="AC245" s="1">
        <f t="shared" si="53"/>
        <v>-133</v>
      </c>
      <c r="AD245" s="35">
        <f t="shared" si="49"/>
        <v>4</v>
      </c>
      <c r="AE245" t="str">
        <f t="shared" si="54"/>
        <v/>
      </c>
      <c r="AF245" t="str">
        <f t="shared" si="55"/>
        <v/>
      </c>
      <c r="AG245" t="str">
        <f t="shared" si="56"/>
        <v/>
      </c>
      <c r="AH245" t="str">
        <f t="shared" si="57"/>
        <v/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 t="str">
        <f>IFERROR(ROUND(L245*(G245/$AU245)/VLOOKUP(F245,商品!$A$4:$C$60,3,FALSE),0),"")</f>
        <v/>
      </c>
      <c r="AM245" t="str">
        <f>IFERROR(ROUND(L245*(I245/$AU245)/VLOOKUP(H245,商品!$A$4:$C$60,3,FALSE),0),"")</f>
        <v/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 t="str">
        <f>IFERROR(ROUND(S245*(N245/$AV245)/VLOOKUP(M245,职业!$A$3:$E$16,4,FALSE),0),"")</f>
        <v/>
      </c>
      <c r="AQ245" t="str">
        <f>IFERROR(ROUND(S245*(P245/$AV245)/VLOOKUP(O245,职业!$A$3:$E$16,4,FALSE),0),"")</f>
        <v/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0</v>
      </c>
      <c r="AV245">
        <f t="shared" si="62"/>
        <v>0</v>
      </c>
      <c r="AW245">
        <f t="shared" si="63"/>
        <v>0</v>
      </c>
    </row>
    <row r="246" spans="1:49" ht="20" customHeight="1" x14ac:dyDescent="0.3">
      <c r="A246" s="5" t="s">
        <v>333</v>
      </c>
      <c r="C246" s="5">
        <v>5</v>
      </c>
      <c r="D246" s="21" t="s">
        <v>222</v>
      </c>
      <c r="E246" s="21" t="s">
        <v>225</v>
      </c>
      <c r="L246" s="5">
        <f>IFERROR(VLOOKUP($D246&amp;$C246,生产方式定位!$A$2:$E$38,2,FALSE)+VLOOKUP($E246&amp;$C246,生产方式定位!$F$3:$J$38,2,FALSE),0)</f>
        <v>2500</v>
      </c>
      <c r="S246" s="5">
        <f>IFERROR(VLOOKUP($D246&amp;$C246,生产方式定位!$A$2:$E$38,3,FALSE)+VLOOKUP($E246&amp;$C246,生产方式定位!$F$3:$J$38,3,FALSE),0)</f>
        <v>210</v>
      </c>
      <c r="X246" s="5">
        <f>IFERROR(VLOOKUP($D246&amp;$C246,生产方式定位!$A$2:$E$38,5,FALSE)+VLOOKUP($E246&amp;$C246,生产方式定位!$F$3:$J$38,5,FALSE),"错误")</f>
        <v>2870</v>
      </c>
      <c r="Y246" s="24" t="str">
        <f t="shared" si="50"/>
        <v/>
      </c>
      <c r="Z246" s="34" t="str">
        <f t="shared" si="51"/>
        <v/>
      </c>
      <c r="AA246" s="34" t="str">
        <f t="shared" si="48"/>
        <v/>
      </c>
      <c r="AB246" s="25" t="str">
        <f t="shared" si="52"/>
        <v>15%</v>
      </c>
      <c r="AC246" s="1">
        <f t="shared" si="53"/>
        <v>160</v>
      </c>
      <c r="AD246" s="35">
        <f t="shared" si="49"/>
        <v>5</v>
      </c>
      <c r="AE246" t="str">
        <f t="shared" si="54"/>
        <v/>
      </c>
      <c r="AF246" t="str">
        <f t="shared" si="55"/>
        <v/>
      </c>
      <c r="AG246" t="str">
        <f t="shared" si="56"/>
        <v/>
      </c>
      <c r="AH246" t="str">
        <f t="shared" si="57"/>
        <v/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 t="str">
        <f>IFERROR(ROUND(L246*(G246/$AU246)/VLOOKUP(F246,商品!$A$4:$C$60,3,FALSE),0),"")</f>
        <v/>
      </c>
      <c r="AM246" t="str">
        <f>IFERROR(ROUND(L246*(I246/$AU246)/VLOOKUP(H246,商品!$A$4:$C$60,3,FALSE),0),"")</f>
        <v/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 t="str">
        <f>IFERROR(ROUND(S246*(N246/$AV246)/VLOOKUP(M246,职业!$A$3:$E$16,4,FALSE),0),"")</f>
        <v/>
      </c>
      <c r="AQ246" t="str">
        <f>IFERROR(ROUND(S246*(P246/$AV246)/VLOOKUP(O246,职业!$A$3:$E$16,4,FALSE),0),"")</f>
        <v/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0</v>
      </c>
      <c r="AV246">
        <f t="shared" si="62"/>
        <v>0</v>
      </c>
      <c r="AW246">
        <f t="shared" si="63"/>
        <v>0</v>
      </c>
    </row>
    <row r="247" spans="1:49" ht="20" customHeight="1" x14ac:dyDescent="0.3">
      <c r="A247" s="18" t="s">
        <v>333</v>
      </c>
      <c r="C247" s="18">
        <v>1</v>
      </c>
      <c r="D247" s="21" t="s">
        <v>222</v>
      </c>
      <c r="E247" s="21" t="s">
        <v>225</v>
      </c>
      <c r="L247" s="18">
        <f>IFERROR(VLOOKUP($D247&amp;$C247,生产方式定位!$A$2:$E$38,2,FALSE)+VLOOKUP($E247&amp;$C247,生产方式定位!$F$3:$J$38,2,FALSE),0)</f>
        <v>600</v>
      </c>
      <c r="S247" s="18">
        <f>IFERROR(VLOOKUP($D247&amp;$C247,生产方式定位!$A$2:$E$38,3,FALSE)+VLOOKUP($E247&amp;$C247,生产方式定位!$F$3:$J$38,3,FALSE),0)</f>
        <v>150</v>
      </c>
      <c r="X247" s="18">
        <f>IFERROR(VLOOKUP($D247&amp;$C247,生产方式定位!$A$2:$E$38,5,FALSE)+VLOOKUP($E247&amp;$C247,生产方式定位!$F$3:$J$38,5,FALSE),"错误")</f>
        <v>788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>31%</v>
      </c>
      <c r="AC247" s="1">
        <f t="shared" si="53"/>
        <v>38</v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20" customHeight="1" x14ac:dyDescent="0.3">
      <c r="A248" s="18" t="s">
        <v>333</v>
      </c>
      <c r="C248" s="18">
        <v>2</v>
      </c>
      <c r="D248" s="21" t="s">
        <v>222</v>
      </c>
      <c r="E248" s="21" t="s">
        <v>225</v>
      </c>
      <c r="L248" s="18">
        <f>IFERROR(VLOOKUP($D248&amp;$C248,生产方式定位!$A$2:$E$38,2,FALSE)+VLOOKUP($E248&amp;$C248,生产方式定位!$F$3:$J$38,2,FALSE),0)</f>
        <v>1450</v>
      </c>
      <c r="S248" s="18">
        <f>IFERROR(VLOOKUP($D248&amp;$C248,生产方式定位!$A$2:$E$38,3,FALSE)+VLOOKUP($E248&amp;$C248,生产方式定位!$F$3:$J$38,3,FALSE),0)</f>
        <v>180</v>
      </c>
      <c r="X248" s="18">
        <f>IFERROR(VLOOKUP($D248&amp;$C248,生产方式定位!$A$2:$E$38,5,FALSE)+VLOOKUP($E248&amp;$C248,生产方式定位!$F$3:$J$38,5,FALSE),"错误")</f>
        <v>1472</v>
      </c>
      <c r="Y248" s="24" t="str">
        <f t="shared" si="50"/>
        <v/>
      </c>
      <c r="Z248" s="34" t="str">
        <f t="shared" si="51"/>
        <v/>
      </c>
      <c r="AA248" s="34" t="str">
        <f t="shared" si="48"/>
        <v/>
      </c>
      <c r="AB248" s="25" t="str">
        <f t="shared" si="52"/>
        <v>2%</v>
      </c>
      <c r="AC248" s="1">
        <f t="shared" si="53"/>
        <v>-158</v>
      </c>
      <c r="AD248" s="36">
        <f t="shared" si="49"/>
        <v>2</v>
      </c>
      <c r="AE248" t="str">
        <f t="shared" si="54"/>
        <v/>
      </c>
      <c r="AF248" t="str">
        <f t="shared" si="55"/>
        <v/>
      </c>
      <c r="AG248" t="str">
        <f t="shared" si="56"/>
        <v/>
      </c>
      <c r="AH248" t="str">
        <f t="shared" si="57"/>
        <v/>
      </c>
      <c r="AI248" t="str">
        <f t="shared" si="58"/>
        <v/>
      </c>
      <c r="AJ248" t="str">
        <f t="shared" si="59"/>
        <v/>
      </c>
      <c r="AK248" t="str">
        <f t="shared" si="60"/>
        <v/>
      </c>
      <c r="AL248" t="str">
        <f>IFERROR(ROUND(L248*(G248/$AU248)/VLOOKUP(F248,商品!$A$4:$C$60,3,FALSE),0),"")</f>
        <v/>
      </c>
      <c r="AM248" t="str">
        <f>IFERROR(ROUND(L248*(I248/$AU248)/VLOOKUP(H248,商品!$A$4:$C$60,3,FALSE),0),"")</f>
        <v/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 t="str">
        <f>IFERROR(ROUND(S248*(N248/$AV248)/VLOOKUP(M248,职业!$A$3:$E$16,4,FALSE),0),"")</f>
        <v/>
      </c>
      <c r="AQ248" t="str">
        <f>IFERROR(ROUND(S248*(P248/$AV248)/VLOOKUP(O248,职业!$A$3:$E$16,4,FALSE),0),"")</f>
        <v/>
      </c>
      <c r="AR248" t="str">
        <f>IFERROR(ROUND(S248*(R248/$AV248)/VLOOKUP(Q248,职业!$A$3:$E$16,4,FALSE),0),"")</f>
        <v/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0</v>
      </c>
      <c r="AV248">
        <f t="shared" si="62"/>
        <v>0</v>
      </c>
      <c r="AW248">
        <f t="shared" si="63"/>
        <v>0</v>
      </c>
    </row>
    <row r="249" spans="1:49" ht="20" customHeight="1" x14ac:dyDescent="0.3">
      <c r="A249" s="18" t="s">
        <v>333</v>
      </c>
      <c r="C249" s="18">
        <v>3</v>
      </c>
      <c r="D249" s="21" t="s">
        <v>222</v>
      </c>
      <c r="E249" s="21" t="s">
        <v>225</v>
      </c>
      <c r="L249" s="18">
        <f>IFERROR(VLOOKUP($D249&amp;$C249,生产方式定位!$A$2:$E$38,2,FALSE)+VLOOKUP($E249&amp;$C249,生产方式定位!$F$3:$J$38,2,FALSE),0)</f>
        <v>1800</v>
      </c>
      <c r="S249" s="18">
        <f>IFERROR(VLOOKUP($D249&amp;$C249,生产方式定位!$A$2:$E$38,3,FALSE)+VLOOKUP($E249&amp;$C249,生产方式定位!$F$3:$J$38,3,FALSE),0)</f>
        <v>190</v>
      </c>
      <c r="X249" s="18">
        <f>IFERROR(VLOOKUP($D249&amp;$C249,生产方式定位!$A$2:$E$38,5,FALSE)+VLOOKUP($E249&amp;$C249,生产方式定位!$F$3:$J$38,5,FALSE),"错误")</f>
        <v>1831</v>
      </c>
      <c r="Y249" s="24" t="str">
        <f t="shared" si="50"/>
        <v/>
      </c>
      <c r="Z249" s="34" t="str">
        <f t="shared" si="51"/>
        <v/>
      </c>
      <c r="AA249" s="34" t="str">
        <f t="shared" si="48"/>
        <v/>
      </c>
      <c r="AB249" s="25" t="str">
        <f t="shared" si="52"/>
        <v>2%</v>
      </c>
      <c r="AC249" s="1">
        <f t="shared" si="53"/>
        <v>-159</v>
      </c>
      <c r="AD249" s="36">
        <f t="shared" si="49"/>
        <v>3</v>
      </c>
      <c r="AE249" t="str">
        <f t="shared" si="54"/>
        <v/>
      </c>
      <c r="AF249" t="str">
        <f t="shared" si="55"/>
        <v/>
      </c>
      <c r="AG249" t="str">
        <f t="shared" si="56"/>
        <v/>
      </c>
      <c r="AH249" t="str">
        <f t="shared" si="57"/>
        <v/>
      </c>
      <c r="AI249" t="str">
        <f t="shared" si="58"/>
        <v/>
      </c>
      <c r="AJ249" t="str">
        <f t="shared" si="59"/>
        <v/>
      </c>
      <c r="AK249" t="str">
        <f t="shared" si="60"/>
        <v/>
      </c>
      <c r="AL249" t="str">
        <f>IFERROR(ROUND(L249*(G249/$AU249)/VLOOKUP(F249,商品!$A$4:$C$60,3,FALSE),0),"")</f>
        <v/>
      </c>
      <c r="AM249" t="str">
        <f>IFERROR(ROUND(L249*(I249/$AU249)/VLOOKUP(H249,商品!$A$4:$C$60,3,FALSE),0),"")</f>
        <v/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 t="str">
        <f>IFERROR(ROUND(S249*(N249/$AV249)/VLOOKUP(M249,职业!$A$3:$E$16,4,FALSE),0),"")</f>
        <v/>
      </c>
      <c r="AQ249" t="str">
        <f>IFERROR(ROUND(S249*(P249/$AV249)/VLOOKUP(O249,职业!$A$3:$E$16,4,FALSE),0),"")</f>
        <v/>
      </c>
      <c r="AR249" t="str">
        <f>IFERROR(ROUND(S249*(R249/$AV249)/VLOOKUP(Q249,职业!$A$3:$E$16,4,FALSE),0),"")</f>
        <v/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0</v>
      </c>
      <c r="AV249">
        <f t="shared" si="62"/>
        <v>0</v>
      </c>
      <c r="AW249">
        <f t="shared" si="63"/>
        <v>0</v>
      </c>
    </row>
    <row r="250" spans="1:49" ht="20" customHeight="1" x14ac:dyDescent="0.3">
      <c r="A250" s="18" t="s">
        <v>333</v>
      </c>
      <c r="C250" s="18">
        <v>4</v>
      </c>
      <c r="D250" s="21" t="s">
        <v>222</v>
      </c>
      <c r="E250" s="21" t="s">
        <v>225</v>
      </c>
      <c r="L250" s="18">
        <f>IFERROR(VLOOKUP($D250&amp;$C250,生产方式定位!$A$2:$E$38,2,FALSE)+VLOOKUP($E250&amp;$C250,生产方式定位!$F$3:$J$38,2,FALSE),0)</f>
        <v>2150</v>
      </c>
      <c r="S250" s="18">
        <f>IFERROR(VLOOKUP($D250&amp;$C250,生产方式定位!$A$2:$E$38,3,FALSE)+VLOOKUP($E250&amp;$C250,生产方式定位!$F$3:$J$38,3,FALSE),0)</f>
        <v>200</v>
      </c>
      <c r="X250" s="18">
        <f>IFERROR(VLOOKUP($D250&amp;$C250,生产方式定位!$A$2:$E$38,5,FALSE)+VLOOKUP($E250&amp;$C250,生产方式定位!$F$3:$J$38,5,FALSE),"错误")</f>
        <v>2217</v>
      </c>
      <c r="Y250" s="24" t="str">
        <f t="shared" si="50"/>
        <v/>
      </c>
      <c r="Z250" s="34" t="str">
        <f t="shared" si="51"/>
        <v/>
      </c>
      <c r="AA250" s="34" t="str">
        <f t="shared" si="48"/>
        <v/>
      </c>
      <c r="AB250" s="25" t="str">
        <f t="shared" si="52"/>
        <v>3%</v>
      </c>
      <c r="AC250" s="1">
        <f t="shared" si="53"/>
        <v>-133</v>
      </c>
      <c r="AD250" s="36">
        <f t="shared" si="49"/>
        <v>4</v>
      </c>
      <c r="AE250" t="str">
        <f t="shared" si="54"/>
        <v/>
      </c>
      <c r="AF250" t="str">
        <f t="shared" si="55"/>
        <v/>
      </c>
      <c r="AG250" t="str">
        <f t="shared" si="56"/>
        <v/>
      </c>
      <c r="AH250" t="str">
        <f t="shared" si="57"/>
        <v/>
      </c>
      <c r="AI250" t="str">
        <f t="shared" si="58"/>
        <v/>
      </c>
      <c r="AJ250" t="str">
        <f t="shared" si="59"/>
        <v/>
      </c>
      <c r="AK250" t="str">
        <f t="shared" si="60"/>
        <v/>
      </c>
      <c r="AL250" t="str">
        <f>IFERROR(ROUND(L250*(G250/$AU250)/VLOOKUP(F250,商品!$A$4:$C$60,3,FALSE),0),"")</f>
        <v/>
      </c>
      <c r="AM250" t="str">
        <f>IFERROR(ROUND(L250*(I250/$AU250)/VLOOKUP(H250,商品!$A$4:$C$60,3,FALSE),0),"")</f>
        <v/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 t="str">
        <f>IFERROR(ROUND(S250*(N250/$AV250)/VLOOKUP(M250,职业!$A$3:$E$16,4,FALSE),0),"")</f>
        <v/>
      </c>
      <c r="AQ250" t="str">
        <f>IFERROR(ROUND(S250*(P250/$AV250)/VLOOKUP(O250,职业!$A$3:$E$16,4,FALSE),0),"")</f>
        <v/>
      </c>
      <c r="AR250" t="str">
        <f>IFERROR(ROUND(S250*(R250/$AV250)/VLOOKUP(Q250,职业!$A$3:$E$16,4,FALSE),0),"")</f>
        <v/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0</v>
      </c>
      <c r="AV250">
        <f t="shared" si="62"/>
        <v>0</v>
      </c>
      <c r="AW250">
        <f t="shared" si="63"/>
        <v>0</v>
      </c>
    </row>
    <row r="251" spans="1:49" ht="20" customHeight="1" x14ac:dyDescent="0.3">
      <c r="A251" s="18" t="s">
        <v>333</v>
      </c>
      <c r="C251" s="18">
        <v>5</v>
      </c>
      <c r="D251" s="21" t="s">
        <v>222</v>
      </c>
      <c r="E251" s="21" t="s">
        <v>225</v>
      </c>
      <c r="L251" s="18">
        <f>IFERROR(VLOOKUP($D251&amp;$C251,生产方式定位!$A$2:$E$38,2,FALSE)+VLOOKUP($E251&amp;$C251,生产方式定位!$F$3:$J$38,2,FALSE),0)</f>
        <v>2500</v>
      </c>
      <c r="S251" s="18">
        <f>IFERROR(VLOOKUP($D251&amp;$C251,生产方式定位!$A$2:$E$38,3,FALSE)+VLOOKUP($E251&amp;$C251,生产方式定位!$F$3:$J$38,3,FALSE),0)</f>
        <v>210</v>
      </c>
      <c r="X251" s="18">
        <f>IFERROR(VLOOKUP($D251&amp;$C251,生产方式定位!$A$2:$E$38,5,FALSE)+VLOOKUP($E251&amp;$C251,生产方式定位!$F$3:$J$38,5,FALSE),"错误")</f>
        <v>2870</v>
      </c>
      <c r="Y251" s="24" t="str">
        <f t="shared" si="50"/>
        <v/>
      </c>
      <c r="Z251" s="34" t="str">
        <f t="shared" si="51"/>
        <v/>
      </c>
      <c r="AA251" s="34" t="str">
        <f t="shared" si="48"/>
        <v/>
      </c>
      <c r="AB251" s="25" t="str">
        <f t="shared" si="52"/>
        <v>15%</v>
      </c>
      <c r="AC251" s="1">
        <f t="shared" si="53"/>
        <v>160</v>
      </c>
      <c r="AD251" s="36">
        <f t="shared" si="49"/>
        <v>5</v>
      </c>
      <c r="AE251" t="str">
        <f t="shared" si="54"/>
        <v/>
      </c>
      <c r="AF251" t="str">
        <f t="shared" si="55"/>
        <v/>
      </c>
      <c r="AG251" t="str">
        <f t="shared" si="56"/>
        <v/>
      </c>
      <c r="AH251" t="str">
        <f t="shared" si="57"/>
        <v/>
      </c>
      <c r="AI251" t="str">
        <f t="shared" si="58"/>
        <v/>
      </c>
      <c r="AJ251" t="str">
        <f t="shared" si="59"/>
        <v/>
      </c>
      <c r="AK251" t="str">
        <f t="shared" si="60"/>
        <v/>
      </c>
      <c r="AL251" t="str">
        <f>IFERROR(ROUND(L251*(G251/$AU251)/VLOOKUP(F251,商品!$A$4:$C$60,3,FALSE),0),"")</f>
        <v/>
      </c>
      <c r="AM251" t="str">
        <f>IFERROR(ROUND(L251*(I251/$AU251)/VLOOKUP(H251,商品!$A$4:$C$60,3,FALSE),0),"")</f>
        <v/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 t="str">
        <f>IFERROR(ROUND(S251*(N251/$AV251)/VLOOKUP(M251,职业!$A$3:$E$16,4,FALSE),0),"")</f>
        <v/>
      </c>
      <c r="AQ251" t="str">
        <f>IFERROR(ROUND(S251*(P251/$AV251)/VLOOKUP(O251,职业!$A$3:$E$16,4,FALSE),0),"")</f>
        <v/>
      </c>
      <c r="AR251" t="str">
        <f>IFERROR(ROUND(S251*(R251/$AV251)/VLOOKUP(Q251,职业!$A$3:$E$16,4,FALSE),0),"")</f>
        <v/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0</v>
      </c>
      <c r="AV251">
        <f t="shared" si="62"/>
        <v>0</v>
      </c>
      <c r="AW251">
        <f t="shared" si="63"/>
        <v>0</v>
      </c>
    </row>
    <row r="252" spans="1:49" ht="20" customHeight="1" x14ac:dyDescent="0.3">
      <c r="A252" s="5" t="s">
        <v>334</v>
      </c>
      <c r="C252" s="5">
        <v>1</v>
      </c>
      <c r="D252" s="21" t="s">
        <v>292</v>
      </c>
      <c r="E252" s="21" t="s">
        <v>226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20" customHeight="1" x14ac:dyDescent="0.3">
      <c r="A253" s="5" t="s">
        <v>334</v>
      </c>
      <c r="C253" s="5">
        <v>2</v>
      </c>
      <c r="D253" s="21" t="s">
        <v>292</v>
      </c>
      <c r="E253" s="21" t="s">
        <v>226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20" customHeight="1" x14ac:dyDescent="0.3">
      <c r="A254" s="5" t="s">
        <v>334</v>
      </c>
      <c r="C254" s="5">
        <v>3</v>
      </c>
      <c r="D254" s="21" t="s">
        <v>292</v>
      </c>
      <c r="E254" s="21" t="s">
        <v>226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20" customHeight="1" x14ac:dyDescent="0.3">
      <c r="A255" s="5" t="s">
        <v>334</v>
      </c>
      <c r="C255" s="5">
        <v>4</v>
      </c>
      <c r="D255" s="21" t="s">
        <v>292</v>
      </c>
      <c r="E255" s="21" t="s">
        <v>226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20" customHeight="1" x14ac:dyDescent="0.3">
      <c r="A256" s="5" t="s">
        <v>334</v>
      </c>
      <c r="C256" s="5">
        <v>5</v>
      </c>
      <c r="D256" s="21" t="s">
        <v>292</v>
      </c>
      <c r="E256" s="21" t="s">
        <v>226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20" customHeight="1" x14ac:dyDescent="0.3">
      <c r="A257" s="5" t="s">
        <v>334</v>
      </c>
      <c r="C257" s="5">
        <v>6</v>
      </c>
      <c r="D257" s="21" t="s">
        <v>292</v>
      </c>
      <c r="E257" s="21" t="s">
        <v>226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20" customHeight="1" x14ac:dyDescent="0.3">
      <c r="A258" s="5" t="s">
        <v>334</v>
      </c>
      <c r="C258" s="5">
        <v>7</v>
      </c>
      <c r="D258" s="21" t="s">
        <v>292</v>
      </c>
      <c r="E258" s="21" t="s">
        <v>226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20" customHeight="1" x14ac:dyDescent="0.3">
      <c r="A259" s="5" t="s">
        <v>334</v>
      </c>
      <c r="C259" s="5">
        <v>8</v>
      </c>
      <c r="D259" s="21" t="s">
        <v>292</v>
      </c>
      <c r="E259" s="21" t="s">
        <v>226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20" customHeight="1" x14ac:dyDescent="0.3">
      <c r="A260" s="18" t="s">
        <v>336</v>
      </c>
      <c r="C260" s="18">
        <v>1</v>
      </c>
      <c r="D260" s="21" t="s">
        <v>222</v>
      </c>
      <c r="E260" s="21" t="s">
        <v>224</v>
      </c>
      <c r="F260" s="80" t="s">
        <v>638</v>
      </c>
      <c r="H260" s="80" t="s">
        <v>635</v>
      </c>
      <c r="L260" s="18">
        <f>IFERROR(VLOOKUP($D260&amp;$C260,生产方式定位!$A$2:$E$38,2,FALSE)+VLOOKUP($E260&amp;$C260,生产方式定位!$F$3:$J$38,2,FALSE),0)</f>
        <v>600</v>
      </c>
      <c r="S260" s="18">
        <f>IFERROR(VLOOKUP($D260&amp;$C260,生产方式定位!$A$2:$E$38,3,FALSE)+VLOOKUP($E260&amp;$C260,生产方式定位!$F$3:$J$38,3,FALSE),0)</f>
        <v>150</v>
      </c>
      <c r="X260" s="18">
        <f>IFERROR(VLOOKUP($D260&amp;$C260,生产方式定位!$A$2:$E$38,5,FALSE)+VLOOKUP($E260&amp;$C260,生产方式定位!$F$3:$J$38,5,FALSE),"错误")</f>
        <v>788</v>
      </c>
      <c r="Y260" s="24" t="str">
        <f t="shared" si="50"/>
        <v/>
      </c>
      <c r="Z260" s="34" t="str">
        <f t="shared" si="51"/>
        <v/>
      </c>
      <c r="AA260" s="34" t="str">
        <f t="shared" si="48"/>
        <v/>
      </c>
      <c r="AB260" s="25" t="str">
        <f t="shared" si="52"/>
        <v>31%</v>
      </c>
      <c r="AC260" s="1">
        <f t="shared" si="53"/>
        <v>38</v>
      </c>
      <c r="AD260" s="36">
        <f t="shared" si="49"/>
        <v>1</v>
      </c>
      <c r="AE260" t="str">
        <f t="shared" si="54"/>
        <v/>
      </c>
      <c r="AF260" t="str">
        <f t="shared" si="55"/>
        <v/>
      </c>
      <c r="AG260" t="str">
        <f t="shared" si="56"/>
        <v/>
      </c>
      <c r="AH260" t="str">
        <f t="shared" si="57"/>
        <v/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 t="str">
        <f>IFERROR(ROUND(L260*(G260/$AU260)/VLOOKUP(F260,商品!$A$4:$C$60,3,FALSE),0),"")</f>
        <v/>
      </c>
      <c r="AM260" t="str">
        <f>IFERROR(ROUND(L260*(I260/$AU260)/VLOOKUP(H260,商品!$A$4:$C$60,3,FALSE),0),"")</f>
        <v/>
      </c>
      <c r="AN260">
        <f>IFERROR(ROUND(L260*(J260/$AU260)/VLOOKUP("运力",商品!$A$4:$C$60,3,FALSE),0),0)</f>
        <v>0</v>
      </c>
      <c r="AO260">
        <f>IFERROR(ROUND(L260*(K260/$AU260)/VLOOKUP("运力",商品!$A$4:$C$60,3,FALSE),0),0)</f>
        <v>0</v>
      </c>
      <c r="AP260" t="str">
        <f>IFERROR(ROUND(S260*(N260/$AV260)/VLOOKUP(M260,职业!$A$3:$E$16,4,FALSE),0),"")</f>
        <v/>
      </c>
      <c r="AQ260" t="str">
        <f>IFERROR(ROUND(S260*(P260/$AV260)/VLOOKUP(O260,职业!$A$3:$E$16,4,FALSE),0),"")</f>
        <v/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0</v>
      </c>
      <c r="AV260">
        <f t="shared" si="62"/>
        <v>0</v>
      </c>
      <c r="AW260">
        <f t="shared" si="63"/>
        <v>0</v>
      </c>
    </row>
    <row r="261" spans="1:49" ht="20" customHeight="1" x14ac:dyDescent="0.3">
      <c r="A261" s="18" t="s">
        <v>336</v>
      </c>
      <c r="C261" s="18">
        <v>2</v>
      </c>
      <c r="D261" s="21" t="s">
        <v>222</v>
      </c>
      <c r="E261" s="21" t="s">
        <v>224</v>
      </c>
      <c r="L261" s="18">
        <f>IFERROR(VLOOKUP($D261&amp;$C261,生产方式定位!$A$2:$E$38,2,FALSE)+VLOOKUP($E261&amp;$C261,生产方式定位!$F$3:$J$38,2,FALSE),0)</f>
        <v>1200</v>
      </c>
      <c r="S261" s="18">
        <f>IFERROR(VLOOKUP($D261&amp;$C261,生产方式定位!$A$2:$E$38,3,FALSE)+VLOOKUP($E261&amp;$C261,生产方式定位!$F$3:$J$38,3,FALSE),0)</f>
        <v>140</v>
      </c>
      <c r="X261" s="18">
        <f>IFERROR(VLOOKUP($D261&amp;$C261,生产方式定位!$A$2:$E$38,5,FALSE)+VLOOKUP($E261&amp;$C261,生产方式定位!$F$3:$J$38,5,FALSE),"错误")</f>
        <v>1390</v>
      </c>
      <c r="Y261" s="24" t="str">
        <f t="shared" si="50"/>
        <v/>
      </c>
      <c r="Z261" s="34" t="str">
        <f t="shared" si="51"/>
        <v/>
      </c>
      <c r="AA261" s="34" t="str">
        <f t="shared" ref="AA261:AA324" si="64">IF(AJ261="","",AJ261)&amp;IF(AK261="","",","&amp;AK261)</f>
        <v/>
      </c>
      <c r="AB261" s="25" t="str">
        <f t="shared" si="52"/>
        <v>16%</v>
      </c>
      <c r="AC261" s="1">
        <f t="shared" si="53"/>
        <v>50</v>
      </c>
      <c r="AD261" s="36">
        <f t="shared" ref="AD261:AD324" si="65">C261</f>
        <v>2</v>
      </c>
      <c r="AE261" t="str">
        <f t="shared" si="54"/>
        <v/>
      </c>
      <c r="AF261" t="str">
        <f t="shared" si="55"/>
        <v/>
      </c>
      <c r="AG261" t="str">
        <f t="shared" si="56"/>
        <v/>
      </c>
      <c r="AH261" t="str">
        <f t="shared" si="57"/>
        <v/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 t="str">
        <f>IFERROR(ROUND(L261*(G261/$AU261)/VLOOKUP(F261,商品!$A$4:$C$60,3,FALSE),0),"")</f>
        <v/>
      </c>
      <c r="AM261" t="str">
        <f>IFERROR(ROUND(L261*(I261/$AU261)/VLOOKUP(H261,商品!$A$4:$C$60,3,FALSE),0),"")</f>
        <v/>
      </c>
      <c r="AN261">
        <f>IFERROR(ROUND(L261*(J261/$AU261)/VLOOKUP("运力",商品!$A$4:$C$60,3,FALSE),0),0)</f>
        <v>0</v>
      </c>
      <c r="AO261">
        <f>IFERROR(ROUND(L261*(K261/$AU261)/VLOOKUP("运力",商品!$A$4:$C$60,3,FALSE),0),0)</f>
        <v>0</v>
      </c>
      <c r="AP261" t="str">
        <f>IFERROR(ROUND(S261*(N261/$AV261)/VLOOKUP(M261,职业!$A$3:$E$16,4,FALSE),0),"")</f>
        <v/>
      </c>
      <c r="AQ261" t="str">
        <f>IFERROR(ROUND(S261*(P261/$AV261)/VLOOKUP(O261,职业!$A$3:$E$16,4,FALSE),0),"")</f>
        <v/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0</v>
      </c>
      <c r="AV261">
        <f t="shared" si="62"/>
        <v>0</v>
      </c>
      <c r="AW261">
        <f t="shared" si="63"/>
        <v>0</v>
      </c>
    </row>
    <row r="262" spans="1:49" ht="20" customHeight="1" x14ac:dyDescent="0.3">
      <c r="A262" s="18" t="s">
        <v>336</v>
      </c>
      <c r="C262" s="18">
        <v>3</v>
      </c>
      <c r="D262" s="21" t="s">
        <v>222</v>
      </c>
      <c r="E262" s="21" t="s">
        <v>224</v>
      </c>
      <c r="L262" s="18">
        <f>IFERROR(VLOOKUP($D262&amp;$C262,生产方式定位!$A$2:$E$38,2,FALSE)+VLOOKUP($E262&amp;$C262,生产方式定位!$F$3:$J$38,2,FALSE),0)</f>
        <v>1425</v>
      </c>
      <c r="S262" s="18">
        <f>IFERROR(VLOOKUP($D262&amp;$C262,生产方式定位!$A$2:$E$38,3,FALSE)+VLOOKUP($E262&amp;$C262,生产方式定位!$F$3:$J$38,3,FALSE),0)</f>
        <v>130</v>
      </c>
      <c r="X262" s="18">
        <f>IFERROR(VLOOKUP($D262&amp;$C262,生产方式定位!$A$2:$E$38,5,FALSE)+VLOOKUP($E262&amp;$C262,生产方式定位!$F$3:$J$38,5,FALSE),"错误")</f>
        <v>1618</v>
      </c>
      <c r="Y262" s="24" t="str">
        <f t="shared" ref="Y262:Y325" si="66">IF(AE262="","",AE262)&amp;IF(AF262="","",","&amp;AF262)&amp;IF(AN262=0,"",",运力*"&amp;AN262)&amp;IF(AO262=0,"",",交易*"&amp;AO262)</f>
        <v/>
      </c>
      <c r="Z262" s="34" t="str">
        <f t="shared" ref="Z262:Z325" si="67">IF(AG262="","",AG262)&amp;IF(AH262="","",","&amp;AH262)&amp;IF(AI262="","",","&amp;AI262)</f>
        <v/>
      </c>
      <c r="AA262" s="34" t="str">
        <f t="shared" si="64"/>
        <v/>
      </c>
      <c r="AB262" s="25" t="str">
        <f t="shared" ref="AB262:AB325" si="68">IFERROR(ROUND(((X262/L262)-1)*100,0)&amp;"%","")</f>
        <v>14%</v>
      </c>
      <c r="AC262" s="1">
        <f t="shared" ref="AC262:AC325" si="69">IF(X262-S262-L262=0,"",X262-S262-L262)</f>
        <v>63</v>
      </c>
      <c r="AD262" s="35">
        <f t="shared" si="65"/>
        <v>3</v>
      </c>
      <c r="AE262" t="str">
        <f t="shared" ref="AE262:AE325" si="70">IF(AL262="","",F262&amp;"*"&amp;AL262)</f>
        <v/>
      </c>
      <c r="AF262" t="str">
        <f t="shared" ref="AF262:AF325" si="71">IF(AM262="","",H262&amp;"*"&amp;AM262)</f>
        <v/>
      </c>
      <c r="AG262" t="str">
        <f t="shared" ref="AG262:AG325" si="72">IF(AP262="","",M262&amp;"*"&amp;AP262)</f>
        <v/>
      </c>
      <c r="AH262" t="str">
        <f t="shared" ref="AH262:AH325" si="73">IF(AQ262="","",O262&amp;"*"&amp;AQ262)</f>
        <v/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 t="str">
        <f>IFERROR(ROUND(L262*(G262/$AU262)/VLOOKUP(F262,商品!$A$4:$C$60,3,FALSE),0),"")</f>
        <v/>
      </c>
      <c r="AM262" t="str">
        <f>IFERROR(ROUND(L262*(I262/$AU262)/VLOOKUP(H262,商品!$A$4:$C$60,3,FALSE),0),"")</f>
        <v/>
      </c>
      <c r="AN262">
        <f>IFERROR(ROUND(L262*(J262/$AU262)/VLOOKUP("运力",商品!$A$4:$C$60,3,FALSE),0),0)</f>
        <v>0</v>
      </c>
      <c r="AO262">
        <f>IFERROR(ROUND(L262*(K262/$AU262)/VLOOKUP("运力",商品!$A$4:$C$60,3,FALSE),0),0)</f>
        <v>0</v>
      </c>
      <c r="AP262" t="str">
        <f>IFERROR(ROUND(S262*(N262/$AV262)/VLOOKUP(M262,职业!$A$3:$E$16,4,FALSE),0),"")</f>
        <v/>
      </c>
      <c r="AQ262" t="str">
        <f>IFERROR(ROUND(S262*(P262/$AV262)/VLOOKUP(O262,职业!$A$3:$E$16,4,FALSE),0),"")</f>
        <v/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0</v>
      </c>
      <c r="AV262">
        <f t="shared" ref="AV262:AV325" si="78">ABS(N262)+ABS(P262)+ABS(R262)</f>
        <v>0</v>
      </c>
      <c r="AW262">
        <f t="shared" ref="AW262:AW325" si="79">U262+W262</f>
        <v>0</v>
      </c>
    </row>
    <row r="263" spans="1:49" ht="20" customHeight="1" x14ac:dyDescent="0.3">
      <c r="A263" s="18" t="s">
        <v>336</v>
      </c>
      <c r="C263" s="18">
        <v>4</v>
      </c>
      <c r="D263" s="21" t="s">
        <v>222</v>
      </c>
      <c r="E263" s="21" t="s">
        <v>224</v>
      </c>
      <c r="L263" s="18">
        <f>IFERROR(VLOOKUP($D263&amp;$C263,生产方式定位!$A$2:$E$38,2,FALSE)+VLOOKUP($E263&amp;$C263,生产方式定位!$F$3:$J$38,2,FALSE),0)</f>
        <v>1650</v>
      </c>
      <c r="S263" s="18">
        <f>IFERROR(VLOOKUP($D263&amp;$C263,生产方式定位!$A$2:$E$38,3,FALSE)+VLOOKUP($E263&amp;$C263,生产方式定位!$F$3:$J$38,3,FALSE),0)</f>
        <v>120</v>
      </c>
      <c r="X263" s="18">
        <f>IFERROR(VLOOKUP($D263&amp;$C263,生产方式定位!$A$2:$E$38,5,FALSE)+VLOOKUP($E263&amp;$C263,生产方式定位!$F$3:$J$38,5,FALSE),"错误")</f>
        <v>1845</v>
      </c>
      <c r="Y263" s="24" t="str">
        <f t="shared" si="66"/>
        <v/>
      </c>
      <c r="Z263" s="34" t="str">
        <f t="shared" si="67"/>
        <v/>
      </c>
      <c r="AA263" s="34" t="str">
        <f t="shared" si="64"/>
        <v/>
      </c>
      <c r="AB263" s="25" t="str">
        <f t="shared" si="68"/>
        <v>12%</v>
      </c>
      <c r="AC263" s="1">
        <f t="shared" si="69"/>
        <v>75</v>
      </c>
      <c r="AD263" s="35">
        <f t="shared" si="65"/>
        <v>4</v>
      </c>
      <c r="AE263" t="str">
        <f t="shared" si="70"/>
        <v/>
      </c>
      <c r="AF263" t="str">
        <f t="shared" si="71"/>
        <v/>
      </c>
      <c r="AG263" t="str">
        <f t="shared" si="72"/>
        <v/>
      </c>
      <c r="AH263" t="str">
        <f t="shared" si="73"/>
        <v/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 t="str">
        <f>IFERROR(ROUND(L263*(G263/$AU263)/VLOOKUP(F263,商品!$A$4:$C$60,3,FALSE),0),"")</f>
        <v/>
      </c>
      <c r="AM263" t="str">
        <f>IFERROR(ROUND(L263*(I263/$AU263)/VLOOKUP(H263,商品!$A$4:$C$60,3,FALSE),0),"")</f>
        <v/>
      </c>
      <c r="AN263">
        <f>IFERROR(ROUND(L263*(J263/$AU263)/VLOOKUP("运力",商品!$A$4:$C$60,3,FALSE),0),0)</f>
        <v>0</v>
      </c>
      <c r="AO263">
        <f>IFERROR(ROUND(L263*(K263/$AU263)/VLOOKUP("运力",商品!$A$4:$C$60,3,FALSE),0),0)</f>
        <v>0</v>
      </c>
      <c r="AP263" t="str">
        <f>IFERROR(ROUND(S263*(N263/$AV263)/VLOOKUP(M263,职业!$A$3:$E$16,4,FALSE),0),"")</f>
        <v/>
      </c>
      <c r="AQ263" t="str">
        <f>IFERROR(ROUND(S263*(P263/$AV263)/VLOOKUP(O263,职业!$A$3:$E$16,4,FALSE),0),"")</f>
        <v/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0</v>
      </c>
      <c r="AV263">
        <f t="shared" si="78"/>
        <v>0</v>
      </c>
      <c r="AW263">
        <f t="shared" si="79"/>
        <v>0</v>
      </c>
    </row>
    <row r="264" spans="1:49" ht="20" customHeight="1" x14ac:dyDescent="0.3">
      <c r="A264" s="18" t="s">
        <v>336</v>
      </c>
      <c r="C264" s="18">
        <v>5</v>
      </c>
      <c r="D264" s="21" t="s">
        <v>222</v>
      </c>
      <c r="E264" s="21" t="s">
        <v>224</v>
      </c>
      <c r="L264" s="18">
        <f>IFERROR(VLOOKUP($D264&amp;$C264,生产方式定位!$A$2:$E$38,2,FALSE)+VLOOKUP($E264&amp;$C264,生产方式定位!$F$3:$J$38,2,FALSE),0)</f>
        <v>1875</v>
      </c>
      <c r="S264" s="18">
        <f>IFERROR(VLOOKUP($D264&amp;$C264,生产方式定位!$A$2:$E$38,3,FALSE)+VLOOKUP($E264&amp;$C264,生产方式定位!$F$3:$J$38,3,FALSE),0)</f>
        <v>110</v>
      </c>
      <c r="X264" s="18">
        <f>IFERROR(VLOOKUP($D264&amp;$C264,生产方式定位!$A$2:$E$38,5,FALSE)+VLOOKUP($E264&amp;$C264,生产方式定位!$F$3:$J$38,5,FALSE),"错误")</f>
        <v>2073</v>
      </c>
      <c r="Y264" s="24" t="str">
        <f t="shared" si="66"/>
        <v/>
      </c>
      <c r="Z264" s="34" t="str">
        <f t="shared" si="67"/>
        <v/>
      </c>
      <c r="AA264" s="34" t="str">
        <f t="shared" si="64"/>
        <v/>
      </c>
      <c r="AB264" s="25" t="str">
        <f t="shared" si="68"/>
        <v>11%</v>
      </c>
      <c r="AC264" s="1">
        <f t="shared" si="69"/>
        <v>88</v>
      </c>
      <c r="AD264" s="35">
        <f t="shared" si="65"/>
        <v>5</v>
      </c>
      <c r="AE264" t="str">
        <f t="shared" si="70"/>
        <v/>
      </c>
      <c r="AF264" t="str">
        <f t="shared" si="71"/>
        <v/>
      </c>
      <c r="AG264" t="str">
        <f t="shared" si="72"/>
        <v/>
      </c>
      <c r="AH264" t="str">
        <f t="shared" si="73"/>
        <v/>
      </c>
      <c r="AI264" t="str">
        <f t="shared" si="74"/>
        <v/>
      </c>
      <c r="AJ264" t="str">
        <f t="shared" si="75"/>
        <v/>
      </c>
      <c r="AK264" t="str">
        <f t="shared" si="76"/>
        <v/>
      </c>
      <c r="AL264" t="str">
        <f>IFERROR(ROUND(L264*(G264/$AU264)/VLOOKUP(F264,商品!$A$4:$C$60,3,FALSE),0),"")</f>
        <v/>
      </c>
      <c r="AM264" t="str">
        <f>IFERROR(ROUND(L264*(I264/$AU264)/VLOOKUP(H264,商品!$A$4:$C$60,3,FALSE),0),"")</f>
        <v/>
      </c>
      <c r="AN264">
        <f>IFERROR(ROUND(L264*(J264/$AU264)/VLOOKUP("运力",商品!$A$4:$C$60,3,FALSE),0),0)</f>
        <v>0</v>
      </c>
      <c r="AO264">
        <f>IFERROR(ROUND(L264*(K264/$AU264)/VLOOKUP("运力",商品!$A$4:$C$60,3,FALSE),0),0)</f>
        <v>0</v>
      </c>
      <c r="AP264" t="str">
        <f>IFERROR(ROUND(S264*(N264/$AV264)/VLOOKUP(M264,职业!$A$3:$E$16,4,FALSE),0),"")</f>
        <v/>
      </c>
      <c r="AQ264" t="str">
        <f>IFERROR(ROUND(S264*(P264/$AV264)/VLOOKUP(O264,职业!$A$3:$E$16,4,FALSE),0),"")</f>
        <v/>
      </c>
      <c r="AR264" t="str">
        <f>IFERROR(ROUND(S264*(R264/$AV264)/VLOOKUP(Q264,职业!$A$3:$E$16,4,FALSE),0),"")</f>
        <v/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0</v>
      </c>
      <c r="AV264">
        <f t="shared" si="78"/>
        <v>0</v>
      </c>
      <c r="AW264">
        <f t="shared" si="79"/>
        <v>0</v>
      </c>
    </row>
    <row r="265" spans="1:49" ht="20" customHeight="1" x14ac:dyDescent="0.3">
      <c r="A265" s="5" t="s">
        <v>337</v>
      </c>
      <c r="C265" s="5">
        <v>1</v>
      </c>
      <c r="D265" s="21" t="s">
        <v>222</v>
      </c>
      <c r="E265" s="21" t="s">
        <v>230</v>
      </c>
      <c r="L265" s="5">
        <f>IFERROR(VLOOKUP($D265&amp;$C265,生产方式定位!$A$2:$E$38,2,FALSE)+VLOOKUP($E265&amp;$C265,生产方式定位!$F$3:$J$38,2,FALSE),0)</f>
        <v>600</v>
      </c>
      <c r="S265" s="5">
        <f>IFERROR(VLOOKUP($D265&amp;$C265,生产方式定位!$A$2:$E$38,3,FALSE)+VLOOKUP($E265&amp;$C265,生产方式定位!$F$3:$J$38,3,FALSE),0)</f>
        <v>150</v>
      </c>
      <c r="X265" s="5">
        <f>IFERROR(VLOOKUP($D265&amp;$C265,生产方式定位!$A$2:$E$38,5,FALSE)+VLOOKUP($E265&amp;$C265,生产方式定位!$F$3:$J$38,5,FALSE),"错误")</f>
        <v>788</v>
      </c>
      <c r="Y265" s="24" t="str">
        <f t="shared" si="66"/>
        <v/>
      </c>
      <c r="Z265" s="34" t="str">
        <f t="shared" si="67"/>
        <v/>
      </c>
      <c r="AA265" s="34" t="str">
        <f t="shared" si="64"/>
        <v/>
      </c>
      <c r="AB265" s="25" t="str">
        <f t="shared" si="68"/>
        <v>31%</v>
      </c>
      <c r="AC265" s="1">
        <f t="shared" si="69"/>
        <v>38</v>
      </c>
      <c r="AD265" s="35">
        <f t="shared" si="65"/>
        <v>1</v>
      </c>
      <c r="AE265" t="str">
        <f t="shared" si="70"/>
        <v/>
      </c>
      <c r="AF265" t="str">
        <f t="shared" si="71"/>
        <v/>
      </c>
      <c r="AG265" t="str">
        <f t="shared" si="72"/>
        <v/>
      </c>
      <c r="AH265" t="str">
        <f t="shared" si="73"/>
        <v/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 t="str">
        <f>IFERROR(ROUND(L265*(G265/$AU265)/VLOOKUP(F265,商品!$A$4:$C$60,3,FALSE),0),"")</f>
        <v/>
      </c>
      <c r="AM265" t="str">
        <f>IFERROR(ROUND(L265*(I265/$AU265)/VLOOKUP(H265,商品!$A$4:$C$60,3,FALSE),0),"")</f>
        <v/>
      </c>
      <c r="AN265">
        <f>IFERROR(ROUND(L265*(J265/$AU265)/VLOOKUP("运力",商品!$A$4:$C$60,3,FALSE),0),0)</f>
        <v>0</v>
      </c>
      <c r="AO265">
        <f>IFERROR(ROUND(L265*(K265/$AU265)/VLOOKUP("运力",商品!$A$4:$C$60,3,FALSE),0),0)</f>
        <v>0</v>
      </c>
      <c r="AP265" t="str">
        <f>IFERROR(ROUND(S265*(N265/$AV265)/VLOOKUP(M265,职业!$A$3:$E$16,4,FALSE),0),"")</f>
        <v/>
      </c>
      <c r="AQ265" t="str">
        <f>IFERROR(ROUND(S265*(P265/$AV265)/VLOOKUP(O265,职业!$A$3:$E$16,4,FALSE),0),"")</f>
        <v/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0</v>
      </c>
      <c r="AV265">
        <f t="shared" si="78"/>
        <v>0</v>
      </c>
      <c r="AW265">
        <f t="shared" si="79"/>
        <v>0</v>
      </c>
    </row>
    <row r="266" spans="1:49" ht="20" customHeight="1" x14ac:dyDescent="0.3">
      <c r="A266" s="5" t="s">
        <v>337</v>
      </c>
      <c r="C266" s="5">
        <v>2</v>
      </c>
      <c r="D266" s="21" t="s">
        <v>222</v>
      </c>
      <c r="E266" s="21" t="s">
        <v>230</v>
      </c>
      <c r="L266" s="5">
        <f>IFERROR(VLOOKUP($D266&amp;$C266,生产方式定位!$A$2:$E$38,2,FALSE)+VLOOKUP($E266&amp;$C266,生产方式定位!$F$3:$J$38,2,FALSE),0)</f>
        <v>1100</v>
      </c>
      <c r="S266" s="5">
        <f>IFERROR(VLOOKUP($D266&amp;$C266,生产方式定位!$A$2:$E$38,3,FALSE)+VLOOKUP($E266&amp;$C266,生产方式定位!$F$3:$J$38,3,FALSE),0)</f>
        <v>150</v>
      </c>
      <c r="X266" s="5">
        <f>IFERROR(VLOOKUP($D266&amp;$C266,生产方式定位!$A$2:$E$38,5,FALSE)+VLOOKUP($E266&amp;$C266,生产方式定位!$F$3:$J$38,5,FALSE),"错误")</f>
        <v>1291</v>
      </c>
      <c r="Y266" s="24" t="str">
        <f t="shared" si="66"/>
        <v/>
      </c>
      <c r="Z266" s="34" t="str">
        <f t="shared" si="67"/>
        <v/>
      </c>
      <c r="AA266" s="34" t="str">
        <f t="shared" si="64"/>
        <v/>
      </c>
      <c r="AB266" s="25" t="str">
        <f t="shared" si="68"/>
        <v>17%</v>
      </c>
      <c r="AC266" s="1">
        <f t="shared" si="69"/>
        <v>41</v>
      </c>
      <c r="AD266" s="35">
        <f t="shared" si="65"/>
        <v>2</v>
      </c>
      <c r="AE266" t="str">
        <f t="shared" si="70"/>
        <v/>
      </c>
      <c r="AF266" t="str">
        <f t="shared" si="71"/>
        <v/>
      </c>
      <c r="AG266" t="str">
        <f t="shared" si="72"/>
        <v/>
      </c>
      <c r="AH266" t="str">
        <f t="shared" si="73"/>
        <v/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 t="str">
        <f>IFERROR(ROUND(L266*(G266/$AU266)/VLOOKUP(F266,商品!$A$4:$C$60,3,FALSE),0),"")</f>
        <v/>
      </c>
      <c r="AM266" t="str">
        <f>IFERROR(ROUND(L266*(I266/$AU266)/VLOOKUP(H266,商品!$A$4:$C$60,3,FALSE),0),"")</f>
        <v/>
      </c>
      <c r="AN266">
        <f>IFERROR(ROUND(L266*(J266/$AU266)/VLOOKUP("运力",商品!$A$4:$C$60,3,FALSE),0),0)</f>
        <v>0</v>
      </c>
      <c r="AO266">
        <f>IFERROR(ROUND(L266*(K266/$AU266)/VLOOKUP("运力",商品!$A$4:$C$60,3,FALSE),0),0)</f>
        <v>0</v>
      </c>
      <c r="AP266" t="str">
        <f>IFERROR(ROUND(S266*(N266/$AV266)/VLOOKUP(M266,职业!$A$3:$E$16,4,FALSE),0),"")</f>
        <v/>
      </c>
      <c r="AQ266" t="str">
        <f>IFERROR(ROUND(S266*(P266/$AV266)/VLOOKUP(O266,职业!$A$3:$E$16,4,FALSE),0),"")</f>
        <v/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0</v>
      </c>
      <c r="AV266">
        <f t="shared" si="78"/>
        <v>0</v>
      </c>
      <c r="AW266">
        <f t="shared" si="79"/>
        <v>0</v>
      </c>
    </row>
    <row r="267" spans="1:49" ht="20" customHeight="1" x14ac:dyDescent="0.3">
      <c r="A267" s="5" t="s">
        <v>337</v>
      </c>
      <c r="C267" s="5">
        <v>3</v>
      </c>
      <c r="D267" s="21" t="s">
        <v>222</v>
      </c>
      <c r="E267" s="21" t="s">
        <v>230</v>
      </c>
      <c r="L267" s="5">
        <f>IFERROR(VLOOKUP($D267&amp;$C267,生产方式定位!$A$2:$E$38,2,FALSE)+VLOOKUP($E267&amp;$C267,生产方式定位!$F$3:$J$38,2,FALSE),0)</f>
        <v>1300</v>
      </c>
      <c r="S267" s="5">
        <f>IFERROR(VLOOKUP($D267&amp;$C267,生产方式定位!$A$2:$E$38,3,FALSE)+VLOOKUP($E267&amp;$C267,生产方式定位!$F$3:$J$38,3,FALSE),0)</f>
        <v>145</v>
      </c>
      <c r="X267" s="5">
        <f>IFERROR(VLOOKUP($D267&amp;$C267,生产方式定位!$A$2:$E$38,5,FALSE)+VLOOKUP($E267&amp;$C267,生产方式定位!$F$3:$J$38,5,FALSE),"错误")</f>
        <v>1497</v>
      </c>
      <c r="Y267" s="24" t="str">
        <f t="shared" si="66"/>
        <v/>
      </c>
      <c r="Z267" s="34" t="str">
        <f t="shared" si="67"/>
        <v/>
      </c>
      <c r="AA267" s="34" t="str">
        <f t="shared" si="64"/>
        <v/>
      </c>
      <c r="AB267" s="25" t="str">
        <f t="shared" si="68"/>
        <v>15%</v>
      </c>
      <c r="AC267" s="1">
        <f t="shared" si="69"/>
        <v>52</v>
      </c>
      <c r="AD267" s="35">
        <f t="shared" si="65"/>
        <v>3</v>
      </c>
      <c r="AE267" t="str">
        <f t="shared" si="70"/>
        <v/>
      </c>
      <c r="AF267" t="str">
        <f t="shared" si="71"/>
        <v/>
      </c>
      <c r="AG267" t="str">
        <f t="shared" si="72"/>
        <v/>
      </c>
      <c r="AH267" t="str">
        <f t="shared" si="73"/>
        <v/>
      </c>
      <c r="AI267" t="str">
        <f t="shared" si="74"/>
        <v/>
      </c>
      <c r="AJ267" t="str">
        <f t="shared" si="75"/>
        <v/>
      </c>
      <c r="AK267" t="str">
        <f t="shared" si="76"/>
        <v/>
      </c>
      <c r="AL267" t="str">
        <f>IFERROR(ROUND(L267*(G267/$AU267)/VLOOKUP(F267,商品!$A$4:$C$60,3,FALSE),0),"")</f>
        <v/>
      </c>
      <c r="AM267" t="str">
        <f>IFERROR(ROUND(L267*(I267/$AU267)/VLOOKUP(H267,商品!$A$4:$C$60,3,FALSE),0),"")</f>
        <v/>
      </c>
      <c r="AN267">
        <f>IFERROR(ROUND(L267*(J267/$AU267)/VLOOKUP("运力",商品!$A$4:$C$60,3,FALSE),0),0)</f>
        <v>0</v>
      </c>
      <c r="AO267">
        <f>IFERROR(ROUND(L267*(K267/$AU267)/VLOOKUP("运力",商品!$A$4:$C$60,3,FALSE),0),0)</f>
        <v>0</v>
      </c>
      <c r="AP267" t="str">
        <f>IFERROR(ROUND(S267*(N267/$AV267)/VLOOKUP(M267,职业!$A$3:$E$16,4,FALSE),0),"")</f>
        <v/>
      </c>
      <c r="AQ267" t="str">
        <f>IFERROR(ROUND(S267*(P267/$AV267)/VLOOKUP(O267,职业!$A$3:$E$16,4,FALSE),0),"")</f>
        <v/>
      </c>
      <c r="AR267" t="str">
        <f>IFERROR(ROUND(S267*(R267/$AV267)/VLOOKUP(Q267,职业!$A$3:$E$16,4,FALSE),0),"")</f>
        <v/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0</v>
      </c>
      <c r="AV267">
        <f t="shared" si="78"/>
        <v>0</v>
      </c>
      <c r="AW267">
        <f t="shared" si="79"/>
        <v>0</v>
      </c>
    </row>
    <row r="268" spans="1:49" ht="20" customHeight="1" x14ac:dyDescent="0.3">
      <c r="A268" s="5" t="s">
        <v>337</v>
      </c>
      <c r="C268" s="5">
        <v>4</v>
      </c>
      <c r="D268" s="21" t="s">
        <v>222</v>
      </c>
      <c r="E268" s="21" t="s">
        <v>230</v>
      </c>
      <c r="L268" s="5">
        <f>IFERROR(VLOOKUP($D268&amp;$C268,生产方式定位!$A$2:$E$38,2,FALSE)+VLOOKUP($E268&amp;$C268,生产方式定位!$F$3:$J$38,2,FALSE),0)</f>
        <v>1500</v>
      </c>
      <c r="S268" s="5">
        <f>IFERROR(VLOOKUP($D268&amp;$C268,生产方式定位!$A$2:$E$38,3,FALSE)+VLOOKUP($E268&amp;$C268,生产方式定位!$F$3:$J$38,3,FALSE),0)</f>
        <v>140</v>
      </c>
      <c r="X268" s="5">
        <f>IFERROR(VLOOKUP($D268&amp;$C268,生产方式定位!$A$2:$E$38,5,FALSE)+VLOOKUP($E268&amp;$C268,生产方式定位!$F$3:$J$38,5,FALSE),"错误")</f>
        <v>1702</v>
      </c>
      <c r="Y268" s="24" t="str">
        <f t="shared" si="66"/>
        <v/>
      </c>
      <c r="Z268" s="34" t="str">
        <f t="shared" si="67"/>
        <v/>
      </c>
      <c r="AA268" s="34" t="str">
        <f t="shared" si="64"/>
        <v/>
      </c>
      <c r="AB268" s="25" t="str">
        <f t="shared" si="68"/>
        <v>13%</v>
      </c>
      <c r="AC268" s="1">
        <f t="shared" si="69"/>
        <v>62</v>
      </c>
      <c r="AD268" s="35">
        <f t="shared" si="65"/>
        <v>4</v>
      </c>
      <c r="AE268" t="str">
        <f t="shared" si="70"/>
        <v/>
      </c>
      <c r="AF268" t="str">
        <f t="shared" si="71"/>
        <v/>
      </c>
      <c r="AG268" t="str">
        <f t="shared" si="72"/>
        <v/>
      </c>
      <c r="AH268" t="str">
        <f t="shared" si="73"/>
        <v/>
      </c>
      <c r="AI268" t="str">
        <f t="shared" si="74"/>
        <v/>
      </c>
      <c r="AJ268" t="str">
        <f t="shared" si="75"/>
        <v/>
      </c>
      <c r="AK268" t="str">
        <f t="shared" si="76"/>
        <v/>
      </c>
      <c r="AL268" t="str">
        <f>IFERROR(ROUND(L268*(G268/$AU268)/VLOOKUP(F268,商品!$A$4:$C$60,3,FALSE),0),"")</f>
        <v/>
      </c>
      <c r="AM268" t="str">
        <f>IFERROR(ROUND(L268*(I268/$AU268)/VLOOKUP(H268,商品!$A$4:$C$60,3,FALSE),0),"")</f>
        <v/>
      </c>
      <c r="AN268">
        <f>IFERROR(ROUND(L268*(J268/$AU268)/VLOOKUP("运力",商品!$A$4:$C$60,3,FALSE),0),0)</f>
        <v>0</v>
      </c>
      <c r="AO268">
        <f>IFERROR(ROUND(L268*(K268/$AU268)/VLOOKUP("运力",商品!$A$4:$C$60,3,FALSE),0),0)</f>
        <v>0</v>
      </c>
      <c r="AP268" t="str">
        <f>IFERROR(ROUND(S268*(N268/$AV268)/VLOOKUP(M268,职业!$A$3:$E$16,4,FALSE),0),"")</f>
        <v/>
      </c>
      <c r="AQ268" t="str">
        <f>IFERROR(ROUND(S268*(P268/$AV268)/VLOOKUP(O268,职业!$A$3:$E$16,4,FALSE),0),"")</f>
        <v/>
      </c>
      <c r="AR268" t="str">
        <f>IFERROR(ROUND(S268*(R268/$AV268)/VLOOKUP(Q268,职业!$A$3:$E$16,4,FALSE),0),"")</f>
        <v/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0</v>
      </c>
      <c r="AV268">
        <f t="shared" si="78"/>
        <v>0</v>
      </c>
      <c r="AW268">
        <f t="shared" si="79"/>
        <v>0</v>
      </c>
    </row>
    <row r="269" spans="1:49" ht="20" customHeight="1" x14ac:dyDescent="0.3">
      <c r="A269" s="5" t="s">
        <v>337</v>
      </c>
      <c r="C269" s="5">
        <v>5</v>
      </c>
      <c r="D269" s="21" t="s">
        <v>222</v>
      </c>
      <c r="E269" s="21" t="s">
        <v>230</v>
      </c>
      <c r="L269" s="5">
        <f>IFERROR(VLOOKUP($D269&amp;$C269,生产方式定位!$A$2:$E$38,2,FALSE)+VLOOKUP($E269&amp;$C269,生产方式定位!$F$3:$J$38,2,FALSE),0)</f>
        <v>1700</v>
      </c>
      <c r="S269" s="5">
        <f>IFERROR(VLOOKUP($D269&amp;$C269,生产方式定位!$A$2:$E$38,3,FALSE)+VLOOKUP($E269&amp;$C269,生产方式定位!$F$3:$J$38,3,FALSE),0)</f>
        <v>135</v>
      </c>
      <c r="X269" s="5">
        <f>IFERROR(VLOOKUP($D269&amp;$C269,生产方式定位!$A$2:$E$38,5,FALSE)+VLOOKUP($E269&amp;$C269,生产方式定位!$F$3:$J$38,5,FALSE),"错误")</f>
        <v>1908</v>
      </c>
      <c r="Y269" s="24" t="str">
        <f t="shared" si="66"/>
        <v/>
      </c>
      <c r="Z269" s="34" t="str">
        <f t="shared" si="67"/>
        <v/>
      </c>
      <c r="AA269" s="34" t="str">
        <f t="shared" si="64"/>
        <v/>
      </c>
      <c r="AB269" s="25" t="str">
        <f t="shared" si="68"/>
        <v>12%</v>
      </c>
      <c r="AC269" s="1">
        <f t="shared" si="69"/>
        <v>73</v>
      </c>
      <c r="AD269" s="35">
        <f t="shared" si="65"/>
        <v>5</v>
      </c>
      <c r="AE269" t="str">
        <f t="shared" si="70"/>
        <v/>
      </c>
      <c r="AF269" t="str">
        <f t="shared" si="71"/>
        <v/>
      </c>
      <c r="AG269" t="str">
        <f t="shared" si="72"/>
        <v/>
      </c>
      <c r="AH269" t="str">
        <f t="shared" si="73"/>
        <v/>
      </c>
      <c r="AI269" t="str">
        <f t="shared" si="74"/>
        <v/>
      </c>
      <c r="AJ269" t="str">
        <f t="shared" si="75"/>
        <v/>
      </c>
      <c r="AK269" t="str">
        <f t="shared" si="76"/>
        <v/>
      </c>
      <c r="AL269" t="str">
        <f>IFERROR(ROUND(L269*(G269/$AU269)/VLOOKUP(F269,商品!$A$4:$C$60,3,FALSE),0),"")</f>
        <v/>
      </c>
      <c r="AM269" t="str">
        <f>IFERROR(ROUND(L269*(I269/$AU269)/VLOOKUP(H269,商品!$A$4:$C$60,3,FALSE),0),"")</f>
        <v/>
      </c>
      <c r="AN269">
        <f>IFERROR(ROUND(L269*(J269/$AU269)/VLOOKUP("运力",商品!$A$4:$C$60,3,FALSE),0),0)</f>
        <v>0</v>
      </c>
      <c r="AO269">
        <f>IFERROR(ROUND(L269*(K269/$AU269)/VLOOKUP("运力",商品!$A$4:$C$60,3,FALSE),0),0)</f>
        <v>0</v>
      </c>
      <c r="AP269" t="str">
        <f>IFERROR(ROUND(S269*(N269/$AV269)/VLOOKUP(M269,职业!$A$3:$E$16,4,FALSE),0),"")</f>
        <v/>
      </c>
      <c r="AQ269" t="str">
        <f>IFERROR(ROUND(S269*(P269/$AV269)/VLOOKUP(O269,职业!$A$3:$E$16,4,FALSE),0),"")</f>
        <v/>
      </c>
      <c r="AR269" t="str">
        <f>IFERROR(ROUND(S269*(R269/$AV269)/VLOOKUP(Q269,职业!$A$3:$E$16,4,FALSE),0),"")</f>
        <v/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0</v>
      </c>
      <c r="AV269">
        <f t="shared" si="78"/>
        <v>0</v>
      </c>
      <c r="AW269">
        <f t="shared" si="79"/>
        <v>0</v>
      </c>
    </row>
    <row r="270" spans="1:49" ht="20" customHeight="1" x14ac:dyDescent="0.3">
      <c r="A270" s="18" t="s">
        <v>338</v>
      </c>
      <c r="C270" s="18">
        <v>1</v>
      </c>
      <c r="D270" s="21" t="s">
        <v>222</v>
      </c>
      <c r="E270" s="21" t="s">
        <v>225</v>
      </c>
      <c r="L270" s="18">
        <f>IFERROR(VLOOKUP($D270&amp;$C270,生产方式定位!$A$2:$E$38,2,FALSE)+VLOOKUP($E270&amp;$C270,生产方式定位!$F$3:$J$38,2,FALSE),0)</f>
        <v>600</v>
      </c>
      <c r="S270" s="18">
        <f>IFERROR(VLOOKUP($D270&amp;$C270,生产方式定位!$A$2:$E$38,3,FALSE)+VLOOKUP($E270&amp;$C270,生产方式定位!$F$3:$J$38,3,FALSE),0)</f>
        <v>150</v>
      </c>
      <c r="X270" s="18">
        <f>IFERROR(VLOOKUP($D270&amp;$C270,生产方式定位!$A$2:$E$38,5,FALSE)+VLOOKUP($E270&amp;$C270,生产方式定位!$F$3:$J$38,5,FALSE),"错误")</f>
        <v>788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>31%</v>
      </c>
      <c r="AC270" s="1">
        <f t="shared" si="69"/>
        <v>38</v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20" customHeight="1" x14ac:dyDescent="0.3">
      <c r="A271" s="18" t="s">
        <v>338</v>
      </c>
      <c r="C271" s="18">
        <v>2</v>
      </c>
      <c r="D271" s="21" t="s">
        <v>222</v>
      </c>
      <c r="E271" s="21" t="s">
        <v>225</v>
      </c>
      <c r="L271" s="18">
        <f>IFERROR(VLOOKUP($D271&amp;$C271,生产方式定位!$A$2:$E$38,2,FALSE)+VLOOKUP($E271&amp;$C271,生产方式定位!$F$3:$J$38,2,FALSE),0)</f>
        <v>1450</v>
      </c>
      <c r="S271" s="18">
        <f>IFERROR(VLOOKUP($D271&amp;$C271,生产方式定位!$A$2:$E$38,3,FALSE)+VLOOKUP($E271&amp;$C271,生产方式定位!$F$3:$J$38,3,FALSE),0)</f>
        <v>180</v>
      </c>
      <c r="X271" s="18">
        <f>IFERROR(VLOOKUP($D271&amp;$C271,生产方式定位!$A$2:$E$38,5,FALSE)+VLOOKUP($E271&amp;$C271,生产方式定位!$F$3:$J$38,5,FALSE),"错误")</f>
        <v>1472</v>
      </c>
      <c r="Y271" s="24" t="str">
        <f t="shared" si="66"/>
        <v/>
      </c>
      <c r="Z271" s="34" t="str">
        <f t="shared" si="67"/>
        <v/>
      </c>
      <c r="AA271" s="34" t="str">
        <f t="shared" si="64"/>
        <v/>
      </c>
      <c r="AB271" s="25" t="str">
        <f t="shared" si="68"/>
        <v>2%</v>
      </c>
      <c r="AC271" s="1">
        <f t="shared" si="69"/>
        <v>-158</v>
      </c>
      <c r="AD271" s="36">
        <f t="shared" si="65"/>
        <v>2</v>
      </c>
      <c r="AE271" t="str">
        <f t="shared" si="70"/>
        <v/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 t="str">
        <f>IFERROR(ROUND(L271*(G271/$AU271)/VLOOKUP(F271,商品!$A$4:$C$60,3,FALSE),0),"")</f>
        <v/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0</v>
      </c>
      <c r="AV271">
        <f t="shared" si="78"/>
        <v>0</v>
      </c>
      <c r="AW271">
        <f t="shared" si="79"/>
        <v>0</v>
      </c>
    </row>
    <row r="272" spans="1:49" ht="20" customHeight="1" x14ac:dyDescent="0.3">
      <c r="A272" s="18" t="s">
        <v>338</v>
      </c>
      <c r="C272" s="18">
        <v>3</v>
      </c>
      <c r="D272" s="21" t="s">
        <v>222</v>
      </c>
      <c r="E272" s="21" t="s">
        <v>225</v>
      </c>
      <c r="L272" s="18">
        <f>IFERROR(VLOOKUP($D272&amp;$C272,生产方式定位!$A$2:$E$38,2,FALSE)+VLOOKUP($E272&amp;$C272,生产方式定位!$F$3:$J$38,2,FALSE),0)</f>
        <v>1800</v>
      </c>
      <c r="S272" s="18">
        <f>IFERROR(VLOOKUP($D272&amp;$C272,生产方式定位!$A$2:$E$38,3,FALSE)+VLOOKUP($E272&amp;$C272,生产方式定位!$F$3:$J$38,3,FALSE),0)</f>
        <v>190</v>
      </c>
      <c r="X272" s="18">
        <f>IFERROR(VLOOKUP($D272&amp;$C272,生产方式定位!$A$2:$E$38,5,FALSE)+VLOOKUP($E272&amp;$C272,生产方式定位!$F$3:$J$38,5,FALSE),"错误")</f>
        <v>1831</v>
      </c>
      <c r="Y272" s="24" t="str">
        <f t="shared" si="66"/>
        <v/>
      </c>
      <c r="Z272" s="34" t="str">
        <f t="shared" si="67"/>
        <v/>
      </c>
      <c r="AA272" s="34" t="str">
        <f t="shared" si="64"/>
        <v/>
      </c>
      <c r="AB272" s="25" t="str">
        <f t="shared" si="68"/>
        <v>2%</v>
      </c>
      <c r="AC272" s="1">
        <f t="shared" si="69"/>
        <v>-159</v>
      </c>
      <c r="AD272" s="36">
        <f t="shared" si="65"/>
        <v>3</v>
      </c>
      <c r="AE272" t="str">
        <f t="shared" si="70"/>
        <v/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 t="str">
        <f>IFERROR(ROUND(L272*(G272/$AU272)/VLOOKUP(F272,商品!$A$4:$C$60,3,FALSE),0),"")</f>
        <v/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0</v>
      </c>
      <c r="AV272">
        <f t="shared" si="78"/>
        <v>0</v>
      </c>
      <c r="AW272">
        <f t="shared" si="79"/>
        <v>0</v>
      </c>
    </row>
    <row r="273" spans="1:49" ht="20" customHeight="1" x14ac:dyDescent="0.3">
      <c r="A273" s="18" t="s">
        <v>338</v>
      </c>
      <c r="C273" s="18">
        <v>4</v>
      </c>
      <c r="D273" s="21" t="s">
        <v>222</v>
      </c>
      <c r="E273" s="21" t="s">
        <v>225</v>
      </c>
      <c r="L273" s="18">
        <f>IFERROR(VLOOKUP($D273&amp;$C273,生产方式定位!$A$2:$E$38,2,FALSE)+VLOOKUP($E273&amp;$C273,生产方式定位!$F$3:$J$38,2,FALSE),0)</f>
        <v>2150</v>
      </c>
      <c r="S273" s="18">
        <f>IFERROR(VLOOKUP($D273&amp;$C273,生产方式定位!$A$2:$E$38,3,FALSE)+VLOOKUP($E273&amp;$C273,生产方式定位!$F$3:$J$38,3,FALSE),0)</f>
        <v>200</v>
      </c>
      <c r="X273" s="18">
        <f>IFERROR(VLOOKUP($D273&amp;$C273,生产方式定位!$A$2:$E$38,5,FALSE)+VLOOKUP($E273&amp;$C273,生产方式定位!$F$3:$J$38,5,FALSE),"错误")</f>
        <v>2217</v>
      </c>
      <c r="Y273" s="24" t="str">
        <f t="shared" si="66"/>
        <v/>
      </c>
      <c r="Z273" s="34" t="str">
        <f t="shared" si="67"/>
        <v/>
      </c>
      <c r="AA273" s="34" t="str">
        <f t="shared" si="64"/>
        <v/>
      </c>
      <c r="AB273" s="25" t="str">
        <f t="shared" si="68"/>
        <v>3%</v>
      </c>
      <c r="AC273" s="1">
        <f t="shared" si="69"/>
        <v>-133</v>
      </c>
      <c r="AD273" s="36">
        <f t="shared" si="65"/>
        <v>4</v>
      </c>
      <c r="AE273" t="str">
        <f t="shared" si="70"/>
        <v/>
      </c>
      <c r="AF273" t="str">
        <f t="shared" si="71"/>
        <v/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 t="str">
        <f>IFERROR(ROUND(L273*(G273/$AU273)/VLOOKUP(F273,商品!$A$4:$C$60,3,FALSE),0),"")</f>
        <v/>
      </c>
      <c r="AM273" t="str">
        <f>IFERROR(ROUND(L273*(I273/$AU273)/VLOOKUP(H273,商品!$A$4:$C$60,3,FALSE),0),"")</f>
        <v/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0</v>
      </c>
      <c r="AV273">
        <f t="shared" si="78"/>
        <v>0</v>
      </c>
      <c r="AW273">
        <f t="shared" si="79"/>
        <v>0</v>
      </c>
    </row>
    <row r="274" spans="1:49" ht="20" customHeight="1" x14ac:dyDescent="0.3">
      <c r="A274" s="18" t="s">
        <v>338</v>
      </c>
      <c r="C274" s="18">
        <v>5</v>
      </c>
      <c r="D274" s="21" t="s">
        <v>222</v>
      </c>
      <c r="E274" s="21" t="s">
        <v>225</v>
      </c>
      <c r="L274" s="18">
        <f>IFERROR(VLOOKUP($D274&amp;$C274,生产方式定位!$A$2:$E$38,2,FALSE)+VLOOKUP($E274&amp;$C274,生产方式定位!$F$3:$J$38,2,FALSE),0)</f>
        <v>2500</v>
      </c>
      <c r="S274" s="18">
        <f>IFERROR(VLOOKUP($D274&amp;$C274,生产方式定位!$A$2:$E$38,3,FALSE)+VLOOKUP($E274&amp;$C274,生产方式定位!$F$3:$J$38,3,FALSE),0)</f>
        <v>210</v>
      </c>
      <c r="X274" s="18">
        <f>IFERROR(VLOOKUP($D274&amp;$C274,生产方式定位!$A$2:$E$38,5,FALSE)+VLOOKUP($E274&amp;$C274,生产方式定位!$F$3:$J$38,5,FALSE),"错误")</f>
        <v>2870</v>
      </c>
      <c r="Y274" s="24" t="str">
        <f t="shared" si="66"/>
        <v/>
      </c>
      <c r="Z274" s="34" t="str">
        <f t="shared" si="67"/>
        <v/>
      </c>
      <c r="AA274" s="34" t="str">
        <f t="shared" si="64"/>
        <v/>
      </c>
      <c r="AB274" s="25" t="str">
        <f t="shared" si="68"/>
        <v>15%</v>
      </c>
      <c r="AC274" s="1">
        <f t="shared" si="69"/>
        <v>160</v>
      </c>
      <c r="AD274" s="36">
        <f t="shared" si="65"/>
        <v>5</v>
      </c>
      <c r="AE274" t="str">
        <f t="shared" si="70"/>
        <v/>
      </c>
      <c r="AF274" t="str">
        <f t="shared" si="71"/>
        <v/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 t="str">
        <f>IFERROR(ROUND(L274*(G274/$AU274)/VLOOKUP(F274,商品!$A$4:$C$60,3,FALSE),0),"")</f>
        <v/>
      </c>
      <c r="AM274" t="str">
        <f>IFERROR(ROUND(L274*(I274/$AU274)/VLOOKUP(H274,商品!$A$4:$C$60,3,FALSE),0),"")</f>
        <v/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0</v>
      </c>
      <c r="AV274">
        <f t="shared" si="78"/>
        <v>0</v>
      </c>
      <c r="AW274">
        <f t="shared" si="79"/>
        <v>0</v>
      </c>
    </row>
    <row r="275" spans="1:49" ht="20" customHeight="1" x14ac:dyDescent="0.3">
      <c r="A275" s="5" t="s">
        <v>338</v>
      </c>
      <c r="C275" s="5">
        <v>1</v>
      </c>
      <c r="D275" s="21" t="s">
        <v>222</v>
      </c>
      <c r="E275" s="21" t="s">
        <v>225</v>
      </c>
      <c r="L275" s="5">
        <f>IFERROR(VLOOKUP($D275&amp;$C275,生产方式定位!$A$2:$E$38,2,FALSE)+VLOOKUP($E275&amp;$C275,生产方式定位!$F$3:$J$38,2,FALSE),0)</f>
        <v>600</v>
      </c>
      <c r="S275" s="5">
        <f>IFERROR(VLOOKUP($D275&amp;$C275,生产方式定位!$A$2:$E$38,3,FALSE)+VLOOKUP($E275&amp;$C275,生产方式定位!$F$3:$J$38,3,FALSE),0)</f>
        <v>150</v>
      </c>
      <c r="X275" s="5">
        <f>IFERROR(VLOOKUP($D275&amp;$C275,生产方式定位!$A$2:$E$38,5,FALSE)+VLOOKUP($E275&amp;$C275,生产方式定位!$F$3:$J$38,5,FALSE),"错误")</f>
        <v>788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>31%</v>
      </c>
      <c r="AC275" s="1">
        <f t="shared" si="69"/>
        <v>38</v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20" customHeight="1" x14ac:dyDescent="0.3">
      <c r="A276" s="5" t="s">
        <v>338</v>
      </c>
      <c r="C276" s="5">
        <v>2</v>
      </c>
      <c r="D276" s="21" t="s">
        <v>222</v>
      </c>
      <c r="E276" s="21" t="s">
        <v>225</v>
      </c>
      <c r="L276" s="5">
        <f>IFERROR(VLOOKUP($D276&amp;$C276,生产方式定位!$A$2:$E$38,2,FALSE)+VLOOKUP($E276&amp;$C276,生产方式定位!$F$3:$J$38,2,FALSE),0)</f>
        <v>1450</v>
      </c>
      <c r="S276" s="5">
        <f>IFERROR(VLOOKUP($D276&amp;$C276,生产方式定位!$A$2:$E$38,3,FALSE)+VLOOKUP($E276&amp;$C276,生产方式定位!$F$3:$J$38,3,FALSE),0)</f>
        <v>180</v>
      </c>
      <c r="X276" s="5">
        <f>IFERROR(VLOOKUP($D276&amp;$C276,生产方式定位!$A$2:$E$38,5,FALSE)+VLOOKUP($E276&amp;$C276,生产方式定位!$F$3:$J$38,5,FALSE),"错误")</f>
        <v>1472</v>
      </c>
      <c r="Y276" s="24" t="str">
        <f t="shared" si="66"/>
        <v/>
      </c>
      <c r="Z276" s="34" t="str">
        <f t="shared" si="67"/>
        <v/>
      </c>
      <c r="AA276" s="34" t="str">
        <f t="shared" si="64"/>
        <v/>
      </c>
      <c r="AB276" s="25" t="str">
        <f t="shared" si="68"/>
        <v>2%</v>
      </c>
      <c r="AC276" s="1">
        <f t="shared" si="69"/>
        <v>-158</v>
      </c>
      <c r="AD276" s="35">
        <f t="shared" si="65"/>
        <v>2</v>
      </c>
      <c r="AE276" t="str">
        <f t="shared" si="70"/>
        <v/>
      </c>
      <c r="AF276" t="str">
        <f t="shared" si="71"/>
        <v/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 t="str">
        <f>IFERROR(ROUND(L276*(G276/$AU276)/VLOOKUP(F276,商品!$A$4:$C$60,3,FALSE),0),"")</f>
        <v/>
      </c>
      <c r="AM276" t="str">
        <f>IFERROR(ROUND(L276*(I276/$AU276)/VLOOKUP(H276,商品!$A$4:$C$60,3,FALSE),0),"")</f>
        <v/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0</v>
      </c>
      <c r="AV276">
        <f t="shared" si="78"/>
        <v>0</v>
      </c>
      <c r="AW276">
        <f t="shared" si="79"/>
        <v>0</v>
      </c>
    </row>
    <row r="277" spans="1:49" ht="20" customHeight="1" x14ac:dyDescent="0.3">
      <c r="A277" s="5" t="s">
        <v>338</v>
      </c>
      <c r="C277" s="5">
        <v>3</v>
      </c>
      <c r="D277" s="21" t="s">
        <v>222</v>
      </c>
      <c r="E277" s="21" t="s">
        <v>225</v>
      </c>
      <c r="L277" s="5">
        <f>IFERROR(VLOOKUP($D277&amp;$C277,生产方式定位!$A$2:$E$38,2,FALSE)+VLOOKUP($E277&amp;$C277,生产方式定位!$F$3:$J$38,2,FALSE),0)</f>
        <v>1800</v>
      </c>
      <c r="S277" s="5">
        <f>IFERROR(VLOOKUP($D277&amp;$C277,生产方式定位!$A$2:$E$38,3,FALSE)+VLOOKUP($E277&amp;$C277,生产方式定位!$F$3:$J$38,3,FALSE),0)</f>
        <v>190</v>
      </c>
      <c r="X277" s="5">
        <f>IFERROR(VLOOKUP($D277&amp;$C277,生产方式定位!$A$2:$E$38,5,FALSE)+VLOOKUP($E277&amp;$C277,生产方式定位!$F$3:$J$38,5,FALSE),"错误")</f>
        <v>1831</v>
      </c>
      <c r="Y277" s="24" t="str">
        <f t="shared" si="66"/>
        <v/>
      </c>
      <c r="Z277" s="34" t="str">
        <f t="shared" si="67"/>
        <v/>
      </c>
      <c r="AA277" s="34" t="str">
        <f t="shared" si="64"/>
        <v/>
      </c>
      <c r="AB277" s="25" t="str">
        <f t="shared" si="68"/>
        <v>2%</v>
      </c>
      <c r="AC277" s="1">
        <f t="shared" si="69"/>
        <v>-159</v>
      </c>
      <c r="AD277" s="35">
        <f t="shared" si="65"/>
        <v>3</v>
      </c>
      <c r="AE277" t="str">
        <f t="shared" si="70"/>
        <v/>
      </c>
      <c r="AF277" t="str">
        <f t="shared" si="71"/>
        <v/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 t="str">
        <f>IFERROR(ROUND(L277*(G277/$AU277)/VLOOKUP(F277,商品!$A$4:$C$60,3,FALSE),0),"")</f>
        <v/>
      </c>
      <c r="AM277" t="str">
        <f>IFERROR(ROUND(L277*(I277/$AU277)/VLOOKUP(H277,商品!$A$4:$C$60,3,FALSE),0),"")</f>
        <v/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0</v>
      </c>
      <c r="AV277">
        <f t="shared" si="78"/>
        <v>0</v>
      </c>
      <c r="AW277">
        <f t="shared" si="79"/>
        <v>0</v>
      </c>
    </row>
    <row r="278" spans="1:49" ht="20" customHeight="1" x14ac:dyDescent="0.3">
      <c r="A278" s="5" t="s">
        <v>338</v>
      </c>
      <c r="C278" s="5">
        <v>4</v>
      </c>
      <c r="D278" s="21" t="s">
        <v>222</v>
      </c>
      <c r="E278" s="21" t="s">
        <v>225</v>
      </c>
      <c r="L278" s="5">
        <f>IFERROR(VLOOKUP($D278&amp;$C278,生产方式定位!$A$2:$E$38,2,FALSE)+VLOOKUP($E278&amp;$C278,生产方式定位!$F$3:$J$38,2,FALSE),0)</f>
        <v>2150</v>
      </c>
      <c r="S278" s="5">
        <f>IFERROR(VLOOKUP($D278&amp;$C278,生产方式定位!$A$2:$E$38,3,FALSE)+VLOOKUP($E278&amp;$C278,生产方式定位!$F$3:$J$38,3,FALSE),0)</f>
        <v>200</v>
      </c>
      <c r="X278" s="5">
        <f>IFERROR(VLOOKUP($D278&amp;$C278,生产方式定位!$A$2:$E$38,5,FALSE)+VLOOKUP($E278&amp;$C278,生产方式定位!$F$3:$J$38,5,FALSE),"错误")</f>
        <v>2217</v>
      </c>
      <c r="Y278" s="24" t="str">
        <f t="shared" si="66"/>
        <v/>
      </c>
      <c r="Z278" s="34" t="str">
        <f t="shared" si="67"/>
        <v/>
      </c>
      <c r="AA278" s="34" t="str">
        <f t="shared" si="64"/>
        <v/>
      </c>
      <c r="AB278" s="25" t="str">
        <f t="shared" si="68"/>
        <v>3%</v>
      </c>
      <c r="AC278" s="1">
        <f t="shared" si="69"/>
        <v>-133</v>
      </c>
      <c r="AD278" s="35">
        <f t="shared" si="65"/>
        <v>4</v>
      </c>
      <c r="AE278" t="str">
        <f t="shared" si="70"/>
        <v/>
      </c>
      <c r="AF278" t="str">
        <f t="shared" si="71"/>
        <v/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 t="str">
        <f>IFERROR(ROUND(L278*(G278/$AU278)/VLOOKUP(F278,商品!$A$4:$C$60,3,FALSE),0),"")</f>
        <v/>
      </c>
      <c r="AM278" t="str">
        <f>IFERROR(ROUND(L278*(I278/$AU278)/VLOOKUP(H278,商品!$A$4:$C$60,3,FALSE),0),"")</f>
        <v/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0</v>
      </c>
      <c r="AV278">
        <f t="shared" si="78"/>
        <v>0</v>
      </c>
      <c r="AW278">
        <f t="shared" si="79"/>
        <v>0</v>
      </c>
    </row>
    <row r="279" spans="1:49" ht="20" customHeight="1" x14ac:dyDescent="0.3">
      <c r="A279" s="5" t="s">
        <v>338</v>
      </c>
      <c r="C279" s="5">
        <v>5</v>
      </c>
      <c r="D279" s="21" t="s">
        <v>222</v>
      </c>
      <c r="E279" s="21" t="s">
        <v>225</v>
      </c>
      <c r="L279" s="5">
        <f>IFERROR(VLOOKUP($D279&amp;$C279,生产方式定位!$A$2:$E$38,2,FALSE)+VLOOKUP($E279&amp;$C279,生产方式定位!$F$3:$J$38,2,FALSE),0)</f>
        <v>2500</v>
      </c>
      <c r="S279" s="5">
        <f>IFERROR(VLOOKUP($D279&amp;$C279,生产方式定位!$A$2:$E$38,3,FALSE)+VLOOKUP($E279&amp;$C279,生产方式定位!$F$3:$J$38,3,FALSE),0)</f>
        <v>210</v>
      </c>
      <c r="X279" s="5">
        <f>IFERROR(VLOOKUP($D279&amp;$C279,生产方式定位!$A$2:$E$38,5,FALSE)+VLOOKUP($E279&amp;$C279,生产方式定位!$F$3:$J$38,5,FALSE),"错误")</f>
        <v>2870</v>
      </c>
      <c r="Y279" s="24" t="str">
        <f t="shared" si="66"/>
        <v/>
      </c>
      <c r="Z279" s="34" t="str">
        <f t="shared" si="67"/>
        <v/>
      </c>
      <c r="AA279" s="34" t="str">
        <f t="shared" si="64"/>
        <v/>
      </c>
      <c r="AB279" s="25" t="str">
        <f t="shared" si="68"/>
        <v>15%</v>
      </c>
      <c r="AC279" s="1">
        <f t="shared" si="69"/>
        <v>160</v>
      </c>
      <c r="AD279" s="35">
        <f t="shared" si="65"/>
        <v>5</v>
      </c>
      <c r="AE279" t="str">
        <f t="shared" si="70"/>
        <v/>
      </c>
      <c r="AF279" t="str">
        <f t="shared" si="71"/>
        <v/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 t="str">
        <f>IFERROR(ROUND(L279*(G279/$AU279)/VLOOKUP(F279,商品!$A$4:$C$60,3,FALSE),0),"")</f>
        <v/>
      </c>
      <c r="AM279" t="str">
        <f>IFERROR(ROUND(L279*(I279/$AU279)/VLOOKUP(H279,商品!$A$4:$C$60,3,FALSE),0),"")</f>
        <v/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0</v>
      </c>
      <c r="AV279">
        <f t="shared" si="78"/>
        <v>0</v>
      </c>
      <c r="AW279">
        <f t="shared" si="79"/>
        <v>0</v>
      </c>
    </row>
    <row r="280" spans="1:49" ht="20" customHeight="1" x14ac:dyDescent="0.3">
      <c r="A280" s="18" t="s">
        <v>339</v>
      </c>
      <c r="C280" s="18">
        <v>1</v>
      </c>
      <c r="D280" s="21" t="s">
        <v>292</v>
      </c>
      <c r="E280" s="21" t="s">
        <v>226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20" customHeight="1" x14ac:dyDescent="0.3">
      <c r="A281" s="18" t="s">
        <v>339</v>
      </c>
      <c r="C281" s="18">
        <v>2</v>
      </c>
      <c r="D281" s="21" t="s">
        <v>292</v>
      </c>
      <c r="E281" s="21" t="s">
        <v>226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20" customHeight="1" x14ac:dyDescent="0.3">
      <c r="A282" s="18" t="s">
        <v>339</v>
      </c>
      <c r="C282" s="18">
        <v>3</v>
      </c>
      <c r="D282" s="21" t="s">
        <v>292</v>
      </c>
      <c r="E282" s="21" t="s">
        <v>226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20" customHeight="1" x14ac:dyDescent="0.3">
      <c r="A283" s="18" t="s">
        <v>339</v>
      </c>
      <c r="C283" s="18">
        <v>4</v>
      </c>
      <c r="D283" s="21" t="s">
        <v>292</v>
      </c>
      <c r="E283" s="21" t="s">
        <v>226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20" customHeight="1" x14ac:dyDescent="0.3">
      <c r="A284" s="18" t="s">
        <v>339</v>
      </c>
      <c r="C284" s="18">
        <v>5</v>
      </c>
      <c r="D284" s="21" t="s">
        <v>292</v>
      </c>
      <c r="E284" s="21" t="s">
        <v>226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20" customHeight="1" x14ac:dyDescent="0.3">
      <c r="A285" s="18" t="s">
        <v>339</v>
      </c>
      <c r="C285" s="18">
        <v>6</v>
      </c>
      <c r="D285" s="21" t="s">
        <v>292</v>
      </c>
      <c r="E285" s="21" t="s">
        <v>226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20" customHeight="1" x14ac:dyDescent="0.3">
      <c r="A286" s="18" t="s">
        <v>339</v>
      </c>
      <c r="C286" s="18">
        <v>7</v>
      </c>
      <c r="D286" s="21" t="s">
        <v>292</v>
      </c>
      <c r="E286" s="21" t="s">
        <v>226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20" customHeight="1" x14ac:dyDescent="0.3">
      <c r="A287" s="18" t="s">
        <v>339</v>
      </c>
      <c r="C287" s="18">
        <v>8</v>
      </c>
      <c r="D287" s="21" t="s">
        <v>292</v>
      </c>
      <c r="E287" s="21" t="s">
        <v>226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20" customHeight="1" x14ac:dyDescent="0.3">
      <c r="A288" s="5" t="s">
        <v>341</v>
      </c>
      <c r="C288" s="5">
        <v>1</v>
      </c>
      <c r="D288" s="21" t="s">
        <v>240</v>
      </c>
      <c r="E288" s="21" t="s">
        <v>224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40</v>
      </c>
      <c r="X288" s="5">
        <f>IFERROR(VLOOKUP($D288&amp;$C288,生产方式定位!$A$2:$E$38,5,FALSE)+VLOOKUP($E288&amp;$C288,生产方式定位!$F$3:$J$38,5,FALSE),"错误")</f>
        <v>1144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14%</v>
      </c>
      <c r="AC288" s="1">
        <f t="shared" si="69"/>
        <v>104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20" customHeight="1" x14ac:dyDescent="0.3">
      <c r="A289" s="5" t="s">
        <v>341</v>
      </c>
      <c r="C289" s="5">
        <v>2</v>
      </c>
      <c r="D289" s="21" t="s">
        <v>240</v>
      </c>
      <c r="E289" s="21" t="s">
        <v>224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50</v>
      </c>
      <c r="X289" s="5">
        <f>IFERROR(VLOOKUP($D289&amp;$C289,生产方式定位!$A$2:$E$38,5,FALSE)+VLOOKUP($E289&amp;$C289,生产方式定位!$F$3:$J$38,5,FALSE),"错误")</f>
        <v>1930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21%</v>
      </c>
      <c r="AC289" s="1">
        <f t="shared" si="69"/>
        <v>280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20" customHeight="1" x14ac:dyDescent="0.3">
      <c r="A290" s="5" t="s">
        <v>341</v>
      </c>
      <c r="C290" s="5">
        <v>3</v>
      </c>
      <c r="D290" s="21" t="s">
        <v>240</v>
      </c>
      <c r="E290" s="21" t="s">
        <v>224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60</v>
      </c>
      <c r="X290" s="5">
        <f>IFERROR(VLOOKUP($D290&amp;$C290,生产方式定位!$A$2:$E$38,5,FALSE)+VLOOKUP($E290&amp;$C290,生产方式定位!$F$3:$J$38,5,FALSE),"错误")</f>
        <v>2326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27%</v>
      </c>
      <c r="AC290" s="1">
        <f t="shared" si="69"/>
        <v>441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20" customHeight="1" x14ac:dyDescent="0.3">
      <c r="A291" s="5" t="s">
        <v>341</v>
      </c>
      <c r="C291" s="5">
        <v>4</v>
      </c>
      <c r="D291" s="21" t="s">
        <v>240</v>
      </c>
      <c r="E291" s="21" t="s">
        <v>224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70</v>
      </c>
      <c r="X291" s="5">
        <f>IFERROR(VLOOKUP($D291&amp;$C291,生产方式定位!$A$2:$E$38,5,FALSE)+VLOOKUP($E291&amp;$C291,生产方式定位!$F$3:$J$38,5,FALSE),"错误")</f>
        <v>2743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34%</v>
      </c>
      <c r="AC291" s="1">
        <f t="shared" si="69"/>
        <v>623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20" customHeight="1" x14ac:dyDescent="0.3">
      <c r="A292" s="5" t="s">
        <v>341</v>
      </c>
      <c r="C292" s="5">
        <v>5</v>
      </c>
      <c r="D292" s="21" t="s">
        <v>240</v>
      </c>
      <c r="E292" s="21" t="s">
        <v>224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80</v>
      </c>
      <c r="X292" s="5">
        <f>IFERROR(VLOOKUP($D292&amp;$C292,生产方式定位!$A$2:$E$38,5,FALSE)+VLOOKUP($E292&amp;$C292,生产方式定位!$F$3:$J$38,5,FALSE),"错误")</f>
        <v>3183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40%</v>
      </c>
      <c r="AC292" s="1">
        <f t="shared" si="69"/>
        <v>828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20" customHeight="1" x14ac:dyDescent="0.3">
      <c r="A293" s="18" t="s">
        <v>342</v>
      </c>
      <c r="C293" s="18">
        <v>1</v>
      </c>
      <c r="D293" s="21" t="s">
        <v>240</v>
      </c>
      <c r="E293" s="21" t="s">
        <v>225</v>
      </c>
      <c r="L293" s="18">
        <f>IFERROR(VLOOKUP($D293&amp;$C293,生产方式定位!$A$2:$E$38,2,FALSE)+VLOOKUP($E293&amp;$C293,生产方式定位!$F$3:$J$38,2,FALSE),0)</f>
        <v>1000</v>
      </c>
      <c r="S293" s="18">
        <f>IFERROR(VLOOKUP($D293&amp;$C293,生产方式定位!$A$2:$E$38,3,FALSE)+VLOOKUP($E293&amp;$C293,生产方式定位!$F$3:$J$38,3,FALSE),0)</f>
        <v>40</v>
      </c>
      <c r="X293" s="18">
        <f>IFERROR(VLOOKUP($D293&amp;$C293,生产方式定位!$A$2:$E$38,5,FALSE)+VLOOKUP($E293&amp;$C293,生产方式定位!$F$3:$J$38,5,FALSE),"错误")</f>
        <v>1144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>14%</v>
      </c>
      <c r="AC293" s="1">
        <f t="shared" si="69"/>
        <v>104</v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20" customHeight="1" x14ac:dyDescent="0.3">
      <c r="A294" s="18" t="s">
        <v>342</v>
      </c>
      <c r="C294" s="18">
        <v>2</v>
      </c>
      <c r="D294" s="21" t="s">
        <v>240</v>
      </c>
      <c r="E294" s="21" t="s">
        <v>225</v>
      </c>
      <c r="L294" s="18">
        <f>IFERROR(VLOOKUP($D294&amp;$C294,生产方式定位!$A$2:$E$38,2,FALSE)+VLOOKUP($E294&amp;$C294,生产方式定位!$F$3:$J$38,2,FALSE),0)</f>
        <v>1850</v>
      </c>
      <c r="S294" s="18">
        <f>IFERROR(VLOOKUP($D294&amp;$C294,生产方式定位!$A$2:$E$38,3,FALSE)+VLOOKUP($E294&amp;$C294,生产方式定位!$F$3:$J$38,3,FALSE),0)</f>
        <v>90</v>
      </c>
      <c r="X294" s="18">
        <f>IFERROR(VLOOKUP($D294&amp;$C294,生产方式定位!$A$2:$E$38,5,FALSE)+VLOOKUP($E294&amp;$C294,生产方式定位!$F$3:$J$38,5,FALSE),"错误")</f>
        <v>2012</v>
      </c>
      <c r="Y294" s="24" t="str">
        <f t="shared" si="66"/>
        <v/>
      </c>
      <c r="Z294" s="34" t="str">
        <f t="shared" si="67"/>
        <v/>
      </c>
      <c r="AA294" s="34" t="str">
        <f t="shared" si="64"/>
        <v/>
      </c>
      <c r="AB294" s="25" t="str">
        <f t="shared" si="68"/>
        <v>9%</v>
      </c>
      <c r="AC294" s="1">
        <f t="shared" si="69"/>
        <v>72</v>
      </c>
      <c r="AD294" s="36">
        <f t="shared" si="65"/>
        <v>2</v>
      </c>
      <c r="AE294" t="str">
        <f t="shared" si="70"/>
        <v/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 t="str">
        <f>IFERROR(ROUND(L294*(G294/$AU294)/VLOOKUP(F294,商品!$A$4:$C$60,3,FALSE),0),"")</f>
        <v/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0</v>
      </c>
      <c r="AV294">
        <f t="shared" si="78"/>
        <v>0</v>
      </c>
      <c r="AW294">
        <f t="shared" si="79"/>
        <v>0</v>
      </c>
    </row>
    <row r="295" spans="1:49" ht="20" customHeight="1" x14ac:dyDescent="0.3">
      <c r="A295" s="18" t="s">
        <v>342</v>
      </c>
      <c r="C295" s="18">
        <v>3</v>
      </c>
      <c r="D295" s="21" t="s">
        <v>240</v>
      </c>
      <c r="E295" s="21" t="s">
        <v>225</v>
      </c>
      <c r="L295" s="18">
        <f>IFERROR(VLOOKUP($D295&amp;$C295,生产方式定位!$A$2:$E$38,2,FALSE)+VLOOKUP($E295&amp;$C295,生产方式定位!$F$3:$J$38,2,FALSE),0)</f>
        <v>2200</v>
      </c>
      <c r="S295" s="18">
        <f>IFERROR(VLOOKUP($D295&amp;$C295,生产方式定位!$A$2:$E$38,3,FALSE)+VLOOKUP($E295&amp;$C295,生产方式定位!$F$3:$J$38,3,FALSE),0)</f>
        <v>120</v>
      </c>
      <c r="X295" s="18">
        <f>IFERROR(VLOOKUP($D295&amp;$C295,生产方式定位!$A$2:$E$38,5,FALSE)+VLOOKUP($E295&amp;$C295,生产方式定位!$F$3:$J$38,5,FALSE),"错误")</f>
        <v>2539</v>
      </c>
      <c r="Y295" s="24" t="str">
        <f t="shared" si="66"/>
        <v/>
      </c>
      <c r="Z295" s="34" t="str">
        <f t="shared" si="67"/>
        <v/>
      </c>
      <c r="AA295" s="34" t="str">
        <f t="shared" si="64"/>
        <v/>
      </c>
      <c r="AB295" s="25" t="str">
        <f t="shared" si="68"/>
        <v>15%</v>
      </c>
      <c r="AC295" s="1">
        <f t="shared" si="69"/>
        <v>219</v>
      </c>
      <c r="AD295" s="36">
        <f t="shared" si="65"/>
        <v>3</v>
      </c>
      <c r="AE295" t="str">
        <f t="shared" si="70"/>
        <v/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 t="str">
        <f>IFERROR(ROUND(L295*(G295/$AU295)/VLOOKUP(F295,商品!$A$4:$C$60,3,FALSE),0),"")</f>
        <v/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0</v>
      </c>
      <c r="AV295">
        <f t="shared" si="78"/>
        <v>0</v>
      </c>
      <c r="AW295">
        <f t="shared" si="79"/>
        <v>0</v>
      </c>
    </row>
    <row r="296" spans="1:49" ht="20" customHeight="1" x14ac:dyDescent="0.3">
      <c r="A296" s="18" t="s">
        <v>342</v>
      </c>
      <c r="C296" s="18">
        <v>4</v>
      </c>
      <c r="D296" s="21" t="s">
        <v>240</v>
      </c>
      <c r="E296" s="21" t="s">
        <v>225</v>
      </c>
      <c r="L296" s="18">
        <f>IFERROR(VLOOKUP($D296&amp;$C296,生产方式定位!$A$2:$E$38,2,FALSE)+VLOOKUP($E296&amp;$C296,生产方式定位!$F$3:$J$38,2,FALSE),0)</f>
        <v>2550</v>
      </c>
      <c r="S296" s="18">
        <f>IFERROR(VLOOKUP($D296&amp;$C296,生产方式定位!$A$2:$E$38,3,FALSE)+VLOOKUP($E296&amp;$C296,生产方式定位!$F$3:$J$38,3,FALSE),0)</f>
        <v>150</v>
      </c>
      <c r="X296" s="18">
        <f>IFERROR(VLOOKUP($D296&amp;$C296,生产方式定位!$A$2:$E$38,5,FALSE)+VLOOKUP($E296&amp;$C296,生产方式定位!$F$3:$J$38,5,FALSE),"错误")</f>
        <v>3115</v>
      </c>
      <c r="Y296" s="24" t="str">
        <f t="shared" si="66"/>
        <v/>
      </c>
      <c r="Z296" s="34" t="str">
        <f t="shared" si="67"/>
        <v/>
      </c>
      <c r="AA296" s="34" t="str">
        <f t="shared" si="64"/>
        <v/>
      </c>
      <c r="AB296" s="25" t="str">
        <f t="shared" si="68"/>
        <v>22%</v>
      </c>
      <c r="AC296" s="1">
        <f t="shared" si="69"/>
        <v>415</v>
      </c>
      <c r="AD296" s="36">
        <f t="shared" si="65"/>
        <v>4</v>
      </c>
      <c r="AE296" t="str">
        <f t="shared" si="70"/>
        <v/>
      </c>
      <c r="AF296" t="str">
        <f t="shared" si="71"/>
        <v/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 t="str">
        <f>IFERROR(ROUND(L296*(G296/$AU296)/VLOOKUP(F296,商品!$A$4:$C$60,3,FALSE),0),"")</f>
        <v/>
      </c>
      <c r="AM296" t="str">
        <f>IFERROR(ROUND(L296*(I296/$AU296)/VLOOKUP(H296,商品!$A$4:$C$60,3,FALSE),0),"")</f>
        <v/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0</v>
      </c>
      <c r="AV296">
        <f t="shared" si="78"/>
        <v>0</v>
      </c>
      <c r="AW296">
        <f t="shared" si="79"/>
        <v>0</v>
      </c>
    </row>
    <row r="297" spans="1:49" ht="20" customHeight="1" x14ac:dyDescent="0.3">
      <c r="A297" s="18" t="s">
        <v>342</v>
      </c>
      <c r="C297" s="18">
        <v>5</v>
      </c>
      <c r="D297" s="21" t="s">
        <v>240</v>
      </c>
      <c r="E297" s="21" t="s">
        <v>225</v>
      </c>
      <c r="L297" s="18">
        <f>IFERROR(VLOOKUP($D297&amp;$C297,生产方式定位!$A$2:$E$38,2,FALSE)+VLOOKUP($E297&amp;$C297,生产方式定位!$F$3:$J$38,2,FALSE),0)</f>
        <v>2900</v>
      </c>
      <c r="S297" s="18">
        <f>IFERROR(VLOOKUP($D297&amp;$C297,生产方式定位!$A$2:$E$38,3,FALSE)+VLOOKUP($E297&amp;$C297,生产方式定位!$F$3:$J$38,3,FALSE),0)</f>
        <v>180</v>
      </c>
      <c r="X297" s="18">
        <f>IFERROR(VLOOKUP($D297&amp;$C297,生产方式定位!$A$2:$E$38,5,FALSE)+VLOOKUP($E297&amp;$C297,生产方式定位!$F$3:$J$38,5,FALSE),"错误")</f>
        <v>3980</v>
      </c>
      <c r="Y297" s="24" t="str">
        <f t="shared" si="66"/>
        <v/>
      </c>
      <c r="Z297" s="34" t="str">
        <f t="shared" si="67"/>
        <v/>
      </c>
      <c r="AA297" s="34" t="str">
        <f t="shared" si="64"/>
        <v/>
      </c>
      <c r="AB297" s="25" t="str">
        <f t="shared" si="68"/>
        <v>37%</v>
      </c>
      <c r="AC297" s="1">
        <f t="shared" si="69"/>
        <v>900</v>
      </c>
      <c r="AD297" s="36">
        <f t="shared" si="65"/>
        <v>5</v>
      </c>
      <c r="AE297" t="str">
        <f t="shared" si="70"/>
        <v/>
      </c>
      <c r="AF297" t="str">
        <f t="shared" si="71"/>
        <v/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 t="str">
        <f>IFERROR(ROUND(L297*(G297/$AU297)/VLOOKUP(F297,商品!$A$4:$C$60,3,FALSE),0),"")</f>
        <v/>
      </c>
      <c r="AM297" t="str">
        <f>IFERROR(ROUND(L297*(I297/$AU297)/VLOOKUP(H297,商品!$A$4:$C$60,3,FALSE),0),"")</f>
        <v/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0</v>
      </c>
      <c r="AV297">
        <f t="shared" si="78"/>
        <v>0</v>
      </c>
      <c r="AW297">
        <f t="shared" si="79"/>
        <v>0</v>
      </c>
    </row>
    <row r="298" spans="1:49" ht="20" customHeight="1" x14ac:dyDescent="0.3">
      <c r="A298" s="5" t="s">
        <v>342</v>
      </c>
      <c r="C298" s="5">
        <v>1</v>
      </c>
      <c r="D298" s="21" t="s">
        <v>240</v>
      </c>
      <c r="E298" s="21" t="s">
        <v>225</v>
      </c>
      <c r="L298" s="5">
        <f>IFERROR(VLOOKUP($D298&amp;$C298,生产方式定位!$A$2:$E$38,2,FALSE)+VLOOKUP($E298&amp;$C298,生产方式定位!$F$3:$J$38,2,FALSE),0)</f>
        <v>1000</v>
      </c>
      <c r="S298" s="5">
        <f>IFERROR(VLOOKUP($D298&amp;$C298,生产方式定位!$A$2:$E$38,3,FALSE)+VLOOKUP($E298&amp;$C298,生产方式定位!$F$3:$J$38,3,FALSE),0)</f>
        <v>40</v>
      </c>
      <c r="X298" s="5">
        <f>IFERROR(VLOOKUP($D298&amp;$C298,生产方式定位!$A$2:$E$38,5,FALSE)+VLOOKUP($E298&amp;$C298,生产方式定位!$F$3:$J$38,5,FALSE),"错误")</f>
        <v>1144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>14%</v>
      </c>
      <c r="AC298" s="1">
        <f t="shared" si="69"/>
        <v>104</v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20" customHeight="1" x14ac:dyDescent="0.3">
      <c r="A299" s="5" t="s">
        <v>342</v>
      </c>
      <c r="C299" s="5">
        <v>2</v>
      </c>
      <c r="D299" s="21" t="s">
        <v>240</v>
      </c>
      <c r="E299" s="21" t="s">
        <v>225</v>
      </c>
      <c r="L299" s="5">
        <f>IFERROR(VLOOKUP($D299&amp;$C299,生产方式定位!$A$2:$E$38,2,FALSE)+VLOOKUP($E299&amp;$C299,生产方式定位!$F$3:$J$38,2,FALSE),0)</f>
        <v>1850</v>
      </c>
      <c r="S299" s="5">
        <f>IFERROR(VLOOKUP($D299&amp;$C299,生产方式定位!$A$2:$E$38,3,FALSE)+VLOOKUP($E299&amp;$C299,生产方式定位!$F$3:$J$38,3,FALSE),0)</f>
        <v>90</v>
      </c>
      <c r="X299" s="5">
        <f>IFERROR(VLOOKUP($D299&amp;$C299,生产方式定位!$A$2:$E$38,5,FALSE)+VLOOKUP($E299&amp;$C299,生产方式定位!$F$3:$J$38,5,FALSE),"错误")</f>
        <v>2012</v>
      </c>
      <c r="Y299" s="24" t="str">
        <f t="shared" si="66"/>
        <v/>
      </c>
      <c r="Z299" s="34" t="str">
        <f t="shared" si="67"/>
        <v/>
      </c>
      <c r="AA299" s="34" t="str">
        <f t="shared" si="64"/>
        <v/>
      </c>
      <c r="AB299" s="25" t="str">
        <f t="shared" si="68"/>
        <v>9%</v>
      </c>
      <c r="AC299" s="1">
        <f t="shared" si="69"/>
        <v>72</v>
      </c>
      <c r="AD299" s="35">
        <f t="shared" si="65"/>
        <v>2</v>
      </c>
      <c r="AE299" t="str">
        <f t="shared" si="70"/>
        <v/>
      </c>
      <c r="AF299" t="str">
        <f t="shared" si="71"/>
        <v/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 t="str">
        <f>IFERROR(ROUND(L299*(G299/$AU299)/VLOOKUP(F299,商品!$A$4:$C$60,3,FALSE),0),"")</f>
        <v/>
      </c>
      <c r="AM299" t="str">
        <f>IFERROR(ROUND(L299*(I299/$AU299)/VLOOKUP(H299,商品!$A$4:$C$60,3,FALSE),0),"")</f>
        <v/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0</v>
      </c>
      <c r="AV299">
        <f t="shared" si="78"/>
        <v>0</v>
      </c>
      <c r="AW299">
        <f t="shared" si="79"/>
        <v>0</v>
      </c>
    </row>
    <row r="300" spans="1:49" ht="20" customHeight="1" x14ac:dyDescent="0.3">
      <c r="A300" s="5" t="s">
        <v>342</v>
      </c>
      <c r="C300" s="5">
        <v>3</v>
      </c>
      <c r="D300" s="21" t="s">
        <v>240</v>
      </c>
      <c r="E300" s="21" t="s">
        <v>225</v>
      </c>
      <c r="L300" s="5">
        <f>IFERROR(VLOOKUP($D300&amp;$C300,生产方式定位!$A$2:$E$38,2,FALSE)+VLOOKUP($E300&amp;$C300,生产方式定位!$F$3:$J$38,2,FALSE),0)</f>
        <v>2200</v>
      </c>
      <c r="S300" s="5">
        <f>IFERROR(VLOOKUP($D300&amp;$C300,生产方式定位!$A$2:$E$38,3,FALSE)+VLOOKUP($E300&amp;$C300,生产方式定位!$F$3:$J$38,3,FALSE),0)</f>
        <v>120</v>
      </c>
      <c r="X300" s="5">
        <f>IFERROR(VLOOKUP($D300&amp;$C300,生产方式定位!$A$2:$E$38,5,FALSE)+VLOOKUP($E300&amp;$C300,生产方式定位!$F$3:$J$38,5,FALSE),"错误")</f>
        <v>2539</v>
      </c>
      <c r="Y300" s="24" t="str">
        <f t="shared" si="66"/>
        <v/>
      </c>
      <c r="Z300" s="34" t="str">
        <f t="shared" si="67"/>
        <v/>
      </c>
      <c r="AA300" s="34" t="str">
        <f t="shared" si="64"/>
        <v/>
      </c>
      <c r="AB300" s="25" t="str">
        <f t="shared" si="68"/>
        <v>15%</v>
      </c>
      <c r="AC300" s="1">
        <f t="shared" si="69"/>
        <v>219</v>
      </c>
      <c r="AD300" s="35">
        <f t="shared" si="65"/>
        <v>3</v>
      </c>
      <c r="AE300" t="str">
        <f t="shared" si="70"/>
        <v/>
      </c>
      <c r="AF300" t="str">
        <f t="shared" si="71"/>
        <v/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 t="str">
        <f>IFERROR(ROUND(L300*(G300/$AU300)/VLOOKUP(F300,商品!$A$4:$C$60,3,FALSE),0),"")</f>
        <v/>
      </c>
      <c r="AM300" t="str">
        <f>IFERROR(ROUND(L300*(I300/$AU300)/VLOOKUP(H300,商品!$A$4:$C$60,3,FALSE),0),"")</f>
        <v/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0</v>
      </c>
      <c r="AV300">
        <f t="shared" si="78"/>
        <v>0</v>
      </c>
      <c r="AW300">
        <f t="shared" si="79"/>
        <v>0</v>
      </c>
    </row>
    <row r="301" spans="1:49" ht="20" customHeight="1" x14ac:dyDescent="0.3">
      <c r="A301" s="5" t="s">
        <v>342</v>
      </c>
      <c r="C301" s="5">
        <v>4</v>
      </c>
      <c r="D301" s="21" t="s">
        <v>240</v>
      </c>
      <c r="E301" s="21" t="s">
        <v>225</v>
      </c>
      <c r="L301" s="5">
        <f>IFERROR(VLOOKUP($D301&amp;$C301,生产方式定位!$A$2:$E$38,2,FALSE)+VLOOKUP($E301&amp;$C301,生产方式定位!$F$3:$J$38,2,FALSE),0)</f>
        <v>2550</v>
      </c>
      <c r="S301" s="5">
        <f>IFERROR(VLOOKUP($D301&amp;$C301,生产方式定位!$A$2:$E$38,3,FALSE)+VLOOKUP($E301&amp;$C301,生产方式定位!$F$3:$J$38,3,FALSE),0)</f>
        <v>150</v>
      </c>
      <c r="X301" s="5">
        <f>IFERROR(VLOOKUP($D301&amp;$C301,生产方式定位!$A$2:$E$38,5,FALSE)+VLOOKUP($E301&amp;$C301,生产方式定位!$F$3:$J$38,5,FALSE),"错误")</f>
        <v>3115</v>
      </c>
      <c r="Y301" s="24" t="str">
        <f t="shared" si="66"/>
        <v/>
      </c>
      <c r="Z301" s="34" t="str">
        <f t="shared" si="67"/>
        <v/>
      </c>
      <c r="AA301" s="34" t="str">
        <f t="shared" si="64"/>
        <v/>
      </c>
      <c r="AB301" s="25" t="str">
        <f t="shared" si="68"/>
        <v>22%</v>
      </c>
      <c r="AC301" s="1">
        <f t="shared" si="69"/>
        <v>415</v>
      </c>
      <c r="AD301" s="35">
        <f t="shared" si="65"/>
        <v>4</v>
      </c>
      <c r="AE301" t="str">
        <f t="shared" si="70"/>
        <v/>
      </c>
      <c r="AF301" t="str">
        <f t="shared" si="71"/>
        <v/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 t="str">
        <f>IFERROR(ROUND(L301*(G301/$AU301)/VLOOKUP(F301,商品!$A$4:$C$60,3,FALSE),0),"")</f>
        <v/>
      </c>
      <c r="AM301" t="str">
        <f>IFERROR(ROUND(L301*(I301/$AU301)/VLOOKUP(H301,商品!$A$4:$C$60,3,FALSE),0),"")</f>
        <v/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0</v>
      </c>
      <c r="AV301">
        <f t="shared" si="78"/>
        <v>0</v>
      </c>
      <c r="AW301">
        <f t="shared" si="79"/>
        <v>0</v>
      </c>
    </row>
    <row r="302" spans="1:49" ht="20" customHeight="1" x14ac:dyDescent="0.3">
      <c r="A302" s="5" t="s">
        <v>342</v>
      </c>
      <c r="C302" s="5">
        <v>5</v>
      </c>
      <c r="D302" s="21" t="s">
        <v>240</v>
      </c>
      <c r="E302" s="21" t="s">
        <v>225</v>
      </c>
      <c r="L302" s="5">
        <f>IFERROR(VLOOKUP($D302&amp;$C302,生产方式定位!$A$2:$E$38,2,FALSE)+VLOOKUP($E302&amp;$C302,生产方式定位!$F$3:$J$38,2,FALSE),0)</f>
        <v>2900</v>
      </c>
      <c r="S302" s="5">
        <f>IFERROR(VLOOKUP($D302&amp;$C302,生产方式定位!$A$2:$E$38,3,FALSE)+VLOOKUP($E302&amp;$C302,生产方式定位!$F$3:$J$38,3,FALSE),0)</f>
        <v>180</v>
      </c>
      <c r="X302" s="5">
        <f>IFERROR(VLOOKUP($D302&amp;$C302,生产方式定位!$A$2:$E$38,5,FALSE)+VLOOKUP($E302&amp;$C302,生产方式定位!$F$3:$J$38,5,FALSE),"错误")</f>
        <v>3980</v>
      </c>
      <c r="Y302" s="24" t="str">
        <f t="shared" si="66"/>
        <v/>
      </c>
      <c r="Z302" s="34" t="str">
        <f t="shared" si="67"/>
        <v/>
      </c>
      <c r="AA302" s="34" t="str">
        <f t="shared" si="64"/>
        <v/>
      </c>
      <c r="AB302" s="25" t="str">
        <f t="shared" si="68"/>
        <v>37%</v>
      </c>
      <c r="AC302" s="1">
        <f t="shared" si="69"/>
        <v>900</v>
      </c>
      <c r="AD302" s="35">
        <f t="shared" si="65"/>
        <v>5</v>
      </c>
      <c r="AE302" t="str">
        <f t="shared" si="70"/>
        <v/>
      </c>
      <c r="AF302" t="str">
        <f t="shared" si="71"/>
        <v/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 t="str">
        <f>IFERROR(ROUND(L302*(G302/$AU302)/VLOOKUP(F302,商品!$A$4:$C$60,3,FALSE),0),"")</f>
        <v/>
      </c>
      <c r="AM302" t="str">
        <f>IFERROR(ROUND(L302*(I302/$AU302)/VLOOKUP(H302,商品!$A$4:$C$60,3,FALSE),0),"")</f>
        <v/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0</v>
      </c>
      <c r="AV302">
        <f t="shared" si="78"/>
        <v>0</v>
      </c>
      <c r="AW302">
        <f t="shared" si="79"/>
        <v>0</v>
      </c>
    </row>
    <row r="303" spans="1:49" ht="20" customHeight="1" x14ac:dyDescent="0.3">
      <c r="A303" s="18" t="s">
        <v>343</v>
      </c>
      <c r="C303" s="18">
        <v>1</v>
      </c>
      <c r="D303" s="21" t="s">
        <v>292</v>
      </c>
      <c r="E303" s="21" t="s">
        <v>226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20" customHeight="1" x14ac:dyDescent="0.3">
      <c r="A304" s="18" t="s">
        <v>343</v>
      </c>
      <c r="C304" s="18">
        <v>2</v>
      </c>
      <c r="D304" s="21" t="s">
        <v>292</v>
      </c>
      <c r="E304" s="21" t="s">
        <v>226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20" customHeight="1" x14ac:dyDescent="0.3">
      <c r="A305" s="18" t="s">
        <v>343</v>
      </c>
      <c r="C305" s="18">
        <v>3</v>
      </c>
      <c r="D305" s="21" t="s">
        <v>292</v>
      </c>
      <c r="E305" s="21" t="s">
        <v>226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20" customHeight="1" x14ac:dyDescent="0.3">
      <c r="A306" s="18" t="s">
        <v>343</v>
      </c>
      <c r="C306" s="18">
        <v>4</v>
      </c>
      <c r="D306" s="21" t="s">
        <v>292</v>
      </c>
      <c r="E306" s="21" t="s">
        <v>226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20" customHeight="1" x14ac:dyDescent="0.3">
      <c r="A307" s="18" t="s">
        <v>343</v>
      </c>
      <c r="C307" s="18">
        <v>5</v>
      </c>
      <c r="D307" s="21" t="s">
        <v>292</v>
      </c>
      <c r="E307" s="21" t="s">
        <v>226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20" customHeight="1" x14ac:dyDescent="0.3">
      <c r="A308" s="18" t="s">
        <v>343</v>
      </c>
      <c r="C308" s="18">
        <v>6</v>
      </c>
      <c r="D308" s="21" t="s">
        <v>292</v>
      </c>
      <c r="E308" s="21" t="s">
        <v>226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20" customHeight="1" x14ac:dyDescent="0.3">
      <c r="A309" s="18" t="s">
        <v>343</v>
      </c>
      <c r="C309" s="18">
        <v>7</v>
      </c>
      <c r="D309" s="21" t="s">
        <v>292</v>
      </c>
      <c r="E309" s="21" t="s">
        <v>226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20" customHeight="1" x14ac:dyDescent="0.3">
      <c r="A310" s="18" t="s">
        <v>343</v>
      </c>
      <c r="C310" s="18">
        <v>8</v>
      </c>
      <c r="D310" s="21" t="s">
        <v>292</v>
      </c>
      <c r="E310" s="21" t="s">
        <v>226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20" customHeight="1" x14ac:dyDescent="0.3">
      <c r="A311" s="5" t="s">
        <v>345</v>
      </c>
      <c r="C311" s="5">
        <v>1</v>
      </c>
      <c r="D311" s="21" t="s">
        <v>240</v>
      </c>
      <c r="E311" s="21" t="s">
        <v>224</v>
      </c>
      <c r="F311" s="80" t="s">
        <v>631</v>
      </c>
      <c r="G311" s="1">
        <v>10</v>
      </c>
      <c r="H311" s="80" t="s">
        <v>630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80" t="s">
        <v>632</v>
      </c>
      <c r="N311" s="1">
        <v>100</v>
      </c>
      <c r="O311" s="80" t="s">
        <v>633</v>
      </c>
      <c r="P311" s="1">
        <v>10</v>
      </c>
      <c r="S311" s="5">
        <f>IFERROR(VLOOKUP($D311&amp;$C311,生产方式定位!$A$2:$E$38,3,FALSE)+VLOOKUP($E311&amp;$C311,生产方式定位!$F$3:$J$38,3,FALSE),0)</f>
        <v>40</v>
      </c>
      <c r="X311" s="5">
        <f>IFERROR(VLOOKUP($D311&amp;$C311,生产方式定位!$A$2:$E$38,5,FALSE)+VLOOKUP($E311&amp;$C311,生产方式定位!$F$3:$J$38,5,FALSE),"错误")</f>
        <v>1144</v>
      </c>
      <c r="Y311" s="24" t="str">
        <f t="shared" si="66"/>
        <v>煤*11,铁*4,运力*6,交易*3</v>
      </c>
      <c r="Z311" s="34" t="str">
        <f t="shared" si="67"/>
        <v>劳工*1645,工程师*55</v>
      </c>
      <c r="AA311" s="34" t="str">
        <f t="shared" si="64"/>
        <v/>
      </c>
      <c r="AB311" s="25" t="str">
        <f t="shared" si="68"/>
        <v>14%</v>
      </c>
      <c r="AC311" s="1">
        <f t="shared" si="69"/>
        <v>104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劳工*1645</v>
      </c>
      <c r="AH311" t="str">
        <f t="shared" si="73"/>
        <v>工程师*55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6</v>
      </c>
      <c r="AO311">
        <f>IFERROR(ROUND(L311*(K311/$AU311)/VLOOKUP("运力",商品!$A$4:$C$60,3,FALSE),0),0)</f>
        <v>3</v>
      </c>
      <c r="AP311">
        <f>IFERROR(ROUND(S311*(N311/$AV311)/VLOOKUP(M311,职业!$A$3:$E$16,4,FALSE),0),"")</f>
        <v>1645</v>
      </c>
      <c r="AQ311">
        <f>IFERROR(ROUND(S311*(P311/$AV311)/VLOOKUP(O311,职业!$A$3:$E$16,4,FALSE),0),"")</f>
        <v>55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20" customHeight="1" x14ac:dyDescent="0.3">
      <c r="A312" s="5" t="s">
        <v>345</v>
      </c>
      <c r="C312" s="5">
        <v>2</v>
      </c>
      <c r="D312" s="21" t="s">
        <v>240</v>
      </c>
      <c r="E312" s="21" t="s">
        <v>224</v>
      </c>
      <c r="F312" s="80" t="s">
        <v>631</v>
      </c>
      <c r="G312" s="1">
        <v>10</v>
      </c>
      <c r="H312" s="80" t="s">
        <v>630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80" t="s">
        <v>632</v>
      </c>
      <c r="N312" s="1">
        <v>100</v>
      </c>
      <c r="O312" s="80" t="s">
        <v>633</v>
      </c>
      <c r="P312" s="1">
        <v>20</v>
      </c>
      <c r="S312" s="5">
        <f>IFERROR(VLOOKUP($D312&amp;$C312,生产方式定位!$A$2:$E$38,3,FALSE)+VLOOKUP($E312&amp;$C312,生产方式定位!$F$3:$J$38,3,FALSE),0)</f>
        <v>50</v>
      </c>
      <c r="X312" s="5">
        <f>IFERROR(VLOOKUP($D312&amp;$C312,生产方式定位!$A$2:$E$38,5,FALSE)+VLOOKUP($E312&amp;$C312,生产方式定位!$F$3:$J$38,5,FALSE),"错误")</f>
        <v>1930</v>
      </c>
      <c r="Y312" s="24" t="str">
        <f t="shared" si="66"/>
        <v>煤*18,铁*7,运力*9,交易*4</v>
      </c>
      <c r="Z312" s="34" t="str">
        <f t="shared" si="67"/>
        <v>劳工*1885,工程师*126</v>
      </c>
      <c r="AA312" s="34" t="str">
        <f t="shared" si="64"/>
        <v/>
      </c>
      <c r="AB312" s="25" t="str">
        <f t="shared" si="68"/>
        <v>21%</v>
      </c>
      <c r="AC312" s="1">
        <f t="shared" si="69"/>
        <v>280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劳工*1885</v>
      </c>
      <c r="AH312" t="str">
        <f t="shared" si="73"/>
        <v>工程师*126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9</v>
      </c>
      <c r="AO312">
        <f>IFERROR(ROUND(L312*(K312/$AU312)/VLOOKUP("运力",商品!$A$4:$C$60,3,FALSE),0),0)</f>
        <v>4</v>
      </c>
      <c r="AP312">
        <f>IFERROR(ROUND(S312*(N312/$AV312)/VLOOKUP(M312,职业!$A$3:$E$16,4,FALSE),0),"")</f>
        <v>1885</v>
      </c>
      <c r="AQ312">
        <f>IFERROR(ROUND(S312*(P312/$AV312)/VLOOKUP(O312,职业!$A$3:$E$16,4,FALSE),0),"")</f>
        <v>126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20" customHeight="1" x14ac:dyDescent="0.3">
      <c r="A313" s="5" t="s">
        <v>345</v>
      </c>
      <c r="C313" s="5">
        <v>3</v>
      </c>
      <c r="D313" s="21" t="s">
        <v>240</v>
      </c>
      <c r="E313" s="21" t="s">
        <v>224</v>
      </c>
      <c r="F313" s="80" t="s">
        <v>631</v>
      </c>
      <c r="G313" s="1">
        <v>10</v>
      </c>
      <c r="H313" s="80" t="s">
        <v>630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80" t="s">
        <v>632</v>
      </c>
      <c r="N313" s="1">
        <v>100</v>
      </c>
      <c r="O313" s="80" t="s">
        <v>633</v>
      </c>
      <c r="P313" s="1">
        <v>30</v>
      </c>
      <c r="S313" s="5">
        <f>IFERROR(VLOOKUP($D313&amp;$C313,生产方式定位!$A$2:$E$38,3,FALSE)+VLOOKUP($E313&amp;$C313,生产方式定位!$F$3:$J$38,3,FALSE),0)</f>
        <v>60</v>
      </c>
      <c r="X313" s="5">
        <f>IFERROR(VLOOKUP($D313&amp;$C313,生产方式定位!$A$2:$E$38,5,FALSE)+VLOOKUP($E313&amp;$C313,生产方式定位!$F$3:$J$38,5,FALSE),"错误")</f>
        <v>2326</v>
      </c>
      <c r="Y313" s="24" t="str">
        <f t="shared" si="66"/>
        <v>煤*20,铁*8,运力*10,交易*5</v>
      </c>
      <c r="Z313" s="34" t="str">
        <f t="shared" si="67"/>
        <v>劳工*2088,工程师*209</v>
      </c>
      <c r="AA313" s="34" t="str">
        <f t="shared" si="64"/>
        <v/>
      </c>
      <c r="AB313" s="25" t="str">
        <f t="shared" si="68"/>
        <v>27%</v>
      </c>
      <c r="AC313" s="1">
        <f t="shared" si="69"/>
        <v>441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劳工*2088</v>
      </c>
      <c r="AH313" t="str">
        <f t="shared" si="73"/>
        <v>工程师*209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10</v>
      </c>
      <c r="AO313">
        <f>IFERROR(ROUND(L313*(K313/$AU313)/VLOOKUP("运力",商品!$A$4:$C$60,3,FALSE),0),0)</f>
        <v>5</v>
      </c>
      <c r="AP313">
        <f>IFERROR(ROUND(S313*(N313/$AV313)/VLOOKUP(M313,职业!$A$3:$E$16,4,FALSE),0),"")</f>
        <v>2088</v>
      </c>
      <c r="AQ313">
        <f>IFERROR(ROUND(S313*(P313/$AV313)/VLOOKUP(O313,职业!$A$3:$E$16,4,FALSE),0),"")</f>
        <v>209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20" customHeight="1" x14ac:dyDescent="0.3">
      <c r="A314" s="5" t="s">
        <v>345</v>
      </c>
      <c r="C314" s="5">
        <v>4</v>
      </c>
      <c r="D314" s="21" t="s">
        <v>240</v>
      </c>
      <c r="E314" s="21" t="s">
        <v>224</v>
      </c>
      <c r="F314" s="80" t="s">
        <v>631</v>
      </c>
      <c r="G314" s="1">
        <v>10</v>
      </c>
      <c r="H314" s="80" t="s">
        <v>630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80" t="s">
        <v>632</v>
      </c>
      <c r="N314" s="1">
        <v>100</v>
      </c>
      <c r="O314" s="80" t="s">
        <v>633</v>
      </c>
      <c r="P314" s="1">
        <v>40</v>
      </c>
      <c r="S314" s="5">
        <f>IFERROR(VLOOKUP($D314&amp;$C314,生产方式定位!$A$2:$E$38,3,FALSE)+VLOOKUP($E314&amp;$C314,生产方式定位!$F$3:$J$38,3,FALSE),0)</f>
        <v>70</v>
      </c>
      <c r="X314" s="5">
        <f>IFERROR(VLOOKUP($D314&amp;$C314,生产方式定位!$A$2:$E$38,5,FALSE)+VLOOKUP($E314&amp;$C314,生产方式定位!$F$3:$J$38,5,FALSE),"错误")</f>
        <v>2743</v>
      </c>
      <c r="Y314" s="24" t="str">
        <f t="shared" si="66"/>
        <v>煤*23,铁*9,运力*11,交易*6</v>
      </c>
      <c r="Z314" s="34" t="str">
        <f t="shared" si="67"/>
        <v>劳工*2262,工程师*302</v>
      </c>
      <c r="AA314" s="34" t="str">
        <f t="shared" si="64"/>
        <v/>
      </c>
      <c r="AB314" s="25" t="str">
        <f t="shared" si="68"/>
        <v>34%</v>
      </c>
      <c r="AC314" s="1">
        <f t="shared" si="69"/>
        <v>623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劳工*2262</v>
      </c>
      <c r="AH314" t="str">
        <f t="shared" si="73"/>
        <v>工程师*302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11</v>
      </c>
      <c r="AO314">
        <f>IFERROR(ROUND(L314*(K314/$AU314)/VLOOKUP("运力",商品!$A$4:$C$60,3,FALSE),0),0)</f>
        <v>6</v>
      </c>
      <c r="AP314">
        <f>IFERROR(ROUND(S314*(N314/$AV314)/VLOOKUP(M314,职业!$A$3:$E$16,4,FALSE),0),"")</f>
        <v>2262</v>
      </c>
      <c r="AQ314">
        <f>IFERROR(ROUND(S314*(P314/$AV314)/VLOOKUP(O314,职业!$A$3:$E$16,4,FALSE),0),"")</f>
        <v>302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20" customHeight="1" x14ac:dyDescent="0.3">
      <c r="A315" s="5" t="s">
        <v>345</v>
      </c>
      <c r="C315" s="5">
        <v>5</v>
      </c>
      <c r="D315" s="21" t="s">
        <v>240</v>
      </c>
      <c r="E315" s="21" t="s">
        <v>224</v>
      </c>
      <c r="F315" s="80" t="s">
        <v>631</v>
      </c>
      <c r="G315" s="1">
        <v>10</v>
      </c>
      <c r="H315" s="80" t="s">
        <v>630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80" t="s">
        <v>632</v>
      </c>
      <c r="N315" s="1">
        <v>100</v>
      </c>
      <c r="O315" s="80" t="s">
        <v>633</v>
      </c>
      <c r="P315" s="1">
        <v>50</v>
      </c>
      <c r="S315" s="5">
        <f>IFERROR(VLOOKUP($D315&amp;$C315,生产方式定位!$A$2:$E$38,3,FALSE)+VLOOKUP($E315&amp;$C315,生产方式定位!$F$3:$J$38,3,FALSE),0)</f>
        <v>80</v>
      </c>
      <c r="X315" s="5">
        <f>IFERROR(VLOOKUP($D315&amp;$C315,生产方式定位!$A$2:$E$38,5,FALSE)+VLOOKUP($E315&amp;$C315,生产方式定位!$F$3:$J$38,5,FALSE),"错误")</f>
        <v>3183</v>
      </c>
      <c r="Y315" s="24" t="str">
        <f t="shared" si="66"/>
        <v>煤*25,铁*9,运力*13,交易*6</v>
      </c>
      <c r="Z315" s="34" t="str">
        <f t="shared" si="67"/>
        <v>劳工*2413,工程师*402</v>
      </c>
      <c r="AA315" s="34" t="str">
        <f t="shared" si="64"/>
        <v/>
      </c>
      <c r="AB315" s="25" t="str">
        <f t="shared" si="68"/>
        <v>40%</v>
      </c>
      <c r="AC315" s="1">
        <f t="shared" si="69"/>
        <v>828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劳工*2413</v>
      </c>
      <c r="AH315" t="str">
        <f t="shared" si="73"/>
        <v>工程师*402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13</v>
      </c>
      <c r="AO315">
        <f>IFERROR(ROUND(L315*(K315/$AU315)/VLOOKUP("运力",商品!$A$4:$C$60,3,FALSE),0),0)</f>
        <v>6</v>
      </c>
      <c r="AP315">
        <f>IFERROR(ROUND(S315*(N315/$AV315)/VLOOKUP(M315,职业!$A$3:$E$16,4,FALSE),0),"")</f>
        <v>2413</v>
      </c>
      <c r="AQ315">
        <f>IFERROR(ROUND(S315*(P315/$AV315)/VLOOKUP(O315,职业!$A$3:$E$16,4,FALSE),0),"")</f>
        <v>402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20" customHeight="1" x14ac:dyDescent="0.3">
      <c r="A316" s="18" t="s">
        <v>346</v>
      </c>
      <c r="C316" s="18">
        <v>1</v>
      </c>
      <c r="D316" s="21" t="s">
        <v>240</v>
      </c>
      <c r="E316" s="21" t="s">
        <v>225</v>
      </c>
      <c r="L316" s="18">
        <f>IFERROR(VLOOKUP($D316&amp;$C316,生产方式定位!$A$2:$E$38,2,FALSE)+VLOOKUP($E316&amp;$C316,生产方式定位!$F$3:$J$38,2,FALSE),0)</f>
        <v>1000</v>
      </c>
      <c r="M316" s="80" t="s">
        <v>632</v>
      </c>
      <c r="N316" s="1">
        <v>-20</v>
      </c>
      <c r="O316" s="80" t="s">
        <v>633</v>
      </c>
      <c r="P316" s="1">
        <v>5</v>
      </c>
      <c r="S316" s="18">
        <f>IFERROR(VLOOKUP($D316&amp;$C316,生产方式定位!$A$2:$E$38,3,FALSE)+VLOOKUP($E316&amp;$C316,生产方式定位!$F$3:$J$38,3,FALSE),0)</f>
        <v>40</v>
      </c>
      <c r="X316" s="18">
        <f>IFERROR(VLOOKUP($D316&amp;$C316,生产方式定位!$A$2:$E$38,5,FALSE)+VLOOKUP($E316&amp;$C316,生产方式定位!$F$3:$J$38,5,FALSE),"错误")</f>
        <v>1144</v>
      </c>
      <c r="Y316" s="24" t="str">
        <f t="shared" si="66"/>
        <v/>
      </c>
      <c r="Z316" s="34" t="str">
        <f t="shared" si="67"/>
        <v>劳工*-1448,工程师*121</v>
      </c>
      <c r="AA316" s="34" t="str">
        <f t="shared" si="64"/>
        <v/>
      </c>
      <c r="AB316" s="25" t="str">
        <f t="shared" si="68"/>
        <v>14%</v>
      </c>
      <c r="AC316" s="1">
        <f t="shared" si="69"/>
        <v>104</v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劳工*-1448</v>
      </c>
      <c r="AH316" t="str">
        <f t="shared" si="73"/>
        <v>工程师*121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-1448</v>
      </c>
      <c r="AQ316">
        <f>IFERROR(ROUND(S316*(P316/$AV316)/VLOOKUP(O316,职业!$A$3:$E$16,4,FALSE),0),"")</f>
        <v>121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20" customHeight="1" x14ac:dyDescent="0.3">
      <c r="A317" s="18" t="s">
        <v>346</v>
      </c>
      <c r="C317" s="18">
        <v>2</v>
      </c>
      <c r="D317" s="21" t="s">
        <v>240</v>
      </c>
      <c r="E317" s="21" t="s">
        <v>225</v>
      </c>
      <c r="L317" s="18">
        <f>IFERROR(VLOOKUP($D317&amp;$C317,生产方式定位!$A$2:$E$38,2,FALSE)+VLOOKUP($E317&amp;$C317,生产方式定位!$F$3:$J$38,2,FALSE),0)</f>
        <v>1850</v>
      </c>
      <c r="M317" s="80" t="s">
        <v>632</v>
      </c>
      <c r="N317" s="1">
        <v>-20</v>
      </c>
      <c r="O317" s="80" t="s">
        <v>633</v>
      </c>
      <c r="P317" s="1">
        <v>5</v>
      </c>
      <c r="S317" s="18">
        <f>IFERROR(VLOOKUP($D317&amp;$C317,生产方式定位!$A$2:$E$38,3,FALSE)+VLOOKUP($E317&amp;$C317,生产方式定位!$F$3:$J$38,3,FALSE),0)</f>
        <v>90</v>
      </c>
      <c r="X317" s="18">
        <f>IFERROR(VLOOKUP($D317&amp;$C317,生产方式定位!$A$2:$E$38,5,FALSE)+VLOOKUP($E317&amp;$C317,生产方式定位!$F$3:$J$38,5,FALSE),"错误")</f>
        <v>2012</v>
      </c>
      <c r="Y317" s="24" t="str">
        <f t="shared" si="66"/>
        <v/>
      </c>
      <c r="Z317" s="34" t="str">
        <f t="shared" si="67"/>
        <v>劳工*-3258,工程师*271</v>
      </c>
      <c r="AA317" s="34" t="str">
        <f t="shared" si="64"/>
        <v/>
      </c>
      <c r="AB317" s="25" t="str">
        <f t="shared" si="68"/>
        <v>9%</v>
      </c>
      <c r="AC317" s="1">
        <f t="shared" si="69"/>
        <v>72</v>
      </c>
      <c r="AD317" s="36">
        <f t="shared" si="65"/>
        <v>2</v>
      </c>
      <c r="AE317" t="str">
        <f t="shared" si="70"/>
        <v/>
      </c>
      <c r="AF317" t="str">
        <f t="shared" si="71"/>
        <v/>
      </c>
      <c r="AG317" t="str">
        <f t="shared" si="72"/>
        <v>劳工*-3258</v>
      </c>
      <c r="AH317" t="str">
        <f t="shared" si="73"/>
        <v>工程师*271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 t="str">
        <f>IFERROR(ROUND(L317*(G317/$AU317)/VLOOKUP(F317,商品!$A$4:$C$60,3,FALSE),0),"")</f>
        <v/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-3258</v>
      </c>
      <c r="AQ317">
        <f>IFERROR(ROUND(S317*(P317/$AV317)/VLOOKUP(O317,职业!$A$3:$E$16,4,FALSE),0),"")</f>
        <v>271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0</v>
      </c>
      <c r="AV317">
        <f t="shared" si="78"/>
        <v>25</v>
      </c>
      <c r="AW317">
        <f t="shared" si="79"/>
        <v>0</v>
      </c>
    </row>
    <row r="318" spans="1:49" ht="20" customHeight="1" x14ac:dyDescent="0.3">
      <c r="A318" s="18" t="s">
        <v>346</v>
      </c>
      <c r="C318" s="18">
        <v>3</v>
      </c>
      <c r="D318" s="21" t="s">
        <v>240</v>
      </c>
      <c r="E318" s="21" t="s">
        <v>225</v>
      </c>
      <c r="L318" s="18">
        <f>IFERROR(VLOOKUP($D318&amp;$C318,生产方式定位!$A$2:$E$38,2,FALSE)+VLOOKUP($E318&amp;$C318,生产方式定位!$F$3:$J$38,2,FALSE),0)</f>
        <v>2200</v>
      </c>
      <c r="M318" s="80" t="s">
        <v>632</v>
      </c>
      <c r="N318" s="1">
        <v>-20</v>
      </c>
      <c r="O318" s="80" t="s">
        <v>633</v>
      </c>
      <c r="P318" s="1">
        <v>5</v>
      </c>
      <c r="S318" s="18">
        <f>IFERROR(VLOOKUP($D318&amp;$C318,生产方式定位!$A$2:$E$38,3,FALSE)+VLOOKUP($E318&amp;$C318,生产方式定位!$F$3:$J$38,3,FALSE),0)</f>
        <v>120</v>
      </c>
      <c r="X318" s="18">
        <f>IFERROR(VLOOKUP($D318&amp;$C318,生产方式定位!$A$2:$E$38,5,FALSE)+VLOOKUP($E318&amp;$C318,生产方式定位!$F$3:$J$38,5,FALSE),"错误")</f>
        <v>2539</v>
      </c>
      <c r="Y318" s="24" t="str">
        <f t="shared" si="66"/>
        <v/>
      </c>
      <c r="Z318" s="34" t="str">
        <f t="shared" si="67"/>
        <v>劳工*-4344,工程师*362</v>
      </c>
      <c r="AA318" s="34" t="str">
        <f t="shared" si="64"/>
        <v/>
      </c>
      <c r="AB318" s="25" t="str">
        <f t="shared" si="68"/>
        <v>15%</v>
      </c>
      <c r="AC318" s="1">
        <f t="shared" si="69"/>
        <v>219</v>
      </c>
      <c r="AD318" s="36">
        <f t="shared" si="65"/>
        <v>3</v>
      </c>
      <c r="AE318" t="str">
        <f t="shared" si="70"/>
        <v/>
      </c>
      <c r="AF318" t="str">
        <f t="shared" si="71"/>
        <v/>
      </c>
      <c r="AG318" t="str">
        <f t="shared" si="72"/>
        <v>劳工*-4344</v>
      </c>
      <c r="AH318" t="str">
        <f t="shared" si="73"/>
        <v>工程师*362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 t="str">
        <f>IFERROR(ROUND(L318*(G318/$AU318)/VLOOKUP(F318,商品!$A$4:$C$60,3,FALSE),0),"")</f>
        <v/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-4344</v>
      </c>
      <c r="AQ318">
        <f>IFERROR(ROUND(S318*(P318/$AV318)/VLOOKUP(O318,职业!$A$3:$E$16,4,FALSE),0),"")</f>
        <v>362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0</v>
      </c>
      <c r="AV318">
        <f t="shared" si="78"/>
        <v>25</v>
      </c>
      <c r="AW318">
        <f t="shared" si="79"/>
        <v>0</v>
      </c>
    </row>
    <row r="319" spans="1:49" ht="20" customHeight="1" x14ac:dyDescent="0.3">
      <c r="A319" s="18" t="s">
        <v>346</v>
      </c>
      <c r="C319" s="18">
        <v>4</v>
      </c>
      <c r="D319" s="21" t="s">
        <v>240</v>
      </c>
      <c r="E319" s="21" t="s">
        <v>225</v>
      </c>
      <c r="L319" s="18">
        <f>IFERROR(VLOOKUP($D319&amp;$C319,生产方式定位!$A$2:$E$38,2,FALSE)+VLOOKUP($E319&amp;$C319,生产方式定位!$F$3:$J$38,2,FALSE),0)</f>
        <v>2550</v>
      </c>
      <c r="M319" s="80" t="s">
        <v>632</v>
      </c>
      <c r="N319" s="1">
        <v>-20</v>
      </c>
      <c r="O319" s="80" t="s">
        <v>633</v>
      </c>
      <c r="P319" s="1">
        <v>5</v>
      </c>
      <c r="S319" s="18">
        <f>IFERROR(VLOOKUP($D319&amp;$C319,生产方式定位!$A$2:$E$38,3,FALSE)+VLOOKUP($E319&amp;$C319,生产方式定位!$F$3:$J$38,3,FALSE),0)</f>
        <v>150</v>
      </c>
      <c r="X319" s="18">
        <f>IFERROR(VLOOKUP($D319&amp;$C319,生产方式定位!$A$2:$E$38,5,FALSE)+VLOOKUP($E319&amp;$C319,生产方式定位!$F$3:$J$38,5,FALSE),"错误")</f>
        <v>3115</v>
      </c>
      <c r="Y319" s="24" t="str">
        <f t="shared" si="66"/>
        <v/>
      </c>
      <c r="Z319" s="34" t="str">
        <f t="shared" si="67"/>
        <v>劳工*-5430,工程师*452</v>
      </c>
      <c r="AA319" s="34" t="str">
        <f t="shared" si="64"/>
        <v/>
      </c>
      <c r="AB319" s="25" t="str">
        <f t="shared" si="68"/>
        <v>22%</v>
      </c>
      <c r="AC319" s="1">
        <f t="shared" si="69"/>
        <v>415</v>
      </c>
      <c r="AD319" s="36">
        <f t="shared" si="65"/>
        <v>4</v>
      </c>
      <c r="AE319" t="str">
        <f t="shared" si="70"/>
        <v/>
      </c>
      <c r="AF319" t="str">
        <f t="shared" si="71"/>
        <v/>
      </c>
      <c r="AG319" t="str">
        <f t="shared" si="72"/>
        <v>劳工*-5430</v>
      </c>
      <c r="AH319" t="str">
        <f t="shared" si="73"/>
        <v>工程师*452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 t="str">
        <f>IFERROR(ROUND(L319*(G319/$AU319)/VLOOKUP(F319,商品!$A$4:$C$60,3,FALSE),0),"")</f>
        <v/>
      </c>
      <c r="AM319" t="str">
        <f>IFERROR(ROUND(L319*(I319/$AU319)/VLOOKUP(H319,商品!$A$4:$C$60,3,FALSE),0),"")</f>
        <v/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-5430</v>
      </c>
      <c r="AQ319">
        <f>IFERROR(ROUND(S319*(P319/$AV319)/VLOOKUP(O319,职业!$A$3:$E$16,4,FALSE),0),"")</f>
        <v>452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0</v>
      </c>
      <c r="AV319">
        <f t="shared" si="78"/>
        <v>25</v>
      </c>
      <c r="AW319">
        <f t="shared" si="79"/>
        <v>0</v>
      </c>
    </row>
    <row r="320" spans="1:49" ht="20" customHeight="1" x14ac:dyDescent="0.3">
      <c r="A320" s="18" t="s">
        <v>346</v>
      </c>
      <c r="C320" s="18">
        <v>5</v>
      </c>
      <c r="D320" s="21" t="s">
        <v>240</v>
      </c>
      <c r="E320" s="21" t="s">
        <v>225</v>
      </c>
      <c r="L320" s="18">
        <f>IFERROR(VLOOKUP($D320&amp;$C320,生产方式定位!$A$2:$E$38,2,FALSE)+VLOOKUP($E320&amp;$C320,生产方式定位!$F$3:$J$38,2,FALSE),0)</f>
        <v>2900</v>
      </c>
      <c r="M320" s="80" t="s">
        <v>632</v>
      </c>
      <c r="N320" s="1">
        <v>-20</v>
      </c>
      <c r="O320" s="80" t="s">
        <v>633</v>
      </c>
      <c r="P320" s="1">
        <v>5</v>
      </c>
      <c r="S320" s="18">
        <f>IFERROR(VLOOKUP($D320&amp;$C320,生产方式定位!$A$2:$E$38,3,FALSE)+VLOOKUP($E320&amp;$C320,生产方式定位!$F$3:$J$38,3,FALSE),0)</f>
        <v>180</v>
      </c>
      <c r="X320" s="18">
        <f>IFERROR(VLOOKUP($D320&amp;$C320,生产方式定位!$A$2:$E$38,5,FALSE)+VLOOKUP($E320&amp;$C320,生产方式定位!$F$3:$J$38,5,FALSE),"错误")</f>
        <v>3980</v>
      </c>
      <c r="Y320" s="24" t="str">
        <f t="shared" si="66"/>
        <v/>
      </c>
      <c r="Z320" s="34" t="str">
        <f t="shared" si="67"/>
        <v>劳工*-6516,工程师*543</v>
      </c>
      <c r="AA320" s="34" t="str">
        <f t="shared" si="64"/>
        <v/>
      </c>
      <c r="AB320" s="25" t="str">
        <f t="shared" si="68"/>
        <v>37%</v>
      </c>
      <c r="AC320" s="1">
        <f t="shared" si="69"/>
        <v>900</v>
      </c>
      <c r="AD320" s="36">
        <f t="shared" si="65"/>
        <v>5</v>
      </c>
      <c r="AE320" t="str">
        <f t="shared" si="70"/>
        <v/>
      </c>
      <c r="AF320" t="str">
        <f t="shared" si="71"/>
        <v/>
      </c>
      <c r="AG320" t="str">
        <f t="shared" si="72"/>
        <v>劳工*-6516</v>
      </c>
      <c r="AH320" t="str">
        <f t="shared" si="73"/>
        <v>工程师*543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 t="str">
        <f>IFERROR(ROUND(L320*(G320/$AU320)/VLOOKUP(F320,商品!$A$4:$C$60,3,FALSE),0),"")</f>
        <v/>
      </c>
      <c r="AM320" t="str">
        <f>IFERROR(ROUND(L320*(I320/$AU320)/VLOOKUP(H320,商品!$A$4:$C$60,3,FALSE),0),"")</f>
        <v/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-6516</v>
      </c>
      <c r="AQ320">
        <f>IFERROR(ROUND(S320*(P320/$AV320)/VLOOKUP(O320,职业!$A$3:$E$16,4,FALSE),0),"")</f>
        <v>543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0</v>
      </c>
      <c r="AV320">
        <f t="shared" si="78"/>
        <v>25</v>
      </c>
      <c r="AW320">
        <f t="shared" si="79"/>
        <v>0</v>
      </c>
    </row>
    <row r="321" spans="1:49" ht="20" customHeight="1" x14ac:dyDescent="0.3">
      <c r="A321" s="5" t="s">
        <v>346</v>
      </c>
      <c r="C321" s="5">
        <v>1</v>
      </c>
      <c r="D321" s="21" t="s">
        <v>240</v>
      </c>
      <c r="E321" s="21" t="s">
        <v>225</v>
      </c>
      <c r="L321" s="5">
        <f>IFERROR(VLOOKUP($D321&amp;$C321,生产方式定位!$A$2:$E$38,2,FALSE)+VLOOKUP($E321&amp;$C321,生产方式定位!$F$3:$J$38,2,FALSE),0)</f>
        <v>1000</v>
      </c>
      <c r="M321" s="80" t="s">
        <v>632</v>
      </c>
      <c r="N321" s="1">
        <v>-20</v>
      </c>
      <c r="O321" s="80" t="s">
        <v>634</v>
      </c>
      <c r="P321" s="1">
        <v>5</v>
      </c>
      <c r="S321" s="5">
        <f>IFERROR(VLOOKUP($D321&amp;$C321,生产方式定位!$A$2:$E$38,3,FALSE)+VLOOKUP($E321&amp;$C321,生产方式定位!$F$3:$J$38,3,FALSE),0)</f>
        <v>40</v>
      </c>
      <c r="X321" s="5">
        <f>IFERROR(VLOOKUP($D321&amp;$C321,生产方式定位!$A$2:$E$38,5,FALSE)+VLOOKUP($E321&amp;$C321,生产方式定位!$F$3:$J$38,5,FALSE),"错误")</f>
        <v>1144</v>
      </c>
      <c r="Y321" s="24" t="str">
        <f t="shared" si="66"/>
        <v/>
      </c>
      <c r="Z321" s="34" t="str">
        <f t="shared" si="67"/>
        <v>劳工*-1448,法士*90</v>
      </c>
      <c r="AA321" s="34" t="str">
        <f t="shared" si="64"/>
        <v/>
      </c>
      <c r="AB321" s="25" t="str">
        <f t="shared" si="68"/>
        <v>14%</v>
      </c>
      <c r="AC321" s="1">
        <f t="shared" si="69"/>
        <v>104</v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劳工*-1448</v>
      </c>
      <c r="AH321" t="str">
        <f t="shared" si="73"/>
        <v>法士*90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-1448</v>
      </c>
      <c r="AQ321">
        <f>IFERROR(ROUND(S321*(P321/$AV321)/VLOOKUP(O321,职业!$A$3:$E$16,4,FALSE),0),"")</f>
        <v>90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20" customHeight="1" x14ac:dyDescent="0.3">
      <c r="A322" s="5" t="s">
        <v>346</v>
      </c>
      <c r="C322" s="5">
        <v>2</v>
      </c>
      <c r="D322" s="21" t="s">
        <v>240</v>
      </c>
      <c r="E322" s="21" t="s">
        <v>225</v>
      </c>
      <c r="L322" s="5">
        <f>IFERROR(VLOOKUP($D322&amp;$C322,生产方式定位!$A$2:$E$38,2,FALSE)+VLOOKUP($E322&amp;$C322,生产方式定位!$F$3:$J$38,2,FALSE),0)</f>
        <v>1850</v>
      </c>
      <c r="M322" s="80" t="s">
        <v>632</v>
      </c>
      <c r="N322" s="1">
        <v>-20</v>
      </c>
      <c r="O322" s="80" t="s">
        <v>634</v>
      </c>
      <c r="P322" s="1">
        <v>5</v>
      </c>
      <c r="S322" s="5">
        <f>IFERROR(VLOOKUP($D322&amp;$C322,生产方式定位!$A$2:$E$38,3,FALSE)+VLOOKUP($E322&amp;$C322,生产方式定位!$F$3:$J$38,3,FALSE),0)</f>
        <v>90</v>
      </c>
      <c r="X322" s="5">
        <f>IFERROR(VLOOKUP($D322&amp;$C322,生产方式定位!$A$2:$E$38,5,FALSE)+VLOOKUP($E322&amp;$C322,生产方式定位!$F$3:$J$38,5,FALSE),"错误")</f>
        <v>2012</v>
      </c>
      <c r="Y322" s="24" t="str">
        <f t="shared" si="66"/>
        <v/>
      </c>
      <c r="Z322" s="34" t="str">
        <f t="shared" si="67"/>
        <v>劳工*-3258,法士*204</v>
      </c>
      <c r="AA322" s="34" t="str">
        <f t="shared" si="64"/>
        <v/>
      </c>
      <c r="AB322" s="25" t="str">
        <f t="shared" si="68"/>
        <v>9%</v>
      </c>
      <c r="AC322" s="1">
        <f t="shared" si="69"/>
        <v>72</v>
      </c>
      <c r="AD322" s="35">
        <f t="shared" si="65"/>
        <v>2</v>
      </c>
      <c r="AE322" t="str">
        <f t="shared" si="70"/>
        <v/>
      </c>
      <c r="AF322" t="str">
        <f t="shared" si="71"/>
        <v/>
      </c>
      <c r="AG322" t="str">
        <f t="shared" si="72"/>
        <v>劳工*-3258</v>
      </c>
      <c r="AH322" t="str">
        <f t="shared" si="73"/>
        <v>法士*204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 t="str">
        <f>IFERROR(ROUND(L322*(G322/$AU322)/VLOOKUP(F322,商品!$A$4:$C$60,3,FALSE),0),"")</f>
        <v/>
      </c>
      <c r="AM322" t="str">
        <f>IFERROR(ROUND(L322*(I322/$AU322)/VLOOKUP(H322,商品!$A$4:$C$60,3,FALSE),0),"")</f>
        <v/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-3258</v>
      </c>
      <c r="AQ322">
        <f>IFERROR(ROUND(S322*(P322/$AV322)/VLOOKUP(O322,职业!$A$3:$E$16,4,FALSE),0),"")</f>
        <v>204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0</v>
      </c>
      <c r="AV322">
        <f t="shared" si="78"/>
        <v>25</v>
      </c>
      <c r="AW322">
        <f t="shared" si="79"/>
        <v>0</v>
      </c>
    </row>
    <row r="323" spans="1:49" ht="20" customHeight="1" x14ac:dyDescent="0.3">
      <c r="A323" s="5" t="s">
        <v>346</v>
      </c>
      <c r="C323" s="5">
        <v>3</v>
      </c>
      <c r="D323" s="21" t="s">
        <v>240</v>
      </c>
      <c r="E323" s="21" t="s">
        <v>225</v>
      </c>
      <c r="L323" s="5">
        <f>IFERROR(VLOOKUP($D323&amp;$C323,生产方式定位!$A$2:$E$38,2,FALSE)+VLOOKUP($E323&amp;$C323,生产方式定位!$F$3:$J$38,2,FALSE),0)</f>
        <v>2200</v>
      </c>
      <c r="M323" s="80" t="s">
        <v>632</v>
      </c>
      <c r="N323" s="1">
        <v>-20</v>
      </c>
      <c r="O323" s="80" t="s">
        <v>634</v>
      </c>
      <c r="P323" s="1">
        <v>5</v>
      </c>
      <c r="S323" s="5">
        <f>IFERROR(VLOOKUP($D323&amp;$C323,生产方式定位!$A$2:$E$38,3,FALSE)+VLOOKUP($E323&amp;$C323,生产方式定位!$F$3:$J$38,3,FALSE),0)</f>
        <v>120</v>
      </c>
      <c r="X323" s="5">
        <f>IFERROR(VLOOKUP($D323&amp;$C323,生产方式定位!$A$2:$E$38,5,FALSE)+VLOOKUP($E323&amp;$C323,生产方式定位!$F$3:$J$38,5,FALSE),"错误")</f>
        <v>2539</v>
      </c>
      <c r="Y323" s="24" t="str">
        <f t="shared" si="66"/>
        <v/>
      </c>
      <c r="Z323" s="34" t="str">
        <f t="shared" si="67"/>
        <v>劳工*-4344,法士*271</v>
      </c>
      <c r="AA323" s="34" t="str">
        <f t="shared" si="64"/>
        <v/>
      </c>
      <c r="AB323" s="25" t="str">
        <f t="shared" si="68"/>
        <v>15%</v>
      </c>
      <c r="AC323" s="1">
        <f t="shared" si="69"/>
        <v>219</v>
      </c>
      <c r="AD323" s="35">
        <f t="shared" si="65"/>
        <v>3</v>
      </c>
      <c r="AE323" t="str">
        <f t="shared" si="70"/>
        <v/>
      </c>
      <c r="AF323" t="str">
        <f t="shared" si="71"/>
        <v/>
      </c>
      <c r="AG323" t="str">
        <f t="shared" si="72"/>
        <v>劳工*-4344</v>
      </c>
      <c r="AH323" t="str">
        <f t="shared" si="73"/>
        <v>法士*271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 t="str">
        <f>IFERROR(ROUND(L323*(G323/$AU323)/VLOOKUP(F323,商品!$A$4:$C$60,3,FALSE),0),"")</f>
        <v/>
      </c>
      <c r="AM323" t="str">
        <f>IFERROR(ROUND(L323*(I323/$AU323)/VLOOKUP(H323,商品!$A$4:$C$60,3,FALSE),0),"")</f>
        <v/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-4344</v>
      </c>
      <c r="AQ323">
        <f>IFERROR(ROUND(S323*(P323/$AV323)/VLOOKUP(O323,职业!$A$3:$E$16,4,FALSE),0),"")</f>
        <v>271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0</v>
      </c>
      <c r="AV323">
        <f t="shared" si="78"/>
        <v>25</v>
      </c>
      <c r="AW323">
        <f t="shared" si="79"/>
        <v>0</v>
      </c>
    </row>
    <row r="324" spans="1:49" ht="20" customHeight="1" x14ac:dyDescent="0.3">
      <c r="A324" s="5" t="s">
        <v>346</v>
      </c>
      <c r="C324" s="5">
        <v>4</v>
      </c>
      <c r="D324" s="21" t="s">
        <v>240</v>
      </c>
      <c r="E324" s="21" t="s">
        <v>225</v>
      </c>
      <c r="L324" s="5">
        <f>IFERROR(VLOOKUP($D324&amp;$C324,生产方式定位!$A$2:$E$38,2,FALSE)+VLOOKUP($E324&amp;$C324,生产方式定位!$F$3:$J$38,2,FALSE),0)</f>
        <v>2550</v>
      </c>
      <c r="M324" s="80" t="s">
        <v>632</v>
      </c>
      <c r="N324" s="1">
        <v>-20</v>
      </c>
      <c r="O324" s="80" t="s">
        <v>634</v>
      </c>
      <c r="P324" s="1">
        <v>5</v>
      </c>
      <c r="S324" s="5">
        <f>IFERROR(VLOOKUP($D324&amp;$C324,生产方式定位!$A$2:$E$38,3,FALSE)+VLOOKUP($E324&amp;$C324,生产方式定位!$F$3:$J$38,3,FALSE),0)</f>
        <v>150</v>
      </c>
      <c r="X324" s="5">
        <f>IFERROR(VLOOKUP($D324&amp;$C324,生产方式定位!$A$2:$E$38,5,FALSE)+VLOOKUP($E324&amp;$C324,生产方式定位!$F$3:$J$38,5,FALSE),"错误")</f>
        <v>3115</v>
      </c>
      <c r="Y324" s="24" t="str">
        <f t="shared" si="66"/>
        <v/>
      </c>
      <c r="Z324" s="34" t="str">
        <f t="shared" si="67"/>
        <v>劳工*-5430,法士*339</v>
      </c>
      <c r="AA324" s="34" t="str">
        <f t="shared" si="64"/>
        <v/>
      </c>
      <c r="AB324" s="25" t="str">
        <f t="shared" si="68"/>
        <v>22%</v>
      </c>
      <c r="AC324" s="1">
        <f t="shared" si="69"/>
        <v>415</v>
      </c>
      <c r="AD324" s="35">
        <f t="shared" si="65"/>
        <v>4</v>
      </c>
      <c r="AE324" t="str">
        <f t="shared" si="70"/>
        <v/>
      </c>
      <c r="AF324" t="str">
        <f t="shared" si="71"/>
        <v/>
      </c>
      <c r="AG324" t="str">
        <f t="shared" si="72"/>
        <v>劳工*-5430</v>
      </c>
      <c r="AH324" t="str">
        <f t="shared" si="73"/>
        <v>法士*339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 t="str">
        <f>IFERROR(ROUND(L324*(G324/$AU324)/VLOOKUP(F324,商品!$A$4:$C$60,3,FALSE),0),"")</f>
        <v/>
      </c>
      <c r="AM324" t="str">
        <f>IFERROR(ROUND(L324*(I324/$AU324)/VLOOKUP(H324,商品!$A$4:$C$60,3,FALSE),0),"")</f>
        <v/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-5430</v>
      </c>
      <c r="AQ324">
        <f>IFERROR(ROUND(S324*(P324/$AV324)/VLOOKUP(O324,职业!$A$3:$E$16,4,FALSE),0),"")</f>
        <v>339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0</v>
      </c>
      <c r="AV324">
        <f t="shared" si="78"/>
        <v>25</v>
      </c>
      <c r="AW324">
        <f t="shared" si="79"/>
        <v>0</v>
      </c>
    </row>
    <row r="325" spans="1:49" ht="20" customHeight="1" x14ac:dyDescent="0.3">
      <c r="A325" s="5" t="s">
        <v>346</v>
      </c>
      <c r="C325" s="5">
        <v>5</v>
      </c>
      <c r="D325" s="21" t="s">
        <v>240</v>
      </c>
      <c r="E325" s="21" t="s">
        <v>225</v>
      </c>
      <c r="L325" s="5">
        <f>IFERROR(VLOOKUP($D325&amp;$C325,生产方式定位!$A$2:$E$38,2,FALSE)+VLOOKUP($E325&amp;$C325,生产方式定位!$F$3:$J$38,2,FALSE),0)</f>
        <v>2900</v>
      </c>
      <c r="M325" s="80" t="s">
        <v>632</v>
      </c>
      <c r="N325" s="1">
        <v>-20</v>
      </c>
      <c r="O325" s="80" t="s">
        <v>634</v>
      </c>
      <c r="P325" s="1">
        <v>5</v>
      </c>
      <c r="S325" s="5">
        <f>IFERROR(VLOOKUP($D325&amp;$C325,生产方式定位!$A$2:$E$38,3,FALSE)+VLOOKUP($E325&amp;$C325,生产方式定位!$F$3:$J$38,3,FALSE),0)</f>
        <v>180</v>
      </c>
      <c r="X325" s="5">
        <f>IFERROR(VLOOKUP($D325&amp;$C325,生产方式定位!$A$2:$E$38,5,FALSE)+VLOOKUP($E325&amp;$C325,生产方式定位!$F$3:$J$38,5,FALSE),"错误")</f>
        <v>3980</v>
      </c>
      <c r="Y325" s="24" t="str">
        <f t="shared" si="66"/>
        <v/>
      </c>
      <c r="Z325" s="34" t="str">
        <f t="shared" si="67"/>
        <v>劳工*-6516,法士*407</v>
      </c>
      <c r="AA325" s="34" t="str">
        <f t="shared" ref="AA325:AA388" si="80">IF(AJ325="","",AJ325)&amp;IF(AK325="","",","&amp;AK325)</f>
        <v/>
      </c>
      <c r="AB325" s="25" t="str">
        <f t="shared" si="68"/>
        <v>37%</v>
      </c>
      <c r="AC325" s="1">
        <f t="shared" si="69"/>
        <v>900</v>
      </c>
      <c r="AD325" s="35">
        <f t="shared" ref="AD325:AD388" si="81">C325</f>
        <v>5</v>
      </c>
      <c r="AE325" t="str">
        <f t="shared" si="70"/>
        <v/>
      </c>
      <c r="AF325" t="str">
        <f t="shared" si="71"/>
        <v/>
      </c>
      <c r="AG325" t="str">
        <f t="shared" si="72"/>
        <v>劳工*-6516</v>
      </c>
      <c r="AH325" t="str">
        <f t="shared" si="73"/>
        <v>法士*407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 t="str">
        <f>IFERROR(ROUND(L325*(G325/$AU325)/VLOOKUP(F325,商品!$A$4:$C$60,3,FALSE),0),"")</f>
        <v/>
      </c>
      <c r="AM325" t="str">
        <f>IFERROR(ROUND(L325*(I325/$AU325)/VLOOKUP(H325,商品!$A$4:$C$60,3,FALSE),0),"")</f>
        <v/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-6516</v>
      </c>
      <c r="AQ325">
        <f>IFERROR(ROUND(S325*(P325/$AV325)/VLOOKUP(O325,职业!$A$3:$E$16,4,FALSE),0),"")</f>
        <v>407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0</v>
      </c>
      <c r="AV325">
        <f t="shared" si="78"/>
        <v>25</v>
      </c>
      <c r="AW325">
        <f t="shared" si="79"/>
        <v>0</v>
      </c>
    </row>
    <row r="326" spans="1:49" ht="20" customHeight="1" x14ac:dyDescent="0.3">
      <c r="A326" s="18" t="s">
        <v>347</v>
      </c>
      <c r="C326" s="18">
        <v>1</v>
      </c>
      <c r="D326" s="21" t="s">
        <v>292</v>
      </c>
      <c r="E326" s="21" t="s">
        <v>226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20" customHeight="1" x14ac:dyDescent="0.3">
      <c r="A327" s="18" t="s">
        <v>347</v>
      </c>
      <c r="C327" s="18">
        <v>2</v>
      </c>
      <c r="D327" s="21" t="s">
        <v>292</v>
      </c>
      <c r="E327" s="21" t="s">
        <v>226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20" customHeight="1" x14ac:dyDescent="0.3">
      <c r="A328" s="18" t="s">
        <v>347</v>
      </c>
      <c r="C328" s="18">
        <v>3</v>
      </c>
      <c r="D328" s="21" t="s">
        <v>292</v>
      </c>
      <c r="E328" s="21" t="s">
        <v>226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20" customHeight="1" x14ac:dyDescent="0.3">
      <c r="A329" s="18" t="s">
        <v>347</v>
      </c>
      <c r="C329" s="18">
        <v>4</v>
      </c>
      <c r="D329" s="21" t="s">
        <v>292</v>
      </c>
      <c r="E329" s="21" t="s">
        <v>226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20" customHeight="1" x14ac:dyDescent="0.3">
      <c r="A330" s="18" t="s">
        <v>347</v>
      </c>
      <c r="C330" s="18">
        <v>5</v>
      </c>
      <c r="D330" s="21" t="s">
        <v>292</v>
      </c>
      <c r="E330" s="21" t="s">
        <v>226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20" customHeight="1" x14ac:dyDescent="0.3">
      <c r="A331" s="18" t="s">
        <v>347</v>
      </c>
      <c r="C331" s="18">
        <v>6</v>
      </c>
      <c r="D331" s="21" t="s">
        <v>292</v>
      </c>
      <c r="E331" s="21" t="s">
        <v>226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20" customHeight="1" x14ac:dyDescent="0.3">
      <c r="A332" s="18" t="s">
        <v>347</v>
      </c>
      <c r="C332" s="18">
        <v>7</v>
      </c>
      <c r="D332" s="21" t="s">
        <v>292</v>
      </c>
      <c r="E332" s="21" t="s">
        <v>226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20" customHeight="1" x14ac:dyDescent="0.3">
      <c r="A333" s="18" t="s">
        <v>347</v>
      </c>
      <c r="C333" s="18">
        <v>8</v>
      </c>
      <c r="D333" s="21" t="s">
        <v>292</v>
      </c>
      <c r="E333" s="21" t="s">
        <v>226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20" customHeight="1" x14ac:dyDescent="0.3">
      <c r="A334" s="5" t="s">
        <v>349</v>
      </c>
      <c r="C334" s="5">
        <v>1</v>
      </c>
      <c r="D334" s="21" t="s">
        <v>240</v>
      </c>
      <c r="E334" s="21" t="s">
        <v>224</v>
      </c>
      <c r="F334" s="80" t="s">
        <v>635</v>
      </c>
      <c r="G334" s="1">
        <v>15</v>
      </c>
      <c r="H334" s="80" t="s">
        <v>639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40</v>
      </c>
      <c r="T334" s="80" t="s">
        <v>638</v>
      </c>
      <c r="U334" s="1">
        <v>1</v>
      </c>
      <c r="X334" s="5">
        <f>IFERROR(VLOOKUP($D334&amp;$C334,生产方式定位!$A$2:$E$38,5,FALSE)+VLOOKUP($E334&amp;$C334,生产方式定位!$F$3:$J$38,5,FALSE),"错误")</f>
        <v>1144</v>
      </c>
      <c r="Y334" s="24" t="str">
        <f t="shared" si="82"/>
        <v>泽洛*9,钢铁*5,运力*3,交易*2</v>
      </c>
      <c r="Z334" s="34" t="str">
        <f t="shared" si="83"/>
        <v/>
      </c>
      <c r="AA334" s="34" t="str">
        <f t="shared" si="80"/>
        <v>秘银*14</v>
      </c>
      <c r="AB334" s="25" t="str">
        <f t="shared" si="84"/>
        <v>14%</v>
      </c>
      <c r="AC334" s="1">
        <f t="shared" si="85"/>
        <v>104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秘银*14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3</v>
      </c>
      <c r="AO334">
        <f>IFERROR(ROUND(L334*(K334/$AU334)/VLOOKUP("运力",商品!$A$4:$C$60,3,FALSE),0),0)</f>
        <v>2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14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20" customHeight="1" x14ac:dyDescent="0.3">
      <c r="A335" s="5" t="s">
        <v>349</v>
      </c>
      <c r="C335" s="5">
        <v>2</v>
      </c>
      <c r="D335" s="21" t="s">
        <v>240</v>
      </c>
      <c r="E335" s="21" t="s">
        <v>224</v>
      </c>
      <c r="F335" s="80" t="s">
        <v>635</v>
      </c>
      <c r="G335" s="79">
        <v>16</v>
      </c>
      <c r="H335" s="80" t="s">
        <v>639</v>
      </c>
      <c r="I335" s="79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50</v>
      </c>
      <c r="T335" s="80" t="s">
        <v>638</v>
      </c>
      <c r="U335" s="79">
        <v>1</v>
      </c>
      <c r="X335" s="5">
        <f>IFERROR(VLOOKUP($D335&amp;$C335,生产方式定位!$A$2:$E$38,5,FALSE)+VLOOKUP($E335&amp;$C335,生产方式定位!$F$3:$J$38,5,FALSE),"错误")</f>
        <v>1930</v>
      </c>
      <c r="Y335" s="24" t="str">
        <f t="shared" si="82"/>
        <v>泽洛*15,钢铁*8,运力*4,交易*2</v>
      </c>
      <c r="Z335" s="34" t="str">
        <f t="shared" si="83"/>
        <v/>
      </c>
      <c r="AA335" s="34" t="str">
        <f t="shared" si="80"/>
        <v>秘银*24</v>
      </c>
      <c r="AB335" s="25" t="str">
        <f t="shared" si="84"/>
        <v>21%</v>
      </c>
      <c r="AC335" s="1">
        <f t="shared" si="85"/>
        <v>280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秘银*24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4</v>
      </c>
      <c r="AO335">
        <f>IFERROR(ROUND(L335*(K335/$AU335)/VLOOKUP("运力",商品!$A$4:$C$60,3,FALSE),0),0)</f>
        <v>2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24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20" customHeight="1" x14ac:dyDescent="0.3">
      <c r="A336" s="5" t="s">
        <v>349</v>
      </c>
      <c r="C336" s="5">
        <v>3</v>
      </c>
      <c r="D336" s="21" t="s">
        <v>240</v>
      </c>
      <c r="E336" s="21" t="s">
        <v>224</v>
      </c>
      <c r="F336" s="80" t="s">
        <v>635</v>
      </c>
      <c r="G336" s="79">
        <v>17</v>
      </c>
      <c r="H336" s="80" t="s">
        <v>639</v>
      </c>
      <c r="I336" s="79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60</v>
      </c>
      <c r="T336" s="80" t="s">
        <v>638</v>
      </c>
      <c r="U336" s="79">
        <v>1</v>
      </c>
      <c r="X336" s="5">
        <f>IFERROR(VLOOKUP($D336&amp;$C336,生产方式定位!$A$2:$E$38,5,FALSE)+VLOOKUP($E336&amp;$C336,生产方式定位!$F$3:$J$38,5,FALSE),"错误")</f>
        <v>2326</v>
      </c>
      <c r="Y336" s="24" t="str">
        <f t="shared" si="82"/>
        <v>泽洛*18,钢铁*9,运力*4,交易*3</v>
      </c>
      <c r="Z336" s="34" t="str">
        <f t="shared" si="83"/>
        <v/>
      </c>
      <c r="AA336" s="34" t="str">
        <f t="shared" si="80"/>
        <v>秘银*29</v>
      </c>
      <c r="AB336" s="25" t="str">
        <f t="shared" si="84"/>
        <v>27%</v>
      </c>
      <c r="AC336" s="1">
        <f t="shared" si="85"/>
        <v>441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秘银*29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4</v>
      </c>
      <c r="AO336">
        <f>IFERROR(ROUND(L336*(K336/$AU336)/VLOOKUP("运力",商品!$A$4:$C$60,3,FALSE),0),0)</f>
        <v>3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29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20" customHeight="1" x14ac:dyDescent="0.3">
      <c r="A337" s="5" t="s">
        <v>349</v>
      </c>
      <c r="C337" s="5">
        <v>4</v>
      </c>
      <c r="D337" s="21" t="s">
        <v>240</v>
      </c>
      <c r="E337" s="21" t="s">
        <v>224</v>
      </c>
      <c r="F337" s="80" t="s">
        <v>635</v>
      </c>
      <c r="G337" s="79">
        <v>18</v>
      </c>
      <c r="H337" s="80" t="s">
        <v>639</v>
      </c>
      <c r="I337" s="79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70</v>
      </c>
      <c r="T337" s="80" t="s">
        <v>638</v>
      </c>
      <c r="U337" s="79">
        <v>1</v>
      </c>
      <c r="X337" s="5">
        <f>IFERROR(VLOOKUP($D337&amp;$C337,生产方式定位!$A$2:$E$38,5,FALSE)+VLOOKUP($E337&amp;$C337,生产方式定位!$F$3:$J$38,5,FALSE),"错误")</f>
        <v>2743</v>
      </c>
      <c r="Y337" s="24" t="str">
        <f t="shared" si="82"/>
        <v>泽洛*21,钢铁*9,运力*5,交易*3</v>
      </c>
      <c r="Z337" s="34" t="str">
        <f t="shared" si="83"/>
        <v/>
      </c>
      <c r="AA337" s="34" t="str">
        <f t="shared" si="80"/>
        <v>秘银*34</v>
      </c>
      <c r="AB337" s="25" t="str">
        <f t="shared" si="84"/>
        <v>34%</v>
      </c>
      <c r="AC337" s="1">
        <f t="shared" si="85"/>
        <v>623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秘银*34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5</v>
      </c>
      <c r="AO337">
        <f>IFERROR(ROUND(L337*(K337/$AU337)/VLOOKUP("运力",商品!$A$4:$C$60,3,FALSE),0),0)</f>
        <v>3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34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20" customHeight="1" x14ac:dyDescent="0.3">
      <c r="A338" s="5" t="s">
        <v>349</v>
      </c>
      <c r="C338" s="5">
        <v>5</v>
      </c>
      <c r="D338" s="21" t="s">
        <v>240</v>
      </c>
      <c r="E338" s="21" t="s">
        <v>224</v>
      </c>
      <c r="F338" s="80" t="s">
        <v>635</v>
      </c>
      <c r="G338" s="79">
        <v>19</v>
      </c>
      <c r="H338" s="80" t="s">
        <v>639</v>
      </c>
      <c r="I338" s="79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80</v>
      </c>
      <c r="T338" s="80" t="s">
        <v>638</v>
      </c>
      <c r="U338" s="79">
        <v>1</v>
      </c>
      <c r="X338" s="5">
        <f>IFERROR(VLOOKUP($D338&amp;$C338,生产方式定位!$A$2:$E$38,5,FALSE)+VLOOKUP($E338&amp;$C338,生产方式定位!$F$3:$J$38,5,FALSE),"错误")</f>
        <v>3183</v>
      </c>
      <c r="Y338" s="24" t="str">
        <f t="shared" si="82"/>
        <v>泽洛*23,钢铁*10,运力*5,交易*3</v>
      </c>
      <c r="Z338" s="34" t="str">
        <f t="shared" si="83"/>
        <v/>
      </c>
      <c r="AA338" s="34" t="str">
        <f t="shared" si="80"/>
        <v>秘银*40</v>
      </c>
      <c r="AB338" s="25" t="str">
        <f t="shared" si="84"/>
        <v>40%</v>
      </c>
      <c r="AC338" s="1">
        <f t="shared" si="85"/>
        <v>828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秘银*40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5</v>
      </c>
      <c r="AO338">
        <f>IFERROR(ROUND(L338*(K338/$AU338)/VLOOKUP("运力",商品!$A$4:$C$60,3,FALSE),0),0)</f>
        <v>3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40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20" customHeight="1" x14ac:dyDescent="0.3">
      <c r="A339" s="18" t="s">
        <v>350</v>
      </c>
      <c r="C339" s="18">
        <v>1</v>
      </c>
      <c r="D339" s="21" t="s">
        <v>240</v>
      </c>
      <c r="E339" s="21" t="s">
        <v>225</v>
      </c>
      <c r="L339" s="18">
        <f>IFERROR(VLOOKUP($D339&amp;$C339,生产方式定位!$A$2:$E$38,2,FALSE)+VLOOKUP($E339&amp;$C339,生产方式定位!$F$3:$J$38,2,FALSE),0)</f>
        <v>1000</v>
      </c>
      <c r="S339" s="18">
        <f>IFERROR(VLOOKUP($D339&amp;$C339,生产方式定位!$A$2:$E$38,3,FALSE)+VLOOKUP($E339&amp;$C339,生产方式定位!$F$3:$J$38,3,FALSE),0)</f>
        <v>40</v>
      </c>
      <c r="X339" s="18">
        <f>IFERROR(VLOOKUP($D339&amp;$C339,生产方式定位!$A$2:$E$38,5,FALSE)+VLOOKUP($E339&amp;$C339,生产方式定位!$F$3:$J$38,5,FALSE),"错误")</f>
        <v>1144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>14%</v>
      </c>
      <c r="AC339" s="1">
        <f t="shared" si="85"/>
        <v>104</v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20" customHeight="1" x14ac:dyDescent="0.3">
      <c r="A340" s="18" t="s">
        <v>350</v>
      </c>
      <c r="C340" s="18">
        <v>2</v>
      </c>
      <c r="D340" s="21" t="s">
        <v>240</v>
      </c>
      <c r="E340" s="21" t="s">
        <v>225</v>
      </c>
      <c r="L340" s="18">
        <f>IFERROR(VLOOKUP($D340&amp;$C340,生产方式定位!$A$2:$E$38,2,FALSE)+VLOOKUP($E340&amp;$C340,生产方式定位!$F$3:$J$38,2,FALSE),0)</f>
        <v>1850</v>
      </c>
      <c r="S340" s="18">
        <f>IFERROR(VLOOKUP($D340&amp;$C340,生产方式定位!$A$2:$E$38,3,FALSE)+VLOOKUP($E340&amp;$C340,生产方式定位!$F$3:$J$38,3,FALSE),0)</f>
        <v>90</v>
      </c>
      <c r="X340" s="18">
        <f>IFERROR(VLOOKUP($D340&amp;$C340,生产方式定位!$A$2:$E$38,5,FALSE)+VLOOKUP($E340&amp;$C340,生产方式定位!$F$3:$J$38,5,FALSE),"错误")</f>
        <v>2012</v>
      </c>
      <c r="Y340" s="24" t="str">
        <f t="shared" si="82"/>
        <v/>
      </c>
      <c r="Z340" s="34" t="str">
        <f t="shared" si="83"/>
        <v/>
      </c>
      <c r="AA340" s="34" t="str">
        <f t="shared" si="80"/>
        <v/>
      </c>
      <c r="AB340" s="25" t="str">
        <f t="shared" si="84"/>
        <v>9%</v>
      </c>
      <c r="AC340" s="1">
        <f t="shared" si="85"/>
        <v>72</v>
      </c>
      <c r="AD340" s="36">
        <f t="shared" si="81"/>
        <v>2</v>
      </c>
      <c r="AE340" t="str">
        <f t="shared" si="86"/>
        <v/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 t="str">
        <f>IFERROR(ROUND(L340*(G340/$AU340)/VLOOKUP(F340,商品!$A$4:$C$60,3,FALSE),0),"")</f>
        <v/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0</v>
      </c>
      <c r="AV340">
        <f t="shared" si="94"/>
        <v>0</v>
      </c>
      <c r="AW340">
        <f t="shared" si="95"/>
        <v>0</v>
      </c>
    </row>
    <row r="341" spans="1:49" ht="20" customHeight="1" x14ac:dyDescent="0.3">
      <c r="A341" s="18" t="s">
        <v>350</v>
      </c>
      <c r="C341" s="18">
        <v>3</v>
      </c>
      <c r="D341" s="21" t="s">
        <v>240</v>
      </c>
      <c r="E341" s="21" t="s">
        <v>225</v>
      </c>
      <c r="L341" s="18">
        <f>IFERROR(VLOOKUP($D341&amp;$C341,生产方式定位!$A$2:$E$38,2,FALSE)+VLOOKUP($E341&amp;$C341,生产方式定位!$F$3:$J$38,2,FALSE),0)</f>
        <v>2200</v>
      </c>
      <c r="S341" s="18">
        <f>IFERROR(VLOOKUP($D341&amp;$C341,生产方式定位!$A$2:$E$38,3,FALSE)+VLOOKUP($E341&amp;$C341,生产方式定位!$F$3:$J$38,3,FALSE),0)</f>
        <v>120</v>
      </c>
      <c r="X341" s="18">
        <f>IFERROR(VLOOKUP($D341&amp;$C341,生产方式定位!$A$2:$E$38,5,FALSE)+VLOOKUP($E341&amp;$C341,生产方式定位!$F$3:$J$38,5,FALSE),"错误")</f>
        <v>2539</v>
      </c>
      <c r="Y341" s="24" t="str">
        <f t="shared" si="82"/>
        <v/>
      </c>
      <c r="Z341" s="34" t="str">
        <f t="shared" si="83"/>
        <v/>
      </c>
      <c r="AA341" s="34" t="str">
        <f t="shared" si="80"/>
        <v/>
      </c>
      <c r="AB341" s="25" t="str">
        <f t="shared" si="84"/>
        <v>15%</v>
      </c>
      <c r="AC341" s="1">
        <f t="shared" si="85"/>
        <v>219</v>
      </c>
      <c r="AD341" s="36">
        <f t="shared" si="81"/>
        <v>3</v>
      </c>
      <c r="AE341" t="str">
        <f t="shared" si="86"/>
        <v/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 t="str">
        <f>IFERROR(ROUND(L341*(G341/$AU341)/VLOOKUP(F341,商品!$A$4:$C$60,3,FALSE),0),"")</f>
        <v/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0</v>
      </c>
      <c r="AV341">
        <f t="shared" si="94"/>
        <v>0</v>
      </c>
      <c r="AW341">
        <f t="shared" si="95"/>
        <v>0</v>
      </c>
    </row>
    <row r="342" spans="1:49" ht="20" customHeight="1" x14ac:dyDescent="0.3">
      <c r="A342" s="18" t="s">
        <v>350</v>
      </c>
      <c r="C342" s="18">
        <v>4</v>
      </c>
      <c r="D342" s="21" t="s">
        <v>240</v>
      </c>
      <c r="E342" s="21" t="s">
        <v>225</v>
      </c>
      <c r="L342" s="18">
        <f>IFERROR(VLOOKUP($D342&amp;$C342,生产方式定位!$A$2:$E$38,2,FALSE)+VLOOKUP($E342&amp;$C342,生产方式定位!$F$3:$J$38,2,FALSE),0)</f>
        <v>2550</v>
      </c>
      <c r="S342" s="18">
        <f>IFERROR(VLOOKUP($D342&amp;$C342,生产方式定位!$A$2:$E$38,3,FALSE)+VLOOKUP($E342&amp;$C342,生产方式定位!$F$3:$J$38,3,FALSE),0)</f>
        <v>150</v>
      </c>
      <c r="X342" s="18">
        <f>IFERROR(VLOOKUP($D342&amp;$C342,生产方式定位!$A$2:$E$38,5,FALSE)+VLOOKUP($E342&amp;$C342,生产方式定位!$F$3:$J$38,5,FALSE),"错误")</f>
        <v>3115</v>
      </c>
      <c r="Y342" s="24" t="str">
        <f t="shared" si="82"/>
        <v/>
      </c>
      <c r="Z342" s="34" t="str">
        <f t="shared" si="83"/>
        <v/>
      </c>
      <c r="AA342" s="34" t="str">
        <f t="shared" si="80"/>
        <v/>
      </c>
      <c r="AB342" s="25" t="str">
        <f t="shared" si="84"/>
        <v>22%</v>
      </c>
      <c r="AC342" s="1">
        <f t="shared" si="85"/>
        <v>415</v>
      </c>
      <c r="AD342" s="36">
        <f t="shared" si="81"/>
        <v>4</v>
      </c>
      <c r="AE342" t="str">
        <f t="shared" si="86"/>
        <v/>
      </c>
      <c r="AF342" t="str">
        <f t="shared" si="87"/>
        <v/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 t="str">
        <f>IFERROR(ROUND(L342*(G342/$AU342)/VLOOKUP(F342,商品!$A$4:$C$60,3,FALSE),0),"")</f>
        <v/>
      </c>
      <c r="AM342" t="str">
        <f>IFERROR(ROUND(L342*(I342/$AU342)/VLOOKUP(H342,商品!$A$4:$C$60,3,FALSE),0),"")</f>
        <v/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0</v>
      </c>
      <c r="AV342">
        <f t="shared" si="94"/>
        <v>0</v>
      </c>
      <c r="AW342">
        <f t="shared" si="95"/>
        <v>0</v>
      </c>
    </row>
    <row r="343" spans="1:49" ht="20" customHeight="1" x14ac:dyDescent="0.3">
      <c r="A343" s="18" t="s">
        <v>350</v>
      </c>
      <c r="C343" s="18">
        <v>5</v>
      </c>
      <c r="D343" s="21" t="s">
        <v>240</v>
      </c>
      <c r="E343" s="21" t="s">
        <v>225</v>
      </c>
      <c r="L343" s="18">
        <f>IFERROR(VLOOKUP($D343&amp;$C343,生产方式定位!$A$2:$E$38,2,FALSE)+VLOOKUP($E343&amp;$C343,生产方式定位!$F$3:$J$38,2,FALSE),0)</f>
        <v>2900</v>
      </c>
      <c r="S343" s="18">
        <f>IFERROR(VLOOKUP($D343&amp;$C343,生产方式定位!$A$2:$E$38,3,FALSE)+VLOOKUP($E343&amp;$C343,生产方式定位!$F$3:$J$38,3,FALSE),0)</f>
        <v>180</v>
      </c>
      <c r="X343" s="18">
        <f>IFERROR(VLOOKUP($D343&amp;$C343,生产方式定位!$A$2:$E$38,5,FALSE)+VLOOKUP($E343&amp;$C343,生产方式定位!$F$3:$J$38,5,FALSE),"错误")</f>
        <v>3980</v>
      </c>
      <c r="Y343" s="24" t="str">
        <f t="shared" si="82"/>
        <v/>
      </c>
      <c r="Z343" s="34" t="str">
        <f t="shared" si="83"/>
        <v/>
      </c>
      <c r="AA343" s="34" t="str">
        <f t="shared" si="80"/>
        <v/>
      </c>
      <c r="AB343" s="25" t="str">
        <f t="shared" si="84"/>
        <v>37%</v>
      </c>
      <c r="AC343" s="1">
        <f t="shared" si="85"/>
        <v>900</v>
      </c>
      <c r="AD343" s="36">
        <f t="shared" si="81"/>
        <v>5</v>
      </c>
      <c r="AE343" t="str">
        <f t="shared" si="86"/>
        <v/>
      </c>
      <c r="AF343" t="str">
        <f t="shared" si="87"/>
        <v/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 t="str">
        <f>IFERROR(ROUND(L343*(G343/$AU343)/VLOOKUP(F343,商品!$A$4:$C$60,3,FALSE),0),"")</f>
        <v/>
      </c>
      <c r="AM343" t="str">
        <f>IFERROR(ROUND(L343*(I343/$AU343)/VLOOKUP(H343,商品!$A$4:$C$60,3,FALSE),0),"")</f>
        <v/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0</v>
      </c>
      <c r="AV343">
        <f t="shared" si="94"/>
        <v>0</v>
      </c>
      <c r="AW343">
        <f t="shared" si="95"/>
        <v>0</v>
      </c>
    </row>
    <row r="344" spans="1:49" ht="20" customHeight="1" x14ac:dyDescent="0.3">
      <c r="A344" s="5" t="s">
        <v>350</v>
      </c>
      <c r="C344" s="5">
        <v>1</v>
      </c>
      <c r="D344" s="21" t="s">
        <v>240</v>
      </c>
      <c r="E344" s="21" t="s">
        <v>225</v>
      </c>
      <c r="L344" s="5">
        <f>IFERROR(VLOOKUP($D344&amp;$C344,生产方式定位!$A$2:$E$38,2,FALSE)+VLOOKUP($E344&amp;$C344,生产方式定位!$F$3:$J$38,2,FALSE),0)</f>
        <v>1000</v>
      </c>
      <c r="S344" s="5">
        <f>IFERROR(VLOOKUP($D344&amp;$C344,生产方式定位!$A$2:$E$38,3,FALSE)+VLOOKUP($E344&amp;$C344,生产方式定位!$F$3:$J$38,3,FALSE),0)</f>
        <v>40</v>
      </c>
      <c r="X344" s="5">
        <f>IFERROR(VLOOKUP($D344&amp;$C344,生产方式定位!$A$2:$E$38,5,FALSE)+VLOOKUP($E344&amp;$C344,生产方式定位!$F$3:$J$38,5,FALSE),"错误")</f>
        <v>1144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>14%</v>
      </c>
      <c r="AC344" s="1">
        <f t="shared" si="85"/>
        <v>104</v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20" customHeight="1" x14ac:dyDescent="0.3">
      <c r="A345" s="5" t="s">
        <v>350</v>
      </c>
      <c r="C345" s="5">
        <v>2</v>
      </c>
      <c r="D345" s="21" t="s">
        <v>240</v>
      </c>
      <c r="E345" s="21" t="s">
        <v>225</v>
      </c>
      <c r="L345" s="5">
        <f>IFERROR(VLOOKUP($D345&amp;$C345,生产方式定位!$A$2:$E$38,2,FALSE)+VLOOKUP($E345&amp;$C345,生产方式定位!$F$3:$J$38,2,FALSE),0)</f>
        <v>1850</v>
      </c>
      <c r="S345" s="5">
        <f>IFERROR(VLOOKUP($D345&amp;$C345,生产方式定位!$A$2:$E$38,3,FALSE)+VLOOKUP($E345&amp;$C345,生产方式定位!$F$3:$J$38,3,FALSE),0)</f>
        <v>90</v>
      </c>
      <c r="X345" s="5">
        <f>IFERROR(VLOOKUP($D345&amp;$C345,生产方式定位!$A$2:$E$38,5,FALSE)+VLOOKUP($E345&amp;$C345,生产方式定位!$F$3:$J$38,5,FALSE),"错误")</f>
        <v>2012</v>
      </c>
      <c r="Y345" s="24" t="str">
        <f t="shared" si="82"/>
        <v/>
      </c>
      <c r="Z345" s="34" t="str">
        <f t="shared" si="83"/>
        <v/>
      </c>
      <c r="AA345" s="34" t="str">
        <f t="shared" si="80"/>
        <v/>
      </c>
      <c r="AB345" s="25" t="str">
        <f t="shared" si="84"/>
        <v>9%</v>
      </c>
      <c r="AC345" s="1">
        <f t="shared" si="85"/>
        <v>72</v>
      </c>
      <c r="AD345" s="35">
        <f t="shared" si="81"/>
        <v>2</v>
      </c>
      <c r="AE345" t="str">
        <f t="shared" si="86"/>
        <v/>
      </c>
      <c r="AF345" t="str">
        <f t="shared" si="87"/>
        <v/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 t="str">
        <f>IFERROR(ROUND(L345*(G345/$AU345)/VLOOKUP(F345,商品!$A$4:$C$60,3,FALSE),0),"")</f>
        <v/>
      </c>
      <c r="AM345" t="str">
        <f>IFERROR(ROUND(L345*(I345/$AU345)/VLOOKUP(H345,商品!$A$4:$C$60,3,FALSE),0),"")</f>
        <v/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0</v>
      </c>
      <c r="AV345">
        <f t="shared" si="94"/>
        <v>0</v>
      </c>
      <c r="AW345">
        <f t="shared" si="95"/>
        <v>0</v>
      </c>
    </row>
    <row r="346" spans="1:49" ht="20" customHeight="1" x14ac:dyDescent="0.3">
      <c r="A346" s="5" t="s">
        <v>350</v>
      </c>
      <c r="C346" s="5">
        <v>3</v>
      </c>
      <c r="D346" s="21" t="s">
        <v>240</v>
      </c>
      <c r="E346" s="21" t="s">
        <v>225</v>
      </c>
      <c r="L346" s="5">
        <f>IFERROR(VLOOKUP($D346&amp;$C346,生产方式定位!$A$2:$E$38,2,FALSE)+VLOOKUP($E346&amp;$C346,生产方式定位!$F$3:$J$38,2,FALSE),0)</f>
        <v>2200</v>
      </c>
      <c r="S346" s="5">
        <f>IFERROR(VLOOKUP($D346&amp;$C346,生产方式定位!$A$2:$E$38,3,FALSE)+VLOOKUP($E346&amp;$C346,生产方式定位!$F$3:$J$38,3,FALSE),0)</f>
        <v>120</v>
      </c>
      <c r="X346" s="5">
        <f>IFERROR(VLOOKUP($D346&amp;$C346,生产方式定位!$A$2:$E$38,5,FALSE)+VLOOKUP($E346&amp;$C346,生产方式定位!$F$3:$J$38,5,FALSE),"错误")</f>
        <v>2539</v>
      </c>
      <c r="Y346" s="24" t="str">
        <f t="shared" si="82"/>
        <v/>
      </c>
      <c r="Z346" s="34" t="str">
        <f t="shared" si="83"/>
        <v/>
      </c>
      <c r="AA346" s="34" t="str">
        <f t="shared" si="80"/>
        <v/>
      </c>
      <c r="AB346" s="25" t="str">
        <f t="shared" si="84"/>
        <v>15%</v>
      </c>
      <c r="AC346" s="1">
        <f t="shared" si="85"/>
        <v>219</v>
      </c>
      <c r="AD346" s="35">
        <f t="shared" si="81"/>
        <v>3</v>
      </c>
      <c r="AE346" t="str">
        <f t="shared" si="86"/>
        <v/>
      </c>
      <c r="AF346" t="str">
        <f t="shared" si="87"/>
        <v/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 t="str">
        <f>IFERROR(ROUND(L346*(G346/$AU346)/VLOOKUP(F346,商品!$A$4:$C$60,3,FALSE),0),"")</f>
        <v/>
      </c>
      <c r="AM346" t="str">
        <f>IFERROR(ROUND(L346*(I346/$AU346)/VLOOKUP(H346,商品!$A$4:$C$60,3,FALSE),0),"")</f>
        <v/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0</v>
      </c>
      <c r="AV346">
        <f t="shared" si="94"/>
        <v>0</v>
      </c>
      <c r="AW346">
        <f t="shared" si="95"/>
        <v>0</v>
      </c>
    </row>
    <row r="347" spans="1:49" ht="20" customHeight="1" x14ac:dyDescent="0.3">
      <c r="A347" s="5" t="s">
        <v>350</v>
      </c>
      <c r="C347" s="5">
        <v>4</v>
      </c>
      <c r="D347" s="21" t="s">
        <v>240</v>
      </c>
      <c r="E347" s="21" t="s">
        <v>225</v>
      </c>
      <c r="L347" s="5">
        <f>IFERROR(VLOOKUP($D347&amp;$C347,生产方式定位!$A$2:$E$38,2,FALSE)+VLOOKUP($E347&amp;$C347,生产方式定位!$F$3:$J$38,2,FALSE),0)</f>
        <v>2550</v>
      </c>
      <c r="S347" s="5">
        <f>IFERROR(VLOOKUP($D347&amp;$C347,生产方式定位!$A$2:$E$38,3,FALSE)+VLOOKUP($E347&amp;$C347,生产方式定位!$F$3:$J$38,3,FALSE),0)</f>
        <v>150</v>
      </c>
      <c r="X347" s="5">
        <f>IFERROR(VLOOKUP($D347&amp;$C347,生产方式定位!$A$2:$E$38,5,FALSE)+VLOOKUP($E347&amp;$C347,生产方式定位!$F$3:$J$38,5,FALSE),"错误")</f>
        <v>3115</v>
      </c>
      <c r="Y347" s="24" t="str">
        <f t="shared" si="82"/>
        <v/>
      </c>
      <c r="Z347" s="34" t="str">
        <f t="shared" si="83"/>
        <v/>
      </c>
      <c r="AA347" s="34" t="str">
        <f t="shared" si="80"/>
        <v/>
      </c>
      <c r="AB347" s="25" t="str">
        <f t="shared" si="84"/>
        <v>22%</v>
      </c>
      <c r="AC347" s="1">
        <f t="shared" si="85"/>
        <v>415</v>
      </c>
      <c r="AD347" s="35">
        <f t="shared" si="81"/>
        <v>4</v>
      </c>
      <c r="AE347" t="str">
        <f t="shared" si="86"/>
        <v/>
      </c>
      <c r="AF347" t="str">
        <f t="shared" si="87"/>
        <v/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 t="str">
        <f>IFERROR(ROUND(L347*(G347/$AU347)/VLOOKUP(F347,商品!$A$4:$C$60,3,FALSE),0),"")</f>
        <v/>
      </c>
      <c r="AM347" t="str">
        <f>IFERROR(ROUND(L347*(I347/$AU347)/VLOOKUP(H347,商品!$A$4:$C$60,3,FALSE),0),"")</f>
        <v/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0</v>
      </c>
      <c r="AV347">
        <f t="shared" si="94"/>
        <v>0</v>
      </c>
      <c r="AW347">
        <f t="shared" si="95"/>
        <v>0</v>
      </c>
    </row>
    <row r="348" spans="1:49" ht="20" customHeight="1" x14ac:dyDescent="0.3">
      <c r="A348" s="5" t="s">
        <v>350</v>
      </c>
      <c r="C348" s="5">
        <v>5</v>
      </c>
      <c r="D348" s="21" t="s">
        <v>240</v>
      </c>
      <c r="E348" s="21" t="s">
        <v>225</v>
      </c>
      <c r="L348" s="5">
        <f>IFERROR(VLOOKUP($D348&amp;$C348,生产方式定位!$A$2:$E$38,2,FALSE)+VLOOKUP($E348&amp;$C348,生产方式定位!$F$3:$J$38,2,FALSE),0)</f>
        <v>2900</v>
      </c>
      <c r="S348" s="5">
        <f>IFERROR(VLOOKUP($D348&amp;$C348,生产方式定位!$A$2:$E$38,3,FALSE)+VLOOKUP($E348&amp;$C348,生产方式定位!$F$3:$J$38,3,FALSE),0)</f>
        <v>180</v>
      </c>
      <c r="X348" s="5">
        <f>IFERROR(VLOOKUP($D348&amp;$C348,生产方式定位!$A$2:$E$38,5,FALSE)+VLOOKUP($E348&amp;$C348,生产方式定位!$F$3:$J$38,5,FALSE),"错误")</f>
        <v>3980</v>
      </c>
      <c r="Y348" s="24" t="str">
        <f t="shared" si="82"/>
        <v/>
      </c>
      <c r="Z348" s="34" t="str">
        <f t="shared" si="83"/>
        <v/>
      </c>
      <c r="AA348" s="34" t="str">
        <f t="shared" si="80"/>
        <v/>
      </c>
      <c r="AB348" s="25" t="str">
        <f t="shared" si="84"/>
        <v>37%</v>
      </c>
      <c r="AC348" s="1">
        <f t="shared" si="85"/>
        <v>900</v>
      </c>
      <c r="AD348" s="35">
        <f t="shared" si="81"/>
        <v>5</v>
      </c>
      <c r="AE348" t="str">
        <f t="shared" si="86"/>
        <v/>
      </c>
      <c r="AF348" t="str">
        <f t="shared" si="87"/>
        <v/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 t="str">
        <f>IFERROR(ROUND(L348*(G348/$AU348)/VLOOKUP(F348,商品!$A$4:$C$60,3,FALSE),0),"")</f>
        <v/>
      </c>
      <c r="AM348" t="str">
        <f>IFERROR(ROUND(L348*(I348/$AU348)/VLOOKUP(H348,商品!$A$4:$C$60,3,FALSE),0),"")</f>
        <v/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0</v>
      </c>
      <c r="AV348">
        <f t="shared" si="94"/>
        <v>0</v>
      </c>
      <c r="AW348">
        <f t="shared" si="95"/>
        <v>0</v>
      </c>
    </row>
    <row r="349" spans="1:49" ht="20" customHeight="1" x14ac:dyDescent="0.3">
      <c r="A349" s="18" t="s">
        <v>351</v>
      </c>
      <c r="C349" s="18">
        <v>1</v>
      </c>
      <c r="D349" s="21" t="s">
        <v>292</v>
      </c>
      <c r="E349" s="21" t="s">
        <v>226</v>
      </c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20" customHeight="1" x14ac:dyDescent="0.3">
      <c r="A350" s="18" t="s">
        <v>351</v>
      </c>
      <c r="C350" s="18">
        <v>2</v>
      </c>
      <c r="D350" s="21" t="s">
        <v>292</v>
      </c>
      <c r="E350" s="21" t="s">
        <v>226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20" customHeight="1" x14ac:dyDescent="0.3">
      <c r="A351" s="18" t="s">
        <v>351</v>
      </c>
      <c r="C351" s="18">
        <v>3</v>
      </c>
      <c r="D351" s="21" t="s">
        <v>292</v>
      </c>
      <c r="E351" s="21" t="s">
        <v>226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20" customHeight="1" x14ac:dyDescent="0.3">
      <c r="A352" s="18" t="s">
        <v>351</v>
      </c>
      <c r="C352" s="18">
        <v>4</v>
      </c>
      <c r="D352" s="21" t="s">
        <v>292</v>
      </c>
      <c r="E352" s="21" t="s">
        <v>226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20" customHeight="1" x14ac:dyDescent="0.3">
      <c r="A353" s="18" t="s">
        <v>351</v>
      </c>
      <c r="C353" s="18">
        <v>5</v>
      </c>
      <c r="D353" s="21" t="s">
        <v>292</v>
      </c>
      <c r="E353" s="21" t="s">
        <v>226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20" customHeight="1" x14ac:dyDescent="0.3">
      <c r="A354" s="18" t="s">
        <v>351</v>
      </c>
      <c r="C354" s="18">
        <v>6</v>
      </c>
      <c r="D354" s="21" t="s">
        <v>292</v>
      </c>
      <c r="E354" s="21" t="s">
        <v>226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20" customHeight="1" x14ac:dyDescent="0.3">
      <c r="A355" s="18" t="s">
        <v>351</v>
      </c>
      <c r="C355" s="18">
        <v>7</v>
      </c>
      <c r="D355" s="21" t="s">
        <v>292</v>
      </c>
      <c r="E355" s="21" t="s">
        <v>226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20" customHeight="1" x14ac:dyDescent="0.3">
      <c r="A356" s="18" t="s">
        <v>351</v>
      </c>
      <c r="C356" s="18">
        <v>8</v>
      </c>
      <c r="D356" s="21" t="s">
        <v>292</v>
      </c>
      <c r="E356" s="21" t="s">
        <v>226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20" customHeight="1" x14ac:dyDescent="0.3">
      <c r="A357" s="5" t="s">
        <v>353</v>
      </c>
      <c r="C357" s="5">
        <v>1</v>
      </c>
      <c r="D357" s="21" t="s">
        <v>240</v>
      </c>
      <c r="E357" s="21" t="s">
        <v>224</v>
      </c>
      <c r="F357" s="80" t="s">
        <v>635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40</v>
      </c>
      <c r="T357" s="80" t="s">
        <v>643</v>
      </c>
      <c r="U357" s="1">
        <v>1</v>
      </c>
      <c r="X357" s="5">
        <f>IFERROR(VLOOKUP($D357&amp;$C357,生产方式定位!$A$2:$E$38,5,FALSE)+VLOOKUP($E357&amp;$C357,生产方式定位!$F$3:$J$38,5,FALSE),"错误")</f>
        <v>1144</v>
      </c>
      <c r="Y357" s="24" t="str">
        <f t="shared" si="82"/>
        <v>泽洛*17,运力*1,交易*2</v>
      </c>
      <c r="Z357" s="34" t="str">
        <f t="shared" si="83"/>
        <v/>
      </c>
      <c r="AA357" s="34" t="str">
        <f t="shared" si="80"/>
        <v>灵能水晶*38</v>
      </c>
      <c r="AB357" s="25" t="str">
        <f t="shared" si="84"/>
        <v>14%</v>
      </c>
      <c r="AC357" s="1">
        <f t="shared" si="85"/>
        <v>104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灵能水晶*38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1</v>
      </c>
      <c r="AO357">
        <f>IFERROR(ROUND(L357*(K357/$AU357)/VLOOKUP("运力",商品!$A$4:$C$60,3,FALSE),0),0)</f>
        <v>2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38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20" customHeight="1" x14ac:dyDescent="0.3">
      <c r="A358" s="5" t="s">
        <v>353</v>
      </c>
      <c r="C358" s="5">
        <v>2</v>
      </c>
      <c r="D358" s="21" t="s">
        <v>240</v>
      </c>
      <c r="E358" s="21" t="s">
        <v>224</v>
      </c>
      <c r="F358" s="80" t="s">
        <v>635</v>
      </c>
      <c r="G358" s="79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50</v>
      </c>
      <c r="T358" s="80" t="s">
        <v>643</v>
      </c>
      <c r="U358" s="79">
        <v>1</v>
      </c>
      <c r="X358" s="5">
        <f>IFERROR(VLOOKUP($D358&amp;$C358,生产方式定位!$A$2:$E$38,5,FALSE)+VLOOKUP($E358&amp;$C358,生产方式定位!$F$3:$J$38,5,FALSE),"错误")</f>
        <v>1930</v>
      </c>
      <c r="Y358" s="24" t="str">
        <f t="shared" si="82"/>
        <v>泽洛*27,运力*1,交易*3</v>
      </c>
      <c r="Z358" s="34" t="str">
        <f t="shared" si="83"/>
        <v/>
      </c>
      <c r="AA358" s="34" t="str">
        <f t="shared" si="80"/>
        <v>灵能水晶*64</v>
      </c>
      <c r="AB358" s="25" t="str">
        <f t="shared" si="84"/>
        <v>21%</v>
      </c>
      <c r="AC358" s="1">
        <f t="shared" si="85"/>
        <v>280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灵能水晶*64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1</v>
      </c>
      <c r="AO358">
        <f>IFERROR(ROUND(L358*(K358/$AU358)/VLOOKUP("运力",商品!$A$4:$C$60,3,FALSE),0),0)</f>
        <v>3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64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20" customHeight="1" x14ac:dyDescent="0.3">
      <c r="A359" s="5" t="s">
        <v>353</v>
      </c>
      <c r="C359" s="5">
        <v>3</v>
      </c>
      <c r="D359" s="21" t="s">
        <v>240</v>
      </c>
      <c r="E359" s="21" t="s">
        <v>224</v>
      </c>
      <c r="F359" s="80" t="s">
        <v>635</v>
      </c>
      <c r="G359" s="79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60</v>
      </c>
      <c r="T359" s="80" t="s">
        <v>643</v>
      </c>
      <c r="U359" s="79">
        <v>1</v>
      </c>
      <c r="X359" s="5">
        <f>IFERROR(VLOOKUP($D359&amp;$C359,生产方式定位!$A$2:$E$38,5,FALSE)+VLOOKUP($E359&amp;$C359,生产方式定位!$F$3:$J$38,5,FALSE),"错误")</f>
        <v>2326</v>
      </c>
      <c r="Y359" s="24" t="str">
        <f t="shared" si="82"/>
        <v>泽洛*31,运力*2,交易*3</v>
      </c>
      <c r="Z359" s="34" t="str">
        <f t="shared" si="83"/>
        <v/>
      </c>
      <c r="AA359" s="34" t="str">
        <f t="shared" si="80"/>
        <v>灵能水晶*78</v>
      </c>
      <c r="AB359" s="25" t="str">
        <f t="shared" si="84"/>
        <v>27%</v>
      </c>
      <c r="AC359" s="1">
        <f t="shared" si="85"/>
        <v>441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灵能水晶*78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2</v>
      </c>
      <c r="AO359">
        <f>IFERROR(ROUND(L359*(K359/$AU359)/VLOOKUP("运力",商品!$A$4:$C$60,3,FALSE),0),0)</f>
        <v>3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78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20" customHeight="1" x14ac:dyDescent="0.3">
      <c r="A360" s="5" t="s">
        <v>353</v>
      </c>
      <c r="C360" s="5">
        <v>4</v>
      </c>
      <c r="D360" s="21" t="s">
        <v>240</v>
      </c>
      <c r="E360" s="21" t="s">
        <v>224</v>
      </c>
      <c r="F360" s="80" t="s">
        <v>635</v>
      </c>
      <c r="G360" s="79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70</v>
      </c>
      <c r="T360" s="80" t="s">
        <v>643</v>
      </c>
      <c r="U360" s="79">
        <v>1</v>
      </c>
      <c r="X360" s="5">
        <f>IFERROR(VLOOKUP($D360&amp;$C360,生产方式定位!$A$2:$E$38,5,FALSE)+VLOOKUP($E360&amp;$C360,生产方式定位!$F$3:$J$38,5,FALSE),"错误")</f>
        <v>2743</v>
      </c>
      <c r="Y360" s="24" t="str">
        <f t="shared" si="82"/>
        <v>泽洛*35,运力*2,交易*3</v>
      </c>
      <c r="Z360" s="34" t="str">
        <f t="shared" si="83"/>
        <v/>
      </c>
      <c r="AA360" s="34" t="str">
        <f t="shared" si="80"/>
        <v>灵能水晶*91</v>
      </c>
      <c r="AB360" s="25" t="str">
        <f t="shared" si="84"/>
        <v>34%</v>
      </c>
      <c r="AC360" s="1">
        <f t="shared" si="85"/>
        <v>623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灵能水晶*91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2</v>
      </c>
      <c r="AO360">
        <f>IFERROR(ROUND(L360*(K360/$AU360)/VLOOKUP("运力",商品!$A$4:$C$60,3,FALSE),0),0)</f>
        <v>3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91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20" customHeight="1" x14ac:dyDescent="0.3">
      <c r="A361" s="5" t="s">
        <v>353</v>
      </c>
      <c r="C361" s="5">
        <v>5</v>
      </c>
      <c r="D361" s="21" t="s">
        <v>240</v>
      </c>
      <c r="E361" s="21" t="s">
        <v>224</v>
      </c>
      <c r="F361" s="80" t="s">
        <v>635</v>
      </c>
      <c r="G361" s="79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80</v>
      </c>
      <c r="T361" s="80" t="s">
        <v>643</v>
      </c>
      <c r="U361" s="79">
        <v>1</v>
      </c>
      <c r="X361" s="5">
        <f>IFERROR(VLOOKUP($D361&amp;$C361,生产方式定位!$A$2:$E$38,5,FALSE)+VLOOKUP($E361&amp;$C361,生产方式定位!$F$3:$J$38,5,FALSE),"错误")</f>
        <v>3183</v>
      </c>
      <c r="Y361" s="24" t="str">
        <f t="shared" si="82"/>
        <v>泽洛*39,运力*2,交易*4</v>
      </c>
      <c r="Z361" s="34" t="str">
        <f t="shared" si="83"/>
        <v/>
      </c>
      <c r="AA361" s="34" t="str">
        <f t="shared" si="80"/>
        <v>灵能水晶*106</v>
      </c>
      <c r="AB361" s="25" t="str">
        <f t="shared" si="84"/>
        <v>40%</v>
      </c>
      <c r="AC361" s="1">
        <f t="shared" si="85"/>
        <v>828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灵能水晶*106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2</v>
      </c>
      <c r="AO361">
        <f>IFERROR(ROUND(L361*(K361/$AU361)/VLOOKUP("运力",商品!$A$4:$C$60,3,FALSE),0),0)</f>
        <v>4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106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20" customHeight="1" x14ac:dyDescent="0.3">
      <c r="A362" s="18" t="s">
        <v>354</v>
      </c>
      <c r="C362" s="18">
        <v>1</v>
      </c>
      <c r="D362" s="21" t="s">
        <v>240</v>
      </c>
      <c r="E362" s="21" t="s">
        <v>225</v>
      </c>
      <c r="L362" s="18">
        <f>IFERROR(VLOOKUP($D362&amp;$C362,生产方式定位!$A$2:$E$38,2,FALSE)+VLOOKUP($E362&amp;$C362,生产方式定位!$F$3:$J$38,2,FALSE),0)</f>
        <v>1000</v>
      </c>
      <c r="S362" s="18">
        <f>IFERROR(VLOOKUP($D362&amp;$C362,生产方式定位!$A$2:$E$38,3,FALSE)+VLOOKUP($E362&amp;$C362,生产方式定位!$F$3:$J$38,3,FALSE),0)</f>
        <v>40</v>
      </c>
      <c r="X362" s="18">
        <f>IFERROR(VLOOKUP($D362&amp;$C362,生产方式定位!$A$2:$E$38,5,FALSE)+VLOOKUP($E362&amp;$C362,生产方式定位!$F$3:$J$38,5,FALSE),"错误")</f>
        <v>1144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>14%</v>
      </c>
      <c r="AC362" s="1">
        <f t="shared" si="85"/>
        <v>104</v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20" customHeight="1" x14ac:dyDescent="0.3">
      <c r="A363" s="18" t="s">
        <v>354</v>
      </c>
      <c r="C363" s="18">
        <v>2</v>
      </c>
      <c r="D363" s="21" t="s">
        <v>240</v>
      </c>
      <c r="E363" s="21" t="s">
        <v>225</v>
      </c>
      <c r="L363" s="18">
        <f>IFERROR(VLOOKUP($D363&amp;$C363,生产方式定位!$A$2:$E$38,2,FALSE)+VLOOKUP($E363&amp;$C363,生产方式定位!$F$3:$J$38,2,FALSE),0)</f>
        <v>1850</v>
      </c>
      <c r="S363" s="18">
        <f>IFERROR(VLOOKUP($D363&amp;$C363,生产方式定位!$A$2:$E$38,3,FALSE)+VLOOKUP($E363&amp;$C363,生产方式定位!$F$3:$J$38,3,FALSE),0)</f>
        <v>90</v>
      </c>
      <c r="X363" s="18">
        <f>IFERROR(VLOOKUP($D363&amp;$C363,生产方式定位!$A$2:$E$38,5,FALSE)+VLOOKUP($E363&amp;$C363,生产方式定位!$F$3:$J$38,5,FALSE),"错误")</f>
        <v>2012</v>
      </c>
      <c r="Y363" s="24" t="str">
        <f t="shared" si="82"/>
        <v/>
      </c>
      <c r="Z363" s="34" t="str">
        <f t="shared" si="83"/>
        <v/>
      </c>
      <c r="AA363" s="34" t="str">
        <f t="shared" si="80"/>
        <v/>
      </c>
      <c r="AB363" s="25" t="str">
        <f t="shared" si="84"/>
        <v>9%</v>
      </c>
      <c r="AC363" s="1">
        <f t="shared" si="85"/>
        <v>72</v>
      </c>
      <c r="AD363" s="36">
        <f t="shared" si="81"/>
        <v>2</v>
      </c>
      <c r="AE363" t="str">
        <f t="shared" si="86"/>
        <v/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 t="str">
        <f>IFERROR(ROUND(L363*(G363/$AU363)/VLOOKUP(F363,商品!$A$4:$C$60,3,FALSE),0),"")</f>
        <v/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0</v>
      </c>
      <c r="AV363">
        <f t="shared" si="94"/>
        <v>0</v>
      </c>
      <c r="AW363">
        <f t="shared" si="95"/>
        <v>0</v>
      </c>
    </row>
    <row r="364" spans="1:49" ht="20" customHeight="1" x14ac:dyDescent="0.3">
      <c r="A364" s="18" t="s">
        <v>354</v>
      </c>
      <c r="C364" s="18">
        <v>3</v>
      </c>
      <c r="D364" s="21" t="s">
        <v>240</v>
      </c>
      <c r="E364" s="21" t="s">
        <v>225</v>
      </c>
      <c r="L364" s="18">
        <f>IFERROR(VLOOKUP($D364&amp;$C364,生产方式定位!$A$2:$E$38,2,FALSE)+VLOOKUP($E364&amp;$C364,生产方式定位!$F$3:$J$38,2,FALSE),0)</f>
        <v>2200</v>
      </c>
      <c r="S364" s="18">
        <f>IFERROR(VLOOKUP($D364&amp;$C364,生产方式定位!$A$2:$E$38,3,FALSE)+VLOOKUP($E364&amp;$C364,生产方式定位!$F$3:$J$38,3,FALSE),0)</f>
        <v>120</v>
      </c>
      <c r="X364" s="18">
        <f>IFERROR(VLOOKUP($D364&amp;$C364,生产方式定位!$A$2:$E$38,5,FALSE)+VLOOKUP($E364&amp;$C364,生产方式定位!$F$3:$J$38,5,FALSE),"错误")</f>
        <v>2539</v>
      </c>
      <c r="Y364" s="24" t="str">
        <f t="shared" si="82"/>
        <v/>
      </c>
      <c r="Z364" s="34" t="str">
        <f t="shared" si="83"/>
        <v/>
      </c>
      <c r="AA364" s="34" t="str">
        <f t="shared" si="80"/>
        <v/>
      </c>
      <c r="AB364" s="25" t="str">
        <f t="shared" si="84"/>
        <v>15%</v>
      </c>
      <c r="AC364" s="1">
        <f t="shared" si="85"/>
        <v>219</v>
      </c>
      <c r="AD364" s="36">
        <f t="shared" si="81"/>
        <v>3</v>
      </c>
      <c r="AE364" t="str">
        <f t="shared" si="86"/>
        <v/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 t="str">
        <f>IFERROR(ROUND(L364*(G364/$AU364)/VLOOKUP(F364,商品!$A$4:$C$60,3,FALSE),0),"")</f>
        <v/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0</v>
      </c>
      <c r="AV364">
        <f t="shared" si="94"/>
        <v>0</v>
      </c>
      <c r="AW364">
        <f t="shared" si="95"/>
        <v>0</v>
      </c>
    </row>
    <row r="365" spans="1:49" ht="20" customHeight="1" x14ac:dyDescent="0.3">
      <c r="A365" s="18" t="s">
        <v>354</v>
      </c>
      <c r="C365" s="18">
        <v>4</v>
      </c>
      <c r="D365" s="21" t="s">
        <v>240</v>
      </c>
      <c r="E365" s="21" t="s">
        <v>225</v>
      </c>
      <c r="L365" s="18">
        <f>IFERROR(VLOOKUP($D365&amp;$C365,生产方式定位!$A$2:$E$38,2,FALSE)+VLOOKUP($E365&amp;$C365,生产方式定位!$F$3:$J$38,2,FALSE),0)</f>
        <v>2550</v>
      </c>
      <c r="S365" s="18">
        <f>IFERROR(VLOOKUP($D365&amp;$C365,生产方式定位!$A$2:$E$38,3,FALSE)+VLOOKUP($E365&amp;$C365,生产方式定位!$F$3:$J$38,3,FALSE),0)</f>
        <v>150</v>
      </c>
      <c r="X365" s="18">
        <f>IFERROR(VLOOKUP($D365&amp;$C365,生产方式定位!$A$2:$E$38,5,FALSE)+VLOOKUP($E365&amp;$C365,生产方式定位!$F$3:$J$38,5,FALSE),"错误")</f>
        <v>3115</v>
      </c>
      <c r="Y365" s="24" t="str">
        <f t="shared" si="82"/>
        <v/>
      </c>
      <c r="Z365" s="34" t="str">
        <f t="shared" si="83"/>
        <v/>
      </c>
      <c r="AA365" s="34" t="str">
        <f t="shared" si="80"/>
        <v/>
      </c>
      <c r="AB365" s="25" t="str">
        <f t="shared" si="84"/>
        <v>22%</v>
      </c>
      <c r="AC365" s="1">
        <f t="shared" si="85"/>
        <v>415</v>
      </c>
      <c r="AD365" s="36">
        <f t="shared" si="81"/>
        <v>4</v>
      </c>
      <c r="AE365" t="str">
        <f t="shared" si="86"/>
        <v/>
      </c>
      <c r="AF365" t="str">
        <f t="shared" si="87"/>
        <v/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 t="str">
        <f>IFERROR(ROUND(L365*(G365/$AU365)/VLOOKUP(F365,商品!$A$4:$C$60,3,FALSE),0),"")</f>
        <v/>
      </c>
      <c r="AM365" t="str">
        <f>IFERROR(ROUND(L365*(I365/$AU365)/VLOOKUP(H365,商品!$A$4:$C$60,3,FALSE),0),"")</f>
        <v/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0</v>
      </c>
      <c r="AV365">
        <f t="shared" si="94"/>
        <v>0</v>
      </c>
      <c r="AW365">
        <f t="shared" si="95"/>
        <v>0</v>
      </c>
    </row>
    <row r="366" spans="1:49" ht="20" customHeight="1" x14ac:dyDescent="0.3">
      <c r="A366" s="18" t="s">
        <v>354</v>
      </c>
      <c r="C366" s="18">
        <v>5</v>
      </c>
      <c r="D366" s="21" t="s">
        <v>240</v>
      </c>
      <c r="E366" s="21" t="s">
        <v>225</v>
      </c>
      <c r="L366" s="18">
        <f>IFERROR(VLOOKUP($D366&amp;$C366,生产方式定位!$A$2:$E$38,2,FALSE)+VLOOKUP($E366&amp;$C366,生产方式定位!$F$3:$J$38,2,FALSE),0)</f>
        <v>2900</v>
      </c>
      <c r="S366" s="18">
        <f>IFERROR(VLOOKUP($D366&amp;$C366,生产方式定位!$A$2:$E$38,3,FALSE)+VLOOKUP($E366&amp;$C366,生产方式定位!$F$3:$J$38,3,FALSE),0)</f>
        <v>180</v>
      </c>
      <c r="X366" s="18">
        <f>IFERROR(VLOOKUP($D366&amp;$C366,生产方式定位!$A$2:$E$38,5,FALSE)+VLOOKUP($E366&amp;$C366,生产方式定位!$F$3:$J$38,5,FALSE),"错误")</f>
        <v>3980</v>
      </c>
      <c r="Y366" s="24" t="str">
        <f t="shared" si="82"/>
        <v/>
      </c>
      <c r="Z366" s="34" t="str">
        <f t="shared" si="83"/>
        <v/>
      </c>
      <c r="AA366" s="34" t="str">
        <f t="shared" si="80"/>
        <v/>
      </c>
      <c r="AB366" s="25" t="str">
        <f t="shared" si="84"/>
        <v>37%</v>
      </c>
      <c r="AC366" s="1">
        <f t="shared" si="85"/>
        <v>900</v>
      </c>
      <c r="AD366" s="36">
        <f t="shared" si="81"/>
        <v>5</v>
      </c>
      <c r="AE366" t="str">
        <f t="shared" si="86"/>
        <v/>
      </c>
      <c r="AF366" t="str">
        <f t="shared" si="87"/>
        <v/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 t="str">
        <f>IFERROR(ROUND(L366*(G366/$AU366)/VLOOKUP(F366,商品!$A$4:$C$60,3,FALSE),0),"")</f>
        <v/>
      </c>
      <c r="AM366" t="str">
        <f>IFERROR(ROUND(L366*(I366/$AU366)/VLOOKUP(H366,商品!$A$4:$C$60,3,FALSE),0),"")</f>
        <v/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0</v>
      </c>
      <c r="AV366">
        <f t="shared" si="94"/>
        <v>0</v>
      </c>
      <c r="AW366">
        <f t="shared" si="95"/>
        <v>0</v>
      </c>
    </row>
    <row r="367" spans="1:49" ht="20" customHeight="1" x14ac:dyDescent="0.3">
      <c r="A367" s="5" t="s">
        <v>354</v>
      </c>
      <c r="C367" s="5">
        <v>1</v>
      </c>
      <c r="D367" s="21" t="s">
        <v>240</v>
      </c>
      <c r="E367" s="21" t="s">
        <v>225</v>
      </c>
      <c r="L367" s="5">
        <f>IFERROR(VLOOKUP($D367&amp;$C367,生产方式定位!$A$2:$E$38,2,FALSE)+VLOOKUP($E367&amp;$C367,生产方式定位!$F$3:$J$38,2,FALSE),0)</f>
        <v>1000</v>
      </c>
      <c r="S367" s="5">
        <f>IFERROR(VLOOKUP($D367&amp;$C367,生产方式定位!$A$2:$E$38,3,FALSE)+VLOOKUP($E367&amp;$C367,生产方式定位!$F$3:$J$38,3,FALSE),0)</f>
        <v>40</v>
      </c>
      <c r="X367" s="5">
        <f>IFERROR(VLOOKUP($D367&amp;$C367,生产方式定位!$A$2:$E$38,5,FALSE)+VLOOKUP($E367&amp;$C367,生产方式定位!$F$3:$J$38,5,FALSE),"错误")</f>
        <v>1144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>14%</v>
      </c>
      <c r="AC367" s="1">
        <f t="shared" si="85"/>
        <v>104</v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20" customHeight="1" x14ac:dyDescent="0.3">
      <c r="A368" s="5" t="s">
        <v>354</v>
      </c>
      <c r="C368" s="5">
        <v>2</v>
      </c>
      <c r="D368" s="21" t="s">
        <v>240</v>
      </c>
      <c r="E368" s="21" t="s">
        <v>225</v>
      </c>
      <c r="L368" s="5">
        <f>IFERROR(VLOOKUP($D368&amp;$C368,生产方式定位!$A$2:$E$38,2,FALSE)+VLOOKUP($E368&amp;$C368,生产方式定位!$F$3:$J$38,2,FALSE),0)</f>
        <v>1850</v>
      </c>
      <c r="S368" s="5">
        <f>IFERROR(VLOOKUP($D368&amp;$C368,生产方式定位!$A$2:$E$38,3,FALSE)+VLOOKUP($E368&amp;$C368,生产方式定位!$F$3:$J$38,3,FALSE),0)</f>
        <v>90</v>
      </c>
      <c r="X368" s="5">
        <f>IFERROR(VLOOKUP($D368&amp;$C368,生产方式定位!$A$2:$E$38,5,FALSE)+VLOOKUP($E368&amp;$C368,生产方式定位!$F$3:$J$38,5,FALSE),"错误")</f>
        <v>2012</v>
      </c>
      <c r="Y368" s="24" t="str">
        <f t="shared" si="82"/>
        <v/>
      </c>
      <c r="Z368" s="34" t="str">
        <f t="shared" si="83"/>
        <v/>
      </c>
      <c r="AA368" s="34" t="str">
        <f t="shared" si="80"/>
        <v/>
      </c>
      <c r="AB368" s="25" t="str">
        <f t="shared" si="84"/>
        <v>9%</v>
      </c>
      <c r="AC368" s="1">
        <f t="shared" si="85"/>
        <v>72</v>
      </c>
      <c r="AD368" s="35">
        <f t="shared" si="81"/>
        <v>2</v>
      </c>
      <c r="AE368" t="str">
        <f t="shared" si="86"/>
        <v/>
      </c>
      <c r="AF368" t="str">
        <f t="shared" si="87"/>
        <v/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 t="str">
        <f>IFERROR(ROUND(L368*(G368/$AU368)/VLOOKUP(F368,商品!$A$4:$C$60,3,FALSE),0),"")</f>
        <v/>
      </c>
      <c r="AM368" t="str">
        <f>IFERROR(ROUND(L368*(I368/$AU368)/VLOOKUP(H368,商品!$A$4:$C$60,3,FALSE),0),"")</f>
        <v/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0</v>
      </c>
      <c r="AV368">
        <f t="shared" si="94"/>
        <v>0</v>
      </c>
      <c r="AW368">
        <f t="shared" si="95"/>
        <v>0</v>
      </c>
    </row>
    <row r="369" spans="1:49" ht="20" customHeight="1" x14ac:dyDescent="0.3">
      <c r="A369" s="5" t="s">
        <v>354</v>
      </c>
      <c r="C369" s="5">
        <v>3</v>
      </c>
      <c r="D369" s="21" t="s">
        <v>240</v>
      </c>
      <c r="E369" s="21" t="s">
        <v>225</v>
      </c>
      <c r="L369" s="5">
        <f>IFERROR(VLOOKUP($D369&amp;$C369,生产方式定位!$A$2:$E$38,2,FALSE)+VLOOKUP($E369&amp;$C369,生产方式定位!$F$3:$J$38,2,FALSE),0)</f>
        <v>2200</v>
      </c>
      <c r="S369" s="5">
        <f>IFERROR(VLOOKUP($D369&amp;$C369,生产方式定位!$A$2:$E$38,3,FALSE)+VLOOKUP($E369&amp;$C369,生产方式定位!$F$3:$J$38,3,FALSE),0)</f>
        <v>120</v>
      </c>
      <c r="X369" s="5">
        <f>IFERROR(VLOOKUP($D369&amp;$C369,生产方式定位!$A$2:$E$38,5,FALSE)+VLOOKUP($E369&amp;$C369,生产方式定位!$F$3:$J$38,5,FALSE),"错误")</f>
        <v>2539</v>
      </c>
      <c r="Y369" s="24" t="str">
        <f t="shared" si="82"/>
        <v/>
      </c>
      <c r="Z369" s="34" t="str">
        <f t="shared" si="83"/>
        <v/>
      </c>
      <c r="AA369" s="34" t="str">
        <f t="shared" si="80"/>
        <v/>
      </c>
      <c r="AB369" s="25" t="str">
        <f t="shared" si="84"/>
        <v>15%</v>
      </c>
      <c r="AC369" s="1">
        <f t="shared" si="85"/>
        <v>219</v>
      </c>
      <c r="AD369" s="35">
        <f t="shared" si="81"/>
        <v>3</v>
      </c>
      <c r="AE369" t="str">
        <f t="shared" si="86"/>
        <v/>
      </c>
      <c r="AF369" t="str">
        <f t="shared" si="87"/>
        <v/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 t="str">
        <f>IFERROR(ROUND(L369*(G369/$AU369)/VLOOKUP(F369,商品!$A$4:$C$60,3,FALSE),0),"")</f>
        <v/>
      </c>
      <c r="AM369" t="str">
        <f>IFERROR(ROUND(L369*(I369/$AU369)/VLOOKUP(H369,商品!$A$4:$C$60,3,FALSE),0),"")</f>
        <v/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0</v>
      </c>
      <c r="AV369">
        <f t="shared" si="94"/>
        <v>0</v>
      </c>
      <c r="AW369">
        <f t="shared" si="95"/>
        <v>0</v>
      </c>
    </row>
    <row r="370" spans="1:49" ht="20" customHeight="1" x14ac:dyDescent="0.3">
      <c r="A370" s="5" t="s">
        <v>354</v>
      </c>
      <c r="C370" s="5">
        <v>4</v>
      </c>
      <c r="D370" s="21" t="s">
        <v>240</v>
      </c>
      <c r="E370" s="21" t="s">
        <v>225</v>
      </c>
      <c r="L370" s="5">
        <f>IFERROR(VLOOKUP($D370&amp;$C370,生产方式定位!$A$2:$E$38,2,FALSE)+VLOOKUP($E370&amp;$C370,生产方式定位!$F$3:$J$38,2,FALSE),0)</f>
        <v>2550</v>
      </c>
      <c r="S370" s="5">
        <f>IFERROR(VLOOKUP($D370&amp;$C370,生产方式定位!$A$2:$E$38,3,FALSE)+VLOOKUP($E370&amp;$C370,生产方式定位!$F$3:$J$38,3,FALSE),0)</f>
        <v>150</v>
      </c>
      <c r="X370" s="5">
        <f>IFERROR(VLOOKUP($D370&amp;$C370,生产方式定位!$A$2:$E$38,5,FALSE)+VLOOKUP($E370&amp;$C370,生产方式定位!$F$3:$J$38,5,FALSE),"错误")</f>
        <v>3115</v>
      </c>
      <c r="Y370" s="24" t="str">
        <f t="shared" si="82"/>
        <v/>
      </c>
      <c r="Z370" s="34" t="str">
        <f t="shared" si="83"/>
        <v/>
      </c>
      <c r="AA370" s="34" t="str">
        <f t="shared" si="80"/>
        <v/>
      </c>
      <c r="AB370" s="25" t="str">
        <f t="shared" si="84"/>
        <v>22%</v>
      </c>
      <c r="AC370" s="1">
        <f t="shared" si="85"/>
        <v>415</v>
      </c>
      <c r="AD370" s="35">
        <f t="shared" si="81"/>
        <v>4</v>
      </c>
      <c r="AE370" t="str">
        <f t="shared" si="86"/>
        <v/>
      </c>
      <c r="AF370" t="str">
        <f t="shared" si="87"/>
        <v/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 t="str">
        <f>IFERROR(ROUND(L370*(G370/$AU370)/VLOOKUP(F370,商品!$A$4:$C$60,3,FALSE),0),"")</f>
        <v/>
      </c>
      <c r="AM370" t="str">
        <f>IFERROR(ROUND(L370*(I370/$AU370)/VLOOKUP(H370,商品!$A$4:$C$60,3,FALSE),0),"")</f>
        <v/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0</v>
      </c>
      <c r="AV370">
        <f t="shared" si="94"/>
        <v>0</v>
      </c>
      <c r="AW370">
        <f t="shared" si="95"/>
        <v>0</v>
      </c>
    </row>
    <row r="371" spans="1:49" ht="20" customHeight="1" x14ac:dyDescent="0.3">
      <c r="A371" s="5" t="s">
        <v>354</v>
      </c>
      <c r="C371" s="5">
        <v>5</v>
      </c>
      <c r="D371" s="21" t="s">
        <v>240</v>
      </c>
      <c r="E371" s="21" t="s">
        <v>225</v>
      </c>
      <c r="L371" s="5">
        <f>IFERROR(VLOOKUP($D371&amp;$C371,生产方式定位!$A$2:$E$38,2,FALSE)+VLOOKUP($E371&amp;$C371,生产方式定位!$F$3:$J$38,2,FALSE),0)</f>
        <v>2900</v>
      </c>
      <c r="S371" s="5">
        <f>IFERROR(VLOOKUP($D371&amp;$C371,生产方式定位!$A$2:$E$38,3,FALSE)+VLOOKUP($E371&amp;$C371,生产方式定位!$F$3:$J$38,3,FALSE),0)</f>
        <v>180</v>
      </c>
      <c r="X371" s="5">
        <f>IFERROR(VLOOKUP($D371&amp;$C371,生产方式定位!$A$2:$E$38,5,FALSE)+VLOOKUP($E371&amp;$C371,生产方式定位!$F$3:$J$38,5,FALSE),"错误")</f>
        <v>3980</v>
      </c>
      <c r="Y371" s="24" t="str">
        <f t="shared" si="82"/>
        <v/>
      </c>
      <c r="Z371" s="34" t="str">
        <f t="shared" si="83"/>
        <v/>
      </c>
      <c r="AA371" s="34" t="str">
        <f t="shared" si="80"/>
        <v/>
      </c>
      <c r="AB371" s="25" t="str">
        <f t="shared" si="84"/>
        <v>37%</v>
      </c>
      <c r="AC371" s="1">
        <f t="shared" si="85"/>
        <v>900</v>
      </c>
      <c r="AD371" s="35">
        <f t="shared" si="81"/>
        <v>5</v>
      </c>
      <c r="AE371" t="str">
        <f t="shared" si="86"/>
        <v/>
      </c>
      <c r="AF371" t="str">
        <f t="shared" si="87"/>
        <v/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 t="str">
        <f>IFERROR(ROUND(L371*(G371/$AU371)/VLOOKUP(F371,商品!$A$4:$C$60,3,FALSE),0),"")</f>
        <v/>
      </c>
      <c r="AM371" t="str">
        <f>IFERROR(ROUND(L371*(I371/$AU371)/VLOOKUP(H371,商品!$A$4:$C$60,3,FALSE),0),"")</f>
        <v/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0</v>
      </c>
      <c r="AV371">
        <f t="shared" si="94"/>
        <v>0</v>
      </c>
      <c r="AW371">
        <f t="shared" si="95"/>
        <v>0</v>
      </c>
    </row>
    <row r="372" spans="1:49" ht="20" customHeight="1" x14ac:dyDescent="0.3">
      <c r="A372" s="18" t="s">
        <v>355</v>
      </c>
      <c r="C372" s="18">
        <v>1</v>
      </c>
      <c r="D372" s="21" t="s">
        <v>292</v>
      </c>
      <c r="E372" s="21" t="s">
        <v>226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20" customHeight="1" x14ac:dyDescent="0.3">
      <c r="A373" s="18" t="s">
        <v>355</v>
      </c>
      <c r="C373" s="18">
        <v>2</v>
      </c>
      <c r="D373" s="21" t="s">
        <v>292</v>
      </c>
      <c r="E373" s="21" t="s">
        <v>226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20" customHeight="1" x14ac:dyDescent="0.3">
      <c r="A374" s="18" t="s">
        <v>355</v>
      </c>
      <c r="C374" s="18">
        <v>3</v>
      </c>
      <c r="D374" s="21" t="s">
        <v>292</v>
      </c>
      <c r="E374" s="21" t="s">
        <v>226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20" customHeight="1" x14ac:dyDescent="0.3">
      <c r="A375" s="18" t="s">
        <v>355</v>
      </c>
      <c r="C375" s="18">
        <v>4</v>
      </c>
      <c r="D375" s="21" t="s">
        <v>292</v>
      </c>
      <c r="E375" s="21" t="s">
        <v>226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20" customHeight="1" x14ac:dyDescent="0.3">
      <c r="A376" s="18" t="s">
        <v>355</v>
      </c>
      <c r="C376" s="18">
        <v>5</v>
      </c>
      <c r="D376" s="21" t="s">
        <v>292</v>
      </c>
      <c r="E376" s="21" t="s">
        <v>226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20" customHeight="1" x14ac:dyDescent="0.3">
      <c r="A377" s="18" t="s">
        <v>355</v>
      </c>
      <c r="C377" s="18">
        <v>6</v>
      </c>
      <c r="D377" s="21" t="s">
        <v>292</v>
      </c>
      <c r="E377" s="21" t="s">
        <v>226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20" customHeight="1" x14ac:dyDescent="0.3">
      <c r="A378" s="18" t="s">
        <v>355</v>
      </c>
      <c r="C378" s="18">
        <v>7</v>
      </c>
      <c r="D378" s="21" t="s">
        <v>292</v>
      </c>
      <c r="E378" s="21" t="s">
        <v>226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20" customHeight="1" x14ac:dyDescent="0.3">
      <c r="A379" s="18" t="s">
        <v>355</v>
      </c>
      <c r="C379" s="18">
        <v>8</v>
      </c>
      <c r="D379" s="21" t="s">
        <v>292</v>
      </c>
      <c r="E379" s="21" t="s">
        <v>226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20" customHeight="1" x14ac:dyDescent="0.3">
      <c r="A380" s="5" t="s">
        <v>357</v>
      </c>
      <c r="C380" s="5">
        <v>1</v>
      </c>
      <c r="D380" s="21" t="s">
        <v>240</v>
      </c>
      <c r="E380" s="21" t="s">
        <v>224</v>
      </c>
      <c r="F380" s="80" t="s">
        <v>639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40</v>
      </c>
      <c r="T380" s="80" t="s">
        <v>644</v>
      </c>
      <c r="U380" s="1">
        <v>1</v>
      </c>
      <c r="X380" s="5">
        <f>IFERROR(VLOOKUP($D380&amp;$C380,生产方式定位!$A$2:$E$38,5,FALSE)+VLOOKUP($E380&amp;$C380,生产方式定位!$F$3:$J$38,5,FALSE),"错误")</f>
        <v>1144</v>
      </c>
      <c r="Y380" s="24" t="str">
        <f t="shared" si="82"/>
        <v>钢铁*9,运力*5,交易*3</v>
      </c>
      <c r="Z380" s="34" t="str">
        <f t="shared" si="83"/>
        <v/>
      </c>
      <c r="AA380" s="34" t="str">
        <f t="shared" si="80"/>
        <v>科学引擎*14</v>
      </c>
      <c r="AB380" s="25" t="str">
        <f t="shared" si="84"/>
        <v>14%</v>
      </c>
      <c r="AC380" s="1">
        <f t="shared" si="85"/>
        <v>104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科学引擎*14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5</v>
      </c>
      <c r="AO380">
        <f>IFERROR(ROUND(L380*(K380/$AU380)/VLOOKUP("运力",商品!$A$4:$C$60,3,FALSE),0),0)</f>
        <v>3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14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20" customHeight="1" x14ac:dyDescent="0.3">
      <c r="A381" s="5" t="s">
        <v>357</v>
      </c>
      <c r="C381" s="5">
        <v>2</v>
      </c>
      <c r="D381" s="21" t="s">
        <v>240</v>
      </c>
      <c r="E381" s="21" t="s">
        <v>224</v>
      </c>
      <c r="F381" s="80" t="s">
        <v>639</v>
      </c>
      <c r="G381" s="79">
        <v>10</v>
      </c>
      <c r="H381" s="79"/>
      <c r="I381" s="79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50</v>
      </c>
      <c r="T381" s="80" t="s">
        <v>644</v>
      </c>
      <c r="U381" s="79">
        <v>1</v>
      </c>
      <c r="X381" s="5">
        <f>IFERROR(VLOOKUP($D381&amp;$C381,生产方式定位!$A$2:$E$38,5,FALSE)+VLOOKUP($E381&amp;$C381,生产方式定位!$F$3:$J$38,5,FALSE),"错误")</f>
        <v>1930</v>
      </c>
      <c r="Y381" s="24" t="str">
        <f t="shared" si="82"/>
        <v>钢铁*15,运力*7,交易*4</v>
      </c>
      <c r="Z381" s="34" t="str">
        <f t="shared" si="83"/>
        <v/>
      </c>
      <c r="AA381" s="34" t="str">
        <f t="shared" si="80"/>
        <v>科学引擎*24</v>
      </c>
      <c r="AB381" s="25" t="str">
        <f t="shared" si="84"/>
        <v>21%</v>
      </c>
      <c r="AC381" s="1">
        <f t="shared" si="85"/>
        <v>280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科学引擎*24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7</v>
      </c>
      <c r="AO381">
        <f>IFERROR(ROUND(L381*(K381/$AU381)/VLOOKUP("运力",商品!$A$4:$C$60,3,FALSE),0),0)</f>
        <v>4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24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20" customHeight="1" x14ac:dyDescent="0.3">
      <c r="A382" s="5" t="s">
        <v>357</v>
      </c>
      <c r="C382" s="5">
        <v>3</v>
      </c>
      <c r="D382" s="21" t="s">
        <v>240</v>
      </c>
      <c r="E382" s="21" t="s">
        <v>224</v>
      </c>
      <c r="F382" s="80" t="s">
        <v>639</v>
      </c>
      <c r="G382" s="79">
        <v>10</v>
      </c>
      <c r="H382" s="79"/>
      <c r="I382" s="79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60</v>
      </c>
      <c r="T382" s="80" t="s">
        <v>644</v>
      </c>
      <c r="U382" s="79">
        <v>1</v>
      </c>
      <c r="X382" s="5">
        <f>IFERROR(VLOOKUP($D382&amp;$C382,生产方式定位!$A$2:$E$38,5,FALSE)+VLOOKUP($E382&amp;$C382,生产方式定位!$F$3:$J$38,5,FALSE),"错误")</f>
        <v>2326</v>
      </c>
      <c r="Y382" s="24" t="str">
        <f t="shared" si="82"/>
        <v>钢铁*17,运力*8,交易*5</v>
      </c>
      <c r="Z382" s="34" t="str">
        <f t="shared" si="83"/>
        <v/>
      </c>
      <c r="AA382" s="34" t="str">
        <f t="shared" si="80"/>
        <v>科学引擎*29</v>
      </c>
      <c r="AB382" s="25" t="str">
        <f t="shared" si="84"/>
        <v>27%</v>
      </c>
      <c r="AC382" s="1">
        <f t="shared" si="85"/>
        <v>441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科学引擎*29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8</v>
      </c>
      <c r="AO382">
        <f>IFERROR(ROUND(L382*(K382/$AU382)/VLOOKUP("运力",商品!$A$4:$C$60,3,FALSE),0),0)</f>
        <v>5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29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20" customHeight="1" x14ac:dyDescent="0.3">
      <c r="A383" s="5" t="s">
        <v>357</v>
      </c>
      <c r="C383" s="5">
        <v>4</v>
      </c>
      <c r="D383" s="21" t="s">
        <v>240</v>
      </c>
      <c r="E383" s="21" t="s">
        <v>224</v>
      </c>
      <c r="F383" s="80" t="s">
        <v>639</v>
      </c>
      <c r="G383" s="79">
        <v>10</v>
      </c>
      <c r="H383" s="79"/>
      <c r="I383" s="79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70</v>
      </c>
      <c r="T383" s="80" t="s">
        <v>644</v>
      </c>
      <c r="U383" s="79">
        <v>1</v>
      </c>
      <c r="X383" s="5">
        <f>IFERROR(VLOOKUP($D383&amp;$C383,生产方式定位!$A$2:$E$38,5,FALSE)+VLOOKUP($E383&amp;$C383,生产方式定位!$F$3:$J$38,5,FALSE),"错误")</f>
        <v>2743</v>
      </c>
      <c r="Y383" s="24" t="str">
        <f t="shared" si="82"/>
        <v>钢铁*19,运力*9,交易*6</v>
      </c>
      <c r="Z383" s="34" t="str">
        <f t="shared" si="83"/>
        <v/>
      </c>
      <c r="AA383" s="34" t="str">
        <f t="shared" si="80"/>
        <v>科学引擎*34</v>
      </c>
      <c r="AB383" s="25" t="str">
        <f t="shared" si="84"/>
        <v>34%</v>
      </c>
      <c r="AC383" s="1">
        <f t="shared" si="85"/>
        <v>623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科学引擎*34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9</v>
      </c>
      <c r="AO383">
        <f>IFERROR(ROUND(L383*(K383/$AU383)/VLOOKUP("运力",商品!$A$4:$C$60,3,FALSE),0),0)</f>
        <v>6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34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20" customHeight="1" x14ac:dyDescent="0.3">
      <c r="A384" s="5" t="s">
        <v>357</v>
      </c>
      <c r="C384" s="5">
        <v>5</v>
      </c>
      <c r="D384" s="21" t="s">
        <v>240</v>
      </c>
      <c r="E384" s="21" t="s">
        <v>224</v>
      </c>
      <c r="F384" s="80" t="s">
        <v>639</v>
      </c>
      <c r="G384" s="79">
        <v>10</v>
      </c>
      <c r="H384" s="79"/>
      <c r="I384" s="79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80</v>
      </c>
      <c r="T384" s="80" t="s">
        <v>644</v>
      </c>
      <c r="U384" s="79">
        <v>1</v>
      </c>
      <c r="X384" s="5">
        <f>IFERROR(VLOOKUP($D384&amp;$C384,生产方式定位!$A$2:$E$38,5,FALSE)+VLOOKUP($E384&amp;$C384,生产方式定位!$F$3:$J$38,5,FALSE),"错误")</f>
        <v>3183</v>
      </c>
      <c r="Y384" s="24" t="str">
        <f t="shared" si="82"/>
        <v>钢铁*21,运力*11,交易*6</v>
      </c>
      <c r="Z384" s="34" t="str">
        <f t="shared" si="83"/>
        <v/>
      </c>
      <c r="AA384" s="34" t="str">
        <f t="shared" si="80"/>
        <v>科学引擎*40</v>
      </c>
      <c r="AB384" s="25" t="str">
        <f t="shared" si="84"/>
        <v>40%</v>
      </c>
      <c r="AC384" s="1">
        <f t="shared" si="85"/>
        <v>828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科学引擎*40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11</v>
      </c>
      <c r="AO384">
        <f>IFERROR(ROUND(L384*(K384/$AU384)/VLOOKUP("运力",商品!$A$4:$C$60,3,FALSE),0),0)</f>
        <v>6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40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20" customHeight="1" x14ac:dyDescent="0.3">
      <c r="A385" s="18" t="s">
        <v>358</v>
      </c>
      <c r="C385" s="18">
        <v>1</v>
      </c>
      <c r="D385" s="21" t="s">
        <v>240</v>
      </c>
      <c r="E385" s="21" t="s">
        <v>225</v>
      </c>
      <c r="L385" s="18">
        <f>IFERROR(VLOOKUP($D385&amp;$C385,生产方式定位!$A$2:$E$38,2,FALSE)+VLOOKUP($E385&amp;$C385,生产方式定位!$F$3:$J$38,2,FALSE),0)</f>
        <v>1000</v>
      </c>
      <c r="S385" s="18">
        <f>IFERROR(VLOOKUP($D385&amp;$C385,生产方式定位!$A$2:$E$38,3,FALSE)+VLOOKUP($E385&amp;$C385,生产方式定位!$F$3:$J$38,3,FALSE),0)</f>
        <v>40</v>
      </c>
      <c r="X385" s="18">
        <f>IFERROR(VLOOKUP($D385&amp;$C385,生产方式定位!$A$2:$E$38,5,FALSE)+VLOOKUP($E385&amp;$C385,生产方式定位!$F$3:$J$38,5,FALSE),"错误")</f>
        <v>1144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>14%</v>
      </c>
      <c r="AC385" s="1">
        <f t="shared" si="85"/>
        <v>104</v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20" customHeight="1" x14ac:dyDescent="0.3">
      <c r="A386" s="18" t="s">
        <v>358</v>
      </c>
      <c r="C386" s="18">
        <v>2</v>
      </c>
      <c r="D386" s="21" t="s">
        <v>240</v>
      </c>
      <c r="E386" s="21" t="s">
        <v>225</v>
      </c>
      <c r="L386" s="18">
        <f>IFERROR(VLOOKUP($D386&amp;$C386,生产方式定位!$A$2:$E$38,2,FALSE)+VLOOKUP($E386&amp;$C386,生产方式定位!$F$3:$J$38,2,FALSE),0)</f>
        <v>1850</v>
      </c>
      <c r="S386" s="18">
        <f>IFERROR(VLOOKUP($D386&amp;$C386,生产方式定位!$A$2:$E$38,3,FALSE)+VLOOKUP($E386&amp;$C386,生产方式定位!$F$3:$J$38,3,FALSE),0)</f>
        <v>90</v>
      </c>
      <c r="X386" s="18">
        <f>IFERROR(VLOOKUP($D386&amp;$C386,生产方式定位!$A$2:$E$38,5,FALSE)+VLOOKUP($E386&amp;$C386,生产方式定位!$F$3:$J$38,5,FALSE),"错误")</f>
        <v>2012</v>
      </c>
      <c r="Y386" s="24" t="str">
        <f t="shared" si="82"/>
        <v/>
      </c>
      <c r="Z386" s="34" t="str">
        <f t="shared" si="83"/>
        <v/>
      </c>
      <c r="AA386" s="34" t="str">
        <f t="shared" si="80"/>
        <v/>
      </c>
      <c r="AB386" s="25" t="str">
        <f t="shared" si="84"/>
        <v>9%</v>
      </c>
      <c r="AC386" s="1">
        <f t="shared" si="85"/>
        <v>72</v>
      </c>
      <c r="AD386" s="36">
        <f t="shared" si="81"/>
        <v>2</v>
      </c>
      <c r="AE386" t="str">
        <f t="shared" si="86"/>
        <v/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 t="str">
        <f>IFERROR(ROUND(L386*(G386/$AU386)/VLOOKUP(F386,商品!$A$4:$C$60,3,FALSE),0),"")</f>
        <v/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0</v>
      </c>
      <c r="AV386">
        <f t="shared" si="94"/>
        <v>0</v>
      </c>
      <c r="AW386">
        <f t="shared" si="95"/>
        <v>0</v>
      </c>
    </row>
    <row r="387" spans="1:49" ht="20" customHeight="1" x14ac:dyDescent="0.3">
      <c r="A387" s="18" t="s">
        <v>358</v>
      </c>
      <c r="C387" s="18">
        <v>3</v>
      </c>
      <c r="D387" s="21" t="s">
        <v>240</v>
      </c>
      <c r="E387" s="21" t="s">
        <v>225</v>
      </c>
      <c r="L387" s="18">
        <f>IFERROR(VLOOKUP($D387&amp;$C387,生产方式定位!$A$2:$E$38,2,FALSE)+VLOOKUP($E387&amp;$C387,生产方式定位!$F$3:$J$38,2,FALSE),0)</f>
        <v>2200</v>
      </c>
      <c r="S387" s="18">
        <f>IFERROR(VLOOKUP($D387&amp;$C387,生产方式定位!$A$2:$E$38,3,FALSE)+VLOOKUP($E387&amp;$C387,生产方式定位!$F$3:$J$38,3,FALSE),0)</f>
        <v>120</v>
      </c>
      <c r="X387" s="18">
        <f>IFERROR(VLOOKUP($D387&amp;$C387,生产方式定位!$A$2:$E$38,5,FALSE)+VLOOKUP($E387&amp;$C387,生产方式定位!$F$3:$J$38,5,FALSE),"错误")</f>
        <v>2539</v>
      </c>
      <c r="Y387" s="24" t="str">
        <f t="shared" si="82"/>
        <v/>
      </c>
      <c r="Z387" s="34" t="str">
        <f t="shared" si="83"/>
        <v/>
      </c>
      <c r="AA387" s="34" t="str">
        <f t="shared" si="80"/>
        <v/>
      </c>
      <c r="AB387" s="25" t="str">
        <f t="shared" si="84"/>
        <v>15%</v>
      </c>
      <c r="AC387" s="1">
        <f t="shared" si="85"/>
        <v>219</v>
      </c>
      <c r="AD387" s="36">
        <f t="shared" si="81"/>
        <v>3</v>
      </c>
      <c r="AE387" t="str">
        <f t="shared" si="86"/>
        <v/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 t="str">
        <f>IFERROR(ROUND(L387*(G387/$AU387)/VLOOKUP(F387,商品!$A$4:$C$60,3,FALSE),0),"")</f>
        <v/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0</v>
      </c>
      <c r="AV387">
        <f t="shared" si="94"/>
        <v>0</v>
      </c>
      <c r="AW387">
        <f t="shared" si="95"/>
        <v>0</v>
      </c>
    </row>
    <row r="388" spans="1:49" ht="20" customHeight="1" x14ac:dyDescent="0.3">
      <c r="A388" s="18" t="s">
        <v>358</v>
      </c>
      <c r="C388" s="18">
        <v>4</v>
      </c>
      <c r="D388" s="21" t="s">
        <v>240</v>
      </c>
      <c r="E388" s="21" t="s">
        <v>225</v>
      </c>
      <c r="L388" s="18">
        <f>IFERROR(VLOOKUP($D388&amp;$C388,生产方式定位!$A$2:$E$38,2,FALSE)+VLOOKUP($E388&amp;$C388,生产方式定位!$F$3:$J$38,2,FALSE),0)</f>
        <v>2550</v>
      </c>
      <c r="S388" s="18">
        <f>IFERROR(VLOOKUP($D388&amp;$C388,生产方式定位!$A$2:$E$38,3,FALSE)+VLOOKUP($E388&amp;$C388,生产方式定位!$F$3:$J$38,3,FALSE),0)</f>
        <v>150</v>
      </c>
      <c r="X388" s="18">
        <f>IFERROR(VLOOKUP($D388&amp;$C388,生产方式定位!$A$2:$E$38,5,FALSE)+VLOOKUP($E388&amp;$C388,生产方式定位!$F$3:$J$38,5,FALSE),"错误")</f>
        <v>3115</v>
      </c>
      <c r="Y388" s="24" t="str">
        <f t="shared" si="82"/>
        <v/>
      </c>
      <c r="Z388" s="34" t="str">
        <f t="shared" si="83"/>
        <v/>
      </c>
      <c r="AA388" s="34" t="str">
        <f t="shared" si="80"/>
        <v/>
      </c>
      <c r="AB388" s="25" t="str">
        <f t="shared" si="84"/>
        <v>22%</v>
      </c>
      <c r="AC388" s="1">
        <f t="shared" si="85"/>
        <v>415</v>
      </c>
      <c r="AD388" s="36">
        <f t="shared" si="81"/>
        <v>4</v>
      </c>
      <c r="AE388" t="str">
        <f t="shared" si="86"/>
        <v/>
      </c>
      <c r="AF388" t="str">
        <f t="shared" si="87"/>
        <v/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 t="str">
        <f>IFERROR(ROUND(L388*(G388/$AU388)/VLOOKUP(F388,商品!$A$4:$C$60,3,FALSE),0),"")</f>
        <v/>
      </c>
      <c r="AM388" t="str">
        <f>IFERROR(ROUND(L388*(I388/$AU388)/VLOOKUP(H388,商品!$A$4:$C$60,3,FALSE),0),"")</f>
        <v/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0</v>
      </c>
      <c r="AV388">
        <f t="shared" si="94"/>
        <v>0</v>
      </c>
      <c r="AW388">
        <f t="shared" si="95"/>
        <v>0</v>
      </c>
    </row>
    <row r="389" spans="1:49" ht="20" customHeight="1" x14ac:dyDescent="0.3">
      <c r="A389" s="18" t="s">
        <v>358</v>
      </c>
      <c r="C389" s="18">
        <v>5</v>
      </c>
      <c r="D389" s="21" t="s">
        <v>240</v>
      </c>
      <c r="E389" s="21" t="s">
        <v>225</v>
      </c>
      <c r="L389" s="18">
        <f>IFERROR(VLOOKUP($D389&amp;$C389,生产方式定位!$A$2:$E$38,2,FALSE)+VLOOKUP($E389&amp;$C389,生产方式定位!$F$3:$J$38,2,FALSE),0)</f>
        <v>2900</v>
      </c>
      <c r="S389" s="18">
        <f>IFERROR(VLOOKUP($D389&amp;$C389,生产方式定位!$A$2:$E$38,3,FALSE)+VLOOKUP($E389&amp;$C389,生产方式定位!$F$3:$J$38,3,FALSE),0)</f>
        <v>180</v>
      </c>
      <c r="X389" s="18">
        <f>IFERROR(VLOOKUP($D389&amp;$C389,生产方式定位!$A$2:$E$38,5,FALSE)+VLOOKUP($E389&amp;$C389,生产方式定位!$F$3:$J$38,5,FALSE),"错误")</f>
        <v>3980</v>
      </c>
      <c r="Y389" s="24" t="str">
        <f t="shared" si="82"/>
        <v/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37%</v>
      </c>
      <c r="AC389" s="1">
        <f t="shared" si="85"/>
        <v>900</v>
      </c>
      <c r="AD389" s="36">
        <f t="shared" ref="AD389:AD452" si="97">C389</f>
        <v>5</v>
      </c>
      <c r="AE389" t="str">
        <f t="shared" si="86"/>
        <v/>
      </c>
      <c r="AF389" t="str">
        <f t="shared" si="87"/>
        <v/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 t="str">
        <f>IFERROR(ROUND(L389*(G389/$AU389)/VLOOKUP(F389,商品!$A$4:$C$60,3,FALSE),0),"")</f>
        <v/>
      </c>
      <c r="AM389" t="str">
        <f>IFERROR(ROUND(L389*(I389/$AU389)/VLOOKUP(H389,商品!$A$4:$C$60,3,FALSE),0),"")</f>
        <v/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0</v>
      </c>
      <c r="AV389">
        <f t="shared" si="94"/>
        <v>0</v>
      </c>
      <c r="AW389">
        <f t="shared" si="95"/>
        <v>0</v>
      </c>
    </row>
    <row r="390" spans="1:49" ht="20" customHeight="1" x14ac:dyDescent="0.3">
      <c r="A390" s="5" t="s">
        <v>358</v>
      </c>
      <c r="C390" s="5">
        <v>1</v>
      </c>
      <c r="D390" s="21" t="s">
        <v>240</v>
      </c>
      <c r="E390" s="21" t="s">
        <v>225</v>
      </c>
      <c r="L390" s="5">
        <f>IFERROR(VLOOKUP($D390&amp;$C390,生产方式定位!$A$2:$E$38,2,FALSE)+VLOOKUP($E390&amp;$C390,生产方式定位!$F$3:$J$38,2,FALSE),0)</f>
        <v>1000</v>
      </c>
      <c r="S390" s="5">
        <f>IFERROR(VLOOKUP($D390&amp;$C390,生产方式定位!$A$2:$E$38,3,FALSE)+VLOOKUP($E390&amp;$C390,生产方式定位!$F$3:$J$38,3,FALSE),0)</f>
        <v>40</v>
      </c>
      <c r="X390" s="5">
        <f>IFERROR(VLOOKUP($D390&amp;$C390,生产方式定位!$A$2:$E$38,5,FALSE)+VLOOKUP($E390&amp;$C390,生产方式定位!$F$3:$J$38,5,FALSE),"错误")</f>
        <v>1144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>14%</v>
      </c>
      <c r="AC390" s="1">
        <f t="shared" ref="AC390:AC453" si="101">IF(X390-S390-L390=0,"",X390-S390-L390)</f>
        <v>104</v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20" customHeight="1" x14ac:dyDescent="0.3">
      <c r="A391" s="5" t="s">
        <v>358</v>
      </c>
      <c r="C391" s="5">
        <v>2</v>
      </c>
      <c r="D391" s="21" t="s">
        <v>240</v>
      </c>
      <c r="E391" s="21" t="s">
        <v>225</v>
      </c>
      <c r="L391" s="5">
        <f>IFERROR(VLOOKUP($D391&amp;$C391,生产方式定位!$A$2:$E$38,2,FALSE)+VLOOKUP($E391&amp;$C391,生产方式定位!$F$3:$J$38,2,FALSE),0)</f>
        <v>1850</v>
      </c>
      <c r="S391" s="5">
        <f>IFERROR(VLOOKUP($D391&amp;$C391,生产方式定位!$A$2:$E$38,3,FALSE)+VLOOKUP($E391&amp;$C391,生产方式定位!$F$3:$J$38,3,FALSE),0)</f>
        <v>90</v>
      </c>
      <c r="X391" s="5">
        <f>IFERROR(VLOOKUP($D391&amp;$C391,生产方式定位!$A$2:$E$38,5,FALSE)+VLOOKUP($E391&amp;$C391,生产方式定位!$F$3:$J$38,5,FALSE),"错误")</f>
        <v>2012</v>
      </c>
      <c r="Y391" s="24" t="str">
        <f t="shared" si="98"/>
        <v/>
      </c>
      <c r="Z391" s="34" t="str">
        <f t="shared" si="99"/>
        <v/>
      </c>
      <c r="AA391" s="34" t="str">
        <f t="shared" si="96"/>
        <v/>
      </c>
      <c r="AB391" s="25" t="str">
        <f t="shared" si="100"/>
        <v>9%</v>
      </c>
      <c r="AC391" s="1">
        <f t="shared" si="101"/>
        <v>72</v>
      </c>
      <c r="AD391" s="35">
        <f t="shared" si="97"/>
        <v>2</v>
      </c>
      <c r="AE391" t="str">
        <f t="shared" si="102"/>
        <v/>
      </c>
      <c r="AF391" t="str">
        <f t="shared" si="103"/>
        <v/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 t="str">
        <f>IFERROR(ROUND(L391*(G391/$AU391)/VLOOKUP(F391,商品!$A$4:$C$60,3,FALSE),0),"")</f>
        <v/>
      </c>
      <c r="AM391" t="str">
        <f>IFERROR(ROUND(L391*(I391/$AU391)/VLOOKUP(H391,商品!$A$4:$C$60,3,FALSE),0),"")</f>
        <v/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0</v>
      </c>
      <c r="AV391">
        <f t="shared" si="110"/>
        <v>0</v>
      </c>
      <c r="AW391">
        <f t="shared" si="111"/>
        <v>0</v>
      </c>
    </row>
    <row r="392" spans="1:49" ht="20" customHeight="1" x14ac:dyDescent="0.3">
      <c r="A392" s="5" t="s">
        <v>358</v>
      </c>
      <c r="C392" s="5">
        <v>3</v>
      </c>
      <c r="D392" s="21" t="s">
        <v>240</v>
      </c>
      <c r="E392" s="21" t="s">
        <v>225</v>
      </c>
      <c r="L392" s="5">
        <f>IFERROR(VLOOKUP($D392&amp;$C392,生产方式定位!$A$2:$E$38,2,FALSE)+VLOOKUP($E392&amp;$C392,生产方式定位!$F$3:$J$38,2,FALSE),0)</f>
        <v>2200</v>
      </c>
      <c r="S392" s="5">
        <f>IFERROR(VLOOKUP($D392&amp;$C392,生产方式定位!$A$2:$E$38,3,FALSE)+VLOOKUP($E392&amp;$C392,生产方式定位!$F$3:$J$38,3,FALSE),0)</f>
        <v>120</v>
      </c>
      <c r="X392" s="5">
        <f>IFERROR(VLOOKUP($D392&amp;$C392,生产方式定位!$A$2:$E$38,5,FALSE)+VLOOKUP($E392&amp;$C392,生产方式定位!$F$3:$J$38,5,FALSE),"错误")</f>
        <v>2539</v>
      </c>
      <c r="Y392" s="24" t="str">
        <f t="shared" si="98"/>
        <v/>
      </c>
      <c r="Z392" s="34" t="str">
        <f t="shared" si="99"/>
        <v/>
      </c>
      <c r="AA392" s="34" t="str">
        <f t="shared" si="96"/>
        <v/>
      </c>
      <c r="AB392" s="25" t="str">
        <f t="shared" si="100"/>
        <v>15%</v>
      </c>
      <c r="AC392" s="1">
        <f t="shared" si="101"/>
        <v>219</v>
      </c>
      <c r="AD392" s="35">
        <f t="shared" si="97"/>
        <v>3</v>
      </c>
      <c r="AE392" t="str">
        <f t="shared" si="102"/>
        <v/>
      </c>
      <c r="AF392" t="str">
        <f t="shared" si="103"/>
        <v/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 t="str">
        <f>IFERROR(ROUND(L392*(G392/$AU392)/VLOOKUP(F392,商品!$A$4:$C$60,3,FALSE),0),"")</f>
        <v/>
      </c>
      <c r="AM392" t="str">
        <f>IFERROR(ROUND(L392*(I392/$AU392)/VLOOKUP(H392,商品!$A$4:$C$60,3,FALSE),0),"")</f>
        <v/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0</v>
      </c>
      <c r="AV392">
        <f t="shared" si="110"/>
        <v>0</v>
      </c>
      <c r="AW392">
        <f t="shared" si="111"/>
        <v>0</v>
      </c>
    </row>
    <row r="393" spans="1:49" ht="20" customHeight="1" x14ac:dyDescent="0.3">
      <c r="A393" s="5" t="s">
        <v>358</v>
      </c>
      <c r="C393" s="5">
        <v>4</v>
      </c>
      <c r="D393" s="21" t="s">
        <v>240</v>
      </c>
      <c r="E393" s="21" t="s">
        <v>225</v>
      </c>
      <c r="L393" s="5">
        <f>IFERROR(VLOOKUP($D393&amp;$C393,生产方式定位!$A$2:$E$38,2,FALSE)+VLOOKUP($E393&amp;$C393,生产方式定位!$F$3:$J$38,2,FALSE),0)</f>
        <v>2550</v>
      </c>
      <c r="S393" s="5">
        <f>IFERROR(VLOOKUP($D393&amp;$C393,生产方式定位!$A$2:$E$38,3,FALSE)+VLOOKUP($E393&amp;$C393,生产方式定位!$F$3:$J$38,3,FALSE),0)</f>
        <v>150</v>
      </c>
      <c r="X393" s="5">
        <f>IFERROR(VLOOKUP($D393&amp;$C393,生产方式定位!$A$2:$E$38,5,FALSE)+VLOOKUP($E393&amp;$C393,生产方式定位!$F$3:$J$38,5,FALSE),"错误")</f>
        <v>3115</v>
      </c>
      <c r="Y393" s="24" t="str">
        <f t="shared" si="98"/>
        <v/>
      </c>
      <c r="Z393" s="34" t="str">
        <f t="shared" si="99"/>
        <v/>
      </c>
      <c r="AA393" s="34" t="str">
        <f t="shared" si="96"/>
        <v/>
      </c>
      <c r="AB393" s="25" t="str">
        <f t="shared" si="100"/>
        <v>22%</v>
      </c>
      <c r="AC393" s="1">
        <f t="shared" si="101"/>
        <v>415</v>
      </c>
      <c r="AD393" s="35">
        <f t="shared" si="97"/>
        <v>4</v>
      </c>
      <c r="AE393" t="str">
        <f t="shared" si="102"/>
        <v/>
      </c>
      <c r="AF393" t="str">
        <f t="shared" si="103"/>
        <v/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 t="str">
        <f>IFERROR(ROUND(L393*(G393/$AU393)/VLOOKUP(F393,商品!$A$4:$C$60,3,FALSE),0),"")</f>
        <v/>
      </c>
      <c r="AM393" t="str">
        <f>IFERROR(ROUND(L393*(I393/$AU393)/VLOOKUP(H393,商品!$A$4:$C$60,3,FALSE),0),"")</f>
        <v/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0</v>
      </c>
      <c r="AV393">
        <f t="shared" si="110"/>
        <v>0</v>
      </c>
      <c r="AW393">
        <f t="shared" si="111"/>
        <v>0</v>
      </c>
    </row>
    <row r="394" spans="1:49" ht="20" customHeight="1" x14ac:dyDescent="0.3">
      <c r="A394" s="5" t="s">
        <v>358</v>
      </c>
      <c r="C394" s="5">
        <v>5</v>
      </c>
      <c r="D394" s="21" t="s">
        <v>240</v>
      </c>
      <c r="E394" s="21" t="s">
        <v>225</v>
      </c>
      <c r="L394" s="5">
        <f>IFERROR(VLOOKUP($D394&amp;$C394,生产方式定位!$A$2:$E$38,2,FALSE)+VLOOKUP($E394&amp;$C394,生产方式定位!$F$3:$J$38,2,FALSE),0)</f>
        <v>2900</v>
      </c>
      <c r="S394" s="5">
        <f>IFERROR(VLOOKUP($D394&amp;$C394,生产方式定位!$A$2:$E$38,3,FALSE)+VLOOKUP($E394&amp;$C394,生产方式定位!$F$3:$J$38,3,FALSE),0)</f>
        <v>180</v>
      </c>
      <c r="X394" s="5">
        <f>IFERROR(VLOOKUP($D394&amp;$C394,生产方式定位!$A$2:$E$38,5,FALSE)+VLOOKUP($E394&amp;$C394,生产方式定位!$F$3:$J$38,5,FALSE),"错误")</f>
        <v>3980</v>
      </c>
      <c r="Y394" s="24" t="str">
        <f t="shared" si="98"/>
        <v/>
      </c>
      <c r="Z394" s="34" t="str">
        <f t="shared" si="99"/>
        <v/>
      </c>
      <c r="AA394" s="34" t="str">
        <f t="shared" si="96"/>
        <v/>
      </c>
      <c r="AB394" s="25" t="str">
        <f t="shared" si="100"/>
        <v>37%</v>
      </c>
      <c r="AC394" s="1">
        <f t="shared" si="101"/>
        <v>900</v>
      </c>
      <c r="AD394" s="35">
        <f t="shared" si="97"/>
        <v>5</v>
      </c>
      <c r="AE394" t="str">
        <f t="shared" si="102"/>
        <v/>
      </c>
      <c r="AF394" t="str">
        <f t="shared" si="103"/>
        <v/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 t="str">
        <f>IFERROR(ROUND(L394*(G394/$AU394)/VLOOKUP(F394,商品!$A$4:$C$60,3,FALSE),0),"")</f>
        <v/>
      </c>
      <c r="AM394" t="str">
        <f>IFERROR(ROUND(L394*(I394/$AU394)/VLOOKUP(H394,商品!$A$4:$C$60,3,FALSE),0),"")</f>
        <v/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0</v>
      </c>
      <c r="AV394">
        <f t="shared" si="110"/>
        <v>0</v>
      </c>
      <c r="AW394">
        <f t="shared" si="111"/>
        <v>0</v>
      </c>
    </row>
    <row r="395" spans="1:49" ht="20" customHeight="1" x14ac:dyDescent="0.3">
      <c r="A395" s="18" t="s">
        <v>359</v>
      </c>
      <c r="C395" s="18">
        <v>1</v>
      </c>
      <c r="D395" s="21" t="s">
        <v>292</v>
      </c>
      <c r="E395" s="21" t="s">
        <v>226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20" customHeight="1" x14ac:dyDescent="0.3">
      <c r="A396" s="18" t="s">
        <v>359</v>
      </c>
      <c r="C396" s="18">
        <v>2</v>
      </c>
      <c r="D396" s="21" t="s">
        <v>292</v>
      </c>
      <c r="E396" s="21" t="s">
        <v>226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20" customHeight="1" x14ac:dyDescent="0.3">
      <c r="A397" s="18" t="s">
        <v>359</v>
      </c>
      <c r="C397" s="18">
        <v>3</v>
      </c>
      <c r="D397" s="21" t="s">
        <v>292</v>
      </c>
      <c r="E397" s="21" t="s">
        <v>226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20" customHeight="1" x14ac:dyDescent="0.3">
      <c r="A398" s="18" t="s">
        <v>359</v>
      </c>
      <c r="C398" s="18">
        <v>4</v>
      </c>
      <c r="D398" s="21" t="s">
        <v>292</v>
      </c>
      <c r="E398" s="21" t="s">
        <v>226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20" customHeight="1" x14ac:dyDescent="0.3">
      <c r="A399" s="18" t="s">
        <v>359</v>
      </c>
      <c r="C399" s="18">
        <v>5</v>
      </c>
      <c r="D399" s="21" t="s">
        <v>292</v>
      </c>
      <c r="E399" s="21" t="s">
        <v>226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20" customHeight="1" x14ac:dyDescent="0.3">
      <c r="A400" s="18" t="s">
        <v>359</v>
      </c>
      <c r="C400" s="18">
        <v>6</v>
      </c>
      <c r="D400" s="21" t="s">
        <v>292</v>
      </c>
      <c r="E400" s="21" t="s">
        <v>226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20" customHeight="1" x14ac:dyDescent="0.3">
      <c r="A401" s="18" t="s">
        <v>359</v>
      </c>
      <c r="C401" s="18">
        <v>7</v>
      </c>
      <c r="D401" s="21" t="s">
        <v>292</v>
      </c>
      <c r="E401" s="21" t="s">
        <v>226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20" customHeight="1" x14ac:dyDescent="0.3">
      <c r="A402" s="18" t="s">
        <v>359</v>
      </c>
      <c r="C402" s="18">
        <v>8</v>
      </c>
      <c r="D402" s="21" t="s">
        <v>292</v>
      </c>
      <c r="E402" s="21" t="s">
        <v>226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20" customHeight="1" x14ac:dyDescent="0.3">
      <c r="A403" s="5" t="s">
        <v>361</v>
      </c>
      <c r="C403" s="5">
        <v>1</v>
      </c>
      <c r="D403" s="21" t="s">
        <v>240</v>
      </c>
      <c r="E403" s="21" t="s">
        <v>224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40</v>
      </c>
      <c r="X403" s="5">
        <f>IFERROR(VLOOKUP($D403&amp;$C403,生产方式定位!$A$2:$E$38,5,FALSE)+VLOOKUP($E403&amp;$C403,生产方式定位!$F$3:$J$38,5,FALSE),"错误")</f>
        <v>1144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14%</v>
      </c>
      <c r="AC403" s="1">
        <f t="shared" si="101"/>
        <v>104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20" customHeight="1" x14ac:dyDescent="0.3">
      <c r="A404" s="5" t="s">
        <v>361</v>
      </c>
      <c r="C404" s="5">
        <v>2</v>
      </c>
      <c r="D404" s="21" t="s">
        <v>240</v>
      </c>
      <c r="E404" s="21" t="s">
        <v>224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50</v>
      </c>
      <c r="X404" s="5">
        <f>IFERROR(VLOOKUP($D404&amp;$C404,生产方式定位!$A$2:$E$38,5,FALSE)+VLOOKUP($E404&amp;$C404,生产方式定位!$F$3:$J$38,5,FALSE),"错误")</f>
        <v>1930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21%</v>
      </c>
      <c r="AC404" s="1">
        <f t="shared" si="101"/>
        <v>280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20" customHeight="1" x14ac:dyDescent="0.3">
      <c r="A405" s="5" t="s">
        <v>361</v>
      </c>
      <c r="C405" s="5">
        <v>3</v>
      </c>
      <c r="D405" s="21" t="s">
        <v>240</v>
      </c>
      <c r="E405" s="21" t="s">
        <v>224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60</v>
      </c>
      <c r="X405" s="5">
        <f>IFERROR(VLOOKUP($D405&amp;$C405,生产方式定位!$A$2:$E$38,5,FALSE)+VLOOKUP($E405&amp;$C405,生产方式定位!$F$3:$J$38,5,FALSE),"错误")</f>
        <v>2326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27%</v>
      </c>
      <c r="AC405" s="1">
        <f t="shared" si="101"/>
        <v>441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20" customHeight="1" x14ac:dyDescent="0.3">
      <c r="A406" s="5" t="s">
        <v>361</v>
      </c>
      <c r="C406" s="5">
        <v>4</v>
      </c>
      <c r="D406" s="21" t="s">
        <v>240</v>
      </c>
      <c r="E406" s="21" t="s">
        <v>224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70</v>
      </c>
      <c r="X406" s="5">
        <f>IFERROR(VLOOKUP($D406&amp;$C406,生产方式定位!$A$2:$E$38,5,FALSE)+VLOOKUP($E406&amp;$C406,生产方式定位!$F$3:$J$38,5,FALSE),"错误")</f>
        <v>2743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34%</v>
      </c>
      <c r="AC406" s="1">
        <f t="shared" si="101"/>
        <v>623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20" customHeight="1" x14ac:dyDescent="0.3">
      <c r="A407" s="5" t="s">
        <v>361</v>
      </c>
      <c r="C407" s="5">
        <v>5</v>
      </c>
      <c r="D407" s="21" t="s">
        <v>240</v>
      </c>
      <c r="E407" s="21" t="s">
        <v>224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80</v>
      </c>
      <c r="X407" s="5">
        <f>IFERROR(VLOOKUP($D407&amp;$C407,生产方式定位!$A$2:$E$38,5,FALSE)+VLOOKUP($E407&amp;$C407,生产方式定位!$F$3:$J$38,5,FALSE),"错误")</f>
        <v>3183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40%</v>
      </c>
      <c r="AC407" s="1">
        <f t="shared" si="101"/>
        <v>828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20" customHeight="1" x14ac:dyDescent="0.3">
      <c r="A408" s="18" t="s">
        <v>362</v>
      </c>
      <c r="C408" s="18">
        <v>1</v>
      </c>
      <c r="D408" s="21" t="s">
        <v>240</v>
      </c>
      <c r="E408" s="21" t="s">
        <v>225</v>
      </c>
      <c r="L408" s="18">
        <f>IFERROR(VLOOKUP($D408&amp;$C408,生产方式定位!$A$2:$E$38,2,FALSE)+VLOOKUP($E408&amp;$C408,生产方式定位!$F$3:$J$38,2,FALSE),0)</f>
        <v>1000</v>
      </c>
      <c r="S408" s="18">
        <f>IFERROR(VLOOKUP($D408&amp;$C408,生产方式定位!$A$2:$E$38,3,FALSE)+VLOOKUP($E408&amp;$C408,生产方式定位!$F$3:$J$38,3,FALSE),0)</f>
        <v>40</v>
      </c>
      <c r="X408" s="18">
        <f>IFERROR(VLOOKUP($D408&amp;$C408,生产方式定位!$A$2:$E$38,5,FALSE)+VLOOKUP($E408&amp;$C408,生产方式定位!$F$3:$J$38,5,FALSE),"错误")</f>
        <v>1144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>14%</v>
      </c>
      <c r="AC408" s="1">
        <f t="shared" si="101"/>
        <v>104</v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20" customHeight="1" x14ac:dyDescent="0.3">
      <c r="A409" s="18" t="s">
        <v>362</v>
      </c>
      <c r="C409" s="18">
        <v>2</v>
      </c>
      <c r="D409" s="21" t="s">
        <v>240</v>
      </c>
      <c r="E409" s="21" t="s">
        <v>225</v>
      </c>
      <c r="L409" s="18">
        <f>IFERROR(VLOOKUP($D409&amp;$C409,生产方式定位!$A$2:$E$38,2,FALSE)+VLOOKUP($E409&amp;$C409,生产方式定位!$F$3:$J$38,2,FALSE),0)</f>
        <v>1850</v>
      </c>
      <c r="S409" s="18">
        <f>IFERROR(VLOOKUP($D409&amp;$C409,生产方式定位!$A$2:$E$38,3,FALSE)+VLOOKUP($E409&amp;$C409,生产方式定位!$F$3:$J$38,3,FALSE),0)</f>
        <v>90</v>
      </c>
      <c r="X409" s="18">
        <f>IFERROR(VLOOKUP($D409&amp;$C409,生产方式定位!$A$2:$E$38,5,FALSE)+VLOOKUP($E409&amp;$C409,生产方式定位!$F$3:$J$38,5,FALSE),"错误")</f>
        <v>2012</v>
      </c>
      <c r="Y409" s="24" t="str">
        <f t="shared" si="98"/>
        <v/>
      </c>
      <c r="Z409" s="34" t="str">
        <f t="shared" si="99"/>
        <v/>
      </c>
      <c r="AA409" s="34" t="str">
        <f t="shared" si="96"/>
        <v/>
      </c>
      <c r="AB409" s="25" t="str">
        <f t="shared" si="100"/>
        <v>9%</v>
      </c>
      <c r="AC409" s="1">
        <f t="shared" si="101"/>
        <v>72</v>
      </c>
      <c r="AD409" s="36">
        <f t="shared" si="97"/>
        <v>2</v>
      </c>
      <c r="AE409" t="str">
        <f t="shared" si="102"/>
        <v/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 t="str">
        <f>IFERROR(ROUND(L409*(G409/$AU409)/VLOOKUP(F409,商品!$A$4:$C$60,3,FALSE),0),"")</f>
        <v/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0</v>
      </c>
      <c r="AV409">
        <f t="shared" si="110"/>
        <v>0</v>
      </c>
      <c r="AW409">
        <f t="shared" si="111"/>
        <v>0</v>
      </c>
    </row>
    <row r="410" spans="1:49" ht="20" customHeight="1" x14ac:dyDescent="0.3">
      <c r="A410" s="18" t="s">
        <v>362</v>
      </c>
      <c r="C410" s="18">
        <v>3</v>
      </c>
      <c r="D410" s="21" t="s">
        <v>240</v>
      </c>
      <c r="E410" s="21" t="s">
        <v>225</v>
      </c>
      <c r="L410" s="18">
        <f>IFERROR(VLOOKUP($D410&amp;$C410,生产方式定位!$A$2:$E$38,2,FALSE)+VLOOKUP($E410&amp;$C410,生产方式定位!$F$3:$J$38,2,FALSE),0)</f>
        <v>2200</v>
      </c>
      <c r="S410" s="18">
        <f>IFERROR(VLOOKUP($D410&amp;$C410,生产方式定位!$A$2:$E$38,3,FALSE)+VLOOKUP($E410&amp;$C410,生产方式定位!$F$3:$J$38,3,FALSE),0)</f>
        <v>120</v>
      </c>
      <c r="X410" s="18">
        <f>IFERROR(VLOOKUP($D410&amp;$C410,生产方式定位!$A$2:$E$38,5,FALSE)+VLOOKUP($E410&amp;$C410,生产方式定位!$F$3:$J$38,5,FALSE),"错误")</f>
        <v>2539</v>
      </c>
      <c r="Y410" s="24" t="str">
        <f t="shared" si="98"/>
        <v/>
      </c>
      <c r="Z410" s="34" t="str">
        <f t="shared" si="99"/>
        <v/>
      </c>
      <c r="AA410" s="34" t="str">
        <f t="shared" si="96"/>
        <v/>
      </c>
      <c r="AB410" s="25" t="str">
        <f t="shared" si="100"/>
        <v>15%</v>
      </c>
      <c r="AC410" s="1">
        <f t="shared" si="101"/>
        <v>219</v>
      </c>
      <c r="AD410" s="36">
        <f t="shared" si="97"/>
        <v>3</v>
      </c>
      <c r="AE410" t="str">
        <f t="shared" si="102"/>
        <v/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 t="str">
        <f>IFERROR(ROUND(L410*(G410/$AU410)/VLOOKUP(F410,商品!$A$4:$C$60,3,FALSE),0),"")</f>
        <v/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0</v>
      </c>
      <c r="AV410">
        <f t="shared" si="110"/>
        <v>0</v>
      </c>
      <c r="AW410">
        <f t="shared" si="111"/>
        <v>0</v>
      </c>
    </row>
    <row r="411" spans="1:49" ht="20" customHeight="1" x14ac:dyDescent="0.3">
      <c r="A411" s="18" t="s">
        <v>362</v>
      </c>
      <c r="C411" s="18">
        <v>4</v>
      </c>
      <c r="D411" s="21" t="s">
        <v>240</v>
      </c>
      <c r="E411" s="21" t="s">
        <v>225</v>
      </c>
      <c r="L411" s="18">
        <f>IFERROR(VLOOKUP($D411&amp;$C411,生产方式定位!$A$2:$E$38,2,FALSE)+VLOOKUP($E411&amp;$C411,生产方式定位!$F$3:$J$38,2,FALSE),0)</f>
        <v>2550</v>
      </c>
      <c r="S411" s="18">
        <f>IFERROR(VLOOKUP($D411&amp;$C411,生产方式定位!$A$2:$E$38,3,FALSE)+VLOOKUP($E411&amp;$C411,生产方式定位!$F$3:$J$38,3,FALSE),0)</f>
        <v>150</v>
      </c>
      <c r="X411" s="18">
        <f>IFERROR(VLOOKUP($D411&amp;$C411,生产方式定位!$A$2:$E$38,5,FALSE)+VLOOKUP($E411&amp;$C411,生产方式定位!$F$3:$J$38,5,FALSE),"错误")</f>
        <v>3115</v>
      </c>
      <c r="Y411" s="24" t="str">
        <f t="shared" si="98"/>
        <v/>
      </c>
      <c r="Z411" s="34" t="str">
        <f t="shared" si="99"/>
        <v/>
      </c>
      <c r="AA411" s="34" t="str">
        <f t="shared" si="96"/>
        <v/>
      </c>
      <c r="AB411" s="25" t="str">
        <f t="shared" si="100"/>
        <v>22%</v>
      </c>
      <c r="AC411" s="1">
        <f t="shared" si="101"/>
        <v>415</v>
      </c>
      <c r="AD411" s="36">
        <f t="shared" si="97"/>
        <v>4</v>
      </c>
      <c r="AE411" t="str">
        <f t="shared" si="102"/>
        <v/>
      </c>
      <c r="AF411" t="str">
        <f t="shared" si="103"/>
        <v/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 t="str">
        <f>IFERROR(ROUND(L411*(G411/$AU411)/VLOOKUP(F411,商品!$A$4:$C$60,3,FALSE),0),"")</f>
        <v/>
      </c>
      <c r="AM411" t="str">
        <f>IFERROR(ROUND(L411*(I411/$AU411)/VLOOKUP(H411,商品!$A$4:$C$60,3,FALSE),0),"")</f>
        <v/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0</v>
      </c>
      <c r="AV411">
        <f t="shared" si="110"/>
        <v>0</v>
      </c>
      <c r="AW411">
        <f t="shared" si="111"/>
        <v>0</v>
      </c>
    </row>
    <row r="412" spans="1:49" ht="20" customHeight="1" x14ac:dyDescent="0.3">
      <c r="A412" s="18" t="s">
        <v>362</v>
      </c>
      <c r="C412" s="18">
        <v>5</v>
      </c>
      <c r="D412" s="21" t="s">
        <v>240</v>
      </c>
      <c r="E412" s="21" t="s">
        <v>225</v>
      </c>
      <c r="L412" s="18">
        <f>IFERROR(VLOOKUP($D412&amp;$C412,生产方式定位!$A$2:$E$38,2,FALSE)+VLOOKUP($E412&amp;$C412,生产方式定位!$F$3:$J$38,2,FALSE),0)</f>
        <v>2900</v>
      </c>
      <c r="S412" s="18">
        <f>IFERROR(VLOOKUP($D412&amp;$C412,生产方式定位!$A$2:$E$38,3,FALSE)+VLOOKUP($E412&amp;$C412,生产方式定位!$F$3:$J$38,3,FALSE),0)</f>
        <v>180</v>
      </c>
      <c r="X412" s="18">
        <f>IFERROR(VLOOKUP($D412&amp;$C412,生产方式定位!$A$2:$E$38,5,FALSE)+VLOOKUP($E412&amp;$C412,生产方式定位!$F$3:$J$38,5,FALSE),"错误")</f>
        <v>3980</v>
      </c>
      <c r="Y412" s="24" t="str">
        <f t="shared" si="98"/>
        <v/>
      </c>
      <c r="Z412" s="34" t="str">
        <f t="shared" si="99"/>
        <v/>
      </c>
      <c r="AA412" s="34" t="str">
        <f t="shared" si="96"/>
        <v/>
      </c>
      <c r="AB412" s="25" t="str">
        <f t="shared" si="100"/>
        <v>37%</v>
      </c>
      <c r="AC412" s="1">
        <f t="shared" si="101"/>
        <v>900</v>
      </c>
      <c r="AD412" s="36">
        <f t="shared" si="97"/>
        <v>5</v>
      </c>
      <c r="AE412" t="str">
        <f t="shared" si="102"/>
        <v/>
      </c>
      <c r="AF412" t="str">
        <f t="shared" si="103"/>
        <v/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 t="str">
        <f>IFERROR(ROUND(L412*(G412/$AU412)/VLOOKUP(F412,商品!$A$4:$C$60,3,FALSE),0),"")</f>
        <v/>
      </c>
      <c r="AM412" t="str">
        <f>IFERROR(ROUND(L412*(I412/$AU412)/VLOOKUP(H412,商品!$A$4:$C$60,3,FALSE),0),"")</f>
        <v/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0</v>
      </c>
      <c r="AV412">
        <f t="shared" si="110"/>
        <v>0</v>
      </c>
      <c r="AW412">
        <f t="shared" si="111"/>
        <v>0</v>
      </c>
    </row>
    <row r="413" spans="1:49" ht="20" customHeight="1" x14ac:dyDescent="0.3">
      <c r="A413" s="5" t="s">
        <v>362</v>
      </c>
      <c r="C413" s="5">
        <v>1</v>
      </c>
      <c r="D413" s="21" t="s">
        <v>240</v>
      </c>
      <c r="E413" s="21" t="s">
        <v>225</v>
      </c>
      <c r="L413" s="5">
        <f>IFERROR(VLOOKUP($D413&amp;$C413,生产方式定位!$A$2:$E$38,2,FALSE)+VLOOKUP($E413&amp;$C413,生产方式定位!$F$3:$J$38,2,FALSE),0)</f>
        <v>1000</v>
      </c>
      <c r="S413" s="5">
        <f>IFERROR(VLOOKUP($D413&amp;$C413,生产方式定位!$A$2:$E$38,3,FALSE)+VLOOKUP($E413&amp;$C413,生产方式定位!$F$3:$J$38,3,FALSE),0)</f>
        <v>40</v>
      </c>
      <c r="X413" s="5">
        <f>IFERROR(VLOOKUP($D413&amp;$C413,生产方式定位!$A$2:$E$38,5,FALSE)+VLOOKUP($E413&amp;$C413,生产方式定位!$F$3:$J$38,5,FALSE),"错误")</f>
        <v>1144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>14%</v>
      </c>
      <c r="AC413" s="1">
        <f t="shared" si="101"/>
        <v>104</v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20" customHeight="1" x14ac:dyDescent="0.3">
      <c r="A414" s="5" t="s">
        <v>362</v>
      </c>
      <c r="C414" s="5">
        <v>2</v>
      </c>
      <c r="D414" s="21" t="s">
        <v>240</v>
      </c>
      <c r="E414" s="21" t="s">
        <v>225</v>
      </c>
      <c r="L414" s="5">
        <f>IFERROR(VLOOKUP($D414&amp;$C414,生产方式定位!$A$2:$E$38,2,FALSE)+VLOOKUP($E414&amp;$C414,生产方式定位!$F$3:$J$38,2,FALSE),0)</f>
        <v>1850</v>
      </c>
      <c r="S414" s="5">
        <f>IFERROR(VLOOKUP($D414&amp;$C414,生产方式定位!$A$2:$E$38,3,FALSE)+VLOOKUP($E414&amp;$C414,生产方式定位!$F$3:$J$38,3,FALSE),0)</f>
        <v>90</v>
      </c>
      <c r="X414" s="5">
        <f>IFERROR(VLOOKUP($D414&amp;$C414,生产方式定位!$A$2:$E$38,5,FALSE)+VLOOKUP($E414&amp;$C414,生产方式定位!$F$3:$J$38,5,FALSE),"错误")</f>
        <v>2012</v>
      </c>
      <c r="Y414" s="24" t="str">
        <f t="shared" si="98"/>
        <v/>
      </c>
      <c r="Z414" s="34" t="str">
        <f t="shared" si="99"/>
        <v/>
      </c>
      <c r="AA414" s="34" t="str">
        <f t="shared" si="96"/>
        <v/>
      </c>
      <c r="AB414" s="25" t="str">
        <f t="shared" si="100"/>
        <v>9%</v>
      </c>
      <c r="AC414" s="1">
        <f t="shared" si="101"/>
        <v>72</v>
      </c>
      <c r="AD414" s="35">
        <f t="shared" si="97"/>
        <v>2</v>
      </c>
      <c r="AE414" t="str">
        <f t="shared" si="102"/>
        <v/>
      </c>
      <c r="AF414" t="str">
        <f t="shared" si="103"/>
        <v/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 t="str">
        <f>IFERROR(ROUND(L414*(G414/$AU414)/VLOOKUP(F414,商品!$A$4:$C$60,3,FALSE),0),"")</f>
        <v/>
      </c>
      <c r="AM414" t="str">
        <f>IFERROR(ROUND(L414*(I414/$AU414)/VLOOKUP(H414,商品!$A$4:$C$60,3,FALSE),0),"")</f>
        <v/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0</v>
      </c>
      <c r="AV414">
        <f t="shared" si="110"/>
        <v>0</v>
      </c>
      <c r="AW414">
        <f t="shared" si="111"/>
        <v>0</v>
      </c>
    </row>
    <row r="415" spans="1:49" ht="20" customHeight="1" x14ac:dyDescent="0.3">
      <c r="A415" s="5" t="s">
        <v>362</v>
      </c>
      <c r="C415" s="5">
        <v>3</v>
      </c>
      <c r="D415" s="21" t="s">
        <v>240</v>
      </c>
      <c r="E415" s="21" t="s">
        <v>225</v>
      </c>
      <c r="L415" s="5">
        <f>IFERROR(VLOOKUP($D415&amp;$C415,生产方式定位!$A$2:$E$38,2,FALSE)+VLOOKUP($E415&amp;$C415,生产方式定位!$F$3:$J$38,2,FALSE),0)</f>
        <v>2200</v>
      </c>
      <c r="S415" s="5">
        <f>IFERROR(VLOOKUP($D415&amp;$C415,生产方式定位!$A$2:$E$38,3,FALSE)+VLOOKUP($E415&amp;$C415,生产方式定位!$F$3:$J$38,3,FALSE),0)</f>
        <v>120</v>
      </c>
      <c r="X415" s="5">
        <f>IFERROR(VLOOKUP($D415&amp;$C415,生产方式定位!$A$2:$E$38,5,FALSE)+VLOOKUP($E415&amp;$C415,生产方式定位!$F$3:$J$38,5,FALSE),"错误")</f>
        <v>2539</v>
      </c>
      <c r="Y415" s="24" t="str">
        <f t="shared" si="98"/>
        <v/>
      </c>
      <c r="Z415" s="34" t="str">
        <f t="shared" si="99"/>
        <v/>
      </c>
      <c r="AA415" s="34" t="str">
        <f t="shared" si="96"/>
        <v/>
      </c>
      <c r="AB415" s="25" t="str">
        <f t="shared" si="100"/>
        <v>15%</v>
      </c>
      <c r="AC415" s="1">
        <f t="shared" si="101"/>
        <v>219</v>
      </c>
      <c r="AD415" s="35">
        <f t="shared" si="97"/>
        <v>3</v>
      </c>
      <c r="AE415" t="str">
        <f t="shared" si="102"/>
        <v/>
      </c>
      <c r="AF415" t="str">
        <f t="shared" si="103"/>
        <v/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 t="str">
        <f>IFERROR(ROUND(L415*(G415/$AU415)/VLOOKUP(F415,商品!$A$4:$C$60,3,FALSE),0),"")</f>
        <v/>
      </c>
      <c r="AM415" t="str">
        <f>IFERROR(ROUND(L415*(I415/$AU415)/VLOOKUP(H415,商品!$A$4:$C$60,3,FALSE),0),"")</f>
        <v/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0</v>
      </c>
      <c r="AV415">
        <f t="shared" si="110"/>
        <v>0</v>
      </c>
      <c r="AW415">
        <f t="shared" si="111"/>
        <v>0</v>
      </c>
    </row>
    <row r="416" spans="1:49" ht="20" customHeight="1" x14ac:dyDescent="0.3">
      <c r="A416" s="5" t="s">
        <v>362</v>
      </c>
      <c r="C416" s="5">
        <v>4</v>
      </c>
      <c r="D416" s="21" t="s">
        <v>240</v>
      </c>
      <c r="E416" s="21" t="s">
        <v>225</v>
      </c>
      <c r="L416" s="5">
        <f>IFERROR(VLOOKUP($D416&amp;$C416,生产方式定位!$A$2:$E$38,2,FALSE)+VLOOKUP($E416&amp;$C416,生产方式定位!$F$3:$J$38,2,FALSE),0)</f>
        <v>2550</v>
      </c>
      <c r="S416" s="5">
        <f>IFERROR(VLOOKUP($D416&amp;$C416,生产方式定位!$A$2:$E$38,3,FALSE)+VLOOKUP($E416&amp;$C416,生产方式定位!$F$3:$J$38,3,FALSE),0)</f>
        <v>150</v>
      </c>
      <c r="X416" s="5">
        <f>IFERROR(VLOOKUP($D416&amp;$C416,生产方式定位!$A$2:$E$38,5,FALSE)+VLOOKUP($E416&amp;$C416,生产方式定位!$F$3:$J$38,5,FALSE),"错误")</f>
        <v>3115</v>
      </c>
      <c r="Y416" s="24" t="str">
        <f t="shared" si="98"/>
        <v/>
      </c>
      <c r="Z416" s="34" t="str">
        <f t="shared" si="99"/>
        <v/>
      </c>
      <c r="AA416" s="34" t="str">
        <f t="shared" si="96"/>
        <v/>
      </c>
      <c r="AB416" s="25" t="str">
        <f t="shared" si="100"/>
        <v>22%</v>
      </c>
      <c r="AC416" s="1">
        <f t="shared" si="101"/>
        <v>415</v>
      </c>
      <c r="AD416" s="35">
        <f t="shared" si="97"/>
        <v>4</v>
      </c>
      <c r="AE416" t="str">
        <f t="shared" si="102"/>
        <v/>
      </c>
      <c r="AF416" t="str">
        <f t="shared" si="103"/>
        <v/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 t="str">
        <f>IFERROR(ROUND(L416*(G416/$AU416)/VLOOKUP(F416,商品!$A$4:$C$60,3,FALSE),0),"")</f>
        <v/>
      </c>
      <c r="AM416" t="str">
        <f>IFERROR(ROUND(L416*(I416/$AU416)/VLOOKUP(H416,商品!$A$4:$C$60,3,FALSE),0),"")</f>
        <v/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0</v>
      </c>
      <c r="AV416">
        <f t="shared" si="110"/>
        <v>0</v>
      </c>
      <c r="AW416">
        <f t="shared" si="111"/>
        <v>0</v>
      </c>
    </row>
    <row r="417" spans="1:49" ht="20" customHeight="1" x14ac:dyDescent="0.3">
      <c r="A417" s="5" t="s">
        <v>362</v>
      </c>
      <c r="C417" s="5">
        <v>5</v>
      </c>
      <c r="D417" s="21" t="s">
        <v>240</v>
      </c>
      <c r="E417" s="21" t="s">
        <v>225</v>
      </c>
      <c r="L417" s="5">
        <f>IFERROR(VLOOKUP($D417&amp;$C417,生产方式定位!$A$2:$E$38,2,FALSE)+VLOOKUP($E417&amp;$C417,生产方式定位!$F$3:$J$38,2,FALSE),0)</f>
        <v>2900</v>
      </c>
      <c r="S417" s="5">
        <f>IFERROR(VLOOKUP($D417&amp;$C417,生产方式定位!$A$2:$E$38,3,FALSE)+VLOOKUP($E417&amp;$C417,生产方式定位!$F$3:$J$38,3,FALSE),0)</f>
        <v>180</v>
      </c>
      <c r="X417" s="5">
        <f>IFERROR(VLOOKUP($D417&amp;$C417,生产方式定位!$A$2:$E$38,5,FALSE)+VLOOKUP($E417&amp;$C417,生产方式定位!$F$3:$J$38,5,FALSE),"错误")</f>
        <v>3980</v>
      </c>
      <c r="Y417" s="24" t="str">
        <f t="shared" si="98"/>
        <v/>
      </c>
      <c r="Z417" s="34" t="str">
        <f t="shared" si="99"/>
        <v/>
      </c>
      <c r="AA417" s="34" t="str">
        <f t="shared" si="96"/>
        <v/>
      </c>
      <c r="AB417" s="25" t="str">
        <f t="shared" si="100"/>
        <v>37%</v>
      </c>
      <c r="AC417" s="1">
        <f t="shared" si="101"/>
        <v>900</v>
      </c>
      <c r="AD417" s="35">
        <f t="shared" si="97"/>
        <v>5</v>
      </c>
      <c r="AE417" t="str">
        <f t="shared" si="102"/>
        <v/>
      </c>
      <c r="AF417" t="str">
        <f t="shared" si="103"/>
        <v/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 t="str">
        <f>IFERROR(ROUND(L417*(G417/$AU417)/VLOOKUP(F417,商品!$A$4:$C$60,3,FALSE),0),"")</f>
        <v/>
      </c>
      <c r="AM417" t="str">
        <f>IFERROR(ROUND(L417*(I417/$AU417)/VLOOKUP(H417,商品!$A$4:$C$60,3,FALSE),0),"")</f>
        <v/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0</v>
      </c>
      <c r="AV417">
        <f t="shared" si="110"/>
        <v>0</v>
      </c>
      <c r="AW417">
        <f t="shared" si="111"/>
        <v>0</v>
      </c>
    </row>
    <row r="418" spans="1:49" ht="20" customHeight="1" x14ac:dyDescent="0.3">
      <c r="A418" s="18" t="s">
        <v>363</v>
      </c>
      <c r="C418" s="18">
        <v>1</v>
      </c>
      <c r="D418" s="21" t="s">
        <v>292</v>
      </c>
      <c r="E418" s="21" t="s">
        <v>226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20" customHeight="1" x14ac:dyDescent="0.3">
      <c r="A419" s="18" t="s">
        <v>363</v>
      </c>
      <c r="C419" s="18">
        <v>2</v>
      </c>
      <c r="D419" s="21" t="s">
        <v>292</v>
      </c>
      <c r="E419" s="21" t="s">
        <v>226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20" customHeight="1" x14ac:dyDescent="0.3">
      <c r="A420" s="18" t="s">
        <v>363</v>
      </c>
      <c r="C420" s="18">
        <v>3</v>
      </c>
      <c r="D420" s="21" t="s">
        <v>292</v>
      </c>
      <c r="E420" s="21" t="s">
        <v>226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20" customHeight="1" x14ac:dyDescent="0.3">
      <c r="A421" s="18" t="s">
        <v>363</v>
      </c>
      <c r="C421" s="18">
        <v>4</v>
      </c>
      <c r="D421" s="21" t="s">
        <v>292</v>
      </c>
      <c r="E421" s="21" t="s">
        <v>226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20" customHeight="1" x14ac:dyDescent="0.3">
      <c r="A422" s="18" t="s">
        <v>363</v>
      </c>
      <c r="C422" s="18">
        <v>5</v>
      </c>
      <c r="D422" s="21" t="s">
        <v>292</v>
      </c>
      <c r="E422" s="21" t="s">
        <v>226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20" customHeight="1" x14ac:dyDescent="0.3">
      <c r="A423" s="18" t="s">
        <v>363</v>
      </c>
      <c r="C423" s="18">
        <v>6</v>
      </c>
      <c r="D423" s="21" t="s">
        <v>292</v>
      </c>
      <c r="E423" s="21" t="s">
        <v>226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20" customHeight="1" x14ac:dyDescent="0.3">
      <c r="A424" s="18" t="s">
        <v>363</v>
      </c>
      <c r="C424" s="18">
        <v>7</v>
      </c>
      <c r="D424" s="21" t="s">
        <v>292</v>
      </c>
      <c r="E424" s="21" t="s">
        <v>226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20" customHeight="1" x14ac:dyDescent="0.3">
      <c r="A425" s="18" t="s">
        <v>363</v>
      </c>
      <c r="C425" s="18">
        <v>8</v>
      </c>
      <c r="D425" s="21" t="s">
        <v>292</v>
      </c>
      <c r="E425" s="21" t="s">
        <v>226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20" customHeight="1" x14ac:dyDescent="0.3">
      <c r="A426" s="5" t="s">
        <v>365</v>
      </c>
      <c r="C426" s="5">
        <v>1</v>
      </c>
      <c r="D426" s="21" t="s">
        <v>240</v>
      </c>
      <c r="E426" s="21" t="s">
        <v>224</v>
      </c>
      <c r="F426" s="80" t="s">
        <v>638</v>
      </c>
      <c r="G426" s="1">
        <v>40</v>
      </c>
      <c r="H426" s="80" t="s">
        <v>641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40</v>
      </c>
      <c r="T426" s="80" t="s">
        <v>645</v>
      </c>
      <c r="U426" s="1">
        <v>1</v>
      </c>
      <c r="X426" s="5">
        <f>IFERROR(VLOOKUP($D426&amp;$C426,生产方式定位!$A$2:$E$38,5,FALSE)+VLOOKUP($E426&amp;$C426,生产方式定位!$F$3:$J$38,5,FALSE),"错误")</f>
        <v>1144</v>
      </c>
      <c r="Y426" s="24" t="str">
        <f t="shared" si="98"/>
        <v>秘银*8,硬木*4,运力*3,交易*1</v>
      </c>
      <c r="Z426" s="34" t="str">
        <f t="shared" si="99"/>
        <v/>
      </c>
      <c r="AA426" s="34" t="str">
        <f t="shared" si="96"/>
        <v>魔能机甲*11</v>
      </c>
      <c r="AB426" s="25" t="str">
        <f t="shared" si="100"/>
        <v>14%</v>
      </c>
      <c r="AC426" s="1">
        <f t="shared" si="101"/>
        <v>104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魔能机甲*11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3</v>
      </c>
      <c r="AO426">
        <f>IFERROR(ROUND(L426*(K426/$AU426)/VLOOKUP("运力",商品!$A$4:$C$60,3,FALSE),0),0)</f>
        <v>1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11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20" customHeight="1" x14ac:dyDescent="0.3">
      <c r="A427" s="5" t="s">
        <v>365</v>
      </c>
      <c r="C427" s="5">
        <v>2</v>
      </c>
      <c r="D427" s="21" t="s">
        <v>240</v>
      </c>
      <c r="E427" s="21" t="s">
        <v>224</v>
      </c>
      <c r="F427" s="80" t="s">
        <v>638</v>
      </c>
      <c r="G427" s="79">
        <v>40</v>
      </c>
      <c r="H427" s="80" t="s">
        <v>641</v>
      </c>
      <c r="I427" s="79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50</v>
      </c>
      <c r="T427" s="80" t="s">
        <v>645</v>
      </c>
      <c r="U427" s="1">
        <v>1</v>
      </c>
      <c r="X427" s="5">
        <f>IFERROR(VLOOKUP($D427&amp;$C427,生产方式定位!$A$2:$E$38,5,FALSE)+VLOOKUP($E427&amp;$C427,生产方式定位!$F$3:$J$38,5,FALSE),"错误")</f>
        <v>1930</v>
      </c>
      <c r="Y427" s="24" t="str">
        <f t="shared" si="98"/>
        <v>秘银*12,硬木*6,运力*4,交易*2</v>
      </c>
      <c r="Z427" s="34" t="str">
        <f t="shared" si="99"/>
        <v/>
      </c>
      <c r="AA427" s="34" t="str">
        <f t="shared" si="96"/>
        <v>魔能机甲*19</v>
      </c>
      <c r="AB427" s="25" t="str">
        <f t="shared" si="100"/>
        <v>21%</v>
      </c>
      <c r="AC427" s="1">
        <f t="shared" si="101"/>
        <v>280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魔能机甲*19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4</v>
      </c>
      <c r="AO427">
        <f>IFERROR(ROUND(L427*(K427/$AU427)/VLOOKUP("运力",商品!$A$4:$C$60,3,FALSE),0),0)</f>
        <v>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19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20" customHeight="1" x14ac:dyDescent="0.3">
      <c r="A428" s="5" t="s">
        <v>365</v>
      </c>
      <c r="C428" s="5">
        <v>3</v>
      </c>
      <c r="D428" s="21" t="s">
        <v>240</v>
      </c>
      <c r="E428" s="21" t="s">
        <v>224</v>
      </c>
      <c r="F428" s="80" t="s">
        <v>638</v>
      </c>
      <c r="G428" s="79">
        <v>40</v>
      </c>
      <c r="H428" s="80" t="s">
        <v>641</v>
      </c>
      <c r="I428" s="79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60</v>
      </c>
      <c r="T428" s="80" t="s">
        <v>645</v>
      </c>
      <c r="U428" s="79">
        <v>1</v>
      </c>
      <c r="X428" s="5">
        <f>IFERROR(VLOOKUP($D428&amp;$C428,生产方式定位!$A$2:$E$38,5,FALSE)+VLOOKUP($E428&amp;$C428,生产方式定位!$F$3:$J$38,5,FALSE),"错误")</f>
        <v>2326</v>
      </c>
      <c r="Y428" s="24" t="str">
        <f t="shared" si="98"/>
        <v>秘银*14,硬木*7,运力*5,交易*2</v>
      </c>
      <c r="Z428" s="34" t="str">
        <f t="shared" si="99"/>
        <v/>
      </c>
      <c r="AA428" s="34" t="str">
        <f t="shared" si="96"/>
        <v>魔能机甲*23</v>
      </c>
      <c r="AB428" s="25" t="str">
        <f t="shared" si="100"/>
        <v>27%</v>
      </c>
      <c r="AC428" s="1">
        <f t="shared" si="101"/>
        <v>441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魔能机甲*23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5</v>
      </c>
      <c r="AO428">
        <f>IFERROR(ROUND(L428*(K428/$AU428)/VLOOKUP("运力",商品!$A$4:$C$60,3,FALSE),0),0)</f>
        <v>2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23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20" customHeight="1" x14ac:dyDescent="0.3">
      <c r="A429" s="5" t="s">
        <v>365</v>
      </c>
      <c r="C429" s="5">
        <v>4</v>
      </c>
      <c r="D429" s="21" t="s">
        <v>240</v>
      </c>
      <c r="E429" s="21" t="s">
        <v>224</v>
      </c>
      <c r="F429" s="80" t="s">
        <v>638</v>
      </c>
      <c r="G429" s="79">
        <v>40</v>
      </c>
      <c r="H429" s="80" t="s">
        <v>641</v>
      </c>
      <c r="I429" s="79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70</v>
      </c>
      <c r="T429" s="80" t="s">
        <v>645</v>
      </c>
      <c r="U429" s="79">
        <v>1</v>
      </c>
      <c r="X429" s="5">
        <f>IFERROR(VLOOKUP($D429&amp;$C429,生产方式定位!$A$2:$E$38,5,FALSE)+VLOOKUP($E429&amp;$C429,生产方式定位!$F$3:$J$38,5,FALSE),"错误")</f>
        <v>2743</v>
      </c>
      <c r="Y429" s="24" t="str">
        <f t="shared" si="98"/>
        <v>秘银*16,硬木*8,运力*5,交易*3</v>
      </c>
      <c r="Z429" s="34" t="str">
        <f t="shared" si="99"/>
        <v/>
      </c>
      <c r="AA429" s="34" t="str">
        <f t="shared" si="96"/>
        <v>魔能机甲*27</v>
      </c>
      <c r="AB429" s="25" t="str">
        <f t="shared" si="100"/>
        <v>34%</v>
      </c>
      <c r="AC429" s="1">
        <f t="shared" si="101"/>
        <v>623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魔能机甲*27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5</v>
      </c>
      <c r="AO429">
        <f>IFERROR(ROUND(L429*(K429/$AU429)/VLOOKUP("运力",商品!$A$4:$C$60,3,FALSE),0),0)</f>
        <v>3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27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20" customHeight="1" x14ac:dyDescent="0.3">
      <c r="A430" s="5" t="s">
        <v>365</v>
      </c>
      <c r="C430" s="5">
        <v>5</v>
      </c>
      <c r="D430" s="21" t="s">
        <v>240</v>
      </c>
      <c r="E430" s="21" t="s">
        <v>224</v>
      </c>
      <c r="F430" s="80" t="s">
        <v>638</v>
      </c>
      <c r="G430" s="79">
        <v>40</v>
      </c>
      <c r="H430" s="80" t="s">
        <v>641</v>
      </c>
      <c r="I430" s="79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80</v>
      </c>
      <c r="T430" s="80" t="s">
        <v>645</v>
      </c>
      <c r="U430" s="79">
        <v>1</v>
      </c>
      <c r="X430" s="5">
        <f>IFERROR(VLOOKUP($D430&amp;$C430,生产方式定位!$A$2:$E$38,5,FALSE)+VLOOKUP($E430&amp;$C430,生产方式定位!$F$3:$J$38,5,FALSE),"错误")</f>
        <v>3183</v>
      </c>
      <c r="Y430" s="24" t="str">
        <f t="shared" si="98"/>
        <v>秘银*18,硬木*9,运力*6,交易*3</v>
      </c>
      <c r="Z430" s="34" t="str">
        <f t="shared" si="99"/>
        <v/>
      </c>
      <c r="AA430" s="34" t="str">
        <f t="shared" si="96"/>
        <v>魔能机甲*32</v>
      </c>
      <c r="AB430" s="25" t="str">
        <f t="shared" si="100"/>
        <v>40%</v>
      </c>
      <c r="AC430" s="1">
        <f t="shared" si="101"/>
        <v>828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魔能机甲*32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6</v>
      </c>
      <c r="AO430">
        <f>IFERROR(ROUND(L430*(K430/$AU430)/VLOOKUP("运力",商品!$A$4:$C$60,3,FALSE),0),0)</f>
        <v>3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32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20" customHeight="1" x14ac:dyDescent="0.3">
      <c r="A431" s="18" t="s">
        <v>366</v>
      </c>
      <c r="C431" s="18">
        <v>1</v>
      </c>
      <c r="D431" s="21" t="s">
        <v>240</v>
      </c>
      <c r="E431" s="21" t="s">
        <v>230</v>
      </c>
      <c r="F431" s="80" t="s">
        <v>638</v>
      </c>
      <c r="G431" s="79">
        <v>40</v>
      </c>
      <c r="H431" s="80" t="s">
        <v>641</v>
      </c>
      <c r="I431" s="79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40</v>
      </c>
      <c r="T431" s="80" t="s">
        <v>646</v>
      </c>
      <c r="U431" s="79">
        <v>1</v>
      </c>
      <c r="X431" s="18">
        <f>IFERROR(VLOOKUP($D431&amp;$C431,生产方式定位!$A$2:$E$38,5,FALSE)+VLOOKUP($E431&amp;$C431,生产方式定位!$F$3:$J$38,5,FALSE),"错误")</f>
        <v>1144</v>
      </c>
      <c r="Y431" s="24" t="str">
        <f t="shared" si="98"/>
        <v>秘银*8,硬木*4,运力*3,交易*1</v>
      </c>
      <c r="Z431" s="34" t="str">
        <f t="shared" si="99"/>
        <v/>
      </c>
      <c r="AA431" s="34" t="str">
        <f t="shared" si="96"/>
        <v>魔能飞行器*14</v>
      </c>
      <c r="AB431" s="25" t="str">
        <f t="shared" si="100"/>
        <v>14%</v>
      </c>
      <c r="AC431" s="1">
        <f t="shared" si="101"/>
        <v>104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魔能飞行器*14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3</v>
      </c>
      <c r="AO431">
        <f>IFERROR(ROUND(L431*(K431/$AU431)/VLOOKUP("运力",商品!$A$4:$C$60,3,FALSE),0),0)</f>
        <v>1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14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20" customHeight="1" x14ac:dyDescent="0.3">
      <c r="A432" s="18" t="s">
        <v>366</v>
      </c>
      <c r="C432" s="18">
        <v>2</v>
      </c>
      <c r="D432" s="21" t="s">
        <v>240</v>
      </c>
      <c r="E432" s="21" t="s">
        <v>230</v>
      </c>
      <c r="F432" s="80" t="s">
        <v>638</v>
      </c>
      <c r="G432" s="79">
        <v>40</v>
      </c>
      <c r="H432" s="80" t="s">
        <v>641</v>
      </c>
      <c r="I432" s="79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60</v>
      </c>
      <c r="T432" s="80" t="s">
        <v>646</v>
      </c>
      <c r="U432" s="79">
        <v>1</v>
      </c>
      <c r="X432" s="18">
        <f>IFERROR(VLOOKUP($D432&amp;$C432,生产方式定位!$A$2:$E$38,5,FALSE)+VLOOKUP($E432&amp;$C432,生产方式定位!$F$3:$J$38,5,FALSE),"错误")</f>
        <v>1831</v>
      </c>
      <c r="Y432" s="24" t="str">
        <f t="shared" si="98"/>
        <v>秘银*12,硬木*6,运力*4,交易*2</v>
      </c>
      <c r="Z432" s="34" t="str">
        <f t="shared" si="99"/>
        <v/>
      </c>
      <c r="AA432" s="34" t="str">
        <f t="shared" si="96"/>
        <v>魔能飞行器*23</v>
      </c>
      <c r="AB432" s="25" t="str">
        <f t="shared" si="100"/>
        <v>22%</v>
      </c>
      <c r="AC432" s="1">
        <f t="shared" si="101"/>
        <v>271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魔能飞行器*23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4</v>
      </c>
      <c r="AO432">
        <f>IFERROR(ROUND(L432*(K432/$AU432)/VLOOKUP("运力",商品!$A$4:$C$60,3,FALSE),0),0)</f>
        <v>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23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20" customHeight="1" x14ac:dyDescent="0.3">
      <c r="A433" s="18" t="s">
        <v>366</v>
      </c>
      <c r="C433" s="18">
        <v>3</v>
      </c>
      <c r="D433" s="21" t="s">
        <v>240</v>
      </c>
      <c r="E433" s="21" t="s">
        <v>230</v>
      </c>
      <c r="F433" s="80" t="s">
        <v>638</v>
      </c>
      <c r="G433" s="79">
        <v>40</v>
      </c>
      <c r="H433" s="80" t="s">
        <v>641</v>
      </c>
      <c r="I433" s="79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75</v>
      </c>
      <c r="T433" s="80" t="s">
        <v>646</v>
      </c>
      <c r="U433" s="79">
        <v>1</v>
      </c>
      <c r="X433" s="18">
        <f>IFERROR(VLOOKUP($D433&amp;$C433,生产方式定位!$A$2:$E$38,5,FALSE)+VLOOKUP($E433&amp;$C433,生产方式定位!$F$3:$J$38,5,FALSE),"错误")</f>
        <v>2205</v>
      </c>
      <c r="Y433" s="24" t="str">
        <f t="shared" si="98"/>
        <v>秘银*13,硬木*7,运力*4,交易*2</v>
      </c>
      <c r="Z433" s="34" t="str">
        <f t="shared" si="99"/>
        <v/>
      </c>
      <c r="AA433" s="34" t="str">
        <f t="shared" si="96"/>
        <v>魔能飞行器*28</v>
      </c>
      <c r="AB433" s="25" t="str">
        <f t="shared" si="100"/>
        <v>30%</v>
      </c>
      <c r="AC433" s="1">
        <f t="shared" si="101"/>
        <v>430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魔能飞行器*28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4</v>
      </c>
      <c r="AO433">
        <f>IFERROR(ROUND(L433*(K433/$AU433)/VLOOKUP("运力",商品!$A$4:$C$60,3,FALSE),0),0)</f>
        <v>2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28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20" customHeight="1" x14ac:dyDescent="0.3">
      <c r="A434" s="18" t="s">
        <v>366</v>
      </c>
      <c r="C434" s="18">
        <v>4</v>
      </c>
      <c r="D434" s="21" t="s">
        <v>240</v>
      </c>
      <c r="E434" s="21" t="s">
        <v>230</v>
      </c>
      <c r="F434" s="80" t="s">
        <v>638</v>
      </c>
      <c r="G434" s="79">
        <v>40</v>
      </c>
      <c r="H434" s="80" t="s">
        <v>641</v>
      </c>
      <c r="I434" s="79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90</v>
      </c>
      <c r="T434" s="80" t="s">
        <v>646</v>
      </c>
      <c r="U434" s="79">
        <v>1</v>
      </c>
      <c r="X434" s="18">
        <f>IFERROR(VLOOKUP($D434&amp;$C434,生产方式定位!$A$2:$E$38,5,FALSE)+VLOOKUP($E434&amp;$C434,生产方式定位!$F$3:$J$38,5,FALSE),"错误")</f>
        <v>2600</v>
      </c>
      <c r="Y434" s="24" t="str">
        <f t="shared" si="98"/>
        <v>秘银*15,硬木*7,运力*5,交易*2</v>
      </c>
      <c r="Z434" s="34" t="str">
        <f t="shared" si="99"/>
        <v/>
      </c>
      <c r="AA434" s="34" t="str">
        <f t="shared" si="96"/>
        <v>魔能飞行器*33</v>
      </c>
      <c r="AB434" s="25" t="str">
        <f t="shared" si="100"/>
        <v>37%</v>
      </c>
      <c r="AC434" s="1">
        <f t="shared" si="101"/>
        <v>610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魔能飞行器*33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5</v>
      </c>
      <c r="AO434">
        <f>IFERROR(ROUND(L434*(K434/$AU434)/VLOOKUP("运力",商品!$A$4:$C$60,3,FALSE),0),0)</f>
        <v>2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33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20" customHeight="1" x14ac:dyDescent="0.3">
      <c r="A435" s="18" t="s">
        <v>366</v>
      </c>
      <c r="C435" s="18">
        <v>5</v>
      </c>
      <c r="D435" s="21" t="s">
        <v>240</v>
      </c>
      <c r="E435" s="21" t="s">
        <v>230</v>
      </c>
      <c r="F435" s="80" t="s">
        <v>638</v>
      </c>
      <c r="G435" s="79">
        <v>40</v>
      </c>
      <c r="H435" s="80" t="s">
        <v>641</v>
      </c>
      <c r="I435" s="79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105</v>
      </c>
      <c r="T435" s="80" t="s">
        <v>646</v>
      </c>
      <c r="U435" s="79">
        <v>1</v>
      </c>
      <c r="X435" s="18">
        <f>IFERROR(VLOOKUP($D435&amp;$C435,生产方式定位!$A$2:$E$38,5,FALSE)+VLOOKUP($E435&amp;$C435,生产方式定位!$F$3:$J$38,5,FALSE),"错误")</f>
        <v>3018</v>
      </c>
      <c r="Y435" s="24" t="str">
        <f t="shared" si="98"/>
        <v>秘银*16,硬木*8,运力*5,交易*3</v>
      </c>
      <c r="Z435" s="34" t="str">
        <f t="shared" si="99"/>
        <v/>
      </c>
      <c r="AA435" s="34" t="str">
        <f t="shared" si="96"/>
        <v>魔能飞行器*38</v>
      </c>
      <c r="AB435" s="25" t="str">
        <f t="shared" si="100"/>
        <v>44%</v>
      </c>
      <c r="AC435" s="1">
        <f t="shared" si="101"/>
        <v>813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魔能飞行器*38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5</v>
      </c>
      <c r="AO435">
        <f>IFERROR(ROUND(L435*(K435/$AU435)/VLOOKUP("运力",商品!$A$4:$C$60,3,FALSE),0),0)</f>
        <v>3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38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20" customHeight="1" x14ac:dyDescent="0.3">
      <c r="A436" s="5" t="s">
        <v>367</v>
      </c>
      <c r="C436" s="5">
        <v>1</v>
      </c>
      <c r="D436" s="21" t="s">
        <v>240</v>
      </c>
      <c r="E436" s="21" t="s">
        <v>225</v>
      </c>
      <c r="L436" s="5">
        <f>IFERROR(VLOOKUP($D436&amp;$C436,生产方式定位!$A$2:$E$38,2,FALSE)+VLOOKUP($E436&amp;$C436,生产方式定位!$F$3:$J$38,2,FALSE),0)</f>
        <v>1000</v>
      </c>
      <c r="S436" s="5">
        <f>IFERROR(VLOOKUP($D436&amp;$C436,生产方式定位!$A$2:$E$38,3,FALSE)+VLOOKUP($E436&amp;$C436,生产方式定位!$F$3:$J$38,3,FALSE),0)</f>
        <v>40</v>
      </c>
      <c r="X436" s="5">
        <f>IFERROR(VLOOKUP($D436&amp;$C436,生产方式定位!$A$2:$E$38,5,FALSE)+VLOOKUP($E436&amp;$C436,生产方式定位!$F$3:$J$38,5,FALSE),"错误")</f>
        <v>1144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>14%</v>
      </c>
      <c r="AC436" s="1">
        <f t="shared" si="101"/>
        <v>104</v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20" customHeight="1" x14ac:dyDescent="0.3">
      <c r="A437" s="5" t="s">
        <v>367</v>
      </c>
      <c r="C437" s="5">
        <v>2</v>
      </c>
      <c r="D437" s="21" t="s">
        <v>240</v>
      </c>
      <c r="E437" s="21" t="s">
        <v>225</v>
      </c>
      <c r="L437" s="5">
        <f>IFERROR(VLOOKUP($D437&amp;$C437,生产方式定位!$A$2:$E$38,2,FALSE)+VLOOKUP($E437&amp;$C437,生产方式定位!$F$3:$J$38,2,FALSE),0)</f>
        <v>1850</v>
      </c>
      <c r="S437" s="5">
        <f>IFERROR(VLOOKUP($D437&amp;$C437,生产方式定位!$A$2:$E$38,3,FALSE)+VLOOKUP($E437&amp;$C437,生产方式定位!$F$3:$J$38,3,FALSE),0)</f>
        <v>90</v>
      </c>
      <c r="X437" s="5">
        <f>IFERROR(VLOOKUP($D437&amp;$C437,生产方式定位!$A$2:$E$38,5,FALSE)+VLOOKUP($E437&amp;$C437,生产方式定位!$F$3:$J$38,5,FALSE),"错误")</f>
        <v>2012</v>
      </c>
      <c r="Y437" s="24" t="str">
        <f t="shared" si="98"/>
        <v/>
      </c>
      <c r="Z437" s="34" t="str">
        <f t="shared" si="99"/>
        <v/>
      </c>
      <c r="AA437" s="34" t="str">
        <f t="shared" si="96"/>
        <v/>
      </c>
      <c r="AB437" s="25" t="str">
        <f t="shared" si="100"/>
        <v>9%</v>
      </c>
      <c r="AC437" s="1">
        <f t="shared" si="101"/>
        <v>72</v>
      </c>
      <c r="AD437" s="35">
        <f t="shared" si="97"/>
        <v>2</v>
      </c>
      <c r="AE437" t="str">
        <f t="shared" si="102"/>
        <v/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 t="str">
        <f>IFERROR(ROUND(L437*(G437/$AU437)/VLOOKUP(F437,商品!$A$4:$C$60,3,FALSE),0),"")</f>
        <v/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0</v>
      </c>
      <c r="AV437">
        <f t="shared" si="110"/>
        <v>0</v>
      </c>
      <c r="AW437">
        <f t="shared" si="111"/>
        <v>0</v>
      </c>
    </row>
    <row r="438" spans="1:49" ht="20" customHeight="1" x14ac:dyDescent="0.3">
      <c r="A438" s="5" t="s">
        <v>367</v>
      </c>
      <c r="C438" s="5">
        <v>3</v>
      </c>
      <c r="D438" s="21" t="s">
        <v>240</v>
      </c>
      <c r="E438" s="21" t="s">
        <v>225</v>
      </c>
      <c r="L438" s="5">
        <f>IFERROR(VLOOKUP($D438&amp;$C438,生产方式定位!$A$2:$E$38,2,FALSE)+VLOOKUP($E438&amp;$C438,生产方式定位!$F$3:$J$38,2,FALSE),0)</f>
        <v>2200</v>
      </c>
      <c r="S438" s="5">
        <f>IFERROR(VLOOKUP($D438&amp;$C438,生产方式定位!$A$2:$E$38,3,FALSE)+VLOOKUP($E438&amp;$C438,生产方式定位!$F$3:$J$38,3,FALSE),0)</f>
        <v>120</v>
      </c>
      <c r="X438" s="5">
        <f>IFERROR(VLOOKUP($D438&amp;$C438,生产方式定位!$A$2:$E$38,5,FALSE)+VLOOKUP($E438&amp;$C438,生产方式定位!$F$3:$J$38,5,FALSE),"错误")</f>
        <v>2539</v>
      </c>
      <c r="Y438" s="24" t="str">
        <f t="shared" si="98"/>
        <v/>
      </c>
      <c r="Z438" s="34" t="str">
        <f t="shared" si="99"/>
        <v/>
      </c>
      <c r="AA438" s="34" t="str">
        <f t="shared" si="96"/>
        <v/>
      </c>
      <c r="AB438" s="25" t="str">
        <f t="shared" si="100"/>
        <v>15%</v>
      </c>
      <c r="AC438" s="1">
        <f t="shared" si="101"/>
        <v>219</v>
      </c>
      <c r="AD438" s="35">
        <f t="shared" si="97"/>
        <v>3</v>
      </c>
      <c r="AE438" t="str">
        <f t="shared" si="102"/>
        <v/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 t="str">
        <f>IFERROR(ROUND(L438*(G438/$AU438)/VLOOKUP(F438,商品!$A$4:$C$60,3,FALSE),0),"")</f>
        <v/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0</v>
      </c>
      <c r="AV438">
        <f t="shared" si="110"/>
        <v>0</v>
      </c>
      <c r="AW438">
        <f t="shared" si="111"/>
        <v>0</v>
      </c>
    </row>
    <row r="439" spans="1:49" ht="20" customHeight="1" x14ac:dyDescent="0.3">
      <c r="A439" s="5" t="s">
        <v>367</v>
      </c>
      <c r="C439" s="5">
        <v>4</v>
      </c>
      <c r="D439" s="21" t="s">
        <v>240</v>
      </c>
      <c r="E439" s="21" t="s">
        <v>225</v>
      </c>
      <c r="L439" s="5">
        <f>IFERROR(VLOOKUP($D439&amp;$C439,生产方式定位!$A$2:$E$38,2,FALSE)+VLOOKUP($E439&amp;$C439,生产方式定位!$F$3:$J$38,2,FALSE),0)</f>
        <v>2550</v>
      </c>
      <c r="S439" s="5">
        <f>IFERROR(VLOOKUP($D439&amp;$C439,生产方式定位!$A$2:$E$38,3,FALSE)+VLOOKUP($E439&amp;$C439,生产方式定位!$F$3:$J$38,3,FALSE),0)</f>
        <v>150</v>
      </c>
      <c r="X439" s="5">
        <f>IFERROR(VLOOKUP($D439&amp;$C439,生产方式定位!$A$2:$E$38,5,FALSE)+VLOOKUP($E439&amp;$C439,生产方式定位!$F$3:$J$38,5,FALSE),"错误")</f>
        <v>3115</v>
      </c>
      <c r="Y439" s="24" t="str">
        <f t="shared" si="98"/>
        <v/>
      </c>
      <c r="Z439" s="34" t="str">
        <f t="shared" si="99"/>
        <v/>
      </c>
      <c r="AA439" s="34" t="str">
        <f t="shared" si="96"/>
        <v/>
      </c>
      <c r="AB439" s="25" t="str">
        <f t="shared" si="100"/>
        <v>22%</v>
      </c>
      <c r="AC439" s="1">
        <f t="shared" si="101"/>
        <v>415</v>
      </c>
      <c r="AD439" s="35">
        <f t="shared" si="97"/>
        <v>4</v>
      </c>
      <c r="AE439" t="str">
        <f t="shared" si="102"/>
        <v/>
      </c>
      <c r="AF439" t="str">
        <f t="shared" si="103"/>
        <v/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 t="str">
        <f>IFERROR(ROUND(L439*(G439/$AU439)/VLOOKUP(F439,商品!$A$4:$C$60,3,FALSE),0),"")</f>
        <v/>
      </c>
      <c r="AM439" t="str">
        <f>IFERROR(ROUND(L439*(I439/$AU439)/VLOOKUP(H439,商品!$A$4:$C$60,3,FALSE),0),"")</f>
        <v/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0</v>
      </c>
      <c r="AV439">
        <f t="shared" si="110"/>
        <v>0</v>
      </c>
      <c r="AW439">
        <f t="shared" si="111"/>
        <v>0</v>
      </c>
    </row>
    <row r="440" spans="1:49" ht="20" customHeight="1" x14ac:dyDescent="0.3">
      <c r="A440" s="5" t="s">
        <v>367</v>
      </c>
      <c r="C440" s="5">
        <v>5</v>
      </c>
      <c r="D440" s="21" t="s">
        <v>240</v>
      </c>
      <c r="E440" s="21" t="s">
        <v>225</v>
      </c>
      <c r="L440" s="5">
        <f>IFERROR(VLOOKUP($D440&amp;$C440,生产方式定位!$A$2:$E$38,2,FALSE)+VLOOKUP($E440&amp;$C440,生产方式定位!$F$3:$J$38,2,FALSE),0)</f>
        <v>2900</v>
      </c>
      <c r="S440" s="5">
        <f>IFERROR(VLOOKUP($D440&amp;$C440,生产方式定位!$A$2:$E$38,3,FALSE)+VLOOKUP($E440&amp;$C440,生产方式定位!$F$3:$J$38,3,FALSE),0)</f>
        <v>180</v>
      </c>
      <c r="X440" s="5">
        <f>IFERROR(VLOOKUP($D440&amp;$C440,生产方式定位!$A$2:$E$38,5,FALSE)+VLOOKUP($E440&amp;$C440,生产方式定位!$F$3:$J$38,5,FALSE),"错误")</f>
        <v>3980</v>
      </c>
      <c r="Y440" s="24" t="str">
        <f t="shared" si="98"/>
        <v/>
      </c>
      <c r="Z440" s="34" t="str">
        <f t="shared" si="99"/>
        <v/>
      </c>
      <c r="AA440" s="34" t="str">
        <f t="shared" si="96"/>
        <v/>
      </c>
      <c r="AB440" s="25" t="str">
        <f t="shared" si="100"/>
        <v>37%</v>
      </c>
      <c r="AC440" s="1">
        <f t="shared" si="101"/>
        <v>900</v>
      </c>
      <c r="AD440" s="35">
        <f t="shared" si="97"/>
        <v>5</v>
      </c>
      <c r="AE440" t="str">
        <f t="shared" si="102"/>
        <v/>
      </c>
      <c r="AF440" t="str">
        <f t="shared" si="103"/>
        <v/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 t="str">
        <f>IFERROR(ROUND(L440*(G440/$AU440)/VLOOKUP(F440,商品!$A$4:$C$60,3,FALSE),0),"")</f>
        <v/>
      </c>
      <c r="AM440" t="str">
        <f>IFERROR(ROUND(L440*(I440/$AU440)/VLOOKUP(H440,商品!$A$4:$C$60,3,FALSE),0),"")</f>
        <v/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0</v>
      </c>
      <c r="AV440">
        <f t="shared" si="110"/>
        <v>0</v>
      </c>
      <c r="AW440">
        <f t="shared" si="111"/>
        <v>0</v>
      </c>
    </row>
    <row r="441" spans="1:49" ht="20" customHeight="1" x14ac:dyDescent="0.3">
      <c r="A441" s="18" t="s">
        <v>367</v>
      </c>
      <c r="C441" s="18">
        <v>1</v>
      </c>
      <c r="D441" s="21" t="s">
        <v>240</v>
      </c>
      <c r="E441" s="21" t="s">
        <v>225</v>
      </c>
      <c r="L441" s="18">
        <f>IFERROR(VLOOKUP($D441&amp;$C441,生产方式定位!$A$2:$E$38,2,FALSE)+VLOOKUP($E441&amp;$C441,生产方式定位!$F$3:$J$38,2,FALSE),0)</f>
        <v>1000</v>
      </c>
      <c r="S441" s="18">
        <f>IFERROR(VLOOKUP($D441&amp;$C441,生产方式定位!$A$2:$E$38,3,FALSE)+VLOOKUP($E441&amp;$C441,生产方式定位!$F$3:$J$38,3,FALSE),0)</f>
        <v>40</v>
      </c>
      <c r="X441" s="18">
        <f>IFERROR(VLOOKUP($D441&amp;$C441,生产方式定位!$A$2:$E$38,5,FALSE)+VLOOKUP($E441&amp;$C441,生产方式定位!$F$3:$J$38,5,FALSE),"错误")</f>
        <v>1144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>14%</v>
      </c>
      <c r="AC441" s="1">
        <f t="shared" si="101"/>
        <v>104</v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20" customHeight="1" x14ac:dyDescent="0.3">
      <c r="A442" s="18" t="s">
        <v>367</v>
      </c>
      <c r="C442" s="18">
        <v>2</v>
      </c>
      <c r="D442" s="21" t="s">
        <v>240</v>
      </c>
      <c r="E442" s="21" t="s">
        <v>225</v>
      </c>
      <c r="L442" s="18">
        <f>IFERROR(VLOOKUP($D442&amp;$C442,生产方式定位!$A$2:$E$38,2,FALSE)+VLOOKUP($E442&amp;$C442,生产方式定位!$F$3:$J$38,2,FALSE),0)</f>
        <v>1850</v>
      </c>
      <c r="S442" s="18">
        <f>IFERROR(VLOOKUP($D442&amp;$C442,生产方式定位!$A$2:$E$38,3,FALSE)+VLOOKUP($E442&amp;$C442,生产方式定位!$F$3:$J$38,3,FALSE),0)</f>
        <v>90</v>
      </c>
      <c r="X442" s="18">
        <f>IFERROR(VLOOKUP($D442&amp;$C442,生产方式定位!$A$2:$E$38,5,FALSE)+VLOOKUP($E442&amp;$C442,生产方式定位!$F$3:$J$38,5,FALSE),"错误")</f>
        <v>2012</v>
      </c>
      <c r="Y442" s="24" t="str">
        <f t="shared" si="98"/>
        <v/>
      </c>
      <c r="Z442" s="34" t="str">
        <f t="shared" si="99"/>
        <v/>
      </c>
      <c r="AA442" s="34" t="str">
        <f t="shared" si="96"/>
        <v/>
      </c>
      <c r="AB442" s="25" t="str">
        <f t="shared" si="100"/>
        <v>9%</v>
      </c>
      <c r="AC442" s="1">
        <f t="shared" si="101"/>
        <v>72</v>
      </c>
      <c r="AD442" s="36">
        <f t="shared" si="97"/>
        <v>2</v>
      </c>
      <c r="AE442" t="str">
        <f t="shared" si="102"/>
        <v/>
      </c>
      <c r="AF442" t="str">
        <f t="shared" si="103"/>
        <v/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 t="str">
        <f>IFERROR(ROUND(L442*(G442/$AU442)/VLOOKUP(F442,商品!$A$4:$C$60,3,FALSE),0),"")</f>
        <v/>
      </c>
      <c r="AM442" t="str">
        <f>IFERROR(ROUND(L442*(I442/$AU442)/VLOOKUP(H442,商品!$A$4:$C$60,3,FALSE),0),"")</f>
        <v/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0</v>
      </c>
      <c r="AV442">
        <f t="shared" si="110"/>
        <v>0</v>
      </c>
      <c r="AW442">
        <f t="shared" si="111"/>
        <v>0</v>
      </c>
    </row>
    <row r="443" spans="1:49" ht="20" customHeight="1" x14ac:dyDescent="0.3">
      <c r="A443" s="18" t="s">
        <v>367</v>
      </c>
      <c r="C443" s="18">
        <v>3</v>
      </c>
      <c r="D443" s="21" t="s">
        <v>240</v>
      </c>
      <c r="E443" s="21" t="s">
        <v>225</v>
      </c>
      <c r="L443" s="18">
        <f>IFERROR(VLOOKUP($D443&amp;$C443,生产方式定位!$A$2:$E$38,2,FALSE)+VLOOKUP($E443&amp;$C443,生产方式定位!$F$3:$J$38,2,FALSE),0)</f>
        <v>2200</v>
      </c>
      <c r="S443" s="18">
        <f>IFERROR(VLOOKUP($D443&amp;$C443,生产方式定位!$A$2:$E$38,3,FALSE)+VLOOKUP($E443&amp;$C443,生产方式定位!$F$3:$J$38,3,FALSE),0)</f>
        <v>120</v>
      </c>
      <c r="X443" s="18">
        <f>IFERROR(VLOOKUP($D443&amp;$C443,生产方式定位!$A$2:$E$38,5,FALSE)+VLOOKUP($E443&amp;$C443,生产方式定位!$F$3:$J$38,5,FALSE),"错误")</f>
        <v>2539</v>
      </c>
      <c r="Y443" s="24" t="str">
        <f t="shared" si="98"/>
        <v/>
      </c>
      <c r="Z443" s="34" t="str">
        <f t="shared" si="99"/>
        <v/>
      </c>
      <c r="AA443" s="34" t="str">
        <f t="shared" si="96"/>
        <v/>
      </c>
      <c r="AB443" s="25" t="str">
        <f t="shared" si="100"/>
        <v>15%</v>
      </c>
      <c r="AC443" s="1">
        <f t="shared" si="101"/>
        <v>219</v>
      </c>
      <c r="AD443" s="36">
        <f t="shared" si="97"/>
        <v>3</v>
      </c>
      <c r="AE443" t="str">
        <f t="shared" si="102"/>
        <v/>
      </c>
      <c r="AF443" t="str">
        <f t="shared" si="103"/>
        <v/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 t="str">
        <f>IFERROR(ROUND(L443*(G443/$AU443)/VLOOKUP(F443,商品!$A$4:$C$60,3,FALSE),0),"")</f>
        <v/>
      </c>
      <c r="AM443" t="str">
        <f>IFERROR(ROUND(L443*(I443/$AU443)/VLOOKUP(H443,商品!$A$4:$C$60,3,FALSE),0),"")</f>
        <v/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0</v>
      </c>
      <c r="AV443">
        <f t="shared" si="110"/>
        <v>0</v>
      </c>
      <c r="AW443">
        <f t="shared" si="111"/>
        <v>0</v>
      </c>
    </row>
    <row r="444" spans="1:49" ht="20" customHeight="1" x14ac:dyDescent="0.3">
      <c r="A444" s="18" t="s">
        <v>367</v>
      </c>
      <c r="C444" s="18">
        <v>4</v>
      </c>
      <c r="D444" s="21" t="s">
        <v>240</v>
      </c>
      <c r="E444" s="21" t="s">
        <v>225</v>
      </c>
      <c r="L444" s="18">
        <f>IFERROR(VLOOKUP($D444&amp;$C444,生产方式定位!$A$2:$E$38,2,FALSE)+VLOOKUP($E444&amp;$C444,生产方式定位!$F$3:$J$38,2,FALSE),0)</f>
        <v>2550</v>
      </c>
      <c r="S444" s="18">
        <f>IFERROR(VLOOKUP($D444&amp;$C444,生产方式定位!$A$2:$E$38,3,FALSE)+VLOOKUP($E444&amp;$C444,生产方式定位!$F$3:$J$38,3,FALSE),0)</f>
        <v>150</v>
      </c>
      <c r="X444" s="18">
        <f>IFERROR(VLOOKUP($D444&amp;$C444,生产方式定位!$A$2:$E$38,5,FALSE)+VLOOKUP($E444&amp;$C444,生产方式定位!$F$3:$J$38,5,FALSE),"错误")</f>
        <v>3115</v>
      </c>
      <c r="Y444" s="24" t="str">
        <f t="shared" si="98"/>
        <v/>
      </c>
      <c r="Z444" s="34" t="str">
        <f t="shared" si="99"/>
        <v/>
      </c>
      <c r="AA444" s="34" t="str">
        <f t="shared" si="96"/>
        <v/>
      </c>
      <c r="AB444" s="25" t="str">
        <f t="shared" si="100"/>
        <v>22%</v>
      </c>
      <c r="AC444" s="1">
        <f t="shared" si="101"/>
        <v>415</v>
      </c>
      <c r="AD444" s="36">
        <f t="shared" si="97"/>
        <v>4</v>
      </c>
      <c r="AE444" t="str">
        <f t="shared" si="102"/>
        <v/>
      </c>
      <c r="AF444" t="str">
        <f t="shared" si="103"/>
        <v/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 t="str">
        <f>IFERROR(ROUND(L444*(G444/$AU444)/VLOOKUP(F444,商品!$A$4:$C$60,3,FALSE),0),"")</f>
        <v/>
      </c>
      <c r="AM444" t="str">
        <f>IFERROR(ROUND(L444*(I444/$AU444)/VLOOKUP(H444,商品!$A$4:$C$60,3,FALSE),0),"")</f>
        <v/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0</v>
      </c>
      <c r="AV444">
        <f t="shared" si="110"/>
        <v>0</v>
      </c>
      <c r="AW444">
        <f t="shared" si="111"/>
        <v>0</v>
      </c>
    </row>
    <row r="445" spans="1:49" ht="20" customHeight="1" x14ac:dyDescent="0.3">
      <c r="A445" s="18" t="s">
        <v>367</v>
      </c>
      <c r="C445" s="18">
        <v>5</v>
      </c>
      <c r="D445" s="21" t="s">
        <v>240</v>
      </c>
      <c r="E445" s="21" t="s">
        <v>225</v>
      </c>
      <c r="L445" s="18">
        <f>IFERROR(VLOOKUP($D445&amp;$C445,生产方式定位!$A$2:$E$38,2,FALSE)+VLOOKUP($E445&amp;$C445,生产方式定位!$F$3:$J$38,2,FALSE),0)</f>
        <v>2900</v>
      </c>
      <c r="S445" s="18">
        <f>IFERROR(VLOOKUP($D445&amp;$C445,生产方式定位!$A$2:$E$38,3,FALSE)+VLOOKUP($E445&amp;$C445,生产方式定位!$F$3:$J$38,3,FALSE),0)</f>
        <v>180</v>
      </c>
      <c r="X445" s="18">
        <f>IFERROR(VLOOKUP($D445&amp;$C445,生产方式定位!$A$2:$E$38,5,FALSE)+VLOOKUP($E445&amp;$C445,生产方式定位!$F$3:$J$38,5,FALSE),"错误")</f>
        <v>3980</v>
      </c>
      <c r="Y445" s="24" t="str">
        <f t="shared" si="98"/>
        <v/>
      </c>
      <c r="Z445" s="34" t="str">
        <f t="shared" si="99"/>
        <v/>
      </c>
      <c r="AA445" s="34" t="str">
        <f t="shared" si="96"/>
        <v/>
      </c>
      <c r="AB445" s="25" t="str">
        <f t="shared" si="100"/>
        <v>37%</v>
      </c>
      <c r="AC445" s="1">
        <f t="shared" si="101"/>
        <v>900</v>
      </c>
      <c r="AD445" s="36">
        <f t="shared" si="97"/>
        <v>5</v>
      </c>
      <c r="AE445" t="str">
        <f t="shared" si="102"/>
        <v/>
      </c>
      <c r="AF445" t="str">
        <f t="shared" si="103"/>
        <v/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 t="str">
        <f>IFERROR(ROUND(L445*(G445/$AU445)/VLOOKUP(F445,商品!$A$4:$C$60,3,FALSE),0),"")</f>
        <v/>
      </c>
      <c r="AM445" t="str">
        <f>IFERROR(ROUND(L445*(I445/$AU445)/VLOOKUP(H445,商品!$A$4:$C$60,3,FALSE),0),"")</f>
        <v/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0</v>
      </c>
      <c r="AV445">
        <f t="shared" si="110"/>
        <v>0</v>
      </c>
      <c r="AW445">
        <f t="shared" si="111"/>
        <v>0</v>
      </c>
    </row>
    <row r="446" spans="1:49" ht="20" customHeight="1" x14ac:dyDescent="0.3">
      <c r="A446" s="5" t="s">
        <v>368</v>
      </c>
      <c r="C446" s="5">
        <v>1</v>
      </c>
      <c r="D446" s="21" t="s">
        <v>292</v>
      </c>
      <c r="E446" s="21" t="s">
        <v>226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20" customHeight="1" x14ac:dyDescent="0.3">
      <c r="A447" s="5" t="s">
        <v>368</v>
      </c>
      <c r="C447" s="5">
        <v>2</v>
      </c>
      <c r="D447" s="21" t="s">
        <v>292</v>
      </c>
      <c r="E447" s="21" t="s">
        <v>226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20" customHeight="1" x14ac:dyDescent="0.3">
      <c r="A448" s="5" t="s">
        <v>368</v>
      </c>
      <c r="C448" s="5">
        <v>3</v>
      </c>
      <c r="D448" s="21" t="s">
        <v>292</v>
      </c>
      <c r="E448" s="21" t="s">
        <v>226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20" customHeight="1" x14ac:dyDescent="0.3">
      <c r="A449" s="5" t="s">
        <v>368</v>
      </c>
      <c r="C449" s="5">
        <v>4</v>
      </c>
      <c r="D449" s="21" t="s">
        <v>292</v>
      </c>
      <c r="E449" s="21" t="s">
        <v>226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20" customHeight="1" x14ac:dyDescent="0.3">
      <c r="A450" s="5" t="s">
        <v>368</v>
      </c>
      <c r="C450" s="5">
        <v>5</v>
      </c>
      <c r="D450" s="21" t="s">
        <v>292</v>
      </c>
      <c r="E450" s="21" t="s">
        <v>226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20" customHeight="1" x14ac:dyDescent="0.3">
      <c r="A451" s="5" t="s">
        <v>368</v>
      </c>
      <c r="C451" s="5">
        <v>6</v>
      </c>
      <c r="D451" s="21" t="s">
        <v>292</v>
      </c>
      <c r="E451" s="21" t="s">
        <v>226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20" customHeight="1" x14ac:dyDescent="0.3">
      <c r="A452" s="5" t="s">
        <v>368</v>
      </c>
      <c r="C452" s="5">
        <v>7</v>
      </c>
      <c r="D452" s="21" t="s">
        <v>292</v>
      </c>
      <c r="E452" s="21" t="s">
        <v>226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20" customHeight="1" x14ac:dyDescent="0.3">
      <c r="A453" s="5" t="s">
        <v>368</v>
      </c>
      <c r="C453" s="5">
        <v>8</v>
      </c>
      <c r="D453" s="21" t="s">
        <v>292</v>
      </c>
      <c r="E453" s="21" t="s">
        <v>226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16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20" customHeight="1" x14ac:dyDescent="0.3">
      <c r="A454" s="18" t="s">
        <v>370</v>
      </c>
      <c r="C454" s="18">
        <v>1</v>
      </c>
      <c r="D454" s="21" t="s">
        <v>240</v>
      </c>
      <c r="E454" s="21" t="s">
        <v>224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40</v>
      </c>
      <c r="X454" s="18">
        <f>IFERROR(VLOOKUP($D454&amp;$C454,生产方式定位!$A$2:$E$38,5,FALSE)+VLOOKUP($E454&amp;$C454,生产方式定位!$F$3:$J$38,5,FALSE),"错误")</f>
        <v>1144</v>
      </c>
      <c r="Y454" s="24" t="str">
        <f t="shared" ref="Y454:Y517" si="114">IF(AE454="","",AE454)&amp;IF(AF454="","",","&amp;AF454)&amp;IF(AN454=0,"",",运力*"&amp;AN454)&amp;IF(AO454=0,"",",交易*"&amp;AO454)</f>
        <v/>
      </c>
      <c r="Z454" s="34" t="str">
        <f t="shared" ref="Z454:Z517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17" si="116">IFERROR(ROUND(((X454/L454)-1)*100,0)&amp;"%","")</f>
        <v>14%</v>
      </c>
      <c r="AC454" s="1">
        <f t="shared" ref="AC454:AC517" si="117">IF(X454-S454-L454=0,"",X454-S454-L454)</f>
        <v>104</v>
      </c>
      <c r="AD454" s="36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spans="1:49" ht="20" customHeight="1" x14ac:dyDescent="0.3">
      <c r="A455" s="18" t="s">
        <v>370</v>
      </c>
      <c r="C455" s="18">
        <v>2</v>
      </c>
      <c r="D455" s="21" t="s">
        <v>240</v>
      </c>
      <c r="E455" s="21" t="s">
        <v>224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50</v>
      </c>
      <c r="X455" s="18">
        <f>IFERROR(VLOOKUP($D455&amp;$C455,生产方式定位!$A$2:$E$38,5,FALSE)+VLOOKUP($E455&amp;$C455,生产方式定位!$F$3:$J$38,5,FALSE),"错误")</f>
        <v>1930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21%</v>
      </c>
      <c r="AC455" s="1">
        <f t="shared" si="117"/>
        <v>280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20" customHeight="1" x14ac:dyDescent="0.3">
      <c r="A456" s="18" t="s">
        <v>370</v>
      </c>
      <c r="C456" s="18">
        <v>3</v>
      </c>
      <c r="D456" s="21" t="s">
        <v>240</v>
      </c>
      <c r="E456" s="21" t="s">
        <v>224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60</v>
      </c>
      <c r="X456" s="18">
        <f>IFERROR(VLOOKUP($D456&amp;$C456,生产方式定位!$A$2:$E$38,5,FALSE)+VLOOKUP($E456&amp;$C456,生产方式定位!$F$3:$J$38,5,FALSE),"错误")</f>
        <v>2326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27%</v>
      </c>
      <c r="AC456" s="1">
        <f t="shared" si="117"/>
        <v>441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20" customHeight="1" x14ac:dyDescent="0.3">
      <c r="A457" s="18" t="s">
        <v>370</v>
      </c>
      <c r="C457" s="18">
        <v>4</v>
      </c>
      <c r="D457" s="21" t="s">
        <v>240</v>
      </c>
      <c r="E457" s="21" t="s">
        <v>224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70</v>
      </c>
      <c r="X457" s="18">
        <f>IFERROR(VLOOKUP($D457&amp;$C457,生产方式定位!$A$2:$E$38,5,FALSE)+VLOOKUP($E457&amp;$C457,生产方式定位!$F$3:$J$38,5,FALSE),"错误")</f>
        <v>2743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34%</v>
      </c>
      <c r="AC457" s="1">
        <f t="shared" si="117"/>
        <v>623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20" customHeight="1" x14ac:dyDescent="0.3">
      <c r="A458" s="18" t="s">
        <v>370</v>
      </c>
      <c r="C458" s="18">
        <v>5</v>
      </c>
      <c r="D458" s="21" t="s">
        <v>240</v>
      </c>
      <c r="E458" s="21" t="s">
        <v>224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80</v>
      </c>
      <c r="X458" s="18">
        <f>IFERROR(VLOOKUP($D458&amp;$C458,生产方式定位!$A$2:$E$38,5,FALSE)+VLOOKUP($E458&amp;$C458,生产方式定位!$F$3:$J$38,5,FALSE),"错误")</f>
        <v>3183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40%</v>
      </c>
      <c r="AC458" s="1">
        <f t="shared" si="117"/>
        <v>828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20" customHeight="1" x14ac:dyDescent="0.3">
      <c r="A459" s="5" t="s">
        <v>371</v>
      </c>
      <c r="C459" s="5">
        <v>1</v>
      </c>
      <c r="D459" s="21" t="s">
        <v>240</v>
      </c>
      <c r="E459" s="21" t="s">
        <v>230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40</v>
      </c>
      <c r="X459" s="5">
        <f>IFERROR(VLOOKUP($D459&amp;$C459,生产方式定位!$A$2:$E$38,5,FALSE)+VLOOKUP($E459&amp;$C459,生产方式定位!$F$3:$J$38,5,FALSE),"错误")</f>
        <v>1144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14%</v>
      </c>
      <c r="AC459" s="1">
        <f t="shared" si="117"/>
        <v>104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20" customHeight="1" x14ac:dyDescent="0.3">
      <c r="A460" s="5" t="s">
        <v>371</v>
      </c>
      <c r="C460" s="5">
        <v>2</v>
      </c>
      <c r="D460" s="21" t="s">
        <v>240</v>
      </c>
      <c r="E460" s="21" t="s">
        <v>230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60</v>
      </c>
      <c r="X460" s="5">
        <f>IFERROR(VLOOKUP($D460&amp;$C460,生产方式定位!$A$2:$E$38,5,FALSE)+VLOOKUP($E460&amp;$C460,生产方式定位!$F$3:$J$38,5,FALSE),"错误")</f>
        <v>1831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22%</v>
      </c>
      <c r="AC460" s="1">
        <f t="shared" si="117"/>
        <v>271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20" customHeight="1" x14ac:dyDescent="0.3">
      <c r="A461" s="5" t="s">
        <v>371</v>
      </c>
      <c r="C461" s="5">
        <v>3</v>
      </c>
      <c r="D461" s="21" t="s">
        <v>240</v>
      </c>
      <c r="E461" s="21" t="s">
        <v>230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75</v>
      </c>
      <c r="X461" s="5">
        <f>IFERROR(VLOOKUP($D461&amp;$C461,生产方式定位!$A$2:$E$38,5,FALSE)+VLOOKUP($E461&amp;$C461,生产方式定位!$F$3:$J$38,5,FALSE),"错误")</f>
        <v>2205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30%</v>
      </c>
      <c r="AC461" s="1">
        <f t="shared" si="117"/>
        <v>430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20" customHeight="1" x14ac:dyDescent="0.3">
      <c r="A462" s="5" t="s">
        <v>371</v>
      </c>
      <c r="C462" s="5">
        <v>4</v>
      </c>
      <c r="D462" s="21" t="s">
        <v>240</v>
      </c>
      <c r="E462" s="21" t="s">
        <v>230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90</v>
      </c>
      <c r="X462" s="5">
        <f>IFERROR(VLOOKUP($D462&amp;$C462,生产方式定位!$A$2:$E$38,5,FALSE)+VLOOKUP($E462&amp;$C462,生产方式定位!$F$3:$J$38,5,FALSE),"错误")</f>
        <v>2600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37%</v>
      </c>
      <c r="AC462" s="1">
        <f t="shared" si="117"/>
        <v>610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20" customHeight="1" x14ac:dyDescent="0.3">
      <c r="A463" s="5" t="s">
        <v>371</v>
      </c>
      <c r="C463" s="5">
        <v>5</v>
      </c>
      <c r="D463" s="21" t="s">
        <v>240</v>
      </c>
      <c r="E463" s="21" t="s">
        <v>230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105</v>
      </c>
      <c r="X463" s="5">
        <f>IFERROR(VLOOKUP($D463&amp;$C463,生产方式定位!$A$2:$E$38,5,FALSE)+VLOOKUP($E463&amp;$C463,生产方式定位!$F$3:$J$38,5,FALSE),"错误")</f>
        <v>3018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44%</v>
      </c>
      <c r="AC463" s="1">
        <f t="shared" si="117"/>
        <v>813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20" customHeight="1" x14ac:dyDescent="0.3">
      <c r="A464" s="18" t="s">
        <v>372</v>
      </c>
      <c r="C464" s="18">
        <v>1</v>
      </c>
      <c r="D464" s="21" t="s">
        <v>240</v>
      </c>
      <c r="E464" s="21" t="s">
        <v>225</v>
      </c>
      <c r="L464" s="18">
        <f>IFERROR(VLOOKUP($D464&amp;$C464,生产方式定位!$A$2:$E$38,2,FALSE)+VLOOKUP($E464&amp;$C464,生产方式定位!$F$3:$J$38,2,FALSE),0)</f>
        <v>1000</v>
      </c>
      <c r="S464" s="18">
        <f>IFERROR(VLOOKUP($D464&amp;$C464,生产方式定位!$A$2:$E$38,3,FALSE)+VLOOKUP($E464&amp;$C464,生产方式定位!$F$3:$J$38,3,FALSE),0)</f>
        <v>40</v>
      </c>
      <c r="X464" s="18">
        <f>IFERROR(VLOOKUP($D464&amp;$C464,生产方式定位!$A$2:$E$38,5,FALSE)+VLOOKUP($E464&amp;$C464,生产方式定位!$F$3:$J$38,5,FALSE),"错误")</f>
        <v>1144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>14%</v>
      </c>
      <c r="AC464" s="1">
        <f t="shared" si="117"/>
        <v>104</v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20" customHeight="1" x14ac:dyDescent="0.3">
      <c r="A465" s="18" t="s">
        <v>372</v>
      </c>
      <c r="C465" s="18">
        <v>2</v>
      </c>
      <c r="D465" s="21" t="s">
        <v>240</v>
      </c>
      <c r="E465" s="21" t="s">
        <v>225</v>
      </c>
      <c r="L465" s="18">
        <f>IFERROR(VLOOKUP($D465&amp;$C465,生产方式定位!$A$2:$E$38,2,FALSE)+VLOOKUP($E465&amp;$C465,生产方式定位!$F$3:$J$38,2,FALSE),0)</f>
        <v>1850</v>
      </c>
      <c r="S465" s="18">
        <f>IFERROR(VLOOKUP($D465&amp;$C465,生产方式定位!$A$2:$E$38,3,FALSE)+VLOOKUP($E465&amp;$C465,生产方式定位!$F$3:$J$38,3,FALSE),0)</f>
        <v>90</v>
      </c>
      <c r="X465" s="18">
        <f>IFERROR(VLOOKUP($D465&amp;$C465,生产方式定位!$A$2:$E$38,5,FALSE)+VLOOKUP($E465&amp;$C465,生产方式定位!$F$3:$J$38,5,FALSE),"错误")</f>
        <v>2012</v>
      </c>
      <c r="Y465" s="24" t="str">
        <f t="shared" si="114"/>
        <v/>
      </c>
      <c r="Z465" s="34" t="str">
        <f t="shared" si="115"/>
        <v/>
      </c>
      <c r="AA465" s="34" t="str">
        <f t="shared" si="112"/>
        <v/>
      </c>
      <c r="AB465" s="25" t="str">
        <f t="shared" si="116"/>
        <v>9%</v>
      </c>
      <c r="AC465" s="1">
        <f t="shared" si="117"/>
        <v>72</v>
      </c>
      <c r="AD465" s="36">
        <f t="shared" si="113"/>
        <v>2</v>
      </c>
      <c r="AE465" t="str">
        <f t="shared" si="118"/>
        <v/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 t="str">
        <f>IFERROR(ROUND(L465*(G465/$AU465)/VLOOKUP(F465,商品!$A$4:$C$60,3,FALSE),0),"")</f>
        <v/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0</v>
      </c>
      <c r="AV465">
        <f t="shared" si="126"/>
        <v>0</v>
      </c>
      <c r="AW465">
        <f t="shared" si="127"/>
        <v>0</v>
      </c>
    </row>
    <row r="466" spans="1:49" ht="20" customHeight="1" x14ac:dyDescent="0.3">
      <c r="A466" s="18" t="s">
        <v>372</v>
      </c>
      <c r="C466" s="18">
        <v>3</v>
      </c>
      <c r="D466" s="21" t="s">
        <v>240</v>
      </c>
      <c r="E466" s="21" t="s">
        <v>225</v>
      </c>
      <c r="L466" s="18">
        <f>IFERROR(VLOOKUP($D466&amp;$C466,生产方式定位!$A$2:$E$38,2,FALSE)+VLOOKUP($E466&amp;$C466,生产方式定位!$F$3:$J$38,2,FALSE),0)</f>
        <v>2200</v>
      </c>
      <c r="S466" s="18">
        <f>IFERROR(VLOOKUP($D466&amp;$C466,生产方式定位!$A$2:$E$38,3,FALSE)+VLOOKUP($E466&amp;$C466,生产方式定位!$F$3:$J$38,3,FALSE),0)</f>
        <v>120</v>
      </c>
      <c r="X466" s="18">
        <f>IFERROR(VLOOKUP($D466&amp;$C466,生产方式定位!$A$2:$E$38,5,FALSE)+VLOOKUP($E466&amp;$C466,生产方式定位!$F$3:$J$38,5,FALSE),"错误")</f>
        <v>2539</v>
      </c>
      <c r="Y466" s="24" t="str">
        <f t="shared" si="114"/>
        <v/>
      </c>
      <c r="Z466" s="34" t="str">
        <f t="shared" si="115"/>
        <v/>
      </c>
      <c r="AA466" s="34" t="str">
        <f t="shared" si="112"/>
        <v/>
      </c>
      <c r="AB466" s="25" t="str">
        <f t="shared" si="116"/>
        <v>15%</v>
      </c>
      <c r="AC466" s="1">
        <f t="shared" si="117"/>
        <v>219</v>
      </c>
      <c r="AD466" s="36">
        <f t="shared" si="113"/>
        <v>3</v>
      </c>
      <c r="AE466" t="str">
        <f t="shared" si="118"/>
        <v/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 t="str">
        <f>IFERROR(ROUND(L466*(G466/$AU466)/VLOOKUP(F466,商品!$A$4:$C$60,3,FALSE),0),"")</f>
        <v/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0</v>
      </c>
      <c r="AV466">
        <f t="shared" si="126"/>
        <v>0</v>
      </c>
      <c r="AW466">
        <f t="shared" si="127"/>
        <v>0</v>
      </c>
    </row>
    <row r="467" spans="1:49" ht="20" customHeight="1" x14ac:dyDescent="0.3">
      <c r="A467" s="18" t="s">
        <v>372</v>
      </c>
      <c r="C467" s="18">
        <v>4</v>
      </c>
      <c r="D467" s="21" t="s">
        <v>240</v>
      </c>
      <c r="E467" s="21" t="s">
        <v>225</v>
      </c>
      <c r="L467" s="18">
        <f>IFERROR(VLOOKUP($D467&amp;$C467,生产方式定位!$A$2:$E$38,2,FALSE)+VLOOKUP($E467&amp;$C467,生产方式定位!$F$3:$J$38,2,FALSE),0)</f>
        <v>2550</v>
      </c>
      <c r="S467" s="18">
        <f>IFERROR(VLOOKUP($D467&amp;$C467,生产方式定位!$A$2:$E$38,3,FALSE)+VLOOKUP($E467&amp;$C467,生产方式定位!$F$3:$J$38,3,FALSE),0)</f>
        <v>150</v>
      </c>
      <c r="X467" s="18">
        <f>IFERROR(VLOOKUP($D467&amp;$C467,生产方式定位!$A$2:$E$38,5,FALSE)+VLOOKUP($E467&amp;$C467,生产方式定位!$F$3:$J$38,5,FALSE),"错误")</f>
        <v>3115</v>
      </c>
      <c r="Y467" s="24" t="str">
        <f t="shared" si="114"/>
        <v/>
      </c>
      <c r="Z467" s="34" t="str">
        <f t="shared" si="115"/>
        <v/>
      </c>
      <c r="AA467" s="34" t="str">
        <f t="shared" si="112"/>
        <v/>
      </c>
      <c r="AB467" s="25" t="str">
        <f t="shared" si="116"/>
        <v>22%</v>
      </c>
      <c r="AC467" s="1">
        <f t="shared" si="117"/>
        <v>415</v>
      </c>
      <c r="AD467" s="36">
        <f t="shared" si="113"/>
        <v>4</v>
      </c>
      <c r="AE467" t="str">
        <f t="shared" si="118"/>
        <v/>
      </c>
      <c r="AF467" t="str">
        <f t="shared" si="119"/>
        <v/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 t="str">
        <f>IFERROR(ROUND(L467*(G467/$AU467)/VLOOKUP(F467,商品!$A$4:$C$60,3,FALSE),0),"")</f>
        <v/>
      </c>
      <c r="AM467" t="str">
        <f>IFERROR(ROUND(L467*(I467/$AU467)/VLOOKUP(H467,商品!$A$4:$C$60,3,FALSE),0),"")</f>
        <v/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0</v>
      </c>
      <c r="AV467">
        <f t="shared" si="126"/>
        <v>0</v>
      </c>
      <c r="AW467">
        <f t="shared" si="127"/>
        <v>0</v>
      </c>
    </row>
    <row r="468" spans="1:49" ht="20" customHeight="1" x14ac:dyDescent="0.3">
      <c r="A468" s="18" t="s">
        <v>372</v>
      </c>
      <c r="C468" s="18">
        <v>5</v>
      </c>
      <c r="D468" s="21" t="s">
        <v>240</v>
      </c>
      <c r="E468" s="21" t="s">
        <v>225</v>
      </c>
      <c r="L468" s="18">
        <f>IFERROR(VLOOKUP($D468&amp;$C468,生产方式定位!$A$2:$E$38,2,FALSE)+VLOOKUP($E468&amp;$C468,生产方式定位!$F$3:$J$38,2,FALSE),0)</f>
        <v>2900</v>
      </c>
      <c r="S468" s="18">
        <f>IFERROR(VLOOKUP($D468&amp;$C468,生产方式定位!$A$2:$E$38,3,FALSE)+VLOOKUP($E468&amp;$C468,生产方式定位!$F$3:$J$38,3,FALSE),0)</f>
        <v>180</v>
      </c>
      <c r="X468" s="18">
        <f>IFERROR(VLOOKUP($D468&amp;$C468,生产方式定位!$A$2:$E$38,5,FALSE)+VLOOKUP($E468&amp;$C468,生产方式定位!$F$3:$J$38,5,FALSE),"错误")</f>
        <v>3980</v>
      </c>
      <c r="Y468" s="24" t="str">
        <f t="shared" si="114"/>
        <v/>
      </c>
      <c r="Z468" s="34" t="str">
        <f t="shared" si="115"/>
        <v/>
      </c>
      <c r="AA468" s="34" t="str">
        <f t="shared" si="112"/>
        <v/>
      </c>
      <c r="AB468" s="25" t="str">
        <f t="shared" si="116"/>
        <v>37%</v>
      </c>
      <c r="AC468" s="1">
        <f t="shared" si="117"/>
        <v>900</v>
      </c>
      <c r="AD468" s="36">
        <f t="shared" si="113"/>
        <v>5</v>
      </c>
      <c r="AE468" t="str">
        <f t="shared" si="118"/>
        <v/>
      </c>
      <c r="AF468" t="str">
        <f t="shared" si="119"/>
        <v/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 t="str">
        <f>IFERROR(ROUND(L468*(G468/$AU468)/VLOOKUP(F468,商品!$A$4:$C$60,3,FALSE),0),"")</f>
        <v/>
      </c>
      <c r="AM468" t="str">
        <f>IFERROR(ROUND(L468*(I468/$AU468)/VLOOKUP(H468,商品!$A$4:$C$60,3,FALSE),0),"")</f>
        <v/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0</v>
      </c>
      <c r="AV468">
        <f t="shared" si="126"/>
        <v>0</v>
      </c>
      <c r="AW468">
        <f t="shared" si="127"/>
        <v>0</v>
      </c>
    </row>
    <row r="469" spans="1:49" ht="20" customHeight="1" x14ac:dyDescent="0.3">
      <c r="A469" s="5" t="s">
        <v>372</v>
      </c>
      <c r="C469" s="5">
        <v>1</v>
      </c>
      <c r="D469" s="21" t="s">
        <v>240</v>
      </c>
      <c r="E469" s="21" t="s">
        <v>225</v>
      </c>
      <c r="L469" s="5">
        <f>IFERROR(VLOOKUP($D469&amp;$C469,生产方式定位!$A$2:$E$38,2,FALSE)+VLOOKUP($E469&amp;$C469,生产方式定位!$F$3:$J$38,2,FALSE),0)</f>
        <v>1000</v>
      </c>
      <c r="S469" s="5">
        <f>IFERROR(VLOOKUP($D469&amp;$C469,生产方式定位!$A$2:$E$38,3,FALSE)+VLOOKUP($E469&amp;$C469,生产方式定位!$F$3:$J$38,3,FALSE),0)</f>
        <v>40</v>
      </c>
      <c r="X469" s="5">
        <f>IFERROR(VLOOKUP($D469&amp;$C469,生产方式定位!$A$2:$E$38,5,FALSE)+VLOOKUP($E469&amp;$C469,生产方式定位!$F$3:$J$38,5,FALSE),"错误")</f>
        <v>1144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>14%</v>
      </c>
      <c r="AC469" s="1">
        <f t="shared" si="117"/>
        <v>104</v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20" customHeight="1" x14ac:dyDescent="0.3">
      <c r="A470" s="5" t="s">
        <v>372</v>
      </c>
      <c r="C470" s="5">
        <v>2</v>
      </c>
      <c r="D470" s="21" t="s">
        <v>240</v>
      </c>
      <c r="E470" s="21" t="s">
        <v>225</v>
      </c>
      <c r="L470" s="5">
        <f>IFERROR(VLOOKUP($D470&amp;$C470,生产方式定位!$A$2:$E$38,2,FALSE)+VLOOKUP($E470&amp;$C470,生产方式定位!$F$3:$J$38,2,FALSE),0)</f>
        <v>1850</v>
      </c>
      <c r="S470" s="5">
        <f>IFERROR(VLOOKUP($D470&amp;$C470,生产方式定位!$A$2:$E$38,3,FALSE)+VLOOKUP($E470&amp;$C470,生产方式定位!$F$3:$J$38,3,FALSE),0)</f>
        <v>90</v>
      </c>
      <c r="X470" s="5">
        <f>IFERROR(VLOOKUP($D470&amp;$C470,生产方式定位!$A$2:$E$38,5,FALSE)+VLOOKUP($E470&amp;$C470,生产方式定位!$F$3:$J$38,5,FALSE),"错误")</f>
        <v>2012</v>
      </c>
      <c r="Y470" s="24" t="str">
        <f t="shared" si="114"/>
        <v/>
      </c>
      <c r="Z470" s="34" t="str">
        <f t="shared" si="115"/>
        <v/>
      </c>
      <c r="AA470" s="34" t="str">
        <f t="shared" si="112"/>
        <v/>
      </c>
      <c r="AB470" s="25" t="str">
        <f t="shared" si="116"/>
        <v>9%</v>
      </c>
      <c r="AC470" s="1">
        <f t="shared" si="117"/>
        <v>72</v>
      </c>
      <c r="AD470" s="35">
        <f t="shared" si="113"/>
        <v>2</v>
      </c>
      <c r="AE470" t="str">
        <f t="shared" si="118"/>
        <v/>
      </c>
      <c r="AF470" t="str">
        <f t="shared" si="119"/>
        <v/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 t="str">
        <f>IFERROR(ROUND(L470*(G470/$AU470)/VLOOKUP(F470,商品!$A$4:$C$60,3,FALSE),0),"")</f>
        <v/>
      </c>
      <c r="AM470" t="str">
        <f>IFERROR(ROUND(L470*(I470/$AU470)/VLOOKUP(H470,商品!$A$4:$C$60,3,FALSE),0),"")</f>
        <v/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0</v>
      </c>
      <c r="AV470">
        <f t="shared" si="126"/>
        <v>0</v>
      </c>
      <c r="AW470">
        <f t="shared" si="127"/>
        <v>0</v>
      </c>
    </row>
    <row r="471" spans="1:49" ht="20" customHeight="1" x14ac:dyDescent="0.3">
      <c r="A471" s="5" t="s">
        <v>372</v>
      </c>
      <c r="C471" s="5">
        <v>3</v>
      </c>
      <c r="D471" s="21" t="s">
        <v>240</v>
      </c>
      <c r="E471" s="21" t="s">
        <v>225</v>
      </c>
      <c r="L471" s="5">
        <f>IFERROR(VLOOKUP($D471&amp;$C471,生产方式定位!$A$2:$E$38,2,FALSE)+VLOOKUP($E471&amp;$C471,生产方式定位!$F$3:$J$38,2,FALSE),0)</f>
        <v>2200</v>
      </c>
      <c r="S471" s="5">
        <f>IFERROR(VLOOKUP($D471&amp;$C471,生产方式定位!$A$2:$E$38,3,FALSE)+VLOOKUP($E471&amp;$C471,生产方式定位!$F$3:$J$38,3,FALSE),0)</f>
        <v>120</v>
      </c>
      <c r="X471" s="5">
        <f>IFERROR(VLOOKUP($D471&amp;$C471,生产方式定位!$A$2:$E$38,5,FALSE)+VLOOKUP($E471&amp;$C471,生产方式定位!$F$3:$J$38,5,FALSE),"错误")</f>
        <v>2539</v>
      </c>
      <c r="Y471" s="24" t="str">
        <f t="shared" si="114"/>
        <v/>
      </c>
      <c r="Z471" s="34" t="str">
        <f t="shared" si="115"/>
        <v/>
      </c>
      <c r="AA471" s="34" t="str">
        <f t="shared" si="112"/>
        <v/>
      </c>
      <c r="AB471" s="25" t="str">
        <f t="shared" si="116"/>
        <v>15%</v>
      </c>
      <c r="AC471" s="1">
        <f t="shared" si="117"/>
        <v>219</v>
      </c>
      <c r="AD471" s="35">
        <f t="shared" si="113"/>
        <v>3</v>
      </c>
      <c r="AE471" t="str">
        <f t="shared" si="118"/>
        <v/>
      </c>
      <c r="AF471" t="str">
        <f t="shared" si="119"/>
        <v/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 t="str">
        <f>IFERROR(ROUND(L471*(G471/$AU471)/VLOOKUP(F471,商品!$A$4:$C$60,3,FALSE),0),"")</f>
        <v/>
      </c>
      <c r="AM471" t="str">
        <f>IFERROR(ROUND(L471*(I471/$AU471)/VLOOKUP(H471,商品!$A$4:$C$60,3,FALSE),0),"")</f>
        <v/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0</v>
      </c>
      <c r="AV471">
        <f t="shared" si="126"/>
        <v>0</v>
      </c>
      <c r="AW471">
        <f t="shared" si="127"/>
        <v>0</v>
      </c>
    </row>
    <row r="472" spans="1:49" ht="20" customHeight="1" x14ac:dyDescent="0.3">
      <c r="A472" s="5" t="s">
        <v>372</v>
      </c>
      <c r="C472" s="5">
        <v>4</v>
      </c>
      <c r="D472" s="21" t="s">
        <v>240</v>
      </c>
      <c r="E472" s="21" t="s">
        <v>225</v>
      </c>
      <c r="L472" s="5">
        <f>IFERROR(VLOOKUP($D472&amp;$C472,生产方式定位!$A$2:$E$38,2,FALSE)+VLOOKUP($E472&amp;$C472,生产方式定位!$F$3:$J$38,2,FALSE),0)</f>
        <v>2550</v>
      </c>
      <c r="S472" s="5">
        <f>IFERROR(VLOOKUP($D472&amp;$C472,生产方式定位!$A$2:$E$38,3,FALSE)+VLOOKUP($E472&amp;$C472,生产方式定位!$F$3:$J$38,3,FALSE),0)</f>
        <v>150</v>
      </c>
      <c r="X472" s="5">
        <f>IFERROR(VLOOKUP($D472&amp;$C472,生产方式定位!$A$2:$E$38,5,FALSE)+VLOOKUP($E472&amp;$C472,生产方式定位!$F$3:$J$38,5,FALSE),"错误")</f>
        <v>3115</v>
      </c>
      <c r="Y472" s="24" t="str">
        <f t="shared" si="114"/>
        <v/>
      </c>
      <c r="Z472" s="34" t="str">
        <f t="shared" si="115"/>
        <v/>
      </c>
      <c r="AA472" s="34" t="str">
        <f t="shared" si="112"/>
        <v/>
      </c>
      <c r="AB472" s="25" t="str">
        <f t="shared" si="116"/>
        <v>22%</v>
      </c>
      <c r="AC472" s="1">
        <f t="shared" si="117"/>
        <v>415</v>
      </c>
      <c r="AD472" s="35">
        <f t="shared" si="113"/>
        <v>4</v>
      </c>
      <c r="AE472" t="str">
        <f t="shared" si="118"/>
        <v/>
      </c>
      <c r="AF472" t="str">
        <f t="shared" si="119"/>
        <v/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 t="str">
        <f>IFERROR(ROUND(L472*(G472/$AU472)/VLOOKUP(F472,商品!$A$4:$C$60,3,FALSE),0),"")</f>
        <v/>
      </c>
      <c r="AM472" t="str">
        <f>IFERROR(ROUND(L472*(I472/$AU472)/VLOOKUP(H472,商品!$A$4:$C$60,3,FALSE),0),"")</f>
        <v/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0</v>
      </c>
      <c r="AV472">
        <f t="shared" si="126"/>
        <v>0</v>
      </c>
      <c r="AW472">
        <f t="shared" si="127"/>
        <v>0</v>
      </c>
    </row>
    <row r="473" spans="1:49" ht="20" customHeight="1" x14ac:dyDescent="0.3">
      <c r="A473" s="5" t="s">
        <v>372</v>
      </c>
      <c r="C473" s="5">
        <v>5</v>
      </c>
      <c r="D473" s="21" t="s">
        <v>240</v>
      </c>
      <c r="E473" s="21" t="s">
        <v>225</v>
      </c>
      <c r="L473" s="5">
        <f>IFERROR(VLOOKUP($D473&amp;$C473,生产方式定位!$A$2:$E$38,2,FALSE)+VLOOKUP($E473&amp;$C473,生产方式定位!$F$3:$J$38,2,FALSE),0)</f>
        <v>2900</v>
      </c>
      <c r="S473" s="5">
        <f>IFERROR(VLOOKUP($D473&amp;$C473,生产方式定位!$A$2:$E$38,3,FALSE)+VLOOKUP($E473&amp;$C473,生产方式定位!$F$3:$J$38,3,FALSE),0)</f>
        <v>180</v>
      </c>
      <c r="X473" s="5">
        <f>IFERROR(VLOOKUP($D473&amp;$C473,生产方式定位!$A$2:$E$38,5,FALSE)+VLOOKUP($E473&amp;$C473,生产方式定位!$F$3:$J$38,5,FALSE),"错误")</f>
        <v>3980</v>
      </c>
      <c r="Y473" s="24" t="str">
        <f t="shared" si="114"/>
        <v/>
      </c>
      <c r="Z473" s="34" t="str">
        <f t="shared" si="115"/>
        <v/>
      </c>
      <c r="AA473" s="34" t="str">
        <f t="shared" si="112"/>
        <v/>
      </c>
      <c r="AB473" s="25" t="str">
        <f t="shared" si="116"/>
        <v>37%</v>
      </c>
      <c r="AC473" s="1">
        <f t="shared" si="117"/>
        <v>900</v>
      </c>
      <c r="AD473" s="35">
        <f t="shared" si="113"/>
        <v>5</v>
      </c>
      <c r="AE473" t="str">
        <f t="shared" si="118"/>
        <v/>
      </c>
      <c r="AF473" t="str">
        <f t="shared" si="119"/>
        <v/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 t="str">
        <f>IFERROR(ROUND(L473*(G473/$AU473)/VLOOKUP(F473,商品!$A$4:$C$60,3,FALSE),0),"")</f>
        <v/>
      </c>
      <c r="AM473" t="str">
        <f>IFERROR(ROUND(L473*(I473/$AU473)/VLOOKUP(H473,商品!$A$4:$C$60,3,FALSE),0),"")</f>
        <v/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0</v>
      </c>
      <c r="AV473">
        <f t="shared" si="126"/>
        <v>0</v>
      </c>
      <c r="AW473">
        <f t="shared" si="127"/>
        <v>0</v>
      </c>
    </row>
    <row r="474" spans="1:49" ht="20" customHeight="1" x14ac:dyDescent="0.3">
      <c r="A474" s="18" t="s">
        <v>373</v>
      </c>
      <c r="C474" s="18">
        <v>1</v>
      </c>
      <c r="D474" s="21" t="s">
        <v>292</v>
      </c>
      <c r="E474" s="21" t="s">
        <v>226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20" customHeight="1" x14ac:dyDescent="0.3">
      <c r="A475" s="18" t="s">
        <v>373</v>
      </c>
      <c r="C475" s="18">
        <v>2</v>
      </c>
      <c r="D475" s="21" t="s">
        <v>292</v>
      </c>
      <c r="E475" s="21" t="s">
        <v>226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20" customHeight="1" x14ac:dyDescent="0.3">
      <c r="A476" s="18" t="s">
        <v>373</v>
      </c>
      <c r="C476" s="18">
        <v>3</v>
      </c>
      <c r="D476" s="21" t="s">
        <v>292</v>
      </c>
      <c r="E476" s="21" t="s">
        <v>226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20" customHeight="1" x14ac:dyDescent="0.3">
      <c r="A477" s="18" t="s">
        <v>373</v>
      </c>
      <c r="C477" s="18">
        <v>4</v>
      </c>
      <c r="D477" s="21" t="s">
        <v>292</v>
      </c>
      <c r="E477" s="21" t="s">
        <v>226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20" customHeight="1" x14ac:dyDescent="0.3">
      <c r="A478" s="18" t="s">
        <v>373</v>
      </c>
      <c r="C478" s="18">
        <v>5</v>
      </c>
      <c r="D478" s="21" t="s">
        <v>292</v>
      </c>
      <c r="E478" s="21" t="s">
        <v>226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20" customHeight="1" x14ac:dyDescent="0.3">
      <c r="A479" s="18" t="s">
        <v>373</v>
      </c>
      <c r="C479" s="18">
        <v>6</v>
      </c>
      <c r="D479" s="21" t="s">
        <v>292</v>
      </c>
      <c r="E479" s="21" t="s">
        <v>226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20" customHeight="1" x14ac:dyDescent="0.3">
      <c r="A480" s="18" t="s">
        <v>373</v>
      </c>
      <c r="C480" s="18">
        <v>7</v>
      </c>
      <c r="D480" s="21" t="s">
        <v>292</v>
      </c>
      <c r="E480" s="21" t="s">
        <v>226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20" customHeight="1" x14ac:dyDescent="0.3">
      <c r="A481" s="18" t="s">
        <v>373</v>
      </c>
      <c r="C481" s="18">
        <v>8</v>
      </c>
      <c r="D481" s="21" t="s">
        <v>292</v>
      </c>
      <c r="E481" s="21" t="s">
        <v>226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20" customHeight="1" x14ac:dyDescent="0.3">
      <c r="A482" s="5" t="s">
        <v>375</v>
      </c>
      <c r="C482" s="5">
        <v>1</v>
      </c>
      <c r="D482" s="21" t="s">
        <v>249</v>
      </c>
      <c r="E482" s="21" t="s">
        <v>224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2310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16%</v>
      </c>
      <c r="AC482" s="1">
        <f t="shared" si="117"/>
        <v>210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20" customHeight="1" x14ac:dyDescent="0.3">
      <c r="A483" s="5" t="s">
        <v>375</v>
      </c>
      <c r="C483" s="5">
        <v>2</v>
      </c>
      <c r="D483" s="21" t="s">
        <v>249</v>
      </c>
      <c r="E483" s="21" t="s">
        <v>224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90</v>
      </c>
      <c r="X483" s="5">
        <f>IFERROR(VLOOKUP($D483&amp;$C483,生产方式定位!$A$2:$E$38,5,FALSE)+VLOOKUP($E483&amp;$C483,生产方式定位!$F$3:$J$38,5,FALSE),"错误")</f>
        <v>3289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13%</v>
      </c>
      <c r="AC483" s="1">
        <f t="shared" si="117"/>
        <v>299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20" customHeight="1" x14ac:dyDescent="0.3">
      <c r="A484" s="5" t="s">
        <v>375</v>
      </c>
      <c r="C484" s="5">
        <v>3</v>
      </c>
      <c r="D484" s="21" t="s">
        <v>249</v>
      </c>
      <c r="E484" s="21" t="s">
        <v>224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80</v>
      </c>
      <c r="X484" s="5">
        <f>IFERROR(VLOOKUP($D484&amp;$C484,生产方式定位!$A$2:$E$38,5,FALSE)+VLOOKUP($E484&amp;$C484,生产方式定位!$F$3:$J$38,5,FALSE),"错误")</f>
        <v>3856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13%</v>
      </c>
      <c r="AC484" s="1">
        <f t="shared" si="117"/>
        <v>351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20" customHeight="1" x14ac:dyDescent="0.3">
      <c r="A485" s="5" t="s">
        <v>375</v>
      </c>
      <c r="C485" s="5">
        <v>4</v>
      </c>
      <c r="D485" s="21" t="s">
        <v>249</v>
      </c>
      <c r="E485" s="21" t="s">
        <v>224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70</v>
      </c>
      <c r="X485" s="5">
        <f>IFERROR(VLOOKUP($D485&amp;$C485,生产方式定位!$A$2:$E$38,5,FALSE)+VLOOKUP($E485&amp;$C485,生产方式定位!$F$3:$J$38,5,FALSE),"错误")</f>
        <v>4422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12%</v>
      </c>
      <c r="AC485" s="1">
        <f t="shared" si="117"/>
        <v>402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20" customHeight="1" x14ac:dyDescent="0.3">
      <c r="A486" s="5" t="s">
        <v>375</v>
      </c>
      <c r="C486" s="5">
        <v>5</v>
      </c>
      <c r="D486" s="21" t="s">
        <v>249</v>
      </c>
      <c r="E486" s="21" t="s">
        <v>224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60</v>
      </c>
      <c r="X486" s="5">
        <f>IFERROR(VLOOKUP($D486&amp;$C486,生产方式定位!$A$2:$E$38,5,FALSE)+VLOOKUP($E486&amp;$C486,生产方式定位!$F$3:$J$38,5,FALSE),"错误")</f>
        <v>4989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11%</v>
      </c>
      <c r="AC486" s="1">
        <f t="shared" si="117"/>
        <v>454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20" customHeight="1" x14ac:dyDescent="0.3">
      <c r="A487" s="18" t="s">
        <v>376</v>
      </c>
      <c r="C487" s="18">
        <v>1</v>
      </c>
      <c r="D487" s="21" t="s">
        <v>292</v>
      </c>
      <c r="E487" s="21" t="s">
        <v>226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4" t="str">
        <f t="shared" si="114"/>
        <v/>
      </c>
      <c r="Z487" s="34" t="str">
        <f t="shared" si="115"/>
        <v/>
      </c>
      <c r="AA487" s="34" t="str">
        <f t="shared" si="112"/>
        <v/>
      </c>
      <c r="AB487" s="25" t="str">
        <f t="shared" si="116"/>
        <v/>
      </c>
      <c r="AC487" s="1" t="str">
        <f t="shared" si="117"/>
        <v/>
      </c>
      <c r="AD487" s="36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spans="1:49" ht="20" customHeight="1" x14ac:dyDescent="0.3">
      <c r="A488" s="18" t="s">
        <v>376</v>
      </c>
      <c r="C488" s="18">
        <v>2</v>
      </c>
      <c r="D488" s="21" t="s">
        <v>292</v>
      </c>
      <c r="E488" s="21" t="s">
        <v>226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4" t="str">
        <f t="shared" si="114"/>
        <v/>
      </c>
      <c r="Z488" s="34" t="str">
        <f t="shared" si="115"/>
        <v/>
      </c>
      <c r="AA488" s="34" t="str">
        <f t="shared" si="112"/>
        <v/>
      </c>
      <c r="AB488" s="25" t="str">
        <f t="shared" si="116"/>
        <v/>
      </c>
      <c r="AC488" s="1" t="str">
        <f t="shared" si="117"/>
        <v/>
      </c>
      <c r="AD488" s="36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spans="1:49" ht="20" customHeight="1" x14ac:dyDescent="0.3">
      <c r="A489" s="18" t="s">
        <v>376</v>
      </c>
      <c r="C489" s="18">
        <v>3</v>
      </c>
      <c r="D489" s="21" t="s">
        <v>292</v>
      </c>
      <c r="E489" s="21" t="s">
        <v>226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4" t="str">
        <f t="shared" si="114"/>
        <v/>
      </c>
      <c r="Z489" s="34" t="str">
        <f t="shared" si="115"/>
        <v/>
      </c>
      <c r="AA489" s="34" t="str">
        <f t="shared" si="112"/>
        <v/>
      </c>
      <c r="AB489" s="25" t="str">
        <f t="shared" si="116"/>
        <v/>
      </c>
      <c r="AC489" s="1" t="str">
        <f t="shared" si="117"/>
        <v/>
      </c>
      <c r="AD489" s="36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spans="1:49" ht="20" customHeight="1" x14ac:dyDescent="0.3">
      <c r="A490" s="18" t="s">
        <v>376</v>
      </c>
      <c r="C490" s="18">
        <v>4</v>
      </c>
      <c r="D490" s="21" t="s">
        <v>292</v>
      </c>
      <c r="E490" s="21" t="s">
        <v>226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4" t="str">
        <f t="shared" si="114"/>
        <v/>
      </c>
      <c r="Z490" s="34" t="str">
        <f t="shared" si="115"/>
        <v/>
      </c>
      <c r="AA490" s="34" t="str">
        <f t="shared" si="112"/>
        <v/>
      </c>
      <c r="AB490" s="25" t="str">
        <f t="shared" si="116"/>
        <v/>
      </c>
      <c r="AC490" s="1" t="str">
        <f t="shared" si="117"/>
        <v/>
      </c>
      <c r="AD490" s="36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spans="1:49" ht="20" customHeight="1" x14ac:dyDescent="0.3">
      <c r="A491" s="18" t="s">
        <v>376</v>
      </c>
      <c r="C491" s="18">
        <v>5</v>
      </c>
      <c r="D491" s="21" t="s">
        <v>292</v>
      </c>
      <c r="E491" s="21" t="s">
        <v>226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4" t="str">
        <f t="shared" si="114"/>
        <v/>
      </c>
      <c r="Z491" s="34" t="str">
        <f t="shared" si="115"/>
        <v/>
      </c>
      <c r="AA491" s="34" t="str">
        <f t="shared" si="112"/>
        <v/>
      </c>
      <c r="AB491" s="25" t="str">
        <f t="shared" si="116"/>
        <v/>
      </c>
      <c r="AC491" s="1" t="str">
        <f t="shared" si="117"/>
        <v/>
      </c>
      <c r="AD491" s="36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spans="1:49" ht="20" customHeight="1" x14ac:dyDescent="0.3">
      <c r="A492" s="5" t="s">
        <v>378</v>
      </c>
      <c r="C492" s="5">
        <v>1</v>
      </c>
      <c r="D492" s="21" t="s">
        <v>249</v>
      </c>
      <c r="E492" s="21" t="s">
        <v>224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2310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>16%</v>
      </c>
      <c r="AC492" s="1">
        <f t="shared" si="117"/>
        <v>210</v>
      </c>
      <c r="AD492" s="35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20" customHeight="1" x14ac:dyDescent="0.3">
      <c r="A493" s="5" t="s">
        <v>378</v>
      </c>
      <c r="C493" s="5">
        <v>2</v>
      </c>
      <c r="D493" s="21" t="s">
        <v>249</v>
      </c>
      <c r="E493" s="21" t="s">
        <v>224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90</v>
      </c>
      <c r="X493" s="5">
        <f>IFERROR(VLOOKUP($D493&amp;$C493,生产方式定位!$A$2:$E$38,5,FALSE)+VLOOKUP($E493&amp;$C493,生产方式定位!$F$3:$J$38,5,FALSE),"错误")</f>
        <v>3289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>13%</v>
      </c>
      <c r="AC493" s="1">
        <f t="shared" si="117"/>
        <v>299</v>
      </c>
      <c r="AD493" s="35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20" customHeight="1" x14ac:dyDescent="0.3">
      <c r="A494" s="5" t="s">
        <v>378</v>
      </c>
      <c r="C494" s="5">
        <v>3</v>
      </c>
      <c r="D494" s="21" t="s">
        <v>249</v>
      </c>
      <c r="E494" s="21" t="s">
        <v>224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80</v>
      </c>
      <c r="X494" s="5">
        <f>IFERROR(VLOOKUP($D494&amp;$C494,生产方式定位!$A$2:$E$38,5,FALSE)+VLOOKUP($E494&amp;$C494,生产方式定位!$F$3:$J$38,5,FALSE),"错误")</f>
        <v>3856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>13%</v>
      </c>
      <c r="AC494" s="1">
        <f t="shared" si="117"/>
        <v>351</v>
      </c>
      <c r="AD494" s="35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20" customHeight="1" x14ac:dyDescent="0.3">
      <c r="A495" s="5" t="s">
        <v>378</v>
      </c>
      <c r="C495" s="5">
        <v>4</v>
      </c>
      <c r="D495" s="21" t="s">
        <v>249</v>
      </c>
      <c r="E495" s="21" t="s">
        <v>224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70</v>
      </c>
      <c r="X495" s="5">
        <f>IFERROR(VLOOKUP($D495&amp;$C495,生产方式定位!$A$2:$E$38,5,FALSE)+VLOOKUP($E495&amp;$C495,生产方式定位!$F$3:$J$38,5,FALSE),"错误")</f>
        <v>4422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>12%</v>
      </c>
      <c r="AC495" s="1">
        <f t="shared" si="117"/>
        <v>402</v>
      </c>
      <c r="AD495" s="35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20" customHeight="1" x14ac:dyDescent="0.3">
      <c r="A496" s="5" t="s">
        <v>378</v>
      </c>
      <c r="C496" s="5">
        <v>5</v>
      </c>
      <c r="D496" s="21" t="s">
        <v>249</v>
      </c>
      <c r="E496" s="21" t="s">
        <v>224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60</v>
      </c>
      <c r="X496" s="5">
        <f>IFERROR(VLOOKUP($D496&amp;$C496,生产方式定位!$A$2:$E$38,5,FALSE)+VLOOKUP($E496&amp;$C496,生产方式定位!$F$3:$J$38,5,FALSE),"错误")</f>
        <v>4989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>11%</v>
      </c>
      <c r="AC496" s="1">
        <f t="shared" si="117"/>
        <v>454</v>
      </c>
      <c r="AD496" s="35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20" customHeight="1" x14ac:dyDescent="0.3">
      <c r="A497" s="18" t="s">
        <v>379</v>
      </c>
      <c r="C497" s="18">
        <v>1</v>
      </c>
      <c r="D497" s="21" t="s">
        <v>292</v>
      </c>
      <c r="E497" s="21" t="s">
        <v>226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4" t="str">
        <f t="shared" si="114"/>
        <v/>
      </c>
      <c r="Z497" s="34" t="str">
        <f t="shared" si="115"/>
        <v/>
      </c>
      <c r="AA497" s="34" t="str">
        <f t="shared" si="112"/>
        <v/>
      </c>
      <c r="AB497" s="25" t="str">
        <f t="shared" si="116"/>
        <v/>
      </c>
      <c r="AC497" s="1" t="str">
        <f t="shared" si="117"/>
        <v/>
      </c>
      <c r="AD497" s="36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spans="1:49" ht="20" customHeight="1" x14ac:dyDescent="0.3">
      <c r="A498" s="18" t="s">
        <v>379</v>
      </c>
      <c r="C498" s="18">
        <v>2</v>
      </c>
      <c r="D498" s="21" t="s">
        <v>292</v>
      </c>
      <c r="E498" s="21" t="s">
        <v>226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4" t="str">
        <f t="shared" si="114"/>
        <v/>
      </c>
      <c r="Z498" s="34" t="str">
        <f t="shared" si="115"/>
        <v/>
      </c>
      <c r="AA498" s="34" t="str">
        <f t="shared" si="112"/>
        <v/>
      </c>
      <c r="AB498" s="25" t="str">
        <f t="shared" si="116"/>
        <v/>
      </c>
      <c r="AC498" s="1" t="str">
        <f t="shared" si="117"/>
        <v/>
      </c>
      <c r="AD498" s="36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spans="1:49" ht="20" customHeight="1" x14ac:dyDescent="0.3">
      <c r="A499" s="18" t="s">
        <v>379</v>
      </c>
      <c r="C499" s="18">
        <v>3</v>
      </c>
      <c r="D499" s="21" t="s">
        <v>292</v>
      </c>
      <c r="E499" s="21" t="s">
        <v>226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4" t="str">
        <f t="shared" si="114"/>
        <v/>
      </c>
      <c r="Z499" s="34" t="str">
        <f t="shared" si="115"/>
        <v/>
      </c>
      <c r="AA499" s="34" t="str">
        <f t="shared" si="112"/>
        <v/>
      </c>
      <c r="AB499" s="25" t="str">
        <f t="shared" si="116"/>
        <v/>
      </c>
      <c r="AC499" s="1" t="str">
        <f t="shared" si="117"/>
        <v/>
      </c>
      <c r="AD499" s="36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spans="1:49" ht="20" customHeight="1" x14ac:dyDescent="0.3">
      <c r="A500" s="18" t="s">
        <v>379</v>
      </c>
      <c r="C500" s="18">
        <v>4</v>
      </c>
      <c r="D500" s="21" t="s">
        <v>292</v>
      </c>
      <c r="E500" s="21" t="s">
        <v>226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4" t="str">
        <f t="shared" si="114"/>
        <v/>
      </c>
      <c r="Z500" s="34" t="str">
        <f t="shared" si="115"/>
        <v/>
      </c>
      <c r="AA500" s="34" t="str">
        <f t="shared" si="112"/>
        <v/>
      </c>
      <c r="AB500" s="25" t="str">
        <f t="shared" si="116"/>
        <v/>
      </c>
      <c r="AC500" s="1" t="str">
        <f t="shared" si="117"/>
        <v/>
      </c>
      <c r="AD500" s="36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spans="1:49" ht="20" customHeight="1" x14ac:dyDescent="0.3">
      <c r="A501" s="18" t="s">
        <v>379</v>
      </c>
      <c r="C501" s="18">
        <v>5</v>
      </c>
      <c r="D501" s="21" t="s">
        <v>292</v>
      </c>
      <c r="E501" s="21" t="s">
        <v>226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4" t="str">
        <f t="shared" si="114"/>
        <v/>
      </c>
      <c r="Z501" s="34" t="str">
        <f t="shared" si="115"/>
        <v/>
      </c>
      <c r="AA501" s="34" t="str">
        <f t="shared" si="112"/>
        <v/>
      </c>
      <c r="AB501" s="25" t="str">
        <f t="shared" si="116"/>
        <v/>
      </c>
      <c r="AC501" s="1" t="str">
        <f t="shared" si="117"/>
        <v/>
      </c>
      <c r="AD501" s="36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spans="1:49" ht="20" customHeight="1" x14ac:dyDescent="0.3">
      <c r="A502" s="5" t="s">
        <v>381</v>
      </c>
      <c r="C502" s="5">
        <v>1</v>
      </c>
      <c r="D502" s="21" t="s">
        <v>249</v>
      </c>
      <c r="E502" s="21" t="s">
        <v>224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2310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>16%</v>
      </c>
      <c r="AC502" s="1">
        <f t="shared" si="117"/>
        <v>210</v>
      </c>
      <c r="AD502" s="35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20" customHeight="1" x14ac:dyDescent="0.3">
      <c r="A503" s="5" t="s">
        <v>381</v>
      </c>
      <c r="C503" s="5">
        <v>2</v>
      </c>
      <c r="D503" s="21" t="s">
        <v>249</v>
      </c>
      <c r="E503" s="21" t="s">
        <v>224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90</v>
      </c>
      <c r="X503" s="5">
        <f>IFERROR(VLOOKUP($D503&amp;$C503,生产方式定位!$A$2:$E$38,5,FALSE)+VLOOKUP($E503&amp;$C503,生产方式定位!$F$3:$J$38,5,FALSE),"错误")</f>
        <v>3289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>13%</v>
      </c>
      <c r="AC503" s="1">
        <f t="shared" si="117"/>
        <v>299</v>
      </c>
      <c r="AD503" s="35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20" customHeight="1" x14ac:dyDescent="0.3">
      <c r="A504" s="5" t="s">
        <v>381</v>
      </c>
      <c r="C504" s="5">
        <v>3</v>
      </c>
      <c r="D504" s="21" t="s">
        <v>249</v>
      </c>
      <c r="E504" s="21" t="s">
        <v>224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80</v>
      </c>
      <c r="X504" s="5">
        <f>IFERROR(VLOOKUP($D504&amp;$C504,生产方式定位!$A$2:$E$38,5,FALSE)+VLOOKUP($E504&amp;$C504,生产方式定位!$F$3:$J$38,5,FALSE),"错误")</f>
        <v>3856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>13%</v>
      </c>
      <c r="AC504" s="1">
        <f t="shared" si="117"/>
        <v>351</v>
      </c>
      <c r="AD504" s="35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20" customHeight="1" x14ac:dyDescent="0.3">
      <c r="A505" s="5" t="s">
        <v>381</v>
      </c>
      <c r="C505" s="5">
        <v>4</v>
      </c>
      <c r="D505" s="21" t="s">
        <v>249</v>
      </c>
      <c r="E505" s="21" t="s">
        <v>224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70</v>
      </c>
      <c r="X505" s="5">
        <f>IFERROR(VLOOKUP($D505&amp;$C505,生产方式定位!$A$2:$E$38,5,FALSE)+VLOOKUP($E505&amp;$C505,生产方式定位!$F$3:$J$38,5,FALSE),"错误")</f>
        <v>4422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>12%</v>
      </c>
      <c r="AC505" s="1">
        <f t="shared" si="117"/>
        <v>402</v>
      </c>
      <c r="AD505" s="35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20" customHeight="1" x14ac:dyDescent="0.3">
      <c r="A506" s="5" t="s">
        <v>381</v>
      </c>
      <c r="C506" s="5">
        <v>5</v>
      </c>
      <c r="D506" s="21" t="s">
        <v>249</v>
      </c>
      <c r="E506" s="21" t="s">
        <v>224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60</v>
      </c>
      <c r="X506" s="5">
        <f>IFERROR(VLOOKUP($D506&amp;$C506,生产方式定位!$A$2:$E$38,5,FALSE)+VLOOKUP($E506&amp;$C506,生产方式定位!$F$3:$J$38,5,FALSE),"错误")</f>
        <v>4989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>11%</v>
      </c>
      <c r="AC506" s="1">
        <f t="shared" si="117"/>
        <v>454</v>
      </c>
      <c r="AD506" s="35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20" customHeight="1" x14ac:dyDescent="0.3">
      <c r="A507" s="18" t="s">
        <v>382</v>
      </c>
      <c r="C507" s="18">
        <v>1</v>
      </c>
      <c r="D507" s="21" t="s">
        <v>292</v>
      </c>
      <c r="E507" s="21" t="s">
        <v>226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/>
      </c>
      <c r="AC507" s="1" t="str">
        <f t="shared" si="117"/>
        <v/>
      </c>
      <c r="AD507" s="36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20" customHeight="1" x14ac:dyDescent="0.3">
      <c r="A508" s="18" t="s">
        <v>382</v>
      </c>
      <c r="C508" s="18">
        <v>2</v>
      </c>
      <c r="D508" s="21" t="s">
        <v>292</v>
      </c>
      <c r="E508" s="21" t="s">
        <v>226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/>
      </c>
      <c r="AC508" s="1" t="str">
        <f t="shared" si="117"/>
        <v/>
      </c>
      <c r="AD508" s="36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20" customHeight="1" x14ac:dyDescent="0.3">
      <c r="A509" s="18" t="s">
        <v>382</v>
      </c>
      <c r="C509" s="18">
        <v>3</v>
      </c>
      <c r="D509" s="21" t="s">
        <v>292</v>
      </c>
      <c r="E509" s="21" t="s">
        <v>226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/>
      </c>
      <c r="AC509" s="1" t="str">
        <f t="shared" si="117"/>
        <v/>
      </c>
      <c r="AD509" s="36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20" customHeight="1" x14ac:dyDescent="0.3">
      <c r="A510" s="18" t="s">
        <v>382</v>
      </c>
      <c r="C510" s="18">
        <v>4</v>
      </c>
      <c r="D510" s="21" t="s">
        <v>292</v>
      </c>
      <c r="E510" s="21" t="s">
        <v>226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/>
      </c>
      <c r="AC510" s="1" t="str">
        <f t="shared" si="117"/>
        <v/>
      </c>
      <c r="AD510" s="36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20" customHeight="1" x14ac:dyDescent="0.3">
      <c r="A511" s="18" t="s">
        <v>382</v>
      </c>
      <c r="C511" s="18">
        <v>5</v>
      </c>
      <c r="D511" s="21" t="s">
        <v>292</v>
      </c>
      <c r="E511" s="21" t="s">
        <v>226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/>
      </c>
      <c r="AC511" s="1" t="str">
        <f t="shared" si="117"/>
        <v/>
      </c>
      <c r="AD511" s="36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20" customHeight="1" x14ac:dyDescent="0.3">
      <c r="A512" s="5" t="s">
        <v>384</v>
      </c>
      <c r="C512" s="5">
        <v>1</v>
      </c>
      <c r="D512" s="21" t="s">
        <v>249</v>
      </c>
      <c r="E512" s="21" t="s">
        <v>224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2310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>16%</v>
      </c>
      <c r="AC512" s="1">
        <f t="shared" si="117"/>
        <v>210</v>
      </c>
      <c r="AD512" s="35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20" customHeight="1" x14ac:dyDescent="0.3">
      <c r="A513" s="5" t="s">
        <v>384</v>
      </c>
      <c r="C513" s="5">
        <v>2</v>
      </c>
      <c r="D513" s="21" t="s">
        <v>249</v>
      </c>
      <c r="E513" s="21" t="s">
        <v>224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90</v>
      </c>
      <c r="X513" s="5">
        <f>IFERROR(VLOOKUP($D513&amp;$C513,生产方式定位!$A$2:$E$38,5,FALSE)+VLOOKUP($E513&amp;$C513,生产方式定位!$F$3:$J$38,5,FALSE),"错误")</f>
        <v>3289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>13%</v>
      </c>
      <c r="AC513" s="1">
        <f t="shared" si="117"/>
        <v>299</v>
      </c>
      <c r="AD513" s="35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20" customHeight="1" x14ac:dyDescent="0.3">
      <c r="A514" s="5" t="s">
        <v>384</v>
      </c>
      <c r="C514" s="5">
        <v>3</v>
      </c>
      <c r="D514" s="21" t="s">
        <v>249</v>
      </c>
      <c r="E514" s="21" t="s">
        <v>224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80</v>
      </c>
      <c r="X514" s="5">
        <f>IFERROR(VLOOKUP($D514&amp;$C514,生产方式定位!$A$2:$E$38,5,FALSE)+VLOOKUP($E514&amp;$C514,生产方式定位!$F$3:$J$38,5,FALSE),"错误")</f>
        <v>3856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>13%</v>
      </c>
      <c r="AC514" s="1">
        <f t="shared" si="117"/>
        <v>351</v>
      </c>
      <c r="AD514" s="35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20" customHeight="1" x14ac:dyDescent="0.3">
      <c r="A515" s="5" t="s">
        <v>384</v>
      </c>
      <c r="C515" s="5">
        <v>4</v>
      </c>
      <c r="D515" s="21" t="s">
        <v>249</v>
      </c>
      <c r="E515" s="21" t="s">
        <v>224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70</v>
      </c>
      <c r="X515" s="5">
        <f>IFERROR(VLOOKUP($D515&amp;$C515,生产方式定位!$A$2:$E$38,5,FALSE)+VLOOKUP($E515&amp;$C515,生产方式定位!$F$3:$J$38,5,FALSE),"错误")</f>
        <v>4422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>12%</v>
      </c>
      <c r="AC515" s="1">
        <f t="shared" si="117"/>
        <v>402</v>
      </c>
      <c r="AD515" s="35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20" customHeight="1" x14ac:dyDescent="0.3">
      <c r="A516" s="5" t="s">
        <v>384</v>
      </c>
      <c r="C516" s="5">
        <v>5</v>
      </c>
      <c r="D516" s="21" t="s">
        <v>249</v>
      </c>
      <c r="E516" s="21" t="s">
        <v>224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60</v>
      </c>
      <c r="X516" s="5">
        <f>IFERROR(VLOOKUP($D516&amp;$C516,生产方式定位!$A$2:$E$38,5,FALSE)+VLOOKUP($E516&amp;$C516,生产方式定位!$F$3:$J$38,5,FALSE),"错误")</f>
        <v>4989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>11%</v>
      </c>
      <c r="AC516" s="1">
        <f t="shared" si="117"/>
        <v>454</v>
      </c>
      <c r="AD516" s="35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20" customHeight="1" x14ac:dyDescent="0.3">
      <c r="A517" s="18" t="s">
        <v>385</v>
      </c>
      <c r="C517" s="18">
        <v>1</v>
      </c>
      <c r="D517" s="21" t="s">
        <v>292</v>
      </c>
      <c r="E517" s="21" t="s">
        <v>226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4" t="str">
        <f t="shared" si="114"/>
        <v/>
      </c>
      <c r="Z517" s="34" t="str">
        <f t="shared" si="115"/>
        <v/>
      </c>
      <c r="AA517" s="34" t="str">
        <f t="shared" ref="AA517:AA580" si="128">IF(AJ517="","",AJ517)&amp;IF(AK517="","",","&amp;AK517)</f>
        <v/>
      </c>
      <c r="AB517" s="25" t="str">
        <f t="shared" si="116"/>
        <v/>
      </c>
      <c r="AC517" s="1" t="str">
        <f t="shared" si="117"/>
        <v/>
      </c>
      <c r="AD517" s="36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20" customHeight="1" x14ac:dyDescent="0.3">
      <c r="A518" s="18" t="s">
        <v>385</v>
      </c>
      <c r="C518" s="18">
        <v>2</v>
      </c>
      <c r="D518" s="21" t="s">
        <v>292</v>
      </c>
      <c r="E518" s="21" t="s">
        <v>226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4" t="str">
        <f t="shared" ref="Y518:Y581" si="130">IF(AE518="","",AE518)&amp;IF(AF518="","",","&amp;AF518)&amp;IF(AN518=0,"",",运力*"&amp;AN518)&amp;IF(AO518=0,"",",交易*"&amp;AO518)</f>
        <v/>
      </c>
      <c r="Z518" s="34" t="str">
        <f t="shared" ref="Z518:Z581" si="131">IF(AG518="","",AG518)&amp;IF(AH518="","",","&amp;AH518)&amp;IF(AI518="","",","&amp;AI518)</f>
        <v/>
      </c>
      <c r="AA518" s="34" t="str">
        <f t="shared" si="128"/>
        <v/>
      </c>
      <c r="AB518" s="25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36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spans="1:49" ht="20" customHeight="1" x14ac:dyDescent="0.3">
      <c r="A519" s="18" t="s">
        <v>385</v>
      </c>
      <c r="C519" s="18">
        <v>3</v>
      </c>
      <c r="D519" s="21" t="s">
        <v>292</v>
      </c>
      <c r="E519" s="21" t="s">
        <v>226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4" t="str">
        <f t="shared" si="130"/>
        <v/>
      </c>
      <c r="Z519" s="34" t="str">
        <f t="shared" si="131"/>
        <v/>
      </c>
      <c r="AA519" s="34" t="str">
        <f t="shared" si="128"/>
        <v/>
      </c>
      <c r="AB519" s="25" t="str">
        <f t="shared" si="132"/>
        <v/>
      </c>
      <c r="AC519" s="1" t="str">
        <f t="shared" si="133"/>
        <v/>
      </c>
      <c r="AD519" s="36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20" customHeight="1" x14ac:dyDescent="0.3">
      <c r="A520" s="18" t="s">
        <v>385</v>
      </c>
      <c r="C520" s="18">
        <v>4</v>
      </c>
      <c r="D520" s="21" t="s">
        <v>292</v>
      </c>
      <c r="E520" s="21" t="s">
        <v>226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4" t="str">
        <f t="shared" si="130"/>
        <v/>
      </c>
      <c r="Z520" s="34" t="str">
        <f t="shared" si="131"/>
        <v/>
      </c>
      <c r="AA520" s="34" t="str">
        <f t="shared" si="128"/>
        <v/>
      </c>
      <c r="AB520" s="25" t="str">
        <f t="shared" si="132"/>
        <v/>
      </c>
      <c r="AC520" s="1" t="str">
        <f t="shared" si="133"/>
        <v/>
      </c>
      <c r="AD520" s="36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20" customHeight="1" x14ac:dyDescent="0.3">
      <c r="A521" s="18" t="s">
        <v>385</v>
      </c>
      <c r="C521" s="18">
        <v>5</v>
      </c>
      <c r="D521" s="21" t="s">
        <v>292</v>
      </c>
      <c r="E521" s="21" t="s">
        <v>226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4" t="str">
        <f t="shared" si="130"/>
        <v/>
      </c>
      <c r="Z521" s="34" t="str">
        <f t="shared" si="131"/>
        <v/>
      </c>
      <c r="AA521" s="34" t="str">
        <f t="shared" si="128"/>
        <v/>
      </c>
      <c r="AB521" s="25" t="str">
        <f t="shared" si="132"/>
        <v/>
      </c>
      <c r="AC521" s="1" t="str">
        <f t="shared" si="133"/>
        <v/>
      </c>
      <c r="AD521" s="36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20" customHeight="1" x14ac:dyDescent="0.3">
      <c r="A522" s="18" t="s">
        <v>385</v>
      </c>
      <c r="C522" s="18">
        <v>6</v>
      </c>
      <c r="D522" s="21" t="s">
        <v>292</v>
      </c>
      <c r="E522" s="21" t="s">
        <v>226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30"/>
        <v/>
      </c>
      <c r="Z522" s="34" t="str">
        <f t="shared" si="131"/>
        <v/>
      </c>
      <c r="AA522" s="34" t="str">
        <f t="shared" si="128"/>
        <v/>
      </c>
      <c r="AB522" s="25" t="str">
        <f t="shared" si="132"/>
        <v/>
      </c>
      <c r="AC522" s="1" t="str">
        <f t="shared" si="133"/>
        <v/>
      </c>
      <c r="AD522" s="35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20" customHeight="1" x14ac:dyDescent="0.3">
      <c r="A523" s="18" t="s">
        <v>385</v>
      </c>
      <c r="C523" s="18">
        <v>7</v>
      </c>
      <c r="D523" s="21" t="s">
        <v>292</v>
      </c>
      <c r="E523" s="21" t="s">
        <v>226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si="130"/>
        <v/>
      </c>
      <c r="Z523" s="34" t="str">
        <f t="shared" si="131"/>
        <v/>
      </c>
      <c r="AA523" s="34" t="str">
        <f t="shared" si="128"/>
        <v/>
      </c>
      <c r="AB523" s="25" t="str">
        <f t="shared" si="132"/>
        <v/>
      </c>
      <c r="AC523" s="1" t="str">
        <f t="shared" si="133"/>
        <v/>
      </c>
      <c r="AD523" s="35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20" customHeight="1" x14ac:dyDescent="0.3">
      <c r="A524" s="18" t="s">
        <v>385</v>
      </c>
      <c r="C524" s="18">
        <v>8</v>
      </c>
      <c r="D524" s="21" t="s">
        <v>292</v>
      </c>
      <c r="E524" s="21" t="s">
        <v>226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5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20" customHeight="1" x14ac:dyDescent="0.3">
      <c r="A525" s="5" t="s">
        <v>385</v>
      </c>
      <c r="C525" s="5">
        <v>1</v>
      </c>
      <c r="D525" s="21" t="s">
        <v>292</v>
      </c>
      <c r="E525" s="21" t="s">
        <v>226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5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20" customHeight="1" x14ac:dyDescent="0.3">
      <c r="A526" s="5" t="s">
        <v>385</v>
      </c>
      <c r="C526" s="5">
        <v>2</v>
      </c>
      <c r="D526" s="21" t="s">
        <v>292</v>
      </c>
      <c r="E526" s="21" t="s">
        <v>226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5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20" customHeight="1" x14ac:dyDescent="0.3">
      <c r="A527" s="5" t="s">
        <v>385</v>
      </c>
      <c r="C527" s="5">
        <v>3</v>
      </c>
      <c r="D527" s="21" t="s">
        <v>292</v>
      </c>
      <c r="E527" s="21" t="s">
        <v>226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6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20" customHeight="1" x14ac:dyDescent="0.3">
      <c r="A528" s="5" t="s">
        <v>385</v>
      </c>
      <c r="C528" s="5">
        <v>4</v>
      </c>
      <c r="D528" s="21" t="s">
        <v>292</v>
      </c>
      <c r="E528" s="21" t="s">
        <v>226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6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20" customHeight="1" x14ac:dyDescent="0.3">
      <c r="A529" s="5" t="s">
        <v>385</v>
      </c>
      <c r="C529" s="5">
        <v>5</v>
      </c>
      <c r="D529" s="21" t="s">
        <v>292</v>
      </c>
      <c r="E529" s="21" t="s">
        <v>226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6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20" customHeight="1" x14ac:dyDescent="0.3">
      <c r="A530" s="5" t="s">
        <v>385</v>
      </c>
      <c r="C530" s="5">
        <v>6</v>
      </c>
      <c r="D530" s="21" t="s">
        <v>292</v>
      </c>
      <c r="E530" s="21" t="s">
        <v>226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6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20" customHeight="1" x14ac:dyDescent="0.3">
      <c r="A531" s="5" t="s">
        <v>385</v>
      </c>
      <c r="C531" s="5">
        <v>7</v>
      </c>
      <c r="D531" s="21" t="s">
        <v>292</v>
      </c>
      <c r="E531" s="21" t="s">
        <v>226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6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20" customHeight="1" x14ac:dyDescent="0.3">
      <c r="A532" s="5" t="s">
        <v>385</v>
      </c>
      <c r="C532" s="5">
        <v>8</v>
      </c>
      <c r="D532" s="21" t="s">
        <v>292</v>
      </c>
      <c r="E532" s="21" t="s">
        <v>226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20" customHeight="1" x14ac:dyDescent="0.3">
      <c r="A533" s="18" t="s">
        <v>387</v>
      </c>
      <c r="C533" s="18">
        <v>1</v>
      </c>
      <c r="D533" s="21" t="s">
        <v>249</v>
      </c>
      <c r="E533" s="21" t="s">
        <v>224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2310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>16%</v>
      </c>
      <c r="AC533" s="1">
        <f t="shared" si="133"/>
        <v>210</v>
      </c>
      <c r="AD533" s="36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20" customHeight="1" x14ac:dyDescent="0.3">
      <c r="A534" s="18" t="s">
        <v>387</v>
      </c>
      <c r="C534" s="18">
        <v>2</v>
      </c>
      <c r="D534" s="21" t="s">
        <v>249</v>
      </c>
      <c r="E534" s="21" t="s">
        <v>224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90</v>
      </c>
      <c r="X534" s="18">
        <f>IFERROR(VLOOKUP($D534&amp;$C534,生产方式定位!$A$2:$E$38,5,FALSE)+VLOOKUP($E534&amp;$C534,生产方式定位!$F$3:$J$38,5,FALSE),"错误")</f>
        <v>3289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>13%</v>
      </c>
      <c r="AC534" s="1">
        <f t="shared" si="133"/>
        <v>299</v>
      </c>
      <c r="AD534" s="36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20" customHeight="1" x14ac:dyDescent="0.3">
      <c r="A535" s="18" t="s">
        <v>387</v>
      </c>
      <c r="C535" s="18">
        <v>3</v>
      </c>
      <c r="D535" s="21" t="s">
        <v>249</v>
      </c>
      <c r="E535" s="21" t="s">
        <v>224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80</v>
      </c>
      <c r="X535" s="18">
        <f>IFERROR(VLOOKUP($D535&amp;$C535,生产方式定位!$A$2:$E$38,5,FALSE)+VLOOKUP($E535&amp;$C535,生产方式定位!$F$3:$J$38,5,FALSE),"错误")</f>
        <v>3856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>13%</v>
      </c>
      <c r="AC535" s="1">
        <f t="shared" si="133"/>
        <v>351</v>
      </c>
      <c r="AD535" s="35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20" customHeight="1" x14ac:dyDescent="0.3">
      <c r="A536" s="18" t="s">
        <v>387</v>
      </c>
      <c r="C536" s="18">
        <v>4</v>
      </c>
      <c r="D536" s="21" t="s">
        <v>249</v>
      </c>
      <c r="E536" s="21" t="s">
        <v>224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70</v>
      </c>
      <c r="X536" s="18">
        <f>IFERROR(VLOOKUP($D536&amp;$C536,生产方式定位!$A$2:$E$38,5,FALSE)+VLOOKUP($E536&amp;$C536,生产方式定位!$F$3:$J$38,5,FALSE),"错误")</f>
        <v>4422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>12%</v>
      </c>
      <c r="AC536" s="1">
        <f t="shared" si="133"/>
        <v>402</v>
      </c>
      <c r="AD536" s="35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20" customHeight="1" x14ac:dyDescent="0.3">
      <c r="A537" s="18" t="s">
        <v>387</v>
      </c>
      <c r="C537" s="18">
        <v>5</v>
      </c>
      <c r="D537" s="21" t="s">
        <v>249</v>
      </c>
      <c r="E537" s="21" t="s">
        <v>224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60</v>
      </c>
      <c r="X537" s="18">
        <f>IFERROR(VLOOKUP($D537&amp;$C537,生产方式定位!$A$2:$E$38,5,FALSE)+VLOOKUP($E537&amp;$C537,生产方式定位!$F$3:$J$38,5,FALSE),"错误")</f>
        <v>4989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>11%</v>
      </c>
      <c r="AC537" s="1">
        <f t="shared" si="133"/>
        <v>454</v>
      </c>
      <c r="AD537" s="35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20" customHeight="1" x14ac:dyDescent="0.3">
      <c r="A538" s="5" t="s">
        <v>387</v>
      </c>
      <c r="C538" s="5">
        <v>1</v>
      </c>
      <c r="D538" s="21" t="s">
        <v>249</v>
      </c>
      <c r="E538" s="21" t="s">
        <v>224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2310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16%</v>
      </c>
      <c r="AC538" s="1">
        <f t="shared" si="133"/>
        <v>210</v>
      </c>
      <c r="AD538" s="35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20" customHeight="1" x14ac:dyDescent="0.3">
      <c r="A539" s="5" t="s">
        <v>387</v>
      </c>
      <c r="C539" s="5">
        <v>2</v>
      </c>
      <c r="D539" s="21" t="s">
        <v>249</v>
      </c>
      <c r="E539" s="21" t="s">
        <v>224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90</v>
      </c>
      <c r="X539" s="5">
        <f>IFERROR(VLOOKUP($D539&amp;$C539,生产方式定位!$A$2:$E$38,5,FALSE)+VLOOKUP($E539&amp;$C539,生产方式定位!$F$3:$J$38,5,FALSE),"错误")</f>
        <v>3289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13%</v>
      </c>
      <c r="AC539" s="1">
        <f t="shared" si="133"/>
        <v>299</v>
      </c>
      <c r="AD539" s="35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20" customHeight="1" x14ac:dyDescent="0.3">
      <c r="A540" s="5" t="s">
        <v>387</v>
      </c>
      <c r="C540" s="5">
        <v>3</v>
      </c>
      <c r="D540" s="21" t="s">
        <v>249</v>
      </c>
      <c r="E540" s="21" t="s">
        <v>224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80</v>
      </c>
      <c r="X540" s="5">
        <f>IFERROR(VLOOKUP($D540&amp;$C540,生产方式定位!$A$2:$E$38,5,FALSE)+VLOOKUP($E540&amp;$C540,生产方式定位!$F$3:$J$38,5,FALSE),"错误")</f>
        <v>3856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13%</v>
      </c>
      <c r="AC540" s="1">
        <f t="shared" si="133"/>
        <v>351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20" customHeight="1" x14ac:dyDescent="0.3">
      <c r="A541" s="5" t="s">
        <v>387</v>
      </c>
      <c r="C541" s="5">
        <v>4</v>
      </c>
      <c r="D541" s="21" t="s">
        <v>249</v>
      </c>
      <c r="E541" s="21" t="s">
        <v>224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70</v>
      </c>
      <c r="X541" s="5">
        <f>IFERROR(VLOOKUP($D541&amp;$C541,生产方式定位!$A$2:$E$38,5,FALSE)+VLOOKUP($E541&amp;$C541,生产方式定位!$F$3:$J$38,5,FALSE),"错误")</f>
        <v>4422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12%</v>
      </c>
      <c r="AC541" s="1">
        <f t="shared" si="133"/>
        <v>402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20" customHeight="1" x14ac:dyDescent="0.3">
      <c r="A542" s="5" t="s">
        <v>387</v>
      </c>
      <c r="C542" s="5">
        <v>5</v>
      </c>
      <c r="D542" s="21" t="s">
        <v>249</v>
      </c>
      <c r="E542" s="21" t="s">
        <v>224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60</v>
      </c>
      <c r="X542" s="5">
        <f>IFERROR(VLOOKUP($D542&amp;$C542,生产方式定位!$A$2:$E$38,5,FALSE)+VLOOKUP($E542&amp;$C542,生产方式定位!$F$3:$J$38,5,FALSE),"错误")</f>
        <v>4989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11%</v>
      </c>
      <c r="AC542" s="1">
        <f t="shared" si="133"/>
        <v>454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20" customHeight="1" x14ac:dyDescent="0.3">
      <c r="A543" s="18" t="s">
        <v>388</v>
      </c>
      <c r="C543" s="18">
        <v>1</v>
      </c>
      <c r="D543" s="21" t="s">
        <v>249</v>
      </c>
      <c r="E543" s="21" t="s">
        <v>257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/>
      </c>
      <c r="AC543" s="1" t="e">
        <f t="shared" si="133"/>
        <v>#VALUE!</v>
      </c>
      <c r="AD543" s="36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20" customHeight="1" x14ac:dyDescent="0.3">
      <c r="A544" s="18" t="s">
        <v>388</v>
      </c>
      <c r="C544" s="18">
        <v>2</v>
      </c>
      <c r="D544" s="21" t="s">
        <v>249</v>
      </c>
      <c r="E544" s="21" t="s">
        <v>257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/>
      </c>
      <c r="AC544" s="1" t="e">
        <f t="shared" si="133"/>
        <v>#VALUE!</v>
      </c>
      <c r="AD544" s="36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20" customHeight="1" x14ac:dyDescent="0.3">
      <c r="A545" s="18" t="s">
        <v>388</v>
      </c>
      <c r="C545" s="18">
        <v>3</v>
      </c>
      <c r="D545" s="21" t="s">
        <v>249</v>
      </c>
      <c r="E545" s="21" t="s">
        <v>257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/>
      </c>
      <c r="AC545" s="1" t="e">
        <f t="shared" si="133"/>
        <v>#VALUE!</v>
      </c>
      <c r="AD545" s="36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20" customHeight="1" x14ac:dyDescent="0.3">
      <c r="A546" s="18" t="s">
        <v>388</v>
      </c>
      <c r="C546" s="18">
        <v>4</v>
      </c>
      <c r="D546" s="21" t="s">
        <v>249</v>
      </c>
      <c r="E546" s="21" t="s">
        <v>257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/>
      </c>
      <c r="AC546" s="1" t="e">
        <f t="shared" si="133"/>
        <v>#VALUE!</v>
      </c>
      <c r="AD546" s="36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20" customHeight="1" x14ac:dyDescent="0.3">
      <c r="A547" s="18" t="s">
        <v>388</v>
      </c>
      <c r="C547" s="18">
        <v>5</v>
      </c>
      <c r="D547" s="21" t="s">
        <v>249</v>
      </c>
      <c r="E547" s="21" t="s">
        <v>257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/>
      </c>
      <c r="AC547" s="1" t="e">
        <f t="shared" si="133"/>
        <v>#VALUE!</v>
      </c>
      <c r="AD547" s="36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20" customHeight="1" x14ac:dyDescent="0.3">
      <c r="A548" s="5" t="s">
        <v>389</v>
      </c>
      <c r="C548" s="5">
        <v>1</v>
      </c>
      <c r="D548" s="21" t="s">
        <v>292</v>
      </c>
      <c r="E548" s="21" t="s">
        <v>226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str">
        <f t="shared" si="133"/>
        <v/>
      </c>
      <c r="AD548" s="35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20" customHeight="1" x14ac:dyDescent="0.3">
      <c r="A549" s="5" t="s">
        <v>389</v>
      </c>
      <c r="C549" s="5">
        <v>2</v>
      </c>
      <c r="D549" s="21" t="s">
        <v>292</v>
      </c>
      <c r="E549" s="21" t="s">
        <v>226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str">
        <f t="shared" si="133"/>
        <v/>
      </c>
      <c r="AD549" s="35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20" customHeight="1" x14ac:dyDescent="0.3">
      <c r="A550" s="5" t="s">
        <v>389</v>
      </c>
      <c r="C550" s="5">
        <v>3</v>
      </c>
      <c r="D550" s="21" t="s">
        <v>292</v>
      </c>
      <c r="E550" s="21" t="s">
        <v>226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str">
        <f t="shared" si="133"/>
        <v/>
      </c>
      <c r="AD550" s="35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20" customHeight="1" x14ac:dyDescent="0.3">
      <c r="A551" s="5" t="s">
        <v>389</v>
      </c>
      <c r="C551" s="5">
        <v>4</v>
      </c>
      <c r="D551" s="21" t="s">
        <v>292</v>
      </c>
      <c r="E551" s="21" t="s">
        <v>226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str">
        <f t="shared" si="133"/>
        <v/>
      </c>
      <c r="AD551" s="35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20" customHeight="1" x14ac:dyDescent="0.3">
      <c r="A552" s="5" t="s">
        <v>389</v>
      </c>
      <c r="C552" s="5">
        <v>5</v>
      </c>
      <c r="D552" s="21" t="s">
        <v>292</v>
      </c>
      <c r="E552" s="21" t="s">
        <v>226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str">
        <f t="shared" si="133"/>
        <v/>
      </c>
      <c r="AD552" s="35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20" customHeight="1" x14ac:dyDescent="0.3">
      <c r="A553" s="5" t="s">
        <v>389</v>
      </c>
      <c r="C553" s="5">
        <v>6</v>
      </c>
      <c r="D553" s="21" t="s">
        <v>292</v>
      </c>
      <c r="E553" s="21" t="s">
        <v>226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6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20" customHeight="1" x14ac:dyDescent="0.3">
      <c r="A554" s="5" t="s">
        <v>389</v>
      </c>
      <c r="C554" s="5">
        <v>7</v>
      </c>
      <c r="D554" s="21" t="s">
        <v>292</v>
      </c>
      <c r="E554" s="21" t="s">
        <v>226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6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20" customHeight="1" x14ac:dyDescent="0.3">
      <c r="A555" s="5" t="s">
        <v>389</v>
      </c>
      <c r="C555" s="5">
        <v>8</v>
      </c>
      <c r="D555" s="21" t="s">
        <v>292</v>
      </c>
      <c r="E555" s="21" t="s">
        <v>226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6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20" customHeight="1" x14ac:dyDescent="0.3">
      <c r="A556" s="18" t="s">
        <v>391</v>
      </c>
      <c r="C556" s="18">
        <v>1</v>
      </c>
      <c r="D556" s="21" t="s">
        <v>249</v>
      </c>
      <c r="E556" s="21" t="s">
        <v>224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2310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>16%</v>
      </c>
      <c r="AC556" s="1">
        <f t="shared" si="133"/>
        <v>210</v>
      </c>
      <c r="AD556" s="36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20" customHeight="1" x14ac:dyDescent="0.3">
      <c r="A557" s="18" t="s">
        <v>391</v>
      </c>
      <c r="C557" s="18">
        <v>2</v>
      </c>
      <c r="D557" s="21" t="s">
        <v>249</v>
      </c>
      <c r="E557" s="21" t="s">
        <v>224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90</v>
      </c>
      <c r="X557" s="18">
        <f>IFERROR(VLOOKUP($D557&amp;$C557,生产方式定位!$A$2:$E$38,5,FALSE)+VLOOKUP($E557&amp;$C557,生产方式定位!$F$3:$J$38,5,FALSE),"错误")</f>
        <v>3289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>13%</v>
      </c>
      <c r="AC557" s="1">
        <f t="shared" si="133"/>
        <v>299</v>
      </c>
      <c r="AD557" s="36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20" customHeight="1" x14ac:dyDescent="0.3">
      <c r="A558" s="18" t="s">
        <v>391</v>
      </c>
      <c r="C558" s="18">
        <v>3</v>
      </c>
      <c r="D558" s="21" t="s">
        <v>249</v>
      </c>
      <c r="E558" s="21" t="s">
        <v>224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80</v>
      </c>
      <c r="X558" s="18">
        <f>IFERROR(VLOOKUP($D558&amp;$C558,生产方式定位!$A$2:$E$38,5,FALSE)+VLOOKUP($E558&amp;$C558,生产方式定位!$F$3:$J$38,5,FALSE),"错误")</f>
        <v>3856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>13%</v>
      </c>
      <c r="AC558" s="1">
        <f t="shared" si="133"/>
        <v>351</v>
      </c>
      <c r="AD558" s="35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20" customHeight="1" x14ac:dyDescent="0.3">
      <c r="A559" s="18" t="s">
        <v>391</v>
      </c>
      <c r="C559" s="18">
        <v>4</v>
      </c>
      <c r="D559" s="21" t="s">
        <v>249</v>
      </c>
      <c r="E559" s="21" t="s">
        <v>224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70</v>
      </c>
      <c r="X559" s="18">
        <f>IFERROR(VLOOKUP($D559&amp;$C559,生产方式定位!$A$2:$E$38,5,FALSE)+VLOOKUP($E559&amp;$C559,生产方式定位!$F$3:$J$38,5,FALSE),"错误")</f>
        <v>4422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>12%</v>
      </c>
      <c r="AC559" s="1">
        <f t="shared" si="133"/>
        <v>402</v>
      </c>
      <c r="AD559" s="35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20" customHeight="1" x14ac:dyDescent="0.3">
      <c r="A560" s="18" t="s">
        <v>391</v>
      </c>
      <c r="C560" s="18">
        <v>5</v>
      </c>
      <c r="D560" s="21" t="s">
        <v>249</v>
      </c>
      <c r="E560" s="21" t="s">
        <v>224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60</v>
      </c>
      <c r="X560" s="18">
        <f>IFERROR(VLOOKUP($D560&amp;$C560,生产方式定位!$A$2:$E$38,5,FALSE)+VLOOKUP($E560&amp;$C560,生产方式定位!$F$3:$J$38,5,FALSE),"错误")</f>
        <v>4989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>11%</v>
      </c>
      <c r="AC560" s="1">
        <f t="shared" si="133"/>
        <v>454</v>
      </c>
      <c r="AD560" s="35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20" customHeight="1" x14ac:dyDescent="0.3">
      <c r="A561" s="5" t="s">
        <v>393</v>
      </c>
      <c r="C561" s="5">
        <v>1</v>
      </c>
      <c r="D561" s="21" t="s">
        <v>240</v>
      </c>
      <c r="E561" s="21" t="s">
        <v>224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40</v>
      </c>
      <c r="X561" s="5">
        <f>IFERROR(VLOOKUP($D561&amp;$C561,生产方式定位!$A$2:$E$38,5,FALSE)+VLOOKUP($E561&amp;$C561,生产方式定位!$F$3:$J$38,5,FALSE),"错误")</f>
        <v>1144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14%</v>
      </c>
      <c r="AC561" s="1">
        <f t="shared" si="133"/>
        <v>104</v>
      </c>
      <c r="AD561" s="35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20" customHeight="1" x14ac:dyDescent="0.3">
      <c r="A562" s="5" t="s">
        <v>393</v>
      </c>
      <c r="C562" s="5">
        <v>2</v>
      </c>
      <c r="D562" s="21" t="s">
        <v>240</v>
      </c>
      <c r="E562" s="21" t="s">
        <v>224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50</v>
      </c>
      <c r="X562" s="5">
        <f>IFERROR(VLOOKUP($D562&amp;$C562,生产方式定位!$A$2:$E$38,5,FALSE)+VLOOKUP($E562&amp;$C562,生产方式定位!$F$3:$J$38,5,FALSE),"错误")</f>
        <v>1930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21%</v>
      </c>
      <c r="AC562" s="1">
        <f t="shared" si="133"/>
        <v>280</v>
      </c>
      <c r="AD562" s="35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20" customHeight="1" x14ac:dyDescent="0.3">
      <c r="A563" s="5" t="s">
        <v>393</v>
      </c>
      <c r="C563" s="5">
        <v>3</v>
      </c>
      <c r="D563" s="21" t="s">
        <v>240</v>
      </c>
      <c r="E563" s="21" t="s">
        <v>224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60</v>
      </c>
      <c r="X563" s="5">
        <f>IFERROR(VLOOKUP($D563&amp;$C563,生产方式定位!$A$2:$E$38,5,FALSE)+VLOOKUP($E563&amp;$C563,生产方式定位!$F$3:$J$38,5,FALSE),"错误")</f>
        <v>2326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27%</v>
      </c>
      <c r="AC563" s="1">
        <f t="shared" si="133"/>
        <v>441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20" customHeight="1" x14ac:dyDescent="0.3">
      <c r="A564" s="5" t="s">
        <v>393</v>
      </c>
      <c r="C564" s="5">
        <v>4</v>
      </c>
      <c r="D564" s="21" t="s">
        <v>240</v>
      </c>
      <c r="E564" s="21" t="s">
        <v>224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70</v>
      </c>
      <c r="X564" s="5">
        <f>IFERROR(VLOOKUP($D564&amp;$C564,生产方式定位!$A$2:$E$38,5,FALSE)+VLOOKUP($E564&amp;$C564,生产方式定位!$F$3:$J$38,5,FALSE),"错误")</f>
        <v>2743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34%</v>
      </c>
      <c r="AC564" s="1">
        <f t="shared" si="133"/>
        <v>623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20" customHeight="1" x14ac:dyDescent="0.3">
      <c r="A565" s="5" t="s">
        <v>393</v>
      </c>
      <c r="C565" s="5">
        <v>5</v>
      </c>
      <c r="D565" s="21" t="s">
        <v>240</v>
      </c>
      <c r="E565" s="21" t="s">
        <v>224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80</v>
      </c>
      <c r="X565" s="5">
        <f>IFERROR(VLOOKUP($D565&amp;$C565,生产方式定位!$A$2:$E$38,5,FALSE)+VLOOKUP($E565&amp;$C565,生产方式定位!$F$3:$J$38,5,FALSE),"错误")</f>
        <v>3183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40%</v>
      </c>
      <c r="AC565" s="1">
        <f t="shared" si="133"/>
        <v>828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20" customHeight="1" x14ac:dyDescent="0.3">
      <c r="A566" s="18" t="s">
        <v>394</v>
      </c>
      <c r="C566" s="18">
        <v>1</v>
      </c>
      <c r="D566" s="21" t="s">
        <v>292</v>
      </c>
      <c r="E566" s="21" t="s">
        <v>226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/>
      </c>
      <c r="AC566" s="1" t="str">
        <f t="shared" si="133"/>
        <v/>
      </c>
      <c r="AD566" s="36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20" customHeight="1" x14ac:dyDescent="0.3">
      <c r="A567" s="18" t="s">
        <v>394</v>
      </c>
      <c r="C567" s="18">
        <v>2</v>
      </c>
      <c r="D567" s="21" t="s">
        <v>292</v>
      </c>
      <c r="E567" s="21" t="s">
        <v>226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/>
      </c>
      <c r="AC567" s="1" t="str">
        <f t="shared" si="133"/>
        <v/>
      </c>
      <c r="AD567" s="36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20" customHeight="1" x14ac:dyDescent="0.3">
      <c r="A568" s="18" t="s">
        <v>394</v>
      </c>
      <c r="C568" s="18">
        <v>3</v>
      </c>
      <c r="D568" s="21" t="s">
        <v>292</v>
      </c>
      <c r="E568" s="21" t="s">
        <v>226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/>
      </c>
      <c r="AC568" s="1" t="str">
        <f t="shared" si="133"/>
        <v/>
      </c>
      <c r="AD568" s="36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20" customHeight="1" x14ac:dyDescent="0.3">
      <c r="A569" s="18" t="s">
        <v>394</v>
      </c>
      <c r="C569" s="18">
        <v>4</v>
      </c>
      <c r="D569" s="21" t="s">
        <v>292</v>
      </c>
      <c r="E569" s="21" t="s">
        <v>226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/>
      </c>
      <c r="AC569" s="1" t="str">
        <f t="shared" si="133"/>
        <v/>
      </c>
      <c r="AD569" s="36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20" customHeight="1" x14ac:dyDescent="0.3">
      <c r="A570" s="18" t="s">
        <v>394</v>
      </c>
      <c r="C570" s="18">
        <v>5</v>
      </c>
      <c r="D570" s="21" t="s">
        <v>292</v>
      </c>
      <c r="E570" s="21" t="s">
        <v>226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/>
      </c>
      <c r="AC570" s="1" t="str">
        <f t="shared" si="133"/>
        <v/>
      </c>
      <c r="AD570" s="36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20" customHeight="1" x14ac:dyDescent="0.3">
      <c r="A571" s="18" t="s">
        <v>394</v>
      </c>
      <c r="C571" s="18">
        <v>6</v>
      </c>
      <c r="D571" s="21" t="s">
        <v>292</v>
      </c>
      <c r="E571" s="21" t="s">
        <v>226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5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20" customHeight="1" x14ac:dyDescent="0.3">
      <c r="A572" s="18" t="s">
        <v>394</v>
      </c>
      <c r="C572" s="18">
        <v>7</v>
      </c>
      <c r="D572" s="21" t="s">
        <v>292</v>
      </c>
      <c r="E572" s="21" t="s">
        <v>226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5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20" customHeight="1" x14ac:dyDescent="0.3">
      <c r="A573" s="18" t="s">
        <v>394</v>
      </c>
      <c r="C573" s="18">
        <v>8</v>
      </c>
      <c r="D573" s="21" t="s">
        <v>292</v>
      </c>
      <c r="E573" s="21" t="s">
        <v>226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5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20" customHeight="1" x14ac:dyDescent="0.3">
      <c r="A574" s="5" t="s">
        <v>396</v>
      </c>
      <c r="C574" s="5">
        <v>1</v>
      </c>
      <c r="D574" s="21" t="s">
        <v>240</v>
      </c>
      <c r="E574" s="21" t="s">
        <v>224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40</v>
      </c>
      <c r="X574" s="5">
        <f>IFERROR(VLOOKUP($D574&amp;$C574,生产方式定位!$A$2:$E$38,5,FALSE)+VLOOKUP($E574&amp;$C574,生产方式定位!$F$3:$J$38,5,FALSE),"错误")</f>
        <v>1144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>14%</v>
      </c>
      <c r="AC574" s="1">
        <f t="shared" si="133"/>
        <v>104</v>
      </c>
      <c r="AD574" s="35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20" customHeight="1" x14ac:dyDescent="0.3">
      <c r="A575" s="5" t="s">
        <v>396</v>
      </c>
      <c r="C575" s="5">
        <v>2</v>
      </c>
      <c r="D575" s="21" t="s">
        <v>240</v>
      </c>
      <c r="E575" s="21" t="s">
        <v>224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50</v>
      </c>
      <c r="X575" s="5">
        <f>IFERROR(VLOOKUP($D575&amp;$C575,生产方式定位!$A$2:$E$38,5,FALSE)+VLOOKUP($E575&amp;$C575,生产方式定位!$F$3:$J$38,5,FALSE),"错误")</f>
        <v>1930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>21%</v>
      </c>
      <c r="AC575" s="1">
        <f t="shared" si="133"/>
        <v>280</v>
      </c>
      <c r="AD575" s="35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20" customHeight="1" x14ac:dyDescent="0.3">
      <c r="A576" s="5" t="s">
        <v>396</v>
      </c>
      <c r="C576" s="5">
        <v>3</v>
      </c>
      <c r="D576" s="21" t="s">
        <v>240</v>
      </c>
      <c r="E576" s="21" t="s">
        <v>224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60</v>
      </c>
      <c r="X576" s="5">
        <f>IFERROR(VLOOKUP($D576&amp;$C576,生产方式定位!$A$2:$E$38,5,FALSE)+VLOOKUP($E576&amp;$C576,生产方式定位!$F$3:$J$38,5,FALSE),"错误")</f>
        <v>2326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>27%</v>
      </c>
      <c r="AC576" s="1">
        <f t="shared" si="133"/>
        <v>441</v>
      </c>
      <c r="AD576" s="36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20" customHeight="1" x14ac:dyDescent="0.3">
      <c r="A577" s="5" t="s">
        <v>396</v>
      </c>
      <c r="C577" s="5">
        <v>4</v>
      </c>
      <c r="D577" s="21" t="s">
        <v>240</v>
      </c>
      <c r="E577" s="21" t="s">
        <v>224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70</v>
      </c>
      <c r="X577" s="5">
        <f>IFERROR(VLOOKUP($D577&amp;$C577,生产方式定位!$A$2:$E$38,5,FALSE)+VLOOKUP($E577&amp;$C577,生产方式定位!$F$3:$J$38,5,FALSE),"错误")</f>
        <v>2743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>34%</v>
      </c>
      <c r="AC577" s="1">
        <f t="shared" si="133"/>
        <v>623</v>
      </c>
      <c r="AD577" s="36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20" customHeight="1" x14ac:dyDescent="0.3">
      <c r="A578" s="5" t="s">
        <v>396</v>
      </c>
      <c r="C578" s="5">
        <v>5</v>
      </c>
      <c r="D578" s="21" t="s">
        <v>240</v>
      </c>
      <c r="E578" s="21" t="s">
        <v>224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80</v>
      </c>
      <c r="X578" s="5">
        <f>IFERROR(VLOOKUP($D578&amp;$C578,生产方式定位!$A$2:$E$38,5,FALSE)+VLOOKUP($E578&amp;$C578,生产方式定位!$F$3:$J$38,5,FALSE),"错误")</f>
        <v>3183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>40%</v>
      </c>
      <c r="AC578" s="1">
        <f t="shared" si="133"/>
        <v>828</v>
      </c>
      <c r="AD578" s="36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20" customHeight="1" x14ac:dyDescent="0.3">
      <c r="A579" s="18" t="s">
        <v>397</v>
      </c>
      <c r="C579" s="18">
        <v>1</v>
      </c>
      <c r="D579" s="21" t="s">
        <v>292</v>
      </c>
      <c r="E579" s="21" t="s">
        <v>226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/>
      </c>
      <c r="AC579" s="1" t="str">
        <f t="shared" si="133"/>
        <v/>
      </c>
      <c r="AD579" s="36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20" customHeight="1" x14ac:dyDescent="0.3">
      <c r="A580" s="18" t="s">
        <v>397</v>
      </c>
      <c r="C580" s="18">
        <v>2</v>
      </c>
      <c r="D580" s="21" t="s">
        <v>292</v>
      </c>
      <c r="E580" s="21" t="s">
        <v>226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/>
      </c>
      <c r="AC580" s="1" t="str">
        <f t="shared" si="133"/>
        <v/>
      </c>
      <c r="AD580" s="36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20" customHeight="1" x14ac:dyDescent="0.3">
      <c r="A581" s="18" t="s">
        <v>397</v>
      </c>
      <c r="C581" s="18">
        <v>3</v>
      </c>
      <c r="D581" s="21" t="s">
        <v>292</v>
      </c>
      <c r="E581" s="21" t="s">
        <v>226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4" t="str">
        <f t="shared" si="130"/>
        <v/>
      </c>
      <c r="Z581" s="34" t="str">
        <f t="shared" si="131"/>
        <v/>
      </c>
      <c r="AA581" s="34" t="str">
        <f t="shared" ref="AA581:AA644" si="144">IF(AJ581="","",AJ581)&amp;IF(AK581="","",","&amp;AK581)</f>
        <v/>
      </c>
      <c r="AB581" s="25" t="str">
        <f t="shared" si="132"/>
        <v/>
      </c>
      <c r="AC581" s="1" t="str">
        <f t="shared" si="133"/>
        <v/>
      </c>
      <c r="AD581" s="36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20" customHeight="1" x14ac:dyDescent="0.3">
      <c r="A582" s="18" t="s">
        <v>397</v>
      </c>
      <c r="C582" s="18">
        <v>4</v>
      </c>
      <c r="D582" s="21" t="s">
        <v>292</v>
      </c>
      <c r="E582" s="21" t="s">
        <v>226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4" t="str">
        <f t="shared" ref="Y582:Y645" si="146">IF(AE582="","",AE582)&amp;IF(AF582="","",","&amp;AF582)&amp;IF(AN582=0,"",",运力*"&amp;AN582)&amp;IF(AO582=0,"",",交易*"&amp;AO582)</f>
        <v/>
      </c>
      <c r="Z582" s="34" t="str">
        <f t="shared" ref="Z582:Z645" si="147">IF(AG582="","",AG582)&amp;IF(AH582="","",","&amp;AH582)&amp;IF(AI582="","",","&amp;AI582)</f>
        <v/>
      </c>
      <c r="AA582" s="34" t="str">
        <f t="shared" si="144"/>
        <v/>
      </c>
      <c r="AB582" s="25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36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spans="1:49" ht="20" customHeight="1" x14ac:dyDescent="0.3">
      <c r="A583" s="18" t="s">
        <v>397</v>
      </c>
      <c r="C583" s="18">
        <v>5</v>
      </c>
      <c r="D583" s="21" t="s">
        <v>292</v>
      </c>
      <c r="E583" s="21" t="s">
        <v>226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4" t="str">
        <f t="shared" si="146"/>
        <v/>
      </c>
      <c r="Z583" s="34" t="str">
        <f t="shared" si="147"/>
        <v/>
      </c>
      <c r="AA583" s="34" t="str">
        <f t="shared" si="144"/>
        <v/>
      </c>
      <c r="AB583" s="25" t="str">
        <f t="shared" si="148"/>
        <v/>
      </c>
      <c r="AC583" s="1" t="str">
        <f t="shared" si="149"/>
        <v/>
      </c>
      <c r="AD583" s="36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20" customHeight="1" x14ac:dyDescent="0.3">
      <c r="A584" s="18" t="s">
        <v>397</v>
      </c>
      <c r="C584" s="18">
        <v>6</v>
      </c>
      <c r="D584" s="21" t="s">
        <v>292</v>
      </c>
      <c r="E584" s="21" t="s">
        <v>226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46"/>
        <v/>
      </c>
      <c r="Z584" s="34" t="str">
        <f t="shared" si="147"/>
        <v/>
      </c>
      <c r="AA584" s="34" t="str">
        <f t="shared" si="144"/>
        <v/>
      </c>
      <c r="AB584" s="25" t="str">
        <f t="shared" si="148"/>
        <v/>
      </c>
      <c r="AC584" s="1" t="str">
        <f t="shared" si="149"/>
        <v/>
      </c>
      <c r="AD584" s="35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20" customHeight="1" x14ac:dyDescent="0.3">
      <c r="A585" s="18" t="s">
        <v>397</v>
      </c>
      <c r="C585" s="18">
        <v>7</v>
      </c>
      <c r="D585" s="21" t="s">
        <v>292</v>
      </c>
      <c r="E585" s="21" t="s">
        <v>226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46"/>
        <v/>
      </c>
      <c r="Z585" s="34" t="str">
        <f t="shared" si="147"/>
        <v/>
      </c>
      <c r="AA585" s="34" t="str">
        <f t="shared" si="144"/>
        <v/>
      </c>
      <c r="AB585" s="25" t="str">
        <f t="shared" si="148"/>
        <v/>
      </c>
      <c r="AC585" s="1" t="str">
        <f t="shared" si="149"/>
        <v/>
      </c>
      <c r="AD585" s="35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20" customHeight="1" x14ac:dyDescent="0.3">
      <c r="A586" s="18" t="s">
        <v>397</v>
      </c>
      <c r="C586" s="18">
        <v>8</v>
      </c>
      <c r="D586" s="21" t="s">
        <v>292</v>
      </c>
      <c r="E586" s="21" t="s">
        <v>226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46"/>
        <v/>
      </c>
      <c r="Z586" s="34" t="str">
        <f t="shared" si="147"/>
        <v/>
      </c>
      <c r="AA586" s="34" t="str">
        <f t="shared" si="144"/>
        <v/>
      </c>
      <c r="AB586" s="25" t="str">
        <f t="shared" si="148"/>
        <v/>
      </c>
      <c r="AC586" s="1" t="str">
        <f t="shared" si="149"/>
        <v/>
      </c>
      <c r="AD586" s="35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20" customHeight="1" x14ac:dyDescent="0.3">
      <c r="A587" s="5" t="s">
        <v>397</v>
      </c>
      <c r="C587" s="5">
        <v>1</v>
      </c>
      <c r="D587" s="21" t="s">
        <v>292</v>
      </c>
      <c r="E587" s="21" t="s">
        <v>226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24" t="str">
        <f t="shared" si="146"/>
        <v/>
      </c>
      <c r="Z587" s="34" t="str">
        <f t="shared" si="147"/>
        <v/>
      </c>
      <c r="AA587" s="34" t="str">
        <f t="shared" si="144"/>
        <v/>
      </c>
      <c r="AB587" s="25" t="str">
        <f t="shared" si="148"/>
        <v/>
      </c>
      <c r="AC587" s="1" t="str">
        <f t="shared" si="149"/>
        <v/>
      </c>
      <c r="AD587" s="35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20" customHeight="1" x14ac:dyDescent="0.3">
      <c r="A588" s="5" t="s">
        <v>397</v>
      </c>
      <c r="C588" s="5">
        <v>2</v>
      </c>
      <c r="D588" s="21" t="s">
        <v>292</v>
      </c>
      <c r="E588" s="21" t="s">
        <v>226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5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20" customHeight="1" x14ac:dyDescent="0.3">
      <c r="A589" s="5" t="s">
        <v>397</v>
      </c>
      <c r="C589" s="5">
        <v>3</v>
      </c>
      <c r="D589" s="21" t="s">
        <v>292</v>
      </c>
      <c r="E589" s="21" t="s">
        <v>226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6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20" customHeight="1" x14ac:dyDescent="0.3">
      <c r="A590" s="5" t="s">
        <v>397</v>
      </c>
      <c r="C590" s="5">
        <v>4</v>
      </c>
      <c r="D590" s="21" t="s">
        <v>292</v>
      </c>
      <c r="E590" s="21" t="s">
        <v>226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6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20" customHeight="1" x14ac:dyDescent="0.3">
      <c r="A591" s="5" t="s">
        <v>397</v>
      </c>
      <c r="C591" s="5">
        <v>5</v>
      </c>
      <c r="D591" s="21" t="s">
        <v>292</v>
      </c>
      <c r="E591" s="21" t="s">
        <v>226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6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20" customHeight="1" x14ac:dyDescent="0.3">
      <c r="A592" s="5" t="s">
        <v>397</v>
      </c>
      <c r="C592" s="5">
        <v>6</v>
      </c>
      <c r="D592" s="21" t="s">
        <v>292</v>
      </c>
      <c r="E592" s="21" t="s">
        <v>226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6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20" customHeight="1" x14ac:dyDescent="0.3">
      <c r="A593" s="5" t="s">
        <v>397</v>
      </c>
      <c r="C593" s="5">
        <v>7</v>
      </c>
      <c r="D593" s="21" t="s">
        <v>292</v>
      </c>
      <c r="E593" s="21" t="s">
        <v>226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6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20" customHeight="1" x14ac:dyDescent="0.3">
      <c r="A594" s="5" t="s">
        <v>397</v>
      </c>
      <c r="C594" s="5">
        <v>8</v>
      </c>
      <c r="D594" s="21" t="s">
        <v>292</v>
      </c>
      <c r="E594" s="21" t="s">
        <v>226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20" customHeight="1" x14ac:dyDescent="0.3">
      <c r="A595" s="18" t="s">
        <v>399</v>
      </c>
      <c r="C595" s="18">
        <v>1</v>
      </c>
      <c r="D595" s="21" t="s">
        <v>240</v>
      </c>
      <c r="E595" s="21" t="s">
        <v>224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40</v>
      </c>
      <c r="X595" s="18">
        <f>IFERROR(VLOOKUP($D595&amp;$C595,生产方式定位!$A$2:$E$38,5,FALSE)+VLOOKUP($E595&amp;$C595,生产方式定位!$F$3:$J$38,5,FALSE),"错误")</f>
        <v>1144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>14%</v>
      </c>
      <c r="AC595" s="1">
        <f t="shared" si="149"/>
        <v>104</v>
      </c>
      <c r="AD595" s="36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20" customHeight="1" x14ac:dyDescent="0.3">
      <c r="A596" s="18" t="s">
        <v>399</v>
      </c>
      <c r="C596" s="18">
        <v>2</v>
      </c>
      <c r="D596" s="21" t="s">
        <v>240</v>
      </c>
      <c r="E596" s="21" t="s">
        <v>224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50</v>
      </c>
      <c r="X596" s="18">
        <f>IFERROR(VLOOKUP($D596&amp;$C596,生产方式定位!$A$2:$E$38,5,FALSE)+VLOOKUP($E596&amp;$C596,生产方式定位!$F$3:$J$38,5,FALSE),"错误")</f>
        <v>1930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>21%</v>
      </c>
      <c r="AC596" s="1">
        <f t="shared" si="149"/>
        <v>280</v>
      </c>
      <c r="AD596" s="36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20" customHeight="1" x14ac:dyDescent="0.3">
      <c r="A597" s="18" t="s">
        <v>399</v>
      </c>
      <c r="C597" s="18">
        <v>3</v>
      </c>
      <c r="D597" s="21" t="s">
        <v>240</v>
      </c>
      <c r="E597" s="21" t="s">
        <v>224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60</v>
      </c>
      <c r="X597" s="18">
        <f>IFERROR(VLOOKUP($D597&amp;$C597,生产方式定位!$A$2:$E$38,5,FALSE)+VLOOKUP($E597&amp;$C597,生产方式定位!$F$3:$J$38,5,FALSE),"错误")</f>
        <v>2326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>27%</v>
      </c>
      <c r="AC597" s="1">
        <f t="shared" si="149"/>
        <v>441</v>
      </c>
      <c r="AD597" s="35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20" customHeight="1" x14ac:dyDescent="0.3">
      <c r="A598" s="18" t="s">
        <v>399</v>
      </c>
      <c r="C598" s="18">
        <v>4</v>
      </c>
      <c r="D598" s="21" t="s">
        <v>240</v>
      </c>
      <c r="E598" s="21" t="s">
        <v>224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70</v>
      </c>
      <c r="X598" s="18">
        <f>IFERROR(VLOOKUP($D598&amp;$C598,生产方式定位!$A$2:$E$38,5,FALSE)+VLOOKUP($E598&amp;$C598,生产方式定位!$F$3:$J$38,5,FALSE),"错误")</f>
        <v>2743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>34%</v>
      </c>
      <c r="AC598" s="1">
        <f t="shared" si="149"/>
        <v>623</v>
      </c>
      <c r="AD598" s="35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20" customHeight="1" x14ac:dyDescent="0.3">
      <c r="A599" s="18" t="s">
        <v>399</v>
      </c>
      <c r="C599" s="18">
        <v>5</v>
      </c>
      <c r="D599" s="21" t="s">
        <v>240</v>
      </c>
      <c r="E599" s="21" t="s">
        <v>224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80</v>
      </c>
      <c r="X599" s="18">
        <f>IFERROR(VLOOKUP($D599&amp;$C599,生产方式定位!$A$2:$E$38,5,FALSE)+VLOOKUP($E599&amp;$C599,生产方式定位!$F$3:$J$38,5,FALSE),"错误")</f>
        <v>3183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>40%</v>
      </c>
      <c r="AC599" s="1">
        <f t="shared" si="149"/>
        <v>828</v>
      </c>
      <c r="AD599" s="35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20" customHeight="1" x14ac:dyDescent="0.3">
      <c r="A600" s="5" t="s">
        <v>400</v>
      </c>
      <c r="C600" s="5">
        <v>1</v>
      </c>
      <c r="D600" s="21" t="s">
        <v>292</v>
      </c>
      <c r="E600" s="21" t="s">
        <v>226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/>
      </c>
      <c r="AC600" s="1" t="str">
        <f t="shared" si="149"/>
        <v/>
      </c>
      <c r="AD600" s="35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20" customHeight="1" x14ac:dyDescent="0.3">
      <c r="A601" s="5" t="s">
        <v>400</v>
      </c>
      <c r="C601" s="5">
        <v>2</v>
      </c>
      <c r="D601" s="21" t="s">
        <v>292</v>
      </c>
      <c r="E601" s="21" t="s">
        <v>226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/>
      </c>
      <c r="AC601" s="1" t="str">
        <f t="shared" si="149"/>
        <v/>
      </c>
      <c r="AD601" s="35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20" customHeight="1" x14ac:dyDescent="0.3">
      <c r="A602" s="5" t="s">
        <v>400</v>
      </c>
      <c r="C602" s="5">
        <v>3</v>
      </c>
      <c r="D602" s="21" t="s">
        <v>292</v>
      </c>
      <c r="E602" s="21" t="s">
        <v>226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/>
      </c>
      <c r="AC602" s="1" t="str">
        <f t="shared" si="149"/>
        <v/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20" customHeight="1" x14ac:dyDescent="0.3">
      <c r="A603" s="5" t="s">
        <v>400</v>
      </c>
      <c r="C603" s="5">
        <v>4</v>
      </c>
      <c r="D603" s="21" t="s">
        <v>292</v>
      </c>
      <c r="E603" s="21" t="s">
        <v>226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/>
      </c>
      <c r="AC603" s="1" t="str">
        <f t="shared" si="149"/>
        <v/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20" customHeight="1" x14ac:dyDescent="0.3">
      <c r="A604" s="5" t="s">
        <v>400</v>
      </c>
      <c r="C604" s="5">
        <v>5</v>
      </c>
      <c r="D604" s="21" t="s">
        <v>292</v>
      </c>
      <c r="E604" s="21" t="s">
        <v>226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/>
      </c>
      <c r="AC604" s="1" t="str">
        <f t="shared" si="149"/>
        <v/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20" customHeight="1" x14ac:dyDescent="0.3">
      <c r="A605" s="5" t="s">
        <v>400</v>
      </c>
      <c r="C605" s="5">
        <v>6</v>
      </c>
      <c r="D605" s="21" t="s">
        <v>292</v>
      </c>
      <c r="E605" s="21" t="s">
        <v>226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6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20" customHeight="1" x14ac:dyDescent="0.3">
      <c r="A606" s="5" t="s">
        <v>400</v>
      </c>
      <c r="C606" s="5">
        <v>7</v>
      </c>
      <c r="D606" s="21" t="s">
        <v>292</v>
      </c>
      <c r="E606" s="21" t="s">
        <v>226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6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20" customHeight="1" x14ac:dyDescent="0.3">
      <c r="A607" s="5" t="s">
        <v>400</v>
      </c>
      <c r="C607" s="5">
        <v>8</v>
      </c>
      <c r="D607" s="21" t="s">
        <v>292</v>
      </c>
      <c r="E607" s="21" t="s">
        <v>226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6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20" customHeight="1" x14ac:dyDescent="0.3">
      <c r="A608" s="18" t="s">
        <v>400</v>
      </c>
      <c r="C608" s="18">
        <v>1</v>
      </c>
      <c r="D608" s="21" t="s">
        <v>292</v>
      </c>
      <c r="E608" s="21" t="s">
        <v>226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6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20" customHeight="1" x14ac:dyDescent="0.3">
      <c r="A609" s="18" t="s">
        <v>400</v>
      </c>
      <c r="C609" s="18">
        <v>2</v>
      </c>
      <c r="D609" s="21" t="s">
        <v>292</v>
      </c>
      <c r="E609" s="21" t="s">
        <v>226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6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20" customHeight="1" x14ac:dyDescent="0.3">
      <c r="A610" s="18" t="s">
        <v>400</v>
      </c>
      <c r="C610" s="18">
        <v>3</v>
      </c>
      <c r="D610" s="21" t="s">
        <v>292</v>
      </c>
      <c r="E610" s="21" t="s">
        <v>226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5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20" customHeight="1" x14ac:dyDescent="0.3">
      <c r="A611" s="18" t="s">
        <v>400</v>
      </c>
      <c r="C611" s="18">
        <v>4</v>
      </c>
      <c r="D611" s="21" t="s">
        <v>292</v>
      </c>
      <c r="E611" s="21" t="s">
        <v>226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5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20" customHeight="1" x14ac:dyDescent="0.3">
      <c r="A612" s="18" t="s">
        <v>400</v>
      </c>
      <c r="C612" s="18">
        <v>5</v>
      </c>
      <c r="D612" s="21" t="s">
        <v>292</v>
      </c>
      <c r="E612" s="21" t="s">
        <v>226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5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20" customHeight="1" x14ac:dyDescent="0.3">
      <c r="A613" s="18" t="s">
        <v>400</v>
      </c>
      <c r="C613" s="18">
        <v>6</v>
      </c>
      <c r="D613" s="21" t="s">
        <v>292</v>
      </c>
      <c r="E613" s="21" t="s">
        <v>226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5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20" customHeight="1" x14ac:dyDescent="0.3">
      <c r="A614" s="18" t="s">
        <v>400</v>
      </c>
      <c r="C614" s="18">
        <v>7</v>
      </c>
      <c r="D614" s="21" t="s">
        <v>292</v>
      </c>
      <c r="E614" s="21" t="s">
        <v>226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5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20" customHeight="1" x14ac:dyDescent="0.3">
      <c r="A615" s="18" t="s">
        <v>400</v>
      </c>
      <c r="C615" s="18">
        <v>8</v>
      </c>
      <c r="D615" s="21" t="s">
        <v>292</v>
      </c>
      <c r="E615" s="21" t="s">
        <v>226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20" customHeight="1" x14ac:dyDescent="0.3">
      <c r="A616" s="5" t="s">
        <v>402</v>
      </c>
      <c r="C616" s="5">
        <v>1</v>
      </c>
      <c r="D616" s="21" t="s">
        <v>262</v>
      </c>
      <c r="E616" s="21" t="s">
        <v>224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70</v>
      </c>
      <c r="X616" s="5">
        <f>IFERROR(VLOOKUP($D616&amp;$C616,生产方式定位!$A$2:$E$38,5,FALSE)+VLOOKUP($E616&amp;$C616,生产方式定位!$F$3:$J$38,5,FALSE),"错误")</f>
        <v>350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>
        <f t="shared" si="149"/>
        <v>280</v>
      </c>
      <c r="AD616" s="35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20" customHeight="1" x14ac:dyDescent="0.3">
      <c r="A617" s="5" t="s">
        <v>402</v>
      </c>
      <c r="C617" s="5">
        <v>2</v>
      </c>
      <c r="D617" s="21" t="s">
        <v>262</v>
      </c>
      <c r="E617" s="21" t="s">
        <v>224</v>
      </c>
      <c r="L617" s="5">
        <f>IFERROR(VLOOKUP($D617&amp;$C617,生产方式定位!$A$2:$E$38,2,FALSE)+VLOOKUP($E617&amp;$C617,生产方式定位!$F$3:$J$38,2,FALSE),0)</f>
        <v>1000</v>
      </c>
      <c r="S617" s="5">
        <f>IFERROR(VLOOKUP($D617&amp;$C617,生产方式定位!$A$2:$E$38,3,FALSE)+VLOOKUP($E617&amp;$C617,生产方式定位!$F$3:$J$38,3,FALSE),0)</f>
        <v>90</v>
      </c>
      <c r="X617" s="5">
        <f>IFERROR(VLOOKUP($D617&amp;$C617,生产方式定位!$A$2:$E$38,5,FALSE)+VLOOKUP($E617&amp;$C617,生产方式定位!$F$3:$J$38,5,FALSE),"错误")</f>
        <v>1140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>14%</v>
      </c>
      <c r="AC617" s="1">
        <f t="shared" si="149"/>
        <v>50</v>
      </c>
      <c r="AD617" s="35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20" customHeight="1" x14ac:dyDescent="0.3">
      <c r="A618" s="5" t="s">
        <v>402</v>
      </c>
      <c r="C618" s="5">
        <v>3</v>
      </c>
      <c r="D618" s="21" t="s">
        <v>262</v>
      </c>
      <c r="E618" s="21" t="s">
        <v>224</v>
      </c>
      <c r="L618" s="5">
        <f>IFERROR(VLOOKUP($D618&amp;$C618,生产方式定位!$A$2:$E$38,2,FALSE)+VLOOKUP($E618&amp;$C618,生产方式定位!$F$3:$J$38,2,FALSE),0)</f>
        <v>1625</v>
      </c>
      <c r="S618" s="5">
        <f>IFERROR(VLOOKUP($D618&amp;$C618,生产方式定位!$A$2:$E$38,3,FALSE)+VLOOKUP($E618&amp;$C618,生产方式定位!$F$3:$J$38,3,FALSE),0)</f>
        <v>80</v>
      </c>
      <c r="X618" s="5">
        <f>IFERROR(VLOOKUP($D618&amp;$C618,生产方式定位!$A$2:$E$38,5,FALSE)+VLOOKUP($E618&amp;$C618,生产方式定位!$F$3:$J$38,5,FALSE),"错误")</f>
        <v>1768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>9%</v>
      </c>
      <c r="AC618" s="1">
        <f t="shared" si="149"/>
        <v>63</v>
      </c>
      <c r="AD618" s="36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20" customHeight="1" x14ac:dyDescent="0.3">
      <c r="A619" s="5" t="s">
        <v>402</v>
      </c>
      <c r="C619" s="5">
        <v>4</v>
      </c>
      <c r="D619" s="21" t="s">
        <v>262</v>
      </c>
      <c r="E619" s="21" t="s">
        <v>224</v>
      </c>
      <c r="L619" s="5">
        <f>IFERROR(VLOOKUP($D619&amp;$C619,生产方式定位!$A$2:$E$38,2,FALSE)+VLOOKUP($E619&amp;$C619,生产方式定位!$F$3:$J$38,2,FALSE),0)</f>
        <v>2250</v>
      </c>
      <c r="S619" s="5">
        <f>IFERROR(VLOOKUP($D619&amp;$C619,生产方式定位!$A$2:$E$38,3,FALSE)+VLOOKUP($E619&amp;$C619,生产方式定位!$F$3:$J$38,3,FALSE),0)</f>
        <v>70</v>
      </c>
      <c r="X619" s="5">
        <f>IFERROR(VLOOKUP($D619&amp;$C619,生产方式定位!$A$2:$E$38,5,FALSE)+VLOOKUP($E619&amp;$C619,生产方式定位!$F$3:$J$38,5,FALSE),"错误")</f>
        <v>2395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>6%</v>
      </c>
      <c r="AC619" s="1">
        <f t="shared" si="149"/>
        <v>75</v>
      </c>
      <c r="AD619" s="36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20" customHeight="1" x14ac:dyDescent="0.3">
      <c r="A620" s="5" t="s">
        <v>402</v>
      </c>
      <c r="C620" s="5">
        <v>5</v>
      </c>
      <c r="D620" s="21" t="s">
        <v>262</v>
      </c>
      <c r="E620" s="21" t="s">
        <v>224</v>
      </c>
      <c r="L620" s="5">
        <f>IFERROR(VLOOKUP($D620&amp;$C620,生产方式定位!$A$2:$E$38,2,FALSE)+VLOOKUP($E620&amp;$C620,生产方式定位!$F$3:$J$38,2,FALSE),0)</f>
        <v>2875</v>
      </c>
      <c r="S620" s="5">
        <f>IFERROR(VLOOKUP($D620&amp;$C620,生产方式定位!$A$2:$E$38,3,FALSE)+VLOOKUP($E620&amp;$C620,生产方式定位!$F$3:$J$38,3,FALSE),0)</f>
        <v>60</v>
      </c>
      <c r="X620" s="5">
        <f>IFERROR(VLOOKUP($D620&amp;$C620,生产方式定位!$A$2:$E$38,5,FALSE)+VLOOKUP($E620&amp;$C620,生产方式定位!$F$3:$J$38,5,FALSE),"错误")</f>
        <v>3023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>5%</v>
      </c>
      <c r="AC620" s="1">
        <f t="shared" si="149"/>
        <v>88</v>
      </c>
      <c r="AD620" s="36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20" customHeight="1" x14ac:dyDescent="0.3">
      <c r="A621" s="18" t="s">
        <v>403</v>
      </c>
      <c r="C621" s="18">
        <v>1</v>
      </c>
      <c r="D621" s="21" t="s">
        <v>262</v>
      </c>
      <c r="E621" s="21" t="s">
        <v>230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70</v>
      </c>
      <c r="X621" s="18">
        <f>IFERROR(VLOOKUP($D621&amp;$C621,生产方式定位!$A$2:$E$38,5,FALSE)+VLOOKUP($E621&amp;$C621,生产方式定位!$F$3:$J$38,5,FALSE),"错误")</f>
        <v>350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280</v>
      </c>
      <c r="AD621" s="36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20" customHeight="1" x14ac:dyDescent="0.3">
      <c r="A622" s="18" t="s">
        <v>403</v>
      </c>
      <c r="C622" s="18">
        <v>2</v>
      </c>
      <c r="D622" s="21" t="s">
        <v>262</v>
      </c>
      <c r="E622" s="21" t="s">
        <v>230</v>
      </c>
      <c r="L622" s="18">
        <f>IFERROR(VLOOKUP($D622&amp;$C622,生产方式定位!$A$2:$E$38,2,FALSE)+VLOOKUP($E622&amp;$C622,生产方式定位!$F$3:$J$38,2,FALSE),0)</f>
        <v>900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1041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16%</v>
      </c>
      <c r="AC622" s="1">
        <f t="shared" si="149"/>
        <v>41</v>
      </c>
      <c r="AD622" s="36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20" customHeight="1" x14ac:dyDescent="0.3">
      <c r="A623" s="18" t="s">
        <v>403</v>
      </c>
      <c r="C623" s="18">
        <v>3</v>
      </c>
      <c r="D623" s="21" t="s">
        <v>262</v>
      </c>
      <c r="E623" s="21" t="s">
        <v>230</v>
      </c>
      <c r="L623" s="18">
        <f>IFERROR(VLOOKUP($D623&amp;$C623,生产方式定位!$A$2:$E$38,2,FALSE)+VLOOKUP($E623&amp;$C623,生产方式定位!$F$3:$J$38,2,FALSE),0)</f>
        <v>1500</v>
      </c>
      <c r="S623" s="18">
        <f>IFERROR(VLOOKUP($D623&amp;$C623,生产方式定位!$A$2:$E$38,3,FALSE)+VLOOKUP($E623&amp;$C623,生产方式定位!$F$3:$J$38,3,FALSE),0)</f>
        <v>95</v>
      </c>
      <c r="X623" s="18">
        <f>IFERROR(VLOOKUP($D623&amp;$C623,生产方式定位!$A$2:$E$38,5,FALSE)+VLOOKUP($E623&amp;$C623,生产方式定位!$F$3:$J$38,5,FALSE),"错误")</f>
        <v>1647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10%</v>
      </c>
      <c r="AC623" s="1">
        <f t="shared" si="149"/>
        <v>52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20" customHeight="1" x14ac:dyDescent="0.3">
      <c r="A624" s="18" t="s">
        <v>403</v>
      </c>
      <c r="C624" s="18">
        <v>4</v>
      </c>
      <c r="D624" s="21" t="s">
        <v>262</v>
      </c>
      <c r="E624" s="21" t="s">
        <v>230</v>
      </c>
      <c r="L624" s="18">
        <f>IFERROR(VLOOKUP($D624&amp;$C624,生产方式定位!$A$2:$E$38,2,FALSE)+VLOOKUP($E624&amp;$C624,生产方式定位!$F$3:$J$38,2,FALSE),0)</f>
        <v>2100</v>
      </c>
      <c r="S624" s="18">
        <f>IFERROR(VLOOKUP($D624&amp;$C624,生产方式定位!$A$2:$E$38,3,FALSE)+VLOOKUP($E624&amp;$C624,生产方式定位!$F$3:$J$38,3,FALSE),0)</f>
        <v>90</v>
      </c>
      <c r="X624" s="18">
        <f>IFERROR(VLOOKUP($D624&amp;$C624,生产方式定位!$A$2:$E$38,5,FALSE)+VLOOKUP($E624&amp;$C624,生产方式定位!$F$3:$J$38,5,FALSE),"错误")</f>
        <v>2252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7%</v>
      </c>
      <c r="AC624" s="1">
        <f t="shared" si="149"/>
        <v>62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20" customHeight="1" x14ac:dyDescent="0.3">
      <c r="A625" s="18" t="s">
        <v>403</v>
      </c>
      <c r="C625" s="18">
        <v>5</v>
      </c>
      <c r="D625" s="21" t="s">
        <v>262</v>
      </c>
      <c r="E625" s="21" t="s">
        <v>230</v>
      </c>
      <c r="L625" s="18">
        <f>IFERROR(VLOOKUP($D625&amp;$C625,生产方式定位!$A$2:$E$38,2,FALSE)+VLOOKUP($E625&amp;$C625,生产方式定位!$F$3:$J$38,2,FALSE),0)</f>
        <v>2700</v>
      </c>
      <c r="S625" s="18">
        <f>IFERROR(VLOOKUP($D625&amp;$C625,生产方式定位!$A$2:$E$38,3,FALSE)+VLOOKUP($E625&amp;$C625,生产方式定位!$F$3:$J$38,3,FALSE),0)</f>
        <v>85</v>
      </c>
      <c r="X625" s="18">
        <f>IFERROR(VLOOKUP($D625&amp;$C625,生产方式定位!$A$2:$E$38,5,FALSE)+VLOOKUP($E625&amp;$C625,生产方式定位!$F$3:$J$38,5,FALSE),"错误")</f>
        <v>2858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6%</v>
      </c>
      <c r="AC625" s="1">
        <f t="shared" si="149"/>
        <v>73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20" customHeight="1" x14ac:dyDescent="0.3">
      <c r="A626" s="5" t="s">
        <v>404</v>
      </c>
      <c r="C626" s="5">
        <v>1</v>
      </c>
      <c r="D626" s="21" t="s">
        <v>262</v>
      </c>
      <c r="E626" s="21" t="s">
        <v>225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70</v>
      </c>
      <c r="X626" s="5">
        <f>IFERROR(VLOOKUP($D626&amp;$C626,生产方式定位!$A$2:$E$38,5,FALSE)+VLOOKUP($E626&amp;$C626,生产方式定位!$F$3:$J$38,5,FALSE),"错误")</f>
        <v>350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>
        <f t="shared" si="149"/>
        <v>280</v>
      </c>
      <c r="AD626" s="35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20" customHeight="1" x14ac:dyDescent="0.3">
      <c r="A627" s="5" t="s">
        <v>404</v>
      </c>
      <c r="C627" s="5">
        <v>2</v>
      </c>
      <c r="D627" s="21" t="s">
        <v>262</v>
      </c>
      <c r="E627" s="21" t="s">
        <v>225</v>
      </c>
      <c r="L627" s="5">
        <f>IFERROR(VLOOKUP($D627&amp;$C627,生产方式定位!$A$2:$E$38,2,FALSE)+VLOOKUP($E627&amp;$C627,生产方式定位!$F$3:$J$38,2,FALSE),0)</f>
        <v>1250</v>
      </c>
      <c r="S627" s="5">
        <f>IFERROR(VLOOKUP($D627&amp;$C627,生产方式定位!$A$2:$E$38,3,FALSE)+VLOOKUP($E627&amp;$C627,生产方式定位!$F$3:$J$38,3,FALSE),0)</f>
        <v>130</v>
      </c>
      <c r="X627" s="5">
        <f>IFERROR(VLOOKUP($D627&amp;$C627,生产方式定位!$A$2:$E$38,5,FALSE)+VLOOKUP($E627&amp;$C627,生产方式定位!$F$3:$J$38,5,FALSE),"错误")</f>
        <v>1222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>-2%</v>
      </c>
      <c r="AC627" s="1">
        <f t="shared" si="149"/>
        <v>-158</v>
      </c>
      <c r="AD627" s="35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20" customHeight="1" x14ac:dyDescent="0.3">
      <c r="A628" s="5" t="s">
        <v>404</v>
      </c>
      <c r="C628" s="5">
        <v>3</v>
      </c>
      <c r="D628" s="21" t="s">
        <v>262</v>
      </c>
      <c r="E628" s="21" t="s">
        <v>225</v>
      </c>
      <c r="L628" s="5">
        <f>IFERROR(VLOOKUP($D628&amp;$C628,生产方式定位!$A$2:$E$38,2,FALSE)+VLOOKUP($E628&amp;$C628,生产方式定位!$F$3:$J$38,2,FALSE),0)</f>
        <v>2000</v>
      </c>
      <c r="S628" s="5">
        <f>IFERROR(VLOOKUP($D628&amp;$C628,生产方式定位!$A$2:$E$38,3,FALSE)+VLOOKUP($E628&amp;$C628,生产方式定位!$F$3:$J$38,3,FALSE),0)</f>
        <v>140</v>
      </c>
      <c r="X628" s="5">
        <f>IFERROR(VLOOKUP($D628&amp;$C628,生产方式定位!$A$2:$E$38,5,FALSE)+VLOOKUP($E628&amp;$C628,生产方式定位!$F$3:$J$38,5,FALSE),"错误")</f>
        <v>1981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>-1%</v>
      </c>
      <c r="AC628" s="1">
        <f t="shared" si="149"/>
        <v>-159</v>
      </c>
      <c r="AD628" s="35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20" customHeight="1" x14ac:dyDescent="0.3">
      <c r="A629" s="5" t="s">
        <v>404</v>
      </c>
      <c r="C629" s="5">
        <v>4</v>
      </c>
      <c r="D629" s="21" t="s">
        <v>262</v>
      </c>
      <c r="E629" s="21" t="s">
        <v>225</v>
      </c>
      <c r="L629" s="5">
        <f>IFERROR(VLOOKUP($D629&amp;$C629,生产方式定位!$A$2:$E$38,2,FALSE)+VLOOKUP($E629&amp;$C629,生产方式定位!$F$3:$J$38,2,FALSE),0)</f>
        <v>2750</v>
      </c>
      <c r="S629" s="5">
        <f>IFERROR(VLOOKUP($D629&amp;$C629,生产方式定位!$A$2:$E$38,3,FALSE)+VLOOKUP($E629&amp;$C629,生产方式定位!$F$3:$J$38,3,FALSE),0)</f>
        <v>150</v>
      </c>
      <c r="X629" s="5">
        <f>IFERROR(VLOOKUP($D629&amp;$C629,生产方式定位!$A$2:$E$38,5,FALSE)+VLOOKUP($E629&amp;$C629,生产方式定位!$F$3:$J$38,5,FALSE),"错误")</f>
        <v>2767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>1%</v>
      </c>
      <c r="AC629" s="1">
        <f t="shared" si="149"/>
        <v>-133</v>
      </c>
      <c r="AD629" s="35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20" customHeight="1" x14ac:dyDescent="0.3">
      <c r="A630" s="5" t="s">
        <v>404</v>
      </c>
      <c r="C630" s="5">
        <v>5</v>
      </c>
      <c r="D630" s="21" t="s">
        <v>262</v>
      </c>
      <c r="E630" s="21" t="s">
        <v>225</v>
      </c>
      <c r="L630" s="5">
        <f>IFERROR(VLOOKUP($D630&amp;$C630,生产方式定位!$A$2:$E$38,2,FALSE)+VLOOKUP($E630&amp;$C630,生产方式定位!$F$3:$J$38,2,FALSE),0)</f>
        <v>3500</v>
      </c>
      <c r="S630" s="5">
        <f>IFERROR(VLOOKUP($D630&amp;$C630,生产方式定位!$A$2:$E$38,3,FALSE)+VLOOKUP($E630&amp;$C630,生产方式定位!$F$3:$J$38,3,FALSE),0)</f>
        <v>160</v>
      </c>
      <c r="X630" s="5">
        <f>IFERROR(VLOOKUP($D630&amp;$C630,生产方式定位!$A$2:$E$38,5,FALSE)+VLOOKUP($E630&amp;$C630,生产方式定位!$F$3:$J$38,5,FALSE),"错误")</f>
        <v>3820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>9%</v>
      </c>
      <c r="AC630" s="1">
        <f t="shared" si="149"/>
        <v>160</v>
      </c>
      <c r="AD630" s="35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20" customHeight="1" x14ac:dyDescent="0.3">
      <c r="A631" s="18" t="s">
        <v>404</v>
      </c>
      <c r="C631" s="18">
        <v>1</v>
      </c>
      <c r="D631" s="21" t="s">
        <v>262</v>
      </c>
      <c r="E631" s="21" t="s">
        <v>225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70</v>
      </c>
      <c r="X631" s="18">
        <f>IFERROR(VLOOKUP($D631&amp;$C631,生产方式定位!$A$2:$E$38,5,FALSE)+VLOOKUP($E631&amp;$C631,生产方式定位!$F$3:$J$38,5,FALSE),"错误")</f>
        <v>350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>
        <f t="shared" si="149"/>
        <v>280</v>
      </c>
      <c r="AD631" s="36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20" customHeight="1" x14ac:dyDescent="0.3">
      <c r="A632" s="18" t="s">
        <v>404</v>
      </c>
      <c r="C632" s="18">
        <v>2</v>
      </c>
      <c r="D632" s="21" t="s">
        <v>262</v>
      </c>
      <c r="E632" s="21" t="s">
        <v>225</v>
      </c>
      <c r="L632" s="18">
        <f>IFERROR(VLOOKUP($D632&amp;$C632,生产方式定位!$A$2:$E$38,2,FALSE)+VLOOKUP($E632&amp;$C632,生产方式定位!$F$3:$J$38,2,FALSE),0)</f>
        <v>1250</v>
      </c>
      <c r="S632" s="18">
        <f>IFERROR(VLOOKUP($D632&amp;$C632,生产方式定位!$A$2:$E$38,3,FALSE)+VLOOKUP($E632&amp;$C632,生产方式定位!$F$3:$J$38,3,FALSE),0)</f>
        <v>130</v>
      </c>
      <c r="X632" s="18">
        <f>IFERROR(VLOOKUP($D632&amp;$C632,生产方式定位!$A$2:$E$38,5,FALSE)+VLOOKUP($E632&amp;$C632,生产方式定位!$F$3:$J$38,5,FALSE),"错误")</f>
        <v>1222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>-2%</v>
      </c>
      <c r="AC632" s="1">
        <f t="shared" si="149"/>
        <v>-158</v>
      </c>
      <c r="AD632" s="36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20" customHeight="1" x14ac:dyDescent="0.3">
      <c r="A633" s="18" t="s">
        <v>404</v>
      </c>
      <c r="C633" s="18">
        <v>3</v>
      </c>
      <c r="D633" s="21" t="s">
        <v>262</v>
      </c>
      <c r="E633" s="21" t="s">
        <v>225</v>
      </c>
      <c r="L633" s="18">
        <f>IFERROR(VLOOKUP($D633&amp;$C633,生产方式定位!$A$2:$E$38,2,FALSE)+VLOOKUP($E633&amp;$C633,生产方式定位!$F$3:$J$38,2,FALSE),0)</f>
        <v>2000</v>
      </c>
      <c r="S633" s="18">
        <f>IFERROR(VLOOKUP($D633&amp;$C633,生产方式定位!$A$2:$E$38,3,FALSE)+VLOOKUP($E633&amp;$C633,生产方式定位!$F$3:$J$38,3,FALSE),0)</f>
        <v>140</v>
      </c>
      <c r="X633" s="18">
        <f>IFERROR(VLOOKUP($D633&amp;$C633,生产方式定位!$A$2:$E$38,5,FALSE)+VLOOKUP($E633&amp;$C633,生产方式定位!$F$3:$J$38,5,FALSE),"错误")</f>
        <v>1981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>-1%</v>
      </c>
      <c r="AC633" s="1">
        <f t="shared" si="149"/>
        <v>-159</v>
      </c>
      <c r="AD633" s="36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20" customHeight="1" x14ac:dyDescent="0.3">
      <c r="A634" s="18" t="s">
        <v>404</v>
      </c>
      <c r="C634" s="18">
        <v>4</v>
      </c>
      <c r="D634" s="21" t="s">
        <v>262</v>
      </c>
      <c r="E634" s="21" t="s">
        <v>225</v>
      </c>
      <c r="L634" s="18">
        <f>IFERROR(VLOOKUP($D634&amp;$C634,生产方式定位!$A$2:$E$38,2,FALSE)+VLOOKUP($E634&amp;$C634,生产方式定位!$F$3:$J$38,2,FALSE),0)</f>
        <v>2750</v>
      </c>
      <c r="S634" s="18">
        <f>IFERROR(VLOOKUP($D634&amp;$C634,生产方式定位!$A$2:$E$38,3,FALSE)+VLOOKUP($E634&amp;$C634,生产方式定位!$F$3:$J$38,3,FALSE),0)</f>
        <v>150</v>
      </c>
      <c r="X634" s="18">
        <f>IFERROR(VLOOKUP($D634&amp;$C634,生产方式定位!$A$2:$E$38,5,FALSE)+VLOOKUP($E634&amp;$C634,生产方式定位!$F$3:$J$38,5,FALSE),"错误")</f>
        <v>2767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>1%</v>
      </c>
      <c r="AC634" s="1">
        <f t="shared" si="149"/>
        <v>-133</v>
      </c>
      <c r="AD634" s="36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20" customHeight="1" x14ac:dyDescent="0.3">
      <c r="A635" s="18" t="s">
        <v>404</v>
      </c>
      <c r="C635" s="18">
        <v>5</v>
      </c>
      <c r="D635" s="21" t="s">
        <v>262</v>
      </c>
      <c r="E635" s="21" t="s">
        <v>225</v>
      </c>
      <c r="L635" s="18">
        <f>IFERROR(VLOOKUP($D635&amp;$C635,生产方式定位!$A$2:$E$38,2,FALSE)+VLOOKUP($E635&amp;$C635,生产方式定位!$F$3:$J$38,2,FALSE),0)</f>
        <v>3500</v>
      </c>
      <c r="S635" s="18">
        <f>IFERROR(VLOOKUP($D635&amp;$C635,生产方式定位!$A$2:$E$38,3,FALSE)+VLOOKUP($E635&amp;$C635,生产方式定位!$F$3:$J$38,3,FALSE),0)</f>
        <v>160</v>
      </c>
      <c r="X635" s="18">
        <f>IFERROR(VLOOKUP($D635&amp;$C635,生产方式定位!$A$2:$E$38,5,FALSE)+VLOOKUP($E635&amp;$C635,生产方式定位!$F$3:$J$38,5,FALSE),"错误")</f>
        <v>3820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>9%</v>
      </c>
      <c r="AC635" s="1">
        <f t="shared" si="149"/>
        <v>160</v>
      </c>
      <c r="AD635" s="36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20" customHeight="1" x14ac:dyDescent="0.3">
      <c r="A636" s="5" t="s">
        <v>405</v>
      </c>
      <c r="C636" s="5">
        <v>1</v>
      </c>
      <c r="D636" s="21" t="s">
        <v>292</v>
      </c>
      <c r="E636" s="21" t="s">
        <v>226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str">
        <f t="shared" si="149"/>
        <v/>
      </c>
      <c r="AD636" s="35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20" customHeight="1" x14ac:dyDescent="0.3">
      <c r="A637" s="5" t="s">
        <v>405</v>
      </c>
      <c r="C637" s="5">
        <v>2</v>
      </c>
      <c r="D637" s="21" t="s">
        <v>292</v>
      </c>
      <c r="E637" s="21" t="s">
        <v>226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str">
        <f t="shared" si="149"/>
        <v/>
      </c>
      <c r="AD637" s="35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20" customHeight="1" x14ac:dyDescent="0.3">
      <c r="A638" s="5" t="s">
        <v>405</v>
      </c>
      <c r="C638" s="5">
        <v>3</v>
      </c>
      <c r="D638" s="21" t="s">
        <v>292</v>
      </c>
      <c r="E638" s="21" t="s">
        <v>226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str">
        <f t="shared" si="149"/>
        <v/>
      </c>
      <c r="AD638" s="35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20" customHeight="1" x14ac:dyDescent="0.3">
      <c r="A639" s="5" t="s">
        <v>405</v>
      </c>
      <c r="C639" s="5">
        <v>4</v>
      </c>
      <c r="D639" s="21" t="s">
        <v>292</v>
      </c>
      <c r="E639" s="21" t="s">
        <v>226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str">
        <f t="shared" si="149"/>
        <v/>
      </c>
      <c r="AD639" s="35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20" customHeight="1" x14ac:dyDescent="0.3">
      <c r="A640" s="5" t="s">
        <v>405</v>
      </c>
      <c r="C640" s="5">
        <v>5</v>
      </c>
      <c r="D640" s="21" t="s">
        <v>292</v>
      </c>
      <c r="E640" s="21" t="s">
        <v>226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str">
        <f t="shared" si="149"/>
        <v/>
      </c>
      <c r="AD640" s="35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20" customHeight="1" x14ac:dyDescent="0.3">
      <c r="A641" s="5" t="s">
        <v>405</v>
      </c>
      <c r="C641" s="5">
        <v>6</v>
      </c>
      <c r="D641" s="21" t="s">
        <v>292</v>
      </c>
      <c r="E641" s="21" t="s">
        <v>226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6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20" customHeight="1" x14ac:dyDescent="0.3">
      <c r="A642" s="5" t="s">
        <v>405</v>
      </c>
      <c r="C642" s="5">
        <v>7</v>
      </c>
      <c r="D642" s="21" t="s">
        <v>292</v>
      </c>
      <c r="E642" s="21" t="s">
        <v>226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6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20" customHeight="1" x14ac:dyDescent="0.3">
      <c r="A643" s="5" t="s">
        <v>405</v>
      </c>
      <c r="C643" s="5">
        <v>8</v>
      </c>
      <c r="D643" s="21" t="s">
        <v>292</v>
      </c>
      <c r="E643" s="21" t="s">
        <v>226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6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20" customHeight="1" x14ac:dyDescent="0.3">
      <c r="A644" s="18" t="s">
        <v>407</v>
      </c>
      <c r="C644" s="18">
        <v>1</v>
      </c>
      <c r="D644" s="21" t="s">
        <v>262</v>
      </c>
      <c r="E644" s="21" t="s">
        <v>224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70</v>
      </c>
      <c r="X644" s="18">
        <f>IFERROR(VLOOKUP($D644&amp;$C644,生产方式定位!$A$2:$E$38,5,FALSE)+VLOOKUP($E644&amp;$C644,生产方式定位!$F$3:$J$38,5,FALSE),"错误")</f>
        <v>350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>
        <f t="shared" si="149"/>
        <v>280</v>
      </c>
      <c r="AD644" s="36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20" customHeight="1" x14ac:dyDescent="0.3">
      <c r="A645" s="18" t="s">
        <v>407</v>
      </c>
      <c r="C645" s="18">
        <v>2</v>
      </c>
      <c r="D645" s="21" t="s">
        <v>262</v>
      </c>
      <c r="E645" s="21" t="s">
        <v>224</v>
      </c>
      <c r="L645" s="18">
        <f>IFERROR(VLOOKUP($D645&amp;$C645,生产方式定位!$A$2:$E$38,2,FALSE)+VLOOKUP($E645&amp;$C645,生产方式定位!$F$3:$J$38,2,FALSE),0)</f>
        <v>1000</v>
      </c>
      <c r="S645" s="18">
        <f>IFERROR(VLOOKUP($D645&amp;$C645,生产方式定位!$A$2:$E$38,3,FALSE)+VLOOKUP($E645&amp;$C645,生产方式定位!$F$3:$J$38,3,FALSE),0)</f>
        <v>90</v>
      </c>
      <c r="X645" s="18">
        <f>IFERROR(VLOOKUP($D645&amp;$C645,生产方式定位!$A$2:$E$38,5,FALSE)+VLOOKUP($E645&amp;$C645,生产方式定位!$F$3:$J$38,5,FALSE),"错误")</f>
        <v>1140</v>
      </c>
      <c r="Y645" s="24" t="str">
        <f t="shared" si="146"/>
        <v/>
      </c>
      <c r="Z645" s="34" t="str">
        <f t="shared" si="147"/>
        <v/>
      </c>
      <c r="AA645" s="34" t="str">
        <f t="shared" ref="AA645:AA708" si="160">IF(AJ645="","",AJ645)&amp;IF(AK645="","",","&amp;AK645)</f>
        <v/>
      </c>
      <c r="AB645" s="25" t="str">
        <f t="shared" si="148"/>
        <v>14%</v>
      </c>
      <c r="AC645" s="1">
        <f t="shared" si="149"/>
        <v>50</v>
      </c>
      <c r="AD645" s="36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20" customHeight="1" x14ac:dyDescent="0.3">
      <c r="A646" s="18" t="s">
        <v>407</v>
      </c>
      <c r="C646" s="18">
        <v>3</v>
      </c>
      <c r="D646" s="21" t="s">
        <v>262</v>
      </c>
      <c r="E646" s="21" t="s">
        <v>224</v>
      </c>
      <c r="L646" s="18">
        <f>IFERROR(VLOOKUP($D646&amp;$C646,生产方式定位!$A$2:$E$38,2,FALSE)+VLOOKUP($E646&amp;$C646,生产方式定位!$F$3:$J$38,2,FALSE),0)</f>
        <v>1625</v>
      </c>
      <c r="S646" s="18">
        <f>IFERROR(VLOOKUP($D646&amp;$C646,生产方式定位!$A$2:$E$38,3,FALSE)+VLOOKUP($E646&amp;$C646,生产方式定位!$F$3:$J$38,3,FALSE),0)</f>
        <v>80</v>
      </c>
      <c r="X646" s="18">
        <f>IFERROR(VLOOKUP($D646&amp;$C646,生产方式定位!$A$2:$E$38,5,FALSE)+VLOOKUP($E646&amp;$C646,生产方式定位!$F$3:$J$38,5,FALSE),"错误")</f>
        <v>1768</v>
      </c>
      <c r="Y646" s="24" t="str">
        <f t="shared" ref="Y646:Y709" si="162">IF(AE646="","",AE646)&amp;IF(AF646="","",","&amp;AF646)&amp;IF(AN646=0,"",",运力*"&amp;AN646)&amp;IF(AO646=0,"",",交易*"&amp;AO646)</f>
        <v/>
      </c>
      <c r="Z646" s="34" t="str">
        <f t="shared" ref="Z646:Z709" si="163">IF(AG646="","",AG646)&amp;IF(AH646="","",","&amp;AH646)&amp;IF(AI646="","",","&amp;AI646)</f>
        <v/>
      </c>
      <c r="AA646" s="34" t="str">
        <f t="shared" si="160"/>
        <v/>
      </c>
      <c r="AB646" s="25" t="str">
        <f t="shared" ref="AB646:AB709" si="164">IFERROR(ROUND(((X646/L646)-1)*100,0)&amp;"%","")</f>
        <v>9%</v>
      </c>
      <c r="AC646" s="1">
        <f t="shared" ref="AC646:AC709" si="165">IF(X646-S646-L646=0,"",X646-S646-L646)</f>
        <v>63</v>
      </c>
      <c r="AD646" s="35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spans="1:49" ht="20" customHeight="1" x14ac:dyDescent="0.3">
      <c r="A647" s="18" t="s">
        <v>407</v>
      </c>
      <c r="C647" s="18">
        <v>4</v>
      </c>
      <c r="D647" s="21" t="s">
        <v>262</v>
      </c>
      <c r="E647" s="21" t="s">
        <v>224</v>
      </c>
      <c r="L647" s="18">
        <f>IFERROR(VLOOKUP($D647&amp;$C647,生产方式定位!$A$2:$E$38,2,FALSE)+VLOOKUP($E647&amp;$C647,生产方式定位!$F$3:$J$38,2,FALSE),0)</f>
        <v>2250</v>
      </c>
      <c r="S647" s="18">
        <f>IFERROR(VLOOKUP($D647&amp;$C647,生产方式定位!$A$2:$E$38,3,FALSE)+VLOOKUP($E647&amp;$C647,生产方式定位!$F$3:$J$38,3,FALSE),0)</f>
        <v>70</v>
      </c>
      <c r="X647" s="18">
        <f>IFERROR(VLOOKUP($D647&amp;$C647,生产方式定位!$A$2:$E$38,5,FALSE)+VLOOKUP($E647&amp;$C647,生产方式定位!$F$3:$J$38,5,FALSE),"错误")</f>
        <v>2395</v>
      </c>
      <c r="Y647" s="24" t="str">
        <f t="shared" si="162"/>
        <v/>
      </c>
      <c r="Z647" s="34" t="str">
        <f t="shared" si="163"/>
        <v/>
      </c>
      <c r="AA647" s="34" t="str">
        <f t="shared" si="160"/>
        <v/>
      </c>
      <c r="AB647" s="25" t="str">
        <f t="shared" si="164"/>
        <v>6%</v>
      </c>
      <c r="AC647" s="1">
        <f t="shared" si="165"/>
        <v>75</v>
      </c>
      <c r="AD647" s="35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20" customHeight="1" x14ac:dyDescent="0.3">
      <c r="A648" s="18" t="s">
        <v>407</v>
      </c>
      <c r="C648" s="18">
        <v>5</v>
      </c>
      <c r="D648" s="21" t="s">
        <v>262</v>
      </c>
      <c r="E648" s="21" t="s">
        <v>224</v>
      </c>
      <c r="L648" s="18">
        <f>IFERROR(VLOOKUP($D648&amp;$C648,生产方式定位!$A$2:$E$38,2,FALSE)+VLOOKUP($E648&amp;$C648,生产方式定位!$F$3:$J$38,2,FALSE),0)</f>
        <v>2875</v>
      </c>
      <c r="S648" s="18">
        <f>IFERROR(VLOOKUP($D648&amp;$C648,生产方式定位!$A$2:$E$38,3,FALSE)+VLOOKUP($E648&amp;$C648,生产方式定位!$F$3:$J$38,3,FALSE),0)</f>
        <v>60</v>
      </c>
      <c r="X648" s="18">
        <f>IFERROR(VLOOKUP($D648&amp;$C648,生产方式定位!$A$2:$E$38,5,FALSE)+VLOOKUP($E648&amp;$C648,生产方式定位!$F$3:$J$38,5,FALSE),"错误")</f>
        <v>3023</v>
      </c>
      <c r="Y648" s="24" t="str">
        <f t="shared" si="162"/>
        <v/>
      </c>
      <c r="Z648" s="34" t="str">
        <f t="shared" si="163"/>
        <v/>
      </c>
      <c r="AA648" s="34" t="str">
        <f t="shared" si="160"/>
        <v/>
      </c>
      <c r="AB648" s="25" t="str">
        <f t="shared" si="164"/>
        <v>5%</v>
      </c>
      <c r="AC648" s="1">
        <f t="shared" si="165"/>
        <v>88</v>
      </c>
      <c r="AD648" s="35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20" customHeight="1" x14ac:dyDescent="0.3">
      <c r="A649" s="5" t="s">
        <v>408</v>
      </c>
      <c r="C649" s="5">
        <v>1</v>
      </c>
      <c r="D649" s="21" t="s">
        <v>262</v>
      </c>
      <c r="E649" s="21" t="s">
        <v>230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70</v>
      </c>
      <c r="X649" s="5">
        <f>IFERROR(VLOOKUP($D649&amp;$C649,生产方式定位!$A$2:$E$38,5,FALSE)+VLOOKUP($E649&amp;$C649,生产方式定位!$F$3:$J$38,5,FALSE),"错误")</f>
        <v>350</v>
      </c>
      <c r="Y649" s="24" t="str">
        <f t="shared" si="162"/>
        <v/>
      </c>
      <c r="Z649" s="34" t="str">
        <f t="shared" si="163"/>
        <v/>
      </c>
      <c r="AA649" s="34" t="str">
        <f t="shared" si="160"/>
        <v/>
      </c>
      <c r="AB649" s="25" t="str">
        <f t="shared" si="164"/>
        <v/>
      </c>
      <c r="AC649" s="1">
        <f t="shared" si="165"/>
        <v>280</v>
      </c>
      <c r="AD649" s="35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20" customHeight="1" x14ac:dyDescent="0.3">
      <c r="A650" s="5" t="s">
        <v>408</v>
      </c>
      <c r="C650" s="5">
        <v>2</v>
      </c>
      <c r="D650" s="21" t="s">
        <v>262</v>
      </c>
      <c r="E650" s="21" t="s">
        <v>230</v>
      </c>
      <c r="L650" s="5">
        <f>IFERROR(VLOOKUP($D650&amp;$C650,生产方式定位!$A$2:$E$38,2,FALSE)+VLOOKUP($E650&amp;$C650,生产方式定位!$F$3:$J$38,2,FALSE),0)</f>
        <v>900</v>
      </c>
      <c r="S650" s="5">
        <f>IFERROR(VLOOKUP($D650&amp;$C650,生产方式定位!$A$2:$E$38,3,FALSE)+VLOOKUP($E650&amp;$C650,生产方式定位!$F$3:$J$38,3,FALSE),0)</f>
        <v>100</v>
      </c>
      <c r="X650" s="5">
        <f>IFERROR(VLOOKUP($D650&amp;$C650,生产方式定位!$A$2:$E$38,5,FALSE)+VLOOKUP($E650&amp;$C650,生产方式定位!$F$3:$J$38,5,FALSE),"错误")</f>
        <v>1041</v>
      </c>
      <c r="Y650" s="24" t="str">
        <f t="shared" si="162"/>
        <v/>
      </c>
      <c r="Z650" s="34" t="str">
        <f t="shared" si="163"/>
        <v/>
      </c>
      <c r="AA650" s="34" t="str">
        <f t="shared" si="160"/>
        <v/>
      </c>
      <c r="AB650" s="25" t="str">
        <f t="shared" si="164"/>
        <v>16%</v>
      </c>
      <c r="AC650" s="1">
        <f t="shared" si="165"/>
        <v>41</v>
      </c>
      <c r="AD650" s="35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20" customHeight="1" x14ac:dyDescent="0.3">
      <c r="A651" s="5" t="s">
        <v>408</v>
      </c>
      <c r="C651" s="5">
        <v>3</v>
      </c>
      <c r="D651" s="21" t="s">
        <v>262</v>
      </c>
      <c r="E651" s="21" t="s">
        <v>230</v>
      </c>
      <c r="L651" s="5">
        <f>IFERROR(VLOOKUP($D651&amp;$C651,生产方式定位!$A$2:$E$38,2,FALSE)+VLOOKUP($E651&amp;$C651,生产方式定位!$F$3:$J$38,2,FALSE),0)</f>
        <v>1500</v>
      </c>
      <c r="S651" s="5">
        <f>IFERROR(VLOOKUP($D651&amp;$C651,生产方式定位!$A$2:$E$38,3,FALSE)+VLOOKUP($E651&amp;$C651,生产方式定位!$F$3:$J$38,3,FALSE),0)</f>
        <v>95</v>
      </c>
      <c r="X651" s="5">
        <f>IFERROR(VLOOKUP($D651&amp;$C651,生产方式定位!$A$2:$E$38,5,FALSE)+VLOOKUP($E651&amp;$C651,生产方式定位!$F$3:$J$38,5,FALSE),"错误")</f>
        <v>1647</v>
      </c>
      <c r="Y651" s="24" t="str">
        <f t="shared" si="162"/>
        <v/>
      </c>
      <c r="Z651" s="34" t="str">
        <f t="shared" si="163"/>
        <v/>
      </c>
      <c r="AA651" s="34" t="str">
        <f t="shared" si="160"/>
        <v/>
      </c>
      <c r="AB651" s="25" t="str">
        <f t="shared" si="164"/>
        <v>10%</v>
      </c>
      <c r="AC651" s="1">
        <f t="shared" si="165"/>
        <v>52</v>
      </c>
      <c r="AD651" s="35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20" customHeight="1" x14ac:dyDescent="0.3">
      <c r="A652" s="5" t="s">
        <v>408</v>
      </c>
      <c r="C652" s="5">
        <v>4</v>
      </c>
      <c r="D652" s="21" t="s">
        <v>262</v>
      </c>
      <c r="E652" s="21" t="s">
        <v>230</v>
      </c>
      <c r="L652" s="5">
        <f>IFERROR(VLOOKUP($D652&amp;$C652,生产方式定位!$A$2:$E$38,2,FALSE)+VLOOKUP($E652&amp;$C652,生产方式定位!$F$3:$J$38,2,FALSE),0)</f>
        <v>2100</v>
      </c>
      <c r="S652" s="5">
        <f>IFERROR(VLOOKUP($D652&amp;$C652,生产方式定位!$A$2:$E$38,3,FALSE)+VLOOKUP($E652&amp;$C652,生产方式定位!$F$3:$J$38,3,FALSE),0)</f>
        <v>90</v>
      </c>
      <c r="X652" s="5">
        <f>IFERROR(VLOOKUP($D652&amp;$C652,生产方式定位!$A$2:$E$38,5,FALSE)+VLOOKUP($E652&amp;$C652,生产方式定位!$F$3:$J$38,5,FALSE),"错误")</f>
        <v>2252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7%</v>
      </c>
      <c r="AC652" s="1">
        <f t="shared" si="165"/>
        <v>62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20" customHeight="1" x14ac:dyDescent="0.3">
      <c r="A653" s="5" t="s">
        <v>408</v>
      </c>
      <c r="C653" s="5">
        <v>5</v>
      </c>
      <c r="D653" s="21" t="s">
        <v>262</v>
      </c>
      <c r="E653" s="21" t="s">
        <v>230</v>
      </c>
      <c r="L653" s="5">
        <f>IFERROR(VLOOKUP($D653&amp;$C653,生产方式定位!$A$2:$E$38,2,FALSE)+VLOOKUP($E653&amp;$C653,生产方式定位!$F$3:$J$38,2,FALSE),0)</f>
        <v>2700</v>
      </c>
      <c r="S653" s="5">
        <f>IFERROR(VLOOKUP($D653&amp;$C653,生产方式定位!$A$2:$E$38,3,FALSE)+VLOOKUP($E653&amp;$C653,生产方式定位!$F$3:$J$38,3,FALSE),0)</f>
        <v>85</v>
      </c>
      <c r="X653" s="5">
        <f>IFERROR(VLOOKUP($D653&amp;$C653,生产方式定位!$A$2:$E$38,5,FALSE)+VLOOKUP($E653&amp;$C653,生产方式定位!$F$3:$J$38,5,FALSE),"错误")</f>
        <v>2858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6%</v>
      </c>
      <c r="AC653" s="1">
        <f t="shared" si="165"/>
        <v>73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20" customHeight="1" x14ac:dyDescent="0.3">
      <c r="A654" s="18" t="s">
        <v>409</v>
      </c>
      <c r="C654" s="18">
        <v>1</v>
      </c>
      <c r="D654" s="21" t="s">
        <v>262</v>
      </c>
      <c r="E654" s="21" t="s">
        <v>225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70</v>
      </c>
      <c r="X654" s="18">
        <f>IFERROR(VLOOKUP($D654&amp;$C654,生产方式定位!$A$2:$E$38,5,FALSE)+VLOOKUP($E654&amp;$C654,生产方式定位!$F$3:$J$38,5,FALSE),"错误")</f>
        <v>350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>
        <f t="shared" si="165"/>
        <v>280</v>
      </c>
      <c r="AD654" s="36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20" customHeight="1" x14ac:dyDescent="0.3">
      <c r="A655" s="18" t="s">
        <v>409</v>
      </c>
      <c r="C655" s="18">
        <v>2</v>
      </c>
      <c r="D655" s="21" t="s">
        <v>262</v>
      </c>
      <c r="E655" s="21" t="s">
        <v>225</v>
      </c>
      <c r="L655" s="18">
        <f>IFERROR(VLOOKUP($D655&amp;$C655,生产方式定位!$A$2:$E$38,2,FALSE)+VLOOKUP($E655&amp;$C655,生产方式定位!$F$3:$J$38,2,FALSE),0)</f>
        <v>1250</v>
      </c>
      <c r="S655" s="18">
        <f>IFERROR(VLOOKUP($D655&amp;$C655,生产方式定位!$A$2:$E$38,3,FALSE)+VLOOKUP($E655&amp;$C655,生产方式定位!$F$3:$J$38,3,FALSE),0)</f>
        <v>130</v>
      </c>
      <c r="X655" s="18">
        <f>IFERROR(VLOOKUP($D655&amp;$C655,生产方式定位!$A$2:$E$38,5,FALSE)+VLOOKUP($E655&amp;$C655,生产方式定位!$F$3:$J$38,5,FALSE),"错误")</f>
        <v>1222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>-2%</v>
      </c>
      <c r="AC655" s="1">
        <f t="shared" si="165"/>
        <v>-158</v>
      </c>
      <c r="AD655" s="36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20" customHeight="1" x14ac:dyDescent="0.3">
      <c r="A656" s="18" t="s">
        <v>409</v>
      </c>
      <c r="C656" s="18">
        <v>3</v>
      </c>
      <c r="D656" s="21" t="s">
        <v>262</v>
      </c>
      <c r="E656" s="21" t="s">
        <v>225</v>
      </c>
      <c r="L656" s="18">
        <f>IFERROR(VLOOKUP($D656&amp;$C656,生产方式定位!$A$2:$E$38,2,FALSE)+VLOOKUP($E656&amp;$C656,生产方式定位!$F$3:$J$38,2,FALSE),0)</f>
        <v>2000</v>
      </c>
      <c r="S656" s="18">
        <f>IFERROR(VLOOKUP($D656&amp;$C656,生产方式定位!$A$2:$E$38,3,FALSE)+VLOOKUP($E656&amp;$C656,生产方式定位!$F$3:$J$38,3,FALSE),0)</f>
        <v>140</v>
      </c>
      <c r="X656" s="18">
        <f>IFERROR(VLOOKUP($D656&amp;$C656,生产方式定位!$A$2:$E$38,5,FALSE)+VLOOKUP($E656&amp;$C656,生产方式定位!$F$3:$J$38,5,FALSE),"错误")</f>
        <v>1981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>-1%</v>
      </c>
      <c r="AC656" s="1">
        <f t="shared" si="165"/>
        <v>-159</v>
      </c>
      <c r="AD656" s="36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20" customHeight="1" x14ac:dyDescent="0.3">
      <c r="A657" s="18" t="s">
        <v>409</v>
      </c>
      <c r="C657" s="18">
        <v>4</v>
      </c>
      <c r="D657" s="21" t="s">
        <v>262</v>
      </c>
      <c r="E657" s="21" t="s">
        <v>225</v>
      </c>
      <c r="L657" s="18">
        <f>IFERROR(VLOOKUP($D657&amp;$C657,生产方式定位!$A$2:$E$38,2,FALSE)+VLOOKUP($E657&amp;$C657,生产方式定位!$F$3:$J$38,2,FALSE),0)</f>
        <v>2750</v>
      </c>
      <c r="S657" s="18">
        <f>IFERROR(VLOOKUP($D657&amp;$C657,生产方式定位!$A$2:$E$38,3,FALSE)+VLOOKUP($E657&amp;$C657,生产方式定位!$F$3:$J$38,3,FALSE),0)</f>
        <v>150</v>
      </c>
      <c r="X657" s="18">
        <f>IFERROR(VLOOKUP($D657&amp;$C657,生产方式定位!$A$2:$E$38,5,FALSE)+VLOOKUP($E657&amp;$C657,生产方式定位!$F$3:$J$38,5,FALSE),"错误")</f>
        <v>2767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>1%</v>
      </c>
      <c r="AC657" s="1">
        <f t="shared" si="165"/>
        <v>-133</v>
      </c>
      <c r="AD657" s="36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20" customHeight="1" x14ac:dyDescent="0.3">
      <c r="A658" s="18" t="s">
        <v>409</v>
      </c>
      <c r="C658" s="18">
        <v>5</v>
      </c>
      <c r="D658" s="21" t="s">
        <v>262</v>
      </c>
      <c r="E658" s="21" t="s">
        <v>225</v>
      </c>
      <c r="L658" s="18">
        <f>IFERROR(VLOOKUP($D658&amp;$C658,生产方式定位!$A$2:$E$38,2,FALSE)+VLOOKUP($E658&amp;$C658,生产方式定位!$F$3:$J$38,2,FALSE),0)</f>
        <v>3500</v>
      </c>
      <c r="S658" s="18">
        <f>IFERROR(VLOOKUP($D658&amp;$C658,生产方式定位!$A$2:$E$38,3,FALSE)+VLOOKUP($E658&amp;$C658,生产方式定位!$F$3:$J$38,3,FALSE),0)</f>
        <v>160</v>
      </c>
      <c r="X658" s="18">
        <f>IFERROR(VLOOKUP($D658&amp;$C658,生产方式定位!$A$2:$E$38,5,FALSE)+VLOOKUP($E658&amp;$C658,生产方式定位!$F$3:$J$38,5,FALSE),"错误")</f>
        <v>3820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>9%</v>
      </c>
      <c r="AC658" s="1">
        <f t="shared" si="165"/>
        <v>160</v>
      </c>
      <c r="AD658" s="36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20" customHeight="1" x14ac:dyDescent="0.3">
      <c r="A659" s="5" t="s">
        <v>409</v>
      </c>
      <c r="C659" s="5">
        <v>1</v>
      </c>
      <c r="D659" s="21" t="s">
        <v>262</v>
      </c>
      <c r="E659" s="21" t="s">
        <v>225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70</v>
      </c>
      <c r="X659" s="5">
        <f>IFERROR(VLOOKUP($D659&amp;$C659,生产方式定位!$A$2:$E$38,5,FALSE)+VLOOKUP($E659&amp;$C659,生产方式定位!$F$3:$J$38,5,FALSE),"错误")</f>
        <v>350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>
        <f t="shared" si="165"/>
        <v>280</v>
      </c>
      <c r="AD659" s="35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20" customHeight="1" x14ac:dyDescent="0.3">
      <c r="A660" s="5" t="s">
        <v>409</v>
      </c>
      <c r="C660" s="5">
        <v>2</v>
      </c>
      <c r="D660" s="21" t="s">
        <v>262</v>
      </c>
      <c r="E660" s="21" t="s">
        <v>225</v>
      </c>
      <c r="L660" s="5">
        <f>IFERROR(VLOOKUP($D660&amp;$C660,生产方式定位!$A$2:$E$38,2,FALSE)+VLOOKUP($E660&amp;$C660,生产方式定位!$F$3:$J$38,2,FALSE),0)</f>
        <v>1250</v>
      </c>
      <c r="S660" s="5">
        <f>IFERROR(VLOOKUP($D660&amp;$C660,生产方式定位!$A$2:$E$38,3,FALSE)+VLOOKUP($E660&amp;$C660,生产方式定位!$F$3:$J$38,3,FALSE),0)</f>
        <v>130</v>
      </c>
      <c r="X660" s="5">
        <f>IFERROR(VLOOKUP($D660&amp;$C660,生产方式定位!$A$2:$E$38,5,FALSE)+VLOOKUP($E660&amp;$C660,生产方式定位!$F$3:$J$38,5,FALSE),"错误")</f>
        <v>1222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>-2%</v>
      </c>
      <c r="AC660" s="1">
        <f t="shared" si="165"/>
        <v>-158</v>
      </c>
      <c r="AD660" s="35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20" customHeight="1" x14ac:dyDescent="0.3">
      <c r="A661" s="5" t="s">
        <v>409</v>
      </c>
      <c r="C661" s="5">
        <v>3</v>
      </c>
      <c r="D661" s="21" t="s">
        <v>262</v>
      </c>
      <c r="E661" s="21" t="s">
        <v>225</v>
      </c>
      <c r="L661" s="5">
        <f>IFERROR(VLOOKUP($D661&amp;$C661,生产方式定位!$A$2:$E$38,2,FALSE)+VLOOKUP($E661&amp;$C661,生产方式定位!$F$3:$J$38,2,FALSE),0)</f>
        <v>2000</v>
      </c>
      <c r="S661" s="5">
        <f>IFERROR(VLOOKUP($D661&amp;$C661,生产方式定位!$A$2:$E$38,3,FALSE)+VLOOKUP($E661&amp;$C661,生产方式定位!$F$3:$J$38,3,FALSE),0)</f>
        <v>140</v>
      </c>
      <c r="X661" s="5">
        <f>IFERROR(VLOOKUP($D661&amp;$C661,生产方式定位!$A$2:$E$38,5,FALSE)+VLOOKUP($E661&amp;$C661,生产方式定位!$F$3:$J$38,5,FALSE),"错误")</f>
        <v>1981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>-1%</v>
      </c>
      <c r="AC661" s="1">
        <f t="shared" si="165"/>
        <v>-159</v>
      </c>
      <c r="AD661" s="35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20" customHeight="1" x14ac:dyDescent="0.3">
      <c r="A662" s="5" t="s">
        <v>409</v>
      </c>
      <c r="C662" s="5">
        <v>4</v>
      </c>
      <c r="D662" s="21" t="s">
        <v>262</v>
      </c>
      <c r="E662" s="21" t="s">
        <v>225</v>
      </c>
      <c r="L662" s="5">
        <f>IFERROR(VLOOKUP($D662&amp;$C662,生产方式定位!$A$2:$E$38,2,FALSE)+VLOOKUP($E662&amp;$C662,生产方式定位!$F$3:$J$38,2,FALSE),0)</f>
        <v>2750</v>
      </c>
      <c r="S662" s="5">
        <f>IFERROR(VLOOKUP($D662&amp;$C662,生产方式定位!$A$2:$E$38,3,FALSE)+VLOOKUP($E662&amp;$C662,生产方式定位!$F$3:$J$38,3,FALSE),0)</f>
        <v>150</v>
      </c>
      <c r="X662" s="5">
        <f>IFERROR(VLOOKUP($D662&amp;$C662,生产方式定位!$A$2:$E$38,5,FALSE)+VLOOKUP($E662&amp;$C662,生产方式定位!$F$3:$J$38,5,FALSE),"错误")</f>
        <v>2767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>1%</v>
      </c>
      <c r="AC662" s="1">
        <f t="shared" si="165"/>
        <v>-133</v>
      </c>
      <c r="AD662" s="35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20" customHeight="1" x14ac:dyDescent="0.3">
      <c r="A663" s="5" t="s">
        <v>409</v>
      </c>
      <c r="C663" s="5">
        <v>5</v>
      </c>
      <c r="D663" s="21" t="s">
        <v>262</v>
      </c>
      <c r="E663" s="21" t="s">
        <v>225</v>
      </c>
      <c r="L663" s="5">
        <f>IFERROR(VLOOKUP($D663&amp;$C663,生产方式定位!$A$2:$E$38,2,FALSE)+VLOOKUP($E663&amp;$C663,生产方式定位!$F$3:$J$38,2,FALSE),0)</f>
        <v>3500</v>
      </c>
      <c r="S663" s="5">
        <f>IFERROR(VLOOKUP($D663&amp;$C663,生产方式定位!$A$2:$E$38,3,FALSE)+VLOOKUP($E663&amp;$C663,生产方式定位!$F$3:$J$38,3,FALSE),0)</f>
        <v>160</v>
      </c>
      <c r="X663" s="5">
        <f>IFERROR(VLOOKUP($D663&amp;$C663,生产方式定位!$A$2:$E$38,5,FALSE)+VLOOKUP($E663&amp;$C663,生产方式定位!$F$3:$J$38,5,FALSE),"错误")</f>
        <v>3820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>9%</v>
      </c>
      <c r="AC663" s="1">
        <f t="shared" si="165"/>
        <v>160</v>
      </c>
      <c r="AD663" s="35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20" customHeight="1" x14ac:dyDescent="0.3">
      <c r="A664" s="18" t="s">
        <v>410</v>
      </c>
      <c r="C664" s="18">
        <v>1</v>
      </c>
      <c r="D664" s="21" t="s">
        <v>292</v>
      </c>
      <c r="E664" s="21" t="s">
        <v>226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str">
        <f t="shared" si="165"/>
        <v/>
      </c>
      <c r="AD664" s="36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20" customHeight="1" x14ac:dyDescent="0.3">
      <c r="A665" s="18" t="s">
        <v>410</v>
      </c>
      <c r="C665" s="18">
        <v>2</v>
      </c>
      <c r="D665" s="21" t="s">
        <v>292</v>
      </c>
      <c r="E665" s="21" t="s">
        <v>226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str">
        <f t="shared" si="165"/>
        <v/>
      </c>
      <c r="AD665" s="36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20" customHeight="1" x14ac:dyDescent="0.3">
      <c r="A666" s="18" t="s">
        <v>410</v>
      </c>
      <c r="C666" s="18">
        <v>3</v>
      </c>
      <c r="D666" s="21" t="s">
        <v>292</v>
      </c>
      <c r="E666" s="21" t="s">
        <v>226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str">
        <f t="shared" si="165"/>
        <v/>
      </c>
      <c r="AD666" s="36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20" customHeight="1" x14ac:dyDescent="0.3">
      <c r="A667" s="18" t="s">
        <v>410</v>
      </c>
      <c r="C667" s="18">
        <v>4</v>
      </c>
      <c r="D667" s="21" t="s">
        <v>292</v>
      </c>
      <c r="E667" s="21" t="s">
        <v>226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str">
        <f t="shared" si="165"/>
        <v/>
      </c>
      <c r="AD667" s="36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20" customHeight="1" x14ac:dyDescent="0.3">
      <c r="A668" s="18" t="s">
        <v>410</v>
      </c>
      <c r="C668" s="18">
        <v>5</v>
      </c>
      <c r="D668" s="21" t="s">
        <v>292</v>
      </c>
      <c r="E668" s="21" t="s">
        <v>226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str">
        <f t="shared" si="165"/>
        <v/>
      </c>
      <c r="AD668" s="36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20" customHeight="1" x14ac:dyDescent="0.3">
      <c r="A669" s="18" t="s">
        <v>410</v>
      </c>
      <c r="C669" s="18">
        <v>6</v>
      </c>
      <c r="D669" s="21" t="s">
        <v>292</v>
      </c>
      <c r="E669" s="21" t="s">
        <v>226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5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20" customHeight="1" x14ac:dyDescent="0.3">
      <c r="A670" s="18" t="s">
        <v>410</v>
      </c>
      <c r="C670" s="18">
        <v>7</v>
      </c>
      <c r="D670" s="21" t="s">
        <v>292</v>
      </c>
      <c r="E670" s="21" t="s">
        <v>226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5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20" customHeight="1" x14ac:dyDescent="0.3">
      <c r="A671" s="18" t="s">
        <v>410</v>
      </c>
      <c r="C671" s="18">
        <v>8</v>
      </c>
      <c r="D671" s="21" t="s">
        <v>292</v>
      </c>
      <c r="E671" s="21" t="s">
        <v>226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5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20" customHeight="1" x14ac:dyDescent="0.3">
      <c r="A672" s="5" t="s">
        <v>412</v>
      </c>
      <c r="C672" s="5">
        <v>1</v>
      </c>
      <c r="D672" s="21" t="s">
        <v>262</v>
      </c>
      <c r="E672" s="21" t="s">
        <v>224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70</v>
      </c>
      <c r="X672" s="5">
        <f>IFERROR(VLOOKUP($D672&amp;$C672,生产方式定位!$A$2:$E$38,5,FALSE)+VLOOKUP($E672&amp;$C672,生产方式定位!$F$3:$J$38,5,FALSE),"错误")</f>
        <v>350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>
        <f t="shared" si="165"/>
        <v>280</v>
      </c>
      <c r="AD672" s="35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20" customHeight="1" x14ac:dyDescent="0.3">
      <c r="A673" s="5" t="s">
        <v>412</v>
      </c>
      <c r="C673" s="5">
        <v>2</v>
      </c>
      <c r="D673" s="21" t="s">
        <v>262</v>
      </c>
      <c r="E673" s="21" t="s">
        <v>224</v>
      </c>
      <c r="L673" s="5">
        <f>IFERROR(VLOOKUP($D673&amp;$C673,生产方式定位!$A$2:$E$38,2,FALSE)+VLOOKUP($E673&amp;$C673,生产方式定位!$F$3:$J$38,2,FALSE),0)</f>
        <v>1000</v>
      </c>
      <c r="S673" s="5">
        <f>IFERROR(VLOOKUP($D673&amp;$C673,生产方式定位!$A$2:$E$38,3,FALSE)+VLOOKUP($E673&amp;$C673,生产方式定位!$F$3:$J$38,3,FALSE),0)</f>
        <v>90</v>
      </c>
      <c r="X673" s="5">
        <f>IFERROR(VLOOKUP($D673&amp;$C673,生产方式定位!$A$2:$E$38,5,FALSE)+VLOOKUP($E673&amp;$C673,生产方式定位!$F$3:$J$38,5,FALSE),"错误")</f>
        <v>1140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>14%</v>
      </c>
      <c r="AC673" s="1">
        <f t="shared" si="165"/>
        <v>50</v>
      </c>
      <c r="AD673" s="35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20" customHeight="1" x14ac:dyDescent="0.3">
      <c r="A674" s="5" t="s">
        <v>412</v>
      </c>
      <c r="C674" s="5">
        <v>3</v>
      </c>
      <c r="D674" s="21" t="s">
        <v>262</v>
      </c>
      <c r="E674" s="21" t="s">
        <v>224</v>
      </c>
      <c r="L674" s="5">
        <f>IFERROR(VLOOKUP($D674&amp;$C674,生产方式定位!$A$2:$E$38,2,FALSE)+VLOOKUP($E674&amp;$C674,生产方式定位!$F$3:$J$38,2,FALSE),0)</f>
        <v>1625</v>
      </c>
      <c r="S674" s="5">
        <f>IFERROR(VLOOKUP($D674&amp;$C674,生产方式定位!$A$2:$E$38,3,FALSE)+VLOOKUP($E674&amp;$C674,生产方式定位!$F$3:$J$38,3,FALSE),0)</f>
        <v>80</v>
      </c>
      <c r="X674" s="5">
        <f>IFERROR(VLOOKUP($D674&amp;$C674,生产方式定位!$A$2:$E$38,5,FALSE)+VLOOKUP($E674&amp;$C674,生产方式定位!$F$3:$J$38,5,FALSE),"错误")</f>
        <v>1768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>9%</v>
      </c>
      <c r="AC674" s="1">
        <f t="shared" si="165"/>
        <v>63</v>
      </c>
      <c r="AD674" s="36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20" customHeight="1" x14ac:dyDescent="0.3">
      <c r="A675" s="5" t="s">
        <v>412</v>
      </c>
      <c r="C675" s="5">
        <v>4</v>
      </c>
      <c r="D675" s="21" t="s">
        <v>262</v>
      </c>
      <c r="E675" s="21" t="s">
        <v>224</v>
      </c>
      <c r="L675" s="5">
        <f>IFERROR(VLOOKUP($D675&amp;$C675,生产方式定位!$A$2:$E$38,2,FALSE)+VLOOKUP($E675&amp;$C675,生产方式定位!$F$3:$J$38,2,FALSE),0)</f>
        <v>2250</v>
      </c>
      <c r="S675" s="5">
        <f>IFERROR(VLOOKUP($D675&amp;$C675,生产方式定位!$A$2:$E$38,3,FALSE)+VLOOKUP($E675&amp;$C675,生产方式定位!$F$3:$J$38,3,FALSE),0)</f>
        <v>70</v>
      </c>
      <c r="X675" s="5">
        <f>IFERROR(VLOOKUP($D675&amp;$C675,生产方式定位!$A$2:$E$38,5,FALSE)+VLOOKUP($E675&amp;$C675,生产方式定位!$F$3:$J$38,5,FALSE),"错误")</f>
        <v>2395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>6%</v>
      </c>
      <c r="AC675" s="1">
        <f t="shared" si="165"/>
        <v>75</v>
      </c>
      <c r="AD675" s="36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20" customHeight="1" x14ac:dyDescent="0.3">
      <c r="A676" s="5" t="s">
        <v>412</v>
      </c>
      <c r="C676" s="5">
        <v>5</v>
      </c>
      <c r="D676" s="21" t="s">
        <v>262</v>
      </c>
      <c r="E676" s="21" t="s">
        <v>224</v>
      </c>
      <c r="L676" s="5">
        <f>IFERROR(VLOOKUP($D676&amp;$C676,生产方式定位!$A$2:$E$38,2,FALSE)+VLOOKUP($E676&amp;$C676,生产方式定位!$F$3:$J$38,2,FALSE),0)</f>
        <v>2875</v>
      </c>
      <c r="S676" s="5">
        <f>IFERROR(VLOOKUP($D676&amp;$C676,生产方式定位!$A$2:$E$38,3,FALSE)+VLOOKUP($E676&amp;$C676,生产方式定位!$F$3:$J$38,3,FALSE),0)</f>
        <v>60</v>
      </c>
      <c r="X676" s="5">
        <f>IFERROR(VLOOKUP($D676&amp;$C676,生产方式定位!$A$2:$E$38,5,FALSE)+VLOOKUP($E676&amp;$C676,生产方式定位!$F$3:$J$38,5,FALSE),"错误")</f>
        <v>3023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>5%</v>
      </c>
      <c r="AC676" s="1">
        <f t="shared" si="165"/>
        <v>88</v>
      </c>
      <c r="AD676" s="36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20" customHeight="1" x14ac:dyDescent="0.3">
      <c r="A677" s="18" t="s">
        <v>413</v>
      </c>
      <c r="C677" s="18">
        <v>1</v>
      </c>
      <c r="D677" s="21" t="s">
        <v>262</v>
      </c>
      <c r="E677" s="21" t="s">
        <v>230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70</v>
      </c>
      <c r="X677" s="18">
        <f>IFERROR(VLOOKUP($D677&amp;$C677,生产方式定位!$A$2:$E$38,5,FALSE)+VLOOKUP($E677&amp;$C677,生产方式定位!$F$3:$J$38,5,FALSE),"错误")</f>
        <v>350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280</v>
      </c>
      <c r="AD677" s="36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20" customHeight="1" x14ac:dyDescent="0.3">
      <c r="A678" s="18" t="s">
        <v>413</v>
      </c>
      <c r="C678" s="18">
        <v>2</v>
      </c>
      <c r="D678" s="21" t="s">
        <v>262</v>
      </c>
      <c r="E678" s="21" t="s">
        <v>230</v>
      </c>
      <c r="L678" s="18">
        <f>IFERROR(VLOOKUP($D678&amp;$C678,生产方式定位!$A$2:$E$38,2,FALSE)+VLOOKUP($E678&amp;$C678,生产方式定位!$F$3:$J$38,2,FALSE),0)</f>
        <v>900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1041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16%</v>
      </c>
      <c r="AC678" s="1">
        <f t="shared" si="165"/>
        <v>41</v>
      </c>
      <c r="AD678" s="36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20" customHeight="1" x14ac:dyDescent="0.3">
      <c r="A679" s="18" t="s">
        <v>413</v>
      </c>
      <c r="C679" s="18">
        <v>3</v>
      </c>
      <c r="D679" s="21" t="s">
        <v>262</v>
      </c>
      <c r="E679" s="21" t="s">
        <v>230</v>
      </c>
      <c r="L679" s="18">
        <f>IFERROR(VLOOKUP($D679&amp;$C679,生产方式定位!$A$2:$E$38,2,FALSE)+VLOOKUP($E679&amp;$C679,生产方式定位!$F$3:$J$38,2,FALSE),0)</f>
        <v>1500</v>
      </c>
      <c r="S679" s="18">
        <f>IFERROR(VLOOKUP($D679&amp;$C679,生产方式定位!$A$2:$E$38,3,FALSE)+VLOOKUP($E679&amp;$C679,生产方式定位!$F$3:$J$38,3,FALSE),0)</f>
        <v>95</v>
      </c>
      <c r="X679" s="18">
        <f>IFERROR(VLOOKUP($D679&amp;$C679,生产方式定位!$A$2:$E$38,5,FALSE)+VLOOKUP($E679&amp;$C679,生产方式定位!$F$3:$J$38,5,FALSE),"错误")</f>
        <v>1647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10%</v>
      </c>
      <c r="AC679" s="1">
        <f t="shared" si="165"/>
        <v>52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20" customHeight="1" x14ac:dyDescent="0.3">
      <c r="A680" s="18" t="s">
        <v>413</v>
      </c>
      <c r="C680" s="18">
        <v>4</v>
      </c>
      <c r="D680" s="21" t="s">
        <v>262</v>
      </c>
      <c r="E680" s="21" t="s">
        <v>230</v>
      </c>
      <c r="L680" s="18">
        <f>IFERROR(VLOOKUP($D680&amp;$C680,生产方式定位!$A$2:$E$38,2,FALSE)+VLOOKUP($E680&amp;$C680,生产方式定位!$F$3:$J$38,2,FALSE),0)</f>
        <v>2100</v>
      </c>
      <c r="S680" s="18">
        <f>IFERROR(VLOOKUP($D680&amp;$C680,生产方式定位!$A$2:$E$38,3,FALSE)+VLOOKUP($E680&amp;$C680,生产方式定位!$F$3:$J$38,3,FALSE),0)</f>
        <v>90</v>
      </c>
      <c r="X680" s="18">
        <f>IFERROR(VLOOKUP($D680&amp;$C680,生产方式定位!$A$2:$E$38,5,FALSE)+VLOOKUP($E680&amp;$C680,生产方式定位!$F$3:$J$38,5,FALSE),"错误")</f>
        <v>2252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7%</v>
      </c>
      <c r="AC680" s="1">
        <f t="shared" si="165"/>
        <v>62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20" customHeight="1" x14ac:dyDescent="0.3">
      <c r="A681" s="18" t="s">
        <v>413</v>
      </c>
      <c r="C681" s="18">
        <v>5</v>
      </c>
      <c r="D681" s="21" t="s">
        <v>262</v>
      </c>
      <c r="E681" s="21" t="s">
        <v>230</v>
      </c>
      <c r="L681" s="18">
        <f>IFERROR(VLOOKUP($D681&amp;$C681,生产方式定位!$A$2:$E$38,2,FALSE)+VLOOKUP($E681&amp;$C681,生产方式定位!$F$3:$J$38,2,FALSE),0)</f>
        <v>2700</v>
      </c>
      <c r="S681" s="18">
        <f>IFERROR(VLOOKUP($D681&amp;$C681,生产方式定位!$A$2:$E$38,3,FALSE)+VLOOKUP($E681&amp;$C681,生产方式定位!$F$3:$J$38,3,FALSE),0)</f>
        <v>85</v>
      </c>
      <c r="X681" s="18">
        <f>IFERROR(VLOOKUP($D681&amp;$C681,生产方式定位!$A$2:$E$38,5,FALSE)+VLOOKUP($E681&amp;$C681,生产方式定位!$F$3:$J$38,5,FALSE),"错误")</f>
        <v>2858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6%</v>
      </c>
      <c r="AC681" s="1">
        <f t="shared" si="165"/>
        <v>73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20" customHeight="1" x14ac:dyDescent="0.3">
      <c r="A682" s="5" t="s">
        <v>414</v>
      </c>
      <c r="C682" s="5">
        <v>1</v>
      </c>
      <c r="D682" s="21" t="s">
        <v>262</v>
      </c>
      <c r="E682" s="21" t="s">
        <v>225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70</v>
      </c>
      <c r="X682" s="5">
        <f>IFERROR(VLOOKUP($D682&amp;$C682,生产方式定位!$A$2:$E$38,5,FALSE)+VLOOKUP($E682&amp;$C682,生产方式定位!$F$3:$J$38,5,FALSE),"错误")</f>
        <v>350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>
        <f t="shared" si="165"/>
        <v>280</v>
      </c>
      <c r="AD682" s="35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20" customHeight="1" x14ac:dyDescent="0.3">
      <c r="A683" s="5" t="s">
        <v>414</v>
      </c>
      <c r="C683" s="5">
        <v>2</v>
      </c>
      <c r="D683" s="21" t="s">
        <v>262</v>
      </c>
      <c r="E683" s="21" t="s">
        <v>225</v>
      </c>
      <c r="L683" s="5">
        <f>IFERROR(VLOOKUP($D683&amp;$C683,生产方式定位!$A$2:$E$38,2,FALSE)+VLOOKUP($E683&amp;$C683,生产方式定位!$F$3:$J$38,2,FALSE),0)</f>
        <v>1250</v>
      </c>
      <c r="S683" s="5">
        <f>IFERROR(VLOOKUP($D683&amp;$C683,生产方式定位!$A$2:$E$38,3,FALSE)+VLOOKUP($E683&amp;$C683,生产方式定位!$F$3:$J$38,3,FALSE),0)</f>
        <v>130</v>
      </c>
      <c r="X683" s="5">
        <f>IFERROR(VLOOKUP($D683&amp;$C683,生产方式定位!$A$2:$E$38,5,FALSE)+VLOOKUP($E683&amp;$C683,生产方式定位!$F$3:$J$38,5,FALSE),"错误")</f>
        <v>1222</v>
      </c>
      <c r="Y683" s="24" t="str">
        <f t="shared" si="162"/>
        <v/>
      </c>
      <c r="Z683" s="34" t="str">
        <f t="shared" si="163"/>
        <v/>
      </c>
      <c r="AA683" s="34" t="str">
        <f t="shared" si="160"/>
        <v/>
      </c>
      <c r="AB683" s="25" t="str">
        <f t="shared" si="164"/>
        <v>-2%</v>
      </c>
      <c r="AC683" s="1">
        <f t="shared" si="165"/>
        <v>-158</v>
      </c>
      <c r="AD683" s="35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20" customHeight="1" x14ac:dyDescent="0.3">
      <c r="A684" s="5" t="s">
        <v>414</v>
      </c>
      <c r="C684" s="5">
        <v>3</v>
      </c>
      <c r="D684" s="21" t="s">
        <v>262</v>
      </c>
      <c r="E684" s="21" t="s">
        <v>225</v>
      </c>
      <c r="L684" s="5">
        <f>IFERROR(VLOOKUP($D684&amp;$C684,生产方式定位!$A$2:$E$38,2,FALSE)+VLOOKUP($E684&amp;$C684,生产方式定位!$F$3:$J$38,2,FALSE),0)</f>
        <v>2000</v>
      </c>
      <c r="S684" s="5">
        <f>IFERROR(VLOOKUP($D684&amp;$C684,生产方式定位!$A$2:$E$38,3,FALSE)+VLOOKUP($E684&amp;$C684,生产方式定位!$F$3:$J$38,3,FALSE),0)</f>
        <v>140</v>
      </c>
      <c r="X684" s="5">
        <f>IFERROR(VLOOKUP($D684&amp;$C684,生产方式定位!$A$2:$E$38,5,FALSE)+VLOOKUP($E684&amp;$C684,生产方式定位!$F$3:$J$38,5,FALSE),"错误")</f>
        <v>1981</v>
      </c>
      <c r="Y684" s="24" t="str">
        <f t="shared" si="162"/>
        <v/>
      </c>
      <c r="Z684" s="34" t="str">
        <f t="shared" si="163"/>
        <v/>
      </c>
      <c r="AA684" s="34" t="str">
        <f t="shared" si="160"/>
        <v/>
      </c>
      <c r="AB684" s="25" t="str">
        <f t="shared" si="164"/>
        <v>-1%</v>
      </c>
      <c r="AC684" s="1">
        <f t="shared" si="165"/>
        <v>-159</v>
      </c>
      <c r="AD684" s="35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spans="1:49" ht="20" customHeight="1" x14ac:dyDescent="0.3">
      <c r="A685" s="5" t="s">
        <v>414</v>
      </c>
      <c r="C685" s="5">
        <v>4</v>
      </c>
      <c r="D685" s="21" t="s">
        <v>262</v>
      </c>
      <c r="E685" s="21" t="s">
        <v>225</v>
      </c>
      <c r="L685" s="5">
        <f>IFERROR(VLOOKUP($D685&amp;$C685,生产方式定位!$A$2:$E$38,2,FALSE)+VLOOKUP($E685&amp;$C685,生产方式定位!$F$3:$J$38,2,FALSE),0)</f>
        <v>2750</v>
      </c>
      <c r="S685" s="5">
        <f>IFERROR(VLOOKUP($D685&amp;$C685,生产方式定位!$A$2:$E$38,3,FALSE)+VLOOKUP($E685&amp;$C685,生产方式定位!$F$3:$J$38,3,FALSE),0)</f>
        <v>150</v>
      </c>
      <c r="X685" s="5">
        <f>IFERROR(VLOOKUP($D685&amp;$C685,生产方式定位!$A$2:$E$38,5,FALSE)+VLOOKUP($E685&amp;$C685,生产方式定位!$F$3:$J$38,5,FALSE),"错误")</f>
        <v>2767</v>
      </c>
      <c r="Y685" s="24" t="str">
        <f t="shared" si="162"/>
        <v/>
      </c>
      <c r="Z685" s="34" t="str">
        <f t="shared" si="163"/>
        <v/>
      </c>
      <c r="AA685" s="34" t="str">
        <f t="shared" si="160"/>
        <v/>
      </c>
      <c r="AB685" s="25" t="str">
        <f t="shared" si="164"/>
        <v>1%</v>
      </c>
      <c r="AC685" s="1">
        <f t="shared" si="165"/>
        <v>-133</v>
      </c>
      <c r="AD685" s="35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spans="1:49" ht="20" customHeight="1" x14ac:dyDescent="0.3">
      <c r="A686" s="5" t="s">
        <v>414</v>
      </c>
      <c r="C686" s="5">
        <v>5</v>
      </c>
      <c r="D686" s="21" t="s">
        <v>262</v>
      </c>
      <c r="E686" s="21" t="s">
        <v>225</v>
      </c>
      <c r="L686" s="5">
        <f>IFERROR(VLOOKUP($D686&amp;$C686,生产方式定位!$A$2:$E$38,2,FALSE)+VLOOKUP($E686&amp;$C686,生产方式定位!$F$3:$J$38,2,FALSE),0)</f>
        <v>3500</v>
      </c>
      <c r="S686" s="5">
        <f>IFERROR(VLOOKUP($D686&amp;$C686,生产方式定位!$A$2:$E$38,3,FALSE)+VLOOKUP($E686&amp;$C686,生产方式定位!$F$3:$J$38,3,FALSE),0)</f>
        <v>160</v>
      </c>
      <c r="X686" s="5">
        <f>IFERROR(VLOOKUP($D686&amp;$C686,生产方式定位!$A$2:$E$38,5,FALSE)+VLOOKUP($E686&amp;$C686,生产方式定位!$F$3:$J$38,5,FALSE),"错误")</f>
        <v>3820</v>
      </c>
      <c r="Y686" s="24" t="str">
        <f t="shared" si="162"/>
        <v/>
      </c>
      <c r="Z686" s="34" t="str">
        <f t="shared" si="163"/>
        <v/>
      </c>
      <c r="AA686" s="34" t="str">
        <f t="shared" si="160"/>
        <v/>
      </c>
      <c r="AB686" s="25" t="str">
        <f t="shared" si="164"/>
        <v>9%</v>
      </c>
      <c r="AC686" s="1">
        <f t="shared" si="165"/>
        <v>160</v>
      </c>
      <c r="AD686" s="35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spans="1:49" ht="20" customHeight="1" x14ac:dyDescent="0.3">
      <c r="A687" s="18" t="s">
        <v>414</v>
      </c>
      <c r="C687" s="18">
        <v>1</v>
      </c>
      <c r="D687" s="21" t="s">
        <v>262</v>
      </c>
      <c r="E687" s="21" t="s">
        <v>225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70</v>
      </c>
      <c r="X687" s="18">
        <f>IFERROR(VLOOKUP($D687&amp;$C687,生产方式定位!$A$2:$E$38,5,FALSE)+VLOOKUP($E687&amp;$C687,生产方式定位!$F$3:$J$38,5,FALSE),"错误")</f>
        <v>350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>
        <f t="shared" si="165"/>
        <v>280</v>
      </c>
      <c r="AD687" s="36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20" customHeight="1" x14ac:dyDescent="0.3">
      <c r="A688" s="18" t="s">
        <v>414</v>
      </c>
      <c r="C688" s="18">
        <v>2</v>
      </c>
      <c r="D688" s="21" t="s">
        <v>262</v>
      </c>
      <c r="E688" s="21" t="s">
        <v>225</v>
      </c>
      <c r="L688" s="18">
        <f>IFERROR(VLOOKUP($D688&amp;$C688,生产方式定位!$A$2:$E$38,2,FALSE)+VLOOKUP($E688&amp;$C688,生产方式定位!$F$3:$J$38,2,FALSE),0)</f>
        <v>1250</v>
      </c>
      <c r="S688" s="18">
        <f>IFERROR(VLOOKUP($D688&amp;$C688,生产方式定位!$A$2:$E$38,3,FALSE)+VLOOKUP($E688&amp;$C688,生产方式定位!$F$3:$J$38,3,FALSE),0)</f>
        <v>130</v>
      </c>
      <c r="X688" s="18">
        <f>IFERROR(VLOOKUP($D688&amp;$C688,生产方式定位!$A$2:$E$38,5,FALSE)+VLOOKUP($E688&amp;$C688,生产方式定位!$F$3:$J$38,5,FALSE),"错误")</f>
        <v>1222</v>
      </c>
      <c r="Y688" s="24" t="str">
        <f t="shared" si="162"/>
        <v/>
      </c>
      <c r="Z688" s="34" t="str">
        <f t="shared" si="163"/>
        <v/>
      </c>
      <c r="AA688" s="34" t="str">
        <f t="shared" si="160"/>
        <v/>
      </c>
      <c r="AB688" s="25" t="str">
        <f t="shared" si="164"/>
        <v>-2%</v>
      </c>
      <c r="AC688" s="1">
        <f t="shared" si="165"/>
        <v>-158</v>
      </c>
      <c r="AD688" s="36">
        <f t="shared" si="161"/>
        <v>2</v>
      </c>
      <c r="AE688" t="str">
        <f t="shared" si="166"/>
        <v/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 t="str">
        <f>IFERROR(ROUND(L688*(G688/$AU688)/VLOOKUP(F688,商品!$A$4:$C$60,3,FALSE),0),"")</f>
        <v/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0</v>
      </c>
      <c r="AV688">
        <f t="shared" si="174"/>
        <v>0</v>
      </c>
      <c r="AW688">
        <f t="shared" si="175"/>
        <v>0</v>
      </c>
    </row>
    <row r="689" spans="1:49" ht="20" customHeight="1" x14ac:dyDescent="0.3">
      <c r="A689" s="18" t="s">
        <v>414</v>
      </c>
      <c r="C689" s="18">
        <v>3</v>
      </c>
      <c r="D689" s="21" t="s">
        <v>262</v>
      </c>
      <c r="E689" s="21" t="s">
        <v>225</v>
      </c>
      <c r="L689" s="18">
        <f>IFERROR(VLOOKUP($D689&amp;$C689,生产方式定位!$A$2:$E$38,2,FALSE)+VLOOKUP($E689&amp;$C689,生产方式定位!$F$3:$J$38,2,FALSE),0)</f>
        <v>2000</v>
      </c>
      <c r="S689" s="18">
        <f>IFERROR(VLOOKUP($D689&amp;$C689,生产方式定位!$A$2:$E$38,3,FALSE)+VLOOKUP($E689&amp;$C689,生产方式定位!$F$3:$J$38,3,FALSE),0)</f>
        <v>140</v>
      </c>
      <c r="X689" s="18">
        <f>IFERROR(VLOOKUP($D689&amp;$C689,生产方式定位!$A$2:$E$38,5,FALSE)+VLOOKUP($E689&amp;$C689,生产方式定位!$F$3:$J$38,5,FALSE),"错误")</f>
        <v>1981</v>
      </c>
      <c r="Y689" s="24" t="str">
        <f t="shared" si="162"/>
        <v/>
      </c>
      <c r="Z689" s="34" t="str">
        <f t="shared" si="163"/>
        <v/>
      </c>
      <c r="AA689" s="34" t="str">
        <f t="shared" si="160"/>
        <v/>
      </c>
      <c r="AB689" s="25" t="str">
        <f t="shared" si="164"/>
        <v>-1%</v>
      </c>
      <c r="AC689" s="1">
        <f t="shared" si="165"/>
        <v>-159</v>
      </c>
      <c r="AD689" s="36">
        <f t="shared" si="161"/>
        <v>3</v>
      </c>
      <c r="AE689" t="str">
        <f t="shared" si="166"/>
        <v/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 t="str">
        <f>IFERROR(ROUND(L689*(G689/$AU689)/VLOOKUP(F689,商品!$A$4:$C$60,3,FALSE),0),"")</f>
        <v/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0</v>
      </c>
      <c r="AV689">
        <f t="shared" si="174"/>
        <v>0</v>
      </c>
      <c r="AW689">
        <f t="shared" si="175"/>
        <v>0</v>
      </c>
    </row>
    <row r="690" spans="1:49" ht="20" customHeight="1" x14ac:dyDescent="0.3">
      <c r="A690" s="18" t="s">
        <v>414</v>
      </c>
      <c r="C690" s="18">
        <v>4</v>
      </c>
      <c r="D690" s="21" t="s">
        <v>262</v>
      </c>
      <c r="E690" s="21" t="s">
        <v>225</v>
      </c>
      <c r="L690" s="18">
        <f>IFERROR(VLOOKUP($D690&amp;$C690,生产方式定位!$A$2:$E$38,2,FALSE)+VLOOKUP($E690&amp;$C690,生产方式定位!$F$3:$J$38,2,FALSE),0)</f>
        <v>2750</v>
      </c>
      <c r="S690" s="18">
        <f>IFERROR(VLOOKUP($D690&amp;$C690,生产方式定位!$A$2:$E$38,3,FALSE)+VLOOKUP($E690&amp;$C690,生产方式定位!$F$3:$J$38,3,FALSE),0)</f>
        <v>150</v>
      </c>
      <c r="X690" s="18">
        <f>IFERROR(VLOOKUP($D690&amp;$C690,生产方式定位!$A$2:$E$38,5,FALSE)+VLOOKUP($E690&amp;$C690,生产方式定位!$F$3:$J$38,5,FALSE),"错误")</f>
        <v>2767</v>
      </c>
      <c r="Y690" s="24" t="str">
        <f t="shared" si="162"/>
        <v/>
      </c>
      <c r="Z690" s="34" t="str">
        <f t="shared" si="163"/>
        <v/>
      </c>
      <c r="AA690" s="34" t="str">
        <f t="shared" si="160"/>
        <v/>
      </c>
      <c r="AB690" s="25" t="str">
        <f t="shared" si="164"/>
        <v>1%</v>
      </c>
      <c r="AC690" s="1">
        <f t="shared" si="165"/>
        <v>-133</v>
      </c>
      <c r="AD690" s="36">
        <f t="shared" si="161"/>
        <v>4</v>
      </c>
      <c r="AE690" t="str">
        <f t="shared" si="166"/>
        <v/>
      </c>
      <c r="AF690" t="str">
        <f t="shared" si="167"/>
        <v/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 t="str">
        <f>IFERROR(ROUND(L690*(G690/$AU690)/VLOOKUP(F690,商品!$A$4:$C$60,3,FALSE),0),"")</f>
        <v/>
      </c>
      <c r="AM690" t="str">
        <f>IFERROR(ROUND(L690*(I690/$AU690)/VLOOKUP(H690,商品!$A$4:$C$60,3,FALSE),0),"")</f>
        <v/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0</v>
      </c>
      <c r="AV690">
        <f t="shared" si="174"/>
        <v>0</v>
      </c>
      <c r="AW690">
        <f t="shared" si="175"/>
        <v>0</v>
      </c>
    </row>
    <row r="691" spans="1:49" ht="20" customHeight="1" x14ac:dyDescent="0.3">
      <c r="A691" s="18" t="s">
        <v>414</v>
      </c>
      <c r="C691" s="18">
        <v>5</v>
      </c>
      <c r="D691" s="21" t="s">
        <v>262</v>
      </c>
      <c r="E691" s="21" t="s">
        <v>225</v>
      </c>
      <c r="L691" s="18">
        <f>IFERROR(VLOOKUP($D691&amp;$C691,生产方式定位!$A$2:$E$38,2,FALSE)+VLOOKUP($E691&amp;$C691,生产方式定位!$F$3:$J$38,2,FALSE),0)</f>
        <v>3500</v>
      </c>
      <c r="S691" s="18">
        <f>IFERROR(VLOOKUP($D691&amp;$C691,生产方式定位!$A$2:$E$38,3,FALSE)+VLOOKUP($E691&amp;$C691,生产方式定位!$F$3:$J$38,3,FALSE),0)</f>
        <v>160</v>
      </c>
      <c r="X691" s="18">
        <f>IFERROR(VLOOKUP($D691&amp;$C691,生产方式定位!$A$2:$E$38,5,FALSE)+VLOOKUP($E691&amp;$C691,生产方式定位!$F$3:$J$38,5,FALSE),"错误")</f>
        <v>3820</v>
      </c>
      <c r="Y691" s="24" t="str">
        <f t="shared" si="162"/>
        <v/>
      </c>
      <c r="Z691" s="34" t="str">
        <f t="shared" si="163"/>
        <v/>
      </c>
      <c r="AA691" s="34" t="str">
        <f t="shared" si="160"/>
        <v/>
      </c>
      <c r="AB691" s="25" t="str">
        <f t="shared" si="164"/>
        <v>9%</v>
      </c>
      <c r="AC691" s="1">
        <f t="shared" si="165"/>
        <v>160</v>
      </c>
      <c r="AD691" s="36">
        <f t="shared" si="161"/>
        <v>5</v>
      </c>
      <c r="AE691" t="str">
        <f t="shared" si="166"/>
        <v/>
      </c>
      <c r="AF691" t="str">
        <f t="shared" si="167"/>
        <v/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 t="str">
        <f>IFERROR(ROUND(L691*(G691/$AU691)/VLOOKUP(F691,商品!$A$4:$C$60,3,FALSE),0),"")</f>
        <v/>
      </c>
      <c r="AM691" t="str">
        <f>IFERROR(ROUND(L691*(I691/$AU691)/VLOOKUP(H691,商品!$A$4:$C$60,3,FALSE),0),"")</f>
        <v/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0</v>
      </c>
      <c r="AV691">
        <f t="shared" si="174"/>
        <v>0</v>
      </c>
      <c r="AW691">
        <f t="shared" si="175"/>
        <v>0</v>
      </c>
    </row>
    <row r="692" spans="1:49" ht="20" customHeight="1" x14ac:dyDescent="0.3">
      <c r="A692" s="5" t="s">
        <v>415</v>
      </c>
      <c r="C692" s="5">
        <v>1</v>
      </c>
      <c r="D692" s="21" t="s">
        <v>292</v>
      </c>
      <c r="E692" s="21" t="s">
        <v>226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 t="str">
        <f t="shared" si="165"/>
        <v/>
      </c>
      <c r="AD692" s="35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20" customHeight="1" x14ac:dyDescent="0.3">
      <c r="A693" s="5" t="s">
        <v>415</v>
      </c>
      <c r="C693" s="5">
        <v>2</v>
      </c>
      <c r="D693" s="21" t="s">
        <v>292</v>
      </c>
      <c r="E693" s="21" t="s">
        <v>226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24" t="str">
        <f t="shared" si="162"/>
        <v/>
      </c>
      <c r="Z693" s="34" t="str">
        <f t="shared" si="163"/>
        <v/>
      </c>
      <c r="AA693" s="34" t="str">
        <f t="shared" si="160"/>
        <v/>
      </c>
      <c r="AB693" s="25" t="str">
        <f t="shared" si="164"/>
        <v/>
      </c>
      <c r="AC693" s="1" t="str">
        <f t="shared" si="165"/>
        <v/>
      </c>
      <c r="AD693" s="35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spans="1:49" ht="20" customHeight="1" x14ac:dyDescent="0.3">
      <c r="A694" s="5" t="s">
        <v>415</v>
      </c>
      <c r="C694" s="5">
        <v>3</v>
      </c>
      <c r="D694" s="21" t="s">
        <v>292</v>
      </c>
      <c r="E694" s="21" t="s">
        <v>226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24" t="str">
        <f t="shared" si="162"/>
        <v/>
      </c>
      <c r="Z694" s="34" t="str">
        <f t="shared" si="163"/>
        <v/>
      </c>
      <c r="AA694" s="34" t="str">
        <f t="shared" si="160"/>
        <v/>
      </c>
      <c r="AB694" s="25" t="str">
        <f t="shared" si="164"/>
        <v/>
      </c>
      <c r="AC694" s="1" t="str">
        <f t="shared" si="165"/>
        <v/>
      </c>
      <c r="AD694" s="35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spans="1:49" ht="20" customHeight="1" x14ac:dyDescent="0.3">
      <c r="A695" s="5" t="s">
        <v>415</v>
      </c>
      <c r="C695" s="5">
        <v>4</v>
      </c>
      <c r="D695" s="21" t="s">
        <v>292</v>
      </c>
      <c r="E695" s="21" t="s">
        <v>226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24" t="str">
        <f t="shared" si="162"/>
        <v/>
      </c>
      <c r="Z695" s="34" t="str">
        <f t="shared" si="163"/>
        <v/>
      </c>
      <c r="AA695" s="34" t="str">
        <f t="shared" si="160"/>
        <v/>
      </c>
      <c r="AB695" s="25" t="str">
        <f t="shared" si="164"/>
        <v/>
      </c>
      <c r="AC695" s="1" t="str">
        <f t="shared" si="165"/>
        <v/>
      </c>
      <c r="AD695" s="35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spans="1:49" ht="20" customHeight="1" x14ac:dyDescent="0.3">
      <c r="A696" s="5" t="s">
        <v>415</v>
      </c>
      <c r="C696" s="5">
        <v>5</v>
      </c>
      <c r="D696" s="21" t="s">
        <v>292</v>
      </c>
      <c r="E696" s="21" t="s">
        <v>226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24" t="str">
        <f t="shared" si="162"/>
        <v/>
      </c>
      <c r="Z696" s="34" t="str">
        <f t="shared" si="163"/>
        <v/>
      </c>
      <c r="AA696" s="34" t="str">
        <f t="shared" si="160"/>
        <v/>
      </c>
      <c r="AB696" s="25" t="str">
        <f t="shared" si="164"/>
        <v/>
      </c>
      <c r="AC696" s="1" t="str">
        <f t="shared" si="165"/>
        <v/>
      </c>
      <c r="AD696" s="35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spans="1:49" ht="20" customHeight="1" x14ac:dyDescent="0.3">
      <c r="A697" s="5" t="s">
        <v>415</v>
      </c>
      <c r="C697" s="5">
        <v>6</v>
      </c>
      <c r="D697" s="21" t="s">
        <v>292</v>
      </c>
      <c r="E697" s="21" t="s">
        <v>226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6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20" customHeight="1" x14ac:dyDescent="0.3">
      <c r="A698" s="5" t="s">
        <v>415</v>
      </c>
      <c r="C698" s="5">
        <v>7</v>
      </c>
      <c r="D698" s="21" t="s">
        <v>292</v>
      </c>
      <c r="E698" s="21" t="s">
        <v>226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6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20" customHeight="1" x14ac:dyDescent="0.3">
      <c r="A699" s="5" t="s">
        <v>415</v>
      </c>
      <c r="C699" s="5">
        <v>8</v>
      </c>
      <c r="D699" s="21" t="s">
        <v>292</v>
      </c>
      <c r="E699" s="21" t="s">
        <v>226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6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20" customHeight="1" x14ac:dyDescent="0.3">
      <c r="A700" s="18" t="s">
        <v>417</v>
      </c>
      <c r="C700" s="18">
        <v>1</v>
      </c>
      <c r="D700" s="21" t="s">
        <v>262</v>
      </c>
      <c r="E700" s="21" t="s">
        <v>224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70</v>
      </c>
      <c r="X700" s="18">
        <f>IFERROR(VLOOKUP($D700&amp;$C700,生产方式定位!$A$2:$E$38,5,FALSE)+VLOOKUP($E700&amp;$C700,生产方式定位!$F$3:$J$38,5,FALSE),"错误")</f>
        <v>350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>
        <f t="shared" si="165"/>
        <v>280</v>
      </c>
      <c r="AD700" s="36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20" customHeight="1" x14ac:dyDescent="0.3">
      <c r="A701" s="18" t="s">
        <v>417</v>
      </c>
      <c r="C701" s="18">
        <v>2</v>
      </c>
      <c r="D701" s="21" t="s">
        <v>262</v>
      </c>
      <c r="E701" s="21" t="s">
        <v>224</v>
      </c>
      <c r="L701" s="18">
        <f>IFERROR(VLOOKUP($D701&amp;$C701,生产方式定位!$A$2:$E$38,2,FALSE)+VLOOKUP($E701&amp;$C701,生产方式定位!$F$3:$J$38,2,FALSE),0)</f>
        <v>1000</v>
      </c>
      <c r="S701" s="18">
        <f>IFERROR(VLOOKUP($D701&amp;$C701,生产方式定位!$A$2:$E$38,3,FALSE)+VLOOKUP($E701&amp;$C701,生产方式定位!$F$3:$J$38,3,FALSE),0)</f>
        <v>90</v>
      </c>
      <c r="X701" s="18">
        <f>IFERROR(VLOOKUP($D701&amp;$C701,生产方式定位!$A$2:$E$38,5,FALSE)+VLOOKUP($E701&amp;$C701,生产方式定位!$F$3:$J$38,5,FALSE),"错误")</f>
        <v>1140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>14%</v>
      </c>
      <c r="AC701" s="1">
        <f t="shared" si="165"/>
        <v>50</v>
      </c>
      <c r="AD701" s="36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20" customHeight="1" x14ac:dyDescent="0.3">
      <c r="A702" s="18" t="s">
        <v>417</v>
      </c>
      <c r="C702" s="18">
        <v>3</v>
      </c>
      <c r="D702" s="21" t="s">
        <v>262</v>
      </c>
      <c r="E702" s="21" t="s">
        <v>224</v>
      </c>
      <c r="L702" s="18">
        <f>IFERROR(VLOOKUP($D702&amp;$C702,生产方式定位!$A$2:$E$38,2,FALSE)+VLOOKUP($E702&amp;$C702,生产方式定位!$F$3:$J$38,2,FALSE),0)</f>
        <v>1625</v>
      </c>
      <c r="S702" s="18">
        <f>IFERROR(VLOOKUP($D702&amp;$C702,生产方式定位!$A$2:$E$38,3,FALSE)+VLOOKUP($E702&amp;$C702,生产方式定位!$F$3:$J$38,3,FALSE),0)</f>
        <v>80</v>
      </c>
      <c r="X702" s="18">
        <f>IFERROR(VLOOKUP($D702&amp;$C702,生产方式定位!$A$2:$E$38,5,FALSE)+VLOOKUP($E702&amp;$C702,生产方式定位!$F$3:$J$38,5,FALSE),"错误")</f>
        <v>1768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>9%</v>
      </c>
      <c r="AC702" s="1">
        <f t="shared" si="165"/>
        <v>63</v>
      </c>
      <c r="AD702" s="35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20" customHeight="1" x14ac:dyDescent="0.3">
      <c r="A703" s="18" t="s">
        <v>417</v>
      </c>
      <c r="C703" s="18">
        <v>4</v>
      </c>
      <c r="D703" s="21" t="s">
        <v>262</v>
      </c>
      <c r="E703" s="21" t="s">
        <v>224</v>
      </c>
      <c r="L703" s="18">
        <f>IFERROR(VLOOKUP($D703&amp;$C703,生产方式定位!$A$2:$E$38,2,FALSE)+VLOOKUP($E703&amp;$C703,生产方式定位!$F$3:$J$38,2,FALSE),0)</f>
        <v>2250</v>
      </c>
      <c r="S703" s="18">
        <f>IFERROR(VLOOKUP($D703&amp;$C703,生产方式定位!$A$2:$E$38,3,FALSE)+VLOOKUP($E703&amp;$C703,生产方式定位!$F$3:$J$38,3,FALSE),0)</f>
        <v>70</v>
      </c>
      <c r="X703" s="18">
        <f>IFERROR(VLOOKUP($D703&amp;$C703,生产方式定位!$A$2:$E$38,5,FALSE)+VLOOKUP($E703&amp;$C703,生产方式定位!$F$3:$J$38,5,FALSE),"错误")</f>
        <v>2395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>6%</v>
      </c>
      <c r="AC703" s="1">
        <f t="shared" si="165"/>
        <v>75</v>
      </c>
      <c r="AD703" s="35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20" customHeight="1" x14ac:dyDescent="0.3">
      <c r="A704" s="18" t="s">
        <v>417</v>
      </c>
      <c r="C704" s="18">
        <v>5</v>
      </c>
      <c r="D704" s="21" t="s">
        <v>262</v>
      </c>
      <c r="E704" s="21" t="s">
        <v>224</v>
      </c>
      <c r="L704" s="18">
        <f>IFERROR(VLOOKUP($D704&amp;$C704,生产方式定位!$A$2:$E$38,2,FALSE)+VLOOKUP($E704&amp;$C704,生产方式定位!$F$3:$J$38,2,FALSE),0)</f>
        <v>2875</v>
      </c>
      <c r="S704" s="18">
        <f>IFERROR(VLOOKUP($D704&amp;$C704,生产方式定位!$A$2:$E$38,3,FALSE)+VLOOKUP($E704&amp;$C704,生产方式定位!$F$3:$J$38,3,FALSE),0)</f>
        <v>60</v>
      </c>
      <c r="X704" s="18">
        <f>IFERROR(VLOOKUP($D704&amp;$C704,生产方式定位!$A$2:$E$38,5,FALSE)+VLOOKUP($E704&amp;$C704,生产方式定位!$F$3:$J$38,5,FALSE),"错误")</f>
        <v>3023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>5%</v>
      </c>
      <c r="AC704" s="1">
        <f t="shared" si="165"/>
        <v>88</v>
      </c>
      <c r="AD704" s="35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20" customHeight="1" x14ac:dyDescent="0.3">
      <c r="A705" s="5" t="s">
        <v>418</v>
      </c>
      <c r="C705" s="5">
        <v>1</v>
      </c>
      <c r="D705" s="21" t="s">
        <v>262</v>
      </c>
      <c r="E705" s="21" t="s">
        <v>230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70</v>
      </c>
      <c r="X705" s="5">
        <f>IFERROR(VLOOKUP($D705&amp;$C705,生产方式定位!$A$2:$E$38,5,FALSE)+VLOOKUP($E705&amp;$C705,生产方式定位!$F$3:$J$38,5,FALSE),"错误")</f>
        <v>350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280</v>
      </c>
      <c r="AD705" s="35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20" customHeight="1" x14ac:dyDescent="0.3">
      <c r="A706" s="5" t="s">
        <v>418</v>
      </c>
      <c r="C706" s="5">
        <v>2</v>
      </c>
      <c r="D706" s="21" t="s">
        <v>262</v>
      </c>
      <c r="E706" s="21" t="s">
        <v>230</v>
      </c>
      <c r="L706" s="5">
        <f>IFERROR(VLOOKUP($D706&amp;$C706,生产方式定位!$A$2:$E$38,2,FALSE)+VLOOKUP($E706&amp;$C706,生产方式定位!$F$3:$J$38,2,FALSE),0)</f>
        <v>900</v>
      </c>
      <c r="S706" s="5">
        <f>IFERROR(VLOOKUP($D706&amp;$C706,生产方式定位!$A$2:$E$38,3,FALSE)+VLOOKUP($E706&amp;$C706,生产方式定位!$F$3:$J$38,3,FALSE),0)</f>
        <v>100</v>
      </c>
      <c r="X706" s="5">
        <f>IFERROR(VLOOKUP($D706&amp;$C706,生产方式定位!$A$2:$E$38,5,FALSE)+VLOOKUP($E706&amp;$C706,生产方式定位!$F$3:$J$38,5,FALSE),"错误")</f>
        <v>1041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16%</v>
      </c>
      <c r="AC706" s="1">
        <f t="shared" si="165"/>
        <v>41</v>
      </c>
      <c r="AD706" s="35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20" customHeight="1" x14ac:dyDescent="0.3">
      <c r="A707" s="5" t="s">
        <v>418</v>
      </c>
      <c r="C707" s="5">
        <v>3</v>
      </c>
      <c r="D707" s="21" t="s">
        <v>262</v>
      </c>
      <c r="E707" s="21" t="s">
        <v>230</v>
      </c>
      <c r="L707" s="5">
        <f>IFERROR(VLOOKUP($D707&amp;$C707,生产方式定位!$A$2:$E$38,2,FALSE)+VLOOKUP($E707&amp;$C707,生产方式定位!$F$3:$J$38,2,FALSE),0)</f>
        <v>1500</v>
      </c>
      <c r="S707" s="5">
        <f>IFERROR(VLOOKUP($D707&amp;$C707,生产方式定位!$A$2:$E$38,3,FALSE)+VLOOKUP($E707&amp;$C707,生产方式定位!$F$3:$J$38,3,FALSE),0)</f>
        <v>95</v>
      </c>
      <c r="X707" s="5">
        <f>IFERROR(VLOOKUP($D707&amp;$C707,生产方式定位!$A$2:$E$38,5,FALSE)+VLOOKUP($E707&amp;$C707,生产方式定位!$F$3:$J$38,5,FALSE),"错误")</f>
        <v>1647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10%</v>
      </c>
      <c r="AC707" s="1">
        <f t="shared" si="165"/>
        <v>52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20" customHeight="1" x14ac:dyDescent="0.3">
      <c r="A708" s="5" t="s">
        <v>418</v>
      </c>
      <c r="C708" s="5">
        <v>4</v>
      </c>
      <c r="D708" s="21" t="s">
        <v>262</v>
      </c>
      <c r="E708" s="21" t="s">
        <v>230</v>
      </c>
      <c r="L708" s="5">
        <f>IFERROR(VLOOKUP($D708&amp;$C708,生产方式定位!$A$2:$E$38,2,FALSE)+VLOOKUP($E708&amp;$C708,生产方式定位!$F$3:$J$38,2,FALSE),0)</f>
        <v>2100</v>
      </c>
      <c r="S708" s="5">
        <f>IFERROR(VLOOKUP($D708&amp;$C708,生产方式定位!$A$2:$E$38,3,FALSE)+VLOOKUP($E708&amp;$C708,生产方式定位!$F$3:$J$38,3,FALSE),0)</f>
        <v>90</v>
      </c>
      <c r="X708" s="5">
        <f>IFERROR(VLOOKUP($D708&amp;$C708,生产方式定位!$A$2:$E$38,5,FALSE)+VLOOKUP($E708&amp;$C708,生产方式定位!$F$3:$J$38,5,FALSE),"错误")</f>
        <v>2252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7%</v>
      </c>
      <c r="AC708" s="1">
        <f t="shared" si="165"/>
        <v>62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20" customHeight="1" x14ac:dyDescent="0.3">
      <c r="A709" s="5" t="s">
        <v>418</v>
      </c>
      <c r="C709" s="5">
        <v>5</v>
      </c>
      <c r="D709" s="21" t="s">
        <v>262</v>
      </c>
      <c r="E709" s="21" t="s">
        <v>230</v>
      </c>
      <c r="L709" s="5">
        <f>IFERROR(VLOOKUP($D709&amp;$C709,生产方式定位!$A$2:$E$38,2,FALSE)+VLOOKUP($E709&amp;$C709,生产方式定位!$F$3:$J$38,2,FALSE),0)</f>
        <v>2700</v>
      </c>
      <c r="S709" s="5">
        <f>IFERROR(VLOOKUP($D709&amp;$C709,生产方式定位!$A$2:$E$38,3,FALSE)+VLOOKUP($E709&amp;$C709,生产方式定位!$F$3:$J$38,3,FALSE),0)</f>
        <v>85</v>
      </c>
      <c r="X709" s="5">
        <f>IFERROR(VLOOKUP($D709&amp;$C709,生产方式定位!$A$2:$E$38,5,FALSE)+VLOOKUP($E709&amp;$C709,生产方式定位!$F$3:$J$38,5,FALSE),"错误")</f>
        <v>2858</v>
      </c>
      <c r="Y709" s="24" t="str">
        <f t="shared" si="162"/>
        <v/>
      </c>
      <c r="Z709" s="34" t="str">
        <f t="shared" si="163"/>
        <v/>
      </c>
      <c r="AA709" s="34" t="str">
        <f t="shared" ref="AA709:AA772" si="176">IF(AJ709="","",AJ709)&amp;IF(AK709="","",","&amp;AK709)</f>
        <v/>
      </c>
      <c r="AB709" s="25" t="str">
        <f t="shared" si="164"/>
        <v>6%</v>
      </c>
      <c r="AC709" s="1">
        <f t="shared" si="165"/>
        <v>73</v>
      </c>
      <c r="AD709" s="35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20" customHeight="1" x14ac:dyDescent="0.3">
      <c r="A710" s="18" t="s">
        <v>419</v>
      </c>
      <c r="C710" s="18">
        <v>1</v>
      </c>
      <c r="D710" s="21" t="s">
        <v>262</v>
      </c>
      <c r="E710" s="21" t="s">
        <v>225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70</v>
      </c>
      <c r="X710" s="18">
        <f>IFERROR(VLOOKUP($D710&amp;$C710,生产方式定位!$A$2:$E$38,5,FALSE)+VLOOKUP($E710&amp;$C710,生产方式定位!$F$3:$J$38,5,FALSE),"错误")</f>
        <v>350</v>
      </c>
      <c r="Y710" s="24" t="str">
        <f t="shared" ref="Y710:Y773" si="178">IF(AE710="","",AE710)&amp;IF(AF710="","",","&amp;AF710)&amp;IF(AN710=0,"",",运力*"&amp;AN710)&amp;IF(AO710=0,"",",交易*"&amp;AO710)</f>
        <v/>
      </c>
      <c r="Z710" s="34" t="str">
        <f t="shared" ref="Z710:Z773" si="179">IF(AG710="","",AG710)&amp;IF(AH710="","",","&amp;AH710)&amp;IF(AI710="","",","&amp;AI710)</f>
        <v/>
      </c>
      <c r="AA710" s="34" t="str">
        <f t="shared" si="176"/>
        <v/>
      </c>
      <c r="AB710" s="25" t="str">
        <f t="shared" ref="AB710:AB773" si="180">IFERROR(ROUND(((X710/L710)-1)*100,0)&amp;"%","")</f>
        <v/>
      </c>
      <c r="AC710" s="1">
        <f t="shared" ref="AC710:AC773" si="181">IF(X710-S710-L710=0,"",X710-S710-L710)</f>
        <v>280</v>
      </c>
      <c r="AD710" s="36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spans="1:49" ht="20" customHeight="1" x14ac:dyDescent="0.3">
      <c r="A711" s="18" t="s">
        <v>419</v>
      </c>
      <c r="C711" s="18">
        <v>2</v>
      </c>
      <c r="D711" s="21" t="s">
        <v>262</v>
      </c>
      <c r="E711" s="21" t="s">
        <v>225</v>
      </c>
      <c r="L711" s="18">
        <f>IFERROR(VLOOKUP($D711&amp;$C711,生产方式定位!$A$2:$E$38,2,FALSE)+VLOOKUP($E711&amp;$C711,生产方式定位!$F$3:$J$38,2,FALSE),0)</f>
        <v>1250</v>
      </c>
      <c r="S711" s="18">
        <f>IFERROR(VLOOKUP($D711&amp;$C711,生产方式定位!$A$2:$E$38,3,FALSE)+VLOOKUP($E711&amp;$C711,生产方式定位!$F$3:$J$38,3,FALSE),0)</f>
        <v>130</v>
      </c>
      <c r="X711" s="18">
        <f>IFERROR(VLOOKUP($D711&amp;$C711,生产方式定位!$A$2:$E$38,5,FALSE)+VLOOKUP($E711&amp;$C711,生产方式定位!$F$3:$J$38,5,FALSE),"错误")</f>
        <v>1222</v>
      </c>
      <c r="Y711" s="24" t="str">
        <f t="shared" si="178"/>
        <v/>
      </c>
      <c r="Z711" s="34" t="str">
        <f t="shared" si="179"/>
        <v/>
      </c>
      <c r="AA711" s="34" t="str">
        <f t="shared" si="176"/>
        <v/>
      </c>
      <c r="AB711" s="25" t="str">
        <f t="shared" si="180"/>
        <v>-2%</v>
      </c>
      <c r="AC711" s="1">
        <f t="shared" si="181"/>
        <v>-158</v>
      </c>
      <c r="AD711" s="36">
        <f t="shared" si="177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spans="1:49" ht="20" customHeight="1" x14ac:dyDescent="0.3">
      <c r="A712" s="18" t="s">
        <v>419</v>
      </c>
      <c r="C712" s="18">
        <v>3</v>
      </c>
      <c r="D712" s="21" t="s">
        <v>262</v>
      </c>
      <c r="E712" s="21" t="s">
        <v>225</v>
      </c>
      <c r="L712" s="18">
        <f>IFERROR(VLOOKUP($D712&amp;$C712,生产方式定位!$A$2:$E$38,2,FALSE)+VLOOKUP($E712&amp;$C712,生产方式定位!$F$3:$J$38,2,FALSE),0)</f>
        <v>2000</v>
      </c>
      <c r="S712" s="18">
        <f>IFERROR(VLOOKUP($D712&amp;$C712,生产方式定位!$A$2:$E$38,3,FALSE)+VLOOKUP($E712&amp;$C712,生产方式定位!$F$3:$J$38,3,FALSE),0)</f>
        <v>140</v>
      </c>
      <c r="X712" s="18">
        <f>IFERROR(VLOOKUP($D712&amp;$C712,生产方式定位!$A$2:$E$38,5,FALSE)+VLOOKUP($E712&amp;$C712,生产方式定位!$F$3:$J$38,5,FALSE),"错误")</f>
        <v>1981</v>
      </c>
      <c r="Y712" s="24" t="str">
        <f t="shared" si="178"/>
        <v/>
      </c>
      <c r="Z712" s="34" t="str">
        <f t="shared" si="179"/>
        <v/>
      </c>
      <c r="AA712" s="34" t="str">
        <f t="shared" si="176"/>
        <v/>
      </c>
      <c r="AB712" s="25" t="str">
        <f t="shared" si="180"/>
        <v>-1%</v>
      </c>
      <c r="AC712" s="1">
        <f t="shared" si="181"/>
        <v>-159</v>
      </c>
      <c r="AD712" s="36">
        <f t="shared" si="177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spans="1:49" ht="20" customHeight="1" x14ac:dyDescent="0.3">
      <c r="A713" s="18" t="s">
        <v>419</v>
      </c>
      <c r="C713" s="18">
        <v>4</v>
      </c>
      <c r="D713" s="21" t="s">
        <v>262</v>
      </c>
      <c r="E713" s="21" t="s">
        <v>225</v>
      </c>
      <c r="L713" s="18">
        <f>IFERROR(VLOOKUP($D713&amp;$C713,生产方式定位!$A$2:$E$38,2,FALSE)+VLOOKUP($E713&amp;$C713,生产方式定位!$F$3:$J$38,2,FALSE),0)</f>
        <v>2750</v>
      </c>
      <c r="S713" s="18">
        <f>IFERROR(VLOOKUP($D713&amp;$C713,生产方式定位!$A$2:$E$38,3,FALSE)+VLOOKUP($E713&amp;$C713,生产方式定位!$F$3:$J$38,3,FALSE),0)</f>
        <v>150</v>
      </c>
      <c r="X713" s="18">
        <f>IFERROR(VLOOKUP($D713&amp;$C713,生产方式定位!$A$2:$E$38,5,FALSE)+VLOOKUP($E713&amp;$C713,生产方式定位!$F$3:$J$38,5,FALSE),"错误")</f>
        <v>2767</v>
      </c>
      <c r="Y713" s="24" t="str">
        <f t="shared" si="178"/>
        <v/>
      </c>
      <c r="Z713" s="34" t="str">
        <f t="shared" si="179"/>
        <v/>
      </c>
      <c r="AA713" s="34" t="str">
        <f t="shared" si="176"/>
        <v/>
      </c>
      <c r="AB713" s="25" t="str">
        <f t="shared" si="180"/>
        <v>1%</v>
      </c>
      <c r="AC713" s="1">
        <f t="shared" si="181"/>
        <v>-133</v>
      </c>
      <c r="AD713" s="36">
        <f t="shared" si="177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spans="1:49" ht="20" customHeight="1" x14ac:dyDescent="0.3">
      <c r="A714" s="18" t="s">
        <v>419</v>
      </c>
      <c r="C714" s="18">
        <v>5</v>
      </c>
      <c r="D714" s="21" t="s">
        <v>262</v>
      </c>
      <c r="E714" s="21" t="s">
        <v>225</v>
      </c>
      <c r="L714" s="18">
        <f>IFERROR(VLOOKUP($D714&amp;$C714,生产方式定位!$A$2:$E$38,2,FALSE)+VLOOKUP($E714&amp;$C714,生产方式定位!$F$3:$J$38,2,FALSE),0)</f>
        <v>3500</v>
      </c>
      <c r="S714" s="18">
        <f>IFERROR(VLOOKUP($D714&amp;$C714,生产方式定位!$A$2:$E$38,3,FALSE)+VLOOKUP($E714&amp;$C714,生产方式定位!$F$3:$J$38,3,FALSE),0)</f>
        <v>160</v>
      </c>
      <c r="X714" s="18">
        <f>IFERROR(VLOOKUP($D714&amp;$C714,生产方式定位!$A$2:$E$38,5,FALSE)+VLOOKUP($E714&amp;$C714,生产方式定位!$F$3:$J$38,5,FALSE),"错误")</f>
        <v>3820</v>
      </c>
      <c r="Y714" s="24" t="str">
        <f t="shared" si="178"/>
        <v/>
      </c>
      <c r="Z714" s="34" t="str">
        <f t="shared" si="179"/>
        <v/>
      </c>
      <c r="AA714" s="34" t="str">
        <f t="shared" si="176"/>
        <v/>
      </c>
      <c r="AB714" s="25" t="str">
        <f t="shared" si="180"/>
        <v>9%</v>
      </c>
      <c r="AC714" s="1">
        <f t="shared" si="181"/>
        <v>160</v>
      </c>
      <c r="AD714" s="36">
        <f t="shared" si="177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spans="1:49" ht="20" customHeight="1" x14ac:dyDescent="0.3">
      <c r="A715" s="5" t="s">
        <v>419</v>
      </c>
      <c r="C715" s="5">
        <v>1</v>
      </c>
      <c r="D715" s="21" t="s">
        <v>262</v>
      </c>
      <c r="E715" s="21" t="s">
        <v>225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70</v>
      </c>
      <c r="X715" s="5">
        <f>IFERROR(VLOOKUP($D715&amp;$C715,生产方式定位!$A$2:$E$38,5,FALSE)+VLOOKUP($E715&amp;$C715,生产方式定位!$F$3:$J$38,5,FALSE),"错误")</f>
        <v>350</v>
      </c>
      <c r="Y715" s="24" t="str">
        <f t="shared" si="178"/>
        <v/>
      </c>
      <c r="Z715" s="34" t="str">
        <f t="shared" si="179"/>
        <v/>
      </c>
      <c r="AA715" s="34" t="str">
        <f t="shared" si="176"/>
        <v/>
      </c>
      <c r="AB715" s="25" t="str">
        <f t="shared" si="180"/>
        <v/>
      </c>
      <c r="AC715" s="1">
        <f t="shared" si="181"/>
        <v>280</v>
      </c>
      <c r="AD715" s="35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20" customHeight="1" x14ac:dyDescent="0.3">
      <c r="A716" s="5" t="s">
        <v>419</v>
      </c>
      <c r="C716" s="5">
        <v>2</v>
      </c>
      <c r="D716" s="21" t="s">
        <v>262</v>
      </c>
      <c r="E716" s="21" t="s">
        <v>225</v>
      </c>
      <c r="L716" s="5">
        <f>IFERROR(VLOOKUP($D716&amp;$C716,生产方式定位!$A$2:$E$38,2,FALSE)+VLOOKUP($E716&amp;$C716,生产方式定位!$F$3:$J$38,2,FALSE),0)</f>
        <v>1250</v>
      </c>
      <c r="S716" s="5">
        <f>IFERROR(VLOOKUP($D716&amp;$C716,生产方式定位!$A$2:$E$38,3,FALSE)+VLOOKUP($E716&amp;$C716,生产方式定位!$F$3:$J$38,3,FALSE),0)</f>
        <v>130</v>
      </c>
      <c r="X716" s="5">
        <f>IFERROR(VLOOKUP($D716&amp;$C716,生产方式定位!$A$2:$E$38,5,FALSE)+VLOOKUP($E716&amp;$C716,生产方式定位!$F$3:$J$38,5,FALSE),"错误")</f>
        <v>1222</v>
      </c>
      <c r="Y716" s="24" t="str">
        <f t="shared" si="178"/>
        <v/>
      </c>
      <c r="Z716" s="34" t="str">
        <f t="shared" si="179"/>
        <v/>
      </c>
      <c r="AA716" s="34" t="str">
        <f t="shared" si="176"/>
        <v/>
      </c>
      <c r="AB716" s="25" t="str">
        <f t="shared" si="180"/>
        <v>-2%</v>
      </c>
      <c r="AC716" s="1">
        <f t="shared" si="181"/>
        <v>-158</v>
      </c>
      <c r="AD716" s="35">
        <f t="shared" si="177"/>
        <v>2</v>
      </c>
      <c r="AE716" t="str">
        <f t="shared" si="182"/>
        <v/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 t="str">
        <f>IFERROR(ROUND(L716*(G716/$AU716)/VLOOKUP(F716,商品!$A$4:$C$60,3,FALSE),0),"")</f>
        <v/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0</v>
      </c>
      <c r="AV716">
        <f t="shared" si="190"/>
        <v>0</v>
      </c>
      <c r="AW716">
        <f t="shared" si="191"/>
        <v>0</v>
      </c>
    </row>
    <row r="717" spans="1:49" ht="20" customHeight="1" x14ac:dyDescent="0.3">
      <c r="A717" s="5" t="s">
        <v>419</v>
      </c>
      <c r="C717" s="5">
        <v>3</v>
      </c>
      <c r="D717" s="21" t="s">
        <v>262</v>
      </c>
      <c r="E717" s="21" t="s">
        <v>225</v>
      </c>
      <c r="L717" s="5">
        <f>IFERROR(VLOOKUP($D717&amp;$C717,生产方式定位!$A$2:$E$38,2,FALSE)+VLOOKUP($E717&amp;$C717,生产方式定位!$F$3:$J$38,2,FALSE),0)</f>
        <v>2000</v>
      </c>
      <c r="S717" s="5">
        <f>IFERROR(VLOOKUP($D717&amp;$C717,生产方式定位!$A$2:$E$38,3,FALSE)+VLOOKUP($E717&amp;$C717,生产方式定位!$F$3:$J$38,3,FALSE),0)</f>
        <v>140</v>
      </c>
      <c r="X717" s="5">
        <f>IFERROR(VLOOKUP($D717&amp;$C717,生产方式定位!$A$2:$E$38,5,FALSE)+VLOOKUP($E717&amp;$C717,生产方式定位!$F$3:$J$38,5,FALSE),"错误")</f>
        <v>1981</v>
      </c>
      <c r="Y717" s="24" t="str">
        <f t="shared" si="178"/>
        <v/>
      </c>
      <c r="Z717" s="34" t="str">
        <f t="shared" si="179"/>
        <v/>
      </c>
      <c r="AA717" s="34" t="str">
        <f t="shared" si="176"/>
        <v/>
      </c>
      <c r="AB717" s="25" t="str">
        <f t="shared" si="180"/>
        <v>-1%</v>
      </c>
      <c r="AC717" s="1">
        <f t="shared" si="181"/>
        <v>-159</v>
      </c>
      <c r="AD717" s="35">
        <f t="shared" si="177"/>
        <v>3</v>
      </c>
      <c r="AE717" t="str">
        <f t="shared" si="182"/>
        <v/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 t="str">
        <f>IFERROR(ROUND(L717*(G717/$AU717)/VLOOKUP(F717,商品!$A$4:$C$60,3,FALSE),0),"")</f>
        <v/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0</v>
      </c>
      <c r="AV717">
        <f t="shared" si="190"/>
        <v>0</v>
      </c>
      <c r="AW717">
        <f t="shared" si="191"/>
        <v>0</v>
      </c>
    </row>
    <row r="718" spans="1:49" ht="20" customHeight="1" x14ac:dyDescent="0.3">
      <c r="A718" s="5" t="s">
        <v>419</v>
      </c>
      <c r="C718" s="5">
        <v>4</v>
      </c>
      <c r="D718" s="21" t="s">
        <v>262</v>
      </c>
      <c r="E718" s="21" t="s">
        <v>225</v>
      </c>
      <c r="L718" s="5">
        <f>IFERROR(VLOOKUP($D718&amp;$C718,生产方式定位!$A$2:$E$38,2,FALSE)+VLOOKUP($E718&amp;$C718,生产方式定位!$F$3:$J$38,2,FALSE),0)</f>
        <v>2750</v>
      </c>
      <c r="S718" s="5">
        <f>IFERROR(VLOOKUP($D718&amp;$C718,生产方式定位!$A$2:$E$38,3,FALSE)+VLOOKUP($E718&amp;$C718,生产方式定位!$F$3:$J$38,3,FALSE),0)</f>
        <v>150</v>
      </c>
      <c r="X718" s="5">
        <f>IFERROR(VLOOKUP($D718&amp;$C718,生产方式定位!$A$2:$E$38,5,FALSE)+VLOOKUP($E718&amp;$C718,生产方式定位!$F$3:$J$38,5,FALSE),"错误")</f>
        <v>2767</v>
      </c>
      <c r="Y718" s="24" t="str">
        <f t="shared" si="178"/>
        <v/>
      </c>
      <c r="Z718" s="34" t="str">
        <f t="shared" si="179"/>
        <v/>
      </c>
      <c r="AA718" s="34" t="str">
        <f t="shared" si="176"/>
        <v/>
      </c>
      <c r="AB718" s="25" t="str">
        <f t="shared" si="180"/>
        <v>1%</v>
      </c>
      <c r="AC718" s="1">
        <f t="shared" si="181"/>
        <v>-133</v>
      </c>
      <c r="AD718" s="35">
        <f t="shared" si="177"/>
        <v>4</v>
      </c>
      <c r="AE718" t="str">
        <f t="shared" si="182"/>
        <v/>
      </c>
      <c r="AF718" t="str">
        <f t="shared" si="183"/>
        <v/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 t="str">
        <f>IFERROR(ROUND(L718*(G718/$AU718)/VLOOKUP(F718,商品!$A$4:$C$60,3,FALSE),0),"")</f>
        <v/>
      </c>
      <c r="AM718" t="str">
        <f>IFERROR(ROUND(L718*(I718/$AU718)/VLOOKUP(H718,商品!$A$4:$C$60,3,FALSE),0),"")</f>
        <v/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0</v>
      </c>
      <c r="AV718">
        <f t="shared" si="190"/>
        <v>0</v>
      </c>
      <c r="AW718">
        <f t="shared" si="191"/>
        <v>0</v>
      </c>
    </row>
    <row r="719" spans="1:49" ht="20" customHeight="1" x14ac:dyDescent="0.3">
      <c r="A719" s="5" t="s">
        <v>419</v>
      </c>
      <c r="C719" s="5">
        <v>5</v>
      </c>
      <c r="D719" s="21" t="s">
        <v>262</v>
      </c>
      <c r="E719" s="21" t="s">
        <v>225</v>
      </c>
      <c r="L719" s="5">
        <f>IFERROR(VLOOKUP($D719&amp;$C719,生产方式定位!$A$2:$E$38,2,FALSE)+VLOOKUP($E719&amp;$C719,生产方式定位!$F$3:$J$38,2,FALSE),0)</f>
        <v>3500</v>
      </c>
      <c r="S719" s="5">
        <f>IFERROR(VLOOKUP($D719&amp;$C719,生产方式定位!$A$2:$E$38,3,FALSE)+VLOOKUP($E719&amp;$C719,生产方式定位!$F$3:$J$38,3,FALSE),0)</f>
        <v>160</v>
      </c>
      <c r="X719" s="5">
        <f>IFERROR(VLOOKUP($D719&amp;$C719,生产方式定位!$A$2:$E$38,5,FALSE)+VLOOKUP($E719&amp;$C719,生产方式定位!$F$3:$J$38,5,FALSE),"错误")</f>
        <v>3820</v>
      </c>
      <c r="Y719" s="24" t="str">
        <f t="shared" si="178"/>
        <v/>
      </c>
      <c r="Z719" s="34" t="str">
        <f t="shared" si="179"/>
        <v/>
      </c>
      <c r="AA719" s="34" t="str">
        <f t="shared" si="176"/>
        <v/>
      </c>
      <c r="AB719" s="25" t="str">
        <f t="shared" si="180"/>
        <v>9%</v>
      </c>
      <c r="AC719" s="1">
        <f t="shared" si="181"/>
        <v>160</v>
      </c>
      <c r="AD719" s="35">
        <f t="shared" si="177"/>
        <v>5</v>
      </c>
      <c r="AE719" t="str">
        <f t="shared" si="182"/>
        <v/>
      </c>
      <c r="AF719" t="str">
        <f t="shared" si="183"/>
        <v/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 t="str">
        <f>IFERROR(ROUND(L719*(G719/$AU719)/VLOOKUP(F719,商品!$A$4:$C$60,3,FALSE),0),"")</f>
        <v/>
      </c>
      <c r="AM719" t="str">
        <f>IFERROR(ROUND(L719*(I719/$AU719)/VLOOKUP(H719,商品!$A$4:$C$60,3,FALSE),0),"")</f>
        <v/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0</v>
      </c>
      <c r="AV719">
        <f t="shared" si="190"/>
        <v>0</v>
      </c>
      <c r="AW719">
        <f t="shared" si="191"/>
        <v>0</v>
      </c>
    </row>
    <row r="720" spans="1:49" ht="20" customHeight="1" x14ac:dyDescent="0.3">
      <c r="A720" s="18" t="s">
        <v>420</v>
      </c>
      <c r="C720" s="18">
        <v>1</v>
      </c>
      <c r="D720" s="21" t="s">
        <v>292</v>
      </c>
      <c r="E720" s="21" t="s">
        <v>226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 t="str">
        <f t="shared" si="181"/>
        <v/>
      </c>
      <c r="AD720" s="36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20" customHeight="1" x14ac:dyDescent="0.3">
      <c r="A721" s="18" t="s">
        <v>420</v>
      </c>
      <c r="C721" s="18">
        <v>2</v>
      </c>
      <c r="D721" s="21" t="s">
        <v>292</v>
      </c>
      <c r="E721" s="21" t="s">
        <v>226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24" t="str">
        <f t="shared" si="178"/>
        <v/>
      </c>
      <c r="Z721" s="34" t="str">
        <f t="shared" si="179"/>
        <v/>
      </c>
      <c r="AA721" s="34" t="str">
        <f t="shared" si="176"/>
        <v/>
      </c>
      <c r="AB721" s="25" t="str">
        <f t="shared" si="180"/>
        <v/>
      </c>
      <c r="AC721" s="1" t="str">
        <f t="shared" si="181"/>
        <v/>
      </c>
      <c r="AD721" s="36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spans="1:49" ht="20" customHeight="1" x14ac:dyDescent="0.3">
      <c r="A722" s="18" t="s">
        <v>420</v>
      </c>
      <c r="C722" s="18">
        <v>3</v>
      </c>
      <c r="D722" s="21" t="s">
        <v>292</v>
      </c>
      <c r="E722" s="21" t="s">
        <v>226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24" t="str">
        <f t="shared" si="178"/>
        <v/>
      </c>
      <c r="Z722" s="34" t="str">
        <f t="shared" si="179"/>
        <v/>
      </c>
      <c r="AA722" s="34" t="str">
        <f t="shared" si="176"/>
        <v/>
      </c>
      <c r="AB722" s="25" t="str">
        <f t="shared" si="180"/>
        <v/>
      </c>
      <c r="AC722" s="1" t="str">
        <f t="shared" si="181"/>
        <v/>
      </c>
      <c r="AD722" s="36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spans="1:49" ht="20" customHeight="1" x14ac:dyDescent="0.3">
      <c r="A723" s="18" t="s">
        <v>420</v>
      </c>
      <c r="C723" s="18">
        <v>4</v>
      </c>
      <c r="D723" s="21" t="s">
        <v>292</v>
      </c>
      <c r="E723" s="21" t="s">
        <v>226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24" t="str">
        <f t="shared" si="178"/>
        <v/>
      </c>
      <c r="Z723" s="34" t="str">
        <f t="shared" si="179"/>
        <v/>
      </c>
      <c r="AA723" s="34" t="str">
        <f t="shared" si="176"/>
        <v/>
      </c>
      <c r="AB723" s="25" t="str">
        <f t="shared" si="180"/>
        <v/>
      </c>
      <c r="AC723" s="1" t="str">
        <f t="shared" si="181"/>
        <v/>
      </c>
      <c r="AD723" s="36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spans="1:49" ht="20" customHeight="1" x14ac:dyDescent="0.3">
      <c r="A724" s="18" t="s">
        <v>420</v>
      </c>
      <c r="C724" s="18">
        <v>5</v>
      </c>
      <c r="D724" s="21" t="s">
        <v>292</v>
      </c>
      <c r="E724" s="21" t="s">
        <v>226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24" t="str">
        <f t="shared" si="178"/>
        <v/>
      </c>
      <c r="Z724" s="34" t="str">
        <f t="shared" si="179"/>
        <v/>
      </c>
      <c r="AA724" s="34" t="str">
        <f t="shared" si="176"/>
        <v/>
      </c>
      <c r="AB724" s="25" t="str">
        <f t="shared" si="180"/>
        <v/>
      </c>
      <c r="AC724" s="1" t="str">
        <f t="shared" si="181"/>
        <v/>
      </c>
      <c r="AD724" s="36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spans="1:49" ht="20" customHeight="1" x14ac:dyDescent="0.3">
      <c r="A725" s="18" t="s">
        <v>420</v>
      </c>
      <c r="C725" s="18">
        <v>6</v>
      </c>
      <c r="D725" s="21" t="s">
        <v>292</v>
      </c>
      <c r="E725" s="21" t="s">
        <v>226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5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20" customHeight="1" x14ac:dyDescent="0.3">
      <c r="A726" s="18" t="s">
        <v>420</v>
      </c>
      <c r="C726" s="18">
        <v>7</v>
      </c>
      <c r="D726" s="21" t="s">
        <v>292</v>
      </c>
      <c r="E726" s="21" t="s">
        <v>226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5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20" customHeight="1" x14ac:dyDescent="0.3">
      <c r="A727" s="18" t="s">
        <v>420</v>
      </c>
      <c r="C727" s="18">
        <v>8</v>
      </c>
      <c r="D727" s="21" t="s">
        <v>292</v>
      </c>
      <c r="E727" s="21" t="s">
        <v>226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5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20" customHeight="1" x14ac:dyDescent="0.3">
      <c r="A728" s="5" t="s">
        <v>422</v>
      </c>
      <c r="C728" s="5">
        <v>1</v>
      </c>
      <c r="D728" s="21" t="s">
        <v>262</v>
      </c>
      <c r="E728" s="21" t="s">
        <v>224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70</v>
      </c>
      <c r="X728" s="5">
        <f>IFERROR(VLOOKUP($D728&amp;$C728,生产方式定位!$A$2:$E$38,5,FALSE)+VLOOKUP($E728&amp;$C728,生产方式定位!$F$3:$J$38,5,FALSE),"错误")</f>
        <v>350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>
        <f t="shared" si="181"/>
        <v>280</v>
      </c>
      <c r="AD728" s="35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20" customHeight="1" x14ac:dyDescent="0.3">
      <c r="A729" s="5" t="s">
        <v>422</v>
      </c>
      <c r="C729" s="5">
        <v>2</v>
      </c>
      <c r="D729" s="21" t="s">
        <v>262</v>
      </c>
      <c r="E729" s="21" t="s">
        <v>224</v>
      </c>
      <c r="L729" s="5">
        <f>IFERROR(VLOOKUP($D729&amp;$C729,生产方式定位!$A$2:$E$38,2,FALSE)+VLOOKUP($E729&amp;$C729,生产方式定位!$F$3:$J$38,2,FALSE),0)</f>
        <v>1000</v>
      </c>
      <c r="S729" s="5">
        <f>IFERROR(VLOOKUP($D729&amp;$C729,生产方式定位!$A$2:$E$38,3,FALSE)+VLOOKUP($E729&amp;$C729,生产方式定位!$F$3:$J$38,3,FALSE),0)</f>
        <v>90</v>
      </c>
      <c r="X729" s="5">
        <f>IFERROR(VLOOKUP($D729&amp;$C729,生产方式定位!$A$2:$E$38,5,FALSE)+VLOOKUP($E729&amp;$C729,生产方式定位!$F$3:$J$38,5,FALSE),"错误")</f>
        <v>1140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>14%</v>
      </c>
      <c r="AC729" s="1">
        <f t="shared" si="181"/>
        <v>50</v>
      </c>
      <c r="AD729" s="35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20" customHeight="1" x14ac:dyDescent="0.3">
      <c r="A730" s="5" t="s">
        <v>422</v>
      </c>
      <c r="C730" s="5">
        <v>3</v>
      </c>
      <c r="D730" s="21" t="s">
        <v>262</v>
      </c>
      <c r="E730" s="21" t="s">
        <v>224</v>
      </c>
      <c r="L730" s="5">
        <f>IFERROR(VLOOKUP($D730&amp;$C730,生产方式定位!$A$2:$E$38,2,FALSE)+VLOOKUP($E730&amp;$C730,生产方式定位!$F$3:$J$38,2,FALSE),0)</f>
        <v>1625</v>
      </c>
      <c r="S730" s="5">
        <f>IFERROR(VLOOKUP($D730&amp;$C730,生产方式定位!$A$2:$E$38,3,FALSE)+VLOOKUP($E730&amp;$C730,生产方式定位!$F$3:$J$38,3,FALSE),0)</f>
        <v>80</v>
      </c>
      <c r="X730" s="5">
        <f>IFERROR(VLOOKUP($D730&amp;$C730,生产方式定位!$A$2:$E$38,5,FALSE)+VLOOKUP($E730&amp;$C730,生产方式定位!$F$3:$J$38,5,FALSE),"错误")</f>
        <v>1768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>9%</v>
      </c>
      <c r="AC730" s="1">
        <f t="shared" si="181"/>
        <v>63</v>
      </c>
      <c r="AD730" s="36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20" customHeight="1" x14ac:dyDescent="0.3">
      <c r="A731" s="5" t="s">
        <v>422</v>
      </c>
      <c r="C731" s="5">
        <v>4</v>
      </c>
      <c r="D731" s="21" t="s">
        <v>262</v>
      </c>
      <c r="E731" s="21" t="s">
        <v>224</v>
      </c>
      <c r="L731" s="5">
        <f>IFERROR(VLOOKUP($D731&amp;$C731,生产方式定位!$A$2:$E$38,2,FALSE)+VLOOKUP($E731&amp;$C731,生产方式定位!$F$3:$J$38,2,FALSE),0)</f>
        <v>2250</v>
      </c>
      <c r="S731" s="5">
        <f>IFERROR(VLOOKUP($D731&amp;$C731,生产方式定位!$A$2:$E$38,3,FALSE)+VLOOKUP($E731&amp;$C731,生产方式定位!$F$3:$J$38,3,FALSE),0)</f>
        <v>70</v>
      </c>
      <c r="X731" s="5">
        <f>IFERROR(VLOOKUP($D731&amp;$C731,生产方式定位!$A$2:$E$38,5,FALSE)+VLOOKUP($E731&amp;$C731,生产方式定位!$F$3:$J$38,5,FALSE),"错误")</f>
        <v>2395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>6%</v>
      </c>
      <c r="AC731" s="1">
        <f t="shared" si="181"/>
        <v>75</v>
      </c>
      <c r="AD731" s="36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20" customHeight="1" x14ac:dyDescent="0.3">
      <c r="A732" s="5" t="s">
        <v>422</v>
      </c>
      <c r="C732" s="5">
        <v>5</v>
      </c>
      <c r="D732" s="21" t="s">
        <v>262</v>
      </c>
      <c r="E732" s="21" t="s">
        <v>224</v>
      </c>
      <c r="L732" s="5">
        <f>IFERROR(VLOOKUP($D732&amp;$C732,生产方式定位!$A$2:$E$38,2,FALSE)+VLOOKUP($E732&amp;$C732,生产方式定位!$F$3:$J$38,2,FALSE),0)</f>
        <v>2875</v>
      </c>
      <c r="S732" s="5">
        <f>IFERROR(VLOOKUP($D732&amp;$C732,生产方式定位!$A$2:$E$38,3,FALSE)+VLOOKUP($E732&amp;$C732,生产方式定位!$F$3:$J$38,3,FALSE),0)</f>
        <v>60</v>
      </c>
      <c r="X732" s="5">
        <f>IFERROR(VLOOKUP($D732&amp;$C732,生产方式定位!$A$2:$E$38,5,FALSE)+VLOOKUP($E732&amp;$C732,生产方式定位!$F$3:$J$38,5,FALSE),"错误")</f>
        <v>3023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>5%</v>
      </c>
      <c r="AC732" s="1">
        <f t="shared" si="181"/>
        <v>88</v>
      </c>
      <c r="AD732" s="36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20" customHeight="1" x14ac:dyDescent="0.3">
      <c r="A733" s="18" t="s">
        <v>423</v>
      </c>
      <c r="C733" s="18">
        <v>1</v>
      </c>
      <c r="D733" s="21" t="s">
        <v>262</v>
      </c>
      <c r="E733" s="21" t="s">
        <v>230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70</v>
      </c>
      <c r="X733" s="18">
        <f>IFERROR(VLOOKUP($D733&amp;$C733,生产方式定位!$A$2:$E$38,5,FALSE)+VLOOKUP($E733&amp;$C733,生产方式定位!$F$3:$J$38,5,FALSE),"错误")</f>
        <v>350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280</v>
      </c>
      <c r="AD733" s="36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20" customHeight="1" x14ac:dyDescent="0.3">
      <c r="A734" s="18" t="s">
        <v>423</v>
      </c>
      <c r="C734" s="18">
        <v>2</v>
      </c>
      <c r="D734" s="21" t="s">
        <v>262</v>
      </c>
      <c r="E734" s="21" t="s">
        <v>230</v>
      </c>
      <c r="L734" s="18">
        <f>IFERROR(VLOOKUP($D734&amp;$C734,生产方式定位!$A$2:$E$38,2,FALSE)+VLOOKUP($E734&amp;$C734,生产方式定位!$F$3:$J$38,2,FALSE),0)</f>
        <v>900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1041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16%</v>
      </c>
      <c r="AC734" s="1">
        <f t="shared" si="181"/>
        <v>41</v>
      </c>
      <c r="AD734" s="36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20" customHeight="1" x14ac:dyDescent="0.3">
      <c r="A735" s="18" t="s">
        <v>423</v>
      </c>
      <c r="C735" s="18">
        <v>3</v>
      </c>
      <c r="D735" s="21" t="s">
        <v>262</v>
      </c>
      <c r="E735" s="21" t="s">
        <v>230</v>
      </c>
      <c r="L735" s="18">
        <f>IFERROR(VLOOKUP($D735&amp;$C735,生产方式定位!$A$2:$E$38,2,FALSE)+VLOOKUP($E735&amp;$C735,生产方式定位!$F$3:$J$38,2,FALSE),0)</f>
        <v>1500</v>
      </c>
      <c r="S735" s="18">
        <f>IFERROR(VLOOKUP($D735&amp;$C735,生产方式定位!$A$2:$E$38,3,FALSE)+VLOOKUP($E735&amp;$C735,生产方式定位!$F$3:$J$38,3,FALSE),0)</f>
        <v>95</v>
      </c>
      <c r="X735" s="18">
        <f>IFERROR(VLOOKUP($D735&amp;$C735,生产方式定位!$A$2:$E$38,5,FALSE)+VLOOKUP($E735&amp;$C735,生产方式定位!$F$3:$J$38,5,FALSE),"错误")</f>
        <v>1647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10%</v>
      </c>
      <c r="AC735" s="1">
        <f t="shared" si="181"/>
        <v>52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20" customHeight="1" x14ac:dyDescent="0.3">
      <c r="A736" s="18" t="s">
        <v>423</v>
      </c>
      <c r="C736" s="18">
        <v>4</v>
      </c>
      <c r="D736" s="21" t="s">
        <v>262</v>
      </c>
      <c r="E736" s="21" t="s">
        <v>230</v>
      </c>
      <c r="L736" s="18">
        <f>IFERROR(VLOOKUP($D736&amp;$C736,生产方式定位!$A$2:$E$38,2,FALSE)+VLOOKUP($E736&amp;$C736,生产方式定位!$F$3:$J$38,2,FALSE),0)</f>
        <v>2100</v>
      </c>
      <c r="S736" s="18">
        <f>IFERROR(VLOOKUP($D736&amp;$C736,生产方式定位!$A$2:$E$38,3,FALSE)+VLOOKUP($E736&amp;$C736,生产方式定位!$F$3:$J$38,3,FALSE),0)</f>
        <v>90</v>
      </c>
      <c r="X736" s="18">
        <f>IFERROR(VLOOKUP($D736&amp;$C736,生产方式定位!$A$2:$E$38,5,FALSE)+VLOOKUP($E736&amp;$C736,生产方式定位!$F$3:$J$38,5,FALSE),"错误")</f>
        <v>2252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7%</v>
      </c>
      <c r="AC736" s="1">
        <f t="shared" si="181"/>
        <v>62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20" customHeight="1" x14ac:dyDescent="0.3">
      <c r="A737" s="18" t="s">
        <v>423</v>
      </c>
      <c r="C737" s="18">
        <v>5</v>
      </c>
      <c r="D737" s="21" t="s">
        <v>262</v>
      </c>
      <c r="E737" s="21" t="s">
        <v>230</v>
      </c>
      <c r="L737" s="18">
        <f>IFERROR(VLOOKUP($D737&amp;$C737,生产方式定位!$A$2:$E$38,2,FALSE)+VLOOKUP($E737&amp;$C737,生产方式定位!$F$3:$J$38,2,FALSE),0)</f>
        <v>2700</v>
      </c>
      <c r="S737" s="18">
        <f>IFERROR(VLOOKUP($D737&amp;$C737,生产方式定位!$A$2:$E$38,3,FALSE)+VLOOKUP($E737&amp;$C737,生产方式定位!$F$3:$J$38,3,FALSE),0)</f>
        <v>85</v>
      </c>
      <c r="X737" s="18">
        <f>IFERROR(VLOOKUP($D737&amp;$C737,生产方式定位!$A$2:$E$38,5,FALSE)+VLOOKUP($E737&amp;$C737,生产方式定位!$F$3:$J$38,5,FALSE),"错误")</f>
        <v>2858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6%</v>
      </c>
      <c r="AC737" s="1">
        <f t="shared" si="181"/>
        <v>73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20" customHeight="1" x14ac:dyDescent="0.3">
      <c r="A738" s="5" t="s">
        <v>424</v>
      </c>
      <c r="C738" s="5">
        <v>1</v>
      </c>
      <c r="D738" s="21" t="s">
        <v>262</v>
      </c>
      <c r="E738" s="21" t="s">
        <v>225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70</v>
      </c>
      <c r="X738" s="5">
        <f>IFERROR(VLOOKUP($D738&amp;$C738,生产方式定位!$A$2:$E$38,5,FALSE)+VLOOKUP($E738&amp;$C738,生产方式定位!$F$3:$J$38,5,FALSE),"错误")</f>
        <v>350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>
        <f t="shared" si="181"/>
        <v>280</v>
      </c>
      <c r="AD738" s="35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20" customHeight="1" x14ac:dyDescent="0.3">
      <c r="A739" s="5" t="s">
        <v>424</v>
      </c>
      <c r="C739" s="5">
        <v>2</v>
      </c>
      <c r="D739" s="21" t="s">
        <v>262</v>
      </c>
      <c r="E739" s="21" t="s">
        <v>225</v>
      </c>
      <c r="L739" s="5">
        <f>IFERROR(VLOOKUP($D739&amp;$C739,生产方式定位!$A$2:$E$38,2,FALSE)+VLOOKUP($E739&amp;$C739,生产方式定位!$F$3:$J$38,2,FALSE),0)</f>
        <v>1250</v>
      </c>
      <c r="S739" s="5">
        <f>IFERROR(VLOOKUP($D739&amp;$C739,生产方式定位!$A$2:$E$38,3,FALSE)+VLOOKUP($E739&amp;$C739,生产方式定位!$F$3:$J$38,3,FALSE),0)</f>
        <v>130</v>
      </c>
      <c r="X739" s="5">
        <f>IFERROR(VLOOKUP($D739&amp;$C739,生产方式定位!$A$2:$E$38,5,FALSE)+VLOOKUP($E739&amp;$C739,生产方式定位!$F$3:$J$38,5,FALSE),"错误")</f>
        <v>1222</v>
      </c>
      <c r="Y739" s="24" t="str">
        <f t="shared" si="178"/>
        <v/>
      </c>
      <c r="Z739" s="34" t="str">
        <f t="shared" si="179"/>
        <v/>
      </c>
      <c r="AA739" s="34" t="str">
        <f t="shared" si="176"/>
        <v/>
      </c>
      <c r="AB739" s="25" t="str">
        <f t="shared" si="180"/>
        <v>-2%</v>
      </c>
      <c r="AC739" s="1">
        <f t="shared" si="181"/>
        <v>-158</v>
      </c>
      <c r="AD739" s="35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20" customHeight="1" x14ac:dyDescent="0.3">
      <c r="A740" s="5" t="s">
        <v>424</v>
      </c>
      <c r="C740" s="5">
        <v>3</v>
      </c>
      <c r="D740" s="21" t="s">
        <v>262</v>
      </c>
      <c r="E740" s="21" t="s">
        <v>225</v>
      </c>
      <c r="L740" s="5">
        <f>IFERROR(VLOOKUP($D740&amp;$C740,生产方式定位!$A$2:$E$38,2,FALSE)+VLOOKUP($E740&amp;$C740,生产方式定位!$F$3:$J$38,2,FALSE),0)</f>
        <v>2000</v>
      </c>
      <c r="S740" s="5">
        <f>IFERROR(VLOOKUP($D740&amp;$C740,生产方式定位!$A$2:$E$38,3,FALSE)+VLOOKUP($E740&amp;$C740,生产方式定位!$F$3:$J$38,3,FALSE),0)</f>
        <v>140</v>
      </c>
      <c r="X740" s="5">
        <f>IFERROR(VLOOKUP($D740&amp;$C740,生产方式定位!$A$2:$E$38,5,FALSE)+VLOOKUP($E740&amp;$C740,生产方式定位!$F$3:$J$38,5,FALSE),"错误")</f>
        <v>1981</v>
      </c>
      <c r="Y740" s="24" t="str">
        <f t="shared" si="178"/>
        <v/>
      </c>
      <c r="Z740" s="34" t="str">
        <f t="shared" si="179"/>
        <v/>
      </c>
      <c r="AA740" s="34" t="str">
        <f t="shared" si="176"/>
        <v/>
      </c>
      <c r="AB740" s="25" t="str">
        <f t="shared" si="180"/>
        <v>-1%</v>
      </c>
      <c r="AC740" s="1">
        <f t="shared" si="181"/>
        <v>-159</v>
      </c>
      <c r="AD740" s="35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20" customHeight="1" x14ac:dyDescent="0.3">
      <c r="A741" s="5" t="s">
        <v>424</v>
      </c>
      <c r="C741" s="5">
        <v>4</v>
      </c>
      <c r="D741" s="21" t="s">
        <v>262</v>
      </c>
      <c r="E741" s="21" t="s">
        <v>225</v>
      </c>
      <c r="L741" s="5">
        <f>IFERROR(VLOOKUP($D741&amp;$C741,生产方式定位!$A$2:$E$38,2,FALSE)+VLOOKUP($E741&amp;$C741,生产方式定位!$F$3:$J$38,2,FALSE),0)</f>
        <v>2750</v>
      </c>
      <c r="S741" s="5">
        <f>IFERROR(VLOOKUP($D741&amp;$C741,生产方式定位!$A$2:$E$38,3,FALSE)+VLOOKUP($E741&amp;$C741,生产方式定位!$F$3:$J$38,3,FALSE),0)</f>
        <v>150</v>
      </c>
      <c r="X741" s="5">
        <f>IFERROR(VLOOKUP($D741&amp;$C741,生产方式定位!$A$2:$E$38,5,FALSE)+VLOOKUP($E741&amp;$C741,生产方式定位!$F$3:$J$38,5,FALSE),"错误")</f>
        <v>2767</v>
      </c>
      <c r="Y741" s="24" t="str">
        <f t="shared" si="178"/>
        <v/>
      </c>
      <c r="Z741" s="34" t="str">
        <f t="shared" si="179"/>
        <v/>
      </c>
      <c r="AA741" s="34" t="str">
        <f t="shared" si="176"/>
        <v/>
      </c>
      <c r="AB741" s="25" t="str">
        <f t="shared" si="180"/>
        <v>1%</v>
      </c>
      <c r="AC741" s="1">
        <f t="shared" si="181"/>
        <v>-133</v>
      </c>
      <c r="AD741" s="35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20" customHeight="1" x14ac:dyDescent="0.3">
      <c r="A742" s="5" t="s">
        <v>424</v>
      </c>
      <c r="C742" s="5">
        <v>5</v>
      </c>
      <c r="D742" s="21" t="s">
        <v>262</v>
      </c>
      <c r="E742" s="21" t="s">
        <v>225</v>
      </c>
      <c r="L742" s="5">
        <f>IFERROR(VLOOKUP($D742&amp;$C742,生产方式定位!$A$2:$E$38,2,FALSE)+VLOOKUP($E742&amp;$C742,生产方式定位!$F$3:$J$38,2,FALSE),0)</f>
        <v>3500</v>
      </c>
      <c r="S742" s="5">
        <f>IFERROR(VLOOKUP($D742&amp;$C742,生产方式定位!$A$2:$E$38,3,FALSE)+VLOOKUP($E742&amp;$C742,生产方式定位!$F$3:$J$38,3,FALSE),0)</f>
        <v>160</v>
      </c>
      <c r="X742" s="5">
        <f>IFERROR(VLOOKUP($D742&amp;$C742,生产方式定位!$A$2:$E$38,5,FALSE)+VLOOKUP($E742&amp;$C742,生产方式定位!$F$3:$J$38,5,FALSE),"错误")</f>
        <v>3820</v>
      </c>
      <c r="Y742" s="24" t="str">
        <f t="shared" si="178"/>
        <v/>
      </c>
      <c r="Z742" s="34" t="str">
        <f t="shared" si="179"/>
        <v/>
      </c>
      <c r="AA742" s="34" t="str">
        <f t="shared" si="176"/>
        <v/>
      </c>
      <c r="AB742" s="25" t="str">
        <f t="shared" si="180"/>
        <v>9%</v>
      </c>
      <c r="AC742" s="1">
        <f t="shared" si="181"/>
        <v>160</v>
      </c>
      <c r="AD742" s="35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20" customHeight="1" x14ac:dyDescent="0.3">
      <c r="A743" s="18" t="s">
        <v>424</v>
      </c>
      <c r="C743" s="18">
        <v>1</v>
      </c>
      <c r="D743" s="21" t="s">
        <v>262</v>
      </c>
      <c r="E743" s="21" t="s">
        <v>225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70</v>
      </c>
      <c r="X743" s="18">
        <f>IFERROR(VLOOKUP($D743&amp;$C743,生产方式定位!$A$2:$E$38,5,FALSE)+VLOOKUP($E743&amp;$C743,生产方式定位!$F$3:$J$38,5,FALSE),"错误")</f>
        <v>350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>
        <f t="shared" si="181"/>
        <v>280</v>
      </c>
      <c r="AD743" s="36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20" customHeight="1" x14ac:dyDescent="0.3">
      <c r="A744" s="18" t="s">
        <v>424</v>
      </c>
      <c r="C744" s="18">
        <v>2</v>
      </c>
      <c r="D744" s="21" t="s">
        <v>262</v>
      </c>
      <c r="E744" s="21" t="s">
        <v>225</v>
      </c>
      <c r="L744" s="18">
        <f>IFERROR(VLOOKUP($D744&amp;$C744,生产方式定位!$A$2:$E$38,2,FALSE)+VLOOKUP($E744&amp;$C744,生产方式定位!$F$3:$J$38,2,FALSE),0)</f>
        <v>1250</v>
      </c>
      <c r="S744" s="18">
        <f>IFERROR(VLOOKUP($D744&amp;$C744,生产方式定位!$A$2:$E$38,3,FALSE)+VLOOKUP($E744&amp;$C744,生产方式定位!$F$3:$J$38,3,FALSE),0)</f>
        <v>130</v>
      </c>
      <c r="X744" s="18">
        <f>IFERROR(VLOOKUP($D744&amp;$C744,生产方式定位!$A$2:$E$38,5,FALSE)+VLOOKUP($E744&amp;$C744,生产方式定位!$F$3:$J$38,5,FALSE),"错误")</f>
        <v>1222</v>
      </c>
      <c r="Y744" s="24" t="str">
        <f t="shared" si="178"/>
        <v/>
      </c>
      <c r="Z744" s="34" t="str">
        <f t="shared" si="179"/>
        <v/>
      </c>
      <c r="AA744" s="34" t="str">
        <f t="shared" si="176"/>
        <v/>
      </c>
      <c r="AB744" s="25" t="str">
        <f t="shared" si="180"/>
        <v>-2%</v>
      </c>
      <c r="AC744" s="1">
        <f t="shared" si="181"/>
        <v>-158</v>
      </c>
      <c r="AD744" s="36">
        <f t="shared" si="177"/>
        <v>2</v>
      </c>
      <c r="AE744" t="str">
        <f t="shared" si="182"/>
        <v/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 t="str">
        <f>IFERROR(ROUND(L744*(G744/$AU744)/VLOOKUP(F744,商品!$A$4:$C$60,3,FALSE),0),"")</f>
        <v/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0</v>
      </c>
      <c r="AV744">
        <f t="shared" si="190"/>
        <v>0</v>
      </c>
      <c r="AW744">
        <f t="shared" si="191"/>
        <v>0</v>
      </c>
    </row>
    <row r="745" spans="1:49" ht="20" customHeight="1" x14ac:dyDescent="0.3">
      <c r="A745" s="18" t="s">
        <v>424</v>
      </c>
      <c r="C745" s="18">
        <v>3</v>
      </c>
      <c r="D745" s="21" t="s">
        <v>262</v>
      </c>
      <c r="E745" s="21" t="s">
        <v>225</v>
      </c>
      <c r="L745" s="18">
        <f>IFERROR(VLOOKUP($D745&amp;$C745,生产方式定位!$A$2:$E$38,2,FALSE)+VLOOKUP($E745&amp;$C745,生产方式定位!$F$3:$J$38,2,FALSE),0)</f>
        <v>2000</v>
      </c>
      <c r="S745" s="18">
        <f>IFERROR(VLOOKUP($D745&amp;$C745,生产方式定位!$A$2:$E$38,3,FALSE)+VLOOKUP($E745&amp;$C745,生产方式定位!$F$3:$J$38,3,FALSE),0)</f>
        <v>140</v>
      </c>
      <c r="X745" s="18">
        <f>IFERROR(VLOOKUP($D745&amp;$C745,生产方式定位!$A$2:$E$38,5,FALSE)+VLOOKUP($E745&amp;$C745,生产方式定位!$F$3:$J$38,5,FALSE),"错误")</f>
        <v>1981</v>
      </c>
      <c r="Y745" s="24" t="str">
        <f t="shared" si="178"/>
        <v/>
      </c>
      <c r="Z745" s="34" t="str">
        <f t="shared" si="179"/>
        <v/>
      </c>
      <c r="AA745" s="34" t="str">
        <f t="shared" si="176"/>
        <v/>
      </c>
      <c r="AB745" s="25" t="str">
        <f t="shared" si="180"/>
        <v>-1%</v>
      </c>
      <c r="AC745" s="1">
        <f t="shared" si="181"/>
        <v>-159</v>
      </c>
      <c r="AD745" s="36">
        <f t="shared" si="177"/>
        <v>3</v>
      </c>
      <c r="AE745" t="str">
        <f t="shared" si="182"/>
        <v/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 t="str">
        <f>IFERROR(ROUND(L745*(G745/$AU745)/VLOOKUP(F745,商品!$A$4:$C$60,3,FALSE),0),"")</f>
        <v/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0</v>
      </c>
      <c r="AV745">
        <f t="shared" si="190"/>
        <v>0</v>
      </c>
      <c r="AW745">
        <f t="shared" si="191"/>
        <v>0</v>
      </c>
    </row>
    <row r="746" spans="1:49" ht="20" customHeight="1" x14ac:dyDescent="0.3">
      <c r="A746" s="18" t="s">
        <v>424</v>
      </c>
      <c r="C746" s="18">
        <v>4</v>
      </c>
      <c r="D746" s="21" t="s">
        <v>262</v>
      </c>
      <c r="E746" s="21" t="s">
        <v>225</v>
      </c>
      <c r="L746" s="18">
        <f>IFERROR(VLOOKUP($D746&amp;$C746,生产方式定位!$A$2:$E$38,2,FALSE)+VLOOKUP($E746&amp;$C746,生产方式定位!$F$3:$J$38,2,FALSE),0)</f>
        <v>2750</v>
      </c>
      <c r="S746" s="18">
        <f>IFERROR(VLOOKUP($D746&amp;$C746,生产方式定位!$A$2:$E$38,3,FALSE)+VLOOKUP($E746&amp;$C746,生产方式定位!$F$3:$J$38,3,FALSE),0)</f>
        <v>150</v>
      </c>
      <c r="X746" s="18">
        <f>IFERROR(VLOOKUP($D746&amp;$C746,生产方式定位!$A$2:$E$38,5,FALSE)+VLOOKUP($E746&amp;$C746,生产方式定位!$F$3:$J$38,5,FALSE),"错误")</f>
        <v>2767</v>
      </c>
      <c r="Y746" s="24" t="str">
        <f t="shared" si="178"/>
        <v/>
      </c>
      <c r="Z746" s="34" t="str">
        <f t="shared" si="179"/>
        <v/>
      </c>
      <c r="AA746" s="34" t="str">
        <f t="shared" si="176"/>
        <v/>
      </c>
      <c r="AB746" s="25" t="str">
        <f t="shared" si="180"/>
        <v>1%</v>
      </c>
      <c r="AC746" s="1">
        <f t="shared" si="181"/>
        <v>-133</v>
      </c>
      <c r="AD746" s="36">
        <f t="shared" si="177"/>
        <v>4</v>
      </c>
      <c r="AE746" t="str">
        <f t="shared" si="182"/>
        <v/>
      </c>
      <c r="AF746" t="str">
        <f t="shared" si="183"/>
        <v/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 t="str">
        <f>IFERROR(ROUND(L746*(G746/$AU746)/VLOOKUP(F746,商品!$A$4:$C$60,3,FALSE),0),"")</f>
        <v/>
      </c>
      <c r="AM746" t="str">
        <f>IFERROR(ROUND(L746*(I746/$AU746)/VLOOKUP(H746,商品!$A$4:$C$60,3,FALSE),0),"")</f>
        <v/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0</v>
      </c>
      <c r="AV746">
        <f t="shared" si="190"/>
        <v>0</v>
      </c>
      <c r="AW746">
        <f t="shared" si="191"/>
        <v>0</v>
      </c>
    </row>
    <row r="747" spans="1:49" ht="20" customHeight="1" x14ac:dyDescent="0.3">
      <c r="A747" s="18" t="s">
        <v>424</v>
      </c>
      <c r="C747" s="18">
        <v>5</v>
      </c>
      <c r="D747" s="21" t="s">
        <v>262</v>
      </c>
      <c r="E747" s="21" t="s">
        <v>225</v>
      </c>
      <c r="L747" s="18">
        <f>IFERROR(VLOOKUP($D747&amp;$C747,生产方式定位!$A$2:$E$38,2,FALSE)+VLOOKUP($E747&amp;$C747,生产方式定位!$F$3:$J$38,2,FALSE),0)</f>
        <v>3500</v>
      </c>
      <c r="S747" s="18">
        <f>IFERROR(VLOOKUP($D747&amp;$C747,生产方式定位!$A$2:$E$38,3,FALSE)+VLOOKUP($E747&amp;$C747,生产方式定位!$F$3:$J$38,3,FALSE),0)</f>
        <v>160</v>
      </c>
      <c r="X747" s="18">
        <f>IFERROR(VLOOKUP($D747&amp;$C747,生产方式定位!$A$2:$E$38,5,FALSE)+VLOOKUP($E747&amp;$C747,生产方式定位!$F$3:$J$38,5,FALSE),"错误")</f>
        <v>3820</v>
      </c>
      <c r="Y747" s="24" t="str">
        <f t="shared" si="178"/>
        <v/>
      </c>
      <c r="Z747" s="34" t="str">
        <f t="shared" si="179"/>
        <v/>
      </c>
      <c r="AA747" s="34" t="str">
        <f t="shared" si="176"/>
        <v/>
      </c>
      <c r="AB747" s="25" t="str">
        <f t="shared" si="180"/>
        <v>9%</v>
      </c>
      <c r="AC747" s="1">
        <f t="shared" si="181"/>
        <v>160</v>
      </c>
      <c r="AD747" s="36">
        <f t="shared" si="177"/>
        <v>5</v>
      </c>
      <c r="AE747" t="str">
        <f t="shared" si="182"/>
        <v/>
      </c>
      <c r="AF747" t="str">
        <f t="shared" si="183"/>
        <v/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 t="str">
        <f>IFERROR(ROUND(L747*(G747/$AU747)/VLOOKUP(F747,商品!$A$4:$C$60,3,FALSE),0),"")</f>
        <v/>
      </c>
      <c r="AM747" t="str">
        <f>IFERROR(ROUND(L747*(I747/$AU747)/VLOOKUP(H747,商品!$A$4:$C$60,3,FALSE),0),"")</f>
        <v/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0</v>
      </c>
      <c r="AV747">
        <f t="shared" si="190"/>
        <v>0</v>
      </c>
      <c r="AW747">
        <f t="shared" si="191"/>
        <v>0</v>
      </c>
    </row>
    <row r="748" spans="1:49" ht="20" customHeight="1" x14ac:dyDescent="0.3">
      <c r="A748" s="5" t="s">
        <v>425</v>
      </c>
      <c r="C748" s="5">
        <v>1</v>
      </c>
      <c r="D748" s="21" t="s">
        <v>292</v>
      </c>
      <c r="E748" s="21" t="s">
        <v>226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 t="str">
        <f t="shared" si="181"/>
        <v/>
      </c>
      <c r="AD748" s="35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20" customHeight="1" x14ac:dyDescent="0.3">
      <c r="A749" s="5" t="s">
        <v>425</v>
      </c>
      <c r="C749" s="5">
        <v>2</v>
      </c>
      <c r="D749" s="21" t="s">
        <v>292</v>
      </c>
      <c r="E749" s="21" t="s">
        <v>226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24" t="str">
        <f t="shared" si="178"/>
        <v/>
      </c>
      <c r="Z749" s="34" t="str">
        <f t="shared" si="179"/>
        <v/>
      </c>
      <c r="AA749" s="34" t="str">
        <f t="shared" si="176"/>
        <v/>
      </c>
      <c r="AB749" s="25" t="str">
        <f t="shared" si="180"/>
        <v/>
      </c>
      <c r="AC749" s="1" t="str">
        <f t="shared" si="181"/>
        <v/>
      </c>
      <c r="AD749" s="35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spans="1:49" ht="20" customHeight="1" x14ac:dyDescent="0.3">
      <c r="A750" s="5" t="s">
        <v>425</v>
      </c>
      <c r="C750" s="5">
        <v>3</v>
      </c>
      <c r="D750" s="21" t="s">
        <v>292</v>
      </c>
      <c r="E750" s="21" t="s">
        <v>226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24" t="str">
        <f t="shared" si="178"/>
        <v/>
      </c>
      <c r="Z750" s="34" t="str">
        <f t="shared" si="179"/>
        <v/>
      </c>
      <c r="AA750" s="34" t="str">
        <f t="shared" si="176"/>
        <v/>
      </c>
      <c r="AB750" s="25" t="str">
        <f t="shared" si="180"/>
        <v/>
      </c>
      <c r="AC750" s="1" t="str">
        <f t="shared" si="181"/>
        <v/>
      </c>
      <c r="AD750" s="35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spans="1:49" ht="20" customHeight="1" x14ac:dyDescent="0.3">
      <c r="A751" s="5" t="s">
        <v>425</v>
      </c>
      <c r="C751" s="5">
        <v>4</v>
      </c>
      <c r="D751" s="21" t="s">
        <v>292</v>
      </c>
      <c r="E751" s="21" t="s">
        <v>226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24" t="str">
        <f t="shared" si="178"/>
        <v/>
      </c>
      <c r="Z751" s="34" t="str">
        <f t="shared" si="179"/>
        <v/>
      </c>
      <c r="AA751" s="34" t="str">
        <f t="shared" si="176"/>
        <v/>
      </c>
      <c r="AB751" s="25" t="str">
        <f t="shared" si="180"/>
        <v/>
      </c>
      <c r="AC751" s="1" t="str">
        <f t="shared" si="181"/>
        <v/>
      </c>
      <c r="AD751" s="35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spans="1:49" ht="20" customHeight="1" x14ac:dyDescent="0.3">
      <c r="A752" s="5" t="s">
        <v>425</v>
      </c>
      <c r="C752" s="5">
        <v>5</v>
      </c>
      <c r="D752" s="21" t="s">
        <v>292</v>
      </c>
      <c r="E752" s="21" t="s">
        <v>226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24" t="str">
        <f t="shared" si="178"/>
        <v/>
      </c>
      <c r="Z752" s="34" t="str">
        <f t="shared" si="179"/>
        <v/>
      </c>
      <c r="AA752" s="34" t="str">
        <f t="shared" si="176"/>
        <v/>
      </c>
      <c r="AB752" s="25" t="str">
        <f t="shared" si="180"/>
        <v/>
      </c>
      <c r="AC752" s="1" t="str">
        <f t="shared" si="181"/>
        <v/>
      </c>
      <c r="AD752" s="35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spans="1:49" ht="20" customHeight="1" x14ac:dyDescent="0.3">
      <c r="A753" s="5" t="s">
        <v>425</v>
      </c>
      <c r="C753" s="5">
        <v>6</v>
      </c>
      <c r="D753" s="21" t="s">
        <v>292</v>
      </c>
      <c r="E753" s="21" t="s">
        <v>226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6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20" customHeight="1" x14ac:dyDescent="0.3">
      <c r="A754" s="5" t="s">
        <v>425</v>
      </c>
      <c r="C754" s="5">
        <v>7</v>
      </c>
      <c r="D754" s="21" t="s">
        <v>292</v>
      </c>
      <c r="E754" s="21" t="s">
        <v>226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6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20" customHeight="1" x14ac:dyDescent="0.3">
      <c r="A755" s="5" t="s">
        <v>425</v>
      </c>
      <c r="C755" s="5">
        <v>8</v>
      </c>
      <c r="D755" s="21" t="s">
        <v>292</v>
      </c>
      <c r="E755" s="21" t="s">
        <v>226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6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20" customHeight="1" x14ac:dyDescent="0.3">
      <c r="A756" s="18" t="s">
        <v>427</v>
      </c>
      <c r="C756" s="18">
        <v>1</v>
      </c>
      <c r="D756" s="21" t="s">
        <v>262</v>
      </c>
      <c r="E756" s="21" t="s">
        <v>224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70</v>
      </c>
      <c r="X756" s="18">
        <f>IFERROR(VLOOKUP($D756&amp;$C756,生产方式定位!$A$2:$E$38,5,FALSE)+VLOOKUP($E756&amp;$C756,生产方式定位!$F$3:$J$38,5,FALSE),"错误")</f>
        <v>350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>
        <f t="shared" si="181"/>
        <v>280</v>
      </c>
      <c r="AD756" s="36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20" customHeight="1" x14ac:dyDescent="0.3">
      <c r="A757" s="18" t="s">
        <v>427</v>
      </c>
      <c r="C757" s="18">
        <v>2</v>
      </c>
      <c r="D757" s="21" t="s">
        <v>262</v>
      </c>
      <c r="E757" s="21" t="s">
        <v>224</v>
      </c>
      <c r="L757" s="18">
        <f>IFERROR(VLOOKUP($D757&amp;$C757,生产方式定位!$A$2:$E$38,2,FALSE)+VLOOKUP($E757&amp;$C757,生产方式定位!$F$3:$J$38,2,FALSE),0)</f>
        <v>1000</v>
      </c>
      <c r="S757" s="18">
        <f>IFERROR(VLOOKUP($D757&amp;$C757,生产方式定位!$A$2:$E$38,3,FALSE)+VLOOKUP($E757&amp;$C757,生产方式定位!$F$3:$J$38,3,FALSE),0)</f>
        <v>90</v>
      </c>
      <c r="X757" s="18">
        <f>IFERROR(VLOOKUP($D757&amp;$C757,生产方式定位!$A$2:$E$38,5,FALSE)+VLOOKUP($E757&amp;$C757,生产方式定位!$F$3:$J$38,5,FALSE),"错误")</f>
        <v>1140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>14%</v>
      </c>
      <c r="AC757" s="1">
        <f t="shared" si="181"/>
        <v>50</v>
      </c>
      <c r="AD757" s="36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20" customHeight="1" x14ac:dyDescent="0.3">
      <c r="A758" s="18" t="s">
        <v>427</v>
      </c>
      <c r="C758" s="18">
        <v>3</v>
      </c>
      <c r="D758" s="21" t="s">
        <v>262</v>
      </c>
      <c r="E758" s="21" t="s">
        <v>224</v>
      </c>
      <c r="L758" s="18">
        <f>IFERROR(VLOOKUP($D758&amp;$C758,生产方式定位!$A$2:$E$38,2,FALSE)+VLOOKUP($E758&amp;$C758,生产方式定位!$F$3:$J$38,2,FALSE),0)</f>
        <v>1625</v>
      </c>
      <c r="S758" s="18">
        <f>IFERROR(VLOOKUP($D758&amp;$C758,生产方式定位!$A$2:$E$38,3,FALSE)+VLOOKUP($E758&amp;$C758,生产方式定位!$F$3:$J$38,3,FALSE),0)</f>
        <v>80</v>
      </c>
      <c r="X758" s="18">
        <f>IFERROR(VLOOKUP($D758&amp;$C758,生产方式定位!$A$2:$E$38,5,FALSE)+VLOOKUP($E758&amp;$C758,生产方式定位!$F$3:$J$38,5,FALSE),"错误")</f>
        <v>1768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>9%</v>
      </c>
      <c r="AC758" s="1">
        <f t="shared" si="181"/>
        <v>63</v>
      </c>
      <c r="AD758" s="35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20" customHeight="1" x14ac:dyDescent="0.3">
      <c r="A759" s="18" t="s">
        <v>427</v>
      </c>
      <c r="C759" s="18">
        <v>4</v>
      </c>
      <c r="D759" s="21" t="s">
        <v>262</v>
      </c>
      <c r="E759" s="21" t="s">
        <v>224</v>
      </c>
      <c r="L759" s="18">
        <f>IFERROR(VLOOKUP($D759&amp;$C759,生产方式定位!$A$2:$E$38,2,FALSE)+VLOOKUP($E759&amp;$C759,生产方式定位!$F$3:$J$38,2,FALSE),0)</f>
        <v>2250</v>
      </c>
      <c r="S759" s="18">
        <f>IFERROR(VLOOKUP($D759&amp;$C759,生产方式定位!$A$2:$E$38,3,FALSE)+VLOOKUP($E759&amp;$C759,生产方式定位!$F$3:$J$38,3,FALSE),0)</f>
        <v>70</v>
      </c>
      <c r="X759" s="18">
        <f>IFERROR(VLOOKUP($D759&amp;$C759,生产方式定位!$A$2:$E$38,5,FALSE)+VLOOKUP($E759&amp;$C759,生产方式定位!$F$3:$J$38,5,FALSE),"错误")</f>
        <v>2395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>6%</v>
      </c>
      <c r="AC759" s="1">
        <f t="shared" si="181"/>
        <v>75</v>
      </c>
      <c r="AD759" s="35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20" customHeight="1" x14ac:dyDescent="0.3">
      <c r="A760" s="18" t="s">
        <v>427</v>
      </c>
      <c r="C760" s="18">
        <v>5</v>
      </c>
      <c r="D760" s="21" t="s">
        <v>262</v>
      </c>
      <c r="E760" s="21" t="s">
        <v>224</v>
      </c>
      <c r="L760" s="18">
        <f>IFERROR(VLOOKUP($D760&amp;$C760,生产方式定位!$A$2:$E$38,2,FALSE)+VLOOKUP($E760&amp;$C760,生产方式定位!$F$3:$J$38,2,FALSE),0)</f>
        <v>2875</v>
      </c>
      <c r="S760" s="18">
        <f>IFERROR(VLOOKUP($D760&amp;$C760,生产方式定位!$A$2:$E$38,3,FALSE)+VLOOKUP($E760&amp;$C760,生产方式定位!$F$3:$J$38,3,FALSE),0)</f>
        <v>60</v>
      </c>
      <c r="X760" s="18">
        <f>IFERROR(VLOOKUP($D760&amp;$C760,生产方式定位!$A$2:$E$38,5,FALSE)+VLOOKUP($E760&amp;$C760,生产方式定位!$F$3:$J$38,5,FALSE),"错误")</f>
        <v>3023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>5%</v>
      </c>
      <c r="AC760" s="1">
        <f t="shared" si="181"/>
        <v>88</v>
      </c>
      <c r="AD760" s="35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20" customHeight="1" x14ac:dyDescent="0.3">
      <c r="A761" s="5" t="s">
        <v>428</v>
      </c>
      <c r="C761" s="5">
        <v>1</v>
      </c>
      <c r="D761" s="21" t="s">
        <v>262</v>
      </c>
      <c r="E761" s="21" t="s">
        <v>230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70</v>
      </c>
      <c r="X761" s="5">
        <f>IFERROR(VLOOKUP($D761&amp;$C761,生产方式定位!$A$2:$E$38,5,FALSE)+VLOOKUP($E761&amp;$C761,生产方式定位!$F$3:$J$38,5,FALSE),"错误")</f>
        <v>350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280</v>
      </c>
      <c r="AD761" s="35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20" customHeight="1" x14ac:dyDescent="0.3">
      <c r="A762" s="5" t="s">
        <v>428</v>
      </c>
      <c r="C762" s="5">
        <v>2</v>
      </c>
      <c r="D762" s="21" t="s">
        <v>262</v>
      </c>
      <c r="E762" s="21" t="s">
        <v>230</v>
      </c>
      <c r="L762" s="5">
        <f>IFERROR(VLOOKUP($D762&amp;$C762,生产方式定位!$A$2:$E$38,2,FALSE)+VLOOKUP($E762&amp;$C762,生产方式定位!$F$3:$J$38,2,FALSE),0)</f>
        <v>900</v>
      </c>
      <c r="S762" s="5">
        <f>IFERROR(VLOOKUP($D762&amp;$C762,生产方式定位!$A$2:$E$38,3,FALSE)+VLOOKUP($E762&amp;$C762,生产方式定位!$F$3:$J$38,3,FALSE),0)</f>
        <v>100</v>
      </c>
      <c r="X762" s="5">
        <f>IFERROR(VLOOKUP($D762&amp;$C762,生产方式定位!$A$2:$E$38,5,FALSE)+VLOOKUP($E762&amp;$C762,生产方式定位!$F$3:$J$38,5,FALSE),"错误")</f>
        <v>1041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16%</v>
      </c>
      <c r="AC762" s="1">
        <f t="shared" si="181"/>
        <v>41</v>
      </c>
      <c r="AD762" s="35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20" customHeight="1" x14ac:dyDescent="0.3">
      <c r="A763" s="5" t="s">
        <v>428</v>
      </c>
      <c r="C763" s="5">
        <v>3</v>
      </c>
      <c r="D763" s="21" t="s">
        <v>262</v>
      </c>
      <c r="E763" s="21" t="s">
        <v>230</v>
      </c>
      <c r="L763" s="5">
        <f>IFERROR(VLOOKUP($D763&amp;$C763,生产方式定位!$A$2:$E$38,2,FALSE)+VLOOKUP($E763&amp;$C763,生产方式定位!$F$3:$J$38,2,FALSE),0)</f>
        <v>1500</v>
      </c>
      <c r="S763" s="5">
        <f>IFERROR(VLOOKUP($D763&amp;$C763,生产方式定位!$A$2:$E$38,3,FALSE)+VLOOKUP($E763&amp;$C763,生产方式定位!$F$3:$J$38,3,FALSE),0)</f>
        <v>95</v>
      </c>
      <c r="X763" s="5">
        <f>IFERROR(VLOOKUP($D763&amp;$C763,生产方式定位!$A$2:$E$38,5,FALSE)+VLOOKUP($E763&amp;$C763,生产方式定位!$F$3:$J$38,5,FALSE),"错误")</f>
        <v>1647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10%</v>
      </c>
      <c r="AC763" s="1">
        <f t="shared" si="181"/>
        <v>52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20" customHeight="1" x14ac:dyDescent="0.3">
      <c r="A764" s="5" t="s">
        <v>428</v>
      </c>
      <c r="C764" s="5">
        <v>4</v>
      </c>
      <c r="D764" s="21" t="s">
        <v>262</v>
      </c>
      <c r="E764" s="21" t="s">
        <v>230</v>
      </c>
      <c r="L764" s="5">
        <f>IFERROR(VLOOKUP($D764&amp;$C764,生产方式定位!$A$2:$E$38,2,FALSE)+VLOOKUP($E764&amp;$C764,生产方式定位!$F$3:$J$38,2,FALSE),0)</f>
        <v>2100</v>
      </c>
      <c r="S764" s="5">
        <f>IFERROR(VLOOKUP($D764&amp;$C764,生产方式定位!$A$2:$E$38,3,FALSE)+VLOOKUP($E764&amp;$C764,生产方式定位!$F$3:$J$38,3,FALSE),0)</f>
        <v>90</v>
      </c>
      <c r="X764" s="5">
        <f>IFERROR(VLOOKUP($D764&amp;$C764,生产方式定位!$A$2:$E$38,5,FALSE)+VLOOKUP($E764&amp;$C764,生产方式定位!$F$3:$J$38,5,FALSE),"错误")</f>
        <v>2252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7%</v>
      </c>
      <c r="AC764" s="1">
        <f t="shared" si="181"/>
        <v>62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20" customHeight="1" x14ac:dyDescent="0.3">
      <c r="A765" s="5" t="s">
        <v>428</v>
      </c>
      <c r="C765" s="5">
        <v>5</v>
      </c>
      <c r="D765" s="21" t="s">
        <v>262</v>
      </c>
      <c r="E765" s="21" t="s">
        <v>230</v>
      </c>
      <c r="L765" s="5">
        <f>IFERROR(VLOOKUP($D765&amp;$C765,生产方式定位!$A$2:$E$38,2,FALSE)+VLOOKUP($E765&amp;$C765,生产方式定位!$F$3:$J$38,2,FALSE),0)</f>
        <v>2700</v>
      </c>
      <c r="S765" s="5">
        <f>IFERROR(VLOOKUP($D765&amp;$C765,生产方式定位!$A$2:$E$38,3,FALSE)+VLOOKUP($E765&amp;$C765,生产方式定位!$F$3:$J$38,3,FALSE),0)</f>
        <v>85</v>
      </c>
      <c r="X765" s="5">
        <f>IFERROR(VLOOKUP($D765&amp;$C765,生产方式定位!$A$2:$E$38,5,FALSE)+VLOOKUP($E765&amp;$C765,生产方式定位!$F$3:$J$38,5,FALSE),"错误")</f>
        <v>2858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6%</v>
      </c>
      <c r="AC765" s="1">
        <f t="shared" si="181"/>
        <v>73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20" customHeight="1" x14ac:dyDescent="0.3">
      <c r="A766" s="18" t="s">
        <v>429</v>
      </c>
      <c r="C766" s="18">
        <v>1</v>
      </c>
      <c r="D766" s="21" t="s">
        <v>262</v>
      </c>
      <c r="E766" s="21" t="s">
        <v>225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70</v>
      </c>
      <c r="X766" s="18">
        <f>IFERROR(VLOOKUP($D766&amp;$C766,生产方式定位!$A$2:$E$38,5,FALSE)+VLOOKUP($E766&amp;$C766,生产方式定位!$F$3:$J$38,5,FALSE),"错误")</f>
        <v>350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>
        <f t="shared" si="181"/>
        <v>280</v>
      </c>
      <c r="AD766" s="36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20" customHeight="1" x14ac:dyDescent="0.3">
      <c r="A767" s="18" t="s">
        <v>429</v>
      </c>
      <c r="C767" s="18">
        <v>2</v>
      </c>
      <c r="D767" s="21" t="s">
        <v>262</v>
      </c>
      <c r="E767" s="21" t="s">
        <v>225</v>
      </c>
      <c r="L767" s="18">
        <f>IFERROR(VLOOKUP($D767&amp;$C767,生产方式定位!$A$2:$E$38,2,FALSE)+VLOOKUP($E767&amp;$C767,生产方式定位!$F$3:$J$38,2,FALSE),0)</f>
        <v>1250</v>
      </c>
      <c r="S767" s="18">
        <f>IFERROR(VLOOKUP($D767&amp;$C767,生产方式定位!$A$2:$E$38,3,FALSE)+VLOOKUP($E767&amp;$C767,生产方式定位!$F$3:$J$38,3,FALSE),0)</f>
        <v>130</v>
      </c>
      <c r="X767" s="18">
        <f>IFERROR(VLOOKUP($D767&amp;$C767,生产方式定位!$A$2:$E$38,5,FALSE)+VLOOKUP($E767&amp;$C767,生产方式定位!$F$3:$J$38,5,FALSE),"错误")</f>
        <v>1222</v>
      </c>
      <c r="Y767" s="24" t="str">
        <f t="shared" si="178"/>
        <v/>
      </c>
      <c r="Z767" s="34" t="str">
        <f t="shared" si="179"/>
        <v/>
      </c>
      <c r="AA767" s="34" t="str">
        <f t="shared" si="176"/>
        <v/>
      </c>
      <c r="AB767" s="25" t="str">
        <f t="shared" si="180"/>
        <v>-2%</v>
      </c>
      <c r="AC767" s="1">
        <f t="shared" si="181"/>
        <v>-158</v>
      </c>
      <c r="AD767" s="36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spans="1:49" ht="20" customHeight="1" x14ac:dyDescent="0.3">
      <c r="A768" s="18" t="s">
        <v>429</v>
      </c>
      <c r="C768" s="18">
        <v>3</v>
      </c>
      <c r="D768" s="21" t="s">
        <v>262</v>
      </c>
      <c r="E768" s="21" t="s">
        <v>225</v>
      </c>
      <c r="L768" s="18">
        <f>IFERROR(VLOOKUP($D768&amp;$C768,生产方式定位!$A$2:$E$38,2,FALSE)+VLOOKUP($E768&amp;$C768,生产方式定位!$F$3:$J$38,2,FALSE),0)</f>
        <v>2000</v>
      </c>
      <c r="S768" s="18">
        <f>IFERROR(VLOOKUP($D768&amp;$C768,生产方式定位!$A$2:$E$38,3,FALSE)+VLOOKUP($E768&amp;$C768,生产方式定位!$F$3:$J$38,3,FALSE),0)</f>
        <v>140</v>
      </c>
      <c r="X768" s="18">
        <f>IFERROR(VLOOKUP($D768&amp;$C768,生产方式定位!$A$2:$E$38,5,FALSE)+VLOOKUP($E768&amp;$C768,生产方式定位!$F$3:$J$38,5,FALSE),"错误")</f>
        <v>1981</v>
      </c>
      <c r="Y768" s="24" t="str">
        <f t="shared" si="178"/>
        <v/>
      </c>
      <c r="Z768" s="34" t="str">
        <f t="shared" si="179"/>
        <v/>
      </c>
      <c r="AA768" s="34" t="str">
        <f t="shared" si="176"/>
        <v/>
      </c>
      <c r="AB768" s="25" t="str">
        <f t="shared" si="180"/>
        <v>-1%</v>
      </c>
      <c r="AC768" s="1">
        <f t="shared" si="181"/>
        <v>-159</v>
      </c>
      <c r="AD768" s="36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spans="1:49" ht="20" customHeight="1" x14ac:dyDescent="0.3">
      <c r="A769" s="18" t="s">
        <v>429</v>
      </c>
      <c r="C769" s="18">
        <v>4</v>
      </c>
      <c r="D769" s="21" t="s">
        <v>262</v>
      </c>
      <c r="E769" s="21" t="s">
        <v>225</v>
      </c>
      <c r="L769" s="18">
        <f>IFERROR(VLOOKUP($D769&amp;$C769,生产方式定位!$A$2:$E$38,2,FALSE)+VLOOKUP($E769&amp;$C769,生产方式定位!$F$3:$J$38,2,FALSE),0)</f>
        <v>2750</v>
      </c>
      <c r="S769" s="18">
        <f>IFERROR(VLOOKUP($D769&amp;$C769,生产方式定位!$A$2:$E$38,3,FALSE)+VLOOKUP($E769&amp;$C769,生产方式定位!$F$3:$J$38,3,FALSE),0)</f>
        <v>150</v>
      </c>
      <c r="X769" s="18">
        <f>IFERROR(VLOOKUP($D769&amp;$C769,生产方式定位!$A$2:$E$38,5,FALSE)+VLOOKUP($E769&amp;$C769,生产方式定位!$F$3:$J$38,5,FALSE),"错误")</f>
        <v>2767</v>
      </c>
      <c r="Y769" s="24" t="str">
        <f t="shared" si="178"/>
        <v/>
      </c>
      <c r="Z769" s="34" t="str">
        <f t="shared" si="179"/>
        <v/>
      </c>
      <c r="AA769" s="34" t="str">
        <f t="shared" si="176"/>
        <v/>
      </c>
      <c r="AB769" s="25" t="str">
        <f t="shared" si="180"/>
        <v>1%</v>
      </c>
      <c r="AC769" s="1">
        <f t="shared" si="181"/>
        <v>-133</v>
      </c>
      <c r="AD769" s="36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spans="1:49" ht="20" customHeight="1" x14ac:dyDescent="0.3">
      <c r="A770" s="18" t="s">
        <v>429</v>
      </c>
      <c r="C770" s="18">
        <v>5</v>
      </c>
      <c r="D770" s="21" t="s">
        <v>262</v>
      </c>
      <c r="E770" s="21" t="s">
        <v>225</v>
      </c>
      <c r="L770" s="18">
        <f>IFERROR(VLOOKUP($D770&amp;$C770,生产方式定位!$A$2:$E$38,2,FALSE)+VLOOKUP($E770&amp;$C770,生产方式定位!$F$3:$J$38,2,FALSE),0)</f>
        <v>3500</v>
      </c>
      <c r="S770" s="18">
        <f>IFERROR(VLOOKUP($D770&amp;$C770,生产方式定位!$A$2:$E$38,3,FALSE)+VLOOKUP($E770&amp;$C770,生产方式定位!$F$3:$J$38,3,FALSE),0)</f>
        <v>160</v>
      </c>
      <c r="X770" s="18">
        <f>IFERROR(VLOOKUP($D770&amp;$C770,生产方式定位!$A$2:$E$38,5,FALSE)+VLOOKUP($E770&amp;$C770,生产方式定位!$F$3:$J$38,5,FALSE),"错误")</f>
        <v>3820</v>
      </c>
      <c r="Y770" s="24" t="str">
        <f t="shared" si="178"/>
        <v/>
      </c>
      <c r="Z770" s="34" t="str">
        <f t="shared" si="179"/>
        <v/>
      </c>
      <c r="AA770" s="34" t="str">
        <f t="shared" si="176"/>
        <v/>
      </c>
      <c r="AB770" s="25" t="str">
        <f t="shared" si="180"/>
        <v>9%</v>
      </c>
      <c r="AC770" s="1">
        <f t="shared" si="181"/>
        <v>160</v>
      </c>
      <c r="AD770" s="36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spans="1:49" ht="20" customHeight="1" x14ac:dyDescent="0.3">
      <c r="A771" s="5" t="s">
        <v>429</v>
      </c>
      <c r="C771" s="5">
        <v>1</v>
      </c>
      <c r="D771" s="21" t="s">
        <v>262</v>
      </c>
      <c r="E771" s="21" t="s">
        <v>225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70</v>
      </c>
      <c r="X771" s="5">
        <f>IFERROR(VLOOKUP($D771&amp;$C771,生产方式定位!$A$2:$E$38,5,FALSE)+VLOOKUP($E771&amp;$C771,生产方式定位!$F$3:$J$38,5,FALSE),"错误")</f>
        <v>350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>
        <f t="shared" si="181"/>
        <v>280</v>
      </c>
      <c r="AD771" s="35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20" customHeight="1" x14ac:dyDescent="0.3">
      <c r="A772" s="5" t="s">
        <v>429</v>
      </c>
      <c r="C772" s="5">
        <v>2</v>
      </c>
      <c r="D772" s="21" t="s">
        <v>262</v>
      </c>
      <c r="E772" s="21" t="s">
        <v>225</v>
      </c>
      <c r="L772" s="5">
        <f>IFERROR(VLOOKUP($D772&amp;$C772,生产方式定位!$A$2:$E$38,2,FALSE)+VLOOKUP($E772&amp;$C772,生产方式定位!$F$3:$J$38,2,FALSE),0)</f>
        <v>1250</v>
      </c>
      <c r="S772" s="5">
        <f>IFERROR(VLOOKUP($D772&amp;$C772,生产方式定位!$A$2:$E$38,3,FALSE)+VLOOKUP($E772&amp;$C772,生产方式定位!$F$3:$J$38,3,FALSE),0)</f>
        <v>130</v>
      </c>
      <c r="X772" s="5">
        <f>IFERROR(VLOOKUP($D772&amp;$C772,生产方式定位!$A$2:$E$38,5,FALSE)+VLOOKUP($E772&amp;$C772,生产方式定位!$F$3:$J$38,5,FALSE),"错误")</f>
        <v>1222</v>
      </c>
      <c r="Y772" s="24" t="str">
        <f t="shared" si="178"/>
        <v/>
      </c>
      <c r="Z772" s="34" t="str">
        <f t="shared" si="179"/>
        <v/>
      </c>
      <c r="AA772" s="34" t="str">
        <f t="shared" si="176"/>
        <v/>
      </c>
      <c r="AB772" s="25" t="str">
        <f t="shared" si="180"/>
        <v>-2%</v>
      </c>
      <c r="AC772" s="1">
        <f t="shared" si="181"/>
        <v>-158</v>
      </c>
      <c r="AD772" s="35">
        <f t="shared" si="177"/>
        <v>2</v>
      </c>
      <c r="AE772" t="str">
        <f t="shared" si="182"/>
        <v/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 t="str">
        <f>IFERROR(ROUND(L772*(G772/$AU772)/VLOOKUP(F772,商品!$A$4:$C$60,3,FALSE),0),"")</f>
        <v/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0</v>
      </c>
      <c r="AV772">
        <f t="shared" si="190"/>
        <v>0</v>
      </c>
      <c r="AW772">
        <f t="shared" si="191"/>
        <v>0</v>
      </c>
    </row>
    <row r="773" spans="1:49" ht="20" customHeight="1" x14ac:dyDescent="0.3">
      <c r="A773" s="5" t="s">
        <v>429</v>
      </c>
      <c r="C773" s="5">
        <v>3</v>
      </c>
      <c r="D773" s="21" t="s">
        <v>262</v>
      </c>
      <c r="E773" s="21" t="s">
        <v>225</v>
      </c>
      <c r="L773" s="5">
        <f>IFERROR(VLOOKUP($D773&amp;$C773,生产方式定位!$A$2:$E$38,2,FALSE)+VLOOKUP($E773&amp;$C773,生产方式定位!$F$3:$J$38,2,FALSE),0)</f>
        <v>2000</v>
      </c>
      <c r="S773" s="5">
        <f>IFERROR(VLOOKUP($D773&amp;$C773,生产方式定位!$A$2:$E$38,3,FALSE)+VLOOKUP($E773&amp;$C773,生产方式定位!$F$3:$J$38,3,FALSE),0)</f>
        <v>140</v>
      </c>
      <c r="X773" s="5">
        <f>IFERROR(VLOOKUP($D773&amp;$C773,生产方式定位!$A$2:$E$38,5,FALSE)+VLOOKUP($E773&amp;$C773,生产方式定位!$F$3:$J$38,5,FALSE),"错误")</f>
        <v>1981</v>
      </c>
      <c r="Y773" s="24" t="str">
        <f t="shared" si="178"/>
        <v/>
      </c>
      <c r="Z773" s="34" t="str">
        <f t="shared" si="179"/>
        <v/>
      </c>
      <c r="AA773" s="34" t="str">
        <f t="shared" ref="AA773:AA836" si="192">IF(AJ773="","",AJ773)&amp;IF(AK773="","",","&amp;AK773)</f>
        <v/>
      </c>
      <c r="AB773" s="25" t="str">
        <f t="shared" si="180"/>
        <v>-1%</v>
      </c>
      <c r="AC773" s="1">
        <f t="shared" si="181"/>
        <v>-159</v>
      </c>
      <c r="AD773" s="35">
        <f t="shared" ref="AD773:AD836" si="193">C773</f>
        <v>3</v>
      </c>
      <c r="AE773" t="str">
        <f t="shared" si="182"/>
        <v/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 t="str">
        <f>IFERROR(ROUND(L773*(G773/$AU773)/VLOOKUP(F773,商品!$A$4:$C$60,3,FALSE),0),"")</f>
        <v/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0</v>
      </c>
      <c r="AV773">
        <f t="shared" si="190"/>
        <v>0</v>
      </c>
      <c r="AW773">
        <f t="shared" si="191"/>
        <v>0</v>
      </c>
    </row>
    <row r="774" spans="1:49" ht="20" customHeight="1" x14ac:dyDescent="0.3">
      <c r="A774" s="5" t="s">
        <v>429</v>
      </c>
      <c r="C774" s="5">
        <v>4</v>
      </c>
      <c r="D774" s="21" t="s">
        <v>262</v>
      </c>
      <c r="E774" s="21" t="s">
        <v>225</v>
      </c>
      <c r="L774" s="5">
        <f>IFERROR(VLOOKUP($D774&amp;$C774,生产方式定位!$A$2:$E$38,2,FALSE)+VLOOKUP($E774&amp;$C774,生产方式定位!$F$3:$J$38,2,FALSE),0)</f>
        <v>2750</v>
      </c>
      <c r="S774" s="5">
        <f>IFERROR(VLOOKUP($D774&amp;$C774,生产方式定位!$A$2:$E$38,3,FALSE)+VLOOKUP($E774&amp;$C774,生产方式定位!$F$3:$J$38,3,FALSE),0)</f>
        <v>150</v>
      </c>
      <c r="X774" s="5">
        <f>IFERROR(VLOOKUP($D774&amp;$C774,生产方式定位!$A$2:$E$38,5,FALSE)+VLOOKUP($E774&amp;$C774,生产方式定位!$F$3:$J$38,5,FALSE),"错误")</f>
        <v>2767</v>
      </c>
      <c r="Y774" s="24" t="str">
        <f t="shared" ref="Y774:Y837" si="194">IF(AE774="","",AE774)&amp;IF(AF774="","",","&amp;AF774)&amp;IF(AN774=0,"",",运力*"&amp;AN774)&amp;IF(AO774=0,"",",交易*"&amp;AO774)</f>
        <v/>
      </c>
      <c r="Z774" s="34" t="str">
        <f t="shared" ref="Z774:Z837" si="195">IF(AG774="","",AG774)&amp;IF(AH774="","",","&amp;AH774)&amp;IF(AI774="","",","&amp;AI774)</f>
        <v/>
      </c>
      <c r="AA774" s="34" t="str">
        <f t="shared" si="192"/>
        <v/>
      </c>
      <c r="AB774" s="25" t="str">
        <f t="shared" ref="AB774:AB837" si="196">IFERROR(ROUND(((X774/L774)-1)*100,0)&amp;"%","")</f>
        <v>1%</v>
      </c>
      <c r="AC774" s="1">
        <f t="shared" ref="AC774:AC837" si="197">IF(X774-S774-L774=0,"",X774-S774-L774)</f>
        <v>-133</v>
      </c>
      <c r="AD774" s="35">
        <f t="shared" si="193"/>
        <v>4</v>
      </c>
      <c r="AE774" t="str">
        <f t="shared" ref="AE774:AE837" si="198">IF(AL774="","",F774&amp;"*"&amp;AL774)</f>
        <v/>
      </c>
      <c r="AF774" t="str">
        <f t="shared" ref="AF774:AF837" si="199">IF(AM774="","",H774&amp;"*"&amp;AM774)</f>
        <v/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 t="str">
        <f>IFERROR(ROUND(L774*(G774/$AU774)/VLOOKUP(F774,商品!$A$4:$C$60,3,FALSE),0),"")</f>
        <v/>
      </c>
      <c r="AM774" t="str">
        <f>IFERROR(ROUND(L774*(I774/$AU774)/VLOOKUP(H774,商品!$A$4:$C$60,3,FALSE),0),"")</f>
        <v/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0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spans="1:49" ht="20" customHeight="1" x14ac:dyDescent="0.3">
      <c r="A775" s="5" t="s">
        <v>429</v>
      </c>
      <c r="C775" s="5">
        <v>5</v>
      </c>
      <c r="D775" s="21" t="s">
        <v>262</v>
      </c>
      <c r="E775" s="21" t="s">
        <v>225</v>
      </c>
      <c r="L775" s="5">
        <f>IFERROR(VLOOKUP($D775&amp;$C775,生产方式定位!$A$2:$E$38,2,FALSE)+VLOOKUP($E775&amp;$C775,生产方式定位!$F$3:$J$38,2,FALSE),0)</f>
        <v>3500</v>
      </c>
      <c r="S775" s="5">
        <f>IFERROR(VLOOKUP($D775&amp;$C775,生产方式定位!$A$2:$E$38,3,FALSE)+VLOOKUP($E775&amp;$C775,生产方式定位!$F$3:$J$38,3,FALSE),0)</f>
        <v>160</v>
      </c>
      <c r="X775" s="5">
        <f>IFERROR(VLOOKUP($D775&amp;$C775,生产方式定位!$A$2:$E$38,5,FALSE)+VLOOKUP($E775&amp;$C775,生产方式定位!$F$3:$J$38,5,FALSE),"错误")</f>
        <v>3820</v>
      </c>
      <c r="Y775" s="24" t="str">
        <f t="shared" si="194"/>
        <v/>
      </c>
      <c r="Z775" s="34" t="str">
        <f t="shared" si="195"/>
        <v/>
      </c>
      <c r="AA775" s="34" t="str">
        <f t="shared" si="192"/>
        <v/>
      </c>
      <c r="AB775" s="25" t="str">
        <f t="shared" si="196"/>
        <v>9%</v>
      </c>
      <c r="AC775" s="1">
        <f t="shared" si="197"/>
        <v>160</v>
      </c>
      <c r="AD775" s="35">
        <f t="shared" si="193"/>
        <v>5</v>
      </c>
      <c r="AE775" t="str">
        <f t="shared" si="198"/>
        <v/>
      </c>
      <c r="AF775" t="str">
        <f t="shared" si="199"/>
        <v/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 t="str">
        <f>IFERROR(ROUND(L775*(G775/$AU775)/VLOOKUP(F775,商品!$A$4:$C$60,3,FALSE),0),"")</f>
        <v/>
      </c>
      <c r="AM775" t="str">
        <f>IFERROR(ROUND(L775*(I775/$AU775)/VLOOKUP(H775,商品!$A$4:$C$60,3,FALSE),0),"")</f>
        <v/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0</v>
      </c>
      <c r="AV775">
        <f t="shared" si="206"/>
        <v>0</v>
      </c>
      <c r="AW775">
        <f t="shared" si="207"/>
        <v>0</v>
      </c>
    </row>
    <row r="776" spans="1:49" ht="20" customHeight="1" x14ac:dyDescent="0.3">
      <c r="A776" s="18" t="s">
        <v>430</v>
      </c>
      <c r="C776" s="18">
        <v>1</v>
      </c>
      <c r="D776" s="21" t="s">
        <v>292</v>
      </c>
      <c r="E776" s="21" t="s">
        <v>226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24" t="str">
        <f t="shared" si="194"/>
        <v/>
      </c>
      <c r="Z776" s="34" t="str">
        <f t="shared" si="195"/>
        <v/>
      </c>
      <c r="AA776" s="34" t="str">
        <f t="shared" si="192"/>
        <v/>
      </c>
      <c r="AB776" s="25" t="str">
        <f t="shared" si="196"/>
        <v/>
      </c>
      <c r="AC776" s="1" t="str">
        <f t="shared" si="197"/>
        <v/>
      </c>
      <c r="AD776" s="36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20" customHeight="1" x14ac:dyDescent="0.3">
      <c r="A777" s="18" t="s">
        <v>430</v>
      </c>
      <c r="C777" s="18">
        <v>2</v>
      </c>
      <c r="D777" s="21" t="s">
        <v>292</v>
      </c>
      <c r="E777" s="21" t="s">
        <v>226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24" t="str">
        <f t="shared" si="194"/>
        <v/>
      </c>
      <c r="Z777" s="34" t="str">
        <f t="shared" si="195"/>
        <v/>
      </c>
      <c r="AA777" s="34" t="str">
        <f t="shared" si="192"/>
        <v/>
      </c>
      <c r="AB777" s="25" t="str">
        <f t="shared" si="196"/>
        <v/>
      </c>
      <c r="AC777" s="1" t="str">
        <f t="shared" si="197"/>
        <v/>
      </c>
      <c r="AD777" s="36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spans="1:49" ht="20" customHeight="1" x14ac:dyDescent="0.3">
      <c r="A778" s="18" t="s">
        <v>430</v>
      </c>
      <c r="C778" s="18">
        <v>3</v>
      </c>
      <c r="D778" s="21" t="s">
        <v>292</v>
      </c>
      <c r="E778" s="21" t="s">
        <v>226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24" t="str">
        <f t="shared" si="194"/>
        <v/>
      </c>
      <c r="Z778" s="34" t="str">
        <f t="shared" si="195"/>
        <v/>
      </c>
      <c r="AA778" s="34" t="str">
        <f t="shared" si="192"/>
        <v/>
      </c>
      <c r="AB778" s="25" t="str">
        <f t="shared" si="196"/>
        <v/>
      </c>
      <c r="AC778" s="1" t="str">
        <f t="shared" si="197"/>
        <v/>
      </c>
      <c r="AD778" s="36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spans="1:49" ht="20" customHeight="1" x14ac:dyDescent="0.3">
      <c r="A779" s="18" t="s">
        <v>430</v>
      </c>
      <c r="C779" s="18">
        <v>4</v>
      </c>
      <c r="D779" s="21" t="s">
        <v>292</v>
      </c>
      <c r="E779" s="21" t="s">
        <v>226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24" t="str">
        <f t="shared" si="194"/>
        <v/>
      </c>
      <c r="Z779" s="34" t="str">
        <f t="shared" si="195"/>
        <v/>
      </c>
      <c r="AA779" s="34" t="str">
        <f t="shared" si="192"/>
        <v/>
      </c>
      <c r="AB779" s="25" t="str">
        <f t="shared" si="196"/>
        <v/>
      </c>
      <c r="AC779" s="1" t="str">
        <f t="shared" si="197"/>
        <v/>
      </c>
      <c r="AD779" s="36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spans="1:49" ht="20" customHeight="1" x14ac:dyDescent="0.3">
      <c r="A780" s="18" t="s">
        <v>430</v>
      </c>
      <c r="C780" s="18">
        <v>5</v>
      </c>
      <c r="D780" s="21" t="s">
        <v>292</v>
      </c>
      <c r="E780" s="21" t="s">
        <v>226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24" t="str">
        <f t="shared" si="194"/>
        <v/>
      </c>
      <c r="Z780" s="34" t="str">
        <f t="shared" si="195"/>
        <v/>
      </c>
      <c r="AA780" s="34" t="str">
        <f t="shared" si="192"/>
        <v/>
      </c>
      <c r="AB780" s="25" t="str">
        <f t="shared" si="196"/>
        <v/>
      </c>
      <c r="AC780" s="1" t="str">
        <f t="shared" si="197"/>
        <v/>
      </c>
      <c r="AD780" s="36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spans="1:49" ht="20" customHeight="1" x14ac:dyDescent="0.3">
      <c r="A781" s="18" t="s">
        <v>430</v>
      </c>
      <c r="C781" s="18">
        <v>6</v>
      </c>
      <c r="D781" s="21" t="s">
        <v>292</v>
      </c>
      <c r="E781" s="21" t="s">
        <v>226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5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20" customHeight="1" x14ac:dyDescent="0.3">
      <c r="A782" s="18" t="s">
        <v>430</v>
      </c>
      <c r="C782" s="18">
        <v>7</v>
      </c>
      <c r="D782" s="21" t="s">
        <v>292</v>
      </c>
      <c r="E782" s="21" t="s">
        <v>226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5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20" customHeight="1" x14ac:dyDescent="0.3">
      <c r="A783" s="18" t="s">
        <v>430</v>
      </c>
      <c r="C783" s="18">
        <v>8</v>
      </c>
      <c r="D783" s="21" t="s">
        <v>292</v>
      </c>
      <c r="E783" s="21" t="s">
        <v>226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5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20" customHeight="1" x14ac:dyDescent="0.3">
      <c r="A784" s="5" t="s">
        <v>432</v>
      </c>
      <c r="C784" s="5">
        <v>1</v>
      </c>
      <c r="D784" s="21" t="s">
        <v>222</v>
      </c>
      <c r="E784" s="21" t="s">
        <v>224</v>
      </c>
      <c r="L784" s="5">
        <f>IFERROR(VLOOKUP($D784&amp;$C784,生产方式定位!$A$2:$E$38,2,FALSE)+VLOOKUP($E784&amp;$C784,生产方式定位!$F$3:$J$38,2,FALSE),0)</f>
        <v>600</v>
      </c>
      <c r="S784" s="5">
        <f>IFERROR(VLOOKUP($D784&amp;$C784,生产方式定位!$A$2:$E$38,3,FALSE)+VLOOKUP($E784&amp;$C784,生产方式定位!$F$3:$J$38,3,FALSE),0)</f>
        <v>150</v>
      </c>
      <c r="X784" s="5">
        <f>IFERROR(VLOOKUP($D784&amp;$C784,生产方式定位!$A$2:$E$38,5,FALSE)+VLOOKUP($E784&amp;$C784,生产方式定位!$F$3:$J$38,5,FALSE),"错误")</f>
        <v>788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>31%</v>
      </c>
      <c r="AC784" s="1">
        <f t="shared" si="197"/>
        <v>38</v>
      </c>
      <c r="AD784" s="35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20" customHeight="1" x14ac:dyDescent="0.3">
      <c r="A785" s="5" t="s">
        <v>432</v>
      </c>
      <c r="C785" s="5">
        <v>2</v>
      </c>
      <c r="D785" s="21" t="s">
        <v>222</v>
      </c>
      <c r="E785" s="21" t="s">
        <v>224</v>
      </c>
      <c r="L785" s="5">
        <f>IFERROR(VLOOKUP($D785&amp;$C785,生产方式定位!$A$2:$E$38,2,FALSE)+VLOOKUP($E785&amp;$C785,生产方式定位!$F$3:$J$38,2,FALSE),0)</f>
        <v>1200</v>
      </c>
      <c r="S785" s="5">
        <f>IFERROR(VLOOKUP($D785&amp;$C785,生产方式定位!$A$2:$E$38,3,FALSE)+VLOOKUP($E785&amp;$C785,生产方式定位!$F$3:$J$38,3,FALSE),0)</f>
        <v>140</v>
      </c>
      <c r="X785" s="5">
        <f>IFERROR(VLOOKUP($D785&amp;$C785,生产方式定位!$A$2:$E$38,5,FALSE)+VLOOKUP($E785&amp;$C785,生产方式定位!$F$3:$J$38,5,FALSE),"错误")</f>
        <v>1390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>16%</v>
      </c>
      <c r="AC785" s="1">
        <f t="shared" si="197"/>
        <v>50</v>
      </c>
      <c r="AD785" s="35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20" customHeight="1" x14ac:dyDescent="0.3">
      <c r="A786" s="5" t="s">
        <v>432</v>
      </c>
      <c r="C786" s="5">
        <v>3</v>
      </c>
      <c r="D786" s="21" t="s">
        <v>222</v>
      </c>
      <c r="E786" s="21" t="s">
        <v>224</v>
      </c>
      <c r="L786" s="5">
        <f>IFERROR(VLOOKUP($D786&amp;$C786,生产方式定位!$A$2:$E$38,2,FALSE)+VLOOKUP($E786&amp;$C786,生产方式定位!$F$3:$J$38,2,FALSE),0)</f>
        <v>1425</v>
      </c>
      <c r="S786" s="5">
        <f>IFERROR(VLOOKUP($D786&amp;$C786,生产方式定位!$A$2:$E$38,3,FALSE)+VLOOKUP($E786&amp;$C786,生产方式定位!$F$3:$J$38,3,FALSE),0)</f>
        <v>130</v>
      </c>
      <c r="X786" s="5">
        <f>IFERROR(VLOOKUP($D786&amp;$C786,生产方式定位!$A$2:$E$38,5,FALSE)+VLOOKUP($E786&amp;$C786,生产方式定位!$F$3:$J$38,5,FALSE),"错误")</f>
        <v>1618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>14%</v>
      </c>
      <c r="AC786" s="1">
        <f t="shared" si="197"/>
        <v>63</v>
      </c>
      <c r="AD786" s="36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20" customHeight="1" x14ac:dyDescent="0.3">
      <c r="A787" s="5" t="s">
        <v>432</v>
      </c>
      <c r="C787" s="5">
        <v>4</v>
      </c>
      <c r="D787" s="21" t="s">
        <v>222</v>
      </c>
      <c r="E787" s="21" t="s">
        <v>224</v>
      </c>
      <c r="L787" s="5">
        <f>IFERROR(VLOOKUP($D787&amp;$C787,生产方式定位!$A$2:$E$38,2,FALSE)+VLOOKUP($E787&amp;$C787,生产方式定位!$F$3:$J$38,2,FALSE),0)</f>
        <v>1650</v>
      </c>
      <c r="S787" s="5">
        <f>IFERROR(VLOOKUP($D787&amp;$C787,生产方式定位!$A$2:$E$38,3,FALSE)+VLOOKUP($E787&amp;$C787,生产方式定位!$F$3:$J$38,3,FALSE),0)</f>
        <v>120</v>
      </c>
      <c r="X787" s="5">
        <f>IFERROR(VLOOKUP($D787&amp;$C787,生产方式定位!$A$2:$E$38,5,FALSE)+VLOOKUP($E787&amp;$C787,生产方式定位!$F$3:$J$38,5,FALSE),"错误")</f>
        <v>1845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>12%</v>
      </c>
      <c r="AC787" s="1">
        <f t="shared" si="197"/>
        <v>75</v>
      </c>
      <c r="AD787" s="36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20" customHeight="1" x14ac:dyDescent="0.3">
      <c r="A788" s="5" t="s">
        <v>432</v>
      </c>
      <c r="C788" s="5">
        <v>5</v>
      </c>
      <c r="D788" s="21" t="s">
        <v>222</v>
      </c>
      <c r="E788" s="21" t="s">
        <v>224</v>
      </c>
      <c r="L788" s="5">
        <f>IFERROR(VLOOKUP($D788&amp;$C788,生产方式定位!$A$2:$E$38,2,FALSE)+VLOOKUP($E788&amp;$C788,生产方式定位!$F$3:$J$38,2,FALSE),0)</f>
        <v>1875</v>
      </c>
      <c r="S788" s="5">
        <f>IFERROR(VLOOKUP($D788&amp;$C788,生产方式定位!$A$2:$E$38,3,FALSE)+VLOOKUP($E788&amp;$C788,生产方式定位!$F$3:$J$38,3,FALSE),0)</f>
        <v>110</v>
      </c>
      <c r="X788" s="5">
        <f>IFERROR(VLOOKUP($D788&amp;$C788,生产方式定位!$A$2:$E$38,5,FALSE)+VLOOKUP($E788&amp;$C788,生产方式定位!$F$3:$J$38,5,FALSE),"错误")</f>
        <v>2073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>11%</v>
      </c>
      <c r="AC788" s="1">
        <f t="shared" si="197"/>
        <v>88</v>
      </c>
      <c r="AD788" s="36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20" customHeight="1" x14ac:dyDescent="0.3">
      <c r="A789" s="18" t="s">
        <v>433</v>
      </c>
      <c r="C789" s="18">
        <v>1</v>
      </c>
      <c r="D789" s="21" t="s">
        <v>222</v>
      </c>
      <c r="E789" s="21" t="s">
        <v>225</v>
      </c>
      <c r="L789" s="18">
        <f>IFERROR(VLOOKUP($D789&amp;$C789,生产方式定位!$A$2:$E$38,2,FALSE)+VLOOKUP($E789&amp;$C789,生产方式定位!$F$3:$J$38,2,FALSE),0)</f>
        <v>600</v>
      </c>
      <c r="S789" s="18">
        <f>IFERROR(VLOOKUP($D789&amp;$C789,生产方式定位!$A$2:$E$38,3,FALSE)+VLOOKUP($E789&amp;$C789,生产方式定位!$F$3:$J$38,3,FALSE),0)</f>
        <v>150</v>
      </c>
      <c r="X789" s="18">
        <f>IFERROR(VLOOKUP($D789&amp;$C789,生产方式定位!$A$2:$E$38,5,FALSE)+VLOOKUP($E789&amp;$C789,生产方式定位!$F$3:$J$38,5,FALSE),"错误")</f>
        <v>788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>31%</v>
      </c>
      <c r="AC789" s="1">
        <f t="shared" si="197"/>
        <v>38</v>
      </c>
      <c r="AD789" s="36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20" customHeight="1" x14ac:dyDescent="0.3">
      <c r="A790" s="18" t="s">
        <v>433</v>
      </c>
      <c r="C790" s="18">
        <v>2</v>
      </c>
      <c r="D790" s="21" t="s">
        <v>222</v>
      </c>
      <c r="E790" s="21" t="s">
        <v>225</v>
      </c>
      <c r="L790" s="18">
        <f>IFERROR(VLOOKUP($D790&amp;$C790,生产方式定位!$A$2:$E$38,2,FALSE)+VLOOKUP($E790&amp;$C790,生产方式定位!$F$3:$J$38,2,FALSE),0)</f>
        <v>1450</v>
      </c>
      <c r="S790" s="18">
        <f>IFERROR(VLOOKUP($D790&amp;$C790,生产方式定位!$A$2:$E$38,3,FALSE)+VLOOKUP($E790&amp;$C790,生产方式定位!$F$3:$J$38,3,FALSE),0)</f>
        <v>180</v>
      </c>
      <c r="X790" s="18">
        <f>IFERROR(VLOOKUP($D790&amp;$C790,生产方式定位!$A$2:$E$38,5,FALSE)+VLOOKUP($E790&amp;$C790,生产方式定位!$F$3:$J$38,5,FALSE),"错误")</f>
        <v>1472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2%</v>
      </c>
      <c r="AC790" s="1">
        <f t="shared" si="197"/>
        <v>-158</v>
      </c>
      <c r="AD790" s="36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20" customHeight="1" x14ac:dyDescent="0.3">
      <c r="A791" s="18" t="s">
        <v>433</v>
      </c>
      <c r="C791" s="18">
        <v>3</v>
      </c>
      <c r="D791" s="21" t="s">
        <v>222</v>
      </c>
      <c r="E791" s="21" t="s">
        <v>225</v>
      </c>
      <c r="L791" s="18">
        <f>IFERROR(VLOOKUP($D791&amp;$C791,生产方式定位!$A$2:$E$38,2,FALSE)+VLOOKUP($E791&amp;$C791,生产方式定位!$F$3:$J$38,2,FALSE),0)</f>
        <v>1800</v>
      </c>
      <c r="S791" s="18">
        <f>IFERROR(VLOOKUP($D791&amp;$C791,生产方式定位!$A$2:$E$38,3,FALSE)+VLOOKUP($E791&amp;$C791,生产方式定位!$F$3:$J$38,3,FALSE),0)</f>
        <v>190</v>
      </c>
      <c r="X791" s="18">
        <f>IFERROR(VLOOKUP($D791&amp;$C791,生产方式定位!$A$2:$E$38,5,FALSE)+VLOOKUP($E791&amp;$C791,生产方式定位!$F$3:$J$38,5,FALSE),"错误")</f>
        <v>1831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2%</v>
      </c>
      <c r="AC791" s="1">
        <f t="shared" si="197"/>
        <v>-159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20" customHeight="1" x14ac:dyDescent="0.3">
      <c r="A792" s="18" t="s">
        <v>433</v>
      </c>
      <c r="C792" s="18">
        <v>4</v>
      </c>
      <c r="D792" s="21" t="s">
        <v>222</v>
      </c>
      <c r="E792" s="21" t="s">
        <v>225</v>
      </c>
      <c r="L792" s="18">
        <f>IFERROR(VLOOKUP($D792&amp;$C792,生产方式定位!$A$2:$E$38,2,FALSE)+VLOOKUP($E792&amp;$C792,生产方式定位!$F$3:$J$38,2,FALSE),0)</f>
        <v>2150</v>
      </c>
      <c r="S792" s="18">
        <f>IFERROR(VLOOKUP($D792&amp;$C792,生产方式定位!$A$2:$E$38,3,FALSE)+VLOOKUP($E792&amp;$C792,生产方式定位!$F$3:$J$38,3,FALSE),0)</f>
        <v>200</v>
      </c>
      <c r="X792" s="18">
        <f>IFERROR(VLOOKUP($D792&amp;$C792,生产方式定位!$A$2:$E$38,5,FALSE)+VLOOKUP($E792&amp;$C792,生产方式定位!$F$3:$J$38,5,FALSE),"错误")</f>
        <v>2217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3%</v>
      </c>
      <c r="AC792" s="1">
        <f t="shared" si="197"/>
        <v>-133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20" customHeight="1" x14ac:dyDescent="0.3">
      <c r="A793" s="18" t="s">
        <v>433</v>
      </c>
      <c r="C793" s="18">
        <v>5</v>
      </c>
      <c r="D793" s="21" t="s">
        <v>222</v>
      </c>
      <c r="E793" s="21" t="s">
        <v>225</v>
      </c>
      <c r="L793" s="18">
        <f>IFERROR(VLOOKUP($D793&amp;$C793,生产方式定位!$A$2:$E$38,2,FALSE)+VLOOKUP($E793&amp;$C793,生产方式定位!$F$3:$J$38,2,FALSE),0)</f>
        <v>2500</v>
      </c>
      <c r="S793" s="18">
        <f>IFERROR(VLOOKUP($D793&amp;$C793,生产方式定位!$A$2:$E$38,3,FALSE)+VLOOKUP($E793&amp;$C793,生产方式定位!$F$3:$J$38,3,FALSE),0)</f>
        <v>210</v>
      </c>
      <c r="X793" s="18">
        <f>IFERROR(VLOOKUP($D793&amp;$C793,生产方式定位!$A$2:$E$38,5,FALSE)+VLOOKUP($E793&amp;$C793,生产方式定位!$F$3:$J$38,5,FALSE),"错误")</f>
        <v>2870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15%</v>
      </c>
      <c r="AC793" s="1">
        <f t="shared" si="197"/>
        <v>160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20" customHeight="1" x14ac:dyDescent="0.3">
      <c r="A794" s="5" t="s">
        <v>433</v>
      </c>
      <c r="C794" s="5">
        <v>1</v>
      </c>
      <c r="D794" s="21" t="s">
        <v>222</v>
      </c>
      <c r="E794" s="21" t="s">
        <v>225</v>
      </c>
      <c r="L794" s="5">
        <f>IFERROR(VLOOKUP($D794&amp;$C794,生产方式定位!$A$2:$E$38,2,FALSE)+VLOOKUP($E794&amp;$C794,生产方式定位!$F$3:$J$38,2,FALSE),0)</f>
        <v>600</v>
      </c>
      <c r="S794" s="5">
        <f>IFERROR(VLOOKUP($D794&amp;$C794,生产方式定位!$A$2:$E$38,3,FALSE)+VLOOKUP($E794&amp;$C794,生产方式定位!$F$3:$J$38,3,FALSE),0)</f>
        <v>150</v>
      </c>
      <c r="X794" s="5">
        <f>IFERROR(VLOOKUP($D794&amp;$C794,生产方式定位!$A$2:$E$38,5,FALSE)+VLOOKUP($E794&amp;$C794,生产方式定位!$F$3:$J$38,5,FALSE),"错误")</f>
        <v>788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>31%</v>
      </c>
      <c r="AC794" s="1">
        <f t="shared" si="197"/>
        <v>38</v>
      </c>
      <c r="AD794" s="35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20" customHeight="1" x14ac:dyDescent="0.3">
      <c r="A795" s="5" t="s">
        <v>433</v>
      </c>
      <c r="C795" s="5">
        <v>2</v>
      </c>
      <c r="D795" s="21" t="s">
        <v>222</v>
      </c>
      <c r="E795" s="21" t="s">
        <v>225</v>
      </c>
      <c r="L795" s="5">
        <f>IFERROR(VLOOKUP($D795&amp;$C795,生产方式定位!$A$2:$E$38,2,FALSE)+VLOOKUP($E795&amp;$C795,生产方式定位!$F$3:$J$38,2,FALSE),0)</f>
        <v>1450</v>
      </c>
      <c r="S795" s="5">
        <f>IFERROR(VLOOKUP($D795&amp;$C795,生产方式定位!$A$2:$E$38,3,FALSE)+VLOOKUP($E795&amp;$C795,生产方式定位!$F$3:$J$38,3,FALSE),0)</f>
        <v>180</v>
      </c>
      <c r="X795" s="5">
        <f>IFERROR(VLOOKUP($D795&amp;$C795,生产方式定位!$A$2:$E$38,5,FALSE)+VLOOKUP($E795&amp;$C795,生产方式定位!$F$3:$J$38,5,FALSE),"错误")</f>
        <v>1472</v>
      </c>
      <c r="Y795" s="24" t="str">
        <f t="shared" si="194"/>
        <v/>
      </c>
      <c r="Z795" s="34" t="str">
        <f t="shared" si="195"/>
        <v/>
      </c>
      <c r="AA795" s="34" t="str">
        <f t="shared" si="192"/>
        <v/>
      </c>
      <c r="AB795" s="25" t="str">
        <f t="shared" si="196"/>
        <v>2%</v>
      </c>
      <c r="AC795" s="1">
        <f t="shared" si="197"/>
        <v>-158</v>
      </c>
      <c r="AD795" s="35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20" customHeight="1" x14ac:dyDescent="0.3">
      <c r="A796" s="5" t="s">
        <v>433</v>
      </c>
      <c r="C796" s="5">
        <v>3</v>
      </c>
      <c r="D796" s="21" t="s">
        <v>222</v>
      </c>
      <c r="E796" s="21" t="s">
        <v>225</v>
      </c>
      <c r="L796" s="5">
        <f>IFERROR(VLOOKUP($D796&amp;$C796,生产方式定位!$A$2:$E$38,2,FALSE)+VLOOKUP($E796&amp;$C796,生产方式定位!$F$3:$J$38,2,FALSE),0)</f>
        <v>1800</v>
      </c>
      <c r="S796" s="5">
        <f>IFERROR(VLOOKUP($D796&amp;$C796,生产方式定位!$A$2:$E$38,3,FALSE)+VLOOKUP($E796&amp;$C796,生产方式定位!$F$3:$J$38,3,FALSE),0)</f>
        <v>190</v>
      </c>
      <c r="X796" s="5">
        <f>IFERROR(VLOOKUP($D796&amp;$C796,生产方式定位!$A$2:$E$38,5,FALSE)+VLOOKUP($E796&amp;$C796,生产方式定位!$F$3:$J$38,5,FALSE),"错误")</f>
        <v>1831</v>
      </c>
      <c r="Y796" s="24" t="str">
        <f t="shared" si="194"/>
        <v/>
      </c>
      <c r="Z796" s="34" t="str">
        <f t="shared" si="195"/>
        <v/>
      </c>
      <c r="AA796" s="34" t="str">
        <f t="shared" si="192"/>
        <v/>
      </c>
      <c r="AB796" s="25" t="str">
        <f t="shared" si="196"/>
        <v>2%</v>
      </c>
      <c r="AC796" s="1">
        <f t="shared" si="197"/>
        <v>-159</v>
      </c>
      <c r="AD796" s="35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20" customHeight="1" x14ac:dyDescent="0.3">
      <c r="A797" s="5" t="s">
        <v>433</v>
      </c>
      <c r="C797" s="5">
        <v>4</v>
      </c>
      <c r="D797" s="21" t="s">
        <v>222</v>
      </c>
      <c r="E797" s="21" t="s">
        <v>225</v>
      </c>
      <c r="L797" s="5">
        <f>IFERROR(VLOOKUP($D797&amp;$C797,生产方式定位!$A$2:$E$38,2,FALSE)+VLOOKUP($E797&amp;$C797,生产方式定位!$F$3:$J$38,2,FALSE),0)</f>
        <v>2150</v>
      </c>
      <c r="S797" s="5">
        <f>IFERROR(VLOOKUP($D797&amp;$C797,生产方式定位!$A$2:$E$38,3,FALSE)+VLOOKUP($E797&amp;$C797,生产方式定位!$F$3:$J$38,3,FALSE),0)</f>
        <v>200</v>
      </c>
      <c r="X797" s="5">
        <f>IFERROR(VLOOKUP($D797&amp;$C797,生产方式定位!$A$2:$E$38,5,FALSE)+VLOOKUP($E797&amp;$C797,生产方式定位!$F$3:$J$38,5,FALSE),"错误")</f>
        <v>2217</v>
      </c>
      <c r="Y797" s="24" t="str">
        <f t="shared" si="194"/>
        <v/>
      </c>
      <c r="Z797" s="34" t="str">
        <f t="shared" si="195"/>
        <v/>
      </c>
      <c r="AA797" s="34" t="str">
        <f t="shared" si="192"/>
        <v/>
      </c>
      <c r="AB797" s="25" t="str">
        <f t="shared" si="196"/>
        <v>3%</v>
      </c>
      <c r="AC797" s="1">
        <f t="shared" si="197"/>
        <v>-133</v>
      </c>
      <c r="AD797" s="35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20" customHeight="1" x14ac:dyDescent="0.3">
      <c r="A798" s="5" t="s">
        <v>433</v>
      </c>
      <c r="C798" s="5">
        <v>5</v>
      </c>
      <c r="D798" s="21" t="s">
        <v>222</v>
      </c>
      <c r="E798" s="21" t="s">
        <v>225</v>
      </c>
      <c r="L798" s="5">
        <f>IFERROR(VLOOKUP($D798&amp;$C798,生产方式定位!$A$2:$E$38,2,FALSE)+VLOOKUP($E798&amp;$C798,生产方式定位!$F$3:$J$38,2,FALSE),0)</f>
        <v>2500</v>
      </c>
      <c r="S798" s="5">
        <f>IFERROR(VLOOKUP($D798&amp;$C798,生产方式定位!$A$2:$E$38,3,FALSE)+VLOOKUP($E798&amp;$C798,生产方式定位!$F$3:$J$38,3,FALSE),0)</f>
        <v>210</v>
      </c>
      <c r="X798" s="5">
        <f>IFERROR(VLOOKUP($D798&amp;$C798,生产方式定位!$A$2:$E$38,5,FALSE)+VLOOKUP($E798&amp;$C798,生产方式定位!$F$3:$J$38,5,FALSE),"错误")</f>
        <v>2870</v>
      </c>
      <c r="Y798" s="24" t="str">
        <f t="shared" si="194"/>
        <v/>
      </c>
      <c r="Z798" s="34" t="str">
        <f t="shared" si="195"/>
        <v/>
      </c>
      <c r="AA798" s="34" t="str">
        <f t="shared" si="192"/>
        <v/>
      </c>
      <c r="AB798" s="25" t="str">
        <f t="shared" si="196"/>
        <v>15%</v>
      </c>
      <c r="AC798" s="1">
        <f t="shared" si="197"/>
        <v>160</v>
      </c>
      <c r="AD798" s="35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20" customHeight="1" x14ac:dyDescent="0.3">
      <c r="A799" s="18" t="s">
        <v>434</v>
      </c>
      <c r="C799" s="18">
        <v>1</v>
      </c>
      <c r="D799" s="21" t="s">
        <v>292</v>
      </c>
      <c r="E799" s="21" t="s">
        <v>226</v>
      </c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100</v>
      </c>
      <c r="X799" s="18">
        <f>IFERROR(VLOOKUP($D799&amp;$C799,生产方式定位!$A$2:$E$38,5,FALSE)+VLOOKUP($E799&amp;$C799,生产方式定位!$F$3:$J$38,5,FALSE),"错误")</f>
        <v>100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/>
      </c>
      <c r="AC799" s="1" t="str">
        <f t="shared" si="197"/>
        <v/>
      </c>
      <c r="AD799" s="36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20" customHeight="1" x14ac:dyDescent="0.3">
      <c r="A800" s="18" t="s">
        <v>434</v>
      </c>
      <c r="C800" s="18">
        <v>2</v>
      </c>
      <c r="D800" s="21" t="s">
        <v>292</v>
      </c>
      <c r="E800" s="21" t="s">
        <v>226</v>
      </c>
      <c r="L800" s="18">
        <f>IFERROR(VLOOKUP($D800&amp;$C800,生产方式定位!$A$2:$E$38,2,FALSE)+VLOOKUP($E800&amp;$C800,生产方式定位!$F$3:$J$38,2,FALSE),0)</f>
        <v>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100</v>
      </c>
      <c r="Y800" s="24" t="str">
        <f t="shared" si="194"/>
        <v/>
      </c>
      <c r="Z800" s="34" t="str">
        <f t="shared" si="195"/>
        <v/>
      </c>
      <c r="AA800" s="34" t="str">
        <f t="shared" si="192"/>
        <v/>
      </c>
      <c r="AB800" s="25" t="str">
        <f t="shared" si="196"/>
        <v/>
      </c>
      <c r="AC800" s="1" t="str">
        <f t="shared" si="197"/>
        <v/>
      </c>
      <c r="AD800" s="36">
        <f t="shared" si="193"/>
        <v>2</v>
      </c>
      <c r="AE800" t="str">
        <f t="shared" si="198"/>
        <v/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 t="str">
        <f>IFERROR(ROUND(L800*(G800/$AU800)/VLOOKUP(F800,商品!$A$4:$C$60,3,FALSE),0),"")</f>
        <v/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0</v>
      </c>
      <c r="AV800">
        <f t="shared" si="206"/>
        <v>0</v>
      </c>
      <c r="AW800">
        <f t="shared" si="207"/>
        <v>0</v>
      </c>
    </row>
    <row r="801" spans="1:49" ht="20" customHeight="1" x14ac:dyDescent="0.3">
      <c r="A801" s="18" t="s">
        <v>434</v>
      </c>
      <c r="C801" s="18">
        <v>3</v>
      </c>
      <c r="D801" s="21" t="s">
        <v>292</v>
      </c>
      <c r="E801" s="21" t="s">
        <v>226</v>
      </c>
      <c r="L801" s="18">
        <f>IFERROR(VLOOKUP($D801&amp;$C801,生产方式定位!$A$2:$E$38,2,FALSE)+VLOOKUP($E801&amp;$C801,生产方式定位!$F$3:$J$38,2,FALSE),0)</f>
        <v>0</v>
      </c>
      <c r="S801" s="18">
        <f>IFERROR(VLOOKUP($D801&amp;$C801,生产方式定位!$A$2:$E$38,3,FALSE)+VLOOKUP($E801&amp;$C801,生产方式定位!$F$3:$J$38,3,FALSE),0)</f>
        <v>100</v>
      </c>
      <c r="X801" s="18">
        <f>IFERROR(VLOOKUP($D801&amp;$C801,生产方式定位!$A$2:$E$38,5,FALSE)+VLOOKUP($E801&amp;$C801,生产方式定位!$F$3:$J$38,5,FALSE),"错误")</f>
        <v>100</v>
      </c>
      <c r="Y801" s="24" t="str">
        <f t="shared" si="194"/>
        <v/>
      </c>
      <c r="Z801" s="34" t="str">
        <f t="shared" si="195"/>
        <v/>
      </c>
      <c r="AA801" s="34" t="str">
        <f t="shared" si="192"/>
        <v/>
      </c>
      <c r="AB801" s="25" t="str">
        <f t="shared" si="196"/>
        <v/>
      </c>
      <c r="AC801" s="1" t="str">
        <f t="shared" si="197"/>
        <v/>
      </c>
      <c r="AD801" s="36">
        <f t="shared" si="193"/>
        <v>3</v>
      </c>
      <c r="AE801" t="str">
        <f t="shared" si="198"/>
        <v/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 t="str">
        <f>IFERROR(ROUND(L801*(G801/$AU801)/VLOOKUP(F801,商品!$A$4:$C$60,3,FALSE),0),"")</f>
        <v/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0</v>
      </c>
      <c r="AV801">
        <f t="shared" si="206"/>
        <v>0</v>
      </c>
      <c r="AW801">
        <f t="shared" si="207"/>
        <v>0</v>
      </c>
    </row>
    <row r="802" spans="1:49" ht="20" customHeight="1" x14ac:dyDescent="0.3">
      <c r="A802" s="18" t="s">
        <v>434</v>
      </c>
      <c r="C802" s="18">
        <v>4</v>
      </c>
      <c r="D802" s="21" t="s">
        <v>292</v>
      </c>
      <c r="E802" s="21" t="s">
        <v>226</v>
      </c>
      <c r="L802" s="18">
        <f>IFERROR(VLOOKUP($D802&amp;$C802,生产方式定位!$A$2:$E$38,2,FALSE)+VLOOKUP($E802&amp;$C802,生产方式定位!$F$3:$J$38,2,FALSE),0)</f>
        <v>0</v>
      </c>
      <c r="S802" s="18">
        <f>IFERROR(VLOOKUP($D802&amp;$C802,生产方式定位!$A$2:$E$38,3,FALSE)+VLOOKUP($E802&amp;$C802,生产方式定位!$F$3:$J$38,3,FALSE),0)</f>
        <v>100</v>
      </c>
      <c r="X802" s="18">
        <f>IFERROR(VLOOKUP($D802&amp;$C802,生产方式定位!$A$2:$E$38,5,FALSE)+VLOOKUP($E802&amp;$C802,生产方式定位!$F$3:$J$38,5,FALSE),"错误")</f>
        <v>100</v>
      </c>
      <c r="Y802" s="24" t="str">
        <f t="shared" si="194"/>
        <v/>
      </c>
      <c r="Z802" s="34" t="str">
        <f t="shared" si="195"/>
        <v/>
      </c>
      <c r="AA802" s="34" t="str">
        <f t="shared" si="192"/>
        <v/>
      </c>
      <c r="AB802" s="25" t="str">
        <f t="shared" si="196"/>
        <v/>
      </c>
      <c r="AC802" s="1" t="str">
        <f t="shared" si="197"/>
        <v/>
      </c>
      <c r="AD802" s="36">
        <f t="shared" si="193"/>
        <v>4</v>
      </c>
      <c r="AE802" t="str">
        <f t="shared" si="198"/>
        <v/>
      </c>
      <c r="AF802" t="str">
        <f t="shared" si="199"/>
        <v/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 t="str">
        <f>IFERROR(ROUND(L802*(G802/$AU802)/VLOOKUP(F802,商品!$A$4:$C$60,3,FALSE),0),"")</f>
        <v/>
      </c>
      <c r="AM802" t="str">
        <f>IFERROR(ROUND(L802*(I802/$AU802)/VLOOKUP(H802,商品!$A$4:$C$60,3,FALSE),0),"")</f>
        <v/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0</v>
      </c>
      <c r="AV802">
        <f t="shared" si="206"/>
        <v>0</v>
      </c>
      <c r="AW802">
        <f t="shared" si="207"/>
        <v>0</v>
      </c>
    </row>
    <row r="803" spans="1:49" ht="20" customHeight="1" x14ac:dyDescent="0.3">
      <c r="A803" s="18" t="s">
        <v>434</v>
      </c>
      <c r="C803" s="18">
        <v>5</v>
      </c>
      <c r="D803" s="21" t="s">
        <v>292</v>
      </c>
      <c r="E803" s="21" t="s">
        <v>226</v>
      </c>
      <c r="L803" s="18">
        <f>IFERROR(VLOOKUP($D803&amp;$C803,生产方式定位!$A$2:$E$38,2,FALSE)+VLOOKUP($E803&amp;$C803,生产方式定位!$F$3:$J$38,2,FALSE),0)</f>
        <v>0</v>
      </c>
      <c r="S803" s="18">
        <f>IFERROR(VLOOKUP($D803&amp;$C803,生产方式定位!$A$2:$E$38,3,FALSE)+VLOOKUP($E803&amp;$C803,生产方式定位!$F$3:$J$38,3,FALSE),0)</f>
        <v>100</v>
      </c>
      <c r="X803" s="18">
        <f>IFERROR(VLOOKUP($D803&amp;$C803,生产方式定位!$A$2:$E$38,5,FALSE)+VLOOKUP($E803&amp;$C803,生产方式定位!$F$3:$J$38,5,FALSE),"错误")</f>
        <v>100</v>
      </c>
      <c r="Y803" s="24" t="str">
        <f t="shared" si="194"/>
        <v/>
      </c>
      <c r="Z803" s="34" t="str">
        <f t="shared" si="195"/>
        <v/>
      </c>
      <c r="AA803" s="34" t="str">
        <f t="shared" si="192"/>
        <v/>
      </c>
      <c r="AB803" s="25" t="str">
        <f t="shared" si="196"/>
        <v/>
      </c>
      <c r="AC803" s="1" t="str">
        <f t="shared" si="197"/>
        <v/>
      </c>
      <c r="AD803" s="36">
        <f t="shared" si="193"/>
        <v>5</v>
      </c>
      <c r="AE803" t="str">
        <f t="shared" si="198"/>
        <v/>
      </c>
      <c r="AF803" t="str">
        <f t="shared" si="199"/>
        <v/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 t="str">
        <f>IFERROR(ROUND(L803*(G803/$AU803)/VLOOKUP(F803,商品!$A$4:$C$60,3,FALSE),0),"")</f>
        <v/>
      </c>
      <c r="AM803" t="str">
        <f>IFERROR(ROUND(L803*(I803/$AU803)/VLOOKUP(H803,商品!$A$4:$C$60,3,FALSE),0),"")</f>
        <v/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0</v>
      </c>
      <c r="AV803">
        <f t="shared" si="206"/>
        <v>0</v>
      </c>
      <c r="AW803">
        <f t="shared" si="207"/>
        <v>0</v>
      </c>
    </row>
    <row r="804" spans="1:49" ht="20" customHeight="1" x14ac:dyDescent="0.3">
      <c r="A804" s="18" t="s">
        <v>434</v>
      </c>
      <c r="C804" s="18">
        <v>6</v>
      </c>
      <c r="D804" s="21" t="s">
        <v>292</v>
      </c>
      <c r="E804" s="21" t="s">
        <v>226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5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20" customHeight="1" x14ac:dyDescent="0.3">
      <c r="A805" s="18" t="s">
        <v>434</v>
      </c>
      <c r="C805" s="18">
        <v>7</v>
      </c>
      <c r="D805" s="21" t="s">
        <v>292</v>
      </c>
      <c r="E805" s="21" t="s">
        <v>226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24" t="str">
        <f t="shared" si="194"/>
        <v/>
      </c>
      <c r="Z805" s="34" t="str">
        <f t="shared" si="195"/>
        <v/>
      </c>
      <c r="AA805" s="34" t="str">
        <f t="shared" si="192"/>
        <v/>
      </c>
      <c r="AB805" s="25" t="str">
        <f t="shared" si="196"/>
        <v/>
      </c>
      <c r="AC805" s="1" t="str">
        <f t="shared" si="197"/>
        <v/>
      </c>
      <c r="AD805" s="35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spans="1:49" ht="20" customHeight="1" x14ac:dyDescent="0.3">
      <c r="A806" s="18" t="s">
        <v>434</v>
      </c>
      <c r="C806" s="18">
        <v>8</v>
      </c>
      <c r="D806" s="21" t="s">
        <v>292</v>
      </c>
      <c r="E806" s="21" t="s">
        <v>226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24" t="str">
        <f t="shared" si="194"/>
        <v/>
      </c>
      <c r="Z806" s="34" t="str">
        <f t="shared" si="195"/>
        <v/>
      </c>
      <c r="AA806" s="34" t="str">
        <f t="shared" si="192"/>
        <v/>
      </c>
      <c r="AB806" s="25" t="str">
        <f t="shared" si="196"/>
        <v/>
      </c>
      <c r="AC806" s="1" t="str">
        <f t="shared" si="197"/>
        <v/>
      </c>
      <c r="AD806" s="35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spans="1:49" ht="20" customHeight="1" x14ac:dyDescent="0.3">
      <c r="A807" s="5" t="s">
        <v>436</v>
      </c>
      <c r="C807" s="5">
        <v>1</v>
      </c>
      <c r="D807" s="21" t="s">
        <v>222</v>
      </c>
      <c r="E807" s="21" t="s">
        <v>224</v>
      </c>
      <c r="L807" s="5">
        <f>IFERROR(VLOOKUP($D807&amp;$C807,生产方式定位!$A$2:$E$38,2,FALSE)+VLOOKUP($E807&amp;$C807,生产方式定位!$F$3:$J$38,2,FALSE),0)</f>
        <v>600</v>
      </c>
      <c r="S807" s="5">
        <f>IFERROR(VLOOKUP($D807&amp;$C807,生产方式定位!$A$2:$E$38,3,FALSE)+VLOOKUP($E807&amp;$C807,生产方式定位!$F$3:$J$38,3,FALSE),0)</f>
        <v>150</v>
      </c>
      <c r="X807" s="5">
        <f>IFERROR(VLOOKUP($D807&amp;$C807,生产方式定位!$A$2:$E$38,5,FALSE)+VLOOKUP($E807&amp;$C807,生产方式定位!$F$3:$J$38,5,FALSE),"错误")</f>
        <v>788</v>
      </c>
      <c r="Y807" s="24" t="str">
        <f t="shared" si="194"/>
        <v/>
      </c>
      <c r="Z807" s="34" t="str">
        <f t="shared" si="195"/>
        <v/>
      </c>
      <c r="AA807" s="34" t="str">
        <f t="shared" si="192"/>
        <v/>
      </c>
      <c r="AB807" s="25" t="str">
        <f t="shared" si="196"/>
        <v>31%</v>
      </c>
      <c r="AC807" s="1">
        <f t="shared" si="197"/>
        <v>38</v>
      </c>
      <c r="AD807" s="35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spans="1:49" ht="20" customHeight="1" x14ac:dyDescent="0.3">
      <c r="A808" s="5" t="s">
        <v>436</v>
      </c>
      <c r="C808" s="5">
        <v>2</v>
      </c>
      <c r="D808" s="21" t="s">
        <v>222</v>
      </c>
      <c r="E808" s="21" t="s">
        <v>224</v>
      </c>
      <c r="L808" s="5">
        <f>IFERROR(VLOOKUP($D808&amp;$C808,生产方式定位!$A$2:$E$38,2,FALSE)+VLOOKUP($E808&amp;$C808,生产方式定位!$F$3:$J$38,2,FALSE),0)</f>
        <v>1200</v>
      </c>
      <c r="S808" s="5">
        <f>IFERROR(VLOOKUP($D808&amp;$C808,生产方式定位!$A$2:$E$38,3,FALSE)+VLOOKUP($E808&amp;$C808,生产方式定位!$F$3:$J$38,3,FALSE),0)</f>
        <v>140</v>
      </c>
      <c r="X808" s="5">
        <f>IFERROR(VLOOKUP($D808&amp;$C808,生产方式定位!$A$2:$E$38,5,FALSE)+VLOOKUP($E808&amp;$C808,生产方式定位!$F$3:$J$38,5,FALSE),"错误")</f>
        <v>1390</v>
      </c>
      <c r="Y808" s="24" t="str">
        <f t="shared" si="194"/>
        <v/>
      </c>
      <c r="Z808" s="34" t="str">
        <f t="shared" si="195"/>
        <v/>
      </c>
      <c r="AA808" s="34" t="str">
        <f t="shared" si="192"/>
        <v/>
      </c>
      <c r="AB808" s="25" t="str">
        <f t="shared" si="196"/>
        <v>16%</v>
      </c>
      <c r="AC808" s="1">
        <f t="shared" si="197"/>
        <v>50</v>
      </c>
      <c r="AD808" s="35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spans="1:49" ht="20" customHeight="1" x14ac:dyDescent="0.3">
      <c r="A809" s="5" t="s">
        <v>436</v>
      </c>
      <c r="C809" s="5">
        <v>3</v>
      </c>
      <c r="D809" s="21" t="s">
        <v>222</v>
      </c>
      <c r="E809" s="21" t="s">
        <v>224</v>
      </c>
      <c r="L809" s="5">
        <f>IFERROR(VLOOKUP($D809&amp;$C809,生产方式定位!$A$2:$E$38,2,FALSE)+VLOOKUP($E809&amp;$C809,生产方式定位!$F$3:$J$38,2,FALSE),0)</f>
        <v>1425</v>
      </c>
      <c r="S809" s="5">
        <f>IFERROR(VLOOKUP($D809&amp;$C809,生产方式定位!$A$2:$E$38,3,FALSE)+VLOOKUP($E809&amp;$C809,生产方式定位!$F$3:$J$38,3,FALSE),0)</f>
        <v>130</v>
      </c>
      <c r="X809" s="5">
        <f>IFERROR(VLOOKUP($D809&amp;$C809,生产方式定位!$A$2:$E$38,5,FALSE)+VLOOKUP($E809&amp;$C809,生产方式定位!$F$3:$J$38,5,FALSE),"错误")</f>
        <v>1618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>14%</v>
      </c>
      <c r="AC809" s="1">
        <f t="shared" si="197"/>
        <v>63</v>
      </c>
      <c r="AD809" s="36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20" customHeight="1" x14ac:dyDescent="0.3">
      <c r="A810" s="5" t="s">
        <v>436</v>
      </c>
      <c r="C810" s="5">
        <v>4</v>
      </c>
      <c r="D810" s="21" t="s">
        <v>222</v>
      </c>
      <c r="E810" s="21" t="s">
        <v>224</v>
      </c>
      <c r="L810" s="5">
        <f>IFERROR(VLOOKUP($D810&amp;$C810,生产方式定位!$A$2:$E$38,2,FALSE)+VLOOKUP($E810&amp;$C810,生产方式定位!$F$3:$J$38,2,FALSE),0)</f>
        <v>1650</v>
      </c>
      <c r="S810" s="5">
        <f>IFERROR(VLOOKUP($D810&amp;$C810,生产方式定位!$A$2:$E$38,3,FALSE)+VLOOKUP($E810&amp;$C810,生产方式定位!$F$3:$J$38,3,FALSE),0)</f>
        <v>120</v>
      </c>
      <c r="X810" s="5">
        <f>IFERROR(VLOOKUP($D810&amp;$C810,生产方式定位!$A$2:$E$38,5,FALSE)+VLOOKUP($E810&amp;$C810,生产方式定位!$F$3:$J$38,5,FALSE),"错误")</f>
        <v>1845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>12%</v>
      </c>
      <c r="AC810" s="1">
        <f t="shared" si="197"/>
        <v>75</v>
      </c>
      <c r="AD810" s="36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20" customHeight="1" x14ac:dyDescent="0.3">
      <c r="A811" s="5" t="s">
        <v>436</v>
      </c>
      <c r="C811" s="5">
        <v>5</v>
      </c>
      <c r="D811" s="21" t="s">
        <v>222</v>
      </c>
      <c r="E811" s="21" t="s">
        <v>224</v>
      </c>
      <c r="L811" s="5">
        <f>IFERROR(VLOOKUP($D811&amp;$C811,生产方式定位!$A$2:$E$38,2,FALSE)+VLOOKUP($E811&amp;$C811,生产方式定位!$F$3:$J$38,2,FALSE),0)</f>
        <v>1875</v>
      </c>
      <c r="S811" s="5">
        <f>IFERROR(VLOOKUP($D811&amp;$C811,生产方式定位!$A$2:$E$38,3,FALSE)+VLOOKUP($E811&amp;$C811,生产方式定位!$F$3:$J$38,3,FALSE),0)</f>
        <v>110</v>
      </c>
      <c r="X811" s="5">
        <f>IFERROR(VLOOKUP($D811&amp;$C811,生产方式定位!$A$2:$E$38,5,FALSE)+VLOOKUP($E811&amp;$C811,生产方式定位!$F$3:$J$38,5,FALSE),"错误")</f>
        <v>2073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>11%</v>
      </c>
      <c r="AC811" s="1">
        <f t="shared" si="197"/>
        <v>88</v>
      </c>
      <c r="AD811" s="36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20" customHeight="1" x14ac:dyDescent="0.3">
      <c r="A812" s="18" t="s">
        <v>437</v>
      </c>
      <c r="C812" s="18">
        <v>1</v>
      </c>
      <c r="D812" s="21" t="s">
        <v>222</v>
      </c>
      <c r="E812" s="21" t="s">
        <v>225</v>
      </c>
      <c r="L812" s="18">
        <f>IFERROR(VLOOKUP($D812&amp;$C812,生产方式定位!$A$2:$E$38,2,FALSE)+VLOOKUP($E812&amp;$C812,生产方式定位!$F$3:$J$38,2,FALSE),0)</f>
        <v>600</v>
      </c>
      <c r="S812" s="18">
        <f>IFERROR(VLOOKUP($D812&amp;$C812,生产方式定位!$A$2:$E$38,3,FALSE)+VLOOKUP($E812&amp;$C812,生产方式定位!$F$3:$J$38,3,FALSE),0)</f>
        <v>150</v>
      </c>
      <c r="X812" s="18">
        <f>IFERROR(VLOOKUP($D812&amp;$C812,生产方式定位!$A$2:$E$38,5,FALSE)+VLOOKUP($E812&amp;$C812,生产方式定位!$F$3:$J$38,5,FALSE),"错误")</f>
        <v>788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>31%</v>
      </c>
      <c r="AC812" s="1">
        <f t="shared" si="197"/>
        <v>38</v>
      </c>
      <c r="AD812" s="36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20" customHeight="1" x14ac:dyDescent="0.3">
      <c r="A813" s="18" t="s">
        <v>437</v>
      </c>
      <c r="C813" s="18">
        <v>2</v>
      </c>
      <c r="D813" s="21" t="s">
        <v>222</v>
      </c>
      <c r="E813" s="21" t="s">
        <v>225</v>
      </c>
      <c r="L813" s="18">
        <f>IFERROR(VLOOKUP($D813&amp;$C813,生产方式定位!$A$2:$E$38,2,FALSE)+VLOOKUP($E813&amp;$C813,生产方式定位!$F$3:$J$38,2,FALSE),0)</f>
        <v>1450</v>
      </c>
      <c r="S813" s="18">
        <f>IFERROR(VLOOKUP($D813&amp;$C813,生产方式定位!$A$2:$E$38,3,FALSE)+VLOOKUP($E813&amp;$C813,生产方式定位!$F$3:$J$38,3,FALSE),0)</f>
        <v>180</v>
      </c>
      <c r="X813" s="18">
        <f>IFERROR(VLOOKUP($D813&amp;$C813,生产方式定位!$A$2:$E$38,5,FALSE)+VLOOKUP($E813&amp;$C813,生产方式定位!$F$3:$J$38,5,FALSE),"错误")</f>
        <v>1472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2%</v>
      </c>
      <c r="AC813" s="1">
        <f t="shared" si="197"/>
        <v>-158</v>
      </c>
      <c r="AD813" s="36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20" customHeight="1" x14ac:dyDescent="0.3">
      <c r="A814" s="18" t="s">
        <v>437</v>
      </c>
      <c r="C814" s="18">
        <v>3</v>
      </c>
      <c r="D814" s="21" t="s">
        <v>222</v>
      </c>
      <c r="E814" s="21" t="s">
        <v>225</v>
      </c>
      <c r="L814" s="18">
        <f>IFERROR(VLOOKUP($D814&amp;$C814,生产方式定位!$A$2:$E$38,2,FALSE)+VLOOKUP($E814&amp;$C814,生产方式定位!$F$3:$J$38,2,FALSE),0)</f>
        <v>1800</v>
      </c>
      <c r="S814" s="18">
        <f>IFERROR(VLOOKUP($D814&amp;$C814,生产方式定位!$A$2:$E$38,3,FALSE)+VLOOKUP($E814&amp;$C814,生产方式定位!$F$3:$J$38,3,FALSE),0)</f>
        <v>190</v>
      </c>
      <c r="X814" s="18">
        <f>IFERROR(VLOOKUP($D814&amp;$C814,生产方式定位!$A$2:$E$38,5,FALSE)+VLOOKUP($E814&amp;$C814,生产方式定位!$F$3:$J$38,5,FALSE),"错误")</f>
        <v>1831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2%</v>
      </c>
      <c r="AC814" s="1">
        <f t="shared" si="197"/>
        <v>-159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20" customHeight="1" x14ac:dyDescent="0.3">
      <c r="A815" s="18" t="s">
        <v>437</v>
      </c>
      <c r="C815" s="18">
        <v>4</v>
      </c>
      <c r="D815" s="21" t="s">
        <v>222</v>
      </c>
      <c r="E815" s="21" t="s">
        <v>225</v>
      </c>
      <c r="L815" s="18">
        <f>IFERROR(VLOOKUP($D815&amp;$C815,生产方式定位!$A$2:$E$38,2,FALSE)+VLOOKUP($E815&amp;$C815,生产方式定位!$F$3:$J$38,2,FALSE),0)</f>
        <v>2150</v>
      </c>
      <c r="S815" s="18">
        <f>IFERROR(VLOOKUP($D815&amp;$C815,生产方式定位!$A$2:$E$38,3,FALSE)+VLOOKUP($E815&amp;$C815,生产方式定位!$F$3:$J$38,3,FALSE),0)</f>
        <v>200</v>
      </c>
      <c r="X815" s="18">
        <f>IFERROR(VLOOKUP($D815&amp;$C815,生产方式定位!$A$2:$E$38,5,FALSE)+VLOOKUP($E815&amp;$C815,生产方式定位!$F$3:$J$38,5,FALSE),"错误")</f>
        <v>2217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3%</v>
      </c>
      <c r="AC815" s="1">
        <f t="shared" si="197"/>
        <v>-133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20" customHeight="1" x14ac:dyDescent="0.3">
      <c r="A816" s="18" t="s">
        <v>437</v>
      </c>
      <c r="C816" s="18">
        <v>5</v>
      </c>
      <c r="D816" s="21" t="s">
        <v>222</v>
      </c>
      <c r="E816" s="21" t="s">
        <v>225</v>
      </c>
      <c r="L816" s="18">
        <f>IFERROR(VLOOKUP($D816&amp;$C816,生产方式定位!$A$2:$E$38,2,FALSE)+VLOOKUP($E816&amp;$C816,生产方式定位!$F$3:$J$38,2,FALSE),0)</f>
        <v>2500</v>
      </c>
      <c r="S816" s="18">
        <f>IFERROR(VLOOKUP($D816&amp;$C816,生产方式定位!$A$2:$E$38,3,FALSE)+VLOOKUP($E816&amp;$C816,生产方式定位!$F$3:$J$38,3,FALSE),0)</f>
        <v>210</v>
      </c>
      <c r="X816" s="18">
        <f>IFERROR(VLOOKUP($D816&amp;$C816,生产方式定位!$A$2:$E$38,5,FALSE)+VLOOKUP($E816&amp;$C816,生产方式定位!$F$3:$J$38,5,FALSE),"错误")</f>
        <v>2870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15%</v>
      </c>
      <c r="AC816" s="1">
        <f t="shared" si="197"/>
        <v>160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20" customHeight="1" x14ac:dyDescent="0.3">
      <c r="A817" s="5" t="s">
        <v>437</v>
      </c>
      <c r="C817" s="5">
        <v>1</v>
      </c>
      <c r="D817" s="21" t="s">
        <v>222</v>
      </c>
      <c r="E817" s="21" t="s">
        <v>225</v>
      </c>
      <c r="L817" s="5">
        <f>IFERROR(VLOOKUP($D817&amp;$C817,生产方式定位!$A$2:$E$38,2,FALSE)+VLOOKUP($E817&amp;$C817,生产方式定位!$F$3:$J$38,2,FALSE),0)</f>
        <v>600</v>
      </c>
      <c r="S817" s="5">
        <f>IFERROR(VLOOKUP($D817&amp;$C817,生产方式定位!$A$2:$E$38,3,FALSE)+VLOOKUP($E817&amp;$C817,生产方式定位!$F$3:$J$38,3,FALSE),0)</f>
        <v>150</v>
      </c>
      <c r="X817" s="5">
        <f>IFERROR(VLOOKUP($D817&amp;$C817,生产方式定位!$A$2:$E$38,5,FALSE)+VLOOKUP($E817&amp;$C817,生产方式定位!$F$3:$J$38,5,FALSE),"错误")</f>
        <v>788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>31%</v>
      </c>
      <c r="AC817" s="1">
        <f t="shared" si="197"/>
        <v>38</v>
      </c>
      <c r="AD817" s="35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20" customHeight="1" x14ac:dyDescent="0.3">
      <c r="A818" s="5" t="s">
        <v>437</v>
      </c>
      <c r="C818" s="5">
        <v>2</v>
      </c>
      <c r="D818" s="21" t="s">
        <v>222</v>
      </c>
      <c r="E818" s="21" t="s">
        <v>225</v>
      </c>
      <c r="L818" s="5">
        <f>IFERROR(VLOOKUP($D818&amp;$C818,生产方式定位!$A$2:$E$38,2,FALSE)+VLOOKUP($E818&amp;$C818,生产方式定位!$F$3:$J$38,2,FALSE),0)</f>
        <v>1450</v>
      </c>
      <c r="S818" s="5">
        <f>IFERROR(VLOOKUP($D818&amp;$C818,生产方式定位!$A$2:$E$38,3,FALSE)+VLOOKUP($E818&amp;$C818,生产方式定位!$F$3:$J$38,3,FALSE),0)</f>
        <v>180</v>
      </c>
      <c r="X818" s="5">
        <f>IFERROR(VLOOKUP($D818&amp;$C818,生产方式定位!$A$2:$E$38,5,FALSE)+VLOOKUP($E818&amp;$C818,生产方式定位!$F$3:$J$38,5,FALSE),"错误")</f>
        <v>1472</v>
      </c>
      <c r="Y818" s="24" t="str">
        <f t="shared" si="194"/>
        <v/>
      </c>
      <c r="Z818" s="34" t="str">
        <f t="shared" si="195"/>
        <v/>
      </c>
      <c r="AA818" s="34" t="str">
        <f t="shared" si="192"/>
        <v/>
      </c>
      <c r="AB818" s="25" t="str">
        <f t="shared" si="196"/>
        <v>2%</v>
      </c>
      <c r="AC818" s="1">
        <f t="shared" si="197"/>
        <v>-158</v>
      </c>
      <c r="AD818" s="35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spans="1:49" ht="20" customHeight="1" x14ac:dyDescent="0.3">
      <c r="A819" s="5" t="s">
        <v>437</v>
      </c>
      <c r="C819" s="5">
        <v>3</v>
      </c>
      <c r="D819" s="21" t="s">
        <v>222</v>
      </c>
      <c r="E819" s="21" t="s">
        <v>225</v>
      </c>
      <c r="L819" s="5">
        <f>IFERROR(VLOOKUP($D819&amp;$C819,生产方式定位!$A$2:$E$38,2,FALSE)+VLOOKUP($E819&amp;$C819,生产方式定位!$F$3:$J$38,2,FALSE),0)</f>
        <v>1800</v>
      </c>
      <c r="S819" s="5">
        <f>IFERROR(VLOOKUP($D819&amp;$C819,生产方式定位!$A$2:$E$38,3,FALSE)+VLOOKUP($E819&amp;$C819,生产方式定位!$F$3:$J$38,3,FALSE),0)</f>
        <v>190</v>
      </c>
      <c r="X819" s="5">
        <f>IFERROR(VLOOKUP($D819&amp;$C819,生产方式定位!$A$2:$E$38,5,FALSE)+VLOOKUP($E819&amp;$C819,生产方式定位!$F$3:$J$38,5,FALSE),"错误")</f>
        <v>1831</v>
      </c>
      <c r="Y819" s="24" t="str">
        <f t="shared" si="194"/>
        <v/>
      </c>
      <c r="Z819" s="34" t="str">
        <f t="shared" si="195"/>
        <v/>
      </c>
      <c r="AA819" s="34" t="str">
        <f t="shared" si="192"/>
        <v/>
      </c>
      <c r="AB819" s="25" t="str">
        <f t="shared" si="196"/>
        <v>2%</v>
      </c>
      <c r="AC819" s="1">
        <f t="shared" si="197"/>
        <v>-159</v>
      </c>
      <c r="AD819" s="35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spans="1:49" ht="20" customHeight="1" x14ac:dyDescent="0.3">
      <c r="A820" s="5" t="s">
        <v>437</v>
      </c>
      <c r="C820" s="5">
        <v>4</v>
      </c>
      <c r="D820" s="21" t="s">
        <v>222</v>
      </c>
      <c r="E820" s="21" t="s">
        <v>225</v>
      </c>
      <c r="L820" s="5">
        <f>IFERROR(VLOOKUP($D820&amp;$C820,生产方式定位!$A$2:$E$38,2,FALSE)+VLOOKUP($E820&amp;$C820,生产方式定位!$F$3:$J$38,2,FALSE),0)</f>
        <v>2150</v>
      </c>
      <c r="S820" s="5">
        <f>IFERROR(VLOOKUP($D820&amp;$C820,生产方式定位!$A$2:$E$38,3,FALSE)+VLOOKUP($E820&amp;$C820,生产方式定位!$F$3:$J$38,3,FALSE),0)</f>
        <v>200</v>
      </c>
      <c r="X820" s="5">
        <f>IFERROR(VLOOKUP($D820&amp;$C820,生产方式定位!$A$2:$E$38,5,FALSE)+VLOOKUP($E820&amp;$C820,生产方式定位!$F$3:$J$38,5,FALSE),"错误")</f>
        <v>2217</v>
      </c>
      <c r="Y820" s="24" t="str">
        <f t="shared" si="194"/>
        <v/>
      </c>
      <c r="Z820" s="34" t="str">
        <f t="shared" si="195"/>
        <v/>
      </c>
      <c r="AA820" s="34" t="str">
        <f t="shared" si="192"/>
        <v/>
      </c>
      <c r="AB820" s="25" t="str">
        <f t="shared" si="196"/>
        <v>3%</v>
      </c>
      <c r="AC820" s="1">
        <f t="shared" si="197"/>
        <v>-133</v>
      </c>
      <c r="AD820" s="35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spans="1:49" ht="20" customHeight="1" x14ac:dyDescent="0.3">
      <c r="A821" s="5" t="s">
        <v>437</v>
      </c>
      <c r="C821" s="5">
        <v>5</v>
      </c>
      <c r="D821" s="21" t="s">
        <v>222</v>
      </c>
      <c r="E821" s="21" t="s">
        <v>225</v>
      </c>
      <c r="L821" s="5">
        <f>IFERROR(VLOOKUP($D821&amp;$C821,生产方式定位!$A$2:$E$38,2,FALSE)+VLOOKUP($E821&amp;$C821,生产方式定位!$F$3:$J$38,2,FALSE),0)</f>
        <v>2500</v>
      </c>
      <c r="S821" s="5">
        <f>IFERROR(VLOOKUP($D821&amp;$C821,生产方式定位!$A$2:$E$38,3,FALSE)+VLOOKUP($E821&amp;$C821,生产方式定位!$F$3:$J$38,3,FALSE),0)</f>
        <v>210</v>
      </c>
      <c r="X821" s="5">
        <f>IFERROR(VLOOKUP($D821&amp;$C821,生产方式定位!$A$2:$E$38,5,FALSE)+VLOOKUP($E821&amp;$C821,生产方式定位!$F$3:$J$38,5,FALSE),"错误")</f>
        <v>2870</v>
      </c>
      <c r="Y821" s="24" t="str">
        <f t="shared" si="194"/>
        <v/>
      </c>
      <c r="Z821" s="34" t="str">
        <f t="shared" si="195"/>
        <v/>
      </c>
      <c r="AA821" s="34" t="str">
        <f t="shared" si="192"/>
        <v/>
      </c>
      <c r="AB821" s="25" t="str">
        <f t="shared" si="196"/>
        <v>15%</v>
      </c>
      <c r="AC821" s="1">
        <f t="shared" si="197"/>
        <v>160</v>
      </c>
      <c r="AD821" s="35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spans="1:49" ht="20" customHeight="1" x14ac:dyDescent="0.3">
      <c r="A822" s="18" t="s">
        <v>438</v>
      </c>
      <c r="C822" s="18">
        <v>1</v>
      </c>
      <c r="D822" s="21" t="s">
        <v>292</v>
      </c>
      <c r="E822" s="21" t="s">
        <v>226</v>
      </c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100</v>
      </c>
      <c r="X822" s="18">
        <f>IFERROR(VLOOKUP($D822&amp;$C822,生产方式定位!$A$2:$E$38,5,FALSE)+VLOOKUP($E822&amp;$C822,生产方式定位!$F$3:$J$38,5,FALSE),"错误")</f>
        <v>100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/>
      </c>
      <c r="AC822" s="1" t="str">
        <f t="shared" si="197"/>
        <v/>
      </c>
      <c r="AD822" s="36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20" customHeight="1" x14ac:dyDescent="0.3">
      <c r="A823" s="18" t="s">
        <v>438</v>
      </c>
      <c r="C823" s="18">
        <v>2</v>
      </c>
      <c r="D823" s="21" t="s">
        <v>292</v>
      </c>
      <c r="E823" s="21" t="s">
        <v>226</v>
      </c>
      <c r="L823" s="18">
        <f>IFERROR(VLOOKUP($D823&amp;$C823,生产方式定位!$A$2:$E$38,2,FALSE)+VLOOKUP($E823&amp;$C823,生产方式定位!$F$3:$J$38,2,FALSE),0)</f>
        <v>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100</v>
      </c>
      <c r="Y823" s="24" t="str">
        <f t="shared" si="194"/>
        <v/>
      </c>
      <c r="Z823" s="34" t="str">
        <f t="shared" si="195"/>
        <v/>
      </c>
      <c r="AA823" s="34" t="str">
        <f t="shared" si="192"/>
        <v/>
      </c>
      <c r="AB823" s="25" t="str">
        <f t="shared" si="196"/>
        <v/>
      </c>
      <c r="AC823" s="1" t="str">
        <f t="shared" si="197"/>
        <v/>
      </c>
      <c r="AD823" s="36">
        <f t="shared" si="193"/>
        <v>2</v>
      </c>
      <c r="AE823" t="str">
        <f t="shared" si="198"/>
        <v/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 t="str">
        <f>IFERROR(ROUND(L823*(G823/$AU823)/VLOOKUP(F823,商品!$A$4:$C$60,3,FALSE),0),"")</f>
        <v/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0</v>
      </c>
      <c r="AV823">
        <f t="shared" si="206"/>
        <v>0</v>
      </c>
      <c r="AW823">
        <f t="shared" si="207"/>
        <v>0</v>
      </c>
    </row>
    <row r="824" spans="1:49" ht="20" customHeight="1" x14ac:dyDescent="0.3">
      <c r="A824" s="18" t="s">
        <v>438</v>
      </c>
      <c r="C824" s="18">
        <v>3</v>
      </c>
      <c r="D824" s="21" t="s">
        <v>292</v>
      </c>
      <c r="E824" s="21" t="s">
        <v>226</v>
      </c>
      <c r="L824" s="18">
        <f>IFERROR(VLOOKUP($D824&amp;$C824,生产方式定位!$A$2:$E$38,2,FALSE)+VLOOKUP($E824&amp;$C824,生产方式定位!$F$3:$J$38,2,FALSE),0)</f>
        <v>0</v>
      </c>
      <c r="S824" s="18">
        <f>IFERROR(VLOOKUP($D824&amp;$C824,生产方式定位!$A$2:$E$38,3,FALSE)+VLOOKUP($E824&amp;$C824,生产方式定位!$F$3:$J$38,3,FALSE),0)</f>
        <v>100</v>
      </c>
      <c r="X824" s="18">
        <f>IFERROR(VLOOKUP($D824&amp;$C824,生产方式定位!$A$2:$E$38,5,FALSE)+VLOOKUP($E824&amp;$C824,生产方式定位!$F$3:$J$38,5,FALSE),"错误")</f>
        <v>100</v>
      </c>
      <c r="Y824" s="24" t="str">
        <f t="shared" si="194"/>
        <v/>
      </c>
      <c r="Z824" s="34" t="str">
        <f t="shared" si="195"/>
        <v/>
      </c>
      <c r="AA824" s="34" t="str">
        <f t="shared" si="192"/>
        <v/>
      </c>
      <c r="AB824" s="25" t="str">
        <f t="shared" si="196"/>
        <v/>
      </c>
      <c r="AC824" s="1" t="str">
        <f t="shared" si="197"/>
        <v/>
      </c>
      <c r="AD824" s="36">
        <f t="shared" si="193"/>
        <v>3</v>
      </c>
      <c r="AE824" t="str">
        <f t="shared" si="198"/>
        <v/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 t="str">
        <f>IFERROR(ROUND(L824*(G824/$AU824)/VLOOKUP(F824,商品!$A$4:$C$60,3,FALSE),0),"")</f>
        <v/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0</v>
      </c>
      <c r="AV824">
        <f t="shared" si="206"/>
        <v>0</v>
      </c>
      <c r="AW824">
        <f t="shared" si="207"/>
        <v>0</v>
      </c>
    </row>
    <row r="825" spans="1:49" ht="20" customHeight="1" x14ac:dyDescent="0.3">
      <c r="A825" s="18" t="s">
        <v>438</v>
      </c>
      <c r="C825" s="18">
        <v>4</v>
      </c>
      <c r="D825" s="21" t="s">
        <v>292</v>
      </c>
      <c r="E825" s="21" t="s">
        <v>226</v>
      </c>
      <c r="L825" s="18">
        <f>IFERROR(VLOOKUP($D825&amp;$C825,生产方式定位!$A$2:$E$38,2,FALSE)+VLOOKUP($E825&amp;$C825,生产方式定位!$F$3:$J$38,2,FALSE),0)</f>
        <v>0</v>
      </c>
      <c r="S825" s="18">
        <f>IFERROR(VLOOKUP($D825&amp;$C825,生产方式定位!$A$2:$E$38,3,FALSE)+VLOOKUP($E825&amp;$C825,生产方式定位!$F$3:$J$38,3,FALSE),0)</f>
        <v>100</v>
      </c>
      <c r="X825" s="18">
        <f>IFERROR(VLOOKUP($D825&amp;$C825,生产方式定位!$A$2:$E$38,5,FALSE)+VLOOKUP($E825&amp;$C825,生产方式定位!$F$3:$J$38,5,FALSE),"错误")</f>
        <v>100</v>
      </c>
      <c r="Y825" s="24" t="str">
        <f t="shared" si="194"/>
        <v/>
      </c>
      <c r="Z825" s="34" t="str">
        <f t="shared" si="195"/>
        <v/>
      </c>
      <c r="AA825" s="34" t="str">
        <f t="shared" si="192"/>
        <v/>
      </c>
      <c r="AB825" s="25" t="str">
        <f t="shared" si="196"/>
        <v/>
      </c>
      <c r="AC825" s="1" t="str">
        <f t="shared" si="197"/>
        <v/>
      </c>
      <c r="AD825" s="36">
        <f t="shared" si="193"/>
        <v>4</v>
      </c>
      <c r="AE825" t="str">
        <f t="shared" si="198"/>
        <v/>
      </c>
      <c r="AF825" t="str">
        <f t="shared" si="199"/>
        <v/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 t="str">
        <f>IFERROR(ROUND(L825*(G825/$AU825)/VLOOKUP(F825,商品!$A$4:$C$60,3,FALSE),0),"")</f>
        <v/>
      </c>
      <c r="AM825" t="str">
        <f>IFERROR(ROUND(L825*(I825/$AU825)/VLOOKUP(H825,商品!$A$4:$C$60,3,FALSE),0),"")</f>
        <v/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0</v>
      </c>
      <c r="AV825">
        <f t="shared" si="206"/>
        <v>0</v>
      </c>
      <c r="AW825">
        <f t="shared" si="207"/>
        <v>0</v>
      </c>
    </row>
    <row r="826" spans="1:49" ht="20" customHeight="1" x14ac:dyDescent="0.3">
      <c r="A826" s="18" t="s">
        <v>438</v>
      </c>
      <c r="C826" s="18">
        <v>5</v>
      </c>
      <c r="D826" s="21" t="s">
        <v>292</v>
      </c>
      <c r="E826" s="21" t="s">
        <v>226</v>
      </c>
      <c r="L826" s="18">
        <f>IFERROR(VLOOKUP($D826&amp;$C826,生产方式定位!$A$2:$E$38,2,FALSE)+VLOOKUP($E826&amp;$C826,生产方式定位!$F$3:$J$38,2,FALSE),0)</f>
        <v>0</v>
      </c>
      <c r="S826" s="18">
        <f>IFERROR(VLOOKUP($D826&amp;$C826,生产方式定位!$A$2:$E$38,3,FALSE)+VLOOKUP($E826&amp;$C826,生产方式定位!$F$3:$J$38,3,FALSE),0)</f>
        <v>100</v>
      </c>
      <c r="X826" s="18">
        <f>IFERROR(VLOOKUP($D826&amp;$C826,生产方式定位!$A$2:$E$38,5,FALSE)+VLOOKUP($E826&amp;$C826,生产方式定位!$F$3:$J$38,5,FALSE),"错误")</f>
        <v>100</v>
      </c>
      <c r="Y826" s="24" t="str">
        <f t="shared" si="194"/>
        <v/>
      </c>
      <c r="Z826" s="34" t="str">
        <f t="shared" si="195"/>
        <v/>
      </c>
      <c r="AA826" s="34" t="str">
        <f t="shared" si="192"/>
        <v/>
      </c>
      <c r="AB826" s="25" t="str">
        <f t="shared" si="196"/>
        <v/>
      </c>
      <c r="AC826" s="1" t="str">
        <f t="shared" si="197"/>
        <v/>
      </c>
      <c r="AD826" s="36">
        <f t="shared" si="193"/>
        <v>5</v>
      </c>
      <c r="AE826" t="str">
        <f t="shared" si="198"/>
        <v/>
      </c>
      <c r="AF826" t="str">
        <f t="shared" si="199"/>
        <v/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 t="str">
        <f>IFERROR(ROUND(L826*(G826/$AU826)/VLOOKUP(F826,商品!$A$4:$C$60,3,FALSE),0),"")</f>
        <v/>
      </c>
      <c r="AM826" t="str">
        <f>IFERROR(ROUND(L826*(I826/$AU826)/VLOOKUP(H826,商品!$A$4:$C$60,3,FALSE),0),"")</f>
        <v/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0</v>
      </c>
      <c r="AV826">
        <f t="shared" si="206"/>
        <v>0</v>
      </c>
      <c r="AW826">
        <f t="shared" si="207"/>
        <v>0</v>
      </c>
    </row>
    <row r="827" spans="1:49" ht="20" customHeight="1" x14ac:dyDescent="0.3">
      <c r="A827" s="18" t="s">
        <v>438</v>
      </c>
      <c r="C827" s="18">
        <v>6</v>
      </c>
      <c r="D827" s="21" t="s">
        <v>292</v>
      </c>
      <c r="E827" s="21" t="s">
        <v>226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5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20" customHeight="1" x14ac:dyDescent="0.3">
      <c r="A828" s="18" t="s">
        <v>438</v>
      </c>
      <c r="C828" s="18">
        <v>7</v>
      </c>
      <c r="D828" s="21" t="s">
        <v>292</v>
      </c>
      <c r="E828" s="21" t="s">
        <v>226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24" t="str">
        <f t="shared" si="194"/>
        <v/>
      </c>
      <c r="Z828" s="34" t="str">
        <f t="shared" si="195"/>
        <v/>
      </c>
      <c r="AA828" s="34" t="str">
        <f t="shared" si="192"/>
        <v/>
      </c>
      <c r="AB828" s="25" t="str">
        <f t="shared" si="196"/>
        <v/>
      </c>
      <c r="AC828" s="1" t="str">
        <f t="shared" si="197"/>
        <v/>
      </c>
      <c r="AD828" s="35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spans="1:49" ht="20" customHeight="1" x14ac:dyDescent="0.3">
      <c r="A829" s="18" t="s">
        <v>438</v>
      </c>
      <c r="C829" s="18">
        <v>8</v>
      </c>
      <c r="D829" s="21" t="s">
        <v>292</v>
      </c>
      <c r="E829" s="21" t="s">
        <v>226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24" t="str">
        <f t="shared" si="194"/>
        <v/>
      </c>
      <c r="Z829" s="34" t="str">
        <f t="shared" si="195"/>
        <v/>
      </c>
      <c r="AA829" s="34" t="str">
        <f t="shared" si="192"/>
        <v/>
      </c>
      <c r="AB829" s="25" t="str">
        <f t="shared" si="196"/>
        <v/>
      </c>
      <c r="AC829" s="1" t="str">
        <f t="shared" si="197"/>
        <v/>
      </c>
      <c r="AD829" s="35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spans="1:49" ht="20" customHeight="1" x14ac:dyDescent="0.3">
      <c r="A830" s="5"/>
      <c r="C830" s="5">
        <v>1</v>
      </c>
      <c r="D830" s="21" t="s">
        <v>222</v>
      </c>
      <c r="E830" s="21" t="s">
        <v>224</v>
      </c>
      <c r="L830" s="5">
        <f>IFERROR(VLOOKUP($D830&amp;$C830,生产方式定位!$A$2:$E$38,2,FALSE)+VLOOKUP($E830&amp;$C830,生产方式定位!$F$3:$J$38,2,FALSE),0)</f>
        <v>600</v>
      </c>
      <c r="S830" s="5">
        <f>IFERROR(VLOOKUP($D830&amp;$C830,生产方式定位!$A$2:$E$38,3,FALSE)+VLOOKUP($E830&amp;$C830,生产方式定位!$F$3:$J$38,3,FALSE),0)</f>
        <v>150</v>
      </c>
      <c r="X830" s="5">
        <f>IFERROR(VLOOKUP($D830&amp;$C830,生产方式定位!$A$2:$E$38,5,FALSE)+VLOOKUP($E830&amp;$C830,生产方式定位!$F$3:$J$38,5,FALSE),"错误")</f>
        <v>788</v>
      </c>
      <c r="Y830" s="24" t="str">
        <f t="shared" si="194"/>
        <v/>
      </c>
      <c r="Z830" s="34" t="str">
        <f t="shared" si="195"/>
        <v/>
      </c>
      <c r="AA830" s="34" t="str">
        <f t="shared" si="192"/>
        <v/>
      </c>
      <c r="AB830" s="25" t="str">
        <f t="shared" si="196"/>
        <v>31%</v>
      </c>
      <c r="AC830" s="1">
        <f t="shared" si="197"/>
        <v>38</v>
      </c>
      <c r="AD830" s="35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spans="1:49" ht="20" customHeight="1" x14ac:dyDescent="0.3">
      <c r="A831" s="5"/>
      <c r="C831" s="5">
        <v>2</v>
      </c>
      <c r="D831" s="21" t="s">
        <v>222</v>
      </c>
      <c r="E831" s="21" t="s">
        <v>224</v>
      </c>
      <c r="L831" s="5">
        <f>IFERROR(VLOOKUP($D831&amp;$C831,生产方式定位!$A$2:$E$38,2,FALSE)+VLOOKUP($E831&amp;$C831,生产方式定位!$F$3:$J$38,2,FALSE),0)</f>
        <v>1200</v>
      </c>
      <c r="S831" s="5">
        <f>IFERROR(VLOOKUP($D831&amp;$C831,生产方式定位!$A$2:$E$38,3,FALSE)+VLOOKUP($E831&amp;$C831,生产方式定位!$F$3:$J$38,3,FALSE),0)</f>
        <v>140</v>
      </c>
      <c r="X831" s="5">
        <f>IFERROR(VLOOKUP($D831&amp;$C831,生产方式定位!$A$2:$E$38,5,FALSE)+VLOOKUP($E831&amp;$C831,生产方式定位!$F$3:$J$38,5,FALSE),"错误")</f>
        <v>1390</v>
      </c>
      <c r="Y831" s="24" t="str">
        <f t="shared" si="194"/>
        <v/>
      </c>
      <c r="Z831" s="34" t="str">
        <f t="shared" si="195"/>
        <v/>
      </c>
      <c r="AA831" s="34" t="str">
        <f t="shared" si="192"/>
        <v/>
      </c>
      <c r="AB831" s="25" t="str">
        <f t="shared" si="196"/>
        <v>16%</v>
      </c>
      <c r="AC831" s="1">
        <f t="shared" si="197"/>
        <v>50</v>
      </c>
      <c r="AD831" s="35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spans="1:49" ht="20" customHeight="1" x14ac:dyDescent="0.3">
      <c r="A832" s="5"/>
      <c r="C832" s="5">
        <v>3</v>
      </c>
      <c r="D832" s="21" t="s">
        <v>222</v>
      </c>
      <c r="E832" s="21" t="s">
        <v>224</v>
      </c>
      <c r="L832" s="5">
        <f>IFERROR(VLOOKUP($D832&amp;$C832,生产方式定位!$A$2:$E$38,2,FALSE)+VLOOKUP($E832&amp;$C832,生产方式定位!$F$3:$J$38,2,FALSE),0)</f>
        <v>1425</v>
      </c>
      <c r="S832" s="5">
        <f>IFERROR(VLOOKUP($D832&amp;$C832,生产方式定位!$A$2:$E$38,3,FALSE)+VLOOKUP($E832&amp;$C832,生产方式定位!$F$3:$J$38,3,FALSE),0)</f>
        <v>130</v>
      </c>
      <c r="X832" s="5">
        <f>IFERROR(VLOOKUP($D832&amp;$C832,生产方式定位!$A$2:$E$38,5,FALSE)+VLOOKUP($E832&amp;$C832,生产方式定位!$F$3:$J$38,5,FALSE),"错误")</f>
        <v>1618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>14%</v>
      </c>
      <c r="AC832" s="1">
        <f t="shared" si="197"/>
        <v>63</v>
      </c>
      <c r="AD832" s="36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20" customHeight="1" x14ac:dyDescent="0.3">
      <c r="A833" s="5"/>
      <c r="C833" s="5">
        <v>4</v>
      </c>
      <c r="D833" s="21" t="s">
        <v>222</v>
      </c>
      <c r="E833" s="21" t="s">
        <v>224</v>
      </c>
      <c r="L833" s="5">
        <f>IFERROR(VLOOKUP($D833&amp;$C833,生产方式定位!$A$2:$E$38,2,FALSE)+VLOOKUP($E833&amp;$C833,生产方式定位!$F$3:$J$38,2,FALSE),0)</f>
        <v>1650</v>
      </c>
      <c r="S833" s="5">
        <f>IFERROR(VLOOKUP($D833&amp;$C833,生产方式定位!$A$2:$E$38,3,FALSE)+VLOOKUP($E833&amp;$C833,生产方式定位!$F$3:$J$38,3,FALSE),0)</f>
        <v>120</v>
      </c>
      <c r="X833" s="5">
        <f>IFERROR(VLOOKUP($D833&amp;$C833,生产方式定位!$A$2:$E$38,5,FALSE)+VLOOKUP($E833&amp;$C833,生产方式定位!$F$3:$J$38,5,FALSE),"错误")</f>
        <v>1845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>12%</v>
      </c>
      <c r="AC833" s="1">
        <f t="shared" si="197"/>
        <v>75</v>
      </c>
      <c r="AD833" s="36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20" customHeight="1" x14ac:dyDescent="0.3">
      <c r="A834" s="5"/>
      <c r="C834" s="5">
        <v>5</v>
      </c>
      <c r="D834" s="21" t="s">
        <v>222</v>
      </c>
      <c r="E834" s="21" t="s">
        <v>224</v>
      </c>
      <c r="L834" s="5">
        <f>IFERROR(VLOOKUP($D834&amp;$C834,生产方式定位!$A$2:$E$38,2,FALSE)+VLOOKUP($E834&amp;$C834,生产方式定位!$F$3:$J$38,2,FALSE),0)</f>
        <v>1875</v>
      </c>
      <c r="S834" s="5">
        <f>IFERROR(VLOOKUP($D834&amp;$C834,生产方式定位!$A$2:$E$38,3,FALSE)+VLOOKUP($E834&amp;$C834,生产方式定位!$F$3:$J$38,3,FALSE),0)</f>
        <v>110</v>
      </c>
      <c r="X834" s="5">
        <f>IFERROR(VLOOKUP($D834&amp;$C834,生产方式定位!$A$2:$E$38,5,FALSE)+VLOOKUP($E834&amp;$C834,生产方式定位!$F$3:$J$38,5,FALSE),"错误")</f>
        <v>2073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>11%</v>
      </c>
      <c r="AC834" s="1">
        <f t="shared" si="197"/>
        <v>88</v>
      </c>
      <c r="AD834" s="36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20" customHeight="1" x14ac:dyDescent="0.3">
      <c r="A835" s="18"/>
      <c r="C835" s="18">
        <v>1</v>
      </c>
      <c r="D835" s="21" t="s">
        <v>222</v>
      </c>
      <c r="E835" s="21" t="s">
        <v>225</v>
      </c>
      <c r="L835" s="18">
        <f>IFERROR(VLOOKUP($D835&amp;$C835,生产方式定位!$A$2:$E$38,2,FALSE)+VLOOKUP($E835&amp;$C835,生产方式定位!$F$3:$J$38,2,FALSE),0)</f>
        <v>600</v>
      </c>
      <c r="S835" s="18">
        <f>IFERROR(VLOOKUP($D835&amp;$C835,生产方式定位!$A$2:$E$38,3,FALSE)+VLOOKUP($E835&amp;$C835,生产方式定位!$F$3:$J$38,3,FALSE),0)</f>
        <v>150</v>
      </c>
      <c r="X835" s="18">
        <f>IFERROR(VLOOKUP($D835&amp;$C835,生产方式定位!$A$2:$E$38,5,FALSE)+VLOOKUP($E835&amp;$C835,生产方式定位!$F$3:$J$38,5,FALSE),"错误")</f>
        <v>788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>31%</v>
      </c>
      <c r="AC835" s="1">
        <f t="shared" si="197"/>
        <v>38</v>
      </c>
      <c r="AD835" s="36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20" customHeight="1" x14ac:dyDescent="0.3">
      <c r="A836" s="18"/>
      <c r="C836" s="18">
        <v>2</v>
      </c>
      <c r="D836" s="21" t="s">
        <v>222</v>
      </c>
      <c r="E836" s="21" t="s">
        <v>225</v>
      </c>
      <c r="L836" s="18">
        <f>IFERROR(VLOOKUP($D836&amp;$C836,生产方式定位!$A$2:$E$38,2,FALSE)+VLOOKUP($E836&amp;$C836,生产方式定位!$F$3:$J$38,2,FALSE),0)</f>
        <v>1450</v>
      </c>
      <c r="S836" s="18">
        <f>IFERROR(VLOOKUP($D836&amp;$C836,生产方式定位!$A$2:$E$38,3,FALSE)+VLOOKUP($E836&amp;$C836,生产方式定位!$F$3:$J$38,3,FALSE),0)</f>
        <v>180</v>
      </c>
      <c r="X836" s="18">
        <f>IFERROR(VLOOKUP($D836&amp;$C836,生产方式定位!$A$2:$E$38,5,FALSE)+VLOOKUP($E836&amp;$C836,生产方式定位!$F$3:$J$38,5,FALSE),"错误")</f>
        <v>1472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2%</v>
      </c>
      <c r="AC836" s="1">
        <f t="shared" si="197"/>
        <v>-158</v>
      </c>
      <c r="AD836" s="36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20" customHeight="1" x14ac:dyDescent="0.3">
      <c r="A837" s="18"/>
      <c r="C837" s="18">
        <v>3</v>
      </c>
      <c r="D837" s="21" t="s">
        <v>222</v>
      </c>
      <c r="E837" s="21" t="s">
        <v>225</v>
      </c>
      <c r="L837" s="18">
        <f>IFERROR(VLOOKUP($D837&amp;$C837,生产方式定位!$A$2:$E$38,2,FALSE)+VLOOKUP($E837&amp;$C837,生产方式定位!$F$3:$J$38,2,FALSE),0)</f>
        <v>1800</v>
      </c>
      <c r="S837" s="18">
        <f>IFERROR(VLOOKUP($D837&amp;$C837,生产方式定位!$A$2:$E$38,3,FALSE)+VLOOKUP($E837&amp;$C837,生产方式定位!$F$3:$J$38,3,FALSE),0)</f>
        <v>190</v>
      </c>
      <c r="X837" s="18">
        <f>IFERROR(VLOOKUP($D837&amp;$C837,生产方式定位!$A$2:$E$38,5,FALSE)+VLOOKUP($E837&amp;$C837,生产方式定位!$F$3:$J$38,5,FALSE),"错误")</f>
        <v>1831</v>
      </c>
      <c r="Y837" s="24" t="str">
        <f t="shared" si="194"/>
        <v/>
      </c>
      <c r="Z837" s="34" t="str">
        <f t="shared" si="195"/>
        <v/>
      </c>
      <c r="AA837" s="34" t="str">
        <f t="shared" ref="AA837:AA900" si="208">IF(AJ837="","",AJ837)&amp;IF(AK837="","",","&amp;AK837)</f>
        <v/>
      </c>
      <c r="AB837" s="25" t="str">
        <f t="shared" si="196"/>
        <v>2%</v>
      </c>
      <c r="AC837" s="1">
        <f t="shared" si="197"/>
        <v>-159</v>
      </c>
      <c r="AD837" s="36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20" customHeight="1" x14ac:dyDescent="0.3">
      <c r="A838" s="18"/>
      <c r="C838" s="18">
        <v>4</v>
      </c>
      <c r="D838" s="21" t="s">
        <v>222</v>
      </c>
      <c r="E838" s="21" t="s">
        <v>225</v>
      </c>
      <c r="L838" s="18">
        <f>IFERROR(VLOOKUP($D838&amp;$C838,生产方式定位!$A$2:$E$38,2,FALSE)+VLOOKUP($E838&amp;$C838,生产方式定位!$F$3:$J$38,2,FALSE),0)</f>
        <v>2150</v>
      </c>
      <c r="S838" s="18">
        <f>IFERROR(VLOOKUP($D838&amp;$C838,生产方式定位!$A$2:$E$38,3,FALSE)+VLOOKUP($E838&amp;$C838,生产方式定位!$F$3:$J$38,3,FALSE),0)</f>
        <v>200</v>
      </c>
      <c r="X838" s="18">
        <f>IFERROR(VLOOKUP($D838&amp;$C838,生产方式定位!$A$2:$E$38,5,FALSE)+VLOOKUP($E838&amp;$C838,生产方式定位!$F$3:$J$38,5,FALSE),"错误")</f>
        <v>2217</v>
      </c>
      <c r="Y838" s="24" t="str">
        <f t="shared" ref="Y838:Y901" si="210">IF(AE838="","",AE838)&amp;IF(AF838="","",","&amp;AF838)&amp;IF(AN838=0,"",",运力*"&amp;AN838)&amp;IF(AO838=0,"",",交易*"&amp;AO838)</f>
        <v/>
      </c>
      <c r="Z838" s="34" t="str">
        <f t="shared" ref="Z838:Z901" si="211">IF(AG838="","",AG838)&amp;IF(AH838="","",","&amp;AH838)&amp;IF(AI838="","",","&amp;AI838)</f>
        <v/>
      </c>
      <c r="AA838" s="34" t="str">
        <f t="shared" si="208"/>
        <v/>
      </c>
      <c r="AB838" s="25" t="str">
        <f t="shared" ref="AB838:AB901" si="212">IFERROR(ROUND(((X838/L838)-1)*100,0)&amp;"%","")</f>
        <v>3%</v>
      </c>
      <c r="AC838" s="1">
        <f t="shared" ref="AC838:AC901" si="213">IF(X838-S838-L838=0,"",X838-S838-L838)</f>
        <v>-133</v>
      </c>
      <c r="AD838" s="36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spans="1:49" ht="20" customHeight="1" x14ac:dyDescent="0.3">
      <c r="A839" s="18"/>
      <c r="C839" s="18">
        <v>5</v>
      </c>
      <c r="D839" s="21" t="s">
        <v>222</v>
      </c>
      <c r="E839" s="21" t="s">
        <v>225</v>
      </c>
      <c r="L839" s="18">
        <f>IFERROR(VLOOKUP($D839&amp;$C839,生产方式定位!$A$2:$E$38,2,FALSE)+VLOOKUP($E839&amp;$C839,生产方式定位!$F$3:$J$38,2,FALSE),0)</f>
        <v>2500</v>
      </c>
      <c r="S839" s="18">
        <f>IFERROR(VLOOKUP($D839&amp;$C839,生产方式定位!$A$2:$E$38,3,FALSE)+VLOOKUP($E839&amp;$C839,生产方式定位!$F$3:$J$38,3,FALSE),0)</f>
        <v>210</v>
      </c>
      <c r="X839" s="18">
        <f>IFERROR(VLOOKUP($D839&amp;$C839,生产方式定位!$A$2:$E$38,5,FALSE)+VLOOKUP($E839&amp;$C839,生产方式定位!$F$3:$J$38,5,FALSE),"错误")</f>
        <v>2870</v>
      </c>
      <c r="Y839" s="24" t="str">
        <f t="shared" si="210"/>
        <v/>
      </c>
      <c r="Z839" s="34" t="str">
        <f t="shared" si="211"/>
        <v/>
      </c>
      <c r="AA839" s="34" t="str">
        <f t="shared" si="208"/>
        <v/>
      </c>
      <c r="AB839" s="25" t="str">
        <f t="shared" si="212"/>
        <v>15%</v>
      </c>
      <c r="AC839" s="1">
        <f t="shared" si="213"/>
        <v>160</v>
      </c>
      <c r="AD839" s="36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20" customHeight="1" x14ac:dyDescent="0.3">
      <c r="A840" s="5"/>
      <c r="C840" s="5">
        <v>1</v>
      </c>
      <c r="D840" s="21" t="s">
        <v>222</v>
      </c>
      <c r="E840" s="21" t="s">
        <v>225</v>
      </c>
      <c r="L840" s="5">
        <f>IFERROR(VLOOKUP($D840&amp;$C840,生产方式定位!$A$2:$E$38,2,FALSE)+VLOOKUP($E840&amp;$C840,生产方式定位!$F$3:$J$38,2,FALSE),0)</f>
        <v>600</v>
      </c>
      <c r="S840" s="5">
        <f>IFERROR(VLOOKUP($D840&amp;$C840,生产方式定位!$A$2:$E$38,3,FALSE)+VLOOKUP($E840&amp;$C840,生产方式定位!$F$3:$J$38,3,FALSE),0)</f>
        <v>150</v>
      </c>
      <c r="X840" s="5">
        <f>IFERROR(VLOOKUP($D840&amp;$C840,生产方式定位!$A$2:$E$38,5,FALSE)+VLOOKUP($E840&amp;$C840,生产方式定位!$F$3:$J$38,5,FALSE),"错误")</f>
        <v>788</v>
      </c>
      <c r="Y840" s="24" t="str">
        <f t="shared" si="210"/>
        <v/>
      </c>
      <c r="Z840" s="34" t="str">
        <f t="shared" si="211"/>
        <v/>
      </c>
      <c r="AA840" s="34" t="str">
        <f t="shared" si="208"/>
        <v/>
      </c>
      <c r="AB840" s="25" t="str">
        <f t="shared" si="212"/>
        <v>31%</v>
      </c>
      <c r="AC840" s="1">
        <f t="shared" si="213"/>
        <v>38</v>
      </c>
      <c r="AD840" s="35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20" customHeight="1" x14ac:dyDescent="0.3">
      <c r="A841" s="5"/>
      <c r="C841" s="5">
        <v>2</v>
      </c>
      <c r="D841" s="21" t="s">
        <v>222</v>
      </c>
      <c r="E841" s="21" t="s">
        <v>225</v>
      </c>
      <c r="L841" s="5">
        <f>IFERROR(VLOOKUP($D841&amp;$C841,生产方式定位!$A$2:$E$38,2,FALSE)+VLOOKUP($E841&amp;$C841,生产方式定位!$F$3:$J$38,2,FALSE),0)</f>
        <v>1450</v>
      </c>
      <c r="S841" s="5">
        <f>IFERROR(VLOOKUP($D841&amp;$C841,生产方式定位!$A$2:$E$38,3,FALSE)+VLOOKUP($E841&amp;$C841,生产方式定位!$F$3:$J$38,3,FALSE),0)</f>
        <v>180</v>
      </c>
      <c r="X841" s="5">
        <f>IFERROR(VLOOKUP($D841&amp;$C841,生产方式定位!$A$2:$E$38,5,FALSE)+VLOOKUP($E841&amp;$C841,生产方式定位!$F$3:$J$38,5,FALSE),"错误")</f>
        <v>1472</v>
      </c>
      <c r="Y841" s="24" t="str">
        <f t="shared" si="210"/>
        <v/>
      </c>
      <c r="Z841" s="34" t="str">
        <f t="shared" si="211"/>
        <v/>
      </c>
      <c r="AA841" s="34" t="str">
        <f t="shared" si="208"/>
        <v/>
      </c>
      <c r="AB841" s="25" t="str">
        <f t="shared" si="212"/>
        <v>2%</v>
      </c>
      <c r="AC841" s="1">
        <f t="shared" si="213"/>
        <v>-158</v>
      </c>
      <c r="AD841" s="35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20" customHeight="1" x14ac:dyDescent="0.3">
      <c r="A842" s="5"/>
      <c r="C842" s="5">
        <v>3</v>
      </c>
      <c r="D842" s="21" t="s">
        <v>222</v>
      </c>
      <c r="E842" s="21" t="s">
        <v>225</v>
      </c>
      <c r="L842" s="5">
        <f>IFERROR(VLOOKUP($D842&amp;$C842,生产方式定位!$A$2:$E$38,2,FALSE)+VLOOKUP($E842&amp;$C842,生产方式定位!$F$3:$J$38,2,FALSE),0)</f>
        <v>1800</v>
      </c>
      <c r="S842" s="5">
        <f>IFERROR(VLOOKUP($D842&amp;$C842,生产方式定位!$A$2:$E$38,3,FALSE)+VLOOKUP($E842&amp;$C842,生产方式定位!$F$3:$J$38,3,FALSE),0)</f>
        <v>190</v>
      </c>
      <c r="X842" s="5">
        <f>IFERROR(VLOOKUP($D842&amp;$C842,生产方式定位!$A$2:$E$38,5,FALSE)+VLOOKUP($E842&amp;$C842,生产方式定位!$F$3:$J$38,5,FALSE),"错误")</f>
        <v>1831</v>
      </c>
      <c r="Y842" s="24" t="str">
        <f t="shared" si="210"/>
        <v/>
      </c>
      <c r="Z842" s="34" t="str">
        <f t="shared" si="211"/>
        <v/>
      </c>
      <c r="AA842" s="34" t="str">
        <f t="shared" si="208"/>
        <v/>
      </c>
      <c r="AB842" s="25" t="str">
        <f t="shared" si="212"/>
        <v>2%</v>
      </c>
      <c r="AC842" s="1">
        <f t="shared" si="213"/>
        <v>-159</v>
      </c>
      <c r="AD842" s="35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20" customHeight="1" x14ac:dyDescent="0.3">
      <c r="A843" s="5"/>
      <c r="C843" s="5">
        <v>4</v>
      </c>
      <c r="D843" s="21" t="s">
        <v>222</v>
      </c>
      <c r="E843" s="21" t="s">
        <v>225</v>
      </c>
      <c r="L843" s="5">
        <f>IFERROR(VLOOKUP($D843&amp;$C843,生产方式定位!$A$2:$E$38,2,FALSE)+VLOOKUP($E843&amp;$C843,生产方式定位!$F$3:$J$38,2,FALSE),0)</f>
        <v>2150</v>
      </c>
      <c r="S843" s="5">
        <f>IFERROR(VLOOKUP($D843&amp;$C843,生产方式定位!$A$2:$E$38,3,FALSE)+VLOOKUP($E843&amp;$C843,生产方式定位!$F$3:$J$38,3,FALSE),0)</f>
        <v>200</v>
      </c>
      <c r="X843" s="5">
        <f>IFERROR(VLOOKUP($D843&amp;$C843,生产方式定位!$A$2:$E$38,5,FALSE)+VLOOKUP($E843&amp;$C843,生产方式定位!$F$3:$J$38,5,FALSE),"错误")</f>
        <v>2217</v>
      </c>
      <c r="Y843" s="24" t="str">
        <f t="shared" si="210"/>
        <v/>
      </c>
      <c r="Z843" s="34" t="str">
        <f t="shared" si="211"/>
        <v/>
      </c>
      <c r="AA843" s="34" t="str">
        <f t="shared" si="208"/>
        <v/>
      </c>
      <c r="AB843" s="25" t="str">
        <f t="shared" si="212"/>
        <v>3%</v>
      </c>
      <c r="AC843" s="1">
        <f t="shared" si="213"/>
        <v>-133</v>
      </c>
      <c r="AD843" s="35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20" customHeight="1" x14ac:dyDescent="0.3">
      <c r="A844" s="5"/>
      <c r="C844" s="5">
        <v>5</v>
      </c>
      <c r="D844" s="21" t="s">
        <v>222</v>
      </c>
      <c r="E844" s="21" t="s">
        <v>225</v>
      </c>
      <c r="L844" s="5">
        <f>IFERROR(VLOOKUP($D844&amp;$C844,生产方式定位!$A$2:$E$38,2,FALSE)+VLOOKUP($E844&amp;$C844,生产方式定位!$F$3:$J$38,2,FALSE),0)</f>
        <v>2500</v>
      </c>
      <c r="S844" s="5">
        <f>IFERROR(VLOOKUP($D844&amp;$C844,生产方式定位!$A$2:$E$38,3,FALSE)+VLOOKUP($E844&amp;$C844,生产方式定位!$F$3:$J$38,3,FALSE),0)</f>
        <v>210</v>
      </c>
      <c r="X844" s="5">
        <f>IFERROR(VLOOKUP($D844&amp;$C844,生产方式定位!$A$2:$E$38,5,FALSE)+VLOOKUP($E844&amp;$C844,生产方式定位!$F$3:$J$38,5,FALSE),"错误")</f>
        <v>2870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>15%</v>
      </c>
      <c r="AC844" s="1">
        <f t="shared" si="213"/>
        <v>160</v>
      </c>
      <c r="AD844" s="35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20" customHeight="1" x14ac:dyDescent="0.3">
      <c r="A845" s="18"/>
      <c r="C845" s="18">
        <v>1</v>
      </c>
      <c r="D845" s="21" t="s">
        <v>292</v>
      </c>
      <c r="E845" s="21" t="s">
        <v>226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str">
        <f t="shared" si="213"/>
        <v/>
      </c>
      <c r="AD845" s="36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20" customHeight="1" x14ac:dyDescent="0.3">
      <c r="A846" s="18"/>
      <c r="C846" s="18">
        <v>2</v>
      </c>
      <c r="D846" s="21" t="s">
        <v>292</v>
      </c>
      <c r="E846" s="21" t="s">
        <v>226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str">
        <f t="shared" si="213"/>
        <v/>
      </c>
      <c r="AD846" s="36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20" customHeight="1" x14ac:dyDescent="0.3">
      <c r="A847" s="18"/>
      <c r="C847" s="18">
        <v>3</v>
      </c>
      <c r="D847" s="21" t="s">
        <v>292</v>
      </c>
      <c r="E847" s="21" t="s">
        <v>226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str">
        <f t="shared" si="213"/>
        <v/>
      </c>
      <c r="AD847" s="36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20" customHeight="1" x14ac:dyDescent="0.3">
      <c r="A848" s="18"/>
      <c r="C848" s="18">
        <v>4</v>
      </c>
      <c r="D848" s="21" t="s">
        <v>292</v>
      </c>
      <c r="E848" s="21" t="s">
        <v>226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str">
        <f t="shared" si="213"/>
        <v/>
      </c>
      <c r="AD848" s="36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20" customHeight="1" x14ac:dyDescent="0.3">
      <c r="A849" s="18"/>
      <c r="C849" s="18">
        <v>5</v>
      </c>
      <c r="D849" s="21" t="s">
        <v>292</v>
      </c>
      <c r="E849" s="21" t="s">
        <v>226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str">
        <f t="shared" si="213"/>
        <v/>
      </c>
      <c r="AD849" s="36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20" customHeight="1" x14ac:dyDescent="0.3">
      <c r="A850" s="18"/>
      <c r="C850" s="18">
        <v>6</v>
      </c>
      <c r="D850" s="21" t="s">
        <v>292</v>
      </c>
      <c r="E850" s="21" t="s">
        <v>226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5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20" customHeight="1" x14ac:dyDescent="0.3">
      <c r="A851" s="18"/>
      <c r="C851" s="18">
        <v>7</v>
      </c>
      <c r="D851" s="21" t="s">
        <v>292</v>
      </c>
      <c r="E851" s="21" t="s">
        <v>226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5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20" customHeight="1" x14ac:dyDescent="0.3">
      <c r="A852" s="18"/>
      <c r="C852" s="18">
        <v>8</v>
      </c>
      <c r="D852" s="21" t="s">
        <v>292</v>
      </c>
      <c r="E852" s="21" t="s">
        <v>226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5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20" customHeight="1" x14ac:dyDescent="0.3">
      <c r="A853" s="5" t="s">
        <v>444</v>
      </c>
      <c r="C853" s="5">
        <v>1</v>
      </c>
      <c r="D853" s="21" t="s">
        <v>222</v>
      </c>
      <c r="E853" s="21" t="s">
        <v>224</v>
      </c>
      <c r="L853" s="5">
        <f>IFERROR(VLOOKUP($D853&amp;$C853,生产方式定位!$A$2:$E$38,2,FALSE)+VLOOKUP($E853&amp;$C853,生产方式定位!$F$3:$J$38,2,FALSE),0)</f>
        <v>600</v>
      </c>
      <c r="S853" s="5">
        <f>IFERROR(VLOOKUP($D853&amp;$C853,生产方式定位!$A$2:$E$38,3,FALSE)+VLOOKUP($E853&amp;$C853,生产方式定位!$F$3:$J$38,3,FALSE),0)</f>
        <v>150</v>
      </c>
      <c r="X853" s="5">
        <f>IFERROR(VLOOKUP($D853&amp;$C853,生产方式定位!$A$2:$E$38,5,FALSE)+VLOOKUP($E853&amp;$C853,生产方式定位!$F$3:$J$38,5,FALSE),"错误")</f>
        <v>788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>31%</v>
      </c>
      <c r="AC853" s="1">
        <f t="shared" si="213"/>
        <v>38</v>
      </c>
      <c r="AD853" s="35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20" customHeight="1" x14ac:dyDescent="0.3">
      <c r="A854" s="5" t="s">
        <v>444</v>
      </c>
      <c r="C854" s="5">
        <v>2</v>
      </c>
      <c r="D854" s="21" t="s">
        <v>222</v>
      </c>
      <c r="E854" s="21" t="s">
        <v>224</v>
      </c>
      <c r="L854" s="5">
        <f>IFERROR(VLOOKUP($D854&amp;$C854,生产方式定位!$A$2:$E$38,2,FALSE)+VLOOKUP($E854&amp;$C854,生产方式定位!$F$3:$J$38,2,FALSE),0)</f>
        <v>1200</v>
      </c>
      <c r="S854" s="5">
        <f>IFERROR(VLOOKUP($D854&amp;$C854,生产方式定位!$A$2:$E$38,3,FALSE)+VLOOKUP($E854&amp;$C854,生产方式定位!$F$3:$J$38,3,FALSE),0)</f>
        <v>140</v>
      </c>
      <c r="X854" s="5">
        <f>IFERROR(VLOOKUP($D854&amp;$C854,生产方式定位!$A$2:$E$38,5,FALSE)+VLOOKUP($E854&amp;$C854,生产方式定位!$F$3:$J$38,5,FALSE),"错误")</f>
        <v>1390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>16%</v>
      </c>
      <c r="AC854" s="1">
        <f t="shared" si="213"/>
        <v>50</v>
      </c>
      <c r="AD854" s="35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20" customHeight="1" x14ac:dyDescent="0.3">
      <c r="A855" s="5" t="s">
        <v>444</v>
      </c>
      <c r="C855" s="5">
        <v>3</v>
      </c>
      <c r="D855" s="21" t="s">
        <v>222</v>
      </c>
      <c r="E855" s="21" t="s">
        <v>224</v>
      </c>
      <c r="L855" s="5">
        <f>IFERROR(VLOOKUP($D855&amp;$C855,生产方式定位!$A$2:$E$38,2,FALSE)+VLOOKUP($E855&amp;$C855,生产方式定位!$F$3:$J$38,2,FALSE),0)</f>
        <v>1425</v>
      </c>
      <c r="S855" s="5">
        <f>IFERROR(VLOOKUP($D855&amp;$C855,生产方式定位!$A$2:$E$38,3,FALSE)+VLOOKUP($E855&amp;$C855,生产方式定位!$F$3:$J$38,3,FALSE),0)</f>
        <v>130</v>
      </c>
      <c r="X855" s="5">
        <f>IFERROR(VLOOKUP($D855&amp;$C855,生产方式定位!$A$2:$E$38,5,FALSE)+VLOOKUP($E855&amp;$C855,生产方式定位!$F$3:$J$38,5,FALSE),"错误")</f>
        <v>1618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>14%</v>
      </c>
      <c r="AC855" s="1">
        <f t="shared" si="213"/>
        <v>63</v>
      </c>
      <c r="AD855" s="36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20" customHeight="1" x14ac:dyDescent="0.3">
      <c r="A856" s="5" t="s">
        <v>444</v>
      </c>
      <c r="C856" s="5">
        <v>4</v>
      </c>
      <c r="D856" s="21" t="s">
        <v>222</v>
      </c>
      <c r="E856" s="21" t="s">
        <v>224</v>
      </c>
      <c r="L856" s="5">
        <f>IFERROR(VLOOKUP($D856&amp;$C856,生产方式定位!$A$2:$E$38,2,FALSE)+VLOOKUP($E856&amp;$C856,生产方式定位!$F$3:$J$38,2,FALSE),0)</f>
        <v>1650</v>
      </c>
      <c r="S856" s="5">
        <f>IFERROR(VLOOKUP($D856&amp;$C856,生产方式定位!$A$2:$E$38,3,FALSE)+VLOOKUP($E856&amp;$C856,生产方式定位!$F$3:$J$38,3,FALSE),0)</f>
        <v>120</v>
      </c>
      <c r="X856" s="5">
        <f>IFERROR(VLOOKUP($D856&amp;$C856,生产方式定位!$A$2:$E$38,5,FALSE)+VLOOKUP($E856&amp;$C856,生产方式定位!$F$3:$J$38,5,FALSE),"错误")</f>
        <v>1845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>12%</v>
      </c>
      <c r="AC856" s="1">
        <f t="shared" si="213"/>
        <v>75</v>
      </c>
      <c r="AD856" s="36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20" customHeight="1" x14ac:dyDescent="0.3">
      <c r="A857" s="5" t="s">
        <v>444</v>
      </c>
      <c r="C857" s="5">
        <v>5</v>
      </c>
      <c r="D857" s="21" t="s">
        <v>222</v>
      </c>
      <c r="E857" s="21" t="s">
        <v>224</v>
      </c>
      <c r="L857" s="5">
        <f>IFERROR(VLOOKUP($D857&amp;$C857,生产方式定位!$A$2:$E$38,2,FALSE)+VLOOKUP($E857&amp;$C857,生产方式定位!$F$3:$J$38,2,FALSE),0)</f>
        <v>1875</v>
      </c>
      <c r="S857" s="5">
        <f>IFERROR(VLOOKUP($D857&amp;$C857,生产方式定位!$A$2:$E$38,3,FALSE)+VLOOKUP($E857&amp;$C857,生产方式定位!$F$3:$J$38,3,FALSE),0)</f>
        <v>110</v>
      </c>
      <c r="X857" s="5">
        <f>IFERROR(VLOOKUP($D857&amp;$C857,生产方式定位!$A$2:$E$38,5,FALSE)+VLOOKUP($E857&amp;$C857,生产方式定位!$F$3:$J$38,5,FALSE),"错误")</f>
        <v>2073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>11%</v>
      </c>
      <c r="AC857" s="1">
        <f t="shared" si="213"/>
        <v>88</v>
      </c>
      <c r="AD857" s="36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20" customHeight="1" x14ac:dyDescent="0.3">
      <c r="A858" s="18" t="s">
        <v>445</v>
      </c>
      <c r="C858" s="18">
        <v>1</v>
      </c>
      <c r="D858" s="21" t="s">
        <v>222</v>
      </c>
      <c r="E858" s="21" t="s">
        <v>225</v>
      </c>
      <c r="L858" s="18">
        <f>IFERROR(VLOOKUP($D858&amp;$C858,生产方式定位!$A$2:$E$38,2,FALSE)+VLOOKUP($E858&amp;$C858,生产方式定位!$F$3:$J$38,2,FALSE),0)</f>
        <v>600</v>
      </c>
      <c r="S858" s="18">
        <f>IFERROR(VLOOKUP($D858&amp;$C858,生产方式定位!$A$2:$E$38,3,FALSE)+VLOOKUP($E858&amp;$C858,生产方式定位!$F$3:$J$38,3,FALSE),0)</f>
        <v>150</v>
      </c>
      <c r="X858" s="18">
        <f>IFERROR(VLOOKUP($D858&amp;$C858,生产方式定位!$A$2:$E$38,5,FALSE)+VLOOKUP($E858&amp;$C858,生产方式定位!$F$3:$J$38,5,FALSE),"错误")</f>
        <v>788</v>
      </c>
      <c r="Y858" s="24" t="str">
        <f t="shared" si="210"/>
        <v/>
      </c>
      <c r="Z858" s="34" t="str">
        <f t="shared" si="211"/>
        <v/>
      </c>
      <c r="AA858" s="34" t="str">
        <f t="shared" si="208"/>
        <v/>
      </c>
      <c r="AB858" s="25" t="str">
        <f t="shared" si="212"/>
        <v>31%</v>
      </c>
      <c r="AC858" s="1">
        <f t="shared" si="213"/>
        <v>38</v>
      </c>
      <c r="AD858" s="36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spans="1:49" ht="20" customHeight="1" x14ac:dyDescent="0.3">
      <c r="A859" s="18" t="s">
        <v>445</v>
      </c>
      <c r="C859" s="18">
        <v>2</v>
      </c>
      <c r="D859" s="21" t="s">
        <v>222</v>
      </c>
      <c r="E859" s="21" t="s">
        <v>225</v>
      </c>
      <c r="L859" s="18">
        <f>IFERROR(VLOOKUP($D859&amp;$C859,生产方式定位!$A$2:$E$38,2,FALSE)+VLOOKUP($E859&amp;$C859,生产方式定位!$F$3:$J$38,2,FALSE),0)</f>
        <v>1450</v>
      </c>
      <c r="S859" s="18">
        <f>IFERROR(VLOOKUP($D859&amp;$C859,生产方式定位!$A$2:$E$38,3,FALSE)+VLOOKUP($E859&amp;$C859,生产方式定位!$F$3:$J$38,3,FALSE),0)</f>
        <v>180</v>
      </c>
      <c r="X859" s="18">
        <f>IFERROR(VLOOKUP($D859&amp;$C859,生产方式定位!$A$2:$E$38,5,FALSE)+VLOOKUP($E859&amp;$C859,生产方式定位!$F$3:$J$38,5,FALSE),"错误")</f>
        <v>1472</v>
      </c>
      <c r="Y859" s="24" t="str">
        <f t="shared" si="210"/>
        <v/>
      </c>
      <c r="Z859" s="34" t="str">
        <f t="shared" si="211"/>
        <v/>
      </c>
      <c r="AA859" s="34" t="str">
        <f t="shared" si="208"/>
        <v/>
      </c>
      <c r="AB859" s="25" t="str">
        <f t="shared" si="212"/>
        <v>2%</v>
      </c>
      <c r="AC859" s="1">
        <f t="shared" si="213"/>
        <v>-158</v>
      </c>
      <c r="AD859" s="36">
        <f t="shared" si="209"/>
        <v>2</v>
      </c>
      <c r="AE859" t="str">
        <f t="shared" si="214"/>
        <v/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 t="str">
        <f>IFERROR(ROUND(L859*(G859/$AU859)/VLOOKUP(F859,商品!$A$4:$C$60,3,FALSE),0),"")</f>
        <v/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0</v>
      </c>
      <c r="AV859">
        <f t="shared" si="222"/>
        <v>0</v>
      </c>
      <c r="AW859">
        <f t="shared" si="223"/>
        <v>0</v>
      </c>
    </row>
    <row r="860" spans="1:49" ht="20" customHeight="1" x14ac:dyDescent="0.3">
      <c r="A860" s="18" t="s">
        <v>445</v>
      </c>
      <c r="C860" s="18">
        <v>3</v>
      </c>
      <c r="D860" s="21" t="s">
        <v>222</v>
      </c>
      <c r="E860" s="21" t="s">
        <v>225</v>
      </c>
      <c r="L860" s="18">
        <f>IFERROR(VLOOKUP($D860&amp;$C860,生产方式定位!$A$2:$E$38,2,FALSE)+VLOOKUP($E860&amp;$C860,生产方式定位!$F$3:$J$38,2,FALSE),0)</f>
        <v>1800</v>
      </c>
      <c r="S860" s="18">
        <f>IFERROR(VLOOKUP($D860&amp;$C860,生产方式定位!$A$2:$E$38,3,FALSE)+VLOOKUP($E860&amp;$C860,生产方式定位!$F$3:$J$38,3,FALSE),0)</f>
        <v>190</v>
      </c>
      <c r="X860" s="18">
        <f>IFERROR(VLOOKUP($D860&amp;$C860,生产方式定位!$A$2:$E$38,5,FALSE)+VLOOKUP($E860&amp;$C860,生产方式定位!$F$3:$J$38,5,FALSE),"错误")</f>
        <v>1831</v>
      </c>
      <c r="Y860" s="24" t="str">
        <f t="shared" si="210"/>
        <v/>
      </c>
      <c r="Z860" s="34" t="str">
        <f t="shared" si="211"/>
        <v/>
      </c>
      <c r="AA860" s="34" t="str">
        <f t="shared" si="208"/>
        <v/>
      </c>
      <c r="AB860" s="25" t="str">
        <f t="shared" si="212"/>
        <v>2%</v>
      </c>
      <c r="AC860" s="1">
        <f t="shared" si="213"/>
        <v>-159</v>
      </c>
      <c r="AD860" s="36">
        <f t="shared" si="209"/>
        <v>3</v>
      </c>
      <c r="AE860" t="str">
        <f t="shared" si="214"/>
        <v/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 t="str">
        <f>IFERROR(ROUND(L860*(G860/$AU860)/VLOOKUP(F860,商品!$A$4:$C$60,3,FALSE),0),"")</f>
        <v/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0</v>
      </c>
      <c r="AV860">
        <f t="shared" si="222"/>
        <v>0</v>
      </c>
      <c r="AW860">
        <f t="shared" si="223"/>
        <v>0</v>
      </c>
    </row>
    <row r="861" spans="1:49" ht="20" customHeight="1" x14ac:dyDescent="0.3">
      <c r="A861" s="18" t="s">
        <v>445</v>
      </c>
      <c r="C861" s="18">
        <v>4</v>
      </c>
      <c r="D861" s="21" t="s">
        <v>222</v>
      </c>
      <c r="E861" s="21" t="s">
        <v>225</v>
      </c>
      <c r="L861" s="18">
        <f>IFERROR(VLOOKUP($D861&amp;$C861,生产方式定位!$A$2:$E$38,2,FALSE)+VLOOKUP($E861&amp;$C861,生产方式定位!$F$3:$J$38,2,FALSE),0)</f>
        <v>2150</v>
      </c>
      <c r="S861" s="18">
        <f>IFERROR(VLOOKUP($D861&amp;$C861,生产方式定位!$A$2:$E$38,3,FALSE)+VLOOKUP($E861&amp;$C861,生产方式定位!$F$3:$J$38,3,FALSE),0)</f>
        <v>200</v>
      </c>
      <c r="X861" s="18">
        <f>IFERROR(VLOOKUP($D861&amp;$C861,生产方式定位!$A$2:$E$38,5,FALSE)+VLOOKUP($E861&amp;$C861,生产方式定位!$F$3:$J$38,5,FALSE),"错误")</f>
        <v>2217</v>
      </c>
      <c r="Y861" s="24" t="str">
        <f t="shared" si="210"/>
        <v/>
      </c>
      <c r="Z861" s="34" t="str">
        <f t="shared" si="211"/>
        <v/>
      </c>
      <c r="AA861" s="34" t="str">
        <f t="shared" si="208"/>
        <v/>
      </c>
      <c r="AB861" s="25" t="str">
        <f t="shared" si="212"/>
        <v>3%</v>
      </c>
      <c r="AC861" s="1">
        <f t="shared" si="213"/>
        <v>-133</v>
      </c>
      <c r="AD861" s="36">
        <f t="shared" si="209"/>
        <v>4</v>
      </c>
      <c r="AE861" t="str">
        <f t="shared" si="214"/>
        <v/>
      </c>
      <c r="AF861" t="str">
        <f t="shared" si="215"/>
        <v/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 t="str">
        <f>IFERROR(ROUND(L861*(G861/$AU861)/VLOOKUP(F861,商品!$A$4:$C$60,3,FALSE),0),"")</f>
        <v/>
      </c>
      <c r="AM861" t="str">
        <f>IFERROR(ROUND(L861*(I861/$AU861)/VLOOKUP(H861,商品!$A$4:$C$60,3,FALSE),0),"")</f>
        <v/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0</v>
      </c>
      <c r="AV861">
        <f t="shared" si="222"/>
        <v>0</v>
      </c>
      <c r="AW861">
        <f t="shared" si="223"/>
        <v>0</v>
      </c>
    </row>
    <row r="862" spans="1:49" ht="20" customHeight="1" x14ac:dyDescent="0.3">
      <c r="A862" s="18" t="s">
        <v>445</v>
      </c>
      <c r="C862" s="18">
        <v>5</v>
      </c>
      <c r="D862" s="21" t="s">
        <v>222</v>
      </c>
      <c r="E862" s="21" t="s">
        <v>225</v>
      </c>
      <c r="L862" s="18">
        <f>IFERROR(VLOOKUP($D862&amp;$C862,生产方式定位!$A$2:$E$38,2,FALSE)+VLOOKUP($E862&amp;$C862,生产方式定位!$F$3:$J$38,2,FALSE),0)</f>
        <v>2500</v>
      </c>
      <c r="S862" s="18">
        <f>IFERROR(VLOOKUP($D862&amp;$C862,生产方式定位!$A$2:$E$38,3,FALSE)+VLOOKUP($E862&amp;$C862,生产方式定位!$F$3:$J$38,3,FALSE),0)</f>
        <v>210</v>
      </c>
      <c r="X862" s="18">
        <f>IFERROR(VLOOKUP($D862&amp;$C862,生产方式定位!$A$2:$E$38,5,FALSE)+VLOOKUP($E862&amp;$C862,生产方式定位!$F$3:$J$38,5,FALSE),"错误")</f>
        <v>2870</v>
      </c>
      <c r="Y862" s="24" t="str">
        <f t="shared" si="210"/>
        <v/>
      </c>
      <c r="Z862" s="34" t="str">
        <f t="shared" si="211"/>
        <v/>
      </c>
      <c r="AA862" s="34" t="str">
        <f t="shared" si="208"/>
        <v/>
      </c>
      <c r="AB862" s="25" t="str">
        <f t="shared" si="212"/>
        <v>15%</v>
      </c>
      <c r="AC862" s="1">
        <f t="shared" si="213"/>
        <v>160</v>
      </c>
      <c r="AD862" s="36">
        <f t="shared" si="209"/>
        <v>5</v>
      </c>
      <c r="AE862" t="str">
        <f t="shared" si="214"/>
        <v/>
      </c>
      <c r="AF862" t="str">
        <f t="shared" si="215"/>
        <v/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 t="str">
        <f>IFERROR(ROUND(L862*(G862/$AU862)/VLOOKUP(F862,商品!$A$4:$C$60,3,FALSE),0),"")</f>
        <v/>
      </c>
      <c r="AM862" t="str">
        <f>IFERROR(ROUND(L862*(I862/$AU862)/VLOOKUP(H862,商品!$A$4:$C$60,3,FALSE),0),"")</f>
        <v/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0</v>
      </c>
      <c r="AV862">
        <f t="shared" si="222"/>
        <v>0</v>
      </c>
      <c r="AW862">
        <f t="shared" si="223"/>
        <v>0</v>
      </c>
    </row>
    <row r="863" spans="1:49" ht="20" customHeight="1" x14ac:dyDescent="0.3">
      <c r="A863" s="5" t="s">
        <v>445</v>
      </c>
      <c r="C863" s="5">
        <v>1</v>
      </c>
      <c r="D863" s="21" t="s">
        <v>222</v>
      </c>
      <c r="E863" s="21" t="s">
        <v>225</v>
      </c>
      <c r="L863" s="5">
        <f>IFERROR(VLOOKUP($D863&amp;$C863,生产方式定位!$A$2:$E$38,2,FALSE)+VLOOKUP($E863&amp;$C863,生产方式定位!$F$3:$J$38,2,FALSE),0)</f>
        <v>600</v>
      </c>
      <c r="S863" s="5">
        <f>IFERROR(VLOOKUP($D863&amp;$C863,生产方式定位!$A$2:$E$38,3,FALSE)+VLOOKUP($E863&amp;$C863,生产方式定位!$F$3:$J$38,3,FALSE),0)</f>
        <v>150</v>
      </c>
      <c r="X863" s="5">
        <f>IFERROR(VLOOKUP($D863&amp;$C863,生产方式定位!$A$2:$E$38,5,FALSE)+VLOOKUP($E863&amp;$C863,生产方式定位!$F$3:$J$38,5,FALSE),"错误")</f>
        <v>788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>31%</v>
      </c>
      <c r="AC863" s="1">
        <f t="shared" si="213"/>
        <v>38</v>
      </c>
      <c r="AD863" s="35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20" customHeight="1" x14ac:dyDescent="0.3">
      <c r="A864" s="5" t="s">
        <v>445</v>
      </c>
      <c r="C864" s="5">
        <v>2</v>
      </c>
      <c r="D864" s="21" t="s">
        <v>222</v>
      </c>
      <c r="E864" s="21" t="s">
        <v>225</v>
      </c>
      <c r="L864" s="5">
        <f>IFERROR(VLOOKUP($D864&amp;$C864,生产方式定位!$A$2:$E$38,2,FALSE)+VLOOKUP($E864&amp;$C864,生产方式定位!$F$3:$J$38,2,FALSE),0)</f>
        <v>1450</v>
      </c>
      <c r="S864" s="5">
        <f>IFERROR(VLOOKUP($D864&amp;$C864,生产方式定位!$A$2:$E$38,3,FALSE)+VLOOKUP($E864&amp;$C864,生产方式定位!$F$3:$J$38,3,FALSE),0)</f>
        <v>180</v>
      </c>
      <c r="X864" s="5">
        <f>IFERROR(VLOOKUP($D864&amp;$C864,生产方式定位!$A$2:$E$38,5,FALSE)+VLOOKUP($E864&amp;$C864,生产方式定位!$F$3:$J$38,5,FALSE),"错误")</f>
        <v>1472</v>
      </c>
      <c r="Y864" s="24" t="str">
        <f t="shared" si="210"/>
        <v/>
      </c>
      <c r="Z864" s="34" t="str">
        <f t="shared" si="211"/>
        <v/>
      </c>
      <c r="AA864" s="34" t="str">
        <f t="shared" si="208"/>
        <v/>
      </c>
      <c r="AB864" s="25" t="str">
        <f t="shared" si="212"/>
        <v>2%</v>
      </c>
      <c r="AC864" s="1">
        <f t="shared" si="213"/>
        <v>-158</v>
      </c>
      <c r="AD864" s="35">
        <f t="shared" si="209"/>
        <v>2</v>
      </c>
      <c r="AE864" t="str">
        <f t="shared" si="214"/>
        <v/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 t="str">
        <f>IFERROR(ROUND(L864*(G864/$AU864)/VLOOKUP(F864,商品!$A$4:$C$60,3,FALSE),0),"")</f>
        <v/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0</v>
      </c>
      <c r="AV864">
        <f t="shared" si="222"/>
        <v>0</v>
      </c>
      <c r="AW864">
        <f t="shared" si="223"/>
        <v>0</v>
      </c>
    </row>
    <row r="865" spans="1:49" ht="20" customHeight="1" x14ac:dyDescent="0.3">
      <c r="A865" s="5" t="s">
        <v>445</v>
      </c>
      <c r="C865" s="5">
        <v>3</v>
      </c>
      <c r="D865" s="21" t="s">
        <v>222</v>
      </c>
      <c r="E865" s="21" t="s">
        <v>225</v>
      </c>
      <c r="L865" s="5">
        <f>IFERROR(VLOOKUP($D865&amp;$C865,生产方式定位!$A$2:$E$38,2,FALSE)+VLOOKUP($E865&amp;$C865,生产方式定位!$F$3:$J$38,2,FALSE),0)</f>
        <v>1800</v>
      </c>
      <c r="S865" s="5">
        <f>IFERROR(VLOOKUP($D865&amp;$C865,生产方式定位!$A$2:$E$38,3,FALSE)+VLOOKUP($E865&amp;$C865,生产方式定位!$F$3:$J$38,3,FALSE),0)</f>
        <v>190</v>
      </c>
      <c r="X865" s="5">
        <f>IFERROR(VLOOKUP($D865&amp;$C865,生产方式定位!$A$2:$E$38,5,FALSE)+VLOOKUP($E865&amp;$C865,生产方式定位!$F$3:$J$38,5,FALSE),"错误")</f>
        <v>1831</v>
      </c>
      <c r="Y865" s="24" t="str">
        <f t="shared" si="210"/>
        <v/>
      </c>
      <c r="Z865" s="34" t="str">
        <f t="shared" si="211"/>
        <v/>
      </c>
      <c r="AA865" s="34" t="str">
        <f t="shared" si="208"/>
        <v/>
      </c>
      <c r="AB865" s="25" t="str">
        <f t="shared" si="212"/>
        <v>2%</v>
      </c>
      <c r="AC865" s="1">
        <f t="shared" si="213"/>
        <v>-159</v>
      </c>
      <c r="AD865" s="35">
        <f t="shared" si="209"/>
        <v>3</v>
      </c>
      <c r="AE865" t="str">
        <f t="shared" si="214"/>
        <v/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 t="str">
        <f>IFERROR(ROUND(L865*(G865/$AU865)/VLOOKUP(F865,商品!$A$4:$C$60,3,FALSE),0),"")</f>
        <v/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0</v>
      </c>
      <c r="AV865">
        <f t="shared" si="222"/>
        <v>0</v>
      </c>
      <c r="AW865">
        <f t="shared" si="223"/>
        <v>0</v>
      </c>
    </row>
    <row r="866" spans="1:49" ht="20" customHeight="1" x14ac:dyDescent="0.3">
      <c r="A866" s="5" t="s">
        <v>445</v>
      </c>
      <c r="C866" s="5">
        <v>4</v>
      </c>
      <c r="D866" s="21" t="s">
        <v>222</v>
      </c>
      <c r="E866" s="21" t="s">
        <v>225</v>
      </c>
      <c r="L866" s="5">
        <f>IFERROR(VLOOKUP($D866&amp;$C866,生产方式定位!$A$2:$E$38,2,FALSE)+VLOOKUP($E866&amp;$C866,生产方式定位!$F$3:$J$38,2,FALSE),0)</f>
        <v>2150</v>
      </c>
      <c r="S866" s="5">
        <f>IFERROR(VLOOKUP($D866&amp;$C866,生产方式定位!$A$2:$E$38,3,FALSE)+VLOOKUP($E866&amp;$C866,生产方式定位!$F$3:$J$38,3,FALSE),0)</f>
        <v>200</v>
      </c>
      <c r="X866" s="5">
        <f>IFERROR(VLOOKUP($D866&amp;$C866,生产方式定位!$A$2:$E$38,5,FALSE)+VLOOKUP($E866&amp;$C866,生产方式定位!$F$3:$J$38,5,FALSE),"错误")</f>
        <v>2217</v>
      </c>
      <c r="Y866" s="24" t="str">
        <f t="shared" si="210"/>
        <v/>
      </c>
      <c r="Z866" s="34" t="str">
        <f t="shared" si="211"/>
        <v/>
      </c>
      <c r="AA866" s="34" t="str">
        <f t="shared" si="208"/>
        <v/>
      </c>
      <c r="AB866" s="25" t="str">
        <f t="shared" si="212"/>
        <v>3%</v>
      </c>
      <c r="AC866" s="1">
        <f t="shared" si="213"/>
        <v>-133</v>
      </c>
      <c r="AD866" s="35">
        <f t="shared" si="209"/>
        <v>4</v>
      </c>
      <c r="AE866" t="str">
        <f t="shared" si="214"/>
        <v/>
      </c>
      <c r="AF866" t="str">
        <f t="shared" si="215"/>
        <v/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 t="str">
        <f>IFERROR(ROUND(L866*(G866/$AU866)/VLOOKUP(F866,商品!$A$4:$C$60,3,FALSE),0),"")</f>
        <v/>
      </c>
      <c r="AM866" t="str">
        <f>IFERROR(ROUND(L866*(I866/$AU866)/VLOOKUP(H866,商品!$A$4:$C$60,3,FALSE),0),"")</f>
        <v/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0</v>
      </c>
      <c r="AV866">
        <f t="shared" si="222"/>
        <v>0</v>
      </c>
      <c r="AW866">
        <f t="shared" si="223"/>
        <v>0</v>
      </c>
    </row>
    <row r="867" spans="1:49" ht="20" customHeight="1" x14ac:dyDescent="0.3">
      <c r="A867" s="5" t="s">
        <v>445</v>
      </c>
      <c r="C867" s="5">
        <v>5</v>
      </c>
      <c r="D867" s="21" t="s">
        <v>222</v>
      </c>
      <c r="E867" s="21" t="s">
        <v>225</v>
      </c>
      <c r="L867" s="5">
        <f>IFERROR(VLOOKUP($D867&amp;$C867,生产方式定位!$A$2:$E$38,2,FALSE)+VLOOKUP($E867&amp;$C867,生产方式定位!$F$3:$J$38,2,FALSE),0)</f>
        <v>2500</v>
      </c>
      <c r="S867" s="5">
        <f>IFERROR(VLOOKUP($D867&amp;$C867,生产方式定位!$A$2:$E$38,3,FALSE)+VLOOKUP($E867&amp;$C867,生产方式定位!$F$3:$J$38,3,FALSE),0)</f>
        <v>210</v>
      </c>
      <c r="X867" s="5">
        <f>IFERROR(VLOOKUP($D867&amp;$C867,生产方式定位!$A$2:$E$38,5,FALSE)+VLOOKUP($E867&amp;$C867,生产方式定位!$F$3:$J$38,5,FALSE),"错误")</f>
        <v>2870</v>
      </c>
      <c r="Y867" s="24" t="str">
        <f t="shared" si="210"/>
        <v/>
      </c>
      <c r="Z867" s="34" t="str">
        <f t="shared" si="211"/>
        <v/>
      </c>
      <c r="AA867" s="34" t="str">
        <f t="shared" si="208"/>
        <v/>
      </c>
      <c r="AB867" s="25" t="str">
        <f t="shared" si="212"/>
        <v>15%</v>
      </c>
      <c r="AC867" s="1">
        <f t="shared" si="213"/>
        <v>160</v>
      </c>
      <c r="AD867" s="35">
        <f t="shared" si="209"/>
        <v>5</v>
      </c>
      <c r="AE867" t="str">
        <f t="shared" si="214"/>
        <v/>
      </c>
      <c r="AF867" t="str">
        <f t="shared" si="215"/>
        <v/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 t="str">
        <f>IFERROR(ROUND(L867*(G867/$AU867)/VLOOKUP(F867,商品!$A$4:$C$60,3,FALSE),0),"")</f>
        <v/>
      </c>
      <c r="AM867" t="str">
        <f>IFERROR(ROUND(L867*(I867/$AU867)/VLOOKUP(H867,商品!$A$4:$C$60,3,FALSE),0),"")</f>
        <v/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0</v>
      </c>
      <c r="AV867">
        <f t="shared" si="222"/>
        <v>0</v>
      </c>
      <c r="AW867">
        <f t="shared" si="223"/>
        <v>0</v>
      </c>
    </row>
    <row r="868" spans="1:49" ht="20" customHeight="1" x14ac:dyDescent="0.3">
      <c r="A868" s="18" t="s">
        <v>446</v>
      </c>
      <c r="C868" s="18">
        <v>1</v>
      </c>
      <c r="D868" s="21" t="s">
        <v>292</v>
      </c>
      <c r="E868" s="21" t="s">
        <v>226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/>
      </c>
      <c r="AC868" s="1" t="str">
        <f t="shared" si="213"/>
        <v/>
      </c>
      <c r="AD868" s="36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20" customHeight="1" x14ac:dyDescent="0.3">
      <c r="A869" s="18" t="s">
        <v>446</v>
      </c>
      <c r="C869" s="18">
        <v>2</v>
      </c>
      <c r="D869" s="21" t="s">
        <v>292</v>
      </c>
      <c r="E869" s="21" t="s">
        <v>226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24" t="str">
        <f t="shared" si="210"/>
        <v/>
      </c>
      <c r="Z869" s="34" t="str">
        <f t="shared" si="211"/>
        <v/>
      </c>
      <c r="AA869" s="34" t="str">
        <f t="shared" si="208"/>
        <v/>
      </c>
      <c r="AB869" s="25" t="str">
        <f t="shared" si="212"/>
        <v/>
      </c>
      <c r="AC869" s="1" t="str">
        <f t="shared" si="213"/>
        <v/>
      </c>
      <c r="AD869" s="36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spans="1:49" ht="20" customHeight="1" x14ac:dyDescent="0.3">
      <c r="A870" s="18" t="s">
        <v>446</v>
      </c>
      <c r="C870" s="18">
        <v>3</v>
      </c>
      <c r="D870" s="21" t="s">
        <v>292</v>
      </c>
      <c r="E870" s="21" t="s">
        <v>226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24" t="str">
        <f t="shared" si="210"/>
        <v/>
      </c>
      <c r="Z870" s="34" t="str">
        <f t="shared" si="211"/>
        <v/>
      </c>
      <c r="AA870" s="34" t="str">
        <f t="shared" si="208"/>
        <v/>
      </c>
      <c r="AB870" s="25" t="str">
        <f t="shared" si="212"/>
        <v/>
      </c>
      <c r="AC870" s="1" t="str">
        <f t="shared" si="213"/>
        <v/>
      </c>
      <c r="AD870" s="36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spans="1:49" ht="20" customHeight="1" x14ac:dyDescent="0.3">
      <c r="A871" s="18" t="s">
        <v>446</v>
      </c>
      <c r="C871" s="18">
        <v>4</v>
      </c>
      <c r="D871" s="21" t="s">
        <v>292</v>
      </c>
      <c r="E871" s="21" t="s">
        <v>226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24" t="str">
        <f t="shared" si="210"/>
        <v/>
      </c>
      <c r="Z871" s="34" t="str">
        <f t="shared" si="211"/>
        <v/>
      </c>
      <c r="AA871" s="34" t="str">
        <f t="shared" si="208"/>
        <v/>
      </c>
      <c r="AB871" s="25" t="str">
        <f t="shared" si="212"/>
        <v/>
      </c>
      <c r="AC871" s="1" t="str">
        <f t="shared" si="213"/>
        <v/>
      </c>
      <c r="AD871" s="36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spans="1:49" ht="20" customHeight="1" x14ac:dyDescent="0.3">
      <c r="A872" s="18" t="s">
        <v>446</v>
      </c>
      <c r="C872" s="18">
        <v>5</v>
      </c>
      <c r="D872" s="21" t="s">
        <v>292</v>
      </c>
      <c r="E872" s="21" t="s">
        <v>226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24" t="str">
        <f t="shared" si="210"/>
        <v/>
      </c>
      <c r="Z872" s="34" t="str">
        <f t="shared" si="211"/>
        <v/>
      </c>
      <c r="AA872" s="34" t="str">
        <f t="shared" si="208"/>
        <v/>
      </c>
      <c r="AB872" s="25" t="str">
        <f t="shared" si="212"/>
        <v/>
      </c>
      <c r="AC872" s="1" t="str">
        <f t="shared" si="213"/>
        <v/>
      </c>
      <c r="AD872" s="36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spans="1:49" ht="20" customHeight="1" x14ac:dyDescent="0.3">
      <c r="A873" s="18" t="s">
        <v>446</v>
      </c>
      <c r="C873" s="18">
        <v>6</v>
      </c>
      <c r="D873" s="21" t="s">
        <v>292</v>
      </c>
      <c r="E873" s="21" t="s">
        <v>226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5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20" customHeight="1" x14ac:dyDescent="0.3">
      <c r="A874" s="18" t="s">
        <v>446</v>
      </c>
      <c r="C874" s="18">
        <v>7</v>
      </c>
      <c r="D874" s="21" t="s">
        <v>292</v>
      </c>
      <c r="E874" s="21" t="s">
        <v>226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5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20" customHeight="1" x14ac:dyDescent="0.3">
      <c r="A875" s="18" t="s">
        <v>446</v>
      </c>
      <c r="C875" s="18">
        <v>8</v>
      </c>
      <c r="D875" s="21" t="s">
        <v>292</v>
      </c>
      <c r="E875" s="21" t="s">
        <v>226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5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20" customHeight="1" x14ac:dyDescent="0.3">
      <c r="A876" s="5" t="s">
        <v>448</v>
      </c>
      <c r="C876" s="5">
        <v>1</v>
      </c>
      <c r="D876" s="21" t="s">
        <v>222</v>
      </c>
      <c r="E876" s="21" t="s">
        <v>224</v>
      </c>
      <c r="L876" s="5">
        <f>IFERROR(VLOOKUP($D876&amp;$C876,生产方式定位!$A$2:$E$38,2,FALSE)+VLOOKUP($E876&amp;$C876,生产方式定位!$F$3:$J$38,2,FALSE),0)</f>
        <v>600</v>
      </c>
      <c r="S876" s="5">
        <f>IFERROR(VLOOKUP($D876&amp;$C876,生产方式定位!$A$2:$E$38,3,FALSE)+VLOOKUP($E876&amp;$C876,生产方式定位!$F$3:$J$38,3,FALSE),0)</f>
        <v>150</v>
      </c>
      <c r="X876" s="5">
        <f>IFERROR(VLOOKUP($D876&amp;$C876,生产方式定位!$A$2:$E$38,5,FALSE)+VLOOKUP($E876&amp;$C876,生产方式定位!$F$3:$J$38,5,FALSE),"错误")</f>
        <v>788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>31%</v>
      </c>
      <c r="AC876" s="1">
        <f t="shared" si="213"/>
        <v>38</v>
      </c>
      <c r="AD876" s="35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20" customHeight="1" x14ac:dyDescent="0.3">
      <c r="A877" s="5" t="s">
        <v>448</v>
      </c>
      <c r="C877" s="5">
        <v>2</v>
      </c>
      <c r="D877" s="21" t="s">
        <v>222</v>
      </c>
      <c r="E877" s="21" t="s">
        <v>224</v>
      </c>
      <c r="L877" s="5">
        <f>IFERROR(VLOOKUP($D877&amp;$C877,生产方式定位!$A$2:$E$38,2,FALSE)+VLOOKUP($E877&amp;$C877,生产方式定位!$F$3:$J$38,2,FALSE),0)</f>
        <v>1200</v>
      </c>
      <c r="S877" s="5">
        <f>IFERROR(VLOOKUP($D877&amp;$C877,生产方式定位!$A$2:$E$38,3,FALSE)+VLOOKUP($E877&amp;$C877,生产方式定位!$F$3:$J$38,3,FALSE),0)</f>
        <v>140</v>
      </c>
      <c r="X877" s="5">
        <f>IFERROR(VLOOKUP($D877&amp;$C877,生产方式定位!$A$2:$E$38,5,FALSE)+VLOOKUP($E877&amp;$C877,生产方式定位!$F$3:$J$38,5,FALSE),"错误")</f>
        <v>1390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>16%</v>
      </c>
      <c r="AC877" s="1">
        <f t="shared" si="213"/>
        <v>50</v>
      </c>
      <c r="AD877" s="35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20" customHeight="1" x14ac:dyDescent="0.3">
      <c r="A878" s="5" t="s">
        <v>448</v>
      </c>
      <c r="C878" s="5">
        <v>3</v>
      </c>
      <c r="D878" s="21" t="s">
        <v>222</v>
      </c>
      <c r="E878" s="21" t="s">
        <v>224</v>
      </c>
      <c r="L878" s="5">
        <f>IFERROR(VLOOKUP($D878&amp;$C878,生产方式定位!$A$2:$E$38,2,FALSE)+VLOOKUP($E878&amp;$C878,生产方式定位!$F$3:$J$38,2,FALSE),0)</f>
        <v>1425</v>
      </c>
      <c r="S878" s="5">
        <f>IFERROR(VLOOKUP($D878&amp;$C878,生产方式定位!$A$2:$E$38,3,FALSE)+VLOOKUP($E878&amp;$C878,生产方式定位!$F$3:$J$38,3,FALSE),0)</f>
        <v>130</v>
      </c>
      <c r="X878" s="5">
        <f>IFERROR(VLOOKUP($D878&amp;$C878,生产方式定位!$A$2:$E$38,5,FALSE)+VLOOKUP($E878&amp;$C878,生产方式定位!$F$3:$J$38,5,FALSE),"错误")</f>
        <v>1618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>14%</v>
      </c>
      <c r="AC878" s="1">
        <f t="shared" si="213"/>
        <v>63</v>
      </c>
      <c r="AD878" s="36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20" customHeight="1" x14ac:dyDescent="0.3">
      <c r="A879" s="5" t="s">
        <v>448</v>
      </c>
      <c r="C879" s="5">
        <v>4</v>
      </c>
      <c r="D879" s="21" t="s">
        <v>222</v>
      </c>
      <c r="E879" s="21" t="s">
        <v>224</v>
      </c>
      <c r="L879" s="5">
        <f>IFERROR(VLOOKUP($D879&amp;$C879,生产方式定位!$A$2:$E$38,2,FALSE)+VLOOKUP($E879&amp;$C879,生产方式定位!$F$3:$J$38,2,FALSE),0)</f>
        <v>1650</v>
      </c>
      <c r="S879" s="5">
        <f>IFERROR(VLOOKUP($D879&amp;$C879,生产方式定位!$A$2:$E$38,3,FALSE)+VLOOKUP($E879&amp;$C879,生产方式定位!$F$3:$J$38,3,FALSE),0)</f>
        <v>120</v>
      </c>
      <c r="X879" s="5">
        <f>IFERROR(VLOOKUP($D879&amp;$C879,生产方式定位!$A$2:$E$38,5,FALSE)+VLOOKUP($E879&amp;$C879,生产方式定位!$F$3:$J$38,5,FALSE),"错误")</f>
        <v>1845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>12%</v>
      </c>
      <c r="AC879" s="1">
        <f t="shared" si="213"/>
        <v>75</v>
      </c>
      <c r="AD879" s="36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20" customHeight="1" x14ac:dyDescent="0.3">
      <c r="A880" s="5" t="s">
        <v>448</v>
      </c>
      <c r="C880" s="5">
        <v>5</v>
      </c>
      <c r="D880" s="21" t="s">
        <v>222</v>
      </c>
      <c r="E880" s="21" t="s">
        <v>224</v>
      </c>
      <c r="L880" s="5">
        <f>IFERROR(VLOOKUP($D880&amp;$C880,生产方式定位!$A$2:$E$38,2,FALSE)+VLOOKUP($E880&amp;$C880,生产方式定位!$F$3:$J$38,2,FALSE),0)</f>
        <v>1875</v>
      </c>
      <c r="S880" s="5">
        <f>IFERROR(VLOOKUP($D880&amp;$C880,生产方式定位!$A$2:$E$38,3,FALSE)+VLOOKUP($E880&amp;$C880,生产方式定位!$F$3:$J$38,3,FALSE),0)</f>
        <v>110</v>
      </c>
      <c r="X880" s="5">
        <f>IFERROR(VLOOKUP($D880&amp;$C880,生产方式定位!$A$2:$E$38,5,FALSE)+VLOOKUP($E880&amp;$C880,生产方式定位!$F$3:$J$38,5,FALSE),"错误")</f>
        <v>2073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>11%</v>
      </c>
      <c r="AC880" s="1">
        <f t="shared" si="213"/>
        <v>88</v>
      </c>
      <c r="AD880" s="36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20" customHeight="1" x14ac:dyDescent="0.3">
      <c r="A881" s="18" t="s">
        <v>449</v>
      </c>
      <c r="C881" s="18">
        <v>1</v>
      </c>
      <c r="D881" s="21" t="s">
        <v>222</v>
      </c>
      <c r="E881" s="21" t="s">
        <v>225</v>
      </c>
      <c r="L881" s="18">
        <f>IFERROR(VLOOKUP($D881&amp;$C881,生产方式定位!$A$2:$E$38,2,FALSE)+VLOOKUP($E881&amp;$C881,生产方式定位!$F$3:$J$38,2,FALSE),0)</f>
        <v>600</v>
      </c>
      <c r="S881" s="18">
        <f>IFERROR(VLOOKUP($D881&amp;$C881,生产方式定位!$A$2:$E$38,3,FALSE)+VLOOKUP($E881&amp;$C881,生产方式定位!$F$3:$J$38,3,FALSE),0)</f>
        <v>150</v>
      </c>
      <c r="X881" s="18">
        <f>IFERROR(VLOOKUP($D881&amp;$C881,生产方式定位!$A$2:$E$38,5,FALSE)+VLOOKUP($E881&amp;$C881,生产方式定位!$F$3:$J$38,5,FALSE),"错误")</f>
        <v>788</v>
      </c>
      <c r="Y881" s="24" t="str">
        <f t="shared" si="210"/>
        <v/>
      </c>
      <c r="Z881" s="34" t="str">
        <f t="shared" si="211"/>
        <v/>
      </c>
      <c r="AA881" s="34" t="str">
        <f t="shared" si="208"/>
        <v/>
      </c>
      <c r="AB881" s="25" t="str">
        <f t="shared" si="212"/>
        <v>31%</v>
      </c>
      <c r="AC881" s="1">
        <f t="shared" si="213"/>
        <v>38</v>
      </c>
      <c r="AD881" s="36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spans="1:49" ht="20" customHeight="1" x14ac:dyDescent="0.3">
      <c r="A882" s="18" t="s">
        <v>449</v>
      </c>
      <c r="C882" s="18">
        <v>2</v>
      </c>
      <c r="D882" s="21" t="s">
        <v>222</v>
      </c>
      <c r="E882" s="21" t="s">
        <v>225</v>
      </c>
      <c r="L882" s="18">
        <f>IFERROR(VLOOKUP($D882&amp;$C882,生产方式定位!$A$2:$E$38,2,FALSE)+VLOOKUP($E882&amp;$C882,生产方式定位!$F$3:$J$38,2,FALSE),0)</f>
        <v>1450</v>
      </c>
      <c r="S882" s="18">
        <f>IFERROR(VLOOKUP($D882&amp;$C882,生产方式定位!$A$2:$E$38,3,FALSE)+VLOOKUP($E882&amp;$C882,生产方式定位!$F$3:$J$38,3,FALSE),0)</f>
        <v>180</v>
      </c>
      <c r="X882" s="18">
        <f>IFERROR(VLOOKUP($D882&amp;$C882,生产方式定位!$A$2:$E$38,5,FALSE)+VLOOKUP($E882&amp;$C882,生产方式定位!$F$3:$J$38,5,FALSE),"错误")</f>
        <v>1472</v>
      </c>
      <c r="Y882" s="24" t="str">
        <f t="shared" si="210"/>
        <v/>
      </c>
      <c r="Z882" s="34" t="str">
        <f t="shared" si="211"/>
        <v/>
      </c>
      <c r="AA882" s="34" t="str">
        <f t="shared" si="208"/>
        <v/>
      </c>
      <c r="AB882" s="25" t="str">
        <f t="shared" si="212"/>
        <v>2%</v>
      </c>
      <c r="AC882" s="1">
        <f t="shared" si="213"/>
        <v>-158</v>
      </c>
      <c r="AD882" s="36">
        <f t="shared" si="209"/>
        <v>2</v>
      </c>
      <c r="AE882" t="str">
        <f t="shared" si="214"/>
        <v/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 t="str">
        <f>IFERROR(ROUND(L882*(G882/$AU882)/VLOOKUP(F882,商品!$A$4:$C$60,3,FALSE),0),"")</f>
        <v/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0</v>
      </c>
      <c r="AV882">
        <f t="shared" si="222"/>
        <v>0</v>
      </c>
      <c r="AW882">
        <f t="shared" si="223"/>
        <v>0</v>
      </c>
    </row>
    <row r="883" spans="1:49" ht="20" customHeight="1" x14ac:dyDescent="0.3">
      <c r="A883" s="18" t="s">
        <v>449</v>
      </c>
      <c r="C883" s="18">
        <v>3</v>
      </c>
      <c r="D883" s="21" t="s">
        <v>222</v>
      </c>
      <c r="E883" s="21" t="s">
        <v>225</v>
      </c>
      <c r="L883" s="18">
        <f>IFERROR(VLOOKUP($D883&amp;$C883,生产方式定位!$A$2:$E$38,2,FALSE)+VLOOKUP($E883&amp;$C883,生产方式定位!$F$3:$J$38,2,FALSE),0)</f>
        <v>1800</v>
      </c>
      <c r="S883" s="18">
        <f>IFERROR(VLOOKUP($D883&amp;$C883,生产方式定位!$A$2:$E$38,3,FALSE)+VLOOKUP($E883&amp;$C883,生产方式定位!$F$3:$J$38,3,FALSE),0)</f>
        <v>190</v>
      </c>
      <c r="X883" s="18">
        <f>IFERROR(VLOOKUP($D883&amp;$C883,生产方式定位!$A$2:$E$38,5,FALSE)+VLOOKUP($E883&amp;$C883,生产方式定位!$F$3:$J$38,5,FALSE),"错误")</f>
        <v>1831</v>
      </c>
      <c r="Y883" s="24" t="str">
        <f t="shared" si="210"/>
        <v/>
      </c>
      <c r="Z883" s="34" t="str">
        <f t="shared" si="211"/>
        <v/>
      </c>
      <c r="AA883" s="34" t="str">
        <f t="shared" si="208"/>
        <v/>
      </c>
      <c r="AB883" s="25" t="str">
        <f t="shared" si="212"/>
        <v>2%</v>
      </c>
      <c r="AC883" s="1">
        <f t="shared" si="213"/>
        <v>-159</v>
      </c>
      <c r="AD883" s="36">
        <f t="shared" si="209"/>
        <v>3</v>
      </c>
      <c r="AE883" t="str">
        <f t="shared" si="214"/>
        <v/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 t="str">
        <f>IFERROR(ROUND(L883*(G883/$AU883)/VLOOKUP(F883,商品!$A$4:$C$60,3,FALSE),0),"")</f>
        <v/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0</v>
      </c>
      <c r="AV883">
        <f t="shared" si="222"/>
        <v>0</v>
      </c>
      <c r="AW883">
        <f t="shared" si="223"/>
        <v>0</v>
      </c>
    </row>
    <row r="884" spans="1:49" ht="20" customHeight="1" x14ac:dyDescent="0.3">
      <c r="A884" s="18" t="s">
        <v>449</v>
      </c>
      <c r="C884" s="18">
        <v>4</v>
      </c>
      <c r="D884" s="21" t="s">
        <v>222</v>
      </c>
      <c r="E884" s="21" t="s">
        <v>225</v>
      </c>
      <c r="L884" s="18">
        <f>IFERROR(VLOOKUP($D884&amp;$C884,生产方式定位!$A$2:$E$38,2,FALSE)+VLOOKUP($E884&amp;$C884,生产方式定位!$F$3:$J$38,2,FALSE),0)</f>
        <v>2150</v>
      </c>
      <c r="S884" s="18">
        <f>IFERROR(VLOOKUP($D884&amp;$C884,生产方式定位!$A$2:$E$38,3,FALSE)+VLOOKUP($E884&amp;$C884,生产方式定位!$F$3:$J$38,3,FALSE),0)</f>
        <v>200</v>
      </c>
      <c r="X884" s="18">
        <f>IFERROR(VLOOKUP($D884&amp;$C884,生产方式定位!$A$2:$E$38,5,FALSE)+VLOOKUP($E884&amp;$C884,生产方式定位!$F$3:$J$38,5,FALSE),"错误")</f>
        <v>2217</v>
      </c>
      <c r="Y884" s="24" t="str">
        <f t="shared" si="210"/>
        <v/>
      </c>
      <c r="Z884" s="34" t="str">
        <f t="shared" si="211"/>
        <v/>
      </c>
      <c r="AA884" s="34" t="str">
        <f t="shared" si="208"/>
        <v/>
      </c>
      <c r="AB884" s="25" t="str">
        <f t="shared" si="212"/>
        <v>3%</v>
      </c>
      <c r="AC884" s="1">
        <f t="shared" si="213"/>
        <v>-133</v>
      </c>
      <c r="AD884" s="36">
        <f t="shared" si="209"/>
        <v>4</v>
      </c>
      <c r="AE884" t="str">
        <f t="shared" si="214"/>
        <v/>
      </c>
      <c r="AF884" t="str">
        <f t="shared" si="215"/>
        <v/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 t="str">
        <f>IFERROR(ROUND(L884*(G884/$AU884)/VLOOKUP(F884,商品!$A$4:$C$60,3,FALSE),0),"")</f>
        <v/>
      </c>
      <c r="AM884" t="str">
        <f>IFERROR(ROUND(L884*(I884/$AU884)/VLOOKUP(H884,商品!$A$4:$C$60,3,FALSE),0),"")</f>
        <v/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0</v>
      </c>
      <c r="AV884">
        <f t="shared" si="222"/>
        <v>0</v>
      </c>
      <c r="AW884">
        <f t="shared" si="223"/>
        <v>0</v>
      </c>
    </row>
    <row r="885" spans="1:49" ht="20" customHeight="1" x14ac:dyDescent="0.3">
      <c r="A885" s="18" t="s">
        <v>449</v>
      </c>
      <c r="C885" s="18">
        <v>5</v>
      </c>
      <c r="D885" s="21" t="s">
        <v>222</v>
      </c>
      <c r="E885" s="21" t="s">
        <v>225</v>
      </c>
      <c r="L885" s="18">
        <f>IFERROR(VLOOKUP($D885&amp;$C885,生产方式定位!$A$2:$E$38,2,FALSE)+VLOOKUP($E885&amp;$C885,生产方式定位!$F$3:$J$38,2,FALSE),0)</f>
        <v>2500</v>
      </c>
      <c r="S885" s="18">
        <f>IFERROR(VLOOKUP($D885&amp;$C885,生产方式定位!$A$2:$E$38,3,FALSE)+VLOOKUP($E885&amp;$C885,生产方式定位!$F$3:$J$38,3,FALSE),0)</f>
        <v>210</v>
      </c>
      <c r="X885" s="18">
        <f>IFERROR(VLOOKUP($D885&amp;$C885,生产方式定位!$A$2:$E$38,5,FALSE)+VLOOKUP($E885&amp;$C885,生产方式定位!$F$3:$J$38,5,FALSE),"错误")</f>
        <v>2870</v>
      </c>
      <c r="Y885" s="24" t="str">
        <f t="shared" si="210"/>
        <v/>
      </c>
      <c r="Z885" s="34" t="str">
        <f t="shared" si="211"/>
        <v/>
      </c>
      <c r="AA885" s="34" t="str">
        <f t="shared" si="208"/>
        <v/>
      </c>
      <c r="AB885" s="25" t="str">
        <f t="shared" si="212"/>
        <v>15%</v>
      </c>
      <c r="AC885" s="1">
        <f t="shared" si="213"/>
        <v>160</v>
      </c>
      <c r="AD885" s="36">
        <f t="shared" si="209"/>
        <v>5</v>
      </c>
      <c r="AE885" t="str">
        <f t="shared" si="214"/>
        <v/>
      </c>
      <c r="AF885" t="str">
        <f t="shared" si="215"/>
        <v/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 t="str">
        <f>IFERROR(ROUND(L885*(G885/$AU885)/VLOOKUP(F885,商品!$A$4:$C$60,3,FALSE),0),"")</f>
        <v/>
      </c>
      <c r="AM885" t="str">
        <f>IFERROR(ROUND(L885*(I885/$AU885)/VLOOKUP(H885,商品!$A$4:$C$60,3,FALSE),0),"")</f>
        <v/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0</v>
      </c>
      <c r="AV885">
        <f t="shared" si="222"/>
        <v>0</v>
      </c>
      <c r="AW885">
        <f t="shared" si="223"/>
        <v>0</v>
      </c>
    </row>
    <row r="886" spans="1:49" ht="20" customHeight="1" x14ac:dyDescent="0.3">
      <c r="A886" s="5" t="s">
        <v>449</v>
      </c>
      <c r="C886" s="5">
        <v>1</v>
      </c>
      <c r="D886" s="21" t="s">
        <v>222</v>
      </c>
      <c r="E886" s="21" t="s">
        <v>225</v>
      </c>
      <c r="L886" s="5">
        <f>IFERROR(VLOOKUP($D886&amp;$C886,生产方式定位!$A$2:$E$38,2,FALSE)+VLOOKUP($E886&amp;$C886,生产方式定位!$F$3:$J$38,2,FALSE),0)</f>
        <v>600</v>
      </c>
      <c r="S886" s="5">
        <f>IFERROR(VLOOKUP($D886&amp;$C886,生产方式定位!$A$2:$E$38,3,FALSE)+VLOOKUP($E886&amp;$C886,生产方式定位!$F$3:$J$38,3,FALSE),0)</f>
        <v>150</v>
      </c>
      <c r="X886" s="5">
        <f>IFERROR(VLOOKUP($D886&amp;$C886,生产方式定位!$A$2:$E$38,5,FALSE)+VLOOKUP($E886&amp;$C886,生产方式定位!$F$3:$J$38,5,FALSE),"错误")</f>
        <v>788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>31%</v>
      </c>
      <c r="AC886" s="1">
        <f t="shared" si="213"/>
        <v>38</v>
      </c>
      <c r="AD886" s="35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20" customHeight="1" x14ac:dyDescent="0.3">
      <c r="A887" s="5" t="s">
        <v>449</v>
      </c>
      <c r="C887" s="5">
        <v>2</v>
      </c>
      <c r="D887" s="21" t="s">
        <v>222</v>
      </c>
      <c r="E887" s="21" t="s">
        <v>225</v>
      </c>
      <c r="L887" s="5">
        <f>IFERROR(VLOOKUP($D887&amp;$C887,生产方式定位!$A$2:$E$38,2,FALSE)+VLOOKUP($E887&amp;$C887,生产方式定位!$F$3:$J$38,2,FALSE),0)</f>
        <v>1450</v>
      </c>
      <c r="S887" s="5">
        <f>IFERROR(VLOOKUP($D887&amp;$C887,生产方式定位!$A$2:$E$38,3,FALSE)+VLOOKUP($E887&amp;$C887,生产方式定位!$F$3:$J$38,3,FALSE),0)</f>
        <v>180</v>
      </c>
      <c r="X887" s="5">
        <f>IFERROR(VLOOKUP($D887&amp;$C887,生产方式定位!$A$2:$E$38,5,FALSE)+VLOOKUP($E887&amp;$C887,生产方式定位!$F$3:$J$38,5,FALSE),"错误")</f>
        <v>1472</v>
      </c>
      <c r="Y887" s="24" t="str">
        <f t="shared" si="210"/>
        <v/>
      </c>
      <c r="Z887" s="34" t="str">
        <f t="shared" si="211"/>
        <v/>
      </c>
      <c r="AA887" s="34" t="str">
        <f t="shared" si="208"/>
        <v/>
      </c>
      <c r="AB887" s="25" t="str">
        <f t="shared" si="212"/>
        <v>2%</v>
      </c>
      <c r="AC887" s="1">
        <f t="shared" si="213"/>
        <v>-158</v>
      </c>
      <c r="AD887" s="35">
        <f t="shared" si="209"/>
        <v>2</v>
      </c>
      <c r="AE887" t="str">
        <f t="shared" si="214"/>
        <v/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 t="str">
        <f>IFERROR(ROUND(L887*(G887/$AU887)/VLOOKUP(F887,商品!$A$4:$C$60,3,FALSE),0),"")</f>
        <v/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0</v>
      </c>
      <c r="AV887">
        <f t="shared" si="222"/>
        <v>0</v>
      </c>
      <c r="AW887">
        <f t="shared" si="223"/>
        <v>0</v>
      </c>
    </row>
    <row r="888" spans="1:49" ht="20" customHeight="1" x14ac:dyDescent="0.3">
      <c r="A888" s="5" t="s">
        <v>449</v>
      </c>
      <c r="C888" s="5">
        <v>3</v>
      </c>
      <c r="D888" s="21" t="s">
        <v>222</v>
      </c>
      <c r="E888" s="21" t="s">
        <v>225</v>
      </c>
      <c r="L888" s="5">
        <f>IFERROR(VLOOKUP($D888&amp;$C888,生产方式定位!$A$2:$E$38,2,FALSE)+VLOOKUP($E888&amp;$C888,生产方式定位!$F$3:$J$38,2,FALSE),0)</f>
        <v>1800</v>
      </c>
      <c r="S888" s="5">
        <f>IFERROR(VLOOKUP($D888&amp;$C888,生产方式定位!$A$2:$E$38,3,FALSE)+VLOOKUP($E888&amp;$C888,生产方式定位!$F$3:$J$38,3,FALSE),0)</f>
        <v>190</v>
      </c>
      <c r="X888" s="5">
        <f>IFERROR(VLOOKUP($D888&amp;$C888,生产方式定位!$A$2:$E$38,5,FALSE)+VLOOKUP($E888&amp;$C888,生产方式定位!$F$3:$J$38,5,FALSE),"错误")</f>
        <v>1831</v>
      </c>
      <c r="Y888" s="24" t="str">
        <f t="shared" si="210"/>
        <v/>
      </c>
      <c r="Z888" s="34" t="str">
        <f t="shared" si="211"/>
        <v/>
      </c>
      <c r="AA888" s="34" t="str">
        <f t="shared" si="208"/>
        <v/>
      </c>
      <c r="AB888" s="25" t="str">
        <f t="shared" si="212"/>
        <v>2%</v>
      </c>
      <c r="AC888" s="1">
        <f t="shared" si="213"/>
        <v>-159</v>
      </c>
      <c r="AD888" s="35">
        <f t="shared" si="209"/>
        <v>3</v>
      </c>
      <c r="AE888" t="str">
        <f t="shared" si="214"/>
        <v/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 t="str">
        <f>IFERROR(ROUND(L888*(G888/$AU888)/VLOOKUP(F888,商品!$A$4:$C$60,3,FALSE),0),"")</f>
        <v/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0</v>
      </c>
      <c r="AV888">
        <f t="shared" si="222"/>
        <v>0</v>
      </c>
      <c r="AW888">
        <f t="shared" si="223"/>
        <v>0</v>
      </c>
    </row>
    <row r="889" spans="1:49" ht="20" customHeight="1" x14ac:dyDescent="0.3">
      <c r="A889" s="5" t="s">
        <v>449</v>
      </c>
      <c r="C889" s="5">
        <v>4</v>
      </c>
      <c r="D889" s="21" t="s">
        <v>222</v>
      </c>
      <c r="E889" s="21" t="s">
        <v>225</v>
      </c>
      <c r="L889" s="5">
        <f>IFERROR(VLOOKUP($D889&amp;$C889,生产方式定位!$A$2:$E$38,2,FALSE)+VLOOKUP($E889&amp;$C889,生产方式定位!$F$3:$J$38,2,FALSE),0)</f>
        <v>2150</v>
      </c>
      <c r="S889" s="5">
        <f>IFERROR(VLOOKUP($D889&amp;$C889,生产方式定位!$A$2:$E$38,3,FALSE)+VLOOKUP($E889&amp;$C889,生产方式定位!$F$3:$J$38,3,FALSE),0)</f>
        <v>200</v>
      </c>
      <c r="X889" s="5">
        <f>IFERROR(VLOOKUP($D889&amp;$C889,生产方式定位!$A$2:$E$38,5,FALSE)+VLOOKUP($E889&amp;$C889,生产方式定位!$F$3:$J$38,5,FALSE),"错误")</f>
        <v>2217</v>
      </c>
      <c r="Y889" s="24" t="str">
        <f t="shared" si="210"/>
        <v/>
      </c>
      <c r="Z889" s="34" t="str">
        <f t="shared" si="211"/>
        <v/>
      </c>
      <c r="AA889" s="34" t="str">
        <f t="shared" si="208"/>
        <v/>
      </c>
      <c r="AB889" s="25" t="str">
        <f t="shared" si="212"/>
        <v>3%</v>
      </c>
      <c r="AC889" s="1">
        <f t="shared" si="213"/>
        <v>-133</v>
      </c>
      <c r="AD889" s="35">
        <f t="shared" si="209"/>
        <v>4</v>
      </c>
      <c r="AE889" t="str">
        <f t="shared" si="214"/>
        <v/>
      </c>
      <c r="AF889" t="str">
        <f t="shared" si="215"/>
        <v/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 t="str">
        <f>IFERROR(ROUND(L889*(G889/$AU889)/VLOOKUP(F889,商品!$A$4:$C$60,3,FALSE),0),"")</f>
        <v/>
      </c>
      <c r="AM889" t="str">
        <f>IFERROR(ROUND(L889*(I889/$AU889)/VLOOKUP(H889,商品!$A$4:$C$60,3,FALSE),0),"")</f>
        <v/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0</v>
      </c>
      <c r="AV889">
        <f t="shared" si="222"/>
        <v>0</v>
      </c>
      <c r="AW889">
        <f t="shared" si="223"/>
        <v>0</v>
      </c>
    </row>
    <row r="890" spans="1:49" ht="20" customHeight="1" x14ac:dyDescent="0.3">
      <c r="A890" s="5" t="s">
        <v>449</v>
      </c>
      <c r="C890" s="5">
        <v>5</v>
      </c>
      <c r="D890" s="21" t="s">
        <v>222</v>
      </c>
      <c r="E890" s="21" t="s">
        <v>225</v>
      </c>
      <c r="L890" s="5">
        <f>IFERROR(VLOOKUP($D890&amp;$C890,生产方式定位!$A$2:$E$38,2,FALSE)+VLOOKUP($E890&amp;$C890,生产方式定位!$F$3:$J$38,2,FALSE),0)</f>
        <v>2500</v>
      </c>
      <c r="S890" s="5">
        <f>IFERROR(VLOOKUP($D890&amp;$C890,生产方式定位!$A$2:$E$38,3,FALSE)+VLOOKUP($E890&amp;$C890,生产方式定位!$F$3:$J$38,3,FALSE),0)</f>
        <v>210</v>
      </c>
      <c r="X890" s="5">
        <f>IFERROR(VLOOKUP($D890&amp;$C890,生产方式定位!$A$2:$E$38,5,FALSE)+VLOOKUP($E890&amp;$C890,生产方式定位!$F$3:$J$38,5,FALSE),"错误")</f>
        <v>2870</v>
      </c>
      <c r="Y890" s="24" t="str">
        <f t="shared" si="210"/>
        <v/>
      </c>
      <c r="Z890" s="34" t="str">
        <f t="shared" si="211"/>
        <v/>
      </c>
      <c r="AA890" s="34" t="str">
        <f t="shared" si="208"/>
        <v/>
      </c>
      <c r="AB890" s="25" t="str">
        <f t="shared" si="212"/>
        <v>15%</v>
      </c>
      <c r="AC890" s="1">
        <f t="shared" si="213"/>
        <v>160</v>
      </c>
      <c r="AD890" s="35">
        <f t="shared" si="209"/>
        <v>5</v>
      </c>
      <c r="AE890" t="str">
        <f t="shared" si="214"/>
        <v/>
      </c>
      <c r="AF890" t="str">
        <f t="shared" si="215"/>
        <v/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 t="str">
        <f>IFERROR(ROUND(L890*(G890/$AU890)/VLOOKUP(F890,商品!$A$4:$C$60,3,FALSE),0),"")</f>
        <v/>
      </c>
      <c r="AM890" t="str">
        <f>IFERROR(ROUND(L890*(I890/$AU890)/VLOOKUP(H890,商品!$A$4:$C$60,3,FALSE),0),"")</f>
        <v/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0</v>
      </c>
      <c r="AV890">
        <f t="shared" si="222"/>
        <v>0</v>
      </c>
      <c r="AW890">
        <f t="shared" si="223"/>
        <v>0</v>
      </c>
    </row>
    <row r="891" spans="1:49" ht="20" customHeight="1" x14ac:dyDescent="0.3">
      <c r="A891" s="18" t="s">
        <v>450</v>
      </c>
      <c r="C891" s="18">
        <v>1</v>
      </c>
      <c r="D891" s="21" t="s">
        <v>292</v>
      </c>
      <c r="E891" s="21" t="s">
        <v>226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/>
      </c>
      <c r="AC891" s="1" t="str">
        <f t="shared" si="213"/>
        <v/>
      </c>
      <c r="AD891" s="36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20" customHeight="1" x14ac:dyDescent="0.3">
      <c r="A892" s="18" t="s">
        <v>450</v>
      </c>
      <c r="C892" s="18">
        <v>2</v>
      </c>
      <c r="D892" s="21" t="s">
        <v>292</v>
      </c>
      <c r="E892" s="21" t="s">
        <v>226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24" t="str">
        <f t="shared" si="210"/>
        <v/>
      </c>
      <c r="Z892" s="34" t="str">
        <f t="shared" si="211"/>
        <v/>
      </c>
      <c r="AA892" s="34" t="str">
        <f t="shared" si="208"/>
        <v/>
      </c>
      <c r="AB892" s="25" t="str">
        <f t="shared" si="212"/>
        <v/>
      </c>
      <c r="AC892" s="1" t="str">
        <f t="shared" si="213"/>
        <v/>
      </c>
      <c r="AD892" s="36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spans="1:49" ht="20" customHeight="1" x14ac:dyDescent="0.3">
      <c r="A893" s="18" t="s">
        <v>450</v>
      </c>
      <c r="C893" s="18">
        <v>3</v>
      </c>
      <c r="D893" s="21" t="s">
        <v>292</v>
      </c>
      <c r="E893" s="21" t="s">
        <v>226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24" t="str">
        <f t="shared" si="210"/>
        <v/>
      </c>
      <c r="Z893" s="34" t="str">
        <f t="shared" si="211"/>
        <v/>
      </c>
      <c r="AA893" s="34" t="str">
        <f t="shared" si="208"/>
        <v/>
      </c>
      <c r="AB893" s="25" t="str">
        <f t="shared" si="212"/>
        <v/>
      </c>
      <c r="AC893" s="1" t="str">
        <f t="shared" si="213"/>
        <v/>
      </c>
      <c r="AD893" s="36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spans="1:49" ht="20" customHeight="1" x14ac:dyDescent="0.3">
      <c r="A894" s="18" t="s">
        <v>450</v>
      </c>
      <c r="C894" s="18">
        <v>4</v>
      </c>
      <c r="D894" s="21" t="s">
        <v>292</v>
      </c>
      <c r="E894" s="21" t="s">
        <v>226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24" t="str">
        <f t="shared" si="210"/>
        <v/>
      </c>
      <c r="Z894" s="34" t="str">
        <f t="shared" si="211"/>
        <v/>
      </c>
      <c r="AA894" s="34" t="str">
        <f t="shared" si="208"/>
        <v/>
      </c>
      <c r="AB894" s="25" t="str">
        <f t="shared" si="212"/>
        <v/>
      </c>
      <c r="AC894" s="1" t="str">
        <f t="shared" si="213"/>
        <v/>
      </c>
      <c r="AD894" s="36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spans="1:49" ht="20" customHeight="1" x14ac:dyDescent="0.3">
      <c r="A895" s="18" t="s">
        <v>450</v>
      </c>
      <c r="C895" s="18">
        <v>5</v>
      </c>
      <c r="D895" s="21" t="s">
        <v>292</v>
      </c>
      <c r="E895" s="21" t="s">
        <v>226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24" t="str">
        <f t="shared" si="210"/>
        <v/>
      </c>
      <c r="Z895" s="34" t="str">
        <f t="shared" si="211"/>
        <v/>
      </c>
      <c r="AA895" s="34" t="str">
        <f t="shared" si="208"/>
        <v/>
      </c>
      <c r="AB895" s="25" t="str">
        <f t="shared" si="212"/>
        <v/>
      </c>
      <c r="AC895" s="1" t="str">
        <f t="shared" si="213"/>
        <v/>
      </c>
      <c r="AD895" s="36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spans="1:49" ht="20" customHeight="1" x14ac:dyDescent="0.3">
      <c r="A896" s="18" t="s">
        <v>450</v>
      </c>
      <c r="C896" s="18">
        <v>6</v>
      </c>
      <c r="D896" s="21" t="s">
        <v>292</v>
      </c>
      <c r="E896" s="21" t="s">
        <v>226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5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20" customHeight="1" x14ac:dyDescent="0.3">
      <c r="A897" s="18" t="s">
        <v>450</v>
      </c>
      <c r="C897" s="18">
        <v>7</v>
      </c>
      <c r="D897" s="21" t="s">
        <v>292</v>
      </c>
      <c r="E897" s="21" t="s">
        <v>226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5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20" customHeight="1" x14ac:dyDescent="0.3">
      <c r="A898" s="18" t="s">
        <v>450</v>
      </c>
      <c r="C898" s="18">
        <v>8</v>
      </c>
      <c r="D898" s="21" t="s">
        <v>292</v>
      </c>
      <c r="E898" s="21" t="s">
        <v>226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5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20" customHeight="1" x14ac:dyDescent="0.3">
      <c r="A899" s="5" t="s">
        <v>452</v>
      </c>
      <c r="C899" s="5">
        <v>1</v>
      </c>
      <c r="D899" s="21" t="s">
        <v>222</v>
      </c>
      <c r="E899" s="21" t="s">
        <v>224</v>
      </c>
      <c r="L899" s="5">
        <f>IFERROR(VLOOKUP($D899&amp;$C899,生产方式定位!$A$2:$E$38,2,FALSE)+VLOOKUP($E899&amp;$C899,生产方式定位!$F$3:$J$38,2,FALSE),0)</f>
        <v>600</v>
      </c>
      <c r="S899" s="5">
        <f>IFERROR(VLOOKUP($D899&amp;$C899,生产方式定位!$A$2:$E$38,3,FALSE)+VLOOKUP($E899&amp;$C899,生产方式定位!$F$3:$J$38,3,FALSE),0)</f>
        <v>150</v>
      </c>
      <c r="X899" s="5">
        <f>IFERROR(VLOOKUP($D899&amp;$C899,生产方式定位!$A$2:$E$38,5,FALSE)+VLOOKUP($E899&amp;$C899,生产方式定位!$F$3:$J$38,5,FALSE),"错误")</f>
        <v>788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>31%</v>
      </c>
      <c r="AC899" s="1">
        <f t="shared" si="213"/>
        <v>38</v>
      </c>
      <c r="AD899" s="35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20" customHeight="1" x14ac:dyDescent="0.3">
      <c r="A900" s="5" t="s">
        <v>452</v>
      </c>
      <c r="C900" s="5">
        <v>2</v>
      </c>
      <c r="D900" s="21" t="s">
        <v>222</v>
      </c>
      <c r="E900" s="21" t="s">
        <v>224</v>
      </c>
      <c r="L900" s="5">
        <f>IFERROR(VLOOKUP($D900&amp;$C900,生产方式定位!$A$2:$E$38,2,FALSE)+VLOOKUP($E900&amp;$C900,生产方式定位!$F$3:$J$38,2,FALSE),0)</f>
        <v>1200</v>
      </c>
      <c r="S900" s="5">
        <f>IFERROR(VLOOKUP($D900&amp;$C900,生产方式定位!$A$2:$E$38,3,FALSE)+VLOOKUP($E900&amp;$C900,生产方式定位!$F$3:$J$38,3,FALSE),0)</f>
        <v>140</v>
      </c>
      <c r="X900" s="5">
        <f>IFERROR(VLOOKUP($D900&amp;$C900,生产方式定位!$A$2:$E$38,5,FALSE)+VLOOKUP($E900&amp;$C900,生产方式定位!$F$3:$J$38,5,FALSE),"错误")</f>
        <v>1390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>16%</v>
      </c>
      <c r="AC900" s="1">
        <f t="shared" si="213"/>
        <v>50</v>
      </c>
      <c r="AD900" s="35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20" customHeight="1" x14ac:dyDescent="0.3">
      <c r="A901" s="5" t="s">
        <v>452</v>
      </c>
      <c r="C901" s="5">
        <v>3</v>
      </c>
      <c r="D901" s="21" t="s">
        <v>222</v>
      </c>
      <c r="E901" s="21" t="s">
        <v>224</v>
      </c>
      <c r="L901" s="5">
        <f>IFERROR(VLOOKUP($D901&amp;$C901,生产方式定位!$A$2:$E$38,2,FALSE)+VLOOKUP($E901&amp;$C901,生产方式定位!$F$3:$J$38,2,FALSE),0)</f>
        <v>1425</v>
      </c>
      <c r="S901" s="5">
        <f>IFERROR(VLOOKUP($D901&amp;$C901,生产方式定位!$A$2:$E$38,3,FALSE)+VLOOKUP($E901&amp;$C901,生产方式定位!$F$3:$J$38,3,FALSE),0)</f>
        <v>130</v>
      </c>
      <c r="X901" s="5">
        <f>IFERROR(VLOOKUP($D901&amp;$C901,生产方式定位!$A$2:$E$38,5,FALSE)+VLOOKUP($E901&amp;$C901,生产方式定位!$F$3:$J$38,5,FALSE),"错误")</f>
        <v>1618</v>
      </c>
      <c r="Y901" s="24" t="str">
        <f t="shared" si="210"/>
        <v/>
      </c>
      <c r="Z901" s="34" t="str">
        <f t="shared" si="211"/>
        <v/>
      </c>
      <c r="AA901" s="34" t="str">
        <f t="shared" ref="AA901:AA964" si="224">IF(AJ901="","",AJ901)&amp;IF(AK901="","",","&amp;AK901)</f>
        <v/>
      </c>
      <c r="AB901" s="25" t="str">
        <f t="shared" si="212"/>
        <v>14%</v>
      </c>
      <c r="AC901" s="1">
        <f t="shared" si="213"/>
        <v>63</v>
      </c>
      <c r="AD901" s="36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20" customHeight="1" x14ac:dyDescent="0.3">
      <c r="A902" s="5" t="s">
        <v>452</v>
      </c>
      <c r="C902" s="5">
        <v>4</v>
      </c>
      <c r="D902" s="21" t="s">
        <v>222</v>
      </c>
      <c r="E902" s="21" t="s">
        <v>224</v>
      </c>
      <c r="L902" s="5">
        <f>IFERROR(VLOOKUP($D902&amp;$C902,生产方式定位!$A$2:$E$38,2,FALSE)+VLOOKUP($E902&amp;$C902,生产方式定位!$F$3:$J$38,2,FALSE),0)</f>
        <v>1650</v>
      </c>
      <c r="S902" s="5">
        <f>IFERROR(VLOOKUP($D902&amp;$C902,生产方式定位!$A$2:$E$38,3,FALSE)+VLOOKUP($E902&amp;$C902,生产方式定位!$F$3:$J$38,3,FALSE),0)</f>
        <v>120</v>
      </c>
      <c r="X902" s="5">
        <f>IFERROR(VLOOKUP($D902&amp;$C902,生产方式定位!$A$2:$E$38,5,FALSE)+VLOOKUP($E902&amp;$C902,生产方式定位!$F$3:$J$38,5,FALSE),"错误")</f>
        <v>1845</v>
      </c>
      <c r="Y902" s="24" t="str">
        <f t="shared" ref="Y902:Y965" si="226">IF(AE902="","",AE902)&amp;IF(AF902="","",","&amp;AF902)&amp;IF(AN902=0,"",",运力*"&amp;AN902)&amp;IF(AO902=0,"",",交易*"&amp;AO902)</f>
        <v/>
      </c>
      <c r="Z902" s="34" t="str">
        <f t="shared" ref="Z902:Z965" si="227">IF(AG902="","",AG902)&amp;IF(AH902="","",","&amp;AH902)&amp;IF(AI902="","",","&amp;AI902)</f>
        <v/>
      </c>
      <c r="AA902" s="34" t="str">
        <f t="shared" si="224"/>
        <v/>
      </c>
      <c r="AB902" s="25" t="str">
        <f t="shared" ref="AB902:AB965" si="228">IFERROR(ROUND(((X902/L902)-1)*100,0)&amp;"%","")</f>
        <v>12%</v>
      </c>
      <c r="AC902" s="1">
        <f t="shared" ref="AC902:AC965" si="229">IF(X902-S902-L902=0,"",X902-S902-L902)</f>
        <v>75</v>
      </c>
      <c r="AD902" s="36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spans="1:49" ht="20" customHeight="1" x14ac:dyDescent="0.3">
      <c r="A903" s="5" t="s">
        <v>452</v>
      </c>
      <c r="C903" s="5">
        <v>5</v>
      </c>
      <c r="D903" s="21" t="s">
        <v>222</v>
      </c>
      <c r="E903" s="21" t="s">
        <v>224</v>
      </c>
      <c r="L903" s="5">
        <f>IFERROR(VLOOKUP($D903&amp;$C903,生产方式定位!$A$2:$E$38,2,FALSE)+VLOOKUP($E903&amp;$C903,生产方式定位!$F$3:$J$38,2,FALSE),0)</f>
        <v>1875</v>
      </c>
      <c r="S903" s="5">
        <f>IFERROR(VLOOKUP($D903&amp;$C903,生产方式定位!$A$2:$E$38,3,FALSE)+VLOOKUP($E903&amp;$C903,生产方式定位!$F$3:$J$38,3,FALSE),0)</f>
        <v>110</v>
      </c>
      <c r="X903" s="5">
        <f>IFERROR(VLOOKUP($D903&amp;$C903,生产方式定位!$A$2:$E$38,5,FALSE)+VLOOKUP($E903&amp;$C903,生产方式定位!$F$3:$J$38,5,FALSE),"错误")</f>
        <v>2073</v>
      </c>
      <c r="Y903" s="24" t="str">
        <f t="shared" si="226"/>
        <v/>
      </c>
      <c r="Z903" s="34" t="str">
        <f t="shared" si="227"/>
        <v/>
      </c>
      <c r="AA903" s="34" t="str">
        <f t="shared" si="224"/>
        <v/>
      </c>
      <c r="AB903" s="25" t="str">
        <f t="shared" si="228"/>
        <v>11%</v>
      </c>
      <c r="AC903" s="1">
        <f t="shared" si="229"/>
        <v>88</v>
      </c>
      <c r="AD903" s="36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20" customHeight="1" x14ac:dyDescent="0.3">
      <c r="A904" s="18" t="s">
        <v>453</v>
      </c>
      <c r="C904" s="18">
        <v>1</v>
      </c>
      <c r="D904" s="21" t="s">
        <v>222</v>
      </c>
      <c r="E904" s="21" t="s">
        <v>225</v>
      </c>
      <c r="L904" s="18">
        <f>IFERROR(VLOOKUP($D904&amp;$C904,生产方式定位!$A$2:$E$38,2,FALSE)+VLOOKUP($E904&amp;$C904,生产方式定位!$F$3:$J$38,2,FALSE),0)</f>
        <v>600</v>
      </c>
      <c r="S904" s="18">
        <f>IFERROR(VLOOKUP($D904&amp;$C904,生产方式定位!$A$2:$E$38,3,FALSE)+VLOOKUP($E904&amp;$C904,生产方式定位!$F$3:$J$38,3,FALSE),0)</f>
        <v>150</v>
      </c>
      <c r="X904" s="18">
        <f>IFERROR(VLOOKUP($D904&amp;$C904,生产方式定位!$A$2:$E$38,5,FALSE)+VLOOKUP($E904&amp;$C904,生产方式定位!$F$3:$J$38,5,FALSE),"错误")</f>
        <v>788</v>
      </c>
      <c r="Y904" s="24" t="str">
        <f t="shared" si="226"/>
        <v/>
      </c>
      <c r="Z904" s="34" t="str">
        <f t="shared" si="227"/>
        <v/>
      </c>
      <c r="AA904" s="34" t="str">
        <f t="shared" si="224"/>
        <v/>
      </c>
      <c r="AB904" s="25" t="str">
        <f t="shared" si="228"/>
        <v>31%</v>
      </c>
      <c r="AC904" s="1">
        <f t="shared" si="229"/>
        <v>38</v>
      </c>
      <c r="AD904" s="36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spans="1:49" ht="20" customHeight="1" x14ac:dyDescent="0.3">
      <c r="A905" s="18" t="s">
        <v>453</v>
      </c>
      <c r="C905" s="18">
        <v>2</v>
      </c>
      <c r="D905" s="21" t="s">
        <v>222</v>
      </c>
      <c r="E905" s="21" t="s">
        <v>225</v>
      </c>
      <c r="L905" s="18">
        <f>IFERROR(VLOOKUP($D905&amp;$C905,生产方式定位!$A$2:$E$38,2,FALSE)+VLOOKUP($E905&amp;$C905,生产方式定位!$F$3:$J$38,2,FALSE),0)</f>
        <v>1450</v>
      </c>
      <c r="S905" s="18">
        <f>IFERROR(VLOOKUP($D905&amp;$C905,生产方式定位!$A$2:$E$38,3,FALSE)+VLOOKUP($E905&amp;$C905,生产方式定位!$F$3:$J$38,3,FALSE),0)</f>
        <v>180</v>
      </c>
      <c r="X905" s="18">
        <f>IFERROR(VLOOKUP($D905&amp;$C905,生产方式定位!$A$2:$E$38,5,FALSE)+VLOOKUP($E905&amp;$C905,生产方式定位!$F$3:$J$38,5,FALSE),"错误")</f>
        <v>1472</v>
      </c>
      <c r="Y905" s="24" t="str">
        <f t="shared" si="226"/>
        <v/>
      </c>
      <c r="Z905" s="34" t="str">
        <f t="shared" si="227"/>
        <v/>
      </c>
      <c r="AA905" s="34" t="str">
        <f t="shared" si="224"/>
        <v/>
      </c>
      <c r="AB905" s="25" t="str">
        <f t="shared" si="228"/>
        <v>2%</v>
      </c>
      <c r="AC905" s="1">
        <f t="shared" si="229"/>
        <v>-158</v>
      </c>
      <c r="AD905" s="36">
        <f t="shared" si="225"/>
        <v>2</v>
      </c>
      <c r="AE905" t="str">
        <f t="shared" si="230"/>
        <v/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 t="str">
        <f>IFERROR(ROUND(L905*(G905/$AU905)/VLOOKUP(F905,商品!$A$4:$C$60,3,FALSE),0),"")</f>
        <v/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0</v>
      </c>
      <c r="AV905">
        <f t="shared" si="238"/>
        <v>0</v>
      </c>
      <c r="AW905">
        <f t="shared" si="239"/>
        <v>0</v>
      </c>
    </row>
    <row r="906" spans="1:49" ht="20" customHeight="1" x14ac:dyDescent="0.3">
      <c r="A906" s="18" t="s">
        <v>453</v>
      </c>
      <c r="C906" s="18">
        <v>3</v>
      </c>
      <c r="D906" s="21" t="s">
        <v>222</v>
      </c>
      <c r="E906" s="21" t="s">
        <v>225</v>
      </c>
      <c r="L906" s="18">
        <f>IFERROR(VLOOKUP($D906&amp;$C906,生产方式定位!$A$2:$E$38,2,FALSE)+VLOOKUP($E906&amp;$C906,生产方式定位!$F$3:$J$38,2,FALSE),0)</f>
        <v>1800</v>
      </c>
      <c r="S906" s="18">
        <f>IFERROR(VLOOKUP($D906&amp;$C906,生产方式定位!$A$2:$E$38,3,FALSE)+VLOOKUP($E906&amp;$C906,生产方式定位!$F$3:$J$38,3,FALSE),0)</f>
        <v>190</v>
      </c>
      <c r="X906" s="18">
        <f>IFERROR(VLOOKUP($D906&amp;$C906,生产方式定位!$A$2:$E$38,5,FALSE)+VLOOKUP($E906&amp;$C906,生产方式定位!$F$3:$J$38,5,FALSE),"错误")</f>
        <v>1831</v>
      </c>
      <c r="Y906" s="24" t="str">
        <f t="shared" si="226"/>
        <v/>
      </c>
      <c r="Z906" s="34" t="str">
        <f t="shared" si="227"/>
        <v/>
      </c>
      <c r="AA906" s="34" t="str">
        <f t="shared" si="224"/>
        <v/>
      </c>
      <c r="AB906" s="25" t="str">
        <f t="shared" si="228"/>
        <v>2%</v>
      </c>
      <c r="AC906" s="1">
        <f t="shared" si="229"/>
        <v>-159</v>
      </c>
      <c r="AD906" s="36">
        <f t="shared" si="225"/>
        <v>3</v>
      </c>
      <c r="AE906" t="str">
        <f t="shared" si="230"/>
        <v/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 t="str">
        <f>IFERROR(ROUND(L906*(G906/$AU906)/VLOOKUP(F906,商品!$A$4:$C$60,3,FALSE),0),"")</f>
        <v/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0</v>
      </c>
      <c r="AV906">
        <f t="shared" si="238"/>
        <v>0</v>
      </c>
      <c r="AW906">
        <f t="shared" si="239"/>
        <v>0</v>
      </c>
    </row>
    <row r="907" spans="1:49" ht="20" customHeight="1" x14ac:dyDescent="0.3">
      <c r="A907" s="18" t="s">
        <v>453</v>
      </c>
      <c r="C907" s="18">
        <v>4</v>
      </c>
      <c r="D907" s="21" t="s">
        <v>222</v>
      </c>
      <c r="E907" s="21" t="s">
        <v>225</v>
      </c>
      <c r="L907" s="18">
        <f>IFERROR(VLOOKUP($D907&amp;$C907,生产方式定位!$A$2:$E$38,2,FALSE)+VLOOKUP($E907&amp;$C907,生产方式定位!$F$3:$J$38,2,FALSE),0)</f>
        <v>2150</v>
      </c>
      <c r="S907" s="18">
        <f>IFERROR(VLOOKUP($D907&amp;$C907,生产方式定位!$A$2:$E$38,3,FALSE)+VLOOKUP($E907&amp;$C907,生产方式定位!$F$3:$J$38,3,FALSE),0)</f>
        <v>200</v>
      </c>
      <c r="X907" s="18">
        <f>IFERROR(VLOOKUP($D907&amp;$C907,生产方式定位!$A$2:$E$38,5,FALSE)+VLOOKUP($E907&amp;$C907,生产方式定位!$F$3:$J$38,5,FALSE),"错误")</f>
        <v>2217</v>
      </c>
      <c r="Y907" s="24" t="str">
        <f t="shared" si="226"/>
        <v/>
      </c>
      <c r="Z907" s="34" t="str">
        <f t="shared" si="227"/>
        <v/>
      </c>
      <c r="AA907" s="34" t="str">
        <f t="shared" si="224"/>
        <v/>
      </c>
      <c r="AB907" s="25" t="str">
        <f t="shared" si="228"/>
        <v>3%</v>
      </c>
      <c r="AC907" s="1">
        <f t="shared" si="229"/>
        <v>-133</v>
      </c>
      <c r="AD907" s="36">
        <f t="shared" si="225"/>
        <v>4</v>
      </c>
      <c r="AE907" t="str">
        <f t="shared" si="230"/>
        <v/>
      </c>
      <c r="AF907" t="str">
        <f t="shared" si="231"/>
        <v/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 t="str">
        <f>IFERROR(ROUND(L907*(G907/$AU907)/VLOOKUP(F907,商品!$A$4:$C$60,3,FALSE),0),"")</f>
        <v/>
      </c>
      <c r="AM907" t="str">
        <f>IFERROR(ROUND(L907*(I907/$AU907)/VLOOKUP(H907,商品!$A$4:$C$60,3,FALSE),0),"")</f>
        <v/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0</v>
      </c>
      <c r="AV907">
        <f t="shared" si="238"/>
        <v>0</v>
      </c>
      <c r="AW907">
        <f t="shared" si="239"/>
        <v>0</v>
      </c>
    </row>
    <row r="908" spans="1:49" ht="20" customHeight="1" x14ac:dyDescent="0.3">
      <c r="A908" s="18" t="s">
        <v>453</v>
      </c>
      <c r="C908" s="18">
        <v>5</v>
      </c>
      <c r="D908" s="21" t="s">
        <v>222</v>
      </c>
      <c r="E908" s="21" t="s">
        <v>225</v>
      </c>
      <c r="L908" s="18">
        <f>IFERROR(VLOOKUP($D908&amp;$C908,生产方式定位!$A$2:$E$38,2,FALSE)+VLOOKUP($E908&amp;$C908,生产方式定位!$F$3:$J$38,2,FALSE),0)</f>
        <v>2500</v>
      </c>
      <c r="S908" s="18">
        <f>IFERROR(VLOOKUP($D908&amp;$C908,生产方式定位!$A$2:$E$38,3,FALSE)+VLOOKUP($E908&amp;$C908,生产方式定位!$F$3:$J$38,3,FALSE),0)</f>
        <v>210</v>
      </c>
      <c r="X908" s="18">
        <f>IFERROR(VLOOKUP($D908&amp;$C908,生产方式定位!$A$2:$E$38,5,FALSE)+VLOOKUP($E908&amp;$C908,生产方式定位!$F$3:$J$38,5,FALSE),"错误")</f>
        <v>2870</v>
      </c>
      <c r="Y908" s="24" t="str">
        <f t="shared" si="226"/>
        <v/>
      </c>
      <c r="Z908" s="34" t="str">
        <f t="shared" si="227"/>
        <v/>
      </c>
      <c r="AA908" s="34" t="str">
        <f t="shared" si="224"/>
        <v/>
      </c>
      <c r="AB908" s="25" t="str">
        <f t="shared" si="228"/>
        <v>15%</v>
      </c>
      <c r="AC908" s="1">
        <f t="shared" si="229"/>
        <v>160</v>
      </c>
      <c r="AD908" s="36">
        <f t="shared" si="225"/>
        <v>5</v>
      </c>
      <c r="AE908" t="str">
        <f t="shared" si="230"/>
        <v/>
      </c>
      <c r="AF908" t="str">
        <f t="shared" si="231"/>
        <v/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 t="str">
        <f>IFERROR(ROUND(L908*(G908/$AU908)/VLOOKUP(F908,商品!$A$4:$C$60,3,FALSE),0),"")</f>
        <v/>
      </c>
      <c r="AM908" t="str">
        <f>IFERROR(ROUND(L908*(I908/$AU908)/VLOOKUP(H908,商品!$A$4:$C$60,3,FALSE),0),"")</f>
        <v/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0</v>
      </c>
      <c r="AV908">
        <f t="shared" si="238"/>
        <v>0</v>
      </c>
      <c r="AW908">
        <f t="shared" si="239"/>
        <v>0</v>
      </c>
    </row>
    <row r="909" spans="1:49" ht="20" customHeight="1" x14ac:dyDescent="0.3">
      <c r="A909" s="5" t="s">
        <v>453</v>
      </c>
      <c r="C909" s="5">
        <v>1</v>
      </c>
      <c r="D909" s="21" t="s">
        <v>222</v>
      </c>
      <c r="E909" s="21" t="s">
        <v>225</v>
      </c>
      <c r="L909" s="5">
        <f>IFERROR(VLOOKUP($D909&amp;$C909,生产方式定位!$A$2:$E$38,2,FALSE)+VLOOKUP($E909&amp;$C909,生产方式定位!$F$3:$J$38,2,FALSE),0)</f>
        <v>600</v>
      </c>
      <c r="S909" s="5">
        <f>IFERROR(VLOOKUP($D909&amp;$C909,生产方式定位!$A$2:$E$38,3,FALSE)+VLOOKUP($E909&amp;$C909,生产方式定位!$F$3:$J$38,3,FALSE),0)</f>
        <v>150</v>
      </c>
      <c r="X909" s="5">
        <f>IFERROR(VLOOKUP($D909&amp;$C909,生产方式定位!$A$2:$E$38,5,FALSE)+VLOOKUP($E909&amp;$C909,生产方式定位!$F$3:$J$38,5,FALSE),"错误")</f>
        <v>788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>31%</v>
      </c>
      <c r="AC909" s="1">
        <f t="shared" si="229"/>
        <v>38</v>
      </c>
      <c r="AD909" s="35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20" customHeight="1" x14ac:dyDescent="0.3">
      <c r="A910" s="5" t="s">
        <v>453</v>
      </c>
      <c r="C910" s="5">
        <v>2</v>
      </c>
      <c r="D910" s="21" t="s">
        <v>222</v>
      </c>
      <c r="E910" s="21" t="s">
        <v>225</v>
      </c>
      <c r="L910" s="5">
        <f>IFERROR(VLOOKUP($D910&amp;$C910,生产方式定位!$A$2:$E$38,2,FALSE)+VLOOKUP($E910&amp;$C910,生产方式定位!$F$3:$J$38,2,FALSE),0)</f>
        <v>1450</v>
      </c>
      <c r="S910" s="5">
        <f>IFERROR(VLOOKUP($D910&amp;$C910,生产方式定位!$A$2:$E$38,3,FALSE)+VLOOKUP($E910&amp;$C910,生产方式定位!$F$3:$J$38,3,FALSE),0)</f>
        <v>180</v>
      </c>
      <c r="X910" s="5">
        <f>IFERROR(VLOOKUP($D910&amp;$C910,生产方式定位!$A$2:$E$38,5,FALSE)+VLOOKUP($E910&amp;$C910,生产方式定位!$F$3:$J$38,5,FALSE),"错误")</f>
        <v>1472</v>
      </c>
      <c r="Y910" s="24" t="str">
        <f t="shared" si="226"/>
        <v/>
      </c>
      <c r="Z910" s="34" t="str">
        <f t="shared" si="227"/>
        <v/>
      </c>
      <c r="AA910" s="34" t="str">
        <f t="shared" si="224"/>
        <v/>
      </c>
      <c r="AB910" s="25" t="str">
        <f t="shared" si="228"/>
        <v>2%</v>
      </c>
      <c r="AC910" s="1">
        <f t="shared" si="229"/>
        <v>-158</v>
      </c>
      <c r="AD910" s="35">
        <f t="shared" si="225"/>
        <v>2</v>
      </c>
      <c r="AE910" t="str">
        <f t="shared" si="230"/>
        <v/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 t="str">
        <f>IFERROR(ROUND(L910*(G910/$AU910)/VLOOKUP(F910,商品!$A$4:$C$60,3,FALSE),0),"")</f>
        <v/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0</v>
      </c>
      <c r="AV910">
        <f t="shared" si="238"/>
        <v>0</v>
      </c>
      <c r="AW910">
        <f t="shared" si="239"/>
        <v>0</v>
      </c>
    </row>
    <row r="911" spans="1:49" ht="20" customHeight="1" x14ac:dyDescent="0.3">
      <c r="A911" s="5" t="s">
        <v>453</v>
      </c>
      <c r="C911" s="5">
        <v>3</v>
      </c>
      <c r="D911" s="21" t="s">
        <v>222</v>
      </c>
      <c r="E911" s="21" t="s">
        <v>225</v>
      </c>
      <c r="L911" s="5">
        <f>IFERROR(VLOOKUP($D911&amp;$C911,生产方式定位!$A$2:$E$38,2,FALSE)+VLOOKUP($E911&amp;$C911,生产方式定位!$F$3:$J$38,2,FALSE),0)</f>
        <v>1800</v>
      </c>
      <c r="S911" s="5">
        <f>IFERROR(VLOOKUP($D911&amp;$C911,生产方式定位!$A$2:$E$38,3,FALSE)+VLOOKUP($E911&amp;$C911,生产方式定位!$F$3:$J$38,3,FALSE),0)</f>
        <v>190</v>
      </c>
      <c r="X911" s="5">
        <f>IFERROR(VLOOKUP($D911&amp;$C911,生产方式定位!$A$2:$E$38,5,FALSE)+VLOOKUP($E911&amp;$C911,生产方式定位!$F$3:$J$38,5,FALSE),"错误")</f>
        <v>1831</v>
      </c>
      <c r="Y911" s="24" t="str">
        <f t="shared" si="226"/>
        <v/>
      </c>
      <c r="Z911" s="34" t="str">
        <f t="shared" si="227"/>
        <v/>
      </c>
      <c r="AA911" s="34" t="str">
        <f t="shared" si="224"/>
        <v/>
      </c>
      <c r="AB911" s="25" t="str">
        <f t="shared" si="228"/>
        <v>2%</v>
      </c>
      <c r="AC911" s="1">
        <f t="shared" si="229"/>
        <v>-159</v>
      </c>
      <c r="AD911" s="35">
        <f t="shared" si="225"/>
        <v>3</v>
      </c>
      <c r="AE911" t="str">
        <f t="shared" si="230"/>
        <v/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 t="str">
        <f>IFERROR(ROUND(L911*(G911/$AU911)/VLOOKUP(F911,商品!$A$4:$C$60,3,FALSE),0),"")</f>
        <v/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0</v>
      </c>
      <c r="AV911">
        <f t="shared" si="238"/>
        <v>0</v>
      </c>
      <c r="AW911">
        <f t="shared" si="239"/>
        <v>0</v>
      </c>
    </row>
    <row r="912" spans="1:49" ht="20" customHeight="1" x14ac:dyDescent="0.3">
      <c r="A912" s="5" t="s">
        <v>453</v>
      </c>
      <c r="C912" s="5">
        <v>4</v>
      </c>
      <c r="D912" s="21" t="s">
        <v>222</v>
      </c>
      <c r="E912" s="21" t="s">
        <v>225</v>
      </c>
      <c r="L912" s="5">
        <f>IFERROR(VLOOKUP($D912&amp;$C912,生产方式定位!$A$2:$E$38,2,FALSE)+VLOOKUP($E912&amp;$C912,生产方式定位!$F$3:$J$38,2,FALSE),0)</f>
        <v>2150</v>
      </c>
      <c r="S912" s="5">
        <f>IFERROR(VLOOKUP($D912&amp;$C912,生产方式定位!$A$2:$E$38,3,FALSE)+VLOOKUP($E912&amp;$C912,生产方式定位!$F$3:$J$38,3,FALSE),0)</f>
        <v>200</v>
      </c>
      <c r="X912" s="5">
        <f>IFERROR(VLOOKUP($D912&amp;$C912,生产方式定位!$A$2:$E$38,5,FALSE)+VLOOKUP($E912&amp;$C912,生产方式定位!$F$3:$J$38,5,FALSE),"错误")</f>
        <v>2217</v>
      </c>
      <c r="Y912" s="24" t="str">
        <f t="shared" si="226"/>
        <v/>
      </c>
      <c r="Z912" s="34" t="str">
        <f t="shared" si="227"/>
        <v/>
      </c>
      <c r="AA912" s="34" t="str">
        <f t="shared" si="224"/>
        <v/>
      </c>
      <c r="AB912" s="25" t="str">
        <f t="shared" si="228"/>
        <v>3%</v>
      </c>
      <c r="AC912" s="1">
        <f t="shared" si="229"/>
        <v>-133</v>
      </c>
      <c r="AD912" s="35">
        <f t="shared" si="225"/>
        <v>4</v>
      </c>
      <c r="AE912" t="str">
        <f t="shared" si="230"/>
        <v/>
      </c>
      <c r="AF912" t="str">
        <f t="shared" si="231"/>
        <v/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 t="str">
        <f>IFERROR(ROUND(L912*(G912/$AU912)/VLOOKUP(F912,商品!$A$4:$C$60,3,FALSE),0),"")</f>
        <v/>
      </c>
      <c r="AM912" t="str">
        <f>IFERROR(ROUND(L912*(I912/$AU912)/VLOOKUP(H912,商品!$A$4:$C$60,3,FALSE),0),"")</f>
        <v/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0</v>
      </c>
      <c r="AV912">
        <f t="shared" si="238"/>
        <v>0</v>
      </c>
      <c r="AW912">
        <f t="shared" si="239"/>
        <v>0</v>
      </c>
    </row>
    <row r="913" spans="1:49" ht="20" customHeight="1" x14ac:dyDescent="0.3">
      <c r="A913" s="5" t="s">
        <v>453</v>
      </c>
      <c r="C913" s="5">
        <v>5</v>
      </c>
      <c r="D913" s="21" t="s">
        <v>222</v>
      </c>
      <c r="E913" s="21" t="s">
        <v>225</v>
      </c>
      <c r="L913" s="5">
        <f>IFERROR(VLOOKUP($D913&amp;$C913,生产方式定位!$A$2:$E$38,2,FALSE)+VLOOKUP($E913&amp;$C913,生产方式定位!$F$3:$J$38,2,FALSE),0)</f>
        <v>2500</v>
      </c>
      <c r="S913" s="5">
        <f>IFERROR(VLOOKUP($D913&amp;$C913,生产方式定位!$A$2:$E$38,3,FALSE)+VLOOKUP($E913&amp;$C913,生产方式定位!$F$3:$J$38,3,FALSE),0)</f>
        <v>210</v>
      </c>
      <c r="X913" s="5">
        <f>IFERROR(VLOOKUP($D913&amp;$C913,生产方式定位!$A$2:$E$38,5,FALSE)+VLOOKUP($E913&amp;$C913,生产方式定位!$F$3:$J$38,5,FALSE),"错误")</f>
        <v>2870</v>
      </c>
      <c r="Y913" s="24" t="str">
        <f t="shared" si="226"/>
        <v/>
      </c>
      <c r="Z913" s="34" t="str">
        <f t="shared" si="227"/>
        <v/>
      </c>
      <c r="AA913" s="34" t="str">
        <f t="shared" si="224"/>
        <v/>
      </c>
      <c r="AB913" s="25" t="str">
        <f t="shared" si="228"/>
        <v>15%</v>
      </c>
      <c r="AC913" s="1">
        <f t="shared" si="229"/>
        <v>160</v>
      </c>
      <c r="AD913" s="35">
        <f t="shared" si="225"/>
        <v>5</v>
      </c>
      <c r="AE913" t="str">
        <f t="shared" si="230"/>
        <v/>
      </c>
      <c r="AF913" t="str">
        <f t="shared" si="231"/>
        <v/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 t="str">
        <f>IFERROR(ROUND(L913*(G913/$AU913)/VLOOKUP(F913,商品!$A$4:$C$60,3,FALSE),0),"")</f>
        <v/>
      </c>
      <c r="AM913" t="str">
        <f>IFERROR(ROUND(L913*(I913/$AU913)/VLOOKUP(H913,商品!$A$4:$C$60,3,FALSE),0),"")</f>
        <v/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0</v>
      </c>
      <c r="AV913">
        <f t="shared" si="238"/>
        <v>0</v>
      </c>
      <c r="AW913">
        <f t="shared" si="239"/>
        <v>0</v>
      </c>
    </row>
    <row r="914" spans="1:49" ht="20" customHeight="1" x14ac:dyDescent="0.3">
      <c r="A914" s="18" t="s">
        <v>454</v>
      </c>
      <c r="C914" s="18">
        <v>1</v>
      </c>
      <c r="D914" s="21" t="s">
        <v>292</v>
      </c>
      <c r="E914" s="21" t="s">
        <v>226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/>
      </c>
      <c r="AC914" s="1" t="str">
        <f t="shared" si="229"/>
        <v/>
      </c>
      <c r="AD914" s="36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20" customHeight="1" x14ac:dyDescent="0.3">
      <c r="A915" s="18" t="s">
        <v>454</v>
      </c>
      <c r="C915" s="18">
        <v>2</v>
      </c>
      <c r="D915" s="21" t="s">
        <v>292</v>
      </c>
      <c r="E915" s="21" t="s">
        <v>226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24" t="str">
        <f t="shared" si="226"/>
        <v/>
      </c>
      <c r="Z915" s="34" t="str">
        <f t="shared" si="227"/>
        <v/>
      </c>
      <c r="AA915" s="34" t="str">
        <f t="shared" si="224"/>
        <v/>
      </c>
      <c r="AB915" s="25" t="str">
        <f t="shared" si="228"/>
        <v/>
      </c>
      <c r="AC915" s="1" t="str">
        <f t="shared" si="229"/>
        <v/>
      </c>
      <c r="AD915" s="36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spans="1:49" ht="20" customHeight="1" x14ac:dyDescent="0.3">
      <c r="A916" s="18" t="s">
        <v>454</v>
      </c>
      <c r="C916" s="18">
        <v>3</v>
      </c>
      <c r="D916" s="21" t="s">
        <v>292</v>
      </c>
      <c r="E916" s="21" t="s">
        <v>226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24" t="str">
        <f t="shared" si="226"/>
        <v/>
      </c>
      <c r="Z916" s="34" t="str">
        <f t="shared" si="227"/>
        <v/>
      </c>
      <c r="AA916" s="34" t="str">
        <f t="shared" si="224"/>
        <v/>
      </c>
      <c r="AB916" s="25" t="str">
        <f t="shared" si="228"/>
        <v/>
      </c>
      <c r="AC916" s="1" t="str">
        <f t="shared" si="229"/>
        <v/>
      </c>
      <c r="AD916" s="36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spans="1:49" ht="20" customHeight="1" x14ac:dyDescent="0.3">
      <c r="A917" s="18" t="s">
        <v>454</v>
      </c>
      <c r="C917" s="18">
        <v>4</v>
      </c>
      <c r="D917" s="21" t="s">
        <v>292</v>
      </c>
      <c r="E917" s="21" t="s">
        <v>226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24" t="str">
        <f t="shared" si="226"/>
        <v/>
      </c>
      <c r="Z917" s="34" t="str">
        <f t="shared" si="227"/>
        <v/>
      </c>
      <c r="AA917" s="34" t="str">
        <f t="shared" si="224"/>
        <v/>
      </c>
      <c r="AB917" s="25" t="str">
        <f t="shared" si="228"/>
        <v/>
      </c>
      <c r="AC917" s="1" t="str">
        <f t="shared" si="229"/>
        <v/>
      </c>
      <c r="AD917" s="36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spans="1:49" ht="20" customHeight="1" x14ac:dyDescent="0.3">
      <c r="A918" s="18" t="s">
        <v>454</v>
      </c>
      <c r="C918" s="18">
        <v>5</v>
      </c>
      <c r="D918" s="21" t="s">
        <v>292</v>
      </c>
      <c r="E918" s="21" t="s">
        <v>226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24" t="str">
        <f t="shared" si="226"/>
        <v/>
      </c>
      <c r="Z918" s="34" t="str">
        <f t="shared" si="227"/>
        <v/>
      </c>
      <c r="AA918" s="34" t="str">
        <f t="shared" si="224"/>
        <v/>
      </c>
      <c r="AB918" s="25" t="str">
        <f t="shared" si="228"/>
        <v/>
      </c>
      <c r="AC918" s="1" t="str">
        <f t="shared" si="229"/>
        <v/>
      </c>
      <c r="AD918" s="36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spans="1:49" ht="20" customHeight="1" x14ac:dyDescent="0.3">
      <c r="A919" s="18" t="s">
        <v>454</v>
      </c>
      <c r="C919" s="18">
        <v>6</v>
      </c>
      <c r="D919" s="21" t="s">
        <v>292</v>
      </c>
      <c r="E919" s="21" t="s">
        <v>226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5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20" customHeight="1" x14ac:dyDescent="0.3">
      <c r="A920" s="18" t="s">
        <v>454</v>
      </c>
      <c r="C920" s="18">
        <v>7</v>
      </c>
      <c r="D920" s="21" t="s">
        <v>292</v>
      </c>
      <c r="E920" s="21" t="s">
        <v>226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5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20" customHeight="1" x14ac:dyDescent="0.3">
      <c r="A921" s="18" t="s">
        <v>454</v>
      </c>
      <c r="C921" s="18">
        <v>8</v>
      </c>
      <c r="D921" s="21" t="s">
        <v>292</v>
      </c>
      <c r="E921" s="21" t="s">
        <v>226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5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20" customHeight="1" x14ac:dyDescent="0.3">
      <c r="A922" s="5" t="s">
        <v>456</v>
      </c>
      <c r="C922" s="5">
        <v>1</v>
      </c>
      <c r="D922" s="21" t="s">
        <v>222</v>
      </c>
      <c r="E922" s="21" t="s">
        <v>224</v>
      </c>
      <c r="L922" s="5">
        <f>IFERROR(VLOOKUP($D922&amp;$C922,生产方式定位!$A$2:$E$38,2,FALSE)+VLOOKUP($E922&amp;$C922,生产方式定位!$F$3:$J$38,2,FALSE),0)</f>
        <v>600</v>
      </c>
      <c r="S922" s="5">
        <f>IFERROR(VLOOKUP($D922&amp;$C922,生产方式定位!$A$2:$E$38,3,FALSE)+VLOOKUP($E922&amp;$C922,生产方式定位!$F$3:$J$38,3,FALSE),0)</f>
        <v>150</v>
      </c>
      <c r="X922" s="5">
        <f>IFERROR(VLOOKUP($D922&amp;$C922,生产方式定位!$A$2:$E$38,5,FALSE)+VLOOKUP($E922&amp;$C922,生产方式定位!$F$3:$J$38,5,FALSE),"错误")</f>
        <v>788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>31%</v>
      </c>
      <c r="AC922" s="1">
        <f t="shared" si="229"/>
        <v>38</v>
      </c>
      <c r="AD922" s="35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20" customHeight="1" x14ac:dyDescent="0.3">
      <c r="A923" s="5" t="s">
        <v>456</v>
      </c>
      <c r="C923" s="5">
        <v>2</v>
      </c>
      <c r="D923" s="21" t="s">
        <v>222</v>
      </c>
      <c r="E923" s="21" t="s">
        <v>224</v>
      </c>
      <c r="L923" s="5">
        <f>IFERROR(VLOOKUP($D923&amp;$C923,生产方式定位!$A$2:$E$38,2,FALSE)+VLOOKUP($E923&amp;$C923,生产方式定位!$F$3:$J$38,2,FALSE),0)</f>
        <v>1200</v>
      </c>
      <c r="S923" s="5">
        <f>IFERROR(VLOOKUP($D923&amp;$C923,生产方式定位!$A$2:$E$38,3,FALSE)+VLOOKUP($E923&amp;$C923,生产方式定位!$F$3:$J$38,3,FALSE),0)</f>
        <v>140</v>
      </c>
      <c r="X923" s="5">
        <f>IFERROR(VLOOKUP($D923&amp;$C923,生产方式定位!$A$2:$E$38,5,FALSE)+VLOOKUP($E923&amp;$C923,生产方式定位!$F$3:$J$38,5,FALSE),"错误")</f>
        <v>1390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>16%</v>
      </c>
      <c r="AC923" s="1">
        <f t="shared" si="229"/>
        <v>50</v>
      </c>
      <c r="AD923" s="35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20" customHeight="1" x14ac:dyDescent="0.3">
      <c r="A924" s="5" t="s">
        <v>456</v>
      </c>
      <c r="C924" s="5">
        <v>3</v>
      </c>
      <c r="D924" s="21" t="s">
        <v>222</v>
      </c>
      <c r="E924" s="21" t="s">
        <v>224</v>
      </c>
      <c r="L924" s="5">
        <f>IFERROR(VLOOKUP($D924&amp;$C924,生产方式定位!$A$2:$E$38,2,FALSE)+VLOOKUP($E924&amp;$C924,生产方式定位!$F$3:$J$38,2,FALSE),0)</f>
        <v>1425</v>
      </c>
      <c r="S924" s="5">
        <f>IFERROR(VLOOKUP($D924&amp;$C924,生产方式定位!$A$2:$E$38,3,FALSE)+VLOOKUP($E924&amp;$C924,生产方式定位!$F$3:$J$38,3,FALSE),0)</f>
        <v>130</v>
      </c>
      <c r="X924" s="5">
        <f>IFERROR(VLOOKUP($D924&amp;$C924,生产方式定位!$A$2:$E$38,5,FALSE)+VLOOKUP($E924&amp;$C924,生产方式定位!$F$3:$J$38,5,FALSE),"错误")</f>
        <v>1618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>14%</v>
      </c>
      <c r="AC924" s="1">
        <f t="shared" si="229"/>
        <v>63</v>
      </c>
      <c r="AD924" s="36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20" customHeight="1" x14ac:dyDescent="0.3">
      <c r="A925" s="5" t="s">
        <v>456</v>
      </c>
      <c r="C925" s="5">
        <v>4</v>
      </c>
      <c r="D925" s="21" t="s">
        <v>222</v>
      </c>
      <c r="E925" s="21" t="s">
        <v>224</v>
      </c>
      <c r="L925" s="5">
        <f>IFERROR(VLOOKUP($D925&amp;$C925,生产方式定位!$A$2:$E$38,2,FALSE)+VLOOKUP($E925&amp;$C925,生产方式定位!$F$3:$J$38,2,FALSE),0)</f>
        <v>1650</v>
      </c>
      <c r="S925" s="5">
        <f>IFERROR(VLOOKUP($D925&amp;$C925,生产方式定位!$A$2:$E$38,3,FALSE)+VLOOKUP($E925&amp;$C925,生产方式定位!$F$3:$J$38,3,FALSE),0)</f>
        <v>120</v>
      </c>
      <c r="X925" s="5">
        <f>IFERROR(VLOOKUP($D925&amp;$C925,生产方式定位!$A$2:$E$38,5,FALSE)+VLOOKUP($E925&amp;$C925,生产方式定位!$F$3:$J$38,5,FALSE),"错误")</f>
        <v>1845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>12%</v>
      </c>
      <c r="AC925" s="1">
        <f t="shared" si="229"/>
        <v>75</v>
      </c>
      <c r="AD925" s="36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20" customHeight="1" x14ac:dyDescent="0.3">
      <c r="A926" s="5" t="s">
        <v>456</v>
      </c>
      <c r="C926" s="5">
        <v>5</v>
      </c>
      <c r="D926" s="21" t="s">
        <v>222</v>
      </c>
      <c r="E926" s="21" t="s">
        <v>224</v>
      </c>
      <c r="L926" s="5">
        <f>IFERROR(VLOOKUP($D926&amp;$C926,生产方式定位!$A$2:$E$38,2,FALSE)+VLOOKUP($E926&amp;$C926,生产方式定位!$F$3:$J$38,2,FALSE),0)</f>
        <v>1875</v>
      </c>
      <c r="S926" s="5">
        <f>IFERROR(VLOOKUP($D926&amp;$C926,生产方式定位!$A$2:$E$38,3,FALSE)+VLOOKUP($E926&amp;$C926,生产方式定位!$F$3:$J$38,3,FALSE),0)</f>
        <v>110</v>
      </c>
      <c r="X926" s="5">
        <f>IFERROR(VLOOKUP($D926&amp;$C926,生产方式定位!$A$2:$E$38,5,FALSE)+VLOOKUP($E926&amp;$C926,生产方式定位!$F$3:$J$38,5,FALSE),"错误")</f>
        <v>2073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>11%</v>
      </c>
      <c r="AC926" s="1">
        <f t="shared" si="229"/>
        <v>88</v>
      </c>
      <c r="AD926" s="36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20" customHeight="1" x14ac:dyDescent="0.3">
      <c r="A927" s="18" t="s">
        <v>457</v>
      </c>
      <c r="C927" s="18">
        <v>1</v>
      </c>
      <c r="D927" s="21" t="s">
        <v>222</v>
      </c>
      <c r="E927" s="21" t="s">
        <v>225</v>
      </c>
      <c r="L927" s="18">
        <f>IFERROR(VLOOKUP($D927&amp;$C927,生产方式定位!$A$2:$E$38,2,FALSE)+VLOOKUP($E927&amp;$C927,生产方式定位!$F$3:$J$38,2,FALSE),0)</f>
        <v>600</v>
      </c>
      <c r="S927" s="18">
        <f>IFERROR(VLOOKUP($D927&amp;$C927,生产方式定位!$A$2:$E$38,3,FALSE)+VLOOKUP($E927&amp;$C927,生产方式定位!$F$3:$J$38,3,FALSE),0)</f>
        <v>150</v>
      </c>
      <c r="X927" s="18">
        <f>IFERROR(VLOOKUP($D927&amp;$C927,生产方式定位!$A$2:$E$38,5,FALSE)+VLOOKUP($E927&amp;$C927,生产方式定位!$F$3:$J$38,5,FALSE),"错误")</f>
        <v>788</v>
      </c>
      <c r="Y927" s="24" t="str">
        <f t="shared" si="226"/>
        <v/>
      </c>
      <c r="Z927" s="34" t="str">
        <f t="shared" si="227"/>
        <v/>
      </c>
      <c r="AA927" s="34" t="str">
        <f t="shared" si="224"/>
        <v/>
      </c>
      <c r="AB927" s="25" t="str">
        <f t="shared" si="228"/>
        <v>31%</v>
      </c>
      <c r="AC927" s="1">
        <f t="shared" si="229"/>
        <v>38</v>
      </c>
      <c r="AD927" s="36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spans="1:49" ht="20" customHeight="1" x14ac:dyDescent="0.3">
      <c r="A928" s="18" t="s">
        <v>457</v>
      </c>
      <c r="C928" s="18">
        <v>2</v>
      </c>
      <c r="D928" s="21" t="s">
        <v>222</v>
      </c>
      <c r="E928" s="21" t="s">
        <v>225</v>
      </c>
      <c r="L928" s="18">
        <f>IFERROR(VLOOKUP($D928&amp;$C928,生产方式定位!$A$2:$E$38,2,FALSE)+VLOOKUP($E928&amp;$C928,生产方式定位!$F$3:$J$38,2,FALSE),0)</f>
        <v>1450</v>
      </c>
      <c r="S928" s="18">
        <f>IFERROR(VLOOKUP($D928&amp;$C928,生产方式定位!$A$2:$E$38,3,FALSE)+VLOOKUP($E928&amp;$C928,生产方式定位!$F$3:$J$38,3,FALSE),0)</f>
        <v>180</v>
      </c>
      <c r="X928" s="18">
        <f>IFERROR(VLOOKUP($D928&amp;$C928,生产方式定位!$A$2:$E$38,5,FALSE)+VLOOKUP($E928&amp;$C928,生产方式定位!$F$3:$J$38,5,FALSE),"错误")</f>
        <v>1472</v>
      </c>
      <c r="Y928" s="24" t="str">
        <f t="shared" si="226"/>
        <v/>
      </c>
      <c r="Z928" s="34" t="str">
        <f t="shared" si="227"/>
        <v/>
      </c>
      <c r="AA928" s="34" t="str">
        <f t="shared" si="224"/>
        <v/>
      </c>
      <c r="AB928" s="25" t="str">
        <f t="shared" si="228"/>
        <v>2%</v>
      </c>
      <c r="AC928" s="1">
        <f t="shared" si="229"/>
        <v>-158</v>
      </c>
      <c r="AD928" s="36">
        <f t="shared" si="225"/>
        <v>2</v>
      </c>
      <c r="AE928" t="str">
        <f t="shared" si="230"/>
        <v/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 t="str">
        <f>IFERROR(ROUND(L928*(G928/$AU928)/VLOOKUP(F928,商品!$A$4:$C$60,3,FALSE),0),"")</f>
        <v/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0</v>
      </c>
      <c r="AV928">
        <f t="shared" si="238"/>
        <v>0</v>
      </c>
      <c r="AW928">
        <f t="shared" si="239"/>
        <v>0</v>
      </c>
    </row>
    <row r="929" spans="1:49" ht="20" customHeight="1" x14ac:dyDescent="0.3">
      <c r="A929" s="18" t="s">
        <v>457</v>
      </c>
      <c r="C929" s="18">
        <v>3</v>
      </c>
      <c r="D929" s="21" t="s">
        <v>222</v>
      </c>
      <c r="E929" s="21" t="s">
        <v>225</v>
      </c>
      <c r="L929" s="18">
        <f>IFERROR(VLOOKUP($D929&amp;$C929,生产方式定位!$A$2:$E$38,2,FALSE)+VLOOKUP($E929&amp;$C929,生产方式定位!$F$3:$J$38,2,FALSE),0)</f>
        <v>1800</v>
      </c>
      <c r="S929" s="18">
        <f>IFERROR(VLOOKUP($D929&amp;$C929,生产方式定位!$A$2:$E$38,3,FALSE)+VLOOKUP($E929&amp;$C929,生产方式定位!$F$3:$J$38,3,FALSE),0)</f>
        <v>190</v>
      </c>
      <c r="X929" s="18">
        <f>IFERROR(VLOOKUP($D929&amp;$C929,生产方式定位!$A$2:$E$38,5,FALSE)+VLOOKUP($E929&amp;$C929,生产方式定位!$F$3:$J$38,5,FALSE),"错误")</f>
        <v>1831</v>
      </c>
      <c r="Y929" s="24" t="str">
        <f t="shared" si="226"/>
        <v/>
      </c>
      <c r="Z929" s="34" t="str">
        <f t="shared" si="227"/>
        <v/>
      </c>
      <c r="AA929" s="34" t="str">
        <f t="shared" si="224"/>
        <v/>
      </c>
      <c r="AB929" s="25" t="str">
        <f t="shared" si="228"/>
        <v>2%</v>
      </c>
      <c r="AC929" s="1">
        <f t="shared" si="229"/>
        <v>-159</v>
      </c>
      <c r="AD929" s="36">
        <f t="shared" si="225"/>
        <v>3</v>
      </c>
      <c r="AE929" t="str">
        <f t="shared" si="230"/>
        <v/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 t="str">
        <f>IFERROR(ROUND(L929*(G929/$AU929)/VLOOKUP(F929,商品!$A$4:$C$60,3,FALSE),0),"")</f>
        <v/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0</v>
      </c>
      <c r="AV929">
        <f t="shared" si="238"/>
        <v>0</v>
      </c>
      <c r="AW929">
        <f t="shared" si="239"/>
        <v>0</v>
      </c>
    </row>
    <row r="930" spans="1:49" ht="20" customHeight="1" x14ac:dyDescent="0.3">
      <c r="A930" s="18" t="s">
        <v>457</v>
      </c>
      <c r="C930" s="18">
        <v>4</v>
      </c>
      <c r="D930" s="21" t="s">
        <v>222</v>
      </c>
      <c r="E930" s="21" t="s">
        <v>225</v>
      </c>
      <c r="L930" s="18">
        <f>IFERROR(VLOOKUP($D930&amp;$C930,生产方式定位!$A$2:$E$38,2,FALSE)+VLOOKUP($E930&amp;$C930,生产方式定位!$F$3:$J$38,2,FALSE),0)</f>
        <v>2150</v>
      </c>
      <c r="S930" s="18">
        <f>IFERROR(VLOOKUP($D930&amp;$C930,生产方式定位!$A$2:$E$38,3,FALSE)+VLOOKUP($E930&amp;$C930,生产方式定位!$F$3:$J$38,3,FALSE),0)</f>
        <v>200</v>
      </c>
      <c r="X930" s="18">
        <f>IFERROR(VLOOKUP($D930&amp;$C930,生产方式定位!$A$2:$E$38,5,FALSE)+VLOOKUP($E930&amp;$C930,生产方式定位!$F$3:$J$38,5,FALSE),"错误")</f>
        <v>2217</v>
      </c>
      <c r="Y930" s="24" t="str">
        <f t="shared" si="226"/>
        <v/>
      </c>
      <c r="Z930" s="34" t="str">
        <f t="shared" si="227"/>
        <v/>
      </c>
      <c r="AA930" s="34" t="str">
        <f t="shared" si="224"/>
        <v/>
      </c>
      <c r="AB930" s="25" t="str">
        <f t="shared" si="228"/>
        <v>3%</v>
      </c>
      <c r="AC930" s="1">
        <f t="shared" si="229"/>
        <v>-133</v>
      </c>
      <c r="AD930" s="36">
        <f t="shared" si="225"/>
        <v>4</v>
      </c>
      <c r="AE930" t="str">
        <f t="shared" si="230"/>
        <v/>
      </c>
      <c r="AF930" t="str">
        <f t="shared" si="231"/>
        <v/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 t="str">
        <f>IFERROR(ROUND(L930*(G930/$AU930)/VLOOKUP(F930,商品!$A$4:$C$60,3,FALSE),0),"")</f>
        <v/>
      </c>
      <c r="AM930" t="str">
        <f>IFERROR(ROUND(L930*(I930/$AU930)/VLOOKUP(H930,商品!$A$4:$C$60,3,FALSE),0),"")</f>
        <v/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0</v>
      </c>
      <c r="AV930">
        <f t="shared" si="238"/>
        <v>0</v>
      </c>
      <c r="AW930">
        <f t="shared" si="239"/>
        <v>0</v>
      </c>
    </row>
    <row r="931" spans="1:49" ht="20" customHeight="1" x14ac:dyDescent="0.3">
      <c r="A931" s="18" t="s">
        <v>457</v>
      </c>
      <c r="C931" s="18">
        <v>5</v>
      </c>
      <c r="D931" s="21" t="s">
        <v>222</v>
      </c>
      <c r="E931" s="21" t="s">
        <v>225</v>
      </c>
      <c r="L931" s="18">
        <f>IFERROR(VLOOKUP($D931&amp;$C931,生产方式定位!$A$2:$E$38,2,FALSE)+VLOOKUP($E931&amp;$C931,生产方式定位!$F$3:$J$38,2,FALSE),0)</f>
        <v>2500</v>
      </c>
      <c r="S931" s="18">
        <f>IFERROR(VLOOKUP($D931&amp;$C931,生产方式定位!$A$2:$E$38,3,FALSE)+VLOOKUP($E931&amp;$C931,生产方式定位!$F$3:$J$38,3,FALSE),0)</f>
        <v>210</v>
      </c>
      <c r="X931" s="18">
        <f>IFERROR(VLOOKUP($D931&amp;$C931,生产方式定位!$A$2:$E$38,5,FALSE)+VLOOKUP($E931&amp;$C931,生产方式定位!$F$3:$J$38,5,FALSE),"错误")</f>
        <v>2870</v>
      </c>
      <c r="Y931" s="24" t="str">
        <f t="shared" si="226"/>
        <v/>
      </c>
      <c r="Z931" s="34" t="str">
        <f t="shared" si="227"/>
        <v/>
      </c>
      <c r="AA931" s="34" t="str">
        <f t="shared" si="224"/>
        <v/>
      </c>
      <c r="AB931" s="25" t="str">
        <f t="shared" si="228"/>
        <v>15%</v>
      </c>
      <c r="AC931" s="1">
        <f t="shared" si="229"/>
        <v>160</v>
      </c>
      <c r="AD931" s="36">
        <f t="shared" si="225"/>
        <v>5</v>
      </c>
      <c r="AE931" t="str">
        <f t="shared" si="230"/>
        <v/>
      </c>
      <c r="AF931" t="str">
        <f t="shared" si="231"/>
        <v/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 t="str">
        <f>IFERROR(ROUND(L931*(G931/$AU931)/VLOOKUP(F931,商品!$A$4:$C$60,3,FALSE),0),"")</f>
        <v/>
      </c>
      <c r="AM931" t="str">
        <f>IFERROR(ROUND(L931*(I931/$AU931)/VLOOKUP(H931,商品!$A$4:$C$60,3,FALSE),0),"")</f>
        <v/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0</v>
      </c>
      <c r="AV931">
        <f t="shared" si="238"/>
        <v>0</v>
      </c>
      <c r="AW931">
        <f t="shared" si="239"/>
        <v>0</v>
      </c>
    </row>
    <row r="932" spans="1:49" ht="20" customHeight="1" x14ac:dyDescent="0.3">
      <c r="A932" s="5" t="s">
        <v>457</v>
      </c>
      <c r="C932" s="5">
        <v>1</v>
      </c>
      <c r="D932" s="21" t="s">
        <v>222</v>
      </c>
      <c r="E932" s="21" t="s">
        <v>225</v>
      </c>
      <c r="L932" s="5">
        <f>IFERROR(VLOOKUP($D932&amp;$C932,生产方式定位!$A$2:$E$38,2,FALSE)+VLOOKUP($E932&amp;$C932,生产方式定位!$F$3:$J$38,2,FALSE),0)</f>
        <v>600</v>
      </c>
      <c r="S932" s="5">
        <f>IFERROR(VLOOKUP($D932&amp;$C932,生产方式定位!$A$2:$E$38,3,FALSE)+VLOOKUP($E932&amp;$C932,生产方式定位!$F$3:$J$38,3,FALSE),0)</f>
        <v>150</v>
      </c>
      <c r="X932" s="5">
        <f>IFERROR(VLOOKUP($D932&amp;$C932,生产方式定位!$A$2:$E$38,5,FALSE)+VLOOKUP($E932&amp;$C932,生产方式定位!$F$3:$J$38,5,FALSE),"错误")</f>
        <v>788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>31%</v>
      </c>
      <c r="AC932" s="1">
        <f t="shared" si="229"/>
        <v>38</v>
      </c>
      <c r="AD932" s="35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20" customHeight="1" x14ac:dyDescent="0.3">
      <c r="A933" s="5" t="s">
        <v>457</v>
      </c>
      <c r="C933" s="5">
        <v>2</v>
      </c>
      <c r="D933" s="21" t="s">
        <v>222</v>
      </c>
      <c r="E933" s="21" t="s">
        <v>225</v>
      </c>
      <c r="L933" s="5">
        <f>IFERROR(VLOOKUP($D933&amp;$C933,生产方式定位!$A$2:$E$38,2,FALSE)+VLOOKUP($E933&amp;$C933,生产方式定位!$F$3:$J$38,2,FALSE),0)</f>
        <v>1450</v>
      </c>
      <c r="S933" s="5">
        <f>IFERROR(VLOOKUP($D933&amp;$C933,生产方式定位!$A$2:$E$38,3,FALSE)+VLOOKUP($E933&amp;$C933,生产方式定位!$F$3:$J$38,3,FALSE),0)</f>
        <v>180</v>
      </c>
      <c r="X933" s="5">
        <f>IFERROR(VLOOKUP($D933&amp;$C933,生产方式定位!$A$2:$E$38,5,FALSE)+VLOOKUP($E933&amp;$C933,生产方式定位!$F$3:$J$38,5,FALSE),"错误")</f>
        <v>1472</v>
      </c>
      <c r="Y933" s="24" t="str">
        <f t="shared" si="226"/>
        <v/>
      </c>
      <c r="Z933" s="34" t="str">
        <f t="shared" si="227"/>
        <v/>
      </c>
      <c r="AA933" s="34" t="str">
        <f t="shared" si="224"/>
        <v/>
      </c>
      <c r="AB933" s="25" t="str">
        <f t="shared" si="228"/>
        <v>2%</v>
      </c>
      <c r="AC933" s="1">
        <f t="shared" si="229"/>
        <v>-158</v>
      </c>
      <c r="AD933" s="35">
        <f t="shared" si="225"/>
        <v>2</v>
      </c>
      <c r="AE933" t="str">
        <f t="shared" si="230"/>
        <v/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 t="str">
        <f>IFERROR(ROUND(L933*(G933/$AU933)/VLOOKUP(F933,商品!$A$4:$C$60,3,FALSE),0),"")</f>
        <v/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0</v>
      </c>
      <c r="AV933">
        <f t="shared" si="238"/>
        <v>0</v>
      </c>
      <c r="AW933">
        <f t="shared" si="239"/>
        <v>0</v>
      </c>
    </row>
    <row r="934" spans="1:49" ht="20" customHeight="1" x14ac:dyDescent="0.3">
      <c r="A934" s="5" t="s">
        <v>457</v>
      </c>
      <c r="C934" s="5">
        <v>3</v>
      </c>
      <c r="D934" s="21" t="s">
        <v>222</v>
      </c>
      <c r="E934" s="21" t="s">
        <v>225</v>
      </c>
      <c r="L934" s="5">
        <f>IFERROR(VLOOKUP($D934&amp;$C934,生产方式定位!$A$2:$E$38,2,FALSE)+VLOOKUP($E934&amp;$C934,生产方式定位!$F$3:$J$38,2,FALSE),0)</f>
        <v>1800</v>
      </c>
      <c r="S934" s="5">
        <f>IFERROR(VLOOKUP($D934&amp;$C934,生产方式定位!$A$2:$E$38,3,FALSE)+VLOOKUP($E934&amp;$C934,生产方式定位!$F$3:$J$38,3,FALSE),0)</f>
        <v>190</v>
      </c>
      <c r="X934" s="5">
        <f>IFERROR(VLOOKUP($D934&amp;$C934,生产方式定位!$A$2:$E$38,5,FALSE)+VLOOKUP($E934&amp;$C934,生产方式定位!$F$3:$J$38,5,FALSE),"错误")</f>
        <v>1831</v>
      </c>
      <c r="Y934" s="24" t="str">
        <f t="shared" si="226"/>
        <v/>
      </c>
      <c r="Z934" s="34" t="str">
        <f t="shared" si="227"/>
        <v/>
      </c>
      <c r="AA934" s="34" t="str">
        <f t="shared" si="224"/>
        <v/>
      </c>
      <c r="AB934" s="25" t="str">
        <f t="shared" si="228"/>
        <v>2%</v>
      </c>
      <c r="AC934" s="1">
        <f t="shared" si="229"/>
        <v>-159</v>
      </c>
      <c r="AD934" s="35">
        <f t="shared" si="225"/>
        <v>3</v>
      </c>
      <c r="AE934" t="str">
        <f t="shared" si="230"/>
        <v/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 t="str">
        <f>IFERROR(ROUND(L934*(G934/$AU934)/VLOOKUP(F934,商品!$A$4:$C$60,3,FALSE),0),"")</f>
        <v/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0</v>
      </c>
      <c r="AV934">
        <f t="shared" si="238"/>
        <v>0</v>
      </c>
      <c r="AW934">
        <f t="shared" si="239"/>
        <v>0</v>
      </c>
    </row>
    <row r="935" spans="1:49" ht="20" customHeight="1" x14ac:dyDescent="0.3">
      <c r="A935" s="5" t="s">
        <v>457</v>
      </c>
      <c r="C935" s="5">
        <v>4</v>
      </c>
      <c r="D935" s="21" t="s">
        <v>222</v>
      </c>
      <c r="E935" s="21" t="s">
        <v>225</v>
      </c>
      <c r="L935" s="5">
        <f>IFERROR(VLOOKUP($D935&amp;$C935,生产方式定位!$A$2:$E$38,2,FALSE)+VLOOKUP($E935&amp;$C935,生产方式定位!$F$3:$J$38,2,FALSE),0)</f>
        <v>2150</v>
      </c>
      <c r="S935" s="5">
        <f>IFERROR(VLOOKUP($D935&amp;$C935,生产方式定位!$A$2:$E$38,3,FALSE)+VLOOKUP($E935&amp;$C935,生产方式定位!$F$3:$J$38,3,FALSE),0)</f>
        <v>200</v>
      </c>
      <c r="X935" s="5">
        <f>IFERROR(VLOOKUP($D935&amp;$C935,生产方式定位!$A$2:$E$38,5,FALSE)+VLOOKUP($E935&amp;$C935,生产方式定位!$F$3:$J$38,5,FALSE),"错误")</f>
        <v>2217</v>
      </c>
      <c r="Y935" s="24" t="str">
        <f t="shared" si="226"/>
        <v/>
      </c>
      <c r="Z935" s="34" t="str">
        <f t="shared" si="227"/>
        <v/>
      </c>
      <c r="AA935" s="34" t="str">
        <f t="shared" si="224"/>
        <v/>
      </c>
      <c r="AB935" s="25" t="str">
        <f t="shared" si="228"/>
        <v>3%</v>
      </c>
      <c r="AC935" s="1">
        <f t="shared" si="229"/>
        <v>-133</v>
      </c>
      <c r="AD935" s="35">
        <f t="shared" si="225"/>
        <v>4</v>
      </c>
      <c r="AE935" t="str">
        <f t="shared" si="230"/>
        <v/>
      </c>
      <c r="AF935" t="str">
        <f t="shared" si="231"/>
        <v/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 t="str">
        <f>IFERROR(ROUND(L935*(G935/$AU935)/VLOOKUP(F935,商品!$A$4:$C$60,3,FALSE),0),"")</f>
        <v/>
      </c>
      <c r="AM935" t="str">
        <f>IFERROR(ROUND(L935*(I935/$AU935)/VLOOKUP(H935,商品!$A$4:$C$60,3,FALSE),0),"")</f>
        <v/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0</v>
      </c>
      <c r="AV935">
        <f t="shared" si="238"/>
        <v>0</v>
      </c>
      <c r="AW935">
        <f t="shared" si="239"/>
        <v>0</v>
      </c>
    </row>
    <row r="936" spans="1:49" ht="20" customHeight="1" x14ac:dyDescent="0.3">
      <c r="A936" s="5" t="s">
        <v>457</v>
      </c>
      <c r="C936" s="5">
        <v>5</v>
      </c>
      <c r="D936" s="21" t="s">
        <v>222</v>
      </c>
      <c r="E936" s="21" t="s">
        <v>225</v>
      </c>
      <c r="L936" s="5">
        <f>IFERROR(VLOOKUP($D936&amp;$C936,生产方式定位!$A$2:$E$38,2,FALSE)+VLOOKUP($E936&amp;$C936,生产方式定位!$F$3:$J$38,2,FALSE),0)</f>
        <v>2500</v>
      </c>
      <c r="S936" s="5">
        <f>IFERROR(VLOOKUP($D936&amp;$C936,生产方式定位!$A$2:$E$38,3,FALSE)+VLOOKUP($E936&amp;$C936,生产方式定位!$F$3:$J$38,3,FALSE),0)</f>
        <v>210</v>
      </c>
      <c r="X936" s="5">
        <f>IFERROR(VLOOKUP($D936&amp;$C936,生产方式定位!$A$2:$E$38,5,FALSE)+VLOOKUP($E936&amp;$C936,生产方式定位!$F$3:$J$38,5,FALSE),"错误")</f>
        <v>2870</v>
      </c>
      <c r="Y936" s="24" t="str">
        <f t="shared" si="226"/>
        <v/>
      </c>
      <c r="Z936" s="34" t="str">
        <f t="shared" si="227"/>
        <v/>
      </c>
      <c r="AA936" s="34" t="str">
        <f t="shared" si="224"/>
        <v/>
      </c>
      <c r="AB936" s="25" t="str">
        <f t="shared" si="228"/>
        <v>15%</v>
      </c>
      <c r="AC936" s="1">
        <f t="shared" si="229"/>
        <v>160</v>
      </c>
      <c r="AD936" s="35">
        <f t="shared" si="225"/>
        <v>5</v>
      </c>
      <c r="AE936" t="str">
        <f t="shared" si="230"/>
        <v/>
      </c>
      <c r="AF936" t="str">
        <f t="shared" si="231"/>
        <v/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 t="str">
        <f>IFERROR(ROUND(L936*(G936/$AU936)/VLOOKUP(F936,商品!$A$4:$C$60,3,FALSE),0),"")</f>
        <v/>
      </c>
      <c r="AM936" t="str">
        <f>IFERROR(ROUND(L936*(I936/$AU936)/VLOOKUP(H936,商品!$A$4:$C$60,3,FALSE),0),"")</f>
        <v/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0</v>
      </c>
      <c r="AV936">
        <f t="shared" si="238"/>
        <v>0</v>
      </c>
      <c r="AW936">
        <f t="shared" si="239"/>
        <v>0</v>
      </c>
    </row>
    <row r="937" spans="1:49" ht="20" customHeight="1" x14ac:dyDescent="0.3">
      <c r="A937" s="18" t="s">
        <v>458</v>
      </c>
      <c r="C937" s="18">
        <v>1</v>
      </c>
      <c r="D937" s="21" t="s">
        <v>292</v>
      </c>
      <c r="E937" s="21" t="s">
        <v>226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/>
      </c>
      <c r="AC937" s="1" t="str">
        <f t="shared" si="229"/>
        <v/>
      </c>
      <c r="AD937" s="36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20" customHeight="1" x14ac:dyDescent="0.3">
      <c r="A938" s="18" t="s">
        <v>458</v>
      </c>
      <c r="C938" s="18">
        <v>2</v>
      </c>
      <c r="D938" s="21" t="s">
        <v>292</v>
      </c>
      <c r="E938" s="21" t="s">
        <v>226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24" t="str">
        <f t="shared" si="226"/>
        <v/>
      </c>
      <c r="Z938" s="34" t="str">
        <f t="shared" si="227"/>
        <v/>
      </c>
      <c r="AA938" s="34" t="str">
        <f t="shared" si="224"/>
        <v/>
      </c>
      <c r="AB938" s="25" t="str">
        <f t="shared" si="228"/>
        <v/>
      </c>
      <c r="AC938" s="1" t="str">
        <f t="shared" si="229"/>
        <v/>
      </c>
      <c r="AD938" s="36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spans="1:49" ht="20" customHeight="1" x14ac:dyDescent="0.3">
      <c r="A939" s="18" t="s">
        <v>458</v>
      </c>
      <c r="C939" s="18">
        <v>3</v>
      </c>
      <c r="D939" s="21" t="s">
        <v>292</v>
      </c>
      <c r="E939" s="21" t="s">
        <v>226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24" t="str">
        <f t="shared" si="226"/>
        <v/>
      </c>
      <c r="Z939" s="34" t="str">
        <f t="shared" si="227"/>
        <v/>
      </c>
      <c r="AA939" s="34" t="str">
        <f t="shared" si="224"/>
        <v/>
      </c>
      <c r="AB939" s="25" t="str">
        <f t="shared" si="228"/>
        <v/>
      </c>
      <c r="AC939" s="1" t="str">
        <f t="shared" si="229"/>
        <v/>
      </c>
      <c r="AD939" s="36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spans="1:49" ht="20" customHeight="1" x14ac:dyDescent="0.3">
      <c r="A940" s="18" t="s">
        <v>458</v>
      </c>
      <c r="C940" s="18">
        <v>4</v>
      </c>
      <c r="D940" s="21" t="s">
        <v>292</v>
      </c>
      <c r="E940" s="21" t="s">
        <v>226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24" t="str">
        <f t="shared" si="226"/>
        <v/>
      </c>
      <c r="Z940" s="34" t="str">
        <f t="shared" si="227"/>
        <v/>
      </c>
      <c r="AA940" s="34" t="str">
        <f t="shared" si="224"/>
        <v/>
      </c>
      <c r="AB940" s="25" t="str">
        <f t="shared" si="228"/>
        <v/>
      </c>
      <c r="AC940" s="1" t="str">
        <f t="shared" si="229"/>
        <v/>
      </c>
      <c r="AD940" s="36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spans="1:49" ht="20" customHeight="1" x14ac:dyDescent="0.3">
      <c r="A941" s="18" t="s">
        <v>458</v>
      </c>
      <c r="C941" s="18">
        <v>5</v>
      </c>
      <c r="D941" s="21" t="s">
        <v>292</v>
      </c>
      <c r="E941" s="21" t="s">
        <v>226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24" t="str">
        <f t="shared" si="226"/>
        <v/>
      </c>
      <c r="Z941" s="34" t="str">
        <f t="shared" si="227"/>
        <v/>
      </c>
      <c r="AA941" s="34" t="str">
        <f t="shared" si="224"/>
        <v/>
      </c>
      <c r="AB941" s="25" t="str">
        <f t="shared" si="228"/>
        <v/>
      </c>
      <c r="AC941" s="1" t="str">
        <f t="shared" si="229"/>
        <v/>
      </c>
      <c r="AD941" s="36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spans="1:49" ht="20" customHeight="1" x14ac:dyDescent="0.3">
      <c r="A942" s="18" t="s">
        <v>458</v>
      </c>
      <c r="C942" s="18">
        <v>6</v>
      </c>
      <c r="D942" s="21" t="s">
        <v>292</v>
      </c>
      <c r="E942" s="21" t="s">
        <v>226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5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20" customHeight="1" x14ac:dyDescent="0.3">
      <c r="A943" s="18" t="s">
        <v>458</v>
      </c>
      <c r="C943" s="18">
        <v>7</v>
      </c>
      <c r="D943" s="21" t="s">
        <v>292</v>
      </c>
      <c r="E943" s="21" t="s">
        <v>226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5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20" customHeight="1" x14ac:dyDescent="0.3">
      <c r="A944" s="18" t="s">
        <v>458</v>
      </c>
      <c r="C944" s="18">
        <v>8</v>
      </c>
      <c r="D944" s="21" t="s">
        <v>292</v>
      </c>
      <c r="E944" s="21" t="s">
        <v>226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5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20" customHeight="1" x14ac:dyDescent="0.3">
      <c r="A945" s="5" t="s">
        <v>460</v>
      </c>
      <c r="C945" s="5">
        <v>1</v>
      </c>
      <c r="D945" s="21" t="s">
        <v>222</v>
      </c>
      <c r="E945" s="21" t="s">
        <v>224</v>
      </c>
      <c r="L945" s="5">
        <f>IFERROR(VLOOKUP($D945&amp;$C945,生产方式定位!$A$2:$E$38,2,FALSE)+VLOOKUP($E945&amp;$C945,生产方式定位!$F$3:$J$38,2,FALSE),0)</f>
        <v>600</v>
      </c>
      <c r="S945" s="5">
        <f>IFERROR(VLOOKUP($D945&amp;$C945,生产方式定位!$A$2:$E$38,3,FALSE)+VLOOKUP($E945&amp;$C945,生产方式定位!$F$3:$J$38,3,FALSE),0)</f>
        <v>150</v>
      </c>
      <c r="X945" s="5">
        <f>IFERROR(VLOOKUP($D945&amp;$C945,生产方式定位!$A$2:$E$38,5,FALSE)+VLOOKUP($E945&amp;$C945,生产方式定位!$F$3:$J$38,5,FALSE),"错误")</f>
        <v>788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>31%</v>
      </c>
      <c r="AC945" s="1">
        <f t="shared" si="229"/>
        <v>38</v>
      </c>
      <c r="AD945" s="35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20" customHeight="1" x14ac:dyDescent="0.3">
      <c r="A946" s="5" t="s">
        <v>460</v>
      </c>
      <c r="C946" s="5">
        <v>2</v>
      </c>
      <c r="D946" s="21" t="s">
        <v>222</v>
      </c>
      <c r="E946" s="21" t="s">
        <v>224</v>
      </c>
      <c r="L946" s="5">
        <f>IFERROR(VLOOKUP($D946&amp;$C946,生产方式定位!$A$2:$E$38,2,FALSE)+VLOOKUP($E946&amp;$C946,生产方式定位!$F$3:$J$38,2,FALSE),0)</f>
        <v>1200</v>
      </c>
      <c r="S946" s="5">
        <f>IFERROR(VLOOKUP($D946&amp;$C946,生产方式定位!$A$2:$E$38,3,FALSE)+VLOOKUP($E946&amp;$C946,生产方式定位!$F$3:$J$38,3,FALSE),0)</f>
        <v>140</v>
      </c>
      <c r="X946" s="5">
        <f>IFERROR(VLOOKUP($D946&amp;$C946,生产方式定位!$A$2:$E$38,5,FALSE)+VLOOKUP($E946&amp;$C946,生产方式定位!$F$3:$J$38,5,FALSE),"错误")</f>
        <v>1390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>16%</v>
      </c>
      <c r="AC946" s="1">
        <f t="shared" si="229"/>
        <v>50</v>
      </c>
      <c r="AD946" s="35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20" customHeight="1" x14ac:dyDescent="0.3">
      <c r="A947" s="5" t="s">
        <v>460</v>
      </c>
      <c r="C947" s="5">
        <v>3</v>
      </c>
      <c r="D947" s="21" t="s">
        <v>222</v>
      </c>
      <c r="E947" s="21" t="s">
        <v>224</v>
      </c>
      <c r="L947" s="5">
        <f>IFERROR(VLOOKUP($D947&amp;$C947,生产方式定位!$A$2:$E$38,2,FALSE)+VLOOKUP($E947&amp;$C947,生产方式定位!$F$3:$J$38,2,FALSE),0)</f>
        <v>1425</v>
      </c>
      <c r="S947" s="5">
        <f>IFERROR(VLOOKUP($D947&amp;$C947,生产方式定位!$A$2:$E$38,3,FALSE)+VLOOKUP($E947&amp;$C947,生产方式定位!$F$3:$J$38,3,FALSE),0)</f>
        <v>130</v>
      </c>
      <c r="X947" s="5">
        <f>IFERROR(VLOOKUP($D947&amp;$C947,生产方式定位!$A$2:$E$38,5,FALSE)+VLOOKUP($E947&amp;$C947,生产方式定位!$F$3:$J$38,5,FALSE),"错误")</f>
        <v>1618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>14%</v>
      </c>
      <c r="AC947" s="1">
        <f t="shared" si="229"/>
        <v>63</v>
      </c>
      <c r="AD947" s="36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20" customHeight="1" x14ac:dyDescent="0.3">
      <c r="A948" s="5" t="s">
        <v>460</v>
      </c>
      <c r="C948" s="5">
        <v>4</v>
      </c>
      <c r="D948" s="21" t="s">
        <v>222</v>
      </c>
      <c r="E948" s="21" t="s">
        <v>224</v>
      </c>
      <c r="L948" s="5">
        <f>IFERROR(VLOOKUP($D948&amp;$C948,生产方式定位!$A$2:$E$38,2,FALSE)+VLOOKUP($E948&amp;$C948,生产方式定位!$F$3:$J$38,2,FALSE),0)</f>
        <v>1650</v>
      </c>
      <c r="S948" s="5">
        <f>IFERROR(VLOOKUP($D948&amp;$C948,生产方式定位!$A$2:$E$38,3,FALSE)+VLOOKUP($E948&amp;$C948,生产方式定位!$F$3:$J$38,3,FALSE),0)</f>
        <v>120</v>
      </c>
      <c r="X948" s="5">
        <f>IFERROR(VLOOKUP($D948&amp;$C948,生产方式定位!$A$2:$E$38,5,FALSE)+VLOOKUP($E948&amp;$C948,生产方式定位!$F$3:$J$38,5,FALSE),"错误")</f>
        <v>1845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>12%</v>
      </c>
      <c r="AC948" s="1">
        <f t="shared" si="229"/>
        <v>75</v>
      </c>
      <c r="AD948" s="36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20" customHeight="1" x14ac:dyDescent="0.3">
      <c r="A949" s="5" t="s">
        <v>460</v>
      </c>
      <c r="C949" s="5">
        <v>5</v>
      </c>
      <c r="D949" s="21" t="s">
        <v>222</v>
      </c>
      <c r="E949" s="21" t="s">
        <v>224</v>
      </c>
      <c r="L949" s="5">
        <f>IFERROR(VLOOKUP($D949&amp;$C949,生产方式定位!$A$2:$E$38,2,FALSE)+VLOOKUP($E949&amp;$C949,生产方式定位!$F$3:$J$38,2,FALSE),0)</f>
        <v>1875</v>
      </c>
      <c r="S949" s="5">
        <f>IFERROR(VLOOKUP($D949&amp;$C949,生产方式定位!$A$2:$E$38,3,FALSE)+VLOOKUP($E949&amp;$C949,生产方式定位!$F$3:$J$38,3,FALSE),0)</f>
        <v>110</v>
      </c>
      <c r="X949" s="5">
        <f>IFERROR(VLOOKUP($D949&amp;$C949,生产方式定位!$A$2:$E$38,5,FALSE)+VLOOKUP($E949&amp;$C949,生产方式定位!$F$3:$J$38,5,FALSE),"错误")</f>
        <v>2073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>11%</v>
      </c>
      <c r="AC949" s="1">
        <f t="shared" si="229"/>
        <v>88</v>
      </c>
      <c r="AD949" s="36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20" customHeight="1" x14ac:dyDescent="0.3">
      <c r="A950" s="18" t="s">
        <v>461</v>
      </c>
      <c r="C950" s="18">
        <v>1</v>
      </c>
      <c r="D950" s="21" t="s">
        <v>222</v>
      </c>
      <c r="E950" s="21" t="s">
        <v>225</v>
      </c>
      <c r="L950" s="18">
        <f>IFERROR(VLOOKUP($D950&amp;$C950,生产方式定位!$A$2:$E$38,2,FALSE)+VLOOKUP($E950&amp;$C950,生产方式定位!$F$3:$J$38,2,FALSE),0)</f>
        <v>600</v>
      </c>
      <c r="S950" s="18">
        <f>IFERROR(VLOOKUP($D950&amp;$C950,生产方式定位!$A$2:$E$38,3,FALSE)+VLOOKUP($E950&amp;$C950,生产方式定位!$F$3:$J$38,3,FALSE),0)</f>
        <v>150</v>
      </c>
      <c r="X950" s="18">
        <f>IFERROR(VLOOKUP($D950&amp;$C950,生产方式定位!$A$2:$E$38,5,FALSE)+VLOOKUP($E950&amp;$C950,生产方式定位!$F$3:$J$38,5,FALSE),"错误")</f>
        <v>788</v>
      </c>
      <c r="Y950" s="24" t="str">
        <f t="shared" si="226"/>
        <v/>
      </c>
      <c r="Z950" s="34" t="str">
        <f t="shared" si="227"/>
        <v/>
      </c>
      <c r="AA950" s="34" t="str">
        <f t="shared" si="224"/>
        <v/>
      </c>
      <c r="AB950" s="25" t="str">
        <f t="shared" si="228"/>
        <v>31%</v>
      </c>
      <c r="AC950" s="1">
        <f t="shared" si="229"/>
        <v>38</v>
      </c>
      <c r="AD950" s="36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spans="1:49" ht="20" customHeight="1" x14ac:dyDescent="0.3">
      <c r="A951" s="18" t="s">
        <v>461</v>
      </c>
      <c r="C951" s="18">
        <v>2</v>
      </c>
      <c r="D951" s="21" t="s">
        <v>222</v>
      </c>
      <c r="E951" s="21" t="s">
        <v>225</v>
      </c>
      <c r="L951" s="18">
        <f>IFERROR(VLOOKUP($D951&amp;$C951,生产方式定位!$A$2:$E$38,2,FALSE)+VLOOKUP($E951&amp;$C951,生产方式定位!$F$3:$J$38,2,FALSE),0)</f>
        <v>1450</v>
      </c>
      <c r="S951" s="18">
        <f>IFERROR(VLOOKUP($D951&amp;$C951,生产方式定位!$A$2:$E$38,3,FALSE)+VLOOKUP($E951&amp;$C951,生产方式定位!$F$3:$J$38,3,FALSE),0)</f>
        <v>180</v>
      </c>
      <c r="X951" s="18">
        <f>IFERROR(VLOOKUP($D951&amp;$C951,生产方式定位!$A$2:$E$38,5,FALSE)+VLOOKUP($E951&amp;$C951,生产方式定位!$F$3:$J$38,5,FALSE),"错误")</f>
        <v>1472</v>
      </c>
      <c r="Y951" s="24" t="str">
        <f t="shared" si="226"/>
        <v/>
      </c>
      <c r="Z951" s="34" t="str">
        <f t="shared" si="227"/>
        <v/>
      </c>
      <c r="AA951" s="34" t="str">
        <f t="shared" si="224"/>
        <v/>
      </c>
      <c r="AB951" s="25" t="str">
        <f t="shared" si="228"/>
        <v>2%</v>
      </c>
      <c r="AC951" s="1">
        <f t="shared" si="229"/>
        <v>-158</v>
      </c>
      <c r="AD951" s="36">
        <f t="shared" si="225"/>
        <v>2</v>
      </c>
      <c r="AE951" t="str">
        <f t="shared" si="230"/>
        <v/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 t="str">
        <f>IFERROR(ROUND(L951*(G951/$AU951)/VLOOKUP(F951,商品!$A$4:$C$60,3,FALSE),0),"")</f>
        <v/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0</v>
      </c>
      <c r="AV951">
        <f t="shared" si="238"/>
        <v>0</v>
      </c>
      <c r="AW951">
        <f t="shared" si="239"/>
        <v>0</v>
      </c>
    </row>
    <row r="952" spans="1:49" ht="20" customHeight="1" x14ac:dyDescent="0.3">
      <c r="A952" s="18" t="s">
        <v>461</v>
      </c>
      <c r="C952" s="18">
        <v>3</v>
      </c>
      <c r="D952" s="21" t="s">
        <v>222</v>
      </c>
      <c r="E952" s="21" t="s">
        <v>225</v>
      </c>
      <c r="L952" s="18">
        <f>IFERROR(VLOOKUP($D952&amp;$C952,生产方式定位!$A$2:$E$38,2,FALSE)+VLOOKUP($E952&amp;$C952,生产方式定位!$F$3:$J$38,2,FALSE),0)</f>
        <v>1800</v>
      </c>
      <c r="S952" s="18">
        <f>IFERROR(VLOOKUP($D952&amp;$C952,生产方式定位!$A$2:$E$38,3,FALSE)+VLOOKUP($E952&amp;$C952,生产方式定位!$F$3:$J$38,3,FALSE),0)</f>
        <v>190</v>
      </c>
      <c r="X952" s="18">
        <f>IFERROR(VLOOKUP($D952&amp;$C952,生产方式定位!$A$2:$E$38,5,FALSE)+VLOOKUP($E952&amp;$C952,生产方式定位!$F$3:$J$38,5,FALSE),"错误")</f>
        <v>1831</v>
      </c>
      <c r="Y952" s="24" t="str">
        <f t="shared" si="226"/>
        <v/>
      </c>
      <c r="Z952" s="34" t="str">
        <f t="shared" si="227"/>
        <v/>
      </c>
      <c r="AA952" s="34" t="str">
        <f t="shared" si="224"/>
        <v/>
      </c>
      <c r="AB952" s="25" t="str">
        <f t="shared" si="228"/>
        <v>2%</v>
      </c>
      <c r="AC952" s="1">
        <f t="shared" si="229"/>
        <v>-159</v>
      </c>
      <c r="AD952" s="36">
        <f t="shared" si="225"/>
        <v>3</v>
      </c>
      <c r="AE952" t="str">
        <f t="shared" si="230"/>
        <v/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 t="str">
        <f>IFERROR(ROUND(L952*(G952/$AU952)/VLOOKUP(F952,商品!$A$4:$C$60,3,FALSE),0),"")</f>
        <v/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0</v>
      </c>
      <c r="AV952">
        <f t="shared" si="238"/>
        <v>0</v>
      </c>
      <c r="AW952">
        <f t="shared" si="239"/>
        <v>0</v>
      </c>
    </row>
    <row r="953" spans="1:49" ht="20" customHeight="1" x14ac:dyDescent="0.3">
      <c r="A953" s="18" t="s">
        <v>461</v>
      </c>
      <c r="C953" s="18">
        <v>4</v>
      </c>
      <c r="D953" s="21" t="s">
        <v>222</v>
      </c>
      <c r="E953" s="21" t="s">
        <v>225</v>
      </c>
      <c r="L953" s="18">
        <f>IFERROR(VLOOKUP($D953&amp;$C953,生产方式定位!$A$2:$E$38,2,FALSE)+VLOOKUP($E953&amp;$C953,生产方式定位!$F$3:$J$38,2,FALSE),0)</f>
        <v>2150</v>
      </c>
      <c r="S953" s="18">
        <f>IFERROR(VLOOKUP($D953&amp;$C953,生产方式定位!$A$2:$E$38,3,FALSE)+VLOOKUP($E953&amp;$C953,生产方式定位!$F$3:$J$38,3,FALSE),0)</f>
        <v>200</v>
      </c>
      <c r="X953" s="18">
        <f>IFERROR(VLOOKUP($D953&amp;$C953,生产方式定位!$A$2:$E$38,5,FALSE)+VLOOKUP($E953&amp;$C953,生产方式定位!$F$3:$J$38,5,FALSE),"错误")</f>
        <v>2217</v>
      </c>
      <c r="Y953" s="24" t="str">
        <f t="shared" si="226"/>
        <v/>
      </c>
      <c r="Z953" s="34" t="str">
        <f t="shared" si="227"/>
        <v/>
      </c>
      <c r="AA953" s="34" t="str">
        <f t="shared" si="224"/>
        <v/>
      </c>
      <c r="AB953" s="25" t="str">
        <f t="shared" si="228"/>
        <v>3%</v>
      </c>
      <c r="AC953" s="1">
        <f t="shared" si="229"/>
        <v>-133</v>
      </c>
      <c r="AD953" s="36">
        <f t="shared" si="225"/>
        <v>4</v>
      </c>
      <c r="AE953" t="str">
        <f t="shared" si="230"/>
        <v/>
      </c>
      <c r="AF953" t="str">
        <f t="shared" si="231"/>
        <v/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 t="str">
        <f>IFERROR(ROUND(L953*(G953/$AU953)/VLOOKUP(F953,商品!$A$4:$C$60,3,FALSE),0),"")</f>
        <v/>
      </c>
      <c r="AM953" t="str">
        <f>IFERROR(ROUND(L953*(I953/$AU953)/VLOOKUP(H953,商品!$A$4:$C$60,3,FALSE),0),"")</f>
        <v/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0</v>
      </c>
      <c r="AV953">
        <f t="shared" si="238"/>
        <v>0</v>
      </c>
      <c r="AW953">
        <f t="shared" si="239"/>
        <v>0</v>
      </c>
    </row>
    <row r="954" spans="1:49" ht="20" customHeight="1" x14ac:dyDescent="0.3">
      <c r="A954" s="18" t="s">
        <v>461</v>
      </c>
      <c r="C954" s="18">
        <v>5</v>
      </c>
      <c r="D954" s="21" t="s">
        <v>222</v>
      </c>
      <c r="E954" s="21" t="s">
        <v>225</v>
      </c>
      <c r="L954" s="18">
        <f>IFERROR(VLOOKUP($D954&amp;$C954,生产方式定位!$A$2:$E$38,2,FALSE)+VLOOKUP($E954&amp;$C954,生产方式定位!$F$3:$J$38,2,FALSE),0)</f>
        <v>2500</v>
      </c>
      <c r="S954" s="18">
        <f>IFERROR(VLOOKUP($D954&amp;$C954,生产方式定位!$A$2:$E$38,3,FALSE)+VLOOKUP($E954&amp;$C954,生产方式定位!$F$3:$J$38,3,FALSE),0)</f>
        <v>210</v>
      </c>
      <c r="X954" s="18">
        <f>IFERROR(VLOOKUP($D954&amp;$C954,生产方式定位!$A$2:$E$38,5,FALSE)+VLOOKUP($E954&amp;$C954,生产方式定位!$F$3:$J$38,5,FALSE),"错误")</f>
        <v>2870</v>
      </c>
      <c r="Y954" s="24" t="str">
        <f t="shared" si="226"/>
        <v/>
      </c>
      <c r="Z954" s="34" t="str">
        <f t="shared" si="227"/>
        <v/>
      </c>
      <c r="AA954" s="34" t="str">
        <f t="shared" si="224"/>
        <v/>
      </c>
      <c r="AB954" s="25" t="str">
        <f t="shared" si="228"/>
        <v>15%</v>
      </c>
      <c r="AC954" s="1">
        <f t="shared" si="229"/>
        <v>160</v>
      </c>
      <c r="AD954" s="36">
        <f t="shared" si="225"/>
        <v>5</v>
      </c>
      <c r="AE954" t="str">
        <f t="shared" si="230"/>
        <v/>
      </c>
      <c r="AF954" t="str">
        <f t="shared" si="231"/>
        <v/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 t="str">
        <f>IFERROR(ROUND(L954*(G954/$AU954)/VLOOKUP(F954,商品!$A$4:$C$60,3,FALSE),0),"")</f>
        <v/>
      </c>
      <c r="AM954" t="str">
        <f>IFERROR(ROUND(L954*(I954/$AU954)/VLOOKUP(H954,商品!$A$4:$C$60,3,FALSE),0),"")</f>
        <v/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0</v>
      </c>
      <c r="AV954">
        <f t="shared" si="238"/>
        <v>0</v>
      </c>
      <c r="AW954">
        <f t="shared" si="239"/>
        <v>0</v>
      </c>
    </row>
    <row r="955" spans="1:49" ht="20" customHeight="1" x14ac:dyDescent="0.3">
      <c r="A955" s="5" t="s">
        <v>461</v>
      </c>
      <c r="C955" s="5">
        <v>1</v>
      </c>
      <c r="D955" s="21" t="s">
        <v>222</v>
      </c>
      <c r="E955" s="21" t="s">
        <v>225</v>
      </c>
      <c r="L955" s="5">
        <f>IFERROR(VLOOKUP($D955&amp;$C955,生产方式定位!$A$2:$E$38,2,FALSE)+VLOOKUP($E955&amp;$C955,生产方式定位!$F$3:$J$38,2,FALSE),0)</f>
        <v>600</v>
      </c>
      <c r="S955" s="5">
        <f>IFERROR(VLOOKUP($D955&amp;$C955,生产方式定位!$A$2:$E$38,3,FALSE)+VLOOKUP($E955&amp;$C955,生产方式定位!$F$3:$J$38,3,FALSE),0)</f>
        <v>150</v>
      </c>
      <c r="X955" s="5">
        <f>IFERROR(VLOOKUP($D955&amp;$C955,生产方式定位!$A$2:$E$38,5,FALSE)+VLOOKUP($E955&amp;$C955,生产方式定位!$F$3:$J$38,5,FALSE),"错误")</f>
        <v>788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>31%</v>
      </c>
      <c r="AC955" s="1">
        <f t="shared" si="229"/>
        <v>38</v>
      </c>
      <c r="AD955" s="35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20" customHeight="1" x14ac:dyDescent="0.3">
      <c r="A956" s="5" t="s">
        <v>461</v>
      </c>
      <c r="C956" s="5">
        <v>2</v>
      </c>
      <c r="D956" s="21" t="s">
        <v>222</v>
      </c>
      <c r="E956" s="21" t="s">
        <v>225</v>
      </c>
      <c r="L956" s="5">
        <f>IFERROR(VLOOKUP($D956&amp;$C956,生产方式定位!$A$2:$E$38,2,FALSE)+VLOOKUP($E956&amp;$C956,生产方式定位!$F$3:$J$38,2,FALSE),0)</f>
        <v>1450</v>
      </c>
      <c r="S956" s="5">
        <f>IFERROR(VLOOKUP($D956&amp;$C956,生产方式定位!$A$2:$E$38,3,FALSE)+VLOOKUP($E956&amp;$C956,生产方式定位!$F$3:$J$38,3,FALSE),0)</f>
        <v>180</v>
      </c>
      <c r="X956" s="5">
        <f>IFERROR(VLOOKUP($D956&amp;$C956,生产方式定位!$A$2:$E$38,5,FALSE)+VLOOKUP($E956&amp;$C956,生产方式定位!$F$3:$J$38,5,FALSE),"错误")</f>
        <v>1472</v>
      </c>
      <c r="Y956" s="24" t="str">
        <f t="shared" si="226"/>
        <v/>
      </c>
      <c r="Z956" s="34" t="str">
        <f t="shared" si="227"/>
        <v/>
      </c>
      <c r="AA956" s="34" t="str">
        <f t="shared" si="224"/>
        <v/>
      </c>
      <c r="AB956" s="25" t="str">
        <f t="shared" si="228"/>
        <v>2%</v>
      </c>
      <c r="AC956" s="1">
        <f t="shared" si="229"/>
        <v>-158</v>
      </c>
      <c r="AD956" s="35">
        <f t="shared" si="225"/>
        <v>2</v>
      </c>
      <c r="AE956" t="str">
        <f t="shared" si="230"/>
        <v/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 t="str">
        <f>IFERROR(ROUND(L956*(G956/$AU956)/VLOOKUP(F956,商品!$A$4:$C$60,3,FALSE),0),"")</f>
        <v/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0</v>
      </c>
      <c r="AV956">
        <f t="shared" si="238"/>
        <v>0</v>
      </c>
      <c r="AW956">
        <f t="shared" si="239"/>
        <v>0</v>
      </c>
    </row>
    <row r="957" spans="1:49" ht="20" customHeight="1" x14ac:dyDescent="0.3">
      <c r="A957" s="5" t="s">
        <v>461</v>
      </c>
      <c r="C957" s="5">
        <v>3</v>
      </c>
      <c r="D957" s="21" t="s">
        <v>222</v>
      </c>
      <c r="E957" s="21" t="s">
        <v>225</v>
      </c>
      <c r="L957" s="5">
        <f>IFERROR(VLOOKUP($D957&amp;$C957,生产方式定位!$A$2:$E$38,2,FALSE)+VLOOKUP($E957&amp;$C957,生产方式定位!$F$3:$J$38,2,FALSE),0)</f>
        <v>1800</v>
      </c>
      <c r="S957" s="5">
        <f>IFERROR(VLOOKUP($D957&amp;$C957,生产方式定位!$A$2:$E$38,3,FALSE)+VLOOKUP($E957&amp;$C957,生产方式定位!$F$3:$J$38,3,FALSE),0)</f>
        <v>190</v>
      </c>
      <c r="X957" s="5">
        <f>IFERROR(VLOOKUP($D957&amp;$C957,生产方式定位!$A$2:$E$38,5,FALSE)+VLOOKUP($E957&amp;$C957,生产方式定位!$F$3:$J$38,5,FALSE),"错误")</f>
        <v>1831</v>
      </c>
      <c r="Y957" s="24" t="str">
        <f t="shared" si="226"/>
        <v/>
      </c>
      <c r="Z957" s="34" t="str">
        <f t="shared" si="227"/>
        <v/>
      </c>
      <c r="AA957" s="34" t="str">
        <f t="shared" si="224"/>
        <v/>
      </c>
      <c r="AB957" s="25" t="str">
        <f t="shared" si="228"/>
        <v>2%</v>
      </c>
      <c r="AC957" s="1">
        <f t="shared" si="229"/>
        <v>-159</v>
      </c>
      <c r="AD957" s="35">
        <f t="shared" si="225"/>
        <v>3</v>
      </c>
      <c r="AE957" t="str">
        <f t="shared" si="230"/>
        <v/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 t="str">
        <f>IFERROR(ROUND(L957*(G957/$AU957)/VLOOKUP(F957,商品!$A$4:$C$60,3,FALSE),0),"")</f>
        <v/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0</v>
      </c>
      <c r="AV957">
        <f t="shared" si="238"/>
        <v>0</v>
      </c>
      <c r="AW957">
        <f t="shared" si="239"/>
        <v>0</v>
      </c>
    </row>
    <row r="958" spans="1:49" ht="20" customHeight="1" x14ac:dyDescent="0.3">
      <c r="A958" s="5" t="s">
        <v>461</v>
      </c>
      <c r="C958" s="5">
        <v>4</v>
      </c>
      <c r="D958" s="21" t="s">
        <v>222</v>
      </c>
      <c r="E958" s="21" t="s">
        <v>225</v>
      </c>
      <c r="L958" s="5">
        <f>IFERROR(VLOOKUP($D958&amp;$C958,生产方式定位!$A$2:$E$38,2,FALSE)+VLOOKUP($E958&amp;$C958,生产方式定位!$F$3:$J$38,2,FALSE),0)</f>
        <v>2150</v>
      </c>
      <c r="S958" s="5">
        <f>IFERROR(VLOOKUP($D958&amp;$C958,生产方式定位!$A$2:$E$38,3,FALSE)+VLOOKUP($E958&amp;$C958,生产方式定位!$F$3:$J$38,3,FALSE),0)</f>
        <v>200</v>
      </c>
      <c r="X958" s="5">
        <f>IFERROR(VLOOKUP($D958&amp;$C958,生产方式定位!$A$2:$E$38,5,FALSE)+VLOOKUP($E958&amp;$C958,生产方式定位!$F$3:$J$38,5,FALSE),"错误")</f>
        <v>2217</v>
      </c>
      <c r="Y958" s="24" t="str">
        <f t="shared" si="226"/>
        <v/>
      </c>
      <c r="Z958" s="34" t="str">
        <f t="shared" si="227"/>
        <v/>
      </c>
      <c r="AA958" s="34" t="str">
        <f t="shared" si="224"/>
        <v/>
      </c>
      <c r="AB958" s="25" t="str">
        <f t="shared" si="228"/>
        <v>3%</v>
      </c>
      <c r="AC958" s="1">
        <f t="shared" si="229"/>
        <v>-133</v>
      </c>
      <c r="AD958" s="35">
        <f t="shared" si="225"/>
        <v>4</v>
      </c>
      <c r="AE958" t="str">
        <f t="shared" si="230"/>
        <v/>
      </c>
      <c r="AF958" t="str">
        <f t="shared" si="231"/>
        <v/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 t="str">
        <f>IFERROR(ROUND(L958*(G958/$AU958)/VLOOKUP(F958,商品!$A$4:$C$60,3,FALSE),0),"")</f>
        <v/>
      </c>
      <c r="AM958" t="str">
        <f>IFERROR(ROUND(L958*(I958/$AU958)/VLOOKUP(H958,商品!$A$4:$C$60,3,FALSE),0),"")</f>
        <v/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0</v>
      </c>
      <c r="AV958">
        <f t="shared" si="238"/>
        <v>0</v>
      </c>
      <c r="AW958">
        <f t="shared" si="239"/>
        <v>0</v>
      </c>
    </row>
    <row r="959" spans="1:49" ht="20" customHeight="1" x14ac:dyDescent="0.3">
      <c r="A959" s="5" t="s">
        <v>461</v>
      </c>
      <c r="C959" s="5">
        <v>5</v>
      </c>
      <c r="D959" s="21" t="s">
        <v>222</v>
      </c>
      <c r="E959" s="21" t="s">
        <v>225</v>
      </c>
      <c r="L959" s="5">
        <f>IFERROR(VLOOKUP($D959&amp;$C959,生产方式定位!$A$2:$E$38,2,FALSE)+VLOOKUP($E959&amp;$C959,生产方式定位!$F$3:$J$38,2,FALSE),0)</f>
        <v>2500</v>
      </c>
      <c r="S959" s="5">
        <f>IFERROR(VLOOKUP($D959&amp;$C959,生产方式定位!$A$2:$E$38,3,FALSE)+VLOOKUP($E959&amp;$C959,生产方式定位!$F$3:$J$38,3,FALSE),0)</f>
        <v>210</v>
      </c>
      <c r="X959" s="5">
        <f>IFERROR(VLOOKUP($D959&amp;$C959,生产方式定位!$A$2:$E$38,5,FALSE)+VLOOKUP($E959&amp;$C959,生产方式定位!$F$3:$J$38,5,FALSE),"错误")</f>
        <v>2870</v>
      </c>
      <c r="Y959" s="24" t="str">
        <f t="shared" si="226"/>
        <v/>
      </c>
      <c r="Z959" s="34" t="str">
        <f t="shared" si="227"/>
        <v/>
      </c>
      <c r="AA959" s="34" t="str">
        <f t="shared" si="224"/>
        <v/>
      </c>
      <c r="AB959" s="25" t="str">
        <f t="shared" si="228"/>
        <v>15%</v>
      </c>
      <c r="AC959" s="1">
        <f t="shared" si="229"/>
        <v>160</v>
      </c>
      <c r="AD959" s="35">
        <f t="shared" si="225"/>
        <v>5</v>
      </c>
      <c r="AE959" t="str">
        <f t="shared" si="230"/>
        <v/>
      </c>
      <c r="AF959" t="str">
        <f t="shared" si="231"/>
        <v/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 t="str">
        <f>IFERROR(ROUND(L959*(G959/$AU959)/VLOOKUP(F959,商品!$A$4:$C$60,3,FALSE),0),"")</f>
        <v/>
      </c>
      <c r="AM959" t="str">
        <f>IFERROR(ROUND(L959*(I959/$AU959)/VLOOKUP(H959,商品!$A$4:$C$60,3,FALSE),0),"")</f>
        <v/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0</v>
      </c>
      <c r="AV959">
        <f t="shared" si="238"/>
        <v>0</v>
      </c>
      <c r="AW959">
        <f t="shared" si="239"/>
        <v>0</v>
      </c>
    </row>
    <row r="960" spans="1:49" ht="20" customHeight="1" x14ac:dyDescent="0.3">
      <c r="A960" s="18" t="s">
        <v>462</v>
      </c>
      <c r="C960" s="18">
        <v>1</v>
      </c>
      <c r="D960" s="21" t="s">
        <v>292</v>
      </c>
      <c r="E960" s="21" t="s">
        <v>226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/>
      </c>
      <c r="AC960" s="1" t="str">
        <f t="shared" si="229"/>
        <v/>
      </c>
      <c r="AD960" s="36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20" customHeight="1" x14ac:dyDescent="0.3">
      <c r="A961" s="18" t="s">
        <v>462</v>
      </c>
      <c r="C961" s="18">
        <v>2</v>
      </c>
      <c r="D961" s="21" t="s">
        <v>292</v>
      </c>
      <c r="E961" s="21" t="s">
        <v>226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24" t="str">
        <f t="shared" si="226"/>
        <v/>
      </c>
      <c r="Z961" s="34" t="str">
        <f t="shared" si="227"/>
        <v/>
      </c>
      <c r="AA961" s="34" t="str">
        <f t="shared" si="224"/>
        <v/>
      </c>
      <c r="AB961" s="25" t="str">
        <f t="shared" si="228"/>
        <v/>
      </c>
      <c r="AC961" s="1" t="str">
        <f t="shared" si="229"/>
        <v/>
      </c>
      <c r="AD961" s="36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spans="1:49" ht="20" customHeight="1" x14ac:dyDescent="0.3">
      <c r="A962" s="18" t="s">
        <v>462</v>
      </c>
      <c r="C962" s="18">
        <v>3</v>
      </c>
      <c r="D962" s="21" t="s">
        <v>292</v>
      </c>
      <c r="E962" s="21" t="s">
        <v>226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24" t="str">
        <f t="shared" si="226"/>
        <v/>
      </c>
      <c r="Z962" s="34" t="str">
        <f t="shared" si="227"/>
        <v/>
      </c>
      <c r="AA962" s="34" t="str">
        <f t="shared" si="224"/>
        <v/>
      </c>
      <c r="AB962" s="25" t="str">
        <f t="shared" si="228"/>
        <v/>
      </c>
      <c r="AC962" s="1" t="str">
        <f t="shared" si="229"/>
        <v/>
      </c>
      <c r="AD962" s="36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spans="1:49" ht="20" customHeight="1" x14ac:dyDescent="0.3">
      <c r="A963" s="18" t="s">
        <v>462</v>
      </c>
      <c r="C963" s="18">
        <v>4</v>
      </c>
      <c r="D963" s="21" t="s">
        <v>292</v>
      </c>
      <c r="E963" s="21" t="s">
        <v>226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24" t="str">
        <f t="shared" si="226"/>
        <v/>
      </c>
      <c r="Z963" s="34" t="str">
        <f t="shared" si="227"/>
        <v/>
      </c>
      <c r="AA963" s="34" t="str">
        <f t="shared" si="224"/>
        <v/>
      </c>
      <c r="AB963" s="25" t="str">
        <f t="shared" si="228"/>
        <v/>
      </c>
      <c r="AC963" s="1" t="str">
        <f t="shared" si="229"/>
        <v/>
      </c>
      <c r="AD963" s="36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spans="1:49" ht="20" customHeight="1" x14ac:dyDescent="0.3">
      <c r="A964" s="18" t="s">
        <v>462</v>
      </c>
      <c r="C964" s="18">
        <v>5</v>
      </c>
      <c r="D964" s="21" t="s">
        <v>292</v>
      </c>
      <c r="E964" s="21" t="s">
        <v>226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24" t="str">
        <f t="shared" si="226"/>
        <v/>
      </c>
      <c r="Z964" s="34" t="str">
        <f t="shared" si="227"/>
        <v/>
      </c>
      <c r="AA964" s="34" t="str">
        <f t="shared" si="224"/>
        <v/>
      </c>
      <c r="AB964" s="25" t="str">
        <f t="shared" si="228"/>
        <v/>
      </c>
      <c r="AC964" s="1" t="str">
        <f t="shared" si="229"/>
        <v/>
      </c>
      <c r="AD964" s="36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spans="1:49" ht="20" customHeight="1" x14ac:dyDescent="0.3">
      <c r="A965" s="18" t="s">
        <v>462</v>
      </c>
      <c r="C965" s="18">
        <v>6</v>
      </c>
      <c r="D965" s="21" t="s">
        <v>292</v>
      </c>
      <c r="E965" s="21" t="s">
        <v>226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ref="AA965:AA1028" si="240">IF(AJ965="","",AJ965)&amp;IF(AK965="","",","&amp;AK965)</f>
        <v/>
      </c>
      <c r="AB965" s="25" t="str">
        <f t="shared" si="228"/>
        <v/>
      </c>
      <c r="AC965" s="1" t="str">
        <f t="shared" si="229"/>
        <v/>
      </c>
      <c r="AD965" s="35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20" customHeight="1" x14ac:dyDescent="0.3">
      <c r="A966" s="18" t="s">
        <v>462</v>
      </c>
      <c r="C966" s="18">
        <v>7</v>
      </c>
      <c r="D966" s="21" t="s">
        <v>292</v>
      </c>
      <c r="E966" s="21" t="s">
        <v>226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ref="Y966:Y1029" si="242">IF(AE966="","",AE966)&amp;IF(AF966="","",","&amp;AF966)&amp;IF(AN966=0,"",",运力*"&amp;AN966)&amp;IF(AO966=0,"",",交易*"&amp;AO966)</f>
        <v/>
      </c>
      <c r="Z966" s="34" t="str">
        <f t="shared" ref="Z966:Z1029" si="243">IF(AG966="","",AG966)&amp;IF(AH966="","",","&amp;AH966)&amp;IF(AI966="","",","&amp;AI966)</f>
        <v/>
      </c>
      <c r="AA966" s="34" t="str">
        <f t="shared" si="240"/>
        <v/>
      </c>
      <c r="AB966" s="25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35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spans="1:49" ht="20" customHeight="1" x14ac:dyDescent="0.3">
      <c r="A967" s="18" t="s">
        <v>462</v>
      </c>
      <c r="C967" s="18">
        <v>8</v>
      </c>
      <c r="D967" s="21" t="s">
        <v>292</v>
      </c>
      <c r="E967" s="21" t="s">
        <v>226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42"/>
        <v/>
      </c>
      <c r="Z967" s="34" t="str">
        <f t="shared" si="243"/>
        <v/>
      </c>
      <c r="AA967" s="34" t="str">
        <f t="shared" si="240"/>
        <v/>
      </c>
      <c r="AB967" s="25" t="str">
        <f t="shared" si="244"/>
        <v/>
      </c>
      <c r="AC967" s="1" t="str">
        <f t="shared" si="245"/>
        <v/>
      </c>
      <c r="AD967" s="35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20" customHeight="1" x14ac:dyDescent="0.3">
      <c r="A968" s="5" t="s">
        <v>464</v>
      </c>
      <c r="C968" s="5">
        <v>1</v>
      </c>
      <c r="D968" s="21" t="s">
        <v>222</v>
      </c>
      <c r="E968" s="21" t="s">
        <v>224</v>
      </c>
      <c r="L968" s="5">
        <f>IFERROR(VLOOKUP($D968&amp;$C968,生产方式定位!$A$2:$E$38,2,FALSE)+VLOOKUP($E968&amp;$C968,生产方式定位!$F$3:$J$38,2,FALSE),0)</f>
        <v>600</v>
      </c>
      <c r="S968" s="5">
        <f>IFERROR(VLOOKUP($D968&amp;$C968,生产方式定位!$A$2:$E$38,3,FALSE)+VLOOKUP($E968&amp;$C968,生产方式定位!$F$3:$J$38,3,FALSE),0)</f>
        <v>150</v>
      </c>
      <c r="X968" s="5">
        <f>IFERROR(VLOOKUP($D968&amp;$C968,生产方式定位!$A$2:$E$38,5,FALSE)+VLOOKUP($E968&amp;$C968,生产方式定位!$F$3:$J$38,5,FALSE),"错误")</f>
        <v>788</v>
      </c>
      <c r="Y968" s="24" t="str">
        <f t="shared" si="242"/>
        <v/>
      </c>
      <c r="Z968" s="34" t="str">
        <f t="shared" si="243"/>
        <v/>
      </c>
      <c r="AA968" s="34" t="str">
        <f t="shared" si="240"/>
        <v/>
      </c>
      <c r="AB968" s="25" t="str">
        <f t="shared" si="244"/>
        <v>31%</v>
      </c>
      <c r="AC968" s="1">
        <f t="shared" si="245"/>
        <v>38</v>
      </c>
      <c r="AD968" s="35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20" customHeight="1" x14ac:dyDescent="0.3">
      <c r="A969" s="5" t="s">
        <v>464</v>
      </c>
      <c r="C969" s="5">
        <v>2</v>
      </c>
      <c r="D969" s="21" t="s">
        <v>222</v>
      </c>
      <c r="E969" s="21" t="s">
        <v>224</v>
      </c>
      <c r="L969" s="5">
        <f>IFERROR(VLOOKUP($D969&amp;$C969,生产方式定位!$A$2:$E$38,2,FALSE)+VLOOKUP($E969&amp;$C969,生产方式定位!$F$3:$J$38,2,FALSE),0)</f>
        <v>1200</v>
      </c>
      <c r="S969" s="5">
        <f>IFERROR(VLOOKUP($D969&amp;$C969,生产方式定位!$A$2:$E$38,3,FALSE)+VLOOKUP($E969&amp;$C969,生产方式定位!$F$3:$J$38,3,FALSE),0)</f>
        <v>140</v>
      </c>
      <c r="X969" s="5">
        <f>IFERROR(VLOOKUP($D969&amp;$C969,生产方式定位!$A$2:$E$38,5,FALSE)+VLOOKUP($E969&amp;$C969,生产方式定位!$F$3:$J$38,5,FALSE),"错误")</f>
        <v>1390</v>
      </c>
      <c r="Y969" s="24" t="str">
        <f t="shared" si="242"/>
        <v/>
      </c>
      <c r="Z969" s="34" t="str">
        <f t="shared" si="243"/>
        <v/>
      </c>
      <c r="AA969" s="34" t="str">
        <f t="shared" si="240"/>
        <v/>
      </c>
      <c r="AB969" s="25" t="str">
        <f t="shared" si="244"/>
        <v>16%</v>
      </c>
      <c r="AC969" s="1">
        <f t="shared" si="245"/>
        <v>50</v>
      </c>
      <c r="AD969" s="35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20" customHeight="1" x14ac:dyDescent="0.3">
      <c r="A970" s="5" t="s">
        <v>464</v>
      </c>
      <c r="C970" s="5">
        <v>3</v>
      </c>
      <c r="D970" s="21" t="s">
        <v>222</v>
      </c>
      <c r="E970" s="21" t="s">
        <v>224</v>
      </c>
      <c r="L970" s="5">
        <f>IFERROR(VLOOKUP($D970&amp;$C970,生产方式定位!$A$2:$E$38,2,FALSE)+VLOOKUP($E970&amp;$C970,生产方式定位!$F$3:$J$38,2,FALSE),0)</f>
        <v>1425</v>
      </c>
      <c r="S970" s="5">
        <f>IFERROR(VLOOKUP($D970&amp;$C970,生产方式定位!$A$2:$E$38,3,FALSE)+VLOOKUP($E970&amp;$C970,生产方式定位!$F$3:$J$38,3,FALSE),0)</f>
        <v>130</v>
      </c>
      <c r="X970" s="5">
        <f>IFERROR(VLOOKUP($D970&amp;$C970,生产方式定位!$A$2:$E$38,5,FALSE)+VLOOKUP($E970&amp;$C970,生产方式定位!$F$3:$J$38,5,FALSE),"错误")</f>
        <v>1618</v>
      </c>
      <c r="Y970" s="24" t="str">
        <f t="shared" si="242"/>
        <v/>
      </c>
      <c r="Z970" s="34" t="str">
        <f t="shared" si="243"/>
        <v/>
      </c>
      <c r="AA970" s="34" t="str">
        <f t="shared" si="240"/>
        <v/>
      </c>
      <c r="AB970" s="25" t="str">
        <f t="shared" si="244"/>
        <v>14%</v>
      </c>
      <c r="AC970" s="1">
        <f t="shared" si="245"/>
        <v>63</v>
      </c>
      <c r="AD970" s="36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20" customHeight="1" x14ac:dyDescent="0.3">
      <c r="A971" s="5" t="s">
        <v>464</v>
      </c>
      <c r="C971" s="5">
        <v>4</v>
      </c>
      <c r="D971" s="21" t="s">
        <v>222</v>
      </c>
      <c r="E971" s="21" t="s">
        <v>224</v>
      </c>
      <c r="L971" s="5">
        <f>IFERROR(VLOOKUP($D971&amp;$C971,生产方式定位!$A$2:$E$38,2,FALSE)+VLOOKUP($E971&amp;$C971,生产方式定位!$F$3:$J$38,2,FALSE),0)</f>
        <v>1650</v>
      </c>
      <c r="S971" s="5">
        <f>IFERROR(VLOOKUP($D971&amp;$C971,生产方式定位!$A$2:$E$38,3,FALSE)+VLOOKUP($E971&amp;$C971,生产方式定位!$F$3:$J$38,3,FALSE),0)</f>
        <v>120</v>
      </c>
      <c r="X971" s="5">
        <f>IFERROR(VLOOKUP($D971&amp;$C971,生产方式定位!$A$2:$E$38,5,FALSE)+VLOOKUP($E971&amp;$C971,生产方式定位!$F$3:$J$38,5,FALSE),"错误")</f>
        <v>1845</v>
      </c>
      <c r="Y971" s="24" t="str">
        <f t="shared" si="242"/>
        <v/>
      </c>
      <c r="Z971" s="34" t="str">
        <f t="shared" si="243"/>
        <v/>
      </c>
      <c r="AA971" s="34" t="str">
        <f t="shared" si="240"/>
        <v/>
      </c>
      <c r="AB971" s="25" t="str">
        <f t="shared" si="244"/>
        <v>12%</v>
      </c>
      <c r="AC971" s="1">
        <f t="shared" si="245"/>
        <v>75</v>
      </c>
      <c r="AD971" s="36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20" customHeight="1" x14ac:dyDescent="0.3">
      <c r="A972" s="5" t="s">
        <v>464</v>
      </c>
      <c r="C972" s="5">
        <v>5</v>
      </c>
      <c r="D972" s="21" t="s">
        <v>222</v>
      </c>
      <c r="E972" s="21" t="s">
        <v>224</v>
      </c>
      <c r="L972" s="5">
        <f>IFERROR(VLOOKUP($D972&amp;$C972,生产方式定位!$A$2:$E$38,2,FALSE)+VLOOKUP($E972&amp;$C972,生产方式定位!$F$3:$J$38,2,FALSE),0)</f>
        <v>1875</v>
      </c>
      <c r="S972" s="5">
        <f>IFERROR(VLOOKUP($D972&amp;$C972,生产方式定位!$A$2:$E$38,3,FALSE)+VLOOKUP($E972&amp;$C972,生产方式定位!$F$3:$J$38,3,FALSE),0)</f>
        <v>110</v>
      </c>
      <c r="X972" s="5">
        <f>IFERROR(VLOOKUP($D972&amp;$C972,生产方式定位!$A$2:$E$38,5,FALSE)+VLOOKUP($E972&amp;$C972,生产方式定位!$F$3:$J$38,5,FALSE),"错误")</f>
        <v>2073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>11%</v>
      </c>
      <c r="AC972" s="1">
        <f t="shared" si="245"/>
        <v>88</v>
      </c>
      <c r="AD972" s="36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20" customHeight="1" x14ac:dyDescent="0.3">
      <c r="A973" s="18" t="s">
        <v>465</v>
      </c>
      <c r="C973" s="18">
        <v>1</v>
      </c>
      <c r="D973" s="21" t="s">
        <v>222</v>
      </c>
      <c r="E973" s="21" t="s">
        <v>225</v>
      </c>
      <c r="L973" s="18">
        <f>IFERROR(VLOOKUP($D973&amp;$C973,生产方式定位!$A$2:$E$38,2,FALSE)+VLOOKUP($E973&amp;$C973,生产方式定位!$F$3:$J$38,2,FALSE),0)</f>
        <v>600</v>
      </c>
      <c r="S973" s="18">
        <f>IFERROR(VLOOKUP($D973&amp;$C973,生产方式定位!$A$2:$E$38,3,FALSE)+VLOOKUP($E973&amp;$C973,生产方式定位!$F$3:$J$38,3,FALSE),0)</f>
        <v>150</v>
      </c>
      <c r="X973" s="18">
        <f>IFERROR(VLOOKUP($D973&amp;$C973,生产方式定位!$A$2:$E$38,5,FALSE)+VLOOKUP($E973&amp;$C973,生产方式定位!$F$3:$J$38,5,FALSE),"错误")</f>
        <v>788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>31%</v>
      </c>
      <c r="AC973" s="1">
        <f t="shared" si="245"/>
        <v>38</v>
      </c>
      <c r="AD973" s="36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20" customHeight="1" x14ac:dyDescent="0.3">
      <c r="A974" s="18" t="s">
        <v>465</v>
      </c>
      <c r="C974" s="18">
        <v>2</v>
      </c>
      <c r="D974" s="21" t="s">
        <v>222</v>
      </c>
      <c r="E974" s="21" t="s">
        <v>225</v>
      </c>
      <c r="L974" s="18">
        <f>IFERROR(VLOOKUP($D974&amp;$C974,生产方式定位!$A$2:$E$38,2,FALSE)+VLOOKUP($E974&amp;$C974,生产方式定位!$F$3:$J$38,2,FALSE),0)</f>
        <v>1450</v>
      </c>
      <c r="S974" s="18">
        <f>IFERROR(VLOOKUP($D974&amp;$C974,生产方式定位!$A$2:$E$38,3,FALSE)+VLOOKUP($E974&amp;$C974,生产方式定位!$F$3:$J$38,3,FALSE),0)</f>
        <v>180</v>
      </c>
      <c r="X974" s="18">
        <f>IFERROR(VLOOKUP($D974&amp;$C974,生产方式定位!$A$2:$E$38,5,FALSE)+VLOOKUP($E974&amp;$C974,生产方式定位!$F$3:$J$38,5,FALSE),"错误")</f>
        <v>1472</v>
      </c>
      <c r="Y974" s="24" t="str">
        <f t="shared" si="242"/>
        <v/>
      </c>
      <c r="Z974" s="34" t="str">
        <f t="shared" si="243"/>
        <v/>
      </c>
      <c r="AA974" s="34" t="str">
        <f t="shared" si="240"/>
        <v/>
      </c>
      <c r="AB974" s="25" t="str">
        <f t="shared" si="244"/>
        <v>2%</v>
      </c>
      <c r="AC974" s="1">
        <f t="shared" si="245"/>
        <v>-158</v>
      </c>
      <c r="AD974" s="36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20" customHeight="1" x14ac:dyDescent="0.3">
      <c r="A975" s="18" t="s">
        <v>465</v>
      </c>
      <c r="C975" s="18">
        <v>3</v>
      </c>
      <c r="D975" s="21" t="s">
        <v>222</v>
      </c>
      <c r="E975" s="21" t="s">
        <v>225</v>
      </c>
      <c r="L975" s="18">
        <f>IFERROR(VLOOKUP($D975&amp;$C975,生产方式定位!$A$2:$E$38,2,FALSE)+VLOOKUP($E975&amp;$C975,生产方式定位!$F$3:$J$38,2,FALSE),0)</f>
        <v>1800</v>
      </c>
      <c r="S975" s="18">
        <f>IFERROR(VLOOKUP($D975&amp;$C975,生产方式定位!$A$2:$E$38,3,FALSE)+VLOOKUP($E975&amp;$C975,生产方式定位!$F$3:$J$38,3,FALSE),0)</f>
        <v>190</v>
      </c>
      <c r="X975" s="18">
        <f>IFERROR(VLOOKUP($D975&amp;$C975,生产方式定位!$A$2:$E$38,5,FALSE)+VLOOKUP($E975&amp;$C975,生产方式定位!$F$3:$J$38,5,FALSE),"错误")</f>
        <v>1831</v>
      </c>
      <c r="Y975" s="24" t="str">
        <f t="shared" si="242"/>
        <v/>
      </c>
      <c r="Z975" s="34" t="str">
        <f t="shared" si="243"/>
        <v/>
      </c>
      <c r="AA975" s="34" t="str">
        <f t="shared" si="240"/>
        <v/>
      </c>
      <c r="AB975" s="25" t="str">
        <f t="shared" si="244"/>
        <v>2%</v>
      </c>
      <c r="AC975" s="1">
        <f t="shared" si="245"/>
        <v>-159</v>
      </c>
      <c r="AD975" s="36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20" customHeight="1" x14ac:dyDescent="0.3">
      <c r="A976" s="18" t="s">
        <v>465</v>
      </c>
      <c r="C976" s="18">
        <v>4</v>
      </c>
      <c r="D976" s="21" t="s">
        <v>222</v>
      </c>
      <c r="E976" s="21" t="s">
        <v>225</v>
      </c>
      <c r="L976" s="18">
        <f>IFERROR(VLOOKUP($D976&amp;$C976,生产方式定位!$A$2:$E$38,2,FALSE)+VLOOKUP($E976&amp;$C976,生产方式定位!$F$3:$J$38,2,FALSE),0)</f>
        <v>2150</v>
      </c>
      <c r="S976" s="18">
        <f>IFERROR(VLOOKUP($D976&amp;$C976,生产方式定位!$A$2:$E$38,3,FALSE)+VLOOKUP($E976&amp;$C976,生产方式定位!$F$3:$J$38,3,FALSE),0)</f>
        <v>200</v>
      </c>
      <c r="X976" s="18">
        <f>IFERROR(VLOOKUP($D976&amp;$C976,生产方式定位!$A$2:$E$38,5,FALSE)+VLOOKUP($E976&amp;$C976,生产方式定位!$F$3:$J$38,5,FALSE),"错误")</f>
        <v>2217</v>
      </c>
      <c r="Y976" s="24" t="str">
        <f t="shared" si="242"/>
        <v/>
      </c>
      <c r="Z976" s="34" t="str">
        <f t="shared" si="243"/>
        <v/>
      </c>
      <c r="AA976" s="34" t="str">
        <f t="shared" si="240"/>
        <v/>
      </c>
      <c r="AB976" s="25" t="str">
        <f t="shared" si="244"/>
        <v>3%</v>
      </c>
      <c r="AC976" s="1">
        <f t="shared" si="245"/>
        <v>-133</v>
      </c>
      <c r="AD976" s="36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20" customHeight="1" x14ac:dyDescent="0.3">
      <c r="A977" s="18" t="s">
        <v>465</v>
      </c>
      <c r="C977" s="18">
        <v>5</v>
      </c>
      <c r="D977" s="21" t="s">
        <v>222</v>
      </c>
      <c r="E977" s="21" t="s">
        <v>225</v>
      </c>
      <c r="L977" s="18">
        <f>IFERROR(VLOOKUP($D977&amp;$C977,生产方式定位!$A$2:$E$38,2,FALSE)+VLOOKUP($E977&amp;$C977,生产方式定位!$F$3:$J$38,2,FALSE),0)</f>
        <v>2500</v>
      </c>
      <c r="S977" s="18">
        <f>IFERROR(VLOOKUP($D977&amp;$C977,生产方式定位!$A$2:$E$38,3,FALSE)+VLOOKUP($E977&amp;$C977,生产方式定位!$F$3:$J$38,3,FALSE),0)</f>
        <v>210</v>
      </c>
      <c r="X977" s="18">
        <f>IFERROR(VLOOKUP($D977&amp;$C977,生产方式定位!$A$2:$E$38,5,FALSE)+VLOOKUP($E977&amp;$C977,生产方式定位!$F$3:$J$38,5,FALSE),"错误")</f>
        <v>2870</v>
      </c>
      <c r="Y977" s="24" t="str">
        <f t="shared" si="242"/>
        <v/>
      </c>
      <c r="Z977" s="34" t="str">
        <f t="shared" si="243"/>
        <v/>
      </c>
      <c r="AA977" s="34" t="str">
        <f t="shared" si="240"/>
        <v/>
      </c>
      <c r="AB977" s="25" t="str">
        <f t="shared" si="244"/>
        <v>15%</v>
      </c>
      <c r="AC977" s="1">
        <f t="shared" si="245"/>
        <v>160</v>
      </c>
      <c r="AD977" s="36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20" customHeight="1" x14ac:dyDescent="0.3">
      <c r="A978" s="5" t="s">
        <v>465</v>
      </c>
      <c r="C978" s="5">
        <v>1</v>
      </c>
      <c r="D978" s="21" t="s">
        <v>222</v>
      </c>
      <c r="E978" s="21" t="s">
        <v>225</v>
      </c>
      <c r="L978" s="5">
        <f>IFERROR(VLOOKUP($D978&amp;$C978,生产方式定位!$A$2:$E$38,2,FALSE)+VLOOKUP($E978&amp;$C978,生产方式定位!$F$3:$J$38,2,FALSE),0)</f>
        <v>600</v>
      </c>
      <c r="S978" s="5">
        <f>IFERROR(VLOOKUP($D978&amp;$C978,生产方式定位!$A$2:$E$38,3,FALSE)+VLOOKUP($E978&amp;$C978,生产方式定位!$F$3:$J$38,3,FALSE),0)</f>
        <v>150</v>
      </c>
      <c r="X978" s="5">
        <f>IFERROR(VLOOKUP($D978&amp;$C978,生产方式定位!$A$2:$E$38,5,FALSE)+VLOOKUP($E978&amp;$C978,生产方式定位!$F$3:$J$38,5,FALSE),"错误")</f>
        <v>788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>31%</v>
      </c>
      <c r="AC978" s="1">
        <f t="shared" si="245"/>
        <v>38</v>
      </c>
      <c r="AD978" s="35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20" customHeight="1" x14ac:dyDescent="0.3">
      <c r="A979" s="5" t="s">
        <v>465</v>
      </c>
      <c r="C979" s="5">
        <v>2</v>
      </c>
      <c r="D979" s="21" t="s">
        <v>222</v>
      </c>
      <c r="E979" s="21" t="s">
        <v>225</v>
      </c>
      <c r="L979" s="5">
        <f>IFERROR(VLOOKUP($D979&amp;$C979,生产方式定位!$A$2:$E$38,2,FALSE)+VLOOKUP($E979&amp;$C979,生产方式定位!$F$3:$J$38,2,FALSE),0)</f>
        <v>1450</v>
      </c>
      <c r="S979" s="5">
        <f>IFERROR(VLOOKUP($D979&amp;$C979,生产方式定位!$A$2:$E$38,3,FALSE)+VLOOKUP($E979&amp;$C979,生产方式定位!$F$3:$J$38,3,FALSE),0)</f>
        <v>180</v>
      </c>
      <c r="X979" s="5">
        <f>IFERROR(VLOOKUP($D979&amp;$C979,生产方式定位!$A$2:$E$38,5,FALSE)+VLOOKUP($E979&amp;$C979,生产方式定位!$F$3:$J$38,5,FALSE),"错误")</f>
        <v>1472</v>
      </c>
      <c r="Y979" s="24" t="str">
        <f t="shared" si="242"/>
        <v/>
      </c>
      <c r="Z979" s="34" t="str">
        <f t="shared" si="243"/>
        <v/>
      </c>
      <c r="AA979" s="34" t="str">
        <f t="shared" si="240"/>
        <v/>
      </c>
      <c r="AB979" s="25" t="str">
        <f t="shared" si="244"/>
        <v>2%</v>
      </c>
      <c r="AC979" s="1">
        <f t="shared" si="245"/>
        <v>-158</v>
      </c>
      <c r="AD979" s="35">
        <f t="shared" si="241"/>
        <v>2</v>
      </c>
      <c r="AE979" t="str">
        <f t="shared" si="246"/>
        <v/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 t="str">
        <f>IFERROR(ROUND(L979*(G979/$AU979)/VLOOKUP(F979,商品!$A$4:$C$60,3,FALSE),0),"")</f>
        <v/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0</v>
      </c>
      <c r="AV979">
        <f t="shared" si="254"/>
        <v>0</v>
      </c>
      <c r="AW979">
        <f t="shared" si="255"/>
        <v>0</v>
      </c>
    </row>
    <row r="980" spans="1:49" ht="20" customHeight="1" x14ac:dyDescent="0.3">
      <c r="A980" s="5" t="s">
        <v>465</v>
      </c>
      <c r="C980" s="5">
        <v>3</v>
      </c>
      <c r="D980" s="21" t="s">
        <v>222</v>
      </c>
      <c r="E980" s="21" t="s">
        <v>225</v>
      </c>
      <c r="L980" s="5">
        <f>IFERROR(VLOOKUP($D980&amp;$C980,生产方式定位!$A$2:$E$38,2,FALSE)+VLOOKUP($E980&amp;$C980,生产方式定位!$F$3:$J$38,2,FALSE),0)</f>
        <v>1800</v>
      </c>
      <c r="S980" s="5">
        <f>IFERROR(VLOOKUP($D980&amp;$C980,生产方式定位!$A$2:$E$38,3,FALSE)+VLOOKUP($E980&amp;$C980,生产方式定位!$F$3:$J$38,3,FALSE),0)</f>
        <v>190</v>
      </c>
      <c r="X980" s="5">
        <f>IFERROR(VLOOKUP($D980&amp;$C980,生产方式定位!$A$2:$E$38,5,FALSE)+VLOOKUP($E980&amp;$C980,生产方式定位!$F$3:$J$38,5,FALSE),"错误")</f>
        <v>1831</v>
      </c>
      <c r="Y980" s="24" t="str">
        <f t="shared" si="242"/>
        <v/>
      </c>
      <c r="Z980" s="34" t="str">
        <f t="shared" si="243"/>
        <v/>
      </c>
      <c r="AA980" s="34" t="str">
        <f t="shared" si="240"/>
        <v/>
      </c>
      <c r="AB980" s="25" t="str">
        <f t="shared" si="244"/>
        <v>2%</v>
      </c>
      <c r="AC980" s="1">
        <f t="shared" si="245"/>
        <v>-159</v>
      </c>
      <c r="AD980" s="35">
        <f t="shared" si="241"/>
        <v>3</v>
      </c>
      <c r="AE980" t="str">
        <f t="shared" si="246"/>
        <v/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 t="str">
        <f>IFERROR(ROUND(L980*(G980/$AU980)/VLOOKUP(F980,商品!$A$4:$C$60,3,FALSE),0),"")</f>
        <v/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0</v>
      </c>
      <c r="AV980">
        <f t="shared" si="254"/>
        <v>0</v>
      </c>
      <c r="AW980">
        <f t="shared" si="255"/>
        <v>0</v>
      </c>
    </row>
    <row r="981" spans="1:49" ht="20" customHeight="1" x14ac:dyDescent="0.3">
      <c r="A981" s="5" t="s">
        <v>465</v>
      </c>
      <c r="C981" s="5">
        <v>4</v>
      </c>
      <c r="D981" s="21" t="s">
        <v>222</v>
      </c>
      <c r="E981" s="21" t="s">
        <v>225</v>
      </c>
      <c r="L981" s="5">
        <f>IFERROR(VLOOKUP($D981&amp;$C981,生产方式定位!$A$2:$E$38,2,FALSE)+VLOOKUP($E981&amp;$C981,生产方式定位!$F$3:$J$38,2,FALSE),0)</f>
        <v>2150</v>
      </c>
      <c r="S981" s="5">
        <f>IFERROR(VLOOKUP($D981&amp;$C981,生产方式定位!$A$2:$E$38,3,FALSE)+VLOOKUP($E981&amp;$C981,生产方式定位!$F$3:$J$38,3,FALSE),0)</f>
        <v>200</v>
      </c>
      <c r="X981" s="5">
        <f>IFERROR(VLOOKUP($D981&amp;$C981,生产方式定位!$A$2:$E$38,5,FALSE)+VLOOKUP($E981&amp;$C981,生产方式定位!$F$3:$J$38,5,FALSE),"错误")</f>
        <v>2217</v>
      </c>
      <c r="Y981" s="24" t="str">
        <f t="shared" si="242"/>
        <v/>
      </c>
      <c r="Z981" s="34" t="str">
        <f t="shared" si="243"/>
        <v/>
      </c>
      <c r="AA981" s="34" t="str">
        <f t="shared" si="240"/>
        <v/>
      </c>
      <c r="AB981" s="25" t="str">
        <f t="shared" si="244"/>
        <v>3%</v>
      </c>
      <c r="AC981" s="1">
        <f t="shared" si="245"/>
        <v>-133</v>
      </c>
      <c r="AD981" s="35">
        <f t="shared" si="241"/>
        <v>4</v>
      </c>
      <c r="AE981" t="str">
        <f t="shared" si="246"/>
        <v/>
      </c>
      <c r="AF981" t="str">
        <f t="shared" si="247"/>
        <v/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 t="str">
        <f>IFERROR(ROUND(L981*(G981/$AU981)/VLOOKUP(F981,商品!$A$4:$C$60,3,FALSE),0),"")</f>
        <v/>
      </c>
      <c r="AM981" t="str">
        <f>IFERROR(ROUND(L981*(I981/$AU981)/VLOOKUP(H981,商品!$A$4:$C$60,3,FALSE),0),"")</f>
        <v/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0</v>
      </c>
      <c r="AV981">
        <f t="shared" si="254"/>
        <v>0</v>
      </c>
      <c r="AW981">
        <f t="shared" si="255"/>
        <v>0</v>
      </c>
    </row>
    <row r="982" spans="1:49" ht="20" customHeight="1" x14ac:dyDescent="0.3">
      <c r="A982" s="5" t="s">
        <v>465</v>
      </c>
      <c r="C982" s="5">
        <v>5</v>
      </c>
      <c r="D982" s="21" t="s">
        <v>222</v>
      </c>
      <c r="E982" s="21" t="s">
        <v>225</v>
      </c>
      <c r="L982" s="5">
        <f>IFERROR(VLOOKUP($D982&amp;$C982,生产方式定位!$A$2:$E$38,2,FALSE)+VLOOKUP($E982&amp;$C982,生产方式定位!$F$3:$J$38,2,FALSE),0)</f>
        <v>2500</v>
      </c>
      <c r="S982" s="5">
        <f>IFERROR(VLOOKUP($D982&amp;$C982,生产方式定位!$A$2:$E$38,3,FALSE)+VLOOKUP($E982&amp;$C982,生产方式定位!$F$3:$J$38,3,FALSE),0)</f>
        <v>210</v>
      </c>
      <c r="X982" s="5">
        <f>IFERROR(VLOOKUP($D982&amp;$C982,生产方式定位!$A$2:$E$38,5,FALSE)+VLOOKUP($E982&amp;$C982,生产方式定位!$F$3:$J$38,5,FALSE),"错误")</f>
        <v>2870</v>
      </c>
      <c r="Y982" s="24" t="str">
        <f t="shared" si="242"/>
        <v/>
      </c>
      <c r="Z982" s="34" t="str">
        <f t="shared" si="243"/>
        <v/>
      </c>
      <c r="AA982" s="34" t="str">
        <f t="shared" si="240"/>
        <v/>
      </c>
      <c r="AB982" s="25" t="str">
        <f t="shared" si="244"/>
        <v>15%</v>
      </c>
      <c r="AC982" s="1">
        <f t="shared" si="245"/>
        <v>160</v>
      </c>
      <c r="AD982" s="35">
        <f t="shared" si="241"/>
        <v>5</v>
      </c>
      <c r="AE982" t="str">
        <f t="shared" si="246"/>
        <v/>
      </c>
      <c r="AF982" t="str">
        <f t="shared" si="247"/>
        <v/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 t="str">
        <f>IFERROR(ROUND(L982*(G982/$AU982)/VLOOKUP(F982,商品!$A$4:$C$60,3,FALSE),0),"")</f>
        <v/>
      </c>
      <c r="AM982" t="str">
        <f>IFERROR(ROUND(L982*(I982/$AU982)/VLOOKUP(H982,商品!$A$4:$C$60,3,FALSE),0),"")</f>
        <v/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0</v>
      </c>
      <c r="AV982">
        <f t="shared" si="254"/>
        <v>0</v>
      </c>
      <c r="AW982">
        <f t="shared" si="255"/>
        <v>0</v>
      </c>
    </row>
    <row r="983" spans="1:49" ht="20" customHeight="1" x14ac:dyDescent="0.3">
      <c r="A983" s="18" t="s">
        <v>466</v>
      </c>
      <c r="C983" s="18">
        <v>1</v>
      </c>
      <c r="D983" s="21" t="s">
        <v>292</v>
      </c>
      <c r="E983" s="21" t="s">
        <v>226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/>
      </c>
      <c r="AC983" s="1" t="str">
        <f t="shared" si="245"/>
        <v/>
      </c>
      <c r="AD983" s="36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20" customHeight="1" x14ac:dyDescent="0.3">
      <c r="A984" s="18" t="s">
        <v>466</v>
      </c>
      <c r="C984" s="18">
        <v>2</v>
      </c>
      <c r="D984" s="21" t="s">
        <v>292</v>
      </c>
      <c r="E984" s="21" t="s">
        <v>226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24" t="str">
        <f t="shared" si="242"/>
        <v/>
      </c>
      <c r="Z984" s="34" t="str">
        <f t="shared" si="243"/>
        <v/>
      </c>
      <c r="AA984" s="34" t="str">
        <f t="shared" si="240"/>
        <v/>
      </c>
      <c r="AB984" s="25" t="str">
        <f t="shared" si="244"/>
        <v/>
      </c>
      <c r="AC984" s="1" t="str">
        <f t="shared" si="245"/>
        <v/>
      </c>
      <c r="AD984" s="36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spans="1:49" ht="20" customHeight="1" x14ac:dyDescent="0.3">
      <c r="A985" s="18" t="s">
        <v>466</v>
      </c>
      <c r="C985" s="18">
        <v>3</v>
      </c>
      <c r="D985" s="21" t="s">
        <v>292</v>
      </c>
      <c r="E985" s="21" t="s">
        <v>226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24" t="str">
        <f t="shared" si="242"/>
        <v/>
      </c>
      <c r="Z985" s="34" t="str">
        <f t="shared" si="243"/>
        <v/>
      </c>
      <c r="AA985" s="34" t="str">
        <f t="shared" si="240"/>
        <v/>
      </c>
      <c r="AB985" s="25" t="str">
        <f t="shared" si="244"/>
        <v/>
      </c>
      <c r="AC985" s="1" t="str">
        <f t="shared" si="245"/>
        <v/>
      </c>
      <c r="AD985" s="36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spans="1:49" ht="20" customHeight="1" x14ac:dyDescent="0.3">
      <c r="A986" s="18" t="s">
        <v>466</v>
      </c>
      <c r="C986" s="18">
        <v>4</v>
      </c>
      <c r="D986" s="21" t="s">
        <v>292</v>
      </c>
      <c r="E986" s="21" t="s">
        <v>226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24" t="str">
        <f t="shared" si="242"/>
        <v/>
      </c>
      <c r="Z986" s="34" t="str">
        <f t="shared" si="243"/>
        <v/>
      </c>
      <c r="AA986" s="34" t="str">
        <f t="shared" si="240"/>
        <v/>
      </c>
      <c r="AB986" s="25" t="str">
        <f t="shared" si="244"/>
        <v/>
      </c>
      <c r="AC986" s="1" t="str">
        <f t="shared" si="245"/>
        <v/>
      </c>
      <c r="AD986" s="36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spans="1:49" ht="20" customHeight="1" x14ac:dyDescent="0.3">
      <c r="A987" s="18" t="s">
        <v>466</v>
      </c>
      <c r="C987" s="18">
        <v>5</v>
      </c>
      <c r="D987" s="21" t="s">
        <v>292</v>
      </c>
      <c r="E987" s="21" t="s">
        <v>226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24" t="str">
        <f t="shared" si="242"/>
        <v/>
      </c>
      <c r="Z987" s="34" t="str">
        <f t="shared" si="243"/>
        <v/>
      </c>
      <c r="AA987" s="34" t="str">
        <f t="shared" si="240"/>
        <v/>
      </c>
      <c r="AB987" s="25" t="str">
        <f t="shared" si="244"/>
        <v/>
      </c>
      <c r="AC987" s="1" t="str">
        <f t="shared" si="245"/>
        <v/>
      </c>
      <c r="AD987" s="36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spans="1:49" ht="20" customHeight="1" x14ac:dyDescent="0.3">
      <c r="A988" s="18" t="s">
        <v>466</v>
      </c>
      <c r="C988" s="18">
        <v>6</v>
      </c>
      <c r="D988" s="21" t="s">
        <v>292</v>
      </c>
      <c r="E988" s="21" t="s">
        <v>226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5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20" customHeight="1" x14ac:dyDescent="0.3">
      <c r="A989" s="18" t="s">
        <v>466</v>
      </c>
      <c r="C989" s="18">
        <v>7</v>
      </c>
      <c r="D989" s="21" t="s">
        <v>292</v>
      </c>
      <c r="E989" s="21" t="s">
        <v>226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5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20" customHeight="1" x14ac:dyDescent="0.3">
      <c r="A990" s="18" t="s">
        <v>466</v>
      </c>
      <c r="C990" s="18">
        <v>8</v>
      </c>
      <c r="D990" s="21" t="s">
        <v>292</v>
      </c>
      <c r="E990" s="21" t="s">
        <v>226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5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20" customHeight="1" x14ac:dyDescent="0.3">
      <c r="A991" s="5" t="s">
        <v>468</v>
      </c>
      <c r="C991" s="5">
        <v>1</v>
      </c>
      <c r="D991" s="21" t="s">
        <v>222</v>
      </c>
      <c r="E991" s="21" t="s">
        <v>224</v>
      </c>
      <c r="L991" s="5">
        <f>IFERROR(VLOOKUP($D991&amp;$C991,生产方式定位!$A$2:$E$38,2,FALSE)+VLOOKUP($E991&amp;$C991,生产方式定位!$F$3:$J$38,2,FALSE),0)</f>
        <v>600</v>
      </c>
      <c r="S991" s="5">
        <f>IFERROR(VLOOKUP($D991&amp;$C991,生产方式定位!$A$2:$E$38,3,FALSE)+VLOOKUP($E991&amp;$C991,生产方式定位!$F$3:$J$38,3,FALSE),0)</f>
        <v>150</v>
      </c>
      <c r="X991" s="5">
        <f>IFERROR(VLOOKUP($D991&amp;$C991,生产方式定位!$A$2:$E$38,5,FALSE)+VLOOKUP($E991&amp;$C991,生产方式定位!$F$3:$J$38,5,FALSE),"错误")</f>
        <v>788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>31%</v>
      </c>
      <c r="AC991" s="1">
        <f t="shared" si="245"/>
        <v>38</v>
      </c>
      <c r="AD991" s="35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20" customHeight="1" x14ac:dyDescent="0.3">
      <c r="A992" s="5" t="s">
        <v>468</v>
      </c>
      <c r="C992" s="5">
        <v>2</v>
      </c>
      <c r="D992" s="21" t="s">
        <v>222</v>
      </c>
      <c r="E992" s="21" t="s">
        <v>224</v>
      </c>
      <c r="L992" s="5">
        <f>IFERROR(VLOOKUP($D992&amp;$C992,生产方式定位!$A$2:$E$38,2,FALSE)+VLOOKUP($E992&amp;$C992,生产方式定位!$F$3:$J$38,2,FALSE),0)</f>
        <v>1200</v>
      </c>
      <c r="S992" s="5">
        <f>IFERROR(VLOOKUP($D992&amp;$C992,生产方式定位!$A$2:$E$38,3,FALSE)+VLOOKUP($E992&amp;$C992,生产方式定位!$F$3:$J$38,3,FALSE),0)</f>
        <v>140</v>
      </c>
      <c r="X992" s="5">
        <f>IFERROR(VLOOKUP($D992&amp;$C992,生产方式定位!$A$2:$E$38,5,FALSE)+VLOOKUP($E992&amp;$C992,生产方式定位!$F$3:$J$38,5,FALSE),"错误")</f>
        <v>1390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>16%</v>
      </c>
      <c r="AC992" s="1">
        <f t="shared" si="245"/>
        <v>50</v>
      </c>
      <c r="AD992" s="35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20" customHeight="1" x14ac:dyDescent="0.3">
      <c r="A993" s="5" t="s">
        <v>468</v>
      </c>
      <c r="C993" s="5">
        <v>3</v>
      </c>
      <c r="D993" s="21" t="s">
        <v>222</v>
      </c>
      <c r="E993" s="21" t="s">
        <v>224</v>
      </c>
      <c r="L993" s="5">
        <f>IFERROR(VLOOKUP($D993&amp;$C993,生产方式定位!$A$2:$E$38,2,FALSE)+VLOOKUP($E993&amp;$C993,生产方式定位!$F$3:$J$38,2,FALSE),0)</f>
        <v>1425</v>
      </c>
      <c r="S993" s="5">
        <f>IFERROR(VLOOKUP($D993&amp;$C993,生产方式定位!$A$2:$E$38,3,FALSE)+VLOOKUP($E993&amp;$C993,生产方式定位!$F$3:$J$38,3,FALSE),0)</f>
        <v>130</v>
      </c>
      <c r="X993" s="5">
        <f>IFERROR(VLOOKUP($D993&amp;$C993,生产方式定位!$A$2:$E$38,5,FALSE)+VLOOKUP($E993&amp;$C993,生产方式定位!$F$3:$J$38,5,FALSE),"错误")</f>
        <v>1618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>14%</v>
      </c>
      <c r="AC993" s="1">
        <f t="shared" si="245"/>
        <v>63</v>
      </c>
      <c r="AD993" s="36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20" customHeight="1" x14ac:dyDescent="0.3">
      <c r="A994" s="5" t="s">
        <v>468</v>
      </c>
      <c r="C994" s="5">
        <v>4</v>
      </c>
      <c r="D994" s="21" t="s">
        <v>222</v>
      </c>
      <c r="E994" s="21" t="s">
        <v>224</v>
      </c>
      <c r="L994" s="5">
        <f>IFERROR(VLOOKUP($D994&amp;$C994,生产方式定位!$A$2:$E$38,2,FALSE)+VLOOKUP($E994&amp;$C994,生产方式定位!$F$3:$J$38,2,FALSE),0)</f>
        <v>1650</v>
      </c>
      <c r="S994" s="5">
        <f>IFERROR(VLOOKUP($D994&amp;$C994,生产方式定位!$A$2:$E$38,3,FALSE)+VLOOKUP($E994&amp;$C994,生产方式定位!$F$3:$J$38,3,FALSE),0)</f>
        <v>120</v>
      </c>
      <c r="X994" s="5">
        <f>IFERROR(VLOOKUP($D994&amp;$C994,生产方式定位!$A$2:$E$38,5,FALSE)+VLOOKUP($E994&amp;$C994,生产方式定位!$F$3:$J$38,5,FALSE),"错误")</f>
        <v>1845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>12%</v>
      </c>
      <c r="AC994" s="1">
        <f t="shared" si="245"/>
        <v>75</v>
      </c>
      <c r="AD994" s="36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20" customHeight="1" x14ac:dyDescent="0.3">
      <c r="A995" s="5" t="s">
        <v>468</v>
      </c>
      <c r="C995" s="5">
        <v>5</v>
      </c>
      <c r="D995" s="21" t="s">
        <v>222</v>
      </c>
      <c r="E995" s="21" t="s">
        <v>224</v>
      </c>
      <c r="L995" s="5">
        <f>IFERROR(VLOOKUP($D995&amp;$C995,生产方式定位!$A$2:$E$38,2,FALSE)+VLOOKUP($E995&amp;$C995,生产方式定位!$F$3:$J$38,2,FALSE),0)</f>
        <v>1875</v>
      </c>
      <c r="S995" s="5">
        <f>IFERROR(VLOOKUP($D995&amp;$C995,生产方式定位!$A$2:$E$38,3,FALSE)+VLOOKUP($E995&amp;$C995,生产方式定位!$F$3:$J$38,3,FALSE),0)</f>
        <v>110</v>
      </c>
      <c r="X995" s="5">
        <f>IFERROR(VLOOKUP($D995&amp;$C995,生产方式定位!$A$2:$E$38,5,FALSE)+VLOOKUP($E995&amp;$C995,生产方式定位!$F$3:$J$38,5,FALSE),"错误")</f>
        <v>2073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>11%</v>
      </c>
      <c r="AC995" s="1">
        <f t="shared" si="245"/>
        <v>88</v>
      </c>
      <c r="AD995" s="36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20" customHeight="1" x14ac:dyDescent="0.3">
      <c r="A996" s="18" t="s">
        <v>469</v>
      </c>
      <c r="C996" s="18">
        <v>1</v>
      </c>
      <c r="D996" s="21" t="s">
        <v>222</v>
      </c>
      <c r="E996" s="21" t="s">
        <v>225</v>
      </c>
      <c r="L996" s="18">
        <f>IFERROR(VLOOKUP($D996&amp;$C996,生产方式定位!$A$2:$E$38,2,FALSE)+VLOOKUP($E996&amp;$C996,生产方式定位!$F$3:$J$38,2,FALSE),0)</f>
        <v>600</v>
      </c>
      <c r="S996" s="18">
        <f>IFERROR(VLOOKUP($D996&amp;$C996,生产方式定位!$A$2:$E$38,3,FALSE)+VLOOKUP($E996&amp;$C996,生产方式定位!$F$3:$J$38,3,FALSE),0)</f>
        <v>150</v>
      </c>
      <c r="X996" s="18">
        <f>IFERROR(VLOOKUP($D996&amp;$C996,生产方式定位!$A$2:$E$38,5,FALSE)+VLOOKUP($E996&amp;$C996,生产方式定位!$F$3:$J$38,5,FALSE),"错误")</f>
        <v>788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>31%</v>
      </c>
      <c r="AC996" s="1">
        <f t="shared" si="245"/>
        <v>38</v>
      </c>
      <c r="AD996" s="36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20" customHeight="1" x14ac:dyDescent="0.3">
      <c r="A997" s="18" t="s">
        <v>469</v>
      </c>
      <c r="C997" s="18">
        <v>2</v>
      </c>
      <c r="D997" s="21" t="s">
        <v>222</v>
      </c>
      <c r="E997" s="21" t="s">
        <v>225</v>
      </c>
      <c r="L997" s="18">
        <f>IFERROR(VLOOKUP($D997&amp;$C997,生产方式定位!$A$2:$E$38,2,FALSE)+VLOOKUP($E997&amp;$C997,生产方式定位!$F$3:$J$38,2,FALSE),0)</f>
        <v>1450</v>
      </c>
      <c r="S997" s="18">
        <f>IFERROR(VLOOKUP($D997&amp;$C997,生产方式定位!$A$2:$E$38,3,FALSE)+VLOOKUP($E997&amp;$C997,生产方式定位!$F$3:$J$38,3,FALSE),0)</f>
        <v>180</v>
      </c>
      <c r="X997" s="18">
        <f>IFERROR(VLOOKUP($D997&amp;$C997,生产方式定位!$A$2:$E$38,5,FALSE)+VLOOKUP($E997&amp;$C997,生产方式定位!$F$3:$J$38,5,FALSE),"错误")</f>
        <v>1472</v>
      </c>
      <c r="Y997" s="24" t="str">
        <f t="shared" si="242"/>
        <v/>
      </c>
      <c r="Z997" s="34" t="str">
        <f t="shared" si="243"/>
        <v/>
      </c>
      <c r="AA997" s="34" t="str">
        <f t="shared" si="240"/>
        <v/>
      </c>
      <c r="AB997" s="25" t="str">
        <f t="shared" si="244"/>
        <v>2%</v>
      </c>
      <c r="AC997" s="1">
        <f t="shared" si="245"/>
        <v>-158</v>
      </c>
      <c r="AD997" s="36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20" customHeight="1" x14ac:dyDescent="0.3">
      <c r="A998" s="18" t="s">
        <v>469</v>
      </c>
      <c r="C998" s="18">
        <v>3</v>
      </c>
      <c r="D998" s="21" t="s">
        <v>222</v>
      </c>
      <c r="E998" s="21" t="s">
        <v>225</v>
      </c>
      <c r="L998" s="18">
        <f>IFERROR(VLOOKUP($D998&amp;$C998,生产方式定位!$A$2:$E$38,2,FALSE)+VLOOKUP($E998&amp;$C998,生产方式定位!$F$3:$J$38,2,FALSE),0)</f>
        <v>1800</v>
      </c>
      <c r="S998" s="18">
        <f>IFERROR(VLOOKUP($D998&amp;$C998,生产方式定位!$A$2:$E$38,3,FALSE)+VLOOKUP($E998&amp;$C998,生产方式定位!$F$3:$J$38,3,FALSE),0)</f>
        <v>190</v>
      </c>
      <c r="X998" s="18">
        <f>IFERROR(VLOOKUP($D998&amp;$C998,生产方式定位!$A$2:$E$38,5,FALSE)+VLOOKUP($E998&amp;$C998,生产方式定位!$F$3:$J$38,5,FALSE),"错误")</f>
        <v>1831</v>
      </c>
      <c r="Y998" s="24" t="str">
        <f t="shared" si="242"/>
        <v/>
      </c>
      <c r="Z998" s="34" t="str">
        <f t="shared" si="243"/>
        <v/>
      </c>
      <c r="AA998" s="34" t="str">
        <f t="shared" si="240"/>
        <v/>
      </c>
      <c r="AB998" s="25" t="str">
        <f t="shared" si="244"/>
        <v>2%</v>
      </c>
      <c r="AC998" s="1">
        <f t="shared" si="245"/>
        <v>-159</v>
      </c>
      <c r="AD998" s="36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20" customHeight="1" x14ac:dyDescent="0.3">
      <c r="A999" s="18" t="s">
        <v>469</v>
      </c>
      <c r="C999" s="18">
        <v>4</v>
      </c>
      <c r="D999" s="21" t="s">
        <v>222</v>
      </c>
      <c r="E999" s="21" t="s">
        <v>225</v>
      </c>
      <c r="L999" s="18">
        <f>IFERROR(VLOOKUP($D999&amp;$C999,生产方式定位!$A$2:$E$38,2,FALSE)+VLOOKUP($E999&amp;$C999,生产方式定位!$F$3:$J$38,2,FALSE),0)</f>
        <v>2150</v>
      </c>
      <c r="S999" s="18">
        <f>IFERROR(VLOOKUP($D999&amp;$C999,生产方式定位!$A$2:$E$38,3,FALSE)+VLOOKUP($E999&amp;$C999,生产方式定位!$F$3:$J$38,3,FALSE),0)</f>
        <v>200</v>
      </c>
      <c r="X999" s="18">
        <f>IFERROR(VLOOKUP($D999&amp;$C999,生产方式定位!$A$2:$E$38,5,FALSE)+VLOOKUP($E999&amp;$C999,生产方式定位!$F$3:$J$38,5,FALSE),"错误")</f>
        <v>2217</v>
      </c>
      <c r="Y999" s="24" t="str">
        <f t="shared" si="242"/>
        <v/>
      </c>
      <c r="Z999" s="34" t="str">
        <f t="shared" si="243"/>
        <v/>
      </c>
      <c r="AA999" s="34" t="str">
        <f t="shared" si="240"/>
        <v/>
      </c>
      <c r="AB999" s="25" t="str">
        <f t="shared" si="244"/>
        <v>3%</v>
      </c>
      <c r="AC999" s="1">
        <f t="shared" si="245"/>
        <v>-133</v>
      </c>
      <c r="AD999" s="36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20" customHeight="1" x14ac:dyDescent="0.3">
      <c r="A1000" s="18" t="s">
        <v>469</v>
      </c>
      <c r="C1000" s="18">
        <v>5</v>
      </c>
      <c r="D1000" s="21" t="s">
        <v>222</v>
      </c>
      <c r="E1000" s="21" t="s">
        <v>225</v>
      </c>
      <c r="L1000" s="18">
        <f>IFERROR(VLOOKUP($D1000&amp;$C1000,生产方式定位!$A$2:$E$38,2,FALSE)+VLOOKUP($E1000&amp;$C1000,生产方式定位!$F$3:$J$38,2,FALSE),0)</f>
        <v>2500</v>
      </c>
      <c r="S1000" s="18">
        <f>IFERROR(VLOOKUP($D1000&amp;$C1000,生产方式定位!$A$2:$E$38,3,FALSE)+VLOOKUP($E1000&amp;$C1000,生产方式定位!$F$3:$J$38,3,FALSE),0)</f>
        <v>210</v>
      </c>
      <c r="X1000" s="18">
        <f>IFERROR(VLOOKUP($D1000&amp;$C1000,生产方式定位!$A$2:$E$38,5,FALSE)+VLOOKUP($E1000&amp;$C1000,生产方式定位!$F$3:$J$38,5,FALSE),"错误")</f>
        <v>2870</v>
      </c>
      <c r="Y1000" s="24" t="str">
        <f t="shared" si="242"/>
        <v/>
      </c>
      <c r="Z1000" s="34" t="str">
        <f t="shared" si="243"/>
        <v/>
      </c>
      <c r="AA1000" s="34" t="str">
        <f t="shared" si="240"/>
        <v/>
      </c>
      <c r="AB1000" s="25" t="str">
        <f t="shared" si="244"/>
        <v>15%</v>
      </c>
      <c r="AC1000" s="1">
        <f t="shared" si="245"/>
        <v>160</v>
      </c>
      <c r="AD1000" s="36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20" customHeight="1" x14ac:dyDescent="0.3">
      <c r="A1001" s="5" t="s">
        <v>469</v>
      </c>
      <c r="C1001" s="5">
        <v>1</v>
      </c>
      <c r="D1001" s="21" t="s">
        <v>222</v>
      </c>
      <c r="E1001" s="21" t="s">
        <v>225</v>
      </c>
      <c r="L1001" s="5">
        <f>IFERROR(VLOOKUP($D1001&amp;$C1001,生产方式定位!$A$2:$E$38,2,FALSE)+VLOOKUP($E1001&amp;$C1001,生产方式定位!$F$3:$J$38,2,FALSE),0)</f>
        <v>600</v>
      </c>
      <c r="S1001" s="5">
        <f>IFERROR(VLOOKUP($D1001&amp;$C1001,生产方式定位!$A$2:$E$38,3,FALSE)+VLOOKUP($E1001&amp;$C1001,生产方式定位!$F$3:$J$38,3,FALSE),0)</f>
        <v>150</v>
      </c>
      <c r="X1001" s="5">
        <f>IFERROR(VLOOKUP($D1001&amp;$C1001,生产方式定位!$A$2:$E$38,5,FALSE)+VLOOKUP($E1001&amp;$C1001,生产方式定位!$F$3:$J$38,5,FALSE),"错误")</f>
        <v>788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>31%</v>
      </c>
      <c r="AC1001" s="1">
        <f t="shared" si="245"/>
        <v>38</v>
      </c>
      <c r="AD1001" s="35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20" customHeight="1" x14ac:dyDescent="0.3">
      <c r="A1002" s="5" t="s">
        <v>469</v>
      </c>
      <c r="C1002" s="5">
        <v>2</v>
      </c>
      <c r="D1002" s="21" t="s">
        <v>222</v>
      </c>
      <c r="E1002" s="21" t="s">
        <v>225</v>
      </c>
      <c r="L1002" s="5">
        <f>IFERROR(VLOOKUP($D1002&amp;$C1002,生产方式定位!$A$2:$E$38,2,FALSE)+VLOOKUP($E1002&amp;$C1002,生产方式定位!$F$3:$J$38,2,FALSE),0)</f>
        <v>1450</v>
      </c>
      <c r="S1002" s="5">
        <f>IFERROR(VLOOKUP($D1002&amp;$C1002,生产方式定位!$A$2:$E$38,3,FALSE)+VLOOKUP($E1002&amp;$C1002,生产方式定位!$F$3:$J$38,3,FALSE),0)</f>
        <v>180</v>
      </c>
      <c r="X1002" s="5">
        <f>IFERROR(VLOOKUP($D1002&amp;$C1002,生产方式定位!$A$2:$E$38,5,FALSE)+VLOOKUP($E1002&amp;$C1002,生产方式定位!$F$3:$J$38,5,FALSE),"错误")</f>
        <v>1472</v>
      </c>
      <c r="Y1002" s="24" t="str">
        <f t="shared" si="242"/>
        <v/>
      </c>
      <c r="Z1002" s="34" t="str">
        <f t="shared" si="243"/>
        <v/>
      </c>
      <c r="AA1002" s="34" t="str">
        <f t="shared" si="240"/>
        <v/>
      </c>
      <c r="AB1002" s="25" t="str">
        <f t="shared" si="244"/>
        <v>2%</v>
      </c>
      <c r="AC1002" s="1">
        <f t="shared" si="245"/>
        <v>-158</v>
      </c>
      <c r="AD1002" s="35">
        <f t="shared" si="241"/>
        <v>2</v>
      </c>
      <c r="AE1002" t="str">
        <f t="shared" si="246"/>
        <v/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 t="str">
        <f>IFERROR(ROUND(L1002*(G1002/$AU1002)/VLOOKUP(F1002,商品!$A$4:$C$60,3,FALSE),0),"")</f>
        <v/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0</v>
      </c>
      <c r="AV1002">
        <f t="shared" si="254"/>
        <v>0</v>
      </c>
      <c r="AW1002">
        <f t="shared" si="255"/>
        <v>0</v>
      </c>
    </row>
    <row r="1003" spans="1:49" ht="20" customHeight="1" x14ac:dyDescent="0.3">
      <c r="A1003" s="5" t="s">
        <v>469</v>
      </c>
      <c r="C1003" s="5">
        <v>3</v>
      </c>
      <c r="D1003" s="21" t="s">
        <v>222</v>
      </c>
      <c r="E1003" s="21" t="s">
        <v>225</v>
      </c>
      <c r="L1003" s="5">
        <f>IFERROR(VLOOKUP($D1003&amp;$C1003,生产方式定位!$A$2:$E$38,2,FALSE)+VLOOKUP($E1003&amp;$C1003,生产方式定位!$F$3:$J$38,2,FALSE),0)</f>
        <v>1800</v>
      </c>
      <c r="S1003" s="5">
        <f>IFERROR(VLOOKUP($D1003&amp;$C1003,生产方式定位!$A$2:$E$38,3,FALSE)+VLOOKUP($E1003&amp;$C1003,生产方式定位!$F$3:$J$38,3,FALSE),0)</f>
        <v>190</v>
      </c>
      <c r="X1003" s="5">
        <f>IFERROR(VLOOKUP($D1003&amp;$C1003,生产方式定位!$A$2:$E$38,5,FALSE)+VLOOKUP($E1003&amp;$C1003,生产方式定位!$F$3:$J$38,5,FALSE),"错误")</f>
        <v>1831</v>
      </c>
      <c r="Y1003" s="24" t="str">
        <f t="shared" si="242"/>
        <v/>
      </c>
      <c r="Z1003" s="34" t="str">
        <f t="shared" si="243"/>
        <v/>
      </c>
      <c r="AA1003" s="34" t="str">
        <f t="shared" si="240"/>
        <v/>
      </c>
      <c r="AB1003" s="25" t="str">
        <f t="shared" si="244"/>
        <v>2%</v>
      </c>
      <c r="AC1003" s="1">
        <f t="shared" si="245"/>
        <v>-159</v>
      </c>
      <c r="AD1003" s="35">
        <f t="shared" si="241"/>
        <v>3</v>
      </c>
      <c r="AE1003" t="str">
        <f t="shared" si="246"/>
        <v/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 t="str">
        <f>IFERROR(ROUND(L1003*(G1003/$AU1003)/VLOOKUP(F1003,商品!$A$4:$C$60,3,FALSE),0),"")</f>
        <v/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0</v>
      </c>
      <c r="AV1003">
        <f t="shared" si="254"/>
        <v>0</v>
      </c>
      <c r="AW1003">
        <f t="shared" si="255"/>
        <v>0</v>
      </c>
    </row>
    <row r="1004" spans="1:49" ht="20" customHeight="1" x14ac:dyDescent="0.3">
      <c r="A1004" s="5" t="s">
        <v>469</v>
      </c>
      <c r="C1004" s="5">
        <v>4</v>
      </c>
      <c r="D1004" s="21" t="s">
        <v>222</v>
      </c>
      <c r="E1004" s="21" t="s">
        <v>225</v>
      </c>
      <c r="L1004" s="5">
        <f>IFERROR(VLOOKUP($D1004&amp;$C1004,生产方式定位!$A$2:$E$38,2,FALSE)+VLOOKUP($E1004&amp;$C1004,生产方式定位!$F$3:$J$38,2,FALSE),0)</f>
        <v>2150</v>
      </c>
      <c r="S1004" s="5">
        <f>IFERROR(VLOOKUP($D1004&amp;$C1004,生产方式定位!$A$2:$E$38,3,FALSE)+VLOOKUP($E1004&amp;$C1004,生产方式定位!$F$3:$J$38,3,FALSE),0)</f>
        <v>200</v>
      </c>
      <c r="X1004" s="5">
        <f>IFERROR(VLOOKUP($D1004&amp;$C1004,生产方式定位!$A$2:$E$38,5,FALSE)+VLOOKUP($E1004&amp;$C1004,生产方式定位!$F$3:$J$38,5,FALSE),"错误")</f>
        <v>2217</v>
      </c>
      <c r="Y1004" s="24" t="str">
        <f t="shared" si="242"/>
        <v/>
      </c>
      <c r="Z1004" s="34" t="str">
        <f t="shared" si="243"/>
        <v/>
      </c>
      <c r="AA1004" s="34" t="str">
        <f t="shared" si="240"/>
        <v/>
      </c>
      <c r="AB1004" s="25" t="str">
        <f t="shared" si="244"/>
        <v>3%</v>
      </c>
      <c r="AC1004" s="1">
        <f t="shared" si="245"/>
        <v>-133</v>
      </c>
      <c r="AD1004" s="35">
        <f t="shared" si="241"/>
        <v>4</v>
      </c>
      <c r="AE1004" t="str">
        <f t="shared" si="246"/>
        <v/>
      </c>
      <c r="AF1004" t="str">
        <f t="shared" si="247"/>
        <v/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 t="str">
        <f>IFERROR(ROUND(L1004*(G1004/$AU1004)/VLOOKUP(F1004,商品!$A$4:$C$60,3,FALSE),0),"")</f>
        <v/>
      </c>
      <c r="AM1004" t="str">
        <f>IFERROR(ROUND(L1004*(I1004/$AU1004)/VLOOKUP(H1004,商品!$A$4:$C$60,3,FALSE),0),"")</f>
        <v/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0</v>
      </c>
      <c r="AV1004">
        <f t="shared" si="254"/>
        <v>0</v>
      </c>
      <c r="AW1004">
        <f t="shared" si="255"/>
        <v>0</v>
      </c>
    </row>
    <row r="1005" spans="1:49" ht="20" customHeight="1" x14ac:dyDescent="0.3">
      <c r="A1005" s="5" t="s">
        <v>469</v>
      </c>
      <c r="C1005" s="5">
        <v>5</v>
      </c>
      <c r="D1005" s="21" t="s">
        <v>222</v>
      </c>
      <c r="E1005" s="21" t="s">
        <v>225</v>
      </c>
      <c r="L1005" s="5">
        <f>IFERROR(VLOOKUP($D1005&amp;$C1005,生产方式定位!$A$2:$E$38,2,FALSE)+VLOOKUP($E1005&amp;$C1005,生产方式定位!$F$3:$J$38,2,FALSE),0)</f>
        <v>2500</v>
      </c>
      <c r="S1005" s="5">
        <f>IFERROR(VLOOKUP($D1005&amp;$C1005,生产方式定位!$A$2:$E$38,3,FALSE)+VLOOKUP($E1005&amp;$C1005,生产方式定位!$F$3:$J$38,3,FALSE),0)</f>
        <v>210</v>
      </c>
      <c r="X1005" s="5">
        <f>IFERROR(VLOOKUP($D1005&amp;$C1005,生产方式定位!$A$2:$E$38,5,FALSE)+VLOOKUP($E1005&amp;$C1005,生产方式定位!$F$3:$J$38,5,FALSE),"错误")</f>
        <v>2870</v>
      </c>
      <c r="Y1005" s="24" t="str">
        <f t="shared" si="242"/>
        <v/>
      </c>
      <c r="Z1005" s="34" t="str">
        <f t="shared" si="243"/>
        <v/>
      </c>
      <c r="AA1005" s="34" t="str">
        <f t="shared" si="240"/>
        <v/>
      </c>
      <c r="AB1005" s="25" t="str">
        <f t="shared" si="244"/>
        <v>15%</v>
      </c>
      <c r="AC1005" s="1">
        <f t="shared" si="245"/>
        <v>160</v>
      </c>
      <c r="AD1005" s="35">
        <f t="shared" si="241"/>
        <v>5</v>
      </c>
      <c r="AE1005" t="str">
        <f t="shared" si="246"/>
        <v/>
      </c>
      <c r="AF1005" t="str">
        <f t="shared" si="247"/>
        <v/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 t="str">
        <f>IFERROR(ROUND(L1005*(G1005/$AU1005)/VLOOKUP(F1005,商品!$A$4:$C$60,3,FALSE),0),"")</f>
        <v/>
      </c>
      <c r="AM1005" t="str">
        <f>IFERROR(ROUND(L1005*(I1005/$AU1005)/VLOOKUP(H1005,商品!$A$4:$C$60,3,FALSE),0),"")</f>
        <v/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0</v>
      </c>
      <c r="AV1005">
        <f t="shared" si="254"/>
        <v>0</v>
      </c>
      <c r="AW1005">
        <f t="shared" si="255"/>
        <v>0</v>
      </c>
    </row>
    <row r="1006" spans="1:49" ht="20" customHeight="1" x14ac:dyDescent="0.3">
      <c r="A1006" s="18" t="s">
        <v>470</v>
      </c>
      <c r="C1006" s="18">
        <v>1</v>
      </c>
      <c r="D1006" s="21" t="s">
        <v>292</v>
      </c>
      <c r="E1006" s="21" t="s">
        <v>226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/>
      </c>
      <c r="AC1006" s="1" t="str">
        <f t="shared" si="245"/>
        <v/>
      </c>
      <c r="AD1006" s="36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20" customHeight="1" x14ac:dyDescent="0.3">
      <c r="A1007" s="18" t="s">
        <v>470</v>
      </c>
      <c r="C1007" s="18">
        <v>2</v>
      </c>
      <c r="D1007" s="21" t="s">
        <v>292</v>
      </c>
      <c r="E1007" s="21" t="s">
        <v>226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24" t="str">
        <f t="shared" si="242"/>
        <v/>
      </c>
      <c r="Z1007" s="34" t="str">
        <f t="shared" si="243"/>
        <v/>
      </c>
      <c r="AA1007" s="34" t="str">
        <f t="shared" si="240"/>
        <v/>
      </c>
      <c r="AB1007" s="25" t="str">
        <f t="shared" si="244"/>
        <v/>
      </c>
      <c r="AC1007" s="1" t="str">
        <f t="shared" si="245"/>
        <v/>
      </c>
      <c r="AD1007" s="36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spans="1:49" ht="20" customHeight="1" x14ac:dyDescent="0.3">
      <c r="A1008" s="18" t="s">
        <v>470</v>
      </c>
      <c r="C1008" s="18">
        <v>3</v>
      </c>
      <c r="D1008" s="21" t="s">
        <v>292</v>
      </c>
      <c r="E1008" s="21" t="s">
        <v>226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24" t="str">
        <f t="shared" si="242"/>
        <v/>
      </c>
      <c r="Z1008" s="34" t="str">
        <f t="shared" si="243"/>
        <v/>
      </c>
      <c r="AA1008" s="34" t="str">
        <f t="shared" si="240"/>
        <v/>
      </c>
      <c r="AB1008" s="25" t="str">
        <f t="shared" si="244"/>
        <v/>
      </c>
      <c r="AC1008" s="1" t="str">
        <f t="shared" si="245"/>
        <v/>
      </c>
      <c r="AD1008" s="36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spans="1:49" ht="20" customHeight="1" x14ac:dyDescent="0.3">
      <c r="A1009" s="18" t="s">
        <v>470</v>
      </c>
      <c r="C1009" s="18">
        <v>4</v>
      </c>
      <c r="D1009" s="21" t="s">
        <v>292</v>
      </c>
      <c r="E1009" s="21" t="s">
        <v>226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24" t="str">
        <f t="shared" si="242"/>
        <v/>
      </c>
      <c r="Z1009" s="34" t="str">
        <f t="shared" si="243"/>
        <v/>
      </c>
      <c r="AA1009" s="34" t="str">
        <f t="shared" si="240"/>
        <v/>
      </c>
      <c r="AB1009" s="25" t="str">
        <f t="shared" si="244"/>
        <v/>
      </c>
      <c r="AC1009" s="1" t="str">
        <f t="shared" si="245"/>
        <v/>
      </c>
      <c r="AD1009" s="36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spans="1:49" ht="20" customHeight="1" x14ac:dyDescent="0.3">
      <c r="A1010" s="18" t="s">
        <v>470</v>
      </c>
      <c r="C1010" s="18">
        <v>5</v>
      </c>
      <c r="D1010" s="21" t="s">
        <v>292</v>
      </c>
      <c r="E1010" s="21" t="s">
        <v>226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24" t="str">
        <f t="shared" si="242"/>
        <v/>
      </c>
      <c r="Z1010" s="34" t="str">
        <f t="shared" si="243"/>
        <v/>
      </c>
      <c r="AA1010" s="34" t="str">
        <f t="shared" si="240"/>
        <v/>
      </c>
      <c r="AB1010" s="25" t="str">
        <f t="shared" si="244"/>
        <v/>
      </c>
      <c r="AC1010" s="1" t="str">
        <f t="shared" si="245"/>
        <v/>
      </c>
      <c r="AD1010" s="36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spans="1:49" ht="20" customHeight="1" x14ac:dyDescent="0.3">
      <c r="A1011" s="18" t="s">
        <v>470</v>
      </c>
      <c r="C1011" s="18">
        <v>6</v>
      </c>
      <c r="D1011" s="21" t="s">
        <v>292</v>
      </c>
      <c r="E1011" s="21" t="s">
        <v>226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5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20" customHeight="1" x14ac:dyDescent="0.3">
      <c r="A1012" s="18" t="s">
        <v>470</v>
      </c>
      <c r="C1012" s="18">
        <v>7</v>
      </c>
      <c r="D1012" s="21" t="s">
        <v>292</v>
      </c>
      <c r="E1012" s="21" t="s">
        <v>226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5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20" customHeight="1" x14ac:dyDescent="0.3">
      <c r="A1013" s="18" t="s">
        <v>470</v>
      </c>
      <c r="C1013" s="18">
        <v>8</v>
      </c>
      <c r="D1013" s="21" t="s">
        <v>292</v>
      </c>
      <c r="E1013" s="21" t="s">
        <v>226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5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20" customHeight="1" x14ac:dyDescent="0.3">
      <c r="A1014" s="5" t="s">
        <v>472</v>
      </c>
      <c r="C1014" s="5">
        <v>1</v>
      </c>
      <c r="D1014" s="21" t="s">
        <v>222</v>
      </c>
      <c r="E1014" s="21" t="s">
        <v>224</v>
      </c>
      <c r="L1014" s="5">
        <f>IFERROR(VLOOKUP($D1014&amp;$C1014,生产方式定位!$A$2:$E$38,2,FALSE)+VLOOKUP($E1014&amp;$C1014,生产方式定位!$F$3:$J$38,2,FALSE),0)</f>
        <v>600</v>
      </c>
      <c r="S1014" s="5">
        <f>IFERROR(VLOOKUP($D1014&amp;$C1014,生产方式定位!$A$2:$E$38,3,FALSE)+VLOOKUP($E1014&amp;$C1014,生产方式定位!$F$3:$J$38,3,FALSE),0)</f>
        <v>150</v>
      </c>
      <c r="X1014" s="5">
        <f>IFERROR(VLOOKUP($D1014&amp;$C1014,生产方式定位!$A$2:$E$38,5,FALSE)+VLOOKUP($E1014&amp;$C1014,生产方式定位!$F$3:$J$38,5,FALSE),"错误")</f>
        <v>788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>31%</v>
      </c>
      <c r="AC1014" s="1">
        <f t="shared" si="245"/>
        <v>38</v>
      </c>
      <c r="AD1014" s="35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20" customHeight="1" x14ac:dyDescent="0.3">
      <c r="A1015" s="5" t="s">
        <v>472</v>
      </c>
      <c r="C1015" s="5">
        <v>2</v>
      </c>
      <c r="D1015" s="21" t="s">
        <v>222</v>
      </c>
      <c r="E1015" s="21" t="s">
        <v>224</v>
      </c>
      <c r="L1015" s="5">
        <f>IFERROR(VLOOKUP($D1015&amp;$C1015,生产方式定位!$A$2:$E$38,2,FALSE)+VLOOKUP($E1015&amp;$C1015,生产方式定位!$F$3:$J$38,2,FALSE),0)</f>
        <v>1200</v>
      </c>
      <c r="S1015" s="5">
        <f>IFERROR(VLOOKUP($D1015&amp;$C1015,生产方式定位!$A$2:$E$38,3,FALSE)+VLOOKUP($E1015&amp;$C1015,生产方式定位!$F$3:$J$38,3,FALSE),0)</f>
        <v>140</v>
      </c>
      <c r="X1015" s="5">
        <f>IFERROR(VLOOKUP($D1015&amp;$C1015,生产方式定位!$A$2:$E$38,5,FALSE)+VLOOKUP($E1015&amp;$C1015,生产方式定位!$F$3:$J$38,5,FALSE),"错误")</f>
        <v>1390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>16%</v>
      </c>
      <c r="AC1015" s="1">
        <f t="shared" si="245"/>
        <v>50</v>
      </c>
      <c r="AD1015" s="35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20" customHeight="1" x14ac:dyDescent="0.3">
      <c r="A1016" s="5" t="s">
        <v>472</v>
      </c>
      <c r="C1016" s="5">
        <v>3</v>
      </c>
      <c r="D1016" s="21" t="s">
        <v>222</v>
      </c>
      <c r="E1016" s="21" t="s">
        <v>224</v>
      </c>
      <c r="L1016" s="5">
        <f>IFERROR(VLOOKUP($D1016&amp;$C1016,生产方式定位!$A$2:$E$38,2,FALSE)+VLOOKUP($E1016&amp;$C1016,生产方式定位!$F$3:$J$38,2,FALSE),0)</f>
        <v>1425</v>
      </c>
      <c r="S1016" s="5">
        <f>IFERROR(VLOOKUP($D1016&amp;$C1016,生产方式定位!$A$2:$E$38,3,FALSE)+VLOOKUP($E1016&amp;$C1016,生产方式定位!$F$3:$J$38,3,FALSE),0)</f>
        <v>130</v>
      </c>
      <c r="X1016" s="5">
        <f>IFERROR(VLOOKUP($D1016&amp;$C1016,生产方式定位!$A$2:$E$38,5,FALSE)+VLOOKUP($E1016&amp;$C1016,生产方式定位!$F$3:$J$38,5,FALSE),"错误")</f>
        <v>1618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>14%</v>
      </c>
      <c r="AC1016" s="1">
        <f t="shared" si="245"/>
        <v>63</v>
      </c>
      <c r="AD1016" s="36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20" customHeight="1" x14ac:dyDescent="0.3">
      <c r="A1017" s="5" t="s">
        <v>472</v>
      </c>
      <c r="C1017" s="5">
        <v>4</v>
      </c>
      <c r="D1017" s="21" t="s">
        <v>222</v>
      </c>
      <c r="E1017" s="21" t="s">
        <v>224</v>
      </c>
      <c r="L1017" s="5">
        <f>IFERROR(VLOOKUP($D1017&amp;$C1017,生产方式定位!$A$2:$E$38,2,FALSE)+VLOOKUP($E1017&amp;$C1017,生产方式定位!$F$3:$J$38,2,FALSE),0)</f>
        <v>1650</v>
      </c>
      <c r="S1017" s="5">
        <f>IFERROR(VLOOKUP($D1017&amp;$C1017,生产方式定位!$A$2:$E$38,3,FALSE)+VLOOKUP($E1017&amp;$C1017,生产方式定位!$F$3:$J$38,3,FALSE),0)</f>
        <v>120</v>
      </c>
      <c r="X1017" s="5">
        <f>IFERROR(VLOOKUP($D1017&amp;$C1017,生产方式定位!$A$2:$E$38,5,FALSE)+VLOOKUP($E1017&amp;$C1017,生产方式定位!$F$3:$J$38,5,FALSE),"错误")</f>
        <v>1845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>12%</v>
      </c>
      <c r="AC1017" s="1">
        <f t="shared" si="245"/>
        <v>75</v>
      </c>
      <c r="AD1017" s="36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20" customHeight="1" x14ac:dyDescent="0.3">
      <c r="A1018" s="5" t="s">
        <v>472</v>
      </c>
      <c r="C1018" s="5">
        <v>5</v>
      </c>
      <c r="D1018" s="21" t="s">
        <v>222</v>
      </c>
      <c r="E1018" s="21" t="s">
        <v>224</v>
      </c>
      <c r="L1018" s="5">
        <f>IFERROR(VLOOKUP($D1018&amp;$C1018,生产方式定位!$A$2:$E$38,2,FALSE)+VLOOKUP($E1018&amp;$C1018,生产方式定位!$F$3:$J$38,2,FALSE),0)</f>
        <v>1875</v>
      </c>
      <c r="S1018" s="5">
        <f>IFERROR(VLOOKUP($D1018&amp;$C1018,生产方式定位!$A$2:$E$38,3,FALSE)+VLOOKUP($E1018&amp;$C1018,生产方式定位!$F$3:$J$38,3,FALSE),0)</f>
        <v>110</v>
      </c>
      <c r="X1018" s="5">
        <f>IFERROR(VLOOKUP($D1018&amp;$C1018,生产方式定位!$A$2:$E$38,5,FALSE)+VLOOKUP($E1018&amp;$C1018,生产方式定位!$F$3:$J$38,5,FALSE),"错误")</f>
        <v>2073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>11%</v>
      </c>
      <c r="AC1018" s="1">
        <f t="shared" si="245"/>
        <v>88</v>
      </c>
      <c r="AD1018" s="36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20" customHeight="1" x14ac:dyDescent="0.3">
      <c r="A1019" s="18" t="s">
        <v>473</v>
      </c>
      <c r="C1019" s="18">
        <v>1</v>
      </c>
      <c r="D1019" s="21" t="s">
        <v>222</v>
      </c>
      <c r="E1019" s="21" t="s">
        <v>225</v>
      </c>
      <c r="L1019" s="18">
        <f>IFERROR(VLOOKUP($D1019&amp;$C1019,生产方式定位!$A$2:$E$38,2,FALSE)+VLOOKUP($E1019&amp;$C1019,生产方式定位!$F$3:$J$38,2,FALSE),0)</f>
        <v>600</v>
      </c>
      <c r="S1019" s="18">
        <f>IFERROR(VLOOKUP($D1019&amp;$C1019,生产方式定位!$A$2:$E$38,3,FALSE)+VLOOKUP($E1019&amp;$C1019,生产方式定位!$F$3:$J$38,3,FALSE),0)</f>
        <v>150</v>
      </c>
      <c r="X1019" s="18">
        <f>IFERROR(VLOOKUP($D1019&amp;$C1019,生产方式定位!$A$2:$E$38,5,FALSE)+VLOOKUP($E1019&amp;$C1019,生产方式定位!$F$3:$J$38,5,FALSE),"错误")</f>
        <v>788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>31%</v>
      </c>
      <c r="AC1019" s="1">
        <f t="shared" si="245"/>
        <v>38</v>
      </c>
      <c r="AD1019" s="36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20" customHeight="1" x14ac:dyDescent="0.3">
      <c r="A1020" s="18" t="s">
        <v>473</v>
      </c>
      <c r="C1020" s="18">
        <v>2</v>
      </c>
      <c r="D1020" s="21" t="s">
        <v>222</v>
      </c>
      <c r="E1020" s="21" t="s">
        <v>225</v>
      </c>
      <c r="L1020" s="18">
        <f>IFERROR(VLOOKUP($D1020&amp;$C1020,生产方式定位!$A$2:$E$38,2,FALSE)+VLOOKUP($E1020&amp;$C1020,生产方式定位!$F$3:$J$38,2,FALSE),0)</f>
        <v>1450</v>
      </c>
      <c r="S1020" s="18">
        <f>IFERROR(VLOOKUP($D1020&amp;$C1020,生产方式定位!$A$2:$E$38,3,FALSE)+VLOOKUP($E1020&amp;$C1020,生产方式定位!$F$3:$J$38,3,FALSE),0)</f>
        <v>180</v>
      </c>
      <c r="X1020" s="18">
        <f>IFERROR(VLOOKUP($D1020&amp;$C1020,生产方式定位!$A$2:$E$38,5,FALSE)+VLOOKUP($E1020&amp;$C1020,生产方式定位!$F$3:$J$38,5,FALSE),"错误")</f>
        <v>1472</v>
      </c>
      <c r="Y1020" s="24" t="str">
        <f t="shared" si="242"/>
        <v/>
      </c>
      <c r="Z1020" s="34" t="str">
        <f t="shared" si="243"/>
        <v/>
      </c>
      <c r="AA1020" s="34" t="str">
        <f t="shared" si="240"/>
        <v/>
      </c>
      <c r="AB1020" s="25" t="str">
        <f t="shared" si="244"/>
        <v>2%</v>
      </c>
      <c r="AC1020" s="1">
        <f t="shared" si="245"/>
        <v>-158</v>
      </c>
      <c r="AD1020" s="36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spans="1:49" ht="20" customHeight="1" x14ac:dyDescent="0.3">
      <c r="A1021" s="18" t="s">
        <v>473</v>
      </c>
      <c r="C1021" s="18">
        <v>3</v>
      </c>
      <c r="D1021" s="21" t="s">
        <v>222</v>
      </c>
      <c r="E1021" s="21" t="s">
        <v>225</v>
      </c>
      <c r="L1021" s="18">
        <f>IFERROR(VLOOKUP($D1021&amp;$C1021,生产方式定位!$A$2:$E$38,2,FALSE)+VLOOKUP($E1021&amp;$C1021,生产方式定位!$F$3:$J$38,2,FALSE),0)</f>
        <v>1800</v>
      </c>
      <c r="S1021" s="18">
        <f>IFERROR(VLOOKUP($D1021&amp;$C1021,生产方式定位!$A$2:$E$38,3,FALSE)+VLOOKUP($E1021&amp;$C1021,生产方式定位!$F$3:$J$38,3,FALSE),0)</f>
        <v>190</v>
      </c>
      <c r="X1021" s="18">
        <f>IFERROR(VLOOKUP($D1021&amp;$C1021,生产方式定位!$A$2:$E$38,5,FALSE)+VLOOKUP($E1021&amp;$C1021,生产方式定位!$F$3:$J$38,5,FALSE),"错误")</f>
        <v>1831</v>
      </c>
      <c r="Y1021" s="24" t="str">
        <f t="shared" si="242"/>
        <v/>
      </c>
      <c r="Z1021" s="34" t="str">
        <f t="shared" si="243"/>
        <v/>
      </c>
      <c r="AA1021" s="34" t="str">
        <f t="shared" si="240"/>
        <v/>
      </c>
      <c r="AB1021" s="25" t="str">
        <f t="shared" si="244"/>
        <v>2%</v>
      </c>
      <c r="AC1021" s="1">
        <f t="shared" si="245"/>
        <v>-159</v>
      </c>
      <c r="AD1021" s="36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spans="1:49" ht="20" customHeight="1" x14ac:dyDescent="0.3">
      <c r="A1022" s="18" t="s">
        <v>473</v>
      </c>
      <c r="C1022" s="18">
        <v>4</v>
      </c>
      <c r="D1022" s="21" t="s">
        <v>222</v>
      </c>
      <c r="E1022" s="21" t="s">
        <v>225</v>
      </c>
      <c r="L1022" s="18">
        <f>IFERROR(VLOOKUP($D1022&amp;$C1022,生产方式定位!$A$2:$E$38,2,FALSE)+VLOOKUP($E1022&amp;$C1022,生产方式定位!$F$3:$J$38,2,FALSE),0)</f>
        <v>2150</v>
      </c>
      <c r="S1022" s="18">
        <f>IFERROR(VLOOKUP($D1022&amp;$C1022,生产方式定位!$A$2:$E$38,3,FALSE)+VLOOKUP($E1022&amp;$C1022,生产方式定位!$F$3:$J$38,3,FALSE),0)</f>
        <v>200</v>
      </c>
      <c r="X1022" s="18">
        <f>IFERROR(VLOOKUP($D1022&amp;$C1022,生产方式定位!$A$2:$E$38,5,FALSE)+VLOOKUP($E1022&amp;$C1022,生产方式定位!$F$3:$J$38,5,FALSE),"错误")</f>
        <v>2217</v>
      </c>
      <c r="Y1022" s="24" t="str">
        <f t="shared" si="242"/>
        <v/>
      </c>
      <c r="Z1022" s="34" t="str">
        <f t="shared" si="243"/>
        <v/>
      </c>
      <c r="AA1022" s="34" t="str">
        <f t="shared" si="240"/>
        <v/>
      </c>
      <c r="AB1022" s="25" t="str">
        <f t="shared" si="244"/>
        <v>3%</v>
      </c>
      <c r="AC1022" s="1">
        <f t="shared" si="245"/>
        <v>-133</v>
      </c>
      <c r="AD1022" s="36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spans="1:49" ht="20" customHeight="1" x14ac:dyDescent="0.3">
      <c r="A1023" s="18" t="s">
        <v>473</v>
      </c>
      <c r="C1023" s="18">
        <v>5</v>
      </c>
      <c r="D1023" s="21" t="s">
        <v>222</v>
      </c>
      <c r="E1023" s="21" t="s">
        <v>225</v>
      </c>
      <c r="L1023" s="18">
        <f>IFERROR(VLOOKUP($D1023&amp;$C1023,生产方式定位!$A$2:$E$38,2,FALSE)+VLOOKUP($E1023&amp;$C1023,生产方式定位!$F$3:$J$38,2,FALSE),0)</f>
        <v>2500</v>
      </c>
      <c r="S1023" s="18">
        <f>IFERROR(VLOOKUP($D1023&amp;$C1023,生产方式定位!$A$2:$E$38,3,FALSE)+VLOOKUP($E1023&amp;$C1023,生产方式定位!$F$3:$J$38,3,FALSE),0)</f>
        <v>210</v>
      </c>
      <c r="X1023" s="18">
        <f>IFERROR(VLOOKUP($D1023&amp;$C1023,生产方式定位!$A$2:$E$38,5,FALSE)+VLOOKUP($E1023&amp;$C1023,生产方式定位!$F$3:$J$38,5,FALSE),"错误")</f>
        <v>2870</v>
      </c>
      <c r="Y1023" s="24" t="str">
        <f t="shared" si="242"/>
        <v/>
      </c>
      <c r="Z1023" s="34" t="str">
        <f t="shared" si="243"/>
        <v/>
      </c>
      <c r="AA1023" s="34" t="str">
        <f t="shared" si="240"/>
        <v/>
      </c>
      <c r="AB1023" s="25" t="str">
        <f t="shared" si="244"/>
        <v>15%</v>
      </c>
      <c r="AC1023" s="1">
        <f t="shared" si="245"/>
        <v>160</v>
      </c>
      <c r="AD1023" s="36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spans="1:49" ht="20" customHeight="1" x14ac:dyDescent="0.3">
      <c r="A1024" s="5" t="s">
        <v>473</v>
      </c>
      <c r="C1024" s="5">
        <v>1</v>
      </c>
      <c r="D1024" s="21" t="s">
        <v>222</v>
      </c>
      <c r="E1024" s="21" t="s">
        <v>225</v>
      </c>
      <c r="L1024" s="5">
        <f>IFERROR(VLOOKUP($D1024&amp;$C1024,生产方式定位!$A$2:$E$38,2,FALSE)+VLOOKUP($E1024&amp;$C1024,生产方式定位!$F$3:$J$38,2,FALSE),0)</f>
        <v>600</v>
      </c>
      <c r="S1024" s="5">
        <f>IFERROR(VLOOKUP($D1024&amp;$C1024,生产方式定位!$A$2:$E$38,3,FALSE)+VLOOKUP($E1024&amp;$C1024,生产方式定位!$F$3:$J$38,3,FALSE),0)</f>
        <v>150</v>
      </c>
      <c r="X1024" s="5">
        <f>IFERROR(VLOOKUP($D1024&amp;$C1024,生产方式定位!$A$2:$E$38,5,FALSE)+VLOOKUP($E1024&amp;$C1024,生产方式定位!$F$3:$J$38,5,FALSE),"错误")</f>
        <v>788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>31%</v>
      </c>
      <c r="AC1024" s="1">
        <f t="shared" si="245"/>
        <v>38</v>
      </c>
      <c r="AD1024" s="35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20" customHeight="1" x14ac:dyDescent="0.3">
      <c r="A1025" s="5" t="s">
        <v>473</v>
      </c>
      <c r="C1025" s="5">
        <v>2</v>
      </c>
      <c r="D1025" s="21" t="s">
        <v>222</v>
      </c>
      <c r="E1025" s="21" t="s">
        <v>225</v>
      </c>
      <c r="L1025" s="5">
        <f>IFERROR(VLOOKUP($D1025&amp;$C1025,生产方式定位!$A$2:$E$38,2,FALSE)+VLOOKUP($E1025&amp;$C1025,生产方式定位!$F$3:$J$38,2,FALSE),0)</f>
        <v>1450</v>
      </c>
      <c r="S1025" s="5">
        <f>IFERROR(VLOOKUP($D1025&amp;$C1025,生产方式定位!$A$2:$E$38,3,FALSE)+VLOOKUP($E1025&amp;$C1025,生产方式定位!$F$3:$J$38,3,FALSE),0)</f>
        <v>180</v>
      </c>
      <c r="X1025" s="5">
        <f>IFERROR(VLOOKUP($D1025&amp;$C1025,生产方式定位!$A$2:$E$38,5,FALSE)+VLOOKUP($E1025&amp;$C1025,生产方式定位!$F$3:$J$38,5,FALSE),"错误")</f>
        <v>1472</v>
      </c>
      <c r="Y1025" s="24" t="str">
        <f t="shared" si="242"/>
        <v/>
      </c>
      <c r="Z1025" s="34" t="str">
        <f t="shared" si="243"/>
        <v/>
      </c>
      <c r="AA1025" s="34" t="str">
        <f t="shared" si="240"/>
        <v/>
      </c>
      <c r="AB1025" s="25" t="str">
        <f t="shared" si="244"/>
        <v>2%</v>
      </c>
      <c r="AC1025" s="1">
        <f t="shared" si="245"/>
        <v>-158</v>
      </c>
      <c r="AD1025" s="35">
        <f t="shared" si="241"/>
        <v>2</v>
      </c>
      <c r="AE1025" t="str">
        <f t="shared" si="246"/>
        <v/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 t="str">
        <f>IFERROR(ROUND(L1025*(G1025/$AU1025)/VLOOKUP(F1025,商品!$A$4:$C$60,3,FALSE),0),"")</f>
        <v/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0</v>
      </c>
      <c r="AV1025">
        <f t="shared" si="254"/>
        <v>0</v>
      </c>
      <c r="AW1025">
        <f t="shared" si="255"/>
        <v>0</v>
      </c>
    </row>
    <row r="1026" spans="1:49" ht="20" customHeight="1" x14ac:dyDescent="0.3">
      <c r="A1026" s="5" t="s">
        <v>473</v>
      </c>
      <c r="C1026" s="5">
        <v>3</v>
      </c>
      <c r="D1026" s="21" t="s">
        <v>222</v>
      </c>
      <c r="E1026" s="21" t="s">
        <v>225</v>
      </c>
      <c r="L1026" s="5">
        <f>IFERROR(VLOOKUP($D1026&amp;$C1026,生产方式定位!$A$2:$E$38,2,FALSE)+VLOOKUP($E1026&amp;$C1026,生产方式定位!$F$3:$J$38,2,FALSE),0)</f>
        <v>1800</v>
      </c>
      <c r="S1026" s="5">
        <f>IFERROR(VLOOKUP($D1026&amp;$C1026,生产方式定位!$A$2:$E$38,3,FALSE)+VLOOKUP($E1026&amp;$C1026,生产方式定位!$F$3:$J$38,3,FALSE),0)</f>
        <v>190</v>
      </c>
      <c r="X1026" s="5">
        <f>IFERROR(VLOOKUP($D1026&amp;$C1026,生产方式定位!$A$2:$E$38,5,FALSE)+VLOOKUP($E1026&amp;$C1026,生产方式定位!$F$3:$J$38,5,FALSE),"错误")</f>
        <v>1831</v>
      </c>
      <c r="Y1026" s="24" t="str">
        <f t="shared" si="242"/>
        <v/>
      </c>
      <c r="Z1026" s="34" t="str">
        <f t="shared" si="243"/>
        <v/>
      </c>
      <c r="AA1026" s="34" t="str">
        <f t="shared" si="240"/>
        <v/>
      </c>
      <c r="AB1026" s="25" t="str">
        <f t="shared" si="244"/>
        <v>2%</v>
      </c>
      <c r="AC1026" s="1">
        <f t="shared" si="245"/>
        <v>-159</v>
      </c>
      <c r="AD1026" s="35">
        <f t="shared" si="241"/>
        <v>3</v>
      </c>
      <c r="AE1026" t="str">
        <f t="shared" si="246"/>
        <v/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 t="str">
        <f>IFERROR(ROUND(L1026*(G1026/$AU1026)/VLOOKUP(F1026,商品!$A$4:$C$60,3,FALSE),0),"")</f>
        <v/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0</v>
      </c>
      <c r="AV1026">
        <f t="shared" si="254"/>
        <v>0</v>
      </c>
      <c r="AW1026">
        <f t="shared" si="255"/>
        <v>0</v>
      </c>
    </row>
    <row r="1027" spans="1:49" ht="20" customHeight="1" x14ac:dyDescent="0.3">
      <c r="A1027" s="5" t="s">
        <v>473</v>
      </c>
      <c r="C1027" s="5">
        <v>4</v>
      </c>
      <c r="D1027" s="21" t="s">
        <v>222</v>
      </c>
      <c r="E1027" s="21" t="s">
        <v>225</v>
      </c>
      <c r="L1027" s="5">
        <f>IFERROR(VLOOKUP($D1027&amp;$C1027,生产方式定位!$A$2:$E$38,2,FALSE)+VLOOKUP($E1027&amp;$C1027,生产方式定位!$F$3:$J$38,2,FALSE),0)</f>
        <v>2150</v>
      </c>
      <c r="S1027" s="5">
        <f>IFERROR(VLOOKUP($D1027&amp;$C1027,生产方式定位!$A$2:$E$38,3,FALSE)+VLOOKUP($E1027&amp;$C1027,生产方式定位!$F$3:$J$38,3,FALSE),0)</f>
        <v>200</v>
      </c>
      <c r="X1027" s="5">
        <f>IFERROR(VLOOKUP($D1027&amp;$C1027,生产方式定位!$A$2:$E$38,5,FALSE)+VLOOKUP($E1027&amp;$C1027,生产方式定位!$F$3:$J$38,5,FALSE),"错误")</f>
        <v>2217</v>
      </c>
      <c r="Y1027" s="24" t="str">
        <f t="shared" si="242"/>
        <v/>
      </c>
      <c r="Z1027" s="34" t="str">
        <f t="shared" si="243"/>
        <v/>
      </c>
      <c r="AA1027" s="34" t="str">
        <f t="shared" si="240"/>
        <v/>
      </c>
      <c r="AB1027" s="25" t="str">
        <f t="shared" si="244"/>
        <v>3%</v>
      </c>
      <c r="AC1027" s="1">
        <f t="shared" si="245"/>
        <v>-133</v>
      </c>
      <c r="AD1027" s="35">
        <f t="shared" si="241"/>
        <v>4</v>
      </c>
      <c r="AE1027" t="str">
        <f t="shared" si="246"/>
        <v/>
      </c>
      <c r="AF1027" t="str">
        <f t="shared" si="247"/>
        <v/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 t="str">
        <f>IFERROR(ROUND(L1027*(G1027/$AU1027)/VLOOKUP(F1027,商品!$A$4:$C$60,3,FALSE),0),"")</f>
        <v/>
      </c>
      <c r="AM1027" t="str">
        <f>IFERROR(ROUND(L1027*(I1027/$AU1027)/VLOOKUP(H1027,商品!$A$4:$C$60,3,FALSE),0),"")</f>
        <v/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0</v>
      </c>
      <c r="AV1027">
        <f t="shared" si="254"/>
        <v>0</v>
      </c>
      <c r="AW1027">
        <f t="shared" si="255"/>
        <v>0</v>
      </c>
    </row>
    <row r="1028" spans="1:49" ht="20" customHeight="1" x14ac:dyDescent="0.3">
      <c r="A1028" s="5" t="s">
        <v>473</v>
      </c>
      <c r="C1028" s="5">
        <v>5</v>
      </c>
      <c r="D1028" s="21" t="s">
        <v>222</v>
      </c>
      <c r="E1028" s="21" t="s">
        <v>225</v>
      </c>
      <c r="L1028" s="5">
        <f>IFERROR(VLOOKUP($D1028&amp;$C1028,生产方式定位!$A$2:$E$38,2,FALSE)+VLOOKUP($E1028&amp;$C1028,生产方式定位!$F$3:$J$38,2,FALSE),0)</f>
        <v>2500</v>
      </c>
      <c r="S1028" s="5">
        <f>IFERROR(VLOOKUP($D1028&amp;$C1028,生产方式定位!$A$2:$E$38,3,FALSE)+VLOOKUP($E1028&amp;$C1028,生产方式定位!$F$3:$J$38,3,FALSE),0)</f>
        <v>210</v>
      </c>
      <c r="X1028" s="5">
        <f>IFERROR(VLOOKUP($D1028&amp;$C1028,生产方式定位!$A$2:$E$38,5,FALSE)+VLOOKUP($E1028&amp;$C1028,生产方式定位!$F$3:$J$38,5,FALSE),"错误")</f>
        <v>2870</v>
      </c>
      <c r="Y1028" s="24" t="str">
        <f t="shared" si="242"/>
        <v/>
      </c>
      <c r="Z1028" s="34" t="str">
        <f t="shared" si="243"/>
        <v/>
      </c>
      <c r="AA1028" s="34" t="str">
        <f t="shared" si="240"/>
        <v/>
      </c>
      <c r="AB1028" s="25" t="str">
        <f t="shared" si="244"/>
        <v>15%</v>
      </c>
      <c r="AC1028" s="1">
        <f t="shared" si="245"/>
        <v>160</v>
      </c>
      <c r="AD1028" s="35">
        <f t="shared" si="241"/>
        <v>5</v>
      </c>
      <c r="AE1028" t="str">
        <f t="shared" si="246"/>
        <v/>
      </c>
      <c r="AF1028" t="str">
        <f t="shared" si="247"/>
        <v/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 t="str">
        <f>IFERROR(ROUND(L1028*(G1028/$AU1028)/VLOOKUP(F1028,商品!$A$4:$C$60,3,FALSE),0),"")</f>
        <v/>
      </c>
      <c r="AM1028" t="str">
        <f>IFERROR(ROUND(L1028*(I1028/$AU1028)/VLOOKUP(H1028,商品!$A$4:$C$60,3,FALSE),0),"")</f>
        <v/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0</v>
      </c>
      <c r="AV1028">
        <f t="shared" si="254"/>
        <v>0</v>
      </c>
      <c r="AW1028">
        <f t="shared" si="255"/>
        <v>0</v>
      </c>
    </row>
    <row r="1029" spans="1:49" ht="20" customHeight="1" x14ac:dyDescent="0.3">
      <c r="A1029" s="18" t="s">
        <v>474</v>
      </c>
      <c r="C1029" s="18">
        <v>1</v>
      </c>
      <c r="D1029" s="21" t="s">
        <v>292</v>
      </c>
      <c r="E1029" s="21" t="s">
        <v>226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24" t="str">
        <f t="shared" si="242"/>
        <v/>
      </c>
      <c r="Z1029" s="34" t="str">
        <f t="shared" si="243"/>
        <v/>
      </c>
      <c r="AA1029" s="34" t="str">
        <f t="shared" ref="AA1029:AA1092" si="256">IF(AJ1029="","",AJ1029)&amp;IF(AK1029="","",","&amp;AK1029)</f>
        <v/>
      </c>
      <c r="AB1029" s="25" t="str">
        <f t="shared" si="244"/>
        <v/>
      </c>
      <c r="AC1029" s="1" t="str">
        <f t="shared" si="245"/>
        <v/>
      </c>
      <c r="AD1029" s="36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20" customHeight="1" x14ac:dyDescent="0.3">
      <c r="A1030" s="18" t="s">
        <v>474</v>
      </c>
      <c r="C1030" s="18">
        <v>2</v>
      </c>
      <c r="D1030" s="21" t="s">
        <v>292</v>
      </c>
      <c r="E1030" s="21" t="s">
        <v>226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24" t="str">
        <f t="shared" ref="Y1030:Y1093" si="258">IF(AE1030="","",AE1030)&amp;IF(AF1030="","",","&amp;AF1030)&amp;IF(AN1030=0,"",",运力*"&amp;AN1030)&amp;IF(AO1030=0,"",",交易*"&amp;AO1030)</f>
        <v/>
      </c>
      <c r="Z1030" s="34" t="str">
        <f t="shared" ref="Z1030:Z1093" si="259">IF(AG1030="","",AG1030)&amp;IF(AH1030="","",","&amp;AH1030)&amp;IF(AI1030="","",","&amp;AI1030)</f>
        <v/>
      </c>
      <c r="AA1030" s="34" t="str">
        <f t="shared" si="256"/>
        <v/>
      </c>
      <c r="AB1030" s="25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36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spans="1:49" ht="20" customHeight="1" x14ac:dyDescent="0.3">
      <c r="A1031" s="18" t="s">
        <v>474</v>
      </c>
      <c r="C1031" s="18">
        <v>3</v>
      </c>
      <c r="D1031" s="21" t="s">
        <v>292</v>
      </c>
      <c r="E1031" s="21" t="s">
        <v>226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24" t="str">
        <f t="shared" si="258"/>
        <v/>
      </c>
      <c r="Z1031" s="34" t="str">
        <f t="shared" si="259"/>
        <v/>
      </c>
      <c r="AA1031" s="34" t="str">
        <f t="shared" si="256"/>
        <v/>
      </c>
      <c r="AB1031" s="25" t="str">
        <f t="shared" si="260"/>
        <v/>
      </c>
      <c r="AC1031" s="1" t="str">
        <f t="shared" si="261"/>
        <v/>
      </c>
      <c r="AD1031" s="36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spans="1:49" ht="20" customHeight="1" x14ac:dyDescent="0.3">
      <c r="A1032" s="18" t="s">
        <v>474</v>
      </c>
      <c r="C1032" s="18">
        <v>4</v>
      </c>
      <c r="D1032" s="21" t="s">
        <v>292</v>
      </c>
      <c r="E1032" s="21" t="s">
        <v>226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24" t="str">
        <f t="shared" si="258"/>
        <v/>
      </c>
      <c r="Z1032" s="34" t="str">
        <f t="shared" si="259"/>
        <v/>
      </c>
      <c r="AA1032" s="34" t="str">
        <f t="shared" si="256"/>
        <v/>
      </c>
      <c r="AB1032" s="25" t="str">
        <f t="shared" si="260"/>
        <v/>
      </c>
      <c r="AC1032" s="1" t="str">
        <f t="shared" si="261"/>
        <v/>
      </c>
      <c r="AD1032" s="36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spans="1:49" ht="20" customHeight="1" x14ac:dyDescent="0.3">
      <c r="A1033" s="18" t="s">
        <v>474</v>
      </c>
      <c r="C1033" s="18">
        <v>5</v>
      </c>
      <c r="D1033" s="21" t="s">
        <v>292</v>
      </c>
      <c r="E1033" s="21" t="s">
        <v>226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24" t="str">
        <f t="shared" si="258"/>
        <v/>
      </c>
      <c r="Z1033" s="34" t="str">
        <f t="shared" si="259"/>
        <v/>
      </c>
      <c r="AA1033" s="34" t="str">
        <f t="shared" si="256"/>
        <v/>
      </c>
      <c r="AB1033" s="25" t="str">
        <f t="shared" si="260"/>
        <v/>
      </c>
      <c r="AC1033" s="1" t="str">
        <f t="shared" si="261"/>
        <v/>
      </c>
      <c r="AD1033" s="36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spans="1:49" ht="20" customHeight="1" x14ac:dyDescent="0.3">
      <c r="A1034" s="18" t="s">
        <v>474</v>
      </c>
      <c r="C1034" s="18">
        <v>6</v>
      </c>
      <c r="D1034" s="21" t="s">
        <v>292</v>
      </c>
      <c r="E1034" s="21" t="s">
        <v>226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58"/>
        <v/>
      </c>
      <c r="Z1034" s="34" t="str">
        <f t="shared" si="259"/>
        <v/>
      </c>
      <c r="AA1034" s="34" t="str">
        <f t="shared" si="256"/>
        <v/>
      </c>
      <c r="AB1034" s="25" t="str">
        <f t="shared" si="260"/>
        <v/>
      </c>
      <c r="AC1034" s="1" t="str">
        <f t="shared" si="261"/>
        <v/>
      </c>
      <c r="AD1034" s="35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20" customHeight="1" x14ac:dyDescent="0.3">
      <c r="A1035" s="18" t="s">
        <v>474</v>
      </c>
      <c r="C1035" s="18">
        <v>7</v>
      </c>
      <c r="D1035" s="21" t="s">
        <v>292</v>
      </c>
      <c r="E1035" s="21" t="s">
        <v>226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si="258"/>
        <v/>
      </c>
      <c r="Z1035" s="34" t="str">
        <f t="shared" si="259"/>
        <v/>
      </c>
      <c r="AA1035" s="34" t="str">
        <f t="shared" si="256"/>
        <v/>
      </c>
      <c r="AB1035" s="25" t="str">
        <f t="shared" si="260"/>
        <v/>
      </c>
      <c r="AC1035" s="1" t="str">
        <f t="shared" si="261"/>
        <v/>
      </c>
      <c r="AD1035" s="35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20" customHeight="1" x14ac:dyDescent="0.3">
      <c r="A1036" s="18" t="s">
        <v>474</v>
      </c>
      <c r="C1036" s="18">
        <v>8</v>
      </c>
      <c r="D1036" s="21" t="s">
        <v>292</v>
      </c>
      <c r="E1036" s="21" t="s">
        <v>226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5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20" customHeight="1" x14ac:dyDescent="0.3">
      <c r="A1037" s="5" t="s">
        <v>476</v>
      </c>
      <c r="C1037" s="5">
        <v>1</v>
      </c>
      <c r="D1037" s="21" t="s">
        <v>222</v>
      </c>
      <c r="E1037" s="21" t="s">
        <v>224</v>
      </c>
      <c r="L1037" s="5">
        <f>IFERROR(VLOOKUP($D1037&amp;$C1037,生产方式定位!$A$2:$E$38,2,FALSE)+VLOOKUP($E1037&amp;$C1037,生产方式定位!$F$3:$J$38,2,FALSE),0)</f>
        <v>600</v>
      </c>
      <c r="S1037" s="5">
        <f>IFERROR(VLOOKUP($D1037&amp;$C1037,生产方式定位!$A$2:$E$38,3,FALSE)+VLOOKUP($E1037&amp;$C1037,生产方式定位!$F$3:$J$38,3,FALSE),0)</f>
        <v>150</v>
      </c>
      <c r="X1037" s="5">
        <f>IFERROR(VLOOKUP($D1037&amp;$C1037,生产方式定位!$A$2:$E$38,5,FALSE)+VLOOKUP($E1037&amp;$C1037,生产方式定位!$F$3:$J$38,5,FALSE),"错误")</f>
        <v>788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>31%</v>
      </c>
      <c r="AC1037" s="1">
        <f t="shared" si="261"/>
        <v>38</v>
      </c>
      <c r="AD1037" s="35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20" customHeight="1" x14ac:dyDescent="0.3">
      <c r="A1038" s="5" t="s">
        <v>476</v>
      </c>
      <c r="C1038" s="5">
        <v>2</v>
      </c>
      <c r="D1038" s="21" t="s">
        <v>222</v>
      </c>
      <c r="E1038" s="21" t="s">
        <v>224</v>
      </c>
      <c r="L1038" s="5">
        <f>IFERROR(VLOOKUP($D1038&amp;$C1038,生产方式定位!$A$2:$E$38,2,FALSE)+VLOOKUP($E1038&amp;$C1038,生产方式定位!$F$3:$J$38,2,FALSE),0)</f>
        <v>1200</v>
      </c>
      <c r="S1038" s="5">
        <f>IFERROR(VLOOKUP($D1038&amp;$C1038,生产方式定位!$A$2:$E$38,3,FALSE)+VLOOKUP($E1038&amp;$C1038,生产方式定位!$F$3:$J$38,3,FALSE),0)</f>
        <v>140</v>
      </c>
      <c r="X1038" s="5">
        <f>IFERROR(VLOOKUP($D1038&amp;$C1038,生产方式定位!$A$2:$E$38,5,FALSE)+VLOOKUP($E1038&amp;$C1038,生产方式定位!$F$3:$J$38,5,FALSE),"错误")</f>
        <v>1390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>16%</v>
      </c>
      <c r="AC1038" s="1">
        <f t="shared" si="261"/>
        <v>50</v>
      </c>
      <c r="AD1038" s="35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20" customHeight="1" x14ac:dyDescent="0.3">
      <c r="A1039" s="5" t="s">
        <v>476</v>
      </c>
      <c r="C1039" s="5">
        <v>3</v>
      </c>
      <c r="D1039" s="21" t="s">
        <v>222</v>
      </c>
      <c r="E1039" s="21" t="s">
        <v>224</v>
      </c>
      <c r="L1039" s="5">
        <f>IFERROR(VLOOKUP($D1039&amp;$C1039,生产方式定位!$A$2:$E$38,2,FALSE)+VLOOKUP($E1039&amp;$C1039,生产方式定位!$F$3:$J$38,2,FALSE),0)</f>
        <v>1425</v>
      </c>
      <c r="S1039" s="5">
        <f>IFERROR(VLOOKUP($D1039&amp;$C1039,生产方式定位!$A$2:$E$38,3,FALSE)+VLOOKUP($E1039&amp;$C1039,生产方式定位!$F$3:$J$38,3,FALSE),0)</f>
        <v>130</v>
      </c>
      <c r="X1039" s="5">
        <f>IFERROR(VLOOKUP($D1039&amp;$C1039,生产方式定位!$A$2:$E$38,5,FALSE)+VLOOKUP($E1039&amp;$C1039,生产方式定位!$F$3:$J$38,5,FALSE),"错误")</f>
        <v>1618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>14%</v>
      </c>
      <c r="AC1039" s="1">
        <f t="shared" si="261"/>
        <v>63</v>
      </c>
      <c r="AD1039" s="36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20" customHeight="1" x14ac:dyDescent="0.3">
      <c r="A1040" s="5" t="s">
        <v>476</v>
      </c>
      <c r="C1040" s="5">
        <v>4</v>
      </c>
      <c r="D1040" s="21" t="s">
        <v>222</v>
      </c>
      <c r="E1040" s="21" t="s">
        <v>224</v>
      </c>
      <c r="L1040" s="5">
        <f>IFERROR(VLOOKUP($D1040&amp;$C1040,生产方式定位!$A$2:$E$38,2,FALSE)+VLOOKUP($E1040&amp;$C1040,生产方式定位!$F$3:$J$38,2,FALSE),0)</f>
        <v>1650</v>
      </c>
      <c r="S1040" s="5">
        <f>IFERROR(VLOOKUP($D1040&amp;$C1040,生产方式定位!$A$2:$E$38,3,FALSE)+VLOOKUP($E1040&amp;$C1040,生产方式定位!$F$3:$J$38,3,FALSE),0)</f>
        <v>120</v>
      </c>
      <c r="X1040" s="5">
        <f>IFERROR(VLOOKUP($D1040&amp;$C1040,生产方式定位!$A$2:$E$38,5,FALSE)+VLOOKUP($E1040&amp;$C1040,生产方式定位!$F$3:$J$38,5,FALSE),"错误")</f>
        <v>1845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>12%</v>
      </c>
      <c r="AC1040" s="1">
        <f t="shared" si="261"/>
        <v>75</v>
      </c>
      <c r="AD1040" s="36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20" customHeight="1" x14ac:dyDescent="0.3">
      <c r="A1041" s="5" t="s">
        <v>476</v>
      </c>
      <c r="C1041" s="5">
        <v>5</v>
      </c>
      <c r="D1041" s="21" t="s">
        <v>222</v>
      </c>
      <c r="E1041" s="21" t="s">
        <v>224</v>
      </c>
      <c r="L1041" s="5">
        <f>IFERROR(VLOOKUP($D1041&amp;$C1041,生产方式定位!$A$2:$E$38,2,FALSE)+VLOOKUP($E1041&amp;$C1041,生产方式定位!$F$3:$J$38,2,FALSE),0)</f>
        <v>1875</v>
      </c>
      <c r="S1041" s="5">
        <f>IFERROR(VLOOKUP($D1041&amp;$C1041,生产方式定位!$A$2:$E$38,3,FALSE)+VLOOKUP($E1041&amp;$C1041,生产方式定位!$F$3:$J$38,3,FALSE),0)</f>
        <v>110</v>
      </c>
      <c r="X1041" s="5">
        <f>IFERROR(VLOOKUP($D1041&amp;$C1041,生产方式定位!$A$2:$E$38,5,FALSE)+VLOOKUP($E1041&amp;$C1041,生产方式定位!$F$3:$J$38,5,FALSE),"错误")</f>
        <v>2073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>11%</v>
      </c>
      <c r="AC1041" s="1">
        <f t="shared" si="261"/>
        <v>88</v>
      </c>
      <c r="AD1041" s="36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20" customHeight="1" x14ac:dyDescent="0.3">
      <c r="A1042" s="18" t="s">
        <v>477</v>
      </c>
      <c r="C1042" s="18">
        <v>1</v>
      </c>
      <c r="D1042" s="21" t="s">
        <v>222</v>
      </c>
      <c r="E1042" s="21" t="s">
        <v>225</v>
      </c>
      <c r="L1042" s="18">
        <f>IFERROR(VLOOKUP($D1042&amp;$C1042,生产方式定位!$A$2:$E$38,2,FALSE)+VLOOKUP($E1042&amp;$C1042,生产方式定位!$F$3:$J$38,2,FALSE),0)</f>
        <v>600</v>
      </c>
      <c r="S1042" s="18">
        <f>IFERROR(VLOOKUP($D1042&amp;$C1042,生产方式定位!$A$2:$E$38,3,FALSE)+VLOOKUP($E1042&amp;$C1042,生产方式定位!$F$3:$J$38,3,FALSE),0)</f>
        <v>150</v>
      </c>
      <c r="X1042" s="18">
        <f>IFERROR(VLOOKUP($D1042&amp;$C1042,生产方式定位!$A$2:$E$38,5,FALSE)+VLOOKUP($E1042&amp;$C1042,生产方式定位!$F$3:$J$38,5,FALSE),"错误")</f>
        <v>788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>31%</v>
      </c>
      <c r="AC1042" s="1">
        <f t="shared" si="261"/>
        <v>38</v>
      </c>
      <c r="AD1042" s="36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20" customHeight="1" x14ac:dyDescent="0.3">
      <c r="A1043" s="18" t="s">
        <v>477</v>
      </c>
      <c r="C1043" s="18">
        <v>2</v>
      </c>
      <c r="D1043" s="21" t="s">
        <v>222</v>
      </c>
      <c r="E1043" s="21" t="s">
        <v>225</v>
      </c>
      <c r="L1043" s="18">
        <f>IFERROR(VLOOKUP($D1043&amp;$C1043,生产方式定位!$A$2:$E$38,2,FALSE)+VLOOKUP($E1043&amp;$C1043,生产方式定位!$F$3:$J$38,2,FALSE),0)</f>
        <v>1450</v>
      </c>
      <c r="S1043" s="18">
        <f>IFERROR(VLOOKUP($D1043&amp;$C1043,生产方式定位!$A$2:$E$38,3,FALSE)+VLOOKUP($E1043&amp;$C1043,生产方式定位!$F$3:$J$38,3,FALSE),0)</f>
        <v>180</v>
      </c>
      <c r="X1043" s="18">
        <f>IFERROR(VLOOKUP($D1043&amp;$C1043,生产方式定位!$A$2:$E$38,5,FALSE)+VLOOKUP($E1043&amp;$C1043,生产方式定位!$F$3:$J$38,5,FALSE),"错误")</f>
        <v>1472</v>
      </c>
      <c r="Y1043" s="24" t="str">
        <f t="shared" si="258"/>
        <v/>
      </c>
      <c r="Z1043" s="34" t="str">
        <f t="shared" si="259"/>
        <v/>
      </c>
      <c r="AA1043" s="34" t="str">
        <f t="shared" si="256"/>
        <v/>
      </c>
      <c r="AB1043" s="25" t="str">
        <f t="shared" si="260"/>
        <v>2%</v>
      </c>
      <c r="AC1043" s="1">
        <f t="shared" si="261"/>
        <v>-158</v>
      </c>
      <c r="AD1043" s="36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20" customHeight="1" x14ac:dyDescent="0.3">
      <c r="A1044" s="18" t="s">
        <v>477</v>
      </c>
      <c r="C1044" s="18">
        <v>3</v>
      </c>
      <c r="D1044" s="21" t="s">
        <v>222</v>
      </c>
      <c r="E1044" s="21" t="s">
        <v>225</v>
      </c>
      <c r="L1044" s="18">
        <f>IFERROR(VLOOKUP($D1044&amp;$C1044,生产方式定位!$A$2:$E$38,2,FALSE)+VLOOKUP($E1044&amp;$C1044,生产方式定位!$F$3:$J$38,2,FALSE),0)</f>
        <v>1800</v>
      </c>
      <c r="S1044" s="18">
        <f>IFERROR(VLOOKUP($D1044&amp;$C1044,生产方式定位!$A$2:$E$38,3,FALSE)+VLOOKUP($E1044&amp;$C1044,生产方式定位!$F$3:$J$38,3,FALSE),0)</f>
        <v>190</v>
      </c>
      <c r="X1044" s="18">
        <f>IFERROR(VLOOKUP($D1044&amp;$C1044,生产方式定位!$A$2:$E$38,5,FALSE)+VLOOKUP($E1044&amp;$C1044,生产方式定位!$F$3:$J$38,5,FALSE),"错误")</f>
        <v>1831</v>
      </c>
      <c r="Y1044" s="24" t="str">
        <f t="shared" si="258"/>
        <v/>
      </c>
      <c r="Z1044" s="34" t="str">
        <f t="shared" si="259"/>
        <v/>
      </c>
      <c r="AA1044" s="34" t="str">
        <f t="shared" si="256"/>
        <v/>
      </c>
      <c r="AB1044" s="25" t="str">
        <f t="shared" si="260"/>
        <v>2%</v>
      </c>
      <c r="AC1044" s="1">
        <f t="shared" si="261"/>
        <v>-159</v>
      </c>
      <c r="AD1044" s="36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20" customHeight="1" x14ac:dyDescent="0.3">
      <c r="A1045" s="18" t="s">
        <v>477</v>
      </c>
      <c r="C1045" s="18">
        <v>4</v>
      </c>
      <c r="D1045" s="21" t="s">
        <v>222</v>
      </c>
      <c r="E1045" s="21" t="s">
        <v>225</v>
      </c>
      <c r="L1045" s="18">
        <f>IFERROR(VLOOKUP($D1045&amp;$C1045,生产方式定位!$A$2:$E$38,2,FALSE)+VLOOKUP($E1045&amp;$C1045,生产方式定位!$F$3:$J$38,2,FALSE),0)</f>
        <v>2150</v>
      </c>
      <c r="S1045" s="18">
        <f>IFERROR(VLOOKUP($D1045&amp;$C1045,生产方式定位!$A$2:$E$38,3,FALSE)+VLOOKUP($E1045&amp;$C1045,生产方式定位!$F$3:$J$38,3,FALSE),0)</f>
        <v>200</v>
      </c>
      <c r="X1045" s="18">
        <f>IFERROR(VLOOKUP($D1045&amp;$C1045,生产方式定位!$A$2:$E$38,5,FALSE)+VLOOKUP($E1045&amp;$C1045,生产方式定位!$F$3:$J$38,5,FALSE),"错误")</f>
        <v>2217</v>
      </c>
      <c r="Y1045" s="24" t="str">
        <f t="shared" si="258"/>
        <v/>
      </c>
      <c r="Z1045" s="34" t="str">
        <f t="shared" si="259"/>
        <v/>
      </c>
      <c r="AA1045" s="34" t="str">
        <f t="shared" si="256"/>
        <v/>
      </c>
      <c r="AB1045" s="25" t="str">
        <f t="shared" si="260"/>
        <v>3%</v>
      </c>
      <c r="AC1045" s="1">
        <f t="shared" si="261"/>
        <v>-133</v>
      </c>
      <c r="AD1045" s="36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20" customHeight="1" x14ac:dyDescent="0.3">
      <c r="A1046" s="18" t="s">
        <v>477</v>
      </c>
      <c r="C1046" s="18">
        <v>5</v>
      </c>
      <c r="D1046" s="21" t="s">
        <v>222</v>
      </c>
      <c r="E1046" s="21" t="s">
        <v>225</v>
      </c>
      <c r="L1046" s="18">
        <f>IFERROR(VLOOKUP($D1046&amp;$C1046,生产方式定位!$A$2:$E$38,2,FALSE)+VLOOKUP($E1046&amp;$C1046,生产方式定位!$F$3:$J$38,2,FALSE),0)</f>
        <v>2500</v>
      </c>
      <c r="S1046" s="18">
        <f>IFERROR(VLOOKUP($D1046&amp;$C1046,生产方式定位!$A$2:$E$38,3,FALSE)+VLOOKUP($E1046&amp;$C1046,生产方式定位!$F$3:$J$38,3,FALSE),0)</f>
        <v>210</v>
      </c>
      <c r="X1046" s="18">
        <f>IFERROR(VLOOKUP($D1046&amp;$C1046,生产方式定位!$A$2:$E$38,5,FALSE)+VLOOKUP($E1046&amp;$C1046,生产方式定位!$F$3:$J$38,5,FALSE),"错误")</f>
        <v>2870</v>
      </c>
      <c r="Y1046" s="24" t="str">
        <f t="shared" si="258"/>
        <v/>
      </c>
      <c r="Z1046" s="34" t="str">
        <f t="shared" si="259"/>
        <v/>
      </c>
      <c r="AA1046" s="34" t="str">
        <f t="shared" si="256"/>
        <v/>
      </c>
      <c r="AB1046" s="25" t="str">
        <f t="shared" si="260"/>
        <v>15%</v>
      </c>
      <c r="AC1046" s="1">
        <f t="shared" si="261"/>
        <v>160</v>
      </c>
      <c r="AD1046" s="36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20" customHeight="1" x14ac:dyDescent="0.3">
      <c r="A1047" s="5" t="s">
        <v>477</v>
      </c>
      <c r="C1047" s="5">
        <v>1</v>
      </c>
      <c r="D1047" s="21" t="s">
        <v>222</v>
      </c>
      <c r="E1047" s="21" t="s">
        <v>225</v>
      </c>
      <c r="L1047" s="5">
        <f>IFERROR(VLOOKUP($D1047&amp;$C1047,生产方式定位!$A$2:$E$38,2,FALSE)+VLOOKUP($E1047&amp;$C1047,生产方式定位!$F$3:$J$38,2,FALSE),0)</f>
        <v>600</v>
      </c>
      <c r="S1047" s="5">
        <f>IFERROR(VLOOKUP($D1047&amp;$C1047,生产方式定位!$A$2:$E$38,3,FALSE)+VLOOKUP($E1047&amp;$C1047,生产方式定位!$F$3:$J$38,3,FALSE),0)</f>
        <v>150</v>
      </c>
      <c r="X1047" s="5">
        <f>IFERROR(VLOOKUP($D1047&amp;$C1047,生产方式定位!$A$2:$E$38,5,FALSE)+VLOOKUP($E1047&amp;$C1047,生产方式定位!$F$3:$J$38,5,FALSE),"错误")</f>
        <v>788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>31%</v>
      </c>
      <c r="AC1047" s="1">
        <f t="shared" si="261"/>
        <v>38</v>
      </c>
      <c r="AD1047" s="35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20" customHeight="1" x14ac:dyDescent="0.3">
      <c r="A1048" s="5" t="s">
        <v>477</v>
      </c>
      <c r="C1048" s="5">
        <v>2</v>
      </c>
      <c r="D1048" s="21" t="s">
        <v>222</v>
      </c>
      <c r="E1048" s="21" t="s">
        <v>225</v>
      </c>
      <c r="L1048" s="5">
        <f>IFERROR(VLOOKUP($D1048&amp;$C1048,生产方式定位!$A$2:$E$38,2,FALSE)+VLOOKUP($E1048&amp;$C1048,生产方式定位!$F$3:$J$38,2,FALSE),0)</f>
        <v>1450</v>
      </c>
      <c r="S1048" s="5">
        <f>IFERROR(VLOOKUP($D1048&amp;$C1048,生产方式定位!$A$2:$E$38,3,FALSE)+VLOOKUP($E1048&amp;$C1048,生产方式定位!$F$3:$J$38,3,FALSE),0)</f>
        <v>180</v>
      </c>
      <c r="X1048" s="5">
        <f>IFERROR(VLOOKUP($D1048&amp;$C1048,生产方式定位!$A$2:$E$38,5,FALSE)+VLOOKUP($E1048&amp;$C1048,生产方式定位!$F$3:$J$38,5,FALSE),"错误")</f>
        <v>1472</v>
      </c>
      <c r="Y1048" s="24" t="str">
        <f t="shared" si="258"/>
        <v/>
      </c>
      <c r="Z1048" s="34" t="str">
        <f t="shared" si="259"/>
        <v/>
      </c>
      <c r="AA1048" s="34" t="str">
        <f t="shared" si="256"/>
        <v/>
      </c>
      <c r="AB1048" s="25" t="str">
        <f t="shared" si="260"/>
        <v>2%</v>
      </c>
      <c r="AC1048" s="1">
        <f t="shared" si="261"/>
        <v>-158</v>
      </c>
      <c r="AD1048" s="35">
        <f t="shared" si="257"/>
        <v>2</v>
      </c>
      <c r="AE1048" t="str">
        <f t="shared" si="262"/>
        <v/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 t="str">
        <f>IFERROR(ROUND(L1048*(G1048/$AU1048)/VLOOKUP(F1048,商品!$A$4:$C$60,3,FALSE),0),"")</f>
        <v/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0</v>
      </c>
      <c r="AV1048">
        <f t="shared" si="270"/>
        <v>0</v>
      </c>
      <c r="AW1048">
        <f t="shared" si="271"/>
        <v>0</v>
      </c>
    </row>
    <row r="1049" spans="1:49" ht="20" customHeight="1" x14ac:dyDescent="0.3">
      <c r="A1049" s="5" t="s">
        <v>477</v>
      </c>
      <c r="C1049" s="5">
        <v>3</v>
      </c>
      <c r="D1049" s="21" t="s">
        <v>222</v>
      </c>
      <c r="E1049" s="21" t="s">
        <v>225</v>
      </c>
      <c r="L1049" s="5">
        <f>IFERROR(VLOOKUP($D1049&amp;$C1049,生产方式定位!$A$2:$E$38,2,FALSE)+VLOOKUP($E1049&amp;$C1049,生产方式定位!$F$3:$J$38,2,FALSE),0)</f>
        <v>1800</v>
      </c>
      <c r="S1049" s="5">
        <f>IFERROR(VLOOKUP($D1049&amp;$C1049,生产方式定位!$A$2:$E$38,3,FALSE)+VLOOKUP($E1049&amp;$C1049,生产方式定位!$F$3:$J$38,3,FALSE),0)</f>
        <v>190</v>
      </c>
      <c r="X1049" s="5">
        <f>IFERROR(VLOOKUP($D1049&amp;$C1049,生产方式定位!$A$2:$E$38,5,FALSE)+VLOOKUP($E1049&amp;$C1049,生产方式定位!$F$3:$J$38,5,FALSE),"错误")</f>
        <v>1831</v>
      </c>
      <c r="Y1049" s="24" t="str">
        <f t="shared" si="258"/>
        <v/>
      </c>
      <c r="Z1049" s="34" t="str">
        <f t="shared" si="259"/>
        <v/>
      </c>
      <c r="AA1049" s="34" t="str">
        <f t="shared" si="256"/>
        <v/>
      </c>
      <c r="AB1049" s="25" t="str">
        <f t="shared" si="260"/>
        <v>2%</v>
      </c>
      <c r="AC1049" s="1">
        <f t="shared" si="261"/>
        <v>-159</v>
      </c>
      <c r="AD1049" s="35">
        <f t="shared" si="257"/>
        <v>3</v>
      </c>
      <c r="AE1049" t="str">
        <f t="shared" si="262"/>
        <v/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 t="str">
        <f>IFERROR(ROUND(L1049*(G1049/$AU1049)/VLOOKUP(F1049,商品!$A$4:$C$60,3,FALSE),0),"")</f>
        <v/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0</v>
      </c>
      <c r="AV1049">
        <f t="shared" si="270"/>
        <v>0</v>
      </c>
      <c r="AW1049">
        <f t="shared" si="271"/>
        <v>0</v>
      </c>
    </row>
    <row r="1050" spans="1:49" ht="20" customHeight="1" x14ac:dyDescent="0.3">
      <c r="A1050" s="5" t="s">
        <v>477</v>
      </c>
      <c r="C1050" s="5">
        <v>4</v>
      </c>
      <c r="D1050" s="21" t="s">
        <v>222</v>
      </c>
      <c r="E1050" s="21" t="s">
        <v>225</v>
      </c>
      <c r="L1050" s="5">
        <f>IFERROR(VLOOKUP($D1050&amp;$C1050,生产方式定位!$A$2:$E$38,2,FALSE)+VLOOKUP($E1050&amp;$C1050,生产方式定位!$F$3:$J$38,2,FALSE),0)</f>
        <v>2150</v>
      </c>
      <c r="S1050" s="5">
        <f>IFERROR(VLOOKUP($D1050&amp;$C1050,生产方式定位!$A$2:$E$38,3,FALSE)+VLOOKUP($E1050&amp;$C1050,生产方式定位!$F$3:$J$38,3,FALSE),0)</f>
        <v>200</v>
      </c>
      <c r="X1050" s="5">
        <f>IFERROR(VLOOKUP($D1050&amp;$C1050,生产方式定位!$A$2:$E$38,5,FALSE)+VLOOKUP($E1050&amp;$C1050,生产方式定位!$F$3:$J$38,5,FALSE),"错误")</f>
        <v>2217</v>
      </c>
      <c r="Y1050" s="24" t="str">
        <f t="shared" si="258"/>
        <v/>
      </c>
      <c r="Z1050" s="34" t="str">
        <f t="shared" si="259"/>
        <v/>
      </c>
      <c r="AA1050" s="34" t="str">
        <f t="shared" si="256"/>
        <v/>
      </c>
      <c r="AB1050" s="25" t="str">
        <f t="shared" si="260"/>
        <v>3%</v>
      </c>
      <c r="AC1050" s="1">
        <f t="shared" si="261"/>
        <v>-133</v>
      </c>
      <c r="AD1050" s="35">
        <f t="shared" si="257"/>
        <v>4</v>
      </c>
      <c r="AE1050" t="str">
        <f t="shared" si="262"/>
        <v/>
      </c>
      <c r="AF1050" t="str">
        <f t="shared" si="263"/>
        <v/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 t="str">
        <f>IFERROR(ROUND(L1050*(G1050/$AU1050)/VLOOKUP(F1050,商品!$A$4:$C$60,3,FALSE),0),"")</f>
        <v/>
      </c>
      <c r="AM1050" t="str">
        <f>IFERROR(ROUND(L1050*(I1050/$AU1050)/VLOOKUP(H1050,商品!$A$4:$C$60,3,FALSE),0),"")</f>
        <v/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0</v>
      </c>
      <c r="AV1050">
        <f t="shared" si="270"/>
        <v>0</v>
      </c>
      <c r="AW1050">
        <f t="shared" si="271"/>
        <v>0</v>
      </c>
    </row>
    <row r="1051" spans="1:49" ht="20" customHeight="1" x14ac:dyDescent="0.3">
      <c r="A1051" s="5" t="s">
        <v>477</v>
      </c>
      <c r="C1051" s="5">
        <v>5</v>
      </c>
      <c r="D1051" s="21" t="s">
        <v>222</v>
      </c>
      <c r="E1051" s="21" t="s">
        <v>225</v>
      </c>
      <c r="L1051" s="5">
        <f>IFERROR(VLOOKUP($D1051&amp;$C1051,生产方式定位!$A$2:$E$38,2,FALSE)+VLOOKUP($E1051&amp;$C1051,生产方式定位!$F$3:$J$38,2,FALSE),0)</f>
        <v>2500</v>
      </c>
      <c r="S1051" s="5">
        <f>IFERROR(VLOOKUP($D1051&amp;$C1051,生产方式定位!$A$2:$E$38,3,FALSE)+VLOOKUP($E1051&amp;$C1051,生产方式定位!$F$3:$J$38,3,FALSE),0)</f>
        <v>210</v>
      </c>
      <c r="X1051" s="5">
        <f>IFERROR(VLOOKUP($D1051&amp;$C1051,生产方式定位!$A$2:$E$38,5,FALSE)+VLOOKUP($E1051&amp;$C1051,生产方式定位!$F$3:$J$38,5,FALSE),"错误")</f>
        <v>2870</v>
      </c>
      <c r="Y1051" s="24" t="str">
        <f t="shared" si="258"/>
        <v/>
      </c>
      <c r="Z1051" s="34" t="str">
        <f t="shared" si="259"/>
        <v/>
      </c>
      <c r="AA1051" s="34" t="str">
        <f t="shared" si="256"/>
        <v/>
      </c>
      <c r="AB1051" s="25" t="str">
        <f t="shared" si="260"/>
        <v>15%</v>
      </c>
      <c r="AC1051" s="1">
        <f t="shared" si="261"/>
        <v>160</v>
      </c>
      <c r="AD1051" s="35">
        <f t="shared" si="257"/>
        <v>5</v>
      </c>
      <c r="AE1051" t="str">
        <f t="shared" si="262"/>
        <v/>
      </c>
      <c r="AF1051" t="str">
        <f t="shared" si="263"/>
        <v/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 t="str">
        <f>IFERROR(ROUND(L1051*(G1051/$AU1051)/VLOOKUP(F1051,商品!$A$4:$C$60,3,FALSE),0),"")</f>
        <v/>
      </c>
      <c r="AM1051" t="str">
        <f>IFERROR(ROUND(L1051*(I1051/$AU1051)/VLOOKUP(H1051,商品!$A$4:$C$60,3,FALSE),0),"")</f>
        <v/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0</v>
      </c>
      <c r="AV1051">
        <f t="shared" si="270"/>
        <v>0</v>
      </c>
      <c r="AW1051">
        <f t="shared" si="271"/>
        <v>0</v>
      </c>
    </row>
    <row r="1052" spans="1:49" ht="20" customHeight="1" x14ac:dyDescent="0.3">
      <c r="A1052" s="18" t="s">
        <v>478</v>
      </c>
      <c r="C1052" s="18">
        <v>1</v>
      </c>
      <c r="D1052" s="21" t="s">
        <v>292</v>
      </c>
      <c r="E1052" s="21" t="s">
        <v>226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/>
      </c>
      <c r="AC1052" s="1" t="str">
        <f t="shared" si="261"/>
        <v/>
      </c>
      <c r="AD1052" s="36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20" customHeight="1" x14ac:dyDescent="0.3">
      <c r="A1053" s="18" t="s">
        <v>478</v>
      </c>
      <c r="C1053" s="18">
        <v>2</v>
      </c>
      <c r="D1053" s="21" t="s">
        <v>292</v>
      </c>
      <c r="E1053" s="21" t="s">
        <v>226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24" t="str">
        <f t="shared" si="258"/>
        <v/>
      </c>
      <c r="Z1053" s="34" t="str">
        <f t="shared" si="259"/>
        <v/>
      </c>
      <c r="AA1053" s="34" t="str">
        <f t="shared" si="256"/>
        <v/>
      </c>
      <c r="AB1053" s="25" t="str">
        <f t="shared" si="260"/>
        <v/>
      </c>
      <c r="AC1053" s="1" t="str">
        <f t="shared" si="261"/>
        <v/>
      </c>
      <c r="AD1053" s="36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spans="1:49" ht="20" customHeight="1" x14ac:dyDescent="0.3">
      <c r="A1054" s="18" t="s">
        <v>478</v>
      </c>
      <c r="C1054" s="18">
        <v>3</v>
      </c>
      <c r="D1054" s="21" t="s">
        <v>292</v>
      </c>
      <c r="E1054" s="21" t="s">
        <v>226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24" t="str">
        <f t="shared" si="258"/>
        <v/>
      </c>
      <c r="Z1054" s="34" t="str">
        <f t="shared" si="259"/>
        <v/>
      </c>
      <c r="AA1054" s="34" t="str">
        <f t="shared" si="256"/>
        <v/>
      </c>
      <c r="AB1054" s="25" t="str">
        <f t="shared" si="260"/>
        <v/>
      </c>
      <c r="AC1054" s="1" t="str">
        <f t="shared" si="261"/>
        <v/>
      </c>
      <c r="AD1054" s="36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spans="1:49" ht="20" customHeight="1" x14ac:dyDescent="0.3">
      <c r="A1055" s="18" t="s">
        <v>478</v>
      </c>
      <c r="C1055" s="18">
        <v>4</v>
      </c>
      <c r="D1055" s="21" t="s">
        <v>292</v>
      </c>
      <c r="E1055" s="21" t="s">
        <v>226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24" t="str">
        <f t="shared" si="258"/>
        <v/>
      </c>
      <c r="Z1055" s="34" t="str">
        <f t="shared" si="259"/>
        <v/>
      </c>
      <c r="AA1055" s="34" t="str">
        <f t="shared" si="256"/>
        <v/>
      </c>
      <c r="AB1055" s="25" t="str">
        <f t="shared" si="260"/>
        <v/>
      </c>
      <c r="AC1055" s="1" t="str">
        <f t="shared" si="261"/>
        <v/>
      </c>
      <c r="AD1055" s="36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spans="1:49" ht="20" customHeight="1" x14ac:dyDescent="0.3">
      <c r="A1056" s="18" t="s">
        <v>478</v>
      </c>
      <c r="C1056" s="18">
        <v>5</v>
      </c>
      <c r="D1056" s="21" t="s">
        <v>292</v>
      </c>
      <c r="E1056" s="21" t="s">
        <v>226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24" t="str">
        <f t="shared" si="258"/>
        <v/>
      </c>
      <c r="Z1056" s="34" t="str">
        <f t="shared" si="259"/>
        <v/>
      </c>
      <c r="AA1056" s="34" t="str">
        <f t="shared" si="256"/>
        <v/>
      </c>
      <c r="AB1056" s="25" t="str">
        <f t="shared" si="260"/>
        <v/>
      </c>
      <c r="AC1056" s="1" t="str">
        <f t="shared" si="261"/>
        <v/>
      </c>
      <c r="AD1056" s="36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spans="1:49" ht="20" customHeight="1" x14ac:dyDescent="0.3">
      <c r="A1057" s="18" t="s">
        <v>478</v>
      </c>
      <c r="C1057" s="18">
        <v>6</v>
      </c>
      <c r="D1057" s="21" t="s">
        <v>292</v>
      </c>
      <c r="E1057" s="21" t="s">
        <v>226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5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20" customHeight="1" x14ac:dyDescent="0.3">
      <c r="A1058" s="18" t="s">
        <v>478</v>
      </c>
      <c r="C1058" s="18">
        <v>7</v>
      </c>
      <c r="D1058" s="21" t="s">
        <v>292</v>
      </c>
      <c r="E1058" s="21" t="s">
        <v>226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5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20" customHeight="1" x14ac:dyDescent="0.3">
      <c r="A1059" s="18" t="s">
        <v>478</v>
      </c>
      <c r="C1059" s="18">
        <v>8</v>
      </c>
      <c r="D1059" s="21" t="s">
        <v>292</v>
      </c>
      <c r="E1059" s="21" t="s">
        <v>226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5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20" customHeight="1" x14ac:dyDescent="0.3">
      <c r="A1060" s="5" t="s">
        <v>480</v>
      </c>
      <c r="C1060" s="5">
        <v>1</v>
      </c>
      <c r="D1060" s="21" t="s">
        <v>222</v>
      </c>
      <c r="E1060" s="21" t="s">
        <v>224</v>
      </c>
      <c r="L1060" s="5">
        <f>IFERROR(VLOOKUP($D1060&amp;$C1060,生产方式定位!$A$2:$E$38,2,FALSE)+VLOOKUP($E1060&amp;$C1060,生产方式定位!$F$3:$J$38,2,FALSE),0)</f>
        <v>600</v>
      </c>
      <c r="S1060" s="5">
        <f>IFERROR(VLOOKUP($D1060&amp;$C1060,生产方式定位!$A$2:$E$38,3,FALSE)+VLOOKUP($E1060&amp;$C1060,生产方式定位!$F$3:$J$38,3,FALSE),0)</f>
        <v>150</v>
      </c>
      <c r="X1060" s="5">
        <f>IFERROR(VLOOKUP($D1060&amp;$C1060,生产方式定位!$A$2:$E$38,5,FALSE)+VLOOKUP($E1060&amp;$C1060,生产方式定位!$F$3:$J$38,5,FALSE),"错误")</f>
        <v>788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>31%</v>
      </c>
      <c r="AC1060" s="1">
        <f t="shared" si="261"/>
        <v>38</v>
      </c>
      <c r="AD1060" s="35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20" customHeight="1" x14ac:dyDescent="0.3">
      <c r="A1061" s="5" t="s">
        <v>480</v>
      </c>
      <c r="C1061" s="5">
        <v>2</v>
      </c>
      <c r="D1061" s="21" t="s">
        <v>222</v>
      </c>
      <c r="E1061" s="21" t="s">
        <v>224</v>
      </c>
      <c r="L1061" s="5">
        <f>IFERROR(VLOOKUP($D1061&amp;$C1061,生产方式定位!$A$2:$E$38,2,FALSE)+VLOOKUP($E1061&amp;$C1061,生产方式定位!$F$3:$J$38,2,FALSE),0)</f>
        <v>1200</v>
      </c>
      <c r="S1061" s="5">
        <f>IFERROR(VLOOKUP($D1061&amp;$C1061,生产方式定位!$A$2:$E$38,3,FALSE)+VLOOKUP($E1061&amp;$C1061,生产方式定位!$F$3:$J$38,3,FALSE),0)</f>
        <v>140</v>
      </c>
      <c r="X1061" s="5">
        <f>IFERROR(VLOOKUP($D1061&amp;$C1061,生产方式定位!$A$2:$E$38,5,FALSE)+VLOOKUP($E1061&amp;$C1061,生产方式定位!$F$3:$J$38,5,FALSE),"错误")</f>
        <v>1390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>16%</v>
      </c>
      <c r="AC1061" s="1">
        <f t="shared" si="261"/>
        <v>50</v>
      </c>
      <c r="AD1061" s="35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20" customHeight="1" x14ac:dyDescent="0.3">
      <c r="A1062" s="5" t="s">
        <v>480</v>
      </c>
      <c r="C1062" s="5">
        <v>3</v>
      </c>
      <c r="D1062" s="21" t="s">
        <v>222</v>
      </c>
      <c r="E1062" s="21" t="s">
        <v>224</v>
      </c>
      <c r="L1062" s="5">
        <f>IFERROR(VLOOKUP($D1062&amp;$C1062,生产方式定位!$A$2:$E$38,2,FALSE)+VLOOKUP($E1062&amp;$C1062,生产方式定位!$F$3:$J$38,2,FALSE),0)</f>
        <v>1425</v>
      </c>
      <c r="S1062" s="5">
        <f>IFERROR(VLOOKUP($D1062&amp;$C1062,生产方式定位!$A$2:$E$38,3,FALSE)+VLOOKUP($E1062&amp;$C1062,生产方式定位!$F$3:$J$38,3,FALSE),0)</f>
        <v>130</v>
      </c>
      <c r="X1062" s="5">
        <f>IFERROR(VLOOKUP($D1062&amp;$C1062,生产方式定位!$A$2:$E$38,5,FALSE)+VLOOKUP($E1062&amp;$C1062,生产方式定位!$F$3:$J$38,5,FALSE),"错误")</f>
        <v>1618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>14%</v>
      </c>
      <c r="AC1062" s="1">
        <f t="shared" si="261"/>
        <v>63</v>
      </c>
      <c r="AD1062" s="36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20" customHeight="1" x14ac:dyDescent="0.3">
      <c r="A1063" s="5" t="s">
        <v>480</v>
      </c>
      <c r="C1063" s="5">
        <v>4</v>
      </c>
      <c r="D1063" s="21" t="s">
        <v>222</v>
      </c>
      <c r="E1063" s="21" t="s">
        <v>224</v>
      </c>
      <c r="L1063" s="5">
        <f>IFERROR(VLOOKUP($D1063&amp;$C1063,生产方式定位!$A$2:$E$38,2,FALSE)+VLOOKUP($E1063&amp;$C1063,生产方式定位!$F$3:$J$38,2,FALSE),0)</f>
        <v>1650</v>
      </c>
      <c r="S1063" s="5">
        <f>IFERROR(VLOOKUP($D1063&amp;$C1063,生产方式定位!$A$2:$E$38,3,FALSE)+VLOOKUP($E1063&amp;$C1063,生产方式定位!$F$3:$J$38,3,FALSE),0)</f>
        <v>120</v>
      </c>
      <c r="X1063" s="5">
        <f>IFERROR(VLOOKUP($D1063&amp;$C1063,生产方式定位!$A$2:$E$38,5,FALSE)+VLOOKUP($E1063&amp;$C1063,生产方式定位!$F$3:$J$38,5,FALSE),"错误")</f>
        <v>1845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>12%</v>
      </c>
      <c r="AC1063" s="1">
        <f t="shared" si="261"/>
        <v>75</v>
      </c>
      <c r="AD1063" s="36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20" customHeight="1" x14ac:dyDescent="0.3">
      <c r="A1064" s="5" t="s">
        <v>480</v>
      </c>
      <c r="C1064" s="5">
        <v>5</v>
      </c>
      <c r="D1064" s="21" t="s">
        <v>222</v>
      </c>
      <c r="E1064" s="21" t="s">
        <v>224</v>
      </c>
      <c r="L1064" s="5">
        <f>IFERROR(VLOOKUP($D1064&amp;$C1064,生产方式定位!$A$2:$E$38,2,FALSE)+VLOOKUP($E1064&amp;$C1064,生产方式定位!$F$3:$J$38,2,FALSE),0)</f>
        <v>1875</v>
      </c>
      <c r="S1064" s="5">
        <f>IFERROR(VLOOKUP($D1064&amp;$C1064,生产方式定位!$A$2:$E$38,3,FALSE)+VLOOKUP($E1064&amp;$C1064,生产方式定位!$F$3:$J$38,3,FALSE),0)</f>
        <v>110</v>
      </c>
      <c r="X1064" s="5">
        <f>IFERROR(VLOOKUP($D1064&amp;$C1064,生产方式定位!$A$2:$E$38,5,FALSE)+VLOOKUP($E1064&amp;$C1064,生产方式定位!$F$3:$J$38,5,FALSE),"错误")</f>
        <v>2073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>11%</v>
      </c>
      <c r="AC1064" s="1">
        <f t="shared" si="261"/>
        <v>88</v>
      </c>
      <c r="AD1064" s="36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20" customHeight="1" x14ac:dyDescent="0.3">
      <c r="A1065" s="18" t="s">
        <v>481</v>
      </c>
      <c r="C1065" s="18">
        <v>1</v>
      </c>
      <c r="D1065" s="21" t="s">
        <v>222</v>
      </c>
      <c r="E1065" s="21" t="s">
        <v>225</v>
      </c>
      <c r="L1065" s="18">
        <f>IFERROR(VLOOKUP($D1065&amp;$C1065,生产方式定位!$A$2:$E$38,2,FALSE)+VLOOKUP($E1065&amp;$C1065,生产方式定位!$F$3:$J$38,2,FALSE),0)</f>
        <v>600</v>
      </c>
      <c r="S1065" s="18">
        <f>IFERROR(VLOOKUP($D1065&amp;$C1065,生产方式定位!$A$2:$E$38,3,FALSE)+VLOOKUP($E1065&amp;$C1065,生产方式定位!$F$3:$J$38,3,FALSE),0)</f>
        <v>150</v>
      </c>
      <c r="X1065" s="18">
        <f>IFERROR(VLOOKUP($D1065&amp;$C1065,生产方式定位!$A$2:$E$38,5,FALSE)+VLOOKUP($E1065&amp;$C1065,生产方式定位!$F$3:$J$38,5,FALSE),"错误")</f>
        <v>788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>31%</v>
      </c>
      <c r="AC1065" s="1">
        <f t="shared" si="261"/>
        <v>38</v>
      </c>
      <c r="AD1065" s="36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20" customHeight="1" x14ac:dyDescent="0.3">
      <c r="A1066" s="18" t="s">
        <v>481</v>
      </c>
      <c r="C1066" s="18">
        <v>2</v>
      </c>
      <c r="D1066" s="21" t="s">
        <v>222</v>
      </c>
      <c r="E1066" s="21" t="s">
        <v>225</v>
      </c>
      <c r="L1066" s="18">
        <f>IFERROR(VLOOKUP($D1066&amp;$C1066,生产方式定位!$A$2:$E$38,2,FALSE)+VLOOKUP($E1066&amp;$C1066,生产方式定位!$F$3:$J$38,2,FALSE),0)</f>
        <v>1450</v>
      </c>
      <c r="S1066" s="18">
        <f>IFERROR(VLOOKUP($D1066&amp;$C1066,生产方式定位!$A$2:$E$38,3,FALSE)+VLOOKUP($E1066&amp;$C1066,生产方式定位!$F$3:$J$38,3,FALSE),0)</f>
        <v>180</v>
      </c>
      <c r="X1066" s="18">
        <f>IFERROR(VLOOKUP($D1066&amp;$C1066,生产方式定位!$A$2:$E$38,5,FALSE)+VLOOKUP($E1066&amp;$C1066,生产方式定位!$F$3:$J$38,5,FALSE),"错误")</f>
        <v>1472</v>
      </c>
      <c r="Y1066" s="24" t="str">
        <f t="shared" si="258"/>
        <v/>
      </c>
      <c r="Z1066" s="34" t="str">
        <f t="shared" si="259"/>
        <v/>
      </c>
      <c r="AA1066" s="34" t="str">
        <f t="shared" si="256"/>
        <v/>
      </c>
      <c r="AB1066" s="25" t="str">
        <f t="shared" si="260"/>
        <v>2%</v>
      </c>
      <c r="AC1066" s="1">
        <f t="shared" si="261"/>
        <v>-158</v>
      </c>
      <c r="AD1066" s="36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20" customHeight="1" x14ac:dyDescent="0.3">
      <c r="A1067" s="18" t="s">
        <v>481</v>
      </c>
      <c r="C1067" s="18">
        <v>3</v>
      </c>
      <c r="D1067" s="21" t="s">
        <v>222</v>
      </c>
      <c r="E1067" s="21" t="s">
        <v>225</v>
      </c>
      <c r="L1067" s="18">
        <f>IFERROR(VLOOKUP($D1067&amp;$C1067,生产方式定位!$A$2:$E$38,2,FALSE)+VLOOKUP($E1067&amp;$C1067,生产方式定位!$F$3:$J$38,2,FALSE),0)</f>
        <v>1800</v>
      </c>
      <c r="S1067" s="18">
        <f>IFERROR(VLOOKUP($D1067&amp;$C1067,生产方式定位!$A$2:$E$38,3,FALSE)+VLOOKUP($E1067&amp;$C1067,生产方式定位!$F$3:$J$38,3,FALSE),0)</f>
        <v>190</v>
      </c>
      <c r="X1067" s="18">
        <f>IFERROR(VLOOKUP($D1067&amp;$C1067,生产方式定位!$A$2:$E$38,5,FALSE)+VLOOKUP($E1067&amp;$C1067,生产方式定位!$F$3:$J$38,5,FALSE),"错误")</f>
        <v>1831</v>
      </c>
      <c r="Y1067" s="24" t="str">
        <f t="shared" si="258"/>
        <v/>
      </c>
      <c r="Z1067" s="34" t="str">
        <f t="shared" si="259"/>
        <v/>
      </c>
      <c r="AA1067" s="34" t="str">
        <f t="shared" si="256"/>
        <v/>
      </c>
      <c r="AB1067" s="25" t="str">
        <f t="shared" si="260"/>
        <v>2%</v>
      </c>
      <c r="AC1067" s="1">
        <f t="shared" si="261"/>
        <v>-159</v>
      </c>
      <c r="AD1067" s="36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20" customHeight="1" x14ac:dyDescent="0.3">
      <c r="A1068" s="18" t="s">
        <v>481</v>
      </c>
      <c r="C1068" s="18">
        <v>4</v>
      </c>
      <c r="D1068" s="21" t="s">
        <v>222</v>
      </c>
      <c r="E1068" s="21" t="s">
        <v>225</v>
      </c>
      <c r="L1068" s="18">
        <f>IFERROR(VLOOKUP($D1068&amp;$C1068,生产方式定位!$A$2:$E$38,2,FALSE)+VLOOKUP($E1068&amp;$C1068,生产方式定位!$F$3:$J$38,2,FALSE),0)</f>
        <v>2150</v>
      </c>
      <c r="S1068" s="18">
        <f>IFERROR(VLOOKUP($D1068&amp;$C1068,生产方式定位!$A$2:$E$38,3,FALSE)+VLOOKUP($E1068&amp;$C1068,生产方式定位!$F$3:$J$38,3,FALSE),0)</f>
        <v>200</v>
      </c>
      <c r="X1068" s="18">
        <f>IFERROR(VLOOKUP($D1068&amp;$C1068,生产方式定位!$A$2:$E$38,5,FALSE)+VLOOKUP($E1068&amp;$C1068,生产方式定位!$F$3:$J$38,5,FALSE),"错误")</f>
        <v>2217</v>
      </c>
      <c r="Y1068" s="24" t="str">
        <f t="shared" si="258"/>
        <v/>
      </c>
      <c r="Z1068" s="34" t="str">
        <f t="shared" si="259"/>
        <v/>
      </c>
      <c r="AA1068" s="34" t="str">
        <f t="shared" si="256"/>
        <v/>
      </c>
      <c r="AB1068" s="25" t="str">
        <f t="shared" si="260"/>
        <v>3%</v>
      </c>
      <c r="AC1068" s="1">
        <f t="shared" si="261"/>
        <v>-133</v>
      </c>
      <c r="AD1068" s="36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spans="1:49" ht="20" customHeight="1" x14ac:dyDescent="0.3">
      <c r="A1069" s="18" t="s">
        <v>481</v>
      </c>
      <c r="C1069" s="18">
        <v>5</v>
      </c>
      <c r="D1069" s="21" t="s">
        <v>222</v>
      </c>
      <c r="E1069" s="21" t="s">
        <v>225</v>
      </c>
      <c r="L1069" s="18">
        <f>IFERROR(VLOOKUP($D1069&amp;$C1069,生产方式定位!$A$2:$E$38,2,FALSE)+VLOOKUP($E1069&amp;$C1069,生产方式定位!$F$3:$J$38,2,FALSE),0)</f>
        <v>2500</v>
      </c>
      <c r="S1069" s="18">
        <f>IFERROR(VLOOKUP($D1069&amp;$C1069,生产方式定位!$A$2:$E$38,3,FALSE)+VLOOKUP($E1069&amp;$C1069,生产方式定位!$F$3:$J$38,3,FALSE),0)</f>
        <v>210</v>
      </c>
      <c r="X1069" s="18">
        <f>IFERROR(VLOOKUP($D1069&amp;$C1069,生产方式定位!$A$2:$E$38,5,FALSE)+VLOOKUP($E1069&amp;$C1069,生产方式定位!$F$3:$J$38,5,FALSE),"错误")</f>
        <v>2870</v>
      </c>
      <c r="Y1069" s="24" t="str">
        <f t="shared" si="258"/>
        <v/>
      </c>
      <c r="Z1069" s="34" t="str">
        <f t="shared" si="259"/>
        <v/>
      </c>
      <c r="AA1069" s="34" t="str">
        <f t="shared" si="256"/>
        <v/>
      </c>
      <c r="AB1069" s="25" t="str">
        <f t="shared" si="260"/>
        <v>15%</v>
      </c>
      <c r="AC1069" s="1">
        <f t="shared" si="261"/>
        <v>160</v>
      </c>
      <c r="AD1069" s="36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spans="1:49" ht="20" customHeight="1" x14ac:dyDescent="0.3">
      <c r="A1070" s="5" t="s">
        <v>481</v>
      </c>
      <c r="C1070" s="5">
        <v>1</v>
      </c>
      <c r="D1070" s="21" t="s">
        <v>222</v>
      </c>
      <c r="E1070" s="21" t="s">
        <v>225</v>
      </c>
      <c r="L1070" s="5">
        <f>IFERROR(VLOOKUP($D1070&amp;$C1070,生产方式定位!$A$2:$E$38,2,FALSE)+VLOOKUP($E1070&amp;$C1070,生产方式定位!$F$3:$J$38,2,FALSE),0)</f>
        <v>600</v>
      </c>
      <c r="S1070" s="5">
        <f>IFERROR(VLOOKUP($D1070&amp;$C1070,生产方式定位!$A$2:$E$38,3,FALSE)+VLOOKUP($E1070&amp;$C1070,生产方式定位!$F$3:$J$38,3,FALSE),0)</f>
        <v>150</v>
      </c>
      <c r="X1070" s="5">
        <f>IFERROR(VLOOKUP($D1070&amp;$C1070,生产方式定位!$A$2:$E$38,5,FALSE)+VLOOKUP($E1070&amp;$C1070,生产方式定位!$F$3:$J$38,5,FALSE),"错误")</f>
        <v>788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>31%</v>
      </c>
      <c r="AC1070" s="1">
        <f t="shared" si="261"/>
        <v>38</v>
      </c>
      <c r="AD1070" s="35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20" customHeight="1" x14ac:dyDescent="0.3">
      <c r="A1071" s="5" t="s">
        <v>481</v>
      </c>
      <c r="C1071" s="5">
        <v>2</v>
      </c>
      <c r="D1071" s="21" t="s">
        <v>222</v>
      </c>
      <c r="E1071" s="21" t="s">
        <v>225</v>
      </c>
      <c r="L1071" s="5">
        <f>IFERROR(VLOOKUP($D1071&amp;$C1071,生产方式定位!$A$2:$E$38,2,FALSE)+VLOOKUP($E1071&amp;$C1071,生产方式定位!$F$3:$J$38,2,FALSE),0)</f>
        <v>1450</v>
      </c>
      <c r="S1071" s="5">
        <f>IFERROR(VLOOKUP($D1071&amp;$C1071,生产方式定位!$A$2:$E$38,3,FALSE)+VLOOKUP($E1071&amp;$C1071,生产方式定位!$F$3:$J$38,3,FALSE),0)</f>
        <v>180</v>
      </c>
      <c r="X1071" s="5">
        <f>IFERROR(VLOOKUP($D1071&amp;$C1071,生产方式定位!$A$2:$E$38,5,FALSE)+VLOOKUP($E1071&amp;$C1071,生产方式定位!$F$3:$J$38,5,FALSE),"错误")</f>
        <v>1472</v>
      </c>
      <c r="Y1071" s="24" t="str">
        <f t="shared" si="258"/>
        <v/>
      </c>
      <c r="Z1071" s="34" t="str">
        <f t="shared" si="259"/>
        <v/>
      </c>
      <c r="AA1071" s="34" t="str">
        <f t="shared" si="256"/>
        <v/>
      </c>
      <c r="AB1071" s="25" t="str">
        <f t="shared" si="260"/>
        <v>2%</v>
      </c>
      <c r="AC1071" s="1">
        <f t="shared" si="261"/>
        <v>-158</v>
      </c>
      <c r="AD1071" s="35">
        <f t="shared" si="257"/>
        <v>2</v>
      </c>
      <c r="AE1071" t="str">
        <f t="shared" si="262"/>
        <v/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 t="str">
        <f>IFERROR(ROUND(L1071*(G1071/$AU1071)/VLOOKUP(F1071,商品!$A$4:$C$60,3,FALSE),0),"")</f>
        <v/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0</v>
      </c>
      <c r="AV1071">
        <f t="shared" si="270"/>
        <v>0</v>
      </c>
      <c r="AW1071">
        <f t="shared" si="271"/>
        <v>0</v>
      </c>
    </row>
    <row r="1072" spans="1:49" ht="20" customHeight="1" x14ac:dyDescent="0.3">
      <c r="A1072" s="5" t="s">
        <v>481</v>
      </c>
      <c r="C1072" s="5">
        <v>3</v>
      </c>
      <c r="D1072" s="21" t="s">
        <v>222</v>
      </c>
      <c r="E1072" s="21" t="s">
        <v>225</v>
      </c>
      <c r="L1072" s="5">
        <f>IFERROR(VLOOKUP($D1072&amp;$C1072,生产方式定位!$A$2:$E$38,2,FALSE)+VLOOKUP($E1072&amp;$C1072,生产方式定位!$F$3:$J$38,2,FALSE),0)</f>
        <v>1800</v>
      </c>
      <c r="S1072" s="5">
        <f>IFERROR(VLOOKUP($D1072&amp;$C1072,生产方式定位!$A$2:$E$38,3,FALSE)+VLOOKUP($E1072&amp;$C1072,生产方式定位!$F$3:$J$38,3,FALSE),0)</f>
        <v>190</v>
      </c>
      <c r="X1072" s="5">
        <f>IFERROR(VLOOKUP($D1072&amp;$C1072,生产方式定位!$A$2:$E$38,5,FALSE)+VLOOKUP($E1072&amp;$C1072,生产方式定位!$F$3:$J$38,5,FALSE),"错误")</f>
        <v>1831</v>
      </c>
      <c r="Y1072" s="24" t="str">
        <f t="shared" si="258"/>
        <v/>
      </c>
      <c r="Z1072" s="34" t="str">
        <f t="shared" si="259"/>
        <v/>
      </c>
      <c r="AA1072" s="34" t="str">
        <f t="shared" si="256"/>
        <v/>
      </c>
      <c r="AB1072" s="25" t="str">
        <f t="shared" si="260"/>
        <v>2%</v>
      </c>
      <c r="AC1072" s="1">
        <f t="shared" si="261"/>
        <v>-159</v>
      </c>
      <c r="AD1072" s="35">
        <f t="shared" si="257"/>
        <v>3</v>
      </c>
      <c r="AE1072" t="str">
        <f t="shared" si="262"/>
        <v/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 t="str">
        <f>IFERROR(ROUND(L1072*(G1072/$AU1072)/VLOOKUP(F1072,商品!$A$4:$C$60,3,FALSE),0),"")</f>
        <v/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0</v>
      </c>
      <c r="AV1072">
        <f t="shared" si="270"/>
        <v>0</v>
      </c>
      <c r="AW1072">
        <f t="shared" si="271"/>
        <v>0</v>
      </c>
    </row>
    <row r="1073" spans="1:49" ht="20" customHeight="1" x14ac:dyDescent="0.3">
      <c r="A1073" s="5" t="s">
        <v>481</v>
      </c>
      <c r="C1073" s="5">
        <v>4</v>
      </c>
      <c r="D1073" s="21" t="s">
        <v>222</v>
      </c>
      <c r="E1073" s="21" t="s">
        <v>225</v>
      </c>
      <c r="L1073" s="5">
        <f>IFERROR(VLOOKUP($D1073&amp;$C1073,生产方式定位!$A$2:$E$38,2,FALSE)+VLOOKUP($E1073&amp;$C1073,生产方式定位!$F$3:$J$38,2,FALSE),0)</f>
        <v>2150</v>
      </c>
      <c r="S1073" s="5">
        <f>IFERROR(VLOOKUP($D1073&amp;$C1073,生产方式定位!$A$2:$E$38,3,FALSE)+VLOOKUP($E1073&amp;$C1073,生产方式定位!$F$3:$J$38,3,FALSE),0)</f>
        <v>200</v>
      </c>
      <c r="X1073" s="5">
        <f>IFERROR(VLOOKUP($D1073&amp;$C1073,生产方式定位!$A$2:$E$38,5,FALSE)+VLOOKUP($E1073&amp;$C1073,生产方式定位!$F$3:$J$38,5,FALSE),"错误")</f>
        <v>2217</v>
      </c>
      <c r="Y1073" s="24" t="str">
        <f t="shared" si="258"/>
        <v/>
      </c>
      <c r="Z1073" s="34" t="str">
        <f t="shared" si="259"/>
        <v/>
      </c>
      <c r="AA1073" s="34" t="str">
        <f t="shared" si="256"/>
        <v/>
      </c>
      <c r="AB1073" s="25" t="str">
        <f t="shared" si="260"/>
        <v>3%</v>
      </c>
      <c r="AC1073" s="1">
        <f t="shared" si="261"/>
        <v>-133</v>
      </c>
      <c r="AD1073" s="35">
        <f t="shared" si="257"/>
        <v>4</v>
      </c>
      <c r="AE1073" t="str">
        <f t="shared" si="262"/>
        <v/>
      </c>
      <c r="AF1073" t="str">
        <f t="shared" si="263"/>
        <v/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 t="str">
        <f>IFERROR(ROUND(L1073*(G1073/$AU1073)/VLOOKUP(F1073,商品!$A$4:$C$60,3,FALSE),0),"")</f>
        <v/>
      </c>
      <c r="AM1073" t="str">
        <f>IFERROR(ROUND(L1073*(I1073/$AU1073)/VLOOKUP(H1073,商品!$A$4:$C$60,3,FALSE),0),"")</f>
        <v/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0</v>
      </c>
      <c r="AV1073">
        <f t="shared" si="270"/>
        <v>0</v>
      </c>
      <c r="AW1073">
        <f t="shared" si="271"/>
        <v>0</v>
      </c>
    </row>
    <row r="1074" spans="1:49" ht="20" customHeight="1" x14ac:dyDescent="0.3">
      <c r="A1074" s="5" t="s">
        <v>481</v>
      </c>
      <c r="C1074" s="5">
        <v>5</v>
      </c>
      <c r="D1074" s="21" t="s">
        <v>222</v>
      </c>
      <c r="E1074" s="21" t="s">
        <v>225</v>
      </c>
      <c r="L1074" s="5">
        <f>IFERROR(VLOOKUP($D1074&amp;$C1074,生产方式定位!$A$2:$E$38,2,FALSE)+VLOOKUP($E1074&amp;$C1074,生产方式定位!$F$3:$J$38,2,FALSE),0)</f>
        <v>2500</v>
      </c>
      <c r="S1074" s="5">
        <f>IFERROR(VLOOKUP($D1074&amp;$C1074,生产方式定位!$A$2:$E$38,3,FALSE)+VLOOKUP($E1074&amp;$C1074,生产方式定位!$F$3:$J$38,3,FALSE),0)</f>
        <v>210</v>
      </c>
      <c r="X1074" s="5">
        <f>IFERROR(VLOOKUP($D1074&amp;$C1074,生产方式定位!$A$2:$E$38,5,FALSE)+VLOOKUP($E1074&amp;$C1074,生产方式定位!$F$3:$J$38,5,FALSE),"错误")</f>
        <v>2870</v>
      </c>
      <c r="Y1074" s="24" t="str">
        <f t="shared" si="258"/>
        <v/>
      </c>
      <c r="Z1074" s="34" t="str">
        <f t="shared" si="259"/>
        <v/>
      </c>
      <c r="AA1074" s="34" t="str">
        <f t="shared" si="256"/>
        <v/>
      </c>
      <c r="AB1074" s="25" t="str">
        <f t="shared" si="260"/>
        <v>15%</v>
      </c>
      <c r="AC1074" s="1">
        <f t="shared" si="261"/>
        <v>160</v>
      </c>
      <c r="AD1074" s="35">
        <f t="shared" si="257"/>
        <v>5</v>
      </c>
      <c r="AE1074" t="str">
        <f t="shared" si="262"/>
        <v/>
      </c>
      <c r="AF1074" t="str">
        <f t="shared" si="263"/>
        <v/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 t="str">
        <f>IFERROR(ROUND(L1074*(G1074/$AU1074)/VLOOKUP(F1074,商品!$A$4:$C$60,3,FALSE),0),"")</f>
        <v/>
      </c>
      <c r="AM1074" t="str">
        <f>IFERROR(ROUND(L1074*(I1074/$AU1074)/VLOOKUP(H1074,商品!$A$4:$C$60,3,FALSE),0),"")</f>
        <v/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0</v>
      </c>
      <c r="AV1074">
        <f t="shared" si="270"/>
        <v>0</v>
      </c>
      <c r="AW1074">
        <f t="shared" si="271"/>
        <v>0</v>
      </c>
    </row>
    <row r="1075" spans="1:49" ht="20" customHeight="1" x14ac:dyDescent="0.3">
      <c r="A1075" s="18" t="s">
        <v>482</v>
      </c>
      <c r="C1075" s="18">
        <v>1</v>
      </c>
      <c r="D1075" s="21" t="s">
        <v>292</v>
      </c>
      <c r="E1075" s="21" t="s">
        <v>226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/>
      </c>
      <c r="AC1075" s="1" t="str">
        <f t="shared" si="261"/>
        <v/>
      </c>
      <c r="AD1075" s="36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20" customHeight="1" x14ac:dyDescent="0.3">
      <c r="A1076" s="18" t="s">
        <v>482</v>
      </c>
      <c r="C1076" s="18">
        <v>2</v>
      </c>
      <c r="D1076" s="21" t="s">
        <v>292</v>
      </c>
      <c r="E1076" s="21" t="s">
        <v>226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24" t="str">
        <f t="shared" si="258"/>
        <v/>
      </c>
      <c r="Z1076" s="34" t="str">
        <f t="shared" si="259"/>
        <v/>
      </c>
      <c r="AA1076" s="34" t="str">
        <f t="shared" si="256"/>
        <v/>
      </c>
      <c r="AB1076" s="25" t="str">
        <f t="shared" si="260"/>
        <v/>
      </c>
      <c r="AC1076" s="1" t="str">
        <f t="shared" si="261"/>
        <v/>
      </c>
      <c r="AD1076" s="36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spans="1:49" ht="20" customHeight="1" x14ac:dyDescent="0.3">
      <c r="A1077" s="18" t="s">
        <v>482</v>
      </c>
      <c r="C1077" s="18">
        <v>3</v>
      </c>
      <c r="D1077" s="21" t="s">
        <v>292</v>
      </c>
      <c r="E1077" s="21" t="s">
        <v>226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24" t="str">
        <f t="shared" si="258"/>
        <v/>
      </c>
      <c r="Z1077" s="34" t="str">
        <f t="shared" si="259"/>
        <v/>
      </c>
      <c r="AA1077" s="34" t="str">
        <f t="shared" si="256"/>
        <v/>
      </c>
      <c r="AB1077" s="25" t="str">
        <f t="shared" si="260"/>
        <v/>
      </c>
      <c r="AC1077" s="1" t="str">
        <f t="shared" si="261"/>
        <v/>
      </c>
      <c r="AD1077" s="36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spans="1:49" ht="20" customHeight="1" x14ac:dyDescent="0.3">
      <c r="A1078" s="18" t="s">
        <v>482</v>
      </c>
      <c r="C1078" s="18">
        <v>4</v>
      </c>
      <c r="D1078" s="21" t="s">
        <v>292</v>
      </c>
      <c r="E1078" s="21" t="s">
        <v>226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24" t="str">
        <f t="shared" si="258"/>
        <v/>
      </c>
      <c r="Z1078" s="34" t="str">
        <f t="shared" si="259"/>
        <v/>
      </c>
      <c r="AA1078" s="34" t="str">
        <f t="shared" si="256"/>
        <v/>
      </c>
      <c r="AB1078" s="25" t="str">
        <f t="shared" si="260"/>
        <v/>
      </c>
      <c r="AC1078" s="1" t="str">
        <f t="shared" si="261"/>
        <v/>
      </c>
      <c r="AD1078" s="36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spans="1:49" ht="20" customHeight="1" x14ac:dyDescent="0.3">
      <c r="A1079" s="18" t="s">
        <v>482</v>
      </c>
      <c r="C1079" s="18">
        <v>5</v>
      </c>
      <c r="D1079" s="21" t="s">
        <v>292</v>
      </c>
      <c r="E1079" s="21" t="s">
        <v>226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24" t="str">
        <f t="shared" si="258"/>
        <v/>
      </c>
      <c r="Z1079" s="34" t="str">
        <f t="shared" si="259"/>
        <v/>
      </c>
      <c r="AA1079" s="34" t="str">
        <f t="shared" si="256"/>
        <v/>
      </c>
      <c r="AB1079" s="25" t="str">
        <f t="shared" si="260"/>
        <v/>
      </c>
      <c r="AC1079" s="1" t="str">
        <f t="shared" si="261"/>
        <v/>
      </c>
      <c r="AD1079" s="36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spans="1:49" ht="20" customHeight="1" x14ac:dyDescent="0.3">
      <c r="A1080" s="18" t="s">
        <v>482</v>
      </c>
      <c r="C1080" s="18">
        <v>6</v>
      </c>
      <c r="D1080" s="21" t="s">
        <v>292</v>
      </c>
      <c r="E1080" s="21" t="s">
        <v>226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5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20" customHeight="1" x14ac:dyDescent="0.3">
      <c r="A1081" s="18" t="s">
        <v>482</v>
      </c>
      <c r="C1081" s="18">
        <v>7</v>
      </c>
      <c r="D1081" s="21" t="s">
        <v>292</v>
      </c>
      <c r="E1081" s="21" t="s">
        <v>226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5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20" customHeight="1" x14ac:dyDescent="0.3">
      <c r="A1082" s="18" t="s">
        <v>482</v>
      </c>
      <c r="C1082" s="18">
        <v>8</v>
      </c>
      <c r="D1082" s="21" t="s">
        <v>292</v>
      </c>
      <c r="E1082" s="21" t="s">
        <v>226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5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20" customHeight="1" x14ac:dyDescent="0.3">
      <c r="A1083" s="5" t="s">
        <v>484</v>
      </c>
      <c r="C1083" s="5">
        <v>1</v>
      </c>
      <c r="D1083" s="21" t="s">
        <v>222</v>
      </c>
      <c r="E1083" s="21" t="s">
        <v>224</v>
      </c>
      <c r="L1083" s="5">
        <f>IFERROR(VLOOKUP($D1083&amp;$C1083,生产方式定位!$A$2:$E$38,2,FALSE)+VLOOKUP($E1083&amp;$C1083,生产方式定位!$F$3:$J$38,2,FALSE),0)</f>
        <v>600</v>
      </c>
      <c r="S1083" s="5">
        <f>IFERROR(VLOOKUP($D1083&amp;$C1083,生产方式定位!$A$2:$E$38,3,FALSE)+VLOOKUP($E1083&amp;$C1083,生产方式定位!$F$3:$J$38,3,FALSE),0)</f>
        <v>150</v>
      </c>
      <c r="X1083" s="5">
        <f>IFERROR(VLOOKUP($D1083&amp;$C1083,生产方式定位!$A$2:$E$38,5,FALSE)+VLOOKUP($E1083&amp;$C1083,生产方式定位!$F$3:$J$38,5,FALSE),"错误")</f>
        <v>788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>31%</v>
      </c>
      <c r="AC1083" s="1">
        <f t="shared" si="261"/>
        <v>38</v>
      </c>
      <c r="AD1083" s="35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20" customHeight="1" x14ac:dyDescent="0.3">
      <c r="A1084" s="5" t="s">
        <v>484</v>
      </c>
      <c r="C1084" s="5">
        <v>2</v>
      </c>
      <c r="D1084" s="21" t="s">
        <v>222</v>
      </c>
      <c r="E1084" s="21" t="s">
        <v>224</v>
      </c>
      <c r="L1084" s="5">
        <f>IFERROR(VLOOKUP($D1084&amp;$C1084,生产方式定位!$A$2:$E$38,2,FALSE)+VLOOKUP($E1084&amp;$C1084,生产方式定位!$F$3:$J$38,2,FALSE),0)</f>
        <v>1200</v>
      </c>
      <c r="S1084" s="5">
        <f>IFERROR(VLOOKUP($D1084&amp;$C1084,生产方式定位!$A$2:$E$38,3,FALSE)+VLOOKUP($E1084&amp;$C1084,生产方式定位!$F$3:$J$38,3,FALSE),0)</f>
        <v>140</v>
      </c>
      <c r="X1084" s="5">
        <f>IFERROR(VLOOKUP($D1084&amp;$C1084,生产方式定位!$A$2:$E$38,5,FALSE)+VLOOKUP($E1084&amp;$C1084,生产方式定位!$F$3:$J$38,5,FALSE),"错误")</f>
        <v>1390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>16%</v>
      </c>
      <c r="AC1084" s="1">
        <f t="shared" si="261"/>
        <v>50</v>
      </c>
      <c r="AD1084" s="35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20" customHeight="1" x14ac:dyDescent="0.3">
      <c r="A1085" s="5" t="s">
        <v>484</v>
      </c>
      <c r="C1085" s="5">
        <v>3</v>
      </c>
      <c r="D1085" s="21" t="s">
        <v>222</v>
      </c>
      <c r="E1085" s="21" t="s">
        <v>224</v>
      </c>
      <c r="L1085" s="5">
        <f>IFERROR(VLOOKUP($D1085&amp;$C1085,生产方式定位!$A$2:$E$38,2,FALSE)+VLOOKUP($E1085&amp;$C1085,生产方式定位!$F$3:$J$38,2,FALSE),0)</f>
        <v>1425</v>
      </c>
      <c r="S1085" s="5">
        <f>IFERROR(VLOOKUP($D1085&amp;$C1085,生产方式定位!$A$2:$E$38,3,FALSE)+VLOOKUP($E1085&amp;$C1085,生产方式定位!$F$3:$J$38,3,FALSE),0)</f>
        <v>130</v>
      </c>
      <c r="X1085" s="5">
        <f>IFERROR(VLOOKUP($D1085&amp;$C1085,生产方式定位!$A$2:$E$38,5,FALSE)+VLOOKUP($E1085&amp;$C1085,生产方式定位!$F$3:$J$38,5,FALSE),"错误")</f>
        <v>1618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>14%</v>
      </c>
      <c r="AC1085" s="1">
        <f t="shared" si="261"/>
        <v>63</v>
      </c>
      <c r="AD1085" s="36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20" customHeight="1" x14ac:dyDescent="0.3">
      <c r="A1086" s="5" t="s">
        <v>484</v>
      </c>
      <c r="C1086" s="5">
        <v>4</v>
      </c>
      <c r="D1086" s="21" t="s">
        <v>222</v>
      </c>
      <c r="E1086" s="21" t="s">
        <v>224</v>
      </c>
      <c r="L1086" s="5">
        <f>IFERROR(VLOOKUP($D1086&amp;$C1086,生产方式定位!$A$2:$E$38,2,FALSE)+VLOOKUP($E1086&amp;$C1086,生产方式定位!$F$3:$J$38,2,FALSE),0)</f>
        <v>1650</v>
      </c>
      <c r="S1086" s="5">
        <f>IFERROR(VLOOKUP($D1086&amp;$C1086,生产方式定位!$A$2:$E$38,3,FALSE)+VLOOKUP($E1086&amp;$C1086,生产方式定位!$F$3:$J$38,3,FALSE),0)</f>
        <v>120</v>
      </c>
      <c r="X1086" s="5">
        <f>IFERROR(VLOOKUP($D1086&amp;$C1086,生产方式定位!$A$2:$E$38,5,FALSE)+VLOOKUP($E1086&amp;$C1086,生产方式定位!$F$3:$J$38,5,FALSE),"错误")</f>
        <v>1845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>12%</v>
      </c>
      <c r="AC1086" s="1">
        <f t="shared" si="261"/>
        <v>75</v>
      </c>
      <c r="AD1086" s="36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20" customHeight="1" x14ac:dyDescent="0.3">
      <c r="A1087" s="5" t="s">
        <v>484</v>
      </c>
      <c r="C1087" s="5">
        <v>5</v>
      </c>
      <c r="D1087" s="21" t="s">
        <v>222</v>
      </c>
      <c r="E1087" s="21" t="s">
        <v>224</v>
      </c>
      <c r="L1087" s="5">
        <f>IFERROR(VLOOKUP($D1087&amp;$C1087,生产方式定位!$A$2:$E$38,2,FALSE)+VLOOKUP($E1087&amp;$C1087,生产方式定位!$F$3:$J$38,2,FALSE),0)</f>
        <v>1875</v>
      </c>
      <c r="S1087" s="5">
        <f>IFERROR(VLOOKUP($D1087&amp;$C1087,生产方式定位!$A$2:$E$38,3,FALSE)+VLOOKUP($E1087&amp;$C1087,生产方式定位!$F$3:$J$38,3,FALSE),0)</f>
        <v>110</v>
      </c>
      <c r="X1087" s="5">
        <f>IFERROR(VLOOKUP($D1087&amp;$C1087,生产方式定位!$A$2:$E$38,5,FALSE)+VLOOKUP($E1087&amp;$C1087,生产方式定位!$F$3:$J$38,5,FALSE),"错误")</f>
        <v>2073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>11%</v>
      </c>
      <c r="AC1087" s="1">
        <f t="shared" si="261"/>
        <v>88</v>
      </c>
      <c r="AD1087" s="36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20" customHeight="1" x14ac:dyDescent="0.3">
      <c r="A1088" s="18" t="s">
        <v>485</v>
      </c>
      <c r="C1088" s="18">
        <v>1</v>
      </c>
      <c r="D1088" s="21" t="s">
        <v>222</v>
      </c>
      <c r="E1088" s="21" t="s">
        <v>225</v>
      </c>
      <c r="L1088" s="18">
        <f>IFERROR(VLOOKUP($D1088&amp;$C1088,生产方式定位!$A$2:$E$38,2,FALSE)+VLOOKUP($E1088&amp;$C1088,生产方式定位!$F$3:$J$38,2,FALSE),0)</f>
        <v>600</v>
      </c>
      <c r="S1088" s="18">
        <f>IFERROR(VLOOKUP($D1088&amp;$C1088,生产方式定位!$A$2:$E$38,3,FALSE)+VLOOKUP($E1088&amp;$C1088,生产方式定位!$F$3:$J$38,3,FALSE),0)</f>
        <v>150</v>
      </c>
      <c r="X1088" s="18">
        <f>IFERROR(VLOOKUP($D1088&amp;$C1088,生产方式定位!$A$2:$E$38,5,FALSE)+VLOOKUP($E1088&amp;$C1088,生产方式定位!$F$3:$J$38,5,FALSE),"错误")</f>
        <v>788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>31%</v>
      </c>
      <c r="AC1088" s="1">
        <f t="shared" si="261"/>
        <v>38</v>
      </c>
      <c r="AD1088" s="36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20" customHeight="1" x14ac:dyDescent="0.3">
      <c r="A1089" s="18" t="s">
        <v>485</v>
      </c>
      <c r="C1089" s="18">
        <v>2</v>
      </c>
      <c r="D1089" s="21" t="s">
        <v>222</v>
      </c>
      <c r="E1089" s="21" t="s">
        <v>225</v>
      </c>
      <c r="L1089" s="18">
        <f>IFERROR(VLOOKUP($D1089&amp;$C1089,生产方式定位!$A$2:$E$38,2,FALSE)+VLOOKUP($E1089&amp;$C1089,生产方式定位!$F$3:$J$38,2,FALSE),0)</f>
        <v>1450</v>
      </c>
      <c r="S1089" s="18">
        <f>IFERROR(VLOOKUP($D1089&amp;$C1089,生产方式定位!$A$2:$E$38,3,FALSE)+VLOOKUP($E1089&amp;$C1089,生产方式定位!$F$3:$J$38,3,FALSE),0)</f>
        <v>180</v>
      </c>
      <c r="X1089" s="18">
        <f>IFERROR(VLOOKUP($D1089&amp;$C1089,生产方式定位!$A$2:$E$38,5,FALSE)+VLOOKUP($E1089&amp;$C1089,生产方式定位!$F$3:$J$38,5,FALSE),"错误")</f>
        <v>1472</v>
      </c>
      <c r="Y1089" s="24" t="str">
        <f t="shared" si="258"/>
        <v/>
      </c>
      <c r="Z1089" s="34" t="str">
        <f t="shared" si="259"/>
        <v/>
      </c>
      <c r="AA1089" s="34" t="str">
        <f t="shared" si="256"/>
        <v/>
      </c>
      <c r="AB1089" s="25" t="str">
        <f t="shared" si="260"/>
        <v>2%</v>
      </c>
      <c r="AC1089" s="1">
        <f t="shared" si="261"/>
        <v>-158</v>
      </c>
      <c r="AD1089" s="36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spans="1:49" ht="20" customHeight="1" x14ac:dyDescent="0.3">
      <c r="A1090" s="18" t="s">
        <v>485</v>
      </c>
      <c r="C1090" s="18">
        <v>3</v>
      </c>
      <c r="D1090" s="21" t="s">
        <v>222</v>
      </c>
      <c r="E1090" s="21" t="s">
        <v>225</v>
      </c>
      <c r="L1090" s="18">
        <f>IFERROR(VLOOKUP($D1090&amp;$C1090,生产方式定位!$A$2:$E$38,2,FALSE)+VLOOKUP($E1090&amp;$C1090,生产方式定位!$F$3:$J$38,2,FALSE),0)</f>
        <v>1800</v>
      </c>
      <c r="S1090" s="18">
        <f>IFERROR(VLOOKUP($D1090&amp;$C1090,生产方式定位!$A$2:$E$38,3,FALSE)+VLOOKUP($E1090&amp;$C1090,生产方式定位!$F$3:$J$38,3,FALSE),0)</f>
        <v>190</v>
      </c>
      <c r="X1090" s="18">
        <f>IFERROR(VLOOKUP($D1090&amp;$C1090,生产方式定位!$A$2:$E$38,5,FALSE)+VLOOKUP($E1090&amp;$C1090,生产方式定位!$F$3:$J$38,5,FALSE),"错误")</f>
        <v>1831</v>
      </c>
      <c r="Y1090" s="24" t="str">
        <f t="shared" si="258"/>
        <v/>
      </c>
      <c r="Z1090" s="34" t="str">
        <f t="shared" si="259"/>
        <v/>
      </c>
      <c r="AA1090" s="34" t="str">
        <f t="shared" si="256"/>
        <v/>
      </c>
      <c r="AB1090" s="25" t="str">
        <f t="shared" si="260"/>
        <v>2%</v>
      </c>
      <c r="AC1090" s="1">
        <f t="shared" si="261"/>
        <v>-159</v>
      </c>
      <c r="AD1090" s="36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spans="1:49" ht="20" customHeight="1" x14ac:dyDescent="0.3">
      <c r="A1091" s="18" t="s">
        <v>485</v>
      </c>
      <c r="C1091" s="18">
        <v>4</v>
      </c>
      <c r="D1091" s="21" t="s">
        <v>222</v>
      </c>
      <c r="E1091" s="21" t="s">
        <v>225</v>
      </c>
      <c r="L1091" s="18">
        <f>IFERROR(VLOOKUP($D1091&amp;$C1091,生产方式定位!$A$2:$E$38,2,FALSE)+VLOOKUP($E1091&amp;$C1091,生产方式定位!$F$3:$J$38,2,FALSE),0)</f>
        <v>2150</v>
      </c>
      <c r="S1091" s="18">
        <f>IFERROR(VLOOKUP($D1091&amp;$C1091,生产方式定位!$A$2:$E$38,3,FALSE)+VLOOKUP($E1091&amp;$C1091,生产方式定位!$F$3:$J$38,3,FALSE),0)</f>
        <v>200</v>
      </c>
      <c r="X1091" s="18">
        <f>IFERROR(VLOOKUP($D1091&amp;$C1091,生产方式定位!$A$2:$E$38,5,FALSE)+VLOOKUP($E1091&amp;$C1091,生产方式定位!$F$3:$J$38,5,FALSE),"错误")</f>
        <v>2217</v>
      </c>
      <c r="Y1091" s="24" t="str">
        <f t="shared" si="258"/>
        <v/>
      </c>
      <c r="Z1091" s="34" t="str">
        <f t="shared" si="259"/>
        <v/>
      </c>
      <c r="AA1091" s="34" t="str">
        <f t="shared" si="256"/>
        <v/>
      </c>
      <c r="AB1091" s="25" t="str">
        <f t="shared" si="260"/>
        <v>3%</v>
      </c>
      <c r="AC1091" s="1">
        <f t="shared" si="261"/>
        <v>-133</v>
      </c>
      <c r="AD1091" s="36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spans="1:49" ht="20" customHeight="1" x14ac:dyDescent="0.3">
      <c r="A1092" s="18" t="s">
        <v>485</v>
      </c>
      <c r="C1092" s="18">
        <v>5</v>
      </c>
      <c r="D1092" s="21" t="s">
        <v>222</v>
      </c>
      <c r="E1092" s="21" t="s">
        <v>225</v>
      </c>
      <c r="L1092" s="18">
        <f>IFERROR(VLOOKUP($D1092&amp;$C1092,生产方式定位!$A$2:$E$38,2,FALSE)+VLOOKUP($E1092&amp;$C1092,生产方式定位!$F$3:$J$38,2,FALSE),0)</f>
        <v>2500</v>
      </c>
      <c r="S1092" s="18">
        <f>IFERROR(VLOOKUP($D1092&amp;$C1092,生产方式定位!$A$2:$E$38,3,FALSE)+VLOOKUP($E1092&amp;$C1092,生产方式定位!$F$3:$J$38,3,FALSE),0)</f>
        <v>210</v>
      </c>
      <c r="X1092" s="18">
        <f>IFERROR(VLOOKUP($D1092&amp;$C1092,生产方式定位!$A$2:$E$38,5,FALSE)+VLOOKUP($E1092&amp;$C1092,生产方式定位!$F$3:$J$38,5,FALSE),"错误")</f>
        <v>2870</v>
      </c>
      <c r="Y1092" s="24" t="str">
        <f t="shared" si="258"/>
        <v/>
      </c>
      <c r="Z1092" s="34" t="str">
        <f t="shared" si="259"/>
        <v/>
      </c>
      <c r="AA1092" s="34" t="str">
        <f t="shared" si="256"/>
        <v/>
      </c>
      <c r="AB1092" s="25" t="str">
        <f t="shared" si="260"/>
        <v>15%</v>
      </c>
      <c r="AC1092" s="1">
        <f t="shared" si="261"/>
        <v>160</v>
      </c>
      <c r="AD1092" s="36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spans="1:49" ht="20" customHeight="1" x14ac:dyDescent="0.3">
      <c r="A1093" s="5" t="s">
        <v>485</v>
      </c>
      <c r="C1093" s="5">
        <v>1</v>
      </c>
      <c r="D1093" s="21" t="s">
        <v>222</v>
      </c>
      <c r="E1093" s="21" t="s">
        <v>225</v>
      </c>
      <c r="L1093" s="5">
        <f>IFERROR(VLOOKUP($D1093&amp;$C1093,生产方式定位!$A$2:$E$38,2,FALSE)+VLOOKUP($E1093&amp;$C1093,生产方式定位!$F$3:$J$38,2,FALSE),0)</f>
        <v>600</v>
      </c>
      <c r="S1093" s="5">
        <f>IFERROR(VLOOKUP($D1093&amp;$C1093,生产方式定位!$A$2:$E$38,3,FALSE)+VLOOKUP($E1093&amp;$C1093,生产方式定位!$F$3:$J$38,3,FALSE),0)</f>
        <v>150</v>
      </c>
      <c r="X1093" s="5">
        <f>IFERROR(VLOOKUP($D1093&amp;$C1093,生产方式定位!$A$2:$E$38,5,FALSE)+VLOOKUP($E1093&amp;$C1093,生产方式定位!$F$3:$J$38,5,FALSE),"错误")</f>
        <v>788</v>
      </c>
      <c r="Y1093" s="24" t="str">
        <f t="shared" si="258"/>
        <v/>
      </c>
      <c r="Z1093" s="34" t="str">
        <f t="shared" si="259"/>
        <v/>
      </c>
      <c r="AA1093" s="34" t="str">
        <f t="shared" ref="AA1093:AA1156" si="272">IF(AJ1093="","",AJ1093)&amp;IF(AK1093="","",","&amp;AK1093)</f>
        <v/>
      </c>
      <c r="AB1093" s="25" t="str">
        <f t="shared" si="260"/>
        <v>31%</v>
      </c>
      <c r="AC1093" s="1">
        <f t="shared" si="261"/>
        <v>38</v>
      </c>
      <c r="AD1093" s="35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20" customHeight="1" x14ac:dyDescent="0.3">
      <c r="A1094" s="5" t="s">
        <v>485</v>
      </c>
      <c r="C1094" s="5">
        <v>2</v>
      </c>
      <c r="D1094" s="21" t="s">
        <v>222</v>
      </c>
      <c r="E1094" s="21" t="s">
        <v>225</v>
      </c>
      <c r="L1094" s="5">
        <f>IFERROR(VLOOKUP($D1094&amp;$C1094,生产方式定位!$A$2:$E$38,2,FALSE)+VLOOKUP($E1094&amp;$C1094,生产方式定位!$F$3:$J$38,2,FALSE),0)</f>
        <v>1450</v>
      </c>
      <c r="S1094" s="5">
        <f>IFERROR(VLOOKUP($D1094&amp;$C1094,生产方式定位!$A$2:$E$38,3,FALSE)+VLOOKUP($E1094&amp;$C1094,生产方式定位!$F$3:$J$38,3,FALSE),0)</f>
        <v>180</v>
      </c>
      <c r="X1094" s="5">
        <f>IFERROR(VLOOKUP($D1094&amp;$C1094,生产方式定位!$A$2:$E$38,5,FALSE)+VLOOKUP($E1094&amp;$C1094,生产方式定位!$F$3:$J$38,5,FALSE),"错误")</f>
        <v>1472</v>
      </c>
      <c r="Y1094" s="24" t="str">
        <f t="shared" ref="Y1094:Y1157" si="274">IF(AE1094="","",AE1094)&amp;IF(AF1094="","",","&amp;AF1094)&amp;IF(AN1094=0,"",",运力*"&amp;AN1094)&amp;IF(AO1094=0,"",",交易*"&amp;AO1094)</f>
        <v/>
      </c>
      <c r="Z1094" s="34" t="str">
        <f t="shared" ref="Z1094:Z1157" si="275">IF(AG1094="","",AG1094)&amp;IF(AH1094="","",","&amp;AH1094)&amp;IF(AI1094="","",","&amp;AI1094)</f>
        <v/>
      </c>
      <c r="AA1094" s="34" t="str">
        <f t="shared" si="272"/>
        <v/>
      </c>
      <c r="AB1094" s="25" t="str">
        <f t="shared" ref="AB1094:AB1157" si="276">IFERROR(ROUND(((X1094/L1094)-1)*100,0)&amp;"%","")</f>
        <v>2%</v>
      </c>
      <c r="AC1094" s="1">
        <f t="shared" ref="AC1094:AC1157" si="277">IF(X1094-S1094-L1094=0,"",X1094-S1094-L1094)</f>
        <v>-158</v>
      </c>
      <c r="AD1094" s="35">
        <f t="shared" si="273"/>
        <v>2</v>
      </c>
      <c r="AE1094" t="str">
        <f t="shared" ref="AE1094:AE1157" si="278">IF(AL1094="","",F1094&amp;"*"&amp;AL1094)</f>
        <v/>
      </c>
      <c r="AF1094" t="str">
        <f t="shared" ref="AF1094:AF1157" si="279">IF(AM1094="","",H1094&amp;"*"&amp;AM1094)</f>
        <v/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 t="str">
        <f>IFERROR(ROUND(L1094*(G1094/$AU1094)/VLOOKUP(F1094,商品!$A$4:$C$60,3,FALSE),0),"")</f>
        <v/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0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spans="1:49" ht="20" customHeight="1" x14ac:dyDescent="0.3">
      <c r="A1095" s="5" t="s">
        <v>485</v>
      </c>
      <c r="C1095" s="5">
        <v>3</v>
      </c>
      <c r="D1095" s="21" t="s">
        <v>222</v>
      </c>
      <c r="E1095" s="21" t="s">
        <v>225</v>
      </c>
      <c r="L1095" s="5">
        <f>IFERROR(VLOOKUP($D1095&amp;$C1095,生产方式定位!$A$2:$E$38,2,FALSE)+VLOOKUP($E1095&amp;$C1095,生产方式定位!$F$3:$J$38,2,FALSE),0)</f>
        <v>1800</v>
      </c>
      <c r="S1095" s="5">
        <f>IFERROR(VLOOKUP($D1095&amp;$C1095,生产方式定位!$A$2:$E$38,3,FALSE)+VLOOKUP($E1095&amp;$C1095,生产方式定位!$F$3:$J$38,3,FALSE),0)</f>
        <v>190</v>
      </c>
      <c r="X1095" s="5">
        <f>IFERROR(VLOOKUP($D1095&amp;$C1095,生产方式定位!$A$2:$E$38,5,FALSE)+VLOOKUP($E1095&amp;$C1095,生产方式定位!$F$3:$J$38,5,FALSE),"错误")</f>
        <v>1831</v>
      </c>
      <c r="Y1095" s="24" t="str">
        <f t="shared" si="274"/>
        <v/>
      </c>
      <c r="Z1095" s="34" t="str">
        <f t="shared" si="275"/>
        <v/>
      </c>
      <c r="AA1095" s="34" t="str">
        <f t="shared" si="272"/>
        <v/>
      </c>
      <c r="AB1095" s="25" t="str">
        <f t="shared" si="276"/>
        <v>2%</v>
      </c>
      <c r="AC1095" s="1">
        <f t="shared" si="277"/>
        <v>-159</v>
      </c>
      <c r="AD1095" s="35">
        <f t="shared" si="273"/>
        <v>3</v>
      </c>
      <c r="AE1095" t="str">
        <f t="shared" si="278"/>
        <v/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 t="str">
        <f>IFERROR(ROUND(L1095*(G1095/$AU1095)/VLOOKUP(F1095,商品!$A$4:$C$60,3,FALSE),0),"")</f>
        <v/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0</v>
      </c>
      <c r="AV1095">
        <f t="shared" si="286"/>
        <v>0</v>
      </c>
      <c r="AW1095">
        <f t="shared" si="287"/>
        <v>0</v>
      </c>
    </row>
    <row r="1096" spans="1:49" ht="20" customHeight="1" x14ac:dyDescent="0.3">
      <c r="A1096" s="5" t="s">
        <v>485</v>
      </c>
      <c r="C1096" s="5">
        <v>4</v>
      </c>
      <c r="D1096" s="21" t="s">
        <v>222</v>
      </c>
      <c r="E1096" s="21" t="s">
        <v>225</v>
      </c>
      <c r="L1096" s="5">
        <f>IFERROR(VLOOKUP($D1096&amp;$C1096,生产方式定位!$A$2:$E$38,2,FALSE)+VLOOKUP($E1096&amp;$C1096,生产方式定位!$F$3:$J$38,2,FALSE),0)</f>
        <v>2150</v>
      </c>
      <c r="S1096" s="5">
        <f>IFERROR(VLOOKUP($D1096&amp;$C1096,生产方式定位!$A$2:$E$38,3,FALSE)+VLOOKUP($E1096&amp;$C1096,生产方式定位!$F$3:$J$38,3,FALSE),0)</f>
        <v>200</v>
      </c>
      <c r="X1096" s="5">
        <f>IFERROR(VLOOKUP($D1096&amp;$C1096,生产方式定位!$A$2:$E$38,5,FALSE)+VLOOKUP($E1096&amp;$C1096,生产方式定位!$F$3:$J$38,5,FALSE),"错误")</f>
        <v>2217</v>
      </c>
      <c r="Y1096" s="24" t="str">
        <f t="shared" si="274"/>
        <v/>
      </c>
      <c r="Z1096" s="34" t="str">
        <f t="shared" si="275"/>
        <v/>
      </c>
      <c r="AA1096" s="34" t="str">
        <f t="shared" si="272"/>
        <v/>
      </c>
      <c r="AB1096" s="25" t="str">
        <f t="shared" si="276"/>
        <v>3%</v>
      </c>
      <c r="AC1096" s="1">
        <f t="shared" si="277"/>
        <v>-133</v>
      </c>
      <c r="AD1096" s="35">
        <f t="shared" si="273"/>
        <v>4</v>
      </c>
      <c r="AE1096" t="str">
        <f t="shared" si="278"/>
        <v/>
      </c>
      <c r="AF1096" t="str">
        <f t="shared" si="279"/>
        <v/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 t="str">
        <f>IFERROR(ROUND(L1096*(G1096/$AU1096)/VLOOKUP(F1096,商品!$A$4:$C$60,3,FALSE),0),"")</f>
        <v/>
      </c>
      <c r="AM1096" t="str">
        <f>IFERROR(ROUND(L1096*(I1096/$AU1096)/VLOOKUP(H1096,商品!$A$4:$C$60,3,FALSE),0),"")</f>
        <v/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0</v>
      </c>
      <c r="AV1096">
        <f t="shared" si="286"/>
        <v>0</v>
      </c>
      <c r="AW1096">
        <f t="shared" si="287"/>
        <v>0</v>
      </c>
    </row>
    <row r="1097" spans="1:49" ht="20" customHeight="1" x14ac:dyDescent="0.3">
      <c r="A1097" s="5" t="s">
        <v>485</v>
      </c>
      <c r="C1097" s="5">
        <v>5</v>
      </c>
      <c r="D1097" s="21" t="s">
        <v>222</v>
      </c>
      <c r="E1097" s="21" t="s">
        <v>225</v>
      </c>
      <c r="L1097" s="5">
        <f>IFERROR(VLOOKUP($D1097&amp;$C1097,生产方式定位!$A$2:$E$38,2,FALSE)+VLOOKUP($E1097&amp;$C1097,生产方式定位!$F$3:$J$38,2,FALSE),0)</f>
        <v>2500</v>
      </c>
      <c r="S1097" s="5">
        <f>IFERROR(VLOOKUP($D1097&amp;$C1097,生产方式定位!$A$2:$E$38,3,FALSE)+VLOOKUP($E1097&amp;$C1097,生产方式定位!$F$3:$J$38,3,FALSE),0)</f>
        <v>210</v>
      </c>
      <c r="X1097" s="5">
        <f>IFERROR(VLOOKUP($D1097&amp;$C1097,生产方式定位!$A$2:$E$38,5,FALSE)+VLOOKUP($E1097&amp;$C1097,生产方式定位!$F$3:$J$38,5,FALSE),"错误")</f>
        <v>2870</v>
      </c>
      <c r="Y1097" s="24" t="str">
        <f t="shared" si="274"/>
        <v/>
      </c>
      <c r="Z1097" s="34" t="str">
        <f t="shared" si="275"/>
        <v/>
      </c>
      <c r="AA1097" s="34" t="str">
        <f t="shared" si="272"/>
        <v/>
      </c>
      <c r="AB1097" s="25" t="str">
        <f t="shared" si="276"/>
        <v>15%</v>
      </c>
      <c r="AC1097" s="1">
        <f t="shared" si="277"/>
        <v>160</v>
      </c>
      <c r="AD1097" s="35">
        <f t="shared" si="273"/>
        <v>5</v>
      </c>
      <c r="AE1097" t="str">
        <f t="shared" si="278"/>
        <v/>
      </c>
      <c r="AF1097" t="str">
        <f t="shared" si="279"/>
        <v/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 t="str">
        <f>IFERROR(ROUND(L1097*(G1097/$AU1097)/VLOOKUP(F1097,商品!$A$4:$C$60,3,FALSE),0),"")</f>
        <v/>
      </c>
      <c r="AM1097" t="str">
        <f>IFERROR(ROUND(L1097*(I1097/$AU1097)/VLOOKUP(H1097,商品!$A$4:$C$60,3,FALSE),0),"")</f>
        <v/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0</v>
      </c>
      <c r="AV1097">
        <f t="shared" si="286"/>
        <v>0</v>
      </c>
      <c r="AW1097">
        <f t="shared" si="287"/>
        <v>0</v>
      </c>
    </row>
    <row r="1098" spans="1:49" ht="20" customHeight="1" x14ac:dyDescent="0.3">
      <c r="A1098" s="18" t="s">
        <v>486</v>
      </c>
      <c r="C1098" s="18">
        <v>1</v>
      </c>
      <c r="D1098" s="21" t="s">
        <v>292</v>
      </c>
      <c r="E1098" s="21" t="s">
        <v>226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24" t="str">
        <f t="shared" si="274"/>
        <v/>
      </c>
      <c r="Z1098" s="34" t="str">
        <f t="shared" si="275"/>
        <v/>
      </c>
      <c r="AA1098" s="34" t="str">
        <f t="shared" si="272"/>
        <v/>
      </c>
      <c r="AB1098" s="25" t="str">
        <f t="shared" si="276"/>
        <v/>
      </c>
      <c r="AC1098" s="1" t="str">
        <f t="shared" si="277"/>
        <v/>
      </c>
      <c r="AD1098" s="36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20" customHeight="1" x14ac:dyDescent="0.3">
      <c r="A1099" s="18" t="s">
        <v>486</v>
      </c>
      <c r="C1099" s="18">
        <v>2</v>
      </c>
      <c r="D1099" s="21" t="s">
        <v>292</v>
      </c>
      <c r="E1099" s="21" t="s">
        <v>226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24" t="str">
        <f t="shared" si="274"/>
        <v/>
      </c>
      <c r="Z1099" s="34" t="str">
        <f t="shared" si="275"/>
        <v/>
      </c>
      <c r="AA1099" s="34" t="str">
        <f t="shared" si="272"/>
        <v/>
      </c>
      <c r="AB1099" s="25" t="str">
        <f t="shared" si="276"/>
        <v/>
      </c>
      <c r="AC1099" s="1" t="str">
        <f t="shared" si="277"/>
        <v/>
      </c>
      <c r="AD1099" s="36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spans="1:49" ht="20" customHeight="1" x14ac:dyDescent="0.3">
      <c r="A1100" s="18" t="s">
        <v>486</v>
      </c>
      <c r="C1100" s="18">
        <v>3</v>
      </c>
      <c r="D1100" s="21" t="s">
        <v>292</v>
      </c>
      <c r="E1100" s="21" t="s">
        <v>226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24" t="str">
        <f t="shared" si="274"/>
        <v/>
      </c>
      <c r="Z1100" s="34" t="str">
        <f t="shared" si="275"/>
        <v/>
      </c>
      <c r="AA1100" s="34" t="str">
        <f t="shared" si="272"/>
        <v/>
      </c>
      <c r="AB1100" s="25" t="str">
        <f t="shared" si="276"/>
        <v/>
      </c>
      <c r="AC1100" s="1" t="str">
        <f t="shared" si="277"/>
        <v/>
      </c>
      <c r="AD1100" s="36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spans="1:49" ht="20" customHeight="1" x14ac:dyDescent="0.3">
      <c r="A1101" s="18" t="s">
        <v>486</v>
      </c>
      <c r="C1101" s="18">
        <v>4</v>
      </c>
      <c r="D1101" s="21" t="s">
        <v>292</v>
      </c>
      <c r="E1101" s="21" t="s">
        <v>226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24" t="str">
        <f t="shared" si="274"/>
        <v/>
      </c>
      <c r="Z1101" s="34" t="str">
        <f t="shared" si="275"/>
        <v/>
      </c>
      <c r="AA1101" s="34" t="str">
        <f t="shared" si="272"/>
        <v/>
      </c>
      <c r="AB1101" s="25" t="str">
        <f t="shared" si="276"/>
        <v/>
      </c>
      <c r="AC1101" s="1" t="str">
        <f t="shared" si="277"/>
        <v/>
      </c>
      <c r="AD1101" s="36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spans="1:49" ht="20" customHeight="1" x14ac:dyDescent="0.3">
      <c r="A1102" s="18" t="s">
        <v>486</v>
      </c>
      <c r="C1102" s="18">
        <v>5</v>
      </c>
      <c r="D1102" s="21" t="s">
        <v>292</v>
      </c>
      <c r="E1102" s="21" t="s">
        <v>226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24" t="str">
        <f t="shared" si="274"/>
        <v/>
      </c>
      <c r="Z1102" s="34" t="str">
        <f t="shared" si="275"/>
        <v/>
      </c>
      <c r="AA1102" s="34" t="str">
        <f t="shared" si="272"/>
        <v/>
      </c>
      <c r="AB1102" s="25" t="str">
        <f t="shared" si="276"/>
        <v/>
      </c>
      <c r="AC1102" s="1" t="str">
        <f t="shared" si="277"/>
        <v/>
      </c>
      <c r="AD1102" s="36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spans="1:49" ht="20" customHeight="1" x14ac:dyDescent="0.3">
      <c r="A1103" s="18" t="s">
        <v>486</v>
      </c>
      <c r="C1103" s="18">
        <v>6</v>
      </c>
      <c r="D1103" s="21" t="s">
        <v>292</v>
      </c>
      <c r="E1103" s="21" t="s">
        <v>226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5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20" customHeight="1" x14ac:dyDescent="0.3">
      <c r="A1104" s="18" t="s">
        <v>486</v>
      </c>
      <c r="C1104" s="18">
        <v>7</v>
      </c>
      <c r="D1104" s="21" t="s">
        <v>292</v>
      </c>
      <c r="E1104" s="21" t="s">
        <v>226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5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20" customHeight="1" x14ac:dyDescent="0.3">
      <c r="A1105" s="18" t="s">
        <v>486</v>
      </c>
      <c r="C1105" s="18">
        <v>8</v>
      </c>
      <c r="D1105" s="21" t="s">
        <v>292</v>
      </c>
      <c r="E1105" s="21" t="s">
        <v>226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5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20" customHeight="1" x14ac:dyDescent="0.3">
      <c r="A1106" s="5" t="s">
        <v>488</v>
      </c>
      <c r="C1106" s="5">
        <v>1</v>
      </c>
      <c r="D1106" s="21" t="s">
        <v>222</v>
      </c>
      <c r="E1106" s="21" t="s">
        <v>224</v>
      </c>
      <c r="L1106" s="5">
        <f>IFERROR(VLOOKUP($D1106&amp;$C1106,生产方式定位!$A$2:$E$38,2,FALSE)+VLOOKUP($E1106&amp;$C1106,生产方式定位!$F$3:$J$38,2,FALSE),0)</f>
        <v>600</v>
      </c>
      <c r="S1106" s="5">
        <f>IFERROR(VLOOKUP($D1106&amp;$C1106,生产方式定位!$A$2:$E$38,3,FALSE)+VLOOKUP($E1106&amp;$C1106,生产方式定位!$F$3:$J$38,3,FALSE),0)</f>
        <v>150</v>
      </c>
      <c r="X1106" s="5">
        <f>IFERROR(VLOOKUP($D1106&amp;$C1106,生产方式定位!$A$2:$E$38,5,FALSE)+VLOOKUP($E1106&amp;$C1106,生产方式定位!$F$3:$J$38,5,FALSE),"错误")</f>
        <v>788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>31%</v>
      </c>
      <c r="AC1106" s="1">
        <f t="shared" si="277"/>
        <v>38</v>
      </c>
      <c r="AD1106" s="35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20" customHeight="1" x14ac:dyDescent="0.3">
      <c r="A1107" s="5" t="s">
        <v>488</v>
      </c>
      <c r="C1107" s="5">
        <v>2</v>
      </c>
      <c r="D1107" s="21" t="s">
        <v>222</v>
      </c>
      <c r="E1107" s="21" t="s">
        <v>224</v>
      </c>
      <c r="L1107" s="5">
        <f>IFERROR(VLOOKUP($D1107&amp;$C1107,生产方式定位!$A$2:$E$38,2,FALSE)+VLOOKUP($E1107&amp;$C1107,生产方式定位!$F$3:$J$38,2,FALSE),0)</f>
        <v>1200</v>
      </c>
      <c r="S1107" s="5">
        <f>IFERROR(VLOOKUP($D1107&amp;$C1107,生产方式定位!$A$2:$E$38,3,FALSE)+VLOOKUP($E1107&amp;$C1107,生产方式定位!$F$3:$J$38,3,FALSE),0)</f>
        <v>140</v>
      </c>
      <c r="X1107" s="5">
        <f>IFERROR(VLOOKUP($D1107&amp;$C1107,生产方式定位!$A$2:$E$38,5,FALSE)+VLOOKUP($E1107&amp;$C1107,生产方式定位!$F$3:$J$38,5,FALSE),"错误")</f>
        <v>1390</v>
      </c>
      <c r="Y1107" s="24" t="str">
        <f t="shared" si="274"/>
        <v/>
      </c>
      <c r="Z1107" s="34" t="str">
        <f t="shared" si="275"/>
        <v/>
      </c>
      <c r="AA1107" s="34" t="str">
        <f t="shared" si="272"/>
        <v/>
      </c>
      <c r="AB1107" s="25" t="str">
        <f t="shared" si="276"/>
        <v>16%</v>
      </c>
      <c r="AC1107" s="1">
        <f t="shared" si="277"/>
        <v>50</v>
      </c>
      <c r="AD1107" s="35">
        <f t="shared" si="273"/>
        <v>2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20" customHeight="1" x14ac:dyDescent="0.3">
      <c r="A1108" s="5" t="s">
        <v>488</v>
      </c>
      <c r="C1108" s="5">
        <v>3</v>
      </c>
      <c r="D1108" s="21" t="s">
        <v>222</v>
      </c>
      <c r="E1108" s="21" t="s">
        <v>224</v>
      </c>
      <c r="L1108" s="5">
        <f>IFERROR(VLOOKUP($D1108&amp;$C1108,生产方式定位!$A$2:$E$38,2,FALSE)+VLOOKUP($E1108&amp;$C1108,生产方式定位!$F$3:$J$38,2,FALSE),0)</f>
        <v>1425</v>
      </c>
      <c r="S1108" s="5">
        <f>IFERROR(VLOOKUP($D1108&amp;$C1108,生产方式定位!$A$2:$E$38,3,FALSE)+VLOOKUP($E1108&amp;$C1108,生产方式定位!$F$3:$J$38,3,FALSE),0)</f>
        <v>130</v>
      </c>
      <c r="X1108" s="5">
        <f>IFERROR(VLOOKUP($D1108&amp;$C1108,生产方式定位!$A$2:$E$38,5,FALSE)+VLOOKUP($E1108&amp;$C1108,生产方式定位!$F$3:$J$38,5,FALSE),"错误")</f>
        <v>1618</v>
      </c>
      <c r="Y1108" s="24" t="str">
        <f t="shared" si="274"/>
        <v/>
      </c>
      <c r="Z1108" s="34" t="str">
        <f t="shared" si="275"/>
        <v/>
      </c>
      <c r="AA1108" s="34" t="str">
        <f t="shared" si="272"/>
        <v/>
      </c>
      <c r="AB1108" s="25" t="str">
        <f t="shared" si="276"/>
        <v>14%</v>
      </c>
      <c r="AC1108" s="1">
        <f t="shared" si="277"/>
        <v>63</v>
      </c>
      <c r="AD1108" s="36">
        <f t="shared" si="273"/>
        <v>3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20" customHeight="1" x14ac:dyDescent="0.3">
      <c r="A1109" s="5" t="s">
        <v>488</v>
      </c>
      <c r="C1109" s="5">
        <v>4</v>
      </c>
      <c r="D1109" s="21" t="s">
        <v>222</v>
      </c>
      <c r="E1109" s="21" t="s">
        <v>224</v>
      </c>
      <c r="L1109" s="5">
        <f>IFERROR(VLOOKUP($D1109&amp;$C1109,生产方式定位!$A$2:$E$38,2,FALSE)+VLOOKUP($E1109&amp;$C1109,生产方式定位!$F$3:$J$38,2,FALSE),0)</f>
        <v>1650</v>
      </c>
      <c r="S1109" s="5">
        <f>IFERROR(VLOOKUP($D1109&amp;$C1109,生产方式定位!$A$2:$E$38,3,FALSE)+VLOOKUP($E1109&amp;$C1109,生产方式定位!$F$3:$J$38,3,FALSE),0)</f>
        <v>120</v>
      </c>
      <c r="X1109" s="5">
        <f>IFERROR(VLOOKUP($D1109&amp;$C1109,生产方式定位!$A$2:$E$38,5,FALSE)+VLOOKUP($E1109&amp;$C1109,生产方式定位!$F$3:$J$38,5,FALSE),"错误")</f>
        <v>1845</v>
      </c>
      <c r="Y1109" s="24" t="str">
        <f t="shared" si="274"/>
        <v/>
      </c>
      <c r="Z1109" s="34" t="str">
        <f t="shared" si="275"/>
        <v/>
      </c>
      <c r="AA1109" s="34" t="str">
        <f t="shared" si="272"/>
        <v/>
      </c>
      <c r="AB1109" s="25" t="str">
        <f t="shared" si="276"/>
        <v>12%</v>
      </c>
      <c r="AC1109" s="1">
        <f t="shared" si="277"/>
        <v>75</v>
      </c>
      <c r="AD1109" s="36">
        <f t="shared" si="273"/>
        <v>4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20" customHeight="1" x14ac:dyDescent="0.3">
      <c r="A1110" s="5" t="s">
        <v>488</v>
      </c>
      <c r="C1110" s="5">
        <v>5</v>
      </c>
      <c r="D1110" s="21" t="s">
        <v>222</v>
      </c>
      <c r="E1110" s="21" t="s">
        <v>224</v>
      </c>
      <c r="L1110" s="5">
        <f>IFERROR(VLOOKUP($D1110&amp;$C1110,生产方式定位!$A$2:$E$38,2,FALSE)+VLOOKUP($E1110&amp;$C1110,生产方式定位!$F$3:$J$38,2,FALSE),0)</f>
        <v>1875</v>
      </c>
      <c r="S1110" s="5">
        <f>IFERROR(VLOOKUP($D1110&amp;$C1110,生产方式定位!$A$2:$E$38,3,FALSE)+VLOOKUP($E1110&amp;$C1110,生产方式定位!$F$3:$J$38,3,FALSE),0)</f>
        <v>110</v>
      </c>
      <c r="X1110" s="5">
        <f>IFERROR(VLOOKUP($D1110&amp;$C1110,生产方式定位!$A$2:$E$38,5,FALSE)+VLOOKUP($E1110&amp;$C1110,生产方式定位!$F$3:$J$38,5,FALSE),"错误")</f>
        <v>2073</v>
      </c>
      <c r="Y1110" s="24" t="str">
        <f t="shared" si="274"/>
        <v/>
      </c>
      <c r="Z1110" s="34" t="str">
        <f t="shared" si="275"/>
        <v/>
      </c>
      <c r="AA1110" s="34" t="str">
        <f t="shared" si="272"/>
        <v/>
      </c>
      <c r="AB1110" s="25" t="str">
        <f t="shared" si="276"/>
        <v>11%</v>
      </c>
      <c r="AC1110" s="1">
        <f t="shared" si="277"/>
        <v>88</v>
      </c>
      <c r="AD1110" s="36">
        <f t="shared" si="273"/>
        <v>5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20" customHeight="1" x14ac:dyDescent="0.3">
      <c r="A1111" s="18" t="s">
        <v>489</v>
      </c>
      <c r="C1111" s="18">
        <v>1</v>
      </c>
      <c r="D1111" s="21" t="s">
        <v>222</v>
      </c>
      <c r="E1111" s="21" t="s">
        <v>225</v>
      </c>
      <c r="L1111" s="18">
        <f>IFERROR(VLOOKUP($D1111&amp;$C1111,生产方式定位!$A$2:$E$38,2,FALSE)+VLOOKUP($E1111&amp;$C1111,生产方式定位!$F$3:$J$38,2,FALSE),0)</f>
        <v>600</v>
      </c>
      <c r="S1111" s="18">
        <f>IFERROR(VLOOKUP($D1111&amp;$C1111,生产方式定位!$A$2:$E$38,3,FALSE)+VLOOKUP($E1111&amp;$C1111,生产方式定位!$F$3:$J$38,3,FALSE),0)</f>
        <v>150</v>
      </c>
      <c r="X1111" s="18">
        <f>IFERROR(VLOOKUP($D1111&amp;$C1111,生产方式定位!$A$2:$E$38,5,FALSE)+VLOOKUP($E1111&amp;$C1111,生产方式定位!$F$3:$J$38,5,FALSE),"错误")</f>
        <v>788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>31%</v>
      </c>
      <c r="AC1111" s="1">
        <f t="shared" si="277"/>
        <v>38</v>
      </c>
      <c r="AD1111" s="36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20" customHeight="1" x14ac:dyDescent="0.3">
      <c r="A1112" s="18" t="s">
        <v>489</v>
      </c>
      <c r="C1112" s="18">
        <v>2</v>
      </c>
      <c r="D1112" s="21" t="s">
        <v>222</v>
      </c>
      <c r="E1112" s="21" t="s">
        <v>225</v>
      </c>
      <c r="L1112" s="18">
        <f>IFERROR(VLOOKUP($D1112&amp;$C1112,生产方式定位!$A$2:$E$38,2,FALSE)+VLOOKUP($E1112&amp;$C1112,生产方式定位!$F$3:$J$38,2,FALSE),0)</f>
        <v>1450</v>
      </c>
      <c r="S1112" s="18">
        <f>IFERROR(VLOOKUP($D1112&amp;$C1112,生产方式定位!$A$2:$E$38,3,FALSE)+VLOOKUP($E1112&amp;$C1112,生产方式定位!$F$3:$J$38,3,FALSE),0)</f>
        <v>180</v>
      </c>
      <c r="X1112" s="18">
        <f>IFERROR(VLOOKUP($D1112&amp;$C1112,生产方式定位!$A$2:$E$38,5,FALSE)+VLOOKUP($E1112&amp;$C1112,生产方式定位!$F$3:$J$38,5,FALSE),"错误")</f>
        <v>1472</v>
      </c>
      <c r="Y1112" s="24" t="str">
        <f t="shared" si="274"/>
        <v/>
      </c>
      <c r="Z1112" s="34" t="str">
        <f t="shared" si="275"/>
        <v/>
      </c>
      <c r="AA1112" s="34" t="str">
        <f t="shared" si="272"/>
        <v/>
      </c>
      <c r="AB1112" s="25" t="str">
        <f t="shared" si="276"/>
        <v>2%</v>
      </c>
      <c r="AC1112" s="1">
        <f t="shared" si="277"/>
        <v>-158</v>
      </c>
      <c r="AD1112" s="36">
        <f t="shared" si="273"/>
        <v>2</v>
      </c>
      <c r="AE1112" t="str">
        <f t="shared" si="278"/>
        <v/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 t="str">
        <f>IFERROR(ROUND(L1112*(G1112/$AU1112)/VLOOKUP(F1112,商品!$A$4:$C$60,3,FALSE),0),"")</f>
        <v/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0</v>
      </c>
      <c r="AV1112">
        <f t="shared" si="286"/>
        <v>0</v>
      </c>
      <c r="AW1112">
        <f t="shared" si="287"/>
        <v>0</v>
      </c>
    </row>
    <row r="1113" spans="1:49" ht="20" customHeight="1" x14ac:dyDescent="0.3">
      <c r="A1113" s="18" t="s">
        <v>489</v>
      </c>
      <c r="C1113" s="18">
        <v>3</v>
      </c>
      <c r="D1113" s="21" t="s">
        <v>222</v>
      </c>
      <c r="E1113" s="21" t="s">
        <v>225</v>
      </c>
      <c r="L1113" s="18">
        <f>IFERROR(VLOOKUP($D1113&amp;$C1113,生产方式定位!$A$2:$E$38,2,FALSE)+VLOOKUP($E1113&amp;$C1113,生产方式定位!$F$3:$J$38,2,FALSE),0)</f>
        <v>1800</v>
      </c>
      <c r="S1113" s="18">
        <f>IFERROR(VLOOKUP($D1113&amp;$C1113,生产方式定位!$A$2:$E$38,3,FALSE)+VLOOKUP($E1113&amp;$C1113,生产方式定位!$F$3:$J$38,3,FALSE),0)</f>
        <v>190</v>
      </c>
      <c r="X1113" s="18">
        <f>IFERROR(VLOOKUP($D1113&amp;$C1113,生产方式定位!$A$2:$E$38,5,FALSE)+VLOOKUP($E1113&amp;$C1113,生产方式定位!$F$3:$J$38,5,FALSE),"错误")</f>
        <v>1831</v>
      </c>
      <c r="Y1113" s="24" t="str">
        <f t="shared" si="274"/>
        <v/>
      </c>
      <c r="Z1113" s="34" t="str">
        <f t="shared" si="275"/>
        <v/>
      </c>
      <c r="AA1113" s="34" t="str">
        <f t="shared" si="272"/>
        <v/>
      </c>
      <c r="AB1113" s="25" t="str">
        <f t="shared" si="276"/>
        <v>2%</v>
      </c>
      <c r="AC1113" s="1">
        <f t="shared" si="277"/>
        <v>-159</v>
      </c>
      <c r="AD1113" s="36">
        <f t="shared" si="273"/>
        <v>3</v>
      </c>
      <c r="AE1113" t="str">
        <f t="shared" si="278"/>
        <v/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 t="str">
        <f>IFERROR(ROUND(L1113*(G1113/$AU1113)/VLOOKUP(F1113,商品!$A$4:$C$60,3,FALSE),0),"")</f>
        <v/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0</v>
      </c>
      <c r="AV1113">
        <f t="shared" si="286"/>
        <v>0</v>
      </c>
      <c r="AW1113">
        <f t="shared" si="287"/>
        <v>0</v>
      </c>
    </row>
    <row r="1114" spans="1:49" ht="20" customHeight="1" x14ac:dyDescent="0.3">
      <c r="A1114" s="18" t="s">
        <v>489</v>
      </c>
      <c r="C1114" s="18">
        <v>4</v>
      </c>
      <c r="D1114" s="21" t="s">
        <v>222</v>
      </c>
      <c r="E1114" s="21" t="s">
        <v>225</v>
      </c>
      <c r="L1114" s="18">
        <f>IFERROR(VLOOKUP($D1114&amp;$C1114,生产方式定位!$A$2:$E$38,2,FALSE)+VLOOKUP($E1114&amp;$C1114,生产方式定位!$F$3:$J$38,2,FALSE),0)</f>
        <v>2150</v>
      </c>
      <c r="S1114" s="18">
        <f>IFERROR(VLOOKUP($D1114&amp;$C1114,生产方式定位!$A$2:$E$38,3,FALSE)+VLOOKUP($E1114&amp;$C1114,生产方式定位!$F$3:$J$38,3,FALSE),0)</f>
        <v>200</v>
      </c>
      <c r="X1114" s="18">
        <f>IFERROR(VLOOKUP($D1114&amp;$C1114,生产方式定位!$A$2:$E$38,5,FALSE)+VLOOKUP($E1114&amp;$C1114,生产方式定位!$F$3:$J$38,5,FALSE),"错误")</f>
        <v>2217</v>
      </c>
      <c r="Y1114" s="24" t="str">
        <f t="shared" si="274"/>
        <v/>
      </c>
      <c r="Z1114" s="34" t="str">
        <f t="shared" si="275"/>
        <v/>
      </c>
      <c r="AA1114" s="34" t="str">
        <f t="shared" si="272"/>
        <v/>
      </c>
      <c r="AB1114" s="25" t="str">
        <f t="shared" si="276"/>
        <v>3%</v>
      </c>
      <c r="AC1114" s="1">
        <f t="shared" si="277"/>
        <v>-133</v>
      </c>
      <c r="AD1114" s="36">
        <f t="shared" si="273"/>
        <v>4</v>
      </c>
      <c r="AE1114" t="str">
        <f t="shared" si="278"/>
        <v/>
      </c>
      <c r="AF1114" t="str">
        <f t="shared" si="279"/>
        <v/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 t="str">
        <f>IFERROR(ROUND(L1114*(G1114/$AU1114)/VLOOKUP(F1114,商品!$A$4:$C$60,3,FALSE),0),"")</f>
        <v/>
      </c>
      <c r="AM1114" t="str">
        <f>IFERROR(ROUND(L1114*(I1114/$AU1114)/VLOOKUP(H1114,商品!$A$4:$C$60,3,FALSE),0),"")</f>
        <v/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0</v>
      </c>
      <c r="AV1114">
        <f t="shared" si="286"/>
        <v>0</v>
      </c>
      <c r="AW1114">
        <f t="shared" si="287"/>
        <v>0</v>
      </c>
    </row>
    <row r="1115" spans="1:49" ht="20" customHeight="1" x14ac:dyDescent="0.3">
      <c r="A1115" s="18" t="s">
        <v>489</v>
      </c>
      <c r="C1115" s="18">
        <v>5</v>
      </c>
      <c r="D1115" s="21" t="s">
        <v>222</v>
      </c>
      <c r="E1115" s="21" t="s">
        <v>225</v>
      </c>
      <c r="L1115" s="18">
        <f>IFERROR(VLOOKUP($D1115&amp;$C1115,生产方式定位!$A$2:$E$38,2,FALSE)+VLOOKUP($E1115&amp;$C1115,生产方式定位!$F$3:$J$38,2,FALSE),0)</f>
        <v>2500</v>
      </c>
      <c r="S1115" s="18">
        <f>IFERROR(VLOOKUP($D1115&amp;$C1115,生产方式定位!$A$2:$E$38,3,FALSE)+VLOOKUP($E1115&amp;$C1115,生产方式定位!$F$3:$J$38,3,FALSE),0)</f>
        <v>210</v>
      </c>
      <c r="X1115" s="18">
        <f>IFERROR(VLOOKUP($D1115&amp;$C1115,生产方式定位!$A$2:$E$38,5,FALSE)+VLOOKUP($E1115&amp;$C1115,生产方式定位!$F$3:$J$38,5,FALSE),"错误")</f>
        <v>2870</v>
      </c>
      <c r="Y1115" s="24" t="str">
        <f t="shared" si="274"/>
        <v/>
      </c>
      <c r="Z1115" s="34" t="str">
        <f t="shared" si="275"/>
        <v/>
      </c>
      <c r="AA1115" s="34" t="str">
        <f t="shared" si="272"/>
        <v/>
      </c>
      <c r="AB1115" s="25" t="str">
        <f t="shared" si="276"/>
        <v>15%</v>
      </c>
      <c r="AC1115" s="1">
        <f t="shared" si="277"/>
        <v>160</v>
      </c>
      <c r="AD1115" s="36">
        <f t="shared" si="273"/>
        <v>5</v>
      </c>
      <c r="AE1115" t="str">
        <f t="shared" si="278"/>
        <v/>
      </c>
      <c r="AF1115" t="str">
        <f t="shared" si="279"/>
        <v/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 t="str">
        <f>IFERROR(ROUND(L1115*(G1115/$AU1115)/VLOOKUP(F1115,商品!$A$4:$C$60,3,FALSE),0),"")</f>
        <v/>
      </c>
      <c r="AM1115" t="str">
        <f>IFERROR(ROUND(L1115*(I1115/$AU1115)/VLOOKUP(H1115,商品!$A$4:$C$60,3,FALSE),0),"")</f>
        <v/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0</v>
      </c>
      <c r="AV1115">
        <f t="shared" si="286"/>
        <v>0</v>
      </c>
      <c r="AW1115">
        <f t="shared" si="287"/>
        <v>0</v>
      </c>
    </row>
    <row r="1116" spans="1:49" ht="20" customHeight="1" x14ac:dyDescent="0.3">
      <c r="A1116" s="5" t="s">
        <v>489</v>
      </c>
      <c r="C1116" s="5">
        <v>1</v>
      </c>
      <c r="D1116" s="21" t="s">
        <v>222</v>
      </c>
      <c r="E1116" s="21" t="s">
        <v>225</v>
      </c>
      <c r="L1116" s="5">
        <f>IFERROR(VLOOKUP($D1116&amp;$C1116,生产方式定位!$A$2:$E$38,2,FALSE)+VLOOKUP($E1116&amp;$C1116,生产方式定位!$F$3:$J$38,2,FALSE),0)</f>
        <v>600</v>
      </c>
      <c r="S1116" s="5">
        <f>IFERROR(VLOOKUP($D1116&amp;$C1116,生产方式定位!$A$2:$E$38,3,FALSE)+VLOOKUP($E1116&amp;$C1116,生产方式定位!$F$3:$J$38,3,FALSE),0)</f>
        <v>150</v>
      </c>
      <c r="X1116" s="5">
        <f>IFERROR(VLOOKUP($D1116&amp;$C1116,生产方式定位!$A$2:$E$38,5,FALSE)+VLOOKUP($E1116&amp;$C1116,生产方式定位!$F$3:$J$38,5,FALSE),"错误")</f>
        <v>788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>31%</v>
      </c>
      <c r="AC1116" s="1">
        <f t="shared" si="277"/>
        <v>38</v>
      </c>
      <c r="AD1116" s="35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20" customHeight="1" x14ac:dyDescent="0.3">
      <c r="A1117" s="5" t="s">
        <v>489</v>
      </c>
      <c r="C1117" s="5">
        <v>2</v>
      </c>
      <c r="D1117" s="21" t="s">
        <v>222</v>
      </c>
      <c r="E1117" s="21" t="s">
        <v>225</v>
      </c>
      <c r="L1117" s="5">
        <f>IFERROR(VLOOKUP($D1117&amp;$C1117,生产方式定位!$A$2:$E$38,2,FALSE)+VLOOKUP($E1117&amp;$C1117,生产方式定位!$F$3:$J$38,2,FALSE),0)</f>
        <v>1450</v>
      </c>
      <c r="S1117" s="5">
        <f>IFERROR(VLOOKUP($D1117&amp;$C1117,生产方式定位!$A$2:$E$38,3,FALSE)+VLOOKUP($E1117&amp;$C1117,生产方式定位!$F$3:$J$38,3,FALSE),0)</f>
        <v>180</v>
      </c>
      <c r="X1117" s="5">
        <f>IFERROR(VLOOKUP($D1117&amp;$C1117,生产方式定位!$A$2:$E$38,5,FALSE)+VLOOKUP($E1117&amp;$C1117,生产方式定位!$F$3:$J$38,5,FALSE),"错误")</f>
        <v>1472</v>
      </c>
      <c r="Y1117" s="24" t="str">
        <f t="shared" si="274"/>
        <v/>
      </c>
      <c r="Z1117" s="34" t="str">
        <f t="shared" si="275"/>
        <v/>
      </c>
      <c r="AA1117" s="34" t="str">
        <f t="shared" si="272"/>
        <v/>
      </c>
      <c r="AB1117" s="25" t="str">
        <f t="shared" si="276"/>
        <v>2%</v>
      </c>
      <c r="AC1117" s="1">
        <f t="shared" si="277"/>
        <v>-158</v>
      </c>
      <c r="AD1117" s="35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spans="1:49" ht="20" customHeight="1" x14ac:dyDescent="0.3">
      <c r="A1118" s="5" t="s">
        <v>489</v>
      </c>
      <c r="C1118" s="5">
        <v>3</v>
      </c>
      <c r="D1118" s="21" t="s">
        <v>222</v>
      </c>
      <c r="E1118" s="21" t="s">
        <v>225</v>
      </c>
      <c r="L1118" s="5">
        <f>IFERROR(VLOOKUP($D1118&amp;$C1118,生产方式定位!$A$2:$E$38,2,FALSE)+VLOOKUP($E1118&amp;$C1118,生产方式定位!$F$3:$J$38,2,FALSE),0)</f>
        <v>1800</v>
      </c>
      <c r="S1118" s="5">
        <f>IFERROR(VLOOKUP($D1118&amp;$C1118,生产方式定位!$A$2:$E$38,3,FALSE)+VLOOKUP($E1118&amp;$C1118,生产方式定位!$F$3:$J$38,3,FALSE),0)</f>
        <v>190</v>
      </c>
      <c r="X1118" s="5">
        <f>IFERROR(VLOOKUP($D1118&amp;$C1118,生产方式定位!$A$2:$E$38,5,FALSE)+VLOOKUP($E1118&amp;$C1118,生产方式定位!$F$3:$J$38,5,FALSE),"错误")</f>
        <v>1831</v>
      </c>
      <c r="Y1118" s="24" t="str">
        <f t="shared" si="274"/>
        <v/>
      </c>
      <c r="Z1118" s="34" t="str">
        <f t="shared" si="275"/>
        <v/>
      </c>
      <c r="AA1118" s="34" t="str">
        <f t="shared" si="272"/>
        <v/>
      </c>
      <c r="AB1118" s="25" t="str">
        <f t="shared" si="276"/>
        <v>2%</v>
      </c>
      <c r="AC1118" s="1">
        <f t="shared" si="277"/>
        <v>-159</v>
      </c>
      <c r="AD1118" s="35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spans="1:49" ht="20" customHeight="1" x14ac:dyDescent="0.3">
      <c r="A1119" s="5" t="s">
        <v>489</v>
      </c>
      <c r="C1119" s="5">
        <v>4</v>
      </c>
      <c r="D1119" s="21" t="s">
        <v>222</v>
      </c>
      <c r="E1119" s="21" t="s">
        <v>225</v>
      </c>
      <c r="L1119" s="5">
        <f>IFERROR(VLOOKUP($D1119&amp;$C1119,生产方式定位!$A$2:$E$38,2,FALSE)+VLOOKUP($E1119&amp;$C1119,生产方式定位!$F$3:$J$38,2,FALSE),0)</f>
        <v>2150</v>
      </c>
      <c r="S1119" s="5">
        <f>IFERROR(VLOOKUP($D1119&amp;$C1119,生产方式定位!$A$2:$E$38,3,FALSE)+VLOOKUP($E1119&amp;$C1119,生产方式定位!$F$3:$J$38,3,FALSE),0)</f>
        <v>200</v>
      </c>
      <c r="X1119" s="5">
        <f>IFERROR(VLOOKUP($D1119&amp;$C1119,生产方式定位!$A$2:$E$38,5,FALSE)+VLOOKUP($E1119&amp;$C1119,生产方式定位!$F$3:$J$38,5,FALSE),"错误")</f>
        <v>2217</v>
      </c>
      <c r="Y1119" s="24" t="str">
        <f t="shared" si="274"/>
        <v/>
      </c>
      <c r="Z1119" s="34" t="str">
        <f t="shared" si="275"/>
        <v/>
      </c>
      <c r="AA1119" s="34" t="str">
        <f t="shared" si="272"/>
        <v/>
      </c>
      <c r="AB1119" s="25" t="str">
        <f t="shared" si="276"/>
        <v>3%</v>
      </c>
      <c r="AC1119" s="1">
        <f t="shared" si="277"/>
        <v>-133</v>
      </c>
      <c r="AD1119" s="35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spans="1:49" ht="20" customHeight="1" x14ac:dyDescent="0.3">
      <c r="A1120" s="5" t="s">
        <v>489</v>
      </c>
      <c r="C1120" s="5">
        <v>5</v>
      </c>
      <c r="D1120" s="21" t="s">
        <v>222</v>
      </c>
      <c r="E1120" s="21" t="s">
        <v>225</v>
      </c>
      <c r="L1120" s="5">
        <f>IFERROR(VLOOKUP($D1120&amp;$C1120,生产方式定位!$A$2:$E$38,2,FALSE)+VLOOKUP($E1120&amp;$C1120,生产方式定位!$F$3:$J$38,2,FALSE),0)</f>
        <v>2500</v>
      </c>
      <c r="S1120" s="5">
        <f>IFERROR(VLOOKUP($D1120&amp;$C1120,生产方式定位!$A$2:$E$38,3,FALSE)+VLOOKUP($E1120&amp;$C1120,生产方式定位!$F$3:$J$38,3,FALSE),0)</f>
        <v>210</v>
      </c>
      <c r="X1120" s="5">
        <f>IFERROR(VLOOKUP($D1120&amp;$C1120,生产方式定位!$A$2:$E$38,5,FALSE)+VLOOKUP($E1120&amp;$C1120,生产方式定位!$F$3:$J$38,5,FALSE),"错误")</f>
        <v>2870</v>
      </c>
      <c r="Y1120" s="24" t="str">
        <f t="shared" si="274"/>
        <v/>
      </c>
      <c r="Z1120" s="34" t="str">
        <f t="shared" si="275"/>
        <v/>
      </c>
      <c r="AA1120" s="34" t="str">
        <f t="shared" si="272"/>
        <v/>
      </c>
      <c r="AB1120" s="25" t="str">
        <f t="shared" si="276"/>
        <v>15%</v>
      </c>
      <c r="AC1120" s="1">
        <f t="shared" si="277"/>
        <v>160</v>
      </c>
      <c r="AD1120" s="35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spans="1:49" ht="20" customHeight="1" x14ac:dyDescent="0.3">
      <c r="A1121" s="18" t="s">
        <v>490</v>
      </c>
      <c r="C1121" s="18">
        <v>1</v>
      </c>
      <c r="D1121" s="21" t="s">
        <v>292</v>
      </c>
      <c r="E1121" s="21" t="s">
        <v>226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str">
        <f t="shared" si="277"/>
        <v/>
      </c>
      <c r="AD1121" s="36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20" customHeight="1" x14ac:dyDescent="0.3">
      <c r="A1122" s="18" t="s">
        <v>490</v>
      </c>
      <c r="C1122" s="18">
        <v>2</v>
      </c>
      <c r="D1122" s="21" t="s">
        <v>292</v>
      </c>
      <c r="E1122" s="21" t="s">
        <v>226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str">
        <f t="shared" si="277"/>
        <v/>
      </c>
      <c r="AD1122" s="36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20" customHeight="1" x14ac:dyDescent="0.3">
      <c r="A1123" s="18" t="s">
        <v>490</v>
      </c>
      <c r="C1123" s="18">
        <v>3</v>
      </c>
      <c r="D1123" s="21" t="s">
        <v>292</v>
      </c>
      <c r="E1123" s="21" t="s">
        <v>226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str">
        <f t="shared" si="277"/>
        <v/>
      </c>
      <c r="AD1123" s="36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20" customHeight="1" x14ac:dyDescent="0.3">
      <c r="A1124" s="18" t="s">
        <v>490</v>
      </c>
      <c r="C1124" s="18">
        <v>4</v>
      </c>
      <c r="D1124" s="21" t="s">
        <v>292</v>
      </c>
      <c r="E1124" s="21" t="s">
        <v>226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str">
        <f t="shared" si="277"/>
        <v/>
      </c>
      <c r="AD1124" s="36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20" customHeight="1" x14ac:dyDescent="0.3">
      <c r="A1125" s="18" t="s">
        <v>490</v>
      </c>
      <c r="C1125" s="18">
        <v>5</v>
      </c>
      <c r="D1125" s="21" t="s">
        <v>292</v>
      </c>
      <c r="E1125" s="21" t="s">
        <v>226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str">
        <f t="shared" si="277"/>
        <v/>
      </c>
      <c r="AD1125" s="36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20" customHeight="1" x14ac:dyDescent="0.3">
      <c r="A1126" s="18" t="s">
        <v>490</v>
      </c>
      <c r="C1126" s="18">
        <v>6</v>
      </c>
      <c r="D1126" s="21" t="s">
        <v>292</v>
      </c>
      <c r="E1126" s="21" t="s">
        <v>226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5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20" customHeight="1" x14ac:dyDescent="0.3">
      <c r="A1127" s="18" t="s">
        <v>490</v>
      </c>
      <c r="C1127" s="18">
        <v>7</v>
      </c>
      <c r="D1127" s="21" t="s">
        <v>292</v>
      </c>
      <c r="E1127" s="21" t="s">
        <v>226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5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20" customHeight="1" x14ac:dyDescent="0.3">
      <c r="A1128" s="18" t="s">
        <v>490</v>
      </c>
      <c r="C1128" s="18">
        <v>8</v>
      </c>
      <c r="D1128" s="21" t="s">
        <v>292</v>
      </c>
      <c r="E1128" s="21" t="s">
        <v>226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5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20" customHeight="1" x14ac:dyDescent="0.3">
      <c r="A1129" s="5" t="s">
        <v>492</v>
      </c>
      <c r="C1129" s="5">
        <v>1</v>
      </c>
      <c r="D1129" s="21" t="s">
        <v>222</v>
      </c>
      <c r="E1129" s="21" t="s">
        <v>224</v>
      </c>
      <c r="L1129" s="5">
        <f>IFERROR(VLOOKUP($D1129&amp;$C1129,生产方式定位!$A$2:$E$38,2,FALSE)+VLOOKUP($E1129&amp;$C1129,生产方式定位!$F$3:$J$38,2,FALSE),0)</f>
        <v>600</v>
      </c>
      <c r="S1129" s="5">
        <f>IFERROR(VLOOKUP($D1129&amp;$C1129,生产方式定位!$A$2:$E$38,3,FALSE)+VLOOKUP($E1129&amp;$C1129,生产方式定位!$F$3:$J$38,3,FALSE),0)</f>
        <v>150</v>
      </c>
      <c r="X1129" s="5">
        <f>IFERROR(VLOOKUP($D1129&amp;$C1129,生产方式定位!$A$2:$E$38,5,FALSE)+VLOOKUP($E1129&amp;$C1129,生产方式定位!$F$3:$J$38,5,FALSE),"错误")</f>
        <v>788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>31%</v>
      </c>
      <c r="AC1129" s="1">
        <f t="shared" si="277"/>
        <v>38</v>
      </c>
      <c r="AD1129" s="35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20" customHeight="1" x14ac:dyDescent="0.3">
      <c r="A1130" s="5" t="s">
        <v>492</v>
      </c>
      <c r="C1130" s="5">
        <v>2</v>
      </c>
      <c r="D1130" s="21" t="s">
        <v>222</v>
      </c>
      <c r="E1130" s="21" t="s">
        <v>224</v>
      </c>
      <c r="L1130" s="5">
        <f>IFERROR(VLOOKUP($D1130&amp;$C1130,生产方式定位!$A$2:$E$38,2,FALSE)+VLOOKUP($E1130&amp;$C1130,生产方式定位!$F$3:$J$38,2,FALSE),0)</f>
        <v>1200</v>
      </c>
      <c r="S1130" s="5">
        <f>IFERROR(VLOOKUP($D1130&amp;$C1130,生产方式定位!$A$2:$E$38,3,FALSE)+VLOOKUP($E1130&amp;$C1130,生产方式定位!$F$3:$J$38,3,FALSE),0)</f>
        <v>140</v>
      </c>
      <c r="X1130" s="5">
        <f>IFERROR(VLOOKUP($D1130&amp;$C1130,生产方式定位!$A$2:$E$38,5,FALSE)+VLOOKUP($E1130&amp;$C1130,生产方式定位!$F$3:$J$38,5,FALSE),"错误")</f>
        <v>1390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>16%</v>
      </c>
      <c r="AC1130" s="1">
        <f t="shared" si="277"/>
        <v>50</v>
      </c>
      <c r="AD1130" s="35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20" customHeight="1" x14ac:dyDescent="0.3">
      <c r="A1131" s="5" t="s">
        <v>492</v>
      </c>
      <c r="C1131" s="5">
        <v>3</v>
      </c>
      <c r="D1131" s="21" t="s">
        <v>222</v>
      </c>
      <c r="E1131" s="21" t="s">
        <v>224</v>
      </c>
      <c r="L1131" s="5">
        <f>IFERROR(VLOOKUP($D1131&amp;$C1131,生产方式定位!$A$2:$E$38,2,FALSE)+VLOOKUP($E1131&amp;$C1131,生产方式定位!$F$3:$J$38,2,FALSE),0)</f>
        <v>1425</v>
      </c>
      <c r="S1131" s="5">
        <f>IFERROR(VLOOKUP($D1131&amp;$C1131,生产方式定位!$A$2:$E$38,3,FALSE)+VLOOKUP($E1131&amp;$C1131,生产方式定位!$F$3:$J$38,3,FALSE),0)</f>
        <v>130</v>
      </c>
      <c r="X1131" s="5">
        <f>IFERROR(VLOOKUP($D1131&amp;$C1131,生产方式定位!$A$2:$E$38,5,FALSE)+VLOOKUP($E1131&amp;$C1131,生产方式定位!$F$3:$J$38,5,FALSE),"错误")</f>
        <v>1618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>14%</v>
      </c>
      <c r="AC1131" s="1">
        <f t="shared" si="277"/>
        <v>63</v>
      </c>
      <c r="AD1131" s="36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20" customHeight="1" x14ac:dyDescent="0.3">
      <c r="A1132" s="5" t="s">
        <v>492</v>
      </c>
      <c r="C1132" s="5">
        <v>4</v>
      </c>
      <c r="D1132" s="21" t="s">
        <v>222</v>
      </c>
      <c r="E1132" s="21" t="s">
        <v>224</v>
      </c>
      <c r="L1132" s="5">
        <f>IFERROR(VLOOKUP($D1132&amp;$C1132,生产方式定位!$A$2:$E$38,2,FALSE)+VLOOKUP($E1132&amp;$C1132,生产方式定位!$F$3:$J$38,2,FALSE),0)</f>
        <v>1650</v>
      </c>
      <c r="S1132" s="5">
        <f>IFERROR(VLOOKUP($D1132&amp;$C1132,生产方式定位!$A$2:$E$38,3,FALSE)+VLOOKUP($E1132&amp;$C1132,生产方式定位!$F$3:$J$38,3,FALSE),0)</f>
        <v>120</v>
      </c>
      <c r="X1132" s="5">
        <f>IFERROR(VLOOKUP($D1132&amp;$C1132,生产方式定位!$A$2:$E$38,5,FALSE)+VLOOKUP($E1132&amp;$C1132,生产方式定位!$F$3:$J$38,5,FALSE),"错误")</f>
        <v>1845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>12%</v>
      </c>
      <c r="AC1132" s="1">
        <f t="shared" si="277"/>
        <v>75</v>
      </c>
      <c r="AD1132" s="36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20" customHeight="1" x14ac:dyDescent="0.3">
      <c r="A1133" s="5" t="s">
        <v>492</v>
      </c>
      <c r="C1133" s="5">
        <v>5</v>
      </c>
      <c r="D1133" s="21" t="s">
        <v>222</v>
      </c>
      <c r="E1133" s="21" t="s">
        <v>224</v>
      </c>
      <c r="L1133" s="5">
        <f>IFERROR(VLOOKUP($D1133&amp;$C1133,生产方式定位!$A$2:$E$38,2,FALSE)+VLOOKUP($E1133&amp;$C1133,生产方式定位!$F$3:$J$38,2,FALSE),0)</f>
        <v>1875</v>
      </c>
      <c r="S1133" s="5">
        <f>IFERROR(VLOOKUP($D1133&amp;$C1133,生产方式定位!$A$2:$E$38,3,FALSE)+VLOOKUP($E1133&amp;$C1133,生产方式定位!$F$3:$J$38,3,FALSE),0)</f>
        <v>110</v>
      </c>
      <c r="X1133" s="5">
        <f>IFERROR(VLOOKUP($D1133&amp;$C1133,生产方式定位!$A$2:$E$38,5,FALSE)+VLOOKUP($E1133&amp;$C1133,生产方式定位!$F$3:$J$38,5,FALSE),"错误")</f>
        <v>2073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>11%</v>
      </c>
      <c r="AC1133" s="1">
        <f t="shared" si="277"/>
        <v>88</v>
      </c>
      <c r="AD1133" s="36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20" customHeight="1" x14ac:dyDescent="0.3">
      <c r="A1134" s="18" t="s">
        <v>493</v>
      </c>
      <c r="C1134" s="18">
        <v>1</v>
      </c>
      <c r="D1134" s="21" t="s">
        <v>222</v>
      </c>
      <c r="E1134" s="21" t="s">
        <v>225</v>
      </c>
      <c r="L1134" s="18">
        <f>IFERROR(VLOOKUP($D1134&amp;$C1134,生产方式定位!$A$2:$E$38,2,FALSE)+VLOOKUP($E1134&amp;$C1134,生产方式定位!$F$3:$J$38,2,FALSE),0)</f>
        <v>600</v>
      </c>
      <c r="S1134" s="18">
        <f>IFERROR(VLOOKUP($D1134&amp;$C1134,生产方式定位!$A$2:$E$38,3,FALSE)+VLOOKUP($E1134&amp;$C1134,生产方式定位!$F$3:$J$38,3,FALSE),0)</f>
        <v>150</v>
      </c>
      <c r="X1134" s="18">
        <f>IFERROR(VLOOKUP($D1134&amp;$C1134,生产方式定位!$A$2:$E$38,5,FALSE)+VLOOKUP($E1134&amp;$C1134,生产方式定位!$F$3:$J$38,5,FALSE),"错误")</f>
        <v>788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>31%</v>
      </c>
      <c r="AC1134" s="1">
        <f t="shared" si="277"/>
        <v>38</v>
      </c>
      <c r="AD1134" s="36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20" customHeight="1" x14ac:dyDescent="0.3">
      <c r="A1135" s="18" t="s">
        <v>493</v>
      </c>
      <c r="C1135" s="18">
        <v>2</v>
      </c>
      <c r="D1135" s="21" t="s">
        <v>222</v>
      </c>
      <c r="E1135" s="21" t="s">
        <v>225</v>
      </c>
      <c r="L1135" s="18">
        <f>IFERROR(VLOOKUP($D1135&amp;$C1135,生产方式定位!$A$2:$E$38,2,FALSE)+VLOOKUP($E1135&amp;$C1135,生产方式定位!$F$3:$J$38,2,FALSE),0)</f>
        <v>1450</v>
      </c>
      <c r="S1135" s="18">
        <f>IFERROR(VLOOKUP($D1135&amp;$C1135,生产方式定位!$A$2:$E$38,3,FALSE)+VLOOKUP($E1135&amp;$C1135,生产方式定位!$F$3:$J$38,3,FALSE),0)</f>
        <v>180</v>
      </c>
      <c r="X1135" s="18">
        <f>IFERROR(VLOOKUP($D1135&amp;$C1135,生产方式定位!$A$2:$E$38,5,FALSE)+VLOOKUP($E1135&amp;$C1135,生产方式定位!$F$3:$J$38,5,FALSE),"错误")</f>
        <v>1472</v>
      </c>
      <c r="Y1135" s="24" t="str">
        <f t="shared" si="274"/>
        <v/>
      </c>
      <c r="Z1135" s="34" t="str">
        <f t="shared" si="275"/>
        <v/>
      </c>
      <c r="AA1135" s="34" t="str">
        <f t="shared" si="272"/>
        <v/>
      </c>
      <c r="AB1135" s="25" t="str">
        <f t="shared" si="276"/>
        <v>2%</v>
      </c>
      <c r="AC1135" s="1">
        <f t="shared" si="277"/>
        <v>-158</v>
      </c>
      <c r="AD1135" s="36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spans="1:49" ht="20" customHeight="1" x14ac:dyDescent="0.3">
      <c r="A1136" s="18" t="s">
        <v>493</v>
      </c>
      <c r="C1136" s="18">
        <v>3</v>
      </c>
      <c r="D1136" s="21" t="s">
        <v>222</v>
      </c>
      <c r="E1136" s="21" t="s">
        <v>225</v>
      </c>
      <c r="L1136" s="18">
        <f>IFERROR(VLOOKUP($D1136&amp;$C1136,生产方式定位!$A$2:$E$38,2,FALSE)+VLOOKUP($E1136&amp;$C1136,生产方式定位!$F$3:$J$38,2,FALSE),0)</f>
        <v>1800</v>
      </c>
      <c r="S1136" s="18">
        <f>IFERROR(VLOOKUP($D1136&amp;$C1136,生产方式定位!$A$2:$E$38,3,FALSE)+VLOOKUP($E1136&amp;$C1136,生产方式定位!$F$3:$J$38,3,FALSE),0)</f>
        <v>190</v>
      </c>
      <c r="X1136" s="18">
        <f>IFERROR(VLOOKUP($D1136&amp;$C1136,生产方式定位!$A$2:$E$38,5,FALSE)+VLOOKUP($E1136&amp;$C1136,生产方式定位!$F$3:$J$38,5,FALSE),"错误")</f>
        <v>1831</v>
      </c>
      <c r="Y1136" s="24" t="str">
        <f t="shared" si="274"/>
        <v/>
      </c>
      <c r="Z1136" s="34" t="str">
        <f t="shared" si="275"/>
        <v/>
      </c>
      <c r="AA1136" s="34" t="str">
        <f t="shared" si="272"/>
        <v/>
      </c>
      <c r="AB1136" s="25" t="str">
        <f t="shared" si="276"/>
        <v>2%</v>
      </c>
      <c r="AC1136" s="1">
        <f t="shared" si="277"/>
        <v>-159</v>
      </c>
      <c r="AD1136" s="36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spans="1:49" ht="20" customHeight="1" x14ac:dyDescent="0.3">
      <c r="A1137" s="18" t="s">
        <v>493</v>
      </c>
      <c r="C1137" s="18">
        <v>4</v>
      </c>
      <c r="D1137" s="21" t="s">
        <v>222</v>
      </c>
      <c r="E1137" s="21" t="s">
        <v>225</v>
      </c>
      <c r="L1137" s="18">
        <f>IFERROR(VLOOKUP($D1137&amp;$C1137,生产方式定位!$A$2:$E$38,2,FALSE)+VLOOKUP($E1137&amp;$C1137,生产方式定位!$F$3:$J$38,2,FALSE),0)</f>
        <v>2150</v>
      </c>
      <c r="S1137" s="18">
        <f>IFERROR(VLOOKUP($D1137&amp;$C1137,生产方式定位!$A$2:$E$38,3,FALSE)+VLOOKUP($E1137&amp;$C1137,生产方式定位!$F$3:$J$38,3,FALSE),0)</f>
        <v>200</v>
      </c>
      <c r="X1137" s="18">
        <f>IFERROR(VLOOKUP($D1137&amp;$C1137,生产方式定位!$A$2:$E$38,5,FALSE)+VLOOKUP($E1137&amp;$C1137,生产方式定位!$F$3:$J$38,5,FALSE),"错误")</f>
        <v>2217</v>
      </c>
      <c r="Y1137" s="24" t="str">
        <f t="shared" si="274"/>
        <v/>
      </c>
      <c r="Z1137" s="34" t="str">
        <f t="shared" si="275"/>
        <v/>
      </c>
      <c r="AA1137" s="34" t="str">
        <f t="shared" si="272"/>
        <v/>
      </c>
      <c r="AB1137" s="25" t="str">
        <f t="shared" si="276"/>
        <v>3%</v>
      </c>
      <c r="AC1137" s="1">
        <f t="shared" si="277"/>
        <v>-133</v>
      </c>
      <c r="AD1137" s="36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spans="1:49" ht="20" customHeight="1" x14ac:dyDescent="0.3">
      <c r="A1138" s="18" t="s">
        <v>493</v>
      </c>
      <c r="C1138" s="18">
        <v>5</v>
      </c>
      <c r="D1138" s="21" t="s">
        <v>222</v>
      </c>
      <c r="E1138" s="21" t="s">
        <v>225</v>
      </c>
      <c r="L1138" s="18">
        <f>IFERROR(VLOOKUP($D1138&amp;$C1138,生产方式定位!$A$2:$E$38,2,FALSE)+VLOOKUP($E1138&amp;$C1138,生产方式定位!$F$3:$J$38,2,FALSE),0)</f>
        <v>2500</v>
      </c>
      <c r="S1138" s="18">
        <f>IFERROR(VLOOKUP($D1138&amp;$C1138,生产方式定位!$A$2:$E$38,3,FALSE)+VLOOKUP($E1138&amp;$C1138,生产方式定位!$F$3:$J$38,3,FALSE),0)</f>
        <v>210</v>
      </c>
      <c r="X1138" s="18">
        <f>IFERROR(VLOOKUP($D1138&amp;$C1138,生产方式定位!$A$2:$E$38,5,FALSE)+VLOOKUP($E1138&amp;$C1138,生产方式定位!$F$3:$J$38,5,FALSE),"错误")</f>
        <v>2870</v>
      </c>
      <c r="Y1138" s="24" t="str">
        <f t="shared" si="274"/>
        <v/>
      </c>
      <c r="Z1138" s="34" t="str">
        <f t="shared" si="275"/>
        <v/>
      </c>
      <c r="AA1138" s="34" t="str">
        <f t="shared" si="272"/>
        <v/>
      </c>
      <c r="AB1138" s="25" t="str">
        <f t="shared" si="276"/>
        <v>15%</v>
      </c>
      <c r="AC1138" s="1">
        <f t="shared" si="277"/>
        <v>160</v>
      </c>
      <c r="AD1138" s="36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spans="1:49" ht="20" customHeight="1" x14ac:dyDescent="0.3">
      <c r="A1139" s="5" t="s">
        <v>493</v>
      </c>
      <c r="C1139" s="5">
        <v>1</v>
      </c>
      <c r="D1139" s="21" t="s">
        <v>222</v>
      </c>
      <c r="E1139" s="21" t="s">
        <v>225</v>
      </c>
      <c r="L1139" s="5">
        <f>IFERROR(VLOOKUP($D1139&amp;$C1139,生产方式定位!$A$2:$E$38,2,FALSE)+VLOOKUP($E1139&amp;$C1139,生产方式定位!$F$3:$J$38,2,FALSE),0)</f>
        <v>600</v>
      </c>
      <c r="S1139" s="5">
        <f>IFERROR(VLOOKUP($D1139&amp;$C1139,生产方式定位!$A$2:$E$38,3,FALSE)+VLOOKUP($E1139&amp;$C1139,生产方式定位!$F$3:$J$38,3,FALSE),0)</f>
        <v>150</v>
      </c>
      <c r="X1139" s="5">
        <f>IFERROR(VLOOKUP($D1139&amp;$C1139,生产方式定位!$A$2:$E$38,5,FALSE)+VLOOKUP($E1139&amp;$C1139,生产方式定位!$F$3:$J$38,5,FALSE),"错误")</f>
        <v>788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>31%</v>
      </c>
      <c r="AC1139" s="1">
        <f t="shared" si="277"/>
        <v>38</v>
      </c>
      <c r="AD1139" s="35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20" customHeight="1" x14ac:dyDescent="0.3">
      <c r="A1140" s="5" t="s">
        <v>493</v>
      </c>
      <c r="C1140" s="5">
        <v>2</v>
      </c>
      <c r="D1140" s="21" t="s">
        <v>222</v>
      </c>
      <c r="E1140" s="21" t="s">
        <v>225</v>
      </c>
      <c r="L1140" s="5">
        <f>IFERROR(VLOOKUP($D1140&amp;$C1140,生产方式定位!$A$2:$E$38,2,FALSE)+VLOOKUP($E1140&amp;$C1140,生产方式定位!$F$3:$J$38,2,FALSE),0)</f>
        <v>1450</v>
      </c>
      <c r="S1140" s="5">
        <f>IFERROR(VLOOKUP($D1140&amp;$C1140,生产方式定位!$A$2:$E$38,3,FALSE)+VLOOKUP($E1140&amp;$C1140,生产方式定位!$F$3:$J$38,3,FALSE),0)</f>
        <v>180</v>
      </c>
      <c r="X1140" s="5">
        <f>IFERROR(VLOOKUP($D1140&amp;$C1140,生产方式定位!$A$2:$E$38,5,FALSE)+VLOOKUP($E1140&amp;$C1140,生产方式定位!$F$3:$J$38,5,FALSE),"错误")</f>
        <v>1472</v>
      </c>
      <c r="Y1140" s="24" t="str">
        <f t="shared" si="274"/>
        <v/>
      </c>
      <c r="Z1140" s="34" t="str">
        <f t="shared" si="275"/>
        <v/>
      </c>
      <c r="AA1140" s="34" t="str">
        <f t="shared" si="272"/>
        <v/>
      </c>
      <c r="AB1140" s="25" t="str">
        <f t="shared" si="276"/>
        <v>2%</v>
      </c>
      <c r="AC1140" s="1">
        <f t="shared" si="277"/>
        <v>-158</v>
      </c>
      <c r="AD1140" s="35">
        <f t="shared" si="273"/>
        <v>2</v>
      </c>
      <c r="AE1140" t="str">
        <f t="shared" si="278"/>
        <v/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 t="str">
        <f>IFERROR(ROUND(L1140*(G1140/$AU1140)/VLOOKUP(F1140,商品!$A$4:$C$60,3,FALSE),0),"")</f>
        <v/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0</v>
      </c>
      <c r="AV1140">
        <f t="shared" si="286"/>
        <v>0</v>
      </c>
      <c r="AW1140">
        <f t="shared" si="287"/>
        <v>0</v>
      </c>
    </row>
    <row r="1141" spans="1:49" ht="20" customHeight="1" x14ac:dyDescent="0.3">
      <c r="A1141" s="5" t="s">
        <v>493</v>
      </c>
      <c r="C1141" s="5">
        <v>3</v>
      </c>
      <c r="D1141" s="21" t="s">
        <v>222</v>
      </c>
      <c r="E1141" s="21" t="s">
        <v>225</v>
      </c>
      <c r="L1141" s="5">
        <f>IFERROR(VLOOKUP($D1141&amp;$C1141,生产方式定位!$A$2:$E$38,2,FALSE)+VLOOKUP($E1141&amp;$C1141,生产方式定位!$F$3:$J$38,2,FALSE),0)</f>
        <v>1800</v>
      </c>
      <c r="S1141" s="5">
        <f>IFERROR(VLOOKUP($D1141&amp;$C1141,生产方式定位!$A$2:$E$38,3,FALSE)+VLOOKUP($E1141&amp;$C1141,生产方式定位!$F$3:$J$38,3,FALSE),0)</f>
        <v>190</v>
      </c>
      <c r="X1141" s="5">
        <f>IFERROR(VLOOKUP($D1141&amp;$C1141,生产方式定位!$A$2:$E$38,5,FALSE)+VLOOKUP($E1141&amp;$C1141,生产方式定位!$F$3:$J$38,5,FALSE),"错误")</f>
        <v>1831</v>
      </c>
      <c r="Y1141" s="24" t="str">
        <f t="shared" si="274"/>
        <v/>
      </c>
      <c r="Z1141" s="34" t="str">
        <f t="shared" si="275"/>
        <v/>
      </c>
      <c r="AA1141" s="34" t="str">
        <f t="shared" si="272"/>
        <v/>
      </c>
      <c r="AB1141" s="25" t="str">
        <f t="shared" si="276"/>
        <v>2%</v>
      </c>
      <c r="AC1141" s="1">
        <f t="shared" si="277"/>
        <v>-159</v>
      </c>
      <c r="AD1141" s="35">
        <f t="shared" si="273"/>
        <v>3</v>
      </c>
      <c r="AE1141" t="str">
        <f t="shared" si="278"/>
        <v/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 t="str">
        <f>IFERROR(ROUND(L1141*(G1141/$AU1141)/VLOOKUP(F1141,商品!$A$4:$C$60,3,FALSE),0),"")</f>
        <v/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0</v>
      </c>
      <c r="AV1141">
        <f t="shared" si="286"/>
        <v>0</v>
      </c>
      <c r="AW1141">
        <f t="shared" si="287"/>
        <v>0</v>
      </c>
    </row>
    <row r="1142" spans="1:49" ht="20" customHeight="1" x14ac:dyDescent="0.3">
      <c r="A1142" s="5" t="s">
        <v>493</v>
      </c>
      <c r="C1142" s="5">
        <v>4</v>
      </c>
      <c r="D1142" s="21" t="s">
        <v>222</v>
      </c>
      <c r="E1142" s="21" t="s">
        <v>225</v>
      </c>
      <c r="L1142" s="5">
        <f>IFERROR(VLOOKUP($D1142&amp;$C1142,生产方式定位!$A$2:$E$38,2,FALSE)+VLOOKUP($E1142&amp;$C1142,生产方式定位!$F$3:$J$38,2,FALSE),0)</f>
        <v>2150</v>
      </c>
      <c r="S1142" s="5">
        <f>IFERROR(VLOOKUP($D1142&amp;$C1142,生产方式定位!$A$2:$E$38,3,FALSE)+VLOOKUP($E1142&amp;$C1142,生产方式定位!$F$3:$J$38,3,FALSE),0)</f>
        <v>200</v>
      </c>
      <c r="X1142" s="5">
        <f>IFERROR(VLOOKUP($D1142&amp;$C1142,生产方式定位!$A$2:$E$38,5,FALSE)+VLOOKUP($E1142&amp;$C1142,生产方式定位!$F$3:$J$38,5,FALSE),"错误")</f>
        <v>2217</v>
      </c>
      <c r="Y1142" s="24" t="str">
        <f t="shared" si="274"/>
        <v/>
      </c>
      <c r="Z1142" s="34" t="str">
        <f t="shared" si="275"/>
        <v/>
      </c>
      <c r="AA1142" s="34" t="str">
        <f t="shared" si="272"/>
        <v/>
      </c>
      <c r="AB1142" s="25" t="str">
        <f t="shared" si="276"/>
        <v>3%</v>
      </c>
      <c r="AC1142" s="1">
        <f t="shared" si="277"/>
        <v>-133</v>
      </c>
      <c r="AD1142" s="35">
        <f t="shared" si="273"/>
        <v>4</v>
      </c>
      <c r="AE1142" t="str">
        <f t="shared" si="278"/>
        <v/>
      </c>
      <c r="AF1142" t="str">
        <f t="shared" si="279"/>
        <v/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 t="str">
        <f>IFERROR(ROUND(L1142*(G1142/$AU1142)/VLOOKUP(F1142,商品!$A$4:$C$60,3,FALSE),0),"")</f>
        <v/>
      </c>
      <c r="AM1142" t="str">
        <f>IFERROR(ROUND(L1142*(I1142/$AU1142)/VLOOKUP(H1142,商品!$A$4:$C$60,3,FALSE),0),"")</f>
        <v/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0</v>
      </c>
      <c r="AV1142">
        <f t="shared" si="286"/>
        <v>0</v>
      </c>
      <c r="AW1142">
        <f t="shared" si="287"/>
        <v>0</v>
      </c>
    </row>
    <row r="1143" spans="1:49" ht="20" customHeight="1" x14ac:dyDescent="0.3">
      <c r="A1143" s="5" t="s">
        <v>493</v>
      </c>
      <c r="C1143" s="5">
        <v>5</v>
      </c>
      <c r="D1143" s="21" t="s">
        <v>222</v>
      </c>
      <c r="E1143" s="21" t="s">
        <v>225</v>
      </c>
      <c r="L1143" s="5">
        <f>IFERROR(VLOOKUP($D1143&amp;$C1143,生产方式定位!$A$2:$E$38,2,FALSE)+VLOOKUP($E1143&amp;$C1143,生产方式定位!$F$3:$J$38,2,FALSE),0)</f>
        <v>2500</v>
      </c>
      <c r="S1143" s="5">
        <f>IFERROR(VLOOKUP($D1143&amp;$C1143,生产方式定位!$A$2:$E$38,3,FALSE)+VLOOKUP($E1143&amp;$C1143,生产方式定位!$F$3:$J$38,3,FALSE),0)</f>
        <v>210</v>
      </c>
      <c r="X1143" s="5">
        <f>IFERROR(VLOOKUP($D1143&amp;$C1143,生产方式定位!$A$2:$E$38,5,FALSE)+VLOOKUP($E1143&amp;$C1143,生产方式定位!$F$3:$J$38,5,FALSE),"错误")</f>
        <v>2870</v>
      </c>
      <c r="Y1143" s="24" t="str">
        <f t="shared" si="274"/>
        <v/>
      </c>
      <c r="Z1143" s="34" t="str">
        <f t="shared" si="275"/>
        <v/>
      </c>
      <c r="AA1143" s="34" t="str">
        <f t="shared" si="272"/>
        <v/>
      </c>
      <c r="AB1143" s="25" t="str">
        <f t="shared" si="276"/>
        <v>15%</v>
      </c>
      <c r="AC1143" s="1">
        <f t="shared" si="277"/>
        <v>160</v>
      </c>
      <c r="AD1143" s="35">
        <f t="shared" si="273"/>
        <v>5</v>
      </c>
      <c r="AE1143" t="str">
        <f t="shared" si="278"/>
        <v/>
      </c>
      <c r="AF1143" t="str">
        <f t="shared" si="279"/>
        <v/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 t="str">
        <f>IFERROR(ROUND(L1143*(G1143/$AU1143)/VLOOKUP(F1143,商品!$A$4:$C$60,3,FALSE),0),"")</f>
        <v/>
      </c>
      <c r="AM1143" t="str">
        <f>IFERROR(ROUND(L1143*(I1143/$AU1143)/VLOOKUP(H1143,商品!$A$4:$C$60,3,FALSE),0),"")</f>
        <v/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0</v>
      </c>
      <c r="AV1143">
        <f t="shared" si="286"/>
        <v>0</v>
      </c>
      <c r="AW1143">
        <f t="shared" si="287"/>
        <v>0</v>
      </c>
    </row>
    <row r="1144" spans="1:49" ht="20" customHeight="1" x14ac:dyDescent="0.3">
      <c r="A1144" s="18" t="s">
        <v>494</v>
      </c>
      <c r="C1144" s="18">
        <v>1</v>
      </c>
      <c r="D1144" s="21" t="s">
        <v>292</v>
      </c>
      <c r="E1144" s="21" t="s">
        <v>226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/>
      </c>
      <c r="AC1144" s="1" t="str">
        <f t="shared" si="277"/>
        <v/>
      </c>
      <c r="AD1144" s="36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20" customHeight="1" x14ac:dyDescent="0.3">
      <c r="A1145" s="18" t="s">
        <v>494</v>
      </c>
      <c r="C1145" s="18">
        <v>2</v>
      </c>
      <c r="D1145" s="21" t="s">
        <v>292</v>
      </c>
      <c r="E1145" s="21" t="s">
        <v>226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24" t="str">
        <f t="shared" si="274"/>
        <v/>
      </c>
      <c r="Z1145" s="34" t="str">
        <f t="shared" si="275"/>
        <v/>
      </c>
      <c r="AA1145" s="34" t="str">
        <f t="shared" si="272"/>
        <v/>
      </c>
      <c r="AB1145" s="25" t="str">
        <f t="shared" si="276"/>
        <v/>
      </c>
      <c r="AC1145" s="1" t="str">
        <f t="shared" si="277"/>
        <v/>
      </c>
      <c r="AD1145" s="36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spans="1:49" ht="20" customHeight="1" x14ac:dyDescent="0.3">
      <c r="A1146" s="18" t="s">
        <v>494</v>
      </c>
      <c r="C1146" s="18">
        <v>3</v>
      </c>
      <c r="D1146" s="21" t="s">
        <v>292</v>
      </c>
      <c r="E1146" s="21" t="s">
        <v>226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24" t="str">
        <f t="shared" si="274"/>
        <v/>
      </c>
      <c r="Z1146" s="34" t="str">
        <f t="shared" si="275"/>
        <v/>
      </c>
      <c r="AA1146" s="34" t="str">
        <f t="shared" si="272"/>
        <v/>
      </c>
      <c r="AB1146" s="25" t="str">
        <f t="shared" si="276"/>
        <v/>
      </c>
      <c r="AC1146" s="1" t="str">
        <f t="shared" si="277"/>
        <v/>
      </c>
      <c r="AD1146" s="36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spans="1:49" ht="20" customHeight="1" x14ac:dyDescent="0.3">
      <c r="A1147" s="18" t="s">
        <v>494</v>
      </c>
      <c r="C1147" s="18">
        <v>4</v>
      </c>
      <c r="D1147" s="21" t="s">
        <v>292</v>
      </c>
      <c r="E1147" s="21" t="s">
        <v>226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24" t="str">
        <f t="shared" si="274"/>
        <v/>
      </c>
      <c r="Z1147" s="34" t="str">
        <f t="shared" si="275"/>
        <v/>
      </c>
      <c r="AA1147" s="34" t="str">
        <f t="shared" si="272"/>
        <v/>
      </c>
      <c r="AB1147" s="25" t="str">
        <f t="shared" si="276"/>
        <v/>
      </c>
      <c r="AC1147" s="1" t="str">
        <f t="shared" si="277"/>
        <v/>
      </c>
      <c r="AD1147" s="36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spans="1:49" ht="20" customHeight="1" x14ac:dyDescent="0.3">
      <c r="A1148" s="18" t="s">
        <v>494</v>
      </c>
      <c r="C1148" s="18">
        <v>5</v>
      </c>
      <c r="D1148" s="21" t="s">
        <v>292</v>
      </c>
      <c r="E1148" s="21" t="s">
        <v>226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24" t="str">
        <f t="shared" si="274"/>
        <v/>
      </c>
      <c r="Z1148" s="34" t="str">
        <f t="shared" si="275"/>
        <v/>
      </c>
      <c r="AA1148" s="34" t="str">
        <f t="shared" si="272"/>
        <v/>
      </c>
      <c r="AB1148" s="25" t="str">
        <f t="shared" si="276"/>
        <v/>
      </c>
      <c r="AC1148" s="1" t="str">
        <f t="shared" si="277"/>
        <v/>
      </c>
      <c r="AD1148" s="36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spans="1:49" ht="20" customHeight="1" x14ac:dyDescent="0.3">
      <c r="A1149" s="18" t="s">
        <v>494</v>
      </c>
      <c r="C1149" s="18">
        <v>6</v>
      </c>
      <c r="D1149" s="21" t="s">
        <v>292</v>
      </c>
      <c r="E1149" s="21" t="s">
        <v>226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5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20" customHeight="1" x14ac:dyDescent="0.3">
      <c r="A1150" s="18" t="s">
        <v>494</v>
      </c>
      <c r="C1150" s="18">
        <v>7</v>
      </c>
      <c r="D1150" s="21" t="s">
        <v>292</v>
      </c>
      <c r="E1150" s="21" t="s">
        <v>226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5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20" customHeight="1" x14ac:dyDescent="0.3">
      <c r="A1151" s="18" t="s">
        <v>494</v>
      </c>
      <c r="C1151" s="18">
        <v>8</v>
      </c>
      <c r="D1151" s="21" t="s">
        <v>292</v>
      </c>
      <c r="E1151" s="21" t="s">
        <v>226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5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20" customHeight="1" x14ac:dyDescent="0.3">
      <c r="A1152" s="5" t="s">
        <v>496</v>
      </c>
      <c r="C1152" s="5">
        <v>1</v>
      </c>
      <c r="D1152" s="21" t="s">
        <v>222</v>
      </c>
      <c r="E1152" s="21" t="s">
        <v>224</v>
      </c>
      <c r="L1152" s="5">
        <f>IFERROR(VLOOKUP($D1152&amp;$C1152,生产方式定位!$A$2:$E$38,2,FALSE)+VLOOKUP($E1152&amp;$C1152,生产方式定位!$F$3:$J$38,2,FALSE),0)</f>
        <v>600</v>
      </c>
      <c r="S1152" s="5">
        <f>IFERROR(VLOOKUP($D1152&amp;$C1152,生产方式定位!$A$2:$E$38,3,FALSE)+VLOOKUP($E1152&amp;$C1152,生产方式定位!$F$3:$J$38,3,FALSE),0)</f>
        <v>150</v>
      </c>
      <c r="X1152" s="5">
        <f>IFERROR(VLOOKUP($D1152&amp;$C1152,生产方式定位!$A$2:$E$38,5,FALSE)+VLOOKUP($E1152&amp;$C1152,生产方式定位!$F$3:$J$38,5,FALSE),"错误")</f>
        <v>788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>31%</v>
      </c>
      <c r="AC1152" s="1">
        <f t="shared" si="277"/>
        <v>38</v>
      </c>
      <c r="AD1152" s="35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20" customHeight="1" x14ac:dyDescent="0.3">
      <c r="A1153" s="5" t="s">
        <v>496</v>
      </c>
      <c r="C1153" s="5">
        <v>2</v>
      </c>
      <c r="D1153" s="21" t="s">
        <v>222</v>
      </c>
      <c r="E1153" s="21" t="s">
        <v>224</v>
      </c>
      <c r="L1153" s="5">
        <f>IFERROR(VLOOKUP($D1153&amp;$C1153,生产方式定位!$A$2:$E$38,2,FALSE)+VLOOKUP($E1153&amp;$C1153,生产方式定位!$F$3:$J$38,2,FALSE),0)</f>
        <v>1200</v>
      </c>
      <c r="S1153" s="5">
        <f>IFERROR(VLOOKUP($D1153&amp;$C1153,生产方式定位!$A$2:$E$38,3,FALSE)+VLOOKUP($E1153&amp;$C1153,生产方式定位!$F$3:$J$38,3,FALSE),0)</f>
        <v>140</v>
      </c>
      <c r="X1153" s="5">
        <f>IFERROR(VLOOKUP($D1153&amp;$C1153,生产方式定位!$A$2:$E$38,5,FALSE)+VLOOKUP($E1153&amp;$C1153,生产方式定位!$F$3:$J$38,5,FALSE),"错误")</f>
        <v>1390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>16%</v>
      </c>
      <c r="AC1153" s="1">
        <f t="shared" si="277"/>
        <v>50</v>
      </c>
      <c r="AD1153" s="35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20" customHeight="1" x14ac:dyDescent="0.3">
      <c r="A1154" s="5" t="s">
        <v>496</v>
      </c>
      <c r="C1154" s="5">
        <v>3</v>
      </c>
      <c r="D1154" s="21" t="s">
        <v>222</v>
      </c>
      <c r="E1154" s="21" t="s">
        <v>224</v>
      </c>
      <c r="L1154" s="5">
        <f>IFERROR(VLOOKUP($D1154&amp;$C1154,生产方式定位!$A$2:$E$38,2,FALSE)+VLOOKUP($E1154&amp;$C1154,生产方式定位!$F$3:$J$38,2,FALSE),0)</f>
        <v>1425</v>
      </c>
      <c r="S1154" s="5">
        <f>IFERROR(VLOOKUP($D1154&amp;$C1154,生产方式定位!$A$2:$E$38,3,FALSE)+VLOOKUP($E1154&amp;$C1154,生产方式定位!$F$3:$J$38,3,FALSE),0)</f>
        <v>130</v>
      </c>
      <c r="X1154" s="5">
        <f>IFERROR(VLOOKUP($D1154&amp;$C1154,生产方式定位!$A$2:$E$38,5,FALSE)+VLOOKUP($E1154&amp;$C1154,生产方式定位!$F$3:$J$38,5,FALSE),"错误")</f>
        <v>1618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>14%</v>
      </c>
      <c r="AC1154" s="1">
        <f t="shared" si="277"/>
        <v>63</v>
      </c>
      <c r="AD1154" s="36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20" customHeight="1" x14ac:dyDescent="0.3">
      <c r="A1155" s="5" t="s">
        <v>496</v>
      </c>
      <c r="C1155" s="5">
        <v>4</v>
      </c>
      <c r="D1155" s="21" t="s">
        <v>222</v>
      </c>
      <c r="E1155" s="21" t="s">
        <v>224</v>
      </c>
      <c r="L1155" s="5">
        <f>IFERROR(VLOOKUP($D1155&amp;$C1155,生产方式定位!$A$2:$E$38,2,FALSE)+VLOOKUP($E1155&amp;$C1155,生产方式定位!$F$3:$J$38,2,FALSE),0)</f>
        <v>1650</v>
      </c>
      <c r="S1155" s="5">
        <f>IFERROR(VLOOKUP($D1155&amp;$C1155,生产方式定位!$A$2:$E$38,3,FALSE)+VLOOKUP($E1155&amp;$C1155,生产方式定位!$F$3:$J$38,3,FALSE),0)</f>
        <v>120</v>
      </c>
      <c r="X1155" s="5">
        <f>IFERROR(VLOOKUP($D1155&amp;$C1155,生产方式定位!$A$2:$E$38,5,FALSE)+VLOOKUP($E1155&amp;$C1155,生产方式定位!$F$3:$J$38,5,FALSE),"错误")</f>
        <v>1845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>12%</v>
      </c>
      <c r="AC1155" s="1">
        <f t="shared" si="277"/>
        <v>75</v>
      </c>
      <c r="AD1155" s="36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20" customHeight="1" x14ac:dyDescent="0.3">
      <c r="A1156" s="5" t="s">
        <v>496</v>
      </c>
      <c r="C1156" s="5">
        <v>5</v>
      </c>
      <c r="D1156" s="21" t="s">
        <v>222</v>
      </c>
      <c r="E1156" s="21" t="s">
        <v>224</v>
      </c>
      <c r="L1156" s="5">
        <f>IFERROR(VLOOKUP($D1156&amp;$C1156,生产方式定位!$A$2:$E$38,2,FALSE)+VLOOKUP($E1156&amp;$C1156,生产方式定位!$F$3:$J$38,2,FALSE),0)</f>
        <v>1875</v>
      </c>
      <c r="S1156" s="5">
        <f>IFERROR(VLOOKUP($D1156&amp;$C1156,生产方式定位!$A$2:$E$38,3,FALSE)+VLOOKUP($E1156&amp;$C1156,生产方式定位!$F$3:$J$38,3,FALSE),0)</f>
        <v>110</v>
      </c>
      <c r="X1156" s="5">
        <f>IFERROR(VLOOKUP($D1156&amp;$C1156,生产方式定位!$A$2:$E$38,5,FALSE)+VLOOKUP($E1156&amp;$C1156,生产方式定位!$F$3:$J$38,5,FALSE),"错误")</f>
        <v>2073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>11%</v>
      </c>
      <c r="AC1156" s="1">
        <f t="shared" si="277"/>
        <v>88</v>
      </c>
      <c r="AD1156" s="36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20" customHeight="1" x14ac:dyDescent="0.3">
      <c r="A1157" s="18" t="s">
        <v>497</v>
      </c>
      <c r="C1157" s="18">
        <v>1</v>
      </c>
      <c r="D1157" s="21" t="s">
        <v>222</v>
      </c>
      <c r="E1157" s="21" t="s">
        <v>225</v>
      </c>
      <c r="L1157" s="18">
        <f>IFERROR(VLOOKUP($D1157&amp;$C1157,生产方式定位!$A$2:$E$38,2,FALSE)+VLOOKUP($E1157&amp;$C1157,生产方式定位!$F$3:$J$38,2,FALSE),0)</f>
        <v>600</v>
      </c>
      <c r="S1157" s="18">
        <f>IFERROR(VLOOKUP($D1157&amp;$C1157,生产方式定位!$A$2:$E$38,3,FALSE)+VLOOKUP($E1157&amp;$C1157,生产方式定位!$F$3:$J$38,3,FALSE),0)</f>
        <v>150</v>
      </c>
      <c r="X1157" s="18">
        <f>IFERROR(VLOOKUP($D1157&amp;$C1157,生产方式定位!$A$2:$E$38,5,FALSE)+VLOOKUP($E1157&amp;$C1157,生产方式定位!$F$3:$J$38,5,FALSE),"错误")</f>
        <v>788</v>
      </c>
      <c r="Y1157" s="24" t="str">
        <f t="shared" si="274"/>
        <v/>
      </c>
      <c r="Z1157" s="34" t="str">
        <f t="shared" si="275"/>
        <v/>
      </c>
      <c r="AA1157" s="34" t="str">
        <f t="shared" ref="AA1157:AA1197" si="288">IF(AJ1157="","",AJ1157)&amp;IF(AK1157="","",","&amp;AK1157)</f>
        <v/>
      </c>
      <c r="AB1157" s="25" t="str">
        <f t="shared" si="276"/>
        <v>31%</v>
      </c>
      <c r="AC1157" s="1">
        <f t="shared" si="277"/>
        <v>38</v>
      </c>
      <c r="AD1157" s="36">
        <f t="shared" ref="AD1157:AD119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20" customHeight="1" x14ac:dyDescent="0.3">
      <c r="A1158" s="18" t="s">
        <v>497</v>
      </c>
      <c r="C1158" s="18">
        <v>2</v>
      </c>
      <c r="D1158" s="21" t="s">
        <v>222</v>
      </c>
      <c r="E1158" s="21" t="s">
        <v>225</v>
      </c>
      <c r="L1158" s="18">
        <f>IFERROR(VLOOKUP($D1158&amp;$C1158,生产方式定位!$A$2:$E$38,2,FALSE)+VLOOKUP($E1158&amp;$C1158,生产方式定位!$F$3:$J$38,2,FALSE),0)</f>
        <v>1450</v>
      </c>
      <c r="S1158" s="18">
        <f>IFERROR(VLOOKUP($D1158&amp;$C1158,生产方式定位!$A$2:$E$38,3,FALSE)+VLOOKUP($E1158&amp;$C1158,生产方式定位!$F$3:$J$38,3,FALSE),0)</f>
        <v>180</v>
      </c>
      <c r="X1158" s="18">
        <f>IFERROR(VLOOKUP($D1158&amp;$C1158,生产方式定位!$A$2:$E$38,5,FALSE)+VLOOKUP($E1158&amp;$C1158,生产方式定位!$F$3:$J$38,5,FALSE),"错误")</f>
        <v>1472</v>
      </c>
      <c r="Y1158" s="24" t="str">
        <f t="shared" ref="Y1158:Y1197" si="290">IF(AE1158="","",AE1158)&amp;IF(AF1158="","",","&amp;AF1158)&amp;IF(AN1158=0,"",",运力*"&amp;AN1158)&amp;IF(AO1158=0,"",",交易*"&amp;AO1158)</f>
        <v/>
      </c>
      <c r="Z1158" s="34" t="str">
        <f t="shared" ref="Z1158:Z1197" si="291">IF(AG1158="","",AG1158)&amp;IF(AH1158="","",","&amp;AH1158)&amp;IF(AI1158="","",","&amp;AI1158)</f>
        <v/>
      </c>
      <c r="AA1158" s="34" t="str">
        <f t="shared" si="288"/>
        <v/>
      </c>
      <c r="AB1158" s="25" t="str">
        <f t="shared" ref="AB1158:AB1197" si="292">IFERROR(ROUND(((X1158/L1158)-1)*100,0)&amp;"%","")</f>
        <v>2%</v>
      </c>
      <c r="AC1158" s="1">
        <f t="shared" ref="AC1158:AC1197" si="293">IF(X1158-S1158-L1158=0,"",X1158-S1158-L1158)</f>
        <v>-158</v>
      </c>
      <c r="AD1158" s="36">
        <f t="shared" si="289"/>
        <v>2</v>
      </c>
      <c r="AE1158" t="str">
        <f t="shared" ref="AE1158:AE1197" si="294">IF(AL1158="","",F1158&amp;"*"&amp;AL1158)</f>
        <v/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spans="1:49" ht="20" customHeight="1" x14ac:dyDescent="0.3">
      <c r="A1159" s="18" t="s">
        <v>497</v>
      </c>
      <c r="C1159" s="18">
        <v>3</v>
      </c>
      <c r="D1159" s="21" t="s">
        <v>222</v>
      </c>
      <c r="E1159" s="21" t="s">
        <v>225</v>
      </c>
      <c r="L1159" s="18">
        <f>IFERROR(VLOOKUP($D1159&amp;$C1159,生产方式定位!$A$2:$E$38,2,FALSE)+VLOOKUP($E1159&amp;$C1159,生产方式定位!$F$3:$J$38,2,FALSE),0)</f>
        <v>1800</v>
      </c>
      <c r="S1159" s="18">
        <f>IFERROR(VLOOKUP($D1159&amp;$C1159,生产方式定位!$A$2:$E$38,3,FALSE)+VLOOKUP($E1159&amp;$C1159,生产方式定位!$F$3:$J$38,3,FALSE),0)</f>
        <v>190</v>
      </c>
      <c r="X1159" s="18">
        <f>IFERROR(VLOOKUP($D1159&amp;$C1159,生产方式定位!$A$2:$E$38,5,FALSE)+VLOOKUP($E1159&amp;$C1159,生产方式定位!$F$3:$J$38,5,FALSE),"错误")</f>
        <v>1831</v>
      </c>
      <c r="Y1159" s="24" t="str">
        <f t="shared" si="290"/>
        <v/>
      </c>
      <c r="Z1159" s="34" t="str">
        <f t="shared" si="291"/>
        <v/>
      </c>
      <c r="AA1159" s="34" t="str">
        <f t="shared" si="288"/>
        <v/>
      </c>
      <c r="AB1159" s="25" t="str">
        <f t="shared" si="292"/>
        <v>2%</v>
      </c>
      <c r="AC1159" s="1">
        <f t="shared" si="293"/>
        <v>-159</v>
      </c>
      <c r="AD1159" s="36">
        <f t="shared" si="289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spans="1:49" ht="20" customHeight="1" x14ac:dyDescent="0.3">
      <c r="A1160" s="18" t="s">
        <v>497</v>
      </c>
      <c r="C1160" s="18">
        <v>4</v>
      </c>
      <c r="D1160" s="21" t="s">
        <v>222</v>
      </c>
      <c r="E1160" s="21" t="s">
        <v>225</v>
      </c>
      <c r="L1160" s="18">
        <f>IFERROR(VLOOKUP($D1160&amp;$C1160,生产方式定位!$A$2:$E$38,2,FALSE)+VLOOKUP($E1160&amp;$C1160,生产方式定位!$F$3:$J$38,2,FALSE),0)</f>
        <v>2150</v>
      </c>
      <c r="S1160" s="18">
        <f>IFERROR(VLOOKUP($D1160&amp;$C1160,生产方式定位!$A$2:$E$38,3,FALSE)+VLOOKUP($E1160&amp;$C1160,生产方式定位!$F$3:$J$38,3,FALSE),0)</f>
        <v>200</v>
      </c>
      <c r="X1160" s="18">
        <f>IFERROR(VLOOKUP($D1160&amp;$C1160,生产方式定位!$A$2:$E$38,5,FALSE)+VLOOKUP($E1160&amp;$C1160,生产方式定位!$F$3:$J$38,5,FALSE),"错误")</f>
        <v>2217</v>
      </c>
      <c r="Y1160" s="24" t="str">
        <f t="shared" si="290"/>
        <v/>
      </c>
      <c r="Z1160" s="34" t="str">
        <f t="shared" si="291"/>
        <v/>
      </c>
      <c r="AA1160" s="34" t="str">
        <f t="shared" si="288"/>
        <v/>
      </c>
      <c r="AB1160" s="25" t="str">
        <f t="shared" si="292"/>
        <v>3%</v>
      </c>
      <c r="AC1160" s="1">
        <f t="shared" si="293"/>
        <v>-133</v>
      </c>
      <c r="AD1160" s="36">
        <f t="shared" si="289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spans="1:49" ht="20" customHeight="1" x14ac:dyDescent="0.3">
      <c r="A1161" s="18" t="s">
        <v>497</v>
      </c>
      <c r="C1161" s="18">
        <v>5</v>
      </c>
      <c r="D1161" s="21" t="s">
        <v>222</v>
      </c>
      <c r="E1161" s="21" t="s">
        <v>225</v>
      </c>
      <c r="L1161" s="18">
        <f>IFERROR(VLOOKUP($D1161&amp;$C1161,生产方式定位!$A$2:$E$38,2,FALSE)+VLOOKUP($E1161&amp;$C1161,生产方式定位!$F$3:$J$38,2,FALSE),0)</f>
        <v>2500</v>
      </c>
      <c r="S1161" s="18">
        <f>IFERROR(VLOOKUP($D1161&amp;$C1161,生产方式定位!$A$2:$E$38,3,FALSE)+VLOOKUP($E1161&amp;$C1161,生产方式定位!$F$3:$J$38,3,FALSE),0)</f>
        <v>210</v>
      </c>
      <c r="X1161" s="18">
        <f>IFERROR(VLOOKUP($D1161&amp;$C1161,生产方式定位!$A$2:$E$38,5,FALSE)+VLOOKUP($E1161&amp;$C1161,生产方式定位!$F$3:$J$38,5,FALSE),"错误")</f>
        <v>2870</v>
      </c>
      <c r="Y1161" s="24" t="str">
        <f t="shared" si="290"/>
        <v/>
      </c>
      <c r="Z1161" s="34" t="str">
        <f t="shared" si="291"/>
        <v/>
      </c>
      <c r="AA1161" s="34" t="str">
        <f t="shared" si="288"/>
        <v/>
      </c>
      <c r="AB1161" s="25" t="str">
        <f t="shared" si="292"/>
        <v>15%</v>
      </c>
      <c r="AC1161" s="1">
        <f t="shared" si="293"/>
        <v>160</v>
      </c>
      <c r="AD1161" s="36">
        <f t="shared" si="289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spans="1:49" ht="20" customHeight="1" x14ac:dyDescent="0.3">
      <c r="A1162" s="5" t="s">
        <v>497</v>
      </c>
      <c r="C1162" s="5">
        <v>1</v>
      </c>
      <c r="D1162" s="21" t="s">
        <v>222</v>
      </c>
      <c r="E1162" s="21" t="s">
        <v>225</v>
      </c>
      <c r="L1162" s="5">
        <f>IFERROR(VLOOKUP($D1162&amp;$C1162,生产方式定位!$A$2:$E$38,2,FALSE)+VLOOKUP($E1162&amp;$C1162,生产方式定位!$F$3:$J$38,2,FALSE),0)</f>
        <v>600</v>
      </c>
      <c r="S1162" s="5">
        <f>IFERROR(VLOOKUP($D1162&amp;$C1162,生产方式定位!$A$2:$E$38,3,FALSE)+VLOOKUP($E1162&amp;$C1162,生产方式定位!$F$3:$J$38,3,FALSE),0)</f>
        <v>150</v>
      </c>
      <c r="X1162" s="5">
        <f>IFERROR(VLOOKUP($D1162&amp;$C1162,生产方式定位!$A$2:$E$38,5,FALSE)+VLOOKUP($E1162&amp;$C1162,生产方式定位!$F$3:$J$38,5,FALSE),"错误")</f>
        <v>788</v>
      </c>
      <c r="Y1162" s="24" t="str">
        <f t="shared" si="290"/>
        <v/>
      </c>
      <c r="Z1162" s="34" t="str">
        <f t="shared" si="291"/>
        <v/>
      </c>
      <c r="AA1162" s="34" t="str">
        <f t="shared" si="288"/>
        <v/>
      </c>
      <c r="AB1162" s="25" t="str">
        <f t="shared" si="292"/>
        <v>31%</v>
      </c>
      <c r="AC1162" s="1">
        <f t="shared" si="293"/>
        <v>38</v>
      </c>
      <c r="AD1162" s="35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20" customHeight="1" x14ac:dyDescent="0.3">
      <c r="A1163" s="5" t="s">
        <v>497</v>
      </c>
      <c r="C1163" s="5">
        <v>2</v>
      </c>
      <c r="D1163" s="21" t="s">
        <v>222</v>
      </c>
      <c r="E1163" s="21" t="s">
        <v>225</v>
      </c>
      <c r="L1163" s="5">
        <f>IFERROR(VLOOKUP($D1163&amp;$C1163,生产方式定位!$A$2:$E$38,2,FALSE)+VLOOKUP($E1163&amp;$C1163,生产方式定位!$F$3:$J$38,2,FALSE),0)</f>
        <v>1450</v>
      </c>
      <c r="S1163" s="5">
        <f>IFERROR(VLOOKUP($D1163&amp;$C1163,生产方式定位!$A$2:$E$38,3,FALSE)+VLOOKUP($E1163&amp;$C1163,生产方式定位!$F$3:$J$38,3,FALSE),0)</f>
        <v>180</v>
      </c>
      <c r="X1163" s="5">
        <f>IFERROR(VLOOKUP($D1163&amp;$C1163,生产方式定位!$A$2:$E$38,5,FALSE)+VLOOKUP($E1163&amp;$C1163,生产方式定位!$F$3:$J$38,5,FALSE),"错误")</f>
        <v>1472</v>
      </c>
      <c r="Y1163" s="24" t="str">
        <f t="shared" si="290"/>
        <v/>
      </c>
      <c r="Z1163" s="34" t="str">
        <f t="shared" si="291"/>
        <v/>
      </c>
      <c r="AA1163" s="34" t="str">
        <f t="shared" si="288"/>
        <v/>
      </c>
      <c r="AB1163" s="25" t="str">
        <f t="shared" si="292"/>
        <v>2%</v>
      </c>
      <c r="AC1163" s="1">
        <f t="shared" si="293"/>
        <v>-158</v>
      </c>
      <c r="AD1163" s="35">
        <f t="shared" si="289"/>
        <v>2</v>
      </c>
      <c r="AE1163" t="str">
        <f t="shared" si="294"/>
        <v/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 t="str">
        <f>IFERROR(ROUND(L1163*(G1163/$AU1163)/VLOOKUP(F1163,商品!$A$4:$C$60,3,FALSE),0),"")</f>
        <v/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0</v>
      </c>
      <c r="AV1163">
        <f t="shared" si="302"/>
        <v>0</v>
      </c>
      <c r="AW1163">
        <f t="shared" si="303"/>
        <v>0</v>
      </c>
    </row>
    <row r="1164" spans="1:49" ht="20" customHeight="1" x14ac:dyDescent="0.3">
      <c r="A1164" s="5" t="s">
        <v>497</v>
      </c>
      <c r="C1164" s="5">
        <v>3</v>
      </c>
      <c r="D1164" s="21" t="s">
        <v>222</v>
      </c>
      <c r="E1164" s="21" t="s">
        <v>225</v>
      </c>
      <c r="L1164" s="5">
        <f>IFERROR(VLOOKUP($D1164&amp;$C1164,生产方式定位!$A$2:$E$38,2,FALSE)+VLOOKUP($E1164&amp;$C1164,生产方式定位!$F$3:$J$38,2,FALSE),0)</f>
        <v>1800</v>
      </c>
      <c r="S1164" s="5">
        <f>IFERROR(VLOOKUP($D1164&amp;$C1164,生产方式定位!$A$2:$E$38,3,FALSE)+VLOOKUP($E1164&amp;$C1164,生产方式定位!$F$3:$J$38,3,FALSE),0)</f>
        <v>190</v>
      </c>
      <c r="X1164" s="5">
        <f>IFERROR(VLOOKUP($D1164&amp;$C1164,生产方式定位!$A$2:$E$38,5,FALSE)+VLOOKUP($E1164&amp;$C1164,生产方式定位!$F$3:$J$38,5,FALSE),"错误")</f>
        <v>1831</v>
      </c>
      <c r="Y1164" s="24" t="str">
        <f t="shared" si="290"/>
        <v/>
      </c>
      <c r="Z1164" s="34" t="str">
        <f t="shared" si="291"/>
        <v/>
      </c>
      <c r="AA1164" s="34" t="str">
        <f t="shared" si="288"/>
        <v/>
      </c>
      <c r="AB1164" s="25" t="str">
        <f t="shared" si="292"/>
        <v>2%</v>
      </c>
      <c r="AC1164" s="1">
        <f t="shared" si="293"/>
        <v>-159</v>
      </c>
      <c r="AD1164" s="35">
        <f t="shared" si="289"/>
        <v>3</v>
      </c>
      <c r="AE1164" t="str">
        <f t="shared" si="294"/>
        <v/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 t="str">
        <f>IFERROR(ROUND(L1164*(G1164/$AU1164)/VLOOKUP(F1164,商品!$A$4:$C$60,3,FALSE),0),"")</f>
        <v/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0</v>
      </c>
      <c r="AV1164">
        <f t="shared" si="302"/>
        <v>0</v>
      </c>
      <c r="AW1164">
        <f t="shared" si="303"/>
        <v>0</v>
      </c>
    </row>
    <row r="1165" spans="1:49" ht="20" customHeight="1" x14ac:dyDescent="0.3">
      <c r="A1165" s="5" t="s">
        <v>497</v>
      </c>
      <c r="C1165" s="5">
        <v>4</v>
      </c>
      <c r="D1165" s="21" t="s">
        <v>222</v>
      </c>
      <c r="E1165" s="21" t="s">
        <v>225</v>
      </c>
      <c r="L1165" s="5">
        <f>IFERROR(VLOOKUP($D1165&amp;$C1165,生产方式定位!$A$2:$E$38,2,FALSE)+VLOOKUP($E1165&amp;$C1165,生产方式定位!$F$3:$J$38,2,FALSE),0)</f>
        <v>2150</v>
      </c>
      <c r="S1165" s="5">
        <f>IFERROR(VLOOKUP($D1165&amp;$C1165,生产方式定位!$A$2:$E$38,3,FALSE)+VLOOKUP($E1165&amp;$C1165,生产方式定位!$F$3:$J$38,3,FALSE),0)</f>
        <v>200</v>
      </c>
      <c r="X1165" s="5">
        <f>IFERROR(VLOOKUP($D1165&amp;$C1165,生产方式定位!$A$2:$E$38,5,FALSE)+VLOOKUP($E1165&amp;$C1165,生产方式定位!$F$3:$J$38,5,FALSE),"错误")</f>
        <v>2217</v>
      </c>
      <c r="Y1165" s="24" t="str">
        <f t="shared" si="290"/>
        <v/>
      </c>
      <c r="Z1165" s="34" t="str">
        <f t="shared" si="291"/>
        <v/>
      </c>
      <c r="AA1165" s="34" t="str">
        <f t="shared" si="288"/>
        <v/>
      </c>
      <c r="AB1165" s="25" t="str">
        <f t="shared" si="292"/>
        <v>3%</v>
      </c>
      <c r="AC1165" s="1">
        <f t="shared" si="293"/>
        <v>-133</v>
      </c>
      <c r="AD1165" s="35">
        <f t="shared" si="289"/>
        <v>4</v>
      </c>
      <c r="AE1165" t="str">
        <f t="shared" si="294"/>
        <v/>
      </c>
      <c r="AF1165" t="str">
        <f t="shared" si="295"/>
        <v/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 t="str">
        <f>IFERROR(ROUND(L1165*(G1165/$AU1165)/VLOOKUP(F1165,商品!$A$4:$C$60,3,FALSE),0),"")</f>
        <v/>
      </c>
      <c r="AM1165" t="str">
        <f>IFERROR(ROUND(L1165*(I1165/$AU1165)/VLOOKUP(H1165,商品!$A$4:$C$60,3,FALSE),0),"")</f>
        <v/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0</v>
      </c>
      <c r="AV1165">
        <f t="shared" si="302"/>
        <v>0</v>
      </c>
      <c r="AW1165">
        <f t="shared" si="303"/>
        <v>0</v>
      </c>
    </row>
    <row r="1166" spans="1:49" ht="20" customHeight="1" x14ac:dyDescent="0.3">
      <c r="A1166" s="5" t="s">
        <v>497</v>
      </c>
      <c r="C1166" s="5">
        <v>5</v>
      </c>
      <c r="D1166" s="21" t="s">
        <v>222</v>
      </c>
      <c r="E1166" s="21" t="s">
        <v>225</v>
      </c>
      <c r="L1166" s="5">
        <f>IFERROR(VLOOKUP($D1166&amp;$C1166,生产方式定位!$A$2:$E$38,2,FALSE)+VLOOKUP($E1166&amp;$C1166,生产方式定位!$F$3:$J$38,2,FALSE),0)</f>
        <v>2500</v>
      </c>
      <c r="S1166" s="5">
        <f>IFERROR(VLOOKUP($D1166&amp;$C1166,生产方式定位!$A$2:$E$38,3,FALSE)+VLOOKUP($E1166&amp;$C1166,生产方式定位!$F$3:$J$38,3,FALSE),0)</f>
        <v>210</v>
      </c>
      <c r="X1166" s="5">
        <f>IFERROR(VLOOKUP($D1166&amp;$C1166,生产方式定位!$A$2:$E$38,5,FALSE)+VLOOKUP($E1166&amp;$C1166,生产方式定位!$F$3:$J$38,5,FALSE),"错误")</f>
        <v>2870</v>
      </c>
      <c r="Y1166" s="24" t="str">
        <f t="shared" si="290"/>
        <v/>
      </c>
      <c r="Z1166" s="34" t="str">
        <f t="shared" si="291"/>
        <v/>
      </c>
      <c r="AA1166" s="34" t="str">
        <f t="shared" si="288"/>
        <v/>
      </c>
      <c r="AB1166" s="25" t="str">
        <f t="shared" si="292"/>
        <v>15%</v>
      </c>
      <c r="AC1166" s="1">
        <f t="shared" si="293"/>
        <v>160</v>
      </c>
      <c r="AD1166" s="35">
        <f t="shared" si="289"/>
        <v>5</v>
      </c>
      <c r="AE1166" t="str">
        <f t="shared" si="294"/>
        <v/>
      </c>
      <c r="AF1166" t="str">
        <f t="shared" si="295"/>
        <v/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 t="str">
        <f>IFERROR(ROUND(L1166*(G1166/$AU1166)/VLOOKUP(F1166,商品!$A$4:$C$60,3,FALSE),0),"")</f>
        <v/>
      </c>
      <c r="AM1166" t="str">
        <f>IFERROR(ROUND(L1166*(I1166/$AU1166)/VLOOKUP(H1166,商品!$A$4:$C$60,3,FALSE),0),"")</f>
        <v/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0</v>
      </c>
      <c r="AV1166">
        <f t="shared" si="302"/>
        <v>0</v>
      </c>
      <c r="AW1166">
        <f t="shared" si="303"/>
        <v>0</v>
      </c>
    </row>
    <row r="1167" spans="1:49" ht="20" customHeight="1" x14ac:dyDescent="0.3">
      <c r="A1167" s="18" t="s">
        <v>498</v>
      </c>
      <c r="C1167" s="18">
        <v>1</v>
      </c>
      <c r="D1167" s="21" t="s">
        <v>292</v>
      </c>
      <c r="E1167" s="21" t="s">
        <v>226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/>
      </c>
      <c r="AC1167" s="1" t="str">
        <f t="shared" si="293"/>
        <v/>
      </c>
      <c r="AD1167" s="36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20" customHeight="1" x14ac:dyDescent="0.3">
      <c r="A1168" s="18" t="s">
        <v>498</v>
      </c>
      <c r="C1168" s="18">
        <v>2</v>
      </c>
      <c r="D1168" s="21" t="s">
        <v>292</v>
      </c>
      <c r="E1168" s="21" t="s">
        <v>226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24" t="str">
        <f t="shared" si="290"/>
        <v/>
      </c>
      <c r="Z1168" s="34" t="str">
        <f t="shared" si="291"/>
        <v/>
      </c>
      <c r="AA1168" s="34" t="str">
        <f t="shared" si="288"/>
        <v/>
      </c>
      <c r="AB1168" s="25" t="str">
        <f t="shared" si="292"/>
        <v/>
      </c>
      <c r="AC1168" s="1" t="str">
        <f t="shared" si="293"/>
        <v/>
      </c>
      <c r="AD1168" s="36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spans="1:49" ht="20" customHeight="1" x14ac:dyDescent="0.3">
      <c r="A1169" s="18" t="s">
        <v>498</v>
      </c>
      <c r="C1169" s="18">
        <v>3</v>
      </c>
      <c r="D1169" s="21" t="s">
        <v>292</v>
      </c>
      <c r="E1169" s="21" t="s">
        <v>226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24" t="str">
        <f t="shared" si="290"/>
        <v/>
      </c>
      <c r="Z1169" s="34" t="str">
        <f t="shared" si="291"/>
        <v/>
      </c>
      <c r="AA1169" s="34" t="str">
        <f t="shared" si="288"/>
        <v/>
      </c>
      <c r="AB1169" s="25" t="str">
        <f t="shared" si="292"/>
        <v/>
      </c>
      <c r="AC1169" s="1" t="str">
        <f t="shared" si="293"/>
        <v/>
      </c>
      <c r="AD1169" s="36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spans="1:49" ht="20" customHeight="1" x14ac:dyDescent="0.3">
      <c r="A1170" s="18" t="s">
        <v>498</v>
      </c>
      <c r="C1170" s="18">
        <v>4</v>
      </c>
      <c r="D1170" s="21" t="s">
        <v>292</v>
      </c>
      <c r="E1170" s="21" t="s">
        <v>226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24" t="str">
        <f t="shared" si="290"/>
        <v/>
      </c>
      <c r="Z1170" s="34" t="str">
        <f t="shared" si="291"/>
        <v/>
      </c>
      <c r="AA1170" s="34" t="str">
        <f t="shared" si="288"/>
        <v/>
      </c>
      <c r="AB1170" s="25" t="str">
        <f t="shared" si="292"/>
        <v/>
      </c>
      <c r="AC1170" s="1" t="str">
        <f t="shared" si="293"/>
        <v/>
      </c>
      <c r="AD1170" s="36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spans="1:49" ht="20" customHeight="1" x14ac:dyDescent="0.3">
      <c r="A1171" s="18" t="s">
        <v>498</v>
      </c>
      <c r="C1171" s="18">
        <v>5</v>
      </c>
      <c r="D1171" s="21" t="s">
        <v>292</v>
      </c>
      <c r="E1171" s="21" t="s">
        <v>226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24" t="str">
        <f t="shared" si="290"/>
        <v/>
      </c>
      <c r="Z1171" s="34" t="str">
        <f t="shared" si="291"/>
        <v/>
      </c>
      <c r="AA1171" s="34" t="str">
        <f t="shared" si="288"/>
        <v/>
      </c>
      <c r="AB1171" s="25" t="str">
        <f t="shared" si="292"/>
        <v/>
      </c>
      <c r="AC1171" s="1" t="str">
        <f t="shared" si="293"/>
        <v/>
      </c>
      <c r="AD1171" s="36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spans="1:49" ht="20" customHeight="1" x14ac:dyDescent="0.3">
      <c r="A1172" s="18" t="s">
        <v>498</v>
      </c>
      <c r="C1172" s="18">
        <v>6</v>
      </c>
      <c r="D1172" s="21" t="s">
        <v>292</v>
      </c>
      <c r="E1172" s="21" t="s">
        <v>226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5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20" customHeight="1" x14ac:dyDescent="0.3">
      <c r="A1173" s="18" t="s">
        <v>498</v>
      </c>
      <c r="C1173" s="18">
        <v>7</v>
      </c>
      <c r="D1173" s="21" t="s">
        <v>292</v>
      </c>
      <c r="E1173" s="21" t="s">
        <v>226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5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20" customHeight="1" x14ac:dyDescent="0.3">
      <c r="A1174" s="18" t="s">
        <v>498</v>
      </c>
      <c r="C1174" s="18">
        <v>8</v>
      </c>
      <c r="D1174" s="21" t="s">
        <v>292</v>
      </c>
      <c r="E1174" s="21" t="s">
        <v>226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5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20" customHeight="1" x14ac:dyDescent="0.3">
      <c r="A1175" s="5" t="s">
        <v>500</v>
      </c>
      <c r="C1175" s="5">
        <v>1</v>
      </c>
      <c r="D1175" s="21" t="s">
        <v>222</v>
      </c>
      <c r="E1175" s="21" t="s">
        <v>224</v>
      </c>
      <c r="L1175" s="5">
        <f>IFERROR(VLOOKUP($D1175&amp;$C1175,生产方式定位!$A$2:$E$38,2,FALSE)+VLOOKUP($E1175&amp;$C1175,生产方式定位!$F$3:$J$38,2,FALSE),0)</f>
        <v>600</v>
      </c>
      <c r="S1175" s="5">
        <f>IFERROR(VLOOKUP($D1175&amp;$C1175,生产方式定位!$A$2:$E$38,3,FALSE)+VLOOKUP($E1175&amp;$C1175,生产方式定位!$F$3:$J$38,3,FALSE),0)</f>
        <v>150</v>
      </c>
      <c r="X1175" s="5">
        <f>IFERROR(VLOOKUP($D1175&amp;$C1175,生产方式定位!$A$2:$E$38,5,FALSE)+VLOOKUP($E1175&amp;$C1175,生产方式定位!$F$3:$J$38,5,FALSE),"错误")</f>
        <v>788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>31%</v>
      </c>
      <c r="AC1175" s="1">
        <f t="shared" si="293"/>
        <v>38</v>
      </c>
      <c r="AD1175" s="35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20" customHeight="1" x14ac:dyDescent="0.3">
      <c r="A1176" s="5" t="s">
        <v>500</v>
      </c>
      <c r="C1176" s="5">
        <v>2</v>
      </c>
      <c r="D1176" s="21" t="s">
        <v>222</v>
      </c>
      <c r="E1176" s="21" t="s">
        <v>224</v>
      </c>
      <c r="L1176" s="5">
        <f>IFERROR(VLOOKUP($D1176&amp;$C1176,生产方式定位!$A$2:$E$38,2,FALSE)+VLOOKUP($E1176&amp;$C1176,生产方式定位!$F$3:$J$38,2,FALSE),0)</f>
        <v>1200</v>
      </c>
      <c r="S1176" s="5">
        <f>IFERROR(VLOOKUP($D1176&amp;$C1176,生产方式定位!$A$2:$E$38,3,FALSE)+VLOOKUP($E1176&amp;$C1176,生产方式定位!$F$3:$J$38,3,FALSE),0)</f>
        <v>140</v>
      </c>
      <c r="X1176" s="5">
        <f>IFERROR(VLOOKUP($D1176&amp;$C1176,生产方式定位!$A$2:$E$38,5,FALSE)+VLOOKUP($E1176&amp;$C1176,生产方式定位!$F$3:$J$38,5,FALSE),"错误")</f>
        <v>1390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>16%</v>
      </c>
      <c r="AC1176" s="1">
        <f t="shared" si="293"/>
        <v>50</v>
      </c>
      <c r="AD1176" s="35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20" customHeight="1" x14ac:dyDescent="0.3">
      <c r="A1177" s="5" t="s">
        <v>500</v>
      </c>
      <c r="C1177" s="5">
        <v>3</v>
      </c>
      <c r="D1177" s="21" t="s">
        <v>222</v>
      </c>
      <c r="E1177" s="21" t="s">
        <v>224</v>
      </c>
      <c r="L1177" s="5">
        <f>IFERROR(VLOOKUP($D1177&amp;$C1177,生产方式定位!$A$2:$E$38,2,FALSE)+VLOOKUP($E1177&amp;$C1177,生产方式定位!$F$3:$J$38,2,FALSE),0)</f>
        <v>1425</v>
      </c>
      <c r="S1177" s="5">
        <f>IFERROR(VLOOKUP($D1177&amp;$C1177,生产方式定位!$A$2:$E$38,3,FALSE)+VLOOKUP($E1177&amp;$C1177,生产方式定位!$F$3:$J$38,3,FALSE),0)</f>
        <v>130</v>
      </c>
      <c r="X1177" s="5">
        <f>IFERROR(VLOOKUP($D1177&amp;$C1177,生产方式定位!$A$2:$E$38,5,FALSE)+VLOOKUP($E1177&amp;$C1177,生产方式定位!$F$3:$J$38,5,FALSE),"错误")</f>
        <v>1618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>14%</v>
      </c>
      <c r="AC1177" s="1">
        <f t="shared" si="293"/>
        <v>63</v>
      </c>
      <c r="AD1177" s="36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20" customHeight="1" x14ac:dyDescent="0.3">
      <c r="A1178" s="5" t="s">
        <v>500</v>
      </c>
      <c r="C1178" s="5">
        <v>4</v>
      </c>
      <c r="D1178" s="21" t="s">
        <v>222</v>
      </c>
      <c r="E1178" s="21" t="s">
        <v>224</v>
      </c>
      <c r="L1178" s="5">
        <f>IFERROR(VLOOKUP($D1178&amp;$C1178,生产方式定位!$A$2:$E$38,2,FALSE)+VLOOKUP($E1178&amp;$C1178,生产方式定位!$F$3:$J$38,2,FALSE),0)</f>
        <v>1650</v>
      </c>
      <c r="S1178" s="5">
        <f>IFERROR(VLOOKUP($D1178&amp;$C1178,生产方式定位!$A$2:$E$38,3,FALSE)+VLOOKUP($E1178&amp;$C1178,生产方式定位!$F$3:$J$38,3,FALSE),0)</f>
        <v>120</v>
      </c>
      <c r="X1178" s="5">
        <f>IFERROR(VLOOKUP($D1178&amp;$C1178,生产方式定位!$A$2:$E$38,5,FALSE)+VLOOKUP($E1178&amp;$C1178,生产方式定位!$F$3:$J$38,5,FALSE),"错误")</f>
        <v>1845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>12%</v>
      </c>
      <c r="AC1178" s="1">
        <f t="shared" si="293"/>
        <v>75</v>
      </c>
      <c r="AD1178" s="36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20" customHeight="1" x14ac:dyDescent="0.3">
      <c r="A1179" s="5" t="s">
        <v>500</v>
      </c>
      <c r="C1179" s="5">
        <v>5</v>
      </c>
      <c r="D1179" s="21" t="s">
        <v>222</v>
      </c>
      <c r="E1179" s="21" t="s">
        <v>224</v>
      </c>
      <c r="L1179" s="5">
        <f>IFERROR(VLOOKUP($D1179&amp;$C1179,生产方式定位!$A$2:$E$38,2,FALSE)+VLOOKUP($E1179&amp;$C1179,生产方式定位!$F$3:$J$38,2,FALSE),0)</f>
        <v>1875</v>
      </c>
      <c r="S1179" s="5">
        <f>IFERROR(VLOOKUP($D1179&amp;$C1179,生产方式定位!$A$2:$E$38,3,FALSE)+VLOOKUP($E1179&amp;$C1179,生产方式定位!$F$3:$J$38,3,FALSE),0)</f>
        <v>110</v>
      </c>
      <c r="X1179" s="5">
        <f>IFERROR(VLOOKUP($D1179&amp;$C1179,生产方式定位!$A$2:$E$38,5,FALSE)+VLOOKUP($E1179&amp;$C1179,生产方式定位!$F$3:$J$38,5,FALSE),"错误")</f>
        <v>2073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>11%</v>
      </c>
      <c r="AC1179" s="1">
        <f t="shared" si="293"/>
        <v>88</v>
      </c>
      <c r="AD1179" s="36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20" customHeight="1" x14ac:dyDescent="0.3">
      <c r="A1180" s="18" t="s">
        <v>501</v>
      </c>
      <c r="C1180" s="18">
        <v>1</v>
      </c>
      <c r="D1180" s="21" t="s">
        <v>222</v>
      </c>
      <c r="E1180" s="21" t="s">
        <v>225</v>
      </c>
      <c r="L1180" s="18">
        <f>IFERROR(VLOOKUP($D1180&amp;$C1180,生产方式定位!$A$2:$E$38,2,FALSE)+VLOOKUP($E1180&amp;$C1180,生产方式定位!$F$3:$J$38,2,FALSE),0)</f>
        <v>600</v>
      </c>
      <c r="S1180" s="18">
        <f>IFERROR(VLOOKUP($D1180&amp;$C1180,生产方式定位!$A$2:$E$38,3,FALSE)+VLOOKUP($E1180&amp;$C1180,生产方式定位!$F$3:$J$38,3,FALSE),0)</f>
        <v>150</v>
      </c>
      <c r="X1180" s="18">
        <f>IFERROR(VLOOKUP($D1180&amp;$C1180,生产方式定位!$A$2:$E$38,5,FALSE)+VLOOKUP($E1180&amp;$C1180,生产方式定位!$F$3:$J$38,5,FALSE),"错误")</f>
        <v>788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>31%</v>
      </c>
      <c r="AC1180" s="1">
        <f t="shared" si="293"/>
        <v>38</v>
      </c>
      <c r="AD1180" s="36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20" customHeight="1" x14ac:dyDescent="0.3">
      <c r="A1181" s="18" t="s">
        <v>501</v>
      </c>
      <c r="C1181" s="18">
        <v>2</v>
      </c>
      <c r="D1181" s="21" t="s">
        <v>222</v>
      </c>
      <c r="E1181" s="21" t="s">
        <v>225</v>
      </c>
      <c r="L1181" s="18">
        <f>IFERROR(VLOOKUP($D1181&amp;$C1181,生产方式定位!$A$2:$E$38,2,FALSE)+VLOOKUP($E1181&amp;$C1181,生产方式定位!$F$3:$J$38,2,FALSE),0)</f>
        <v>1450</v>
      </c>
      <c r="S1181" s="18">
        <f>IFERROR(VLOOKUP($D1181&amp;$C1181,生产方式定位!$A$2:$E$38,3,FALSE)+VLOOKUP($E1181&amp;$C1181,生产方式定位!$F$3:$J$38,3,FALSE),0)</f>
        <v>180</v>
      </c>
      <c r="X1181" s="18">
        <f>IFERROR(VLOOKUP($D1181&amp;$C1181,生产方式定位!$A$2:$E$38,5,FALSE)+VLOOKUP($E1181&amp;$C1181,生产方式定位!$F$3:$J$38,5,FALSE),"错误")</f>
        <v>1472</v>
      </c>
      <c r="Y1181" s="24" t="str">
        <f t="shared" si="290"/>
        <v/>
      </c>
      <c r="Z1181" s="34" t="str">
        <f t="shared" si="291"/>
        <v/>
      </c>
      <c r="AA1181" s="34" t="str">
        <f t="shared" si="288"/>
        <v/>
      </c>
      <c r="AB1181" s="25" t="str">
        <f t="shared" si="292"/>
        <v>2%</v>
      </c>
      <c r="AC1181" s="1">
        <f t="shared" si="293"/>
        <v>-158</v>
      </c>
      <c r="AD1181" s="36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20" customHeight="1" x14ac:dyDescent="0.3">
      <c r="A1182" s="18" t="s">
        <v>501</v>
      </c>
      <c r="C1182" s="18">
        <v>3</v>
      </c>
      <c r="D1182" s="21" t="s">
        <v>222</v>
      </c>
      <c r="E1182" s="21" t="s">
        <v>225</v>
      </c>
      <c r="L1182" s="18">
        <f>IFERROR(VLOOKUP($D1182&amp;$C1182,生产方式定位!$A$2:$E$38,2,FALSE)+VLOOKUP($E1182&amp;$C1182,生产方式定位!$F$3:$J$38,2,FALSE),0)</f>
        <v>1800</v>
      </c>
      <c r="S1182" s="18">
        <f>IFERROR(VLOOKUP($D1182&amp;$C1182,生产方式定位!$A$2:$E$38,3,FALSE)+VLOOKUP($E1182&amp;$C1182,生产方式定位!$F$3:$J$38,3,FALSE),0)</f>
        <v>190</v>
      </c>
      <c r="X1182" s="18">
        <f>IFERROR(VLOOKUP($D1182&amp;$C1182,生产方式定位!$A$2:$E$38,5,FALSE)+VLOOKUP($E1182&amp;$C1182,生产方式定位!$F$3:$J$38,5,FALSE),"错误")</f>
        <v>1831</v>
      </c>
      <c r="Y1182" s="24" t="str">
        <f t="shared" si="290"/>
        <v/>
      </c>
      <c r="Z1182" s="34" t="str">
        <f t="shared" si="291"/>
        <v/>
      </c>
      <c r="AA1182" s="34" t="str">
        <f t="shared" si="288"/>
        <v/>
      </c>
      <c r="AB1182" s="25" t="str">
        <f t="shared" si="292"/>
        <v>2%</v>
      </c>
      <c r="AC1182" s="1">
        <f t="shared" si="293"/>
        <v>-159</v>
      </c>
      <c r="AD1182" s="36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20" customHeight="1" x14ac:dyDescent="0.3">
      <c r="A1183" s="18" t="s">
        <v>501</v>
      </c>
      <c r="C1183" s="18">
        <v>4</v>
      </c>
      <c r="D1183" s="21" t="s">
        <v>222</v>
      </c>
      <c r="E1183" s="21" t="s">
        <v>225</v>
      </c>
      <c r="L1183" s="18">
        <f>IFERROR(VLOOKUP($D1183&amp;$C1183,生产方式定位!$A$2:$E$38,2,FALSE)+VLOOKUP($E1183&amp;$C1183,生产方式定位!$F$3:$J$38,2,FALSE),0)</f>
        <v>2150</v>
      </c>
      <c r="S1183" s="18">
        <f>IFERROR(VLOOKUP($D1183&amp;$C1183,生产方式定位!$A$2:$E$38,3,FALSE)+VLOOKUP($E1183&amp;$C1183,生产方式定位!$F$3:$J$38,3,FALSE),0)</f>
        <v>200</v>
      </c>
      <c r="X1183" s="18">
        <f>IFERROR(VLOOKUP($D1183&amp;$C1183,生产方式定位!$A$2:$E$38,5,FALSE)+VLOOKUP($E1183&amp;$C1183,生产方式定位!$F$3:$J$38,5,FALSE),"错误")</f>
        <v>2217</v>
      </c>
      <c r="Y1183" s="24" t="str">
        <f t="shared" si="290"/>
        <v/>
      </c>
      <c r="Z1183" s="34" t="str">
        <f t="shared" si="291"/>
        <v/>
      </c>
      <c r="AA1183" s="34" t="str">
        <f t="shared" si="288"/>
        <v/>
      </c>
      <c r="AB1183" s="25" t="str">
        <f t="shared" si="292"/>
        <v>3%</v>
      </c>
      <c r="AC1183" s="1">
        <f t="shared" si="293"/>
        <v>-133</v>
      </c>
      <c r="AD1183" s="36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20" customHeight="1" x14ac:dyDescent="0.3">
      <c r="A1184" s="18" t="s">
        <v>501</v>
      </c>
      <c r="C1184" s="18">
        <v>5</v>
      </c>
      <c r="D1184" s="21" t="s">
        <v>222</v>
      </c>
      <c r="E1184" s="21" t="s">
        <v>225</v>
      </c>
      <c r="L1184" s="18">
        <f>IFERROR(VLOOKUP($D1184&amp;$C1184,生产方式定位!$A$2:$E$38,2,FALSE)+VLOOKUP($E1184&amp;$C1184,生产方式定位!$F$3:$J$38,2,FALSE),0)</f>
        <v>2500</v>
      </c>
      <c r="S1184" s="18">
        <f>IFERROR(VLOOKUP($D1184&amp;$C1184,生产方式定位!$A$2:$E$38,3,FALSE)+VLOOKUP($E1184&amp;$C1184,生产方式定位!$F$3:$J$38,3,FALSE),0)</f>
        <v>210</v>
      </c>
      <c r="X1184" s="18">
        <f>IFERROR(VLOOKUP($D1184&amp;$C1184,生产方式定位!$A$2:$E$38,5,FALSE)+VLOOKUP($E1184&amp;$C1184,生产方式定位!$F$3:$J$38,5,FALSE),"错误")</f>
        <v>2870</v>
      </c>
      <c r="Y1184" s="24" t="str">
        <f t="shared" si="290"/>
        <v/>
      </c>
      <c r="Z1184" s="34" t="str">
        <f t="shared" si="291"/>
        <v/>
      </c>
      <c r="AA1184" s="34" t="str">
        <f t="shared" si="288"/>
        <v/>
      </c>
      <c r="AB1184" s="25" t="str">
        <f t="shared" si="292"/>
        <v>15%</v>
      </c>
      <c r="AC1184" s="1">
        <f t="shared" si="293"/>
        <v>160</v>
      </c>
      <c r="AD1184" s="36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20" customHeight="1" x14ac:dyDescent="0.3">
      <c r="A1185" s="5" t="s">
        <v>501</v>
      </c>
      <c r="C1185" s="5">
        <v>1</v>
      </c>
      <c r="D1185" s="21" t="s">
        <v>222</v>
      </c>
      <c r="E1185" s="21" t="s">
        <v>225</v>
      </c>
      <c r="L1185" s="5">
        <f>IFERROR(VLOOKUP($D1185&amp;$C1185,生产方式定位!$A$2:$E$38,2,FALSE)+VLOOKUP($E1185&amp;$C1185,生产方式定位!$F$3:$J$38,2,FALSE),0)</f>
        <v>600</v>
      </c>
      <c r="S1185" s="5">
        <f>IFERROR(VLOOKUP($D1185&amp;$C1185,生产方式定位!$A$2:$E$38,3,FALSE)+VLOOKUP($E1185&amp;$C1185,生产方式定位!$F$3:$J$38,3,FALSE),0)</f>
        <v>150</v>
      </c>
      <c r="X1185" s="5">
        <f>IFERROR(VLOOKUP($D1185&amp;$C1185,生产方式定位!$A$2:$E$38,5,FALSE)+VLOOKUP($E1185&amp;$C1185,生产方式定位!$F$3:$J$38,5,FALSE),"错误")</f>
        <v>788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>31%</v>
      </c>
      <c r="AC1185" s="1">
        <f t="shared" si="293"/>
        <v>38</v>
      </c>
      <c r="AD1185" s="35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20" customHeight="1" x14ac:dyDescent="0.3">
      <c r="A1186" s="5" t="s">
        <v>501</v>
      </c>
      <c r="C1186" s="5">
        <v>2</v>
      </c>
      <c r="D1186" s="21" t="s">
        <v>222</v>
      </c>
      <c r="E1186" s="21" t="s">
        <v>225</v>
      </c>
      <c r="L1186" s="5">
        <f>IFERROR(VLOOKUP($D1186&amp;$C1186,生产方式定位!$A$2:$E$38,2,FALSE)+VLOOKUP($E1186&amp;$C1186,生产方式定位!$F$3:$J$38,2,FALSE),0)</f>
        <v>1450</v>
      </c>
      <c r="S1186" s="5">
        <f>IFERROR(VLOOKUP($D1186&amp;$C1186,生产方式定位!$A$2:$E$38,3,FALSE)+VLOOKUP($E1186&amp;$C1186,生产方式定位!$F$3:$J$38,3,FALSE),0)</f>
        <v>180</v>
      </c>
      <c r="X1186" s="5">
        <f>IFERROR(VLOOKUP($D1186&amp;$C1186,生产方式定位!$A$2:$E$38,5,FALSE)+VLOOKUP($E1186&amp;$C1186,生产方式定位!$F$3:$J$38,5,FALSE),"错误")</f>
        <v>1472</v>
      </c>
      <c r="Y1186" s="24" t="str">
        <f t="shared" si="290"/>
        <v/>
      </c>
      <c r="Z1186" s="34" t="str">
        <f t="shared" si="291"/>
        <v/>
      </c>
      <c r="AA1186" s="34" t="str">
        <f t="shared" si="288"/>
        <v/>
      </c>
      <c r="AB1186" s="25" t="str">
        <f t="shared" si="292"/>
        <v>2%</v>
      </c>
      <c r="AC1186" s="1">
        <f t="shared" si="293"/>
        <v>-158</v>
      </c>
      <c r="AD1186" s="35">
        <f t="shared" si="289"/>
        <v>2</v>
      </c>
      <c r="AE1186" t="str">
        <f t="shared" si="294"/>
        <v/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 t="str">
        <f>IFERROR(ROUND(L1186*(G1186/$AU1186)/VLOOKUP(F1186,商品!$A$4:$C$60,3,FALSE),0),"")</f>
        <v/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0</v>
      </c>
      <c r="AV1186">
        <f t="shared" si="302"/>
        <v>0</v>
      </c>
      <c r="AW1186">
        <f t="shared" si="303"/>
        <v>0</v>
      </c>
    </row>
    <row r="1187" spans="1:49" ht="20" customHeight="1" x14ac:dyDescent="0.3">
      <c r="A1187" s="5" t="s">
        <v>501</v>
      </c>
      <c r="C1187" s="5">
        <v>3</v>
      </c>
      <c r="D1187" s="21" t="s">
        <v>222</v>
      </c>
      <c r="E1187" s="21" t="s">
        <v>225</v>
      </c>
      <c r="L1187" s="5">
        <f>IFERROR(VLOOKUP($D1187&amp;$C1187,生产方式定位!$A$2:$E$38,2,FALSE)+VLOOKUP($E1187&amp;$C1187,生产方式定位!$F$3:$J$38,2,FALSE),0)</f>
        <v>1800</v>
      </c>
      <c r="S1187" s="5">
        <f>IFERROR(VLOOKUP($D1187&amp;$C1187,生产方式定位!$A$2:$E$38,3,FALSE)+VLOOKUP($E1187&amp;$C1187,生产方式定位!$F$3:$J$38,3,FALSE),0)</f>
        <v>190</v>
      </c>
      <c r="X1187" s="5">
        <f>IFERROR(VLOOKUP($D1187&amp;$C1187,生产方式定位!$A$2:$E$38,5,FALSE)+VLOOKUP($E1187&amp;$C1187,生产方式定位!$F$3:$J$38,5,FALSE),"错误")</f>
        <v>1831</v>
      </c>
      <c r="Y1187" s="24" t="str">
        <f t="shared" si="290"/>
        <v/>
      </c>
      <c r="Z1187" s="34" t="str">
        <f t="shared" si="291"/>
        <v/>
      </c>
      <c r="AA1187" s="34" t="str">
        <f t="shared" si="288"/>
        <v/>
      </c>
      <c r="AB1187" s="25" t="str">
        <f t="shared" si="292"/>
        <v>2%</v>
      </c>
      <c r="AC1187" s="1">
        <f t="shared" si="293"/>
        <v>-159</v>
      </c>
      <c r="AD1187" s="35">
        <f t="shared" si="289"/>
        <v>3</v>
      </c>
      <c r="AE1187" t="str">
        <f t="shared" si="294"/>
        <v/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 t="str">
        <f>IFERROR(ROUND(L1187*(G1187/$AU1187)/VLOOKUP(F1187,商品!$A$4:$C$60,3,FALSE),0),"")</f>
        <v/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0</v>
      </c>
      <c r="AV1187">
        <f t="shared" si="302"/>
        <v>0</v>
      </c>
      <c r="AW1187">
        <f t="shared" si="303"/>
        <v>0</v>
      </c>
    </row>
    <row r="1188" spans="1:49" ht="20" customHeight="1" x14ac:dyDescent="0.3">
      <c r="A1188" s="5" t="s">
        <v>501</v>
      </c>
      <c r="C1188" s="5">
        <v>4</v>
      </c>
      <c r="D1188" s="21" t="s">
        <v>222</v>
      </c>
      <c r="E1188" s="21" t="s">
        <v>225</v>
      </c>
      <c r="L1188" s="5">
        <f>IFERROR(VLOOKUP($D1188&amp;$C1188,生产方式定位!$A$2:$E$38,2,FALSE)+VLOOKUP($E1188&amp;$C1188,生产方式定位!$F$3:$J$38,2,FALSE),0)</f>
        <v>2150</v>
      </c>
      <c r="S1188" s="5">
        <f>IFERROR(VLOOKUP($D1188&amp;$C1188,生产方式定位!$A$2:$E$38,3,FALSE)+VLOOKUP($E1188&amp;$C1188,生产方式定位!$F$3:$J$38,3,FALSE),0)</f>
        <v>200</v>
      </c>
      <c r="X1188" s="5">
        <f>IFERROR(VLOOKUP($D1188&amp;$C1188,生产方式定位!$A$2:$E$38,5,FALSE)+VLOOKUP($E1188&amp;$C1188,生产方式定位!$F$3:$J$38,5,FALSE),"错误")</f>
        <v>2217</v>
      </c>
      <c r="Y1188" s="24" t="str">
        <f t="shared" si="290"/>
        <v/>
      </c>
      <c r="Z1188" s="34" t="str">
        <f t="shared" si="291"/>
        <v/>
      </c>
      <c r="AA1188" s="34" t="str">
        <f t="shared" si="288"/>
        <v/>
      </c>
      <c r="AB1188" s="25" t="str">
        <f t="shared" si="292"/>
        <v>3%</v>
      </c>
      <c r="AC1188" s="1">
        <f t="shared" si="293"/>
        <v>-133</v>
      </c>
      <c r="AD1188" s="35">
        <f t="shared" si="289"/>
        <v>4</v>
      </c>
      <c r="AE1188" t="str">
        <f t="shared" si="294"/>
        <v/>
      </c>
      <c r="AF1188" t="str">
        <f t="shared" si="295"/>
        <v/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 t="str">
        <f>IFERROR(ROUND(L1188*(G1188/$AU1188)/VLOOKUP(F1188,商品!$A$4:$C$60,3,FALSE),0),"")</f>
        <v/>
      </c>
      <c r="AM1188" t="str">
        <f>IFERROR(ROUND(L1188*(I1188/$AU1188)/VLOOKUP(H1188,商品!$A$4:$C$60,3,FALSE),0),"")</f>
        <v/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0</v>
      </c>
      <c r="AV1188">
        <f t="shared" si="302"/>
        <v>0</v>
      </c>
      <c r="AW1188">
        <f t="shared" si="303"/>
        <v>0</v>
      </c>
    </row>
    <row r="1189" spans="1:49" ht="20" customHeight="1" x14ac:dyDescent="0.3">
      <c r="A1189" s="5" t="s">
        <v>501</v>
      </c>
      <c r="C1189" s="5">
        <v>5</v>
      </c>
      <c r="D1189" s="21" t="s">
        <v>222</v>
      </c>
      <c r="E1189" s="21" t="s">
        <v>225</v>
      </c>
      <c r="L1189" s="5">
        <f>IFERROR(VLOOKUP($D1189&amp;$C1189,生产方式定位!$A$2:$E$38,2,FALSE)+VLOOKUP($E1189&amp;$C1189,生产方式定位!$F$3:$J$38,2,FALSE),0)</f>
        <v>2500</v>
      </c>
      <c r="S1189" s="5">
        <f>IFERROR(VLOOKUP($D1189&amp;$C1189,生产方式定位!$A$2:$E$38,3,FALSE)+VLOOKUP($E1189&amp;$C1189,生产方式定位!$F$3:$J$38,3,FALSE),0)</f>
        <v>210</v>
      </c>
      <c r="X1189" s="5">
        <f>IFERROR(VLOOKUP($D1189&amp;$C1189,生产方式定位!$A$2:$E$38,5,FALSE)+VLOOKUP($E1189&amp;$C1189,生产方式定位!$F$3:$J$38,5,FALSE),"错误")</f>
        <v>2870</v>
      </c>
      <c r="Y1189" s="24" t="str">
        <f t="shared" si="290"/>
        <v/>
      </c>
      <c r="Z1189" s="34" t="str">
        <f t="shared" si="291"/>
        <v/>
      </c>
      <c r="AA1189" s="34" t="str">
        <f t="shared" si="288"/>
        <v/>
      </c>
      <c r="AB1189" s="25" t="str">
        <f t="shared" si="292"/>
        <v>15%</v>
      </c>
      <c r="AC1189" s="1">
        <f t="shared" si="293"/>
        <v>160</v>
      </c>
      <c r="AD1189" s="35">
        <f t="shared" si="289"/>
        <v>5</v>
      </c>
      <c r="AE1189" t="str">
        <f t="shared" si="294"/>
        <v/>
      </c>
      <c r="AF1189" t="str">
        <f t="shared" si="295"/>
        <v/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 t="str">
        <f>IFERROR(ROUND(L1189*(G1189/$AU1189)/VLOOKUP(F1189,商品!$A$4:$C$60,3,FALSE),0),"")</f>
        <v/>
      </c>
      <c r="AM1189" t="str">
        <f>IFERROR(ROUND(L1189*(I1189/$AU1189)/VLOOKUP(H1189,商品!$A$4:$C$60,3,FALSE),0),"")</f>
        <v/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0</v>
      </c>
      <c r="AV1189">
        <f t="shared" si="302"/>
        <v>0</v>
      </c>
      <c r="AW1189">
        <f t="shared" si="303"/>
        <v>0</v>
      </c>
    </row>
    <row r="1190" spans="1:49" ht="20" customHeight="1" x14ac:dyDescent="0.3">
      <c r="A1190" s="18" t="s">
        <v>502</v>
      </c>
      <c r="C1190" s="18">
        <v>1</v>
      </c>
      <c r="D1190" s="21" t="s">
        <v>292</v>
      </c>
      <c r="E1190" s="21" t="s">
        <v>226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/>
      </c>
      <c r="AC1190" s="1" t="str">
        <f t="shared" si="293"/>
        <v/>
      </c>
      <c r="AD1190" s="36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20" customHeight="1" x14ac:dyDescent="0.3">
      <c r="A1191" s="18" t="s">
        <v>502</v>
      </c>
      <c r="C1191" s="18">
        <v>2</v>
      </c>
      <c r="D1191" s="21" t="s">
        <v>292</v>
      </c>
      <c r="E1191" s="21" t="s">
        <v>226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24" t="str">
        <f t="shared" si="290"/>
        <v/>
      </c>
      <c r="Z1191" s="34" t="str">
        <f t="shared" si="291"/>
        <v/>
      </c>
      <c r="AA1191" s="34" t="str">
        <f t="shared" si="288"/>
        <v/>
      </c>
      <c r="AB1191" s="25" t="str">
        <f t="shared" si="292"/>
        <v/>
      </c>
      <c r="AC1191" s="1" t="str">
        <f t="shared" si="293"/>
        <v/>
      </c>
      <c r="AD1191" s="36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spans="1:49" ht="20" customHeight="1" x14ac:dyDescent="0.3">
      <c r="A1192" s="18" t="s">
        <v>502</v>
      </c>
      <c r="C1192" s="18">
        <v>3</v>
      </c>
      <c r="D1192" s="21" t="s">
        <v>292</v>
      </c>
      <c r="E1192" s="21" t="s">
        <v>226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24" t="str">
        <f t="shared" si="290"/>
        <v/>
      </c>
      <c r="Z1192" s="34" t="str">
        <f t="shared" si="291"/>
        <v/>
      </c>
      <c r="AA1192" s="34" t="str">
        <f t="shared" si="288"/>
        <v/>
      </c>
      <c r="AB1192" s="25" t="str">
        <f t="shared" si="292"/>
        <v/>
      </c>
      <c r="AC1192" s="1" t="str">
        <f t="shared" si="293"/>
        <v/>
      </c>
      <c r="AD1192" s="36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spans="1:49" ht="20" customHeight="1" x14ac:dyDescent="0.3">
      <c r="A1193" s="18" t="s">
        <v>502</v>
      </c>
      <c r="C1193" s="18">
        <v>4</v>
      </c>
      <c r="D1193" s="21" t="s">
        <v>292</v>
      </c>
      <c r="E1193" s="21" t="s">
        <v>226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24" t="str">
        <f t="shared" si="290"/>
        <v/>
      </c>
      <c r="Z1193" s="34" t="str">
        <f t="shared" si="291"/>
        <v/>
      </c>
      <c r="AA1193" s="34" t="str">
        <f t="shared" si="288"/>
        <v/>
      </c>
      <c r="AB1193" s="25" t="str">
        <f t="shared" si="292"/>
        <v/>
      </c>
      <c r="AC1193" s="1" t="str">
        <f t="shared" si="293"/>
        <v/>
      </c>
      <c r="AD1193" s="36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spans="1:49" ht="20" customHeight="1" x14ac:dyDescent="0.3">
      <c r="A1194" s="18" t="s">
        <v>502</v>
      </c>
      <c r="C1194" s="18">
        <v>5</v>
      </c>
      <c r="D1194" s="21" t="s">
        <v>292</v>
      </c>
      <c r="E1194" s="21" t="s">
        <v>226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24" t="str">
        <f t="shared" si="290"/>
        <v/>
      </c>
      <c r="Z1194" s="34" t="str">
        <f t="shared" si="291"/>
        <v/>
      </c>
      <c r="AA1194" s="34" t="str">
        <f t="shared" si="288"/>
        <v/>
      </c>
      <c r="AB1194" s="25" t="str">
        <f t="shared" si="292"/>
        <v/>
      </c>
      <c r="AC1194" s="1" t="str">
        <f t="shared" si="293"/>
        <v/>
      </c>
      <c r="AD1194" s="36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spans="1:49" ht="20" customHeight="1" x14ac:dyDescent="0.3">
      <c r="A1195" s="18" t="s">
        <v>502</v>
      </c>
      <c r="C1195" s="18">
        <v>6</v>
      </c>
      <c r="D1195" s="21" t="s">
        <v>292</v>
      </c>
      <c r="E1195" s="21" t="s">
        <v>226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5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20" customHeight="1" x14ac:dyDescent="0.3">
      <c r="A1196" s="18" t="s">
        <v>502</v>
      </c>
      <c r="C1196" s="18">
        <v>7</v>
      </c>
      <c r="D1196" s="21" t="s">
        <v>292</v>
      </c>
      <c r="E1196" s="21" t="s">
        <v>226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5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20" customHeight="1" x14ac:dyDescent="0.3">
      <c r="A1197" s="18" t="s">
        <v>502</v>
      </c>
      <c r="C1197" s="18">
        <v>8</v>
      </c>
      <c r="D1197" s="21" t="s">
        <v>292</v>
      </c>
      <c r="E1197" s="21" t="s">
        <v>226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5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180975</xdr:colOff>
                <xdr:row>2</xdr:row>
                <xdr:rowOff>200025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E5" activePane="bottomRight" state="frozen"/>
      <selection pane="topRight"/>
      <selection pane="bottomLeft"/>
      <selection pane="bottomRight" activeCell="AA11" sqref="AA11"/>
    </sheetView>
  </sheetViews>
  <sheetFormatPr defaultColWidth="9" defaultRowHeight="19.05" customHeight="1" x14ac:dyDescent="0.3"/>
  <cols>
    <col min="1" max="1" width="22" style="1" customWidth="1"/>
    <col min="2" max="2" width="13.46484375" style="1" customWidth="1"/>
    <col min="3" max="3" width="5.6640625" style="1" customWidth="1"/>
    <col min="4" max="4" width="6.796875" style="1" customWidth="1"/>
    <col min="5" max="5" width="5.6640625" style="1" customWidth="1"/>
    <col min="6" max="6" width="6.79687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6" customWidth="1"/>
    <col min="20" max="21" width="11.19921875" style="1" customWidth="1"/>
    <col min="22" max="22" width="11.19921875" style="13" customWidth="1"/>
    <col min="23" max="23" width="9.86328125" style="13" customWidth="1"/>
    <col min="24" max="24" width="4.86328125" style="17" customWidth="1"/>
    <col min="25" max="32" width="6.796875" customWidth="1"/>
    <col min="33" max="33" width="4.86328125" style="17" customWidth="1"/>
  </cols>
  <sheetData>
    <row r="1" spans="1:33" ht="19.05" customHeight="1" x14ac:dyDescent="0.3">
      <c r="A1" s="6"/>
      <c r="B1" s="6"/>
      <c r="X1" s="107" t="s">
        <v>574</v>
      </c>
      <c r="AG1" s="110" t="s">
        <v>574</v>
      </c>
    </row>
    <row r="2" spans="1:33" ht="19.05" customHeight="1" x14ac:dyDescent="0.3">
      <c r="A2" s="6"/>
      <c r="B2" s="6"/>
      <c r="X2" s="108"/>
      <c r="AG2" s="111"/>
    </row>
    <row r="3" spans="1:33" ht="19.05" customHeight="1" x14ac:dyDescent="0.3">
      <c r="A3" s="6"/>
      <c r="B3" s="6"/>
      <c r="X3" s="108"/>
      <c r="Y3" s="1"/>
      <c r="Z3" s="1"/>
      <c r="AA3" s="1"/>
      <c r="AB3" s="1"/>
      <c r="AG3" s="111"/>
    </row>
    <row r="4" spans="1:33" ht="41" customHeight="1" x14ac:dyDescent="0.3">
      <c r="A4" s="2" t="s">
        <v>287</v>
      </c>
      <c r="B4" s="2" t="s">
        <v>575</v>
      </c>
      <c r="C4" s="3" t="s">
        <v>218</v>
      </c>
      <c r="D4" s="4" t="s">
        <v>578</v>
      </c>
      <c r="E4" s="4" t="s">
        <v>602</v>
      </c>
      <c r="F4" s="4" t="s">
        <v>580</v>
      </c>
      <c r="G4" s="4" t="s">
        <v>602</v>
      </c>
      <c r="H4" s="4" t="s">
        <v>603</v>
      </c>
      <c r="I4" s="4" t="s">
        <v>218</v>
      </c>
      <c r="J4" s="2" t="s">
        <v>584</v>
      </c>
      <c r="K4" s="2" t="s">
        <v>602</v>
      </c>
      <c r="L4" s="2" t="s">
        <v>585</v>
      </c>
      <c r="M4" s="2" t="s">
        <v>602</v>
      </c>
      <c r="N4" s="2" t="s">
        <v>586</v>
      </c>
      <c r="O4" s="2" t="s">
        <v>218</v>
      </c>
      <c r="P4" s="8" t="s">
        <v>219</v>
      </c>
      <c r="Q4" s="8" t="s">
        <v>602</v>
      </c>
      <c r="R4" s="8" t="s">
        <v>220</v>
      </c>
      <c r="S4" s="19" t="s">
        <v>218</v>
      </c>
      <c r="T4" s="20" t="s">
        <v>604</v>
      </c>
      <c r="U4" s="9" t="s">
        <v>605</v>
      </c>
      <c r="V4" s="10" t="s">
        <v>606</v>
      </c>
      <c r="W4" s="11" t="s">
        <v>607</v>
      </c>
      <c r="X4" s="109"/>
      <c r="Y4" s="4" t="s">
        <v>578</v>
      </c>
      <c r="Z4" s="4" t="s">
        <v>580</v>
      </c>
      <c r="AA4" s="4" t="s">
        <v>603</v>
      </c>
      <c r="AB4" s="2" t="s">
        <v>584</v>
      </c>
      <c r="AC4" s="2" t="s">
        <v>585</v>
      </c>
      <c r="AD4" s="2" t="s">
        <v>586</v>
      </c>
      <c r="AE4" s="8" t="s">
        <v>219</v>
      </c>
      <c r="AF4" s="8" t="s">
        <v>220</v>
      </c>
      <c r="AG4" s="112"/>
    </row>
    <row r="5" spans="1:33" ht="19.05" customHeight="1" x14ac:dyDescent="0.3">
      <c r="A5" s="5" t="s">
        <v>290</v>
      </c>
      <c r="B5" s="6"/>
      <c r="C5" s="5">
        <v>1</v>
      </c>
      <c r="D5" s="1" t="s">
        <v>103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>SUM(Y5:AA5)</f>
        <v>0</v>
      </c>
      <c r="U5" s="1">
        <f>SUM(AB5:AC5)</f>
        <v>118</v>
      </c>
      <c r="V5" s="13">
        <f>SUM(AE5:AF5)</f>
        <v>0</v>
      </c>
      <c r="W5" s="13">
        <f>V5-T5-U5</f>
        <v>-118</v>
      </c>
      <c r="Y5" t="str">
        <f>IFERROR(ROUND(E5*VLOOKUP(D5,商品!#REF!,4,FALSE),0),"")</f>
        <v/>
      </c>
      <c r="Z5" t="str">
        <f>IFERROR(ROUND(G5*VLOOKUP(F5,商品!#REF!,4,FALSE),0),"")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3">
      <c r="A6" s="5" t="s">
        <v>290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IFERROR(ROUND(E6*VLOOKUP(D6,商品!#REF!,4,FALSE),0),"")</f>
        <v/>
      </c>
      <c r="Z6" t="str">
        <f>IFERROR(ROUND(G6*VLOOKUP(F6,商品!#REF!,4,FALSE),0),"")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3">
      <c r="A7" s="5" t="s">
        <v>290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IFERROR(ROUND(E7*VLOOKUP(D7,商品!#REF!,4,FALSE),0),"")</f>
        <v/>
      </c>
      <c r="Z7" t="str">
        <f>IFERROR(ROUND(G7*VLOOKUP(F7,商品!#REF!,4,FALSE),0),"")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3">
      <c r="A8" s="5" t="s">
        <v>290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IFERROR(ROUND(E8*VLOOKUP(D8,商品!#REF!,4,FALSE),0),"")</f>
        <v/>
      </c>
      <c r="Z8" t="str">
        <f>IFERROR(ROUND(G8*VLOOKUP(F8,商品!#REF!,4,FALSE),0),"")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3">
      <c r="A9" s="5" t="s">
        <v>290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IFERROR(ROUND(E9*VLOOKUP(D9,商品!#REF!,4,FALSE),0),"")</f>
        <v/>
      </c>
      <c r="Z9" t="str">
        <f>IFERROR(ROUND(G9*VLOOKUP(F9,商品!#REF!,4,FALSE),0),"")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3">
      <c r="A10" s="18" t="s">
        <v>608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IFERROR(ROUND(E10*VLOOKUP(D10,商品!#REF!,4,FALSE),0),"")</f>
        <v/>
      </c>
      <c r="Z10" t="str">
        <f>IFERROR(ROUND(G10*VLOOKUP(F10,商品!#REF!,4,FALSE),0),"")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3">
      <c r="A11" s="18" t="s">
        <v>608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IFERROR(ROUND(E11*VLOOKUP(D11,商品!#REF!,4,FALSE),0),"")</f>
        <v/>
      </c>
      <c r="Z11" t="str">
        <f>IFERROR(ROUND(G11*VLOOKUP(F11,商品!#REF!,4,FALSE),0),"")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3">
      <c r="A12" s="18" t="s">
        <v>608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IFERROR(ROUND(E12*VLOOKUP(D12,商品!#REF!,4,FALSE),0),"")</f>
        <v/>
      </c>
      <c r="Z12" t="str">
        <f>IFERROR(ROUND(G12*VLOOKUP(F12,商品!#REF!,4,FALSE),0),"")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3">
      <c r="A13" s="18" t="s">
        <v>608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IFERROR(ROUND(E13*VLOOKUP(D13,商品!#REF!,4,FALSE),0),"")</f>
        <v/>
      </c>
      <c r="Z13" t="str">
        <f>IFERROR(ROUND(G13*VLOOKUP(F13,商品!#REF!,4,FALSE),0),"")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3">
      <c r="A14" s="18" t="s">
        <v>608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IFERROR(ROUND(E14*VLOOKUP(D14,商品!#REF!,4,FALSE),0),"")</f>
        <v/>
      </c>
      <c r="Z14" t="str">
        <f>IFERROR(ROUND(G14*VLOOKUP(F14,商品!#REF!,4,FALSE),0),"")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3">
      <c r="A15" s="5" t="s">
        <v>291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IFERROR(ROUND(E15*VLOOKUP(D15,商品!#REF!,4,FALSE),0),"")</f>
        <v/>
      </c>
      <c r="Z15" t="str">
        <f>IFERROR(ROUND(G15*VLOOKUP(F15,商品!#REF!,4,FALSE),0),"")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3">
      <c r="A16" s="5" t="s">
        <v>291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IFERROR(ROUND(E16*VLOOKUP(D16,商品!#REF!,4,FALSE),0),"")</f>
        <v/>
      </c>
      <c r="Z16" t="str">
        <f>IFERROR(ROUND(G16*VLOOKUP(F16,商品!#REF!,4,FALSE),0),"")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3">
      <c r="A17" s="5" t="s">
        <v>291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IFERROR(ROUND(E17*VLOOKUP(D17,商品!#REF!,4,FALSE),0),"")</f>
        <v/>
      </c>
      <c r="Z17" t="str">
        <f>IFERROR(ROUND(G17*VLOOKUP(F17,商品!#REF!,4,FALSE),0),"")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3">
      <c r="A18" s="5" t="s">
        <v>291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IFERROR(ROUND(E18*VLOOKUP(D18,商品!#REF!,4,FALSE),0),"")</f>
        <v/>
      </c>
      <c r="Z18" t="str">
        <f>IFERROR(ROUND(G18*VLOOKUP(F18,商品!#REF!,4,FALSE),0),"")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3">
      <c r="A19" s="5" t="s">
        <v>291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IFERROR(ROUND(E19*VLOOKUP(D19,商品!#REF!,4,FALSE),0),"")</f>
        <v/>
      </c>
      <c r="Z19" t="str">
        <f>IFERROR(ROUND(G19*VLOOKUP(F19,商品!#REF!,4,FALSE),0),"")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3">
      <c r="A20" s="18" t="s">
        <v>291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IFERROR(ROUND(E20*VLOOKUP(D20,商品!#REF!,4,FALSE),0),"")</f>
        <v/>
      </c>
      <c r="Z20" t="str">
        <f>IFERROR(ROUND(G20*VLOOKUP(F20,商品!#REF!,4,FALSE),0),"")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3">
      <c r="A21" s="18" t="s">
        <v>291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IFERROR(ROUND(E21*VLOOKUP(D21,商品!#REF!,4,FALSE),0),"")</f>
        <v/>
      </c>
      <c r="Z21" t="str">
        <f>IFERROR(ROUND(G21*VLOOKUP(F21,商品!#REF!,4,FALSE),0),"")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3">
      <c r="A22" s="18" t="s">
        <v>291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IFERROR(ROUND(E22*VLOOKUP(D22,商品!#REF!,4,FALSE),0),"")</f>
        <v/>
      </c>
      <c r="Z22" t="str">
        <f>IFERROR(ROUND(G22*VLOOKUP(F22,商品!#REF!,4,FALSE),0),"")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3">
      <c r="A23" s="18" t="s">
        <v>291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IFERROR(ROUND(E23*VLOOKUP(D23,商品!#REF!,4,FALSE),0),"")</f>
        <v/>
      </c>
      <c r="Z23" t="str">
        <f>IFERROR(ROUND(G23*VLOOKUP(F23,商品!#REF!,4,FALSE),0),"")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3">
      <c r="A24" s="18" t="s">
        <v>291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IFERROR(ROUND(E24*VLOOKUP(D24,商品!#REF!,4,FALSE),0),"")</f>
        <v/>
      </c>
      <c r="Z24" t="str">
        <f>IFERROR(ROUND(G24*VLOOKUP(F24,商品!#REF!,4,FALSE),0),"")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3">
      <c r="A25" s="5" t="s">
        <v>293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IFERROR(ROUND(E25*VLOOKUP(D25,商品!#REF!,4,FALSE),0),"")</f>
        <v/>
      </c>
      <c r="Z25" t="str">
        <f>IFERROR(ROUND(G25*VLOOKUP(F25,商品!#REF!,4,FALSE),0),"")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3">
      <c r="A26" s="5" t="s">
        <v>293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IFERROR(ROUND(E26*VLOOKUP(D26,商品!#REF!,4,FALSE),0),"")</f>
        <v/>
      </c>
      <c r="Z26" t="str">
        <f>IFERROR(ROUND(G26*VLOOKUP(F26,商品!#REF!,4,FALSE),0),"")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3">
      <c r="A27" s="5" t="s">
        <v>293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IFERROR(ROUND(E27*VLOOKUP(D27,商品!#REF!,4,FALSE),0),"")</f>
        <v/>
      </c>
      <c r="Z27" t="str">
        <f>IFERROR(ROUND(G27*VLOOKUP(F27,商品!#REF!,4,FALSE),0),"")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3">
      <c r="A28" s="5" t="s">
        <v>293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IFERROR(ROUND(E28*VLOOKUP(D28,商品!#REF!,4,FALSE),0),"")</f>
        <v/>
      </c>
      <c r="Z28" t="str">
        <f>IFERROR(ROUND(G28*VLOOKUP(F28,商品!#REF!,4,FALSE),0),"")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3">
      <c r="A29" s="5" t="s">
        <v>293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IFERROR(ROUND(E29*VLOOKUP(D29,商品!#REF!,4,FALSE),0),"")</f>
        <v/>
      </c>
      <c r="Z29" t="str">
        <f>IFERROR(ROUND(G29*VLOOKUP(F29,商品!#REF!,4,FALSE),0),"")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3">
      <c r="A30" s="5" t="s">
        <v>293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IFERROR(ROUND(E30*VLOOKUP(D30,商品!#REF!,4,FALSE),0),"")</f>
        <v/>
      </c>
      <c r="Z30" t="str">
        <f>IFERROR(ROUND(G30*VLOOKUP(F30,商品!#REF!,4,FALSE),0),"")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3">
      <c r="A31" s="5" t="s">
        <v>293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IFERROR(ROUND(E31*VLOOKUP(D31,商品!#REF!,4,FALSE),0),"")</f>
        <v/>
      </c>
      <c r="Z31" t="str">
        <f>IFERROR(ROUND(G31*VLOOKUP(F31,商品!#REF!,4,FALSE),0),"")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3">
      <c r="A32" s="5" t="s">
        <v>293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IFERROR(ROUND(E32*VLOOKUP(D32,商品!#REF!,4,FALSE),0),"")</f>
        <v/>
      </c>
      <c r="Z32" t="str">
        <f>IFERROR(ROUND(G32*VLOOKUP(F32,商品!#REF!,4,FALSE),0),"")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3">
      <c r="A33" s="18" t="s">
        <v>295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IFERROR(ROUND(E33*VLOOKUP(D33,商品!#REF!,4,FALSE),0),"")</f>
        <v/>
      </c>
      <c r="Z33" t="str">
        <f>IFERROR(ROUND(G33*VLOOKUP(F33,商品!#REF!,4,FALSE),0),"")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3">
      <c r="A34" s="18" t="s">
        <v>295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IFERROR(ROUND(E34*VLOOKUP(D34,商品!#REF!,4,FALSE),0),"")</f>
        <v/>
      </c>
      <c r="Z34" t="str">
        <f>IFERROR(ROUND(G34*VLOOKUP(F34,商品!#REF!,4,FALSE),0),"")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3">
      <c r="A35" s="18" t="s">
        <v>295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IFERROR(ROUND(E35*VLOOKUP(D35,商品!#REF!,4,FALSE),0),"")</f>
        <v/>
      </c>
      <c r="Z35" t="str">
        <f>IFERROR(ROUND(G35*VLOOKUP(F35,商品!#REF!,4,FALSE),0),"")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3">
      <c r="A36" s="18" t="s">
        <v>295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IFERROR(ROUND(E36*VLOOKUP(D36,商品!#REF!,4,FALSE),0),"")</f>
        <v/>
      </c>
      <c r="Z36" t="str">
        <f>IFERROR(ROUND(G36*VLOOKUP(F36,商品!#REF!,4,FALSE),0),"")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3">
      <c r="A37" s="18" t="s">
        <v>295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IFERROR(ROUND(E37*VLOOKUP(D37,商品!#REF!,4,FALSE),0),"")</f>
        <v/>
      </c>
      <c r="Z37" t="str">
        <f>IFERROR(ROUND(G37*VLOOKUP(F37,商品!#REF!,4,FALSE),0),"")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3">
      <c r="A38" s="5" t="s">
        <v>609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IFERROR(ROUND(E38*VLOOKUP(D38,商品!#REF!,4,FALSE),0),"")</f>
        <v/>
      </c>
      <c r="Z38" t="str">
        <f>IFERROR(ROUND(G38*VLOOKUP(F38,商品!#REF!,4,FALSE),0),"")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3">
      <c r="A39" s="5" t="s">
        <v>609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IFERROR(ROUND(E39*VLOOKUP(D39,商品!#REF!,4,FALSE),0),"")</f>
        <v/>
      </c>
      <c r="Z39" t="str">
        <f>IFERROR(ROUND(G39*VLOOKUP(F39,商品!#REF!,4,FALSE),0),"")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3">
      <c r="A40" s="5" t="s">
        <v>609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IFERROR(ROUND(E40*VLOOKUP(D40,商品!#REF!,4,FALSE),0),"")</f>
        <v/>
      </c>
      <c r="Z40" t="str">
        <f>IFERROR(ROUND(G40*VLOOKUP(F40,商品!#REF!,4,FALSE),0),"")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3">
      <c r="A41" s="5" t="s">
        <v>609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IFERROR(ROUND(E41*VLOOKUP(D41,商品!#REF!,4,FALSE),0),"")</f>
        <v/>
      </c>
      <c r="Z41" t="str">
        <f>IFERROR(ROUND(G41*VLOOKUP(F41,商品!#REF!,4,FALSE),0),"")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3">
      <c r="A42" s="5" t="s">
        <v>609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IFERROR(ROUND(E42*VLOOKUP(D42,商品!#REF!,4,FALSE),0),"")</f>
        <v/>
      </c>
      <c r="Z42" t="str">
        <f>IFERROR(ROUND(G42*VLOOKUP(F42,商品!#REF!,4,FALSE),0),"")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3">
      <c r="A43" s="18" t="s">
        <v>296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IFERROR(ROUND(E43*VLOOKUP(D43,商品!#REF!,4,FALSE),0),"")</f>
        <v/>
      </c>
      <c r="Z43" t="str">
        <f>IFERROR(ROUND(G43*VLOOKUP(F43,商品!#REF!,4,FALSE),0),"")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3">
      <c r="A44" s="18" t="s">
        <v>296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IFERROR(ROUND(E44*VLOOKUP(D44,商品!#REF!,4,FALSE),0),"")</f>
        <v/>
      </c>
      <c r="Z44" t="str">
        <f>IFERROR(ROUND(G44*VLOOKUP(F44,商品!#REF!,4,FALSE),0),"")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3">
      <c r="A45" s="18" t="s">
        <v>296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IFERROR(ROUND(E45*VLOOKUP(D45,商品!#REF!,4,FALSE),0),"")</f>
        <v/>
      </c>
      <c r="Z45" t="str">
        <f>IFERROR(ROUND(G45*VLOOKUP(F45,商品!#REF!,4,FALSE),0),"")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3">
      <c r="A46" s="18" t="s">
        <v>296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IFERROR(ROUND(E46*VLOOKUP(D46,商品!#REF!,4,FALSE),0),"")</f>
        <v/>
      </c>
      <c r="Z46" t="str">
        <f>IFERROR(ROUND(G46*VLOOKUP(F46,商品!#REF!,4,FALSE),0),"")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3">
      <c r="A47" s="18" t="s">
        <v>296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IFERROR(ROUND(E47*VLOOKUP(D47,商品!#REF!,4,FALSE),0),"")</f>
        <v/>
      </c>
      <c r="Z47" t="str">
        <f>IFERROR(ROUND(G47*VLOOKUP(F47,商品!#REF!,4,FALSE),0),"")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3">
      <c r="A48" s="5" t="s">
        <v>296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IFERROR(ROUND(E48*VLOOKUP(D48,商品!#REF!,4,FALSE),0),"")</f>
        <v/>
      </c>
      <c r="Z48" t="str">
        <f>IFERROR(ROUND(G48*VLOOKUP(F48,商品!#REF!,4,FALSE),0),"")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3">
      <c r="A49" s="5" t="s">
        <v>296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IFERROR(ROUND(E49*VLOOKUP(D49,商品!#REF!,4,FALSE),0),"")</f>
        <v/>
      </c>
      <c r="Z49" t="str">
        <f>IFERROR(ROUND(G49*VLOOKUP(F49,商品!#REF!,4,FALSE),0),"")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3">
      <c r="A50" s="5" t="s">
        <v>296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IFERROR(ROUND(E50*VLOOKUP(D50,商品!#REF!,4,FALSE),0),"")</f>
        <v/>
      </c>
      <c r="Z50" t="str">
        <f>IFERROR(ROUND(G50*VLOOKUP(F50,商品!#REF!,4,FALSE),0),"")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3">
      <c r="A51" s="5" t="s">
        <v>296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IFERROR(ROUND(E51*VLOOKUP(D51,商品!#REF!,4,FALSE),0),"")</f>
        <v/>
      </c>
      <c r="Z51" t="str">
        <f>IFERROR(ROUND(G51*VLOOKUP(F51,商品!#REF!,4,FALSE),0),"")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3">
      <c r="A52" s="5" t="s">
        <v>296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IFERROR(ROUND(E52*VLOOKUP(D52,商品!#REF!,4,FALSE),0),"")</f>
        <v/>
      </c>
      <c r="Z52" t="str">
        <f>IFERROR(ROUND(G52*VLOOKUP(F52,商品!#REF!,4,FALSE),0),"")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3">
      <c r="A53" s="18" t="s">
        <v>297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IFERROR(ROUND(E53*VLOOKUP(D53,商品!#REF!,4,FALSE),0),"")</f>
        <v/>
      </c>
      <c r="Z53" t="str">
        <f>IFERROR(ROUND(G53*VLOOKUP(F53,商品!#REF!,4,FALSE),0),"")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3">
      <c r="A54" s="18" t="s">
        <v>297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IFERROR(ROUND(E54*VLOOKUP(D54,商品!#REF!,4,FALSE),0),"")</f>
        <v/>
      </c>
      <c r="Z54" t="str">
        <f>IFERROR(ROUND(G54*VLOOKUP(F54,商品!#REF!,4,FALSE),0),"")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3">
      <c r="A55" s="18" t="s">
        <v>297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IFERROR(ROUND(E55*VLOOKUP(D55,商品!#REF!,4,FALSE),0),"")</f>
        <v/>
      </c>
      <c r="Z55" t="str">
        <f>IFERROR(ROUND(G55*VLOOKUP(F55,商品!#REF!,4,FALSE),0),"")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3">
      <c r="A56" s="18" t="s">
        <v>297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IFERROR(ROUND(E56*VLOOKUP(D56,商品!#REF!,4,FALSE),0),"")</f>
        <v/>
      </c>
      <c r="Z56" t="str">
        <f>IFERROR(ROUND(G56*VLOOKUP(F56,商品!#REF!,4,FALSE),0),"")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3">
      <c r="A57" s="18" t="s">
        <v>297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IFERROR(ROUND(E57*VLOOKUP(D57,商品!#REF!,4,FALSE),0),"")</f>
        <v/>
      </c>
      <c r="Z57" t="str">
        <f>IFERROR(ROUND(G57*VLOOKUP(F57,商品!#REF!,4,FALSE),0),"")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3">
      <c r="A58" s="18" t="s">
        <v>297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IFERROR(ROUND(E58*VLOOKUP(D58,商品!#REF!,4,FALSE),0),"")</f>
        <v/>
      </c>
      <c r="Z58" t="str">
        <f>IFERROR(ROUND(G58*VLOOKUP(F58,商品!#REF!,4,FALSE),0),"")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3">
      <c r="A59" s="18" t="s">
        <v>297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IFERROR(ROUND(E59*VLOOKUP(D59,商品!#REF!,4,FALSE),0),"")</f>
        <v/>
      </c>
      <c r="Z59" t="str">
        <f>IFERROR(ROUND(G59*VLOOKUP(F59,商品!#REF!,4,FALSE),0),"")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3">
      <c r="A60" s="18" t="s">
        <v>297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IFERROR(ROUND(E60*VLOOKUP(D60,商品!#REF!,4,FALSE),0),"")</f>
        <v/>
      </c>
      <c r="Z60" t="str">
        <f>IFERROR(ROUND(G60*VLOOKUP(F60,商品!#REF!,4,FALSE),0),"")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3">
      <c r="A61" s="5" t="s">
        <v>299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IFERROR(ROUND(E61*VLOOKUP(D61,商品!#REF!,4,FALSE),0),"")</f>
        <v/>
      </c>
      <c r="Z61" t="str">
        <f>IFERROR(ROUND(G61*VLOOKUP(F61,商品!#REF!,4,FALSE),0),"")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3">
      <c r="A62" s="5" t="s">
        <v>299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IFERROR(ROUND(E62*VLOOKUP(D62,商品!#REF!,4,FALSE),0),"")</f>
        <v/>
      </c>
      <c r="Z62" t="str">
        <f>IFERROR(ROUND(G62*VLOOKUP(F62,商品!#REF!,4,FALSE),0),"")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3">
      <c r="A63" s="5" t="s">
        <v>299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IFERROR(ROUND(E63*VLOOKUP(D63,商品!#REF!,4,FALSE),0),"")</f>
        <v/>
      </c>
      <c r="Z63" t="str">
        <f>IFERROR(ROUND(G63*VLOOKUP(F63,商品!#REF!,4,FALSE),0),"")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3">
      <c r="A64" s="5" t="s">
        <v>299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IFERROR(ROUND(E64*VLOOKUP(D64,商品!#REF!,4,FALSE),0),"")</f>
        <v/>
      </c>
      <c r="Z64" t="str">
        <f>IFERROR(ROUND(G64*VLOOKUP(F64,商品!#REF!,4,FALSE),0),"")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3">
      <c r="A65" s="5" t="s">
        <v>299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IFERROR(ROUND(E65*VLOOKUP(D65,商品!#REF!,4,FALSE),0),"")</f>
        <v/>
      </c>
      <c r="Z65" t="str">
        <f>IFERROR(ROUND(G65*VLOOKUP(F65,商品!#REF!,4,FALSE),0),"")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3">
      <c r="A66" s="18" t="s">
        <v>300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IFERROR(ROUND(E66*VLOOKUP(D66,商品!#REF!,4,FALSE),0),"")</f>
        <v/>
      </c>
      <c r="Z66" t="str">
        <f>IFERROR(ROUND(G66*VLOOKUP(F66,商品!#REF!,4,FALSE),0),"")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3">
      <c r="A67" s="18" t="s">
        <v>300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IFERROR(ROUND(E67*VLOOKUP(D67,商品!#REF!,4,FALSE),0),"")</f>
        <v/>
      </c>
      <c r="Z67" t="str">
        <f>IFERROR(ROUND(G67*VLOOKUP(F67,商品!#REF!,4,FALSE),0),"")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3">
      <c r="A68" s="18" t="s">
        <v>300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IFERROR(ROUND(E68*VLOOKUP(D68,商品!#REF!,4,FALSE),0),"")</f>
        <v/>
      </c>
      <c r="Z68" t="str">
        <f>IFERROR(ROUND(G68*VLOOKUP(F68,商品!#REF!,4,FALSE),0),"")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3">
      <c r="A69" s="18" t="s">
        <v>300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IFERROR(ROUND(E69*VLOOKUP(D69,商品!#REF!,4,FALSE),0),"")</f>
        <v/>
      </c>
      <c r="Z69" t="str">
        <f>IFERROR(ROUND(G69*VLOOKUP(F69,商品!#REF!,4,FALSE),0),"")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3">
      <c r="A70" s="18" t="s">
        <v>300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IFERROR(ROUND(E70*VLOOKUP(D70,商品!#REF!,4,FALSE),0),"")</f>
        <v/>
      </c>
      <c r="Z70" t="str">
        <f>IFERROR(ROUND(G70*VLOOKUP(F70,商品!#REF!,4,FALSE),0),"")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3">
      <c r="A71" s="5" t="s">
        <v>300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IFERROR(ROUND(E71*VLOOKUP(D71,商品!#REF!,4,FALSE),0),"")</f>
        <v/>
      </c>
      <c r="Z71" t="str">
        <f>IFERROR(ROUND(G71*VLOOKUP(F71,商品!#REF!,4,FALSE),0),"")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3">
      <c r="A72" s="5" t="s">
        <v>300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IFERROR(ROUND(E72*VLOOKUP(D72,商品!#REF!,4,FALSE),0),"")</f>
        <v/>
      </c>
      <c r="Z72" t="str">
        <f>IFERROR(ROUND(G72*VLOOKUP(F72,商品!#REF!,4,FALSE),0),"")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3">
      <c r="A73" s="5" t="s">
        <v>300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IFERROR(ROUND(E73*VLOOKUP(D73,商品!#REF!,4,FALSE),0),"")</f>
        <v/>
      </c>
      <c r="Z73" t="str">
        <f>IFERROR(ROUND(G73*VLOOKUP(F73,商品!#REF!,4,FALSE),0),"")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3">
      <c r="A74" s="5" t="s">
        <v>300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IFERROR(ROUND(E74*VLOOKUP(D74,商品!#REF!,4,FALSE),0),"")</f>
        <v/>
      </c>
      <c r="Z74" t="str">
        <f>IFERROR(ROUND(G74*VLOOKUP(F74,商品!#REF!,4,FALSE),0),"")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3">
      <c r="A75" s="5" t="s">
        <v>300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IFERROR(ROUND(E75*VLOOKUP(D75,商品!#REF!,4,FALSE),0),"")</f>
        <v/>
      </c>
      <c r="Z75" t="str">
        <f>IFERROR(ROUND(G75*VLOOKUP(F75,商品!#REF!,4,FALSE),0),"")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3">
      <c r="A76" s="18" t="s">
        <v>301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IFERROR(ROUND(E76*VLOOKUP(D76,商品!#REF!,4,FALSE),0),"")</f>
        <v/>
      </c>
      <c r="Z76" t="str">
        <f>IFERROR(ROUND(G76*VLOOKUP(F76,商品!#REF!,4,FALSE),0),"")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3">
      <c r="A77" s="18" t="s">
        <v>301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IFERROR(ROUND(E77*VLOOKUP(D77,商品!#REF!,4,FALSE),0),"")</f>
        <v/>
      </c>
      <c r="Z77" t="str">
        <f>IFERROR(ROUND(G77*VLOOKUP(F77,商品!#REF!,4,FALSE),0),"")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3">
      <c r="A78" s="18" t="s">
        <v>301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IFERROR(ROUND(E78*VLOOKUP(D78,商品!#REF!,4,FALSE),0),"")</f>
        <v/>
      </c>
      <c r="Z78" t="str">
        <f>IFERROR(ROUND(G78*VLOOKUP(F78,商品!#REF!,4,FALSE),0),"")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3">
      <c r="A79" s="18" t="s">
        <v>301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IFERROR(ROUND(E79*VLOOKUP(D79,商品!#REF!,4,FALSE),0),"")</f>
        <v/>
      </c>
      <c r="Z79" t="str">
        <f>IFERROR(ROUND(G79*VLOOKUP(F79,商品!#REF!,4,FALSE),0),"")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3">
      <c r="A80" s="18" t="s">
        <v>301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IFERROR(ROUND(E80*VLOOKUP(D80,商品!#REF!,4,FALSE),0),"")</f>
        <v/>
      </c>
      <c r="Z80" t="str">
        <f>IFERROR(ROUND(G80*VLOOKUP(F80,商品!#REF!,4,FALSE),0),"")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3">
      <c r="A81" s="18" t="s">
        <v>301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IFERROR(ROUND(E81*VLOOKUP(D81,商品!#REF!,4,FALSE),0),"")</f>
        <v/>
      </c>
      <c r="Z81" t="str">
        <f>IFERROR(ROUND(G81*VLOOKUP(F81,商品!#REF!,4,FALSE),0),"")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3">
      <c r="A82" s="18" t="s">
        <v>301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IFERROR(ROUND(E82*VLOOKUP(D82,商品!#REF!,4,FALSE),0),"")</f>
        <v/>
      </c>
      <c r="Z82" t="str">
        <f>IFERROR(ROUND(G82*VLOOKUP(F82,商品!#REF!,4,FALSE),0),"")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3">
      <c r="A83" s="18" t="s">
        <v>301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IFERROR(ROUND(E83*VLOOKUP(D83,商品!#REF!,4,FALSE),0),"")</f>
        <v/>
      </c>
      <c r="Z83" t="str">
        <f>IFERROR(ROUND(G83*VLOOKUP(F83,商品!#REF!,4,FALSE),0),"")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3">
      <c r="A84" s="5" t="s">
        <v>303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IFERROR(ROUND(E84*VLOOKUP(D84,商品!#REF!,4,FALSE),0),"")</f>
        <v/>
      </c>
      <c r="Z84" t="str">
        <f>IFERROR(ROUND(G84*VLOOKUP(F84,商品!#REF!,4,FALSE),0),"")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3">
      <c r="A85" s="5" t="s">
        <v>303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IFERROR(ROUND(E85*VLOOKUP(D85,商品!#REF!,4,FALSE),0),"")</f>
        <v/>
      </c>
      <c r="Z85" t="str">
        <f>IFERROR(ROUND(G85*VLOOKUP(F85,商品!#REF!,4,FALSE),0),"")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3">
      <c r="A86" s="5" t="s">
        <v>303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IFERROR(ROUND(E86*VLOOKUP(D86,商品!#REF!,4,FALSE),0),"")</f>
        <v/>
      </c>
      <c r="Z86" t="str">
        <f>IFERROR(ROUND(G86*VLOOKUP(F86,商品!#REF!,4,FALSE),0),"")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3">
      <c r="A87" s="5" t="s">
        <v>303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IFERROR(ROUND(E87*VLOOKUP(D87,商品!#REF!,4,FALSE),0),"")</f>
        <v/>
      </c>
      <c r="Z87" t="str">
        <f>IFERROR(ROUND(G87*VLOOKUP(F87,商品!#REF!,4,FALSE),0),"")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3">
      <c r="A88" s="5" t="s">
        <v>303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IFERROR(ROUND(E88*VLOOKUP(D88,商品!#REF!,4,FALSE),0),"")</f>
        <v/>
      </c>
      <c r="Z88" t="str">
        <f>IFERROR(ROUND(G88*VLOOKUP(F88,商品!#REF!,4,FALSE),0),"")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3">
      <c r="A89" s="18" t="s">
        <v>304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IFERROR(ROUND(E89*VLOOKUP(D89,商品!#REF!,4,FALSE),0),"")</f>
        <v/>
      </c>
      <c r="Z89" t="str">
        <f>IFERROR(ROUND(G89*VLOOKUP(F89,商品!#REF!,4,FALSE),0),"")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3">
      <c r="A90" s="18" t="s">
        <v>304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IFERROR(ROUND(E90*VLOOKUP(D90,商品!#REF!,4,FALSE),0),"")</f>
        <v/>
      </c>
      <c r="Z90" t="str">
        <f>IFERROR(ROUND(G90*VLOOKUP(F90,商品!#REF!,4,FALSE),0),"")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3">
      <c r="A91" s="18" t="s">
        <v>304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IFERROR(ROUND(E91*VLOOKUP(D91,商品!#REF!,4,FALSE),0),"")</f>
        <v/>
      </c>
      <c r="Z91" t="str">
        <f>IFERROR(ROUND(G91*VLOOKUP(F91,商品!#REF!,4,FALSE),0),"")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3">
      <c r="A92" s="18" t="s">
        <v>304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IFERROR(ROUND(E92*VLOOKUP(D92,商品!#REF!,4,FALSE),0),"")</f>
        <v/>
      </c>
      <c r="Z92" t="str">
        <f>IFERROR(ROUND(G92*VLOOKUP(F92,商品!#REF!,4,FALSE),0),"")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3">
      <c r="A93" s="18" t="s">
        <v>304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IFERROR(ROUND(E93*VLOOKUP(D93,商品!#REF!,4,FALSE),0),"")</f>
        <v/>
      </c>
      <c r="Z93" t="str">
        <f>IFERROR(ROUND(G93*VLOOKUP(F93,商品!#REF!,4,FALSE),0),"")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3">
      <c r="A94" s="5" t="s">
        <v>305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IFERROR(ROUND(E94*VLOOKUP(D94,商品!#REF!,4,FALSE),0),"")</f>
        <v/>
      </c>
      <c r="Z94" t="str">
        <f>IFERROR(ROUND(G94*VLOOKUP(F94,商品!#REF!,4,FALSE),0),"")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3">
      <c r="A95" s="5" t="s">
        <v>305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IFERROR(ROUND(E95*VLOOKUP(D95,商品!#REF!,4,FALSE),0),"")</f>
        <v/>
      </c>
      <c r="Z95" t="str">
        <f>IFERROR(ROUND(G95*VLOOKUP(F95,商品!#REF!,4,FALSE),0),"")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3">
      <c r="A96" s="5" t="s">
        <v>305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IFERROR(ROUND(E96*VLOOKUP(D96,商品!#REF!,4,FALSE),0),"")</f>
        <v/>
      </c>
      <c r="Z96" t="str">
        <f>IFERROR(ROUND(G96*VLOOKUP(F96,商品!#REF!,4,FALSE),0),"")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3">
      <c r="A97" s="5" t="s">
        <v>305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IFERROR(ROUND(E97*VLOOKUP(D97,商品!#REF!,4,FALSE),0),"")</f>
        <v/>
      </c>
      <c r="Z97" t="str">
        <f>IFERROR(ROUND(G97*VLOOKUP(F97,商品!#REF!,4,FALSE),0),"")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3">
      <c r="A98" s="5" t="s">
        <v>305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IFERROR(ROUND(E98*VLOOKUP(D98,商品!#REF!,4,FALSE),0),"")</f>
        <v/>
      </c>
      <c r="Z98" t="str">
        <f>IFERROR(ROUND(G98*VLOOKUP(F98,商品!#REF!,4,FALSE),0),"")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3">
      <c r="A99" s="18" t="s">
        <v>305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IFERROR(ROUND(E99*VLOOKUP(D99,商品!#REF!,4,FALSE),0),"")</f>
        <v/>
      </c>
      <c r="Z99" t="str">
        <f>IFERROR(ROUND(G99*VLOOKUP(F99,商品!#REF!,4,FALSE),0),"")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3">
      <c r="A100" s="18" t="s">
        <v>305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IFERROR(ROUND(E100*VLOOKUP(D100,商品!#REF!,4,FALSE),0),"")</f>
        <v/>
      </c>
      <c r="Z100" t="str">
        <f>IFERROR(ROUND(G100*VLOOKUP(F100,商品!#REF!,4,FALSE),0),"")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3">
      <c r="A101" s="18" t="s">
        <v>305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IFERROR(ROUND(E101*VLOOKUP(D101,商品!#REF!,4,FALSE),0),"")</f>
        <v/>
      </c>
      <c r="Z101" t="str">
        <f>IFERROR(ROUND(G101*VLOOKUP(F101,商品!#REF!,4,FALSE),0),"")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3">
      <c r="A102" s="18" t="s">
        <v>305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IFERROR(ROUND(E102*VLOOKUP(D102,商品!#REF!,4,FALSE),0),"")</f>
        <v/>
      </c>
      <c r="Z102" t="str">
        <f>IFERROR(ROUND(G102*VLOOKUP(F102,商品!#REF!,4,FALSE),0),"")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3">
      <c r="A103" s="18" t="s">
        <v>305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IFERROR(ROUND(E103*VLOOKUP(D103,商品!#REF!,4,FALSE),0),"")</f>
        <v/>
      </c>
      <c r="Z103" t="str">
        <f>IFERROR(ROUND(G103*VLOOKUP(F103,商品!#REF!,4,FALSE),0),"")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3">
      <c r="A104" s="5" t="s">
        <v>306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IFERROR(ROUND(E104*VLOOKUP(D104,商品!#REF!,4,FALSE),0),"")</f>
        <v/>
      </c>
      <c r="Z104" t="str">
        <f>IFERROR(ROUND(G104*VLOOKUP(F104,商品!#REF!,4,FALSE),0),"")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3">
      <c r="A105" s="5" t="s">
        <v>306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IFERROR(ROUND(E105*VLOOKUP(D105,商品!#REF!,4,FALSE),0),"")</f>
        <v/>
      </c>
      <c r="Z105" t="str">
        <f>IFERROR(ROUND(G105*VLOOKUP(F105,商品!#REF!,4,FALSE),0),"")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3">
      <c r="A106" s="5" t="s">
        <v>306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IFERROR(ROUND(E106*VLOOKUP(D106,商品!#REF!,4,FALSE),0),"")</f>
        <v/>
      </c>
      <c r="Z106" t="str">
        <f>IFERROR(ROUND(G106*VLOOKUP(F106,商品!#REF!,4,FALSE),0),"")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3">
      <c r="A107" s="5" t="s">
        <v>306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IFERROR(ROUND(E107*VLOOKUP(D107,商品!#REF!,4,FALSE),0),"")</f>
        <v/>
      </c>
      <c r="Z107" t="str">
        <f>IFERROR(ROUND(G107*VLOOKUP(F107,商品!#REF!,4,FALSE),0),"")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3">
      <c r="A108" s="5" t="s">
        <v>306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IFERROR(ROUND(E108*VLOOKUP(D108,商品!#REF!,4,FALSE),0),"")</f>
        <v/>
      </c>
      <c r="Z108" t="str">
        <f>IFERROR(ROUND(G108*VLOOKUP(F108,商品!#REF!,4,FALSE),0),"")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3">
      <c r="A109" s="5" t="s">
        <v>306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IFERROR(ROUND(E109*VLOOKUP(D109,商品!#REF!,4,FALSE),0),"")</f>
        <v/>
      </c>
      <c r="Z109" t="str">
        <f>IFERROR(ROUND(G109*VLOOKUP(F109,商品!#REF!,4,FALSE),0),"")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3">
      <c r="A110" s="5" t="s">
        <v>306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IFERROR(ROUND(E110*VLOOKUP(D110,商品!#REF!,4,FALSE),0),"")</f>
        <v/>
      </c>
      <c r="Z110" t="str">
        <f>IFERROR(ROUND(G110*VLOOKUP(F110,商品!#REF!,4,FALSE),0),"")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3">
      <c r="A111" s="5" t="s">
        <v>306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IFERROR(ROUND(E111*VLOOKUP(D111,商品!#REF!,4,FALSE),0),"")</f>
        <v/>
      </c>
      <c r="Z111" t="str">
        <f>IFERROR(ROUND(G111*VLOOKUP(F111,商品!#REF!,4,FALSE),0),"")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3">
      <c r="A112" s="18" t="s">
        <v>308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IFERROR(ROUND(E112*VLOOKUP(D112,商品!#REF!,4,FALSE),0),"")</f>
        <v/>
      </c>
      <c r="Z112" t="str">
        <f>IFERROR(ROUND(G112*VLOOKUP(F112,商品!#REF!,4,FALSE),0),"")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3">
      <c r="A113" s="18" t="s">
        <v>308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IFERROR(ROUND(E113*VLOOKUP(D113,商品!#REF!,4,FALSE),0),"")</f>
        <v/>
      </c>
      <c r="Z113" t="str">
        <f>IFERROR(ROUND(G113*VLOOKUP(F113,商品!#REF!,4,FALSE),0),"")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3">
      <c r="A114" s="18" t="s">
        <v>308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IFERROR(ROUND(E114*VLOOKUP(D114,商品!#REF!,4,FALSE),0),"")</f>
        <v/>
      </c>
      <c r="Z114" t="str">
        <f>IFERROR(ROUND(G114*VLOOKUP(F114,商品!#REF!,4,FALSE),0),"")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3">
      <c r="A115" s="18" t="s">
        <v>308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IFERROR(ROUND(E115*VLOOKUP(D115,商品!#REF!,4,FALSE),0),"")</f>
        <v/>
      </c>
      <c r="Z115" t="str">
        <f>IFERROR(ROUND(G115*VLOOKUP(F115,商品!#REF!,4,FALSE),0),"")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3">
      <c r="A116" s="18" t="s">
        <v>308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IFERROR(ROUND(E116*VLOOKUP(D116,商品!#REF!,4,FALSE),0),"")</f>
        <v/>
      </c>
      <c r="Z116" t="str">
        <f>IFERROR(ROUND(G116*VLOOKUP(F116,商品!#REF!,4,FALSE),0),"")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3">
      <c r="A117" s="5" t="s">
        <v>309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IFERROR(ROUND(E117*VLOOKUP(D117,商品!#REF!,4,FALSE),0),"")</f>
        <v/>
      </c>
      <c r="Z117" t="str">
        <f>IFERROR(ROUND(G117*VLOOKUP(F117,商品!#REF!,4,FALSE),0),"")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3">
      <c r="A118" s="5" t="s">
        <v>309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IFERROR(ROUND(E118*VLOOKUP(D118,商品!#REF!,4,FALSE),0),"")</f>
        <v/>
      </c>
      <c r="Z118" t="str">
        <f>IFERROR(ROUND(G118*VLOOKUP(F118,商品!#REF!,4,FALSE),0),"")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3">
      <c r="A119" s="5" t="s">
        <v>309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IFERROR(ROUND(E119*VLOOKUP(D119,商品!#REF!,4,FALSE),0),"")</f>
        <v/>
      </c>
      <c r="Z119" t="str">
        <f>IFERROR(ROUND(G119*VLOOKUP(F119,商品!#REF!,4,FALSE),0),"")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3">
      <c r="A120" s="5" t="s">
        <v>309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IFERROR(ROUND(E120*VLOOKUP(D120,商品!#REF!,4,FALSE),0),"")</f>
        <v/>
      </c>
      <c r="Z120" t="str">
        <f>IFERROR(ROUND(G120*VLOOKUP(F120,商品!#REF!,4,FALSE),0),"")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3">
      <c r="A121" s="5" t="s">
        <v>309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IFERROR(ROUND(E121*VLOOKUP(D121,商品!#REF!,4,FALSE),0),"")</f>
        <v/>
      </c>
      <c r="Z121" t="str">
        <f>IFERROR(ROUND(G121*VLOOKUP(F121,商品!#REF!,4,FALSE),0),"")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3">
      <c r="A122" s="18" t="s">
        <v>310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IFERROR(ROUND(E122*VLOOKUP(D122,商品!#REF!,4,FALSE),0),"")</f>
        <v/>
      </c>
      <c r="Z122" t="str">
        <f>IFERROR(ROUND(G122*VLOOKUP(F122,商品!#REF!,4,FALSE),0),"")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3">
      <c r="A123" s="18" t="s">
        <v>310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IFERROR(ROUND(E123*VLOOKUP(D123,商品!#REF!,4,FALSE),0),"")</f>
        <v/>
      </c>
      <c r="Z123" t="str">
        <f>IFERROR(ROUND(G123*VLOOKUP(F123,商品!#REF!,4,FALSE),0),"")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3">
      <c r="A124" s="18" t="s">
        <v>310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IFERROR(ROUND(E124*VLOOKUP(D124,商品!#REF!,4,FALSE),0),"")</f>
        <v/>
      </c>
      <c r="Z124" t="str">
        <f>IFERROR(ROUND(G124*VLOOKUP(F124,商品!#REF!,4,FALSE),0),"")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3">
      <c r="A125" s="18" t="s">
        <v>310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IFERROR(ROUND(E125*VLOOKUP(D125,商品!#REF!,4,FALSE),0),"")</f>
        <v/>
      </c>
      <c r="Z125" t="str">
        <f>IFERROR(ROUND(G125*VLOOKUP(F125,商品!#REF!,4,FALSE),0),"")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3">
      <c r="A126" s="18" t="s">
        <v>310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IFERROR(ROUND(E126*VLOOKUP(D126,商品!#REF!,4,FALSE),0),"")</f>
        <v/>
      </c>
      <c r="Z126" t="str">
        <f>IFERROR(ROUND(G126*VLOOKUP(F126,商品!#REF!,4,FALSE),0),"")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3">
      <c r="A127" s="5" t="s">
        <v>310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IFERROR(ROUND(E127*VLOOKUP(D127,商品!#REF!,4,FALSE),0),"")</f>
        <v/>
      </c>
      <c r="Z127" t="str">
        <f>IFERROR(ROUND(G127*VLOOKUP(F127,商品!#REF!,4,FALSE),0),"")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3">
      <c r="A128" s="5" t="s">
        <v>310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IFERROR(ROUND(E128*VLOOKUP(D128,商品!#REF!,4,FALSE),0),"")</f>
        <v/>
      </c>
      <c r="Z128" t="str">
        <f>IFERROR(ROUND(G128*VLOOKUP(F128,商品!#REF!,4,FALSE),0),"")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3">
      <c r="A129" s="5" t="s">
        <v>310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IFERROR(ROUND(E129*VLOOKUP(D129,商品!#REF!,4,FALSE),0),"")</f>
        <v/>
      </c>
      <c r="Z129" t="str">
        <f>IFERROR(ROUND(G129*VLOOKUP(F129,商品!#REF!,4,FALSE),0),"")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3">
      <c r="A130" s="5" t="s">
        <v>310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IFERROR(ROUND(E130*VLOOKUP(D130,商品!#REF!,4,FALSE),0),"")</f>
        <v/>
      </c>
      <c r="Z130" t="str">
        <f>IFERROR(ROUND(G130*VLOOKUP(F130,商品!#REF!,4,FALSE),0),"")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3">
      <c r="A131" s="5" t="s">
        <v>310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IFERROR(ROUND(E131*VLOOKUP(D131,商品!#REF!,4,FALSE),0),"")</f>
        <v/>
      </c>
      <c r="Z131" t="str">
        <f>IFERROR(ROUND(G131*VLOOKUP(F131,商品!#REF!,4,FALSE),0),"")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3">
      <c r="A132" s="18" t="s">
        <v>311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IFERROR(ROUND(E132*VLOOKUP(D132,商品!#REF!,4,FALSE),0),"")</f>
        <v/>
      </c>
      <c r="Z132" t="str">
        <f>IFERROR(ROUND(G132*VLOOKUP(F132,商品!#REF!,4,FALSE),0),"")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3">
      <c r="A133" s="18" t="s">
        <v>311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IFERROR(ROUND(E133*VLOOKUP(D133,商品!#REF!,4,FALSE),0),"")</f>
        <v/>
      </c>
      <c r="Z133" t="str">
        <f>IFERROR(ROUND(G133*VLOOKUP(F133,商品!#REF!,4,FALSE),0),"")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3">
      <c r="A134" s="18" t="s">
        <v>311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IFERROR(ROUND(E134*VLOOKUP(D134,商品!#REF!,4,FALSE),0),"")</f>
        <v/>
      </c>
      <c r="Z134" t="str">
        <f>IFERROR(ROUND(G134*VLOOKUP(F134,商品!#REF!,4,FALSE),0),"")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3">
      <c r="A135" s="18" t="s">
        <v>311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IFERROR(ROUND(E135*VLOOKUP(D135,商品!#REF!,4,FALSE),0),"")</f>
        <v/>
      </c>
      <c r="Z135" t="str">
        <f>IFERROR(ROUND(G135*VLOOKUP(F135,商品!#REF!,4,FALSE),0),"")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3">
      <c r="A136" s="18" t="s">
        <v>311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IFERROR(ROUND(E136*VLOOKUP(D136,商品!#REF!,4,FALSE),0),"")</f>
        <v/>
      </c>
      <c r="Z136" t="str">
        <f>IFERROR(ROUND(G136*VLOOKUP(F136,商品!#REF!,4,FALSE),0),"")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3">
      <c r="A137" s="18" t="s">
        <v>311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IFERROR(ROUND(E137*VLOOKUP(D137,商品!#REF!,4,FALSE),0),"")</f>
        <v/>
      </c>
      <c r="Z137" t="str">
        <f>IFERROR(ROUND(G137*VLOOKUP(F137,商品!#REF!,4,FALSE),0),"")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3">
      <c r="A138" s="18" t="s">
        <v>311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IFERROR(ROUND(E138*VLOOKUP(D138,商品!#REF!,4,FALSE),0),"")</f>
        <v/>
      </c>
      <c r="Z138" t="str">
        <f>IFERROR(ROUND(G138*VLOOKUP(F138,商品!#REF!,4,FALSE),0),"")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3">
      <c r="A139" s="18" t="s">
        <v>311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IFERROR(ROUND(E139*VLOOKUP(D139,商品!#REF!,4,FALSE),0),"")</f>
        <v/>
      </c>
      <c r="Z139" t="str">
        <f>IFERROR(ROUND(G139*VLOOKUP(F139,商品!#REF!,4,FALSE),0),"")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3">
      <c r="A140" s="5" t="s">
        <v>313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IFERROR(ROUND(E140*VLOOKUP(D140,商品!#REF!,4,FALSE),0),"")</f>
        <v/>
      </c>
      <c r="Z140" t="str">
        <f>IFERROR(ROUND(G140*VLOOKUP(F140,商品!#REF!,4,FALSE),0),"")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3">
      <c r="A141" s="5" t="s">
        <v>313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IFERROR(ROUND(E141*VLOOKUP(D141,商品!#REF!,4,FALSE),0),"")</f>
        <v/>
      </c>
      <c r="Z141" t="str">
        <f>IFERROR(ROUND(G141*VLOOKUP(F141,商品!#REF!,4,FALSE),0),"")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3">
      <c r="A142" s="5" t="s">
        <v>313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IFERROR(ROUND(E142*VLOOKUP(D142,商品!#REF!,4,FALSE),0),"")</f>
        <v/>
      </c>
      <c r="Z142" t="str">
        <f>IFERROR(ROUND(G142*VLOOKUP(F142,商品!#REF!,4,FALSE),0),"")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3">
      <c r="A143" s="5" t="s">
        <v>313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IFERROR(ROUND(E143*VLOOKUP(D143,商品!#REF!,4,FALSE),0),"")</f>
        <v/>
      </c>
      <c r="Z143" t="str">
        <f>IFERROR(ROUND(G143*VLOOKUP(F143,商品!#REF!,4,FALSE),0),"")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3">
      <c r="A144" s="5" t="s">
        <v>313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IFERROR(ROUND(E144*VLOOKUP(D144,商品!#REF!,4,FALSE),0),"")</f>
        <v/>
      </c>
      <c r="Z144" t="str">
        <f>IFERROR(ROUND(G144*VLOOKUP(F144,商品!#REF!,4,FALSE),0),"")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3">
      <c r="A145" s="18" t="s">
        <v>314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IFERROR(ROUND(E145*VLOOKUP(D145,商品!#REF!,4,FALSE),0),"")</f>
        <v/>
      </c>
      <c r="Z145" t="str">
        <f>IFERROR(ROUND(G145*VLOOKUP(F145,商品!#REF!,4,FALSE),0),"")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3">
      <c r="A146" s="18" t="s">
        <v>314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IFERROR(ROUND(E146*VLOOKUP(D146,商品!#REF!,4,FALSE),0),"")</f>
        <v/>
      </c>
      <c r="Z146" t="str">
        <f>IFERROR(ROUND(G146*VLOOKUP(F146,商品!#REF!,4,FALSE),0),"")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3">
      <c r="A147" s="18" t="s">
        <v>314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IFERROR(ROUND(E147*VLOOKUP(D147,商品!#REF!,4,FALSE),0),"")</f>
        <v/>
      </c>
      <c r="Z147" t="str">
        <f>IFERROR(ROUND(G147*VLOOKUP(F147,商品!#REF!,4,FALSE),0),"")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3">
      <c r="A148" s="18" t="s">
        <v>314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IFERROR(ROUND(E148*VLOOKUP(D148,商品!#REF!,4,FALSE),0),"")</f>
        <v/>
      </c>
      <c r="Z148" t="str">
        <f>IFERROR(ROUND(G148*VLOOKUP(F148,商品!#REF!,4,FALSE),0),"")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3">
      <c r="A149" s="18" t="s">
        <v>314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IFERROR(ROUND(E149*VLOOKUP(D149,商品!#REF!,4,FALSE),0),"")</f>
        <v/>
      </c>
      <c r="Z149" t="str">
        <f>IFERROR(ROUND(G149*VLOOKUP(F149,商品!#REF!,4,FALSE),0),"")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3">
      <c r="A150" s="5" t="s">
        <v>315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IFERROR(ROUND(E150*VLOOKUP(D150,商品!#REF!,4,FALSE),0),"")</f>
        <v/>
      </c>
      <c r="Z150" t="str">
        <f>IFERROR(ROUND(G150*VLOOKUP(F150,商品!#REF!,4,FALSE),0),"")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3">
      <c r="A151" s="5" t="s">
        <v>315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IFERROR(ROUND(E151*VLOOKUP(D151,商品!#REF!,4,FALSE),0),"")</f>
        <v/>
      </c>
      <c r="Z151" t="str">
        <f>IFERROR(ROUND(G151*VLOOKUP(F151,商品!#REF!,4,FALSE),0),"")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3">
      <c r="A152" s="5" t="s">
        <v>315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IFERROR(ROUND(E152*VLOOKUP(D152,商品!#REF!,4,FALSE),0),"")</f>
        <v/>
      </c>
      <c r="Z152" t="str">
        <f>IFERROR(ROUND(G152*VLOOKUP(F152,商品!#REF!,4,FALSE),0),"")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3">
      <c r="A153" s="5" t="s">
        <v>315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IFERROR(ROUND(E153*VLOOKUP(D153,商品!#REF!,4,FALSE),0),"")</f>
        <v/>
      </c>
      <c r="Z153" t="str">
        <f>IFERROR(ROUND(G153*VLOOKUP(F153,商品!#REF!,4,FALSE),0),"")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3">
      <c r="A154" s="5" t="s">
        <v>315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IFERROR(ROUND(E154*VLOOKUP(D154,商品!#REF!,4,FALSE),0),"")</f>
        <v/>
      </c>
      <c r="Z154" t="str">
        <f>IFERROR(ROUND(G154*VLOOKUP(F154,商品!#REF!,4,FALSE),0),"")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3">
      <c r="A155" s="18" t="s">
        <v>315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IFERROR(ROUND(E155*VLOOKUP(D155,商品!#REF!,4,FALSE),0),"")</f>
        <v/>
      </c>
      <c r="Z155" t="str">
        <f>IFERROR(ROUND(G155*VLOOKUP(F155,商品!#REF!,4,FALSE),0),"")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3">
      <c r="A156" s="18" t="s">
        <v>315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IFERROR(ROUND(E156*VLOOKUP(D156,商品!#REF!,4,FALSE),0),"")</f>
        <v/>
      </c>
      <c r="Z156" t="str">
        <f>IFERROR(ROUND(G156*VLOOKUP(F156,商品!#REF!,4,FALSE),0),"")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3">
      <c r="A157" s="18" t="s">
        <v>315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IFERROR(ROUND(E157*VLOOKUP(D157,商品!#REF!,4,FALSE),0),"")</f>
        <v/>
      </c>
      <c r="Z157" t="str">
        <f>IFERROR(ROUND(G157*VLOOKUP(F157,商品!#REF!,4,FALSE),0),"")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3">
      <c r="A158" s="18" t="s">
        <v>315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IFERROR(ROUND(E158*VLOOKUP(D158,商品!#REF!,4,FALSE),0),"")</f>
        <v/>
      </c>
      <c r="Z158" t="str">
        <f>IFERROR(ROUND(G158*VLOOKUP(F158,商品!#REF!,4,FALSE),0),"")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3">
      <c r="A159" s="18" t="s">
        <v>315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IFERROR(ROUND(E159*VLOOKUP(D159,商品!#REF!,4,FALSE),0),"")</f>
        <v/>
      </c>
      <c r="Z159" t="str">
        <f>IFERROR(ROUND(G159*VLOOKUP(F159,商品!#REF!,4,FALSE),0),"")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3">
      <c r="A160" s="5" t="s">
        <v>316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IFERROR(ROUND(E160*VLOOKUP(D160,商品!#REF!,4,FALSE),0),"")</f>
        <v/>
      </c>
      <c r="Z160" t="str">
        <f>IFERROR(ROUND(G160*VLOOKUP(F160,商品!#REF!,4,FALSE),0),"")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3">
      <c r="A161" s="5" t="s">
        <v>316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IFERROR(ROUND(E161*VLOOKUP(D161,商品!#REF!,4,FALSE),0),"")</f>
        <v/>
      </c>
      <c r="Z161" t="str">
        <f>IFERROR(ROUND(G161*VLOOKUP(F161,商品!#REF!,4,FALSE),0),"")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3">
      <c r="A162" s="5" t="s">
        <v>316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IFERROR(ROUND(E162*VLOOKUP(D162,商品!#REF!,4,FALSE),0),"")</f>
        <v/>
      </c>
      <c r="Z162" t="str">
        <f>IFERROR(ROUND(G162*VLOOKUP(F162,商品!#REF!,4,FALSE),0),"")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3">
      <c r="A163" s="5" t="s">
        <v>316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IFERROR(ROUND(E163*VLOOKUP(D163,商品!#REF!,4,FALSE),0),"")</f>
        <v/>
      </c>
      <c r="Z163" t="str">
        <f>IFERROR(ROUND(G163*VLOOKUP(F163,商品!#REF!,4,FALSE),0),"")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3">
      <c r="A164" s="5" t="s">
        <v>316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IFERROR(ROUND(E164*VLOOKUP(D164,商品!#REF!,4,FALSE),0),"")</f>
        <v/>
      </c>
      <c r="Z164" t="str">
        <f>IFERROR(ROUND(G164*VLOOKUP(F164,商品!#REF!,4,FALSE),0),"")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3">
      <c r="A165" s="5" t="s">
        <v>316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IFERROR(ROUND(E165*VLOOKUP(D165,商品!#REF!,4,FALSE),0),"")</f>
        <v/>
      </c>
      <c r="Z165" t="str">
        <f>IFERROR(ROUND(G165*VLOOKUP(F165,商品!#REF!,4,FALSE),0),"")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3">
      <c r="A166" s="5" t="s">
        <v>316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IFERROR(ROUND(E166*VLOOKUP(D166,商品!#REF!,4,FALSE),0),"")</f>
        <v/>
      </c>
      <c r="Z166" t="str">
        <f>IFERROR(ROUND(G166*VLOOKUP(F166,商品!#REF!,4,FALSE),0),"")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3">
      <c r="A167" s="5" t="s">
        <v>316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IFERROR(ROUND(E167*VLOOKUP(D167,商品!#REF!,4,FALSE),0),"")</f>
        <v/>
      </c>
      <c r="Z167" t="str">
        <f>IFERROR(ROUND(G167*VLOOKUP(F167,商品!#REF!,4,FALSE),0),"")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3">
      <c r="A168" s="18" t="s">
        <v>318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IFERROR(ROUND(E168*VLOOKUP(D168,商品!#REF!,4,FALSE),0),"")</f>
        <v/>
      </c>
      <c r="Z168" t="str">
        <f>IFERROR(ROUND(G168*VLOOKUP(F168,商品!#REF!,4,FALSE),0),"")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3">
      <c r="A169" s="18" t="s">
        <v>318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IFERROR(ROUND(E169*VLOOKUP(D169,商品!#REF!,4,FALSE),0),"")</f>
        <v/>
      </c>
      <c r="Z169" t="str">
        <f>IFERROR(ROUND(G169*VLOOKUP(F169,商品!#REF!,4,FALSE),0),"")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3">
      <c r="A170" s="18" t="s">
        <v>318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IFERROR(ROUND(E170*VLOOKUP(D170,商品!#REF!,4,FALSE),0),"")</f>
        <v/>
      </c>
      <c r="Z170" t="str">
        <f>IFERROR(ROUND(G170*VLOOKUP(F170,商品!#REF!,4,FALSE),0),"")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3">
      <c r="A171" s="18" t="s">
        <v>318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IFERROR(ROUND(E171*VLOOKUP(D171,商品!#REF!,4,FALSE),0),"")</f>
        <v/>
      </c>
      <c r="Z171" t="str">
        <f>IFERROR(ROUND(G171*VLOOKUP(F171,商品!#REF!,4,FALSE),0),"")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3">
      <c r="A172" s="18" t="s">
        <v>318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IFERROR(ROUND(E172*VLOOKUP(D172,商品!#REF!,4,FALSE),0),"")</f>
        <v/>
      </c>
      <c r="Z172" t="str">
        <f>IFERROR(ROUND(G172*VLOOKUP(F172,商品!#REF!,4,FALSE),0),"")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3">
      <c r="A173" s="5" t="s">
        <v>319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IFERROR(ROUND(E173*VLOOKUP(D173,商品!#REF!,4,FALSE),0),"")</f>
        <v/>
      </c>
      <c r="Z173" t="str">
        <f>IFERROR(ROUND(G173*VLOOKUP(F173,商品!#REF!,4,FALSE),0),"")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3">
      <c r="A174" s="5" t="s">
        <v>319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IFERROR(ROUND(E174*VLOOKUP(D174,商品!#REF!,4,FALSE),0),"")</f>
        <v/>
      </c>
      <c r="Z174" t="str">
        <f>IFERROR(ROUND(G174*VLOOKUP(F174,商品!#REF!,4,FALSE),0),"")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3">
      <c r="A175" s="5" t="s">
        <v>319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IFERROR(ROUND(E175*VLOOKUP(D175,商品!#REF!,4,FALSE),0),"")</f>
        <v/>
      </c>
      <c r="Z175" t="str">
        <f>IFERROR(ROUND(G175*VLOOKUP(F175,商品!#REF!,4,FALSE),0),"")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3">
      <c r="A176" s="5" t="s">
        <v>319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IFERROR(ROUND(E176*VLOOKUP(D176,商品!#REF!,4,FALSE),0),"")</f>
        <v/>
      </c>
      <c r="Z176" t="str">
        <f>IFERROR(ROUND(G176*VLOOKUP(F176,商品!#REF!,4,FALSE),0),"")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3">
      <c r="A177" s="5" t="s">
        <v>319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IFERROR(ROUND(E177*VLOOKUP(D177,商品!#REF!,4,FALSE),0),"")</f>
        <v/>
      </c>
      <c r="Z177" t="str">
        <f>IFERROR(ROUND(G177*VLOOKUP(F177,商品!#REF!,4,FALSE),0),"")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3">
      <c r="A178" s="18" t="s">
        <v>320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IFERROR(ROUND(E178*VLOOKUP(D178,商品!#REF!,4,FALSE),0),"")</f>
        <v/>
      </c>
      <c r="Z178" t="str">
        <f>IFERROR(ROUND(G178*VLOOKUP(F178,商品!#REF!,4,FALSE),0),"")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3">
      <c r="A179" s="18" t="s">
        <v>320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IFERROR(ROUND(E179*VLOOKUP(D179,商品!#REF!,4,FALSE),0),"")</f>
        <v/>
      </c>
      <c r="Z179" t="str">
        <f>IFERROR(ROUND(G179*VLOOKUP(F179,商品!#REF!,4,FALSE),0),"")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3">
      <c r="A180" s="18" t="s">
        <v>320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IFERROR(ROUND(E180*VLOOKUP(D180,商品!#REF!,4,FALSE),0),"")</f>
        <v/>
      </c>
      <c r="Z180" t="str">
        <f>IFERROR(ROUND(G180*VLOOKUP(F180,商品!#REF!,4,FALSE),0),"")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3">
      <c r="A181" s="18" t="s">
        <v>320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IFERROR(ROUND(E181*VLOOKUP(D181,商品!#REF!,4,FALSE),0),"")</f>
        <v/>
      </c>
      <c r="Z181" t="str">
        <f>IFERROR(ROUND(G181*VLOOKUP(F181,商品!#REF!,4,FALSE),0),"")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3">
      <c r="A182" s="18" t="s">
        <v>320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IFERROR(ROUND(E182*VLOOKUP(D182,商品!#REF!,4,FALSE),0),"")</f>
        <v/>
      </c>
      <c r="Z182" t="str">
        <f>IFERROR(ROUND(G182*VLOOKUP(F182,商品!#REF!,4,FALSE),0),"")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3">
      <c r="A183" s="5" t="s">
        <v>320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IFERROR(ROUND(E183*VLOOKUP(D183,商品!#REF!,4,FALSE),0),"")</f>
        <v/>
      </c>
      <c r="Z183" t="str">
        <f>IFERROR(ROUND(G183*VLOOKUP(F183,商品!#REF!,4,FALSE),0),"")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3">
      <c r="A184" s="5" t="s">
        <v>320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IFERROR(ROUND(E184*VLOOKUP(D184,商品!#REF!,4,FALSE),0),"")</f>
        <v/>
      </c>
      <c r="Z184" t="str">
        <f>IFERROR(ROUND(G184*VLOOKUP(F184,商品!#REF!,4,FALSE),0),"")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3">
      <c r="A185" s="5" t="s">
        <v>320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IFERROR(ROUND(E185*VLOOKUP(D185,商品!#REF!,4,FALSE),0),"")</f>
        <v/>
      </c>
      <c r="Z185" t="str">
        <f>IFERROR(ROUND(G185*VLOOKUP(F185,商品!#REF!,4,FALSE),0),"")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3">
      <c r="A186" s="5" t="s">
        <v>320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IFERROR(ROUND(E186*VLOOKUP(D186,商品!#REF!,4,FALSE),0),"")</f>
        <v/>
      </c>
      <c r="Z186" t="str">
        <f>IFERROR(ROUND(G186*VLOOKUP(F186,商品!#REF!,4,FALSE),0),"")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3">
      <c r="A187" s="5" t="s">
        <v>320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IFERROR(ROUND(E187*VLOOKUP(D187,商品!#REF!,4,FALSE),0),"")</f>
        <v/>
      </c>
      <c r="Z187" t="str">
        <f>IFERROR(ROUND(G187*VLOOKUP(F187,商品!#REF!,4,FALSE),0),"")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3">
      <c r="A188" s="18" t="s">
        <v>321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IFERROR(ROUND(E188*VLOOKUP(D188,商品!#REF!,4,FALSE),0),"")</f>
        <v/>
      </c>
      <c r="Z188" t="str">
        <f>IFERROR(ROUND(G188*VLOOKUP(F188,商品!#REF!,4,FALSE),0),"")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3">
      <c r="A189" s="18" t="s">
        <v>321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IFERROR(ROUND(E189*VLOOKUP(D189,商品!#REF!,4,FALSE),0),"")</f>
        <v/>
      </c>
      <c r="Z189" t="str">
        <f>IFERROR(ROUND(G189*VLOOKUP(F189,商品!#REF!,4,FALSE),0),"")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3">
      <c r="A190" s="18" t="s">
        <v>321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IFERROR(ROUND(E190*VLOOKUP(D190,商品!#REF!,4,FALSE),0),"")</f>
        <v/>
      </c>
      <c r="Z190" t="str">
        <f>IFERROR(ROUND(G190*VLOOKUP(F190,商品!#REF!,4,FALSE),0),"")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3">
      <c r="A191" s="18" t="s">
        <v>321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IFERROR(ROUND(E191*VLOOKUP(D191,商品!#REF!,4,FALSE),0),"")</f>
        <v/>
      </c>
      <c r="Z191" t="str">
        <f>IFERROR(ROUND(G191*VLOOKUP(F191,商品!#REF!,4,FALSE),0),"")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3">
      <c r="A192" s="18" t="s">
        <v>321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IFERROR(ROUND(E192*VLOOKUP(D192,商品!#REF!,4,FALSE),0),"")</f>
        <v/>
      </c>
      <c r="Z192" t="str">
        <f>IFERROR(ROUND(G192*VLOOKUP(F192,商品!#REF!,4,FALSE),0),"")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3">
      <c r="A193" s="18" t="s">
        <v>321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IFERROR(ROUND(E193*VLOOKUP(D193,商品!#REF!,4,FALSE),0),"")</f>
        <v/>
      </c>
      <c r="Z193" t="str">
        <f>IFERROR(ROUND(G193*VLOOKUP(F193,商品!#REF!,4,FALSE),0),"")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3">
      <c r="A194" s="18" t="s">
        <v>321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IFERROR(ROUND(E194*VLOOKUP(D194,商品!#REF!,4,FALSE),0),"")</f>
        <v/>
      </c>
      <c r="Z194" t="str">
        <f>IFERROR(ROUND(G194*VLOOKUP(F194,商品!#REF!,4,FALSE),0),"")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3">
      <c r="A195" s="18" t="s">
        <v>321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IFERROR(ROUND(E195*VLOOKUP(D195,商品!#REF!,4,FALSE),0),"")</f>
        <v/>
      </c>
      <c r="Z195" t="str">
        <f>IFERROR(ROUND(G195*VLOOKUP(F195,商品!#REF!,4,FALSE),0),"")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3">
      <c r="A196" s="5" t="s">
        <v>323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IFERROR(ROUND(E196*VLOOKUP(D196,商品!#REF!,4,FALSE),0),"")</f>
        <v/>
      </c>
      <c r="Z196" t="str">
        <f>IFERROR(ROUND(G196*VLOOKUP(F196,商品!#REF!,4,FALSE),0),"")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3">
      <c r="A197" s="5" t="s">
        <v>323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IFERROR(ROUND(E197*VLOOKUP(D197,商品!#REF!,4,FALSE),0),"")</f>
        <v/>
      </c>
      <c r="Z197" t="str">
        <f>IFERROR(ROUND(G197*VLOOKUP(F197,商品!#REF!,4,FALSE),0),"")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3">
      <c r="A198" s="5" t="s">
        <v>323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IFERROR(ROUND(E198*VLOOKUP(D198,商品!#REF!,4,FALSE),0),"")</f>
        <v/>
      </c>
      <c r="Z198" t="str">
        <f>IFERROR(ROUND(G198*VLOOKUP(F198,商品!#REF!,4,FALSE),0),"")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3">
      <c r="A199" s="5" t="s">
        <v>323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IFERROR(ROUND(E199*VLOOKUP(D199,商品!#REF!,4,FALSE),0),"")</f>
        <v/>
      </c>
      <c r="Z199" t="str">
        <f>IFERROR(ROUND(G199*VLOOKUP(F199,商品!#REF!,4,FALSE),0),"")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3">
      <c r="A200" s="5" t="s">
        <v>323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IFERROR(ROUND(E200*VLOOKUP(D200,商品!#REF!,4,FALSE),0),"")</f>
        <v/>
      </c>
      <c r="Z200" t="str">
        <f>IFERROR(ROUND(G200*VLOOKUP(F200,商品!#REF!,4,FALSE),0),"")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3">
      <c r="A201" s="18" t="s">
        <v>324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IFERROR(ROUND(E201*VLOOKUP(D201,商品!#REF!,4,FALSE),0),"")</f>
        <v/>
      </c>
      <c r="Z201" t="str">
        <f>IFERROR(ROUND(G201*VLOOKUP(F201,商品!#REF!,4,FALSE),0),"")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3">
      <c r="A202" s="18" t="s">
        <v>324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IFERROR(ROUND(E202*VLOOKUP(D202,商品!#REF!,4,FALSE),0),"")</f>
        <v/>
      </c>
      <c r="Z202" t="str">
        <f>IFERROR(ROUND(G202*VLOOKUP(F202,商品!#REF!,4,FALSE),0),"")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3">
      <c r="A203" s="18" t="s">
        <v>324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IFERROR(ROUND(E203*VLOOKUP(D203,商品!#REF!,4,FALSE),0),"")</f>
        <v/>
      </c>
      <c r="Z203" t="str">
        <f>IFERROR(ROUND(G203*VLOOKUP(F203,商品!#REF!,4,FALSE),0),"")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3">
      <c r="A204" s="18" t="s">
        <v>324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IFERROR(ROUND(E204*VLOOKUP(D204,商品!#REF!,4,FALSE),0),"")</f>
        <v/>
      </c>
      <c r="Z204" t="str">
        <f>IFERROR(ROUND(G204*VLOOKUP(F204,商品!#REF!,4,FALSE),0),"")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3">
      <c r="A205" s="18" t="s">
        <v>324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IFERROR(ROUND(E205*VLOOKUP(D205,商品!#REF!,4,FALSE),0),"")</f>
        <v/>
      </c>
      <c r="Z205" t="str">
        <f>IFERROR(ROUND(G205*VLOOKUP(F205,商品!#REF!,4,FALSE),0),"")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3">
      <c r="A206" s="5" t="s">
        <v>324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IFERROR(ROUND(E206*VLOOKUP(D206,商品!#REF!,4,FALSE),0),"")</f>
        <v/>
      </c>
      <c r="Z206" t="str">
        <f>IFERROR(ROUND(G206*VLOOKUP(F206,商品!#REF!,4,FALSE),0),"")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3">
      <c r="A207" s="5" t="s">
        <v>324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IFERROR(ROUND(E207*VLOOKUP(D207,商品!#REF!,4,FALSE),0),"")</f>
        <v/>
      </c>
      <c r="Z207" t="str">
        <f>IFERROR(ROUND(G207*VLOOKUP(F207,商品!#REF!,4,FALSE),0),"")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3">
      <c r="A208" s="5" t="s">
        <v>324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IFERROR(ROUND(E208*VLOOKUP(D208,商品!#REF!,4,FALSE),0),"")</f>
        <v/>
      </c>
      <c r="Z208" t="str">
        <f>IFERROR(ROUND(G208*VLOOKUP(F208,商品!#REF!,4,FALSE),0),"")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3">
      <c r="A209" s="5" t="s">
        <v>324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IFERROR(ROUND(E209*VLOOKUP(D209,商品!#REF!,4,FALSE),0),"")</f>
        <v/>
      </c>
      <c r="Z209" t="str">
        <f>IFERROR(ROUND(G209*VLOOKUP(F209,商品!#REF!,4,FALSE),0),"")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3">
      <c r="A210" s="5" t="s">
        <v>324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IFERROR(ROUND(E210*VLOOKUP(D210,商品!#REF!,4,FALSE),0),"")</f>
        <v/>
      </c>
      <c r="Z210" t="str">
        <f>IFERROR(ROUND(G210*VLOOKUP(F210,商品!#REF!,4,FALSE),0),"")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3">
      <c r="A211" s="18" t="s">
        <v>325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IFERROR(ROUND(E211*VLOOKUP(D211,商品!#REF!,4,FALSE),0),"")</f>
        <v/>
      </c>
      <c r="Z211" t="str">
        <f>IFERROR(ROUND(G211*VLOOKUP(F211,商品!#REF!,4,FALSE),0),"")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3">
      <c r="A212" s="18" t="s">
        <v>325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IFERROR(ROUND(E212*VLOOKUP(D212,商品!#REF!,4,FALSE),0),"")</f>
        <v/>
      </c>
      <c r="Z212" t="str">
        <f>IFERROR(ROUND(G212*VLOOKUP(F212,商品!#REF!,4,FALSE),0),"")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3">
      <c r="A213" s="18" t="s">
        <v>325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IFERROR(ROUND(E213*VLOOKUP(D213,商品!#REF!,4,FALSE),0),"")</f>
        <v/>
      </c>
      <c r="Z213" t="str">
        <f>IFERROR(ROUND(G213*VLOOKUP(F213,商品!#REF!,4,FALSE),0),"")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3">
      <c r="A214" s="18" t="s">
        <v>325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IFERROR(ROUND(E214*VLOOKUP(D214,商品!#REF!,4,FALSE),0),"")</f>
        <v/>
      </c>
      <c r="Z214" t="str">
        <f>IFERROR(ROUND(G214*VLOOKUP(F214,商品!#REF!,4,FALSE),0),"")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3">
      <c r="A215" s="18" t="s">
        <v>325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IFERROR(ROUND(E215*VLOOKUP(D215,商品!#REF!,4,FALSE),0),"")</f>
        <v/>
      </c>
      <c r="Z215" t="str">
        <f>IFERROR(ROUND(G215*VLOOKUP(F215,商品!#REF!,4,FALSE),0),"")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3">
      <c r="A216" s="18" t="s">
        <v>325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IFERROR(ROUND(E216*VLOOKUP(D216,商品!#REF!,4,FALSE),0),"")</f>
        <v/>
      </c>
      <c r="Z216" t="str">
        <f>IFERROR(ROUND(G216*VLOOKUP(F216,商品!#REF!,4,FALSE),0),"")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3">
      <c r="A217" s="18" t="s">
        <v>325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IFERROR(ROUND(E217*VLOOKUP(D217,商品!#REF!,4,FALSE),0),"")</f>
        <v/>
      </c>
      <c r="Z217" t="str">
        <f>IFERROR(ROUND(G217*VLOOKUP(F217,商品!#REF!,4,FALSE),0),"")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3">
      <c r="A218" s="18" t="s">
        <v>325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IFERROR(ROUND(E218*VLOOKUP(D218,商品!#REF!,4,FALSE),0),"")</f>
        <v/>
      </c>
      <c r="Z218" t="str">
        <f>IFERROR(ROUND(G218*VLOOKUP(F218,商品!#REF!,4,FALSE),0),"")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3">
      <c r="A219" s="5" t="s">
        <v>327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IFERROR(ROUND(E219*VLOOKUP(D219,商品!#REF!,4,FALSE),0),"")</f>
        <v/>
      </c>
      <c r="Z219" t="str">
        <f>IFERROR(ROUND(G219*VLOOKUP(F219,商品!#REF!,4,FALSE),0),"")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3">
      <c r="A220" s="5" t="s">
        <v>327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IFERROR(ROUND(E220*VLOOKUP(D220,商品!#REF!,4,FALSE),0),"")</f>
        <v/>
      </c>
      <c r="Z220" t="str">
        <f>IFERROR(ROUND(G220*VLOOKUP(F220,商品!#REF!,4,FALSE),0),"")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3">
      <c r="A221" s="5" t="s">
        <v>327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IFERROR(ROUND(E221*VLOOKUP(D221,商品!#REF!,4,FALSE),0),"")</f>
        <v/>
      </c>
      <c r="Z221" t="str">
        <f>IFERROR(ROUND(G221*VLOOKUP(F221,商品!#REF!,4,FALSE),0),"")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3">
      <c r="A222" s="5" t="s">
        <v>327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IFERROR(ROUND(E222*VLOOKUP(D222,商品!#REF!,4,FALSE),0),"")</f>
        <v/>
      </c>
      <c r="Z222" t="str">
        <f>IFERROR(ROUND(G222*VLOOKUP(F222,商品!#REF!,4,FALSE),0),"")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3">
      <c r="A223" s="5" t="s">
        <v>327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IFERROR(ROUND(E223*VLOOKUP(D223,商品!#REF!,4,FALSE),0),"")</f>
        <v/>
      </c>
      <c r="Z223" t="str">
        <f>IFERROR(ROUND(G223*VLOOKUP(F223,商品!#REF!,4,FALSE),0),"")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3">
      <c r="A224" s="18" t="s">
        <v>328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IFERROR(ROUND(E224*VLOOKUP(D224,商品!#REF!,4,FALSE),0),"")</f>
        <v/>
      </c>
      <c r="Z224" t="str">
        <f>IFERROR(ROUND(G224*VLOOKUP(F224,商品!#REF!,4,FALSE),0),"")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3">
      <c r="A225" s="18" t="s">
        <v>328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IFERROR(ROUND(E225*VLOOKUP(D225,商品!#REF!,4,FALSE),0),"")</f>
        <v/>
      </c>
      <c r="Z225" t="str">
        <f>IFERROR(ROUND(G225*VLOOKUP(F225,商品!#REF!,4,FALSE),0),"")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3">
      <c r="A226" s="18" t="s">
        <v>328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IFERROR(ROUND(E226*VLOOKUP(D226,商品!#REF!,4,FALSE),0),"")</f>
        <v/>
      </c>
      <c r="Z226" t="str">
        <f>IFERROR(ROUND(G226*VLOOKUP(F226,商品!#REF!,4,FALSE),0),"")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3">
      <c r="A227" s="18" t="s">
        <v>328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IFERROR(ROUND(E227*VLOOKUP(D227,商品!#REF!,4,FALSE),0),"")</f>
        <v/>
      </c>
      <c r="Z227" t="str">
        <f>IFERROR(ROUND(G227*VLOOKUP(F227,商品!#REF!,4,FALSE),0),"")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3">
      <c r="A228" s="18" t="s">
        <v>328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IFERROR(ROUND(E228*VLOOKUP(D228,商品!#REF!,4,FALSE),0),"")</f>
        <v/>
      </c>
      <c r="Z228" t="str">
        <f>IFERROR(ROUND(G228*VLOOKUP(F228,商品!#REF!,4,FALSE),0),"")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3">
      <c r="A229" s="5" t="s">
        <v>328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IFERROR(ROUND(E229*VLOOKUP(D229,商品!#REF!,4,FALSE),0),"")</f>
        <v/>
      </c>
      <c r="Z229" t="str">
        <f>IFERROR(ROUND(G229*VLOOKUP(F229,商品!#REF!,4,FALSE),0),"")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3">
      <c r="A230" s="5" t="s">
        <v>328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IFERROR(ROUND(E230*VLOOKUP(D230,商品!#REF!,4,FALSE),0),"")</f>
        <v/>
      </c>
      <c r="Z230" t="str">
        <f>IFERROR(ROUND(G230*VLOOKUP(F230,商品!#REF!,4,FALSE),0),"")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3">
      <c r="A231" s="5" t="s">
        <v>328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IFERROR(ROUND(E231*VLOOKUP(D231,商品!#REF!,4,FALSE),0),"")</f>
        <v/>
      </c>
      <c r="Z231" t="str">
        <f>IFERROR(ROUND(G231*VLOOKUP(F231,商品!#REF!,4,FALSE),0),"")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3">
      <c r="A232" s="5" t="s">
        <v>328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IFERROR(ROUND(E232*VLOOKUP(D232,商品!#REF!,4,FALSE),0),"")</f>
        <v/>
      </c>
      <c r="Z232" t="str">
        <f>IFERROR(ROUND(G232*VLOOKUP(F232,商品!#REF!,4,FALSE),0),"")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3">
      <c r="A233" s="5" t="s">
        <v>328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IFERROR(ROUND(E233*VLOOKUP(D233,商品!#REF!,4,FALSE),0),"")</f>
        <v/>
      </c>
      <c r="Z233" t="str">
        <f>IFERROR(ROUND(G233*VLOOKUP(F233,商品!#REF!,4,FALSE),0),"")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3">
      <c r="A234" s="18" t="s">
        <v>329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IFERROR(ROUND(E234*VLOOKUP(D234,商品!#REF!,4,FALSE),0),"")</f>
        <v/>
      </c>
      <c r="Z234" t="str">
        <f>IFERROR(ROUND(G234*VLOOKUP(F234,商品!#REF!,4,FALSE),0),"")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3">
      <c r="A235" s="18" t="s">
        <v>329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IFERROR(ROUND(E235*VLOOKUP(D235,商品!#REF!,4,FALSE),0),"")</f>
        <v/>
      </c>
      <c r="Z235" t="str">
        <f>IFERROR(ROUND(G235*VLOOKUP(F235,商品!#REF!,4,FALSE),0),"")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3">
      <c r="A236" s="18" t="s">
        <v>329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IFERROR(ROUND(E236*VLOOKUP(D236,商品!#REF!,4,FALSE),0),"")</f>
        <v/>
      </c>
      <c r="Z236" t="str">
        <f>IFERROR(ROUND(G236*VLOOKUP(F236,商品!#REF!,4,FALSE),0),"")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3">
      <c r="A237" s="18" t="s">
        <v>329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IFERROR(ROUND(E237*VLOOKUP(D237,商品!#REF!,4,FALSE),0),"")</f>
        <v/>
      </c>
      <c r="Z237" t="str">
        <f>IFERROR(ROUND(G237*VLOOKUP(F237,商品!#REF!,4,FALSE),0),"")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3">
      <c r="A238" s="18" t="s">
        <v>329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IFERROR(ROUND(E238*VLOOKUP(D238,商品!#REF!,4,FALSE),0),"")</f>
        <v/>
      </c>
      <c r="Z238" t="str">
        <f>IFERROR(ROUND(G238*VLOOKUP(F238,商品!#REF!,4,FALSE),0),"")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3">
      <c r="A239" s="18" t="s">
        <v>329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IFERROR(ROUND(E239*VLOOKUP(D239,商品!#REF!,4,FALSE),0),"")</f>
        <v/>
      </c>
      <c r="Z239" t="str">
        <f>IFERROR(ROUND(G239*VLOOKUP(F239,商品!#REF!,4,FALSE),0),"")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3">
      <c r="A240" s="18" t="s">
        <v>329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IFERROR(ROUND(E240*VLOOKUP(D240,商品!#REF!,4,FALSE),0),"")</f>
        <v/>
      </c>
      <c r="Z240" t="str">
        <f>IFERROR(ROUND(G240*VLOOKUP(F240,商品!#REF!,4,FALSE),0),"")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3">
      <c r="A241" s="18" t="s">
        <v>329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IFERROR(ROUND(E241*VLOOKUP(D241,商品!#REF!,4,FALSE),0),"")</f>
        <v/>
      </c>
      <c r="Z241" t="str">
        <f>IFERROR(ROUND(G241*VLOOKUP(F241,商品!#REF!,4,FALSE),0),"")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3">
      <c r="A242" s="5" t="s">
        <v>331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IFERROR(ROUND(E242*VLOOKUP(D242,商品!#REF!,4,FALSE),0),"")</f>
        <v/>
      </c>
      <c r="Z242" t="str">
        <f>IFERROR(ROUND(G242*VLOOKUP(F242,商品!#REF!,4,FALSE),0),"")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3">
      <c r="A243" s="5" t="s">
        <v>331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IFERROR(ROUND(E243*VLOOKUP(D243,商品!#REF!,4,FALSE),0),"")</f>
        <v/>
      </c>
      <c r="Z243" t="str">
        <f>IFERROR(ROUND(G243*VLOOKUP(F243,商品!#REF!,4,FALSE),0),"")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3">
      <c r="A244" s="5" t="s">
        <v>331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IFERROR(ROUND(E244*VLOOKUP(D244,商品!#REF!,4,FALSE),0),"")</f>
        <v/>
      </c>
      <c r="Z244" t="str">
        <f>IFERROR(ROUND(G244*VLOOKUP(F244,商品!#REF!,4,FALSE),0),"")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3">
      <c r="A245" s="5" t="s">
        <v>331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IFERROR(ROUND(E245*VLOOKUP(D245,商品!#REF!,4,FALSE),0),"")</f>
        <v/>
      </c>
      <c r="Z245" t="str">
        <f>IFERROR(ROUND(G245*VLOOKUP(F245,商品!#REF!,4,FALSE),0),"")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3">
      <c r="A246" s="5" t="s">
        <v>331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IFERROR(ROUND(E246*VLOOKUP(D246,商品!#REF!,4,FALSE),0),"")</f>
        <v/>
      </c>
      <c r="Z246" t="str">
        <f>IFERROR(ROUND(G246*VLOOKUP(F246,商品!#REF!,4,FALSE),0),"")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3">
      <c r="A247" s="18" t="s">
        <v>332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IFERROR(ROUND(E247*VLOOKUP(D247,商品!#REF!,4,FALSE),0),"")</f>
        <v/>
      </c>
      <c r="Z247" t="str">
        <f>IFERROR(ROUND(G247*VLOOKUP(F247,商品!#REF!,4,FALSE),0),"")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3">
      <c r="A248" s="18" t="s">
        <v>332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IFERROR(ROUND(E248*VLOOKUP(D248,商品!#REF!,4,FALSE),0),"")</f>
        <v/>
      </c>
      <c r="Z248" t="str">
        <f>IFERROR(ROUND(G248*VLOOKUP(F248,商品!#REF!,4,FALSE),0),"")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3">
      <c r="A249" s="18" t="s">
        <v>332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IFERROR(ROUND(E249*VLOOKUP(D249,商品!#REF!,4,FALSE),0),"")</f>
        <v/>
      </c>
      <c r="Z249" t="str">
        <f>IFERROR(ROUND(G249*VLOOKUP(F249,商品!#REF!,4,FALSE),0),"")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3">
      <c r="A250" s="18" t="s">
        <v>332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IFERROR(ROUND(E250*VLOOKUP(D250,商品!#REF!,4,FALSE),0),"")</f>
        <v/>
      </c>
      <c r="Z250" t="str">
        <f>IFERROR(ROUND(G250*VLOOKUP(F250,商品!#REF!,4,FALSE),0),"")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3">
      <c r="A251" s="18" t="s">
        <v>332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IFERROR(ROUND(E251*VLOOKUP(D251,商品!#REF!,4,FALSE),0),"")</f>
        <v/>
      </c>
      <c r="Z251" t="str">
        <f>IFERROR(ROUND(G251*VLOOKUP(F251,商品!#REF!,4,FALSE),0),"")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3">
      <c r="A252" s="5" t="s">
        <v>333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IFERROR(ROUND(E252*VLOOKUP(D252,商品!#REF!,4,FALSE),0),"")</f>
        <v/>
      </c>
      <c r="Z252" t="str">
        <f>IFERROR(ROUND(G252*VLOOKUP(F252,商品!#REF!,4,FALSE),0),"")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3">
      <c r="A253" s="5" t="s">
        <v>333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IFERROR(ROUND(E253*VLOOKUP(D253,商品!#REF!,4,FALSE),0),"")</f>
        <v/>
      </c>
      <c r="Z253" t="str">
        <f>IFERROR(ROUND(G253*VLOOKUP(F253,商品!#REF!,4,FALSE),0),"")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3">
      <c r="A254" s="5" t="s">
        <v>333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IFERROR(ROUND(E254*VLOOKUP(D254,商品!#REF!,4,FALSE),0),"")</f>
        <v/>
      </c>
      <c r="Z254" t="str">
        <f>IFERROR(ROUND(G254*VLOOKUP(F254,商品!#REF!,4,FALSE),0),"")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3">
      <c r="A255" s="5" t="s">
        <v>333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IFERROR(ROUND(E255*VLOOKUP(D255,商品!#REF!,4,FALSE),0),"")</f>
        <v/>
      </c>
      <c r="Z255" t="str">
        <f>IFERROR(ROUND(G255*VLOOKUP(F255,商品!#REF!,4,FALSE),0),"")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3">
      <c r="A256" s="5" t="s">
        <v>333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IFERROR(ROUND(E256*VLOOKUP(D256,商品!#REF!,4,FALSE),0),"")</f>
        <v/>
      </c>
      <c r="Z256" t="str">
        <f>IFERROR(ROUND(G256*VLOOKUP(F256,商品!#REF!,4,FALSE),0),"")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3">
      <c r="A257" s="18" t="s">
        <v>333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IFERROR(ROUND(E257*VLOOKUP(D257,商品!#REF!,4,FALSE),0),"")</f>
        <v/>
      </c>
      <c r="Z257" t="str">
        <f>IFERROR(ROUND(G257*VLOOKUP(F257,商品!#REF!,4,FALSE),0),"")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3">
      <c r="A258" s="18" t="s">
        <v>333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IFERROR(ROUND(E258*VLOOKUP(D258,商品!#REF!,4,FALSE),0),"")</f>
        <v/>
      </c>
      <c r="Z258" t="str">
        <f>IFERROR(ROUND(G258*VLOOKUP(F258,商品!#REF!,4,FALSE),0),"")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3">
      <c r="A259" s="18" t="s">
        <v>333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IFERROR(ROUND(E259*VLOOKUP(D259,商品!#REF!,4,FALSE),0),"")</f>
        <v/>
      </c>
      <c r="Z259" t="str">
        <f>IFERROR(ROUND(G259*VLOOKUP(F259,商品!#REF!,4,FALSE),0),"")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3">
      <c r="A260" s="18" t="s">
        <v>333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IFERROR(ROUND(E260*VLOOKUP(D260,商品!#REF!,4,FALSE),0),"")</f>
        <v/>
      </c>
      <c r="Z260" t="str">
        <f>IFERROR(ROUND(G260*VLOOKUP(F260,商品!#REF!,4,FALSE),0),"")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3">
      <c r="A261" s="18" t="s">
        <v>333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IFERROR(ROUND(E261*VLOOKUP(D261,商品!#REF!,4,FALSE),0),"")</f>
        <v/>
      </c>
      <c r="Z261" t="str">
        <f>IFERROR(ROUND(G261*VLOOKUP(F261,商品!#REF!,4,FALSE),0),"")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3">
      <c r="A262" s="5" t="s">
        <v>334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IFERROR(ROUND(E262*VLOOKUP(D262,商品!#REF!,4,FALSE),0),"")</f>
        <v/>
      </c>
      <c r="Z262" t="str">
        <f>IFERROR(ROUND(G262*VLOOKUP(F262,商品!#REF!,4,FALSE),0),"")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3">
      <c r="A263" s="5" t="s">
        <v>334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IFERROR(ROUND(E263*VLOOKUP(D263,商品!#REF!,4,FALSE),0),"")</f>
        <v/>
      </c>
      <c r="Z263" t="str">
        <f>IFERROR(ROUND(G263*VLOOKUP(F263,商品!#REF!,4,FALSE),0),"")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3">
      <c r="A264" s="5" t="s">
        <v>334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IFERROR(ROUND(E264*VLOOKUP(D264,商品!#REF!,4,FALSE),0),"")</f>
        <v/>
      </c>
      <c r="Z264" t="str">
        <f>IFERROR(ROUND(G264*VLOOKUP(F264,商品!#REF!,4,FALSE),0),"")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3">
      <c r="A265" s="5" t="s">
        <v>334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IFERROR(ROUND(E265*VLOOKUP(D265,商品!#REF!,4,FALSE),0),"")</f>
        <v/>
      </c>
      <c r="Z265" t="str">
        <f>IFERROR(ROUND(G265*VLOOKUP(F265,商品!#REF!,4,FALSE),0),"")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3">
      <c r="A266" s="5" t="s">
        <v>334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IFERROR(ROUND(E266*VLOOKUP(D266,商品!#REF!,4,FALSE),0),"")</f>
        <v/>
      </c>
      <c r="Z266" t="str">
        <f>IFERROR(ROUND(G266*VLOOKUP(F266,商品!#REF!,4,FALSE),0),"")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3">
      <c r="A267" s="5" t="s">
        <v>334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IFERROR(ROUND(E267*VLOOKUP(D267,商品!#REF!,4,FALSE),0),"")</f>
        <v/>
      </c>
      <c r="Z267" t="str">
        <f>IFERROR(ROUND(G267*VLOOKUP(F267,商品!#REF!,4,FALSE),0),"")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3">
      <c r="A268" s="5" t="s">
        <v>334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IFERROR(ROUND(E268*VLOOKUP(D268,商品!#REF!,4,FALSE),0),"")</f>
        <v/>
      </c>
      <c r="Z268" t="str">
        <f>IFERROR(ROUND(G268*VLOOKUP(F268,商品!#REF!,4,FALSE),0),"")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3">
      <c r="A269" s="5" t="s">
        <v>334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IFERROR(ROUND(E269*VLOOKUP(D269,商品!#REF!,4,FALSE),0),"")</f>
        <v/>
      </c>
      <c r="Z269" t="str">
        <f>IFERROR(ROUND(G269*VLOOKUP(F269,商品!#REF!,4,FALSE),0),"")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3">
      <c r="A270" s="18" t="s">
        <v>336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IFERROR(ROUND(E270*VLOOKUP(D270,商品!#REF!,4,FALSE),0),"")</f>
        <v/>
      </c>
      <c r="Z270" t="str">
        <f>IFERROR(ROUND(G270*VLOOKUP(F270,商品!#REF!,4,FALSE),0),"")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3">
      <c r="A271" s="18" t="s">
        <v>336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IFERROR(ROUND(E271*VLOOKUP(D271,商品!#REF!,4,FALSE),0),"")</f>
        <v/>
      </c>
      <c r="Z271" t="str">
        <f>IFERROR(ROUND(G271*VLOOKUP(F271,商品!#REF!,4,FALSE),0),"")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3">
      <c r="A272" s="18" t="s">
        <v>336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IFERROR(ROUND(E272*VLOOKUP(D272,商品!#REF!,4,FALSE),0),"")</f>
        <v/>
      </c>
      <c r="Z272" t="str">
        <f>IFERROR(ROUND(G272*VLOOKUP(F272,商品!#REF!,4,FALSE),0),"")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3">
      <c r="A273" s="18" t="s">
        <v>336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IFERROR(ROUND(E273*VLOOKUP(D273,商品!#REF!,4,FALSE),0),"")</f>
        <v/>
      </c>
      <c r="Z273" t="str">
        <f>IFERROR(ROUND(G273*VLOOKUP(F273,商品!#REF!,4,FALSE),0),"")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3">
      <c r="A274" s="18" t="s">
        <v>336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IFERROR(ROUND(E274*VLOOKUP(D274,商品!#REF!,4,FALSE),0),"")</f>
        <v/>
      </c>
      <c r="Z274" t="str">
        <f>IFERROR(ROUND(G274*VLOOKUP(F274,商品!#REF!,4,FALSE),0),"")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3">
      <c r="A275" s="5" t="s">
        <v>337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IFERROR(ROUND(E275*VLOOKUP(D275,商品!#REF!,4,FALSE),0),"")</f>
        <v/>
      </c>
      <c r="Z275" t="str">
        <f>IFERROR(ROUND(G275*VLOOKUP(F275,商品!#REF!,4,FALSE),0),"")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3">
      <c r="A276" s="5" t="s">
        <v>337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IFERROR(ROUND(E276*VLOOKUP(D276,商品!#REF!,4,FALSE),0),"")</f>
        <v/>
      </c>
      <c r="Z276" t="str">
        <f>IFERROR(ROUND(G276*VLOOKUP(F276,商品!#REF!,4,FALSE),0),"")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3">
      <c r="A277" s="5" t="s">
        <v>337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IFERROR(ROUND(E277*VLOOKUP(D277,商品!#REF!,4,FALSE),0),"")</f>
        <v/>
      </c>
      <c r="Z277" t="str">
        <f>IFERROR(ROUND(G277*VLOOKUP(F277,商品!#REF!,4,FALSE),0),"")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3">
      <c r="A278" s="5" t="s">
        <v>337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IFERROR(ROUND(E278*VLOOKUP(D278,商品!#REF!,4,FALSE),0),"")</f>
        <v/>
      </c>
      <c r="Z278" t="str">
        <f>IFERROR(ROUND(G278*VLOOKUP(F278,商品!#REF!,4,FALSE),0),"")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3">
      <c r="A279" s="5" t="s">
        <v>337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IFERROR(ROUND(E279*VLOOKUP(D279,商品!#REF!,4,FALSE),0),"")</f>
        <v/>
      </c>
      <c r="Z279" t="str">
        <f>IFERROR(ROUND(G279*VLOOKUP(F279,商品!#REF!,4,FALSE),0),"")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3">
      <c r="A280" s="18" t="s">
        <v>338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IFERROR(ROUND(E280*VLOOKUP(D280,商品!#REF!,4,FALSE),0),"")</f>
        <v/>
      </c>
      <c r="Z280" t="str">
        <f>IFERROR(ROUND(G280*VLOOKUP(F280,商品!#REF!,4,FALSE),0),"")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3">
      <c r="A281" s="18" t="s">
        <v>338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IFERROR(ROUND(E281*VLOOKUP(D281,商品!#REF!,4,FALSE),0),"")</f>
        <v/>
      </c>
      <c r="Z281" t="str">
        <f>IFERROR(ROUND(G281*VLOOKUP(F281,商品!#REF!,4,FALSE),0),"")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3">
      <c r="A282" s="18" t="s">
        <v>338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IFERROR(ROUND(E282*VLOOKUP(D282,商品!#REF!,4,FALSE),0),"")</f>
        <v/>
      </c>
      <c r="Z282" t="str">
        <f>IFERROR(ROUND(G282*VLOOKUP(F282,商品!#REF!,4,FALSE),0),"")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3">
      <c r="A283" s="18" t="s">
        <v>338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IFERROR(ROUND(E283*VLOOKUP(D283,商品!#REF!,4,FALSE),0),"")</f>
        <v/>
      </c>
      <c r="Z283" t="str">
        <f>IFERROR(ROUND(G283*VLOOKUP(F283,商品!#REF!,4,FALSE),0),"")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3">
      <c r="A284" s="18" t="s">
        <v>338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IFERROR(ROUND(E284*VLOOKUP(D284,商品!#REF!,4,FALSE),0),"")</f>
        <v/>
      </c>
      <c r="Z284" t="str">
        <f>IFERROR(ROUND(G284*VLOOKUP(F284,商品!#REF!,4,FALSE),0),"")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3">
      <c r="A285" s="5" t="s">
        <v>338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IFERROR(ROUND(E285*VLOOKUP(D285,商品!#REF!,4,FALSE),0),"")</f>
        <v/>
      </c>
      <c r="Z285" t="str">
        <f>IFERROR(ROUND(G285*VLOOKUP(F285,商品!#REF!,4,FALSE),0),"")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3">
      <c r="A286" s="5" t="s">
        <v>338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IFERROR(ROUND(E286*VLOOKUP(D286,商品!#REF!,4,FALSE),0),"")</f>
        <v/>
      </c>
      <c r="Z286" t="str">
        <f>IFERROR(ROUND(G286*VLOOKUP(F286,商品!#REF!,4,FALSE),0),"")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3">
      <c r="A287" s="5" t="s">
        <v>338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IFERROR(ROUND(E287*VLOOKUP(D287,商品!#REF!,4,FALSE),0),"")</f>
        <v/>
      </c>
      <c r="Z287" t="str">
        <f>IFERROR(ROUND(G287*VLOOKUP(F287,商品!#REF!,4,FALSE),0),"")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3">
      <c r="A288" s="5" t="s">
        <v>338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IFERROR(ROUND(E288*VLOOKUP(D288,商品!#REF!,4,FALSE),0),"")</f>
        <v/>
      </c>
      <c r="Z288" t="str">
        <f>IFERROR(ROUND(G288*VLOOKUP(F288,商品!#REF!,4,FALSE),0),"")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3">
      <c r="A289" s="5" t="s">
        <v>338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IFERROR(ROUND(E289*VLOOKUP(D289,商品!#REF!,4,FALSE),0),"")</f>
        <v/>
      </c>
      <c r="Z289" t="str">
        <f>IFERROR(ROUND(G289*VLOOKUP(F289,商品!#REF!,4,FALSE),0),"")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3">
      <c r="A290" s="18" t="s">
        <v>339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IFERROR(ROUND(E290*VLOOKUP(D290,商品!#REF!,4,FALSE),0),"")</f>
        <v/>
      </c>
      <c r="Z290" t="str">
        <f>IFERROR(ROUND(G290*VLOOKUP(F290,商品!#REF!,4,FALSE),0),"")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3">
      <c r="A291" s="18" t="s">
        <v>339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IFERROR(ROUND(E291*VLOOKUP(D291,商品!#REF!,4,FALSE),0),"")</f>
        <v/>
      </c>
      <c r="Z291" t="str">
        <f>IFERROR(ROUND(G291*VLOOKUP(F291,商品!#REF!,4,FALSE),0),"")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3">
      <c r="A292" s="18" t="s">
        <v>339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IFERROR(ROUND(E292*VLOOKUP(D292,商品!#REF!,4,FALSE),0),"")</f>
        <v/>
      </c>
      <c r="Z292" t="str">
        <f>IFERROR(ROUND(G292*VLOOKUP(F292,商品!#REF!,4,FALSE),0),"")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3">
      <c r="A293" s="18" t="s">
        <v>339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IFERROR(ROUND(E293*VLOOKUP(D293,商品!#REF!,4,FALSE),0),"")</f>
        <v/>
      </c>
      <c r="Z293" t="str">
        <f>IFERROR(ROUND(G293*VLOOKUP(F293,商品!#REF!,4,FALSE),0),"")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3">
      <c r="A294" s="18" t="s">
        <v>339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IFERROR(ROUND(E294*VLOOKUP(D294,商品!#REF!,4,FALSE),0),"")</f>
        <v/>
      </c>
      <c r="Z294" t="str">
        <f>IFERROR(ROUND(G294*VLOOKUP(F294,商品!#REF!,4,FALSE),0),"")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3">
      <c r="A295" s="18" t="s">
        <v>339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IFERROR(ROUND(E295*VLOOKUP(D295,商品!#REF!,4,FALSE),0),"")</f>
        <v/>
      </c>
      <c r="Z295" t="str">
        <f>IFERROR(ROUND(G295*VLOOKUP(F295,商品!#REF!,4,FALSE),0),"")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3">
      <c r="A296" s="18" t="s">
        <v>339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IFERROR(ROUND(E296*VLOOKUP(D296,商品!#REF!,4,FALSE),0),"")</f>
        <v/>
      </c>
      <c r="Z296" t="str">
        <f>IFERROR(ROUND(G296*VLOOKUP(F296,商品!#REF!,4,FALSE),0),"")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3">
      <c r="A297" s="18" t="s">
        <v>339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IFERROR(ROUND(E297*VLOOKUP(D297,商品!#REF!,4,FALSE),0),"")</f>
        <v/>
      </c>
      <c r="Z297" t="str">
        <f>IFERROR(ROUND(G297*VLOOKUP(F297,商品!#REF!,4,FALSE),0),"")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3">
      <c r="A298" s="5" t="s">
        <v>341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IFERROR(ROUND(E298*VLOOKUP(D298,商品!#REF!,4,FALSE),0),"")</f>
        <v/>
      </c>
      <c r="Z298" t="str">
        <f>IFERROR(ROUND(G298*VLOOKUP(F298,商品!#REF!,4,FALSE),0),"")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3">
      <c r="A299" s="5" t="s">
        <v>341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IFERROR(ROUND(E299*VLOOKUP(D299,商品!#REF!,4,FALSE),0),"")</f>
        <v/>
      </c>
      <c r="Z299" t="str">
        <f>IFERROR(ROUND(G299*VLOOKUP(F299,商品!#REF!,4,FALSE),0),"")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3">
      <c r="A300" s="5" t="s">
        <v>341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IFERROR(ROUND(E300*VLOOKUP(D300,商品!#REF!,4,FALSE),0),"")</f>
        <v/>
      </c>
      <c r="Z300" t="str">
        <f>IFERROR(ROUND(G300*VLOOKUP(F300,商品!#REF!,4,FALSE),0),"")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3">
      <c r="A301" s="5" t="s">
        <v>341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IFERROR(ROUND(E301*VLOOKUP(D301,商品!#REF!,4,FALSE),0),"")</f>
        <v/>
      </c>
      <c r="Z301" t="str">
        <f>IFERROR(ROUND(G301*VLOOKUP(F301,商品!#REF!,4,FALSE),0),"")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3">
      <c r="A302" s="5" t="s">
        <v>341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IFERROR(ROUND(E302*VLOOKUP(D302,商品!#REF!,4,FALSE),0),"")</f>
        <v/>
      </c>
      <c r="Z302" t="str">
        <f>IFERROR(ROUND(G302*VLOOKUP(F302,商品!#REF!,4,FALSE),0),"")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3">
      <c r="A303" s="18" t="s">
        <v>342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IFERROR(ROUND(E303*VLOOKUP(D303,商品!#REF!,4,FALSE),0),"")</f>
        <v/>
      </c>
      <c r="Z303" t="str">
        <f>IFERROR(ROUND(G303*VLOOKUP(F303,商品!#REF!,4,FALSE),0),"")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3">
      <c r="A304" s="18" t="s">
        <v>342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IFERROR(ROUND(E304*VLOOKUP(D304,商品!#REF!,4,FALSE),0),"")</f>
        <v/>
      </c>
      <c r="Z304" t="str">
        <f>IFERROR(ROUND(G304*VLOOKUP(F304,商品!#REF!,4,FALSE),0),"")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3">
      <c r="A305" s="18" t="s">
        <v>342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IFERROR(ROUND(E305*VLOOKUP(D305,商品!#REF!,4,FALSE),0),"")</f>
        <v/>
      </c>
      <c r="Z305" t="str">
        <f>IFERROR(ROUND(G305*VLOOKUP(F305,商品!#REF!,4,FALSE),0),"")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3">
      <c r="A306" s="18" t="s">
        <v>342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IFERROR(ROUND(E306*VLOOKUP(D306,商品!#REF!,4,FALSE),0),"")</f>
        <v/>
      </c>
      <c r="Z306" t="str">
        <f>IFERROR(ROUND(G306*VLOOKUP(F306,商品!#REF!,4,FALSE),0),"")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3">
      <c r="A307" s="18" t="s">
        <v>342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IFERROR(ROUND(E307*VLOOKUP(D307,商品!#REF!,4,FALSE),0),"")</f>
        <v/>
      </c>
      <c r="Z307" t="str">
        <f>IFERROR(ROUND(G307*VLOOKUP(F307,商品!#REF!,4,FALSE),0),"")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3">
      <c r="A308" s="5" t="s">
        <v>342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IFERROR(ROUND(E308*VLOOKUP(D308,商品!#REF!,4,FALSE),0),"")</f>
        <v/>
      </c>
      <c r="Z308" t="str">
        <f>IFERROR(ROUND(G308*VLOOKUP(F308,商品!#REF!,4,FALSE),0),"")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3">
      <c r="A309" s="5" t="s">
        <v>342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IFERROR(ROUND(E309*VLOOKUP(D309,商品!#REF!,4,FALSE),0),"")</f>
        <v/>
      </c>
      <c r="Z309" t="str">
        <f>IFERROR(ROUND(G309*VLOOKUP(F309,商品!#REF!,4,FALSE),0),"")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3">
      <c r="A310" s="5" t="s">
        <v>342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IFERROR(ROUND(E310*VLOOKUP(D310,商品!#REF!,4,FALSE),0),"")</f>
        <v/>
      </c>
      <c r="Z310" t="str">
        <f>IFERROR(ROUND(G310*VLOOKUP(F310,商品!#REF!,4,FALSE),0),"")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3">
      <c r="A311" s="5" t="s">
        <v>342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IFERROR(ROUND(E311*VLOOKUP(D311,商品!#REF!,4,FALSE),0),"")</f>
        <v/>
      </c>
      <c r="Z311" t="str">
        <f>IFERROR(ROUND(G311*VLOOKUP(F311,商品!#REF!,4,FALSE),0),"")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3">
      <c r="A312" s="5" t="s">
        <v>342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IFERROR(ROUND(E312*VLOOKUP(D312,商品!#REF!,4,FALSE),0),"")</f>
        <v/>
      </c>
      <c r="Z312" t="str">
        <f>IFERROR(ROUND(G312*VLOOKUP(F312,商品!#REF!,4,FALSE),0),"")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3">
      <c r="A313" s="18" t="s">
        <v>343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IFERROR(ROUND(E313*VLOOKUP(D313,商品!#REF!,4,FALSE),0),"")</f>
        <v/>
      </c>
      <c r="Z313" t="str">
        <f>IFERROR(ROUND(G313*VLOOKUP(F313,商品!#REF!,4,FALSE),0),"")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3">
      <c r="A314" s="18" t="s">
        <v>343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IFERROR(ROUND(E314*VLOOKUP(D314,商品!#REF!,4,FALSE),0),"")</f>
        <v/>
      </c>
      <c r="Z314" t="str">
        <f>IFERROR(ROUND(G314*VLOOKUP(F314,商品!#REF!,4,FALSE),0),"")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3">
      <c r="A315" s="18" t="s">
        <v>343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IFERROR(ROUND(E315*VLOOKUP(D315,商品!#REF!,4,FALSE),0),"")</f>
        <v/>
      </c>
      <c r="Z315" t="str">
        <f>IFERROR(ROUND(G315*VLOOKUP(F315,商品!#REF!,4,FALSE),0),"")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3">
      <c r="A316" s="18" t="s">
        <v>343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IFERROR(ROUND(E316*VLOOKUP(D316,商品!#REF!,4,FALSE),0),"")</f>
        <v/>
      </c>
      <c r="Z316" t="str">
        <f>IFERROR(ROUND(G316*VLOOKUP(F316,商品!#REF!,4,FALSE),0),"")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3">
      <c r="A317" s="18" t="s">
        <v>343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IFERROR(ROUND(E317*VLOOKUP(D317,商品!#REF!,4,FALSE),0),"")</f>
        <v/>
      </c>
      <c r="Z317" t="str">
        <f>IFERROR(ROUND(G317*VLOOKUP(F317,商品!#REF!,4,FALSE),0),"")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3">
      <c r="A318" s="18" t="s">
        <v>343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IFERROR(ROUND(E318*VLOOKUP(D318,商品!#REF!,4,FALSE),0),"")</f>
        <v/>
      </c>
      <c r="Z318" t="str">
        <f>IFERROR(ROUND(G318*VLOOKUP(F318,商品!#REF!,4,FALSE),0),"")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3">
      <c r="A319" s="18" t="s">
        <v>343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IFERROR(ROUND(E319*VLOOKUP(D319,商品!#REF!,4,FALSE),0),"")</f>
        <v/>
      </c>
      <c r="Z319" t="str">
        <f>IFERROR(ROUND(G319*VLOOKUP(F319,商品!#REF!,4,FALSE),0),"")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3">
      <c r="A320" s="18" t="s">
        <v>343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IFERROR(ROUND(E320*VLOOKUP(D320,商品!#REF!,4,FALSE),0),"")</f>
        <v/>
      </c>
      <c r="Z320" t="str">
        <f>IFERROR(ROUND(G320*VLOOKUP(F320,商品!#REF!,4,FALSE),0),"")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3">
      <c r="A321" s="5" t="s">
        <v>345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IFERROR(ROUND(E321*VLOOKUP(D321,商品!#REF!,4,FALSE),0),"")</f>
        <v/>
      </c>
      <c r="Z321" t="str">
        <f>IFERROR(ROUND(G321*VLOOKUP(F321,商品!#REF!,4,FALSE),0),"")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3">
      <c r="A322" s="5" t="s">
        <v>345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IFERROR(ROUND(E322*VLOOKUP(D322,商品!#REF!,4,FALSE),0),"")</f>
        <v/>
      </c>
      <c r="Z322" t="str">
        <f>IFERROR(ROUND(G322*VLOOKUP(F322,商品!#REF!,4,FALSE),0),"")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3">
      <c r="A323" s="5" t="s">
        <v>345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IFERROR(ROUND(E323*VLOOKUP(D323,商品!#REF!,4,FALSE),0),"")</f>
        <v/>
      </c>
      <c r="Z323" t="str">
        <f>IFERROR(ROUND(G323*VLOOKUP(F323,商品!#REF!,4,FALSE),0),"")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3">
      <c r="A324" s="5" t="s">
        <v>345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IFERROR(ROUND(E324*VLOOKUP(D324,商品!#REF!,4,FALSE),0),"")</f>
        <v/>
      </c>
      <c r="Z324" t="str">
        <f>IFERROR(ROUND(G324*VLOOKUP(F324,商品!#REF!,4,FALSE),0),"")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3">
      <c r="A325" s="5" t="s">
        <v>345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IFERROR(ROUND(E325*VLOOKUP(D325,商品!#REF!,4,FALSE),0),"")</f>
        <v/>
      </c>
      <c r="Z325" t="str">
        <f>IFERROR(ROUND(G325*VLOOKUP(F325,商品!#REF!,4,FALSE),0),"")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3">
      <c r="A326" s="18" t="s">
        <v>346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IFERROR(ROUND(E326*VLOOKUP(D326,商品!#REF!,4,FALSE),0),"")</f>
        <v/>
      </c>
      <c r="Z326" t="str">
        <f>IFERROR(ROUND(G326*VLOOKUP(F326,商品!#REF!,4,FALSE),0),"")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3">
      <c r="A327" s="18" t="s">
        <v>346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IFERROR(ROUND(E327*VLOOKUP(D327,商品!#REF!,4,FALSE),0),"")</f>
        <v/>
      </c>
      <c r="Z327" t="str">
        <f>IFERROR(ROUND(G327*VLOOKUP(F327,商品!#REF!,4,FALSE),0),"")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3">
      <c r="A328" s="18" t="s">
        <v>346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IFERROR(ROUND(E328*VLOOKUP(D328,商品!#REF!,4,FALSE),0),"")</f>
        <v/>
      </c>
      <c r="Z328" t="str">
        <f>IFERROR(ROUND(G328*VLOOKUP(F328,商品!#REF!,4,FALSE),0),"")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3">
      <c r="A329" s="18" t="s">
        <v>346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IFERROR(ROUND(E329*VLOOKUP(D329,商品!#REF!,4,FALSE),0),"")</f>
        <v/>
      </c>
      <c r="Z329" t="str">
        <f>IFERROR(ROUND(G329*VLOOKUP(F329,商品!#REF!,4,FALSE),0),"")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3">
      <c r="A330" s="18" t="s">
        <v>346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IFERROR(ROUND(E330*VLOOKUP(D330,商品!#REF!,4,FALSE),0),"")</f>
        <v/>
      </c>
      <c r="Z330" t="str">
        <f>IFERROR(ROUND(G330*VLOOKUP(F330,商品!#REF!,4,FALSE),0),"")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3">
      <c r="A331" s="5" t="s">
        <v>346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IFERROR(ROUND(E331*VLOOKUP(D331,商品!#REF!,4,FALSE),0),"")</f>
        <v/>
      </c>
      <c r="Z331" t="str">
        <f>IFERROR(ROUND(G331*VLOOKUP(F331,商品!#REF!,4,FALSE),0),"")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3">
      <c r="A332" s="5" t="s">
        <v>346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IFERROR(ROUND(E332*VLOOKUP(D332,商品!#REF!,4,FALSE),0),"")</f>
        <v/>
      </c>
      <c r="Z332" t="str">
        <f>IFERROR(ROUND(G332*VLOOKUP(F332,商品!#REF!,4,FALSE),0),"")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3">
      <c r="A333" s="5" t="s">
        <v>346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IFERROR(ROUND(E333*VLOOKUP(D333,商品!#REF!,4,FALSE),0),"")</f>
        <v/>
      </c>
      <c r="Z333" t="str">
        <f>IFERROR(ROUND(G333*VLOOKUP(F333,商品!#REF!,4,FALSE),0),"")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3">
      <c r="A334" s="5" t="s">
        <v>346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IFERROR(ROUND(E334*VLOOKUP(D334,商品!#REF!,4,FALSE),0),"")</f>
        <v/>
      </c>
      <c r="Z334" t="str">
        <f>IFERROR(ROUND(G334*VLOOKUP(F334,商品!#REF!,4,FALSE),0),"")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3">
      <c r="A335" s="5" t="s">
        <v>346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IFERROR(ROUND(E335*VLOOKUP(D335,商品!#REF!,4,FALSE),0),"")</f>
        <v/>
      </c>
      <c r="Z335" t="str">
        <f>IFERROR(ROUND(G335*VLOOKUP(F335,商品!#REF!,4,FALSE),0),"")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3">
      <c r="A336" s="18" t="s">
        <v>347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IFERROR(ROUND(E336*VLOOKUP(D336,商品!#REF!,4,FALSE),0),"")</f>
        <v/>
      </c>
      <c r="Z336" t="str">
        <f>IFERROR(ROUND(G336*VLOOKUP(F336,商品!#REF!,4,FALSE),0),"")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3">
      <c r="A337" s="18" t="s">
        <v>347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IFERROR(ROUND(E337*VLOOKUP(D337,商品!#REF!,4,FALSE),0),"")</f>
        <v/>
      </c>
      <c r="Z337" t="str">
        <f>IFERROR(ROUND(G337*VLOOKUP(F337,商品!#REF!,4,FALSE),0),"")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3">
      <c r="A338" s="18" t="s">
        <v>347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IFERROR(ROUND(E338*VLOOKUP(D338,商品!#REF!,4,FALSE),0),"")</f>
        <v/>
      </c>
      <c r="Z338" t="str">
        <f>IFERROR(ROUND(G338*VLOOKUP(F338,商品!#REF!,4,FALSE),0),"")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3">
      <c r="A339" s="18" t="s">
        <v>347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IFERROR(ROUND(E339*VLOOKUP(D339,商品!#REF!,4,FALSE),0),"")</f>
        <v/>
      </c>
      <c r="Z339" t="str">
        <f>IFERROR(ROUND(G339*VLOOKUP(F339,商品!#REF!,4,FALSE),0),"")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3">
      <c r="A340" s="18" t="s">
        <v>347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IFERROR(ROUND(E340*VLOOKUP(D340,商品!#REF!,4,FALSE),0),"")</f>
        <v/>
      </c>
      <c r="Z340" t="str">
        <f>IFERROR(ROUND(G340*VLOOKUP(F340,商品!#REF!,4,FALSE),0),"")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3">
      <c r="A341" s="18" t="s">
        <v>347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IFERROR(ROUND(E341*VLOOKUP(D341,商品!#REF!,4,FALSE),0),"")</f>
        <v/>
      </c>
      <c r="Z341" t="str">
        <f>IFERROR(ROUND(G341*VLOOKUP(F341,商品!#REF!,4,FALSE),0),"")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3">
      <c r="A342" s="18" t="s">
        <v>347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IFERROR(ROUND(E342*VLOOKUP(D342,商品!#REF!,4,FALSE),0),"")</f>
        <v/>
      </c>
      <c r="Z342" t="str">
        <f>IFERROR(ROUND(G342*VLOOKUP(F342,商品!#REF!,4,FALSE),0),"")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3">
      <c r="A343" s="18" t="s">
        <v>347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IFERROR(ROUND(E343*VLOOKUP(D343,商品!#REF!,4,FALSE),0),"")</f>
        <v/>
      </c>
      <c r="Z343" t="str">
        <f>IFERROR(ROUND(G343*VLOOKUP(F343,商品!#REF!,4,FALSE),0),"")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3">
      <c r="A344" s="5" t="s">
        <v>349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IFERROR(ROUND(E344*VLOOKUP(D344,商品!#REF!,4,FALSE),0),"")</f>
        <v/>
      </c>
      <c r="Z344" t="str">
        <f>IFERROR(ROUND(G344*VLOOKUP(F344,商品!#REF!,4,FALSE),0),"")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3">
      <c r="A345" s="5" t="s">
        <v>349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IFERROR(ROUND(E345*VLOOKUP(D345,商品!#REF!,4,FALSE),0),"")</f>
        <v/>
      </c>
      <c r="Z345" t="str">
        <f>IFERROR(ROUND(G345*VLOOKUP(F345,商品!#REF!,4,FALSE),0),"")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3">
      <c r="A346" s="5" t="s">
        <v>349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IFERROR(ROUND(E346*VLOOKUP(D346,商品!#REF!,4,FALSE),0),"")</f>
        <v/>
      </c>
      <c r="Z346" t="str">
        <f>IFERROR(ROUND(G346*VLOOKUP(F346,商品!#REF!,4,FALSE),0),"")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3">
      <c r="A347" s="5" t="s">
        <v>349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IFERROR(ROUND(E347*VLOOKUP(D347,商品!#REF!,4,FALSE),0),"")</f>
        <v/>
      </c>
      <c r="Z347" t="str">
        <f>IFERROR(ROUND(G347*VLOOKUP(F347,商品!#REF!,4,FALSE),0),"")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3">
      <c r="A348" s="5" t="s">
        <v>349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IFERROR(ROUND(E348*VLOOKUP(D348,商品!#REF!,4,FALSE),0),"")</f>
        <v/>
      </c>
      <c r="Z348" t="str">
        <f>IFERROR(ROUND(G348*VLOOKUP(F348,商品!#REF!,4,FALSE),0),"")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3">
      <c r="A349" s="18" t="s">
        <v>350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IFERROR(ROUND(E349*VLOOKUP(D349,商品!#REF!,4,FALSE),0),"")</f>
        <v/>
      </c>
      <c r="Z349" t="str">
        <f>IFERROR(ROUND(G349*VLOOKUP(F349,商品!#REF!,4,FALSE),0),"")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3">
      <c r="A350" s="18" t="s">
        <v>350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IFERROR(ROUND(E350*VLOOKUP(D350,商品!#REF!,4,FALSE),0),"")</f>
        <v/>
      </c>
      <c r="Z350" t="str">
        <f>IFERROR(ROUND(G350*VLOOKUP(F350,商品!#REF!,4,FALSE),0),"")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3">
      <c r="A351" s="18" t="s">
        <v>350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IFERROR(ROUND(E351*VLOOKUP(D351,商品!#REF!,4,FALSE),0),"")</f>
        <v/>
      </c>
      <c r="Z351" t="str">
        <f>IFERROR(ROUND(G351*VLOOKUP(F351,商品!#REF!,4,FALSE),0),"")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3">
      <c r="A352" s="18" t="s">
        <v>350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IFERROR(ROUND(E352*VLOOKUP(D352,商品!#REF!,4,FALSE),0),"")</f>
        <v/>
      </c>
      <c r="Z352" t="str">
        <f>IFERROR(ROUND(G352*VLOOKUP(F352,商品!#REF!,4,FALSE),0),"")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3">
      <c r="A353" s="18" t="s">
        <v>350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IFERROR(ROUND(E353*VLOOKUP(D353,商品!#REF!,4,FALSE),0),"")</f>
        <v/>
      </c>
      <c r="Z353" t="str">
        <f>IFERROR(ROUND(G353*VLOOKUP(F353,商品!#REF!,4,FALSE),0),"")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3">
      <c r="A354" s="5" t="s">
        <v>350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IFERROR(ROUND(E354*VLOOKUP(D354,商品!#REF!,4,FALSE),0),"")</f>
        <v/>
      </c>
      <c r="Z354" t="str">
        <f>IFERROR(ROUND(G354*VLOOKUP(F354,商品!#REF!,4,FALSE),0),"")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3">
      <c r="A355" s="5" t="s">
        <v>350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IFERROR(ROUND(E355*VLOOKUP(D355,商品!#REF!,4,FALSE),0),"")</f>
        <v/>
      </c>
      <c r="Z355" t="str">
        <f>IFERROR(ROUND(G355*VLOOKUP(F355,商品!#REF!,4,FALSE),0),"")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3">
      <c r="A356" s="5" t="s">
        <v>350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IFERROR(ROUND(E356*VLOOKUP(D356,商品!#REF!,4,FALSE),0),"")</f>
        <v/>
      </c>
      <c r="Z356" t="str">
        <f>IFERROR(ROUND(G356*VLOOKUP(F356,商品!#REF!,4,FALSE),0),"")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3">
      <c r="A357" s="5" t="s">
        <v>350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IFERROR(ROUND(E357*VLOOKUP(D357,商品!#REF!,4,FALSE),0),"")</f>
        <v/>
      </c>
      <c r="Z357" t="str">
        <f>IFERROR(ROUND(G357*VLOOKUP(F357,商品!#REF!,4,FALSE),0),"")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3">
      <c r="A358" s="5" t="s">
        <v>350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IFERROR(ROUND(E358*VLOOKUP(D358,商品!#REF!,4,FALSE),0),"")</f>
        <v/>
      </c>
      <c r="Z358" t="str">
        <f>IFERROR(ROUND(G358*VLOOKUP(F358,商品!#REF!,4,FALSE),0),"")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3">
      <c r="A359" s="18" t="s">
        <v>351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IFERROR(ROUND(E359*VLOOKUP(D359,商品!#REF!,4,FALSE),0),"")</f>
        <v/>
      </c>
      <c r="Z359" t="str">
        <f>IFERROR(ROUND(G359*VLOOKUP(F359,商品!#REF!,4,FALSE),0),"")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3">
      <c r="A360" s="18" t="s">
        <v>351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IFERROR(ROUND(E360*VLOOKUP(D360,商品!#REF!,4,FALSE),0),"")</f>
        <v/>
      </c>
      <c r="Z360" t="str">
        <f>IFERROR(ROUND(G360*VLOOKUP(F360,商品!#REF!,4,FALSE),0),"")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3">
      <c r="A361" s="18" t="s">
        <v>351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IFERROR(ROUND(E361*VLOOKUP(D361,商品!#REF!,4,FALSE),0),"")</f>
        <v/>
      </c>
      <c r="Z361" t="str">
        <f>IFERROR(ROUND(G361*VLOOKUP(F361,商品!#REF!,4,FALSE),0),"")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3">
      <c r="A362" s="18" t="s">
        <v>351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IFERROR(ROUND(E362*VLOOKUP(D362,商品!#REF!,4,FALSE),0),"")</f>
        <v/>
      </c>
      <c r="Z362" t="str">
        <f>IFERROR(ROUND(G362*VLOOKUP(F362,商品!#REF!,4,FALSE),0),"")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3">
      <c r="A363" s="18" t="s">
        <v>351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IFERROR(ROUND(E363*VLOOKUP(D363,商品!#REF!,4,FALSE),0),"")</f>
        <v/>
      </c>
      <c r="Z363" t="str">
        <f>IFERROR(ROUND(G363*VLOOKUP(F363,商品!#REF!,4,FALSE),0),"")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3">
      <c r="A364" s="18" t="s">
        <v>351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IFERROR(ROUND(E364*VLOOKUP(D364,商品!#REF!,4,FALSE),0),"")</f>
        <v/>
      </c>
      <c r="Z364" t="str">
        <f>IFERROR(ROUND(G364*VLOOKUP(F364,商品!#REF!,4,FALSE),0),"")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3">
      <c r="A365" s="18" t="s">
        <v>351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IFERROR(ROUND(E365*VLOOKUP(D365,商品!#REF!,4,FALSE),0),"")</f>
        <v/>
      </c>
      <c r="Z365" t="str">
        <f>IFERROR(ROUND(G365*VLOOKUP(F365,商品!#REF!,4,FALSE),0),"")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3">
      <c r="A366" s="18" t="s">
        <v>351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IFERROR(ROUND(E366*VLOOKUP(D366,商品!#REF!,4,FALSE),0),"")</f>
        <v/>
      </c>
      <c r="Z366" t="str">
        <f>IFERROR(ROUND(G366*VLOOKUP(F366,商品!#REF!,4,FALSE),0),"")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3">
      <c r="A367" s="5" t="s">
        <v>353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IFERROR(ROUND(E367*VLOOKUP(D367,商品!#REF!,4,FALSE),0),"")</f>
        <v/>
      </c>
      <c r="Z367" t="str">
        <f>IFERROR(ROUND(G367*VLOOKUP(F367,商品!#REF!,4,FALSE),0),"")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3">
      <c r="A368" s="5" t="s">
        <v>353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IFERROR(ROUND(E368*VLOOKUP(D368,商品!#REF!,4,FALSE),0),"")</f>
        <v/>
      </c>
      <c r="Z368" t="str">
        <f>IFERROR(ROUND(G368*VLOOKUP(F368,商品!#REF!,4,FALSE),0),"")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3">
      <c r="A369" s="5" t="s">
        <v>353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IFERROR(ROUND(E369*VLOOKUP(D369,商品!#REF!,4,FALSE),0),"")</f>
        <v/>
      </c>
      <c r="Z369" t="str">
        <f>IFERROR(ROUND(G369*VLOOKUP(F369,商品!#REF!,4,FALSE),0),"")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3">
      <c r="A370" s="5" t="s">
        <v>353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IFERROR(ROUND(E370*VLOOKUP(D370,商品!#REF!,4,FALSE),0),"")</f>
        <v/>
      </c>
      <c r="Z370" t="str">
        <f>IFERROR(ROUND(G370*VLOOKUP(F370,商品!#REF!,4,FALSE),0),"")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3">
      <c r="A371" s="5" t="s">
        <v>353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IFERROR(ROUND(E371*VLOOKUP(D371,商品!#REF!,4,FALSE),0),"")</f>
        <v/>
      </c>
      <c r="Z371" t="str">
        <f>IFERROR(ROUND(G371*VLOOKUP(F371,商品!#REF!,4,FALSE),0),"")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3">
      <c r="A372" s="18" t="s">
        <v>354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IFERROR(ROUND(E372*VLOOKUP(D372,商品!#REF!,4,FALSE),0),"")</f>
        <v/>
      </c>
      <c r="Z372" t="str">
        <f>IFERROR(ROUND(G372*VLOOKUP(F372,商品!#REF!,4,FALSE),0),"")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3">
      <c r="A373" s="18" t="s">
        <v>354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IFERROR(ROUND(E373*VLOOKUP(D373,商品!#REF!,4,FALSE),0),"")</f>
        <v/>
      </c>
      <c r="Z373" t="str">
        <f>IFERROR(ROUND(G373*VLOOKUP(F373,商品!#REF!,4,FALSE),0),"")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3">
      <c r="A374" s="18" t="s">
        <v>354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IFERROR(ROUND(E374*VLOOKUP(D374,商品!#REF!,4,FALSE),0),"")</f>
        <v/>
      </c>
      <c r="Z374" t="str">
        <f>IFERROR(ROUND(G374*VLOOKUP(F374,商品!#REF!,4,FALSE),0),"")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3">
      <c r="A375" s="18" t="s">
        <v>354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IFERROR(ROUND(E375*VLOOKUP(D375,商品!#REF!,4,FALSE),0),"")</f>
        <v/>
      </c>
      <c r="Z375" t="str">
        <f>IFERROR(ROUND(G375*VLOOKUP(F375,商品!#REF!,4,FALSE),0),"")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3">
      <c r="A376" s="18" t="s">
        <v>354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IFERROR(ROUND(E376*VLOOKUP(D376,商品!#REF!,4,FALSE),0),"")</f>
        <v/>
      </c>
      <c r="Z376" t="str">
        <f>IFERROR(ROUND(G376*VLOOKUP(F376,商品!#REF!,4,FALSE),0),"")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3">
      <c r="A377" s="5" t="s">
        <v>354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IFERROR(ROUND(E377*VLOOKUP(D377,商品!#REF!,4,FALSE),0),"")</f>
        <v/>
      </c>
      <c r="Z377" t="str">
        <f>IFERROR(ROUND(G377*VLOOKUP(F377,商品!#REF!,4,FALSE),0),"")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3">
      <c r="A378" s="5" t="s">
        <v>354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IFERROR(ROUND(E378*VLOOKUP(D378,商品!#REF!,4,FALSE),0),"")</f>
        <v/>
      </c>
      <c r="Z378" t="str">
        <f>IFERROR(ROUND(G378*VLOOKUP(F378,商品!#REF!,4,FALSE),0),"")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3">
      <c r="A379" s="5" t="s">
        <v>354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IFERROR(ROUND(E379*VLOOKUP(D379,商品!#REF!,4,FALSE),0),"")</f>
        <v/>
      </c>
      <c r="Z379" t="str">
        <f>IFERROR(ROUND(G379*VLOOKUP(F379,商品!#REF!,4,FALSE),0),"")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3">
      <c r="A380" s="5" t="s">
        <v>354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IFERROR(ROUND(E380*VLOOKUP(D380,商品!#REF!,4,FALSE),0),"")</f>
        <v/>
      </c>
      <c r="Z380" t="str">
        <f>IFERROR(ROUND(G380*VLOOKUP(F380,商品!#REF!,4,FALSE),0),"")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3">
      <c r="A381" s="5" t="s">
        <v>354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IFERROR(ROUND(E381*VLOOKUP(D381,商品!#REF!,4,FALSE),0),"")</f>
        <v/>
      </c>
      <c r="Z381" t="str">
        <f>IFERROR(ROUND(G381*VLOOKUP(F381,商品!#REF!,4,FALSE),0),"")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3">
      <c r="A382" s="18" t="s">
        <v>355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IFERROR(ROUND(E382*VLOOKUP(D382,商品!#REF!,4,FALSE),0),"")</f>
        <v/>
      </c>
      <c r="Z382" t="str">
        <f>IFERROR(ROUND(G382*VLOOKUP(F382,商品!#REF!,4,FALSE),0),"")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3">
      <c r="A383" s="18" t="s">
        <v>355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IFERROR(ROUND(E383*VLOOKUP(D383,商品!#REF!,4,FALSE),0),"")</f>
        <v/>
      </c>
      <c r="Z383" t="str">
        <f>IFERROR(ROUND(G383*VLOOKUP(F383,商品!#REF!,4,FALSE),0),"")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3">
      <c r="A384" s="18" t="s">
        <v>355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IFERROR(ROUND(E384*VLOOKUP(D384,商品!#REF!,4,FALSE),0),"")</f>
        <v/>
      </c>
      <c r="Z384" t="str">
        <f>IFERROR(ROUND(G384*VLOOKUP(F384,商品!#REF!,4,FALSE),0),"")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3">
      <c r="A385" s="18" t="s">
        <v>355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IFERROR(ROUND(E385*VLOOKUP(D385,商品!#REF!,4,FALSE),0),"")</f>
        <v/>
      </c>
      <c r="Z385" t="str">
        <f>IFERROR(ROUND(G385*VLOOKUP(F385,商品!#REF!,4,FALSE),0),"")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3">
      <c r="A386" s="18" t="s">
        <v>355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IFERROR(ROUND(E386*VLOOKUP(D386,商品!#REF!,4,FALSE),0),"")</f>
        <v/>
      </c>
      <c r="Z386" t="str">
        <f>IFERROR(ROUND(G386*VLOOKUP(F386,商品!#REF!,4,FALSE),0),"")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3">
      <c r="A387" s="18" t="s">
        <v>355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IFERROR(ROUND(E387*VLOOKUP(D387,商品!#REF!,4,FALSE),0),"")</f>
        <v/>
      </c>
      <c r="Z387" t="str">
        <f>IFERROR(ROUND(G387*VLOOKUP(F387,商品!#REF!,4,FALSE),0),"")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3">
      <c r="A388" s="18" t="s">
        <v>355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IFERROR(ROUND(E388*VLOOKUP(D388,商品!#REF!,4,FALSE),0),"")</f>
        <v/>
      </c>
      <c r="Z388" t="str">
        <f>IFERROR(ROUND(G388*VLOOKUP(F388,商品!#REF!,4,FALSE),0),"")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3">
      <c r="A389" s="18" t="s">
        <v>355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IFERROR(ROUND(E389*VLOOKUP(D389,商品!#REF!,4,FALSE),0),"")</f>
        <v/>
      </c>
      <c r="Z389" t="str">
        <f>IFERROR(ROUND(G389*VLOOKUP(F389,商品!#REF!,4,FALSE),0),"")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3">
      <c r="A390" s="5" t="s">
        <v>357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IFERROR(ROUND(E390*VLOOKUP(D390,商品!#REF!,4,FALSE),0),"")</f>
        <v/>
      </c>
      <c r="Z390" t="str">
        <f>IFERROR(ROUND(G390*VLOOKUP(F390,商品!#REF!,4,FALSE),0),"")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3">
      <c r="A391" s="5" t="s">
        <v>357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IFERROR(ROUND(E391*VLOOKUP(D391,商品!#REF!,4,FALSE),0),"")</f>
        <v/>
      </c>
      <c r="Z391" t="str">
        <f>IFERROR(ROUND(G391*VLOOKUP(F391,商品!#REF!,4,FALSE),0),"")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3">
      <c r="A392" s="5" t="s">
        <v>357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IFERROR(ROUND(E392*VLOOKUP(D392,商品!#REF!,4,FALSE),0),"")</f>
        <v/>
      </c>
      <c r="Z392" t="str">
        <f>IFERROR(ROUND(G392*VLOOKUP(F392,商品!#REF!,4,FALSE),0),"")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3">
      <c r="A393" s="5" t="s">
        <v>357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IFERROR(ROUND(E393*VLOOKUP(D393,商品!#REF!,4,FALSE),0),"")</f>
        <v/>
      </c>
      <c r="Z393" t="str">
        <f>IFERROR(ROUND(G393*VLOOKUP(F393,商品!#REF!,4,FALSE),0),"")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3">
      <c r="A394" s="5" t="s">
        <v>357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IFERROR(ROUND(E394*VLOOKUP(D394,商品!#REF!,4,FALSE),0),"")</f>
        <v/>
      </c>
      <c r="Z394" t="str">
        <f>IFERROR(ROUND(G394*VLOOKUP(F394,商品!#REF!,4,FALSE),0),"")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3">
      <c r="A395" s="18" t="s">
        <v>358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IFERROR(ROUND(E395*VLOOKUP(D395,商品!#REF!,4,FALSE),0),"")</f>
        <v/>
      </c>
      <c r="Z395" t="str">
        <f>IFERROR(ROUND(G395*VLOOKUP(F395,商品!#REF!,4,FALSE),0),"")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3">
      <c r="A396" s="18" t="s">
        <v>358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IFERROR(ROUND(E396*VLOOKUP(D396,商品!#REF!,4,FALSE),0),"")</f>
        <v/>
      </c>
      <c r="Z396" t="str">
        <f>IFERROR(ROUND(G396*VLOOKUP(F396,商品!#REF!,4,FALSE),0),"")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3">
      <c r="A397" s="18" t="s">
        <v>358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IFERROR(ROUND(E397*VLOOKUP(D397,商品!#REF!,4,FALSE),0),"")</f>
        <v/>
      </c>
      <c r="Z397" t="str">
        <f>IFERROR(ROUND(G397*VLOOKUP(F397,商品!#REF!,4,FALSE),0),"")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3">
      <c r="A398" s="18" t="s">
        <v>358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IFERROR(ROUND(E398*VLOOKUP(D398,商品!#REF!,4,FALSE),0),"")</f>
        <v/>
      </c>
      <c r="Z398" t="str">
        <f>IFERROR(ROUND(G398*VLOOKUP(F398,商品!#REF!,4,FALSE),0),"")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3">
      <c r="A399" s="18" t="s">
        <v>358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IFERROR(ROUND(E399*VLOOKUP(D399,商品!#REF!,4,FALSE),0),"")</f>
        <v/>
      </c>
      <c r="Z399" t="str">
        <f>IFERROR(ROUND(G399*VLOOKUP(F399,商品!#REF!,4,FALSE),0),"")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3">
      <c r="A400" s="5" t="s">
        <v>358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IFERROR(ROUND(E400*VLOOKUP(D400,商品!#REF!,4,FALSE),0),"")</f>
        <v/>
      </c>
      <c r="Z400" t="str">
        <f>IFERROR(ROUND(G400*VLOOKUP(F400,商品!#REF!,4,FALSE),0),"")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3">
      <c r="A401" s="5" t="s">
        <v>358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IFERROR(ROUND(E401*VLOOKUP(D401,商品!#REF!,4,FALSE),0),"")</f>
        <v/>
      </c>
      <c r="Z401" t="str">
        <f>IFERROR(ROUND(G401*VLOOKUP(F401,商品!#REF!,4,FALSE),0),"")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3">
      <c r="A402" s="5" t="s">
        <v>358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IFERROR(ROUND(E402*VLOOKUP(D402,商品!#REF!,4,FALSE),0),"")</f>
        <v/>
      </c>
      <c r="Z402" t="str">
        <f>IFERROR(ROUND(G402*VLOOKUP(F402,商品!#REF!,4,FALSE),0),"")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3">
      <c r="A403" s="5" t="s">
        <v>358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IFERROR(ROUND(E403*VLOOKUP(D403,商品!#REF!,4,FALSE),0),"")</f>
        <v/>
      </c>
      <c r="Z403" t="str">
        <f>IFERROR(ROUND(G403*VLOOKUP(F403,商品!#REF!,4,FALSE),0),"")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3">
      <c r="A404" s="5" t="s">
        <v>358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IFERROR(ROUND(E404*VLOOKUP(D404,商品!#REF!,4,FALSE),0),"")</f>
        <v/>
      </c>
      <c r="Z404" t="str">
        <f>IFERROR(ROUND(G404*VLOOKUP(F404,商品!#REF!,4,FALSE),0),"")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3">
      <c r="A405" s="18" t="s">
        <v>359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IFERROR(ROUND(E405*VLOOKUP(D405,商品!#REF!,4,FALSE),0),"")</f>
        <v/>
      </c>
      <c r="Z405" t="str">
        <f>IFERROR(ROUND(G405*VLOOKUP(F405,商品!#REF!,4,FALSE),0),"")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3">
      <c r="A406" s="18" t="s">
        <v>359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IFERROR(ROUND(E406*VLOOKUP(D406,商品!#REF!,4,FALSE),0),"")</f>
        <v/>
      </c>
      <c r="Z406" t="str">
        <f>IFERROR(ROUND(G406*VLOOKUP(F406,商品!#REF!,4,FALSE),0),"")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3">
      <c r="A407" s="18" t="s">
        <v>359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IFERROR(ROUND(E407*VLOOKUP(D407,商品!#REF!,4,FALSE),0),"")</f>
        <v/>
      </c>
      <c r="Z407" t="str">
        <f>IFERROR(ROUND(G407*VLOOKUP(F407,商品!#REF!,4,FALSE),0),"")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3">
      <c r="A408" s="18" t="s">
        <v>359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IFERROR(ROUND(E408*VLOOKUP(D408,商品!#REF!,4,FALSE),0),"")</f>
        <v/>
      </c>
      <c r="Z408" t="str">
        <f>IFERROR(ROUND(G408*VLOOKUP(F408,商品!#REF!,4,FALSE),0),"")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3">
      <c r="A409" s="18" t="s">
        <v>359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IFERROR(ROUND(E409*VLOOKUP(D409,商品!#REF!,4,FALSE),0),"")</f>
        <v/>
      </c>
      <c r="Z409" t="str">
        <f>IFERROR(ROUND(G409*VLOOKUP(F409,商品!#REF!,4,FALSE),0),"")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3">
      <c r="A410" s="18" t="s">
        <v>359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IFERROR(ROUND(E410*VLOOKUP(D410,商品!#REF!,4,FALSE),0),"")</f>
        <v/>
      </c>
      <c r="Z410" t="str">
        <f>IFERROR(ROUND(G410*VLOOKUP(F410,商品!#REF!,4,FALSE),0),"")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3">
      <c r="A411" s="18" t="s">
        <v>359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IFERROR(ROUND(E411*VLOOKUP(D411,商品!#REF!,4,FALSE),0),"")</f>
        <v/>
      </c>
      <c r="Z411" t="str">
        <f>IFERROR(ROUND(G411*VLOOKUP(F411,商品!#REF!,4,FALSE),0),"")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3">
      <c r="A412" s="18" t="s">
        <v>359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IFERROR(ROUND(E412*VLOOKUP(D412,商品!#REF!,4,FALSE),0),"")</f>
        <v/>
      </c>
      <c r="Z412" t="str">
        <f>IFERROR(ROUND(G412*VLOOKUP(F412,商品!#REF!,4,FALSE),0),"")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3">
      <c r="A413" s="5" t="s">
        <v>361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IFERROR(ROUND(E413*VLOOKUP(D413,商品!#REF!,4,FALSE),0),"")</f>
        <v/>
      </c>
      <c r="Z413" t="str">
        <f>IFERROR(ROUND(G413*VLOOKUP(F413,商品!#REF!,4,FALSE),0),"")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3">
      <c r="A414" s="5" t="s">
        <v>361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IFERROR(ROUND(E414*VLOOKUP(D414,商品!#REF!,4,FALSE),0),"")</f>
        <v/>
      </c>
      <c r="Z414" t="str">
        <f>IFERROR(ROUND(G414*VLOOKUP(F414,商品!#REF!,4,FALSE),0),"")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3">
      <c r="A415" s="5" t="s">
        <v>361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IFERROR(ROUND(E415*VLOOKUP(D415,商品!#REF!,4,FALSE),0),"")</f>
        <v/>
      </c>
      <c r="Z415" t="str">
        <f>IFERROR(ROUND(G415*VLOOKUP(F415,商品!#REF!,4,FALSE),0),"")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3">
      <c r="A416" s="5" t="s">
        <v>361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IFERROR(ROUND(E416*VLOOKUP(D416,商品!#REF!,4,FALSE),0),"")</f>
        <v/>
      </c>
      <c r="Z416" t="str">
        <f>IFERROR(ROUND(G416*VLOOKUP(F416,商品!#REF!,4,FALSE),0),"")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3">
      <c r="A417" s="5" t="s">
        <v>361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IFERROR(ROUND(E417*VLOOKUP(D417,商品!#REF!,4,FALSE),0),"")</f>
        <v/>
      </c>
      <c r="Z417" t="str">
        <f>IFERROR(ROUND(G417*VLOOKUP(F417,商品!#REF!,4,FALSE),0),"")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3">
      <c r="A418" s="18" t="s">
        <v>362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IFERROR(ROUND(E418*VLOOKUP(D418,商品!#REF!,4,FALSE),0),"")</f>
        <v/>
      </c>
      <c r="Z418" t="str">
        <f>IFERROR(ROUND(G418*VLOOKUP(F418,商品!#REF!,4,FALSE),0),"")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3">
      <c r="A419" s="18" t="s">
        <v>362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IFERROR(ROUND(E419*VLOOKUP(D419,商品!#REF!,4,FALSE),0),"")</f>
        <v/>
      </c>
      <c r="Z419" t="str">
        <f>IFERROR(ROUND(G419*VLOOKUP(F419,商品!#REF!,4,FALSE),0),"")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3">
      <c r="A420" s="18" t="s">
        <v>362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IFERROR(ROUND(E420*VLOOKUP(D420,商品!#REF!,4,FALSE),0),"")</f>
        <v/>
      </c>
      <c r="Z420" t="str">
        <f>IFERROR(ROUND(G420*VLOOKUP(F420,商品!#REF!,4,FALSE),0),"")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3">
      <c r="A421" s="18" t="s">
        <v>362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IFERROR(ROUND(E421*VLOOKUP(D421,商品!#REF!,4,FALSE),0),"")</f>
        <v/>
      </c>
      <c r="Z421" t="str">
        <f>IFERROR(ROUND(G421*VLOOKUP(F421,商品!#REF!,4,FALSE),0),"")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3">
      <c r="A422" s="18" t="s">
        <v>362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IFERROR(ROUND(E422*VLOOKUP(D422,商品!#REF!,4,FALSE),0),"")</f>
        <v/>
      </c>
      <c r="Z422" t="str">
        <f>IFERROR(ROUND(G422*VLOOKUP(F422,商品!#REF!,4,FALSE),0),"")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3">
      <c r="A423" s="5" t="s">
        <v>362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IFERROR(ROUND(E423*VLOOKUP(D423,商品!#REF!,4,FALSE),0),"")</f>
        <v/>
      </c>
      <c r="Z423" t="str">
        <f>IFERROR(ROUND(G423*VLOOKUP(F423,商品!#REF!,4,FALSE),0),"")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3">
      <c r="A424" s="5" t="s">
        <v>362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IFERROR(ROUND(E424*VLOOKUP(D424,商品!#REF!,4,FALSE),0),"")</f>
        <v/>
      </c>
      <c r="Z424" t="str">
        <f>IFERROR(ROUND(G424*VLOOKUP(F424,商品!#REF!,4,FALSE),0),"")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3">
      <c r="A425" s="5" t="s">
        <v>362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IFERROR(ROUND(E425*VLOOKUP(D425,商品!#REF!,4,FALSE),0),"")</f>
        <v/>
      </c>
      <c r="Z425" t="str">
        <f>IFERROR(ROUND(G425*VLOOKUP(F425,商品!#REF!,4,FALSE),0),"")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3">
      <c r="A426" s="5" t="s">
        <v>362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IFERROR(ROUND(E426*VLOOKUP(D426,商品!#REF!,4,FALSE),0),"")</f>
        <v/>
      </c>
      <c r="Z426" t="str">
        <f>IFERROR(ROUND(G426*VLOOKUP(F426,商品!#REF!,4,FALSE),0),"")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3">
      <c r="A427" s="5" t="s">
        <v>362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IFERROR(ROUND(E427*VLOOKUP(D427,商品!#REF!,4,FALSE),0),"")</f>
        <v/>
      </c>
      <c r="Z427" t="str">
        <f>IFERROR(ROUND(G427*VLOOKUP(F427,商品!#REF!,4,FALSE),0),"")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3">
      <c r="A428" s="18" t="s">
        <v>363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IFERROR(ROUND(E428*VLOOKUP(D428,商品!#REF!,4,FALSE),0),"")</f>
        <v/>
      </c>
      <c r="Z428" t="str">
        <f>IFERROR(ROUND(G428*VLOOKUP(F428,商品!#REF!,4,FALSE),0),"")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3">
      <c r="A429" s="18" t="s">
        <v>363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IFERROR(ROUND(E429*VLOOKUP(D429,商品!#REF!,4,FALSE),0),"")</f>
        <v/>
      </c>
      <c r="Z429" t="str">
        <f>IFERROR(ROUND(G429*VLOOKUP(F429,商品!#REF!,4,FALSE),0),"")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3">
      <c r="A430" s="18" t="s">
        <v>363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IFERROR(ROUND(E430*VLOOKUP(D430,商品!#REF!,4,FALSE),0),"")</f>
        <v/>
      </c>
      <c r="Z430" t="str">
        <f>IFERROR(ROUND(G430*VLOOKUP(F430,商品!#REF!,4,FALSE),0),"")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3">
      <c r="A431" s="18" t="s">
        <v>363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IFERROR(ROUND(E431*VLOOKUP(D431,商品!#REF!,4,FALSE),0),"")</f>
        <v/>
      </c>
      <c r="Z431" t="str">
        <f>IFERROR(ROUND(G431*VLOOKUP(F431,商品!#REF!,4,FALSE),0),"")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3">
      <c r="A432" s="18" t="s">
        <v>363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IFERROR(ROUND(E432*VLOOKUP(D432,商品!#REF!,4,FALSE),0),"")</f>
        <v/>
      </c>
      <c r="Z432" t="str">
        <f>IFERROR(ROUND(G432*VLOOKUP(F432,商品!#REF!,4,FALSE),0),"")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3">
      <c r="A433" s="18" t="s">
        <v>363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IFERROR(ROUND(E433*VLOOKUP(D433,商品!#REF!,4,FALSE),0),"")</f>
        <v/>
      </c>
      <c r="Z433" t="str">
        <f>IFERROR(ROUND(G433*VLOOKUP(F433,商品!#REF!,4,FALSE),0),"")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3">
      <c r="A434" s="18" t="s">
        <v>363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IFERROR(ROUND(E434*VLOOKUP(D434,商品!#REF!,4,FALSE),0),"")</f>
        <v/>
      </c>
      <c r="Z434" t="str">
        <f>IFERROR(ROUND(G434*VLOOKUP(F434,商品!#REF!,4,FALSE),0),"")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3">
      <c r="A435" s="18" t="s">
        <v>363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IFERROR(ROUND(E435*VLOOKUP(D435,商品!#REF!,4,FALSE),0),"")</f>
        <v/>
      </c>
      <c r="Z435" t="str">
        <f>IFERROR(ROUND(G435*VLOOKUP(F435,商品!#REF!,4,FALSE),0),"")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3">
      <c r="A436" s="5" t="s">
        <v>365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IFERROR(ROUND(E436*VLOOKUP(D436,商品!#REF!,4,FALSE),0),"")</f>
        <v/>
      </c>
      <c r="Z436" t="str">
        <f>IFERROR(ROUND(G436*VLOOKUP(F436,商品!#REF!,4,FALSE),0),"")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3">
      <c r="A437" s="5" t="s">
        <v>365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IFERROR(ROUND(E437*VLOOKUP(D437,商品!#REF!,4,FALSE),0),"")</f>
        <v/>
      </c>
      <c r="Z437" t="str">
        <f>IFERROR(ROUND(G437*VLOOKUP(F437,商品!#REF!,4,FALSE),0),"")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3">
      <c r="A438" s="5" t="s">
        <v>365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IFERROR(ROUND(E438*VLOOKUP(D438,商品!#REF!,4,FALSE),0),"")</f>
        <v/>
      </c>
      <c r="Z438" t="str">
        <f>IFERROR(ROUND(G438*VLOOKUP(F438,商品!#REF!,4,FALSE),0),"")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3">
      <c r="A439" s="5" t="s">
        <v>365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IFERROR(ROUND(E439*VLOOKUP(D439,商品!#REF!,4,FALSE),0),"")</f>
        <v/>
      </c>
      <c r="Z439" t="str">
        <f>IFERROR(ROUND(G439*VLOOKUP(F439,商品!#REF!,4,FALSE),0),"")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3">
      <c r="A440" s="5" t="s">
        <v>365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IFERROR(ROUND(E440*VLOOKUP(D440,商品!#REF!,4,FALSE),0),"")</f>
        <v/>
      </c>
      <c r="Z440" t="str">
        <f>IFERROR(ROUND(G440*VLOOKUP(F440,商品!#REF!,4,FALSE),0),"")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3">
      <c r="A441" s="18" t="s">
        <v>366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IFERROR(ROUND(E441*VLOOKUP(D441,商品!#REF!,4,FALSE),0),"")</f>
        <v/>
      </c>
      <c r="Z441" t="str">
        <f>IFERROR(ROUND(G441*VLOOKUP(F441,商品!#REF!,4,FALSE),0),"")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3">
      <c r="A442" s="18" t="s">
        <v>366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IFERROR(ROUND(E442*VLOOKUP(D442,商品!#REF!,4,FALSE),0),"")</f>
        <v/>
      </c>
      <c r="Z442" t="str">
        <f>IFERROR(ROUND(G442*VLOOKUP(F442,商品!#REF!,4,FALSE),0),"")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3">
      <c r="A443" s="18" t="s">
        <v>366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IFERROR(ROUND(E443*VLOOKUP(D443,商品!#REF!,4,FALSE),0),"")</f>
        <v/>
      </c>
      <c r="Z443" t="str">
        <f>IFERROR(ROUND(G443*VLOOKUP(F443,商品!#REF!,4,FALSE),0),"")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3">
      <c r="A444" s="18" t="s">
        <v>366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IFERROR(ROUND(E444*VLOOKUP(D444,商品!#REF!,4,FALSE),0),"")</f>
        <v/>
      </c>
      <c r="Z444" t="str">
        <f>IFERROR(ROUND(G444*VLOOKUP(F444,商品!#REF!,4,FALSE),0),"")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3">
      <c r="A445" s="18" t="s">
        <v>366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IFERROR(ROUND(E445*VLOOKUP(D445,商品!#REF!,4,FALSE),0),"")</f>
        <v/>
      </c>
      <c r="Z445" t="str">
        <f>IFERROR(ROUND(G445*VLOOKUP(F445,商品!#REF!,4,FALSE),0),"")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3">
      <c r="A446" s="5" t="s">
        <v>367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IFERROR(ROUND(E446*VLOOKUP(D446,商品!#REF!,4,FALSE),0),"")</f>
        <v/>
      </c>
      <c r="Z446" t="str">
        <f>IFERROR(ROUND(G446*VLOOKUP(F446,商品!#REF!,4,FALSE),0),"")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3">
      <c r="A447" s="5" t="s">
        <v>367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IFERROR(ROUND(E447*VLOOKUP(D447,商品!#REF!,4,FALSE),0),"")</f>
        <v/>
      </c>
      <c r="Z447" t="str">
        <f>IFERROR(ROUND(G447*VLOOKUP(F447,商品!#REF!,4,FALSE),0),"")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3">
      <c r="A448" s="5" t="s">
        <v>367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IFERROR(ROUND(E448*VLOOKUP(D448,商品!#REF!,4,FALSE),0),"")</f>
        <v/>
      </c>
      <c r="Z448" t="str">
        <f>IFERROR(ROUND(G448*VLOOKUP(F448,商品!#REF!,4,FALSE),0),"")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3">
      <c r="A449" s="5" t="s">
        <v>367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IFERROR(ROUND(E449*VLOOKUP(D449,商品!#REF!,4,FALSE),0),"")</f>
        <v/>
      </c>
      <c r="Z449" t="str">
        <f>IFERROR(ROUND(G449*VLOOKUP(F449,商品!#REF!,4,FALSE),0),"")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3">
      <c r="A450" s="5" t="s">
        <v>367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IFERROR(ROUND(E450*VLOOKUP(D450,商品!#REF!,4,FALSE),0),"")</f>
        <v/>
      </c>
      <c r="Z450" t="str">
        <f>IFERROR(ROUND(G450*VLOOKUP(F450,商品!#REF!,4,FALSE),0),"")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3">
      <c r="A451" s="18" t="s">
        <v>367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IFERROR(ROUND(E451*VLOOKUP(D451,商品!#REF!,4,FALSE),0),"")</f>
        <v/>
      </c>
      <c r="Z451" t="str">
        <f>IFERROR(ROUND(G451*VLOOKUP(F451,商品!#REF!,4,FALSE),0),"")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3">
      <c r="A452" s="18" t="s">
        <v>367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IFERROR(ROUND(E452*VLOOKUP(D452,商品!#REF!,4,FALSE),0),"")</f>
        <v/>
      </c>
      <c r="Z452" t="str">
        <f>IFERROR(ROUND(G452*VLOOKUP(F452,商品!#REF!,4,FALSE),0),"")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3">
      <c r="A453" s="18" t="s">
        <v>367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IFERROR(ROUND(E453*VLOOKUP(D453,商品!#REF!,4,FALSE),0),"")</f>
        <v/>
      </c>
      <c r="Z453" t="str">
        <f>IFERROR(ROUND(G453*VLOOKUP(F453,商品!#REF!,4,FALSE),0),"")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3">
      <c r="A454" s="18" t="s">
        <v>367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IFERROR(ROUND(E454*VLOOKUP(D454,商品!#REF!,4,FALSE),0),"")</f>
        <v/>
      </c>
      <c r="Z454" t="str">
        <f>IFERROR(ROUND(G454*VLOOKUP(F454,商品!#REF!,4,FALSE),0),"")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3">
      <c r="A455" s="18" t="s">
        <v>367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IFERROR(ROUND(E455*VLOOKUP(D455,商品!#REF!,4,FALSE),0),"")</f>
        <v/>
      </c>
      <c r="Z455" t="str">
        <f>IFERROR(ROUND(G455*VLOOKUP(F455,商品!#REF!,4,FALSE),0),"")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3">
      <c r="A456" s="5" t="s">
        <v>368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IFERROR(ROUND(E456*VLOOKUP(D456,商品!#REF!,4,FALSE),0),"")</f>
        <v/>
      </c>
      <c r="Z456" t="str">
        <f>IFERROR(ROUND(G456*VLOOKUP(F456,商品!#REF!,4,FALSE),0),"")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3">
      <c r="A457" s="5" t="s">
        <v>368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IFERROR(ROUND(E457*VLOOKUP(D457,商品!#REF!,4,FALSE),0),"")</f>
        <v/>
      </c>
      <c r="Z457" t="str">
        <f>IFERROR(ROUND(G457*VLOOKUP(F457,商品!#REF!,4,FALSE),0),"")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3">
      <c r="A458" s="5" t="s">
        <v>368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IFERROR(ROUND(E458*VLOOKUP(D458,商品!#REF!,4,FALSE),0),"")</f>
        <v/>
      </c>
      <c r="Z458" t="str">
        <f>IFERROR(ROUND(G458*VLOOKUP(F458,商品!#REF!,4,FALSE),0),"")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3">
      <c r="A459" s="5" t="s">
        <v>368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IFERROR(ROUND(E459*VLOOKUP(D459,商品!#REF!,4,FALSE),0),"")</f>
        <v/>
      </c>
      <c r="Z459" t="str">
        <f>IFERROR(ROUND(G459*VLOOKUP(F459,商品!#REF!,4,FALSE),0),"")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3">
      <c r="A460" s="5" t="s">
        <v>368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IFERROR(ROUND(E460*VLOOKUP(D460,商品!#REF!,4,FALSE),0),"")</f>
        <v/>
      </c>
      <c r="Z460" t="str">
        <f>IFERROR(ROUND(G460*VLOOKUP(F460,商品!#REF!,4,FALSE),0),"")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3">
      <c r="A461" s="5" t="s">
        <v>368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IFERROR(ROUND(E461*VLOOKUP(D461,商品!#REF!,4,FALSE),0),"")</f>
        <v/>
      </c>
      <c r="Z461" t="str">
        <f>IFERROR(ROUND(G461*VLOOKUP(F461,商品!#REF!,4,FALSE),0),"")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3">
      <c r="A462" s="5" t="s">
        <v>368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IFERROR(ROUND(E462*VLOOKUP(D462,商品!#REF!,4,FALSE),0),"")</f>
        <v/>
      </c>
      <c r="Z462" t="str">
        <f>IFERROR(ROUND(G462*VLOOKUP(F462,商品!#REF!,4,FALSE),0),"")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3">
      <c r="A463" s="5" t="s">
        <v>368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IFERROR(ROUND(E463*VLOOKUP(D463,商品!#REF!,4,FALSE),0),"")</f>
        <v/>
      </c>
      <c r="Z463" t="str">
        <f>IFERROR(ROUND(G463*VLOOKUP(F463,商品!#REF!,4,FALSE),0),"")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3">
      <c r="A464" s="18" t="s">
        <v>370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IFERROR(ROUND(E464*VLOOKUP(D464,商品!#REF!,4,FALSE),0),"")</f>
        <v/>
      </c>
      <c r="Z464" t="str">
        <f>IFERROR(ROUND(G464*VLOOKUP(F464,商品!#REF!,4,FALSE),0),"")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3">
      <c r="A465" s="18" t="s">
        <v>370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IFERROR(ROUND(E465*VLOOKUP(D465,商品!#REF!,4,FALSE),0),"")</f>
        <v/>
      </c>
      <c r="Z465" t="str">
        <f>IFERROR(ROUND(G465*VLOOKUP(F465,商品!#REF!,4,FALSE),0),"")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3">
      <c r="A466" s="18" t="s">
        <v>370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IFERROR(ROUND(E466*VLOOKUP(D466,商品!#REF!,4,FALSE),0),"")</f>
        <v/>
      </c>
      <c r="Z466" t="str">
        <f>IFERROR(ROUND(G466*VLOOKUP(F466,商品!#REF!,4,FALSE),0),"")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3">
      <c r="A467" s="18" t="s">
        <v>370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IFERROR(ROUND(E467*VLOOKUP(D467,商品!#REF!,4,FALSE),0),"")</f>
        <v/>
      </c>
      <c r="Z467" t="str">
        <f>IFERROR(ROUND(G467*VLOOKUP(F467,商品!#REF!,4,FALSE),0),"")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3">
      <c r="A468" s="18" t="s">
        <v>370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IFERROR(ROUND(E468*VLOOKUP(D468,商品!#REF!,4,FALSE),0),"")</f>
        <v/>
      </c>
      <c r="Z468" t="str">
        <f>IFERROR(ROUND(G468*VLOOKUP(F468,商品!#REF!,4,FALSE),0),"")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3">
      <c r="A469" s="5" t="s">
        <v>371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IFERROR(ROUND(E469*VLOOKUP(D469,商品!#REF!,4,FALSE),0),"")</f>
        <v/>
      </c>
      <c r="Z469" t="str">
        <f>IFERROR(ROUND(G469*VLOOKUP(F469,商品!#REF!,4,FALSE),0),"")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3">
      <c r="A470" s="5" t="s">
        <v>371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IFERROR(ROUND(E470*VLOOKUP(D470,商品!#REF!,4,FALSE),0),"")</f>
        <v/>
      </c>
      <c r="Z470" t="str">
        <f>IFERROR(ROUND(G470*VLOOKUP(F470,商品!#REF!,4,FALSE),0),"")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3">
      <c r="A471" s="5" t="s">
        <v>371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IFERROR(ROUND(E471*VLOOKUP(D471,商品!#REF!,4,FALSE),0),"")</f>
        <v/>
      </c>
      <c r="Z471" t="str">
        <f>IFERROR(ROUND(G471*VLOOKUP(F471,商品!#REF!,4,FALSE),0),"")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3">
      <c r="A472" s="5" t="s">
        <v>371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IFERROR(ROUND(E472*VLOOKUP(D472,商品!#REF!,4,FALSE),0),"")</f>
        <v/>
      </c>
      <c r="Z472" t="str">
        <f>IFERROR(ROUND(G472*VLOOKUP(F472,商品!#REF!,4,FALSE),0),"")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3">
      <c r="A473" s="5" t="s">
        <v>371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IFERROR(ROUND(E473*VLOOKUP(D473,商品!#REF!,4,FALSE),0),"")</f>
        <v/>
      </c>
      <c r="Z473" t="str">
        <f>IFERROR(ROUND(G473*VLOOKUP(F473,商品!#REF!,4,FALSE),0),"")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3">
      <c r="A474" s="18" t="s">
        <v>372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IFERROR(ROUND(E474*VLOOKUP(D474,商品!#REF!,4,FALSE),0),"")</f>
        <v/>
      </c>
      <c r="Z474" t="str">
        <f>IFERROR(ROUND(G474*VLOOKUP(F474,商品!#REF!,4,FALSE),0),"")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3">
      <c r="A475" s="18" t="s">
        <v>372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IFERROR(ROUND(E475*VLOOKUP(D475,商品!#REF!,4,FALSE),0),"")</f>
        <v/>
      </c>
      <c r="Z475" t="str">
        <f>IFERROR(ROUND(G475*VLOOKUP(F475,商品!#REF!,4,FALSE),0),"")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3">
      <c r="A476" s="18" t="s">
        <v>372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IFERROR(ROUND(E476*VLOOKUP(D476,商品!#REF!,4,FALSE),0),"")</f>
        <v/>
      </c>
      <c r="Z476" t="str">
        <f>IFERROR(ROUND(G476*VLOOKUP(F476,商品!#REF!,4,FALSE),0),"")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3">
      <c r="A477" s="18" t="s">
        <v>372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IFERROR(ROUND(E477*VLOOKUP(D477,商品!#REF!,4,FALSE),0),"")</f>
        <v/>
      </c>
      <c r="Z477" t="str">
        <f>IFERROR(ROUND(G477*VLOOKUP(F477,商品!#REF!,4,FALSE),0),"")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3">
      <c r="A478" s="18" t="s">
        <v>372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IFERROR(ROUND(E478*VLOOKUP(D478,商品!#REF!,4,FALSE),0),"")</f>
        <v/>
      </c>
      <c r="Z478" t="str">
        <f>IFERROR(ROUND(G478*VLOOKUP(F478,商品!#REF!,4,FALSE),0),"")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3">
      <c r="A479" s="5" t="s">
        <v>372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IFERROR(ROUND(E479*VLOOKUP(D479,商品!#REF!,4,FALSE),0),"")</f>
        <v/>
      </c>
      <c r="Z479" t="str">
        <f>IFERROR(ROUND(G479*VLOOKUP(F479,商品!#REF!,4,FALSE),0),"")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3">
      <c r="A480" s="5" t="s">
        <v>372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IFERROR(ROUND(E480*VLOOKUP(D480,商品!#REF!,4,FALSE),0),"")</f>
        <v/>
      </c>
      <c r="Z480" t="str">
        <f>IFERROR(ROUND(G480*VLOOKUP(F480,商品!#REF!,4,FALSE),0),"")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3">
      <c r="A481" s="5" t="s">
        <v>372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IFERROR(ROUND(E481*VLOOKUP(D481,商品!#REF!,4,FALSE),0),"")</f>
        <v/>
      </c>
      <c r="Z481" t="str">
        <f>IFERROR(ROUND(G481*VLOOKUP(F481,商品!#REF!,4,FALSE),0),"")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3">
      <c r="A482" s="5" t="s">
        <v>372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IFERROR(ROUND(E482*VLOOKUP(D482,商品!#REF!,4,FALSE),0),"")</f>
        <v/>
      </c>
      <c r="Z482" t="str">
        <f>IFERROR(ROUND(G482*VLOOKUP(F482,商品!#REF!,4,FALSE),0),"")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3">
      <c r="A483" s="5" t="s">
        <v>372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IFERROR(ROUND(E483*VLOOKUP(D483,商品!#REF!,4,FALSE),0),"")</f>
        <v/>
      </c>
      <c r="Z483" t="str">
        <f>IFERROR(ROUND(G483*VLOOKUP(F483,商品!#REF!,4,FALSE),0),"")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3">
      <c r="A484" s="18" t="s">
        <v>373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IFERROR(ROUND(E484*VLOOKUP(D484,商品!#REF!,4,FALSE),0),"")</f>
        <v/>
      </c>
      <c r="Z484" t="str">
        <f>IFERROR(ROUND(G484*VLOOKUP(F484,商品!#REF!,4,FALSE),0),"")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3">
      <c r="A485" s="18" t="s">
        <v>373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IFERROR(ROUND(E485*VLOOKUP(D485,商品!#REF!,4,FALSE),0),"")</f>
        <v/>
      </c>
      <c r="Z485" t="str">
        <f>IFERROR(ROUND(G485*VLOOKUP(F485,商品!#REF!,4,FALSE),0),"")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3">
      <c r="A486" s="18" t="s">
        <v>373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IFERROR(ROUND(E486*VLOOKUP(D486,商品!#REF!,4,FALSE),0),"")</f>
        <v/>
      </c>
      <c r="Z486" t="str">
        <f>IFERROR(ROUND(G486*VLOOKUP(F486,商品!#REF!,4,FALSE),0),"")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3">
      <c r="A487" s="18" t="s">
        <v>373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IFERROR(ROUND(E487*VLOOKUP(D487,商品!#REF!,4,FALSE),0),"")</f>
        <v/>
      </c>
      <c r="Z487" t="str">
        <f>IFERROR(ROUND(G487*VLOOKUP(F487,商品!#REF!,4,FALSE),0),"")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3">
      <c r="A488" s="18" t="s">
        <v>373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IFERROR(ROUND(E488*VLOOKUP(D488,商品!#REF!,4,FALSE),0),"")</f>
        <v/>
      </c>
      <c r="Z488" t="str">
        <f>IFERROR(ROUND(G488*VLOOKUP(F488,商品!#REF!,4,FALSE),0),"")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3">
      <c r="A489" s="18" t="s">
        <v>373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IFERROR(ROUND(E489*VLOOKUP(D489,商品!#REF!,4,FALSE),0),"")</f>
        <v/>
      </c>
      <c r="Z489" t="str">
        <f>IFERROR(ROUND(G489*VLOOKUP(F489,商品!#REF!,4,FALSE),0),"")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3">
      <c r="A490" s="18" t="s">
        <v>373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IFERROR(ROUND(E490*VLOOKUP(D490,商品!#REF!,4,FALSE),0),"")</f>
        <v/>
      </c>
      <c r="Z490" t="str">
        <f>IFERROR(ROUND(G490*VLOOKUP(F490,商品!#REF!,4,FALSE),0),"")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3">
      <c r="A491" s="18" t="s">
        <v>373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IFERROR(ROUND(E491*VLOOKUP(D491,商品!#REF!,4,FALSE),0),"")</f>
        <v/>
      </c>
      <c r="Z491" t="str">
        <f>IFERROR(ROUND(G491*VLOOKUP(F491,商品!#REF!,4,FALSE),0),"")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3">
      <c r="A492" s="5" t="s">
        <v>375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IFERROR(ROUND(E492*VLOOKUP(D492,商品!#REF!,4,FALSE),0),"")</f>
        <v/>
      </c>
      <c r="Z492" t="str">
        <f>IFERROR(ROUND(G492*VLOOKUP(F492,商品!#REF!,4,FALSE),0),"")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3">
      <c r="A493" s="5" t="s">
        <v>375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IFERROR(ROUND(E493*VLOOKUP(D493,商品!#REF!,4,FALSE),0),"")</f>
        <v/>
      </c>
      <c r="Z493" t="str">
        <f>IFERROR(ROUND(G493*VLOOKUP(F493,商品!#REF!,4,FALSE),0),"")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3">
      <c r="A494" s="5" t="s">
        <v>375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IFERROR(ROUND(E494*VLOOKUP(D494,商品!#REF!,4,FALSE),0),"")</f>
        <v/>
      </c>
      <c r="Z494" t="str">
        <f>IFERROR(ROUND(G494*VLOOKUP(F494,商品!#REF!,4,FALSE),0),"")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3">
      <c r="A495" s="5" t="s">
        <v>375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IFERROR(ROUND(E495*VLOOKUP(D495,商品!#REF!,4,FALSE),0),"")</f>
        <v/>
      </c>
      <c r="Z495" t="str">
        <f>IFERROR(ROUND(G495*VLOOKUP(F495,商品!#REF!,4,FALSE),0),"")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3">
      <c r="A496" s="5" t="s">
        <v>375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IFERROR(ROUND(E496*VLOOKUP(D496,商品!#REF!,4,FALSE),0),"")</f>
        <v/>
      </c>
      <c r="Z496" t="str">
        <f>IFERROR(ROUND(G496*VLOOKUP(F496,商品!#REF!,4,FALSE),0),"")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3">
      <c r="A497" s="18" t="s">
        <v>376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IFERROR(ROUND(E497*VLOOKUP(D497,商品!#REF!,4,FALSE),0),"")</f>
        <v/>
      </c>
      <c r="Z497" t="str">
        <f>IFERROR(ROUND(G497*VLOOKUP(F497,商品!#REF!,4,FALSE),0),"")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3">
      <c r="A498" s="18" t="s">
        <v>376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IFERROR(ROUND(E498*VLOOKUP(D498,商品!#REF!,4,FALSE),0),"")</f>
        <v/>
      </c>
      <c r="Z498" t="str">
        <f>IFERROR(ROUND(G498*VLOOKUP(F498,商品!#REF!,4,FALSE),0),"")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3">
      <c r="A499" s="18" t="s">
        <v>376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IFERROR(ROUND(E499*VLOOKUP(D499,商品!#REF!,4,FALSE),0),"")</f>
        <v/>
      </c>
      <c r="Z499" t="str">
        <f>IFERROR(ROUND(G499*VLOOKUP(F499,商品!#REF!,4,FALSE),0),"")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3">
      <c r="A500" s="18" t="s">
        <v>376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IFERROR(ROUND(E500*VLOOKUP(D500,商品!#REF!,4,FALSE),0),"")</f>
        <v/>
      </c>
      <c r="Z500" t="str">
        <f>IFERROR(ROUND(G500*VLOOKUP(F500,商品!#REF!,4,FALSE),0),"")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3">
      <c r="A501" s="18" t="s">
        <v>376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IFERROR(ROUND(E501*VLOOKUP(D501,商品!#REF!,4,FALSE),0),"")</f>
        <v/>
      </c>
      <c r="Z501" t="str">
        <f>IFERROR(ROUND(G501*VLOOKUP(F501,商品!#REF!,4,FALSE),0),"")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3">
      <c r="A502" s="5" t="s">
        <v>378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IFERROR(ROUND(E502*VLOOKUP(D502,商品!#REF!,4,FALSE),0),"")</f>
        <v/>
      </c>
      <c r="Z502" t="str">
        <f>IFERROR(ROUND(G502*VLOOKUP(F502,商品!#REF!,4,FALSE),0),"")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3">
      <c r="A503" s="5" t="s">
        <v>378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IFERROR(ROUND(E503*VLOOKUP(D503,商品!#REF!,4,FALSE),0),"")</f>
        <v/>
      </c>
      <c r="Z503" t="str">
        <f>IFERROR(ROUND(G503*VLOOKUP(F503,商品!#REF!,4,FALSE),0),"")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3">
      <c r="A504" s="5" t="s">
        <v>378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IFERROR(ROUND(E504*VLOOKUP(D504,商品!#REF!,4,FALSE),0),"")</f>
        <v/>
      </c>
      <c r="Z504" t="str">
        <f>IFERROR(ROUND(G504*VLOOKUP(F504,商品!#REF!,4,FALSE),0),"")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3">
      <c r="A505" s="5" t="s">
        <v>378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IFERROR(ROUND(E505*VLOOKUP(D505,商品!#REF!,4,FALSE),0),"")</f>
        <v/>
      </c>
      <c r="Z505" t="str">
        <f>IFERROR(ROUND(G505*VLOOKUP(F505,商品!#REF!,4,FALSE),0),"")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3">
      <c r="A506" s="5" t="s">
        <v>378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IFERROR(ROUND(E506*VLOOKUP(D506,商品!#REF!,4,FALSE),0),"")</f>
        <v/>
      </c>
      <c r="Z506" t="str">
        <f>IFERROR(ROUND(G506*VLOOKUP(F506,商品!#REF!,4,FALSE),0),"")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3">
      <c r="A507" s="18" t="s">
        <v>379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IFERROR(ROUND(E507*VLOOKUP(D507,商品!#REF!,4,FALSE),0),"")</f>
        <v/>
      </c>
      <c r="Z507" t="str">
        <f>IFERROR(ROUND(G507*VLOOKUP(F507,商品!#REF!,4,FALSE),0),"")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3">
      <c r="A508" s="18" t="s">
        <v>379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IFERROR(ROUND(E508*VLOOKUP(D508,商品!#REF!,4,FALSE),0),"")</f>
        <v/>
      </c>
      <c r="Z508" t="str">
        <f>IFERROR(ROUND(G508*VLOOKUP(F508,商品!#REF!,4,FALSE),0),"")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3">
      <c r="A509" s="18" t="s">
        <v>379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IFERROR(ROUND(E509*VLOOKUP(D509,商品!#REF!,4,FALSE),0),"")</f>
        <v/>
      </c>
      <c r="Z509" t="str">
        <f>IFERROR(ROUND(G509*VLOOKUP(F509,商品!#REF!,4,FALSE),0),"")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3">
      <c r="A510" s="18" t="s">
        <v>379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IFERROR(ROUND(E510*VLOOKUP(D510,商品!#REF!,4,FALSE),0),"")</f>
        <v/>
      </c>
      <c r="Z510" t="str">
        <f>IFERROR(ROUND(G510*VLOOKUP(F510,商品!#REF!,4,FALSE),0),"")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3">
      <c r="A511" s="18" t="s">
        <v>379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IFERROR(ROUND(E511*VLOOKUP(D511,商品!#REF!,4,FALSE),0),"")</f>
        <v/>
      </c>
      <c r="Z511" t="str">
        <f>IFERROR(ROUND(G511*VLOOKUP(F511,商品!#REF!,4,FALSE),0),"")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3">
      <c r="A512" s="5" t="s">
        <v>381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IFERROR(ROUND(E512*VLOOKUP(D512,商品!#REF!,4,FALSE),0),"")</f>
        <v/>
      </c>
      <c r="Z512" t="str">
        <f>IFERROR(ROUND(G512*VLOOKUP(F512,商品!#REF!,4,FALSE),0),"")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3">
      <c r="A513" s="5" t="s">
        <v>381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IFERROR(ROUND(E513*VLOOKUP(D513,商品!#REF!,4,FALSE),0),"")</f>
        <v/>
      </c>
      <c r="Z513" t="str">
        <f>IFERROR(ROUND(G513*VLOOKUP(F513,商品!#REF!,4,FALSE),0),"")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3">
      <c r="A514" s="5" t="s">
        <v>381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IFERROR(ROUND(E514*VLOOKUP(D514,商品!#REF!,4,FALSE),0),"")</f>
        <v/>
      </c>
      <c r="Z514" t="str">
        <f>IFERROR(ROUND(G514*VLOOKUP(F514,商品!#REF!,4,FALSE),0),"")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3">
      <c r="A515" s="5" t="s">
        <v>381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IFERROR(ROUND(E515*VLOOKUP(D515,商品!#REF!,4,FALSE),0),"")</f>
        <v/>
      </c>
      <c r="Z515" t="str">
        <f>IFERROR(ROUND(G515*VLOOKUP(F515,商品!#REF!,4,FALSE),0),"")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3">
      <c r="A516" s="5" t="s">
        <v>381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IFERROR(ROUND(E516*VLOOKUP(D516,商品!#REF!,4,FALSE),0),"")</f>
        <v/>
      </c>
      <c r="Z516" t="str">
        <f>IFERROR(ROUND(G516*VLOOKUP(F516,商品!#REF!,4,FALSE),0),"")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3">
      <c r="A517" s="18" t="s">
        <v>382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IFERROR(ROUND(E517*VLOOKUP(D517,商品!#REF!,4,FALSE),0),"")</f>
        <v/>
      </c>
      <c r="Z517" t="str">
        <f>IFERROR(ROUND(G517*VLOOKUP(F517,商品!#REF!,4,FALSE),0),"")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3">
      <c r="A518" s="18" t="s">
        <v>382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IFERROR(ROUND(E518*VLOOKUP(D518,商品!#REF!,4,FALSE),0),"")</f>
        <v/>
      </c>
      <c r="Z518" t="str">
        <f>IFERROR(ROUND(G518*VLOOKUP(F518,商品!#REF!,4,FALSE),0),"")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3">
      <c r="A519" s="18" t="s">
        <v>382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IFERROR(ROUND(E519*VLOOKUP(D519,商品!#REF!,4,FALSE),0),"")</f>
        <v/>
      </c>
      <c r="Z519" t="str">
        <f>IFERROR(ROUND(G519*VLOOKUP(F519,商品!#REF!,4,FALSE),0),"")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3">
      <c r="A520" s="18" t="s">
        <v>382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IFERROR(ROUND(E520*VLOOKUP(D520,商品!#REF!,4,FALSE),0),"")</f>
        <v/>
      </c>
      <c r="Z520" t="str">
        <f>IFERROR(ROUND(G520*VLOOKUP(F520,商品!#REF!,4,FALSE),0),"")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3">
      <c r="A521" s="18" t="s">
        <v>382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IFERROR(ROUND(E521*VLOOKUP(D521,商品!#REF!,4,FALSE),0),"")</f>
        <v/>
      </c>
      <c r="Z521" t="str">
        <f>IFERROR(ROUND(G521*VLOOKUP(F521,商品!#REF!,4,FALSE),0),"")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3">
      <c r="A522" s="5" t="s">
        <v>384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IFERROR(ROUND(E522*VLOOKUP(D522,商品!#REF!,4,FALSE),0),"")</f>
        <v/>
      </c>
      <c r="Z522" t="str">
        <f>IFERROR(ROUND(G522*VLOOKUP(F522,商品!#REF!,4,FALSE),0),"")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3">
      <c r="A523" s="5" t="s">
        <v>384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IFERROR(ROUND(E523*VLOOKUP(D523,商品!#REF!,4,FALSE),0),"")</f>
        <v/>
      </c>
      <c r="Z523" t="str">
        <f>IFERROR(ROUND(G523*VLOOKUP(F523,商品!#REF!,4,FALSE),0),"")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3">
      <c r="A524" s="5" t="s">
        <v>384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IFERROR(ROUND(E524*VLOOKUP(D524,商品!#REF!,4,FALSE),0),"")</f>
        <v/>
      </c>
      <c r="Z524" t="str">
        <f>IFERROR(ROUND(G524*VLOOKUP(F524,商品!#REF!,4,FALSE),0),"")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3">
      <c r="A525" s="5" t="s">
        <v>384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IFERROR(ROUND(E525*VLOOKUP(D525,商品!#REF!,4,FALSE),0),"")</f>
        <v/>
      </c>
      <c r="Z525" t="str">
        <f>IFERROR(ROUND(G525*VLOOKUP(F525,商品!#REF!,4,FALSE),0),"")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3">
      <c r="A526" s="5" t="s">
        <v>384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IFERROR(ROUND(E526*VLOOKUP(D526,商品!#REF!,4,FALSE),0),"")</f>
        <v/>
      </c>
      <c r="Z526" t="str">
        <f>IFERROR(ROUND(G526*VLOOKUP(F526,商品!#REF!,4,FALSE),0),"")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3">
      <c r="A527" s="18" t="s">
        <v>385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IFERROR(ROUND(E527*VLOOKUP(D527,商品!#REF!,4,FALSE),0),"")</f>
        <v/>
      </c>
      <c r="Z527" t="str">
        <f>IFERROR(ROUND(G527*VLOOKUP(F527,商品!#REF!,4,FALSE),0),"")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3">
      <c r="A528" s="18" t="s">
        <v>385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IFERROR(ROUND(E528*VLOOKUP(D528,商品!#REF!,4,FALSE),0),"")</f>
        <v/>
      </c>
      <c r="Z528" t="str">
        <f>IFERROR(ROUND(G528*VLOOKUP(F528,商品!#REF!,4,FALSE),0),"")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3">
      <c r="A529" s="18" t="s">
        <v>385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IFERROR(ROUND(E529*VLOOKUP(D529,商品!#REF!,4,FALSE),0),"")</f>
        <v/>
      </c>
      <c r="Z529" t="str">
        <f>IFERROR(ROUND(G529*VLOOKUP(F529,商品!#REF!,4,FALSE),0),"")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3">
      <c r="A530" s="18" t="s">
        <v>385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IFERROR(ROUND(E530*VLOOKUP(D530,商品!#REF!,4,FALSE),0),"")</f>
        <v/>
      </c>
      <c r="Z530" t="str">
        <f>IFERROR(ROUND(G530*VLOOKUP(F530,商品!#REF!,4,FALSE),0),"")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3">
      <c r="A531" s="18" t="s">
        <v>385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IFERROR(ROUND(E531*VLOOKUP(D531,商品!#REF!,4,FALSE),0),"")</f>
        <v/>
      </c>
      <c r="Z531" t="str">
        <f>IFERROR(ROUND(G531*VLOOKUP(F531,商品!#REF!,4,FALSE),0),"")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3">
      <c r="A532" s="18" t="s">
        <v>385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IFERROR(ROUND(E532*VLOOKUP(D532,商品!#REF!,4,FALSE),0),"")</f>
        <v/>
      </c>
      <c r="Z532" t="str">
        <f>IFERROR(ROUND(G532*VLOOKUP(F532,商品!#REF!,4,FALSE),0),"")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3">
      <c r="A533" s="18" t="s">
        <v>385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IFERROR(ROUND(E533*VLOOKUP(D533,商品!#REF!,4,FALSE),0),"")</f>
        <v/>
      </c>
      <c r="Z533" t="str">
        <f>IFERROR(ROUND(G533*VLOOKUP(F533,商品!#REF!,4,FALSE),0),"")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3">
      <c r="A534" s="18" t="s">
        <v>385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IFERROR(ROUND(E534*VLOOKUP(D534,商品!#REF!,4,FALSE),0),"")</f>
        <v/>
      </c>
      <c r="Z534" t="str">
        <f>IFERROR(ROUND(G534*VLOOKUP(F534,商品!#REF!,4,FALSE),0),"")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3">
      <c r="A535" s="5" t="s">
        <v>385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IFERROR(ROUND(E535*VLOOKUP(D535,商品!#REF!,4,FALSE),0),"")</f>
        <v/>
      </c>
      <c r="Z535" t="str">
        <f>IFERROR(ROUND(G535*VLOOKUP(F535,商品!#REF!,4,FALSE),0),"")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3">
      <c r="A536" s="5" t="s">
        <v>385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IFERROR(ROUND(E536*VLOOKUP(D536,商品!#REF!,4,FALSE),0),"")</f>
        <v/>
      </c>
      <c r="Z536" t="str">
        <f>IFERROR(ROUND(G536*VLOOKUP(F536,商品!#REF!,4,FALSE),0),"")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3">
      <c r="A537" s="5" t="s">
        <v>385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IFERROR(ROUND(E537*VLOOKUP(D537,商品!#REF!,4,FALSE),0),"")</f>
        <v/>
      </c>
      <c r="Z537" t="str">
        <f>IFERROR(ROUND(G537*VLOOKUP(F537,商品!#REF!,4,FALSE),0),"")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3">
      <c r="A538" s="5" t="s">
        <v>385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IFERROR(ROUND(E538*VLOOKUP(D538,商品!#REF!,4,FALSE),0),"")</f>
        <v/>
      </c>
      <c r="Z538" t="str">
        <f>IFERROR(ROUND(G538*VLOOKUP(F538,商品!#REF!,4,FALSE),0),"")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3">
      <c r="A539" s="5" t="s">
        <v>385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IFERROR(ROUND(E539*VLOOKUP(D539,商品!#REF!,4,FALSE),0),"")</f>
        <v/>
      </c>
      <c r="Z539" t="str">
        <f>IFERROR(ROUND(G539*VLOOKUP(F539,商品!#REF!,4,FALSE),0),"")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3">
      <c r="A540" s="5" t="s">
        <v>385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IFERROR(ROUND(E540*VLOOKUP(D540,商品!#REF!,4,FALSE),0),"")</f>
        <v/>
      </c>
      <c r="Z540" t="str">
        <f>IFERROR(ROUND(G540*VLOOKUP(F540,商品!#REF!,4,FALSE),0),"")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3">
      <c r="A541" s="5" t="s">
        <v>385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IFERROR(ROUND(E541*VLOOKUP(D541,商品!#REF!,4,FALSE),0),"")</f>
        <v/>
      </c>
      <c r="Z541" t="str">
        <f>IFERROR(ROUND(G541*VLOOKUP(F541,商品!#REF!,4,FALSE),0),"")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3">
      <c r="A542" s="5" t="s">
        <v>385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IFERROR(ROUND(E542*VLOOKUP(D542,商品!#REF!,4,FALSE),0),"")</f>
        <v/>
      </c>
      <c r="Z542" t="str">
        <f>IFERROR(ROUND(G542*VLOOKUP(F542,商品!#REF!,4,FALSE),0),"")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3">
      <c r="A543" s="18" t="s">
        <v>387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IFERROR(ROUND(E543*VLOOKUP(D543,商品!#REF!,4,FALSE),0),"")</f>
        <v/>
      </c>
      <c r="Z543" t="str">
        <f>IFERROR(ROUND(G543*VLOOKUP(F543,商品!#REF!,4,FALSE),0),"")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3">
      <c r="A544" s="18" t="s">
        <v>387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IFERROR(ROUND(E544*VLOOKUP(D544,商品!#REF!,4,FALSE),0),"")</f>
        <v/>
      </c>
      <c r="Z544" t="str">
        <f>IFERROR(ROUND(G544*VLOOKUP(F544,商品!#REF!,4,FALSE),0),"")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3">
      <c r="A545" s="18" t="s">
        <v>387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IFERROR(ROUND(E545*VLOOKUP(D545,商品!#REF!,4,FALSE),0),"")</f>
        <v/>
      </c>
      <c r="Z545" t="str">
        <f>IFERROR(ROUND(G545*VLOOKUP(F545,商品!#REF!,4,FALSE),0),"")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3">
      <c r="A546" s="18" t="s">
        <v>387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IFERROR(ROUND(E546*VLOOKUP(D546,商品!#REF!,4,FALSE),0),"")</f>
        <v/>
      </c>
      <c r="Z546" t="str">
        <f>IFERROR(ROUND(G546*VLOOKUP(F546,商品!#REF!,4,FALSE),0),"")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3">
      <c r="A547" s="18" t="s">
        <v>387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IFERROR(ROUND(E547*VLOOKUP(D547,商品!#REF!,4,FALSE),0),"")</f>
        <v/>
      </c>
      <c r="Z547" t="str">
        <f>IFERROR(ROUND(G547*VLOOKUP(F547,商品!#REF!,4,FALSE),0),"")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3">
      <c r="A548" s="5" t="s">
        <v>387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IFERROR(ROUND(E548*VLOOKUP(D548,商品!#REF!,4,FALSE),0),"")</f>
        <v/>
      </c>
      <c r="Z548" t="str">
        <f>IFERROR(ROUND(G548*VLOOKUP(F548,商品!#REF!,4,FALSE),0),"")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3">
      <c r="A549" s="5" t="s">
        <v>387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IFERROR(ROUND(E549*VLOOKUP(D549,商品!#REF!,4,FALSE),0),"")</f>
        <v/>
      </c>
      <c r="Z549" t="str">
        <f>IFERROR(ROUND(G549*VLOOKUP(F549,商品!#REF!,4,FALSE),0),"")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3">
      <c r="A550" s="5" t="s">
        <v>387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IFERROR(ROUND(E550*VLOOKUP(D550,商品!#REF!,4,FALSE),0),"")</f>
        <v/>
      </c>
      <c r="Z550" t="str">
        <f>IFERROR(ROUND(G550*VLOOKUP(F550,商品!#REF!,4,FALSE),0),"")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3">
      <c r="A551" s="5" t="s">
        <v>387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IFERROR(ROUND(E551*VLOOKUP(D551,商品!#REF!,4,FALSE),0),"")</f>
        <v/>
      </c>
      <c r="Z551" t="str">
        <f>IFERROR(ROUND(G551*VLOOKUP(F551,商品!#REF!,4,FALSE),0),"")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3">
      <c r="A552" s="5" t="s">
        <v>387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IFERROR(ROUND(E552*VLOOKUP(D552,商品!#REF!,4,FALSE),0),"")</f>
        <v/>
      </c>
      <c r="Z552" t="str">
        <f>IFERROR(ROUND(G552*VLOOKUP(F552,商品!#REF!,4,FALSE),0),"")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3">
      <c r="A553" s="18" t="s">
        <v>388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IFERROR(ROUND(E553*VLOOKUP(D553,商品!#REF!,4,FALSE),0),"")</f>
        <v/>
      </c>
      <c r="Z553" t="str">
        <f>IFERROR(ROUND(G553*VLOOKUP(F553,商品!#REF!,4,FALSE),0),"")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3">
      <c r="A554" s="18" t="s">
        <v>388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IFERROR(ROUND(E554*VLOOKUP(D554,商品!#REF!,4,FALSE),0),"")</f>
        <v/>
      </c>
      <c r="Z554" t="str">
        <f>IFERROR(ROUND(G554*VLOOKUP(F554,商品!#REF!,4,FALSE),0),"")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3">
      <c r="A555" s="18" t="s">
        <v>388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IFERROR(ROUND(E555*VLOOKUP(D555,商品!#REF!,4,FALSE),0),"")</f>
        <v/>
      </c>
      <c r="Z555" t="str">
        <f>IFERROR(ROUND(G555*VLOOKUP(F555,商品!#REF!,4,FALSE),0),"")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3">
      <c r="A556" s="18" t="s">
        <v>388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IFERROR(ROUND(E556*VLOOKUP(D556,商品!#REF!,4,FALSE),0),"")</f>
        <v/>
      </c>
      <c r="Z556" t="str">
        <f>IFERROR(ROUND(G556*VLOOKUP(F556,商品!#REF!,4,FALSE),0),"")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3">
      <c r="A557" s="18" t="s">
        <v>388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IFERROR(ROUND(E557*VLOOKUP(D557,商品!#REF!,4,FALSE),0),"")</f>
        <v/>
      </c>
      <c r="Z557" t="str">
        <f>IFERROR(ROUND(G557*VLOOKUP(F557,商品!#REF!,4,FALSE),0),"")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3">
      <c r="A558" s="5" t="s">
        <v>389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IFERROR(ROUND(E558*VLOOKUP(D558,商品!#REF!,4,FALSE),0),"")</f>
        <v/>
      </c>
      <c r="Z558" t="str">
        <f>IFERROR(ROUND(G558*VLOOKUP(F558,商品!#REF!,4,FALSE),0),"")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3">
      <c r="A559" s="5" t="s">
        <v>389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IFERROR(ROUND(E559*VLOOKUP(D559,商品!#REF!,4,FALSE),0),"")</f>
        <v/>
      </c>
      <c r="Z559" t="str">
        <f>IFERROR(ROUND(G559*VLOOKUP(F559,商品!#REF!,4,FALSE),0),"")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3">
      <c r="A560" s="5" t="s">
        <v>389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IFERROR(ROUND(E560*VLOOKUP(D560,商品!#REF!,4,FALSE),0),"")</f>
        <v/>
      </c>
      <c r="Z560" t="str">
        <f>IFERROR(ROUND(G560*VLOOKUP(F560,商品!#REF!,4,FALSE),0),"")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3">
      <c r="A561" s="5" t="s">
        <v>389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IFERROR(ROUND(E561*VLOOKUP(D561,商品!#REF!,4,FALSE),0),"")</f>
        <v/>
      </c>
      <c r="Z561" t="str">
        <f>IFERROR(ROUND(G561*VLOOKUP(F561,商品!#REF!,4,FALSE),0),"")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3">
      <c r="A562" s="5" t="s">
        <v>389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IFERROR(ROUND(E562*VLOOKUP(D562,商品!#REF!,4,FALSE),0),"")</f>
        <v/>
      </c>
      <c r="Z562" t="str">
        <f>IFERROR(ROUND(G562*VLOOKUP(F562,商品!#REF!,4,FALSE),0),"")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3">
      <c r="A563" s="5" t="s">
        <v>389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IFERROR(ROUND(E563*VLOOKUP(D563,商品!#REF!,4,FALSE),0),"")</f>
        <v/>
      </c>
      <c r="Z563" t="str">
        <f>IFERROR(ROUND(G563*VLOOKUP(F563,商品!#REF!,4,FALSE),0),"")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3">
      <c r="A564" s="5" t="s">
        <v>389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IFERROR(ROUND(E564*VLOOKUP(D564,商品!#REF!,4,FALSE),0),"")</f>
        <v/>
      </c>
      <c r="Z564" t="str">
        <f>IFERROR(ROUND(G564*VLOOKUP(F564,商品!#REF!,4,FALSE),0),"")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3">
      <c r="A565" s="5" t="s">
        <v>389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IFERROR(ROUND(E565*VLOOKUP(D565,商品!#REF!,4,FALSE),0),"")</f>
        <v/>
      </c>
      <c r="Z565" t="str">
        <f>IFERROR(ROUND(G565*VLOOKUP(F565,商品!#REF!,4,FALSE),0),"")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3">
      <c r="A566" s="18" t="s">
        <v>391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IFERROR(ROUND(E566*VLOOKUP(D566,商品!#REF!,4,FALSE),0),"")</f>
        <v/>
      </c>
      <c r="Z566" t="str">
        <f>IFERROR(ROUND(G566*VLOOKUP(F566,商品!#REF!,4,FALSE),0),"")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3">
      <c r="A567" s="18" t="s">
        <v>391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IFERROR(ROUND(E567*VLOOKUP(D567,商品!#REF!,4,FALSE),0),"")</f>
        <v/>
      </c>
      <c r="Z567" t="str">
        <f>IFERROR(ROUND(G567*VLOOKUP(F567,商品!#REF!,4,FALSE),0),"")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3">
      <c r="A568" s="18" t="s">
        <v>391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IFERROR(ROUND(E568*VLOOKUP(D568,商品!#REF!,4,FALSE),0),"")</f>
        <v/>
      </c>
      <c r="Z568" t="str">
        <f>IFERROR(ROUND(G568*VLOOKUP(F568,商品!#REF!,4,FALSE),0),"")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3">
      <c r="A569" s="18" t="s">
        <v>391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IFERROR(ROUND(E569*VLOOKUP(D569,商品!#REF!,4,FALSE),0),"")</f>
        <v/>
      </c>
      <c r="Z569" t="str">
        <f>IFERROR(ROUND(G569*VLOOKUP(F569,商品!#REF!,4,FALSE),0),"")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3">
      <c r="A570" s="18" t="s">
        <v>391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IFERROR(ROUND(E570*VLOOKUP(D570,商品!#REF!,4,FALSE),0),"")</f>
        <v/>
      </c>
      <c r="Z570" t="str">
        <f>IFERROR(ROUND(G570*VLOOKUP(F570,商品!#REF!,4,FALSE),0),"")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3">
      <c r="A571" s="5" t="s">
        <v>393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IFERROR(ROUND(E571*VLOOKUP(D571,商品!#REF!,4,FALSE),0),"")</f>
        <v/>
      </c>
      <c r="Z571" t="str">
        <f>IFERROR(ROUND(G571*VLOOKUP(F571,商品!#REF!,4,FALSE),0),"")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3">
      <c r="A572" s="5" t="s">
        <v>393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IFERROR(ROUND(E572*VLOOKUP(D572,商品!#REF!,4,FALSE),0),"")</f>
        <v/>
      </c>
      <c r="Z572" t="str">
        <f>IFERROR(ROUND(G572*VLOOKUP(F572,商品!#REF!,4,FALSE),0),"")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3">
      <c r="A573" s="5" t="s">
        <v>393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IFERROR(ROUND(E573*VLOOKUP(D573,商品!#REF!,4,FALSE),0),"")</f>
        <v/>
      </c>
      <c r="Z573" t="str">
        <f>IFERROR(ROUND(G573*VLOOKUP(F573,商品!#REF!,4,FALSE),0),"")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3">
      <c r="A574" s="5" t="s">
        <v>393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IFERROR(ROUND(E574*VLOOKUP(D574,商品!#REF!,4,FALSE),0),"")</f>
        <v/>
      </c>
      <c r="Z574" t="str">
        <f>IFERROR(ROUND(G574*VLOOKUP(F574,商品!#REF!,4,FALSE),0),"")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3">
      <c r="A575" s="5" t="s">
        <v>393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IFERROR(ROUND(E575*VLOOKUP(D575,商品!#REF!,4,FALSE),0),"")</f>
        <v/>
      </c>
      <c r="Z575" t="str">
        <f>IFERROR(ROUND(G575*VLOOKUP(F575,商品!#REF!,4,FALSE),0),"")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3">
      <c r="A576" s="18" t="s">
        <v>394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IFERROR(ROUND(E576*VLOOKUP(D576,商品!#REF!,4,FALSE),0),"")</f>
        <v/>
      </c>
      <c r="Z576" t="str">
        <f>IFERROR(ROUND(G576*VLOOKUP(F576,商品!#REF!,4,FALSE),0),"")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3">
      <c r="A577" s="18" t="s">
        <v>394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IFERROR(ROUND(E577*VLOOKUP(D577,商品!#REF!,4,FALSE),0),"")</f>
        <v/>
      </c>
      <c r="Z577" t="str">
        <f>IFERROR(ROUND(G577*VLOOKUP(F577,商品!#REF!,4,FALSE),0),"")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3">
      <c r="A578" s="18" t="s">
        <v>394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IFERROR(ROUND(E578*VLOOKUP(D578,商品!#REF!,4,FALSE),0),"")</f>
        <v/>
      </c>
      <c r="Z578" t="str">
        <f>IFERROR(ROUND(G578*VLOOKUP(F578,商品!#REF!,4,FALSE),0),"")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3">
      <c r="A579" s="18" t="s">
        <v>394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IFERROR(ROUND(E579*VLOOKUP(D579,商品!#REF!,4,FALSE),0),"")</f>
        <v/>
      </c>
      <c r="Z579" t="str">
        <f>IFERROR(ROUND(G579*VLOOKUP(F579,商品!#REF!,4,FALSE),0),"")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3">
      <c r="A580" s="18" t="s">
        <v>394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IFERROR(ROUND(E580*VLOOKUP(D580,商品!#REF!,4,FALSE),0),"")</f>
        <v/>
      </c>
      <c r="Z580" t="str">
        <f>IFERROR(ROUND(G580*VLOOKUP(F580,商品!#REF!,4,FALSE),0),"")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3">
      <c r="A581" s="18" t="s">
        <v>394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IFERROR(ROUND(E581*VLOOKUP(D581,商品!#REF!,4,FALSE),0),"")</f>
        <v/>
      </c>
      <c r="Z581" t="str">
        <f>IFERROR(ROUND(G581*VLOOKUP(F581,商品!#REF!,4,FALSE),0),"")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3">
      <c r="A582" s="18" t="s">
        <v>394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IFERROR(ROUND(E582*VLOOKUP(D582,商品!#REF!,4,FALSE),0),"")</f>
        <v/>
      </c>
      <c r="Z582" t="str">
        <f>IFERROR(ROUND(G582*VLOOKUP(F582,商品!#REF!,4,FALSE),0),"")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3">
      <c r="A583" s="18" t="s">
        <v>394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IFERROR(ROUND(E583*VLOOKUP(D583,商品!#REF!,4,FALSE),0),"")</f>
        <v/>
      </c>
      <c r="Z583" t="str">
        <f>IFERROR(ROUND(G583*VLOOKUP(F583,商品!#REF!,4,FALSE),0),"")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3">
      <c r="A584" s="5" t="s">
        <v>396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IFERROR(ROUND(E584*VLOOKUP(D584,商品!#REF!,4,FALSE),0),"")</f>
        <v/>
      </c>
      <c r="Z584" t="str">
        <f>IFERROR(ROUND(G584*VLOOKUP(F584,商品!#REF!,4,FALSE),0),"")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3">
      <c r="A585" s="5" t="s">
        <v>396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IFERROR(ROUND(E585*VLOOKUP(D585,商品!#REF!,4,FALSE),0),"")</f>
        <v/>
      </c>
      <c r="Z585" t="str">
        <f>IFERROR(ROUND(G585*VLOOKUP(F585,商品!#REF!,4,FALSE),0),"")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3">
      <c r="A586" s="5" t="s">
        <v>396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IFERROR(ROUND(E586*VLOOKUP(D586,商品!#REF!,4,FALSE),0),"")</f>
        <v/>
      </c>
      <c r="Z586" t="str">
        <f>IFERROR(ROUND(G586*VLOOKUP(F586,商品!#REF!,4,FALSE),0),"")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3">
      <c r="A587" s="5" t="s">
        <v>396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IFERROR(ROUND(E587*VLOOKUP(D587,商品!#REF!,4,FALSE),0),"")</f>
        <v/>
      </c>
      <c r="Z587" t="str">
        <f>IFERROR(ROUND(G587*VLOOKUP(F587,商品!#REF!,4,FALSE),0),"")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3">
      <c r="A588" s="5" t="s">
        <v>396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IFERROR(ROUND(E588*VLOOKUP(D588,商品!#REF!,4,FALSE),0),"")</f>
        <v/>
      </c>
      <c r="Z588" t="str">
        <f>IFERROR(ROUND(G588*VLOOKUP(F588,商品!#REF!,4,FALSE),0),"")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3">
      <c r="A589" s="18" t="s">
        <v>397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IFERROR(ROUND(E589*VLOOKUP(D589,商品!#REF!,4,FALSE),0),"")</f>
        <v/>
      </c>
      <c r="Z589" t="str">
        <f>IFERROR(ROUND(G589*VLOOKUP(F589,商品!#REF!,4,FALSE),0),"")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3">
      <c r="A590" s="18" t="s">
        <v>397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IFERROR(ROUND(E590*VLOOKUP(D590,商品!#REF!,4,FALSE),0),"")</f>
        <v/>
      </c>
      <c r="Z590" t="str">
        <f>IFERROR(ROUND(G590*VLOOKUP(F590,商品!#REF!,4,FALSE),0),"")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3">
      <c r="A591" s="18" t="s">
        <v>397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IFERROR(ROUND(E591*VLOOKUP(D591,商品!#REF!,4,FALSE),0),"")</f>
        <v/>
      </c>
      <c r="Z591" t="str">
        <f>IFERROR(ROUND(G591*VLOOKUP(F591,商品!#REF!,4,FALSE),0),"")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3">
      <c r="A592" s="18" t="s">
        <v>397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IFERROR(ROUND(E592*VLOOKUP(D592,商品!#REF!,4,FALSE),0),"")</f>
        <v/>
      </c>
      <c r="Z592" t="str">
        <f>IFERROR(ROUND(G592*VLOOKUP(F592,商品!#REF!,4,FALSE),0),"")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3">
      <c r="A593" s="18" t="s">
        <v>397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IFERROR(ROUND(E593*VLOOKUP(D593,商品!#REF!,4,FALSE),0),"")</f>
        <v/>
      </c>
      <c r="Z593" t="str">
        <f>IFERROR(ROUND(G593*VLOOKUP(F593,商品!#REF!,4,FALSE),0),"")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3">
      <c r="A594" s="18" t="s">
        <v>397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IFERROR(ROUND(E594*VLOOKUP(D594,商品!#REF!,4,FALSE),0),"")</f>
        <v/>
      </c>
      <c r="Z594" t="str">
        <f>IFERROR(ROUND(G594*VLOOKUP(F594,商品!#REF!,4,FALSE),0),"")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3">
      <c r="A595" s="18" t="s">
        <v>397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IFERROR(ROUND(E595*VLOOKUP(D595,商品!#REF!,4,FALSE),0),"")</f>
        <v/>
      </c>
      <c r="Z595" t="str">
        <f>IFERROR(ROUND(G595*VLOOKUP(F595,商品!#REF!,4,FALSE),0),"")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3">
      <c r="A596" s="18" t="s">
        <v>397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IFERROR(ROUND(E596*VLOOKUP(D596,商品!#REF!,4,FALSE),0),"")</f>
        <v/>
      </c>
      <c r="Z596" t="str">
        <f>IFERROR(ROUND(G596*VLOOKUP(F596,商品!#REF!,4,FALSE),0),"")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3">
      <c r="A597" s="5" t="s">
        <v>397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IFERROR(ROUND(E597*VLOOKUP(D597,商品!#REF!,4,FALSE),0),"")</f>
        <v/>
      </c>
      <c r="Z597" t="str">
        <f>IFERROR(ROUND(G597*VLOOKUP(F597,商品!#REF!,4,FALSE),0),"")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3">
      <c r="A598" s="5" t="s">
        <v>397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IFERROR(ROUND(E598*VLOOKUP(D598,商品!#REF!,4,FALSE),0),"")</f>
        <v/>
      </c>
      <c r="Z598" t="str">
        <f>IFERROR(ROUND(G598*VLOOKUP(F598,商品!#REF!,4,FALSE),0),"")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3">
      <c r="A599" s="5" t="s">
        <v>397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IFERROR(ROUND(E599*VLOOKUP(D599,商品!#REF!,4,FALSE),0),"")</f>
        <v/>
      </c>
      <c r="Z599" t="str">
        <f>IFERROR(ROUND(G599*VLOOKUP(F599,商品!#REF!,4,FALSE),0),"")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3">
      <c r="A600" s="5" t="s">
        <v>397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IFERROR(ROUND(E600*VLOOKUP(D600,商品!#REF!,4,FALSE),0),"")</f>
        <v/>
      </c>
      <c r="Z600" t="str">
        <f>IFERROR(ROUND(G600*VLOOKUP(F600,商品!#REF!,4,FALSE),0),"")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3">
      <c r="A601" s="5" t="s">
        <v>397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IFERROR(ROUND(E601*VLOOKUP(D601,商品!#REF!,4,FALSE),0),"")</f>
        <v/>
      </c>
      <c r="Z601" t="str">
        <f>IFERROR(ROUND(G601*VLOOKUP(F601,商品!#REF!,4,FALSE),0),"")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3">
      <c r="A602" s="5" t="s">
        <v>397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IFERROR(ROUND(E602*VLOOKUP(D602,商品!#REF!,4,FALSE),0),"")</f>
        <v/>
      </c>
      <c r="Z602" t="str">
        <f>IFERROR(ROUND(G602*VLOOKUP(F602,商品!#REF!,4,FALSE),0),"")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3">
      <c r="A603" s="5" t="s">
        <v>397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IFERROR(ROUND(E603*VLOOKUP(D603,商品!#REF!,4,FALSE),0),"")</f>
        <v/>
      </c>
      <c r="Z603" t="str">
        <f>IFERROR(ROUND(G603*VLOOKUP(F603,商品!#REF!,4,FALSE),0),"")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3">
      <c r="A604" s="5" t="s">
        <v>397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IFERROR(ROUND(E604*VLOOKUP(D604,商品!#REF!,4,FALSE),0),"")</f>
        <v/>
      </c>
      <c r="Z604" t="str">
        <f>IFERROR(ROUND(G604*VLOOKUP(F604,商品!#REF!,4,FALSE),0),"")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3">
      <c r="A605" s="18" t="s">
        <v>399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IFERROR(ROUND(E605*VLOOKUP(D605,商品!#REF!,4,FALSE),0),"")</f>
        <v/>
      </c>
      <c r="Z605" t="str">
        <f>IFERROR(ROUND(G605*VLOOKUP(F605,商品!#REF!,4,FALSE),0),"")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3">
      <c r="A606" s="18" t="s">
        <v>399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IFERROR(ROUND(E606*VLOOKUP(D606,商品!#REF!,4,FALSE),0),"")</f>
        <v/>
      </c>
      <c r="Z606" t="str">
        <f>IFERROR(ROUND(G606*VLOOKUP(F606,商品!#REF!,4,FALSE),0),"")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3">
      <c r="A607" s="18" t="s">
        <v>399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IFERROR(ROUND(E607*VLOOKUP(D607,商品!#REF!,4,FALSE),0),"")</f>
        <v/>
      </c>
      <c r="Z607" t="str">
        <f>IFERROR(ROUND(G607*VLOOKUP(F607,商品!#REF!,4,FALSE),0),"")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3">
      <c r="A608" s="18" t="s">
        <v>399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IFERROR(ROUND(E608*VLOOKUP(D608,商品!#REF!,4,FALSE),0),"")</f>
        <v/>
      </c>
      <c r="Z608" t="str">
        <f>IFERROR(ROUND(G608*VLOOKUP(F608,商品!#REF!,4,FALSE),0),"")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3">
      <c r="A609" s="18" t="s">
        <v>399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IFERROR(ROUND(E609*VLOOKUP(D609,商品!#REF!,4,FALSE),0),"")</f>
        <v/>
      </c>
      <c r="Z609" t="str">
        <f>IFERROR(ROUND(G609*VLOOKUP(F609,商品!#REF!,4,FALSE),0),"")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3">
      <c r="A610" s="5" t="s">
        <v>400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IFERROR(ROUND(E610*VLOOKUP(D610,商品!#REF!,4,FALSE),0),"")</f>
        <v/>
      </c>
      <c r="Z610" t="str">
        <f>IFERROR(ROUND(G610*VLOOKUP(F610,商品!#REF!,4,FALSE),0),"")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3">
      <c r="A611" s="5" t="s">
        <v>400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IFERROR(ROUND(E611*VLOOKUP(D611,商品!#REF!,4,FALSE),0),"")</f>
        <v/>
      </c>
      <c r="Z611" t="str">
        <f>IFERROR(ROUND(G611*VLOOKUP(F611,商品!#REF!,4,FALSE),0),"")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3">
      <c r="A612" s="5" t="s">
        <v>400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IFERROR(ROUND(E612*VLOOKUP(D612,商品!#REF!,4,FALSE),0),"")</f>
        <v/>
      </c>
      <c r="Z612" t="str">
        <f>IFERROR(ROUND(G612*VLOOKUP(F612,商品!#REF!,4,FALSE),0),"")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3">
      <c r="A613" s="5" t="s">
        <v>400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IFERROR(ROUND(E613*VLOOKUP(D613,商品!#REF!,4,FALSE),0),"")</f>
        <v/>
      </c>
      <c r="Z613" t="str">
        <f>IFERROR(ROUND(G613*VLOOKUP(F613,商品!#REF!,4,FALSE),0),"")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3">
      <c r="A614" s="5" t="s">
        <v>400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IFERROR(ROUND(E614*VLOOKUP(D614,商品!#REF!,4,FALSE),0),"")</f>
        <v/>
      </c>
      <c r="Z614" t="str">
        <f>IFERROR(ROUND(G614*VLOOKUP(F614,商品!#REF!,4,FALSE),0),"")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3">
      <c r="A615" s="5" t="s">
        <v>400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IFERROR(ROUND(E615*VLOOKUP(D615,商品!#REF!,4,FALSE),0),"")</f>
        <v/>
      </c>
      <c r="Z615" t="str">
        <f>IFERROR(ROUND(G615*VLOOKUP(F615,商品!#REF!,4,FALSE),0),"")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3">
      <c r="A616" s="5" t="s">
        <v>400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IFERROR(ROUND(E616*VLOOKUP(D616,商品!#REF!,4,FALSE),0),"")</f>
        <v/>
      </c>
      <c r="Z616" t="str">
        <f>IFERROR(ROUND(G616*VLOOKUP(F616,商品!#REF!,4,FALSE),0),"")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3">
      <c r="A617" s="5" t="s">
        <v>400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IFERROR(ROUND(E617*VLOOKUP(D617,商品!#REF!,4,FALSE),0),"")</f>
        <v/>
      </c>
      <c r="Z617" t="str">
        <f>IFERROR(ROUND(G617*VLOOKUP(F617,商品!#REF!,4,FALSE),0),"")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3">
      <c r="A618" s="18" t="s">
        <v>400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IFERROR(ROUND(E618*VLOOKUP(D618,商品!#REF!,4,FALSE),0),"")</f>
        <v/>
      </c>
      <c r="Z618" t="str">
        <f>IFERROR(ROUND(G618*VLOOKUP(F618,商品!#REF!,4,FALSE),0),"")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3">
      <c r="A619" s="18" t="s">
        <v>400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IFERROR(ROUND(E619*VLOOKUP(D619,商品!#REF!,4,FALSE),0),"")</f>
        <v/>
      </c>
      <c r="Z619" t="str">
        <f>IFERROR(ROUND(G619*VLOOKUP(F619,商品!#REF!,4,FALSE),0),"")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3">
      <c r="A620" s="18" t="s">
        <v>400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IFERROR(ROUND(E620*VLOOKUP(D620,商品!#REF!,4,FALSE),0),"")</f>
        <v/>
      </c>
      <c r="Z620" t="str">
        <f>IFERROR(ROUND(G620*VLOOKUP(F620,商品!#REF!,4,FALSE),0),"")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3">
      <c r="A621" s="18" t="s">
        <v>400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IFERROR(ROUND(E621*VLOOKUP(D621,商品!#REF!,4,FALSE),0),"")</f>
        <v/>
      </c>
      <c r="Z621" t="str">
        <f>IFERROR(ROUND(G621*VLOOKUP(F621,商品!#REF!,4,FALSE),0),"")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3">
      <c r="A622" s="18" t="s">
        <v>400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IFERROR(ROUND(E622*VLOOKUP(D622,商品!#REF!,4,FALSE),0),"")</f>
        <v/>
      </c>
      <c r="Z622" t="str">
        <f>IFERROR(ROUND(G622*VLOOKUP(F622,商品!#REF!,4,FALSE),0),"")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3">
      <c r="A623" s="18" t="s">
        <v>400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IFERROR(ROUND(E623*VLOOKUP(D623,商品!#REF!,4,FALSE),0),"")</f>
        <v/>
      </c>
      <c r="Z623" t="str">
        <f>IFERROR(ROUND(G623*VLOOKUP(F623,商品!#REF!,4,FALSE),0),"")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3">
      <c r="A624" s="18" t="s">
        <v>400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IFERROR(ROUND(E624*VLOOKUP(D624,商品!#REF!,4,FALSE),0),"")</f>
        <v/>
      </c>
      <c r="Z624" t="str">
        <f>IFERROR(ROUND(G624*VLOOKUP(F624,商品!#REF!,4,FALSE),0),"")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3">
      <c r="A625" s="18" t="s">
        <v>400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IFERROR(ROUND(E625*VLOOKUP(D625,商品!#REF!,4,FALSE),0),"")</f>
        <v/>
      </c>
      <c r="Z625" t="str">
        <f>IFERROR(ROUND(G625*VLOOKUP(F625,商品!#REF!,4,FALSE),0),"")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3">
      <c r="A626" s="5" t="s">
        <v>402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IFERROR(ROUND(E626*VLOOKUP(D626,商品!#REF!,4,FALSE),0),"")</f>
        <v/>
      </c>
      <c r="Z626" t="str">
        <f>IFERROR(ROUND(G626*VLOOKUP(F626,商品!#REF!,4,FALSE),0),"")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3">
      <c r="A627" s="5" t="s">
        <v>402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IFERROR(ROUND(E627*VLOOKUP(D627,商品!#REF!,4,FALSE),0),"")</f>
        <v/>
      </c>
      <c r="Z627" t="str">
        <f>IFERROR(ROUND(G627*VLOOKUP(F627,商品!#REF!,4,FALSE),0),"")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3">
      <c r="A628" s="5" t="s">
        <v>402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IFERROR(ROUND(E628*VLOOKUP(D628,商品!#REF!,4,FALSE),0),"")</f>
        <v/>
      </c>
      <c r="Z628" t="str">
        <f>IFERROR(ROUND(G628*VLOOKUP(F628,商品!#REF!,4,FALSE),0),"")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3">
      <c r="A629" s="5" t="s">
        <v>402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IFERROR(ROUND(E629*VLOOKUP(D629,商品!#REF!,4,FALSE),0),"")</f>
        <v/>
      </c>
      <c r="Z629" t="str">
        <f>IFERROR(ROUND(G629*VLOOKUP(F629,商品!#REF!,4,FALSE),0),"")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3">
      <c r="A630" s="5" t="s">
        <v>402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IFERROR(ROUND(E630*VLOOKUP(D630,商品!#REF!,4,FALSE),0),"")</f>
        <v/>
      </c>
      <c r="Z630" t="str">
        <f>IFERROR(ROUND(G630*VLOOKUP(F630,商品!#REF!,4,FALSE),0),"")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3">
      <c r="A631" s="18" t="s">
        <v>403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IFERROR(ROUND(E631*VLOOKUP(D631,商品!#REF!,4,FALSE),0),"")</f>
        <v/>
      </c>
      <c r="Z631" t="str">
        <f>IFERROR(ROUND(G631*VLOOKUP(F631,商品!#REF!,4,FALSE),0),"")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3">
      <c r="A632" s="18" t="s">
        <v>403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IFERROR(ROUND(E632*VLOOKUP(D632,商品!#REF!,4,FALSE),0),"")</f>
        <v/>
      </c>
      <c r="Z632" t="str">
        <f>IFERROR(ROUND(G632*VLOOKUP(F632,商品!#REF!,4,FALSE),0),"")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3">
      <c r="A633" s="18" t="s">
        <v>403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IFERROR(ROUND(E633*VLOOKUP(D633,商品!#REF!,4,FALSE),0),"")</f>
        <v/>
      </c>
      <c r="Z633" t="str">
        <f>IFERROR(ROUND(G633*VLOOKUP(F633,商品!#REF!,4,FALSE),0),"")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3">
      <c r="A634" s="18" t="s">
        <v>403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IFERROR(ROUND(E634*VLOOKUP(D634,商品!#REF!,4,FALSE),0),"")</f>
        <v/>
      </c>
      <c r="Z634" t="str">
        <f>IFERROR(ROUND(G634*VLOOKUP(F634,商品!#REF!,4,FALSE),0),"")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3">
      <c r="A635" s="18" t="s">
        <v>403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IFERROR(ROUND(E635*VLOOKUP(D635,商品!#REF!,4,FALSE),0),"")</f>
        <v/>
      </c>
      <c r="Z635" t="str">
        <f>IFERROR(ROUND(G635*VLOOKUP(F635,商品!#REF!,4,FALSE),0),"")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3">
      <c r="A636" s="5" t="s">
        <v>404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IFERROR(ROUND(E636*VLOOKUP(D636,商品!#REF!,4,FALSE),0),"")</f>
        <v/>
      </c>
      <c r="Z636" t="str">
        <f>IFERROR(ROUND(G636*VLOOKUP(F636,商品!#REF!,4,FALSE),0),"")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3">
      <c r="A637" s="5" t="s">
        <v>404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IFERROR(ROUND(E637*VLOOKUP(D637,商品!#REF!,4,FALSE),0),"")</f>
        <v/>
      </c>
      <c r="Z637" t="str">
        <f>IFERROR(ROUND(G637*VLOOKUP(F637,商品!#REF!,4,FALSE),0),"")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3">
      <c r="A638" s="5" t="s">
        <v>404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IFERROR(ROUND(E638*VLOOKUP(D638,商品!#REF!,4,FALSE),0),"")</f>
        <v/>
      </c>
      <c r="Z638" t="str">
        <f>IFERROR(ROUND(G638*VLOOKUP(F638,商品!#REF!,4,FALSE),0),"")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3">
      <c r="A639" s="5" t="s">
        <v>404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IFERROR(ROUND(E639*VLOOKUP(D639,商品!#REF!,4,FALSE),0),"")</f>
        <v/>
      </c>
      <c r="Z639" t="str">
        <f>IFERROR(ROUND(G639*VLOOKUP(F639,商品!#REF!,4,FALSE),0),"")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3">
      <c r="A640" s="5" t="s">
        <v>404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IFERROR(ROUND(E640*VLOOKUP(D640,商品!#REF!,4,FALSE),0),"")</f>
        <v/>
      </c>
      <c r="Z640" t="str">
        <f>IFERROR(ROUND(G640*VLOOKUP(F640,商品!#REF!,4,FALSE),0),"")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3">
      <c r="A641" s="18" t="s">
        <v>404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IFERROR(ROUND(E641*VLOOKUP(D641,商品!#REF!,4,FALSE),0),"")</f>
        <v/>
      </c>
      <c r="Z641" t="str">
        <f>IFERROR(ROUND(G641*VLOOKUP(F641,商品!#REF!,4,FALSE),0),"")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3">
      <c r="A642" s="18" t="s">
        <v>404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IFERROR(ROUND(E642*VLOOKUP(D642,商品!#REF!,4,FALSE),0),"")</f>
        <v/>
      </c>
      <c r="Z642" t="str">
        <f>IFERROR(ROUND(G642*VLOOKUP(F642,商品!#REF!,4,FALSE),0),"")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3">
      <c r="A643" s="18" t="s">
        <v>404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IFERROR(ROUND(E643*VLOOKUP(D643,商品!#REF!,4,FALSE),0),"")</f>
        <v/>
      </c>
      <c r="Z643" t="str">
        <f>IFERROR(ROUND(G643*VLOOKUP(F643,商品!#REF!,4,FALSE),0),"")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3">
      <c r="A644" s="18" t="s">
        <v>404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IFERROR(ROUND(E644*VLOOKUP(D644,商品!#REF!,4,FALSE),0),"")</f>
        <v/>
      </c>
      <c r="Z644" t="str">
        <f>IFERROR(ROUND(G644*VLOOKUP(F644,商品!#REF!,4,FALSE),0),"")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3">
      <c r="A645" s="18" t="s">
        <v>404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IFERROR(ROUND(E645*VLOOKUP(D645,商品!#REF!,4,FALSE),0),"")</f>
        <v/>
      </c>
      <c r="Z645" t="str">
        <f>IFERROR(ROUND(G645*VLOOKUP(F645,商品!#REF!,4,FALSE),0),"")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3">
      <c r="A646" s="5" t="s">
        <v>405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IFERROR(ROUND(E646*VLOOKUP(D646,商品!#REF!,4,FALSE),0),"")</f>
        <v/>
      </c>
      <c r="Z646" t="str">
        <f>IFERROR(ROUND(G646*VLOOKUP(F646,商品!#REF!,4,FALSE),0),"")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3">
      <c r="A647" s="5" t="s">
        <v>405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IFERROR(ROUND(E647*VLOOKUP(D647,商品!#REF!,4,FALSE),0),"")</f>
        <v/>
      </c>
      <c r="Z647" t="str">
        <f>IFERROR(ROUND(G647*VLOOKUP(F647,商品!#REF!,4,FALSE),0),"")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3">
      <c r="A648" s="5" t="s">
        <v>405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IFERROR(ROUND(E648*VLOOKUP(D648,商品!#REF!,4,FALSE),0),"")</f>
        <v/>
      </c>
      <c r="Z648" t="str">
        <f>IFERROR(ROUND(G648*VLOOKUP(F648,商品!#REF!,4,FALSE),0),"")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3">
      <c r="A649" s="5" t="s">
        <v>405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IFERROR(ROUND(E649*VLOOKUP(D649,商品!#REF!,4,FALSE),0),"")</f>
        <v/>
      </c>
      <c r="Z649" t="str">
        <f>IFERROR(ROUND(G649*VLOOKUP(F649,商品!#REF!,4,FALSE),0),"")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3">
      <c r="A650" s="5" t="s">
        <v>405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IFERROR(ROUND(E650*VLOOKUP(D650,商品!#REF!,4,FALSE),0),"")</f>
        <v/>
      </c>
      <c r="Z650" t="str">
        <f>IFERROR(ROUND(G650*VLOOKUP(F650,商品!#REF!,4,FALSE),0),"")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3">
      <c r="A651" s="5" t="s">
        <v>405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IFERROR(ROUND(E651*VLOOKUP(D651,商品!#REF!,4,FALSE),0),"")</f>
        <v/>
      </c>
      <c r="Z651" t="str">
        <f>IFERROR(ROUND(G651*VLOOKUP(F651,商品!#REF!,4,FALSE),0),"")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3">
      <c r="A652" s="5" t="s">
        <v>405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IFERROR(ROUND(E652*VLOOKUP(D652,商品!#REF!,4,FALSE),0),"")</f>
        <v/>
      </c>
      <c r="Z652" t="str">
        <f>IFERROR(ROUND(G652*VLOOKUP(F652,商品!#REF!,4,FALSE),0),"")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3">
      <c r="A653" s="5" t="s">
        <v>405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IFERROR(ROUND(E653*VLOOKUP(D653,商品!#REF!,4,FALSE),0),"")</f>
        <v/>
      </c>
      <c r="Z653" t="str">
        <f>IFERROR(ROUND(G653*VLOOKUP(F653,商品!#REF!,4,FALSE),0),"")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3">
      <c r="A654" s="18" t="s">
        <v>407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IFERROR(ROUND(E654*VLOOKUP(D654,商品!#REF!,4,FALSE),0),"")</f>
        <v/>
      </c>
      <c r="Z654" t="str">
        <f>IFERROR(ROUND(G654*VLOOKUP(F654,商品!#REF!,4,FALSE),0),"")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3">
      <c r="A655" s="18" t="s">
        <v>407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IFERROR(ROUND(E655*VLOOKUP(D655,商品!#REF!,4,FALSE),0),"")</f>
        <v/>
      </c>
      <c r="Z655" t="str">
        <f>IFERROR(ROUND(G655*VLOOKUP(F655,商品!#REF!,4,FALSE),0),"")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3">
      <c r="A656" s="18" t="s">
        <v>407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IFERROR(ROUND(E656*VLOOKUP(D656,商品!#REF!,4,FALSE),0),"")</f>
        <v/>
      </c>
      <c r="Z656" t="str">
        <f>IFERROR(ROUND(G656*VLOOKUP(F656,商品!#REF!,4,FALSE),0),"")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3">
      <c r="A657" s="18" t="s">
        <v>407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IFERROR(ROUND(E657*VLOOKUP(D657,商品!#REF!,4,FALSE),0),"")</f>
        <v/>
      </c>
      <c r="Z657" t="str">
        <f>IFERROR(ROUND(G657*VLOOKUP(F657,商品!#REF!,4,FALSE),0),"")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3">
      <c r="A658" s="18" t="s">
        <v>407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IFERROR(ROUND(E658*VLOOKUP(D658,商品!#REF!,4,FALSE),0),"")</f>
        <v/>
      </c>
      <c r="Z658" t="str">
        <f>IFERROR(ROUND(G658*VLOOKUP(F658,商品!#REF!,4,FALSE),0),"")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3">
      <c r="A659" s="5" t="s">
        <v>408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IFERROR(ROUND(E659*VLOOKUP(D659,商品!#REF!,4,FALSE),0),"")</f>
        <v/>
      </c>
      <c r="Z659" t="str">
        <f>IFERROR(ROUND(G659*VLOOKUP(F659,商品!#REF!,4,FALSE),0),"")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3">
      <c r="A660" s="5" t="s">
        <v>408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IFERROR(ROUND(E660*VLOOKUP(D660,商品!#REF!,4,FALSE),0),"")</f>
        <v/>
      </c>
      <c r="Z660" t="str">
        <f>IFERROR(ROUND(G660*VLOOKUP(F660,商品!#REF!,4,FALSE),0),"")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3">
      <c r="A661" s="5" t="s">
        <v>408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IFERROR(ROUND(E661*VLOOKUP(D661,商品!#REF!,4,FALSE),0),"")</f>
        <v/>
      </c>
      <c r="Z661" t="str">
        <f>IFERROR(ROUND(G661*VLOOKUP(F661,商品!#REF!,4,FALSE),0),"")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3">
      <c r="A662" s="5" t="s">
        <v>408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IFERROR(ROUND(E662*VLOOKUP(D662,商品!#REF!,4,FALSE),0),"")</f>
        <v/>
      </c>
      <c r="Z662" t="str">
        <f>IFERROR(ROUND(G662*VLOOKUP(F662,商品!#REF!,4,FALSE),0),"")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3">
      <c r="A663" s="5" t="s">
        <v>408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IFERROR(ROUND(E663*VLOOKUP(D663,商品!#REF!,4,FALSE),0),"")</f>
        <v/>
      </c>
      <c r="Z663" t="str">
        <f>IFERROR(ROUND(G663*VLOOKUP(F663,商品!#REF!,4,FALSE),0),"")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3">
      <c r="A664" s="18" t="s">
        <v>409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IFERROR(ROUND(E664*VLOOKUP(D664,商品!#REF!,4,FALSE),0),"")</f>
        <v/>
      </c>
      <c r="Z664" t="str">
        <f>IFERROR(ROUND(G664*VLOOKUP(F664,商品!#REF!,4,FALSE),0),"")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3">
      <c r="A665" s="18" t="s">
        <v>409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IFERROR(ROUND(E665*VLOOKUP(D665,商品!#REF!,4,FALSE),0),"")</f>
        <v/>
      </c>
      <c r="Z665" t="str">
        <f>IFERROR(ROUND(G665*VLOOKUP(F665,商品!#REF!,4,FALSE),0),"")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3">
      <c r="A666" s="18" t="s">
        <v>409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IFERROR(ROUND(E666*VLOOKUP(D666,商品!#REF!,4,FALSE),0),"")</f>
        <v/>
      </c>
      <c r="Z666" t="str">
        <f>IFERROR(ROUND(G666*VLOOKUP(F666,商品!#REF!,4,FALSE),0),"")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3">
      <c r="A667" s="18" t="s">
        <v>409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IFERROR(ROUND(E667*VLOOKUP(D667,商品!#REF!,4,FALSE),0),"")</f>
        <v/>
      </c>
      <c r="Z667" t="str">
        <f>IFERROR(ROUND(G667*VLOOKUP(F667,商品!#REF!,4,FALSE),0),"")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3">
      <c r="A668" s="18" t="s">
        <v>409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IFERROR(ROUND(E668*VLOOKUP(D668,商品!#REF!,4,FALSE),0),"")</f>
        <v/>
      </c>
      <c r="Z668" t="str">
        <f>IFERROR(ROUND(G668*VLOOKUP(F668,商品!#REF!,4,FALSE),0),"")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3">
      <c r="A669" s="5" t="s">
        <v>409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IFERROR(ROUND(E669*VLOOKUP(D669,商品!#REF!,4,FALSE),0),"")</f>
        <v/>
      </c>
      <c r="Z669" t="str">
        <f>IFERROR(ROUND(G669*VLOOKUP(F669,商品!#REF!,4,FALSE),0),"")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3">
      <c r="A670" s="5" t="s">
        <v>409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IFERROR(ROUND(E670*VLOOKUP(D670,商品!#REF!,4,FALSE),0),"")</f>
        <v/>
      </c>
      <c r="Z670" t="str">
        <f>IFERROR(ROUND(G670*VLOOKUP(F670,商品!#REF!,4,FALSE),0),"")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3">
      <c r="A671" s="5" t="s">
        <v>409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IFERROR(ROUND(E671*VLOOKUP(D671,商品!#REF!,4,FALSE),0),"")</f>
        <v/>
      </c>
      <c r="Z671" t="str">
        <f>IFERROR(ROUND(G671*VLOOKUP(F671,商品!#REF!,4,FALSE),0),"")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3">
      <c r="A672" s="5" t="s">
        <v>409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IFERROR(ROUND(E672*VLOOKUP(D672,商品!#REF!,4,FALSE),0),"")</f>
        <v/>
      </c>
      <c r="Z672" t="str">
        <f>IFERROR(ROUND(G672*VLOOKUP(F672,商品!#REF!,4,FALSE),0),"")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3">
      <c r="A673" s="5" t="s">
        <v>409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IFERROR(ROUND(E673*VLOOKUP(D673,商品!#REF!,4,FALSE),0),"")</f>
        <v/>
      </c>
      <c r="Z673" t="str">
        <f>IFERROR(ROUND(G673*VLOOKUP(F673,商品!#REF!,4,FALSE),0),"")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3">
      <c r="A674" s="18" t="s">
        <v>410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IFERROR(ROUND(E674*VLOOKUP(D674,商品!#REF!,4,FALSE),0),"")</f>
        <v/>
      </c>
      <c r="Z674" t="str">
        <f>IFERROR(ROUND(G674*VLOOKUP(F674,商品!#REF!,4,FALSE),0),"")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3">
      <c r="A675" s="18" t="s">
        <v>410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IFERROR(ROUND(E675*VLOOKUP(D675,商品!#REF!,4,FALSE),0),"")</f>
        <v/>
      </c>
      <c r="Z675" t="str">
        <f>IFERROR(ROUND(G675*VLOOKUP(F675,商品!#REF!,4,FALSE),0),"")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3">
      <c r="A676" s="18" t="s">
        <v>410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IFERROR(ROUND(E676*VLOOKUP(D676,商品!#REF!,4,FALSE),0),"")</f>
        <v/>
      </c>
      <c r="Z676" t="str">
        <f>IFERROR(ROUND(G676*VLOOKUP(F676,商品!#REF!,4,FALSE),0),"")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3">
      <c r="A677" s="18" t="s">
        <v>410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IFERROR(ROUND(E677*VLOOKUP(D677,商品!#REF!,4,FALSE),0),"")</f>
        <v/>
      </c>
      <c r="Z677" t="str">
        <f>IFERROR(ROUND(G677*VLOOKUP(F677,商品!#REF!,4,FALSE),0),"")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3">
      <c r="A678" s="18" t="s">
        <v>410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IFERROR(ROUND(E678*VLOOKUP(D678,商品!#REF!,4,FALSE),0),"")</f>
        <v/>
      </c>
      <c r="Z678" t="str">
        <f>IFERROR(ROUND(G678*VLOOKUP(F678,商品!#REF!,4,FALSE),0),"")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3">
      <c r="A679" s="18" t="s">
        <v>410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IFERROR(ROUND(E679*VLOOKUP(D679,商品!#REF!,4,FALSE),0),"")</f>
        <v/>
      </c>
      <c r="Z679" t="str">
        <f>IFERROR(ROUND(G679*VLOOKUP(F679,商品!#REF!,4,FALSE),0),"")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3">
      <c r="A680" s="18" t="s">
        <v>410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IFERROR(ROUND(E680*VLOOKUP(D680,商品!#REF!,4,FALSE),0),"")</f>
        <v/>
      </c>
      <c r="Z680" t="str">
        <f>IFERROR(ROUND(G680*VLOOKUP(F680,商品!#REF!,4,FALSE),0),"")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3">
      <c r="A681" s="18" t="s">
        <v>410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IFERROR(ROUND(E681*VLOOKUP(D681,商品!#REF!,4,FALSE),0),"")</f>
        <v/>
      </c>
      <c r="Z681" t="str">
        <f>IFERROR(ROUND(G681*VLOOKUP(F681,商品!#REF!,4,FALSE),0),"")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3">
      <c r="A682" s="5" t="s">
        <v>412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IFERROR(ROUND(E682*VLOOKUP(D682,商品!#REF!,4,FALSE),0),"")</f>
        <v/>
      </c>
      <c r="Z682" t="str">
        <f>IFERROR(ROUND(G682*VLOOKUP(F682,商品!#REF!,4,FALSE),0),"")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3">
      <c r="A683" s="5" t="s">
        <v>412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IFERROR(ROUND(E683*VLOOKUP(D683,商品!#REF!,4,FALSE),0),"")</f>
        <v/>
      </c>
      <c r="Z683" t="str">
        <f>IFERROR(ROUND(G683*VLOOKUP(F683,商品!#REF!,4,FALSE),0),"")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3">
      <c r="A684" s="5" t="s">
        <v>412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IFERROR(ROUND(E684*VLOOKUP(D684,商品!#REF!,4,FALSE),0),"")</f>
        <v/>
      </c>
      <c r="Z684" t="str">
        <f>IFERROR(ROUND(G684*VLOOKUP(F684,商品!#REF!,4,FALSE),0),"")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3">
      <c r="A685" s="5" t="s">
        <v>412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IFERROR(ROUND(E685*VLOOKUP(D685,商品!#REF!,4,FALSE),0),"")</f>
        <v/>
      </c>
      <c r="Z685" t="str">
        <f>IFERROR(ROUND(G685*VLOOKUP(F685,商品!#REF!,4,FALSE),0),"")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3">
      <c r="A686" s="5" t="s">
        <v>412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IFERROR(ROUND(E686*VLOOKUP(D686,商品!#REF!,4,FALSE),0),"")</f>
        <v/>
      </c>
      <c r="Z686" t="str">
        <f>IFERROR(ROUND(G686*VLOOKUP(F686,商品!#REF!,4,FALSE),0),"")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3">
      <c r="A687" s="18" t="s">
        <v>413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IFERROR(ROUND(E687*VLOOKUP(D687,商品!#REF!,4,FALSE),0),"")</f>
        <v/>
      </c>
      <c r="Z687" t="str">
        <f>IFERROR(ROUND(G687*VLOOKUP(F687,商品!#REF!,4,FALSE),0),"")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3">
      <c r="A688" s="18" t="s">
        <v>413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IFERROR(ROUND(E688*VLOOKUP(D688,商品!#REF!,4,FALSE),0),"")</f>
        <v/>
      </c>
      <c r="Z688" t="str">
        <f>IFERROR(ROUND(G688*VLOOKUP(F688,商品!#REF!,4,FALSE),0),"")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3">
      <c r="A689" s="18" t="s">
        <v>413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IFERROR(ROUND(E689*VLOOKUP(D689,商品!#REF!,4,FALSE),0),"")</f>
        <v/>
      </c>
      <c r="Z689" t="str">
        <f>IFERROR(ROUND(G689*VLOOKUP(F689,商品!#REF!,4,FALSE),0),"")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3">
      <c r="A690" s="18" t="s">
        <v>413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IFERROR(ROUND(E690*VLOOKUP(D690,商品!#REF!,4,FALSE),0),"")</f>
        <v/>
      </c>
      <c r="Z690" t="str">
        <f>IFERROR(ROUND(G690*VLOOKUP(F690,商品!#REF!,4,FALSE),0),"")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3">
      <c r="A691" s="18" t="s">
        <v>413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IFERROR(ROUND(E691*VLOOKUP(D691,商品!#REF!,4,FALSE),0),"")</f>
        <v/>
      </c>
      <c r="Z691" t="str">
        <f>IFERROR(ROUND(G691*VLOOKUP(F691,商品!#REF!,4,FALSE),0),"")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3">
      <c r="A692" s="5" t="s">
        <v>414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IFERROR(ROUND(E692*VLOOKUP(D692,商品!#REF!,4,FALSE),0),"")</f>
        <v/>
      </c>
      <c r="Z692" t="str">
        <f>IFERROR(ROUND(G692*VLOOKUP(F692,商品!#REF!,4,FALSE),0),"")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3">
      <c r="A693" s="5" t="s">
        <v>414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IFERROR(ROUND(E693*VLOOKUP(D693,商品!#REF!,4,FALSE),0),"")</f>
        <v/>
      </c>
      <c r="Z693" t="str">
        <f>IFERROR(ROUND(G693*VLOOKUP(F693,商品!#REF!,4,FALSE),0),"")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3">
      <c r="A694" s="5" t="s">
        <v>414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IFERROR(ROUND(E694*VLOOKUP(D694,商品!#REF!,4,FALSE),0),"")</f>
        <v/>
      </c>
      <c r="Z694" t="str">
        <f>IFERROR(ROUND(G694*VLOOKUP(F694,商品!#REF!,4,FALSE),0),"")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3">
      <c r="A695" s="5" t="s">
        <v>414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IFERROR(ROUND(E695*VLOOKUP(D695,商品!#REF!,4,FALSE),0),"")</f>
        <v/>
      </c>
      <c r="Z695" t="str">
        <f>IFERROR(ROUND(G695*VLOOKUP(F695,商品!#REF!,4,FALSE),0),"")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3">
      <c r="A696" s="5" t="s">
        <v>414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IFERROR(ROUND(E696*VLOOKUP(D696,商品!#REF!,4,FALSE),0),"")</f>
        <v/>
      </c>
      <c r="Z696" t="str">
        <f>IFERROR(ROUND(G696*VLOOKUP(F696,商品!#REF!,4,FALSE),0),"")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3">
      <c r="A697" s="18" t="s">
        <v>414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IFERROR(ROUND(E697*VLOOKUP(D697,商品!#REF!,4,FALSE),0),"")</f>
        <v/>
      </c>
      <c r="Z697" t="str">
        <f>IFERROR(ROUND(G697*VLOOKUP(F697,商品!#REF!,4,FALSE),0),"")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3">
      <c r="A698" s="18" t="s">
        <v>414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IFERROR(ROUND(E698*VLOOKUP(D698,商品!#REF!,4,FALSE),0),"")</f>
        <v/>
      </c>
      <c r="Z698" t="str">
        <f>IFERROR(ROUND(G698*VLOOKUP(F698,商品!#REF!,4,FALSE),0),"")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3">
      <c r="A699" s="18" t="s">
        <v>414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IFERROR(ROUND(E699*VLOOKUP(D699,商品!#REF!,4,FALSE),0),"")</f>
        <v/>
      </c>
      <c r="Z699" t="str">
        <f>IFERROR(ROUND(G699*VLOOKUP(F699,商品!#REF!,4,FALSE),0),"")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3">
      <c r="A700" s="18" t="s">
        <v>414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IFERROR(ROUND(E700*VLOOKUP(D700,商品!#REF!,4,FALSE),0),"")</f>
        <v/>
      </c>
      <c r="Z700" t="str">
        <f>IFERROR(ROUND(G700*VLOOKUP(F700,商品!#REF!,4,FALSE),0),"")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3">
      <c r="A701" s="18" t="s">
        <v>414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IFERROR(ROUND(E701*VLOOKUP(D701,商品!#REF!,4,FALSE),0),"")</f>
        <v/>
      </c>
      <c r="Z701" t="str">
        <f>IFERROR(ROUND(G701*VLOOKUP(F701,商品!#REF!,4,FALSE),0),"")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3">
      <c r="A702" s="5" t="s">
        <v>415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IFERROR(ROUND(E702*VLOOKUP(D702,商品!#REF!,4,FALSE),0),"")</f>
        <v/>
      </c>
      <c r="Z702" t="str">
        <f>IFERROR(ROUND(G702*VLOOKUP(F702,商品!#REF!,4,FALSE),0),"")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3">
      <c r="A703" s="5" t="s">
        <v>415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IFERROR(ROUND(E703*VLOOKUP(D703,商品!#REF!,4,FALSE),0),"")</f>
        <v/>
      </c>
      <c r="Z703" t="str">
        <f>IFERROR(ROUND(G703*VLOOKUP(F703,商品!#REF!,4,FALSE),0),"")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3">
      <c r="A704" s="5" t="s">
        <v>415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IFERROR(ROUND(E704*VLOOKUP(D704,商品!#REF!,4,FALSE),0),"")</f>
        <v/>
      </c>
      <c r="Z704" t="str">
        <f>IFERROR(ROUND(G704*VLOOKUP(F704,商品!#REF!,4,FALSE),0),"")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3">
      <c r="A705" s="5" t="s">
        <v>415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IFERROR(ROUND(E705*VLOOKUP(D705,商品!#REF!,4,FALSE),0),"")</f>
        <v/>
      </c>
      <c r="Z705" t="str">
        <f>IFERROR(ROUND(G705*VLOOKUP(F705,商品!#REF!,4,FALSE),0),"")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3">
      <c r="A706" s="5" t="s">
        <v>415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IFERROR(ROUND(E706*VLOOKUP(D706,商品!#REF!,4,FALSE),0),"")</f>
        <v/>
      </c>
      <c r="Z706" t="str">
        <f>IFERROR(ROUND(G706*VLOOKUP(F706,商品!#REF!,4,FALSE),0),"")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3">
      <c r="A707" s="5" t="s">
        <v>415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IFERROR(ROUND(E707*VLOOKUP(D707,商品!#REF!,4,FALSE),0),"")</f>
        <v/>
      </c>
      <c r="Z707" t="str">
        <f>IFERROR(ROUND(G707*VLOOKUP(F707,商品!#REF!,4,FALSE),0),"")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3">
      <c r="A708" s="5" t="s">
        <v>415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IFERROR(ROUND(E708*VLOOKUP(D708,商品!#REF!,4,FALSE),0),"")</f>
        <v/>
      </c>
      <c r="Z708" t="str">
        <f>IFERROR(ROUND(G708*VLOOKUP(F708,商品!#REF!,4,FALSE),0),"")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3">
      <c r="A709" s="5" t="s">
        <v>415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IFERROR(ROUND(E709*VLOOKUP(D709,商品!#REF!,4,FALSE),0),"")</f>
        <v/>
      </c>
      <c r="Z709" t="str">
        <f>IFERROR(ROUND(G709*VLOOKUP(F709,商品!#REF!,4,FALSE),0),"")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3">
      <c r="A710" s="18" t="s">
        <v>417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IFERROR(ROUND(E710*VLOOKUP(D710,商品!#REF!,4,FALSE),0),"")</f>
        <v/>
      </c>
      <c r="Z710" t="str">
        <f>IFERROR(ROUND(G710*VLOOKUP(F710,商品!#REF!,4,FALSE),0),"")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3">
      <c r="A711" s="18" t="s">
        <v>417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IFERROR(ROUND(E711*VLOOKUP(D711,商品!#REF!,4,FALSE),0),"")</f>
        <v/>
      </c>
      <c r="Z711" t="str">
        <f>IFERROR(ROUND(G711*VLOOKUP(F711,商品!#REF!,4,FALSE),0),"")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3">
      <c r="A712" s="18" t="s">
        <v>417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IFERROR(ROUND(E712*VLOOKUP(D712,商品!#REF!,4,FALSE),0),"")</f>
        <v/>
      </c>
      <c r="Z712" t="str">
        <f>IFERROR(ROUND(G712*VLOOKUP(F712,商品!#REF!,4,FALSE),0),"")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3">
      <c r="A713" s="18" t="s">
        <v>417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IFERROR(ROUND(E713*VLOOKUP(D713,商品!#REF!,4,FALSE),0),"")</f>
        <v/>
      </c>
      <c r="Z713" t="str">
        <f>IFERROR(ROUND(G713*VLOOKUP(F713,商品!#REF!,4,FALSE),0),"")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3">
      <c r="A714" s="18" t="s">
        <v>417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IFERROR(ROUND(E714*VLOOKUP(D714,商品!#REF!,4,FALSE),0),"")</f>
        <v/>
      </c>
      <c r="Z714" t="str">
        <f>IFERROR(ROUND(G714*VLOOKUP(F714,商品!#REF!,4,FALSE),0),"")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3">
      <c r="A715" s="5" t="s">
        <v>418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IFERROR(ROUND(E715*VLOOKUP(D715,商品!#REF!,4,FALSE),0),"")</f>
        <v/>
      </c>
      <c r="Z715" t="str">
        <f>IFERROR(ROUND(G715*VLOOKUP(F715,商品!#REF!,4,FALSE),0),"")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3">
      <c r="A716" s="5" t="s">
        <v>418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IFERROR(ROUND(E716*VLOOKUP(D716,商品!#REF!,4,FALSE),0),"")</f>
        <v/>
      </c>
      <c r="Z716" t="str">
        <f>IFERROR(ROUND(G716*VLOOKUP(F716,商品!#REF!,4,FALSE),0),"")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3">
      <c r="A717" s="5" t="s">
        <v>418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IFERROR(ROUND(E717*VLOOKUP(D717,商品!#REF!,4,FALSE),0),"")</f>
        <v/>
      </c>
      <c r="Z717" t="str">
        <f>IFERROR(ROUND(G717*VLOOKUP(F717,商品!#REF!,4,FALSE),0),"")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3">
      <c r="A718" s="5" t="s">
        <v>418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IFERROR(ROUND(E718*VLOOKUP(D718,商品!#REF!,4,FALSE),0),"")</f>
        <v/>
      </c>
      <c r="Z718" t="str">
        <f>IFERROR(ROUND(G718*VLOOKUP(F718,商品!#REF!,4,FALSE),0),"")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3">
      <c r="A719" s="5" t="s">
        <v>418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IFERROR(ROUND(E719*VLOOKUP(D719,商品!#REF!,4,FALSE),0),"")</f>
        <v/>
      </c>
      <c r="Z719" t="str">
        <f>IFERROR(ROUND(G719*VLOOKUP(F719,商品!#REF!,4,FALSE),0),"")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3">
      <c r="A720" s="18" t="s">
        <v>419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IFERROR(ROUND(E720*VLOOKUP(D720,商品!#REF!,4,FALSE),0),"")</f>
        <v/>
      </c>
      <c r="Z720" t="str">
        <f>IFERROR(ROUND(G720*VLOOKUP(F720,商品!#REF!,4,FALSE),0),"")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3">
      <c r="A721" s="18" t="s">
        <v>419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IFERROR(ROUND(E721*VLOOKUP(D721,商品!#REF!,4,FALSE),0),"")</f>
        <v/>
      </c>
      <c r="Z721" t="str">
        <f>IFERROR(ROUND(G721*VLOOKUP(F721,商品!#REF!,4,FALSE),0),"")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3">
      <c r="A722" s="18" t="s">
        <v>419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IFERROR(ROUND(E722*VLOOKUP(D722,商品!#REF!,4,FALSE),0),"")</f>
        <v/>
      </c>
      <c r="Z722" t="str">
        <f>IFERROR(ROUND(G722*VLOOKUP(F722,商品!#REF!,4,FALSE),0),"")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3">
      <c r="A723" s="18" t="s">
        <v>419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IFERROR(ROUND(E723*VLOOKUP(D723,商品!#REF!,4,FALSE),0),"")</f>
        <v/>
      </c>
      <c r="Z723" t="str">
        <f>IFERROR(ROUND(G723*VLOOKUP(F723,商品!#REF!,4,FALSE),0),"")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3">
      <c r="A724" s="18" t="s">
        <v>419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IFERROR(ROUND(E724*VLOOKUP(D724,商品!#REF!,4,FALSE),0),"")</f>
        <v/>
      </c>
      <c r="Z724" t="str">
        <f>IFERROR(ROUND(G724*VLOOKUP(F724,商品!#REF!,4,FALSE),0),"")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3">
      <c r="A725" s="5" t="s">
        <v>419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IFERROR(ROUND(E725*VLOOKUP(D725,商品!#REF!,4,FALSE),0),"")</f>
        <v/>
      </c>
      <c r="Z725" t="str">
        <f>IFERROR(ROUND(G725*VLOOKUP(F725,商品!#REF!,4,FALSE),0),"")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3">
      <c r="A726" s="5" t="s">
        <v>419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IFERROR(ROUND(E726*VLOOKUP(D726,商品!#REF!,4,FALSE),0),"")</f>
        <v/>
      </c>
      <c r="Z726" t="str">
        <f>IFERROR(ROUND(G726*VLOOKUP(F726,商品!#REF!,4,FALSE),0),"")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3">
      <c r="A727" s="5" t="s">
        <v>419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IFERROR(ROUND(E727*VLOOKUP(D727,商品!#REF!,4,FALSE),0),"")</f>
        <v/>
      </c>
      <c r="Z727" t="str">
        <f>IFERROR(ROUND(G727*VLOOKUP(F727,商品!#REF!,4,FALSE),0),"")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3">
      <c r="A728" s="5" t="s">
        <v>419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IFERROR(ROUND(E728*VLOOKUP(D728,商品!#REF!,4,FALSE),0),"")</f>
        <v/>
      </c>
      <c r="Z728" t="str">
        <f>IFERROR(ROUND(G728*VLOOKUP(F728,商品!#REF!,4,FALSE),0),"")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3">
      <c r="A729" s="5" t="s">
        <v>419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IFERROR(ROUND(E729*VLOOKUP(D729,商品!#REF!,4,FALSE),0),"")</f>
        <v/>
      </c>
      <c r="Z729" t="str">
        <f>IFERROR(ROUND(G729*VLOOKUP(F729,商品!#REF!,4,FALSE),0),"")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3">
      <c r="A730" s="18" t="s">
        <v>420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IFERROR(ROUND(E730*VLOOKUP(D730,商品!#REF!,4,FALSE),0),"")</f>
        <v/>
      </c>
      <c r="Z730" t="str">
        <f>IFERROR(ROUND(G730*VLOOKUP(F730,商品!#REF!,4,FALSE),0),"")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3">
      <c r="A731" s="18" t="s">
        <v>420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IFERROR(ROUND(E731*VLOOKUP(D731,商品!#REF!,4,FALSE),0),"")</f>
        <v/>
      </c>
      <c r="Z731" t="str">
        <f>IFERROR(ROUND(G731*VLOOKUP(F731,商品!#REF!,4,FALSE),0),"")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3">
      <c r="A732" s="18" t="s">
        <v>420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IFERROR(ROUND(E732*VLOOKUP(D732,商品!#REF!,4,FALSE),0),"")</f>
        <v/>
      </c>
      <c r="Z732" t="str">
        <f>IFERROR(ROUND(G732*VLOOKUP(F732,商品!#REF!,4,FALSE),0),"")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3">
      <c r="A733" s="18" t="s">
        <v>420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IFERROR(ROUND(E733*VLOOKUP(D733,商品!#REF!,4,FALSE),0),"")</f>
        <v/>
      </c>
      <c r="Z733" t="str">
        <f>IFERROR(ROUND(G733*VLOOKUP(F733,商品!#REF!,4,FALSE),0),"")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3">
      <c r="A734" s="18" t="s">
        <v>420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IFERROR(ROUND(E734*VLOOKUP(D734,商品!#REF!,4,FALSE),0),"")</f>
        <v/>
      </c>
      <c r="Z734" t="str">
        <f>IFERROR(ROUND(G734*VLOOKUP(F734,商品!#REF!,4,FALSE),0),"")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3">
      <c r="A735" s="18" t="s">
        <v>420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IFERROR(ROUND(E735*VLOOKUP(D735,商品!#REF!,4,FALSE),0),"")</f>
        <v/>
      </c>
      <c r="Z735" t="str">
        <f>IFERROR(ROUND(G735*VLOOKUP(F735,商品!#REF!,4,FALSE),0),"")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3">
      <c r="A736" s="18" t="s">
        <v>420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IFERROR(ROUND(E736*VLOOKUP(D736,商品!#REF!,4,FALSE),0),"")</f>
        <v/>
      </c>
      <c r="Z736" t="str">
        <f>IFERROR(ROUND(G736*VLOOKUP(F736,商品!#REF!,4,FALSE),0),"")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3">
      <c r="A737" s="18" t="s">
        <v>420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IFERROR(ROUND(E737*VLOOKUP(D737,商品!#REF!,4,FALSE),0),"")</f>
        <v/>
      </c>
      <c r="Z737" t="str">
        <f>IFERROR(ROUND(G737*VLOOKUP(F737,商品!#REF!,4,FALSE),0),"")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3">
      <c r="A738" s="5" t="s">
        <v>422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IFERROR(ROUND(E738*VLOOKUP(D738,商品!#REF!,4,FALSE),0),"")</f>
        <v/>
      </c>
      <c r="Z738" t="str">
        <f>IFERROR(ROUND(G738*VLOOKUP(F738,商品!#REF!,4,FALSE),0),"")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3">
      <c r="A739" s="5" t="s">
        <v>422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IFERROR(ROUND(E739*VLOOKUP(D739,商品!#REF!,4,FALSE),0),"")</f>
        <v/>
      </c>
      <c r="Z739" t="str">
        <f>IFERROR(ROUND(G739*VLOOKUP(F739,商品!#REF!,4,FALSE),0),"")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3">
      <c r="A740" s="5" t="s">
        <v>422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IFERROR(ROUND(E740*VLOOKUP(D740,商品!#REF!,4,FALSE),0),"")</f>
        <v/>
      </c>
      <c r="Z740" t="str">
        <f>IFERROR(ROUND(G740*VLOOKUP(F740,商品!#REF!,4,FALSE),0),"")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3">
      <c r="A741" s="5" t="s">
        <v>422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IFERROR(ROUND(E741*VLOOKUP(D741,商品!#REF!,4,FALSE),0),"")</f>
        <v/>
      </c>
      <c r="Z741" t="str">
        <f>IFERROR(ROUND(G741*VLOOKUP(F741,商品!#REF!,4,FALSE),0),"")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3">
      <c r="A742" s="5" t="s">
        <v>422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IFERROR(ROUND(E742*VLOOKUP(D742,商品!#REF!,4,FALSE),0),"")</f>
        <v/>
      </c>
      <c r="Z742" t="str">
        <f>IFERROR(ROUND(G742*VLOOKUP(F742,商品!#REF!,4,FALSE),0),"")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3">
      <c r="A743" s="18" t="s">
        <v>423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IFERROR(ROUND(E743*VLOOKUP(D743,商品!#REF!,4,FALSE),0),"")</f>
        <v/>
      </c>
      <c r="Z743" t="str">
        <f>IFERROR(ROUND(G743*VLOOKUP(F743,商品!#REF!,4,FALSE),0),"")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3">
      <c r="A744" s="18" t="s">
        <v>423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IFERROR(ROUND(E744*VLOOKUP(D744,商品!#REF!,4,FALSE),0),"")</f>
        <v/>
      </c>
      <c r="Z744" t="str">
        <f>IFERROR(ROUND(G744*VLOOKUP(F744,商品!#REF!,4,FALSE),0),"")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3">
      <c r="A745" s="18" t="s">
        <v>423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IFERROR(ROUND(E745*VLOOKUP(D745,商品!#REF!,4,FALSE),0),"")</f>
        <v/>
      </c>
      <c r="Z745" t="str">
        <f>IFERROR(ROUND(G745*VLOOKUP(F745,商品!#REF!,4,FALSE),0),"")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3">
      <c r="A746" s="18" t="s">
        <v>423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IFERROR(ROUND(E746*VLOOKUP(D746,商品!#REF!,4,FALSE),0),"")</f>
        <v/>
      </c>
      <c r="Z746" t="str">
        <f>IFERROR(ROUND(G746*VLOOKUP(F746,商品!#REF!,4,FALSE),0),"")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3">
      <c r="A747" s="18" t="s">
        <v>423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IFERROR(ROUND(E747*VLOOKUP(D747,商品!#REF!,4,FALSE),0),"")</f>
        <v/>
      </c>
      <c r="Z747" t="str">
        <f>IFERROR(ROUND(G747*VLOOKUP(F747,商品!#REF!,4,FALSE),0),"")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3">
      <c r="A748" s="5" t="s">
        <v>424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IFERROR(ROUND(E748*VLOOKUP(D748,商品!#REF!,4,FALSE),0),"")</f>
        <v/>
      </c>
      <c r="Z748" t="str">
        <f>IFERROR(ROUND(G748*VLOOKUP(F748,商品!#REF!,4,FALSE),0),"")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3">
      <c r="A749" s="5" t="s">
        <v>424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IFERROR(ROUND(E749*VLOOKUP(D749,商品!#REF!,4,FALSE),0),"")</f>
        <v/>
      </c>
      <c r="Z749" t="str">
        <f>IFERROR(ROUND(G749*VLOOKUP(F749,商品!#REF!,4,FALSE),0),"")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3">
      <c r="A750" s="5" t="s">
        <v>424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IFERROR(ROUND(E750*VLOOKUP(D750,商品!#REF!,4,FALSE),0),"")</f>
        <v/>
      </c>
      <c r="Z750" t="str">
        <f>IFERROR(ROUND(G750*VLOOKUP(F750,商品!#REF!,4,FALSE),0),"")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3">
      <c r="A751" s="5" t="s">
        <v>424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IFERROR(ROUND(E751*VLOOKUP(D751,商品!#REF!,4,FALSE),0),"")</f>
        <v/>
      </c>
      <c r="Z751" t="str">
        <f>IFERROR(ROUND(G751*VLOOKUP(F751,商品!#REF!,4,FALSE),0),"")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3">
      <c r="A752" s="5" t="s">
        <v>424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IFERROR(ROUND(E752*VLOOKUP(D752,商品!#REF!,4,FALSE),0),"")</f>
        <v/>
      </c>
      <c r="Z752" t="str">
        <f>IFERROR(ROUND(G752*VLOOKUP(F752,商品!#REF!,4,FALSE),0),"")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3">
      <c r="A753" s="18" t="s">
        <v>424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IFERROR(ROUND(E753*VLOOKUP(D753,商品!#REF!,4,FALSE),0),"")</f>
        <v/>
      </c>
      <c r="Z753" t="str">
        <f>IFERROR(ROUND(G753*VLOOKUP(F753,商品!#REF!,4,FALSE),0),"")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3">
      <c r="A754" s="18" t="s">
        <v>424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IFERROR(ROUND(E754*VLOOKUP(D754,商品!#REF!,4,FALSE),0),"")</f>
        <v/>
      </c>
      <c r="Z754" t="str">
        <f>IFERROR(ROUND(G754*VLOOKUP(F754,商品!#REF!,4,FALSE),0),"")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3">
      <c r="A755" s="18" t="s">
        <v>424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IFERROR(ROUND(E755*VLOOKUP(D755,商品!#REF!,4,FALSE),0),"")</f>
        <v/>
      </c>
      <c r="Z755" t="str">
        <f>IFERROR(ROUND(G755*VLOOKUP(F755,商品!#REF!,4,FALSE),0),"")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3">
      <c r="A756" s="18" t="s">
        <v>424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IFERROR(ROUND(E756*VLOOKUP(D756,商品!#REF!,4,FALSE),0),"")</f>
        <v/>
      </c>
      <c r="Z756" t="str">
        <f>IFERROR(ROUND(G756*VLOOKUP(F756,商品!#REF!,4,FALSE),0),"")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3">
      <c r="A757" s="18" t="s">
        <v>424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IFERROR(ROUND(E757*VLOOKUP(D757,商品!#REF!,4,FALSE),0),"")</f>
        <v/>
      </c>
      <c r="Z757" t="str">
        <f>IFERROR(ROUND(G757*VLOOKUP(F757,商品!#REF!,4,FALSE),0),"")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3">
      <c r="A758" s="5" t="s">
        <v>425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IFERROR(ROUND(E758*VLOOKUP(D758,商品!#REF!,4,FALSE),0),"")</f>
        <v/>
      </c>
      <c r="Z758" t="str">
        <f>IFERROR(ROUND(G758*VLOOKUP(F758,商品!#REF!,4,FALSE),0),"")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3">
      <c r="A759" s="5" t="s">
        <v>425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IFERROR(ROUND(E759*VLOOKUP(D759,商品!#REF!,4,FALSE),0),"")</f>
        <v/>
      </c>
      <c r="Z759" t="str">
        <f>IFERROR(ROUND(G759*VLOOKUP(F759,商品!#REF!,4,FALSE),0),"")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3">
      <c r="A760" s="5" t="s">
        <v>425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IFERROR(ROUND(E760*VLOOKUP(D760,商品!#REF!,4,FALSE),0),"")</f>
        <v/>
      </c>
      <c r="Z760" t="str">
        <f>IFERROR(ROUND(G760*VLOOKUP(F760,商品!#REF!,4,FALSE),0),"")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3">
      <c r="A761" s="5" t="s">
        <v>425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IFERROR(ROUND(E761*VLOOKUP(D761,商品!#REF!,4,FALSE),0),"")</f>
        <v/>
      </c>
      <c r="Z761" t="str">
        <f>IFERROR(ROUND(G761*VLOOKUP(F761,商品!#REF!,4,FALSE),0),"")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3">
      <c r="A762" s="5" t="s">
        <v>425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IFERROR(ROUND(E762*VLOOKUP(D762,商品!#REF!,4,FALSE),0),"")</f>
        <v/>
      </c>
      <c r="Z762" t="str">
        <f>IFERROR(ROUND(G762*VLOOKUP(F762,商品!#REF!,4,FALSE),0),"")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3">
      <c r="A763" s="5" t="s">
        <v>425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IFERROR(ROUND(E763*VLOOKUP(D763,商品!#REF!,4,FALSE),0),"")</f>
        <v/>
      </c>
      <c r="Z763" t="str">
        <f>IFERROR(ROUND(G763*VLOOKUP(F763,商品!#REF!,4,FALSE),0),"")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3">
      <c r="A764" s="5" t="s">
        <v>425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IFERROR(ROUND(E764*VLOOKUP(D764,商品!#REF!,4,FALSE),0),"")</f>
        <v/>
      </c>
      <c r="Z764" t="str">
        <f>IFERROR(ROUND(G764*VLOOKUP(F764,商品!#REF!,4,FALSE),0),"")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3">
      <c r="A765" s="5" t="s">
        <v>425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IFERROR(ROUND(E765*VLOOKUP(D765,商品!#REF!,4,FALSE),0),"")</f>
        <v/>
      </c>
      <c r="Z765" t="str">
        <f>IFERROR(ROUND(G765*VLOOKUP(F765,商品!#REF!,4,FALSE),0),"")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3">
      <c r="A766" s="18" t="s">
        <v>427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IFERROR(ROUND(E766*VLOOKUP(D766,商品!#REF!,4,FALSE),0),"")</f>
        <v/>
      </c>
      <c r="Z766" t="str">
        <f>IFERROR(ROUND(G766*VLOOKUP(F766,商品!#REF!,4,FALSE),0),"")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3">
      <c r="A767" s="18" t="s">
        <v>427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IFERROR(ROUND(E767*VLOOKUP(D767,商品!#REF!,4,FALSE),0),"")</f>
        <v/>
      </c>
      <c r="Z767" t="str">
        <f>IFERROR(ROUND(G767*VLOOKUP(F767,商品!#REF!,4,FALSE),0),"")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3">
      <c r="A768" s="18" t="s">
        <v>427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IFERROR(ROUND(E768*VLOOKUP(D768,商品!#REF!,4,FALSE),0),"")</f>
        <v/>
      </c>
      <c r="Z768" t="str">
        <f>IFERROR(ROUND(G768*VLOOKUP(F768,商品!#REF!,4,FALSE),0),"")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3">
      <c r="A769" s="18" t="s">
        <v>427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IFERROR(ROUND(E769*VLOOKUP(D769,商品!#REF!,4,FALSE),0),"")</f>
        <v/>
      </c>
      <c r="Z769" t="str">
        <f>IFERROR(ROUND(G769*VLOOKUP(F769,商品!#REF!,4,FALSE),0),"")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3">
      <c r="A770" s="18" t="s">
        <v>427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IFERROR(ROUND(E770*VLOOKUP(D770,商品!#REF!,4,FALSE),0),"")</f>
        <v/>
      </c>
      <c r="Z770" t="str">
        <f>IFERROR(ROUND(G770*VLOOKUP(F770,商品!#REF!,4,FALSE),0),"")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3">
      <c r="A771" s="5" t="s">
        <v>428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IFERROR(ROUND(E771*VLOOKUP(D771,商品!#REF!,4,FALSE),0),"")</f>
        <v/>
      </c>
      <c r="Z771" t="str">
        <f>IFERROR(ROUND(G771*VLOOKUP(F771,商品!#REF!,4,FALSE),0),"")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3">
      <c r="A772" s="5" t="s">
        <v>428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IFERROR(ROUND(E772*VLOOKUP(D772,商品!#REF!,4,FALSE),0),"")</f>
        <v/>
      </c>
      <c r="Z772" t="str">
        <f>IFERROR(ROUND(G772*VLOOKUP(F772,商品!#REF!,4,FALSE),0),"")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3">
      <c r="A773" s="5" t="s">
        <v>428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IFERROR(ROUND(E773*VLOOKUP(D773,商品!#REF!,4,FALSE),0),"")</f>
        <v/>
      </c>
      <c r="Z773" t="str">
        <f>IFERROR(ROUND(G773*VLOOKUP(F773,商品!#REF!,4,FALSE),0),"")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3">
      <c r="A774" s="5" t="s">
        <v>428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IFERROR(ROUND(E774*VLOOKUP(D774,商品!#REF!,4,FALSE),0),"")</f>
        <v/>
      </c>
      <c r="Z774" t="str">
        <f>IFERROR(ROUND(G774*VLOOKUP(F774,商品!#REF!,4,FALSE),0),"")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3">
      <c r="A775" s="5" t="s">
        <v>428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IFERROR(ROUND(E775*VLOOKUP(D775,商品!#REF!,4,FALSE),0),"")</f>
        <v/>
      </c>
      <c r="Z775" t="str">
        <f>IFERROR(ROUND(G775*VLOOKUP(F775,商品!#REF!,4,FALSE),0),"")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3">
      <c r="A776" s="18" t="s">
        <v>429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IFERROR(ROUND(E776*VLOOKUP(D776,商品!#REF!,4,FALSE),0),"")</f>
        <v/>
      </c>
      <c r="Z776" t="str">
        <f>IFERROR(ROUND(G776*VLOOKUP(F776,商品!#REF!,4,FALSE),0),"")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3">
      <c r="A777" s="18" t="s">
        <v>429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IFERROR(ROUND(E777*VLOOKUP(D777,商品!#REF!,4,FALSE),0),"")</f>
        <v/>
      </c>
      <c r="Z777" t="str">
        <f>IFERROR(ROUND(G777*VLOOKUP(F777,商品!#REF!,4,FALSE),0),"")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3">
      <c r="A778" s="18" t="s">
        <v>429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IFERROR(ROUND(E778*VLOOKUP(D778,商品!#REF!,4,FALSE),0),"")</f>
        <v/>
      </c>
      <c r="Z778" t="str">
        <f>IFERROR(ROUND(G778*VLOOKUP(F778,商品!#REF!,4,FALSE),0),"")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3">
      <c r="A779" s="18" t="s">
        <v>429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IFERROR(ROUND(E779*VLOOKUP(D779,商品!#REF!,4,FALSE),0),"")</f>
        <v/>
      </c>
      <c r="Z779" t="str">
        <f>IFERROR(ROUND(G779*VLOOKUP(F779,商品!#REF!,4,FALSE),0),"")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3">
      <c r="A780" s="18" t="s">
        <v>429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IFERROR(ROUND(E780*VLOOKUP(D780,商品!#REF!,4,FALSE),0),"")</f>
        <v/>
      </c>
      <c r="Z780" t="str">
        <f>IFERROR(ROUND(G780*VLOOKUP(F780,商品!#REF!,4,FALSE),0),"")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3">
      <c r="A781" s="5" t="s">
        <v>429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IFERROR(ROUND(E781*VLOOKUP(D781,商品!#REF!,4,FALSE),0),"")</f>
        <v/>
      </c>
      <c r="Z781" t="str">
        <f>IFERROR(ROUND(G781*VLOOKUP(F781,商品!#REF!,4,FALSE),0),"")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3">
      <c r="A782" s="5" t="s">
        <v>429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IFERROR(ROUND(E782*VLOOKUP(D782,商品!#REF!,4,FALSE),0),"")</f>
        <v/>
      </c>
      <c r="Z782" t="str">
        <f>IFERROR(ROUND(G782*VLOOKUP(F782,商品!#REF!,4,FALSE),0),"")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3">
      <c r="A783" s="5" t="s">
        <v>429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IFERROR(ROUND(E783*VLOOKUP(D783,商品!#REF!,4,FALSE),0),"")</f>
        <v/>
      </c>
      <c r="Z783" t="str">
        <f>IFERROR(ROUND(G783*VLOOKUP(F783,商品!#REF!,4,FALSE),0),"")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3">
      <c r="A784" s="5" t="s">
        <v>429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IFERROR(ROUND(E784*VLOOKUP(D784,商品!#REF!,4,FALSE),0),"")</f>
        <v/>
      </c>
      <c r="Z784" t="str">
        <f>IFERROR(ROUND(G784*VLOOKUP(F784,商品!#REF!,4,FALSE),0),"")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3">
      <c r="A785" s="5" t="s">
        <v>429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IFERROR(ROUND(E785*VLOOKUP(D785,商品!#REF!,4,FALSE),0),"")</f>
        <v/>
      </c>
      <c r="Z785" t="str">
        <f>IFERROR(ROUND(G785*VLOOKUP(F785,商品!#REF!,4,FALSE),0),"")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3">
      <c r="A786" s="18" t="s">
        <v>430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IFERROR(ROUND(E786*VLOOKUP(D786,商品!#REF!,4,FALSE),0),"")</f>
        <v/>
      </c>
      <c r="Z786" t="str">
        <f>IFERROR(ROUND(G786*VLOOKUP(F786,商品!#REF!,4,FALSE),0),"")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3">
      <c r="A787" s="18" t="s">
        <v>430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IFERROR(ROUND(E787*VLOOKUP(D787,商品!#REF!,4,FALSE),0),"")</f>
        <v/>
      </c>
      <c r="Z787" t="str">
        <f>IFERROR(ROUND(G787*VLOOKUP(F787,商品!#REF!,4,FALSE),0),"")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3">
      <c r="A788" s="18" t="s">
        <v>430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IFERROR(ROUND(E788*VLOOKUP(D788,商品!#REF!,4,FALSE),0),"")</f>
        <v/>
      </c>
      <c r="Z788" t="str">
        <f>IFERROR(ROUND(G788*VLOOKUP(F788,商品!#REF!,4,FALSE),0),"")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3">
      <c r="A789" s="18" t="s">
        <v>430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IFERROR(ROUND(E789*VLOOKUP(D789,商品!#REF!,4,FALSE),0),"")</f>
        <v/>
      </c>
      <c r="Z789" t="str">
        <f>IFERROR(ROUND(G789*VLOOKUP(F789,商品!#REF!,4,FALSE),0),"")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3">
      <c r="A790" s="18" t="s">
        <v>430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IFERROR(ROUND(E790*VLOOKUP(D790,商品!#REF!,4,FALSE),0),"")</f>
        <v/>
      </c>
      <c r="Z790" t="str">
        <f>IFERROR(ROUND(G790*VLOOKUP(F790,商品!#REF!,4,FALSE),0),"")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3">
      <c r="A791" s="18" t="s">
        <v>430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IFERROR(ROUND(E791*VLOOKUP(D791,商品!#REF!,4,FALSE),0),"")</f>
        <v/>
      </c>
      <c r="Z791" t="str">
        <f>IFERROR(ROUND(G791*VLOOKUP(F791,商品!#REF!,4,FALSE),0),"")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3">
      <c r="A792" s="18" t="s">
        <v>430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IFERROR(ROUND(E792*VLOOKUP(D792,商品!#REF!,4,FALSE),0),"")</f>
        <v/>
      </c>
      <c r="Z792" t="str">
        <f>IFERROR(ROUND(G792*VLOOKUP(F792,商品!#REF!,4,FALSE),0),"")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3">
      <c r="A793" s="18" t="s">
        <v>430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IFERROR(ROUND(E793*VLOOKUP(D793,商品!#REF!,4,FALSE),0),"")</f>
        <v/>
      </c>
      <c r="Z793" t="str">
        <f>IFERROR(ROUND(G793*VLOOKUP(F793,商品!#REF!,4,FALSE),0),"")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3">
      <c r="A794" s="5" t="s">
        <v>432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IFERROR(ROUND(E794*VLOOKUP(D794,商品!#REF!,4,FALSE),0),"")</f>
        <v/>
      </c>
      <c r="Z794" t="str">
        <f>IFERROR(ROUND(G794*VLOOKUP(F794,商品!#REF!,4,FALSE),0),"")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3">
      <c r="A795" s="5" t="s">
        <v>432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IFERROR(ROUND(E795*VLOOKUP(D795,商品!#REF!,4,FALSE),0),"")</f>
        <v/>
      </c>
      <c r="Z795" t="str">
        <f>IFERROR(ROUND(G795*VLOOKUP(F795,商品!#REF!,4,FALSE),0),"")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3">
      <c r="A796" s="5" t="s">
        <v>432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IFERROR(ROUND(E796*VLOOKUP(D796,商品!#REF!,4,FALSE),0),"")</f>
        <v/>
      </c>
      <c r="Z796" t="str">
        <f>IFERROR(ROUND(G796*VLOOKUP(F796,商品!#REF!,4,FALSE),0),"")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3">
      <c r="A797" s="5" t="s">
        <v>432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IFERROR(ROUND(E797*VLOOKUP(D797,商品!#REF!,4,FALSE),0),"")</f>
        <v/>
      </c>
      <c r="Z797" t="str">
        <f>IFERROR(ROUND(G797*VLOOKUP(F797,商品!#REF!,4,FALSE),0),"")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3">
      <c r="A798" s="5" t="s">
        <v>432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IFERROR(ROUND(E798*VLOOKUP(D798,商品!#REF!,4,FALSE),0),"")</f>
        <v/>
      </c>
      <c r="Z798" t="str">
        <f>IFERROR(ROUND(G798*VLOOKUP(F798,商品!#REF!,4,FALSE),0),"")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3">
      <c r="A799" s="18" t="s">
        <v>433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IFERROR(ROUND(E799*VLOOKUP(D799,商品!#REF!,4,FALSE),0),"")</f>
        <v/>
      </c>
      <c r="Z799" t="str">
        <f>IFERROR(ROUND(G799*VLOOKUP(F799,商品!#REF!,4,FALSE),0),"")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3">
      <c r="A800" s="18" t="s">
        <v>433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IFERROR(ROUND(E800*VLOOKUP(D800,商品!#REF!,4,FALSE),0),"")</f>
        <v/>
      </c>
      <c r="Z800" t="str">
        <f>IFERROR(ROUND(G800*VLOOKUP(F800,商品!#REF!,4,FALSE),0),"")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3">
      <c r="A801" s="18" t="s">
        <v>433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IFERROR(ROUND(E801*VLOOKUP(D801,商品!#REF!,4,FALSE),0),"")</f>
        <v/>
      </c>
      <c r="Z801" t="str">
        <f>IFERROR(ROUND(G801*VLOOKUP(F801,商品!#REF!,4,FALSE),0),"")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3">
      <c r="A802" s="18" t="s">
        <v>433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IFERROR(ROUND(E802*VLOOKUP(D802,商品!#REF!,4,FALSE),0),"")</f>
        <v/>
      </c>
      <c r="Z802" t="str">
        <f>IFERROR(ROUND(G802*VLOOKUP(F802,商品!#REF!,4,FALSE),0),"")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3">
      <c r="A803" s="18" t="s">
        <v>433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IFERROR(ROUND(E803*VLOOKUP(D803,商品!#REF!,4,FALSE),0),"")</f>
        <v/>
      </c>
      <c r="Z803" t="str">
        <f>IFERROR(ROUND(G803*VLOOKUP(F803,商品!#REF!,4,FALSE),0),"")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3">
      <c r="A804" s="5" t="s">
        <v>433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IFERROR(ROUND(E804*VLOOKUP(D804,商品!#REF!,4,FALSE),0),"")</f>
        <v/>
      </c>
      <c r="Z804" t="str">
        <f>IFERROR(ROUND(G804*VLOOKUP(F804,商品!#REF!,4,FALSE),0),"")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3">
      <c r="A805" s="5" t="s">
        <v>433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IFERROR(ROUND(E805*VLOOKUP(D805,商品!#REF!,4,FALSE),0),"")</f>
        <v/>
      </c>
      <c r="Z805" t="str">
        <f>IFERROR(ROUND(G805*VLOOKUP(F805,商品!#REF!,4,FALSE),0),"")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3">
      <c r="A806" s="5" t="s">
        <v>433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IFERROR(ROUND(E806*VLOOKUP(D806,商品!#REF!,4,FALSE),0),"")</f>
        <v/>
      </c>
      <c r="Z806" t="str">
        <f>IFERROR(ROUND(G806*VLOOKUP(F806,商品!#REF!,4,FALSE),0),"")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3">
      <c r="A807" s="5" t="s">
        <v>433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IFERROR(ROUND(E807*VLOOKUP(D807,商品!#REF!,4,FALSE),0),"")</f>
        <v/>
      </c>
      <c r="Z807" t="str">
        <f>IFERROR(ROUND(G807*VLOOKUP(F807,商品!#REF!,4,FALSE),0),"")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3">
      <c r="A808" s="5" t="s">
        <v>433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IFERROR(ROUND(E808*VLOOKUP(D808,商品!#REF!,4,FALSE),0),"")</f>
        <v/>
      </c>
      <c r="Z808" t="str">
        <f>IFERROR(ROUND(G808*VLOOKUP(F808,商品!#REF!,4,FALSE),0),"")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3">
      <c r="A809" s="18" t="s">
        <v>434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IFERROR(ROUND(E809*VLOOKUP(D809,商品!#REF!,4,FALSE),0),"")</f>
        <v/>
      </c>
      <c r="Z809" t="str">
        <f>IFERROR(ROUND(G809*VLOOKUP(F809,商品!#REF!,4,FALSE),0),"")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3">
      <c r="A810" s="18" t="s">
        <v>434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IFERROR(ROUND(E810*VLOOKUP(D810,商品!#REF!,4,FALSE),0),"")</f>
        <v/>
      </c>
      <c r="Z810" t="str">
        <f>IFERROR(ROUND(G810*VLOOKUP(F810,商品!#REF!,4,FALSE),0),"")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3">
      <c r="A811" s="18" t="s">
        <v>434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IFERROR(ROUND(E811*VLOOKUP(D811,商品!#REF!,4,FALSE),0),"")</f>
        <v/>
      </c>
      <c r="Z811" t="str">
        <f>IFERROR(ROUND(G811*VLOOKUP(F811,商品!#REF!,4,FALSE),0),"")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3">
      <c r="A812" s="18" t="s">
        <v>434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IFERROR(ROUND(E812*VLOOKUP(D812,商品!#REF!,4,FALSE),0),"")</f>
        <v/>
      </c>
      <c r="Z812" t="str">
        <f>IFERROR(ROUND(G812*VLOOKUP(F812,商品!#REF!,4,FALSE),0),"")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3">
      <c r="A813" s="18" t="s">
        <v>434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IFERROR(ROUND(E813*VLOOKUP(D813,商品!#REF!,4,FALSE),0),"")</f>
        <v/>
      </c>
      <c r="Z813" t="str">
        <f>IFERROR(ROUND(G813*VLOOKUP(F813,商品!#REF!,4,FALSE),0),"")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3">
      <c r="A814" s="18" t="s">
        <v>434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IFERROR(ROUND(E814*VLOOKUP(D814,商品!#REF!,4,FALSE),0),"")</f>
        <v/>
      </c>
      <c r="Z814" t="str">
        <f>IFERROR(ROUND(G814*VLOOKUP(F814,商品!#REF!,4,FALSE),0),"")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3">
      <c r="A815" s="18" t="s">
        <v>434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IFERROR(ROUND(E815*VLOOKUP(D815,商品!#REF!,4,FALSE),0),"")</f>
        <v/>
      </c>
      <c r="Z815" t="str">
        <f>IFERROR(ROUND(G815*VLOOKUP(F815,商品!#REF!,4,FALSE),0),"")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3">
      <c r="A816" s="18" t="s">
        <v>434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IFERROR(ROUND(E816*VLOOKUP(D816,商品!#REF!,4,FALSE),0),"")</f>
        <v/>
      </c>
      <c r="Z816" t="str">
        <f>IFERROR(ROUND(G816*VLOOKUP(F816,商品!#REF!,4,FALSE),0),"")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3">
      <c r="A817" s="5" t="s">
        <v>436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IFERROR(ROUND(E817*VLOOKUP(D817,商品!#REF!,4,FALSE),0),"")</f>
        <v/>
      </c>
      <c r="Z817" t="str">
        <f>IFERROR(ROUND(G817*VLOOKUP(F817,商品!#REF!,4,FALSE),0),"")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3">
      <c r="A818" s="5" t="s">
        <v>436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IFERROR(ROUND(E818*VLOOKUP(D818,商品!#REF!,4,FALSE),0),"")</f>
        <v/>
      </c>
      <c r="Z818" t="str">
        <f>IFERROR(ROUND(G818*VLOOKUP(F818,商品!#REF!,4,FALSE),0),"")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3">
      <c r="A819" s="5" t="s">
        <v>436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IFERROR(ROUND(E819*VLOOKUP(D819,商品!#REF!,4,FALSE),0),"")</f>
        <v/>
      </c>
      <c r="Z819" t="str">
        <f>IFERROR(ROUND(G819*VLOOKUP(F819,商品!#REF!,4,FALSE),0),"")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3">
      <c r="A820" s="5" t="s">
        <v>436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IFERROR(ROUND(E820*VLOOKUP(D820,商品!#REF!,4,FALSE),0),"")</f>
        <v/>
      </c>
      <c r="Z820" t="str">
        <f>IFERROR(ROUND(G820*VLOOKUP(F820,商品!#REF!,4,FALSE),0),"")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3">
      <c r="A821" s="5" t="s">
        <v>436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IFERROR(ROUND(E821*VLOOKUP(D821,商品!#REF!,4,FALSE),0),"")</f>
        <v/>
      </c>
      <c r="Z821" t="str">
        <f>IFERROR(ROUND(G821*VLOOKUP(F821,商品!#REF!,4,FALSE),0),"")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3">
      <c r="A822" s="18" t="s">
        <v>437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IFERROR(ROUND(E822*VLOOKUP(D822,商品!#REF!,4,FALSE),0),"")</f>
        <v/>
      </c>
      <c r="Z822" t="str">
        <f>IFERROR(ROUND(G822*VLOOKUP(F822,商品!#REF!,4,FALSE),0),"")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3">
      <c r="A823" s="18" t="s">
        <v>437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IFERROR(ROUND(E823*VLOOKUP(D823,商品!#REF!,4,FALSE),0),"")</f>
        <v/>
      </c>
      <c r="Z823" t="str">
        <f>IFERROR(ROUND(G823*VLOOKUP(F823,商品!#REF!,4,FALSE),0),"")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3">
      <c r="A824" s="18" t="s">
        <v>437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IFERROR(ROUND(E824*VLOOKUP(D824,商品!#REF!,4,FALSE),0),"")</f>
        <v/>
      </c>
      <c r="Z824" t="str">
        <f>IFERROR(ROUND(G824*VLOOKUP(F824,商品!#REF!,4,FALSE),0),"")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3">
      <c r="A825" s="18" t="s">
        <v>437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IFERROR(ROUND(E825*VLOOKUP(D825,商品!#REF!,4,FALSE),0),"")</f>
        <v/>
      </c>
      <c r="Z825" t="str">
        <f>IFERROR(ROUND(G825*VLOOKUP(F825,商品!#REF!,4,FALSE),0),"")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3">
      <c r="A826" s="18" t="s">
        <v>437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IFERROR(ROUND(E826*VLOOKUP(D826,商品!#REF!,4,FALSE),0),"")</f>
        <v/>
      </c>
      <c r="Z826" t="str">
        <f>IFERROR(ROUND(G826*VLOOKUP(F826,商品!#REF!,4,FALSE),0),"")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3">
      <c r="A827" s="5" t="s">
        <v>437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IFERROR(ROUND(E827*VLOOKUP(D827,商品!#REF!,4,FALSE),0),"")</f>
        <v/>
      </c>
      <c r="Z827" t="str">
        <f>IFERROR(ROUND(G827*VLOOKUP(F827,商品!#REF!,4,FALSE),0),"")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3">
      <c r="A828" s="5" t="s">
        <v>437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IFERROR(ROUND(E828*VLOOKUP(D828,商品!#REF!,4,FALSE),0),"")</f>
        <v/>
      </c>
      <c r="Z828" t="str">
        <f>IFERROR(ROUND(G828*VLOOKUP(F828,商品!#REF!,4,FALSE),0),"")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3">
      <c r="A829" s="5" t="s">
        <v>437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IFERROR(ROUND(E829*VLOOKUP(D829,商品!#REF!,4,FALSE),0),"")</f>
        <v/>
      </c>
      <c r="Z829" t="str">
        <f>IFERROR(ROUND(G829*VLOOKUP(F829,商品!#REF!,4,FALSE),0),"")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3">
      <c r="A830" s="5" t="s">
        <v>437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IFERROR(ROUND(E830*VLOOKUP(D830,商品!#REF!,4,FALSE),0),"")</f>
        <v/>
      </c>
      <c r="Z830" t="str">
        <f>IFERROR(ROUND(G830*VLOOKUP(F830,商品!#REF!,4,FALSE),0),"")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3">
      <c r="A831" s="5" t="s">
        <v>437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IFERROR(ROUND(E831*VLOOKUP(D831,商品!#REF!,4,FALSE),0),"")</f>
        <v/>
      </c>
      <c r="Z831" t="str">
        <f>IFERROR(ROUND(G831*VLOOKUP(F831,商品!#REF!,4,FALSE),0),"")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3">
      <c r="A832" s="18" t="s">
        <v>438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IFERROR(ROUND(E832*VLOOKUP(D832,商品!#REF!,4,FALSE),0),"")</f>
        <v/>
      </c>
      <c r="Z832" t="str">
        <f>IFERROR(ROUND(G832*VLOOKUP(F832,商品!#REF!,4,FALSE),0),"")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3">
      <c r="A833" s="18" t="s">
        <v>438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IFERROR(ROUND(E833*VLOOKUP(D833,商品!#REF!,4,FALSE),0),"")</f>
        <v/>
      </c>
      <c r="Z833" t="str">
        <f>IFERROR(ROUND(G833*VLOOKUP(F833,商品!#REF!,4,FALSE),0),"")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3">
      <c r="A834" s="18" t="s">
        <v>438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IFERROR(ROUND(E834*VLOOKUP(D834,商品!#REF!,4,FALSE),0),"")</f>
        <v/>
      </c>
      <c r="Z834" t="str">
        <f>IFERROR(ROUND(G834*VLOOKUP(F834,商品!#REF!,4,FALSE),0),"")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3">
      <c r="A835" s="18" t="s">
        <v>438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IFERROR(ROUND(E835*VLOOKUP(D835,商品!#REF!,4,FALSE),0),"")</f>
        <v/>
      </c>
      <c r="Z835" t="str">
        <f>IFERROR(ROUND(G835*VLOOKUP(F835,商品!#REF!,4,FALSE),0),"")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3">
      <c r="A836" s="18" t="s">
        <v>438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IFERROR(ROUND(E836*VLOOKUP(D836,商品!#REF!,4,FALSE),0),"")</f>
        <v/>
      </c>
      <c r="Z836" t="str">
        <f>IFERROR(ROUND(G836*VLOOKUP(F836,商品!#REF!,4,FALSE),0),"")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3">
      <c r="A837" s="18" t="s">
        <v>438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IFERROR(ROUND(E837*VLOOKUP(D837,商品!#REF!,4,FALSE),0),"")</f>
        <v/>
      </c>
      <c r="Z837" t="str">
        <f>IFERROR(ROUND(G837*VLOOKUP(F837,商品!#REF!,4,FALSE),0),"")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3">
      <c r="A838" s="18" t="s">
        <v>438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IFERROR(ROUND(E838*VLOOKUP(D838,商品!#REF!,4,FALSE),0),"")</f>
        <v/>
      </c>
      <c r="Z838" t="str">
        <f>IFERROR(ROUND(G838*VLOOKUP(F838,商品!#REF!,4,FALSE),0),"")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3">
      <c r="A839" s="18" t="s">
        <v>438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IFERROR(ROUND(E839*VLOOKUP(D839,商品!#REF!,4,FALSE),0),"")</f>
        <v/>
      </c>
      <c r="Z839" t="str">
        <f>IFERROR(ROUND(G839*VLOOKUP(F839,商品!#REF!,4,FALSE),0),"")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3">
      <c r="A840" s="5" t="s">
        <v>440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IFERROR(ROUND(E840*VLOOKUP(D840,商品!#REF!,4,FALSE),0),"")</f>
        <v/>
      </c>
      <c r="Z840" t="str">
        <f>IFERROR(ROUND(G840*VLOOKUP(F840,商品!#REF!,4,FALSE),0),"")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3">
      <c r="A841" s="5" t="s">
        <v>440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IFERROR(ROUND(E841*VLOOKUP(D841,商品!#REF!,4,FALSE),0),"")</f>
        <v/>
      </c>
      <c r="Z841" t="str">
        <f>IFERROR(ROUND(G841*VLOOKUP(F841,商品!#REF!,4,FALSE),0),"")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3">
      <c r="A842" s="5" t="s">
        <v>440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IFERROR(ROUND(E842*VLOOKUP(D842,商品!#REF!,4,FALSE),0),"")</f>
        <v/>
      </c>
      <c r="Z842" t="str">
        <f>IFERROR(ROUND(G842*VLOOKUP(F842,商品!#REF!,4,FALSE),0),"")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3">
      <c r="A843" s="5" t="s">
        <v>440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IFERROR(ROUND(E843*VLOOKUP(D843,商品!#REF!,4,FALSE),0),"")</f>
        <v/>
      </c>
      <c r="Z843" t="str">
        <f>IFERROR(ROUND(G843*VLOOKUP(F843,商品!#REF!,4,FALSE),0),"")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3">
      <c r="A844" s="5" t="s">
        <v>440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IFERROR(ROUND(E844*VLOOKUP(D844,商品!#REF!,4,FALSE),0),"")</f>
        <v/>
      </c>
      <c r="Z844" t="str">
        <f>IFERROR(ROUND(G844*VLOOKUP(F844,商品!#REF!,4,FALSE),0),"")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3">
      <c r="A845" s="18" t="s">
        <v>441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IFERROR(ROUND(E845*VLOOKUP(D845,商品!#REF!,4,FALSE),0),"")</f>
        <v/>
      </c>
      <c r="Z845" t="str">
        <f>IFERROR(ROUND(G845*VLOOKUP(F845,商品!#REF!,4,FALSE),0),"")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3">
      <c r="A846" s="18" t="s">
        <v>441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IFERROR(ROUND(E846*VLOOKUP(D846,商品!#REF!,4,FALSE),0),"")</f>
        <v/>
      </c>
      <c r="Z846" t="str">
        <f>IFERROR(ROUND(G846*VLOOKUP(F846,商品!#REF!,4,FALSE),0),"")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3">
      <c r="A847" s="18" t="s">
        <v>441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IFERROR(ROUND(E847*VLOOKUP(D847,商品!#REF!,4,FALSE),0),"")</f>
        <v/>
      </c>
      <c r="Z847" t="str">
        <f>IFERROR(ROUND(G847*VLOOKUP(F847,商品!#REF!,4,FALSE),0),"")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3">
      <c r="A848" s="18" t="s">
        <v>441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IFERROR(ROUND(E848*VLOOKUP(D848,商品!#REF!,4,FALSE),0),"")</f>
        <v/>
      </c>
      <c r="Z848" t="str">
        <f>IFERROR(ROUND(G848*VLOOKUP(F848,商品!#REF!,4,FALSE),0),"")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3">
      <c r="A849" s="18" t="s">
        <v>441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IFERROR(ROUND(E849*VLOOKUP(D849,商品!#REF!,4,FALSE),0),"")</f>
        <v/>
      </c>
      <c r="Z849" t="str">
        <f>IFERROR(ROUND(G849*VLOOKUP(F849,商品!#REF!,4,FALSE),0),"")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3">
      <c r="A850" s="5" t="s">
        <v>441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IFERROR(ROUND(E850*VLOOKUP(D850,商品!#REF!,4,FALSE),0),"")</f>
        <v/>
      </c>
      <c r="Z850" t="str">
        <f>IFERROR(ROUND(G850*VLOOKUP(F850,商品!#REF!,4,FALSE),0),"")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3">
      <c r="A851" s="5" t="s">
        <v>441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IFERROR(ROUND(E851*VLOOKUP(D851,商品!#REF!,4,FALSE),0),"")</f>
        <v/>
      </c>
      <c r="Z851" t="str">
        <f>IFERROR(ROUND(G851*VLOOKUP(F851,商品!#REF!,4,FALSE),0),"")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3">
      <c r="A852" s="5" t="s">
        <v>441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IFERROR(ROUND(E852*VLOOKUP(D852,商品!#REF!,4,FALSE),0),"")</f>
        <v/>
      </c>
      <c r="Z852" t="str">
        <f>IFERROR(ROUND(G852*VLOOKUP(F852,商品!#REF!,4,FALSE),0),"")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3">
      <c r="A853" s="5" t="s">
        <v>441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IFERROR(ROUND(E853*VLOOKUP(D853,商品!#REF!,4,FALSE),0),"")</f>
        <v/>
      </c>
      <c r="Z853" t="str">
        <f>IFERROR(ROUND(G853*VLOOKUP(F853,商品!#REF!,4,FALSE),0),"")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3">
      <c r="A854" s="5" t="s">
        <v>441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IFERROR(ROUND(E854*VLOOKUP(D854,商品!#REF!,4,FALSE),0),"")</f>
        <v/>
      </c>
      <c r="Z854" t="str">
        <f>IFERROR(ROUND(G854*VLOOKUP(F854,商品!#REF!,4,FALSE),0),"")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3">
      <c r="A855" s="18" t="s">
        <v>442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IFERROR(ROUND(E855*VLOOKUP(D855,商品!#REF!,4,FALSE),0),"")</f>
        <v/>
      </c>
      <c r="Z855" t="str">
        <f>IFERROR(ROUND(G855*VLOOKUP(F855,商品!#REF!,4,FALSE),0),"")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3">
      <c r="A856" s="18" t="s">
        <v>442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IFERROR(ROUND(E856*VLOOKUP(D856,商品!#REF!,4,FALSE),0),"")</f>
        <v/>
      </c>
      <c r="Z856" t="str">
        <f>IFERROR(ROUND(G856*VLOOKUP(F856,商品!#REF!,4,FALSE),0),"")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3">
      <c r="A857" s="18" t="s">
        <v>442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IFERROR(ROUND(E857*VLOOKUP(D857,商品!#REF!,4,FALSE),0),"")</f>
        <v/>
      </c>
      <c r="Z857" t="str">
        <f>IFERROR(ROUND(G857*VLOOKUP(F857,商品!#REF!,4,FALSE),0),"")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3">
      <c r="A858" s="18" t="s">
        <v>442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IFERROR(ROUND(E858*VLOOKUP(D858,商品!#REF!,4,FALSE),0),"")</f>
        <v/>
      </c>
      <c r="Z858" t="str">
        <f>IFERROR(ROUND(G858*VLOOKUP(F858,商品!#REF!,4,FALSE),0),"")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3">
      <c r="A859" s="18" t="s">
        <v>442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IFERROR(ROUND(E859*VLOOKUP(D859,商品!#REF!,4,FALSE),0),"")</f>
        <v/>
      </c>
      <c r="Z859" t="str">
        <f>IFERROR(ROUND(G859*VLOOKUP(F859,商品!#REF!,4,FALSE),0),"")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3">
      <c r="A860" s="18" t="s">
        <v>442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IFERROR(ROUND(E860*VLOOKUP(D860,商品!#REF!,4,FALSE),0),"")</f>
        <v/>
      </c>
      <c r="Z860" t="str">
        <f>IFERROR(ROUND(G860*VLOOKUP(F860,商品!#REF!,4,FALSE),0),"")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3">
      <c r="A861" s="18" t="s">
        <v>442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IFERROR(ROUND(E861*VLOOKUP(D861,商品!#REF!,4,FALSE),0),"")</f>
        <v/>
      </c>
      <c r="Z861" t="str">
        <f>IFERROR(ROUND(G861*VLOOKUP(F861,商品!#REF!,4,FALSE),0),"")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3">
      <c r="A862" s="18" t="s">
        <v>442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IFERROR(ROUND(E862*VLOOKUP(D862,商品!#REF!,4,FALSE),0),"")</f>
        <v/>
      </c>
      <c r="Z862" t="str">
        <f>IFERROR(ROUND(G862*VLOOKUP(F862,商品!#REF!,4,FALSE),0),"")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3">
      <c r="A863" s="5" t="s">
        <v>444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IFERROR(ROUND(E863*VLOOKUP(D863,商品!#REF!,4,FALSE),0),"")</f>
        <v/>
      </c>
      <c r="Z863" t="str">
        <f>IFERROR(ROUND(G863*VLOOKUP(F863,商品!#REF!,4,FALSE),0),"")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3">
      <c r="A864" s="5" t="s">
        <v>444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IFERROR(ROUND(E864*VLOOKUP(D864,商品!#REF!,4,FALSE),0),"")</f>
        <v/>
      </c>
      <c r="Z864" t="str">
        <f>IFERROR(ROUND(G864*VLOOKUP(F864,商品!#REF!,4,FALSE),0),"")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3">
      <c r="A865" s="5" t="s">
        <v>444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IFERROR(ROUND(E865*VLOOKUP(D865,商品!#REF!,4,FALSE),0),"")</f>
        <v/>
      </c>
      <c r="Z865" t="str">
        <f>IFERROR(ROUND(G865*VLOOKUP(F865,商品!#REF!,4,FALSE),0),"")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3">
      <c r="A866" s="5" t="s">
        <v>444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IFERROR(ROUND(E866*VLOOKUP(D866,商品!#REF!,4,FALSE),0),"")</f>
        <v/>
      </c>
      <c r="Z866" t="str">
        <f>IFERROR(ROUND(G866*VLOOKUP(F866,商品!#REF!,4,FALSE),0),"")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3">
      <c r="A867" s="5" t="s">
        <v>444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IFERROR(ROUND(E867*VLOOKUP(D867,商品!#REF!,4,FALSE),0),"")</f>
        <v/>
      </c>
      <c r="Z867" t="str">
        <f>IFERROR(ROUND(G867*VLOOKUP(F867,商品!#REF!,4,FALSE),0),"")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3">
      <c r="A868" s="18" t="s">
        <v>445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IFERROR(ROUND(E868*VLOOKUP(D868,商品!#REF!,4,FALSE),0),"")</f>
        <v/>
      </c>
      <c r="Z868" t="str">
        <f>IFERROR(ROUND(G868*VLOOKUP(F868,商品!#REF!,4,FALSE),0),"")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3">
      <c r="A869" s="18" t="s">
        <v>445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IFERROR(ROUND(E869*VLOOKUP(D869,商品!#REF!,4,FALSE),0),"")</f>
        <v/>
      </c>
      <c r="Z869" t="str">
        <f>IFERROR(ROUND(G869*VLOOKUP(F869,商品!#REF!,4,FALSE),0),"")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3">
      <c r="A870" s="18" t="s">
        <v>445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IFERROR(ROUND(E870*VLOOKUP(D870,商品!#REF!,4,FALSE),0),"")</f>
        <v/>
      </c>
      <c r="Z870" t="str">
        <f>IFERROR(ROUND(G870*VLOOKUP(F870,商品!#REF!,4,FALSE),0),"")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3">
      <c r="A871" s="18" t="s">
        <v>445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IFERROR(ROUND(E871*VLOOKUP(D871,商品!#REF!,4,FALSE),0),"")</f>
        <v/>
      </c>
      <c r="Z871" t="str">
        <f>IFERROR(ROUND(G871*VLOOKUP(F871,商品!#REF!,4,FALSE),0),"")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3">
      <c r="A872" s="18" t="s">
        <v>445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IFERROR(ROUND(E872*VLOOKUP(D872,商品!#REF!,4,FALSE),0),"")</f>
        <v/>
      </c>
      <c r="Z872" t="str">
        <f>IFERROR(ROUND(G872*VLOOKUP(F872,商品!#REF!,4,FALSE),0),"")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3">
      <c r="A873" s="5" t="s">
        <v>445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IFERROR(ROUND(E873*VLOOKUP(D873,商品!#REF!,4,FALSE),0),"")</f>
        <v/>
      </c>
      <c r="Z873" t="str">
        <f>IFERROR(ROUND(G873*VLOOKUP(F873,商品!#REF!,4,FALSE),0),"")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3">
      <c r="A874" s="5" t="s">
        <v>445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IFERROR(ROUND(E874*VLOOKUP(D874,商品!#REF!,4,FALSE),0),"")</f>
        <v/>
      </c>
      <c r="Z874" t="str">
        <f>IFERROR(ROUND(G874*VLOOKUP(F874,商品!#REF!,4,FALSE),0),"")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3">
      <c r="A875" s="5" t="s">
        <v>445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IFERROR(ROUND(E875*VLOOKUP(D875,商品!#REF!,4,FALSE),0),"")</f>
        <v/>
      </c>
      <c r="Z875" t="str">
        <f>IFERROR(ROUND(G875*VLOOKUP(F875,商品!#REF!,4,FALSE),0),"")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3">
      <c r="A876" s="5" t="s">
        <v>445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IFERROR(ROUND(E876*VLOOKUP(D876,商品!#REF!,4,FALSE),0),"")</f>
        <v/>
      </c>
      <c r="Z876" t="str">
        <f>IFERROR(ROUND(G876*VLOOKUP(F876,商品!#REF!,4,FALSE),0),"")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3">
      <c r="A877" s="5" t="s">
        <v>445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IFERROR(ROUND(E877*VLOOKUP(D877,商品!#REF!,4,FALSE),0),"")</f>
        <v/>
      </c>
      <c r="Z877" t="str">
        <f>IFERROR(ROUND(G877*VLOOKUP(F877,商品!#REF!,4,FALSE),0),"")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3">
      <c r="A878" s="18" t="s">
        <v>446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IFERROR(ROUND(E878*VLOOKUP(D878,商品!#REF!,4,FALSE),0),"")</f>
        <v/>
      </c>
      <c r="Z878" t="str">
        <f>IFERROR(ROUND(G878*VLOOKUP(F878,商品!#REF!,4,FALSE),0),"")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3">
      <c r="A879" s="18" t="s">
        <v>446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IFERROR(ROUND(E879*VLOOKUP(D879,商品!#REF!,4,FALSE),0),"")</f>
        <v/>
      </c>
      <c r="Z879" t="str">
        <f>IFERROR(ROUND(G879*VLOOKUP(F879,商品!#REF!,4,FALSE),0),"")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3">
      <c r="A880" s="18" t="s">
        <v>446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IFERROR(ROUND(E880*VLOOKUP(D880,商品!#REF!,4,FALSE),0),"")</f>
        <v/>
      </c>
      <c r="Z880" t="str">
        <f>IFERROR(ROUND(G880*VLOOKUP(F880,商品!#REF!,4,FALSE),0),"")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3">
      <c r="A881" s="18" t="s">
        <v>446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IFERROR(ROUND(E881*VLOOKUP(D881,商品!#REF!,4,FALSE),0),"")</f>
        <v/>
      </c>
      <c r="Z881" t="str">
        <f>IFERROR(ROUND(G881*VLOOKUP(F881,商品!#REF!,4,FALSE),0),"")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3">
      <c r="A882" s="18" t="s">
        <v>446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IFERROR(ROUND(E882*VLOOKUP(D882,商品!#REF!,4,FALSE),0),"")</f>
        <v/>
      </c>
      <c r="Z882" t="str">
        <f>IFERROR(ROUND(G882*VLOOKUP(F882,商品!#REF!,4,FALSE),0),"")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3">
      <c r="A883" s="18" t="s">
        <v>446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IFERROR(ROUND(E883*VLOOKUP(D883,商品!#REF!,4,FALSE),0),"")</f>
        <v/>
      </c>
      <c r="Z883" t="str">
        <f>IFERROR(ROUND(G883*VLOOKUP(F883,商品!#REF!,4,FALSE),0),"")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3">
      <c r="A884" s="18" t="s">
        <v>446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IFERROR(ROUND(E884*VLOOKUP(D884,商品!#REF!,4,FALSE),0),"")</f>
        <v/>
      </c>
      <c r="Z884" t="str">
        <f>IFERROR(ROUND(G884*VLOOKUP(F884,商品!#REF!,4,FALSE),0),"")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3">
      <c r="A885" s="18" t="s">
        <v>446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IFERROR(ROUND(E885*VLOOKUP(D885,商品!#REF!,4,FALSE),0),"")</f>
        <v/>
      </c>
      <c r="Z885" t="str">
        <f>IFERROR(ROUND(G885*VLOOKUP(F885,商品!#REF!,4,FALSE),0),"")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3">
      <c r="A886" s="5" t="s">
        <v>448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IFERROR(ROUND(E886*VLOOKUP(D886,商品!#REF!,4,FALSE),0),"")</f>
        <v/>
      </c>
      <c r="Z886" t="str">
        <f>IFERROR(ROUND(G886*VLOOKUP(F886,商品!#REF!,4,FALSE),0),"")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3">
      <c r="A887" s="5" t="s">
        <v>448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IFERROR(ROUND(E887*VLOOKUP(D887,商品!#REF!,4,FALSE),0),"")</f>
        <v/>
      </c>
      <c r="Z887" t="str">
        <f>IFERROR(ROUND(G887*VLOOKUP(F887,商品!#REF!,4,FALSE),0),"")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3">
      <c r="A888" s="5" t="s">
        <v>448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IFERROR(ROUND(E888*VLOOKUP(D888,商品!#REF!,4,FALSE),0),"")</f>
        <v/>
      </c>
      <c r="Z888" t="str">
        <f>IFERROR(ROUND(G888*VLOOKUP(F888,商品!#REF!,4,FALSE),0),"")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3">
      <c r="A889" s="5" t="s">
        <v>448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IFERROR(ROUND(E889*VLOOKUP(D889,商品!#REF!,4,FALSE),0),"")</f>
        <v/>
      </c>
      <c r="Z889" t="str">
        <f>IFERROR(ROUND(G889*VLOOKUP(F889,商品!#REF!,4,FALSE),0),"")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3">
      <c r="A890" s="5" t="s">
        <v>448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IFERROR(ROUND(E890*VLOOKUP(D890,商品!#REF!,4,FALSE),0),"")</f>
        <v/>
      </c>
      <c r="Z890" t="str">
        <f>IFERROR(ROUND(G890*VLOOKUP(F890,商品!#REF!,4,FALSE),0),"")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3">
      <c r="A891" s="18" t="s">
        <v>449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IFERROR(ROUND(E891*VLOOKUP(D891,商品!#REF!,4,FALSE),0),"")</f>
        <v/>
      </c>
      <c r="Z891" t="str">
        <f>IFERROR(ROUND(G891*VLOOKUP(F891,商品!#REF!,4,FALSE),0),"")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3">
      <c r="A892" s="18" t="s">
        <v>449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IFERROR(ROUND(E892*VLOOKUP(D892,商品!#REF!,4,FALSE),0),"")</f>
        <v/>
      </c>
      <c r="Z892" t="str">
        <f>IFERROR(ROUND(G892*VLOOKUP(F892,商品!#REF!,4,FALSE),0),"")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3">
      <c r="A893" s="18" t="s">
        <v>449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IFERROR(ROUND(E893*VLOOKUP(D893,商品!#REF!,4,FALSE),0),"")</f>
        <v/>
      </c>
      <c r="Z893" t="str">
        <f>IFERROR(ROUND(G893*VLOOKUP(F893,商品!#REF!,4,FALSE),0),"")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3">
      <c r="A894" s="18" t="s">
        <v>449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IFERROR(ROUND(E894*VLOOKUP(D894,商品!#REF!,4,FALSE),0),"")</f>
        <v/>
      </c>
      <c r="Z894" t="str">
        <f>IFERROR(ROUND(G894*VLOOKUP(F894,商品!#REF!,4,FALSE),0),"")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3">
      <c r="A895" s="18" t="s">
        <v>449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IFERROR(ROUND(E895*VLOOKUP(D895,商品!#REF!,4,FALSE),0),"")</f>
        <v/>
      </c>
      <c r="Z895" t="str">
        <f>IFERROR(ROUND(G895*VLOOKUP(F895,商品!#REF!,4,FALSE),0),"")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3">
      <c r="A896" s="5" t="s">
        <v>449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IFERROR(ROUND(E896*VLOOKUP(D896,商品!#REF!,4,FALSE),0),"")</f>
        <v/>
      </c>
      <c r="Z896" t="str">
        <f>IFERROR(ROUND(G896*VLOOKUP(F896,商品!#REF!,4,FALSE),0),"")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3">
      <c r="A897" s="5" t="s">
        <v>449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IFERROR(ROUND(E897*VLOOKUP(D897,商品!#REF!,4,FALSE),0),"")</f>
        <v/>
      </c>
      <c r="Z897" t="str">
        <f>IFERROR(ROUND(G897*VLOOKUP(F897,商品!#REF!,4,FALSE),0),"")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3">
      <c r="A898" s="5" t="s">
        <v>449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IFERROR(ROUND(E898*VLOOKUP(D898,商品!#REF!,4,FALSE),0),"")</f>
        <v/>
      </c>
      <c r="Z898" t="str">
        <f>IFERROR(ROUND(G898*VLOOKUP(F898,商品!#REF!,4,FALSE),0),"")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3">
      <c r="A899" s="5" t="s">
        <v>449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IFERROR(ROUND(E899*VLOOKUP(D899,商品!#REF!,4,FALSE),0),"")</f>
        <v/>
      </c>
      <c r="Z899" t="str">
        <f>IFERROR(ROUND(G899*VLOOKUP(F899,商品!#REF!,4,FALSE),0),"")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3">
      <c r="A900" s="5" t="s">
        <v>449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IFERROR(ROUND(E900*VLOOKUP(D900,商品!#REF!,4,FALSE),0),"")</f>
        <v/>
      </c>
      <c r="Z900" t="str">
        <f>IFERROR(ROUND(G900*VLOOKUP(F900,商品!#REF!,4,FALSE),0),"")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3">
      <c r="A901" s="18" t="s">
        <v>450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IFERROR(ROUND(E901*VLOOKUP(D901,商品!#REF!,4,FALSE),0),"")</f>
        <v/>
      </c>
      <c r="Z901" t="str">
        <f>IFERROR(ROUND(G901*VLOOKUP(F901,商品!#REF!,4,FALSE),0),"")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3">
      <c r="A902" s="18" t="s">
        <v>450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IFERROR(ROUND(E902*VLOOKUP(D902,商品!#REF!,4,FALSE),0),"")</f>
        <v/>
      </c>
      <c r="Z902" t="str">
        <f>IFERROR(ROUND(G902*VLOOKUP(F902,商品!#REF!,4,FALSE),0),"")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3">
      <c r="A903" s="18" t="s">
        <v>450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IFERROR(ROUND(E903*VLOOKUP(D903,商品!#REF!,4,FALSE),0),"")</f>
        <v/>
      </c>
      <c r="Z903" t="str">
        <f>IFERROR(ROUND(G903*VLOOKUP(F903,商品!#REF!,4,FALSE),0),"")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3">
      <c r="A904" s="18" t="s">
        <v>450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IFERROR(ROUND(E904*VLOOKUP(D904,商品!#REF!,4,FALSE),0),"")</f>
        <v/>
      </c>
      <c r="Z904" t="str">
        <f>IFERROR(ROUND(G904*VLOOKUP(F904,商品!#REF!,4,FALSE),0),"")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3">
      <c r="A905" s="18" t="s">
        <v>450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IFERROR(ROUND(E905*VLOOKUP(D905,商品!#REF!,4,FALSE),0),"")</f>
        <v/>
      </c>
      <c r="Z905" t="str">
        <f>IFERROR(ROUND(G905*VLOOKUP(F905,商品!#REF!,4,FALSE),0),"")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3">
      <c r="A906" s="18" t="s">
        <v>450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IFERROR(ROUND(E906*VLOOKUP(D906,商品!#REF!,4,FALSE),0),"")</f>
        <v/>
      </c>
      <c r="Z906" t="str">
        <f>IFERROR(ROUND(G906*VLOOKUP(F906,商品!#REF!,4,FALSE),0),"")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3">
      <c r="A907" s="18" t="s">
        <v>450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IFERROR(ROUND(E907*VLOOKUP(D907,商品!#REF!,4,FALSE),0),"")</f>
        <v/>
      </c>
      <c r="Z907" t="str">
        <f>IFERROR(ROUND(G907*VLOOKUP(F907,商品!#REF!,4,FALSE),0),"")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3">
      <c r="A908" s="18" t="s">
        <v>450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IFERROR(ROUND(E908*VLOOKUP(D908,商品!#REF!,4,FALSE),0),"")</f>
        <v/>
      </c>
      <c r="Z908" t="str">
        <f>IFERROR(ROUND(G908*VLOOKUP(F908,商品!#REF!,4,FALSE),0),"")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3">
      <c r="A909" s="5" t="s">
        <v>452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IFERROR(ROUND(E909*VLOOKUP(D909,商品!#REF!,4,FALSE),0),"")</f>
        <v/>
      </c>
      <c r="Z909" t="str">
        <f>IFERROR(ROUND(G909*VLOOKUP(F909,商品!#REF!,4,FALSE),0),"")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3">
      <c r="A910" s="5" t="s">
        <v>452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IFERROR(ROUND(E910*VLOOKUP(D910,商品!#REF!,4,FALSE),0),"")</f>
        <v/>
      </c>
      <c r="Z910" t="str">
        <f>IFERROR(ROUND(G910*VLOOKUP(F910,商品!#REF!,4,FALSE),0),"")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3">
      <c r="A911" s="5" t="s">
        <v>452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IFERROR(ROUND(E911*VLOOKUP(D911,商品!#REF!,4,FALSE),0),"")</f>
        <v/>
      </c>
      <c r="Z911" t="str">
        <f>IFERROR(ROUND(G911*VLOOKUP(F911,商品!#REF!,4,FALSE),0),"")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3">
      <c r="A912" s="5" t="s">
        <v>452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IFERROR(ROUND(E912*VLOOKUP(D912,商品!#REF!,4,FALSE),0),"")</f>
        <v/>
      </c>
      <c r="Z912" t="str">
        <f>IFERROR(ROUND(G912*VLOOKUP(F912,商品!#REF!,4,FALSE),0),"")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3">
      <c r="A913" s="5" t="s">
        <v>452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IFERROR(ROUND(E913*VLOOKUP(D913,商品!#REF!,4,FALSE),0),"")</f>
        <v/>
      </c>
      <c r="Z913" t="str">
        <f>IFERROR(ROUND(G913*VLOOKUP(F913,商品!#REF!,4,FALSE),0),"")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3">
      <c r="A914" s="18" t="s">
        <v>453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IFERROR(ROUND(E914*VLOOKUP(D914,商品!#REF!,4,FALSE),0),"")</f>
        <v/>
      </c>
      <c r="Z914" t="str">
        <f>IFERROR(ROUND(G914*VLOOKUP(F914,商品!#REF!,4,FALSE),0),"")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3">
      <c r="A915" s="18" t="s">
        <v>453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IFERROR(ROUND(E915*VLOOKUP(D915,商品!#REF!,4,FALSE),0),"")</f>
        <v/>
      </c>
      <c r="Z915" t="str">
        <f>IFERROR(ROUND(G915*VLOOKUP(F915,商品!#REF!,4,FALSE),0),"")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3">
      <c r="A916" s="18" t="s">
        <v>453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IFERROR(ROUND(E916*VLOOKUP(D916,商品!#REF!,4,FALSE),0),"")</f>
        <v/>
      </c>
      <c r="Z916" t="str">
        <f>IFERROR(ROUND(G916*VLOOKUP(F916,商品!#REF!,4,FALSE),0),"")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3">
      <c r="A917" s="18" t="s">
        <v>453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IFERROR(ROUND(E917*VLOOKUP(D917,商品!#REF!,4,FALSE),0),"")</f>
        <v/>
      </c>
      <c r="Z917" t="str">
        <f>IFERROR(ROUND(G917*VLOOKUP(F917,商品!#REF!,4,FALSE),0),"")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3">
      <c r="A918" s="18" t="s">
        <v>453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IFERROR(ROUND(E918*VLOOKUP(D918,商品!#REF!,4,FALSE),0),"")</f>
        <v/>
      </c>
      <c r="Z918" t="str">
        <f>IFERROR(ROUND(G918*VLOOKUP(F918,商品!#REF!,4,FALSE),0),"")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3">
      <c r="A919" s="5" t="s">
        <v>453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IFERROR(ROUND(E919*VLOOKUP(D919,商品!#REF!,4,FALSE),0),"")</f>
        <v/>
      </c>
      <c r="Z919" t="str">
        <f>IFERROR(ROUND(G919*VLOOKUP(F919,商品!#REF!,4,FALSE),0),"")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3">
      <c r="A920" s="5" t="s">
        <v>453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IFERROR(ROUND(E920*VLOOKUP(D920,商品!#REF!,4,FALSE),0),"")</f>
        <v/>
      </c>
      <c r="Z920" t="str">
        <f>IFERROR(ROUND(G920*VLOOKUP(F920,商品!#REF!,4,FALSE),0),"")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3">
      <c r="A921" s="5" t="s">
        <v>453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IFERROR(ROUND(E921*VLOOKUP(D921,商品!#REF!,4,FALSE),0),"")</f>
        <v/>
      </c>
      <c r="Z921" t="str">
        <f>IFERROR(ROUND(G921*VLOOKUP(F921,商品!#REF!,4,FALSE),0),"")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3">
      <c r="A922" s="5" t="s">
        <v>453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IFERROR(ROUND(E922*VLOOKUP(D922,商品!#REF!,4,FALSE),0),"")</f>
        <v/>
      </c>
      <c r="Z922" t="str">
        <f>IFERROR(ROUND(G922*VLOOKUP(F922,商品!#REF!,4,FALSE),0),"")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3">
      <c r="A923" s="5" t="s">
        <v>453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IFERROR(ROUND(E923*VLOOKUP(D923,商品!#REF!,4,FALSE),0),"")</f>
        <v/>
      </c>
      <c r="Z923" t="str">
        <f>IFERROR(ROUND(G923*VLOOKUP(F923,商品!#REF!,4,FALSE),0),"")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3">
      <c r="A924" s="18" t="s">
        <v>454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IFERROR(ROUND(E924*VLOOKUP(D924,商品!#REF!,4,FALSE),0),"")</f>
        <v/>
      </c>
      <c r="Z924" t="str">
        <f>IFERROR(ROUND(G924*VLOOKUP(F924,商品!#REF!,4,FALSE),0),"")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3">
      <c r="A925" s="18" t="s">
        <v>454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IFERROR(ROUND(E925*VLOOKUP(D925,商品!#REF!,4,FALSE),0),"")</f>
        <v/>
      </c>
      <c r="Z925" t="str">
        <f>IFERROR(ROUND(G925*VLOOKUP(F925,商品!#REF!,4,FALSE),0),"")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3">
      <c r="A926" s="18" t="s">
        <v>454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IFERROR(ROUND(E926*VLOOKUP(D926,商品!#REF!,4,FALSE),0),"")</f>
        <v/>
      </c>
      <c r="Z926" t="str">
        <f>IFERROR(ROUND(G926*VLOOKUP(F926,商品!#REF!,4,FALSE),0),"")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3">
      <c r="A927" s="18" t="s">
        <v>454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IFERROR(ROUND(E927*VLOOKUP(D927,商品!#REF!,4,FALSE),0),"")</f>
        <v/>
      </c>
      <c r="Z927" t="str">
        <f>IFERROR(ROUND(G927*VLOOKUP(F927,商品!#REF!,4,FALSE),0),"")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3">
      <c r="A928" s="18" t="s">
        <v>454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IFERROR(ROUND(E928*VLOOKUP(D928,商品!#REF!,4,FALSE),0),"")</f>
        <v/>
      </c>
      <c r="Z928" t="str">
        <f>IFERROR(ROUND(G928*VLOOKUP(F928,商品!#REF!,4,FALSE),0),"")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3">
      <c r="A929" s="18" t="s">
        <v>454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IFERROR(ROUND(E929*VLOOKUP(D929,商品!#REF!,4,FALSE),0),"")</f>
        <v/>
      </c>
      <c r="Z929" t="str">
        <f>IFERROR(ROUND(G929*VLOOKUP(F929,商品!#REF!,4,FALSE),0),"")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3">
      <c r="A930" s="18" t="s">
        <v>454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IFERROR(ROUND(E930*VLOOKUP(D930,商品!#REF!,4,FALSE),0),"")</f>
        <v/>
      </c>
      <c r="Z930" t="str">
        <f>IFERROR(ROUND(G930*VLOOKUP(F930,商品!#REF!,4,FALSE),0),"")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3">
      <c r="A931" s="18" t="s">
        <v>454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IFERROR(ROUND(E931*VLOOKUP(D931,商品!#REF!,4,FALSE),0),"")</f>
        <v/>
      </c>
      <c r="Z931" t="str">
        <f>IFERROR(ROUND(G931*VLOOKUP(F931,商品!#REF!,4,FALSE),0),"")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3">
      <c r="A932" s="5" t="s">
        <v>456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IFERROR(ROUND(E932*VLOOKUP(D932,商品!#REF!,4,FALSE),0),"")</f>
        <v/>
      </c>
      <c r="Z932" t="str">
        <f>IFERROR(ROUND(G932*VLOOKUP(F932,商品!#REF!,4,FALSE),0),"")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3">
      <c r="A933" s="5" t="s">
        <v>456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IFERROR(ROUND(E933*VLOOKUP(D933,商品!#REF!,4,FALSE),0),"")</f>
        <v/>
      </c>
      <c r="Z933" t="str">
        <f>IFERROR(ROUND(G933*VLOOKUP(F933,商品!#REF!,4,FALSE),0),"")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3">
      <c r="A934" s="5" t="s">
        <v>456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IFERROR(ROUND(E934*VLOOKUP(D934,商品!#REF!,4,FALSE),0),"")</f>
        <v/>
      </c>
      <c r="Z934" t="str">
        <f>IFERROR(ROUND(G934*VLOOKUP(F934,商品!#REF!,4,FALSE),0),"")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3">
      <c r="A935" s="5" t="s">
        <v>456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IFERROR(ROUND(E935*VLOOKUP(D935,商品!#REF!,4,FALSE),0),"")</f>
        <v/>
      </c>
      <c r="Z935" t="str">
        <f>IFERROR(ROUND(G935*VLOOKUP(F935,商品!#REF!,4,FALSE),0),"")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3">
      <c r="A936" s="5" t="s">
        <v>456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IFERROR(ROUND(E936*VLOOKUP(D936,商品!#REF!,4,FALSE),0),"")</f>
        <v/>
      </c>
      <c r="Z936" t="str">
        <f>IFERROR(ROUND(G936*VLOOKUP(F936,商品!#REF!,4,FALSE),0),"")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3">
      <c r="A937" s="18" t="s">
        <v>457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IFERROR(ROUND(E937*VLOOKUP(D937,商品!#REF!,4,FALSE),0),"")</f>
        <v/>
      </c>
      <c r="Z937" t="str">
        <f>IFERROR(ROUND(G937*VLOOKUP(F937,商品!#REF!,4,FALSE),0),"")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3">
      <c r="A938" s="18" t="s">
        <v>457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IFERROR(ROUND(E938*VLOOKUP(D938,商品!#REF!,4,FALSE),0),"")</f>
        <v/>
      </c>
      <c r="Z938" t="str">
        <f>IFERROR(ROUND(G938*VLOOKUP(F938,商品!#REF!,4,FALSE),0),"")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3">
      <c r="A939" s="18" t="s">
        <v>457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IFERROR(ROUND(E939*VLOOKUP(D939,商品!#REF!,4,FALSE),0),"")</f>
        <v/>
      </c>
      <c r="Z939" t="str">
        <f>IFERROR(ROUND(G939*VLOOKUP(F939,商品!#REF!,4,FALSE),0),"")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3">
      <c r="A940" s="18" t="s">
        <v>457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IFERROR(ROUND(E940*VLOOKUP(D940,商品!#REF!,4,FALSE),0),"")</f>
        <v/>
      </c>
      <c r="Z940" t="str">
        <f>IFERROR(ROUND(G940*VLOOKUP(F940,商品!#REF!,4,FALSE),0),"")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3">
      <c r="A941" s="18" t="s">
        <v>457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IFERROR(ROUND(E941*VLOOKUP(D941,商品!#REF!,4,FALSE),0),"")</f>
        <v/>
      </c>
      <c r="Z941" t="str">
        <f>IFERROR(ROUND(G941*VLOOKUP(F941,商品!#REF!,4,FALSE),0),"")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3">
      <c r="A942" s="5" t="s">
        <v>457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IFERROR(ROUND(E942*VLOOKUP(D942,商品!#REF!,4,FALSE),0),"")</f>
        <v/>
      </c>
      <c r="Z942" t="str">
        <f>IFERROR(ROUND(G942*VLOOKUP(F942,商品!#REF!,4,FALSE),0),"")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3">
      <c r="A943" s="5" t="s">
        <v>457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IFERROR(ROUND(E943*VLOOKUP(D943,商品!#REF!,4,FALSE),0),"")</f>
        <v/>
      </c>
      <c r="Z943" t="str">
        <f>IFERROR(ROUND(G943*VLOOKUP(F943,商品!#REF!,4,FALSE),0),"")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3">
      <c r="A944" s="5" t="s">
        <v>457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IFERROR(ROUND(E944*VLOOKUP(D944,商品!#REF!,4,FALSE),0),"")</f>
        <v/>
      </c>
      <c r="Z944" t="str">
        <f>IFERROR(ROUND(G944*VLOOKUP(F944,商品!#REF!,4,FALSE),0),"")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3">
      <c r="A945" s="5" t="s">
        <v>457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IFERROR(ROUND(E945*VLOOKUP(D945,商品!#REF!,4,FALSE),0),"")</f>
        <v/>
      </c>
      <c r="Z945" t="str">
        <f>IFERROR(ROUND(G945*VLOOKUP(F945,商品!#REF!,4,FALSE),0),"")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3">
      <c r="A946" s="5" t="s">
        <v>457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IFERROR(ROUND(E946*VLOOKUP(D946,商品!#REF!,4,FALSE),0),"")</f>
        <v/>
      </c>
      <c r="Z946" t="str">
        <f>IFERROR(ROUND(G946*VLOOKUP(F946,商品!#REF!,4,FALSE),0),"")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3">
      <c r="A947" s="18" t="s">
        <v>458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IFERROR(ROUND(E947*VLOOKUP(D947,商品!#REF!,4,FALSE),0),"")</f>
        <v/>
      </c>
      <c r="Z947" t="str">
        <f>IFERROR(ROUND(G947*VLOOKUP(F947,商品!#REF!,4,FALSE),0),"")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3">
      <c r="A948" s="18" t="s">
        <v>458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IFERROR(ROUND(E948*VLOOKUP(D948,商品!#REF!,4,FALSE),0),"")</f>
        <v/>
      </c>
      <c r="Z948" t="str">
        <f>IFERROR(ROUND(G948*VLOOKUP(F948,商品!#REF!,4,FALSE),0),"")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3">
      <c r="A949" s="18" t="s">
        <v>458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IFERROR(ROUND(E949*VLOOKUP(D949,商品!#REF!,4,FALSE),0),"")</f>
        <v/>
      </c>
      <c r="Z949" t="str">
        <f>IFERROR(ROUND(G949*VLOOKUP(F949,商品!#REF!,4,FALSE),0),"")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3">
      <c r="A950" s="18" t="s">
        <v>458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IFERROR(ROUND(E950*VLOOKUP(D950,商品!#REF!,4,FALSE),0),"")</f>
        <v/>
      </c>
      <c r="Z950" t="str">
        <f>IFERROR(ROUND(G950*VLOOKUP(F950,商品!#REF!,4,FALSE),0),"")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3">
      <c r="A951" s="18" t="s">
        <v>458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IFERROR(ROUND(E951*VLOOKUP(D951,商品!#REF!,4,FALSE),0),"")</f>
        <v/>
      </c>
      <c r="Z951" t="str">
        <f>IFERROR(ROUND(G951*VLOOKUP(F951,商品!#REF!,4,FALSE),0),"")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3">
      <c r="A952" s="18" t="s">
        <v>458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IFERROR(ROUND(E952*VLOOKUP(D952,商品!#REF!,4,FALSE),0),"")</f>
        <v/>
      </c>
      <c r="Z952" t="str">
        <f>IFERROR(ROUND(G952*VLOOKUP(F952,商品!#REF!,4,FALSE),0),"")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3">
      <c r="A953" s="18" t="s">
        <v>458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IFERROR(ROUND(E953*VLOOKUP(D953,商品!#REF!,4,FALSE),0),"")</f>
        <v/>
      </c>
      <c r="Z953" t="str">
        <f>IFERROR(ROUND(G953*VLOOKUP(F953,商品!#REF!,4,FALSE),0),"")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3">
      <c r="A954" s="18" t="s">
        <v>458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IFERROR(ROUND(E954*VLOOKUP(D954,商品!#REF!,4,FALSE),0),"")</f>
        <v/>
      </c>
      <c r="Z954" t="str">
        <f>IFERROR(ROUND(G954*VLOOKUP(F954,商品!#REF!,4,FALSE),0),"")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3">
      <c r="A955" s="5" t="s">
        <v>460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IFERROR(ROUND(E955*VLOOKUP(D955,商品!#REF!,4,FALSE),0),"")</f>
        <v/>
      </c>
      <c r="Z955" t="str">
        <f>IFERROR(ROUND(G955*VLOOKUP(F955,商品!#REF!,4,FALSE),0),"")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3">
      <c r="A956" s="5" t="s">
        <v>460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IFERROR(ROUND(E956*VLOOKUP(D956,商品!#REF!,4,FALSE),0),"")</f>
        <v/>
      </c>
      <c r="Z956" t="str">
        <f>IFERROR(ROUND(G956*VLOOKUP(F956,商品!#REF!,4,FALSE),0),"")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3">
      <c r="A957" s="5" t="s">
        <v>460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IFERROR(ROUND(E957*VLOOKUP(D957,商品!#REF!,4,FALSE),0),"")</f>
        <v/>
      </c>
      <c r="Z957" t="str">
        <f>IFERROR(ROUND(G957*VLOOKUP(F957,商品!#REF!,4,FALSE),0),"")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3">
      <c r="A958" s="5" t="s">
        <v>460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IFERROR(ROUND(E958*VLOOKUP(D958,商品!#REF!,4,FALSE),0),"")</f>
        <v/>
      </c>
      <c r="Z958" t="str">
        <f>IFERROR(ROUND(G958*VLOOKUP(F958,商品!#REF!,4,FALSE),0),"")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3">
      <c r="A959" s="5" t="s">
        <v>460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IFERROR(ROUND(E959*VLOOKUP(D959,商品!#REF!,4,FALSE),0),"")</f>
        <v/>
      </c>
      <c r="Z959" t="str">
        <f>IFERROR(ROUND(G959*VLOOKUP(F959,商品!#REF!,4,FALSE),0),"")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3">
      <c r="A960" s="18" t="s">
        <v>461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IFERROR(ROUND(E960*VLOOKUP(D960,商品!#REF!,4,FALSE),0),"")</f>
        <v/>
      </c>
      <c r="Z960" t="str">
        <f>IFERROR(ROUND(G960*VLOOKUP(F960,商品!#REF!,4,FALSE),0),"")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3">
      <c r="A961" s="18" t="s">
        <v>461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IFERROR(ROUND(E961*VLOOKUP(D961,商品!#REF!,4,FALSE),0),"")</f>
        <v/>
      </c>
      <c r="Z961" t="str">
        <f>IFERROR(ROUND(G961*VLOOKUP(F961,商品!#REF!,4,FALSE),0),"")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3">
      <c r="A962" s="18" t="s">
        <v>461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IFERROR(ROUND(E962*VLOOKUP(D962,商品!#REF!,4,FALSE),0),"")</f>
        <v/>
      </c>
      <c r="Z962" t="str">
        <f>IFERROR(ROUND(G962*VLOOKUP(F962,商品!#REF!,4,FALSE),0),"")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3">
      <c r="A963" s="18" t="s">
        <v>461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IFERROR(ROUND(E963*VLOOKUP(D963,商品!#REF!,4,FALSE),0),"")</f>
        <v/>
      </c>
      <c r="Z963" t="str">
        <f>IFERROR(ROUND(G963*VLOOKUP(F963,商品!#REF!,4,FALSE),0),"")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3">
      <c r="A964" s="18" t="s">
        <v>461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IFERROR(ROUND(E964*VLOOKUP(D964,商品!#REF!,4,FALSE),0),"")</f>
        <v/>
      </c>
      <c r="Z964" t="str">
        <f>IFERROR(ROUND(G964*VLOOKUP(F964,商品!#REF!,4,FALSE),0),"")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3">
      <c r="A965" s="5" t="s">
        <v>461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IFERROR(ROUND(E965*VLOOKUP(D965,商品!#REF!,4,FALSE),0),"")</f>
        <v/>
      </c>
      <c r="Z965" t="str">
        <f>IFERROR(ROUND(G965*VLOOKUP(F965,商品!#REF!,4,FALSE),0),"")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3">
      <c r="A966" s="5" t="s">
        <v>461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IFERROR(ROUND(E966*VLOOKUP(D966,商品!#REF!,4,FALSE),0),"")</f>
        <v/>
      </c>
      <c r="Z966" t="str">
        <f>IFERROR(ROUND(G966*VLOOKUP(F966,商品!#REF!,4,FALSE),0),"")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3">
      <c r="A967" s="5" t="s">
        <v>461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IFERROR(ROUND(E967*VLOOKUP(D967,商品!#REF!,4,FALSE),0),"")</f>
        <v/>
      </c>
      <c r="Z967" t="str">
        <f>IFERROR(ROUND(G967*VLOOKUP(F967,商品!#REF!,4,FALSE),0),"")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3">
      <c r="A968" s="5" t="s">
        <v>461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IFERROR(ROUND(E968*VLOOKUP(D968,商品!#REF!,4,FALSE),0),"")</f>
        <v/>
      </c>
      <c r="Z968" t="str">
        <f>IFERROR(ROUND(G968*VLOOKUP(F968,商品!#REF!,4,FALSE),0),"")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3">
      <c r="A969" s="5" t="s">
        <v>461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IFERROR(ROUND(E969*VLOOKUP(D969,商品!#REF!,4,FALSE),0),"")</f>
        <v/>
      </c>
      <c r="Z969" t="str">
        <f>IFERROR(ROUND(G969*VLOOKUP(F969,商品!#REF!,4,FALSE),0),"")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3">
      <c r="A970" s="18" t="s">
        <v>462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IFERROR(ROUND(E970*VLOOKUP(D970,商品!#REF!,4,FALSE),0),"")</f>
        <v/>
      </c>
      <c r="Z970" t="str">
        <f>IFERROR(ROUND(G970*VLOOKUP(F970,商品!#REF!,4,FALSE),0),"")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3">
      <c r="A971" s="18" t="s">
        <v>462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IFERROR(ROUND(E971*VLOOKUP(D971,商品!#REF!,4,FALSE),0),"")</f>
        <v/>
      </c>
      <c r="Z971" t="str">
        <f>IFERROR(ROUND(G971*VLOOKUP(F971,商品!#REF!,4,FALSE),0),"")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3">
      <c r="A972" s="18" t="s">
        <v>462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IFERROR(ROUND(E972*VLOOKUP(D972,商品!#REF!,4,FALSE),0),"")</f>
        <v/>
      </c>
      <c r="Z972" t="str">
        <f>IFERROR(ROUND(G972*VLOOKUP(F972,商品!#REF!,4,FALSE),0),"")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3">
      <c r="A973" s="18" t="s">
        <v>462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IFERROR(ROUND(E973*VLOOKUP(D973,商品!#REF!,4,FALSE),0),"")</f>
        <v/>
      </c>
      <c r="Z973" t="str">
        <f>IFERROR(ROUND(G973*VLOOKUP(F973,商品!#REF!,4,FALSE),0),"")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3">
      <c r="A974" s="18" t="s">
        <v>462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IFERROR(ROUND(E974*VLOOKUP(D974,商品!#REF!,4,FALSE),0),"")</f>
        <v/>
      </c>
      <c r="Z974" t="str">
        <f>IFERROR(ROUND(G974*VLOOKUP(F974,商品!#REF!,4,FALSE),0),"")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3">
      <c r="A975" s="18" t="s">
        <v>462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IFERROR(ROUND(E975*VLOOKUP(D975,商品!#REF!,4,FALSE),0),"")</f>
        <v/>
      </c>
      <c r="Z975" t="str">
        <f>IFERROR(ROUND(G975*VLOOKUP(F975,商品!#REF!,4,FALSE),0),"")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3">
      <c r="A976" s="18" t="s">
        <v>462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IFERROR(ROUND(E976*VLOOKUP(D976,商品!#REF!,4,FALSE),0),"")</f>
        <v/>
      </c>
      <c r="Z976" t="str">
        <f>IFERROR(ROUND(G976*VLOOKUP(F976,商品!#REF!,4,FALSE),0),"")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3">
      <c r="A977" s="18" t="s">
        <v>462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IFERROR(ROUND(E977*VLOOKUP(D977,商品!#REF!,4,FALSE),0),"")</f>
        <v/>
      </c>
      <c r="Z977" t="str">
        <f>IFERROR(ROUND(G977*VLOOKUP(F977,商品!#REF!,4,FALSE),0),"")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3">
      <c r="A978" s="5" t="s">
        <v>464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IFERROR(ROUND(E978*VLOOKUP(D978,商品!#REF!,4,FALSE),0),"")</f>
        <v/>
      </c>
      <c r="Z978" t="str">
        <f>IFERROR(ROUND(G978*VLOOKUP(F978,商品!#REF!,4,FALSE),0),"")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3">
      <c r="A979" s="5" t="s">
        <v>464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IFERROR(ROUND(E979*VLOOKUP(D979,商品!#REF!,4,FALSE),0),"")</f>
        <v/>
      </c>
      <c r="Z979" t="str">
        <f>IFERROR(ROUND(G979*VLOOKUP(F979,商品!#REF!,4,FALSE),0),"")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3">
      <c r="A980" s="5" t="s">
        <v>464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IFERROR(ROUND(E980*VLOOKUP(D980,商品!#REF!,4,FALSE),0),"")</f>
        <v/>
      </c>
      <c r="Z980" t="str">
        <f>IFERROR(ROUND(G980*VLOOKUP(F980,商品!#REF!,4,FALSE),0),"")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3">
      <c r="A981" s="5" t="s">
        <v>464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IFERROR(ROUND(E981*VLOOKUP(D981,商品!#REF!,4,FALSE),0),"")</f>
        <v/>
      </c>
      <c r="Z981" t="str">
        <f>IFERROR(ROUND(G981*VLOOKUP(F981,商品!#REF!,4,FALSE),0),"")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3">
      <c r="A982" s="5" t="s">
        <v>464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IFERROR(ROUND(E982*VLOOKUP(D982,商品!#REF!,4,FALSE),0),"")</f>
        <v/>
      </c>
      <c r="Z982" t="str">
        <f>IFERROR(ROUND(G982*VLOOKUP(F982,商品!#REF!,4,FALSE),0),"")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3">
      <c r="A983" s="18" t="s">
        <v>465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IFERROR(ROUND(E983*VLOOKUP(D983,商品!#REF!,4,FALSE),0),"")</f>
        <v/>
      </c>
      <c r="Z983" t="str">
        <f>IFERROR(ROUND(G983*VLOOKUP(F983,商品!#REF!,4,FALSE),0),"")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3">
      <c r="A984" s="18" t="s">
        <v>465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IFERROR(ROUND(E984*VLOOKUP(D984,商品!#REF!,4,FALSE),0),"")</f>
        <v/>
      </c>
      <c r="Z984" t="str">
        <f>IFERROR(ROUND(G984*VLOOKUP(F984,商品!#REF!,4,FALSE),0),"")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3">
      <c r="A985" s="18" t="s">
        <v>465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IFERROR(ROUND(E985*VLOOKUP(D985,商品!#REF!,4,FALSE),0),"")</f>
        <v/>
      </c>
      <c r="Z985" t="str">
        <f>IFERROR(ROUND(G985*VLOOKUP(F985,商品!#REF!,4,FALSE),0),"")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3">
      <c r="A986" s="18" t="s">
        <v>465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IFERROR(ROUND(E986*VLOOKUP(D986,商品!#REF!,4,FALSE),0),"")</f>
        <v/>
      </c>
      <c r="Z986" t="str">
        <f>IFERROR(ROUND(G986*VLOOKUP(F986,商品!#REF!,4,FALSE),0),"")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3">
      <c r="A987" s="18" t="s">
        <v>465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IFERROR(ROUND(E987*VLOOKUP(D987,商品!#REF!,4,FALSE),0),"")</f>
        <v/>
      </c>
      <c r="Z987" t="str">
        <f>IFERROR(ROUND(G987*VLOOKUP(F987,商品!#REF!,4,FALSE),0),"")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3">
      <c r="A988" s="5" t="s">
        <v>465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IFERROR(ROUND(E988*VLOOKUP(D988,商品!#REF!,4,FALSE),0),"")</f>
        <v/>
      </c>
      <c r="Z988" t="str">
        <f>IFERROR(ROUND(G988*VLOOKUP(F988,商品!#REF!,4,FALSE),0),"")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3">
      <c r="A989" s="5" t="s">
        <v>465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IFERROR(ROUND(E989*VLOOKUP(D989,商品!#REF!,4,FALSE),0),"")</f>
        <v/>
      </c>
      <c r="Z989" t="str">
        <f>IFERROR(ROUND(G989*VLOOKUP(F989,商品!#REF!,4,FALSE),0),"")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3">
      <c r="A990" s="5" t="s">
        <v>465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IFERROR(ROUND(E990*VLOOKUP(D990,商品!#REF!,4,FALSE),0),"")</f>
        <v/>
      </c>
      <c r="Z990" t="str">
        <f>IFERROR(ROUND(G990*VLOOKUP(F990,商品!#REF!,4,FALSE),0),"")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3">
      <c r="A991" s="5" t="s">
        <v>465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IFERROR(ROUND(E991*VLOOKUP(D991,商品!#REF!,4,FALSE),0),"")</f>
        <v/>
      </c>
      <c r="Z991" t="str">
        <f>IFERROR(ROUND(G991*VLOOKUP(F991,商品!#REF!,4,FALSE),0),"")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3">
      <c r="A992" s="5" t="s">
        <v>465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IFERROR(ROUND(E992*VLOOKUP(D992,商品!#REF!,4,FALSE),0),"")</f>
        <v/>
      </c>
      <c r="Z992" t="str">
        <f>IFERROR(ROUND(G992*VLOOKUP(F992,商品!#REF!,4,FALSE),0),"")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3">
      <c r="A993" s="18" t="s">
        <v>466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IFERROR(ROUND(E993*VLOOKUP(D993,商品!#REF!,4,FALSE),0),"")</f>
        <v/>
      </c>
      <c r="Z993" t="str">
        <f>IFERROR(ROUND(G993*VLOOKUP(F993,商品!#REF!,4,FALSE),0),"")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3">
      <c r="A994" s="18" t="s">
        <v>466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IFERROR(ROUND(E994*VLOOKUP(D994,商品!#REF!,4,FALSE),0),"")</f>
        <v/>
      </c>
      <c r="Z994" t="str">
        <f>IFERROR(ROUND(G994*VLOOKUP(F994,商品!#REF!,4,FALSE),0),"")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3">
      <c r="A995" s="18" t="s">
        <v>466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IFERROR(ROUND(E995*VLOOKUP(D995,商品!#REF!,4,FALSE),0),"")</f>
        <v/>
      </c>
      <c r="Z995" t="str">
        <f>IFERROR(ROUND(G995*VLOOKUP(F995,商品!#REF!,4,FALSE),0),"")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3">
      <c r="A996" s="18" t="s">
        <v>466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IFERROR(ROUND(E996*VLOOKUP(D996,商品!#REF!,4,FALSE),0),"")</f>
        <v/>
      </c>
      <c r="Z996" t="str">
        <f>IFERROR(ROUND(G996*VLOOKUP(F996,商品!#REF!,4,FALSE),0),"")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3">
      <c r="A997" s="18" t="s">
        <v>466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IFERROR(ROUND(E997*VLOOKUP(D997,商品!#REF!,4,FALSE),0),"")</f>
        <v/>
      </c>
      <c r="Z997" t="str">
        <f>IFERROR(ROUND(G997*VLOOKUP(F997,商品!#REF!,4,FALSE),0),"")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3">
      <c r="A998" s="18" t="s">
        <v>466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IFERROR(ROUND(E998*VLOOKUP(D998,商品!#REF!,4,FALSE),0),"")</f>
        <v/>
      </c>
      <c r="Z998" t="str">
        <f>IFERROR(ROUND(G998*VLOOKUP(F998,商品!#REF!,4,FALSE),0),"")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3">
      <c r="A999" s="18" t="s">
        <v>466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IFERROR(ROUND(E999*VLOOKUP(D999,商品!#REF!,4,FALSE),0),"")</f>
        <v/>
      </c>
      <c r="Z999" t="str">
        <f>IFERROR(ROUND(G999*VLOOKUP(F999,商品!#REF!,4,FALSE),0),"")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3">
      <c r="A1000" s="18" t="s">
        <v>466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IFERROR(ROUND(E1000*VLOOKUP(D1000,商品!#REF!,4,FALSE),0),"")</f>
        <v/>
      </c>
      <c r="Z1000" t="str">
        <f>IFERROR(ROUND(G1000*VLOOKUP(F1000,商品!#REF!,4,FALSE),0),"")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3">
      <c r="A1001" s="5" t="s">
        <v>468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IFERROR(ROUND(E1001*VLOOKUP(D1001,商品!#REF!,4,FALSE),0),"")</f>
        <v/>
      </c>
      <c r="Z1001" t="str">
        <f>IFERROR(ROUND(G1001*VLOOKUP(F1001,商品!#REF!,4,FALSE),0),"")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3">
      <c r="A1002" s="5" t="s">
        <v>468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IFERROR(ROUND(E1002*VLOOKUP(D1002,商品!#REF!,4,FALSE),0),"")</f>
        <v/>
      </c>
      <c r="Z1002" t="str">
        <f>IFERROR(ROUND(G1002*VLOOKUP(F1002,商品!#REF!,4,FALSE),0),"")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3">
      <c r="A1003" s="5" t="s">
        <v>468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IFERROR(ROUND(E1003*VLOOKUP(D1003,商品!#REF!,4,FALSE),0),"")</f>
        <v/>
      </c>
      <c r="Z1003" t="str">
        <f>IFERROR(ROUND(G1003*VLOOKUP(F1003,商品!#REF!,4,FALSE),0),"")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3">
      <c r="A1004" s="5" t="s">
        <v>468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IFERROR(ROUND(E1004*VLOOKUP(D1004,商品!#REF!,4,FALSE),0),"")</f>
        <v/>
      </c>
      <c r="Z1004" t="str">
        <f>IFERROR(ROUND(G1004*VLOOKUP(F1004,商品!#REF!,4,FALSE),0),"")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3">
      <c r="A1005" s="5" t="s">
        <v>468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IFERROR(ROUND(E1005*VLOOKUP(D1005,商品!#REF!,4,FALSE),0),"")</f>
        <v/>
      </c>
      <c r="Z1005" t="str">
        <f>IFERROR(ROUND(G1005*VLOOKUP(F1005,商品!#REF!,4,FALSE),0),"")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3">
      <c r="A1006" s="18" t="s">
        <v>469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IFERROR(ROUND(E1006*VLOOKUP(D1006,商品!#REF!,4,FALSE),0),"")</f>
        <v/>
      </c>
      <c r="Z1006" t="str">
        <f>IFERROR(ROUND(G1006*VLOOKUP(F1006,商品!#REF!,4,FALSE),0),"")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3">
      <c r="A1007" s="18" t="s">
        <v>469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IFERROR(ROUND(E1007*VLOOKUP(D1007,商品!#REF!,4,FALSE),0),"")</f>
        <v/>
      </c>
      <c r="Z1007" t="str">
        <f>IFERROR(ROUND(G1007*VLOOKUP(F1007,商品!#REF!,4,FALSE),0),"")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3">
      <c r="A1008" s="18" t="s">
        <v>469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IFERROR(ROUND(E1008*VLOOKUP(D1008,商品!#REF!,4,FALSE),0),"")</f>
        <v/>
      </c>
      <c r="Z1008" t="str">
        <f>IFERROR(ROUND(G1008*VLOOKUP(F1008,商品!#REF!,4,FALSE),0),"")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3">
      <c r="A1009" s="18" t="s">
        <v>469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IFERROR(ROUND(E1009*VLOOKUP(D1009,商品!#REF!,4,FALSE),0),"")</f>
        <v/>
      </c>
      <c r="Z1009" t="str">
        <f>IFERROR(ROUND(G1009*VLOOKUP(F1009,商品!#REF!,4,FALSE),0),"")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3">
      <c r="A1010" s="18" t="s">
        <v>469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IFERROR(ROUND(E1010*VLOOKUP(D1010,商品!#REF!,4,FALSE),0),"")</f>
        <v/>
      </c>
      <c r="Z1010" t="str">
        <f>IFERROR(ROUND(G1010*VLOOKUP(F1010,商品!#REF!,4,FALSE),0),"")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3">
      <c r="A1011" s="5" t="s">
        <v>469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IFERROR(ROUND(E1011*VLOOKUP(D1011,商品!#REF!,4,FALSE),0),"")</f>
        <v/>
      </c>
      <c r="Z1011" t="str">
        <f>IFERROR(ROUND(G1011*VLOOKUP(F1011,商品!#REF!,4,FALSE),0),"")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3">
      <c r="A1012" s="5" t="s">
        <v>469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IFERROR(ROUND(E1012*VLOOKUP(D1012,商品!#REF!,4,FALSE),0),"")</f>
        <v/>
      </c>
      <c r="Z1012" t="str">
        <f>IFERROR(ROUND(G1012*VLOOKUP(F1012,商品!#REF!,4,FALSE),0),"")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3">
      <c r="A1013" s="5" t="s">
        <v>469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IFERROR(ROUND(E1013*VLOOKUP(D1013,商品!#REF!,4,FALSE),0),"")</f>
        <v/>
      </c>
      <c r="Z1013" t="str">
        <f>IFERROR(ROUND(G1013*VLOOKUP(F1013,商品!#REF!,4,FALSE),0),"")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3">
      <c r="A1014" s="5" t="s">
        <v>469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IFERROR(ROUND(E1014*VLOOKUP(D1014,商品!#REF!,4,FALSE),0),"")</f>
        <v/>
      </c>
      <c r="Z1014" t="str">
        <f>IFERROR(ROUND(G1014*VLOOKUP(F1014,商品!#REF!,4,FALSE),0),"")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3">
      <c r="A1015" s="5" t="s">
        <v>469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IFERROR(ROUND(E1015*VLOOKUP(D1015,商品!#REF!,4,FALSE),0),"")</f>
        <v/>
      </c>
      <c r="Z1015" t="str">
        <f>IFERROR(ROUND(G1015*VLOOKUP(F1015,商品!#REF!,4,FALSE),0),"")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3">
      <c r="A1016" s="18" t="s">
        <v>470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IFERROR(ROUND(E1016*VLOOKUP(D1016,商品!#REF!,4,FALSE),0),"")</f>
        <v/>
      </c>
      <c r="Z1016" t="str">
        <f>IFERROR(ROUND(G1016*VLOOKUP(F1016,商品!#REF!,4,FALSE),0),"")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3">
      <c r="A1017" s="18" t="s">
        <v>470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IFERROR(ROUND(E1017*VLOOKUP(D1017,商品!#REF!,4,FALSE),0),"")</f>
        <v/>
      </c>
      <c r="Z1017" t="str">
        <f>IFERROR(ROUND(G1017*VLOOKUP(F1017,商品!#REF!,4,FALSE),0),"")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3">
      <c r="A1018" s="18" t="s">
        <v>470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IFERROR(ROUND(E1018*VLOOKUP(D1018,商品!#REF!,4,FALSE),0),"")</f>
        <v/>
      </c>
      <c r="Z1018" t="str">
        <f>IFERROR(ROUND(G1018*VLOOKUP(F1018,商品!#REF!,4,FALSE),0),"")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3">
      <c r="A1019" s="18" t="s">
        <v>470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IFERROR(ROUND(E1019*VLOOKUP(D1019,商品!#REF!,4,FALSE),0),"")</f>
        <v/>
      </c>
      <c r="Z1019" t="str">
        <f>IFERROR(ROUND(G1019*VLOOKUP(F1019,商品!#REF!,4,FALSE),0),"")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3">
      <c r="A1020" s="18" t="s">
        <v>470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IFERROR(ROUND(E1020*VLOOKUP(D1020,商品!#REF!,4,FALSE),0),"")</f>
        <v/>
      </c>
      <c r="Z1020" t="str">
        <f>IFERROR(ROUND(G1020*VLOOKUP(F1020,商品!#REF!,4,FALSE),0),"")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3">
      <c r="A1021" s="18" t="s">
        <v>470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IFERROR(ROUND(E1021*VLOOKUP(D1021,商品!#REF!,4,FALSE),0),"")</f>
        <v/>
      </c>
      <c r="Z1021" t="str">
        <f>IFERROR(ROUND(G1021*VLOOKUP(F1021,商品!#REF!,4,FALSE),0),"")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3">
      <c r="A1022" s="18" t="s">
        <v>470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IFERROR(ROUND(E1022*VLOOKUP(D1022,商品!#REF!,4,FALSE),0),"")</f>
        <v/>
      </c>
      <c r="Z1022" t="str">
        <f>IFERROR(ROUND(G1022*VLOOKUP(F1022,商品!#REF!,4,FALSE),0),"")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3">
      <c r="A1023" s="18" t="s">
        <v>470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IFERROR(ROUND(E1023*VLOOKUP(D1023,商品!#REF!,4,FALSE),0),"")</f>
        <v/>
      </c>
      <c r="Z1023" t="str">
        <f>IFERROR(ROUND(G1023*VLOOKUP(F1023,商品!#REF!,4,FALSE),0),"")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3">
      <c r="A1024" s="5" t="s">
        <v>472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IFERROR(ROUND(E1024*VLOOKUP(D1024,商品!#REF!,4,FALSE),0),"")</f>
        <v/>
      </c>
      <c r="Z1024" t="str">
        <f>IFERROR(ROUND(G1024*VLOOKUP(F1024,商品!#REF!,4,FALSE),0),"")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3">
      <c r="A1025" s="5" t="s">
        <v>472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IFERROR(ROUND(E1025*VLOOKUP(D1025,商品!#REF!,4,FALSE),0),"")</f>
        <v/>
      </c>
      <c r="Z1025" t="str">
        <f>IFERROR(ROUND(G1025*VLOOKUP(F1025,商品!#REF!,4,FALSE),0),"")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3">
      <c r="A1026" s="5" t="s">
        <v>472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IFERROR(ROUND(E1026*VLOOKUP(D1026,商品!#REF!,4,FALSE),0),"")</f>
        <v/>
      </c>
      <c r="Z1026" t="str">
        <f>IFERROR(ROUND(G1026*VLOOKUP(F1026,商品!#REF!,4,FALSE),0),"")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3">
      <c r="A1027" s="5" t="s">
        <v>472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IFERROR(ROUND(E1027*VLOOKUP(D1027,商品!#REF!,4,FALSE),0),"")</f>
        <v/>
      </c>
      <c r="Z1027" t="str">
        <f>IFERROR(ROUND(G1027*VLOOKUP(F1027,商品!#REF!,4,FALSE),0),"")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3">
      <c r="A1028" s="5" t="s">
        <v>472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IFERROR(ROUND(E1028*VLOOKUP(D1028,商品!#REF!,4,FALSE),0),"")</f>
        <v/>
      </c>
      <c r="Z1028" t="str">
        <f>IFERROR(ROUND(G1028*VLOOKUP(F1028,商品!#REF!,4,FALSE),0),"")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3">
      <c r="A1029" s="18" t="s">
        <v>473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IFERROR(ROUND(E1029*VLOOKUP(D1029,商品!#REF!,4,FALSE),0),"")</f>
        <v/>
      </c>
      <c r="Z1029" t="str">
        <f>IFERROR(ROUND(G1029*VLOOKUP(F1029,商品!#REF!,4,FALSE),0),"")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3">
      <c r="A1030" s="18" t="s">
        <v>473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IFERROR(ROUND(E1030*VLOOKUP(D1030,商品!#REF!,4,FALSE),0),"")</f>
        <v/>
      </c>
      <c r="Z1030" t="str">
        <f>IFERROR(ROUND(G1030*VLOOKUP(F1030,商品!#REF!,4,FALSE),0),"")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3">
      <c r="A1031" s="18" t="s">
        <v>473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IFERROR(ROUND(E1031*VLOOKUP(D1031,商品!#REF!,4,FALSE),0),"")</f>
        <v/>
      </c>
      <c r="Z1031" t="str">
        <f>IFERROR(ROUND(G1031*VLOOKUP(F1031,商品!#REF!,4,FALSE),0),"")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3">
      <c r="A1032" s="18" t="s">
        <v>473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IFERROR(ROUND(E1032*VLOOKUP(D1032,商品!#REF!,4,FALSE),0),"")</f>
        <v/>
      </c>
      <c r="Z1032" t="str">
        <f>IFERROR(ROUND(G1032*VLOOKUP(F1032,商品!#REF!,4,FALSE),0),"")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3">
      <c r="A1033" s="18" t="s">
        <v>473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IFERROR(ROUND(E1033*VLOOKUP(D1033,商品!#REF!,4,FALSE),0),"")</f>
        <v/>
      </c>
      <c r="Z1033" t="str">
        <f>IFERROR(ROUND(G1033*VLOOKUP(F1033,商品!#REF!,4,FALSE),0),"")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3">
      <c r="A1034" s="5" t="s">
        <v>473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IFERROR(ROUND(E1034*VLOOKUP(D1034,商品!#REF!,4,FALSE),0),"")</f>
        <v/>
      </c>
      <c r="Z1034" t="str">
        <f>IFERROR(ROUND(G1034*VLOOKUP(F1034,商品!#REF!,4,FALSE),0),"")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3">
      <c r="A1035" s="5" t="s">
        <v>473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IFERROR(ROUND(E1035*VLOOKUP(D1035,商品!#REF!,4,FALSE),0),"")</f>
        <v/>
      </c>
      <c r="Z1035" t="str">
        <f>IFERROR(ROUND(G1035*VLOOKUP(F1035,商品!#REF!,4,FALSE),0),"")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3">
      <c r="A1036" s="5" t="s">
        <v>473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IFERROR(ROUND(E1036*VLOOKUP(D1036,商品!#REF!,4,FALSE),0),"")</f>
        <v/>
      </c>
      <c r="Z1036" t="str">
        <f>IFERROR(ROUND(G1036*VLOOKUP(F1036,商品!#REF!,4,FALSE),0),"")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3">
      <c r="A1037" s="5" t="s">
        <v>473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IFERROR(ROUND(E1037*VLOOKUP(D1037,商品!#REF!,4,FALSE),0),"")</f>
        <v/>
      </c>
      <c r="Z1037" t="str">
        <f>IFERROR(ROUND(G1037*VLOOKUP(F1037,商品!#REF!,4,FALSE),0),"")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3">
      <c r="A1038" s="5" t="s">
        <v>473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IFERROR(ROUND(E1038*VLOOKUP(D1038,商品!#REF!,4,FALSE),0),"")</f>
        <v/>
      </c>
      <c r="Z1038" t="str">
        <f>IFERROR(ROUND(G1038*VLOOKUP(F1038,商品!#REF!,4,FALSE),0),"")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3">
      <c r="A1039" s="18" t="s">
        <v>474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IFERROR(ROUND(E1039*VLOOKUP(D1039,商品!#REF!,4,FALSE),0),"")</f>
        <v/>
      </c>
      <c r="Z1039" t="str">
        <f>IFERROR(ROUND(G1039*VLOOKUP(F1039,商品!#REF!,4,FALSE),0),"")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3">
      <c r="A1040" s="18" t="s">
        <v>474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IFERROR(ROUND(E1040*VLOOKUP(D1040,商品!#REF!,4,FALSE),0),"")</f>
        <v/>
      </c>
      <c r="Z1040" t="str">
        <f>IFERROR(ROUND(G1040*VLOOKUP(F1040,商品!#REF!,4,FALSE),0),"")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3">
      <c r="A1041" s="18" t="s">
        <v>474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IFERROR(ROUND(E1041*VLOOKUP(D1041,商品!#REF!,4,FALSE),0),"")</f>
        <v/>
      </c>
      <c r="Z1041" t="str">
        <f>IFERROR(ROUND(G1041*VLOOKUP(F1041,商品!#REF!,4,FALSE),0),"")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3">
      <c r="A1042" s="18" t="s">
        <v>474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IFERROR(ROUND(E1042*VLOOKUP(D1042,商品!#REF!,4,FALSE),0),"")</f>
        <v/>
      </c>
      <c r="Z1042" t="str">
        <f>IFERROR(ROUND(G1042*VLOOKUP(F1042,商品!#REF!,4,FALSE),0),"")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3">
      <c r="A1043" s="18" t="s">
        <v>474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IFERROR(ROUND(E1043*VLOOKUP(D1043,商品!#REF!,4,FALSE),0),"")</f>
        <v/>
      </c>
      <c r="Z1043" t="str">
        <f>IFERROR(ROUND(G1043*VLOOKUP(F1043,商品!#REF!,4,FALSE),0),"")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3">
      <c r="A1044" s="18" t="s">
        <v>474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IFERROR(ROUND(E1044*VLOOKUP(D1044,商品!#REF!,4,FALSE),0),"")</f>
        <v/>
      </c>
      <c r="Z1044" t="str">
        <f>IFERROR(ROUND(G1044*VLOOKUP(F1044,商品!#REF!,4,FALSE),0),"")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3">
      <c r="A1045" s="18" t="s">
        <v>474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IFERROR(ROUND(E1045*VLOOKUP(D1045,商品!#REF!,4,FALSE),0),"")</f>
        <v/>
      </c>
      <c r="Z1045" t="str">
        <f>IFERROR(ROUND(G1045*VLOOKUP(F1045,商品!#REF!,4,FALSE),0),"")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3">
      <c r="A1046" s="18" t="s">
        <v>474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IFERROR(ROUND(E1046*VLOOKUP(D1046,商品!#REF!,4,FALSE),0),"")</f>
        <v/>
      </c>
      <c r="Z1046" t="str">
        <f>IFERROR(ROUND(G1046*VLOOKUP(F1046,商品!#REF!,4,FALSE),0),"")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3">
      <c r="A1047" s="5" t="s">
        <v>476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IFERROR(ROUND(E1047*VLOOKUP(D1047,商品!#REF!,4,FALSE),0),"")</f>
        <v/>
      </c>
      <c r="Z1047" t="str">
        <f>IFERROR(ROUND(G1047*VLOOKUP(F1047,商品!#REF!,4,FALSE),0),"")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3">
      <c r="A1048" s="5" t="s">
        <v>476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IFERROR(ROUND(E1048*VLOOKUP(D1048,商品!#REF!,4,FALSE),0),"")</f>
        <v/>
      </c>
      <c r="Z1048" t="str">
        <f>IFERROR(ROUND(G1048*VLOOKUP(F1048,商品!#REF!,4,FALSE),0),"")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3">
      <c r="A1049" s="5" t="s">
        <v>476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IFERROR(ROUND(E1049*VLOOKUP(D1049,商品!#REF!,4,FALSE),0),"")</f>
        <v/>
      </c>
      <c r="Z1049" t="str">
        <f>IFERROR(ROUND(G1049*VLOOKUP(F1049,商品!#REF!,4,FALSE),0),"")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3">
      <c r="A1050" s="5" t="s">
        <v>476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IFERROR(ROUND(E1050*VLOOKUP(D1050,商品!#REF!,4,FALSE),0),"")</f>
        <v/>
      </c>
      <c r="Z1050" t="str">
        <f>IFERROR(ROUND(G1050*VLOOKUP(F1050,商品!#REF!,4,FALSE),0),"")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3">
      <c r="A1051" s="5" t="s">
        <v>476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IFERROR(ROUND(E1051*VLOOKUP(D1051,商品!#REF!,4,FALSE),0),"")</f>
        <v/>
      </c>
      <c r="Z1051" t="str">
        <f>IFERROR(ROUND(G1051*VLOOKUP(F1051,商品!#REF!,4,FALSE),0),"")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3">
      <c r="A1052" s="18" t="s">
        <v>477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IFERROR(ROUND(E1052*VLOOKUP(D1052,商品!#REF!,4,FALSE),0),"")</f>
        <v/>
      </c>
      <c r="Z1052" t="str">
        <f>IFERROR(ROUND(G1052*VLOOKUP(F1052,商品!#REF!,4,FALSE),0),"")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3">
      <c r="A1053" s="18" t="s">
        <v>477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IFERROR(ROUND(E1053*VLOOKUP(D1053,商品!#REF!,4,FALSE),0),"")</f>
        <v/>
      </c>
      <c r="Z1053" t="str">
        <f>IFERROR(ROUND(G1053*VLOOKUP(F1053,商品!#REF!,4,FALSE),0),"")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3">
      <c r="A1054" s="18" t="s">
        <v>477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IFERROR(ROUND(E1054*VLOOKUP(D1054,商品!#REF!,4,FALSE),0),"")</f>
        <v/>
      </c>
      <c r="Z1054" t="str">
        <f>IFERROR(ROUND(G1054*VLOOKUP(F1054,商品!#REF!,4,FALSE),0),"")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3">
      <c r="A1055" s="18" t="s">
        <v>477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IFERROR(ROUND(E1055*VLOOKUP(D1055,商品!#REF!,4,FALSE),0),"")</f>
        <v/>
      </c>
      <c r="Z1055" t="str">
        <f>IFERROR(ROUND(G1055*VLOOKUP(F1055,商品!#REF!,4,FALSE),0),"")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3">
      <c r="A1056" s="18" t="s">
        <v>477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IFERROR(ROUND(E1056*VLOOKUP(D1056,商品!#REF!,4,FALSE),0),"")</f>
        <v/>
      </c>
      <c r="Z1056" t="str">
        <f>IFERROR(ROUND(G1056*VLOOKUP(F1056,商品!#REF!,4,FALSE),0),"")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3">
      <c r="A1057" s="5" t="s">
        <v>477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IFERROR(ROUND(E1057*VLOOKUP(D1057,商品!#REF!,4,FALSE),0),"")</f>
        <v/>
      </c>
      <c r="Z1057" t="str">
        <f>IFERROR(ROUND(G1057*VLOOKUP(F1057,商品!#REF!,4,FALSE),0),"")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3">
      <c r="A1058" s="5" t="s">
        <v>477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IFERROR(ROUND(E1058*VLOOKUP(D1058,商品!#REF!,4,FALSE),0),"")</f>
        <v/>
      </c>
      <c r="Z1058" t="str">
        <f>IFERROR(ROUND(G1058*VLOOKUP(F1058,商品!#REF!,4,FALSE),0),"")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3">
      <c r="A1059" s="5" t="s">
        <v>477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IFERROR(ROUND(E1059*VLOOKUP(D1059,商品!#REF!,4,FALSE),0),"")</f>
        <v/>
      </c>
      <c r="Z1059" t="str">
        <f>IFERROR(ROUND(G1059*VLOOKUP(F1059,商品!#REF!,4,FALSE),0),"")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3">
      <c r="A1060" s="5" t="s">
        <v>477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IFERROR(ROUND(E1060*VLOOKUP(D1060,商品!#REF!,4,FALSE),0),"")</f>
        <v/>
      </c>
      <c r="Z1060" t="str">
        <f>IFERROR(ROUND(G1060*VLOOKUP(F1060,商品!#REF!,4,FALSE),0),"")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3">
      <c r="A1061" s="5" t="s">
        <v>477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IFERROR(ROUND(E1061*VLOOKUP(D1061,商品!#REF!,4,FALSE),0),"")</f>
        <v/>
      </c>
      <c r="Z1061" t="str">
        <f>IFERROR(ROUND(G1061*VLOOKUP(F1061,商品!#REF!,4,FALSE),0),"")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3">
      <c r="A1062" s="18" t="s">
        <v>478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IFERROR(ROUND(E1062*VLOOKUP(D1062,商品!#REF!,4,FALSE),0),"")</f>
        <v/>
      </c>
      <c r="Z1062" t="str">
        <f>IFERROR(ROUND(G1062*VLOOKUP(F1062,商品!#REF!,4,FALSE),0),"")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3">
      <c r="A1063" s="18" t="s">
        <v>478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IFERROR(ROUND(E1063*VLOOKUP(D1063,商品!#REF!,4,FALSE),0),"")</f>
        <v/>
      </c>
      <c r="Z1063" t="str">
        <f>IFERROR(ROUND(G1063*VLOOKUP(F1063,商品!#REF!,4,FALSE),0),"")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3">
      <c r="A1064" s="18" t="s">
        <v>478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IFERROR(ROUND(E1064*VLOOKUP(D1064,商品!#REF!,4,FALSE),0),"")</f>
        <v/>
      </c>
      <c r="Z1064" t="str">
        <f>IFERROR(ROUND(G1064*VLOOKUP(F1064,商品!#REF!,4,FALSE),0),"")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3">
      <c r="A1065" s="18" t="s">
        <v>478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IFERROR(ROUND(E1065*VLOOKUP(D1065,商品!#REF!,4,FALSE),0),"")</f>
        <v/>
      </c>
      <c r="Z1065" t="str">
        <f>IFERROR(ROUND(G1065*VLOOKUP(F1065,商品!#REF!,4,FALSE),0),"")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3">
      <c r="A1066" s="18" t="s">
        <v>478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IFERROR(ROUND(E1066*VLOOKUP(D1066,商品!#REF!,4,FALSE),0),"")</f>
        <v/>
      </c>
      <c r="Z1066" t="str">
        <f>IFERROR(ROUND(G1066*VLOOKUP(F1066,商品!#REF!,4,FALSE),0),"")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3">
      <c r="A1067" s="18" t="s">
        <v>478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IFERROR(ROUND(E1067*VLOOKUP(D1067,商品!#REF!,4,FALSE),0),"")</f>
        <v/>
      </c>
      <c r="Z1067" t="str">
        <f>IFERROR(ROUND(G1067*VLOOKUP(F1067,商品!#REF!,4,FALSE),0),"")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3">
      <c r="A1068" s="18" t="s">
        <v>478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IFERROR(ROUND(E1068*VLOOKUP(D1068,商品!#REF!,4,FALSE),0),"")</f>
        <v/>
      </c>
      <c r="Z1068" t="str">
        <f>IFERROR(ROUND(G1068*VLOOKUP(F1068,商品!#REF!,4,FALSE),0),"")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3">
      <c r="A1069" s="18" t="s">
        <v>478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IFERROR(ROUND(E1069*VLOOKUP(D1069,商品!#REF!,4,FALSE),0),"")</f>
        <v/>
      </c>
      <c r="Z1069" t="str">
        <f>IFERROR(ROUND(G1069*VLOOKUP(F1069,商品!#REF!,4,FALSE),0),"")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3">
      <c r="A1070" s="5" t="s">
        <v>480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IFERROR(ROUND(E1070*VLOOKUP(D1070,商品!#REF!,4,FALSE),0),"")</f>
        <v/>
      </c>
      <c r="Z1070" t="str">
        <f>IFERROR(ROUND(G1070*VLOOKUP(F1070,商品!#REF!,4,FALSE),0),"")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3">
      <c r="A1071" s="5" t="s">
        <v>480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IFERROR(ROUND(E1071*VLOOKUP(D1071,商品!#REF!,4,FALSE),0),"")</f>
        <v/>
      </c>
      <c r="Z1071" t="str">
        <f>IFERROR(ROUND(G1071*VLOOKUP(F1071,商品!#REF!,4,FALSE),0),"")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3">
      <c r="A1072" s="5" t="s">
        <v>480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IFERROR(ROUND(E1072*VLOOKUP(D1072,商品!#REF!,4,FALSE),0),"")</f>
        <v/>
      </c>
      <c r="Z1072" t="str">
        <f>IFERROR(ROUND(G1072*VLOOKUP(F1072,商品!#REF!,4,FALSE),0),"")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3">
      <c r="A1073" s="5" t="s">
        <v>480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IFERROR(ROUND(E1073*VLOOKUP(D1073,商品!#REF!,4,FALSE),0),"")</f>
        <v/>
      </c>
      <c r="Z1073" t="str">
        <f>IFERROR(ROUND(G1073*VLOOKUP(F1073,商品!#REF!,4,FALSE),0),"")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3">
      <c r="A1074" s="5" t="s">
        <v>480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IFERROR(ROUND(E1074*VLOOKUP(D1074,商品!#REF!,4,FALSE),0),"")</f>
        <v/>
      </c>
      <c r="Z1074" t="str">
        <f>IFERROR(ROUND(G1074*VLOOKUP(F1074,商品!#REF!,4,FALSE),0),"")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3">
      <c r="A1075" s="18" t="s">
        <v>481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IFERROR(ROUND(E1075*VLOOKUP(D1075,商品!#REF!,4,FALSE),0),"")</f>
        <v/>
      </c>
      <c r="Z1075" t="str">
        <f>IFERROR(ROUND(G1075*VLOOKUP(F1075,商品!#REF!,4,FALSE),0),"")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3">
      <c r="A1076" s="18" t="s">
        <v>481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IFERROR(ROUND(E1076*VLOOKUP(D1076,商品!#REF!,4,FALSE),0),"")</f>
        <v/>
      </c>
      <c r="Z1076" t="str">
        <f>IFERROR(ROUND(G1076*VLOOKUP(F1076,商品!#REF!,4,FALSE),0),"")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3">
      <c r="A1077" s="18" t="s">
        <v>481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IFERROR(ROUND(E1077*VLOOKUP(D1077,商品!#REF!,4,FALSE),0),"")</f>
        <v/>
      </c>
      <c r="Z1077" t="str">
        <f>IFERROR(ROUND(G1077*VLOOKUP(F1077,商品!#REF!,4,FALSE),0),"")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3">
      <c r="A1078" s="18" t="s">
        <v>481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IFERROR(ROUND(E1078*VLOOKUP(D1078,商品!#REF!,4,FALSE),0),"")</f>
        <v/>
      </c>
      <c r="Z1078" t="str">
        <f>IFERROR(ROUND(G1078*VLOOKUP(F1078,商品!#REF!,4,FALSE),0),"")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3">
      <c r="A1079" s="18" t="s">
        <v>481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IFERROR(ROUND(E1079*VLOOKUP(D1079,商品!#REF!,4,FALSE),0),"")</f>
        <v/>
      </c>
      <c r="Z1079" t="str">
        <f>IFERROR(ROUND(G1079*VLOOKUP(F1079,商品!#REF!,4,FALSE),0),"")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3">
      <c r="A1080" s="5" t="s">
        <v>481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IFERROR(ROUND(E1080*VLOOKUP(D1080,商品!#REF!,4,FALSE),0),"")</f>
        <v/>
      </c>
      <c r="Z1080" t="str">
        <f>IFERROR(ROUND(G1080*VLOOKUP(F1080,商品!#REF!,4,FALSE),0),"")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3">
      <c r="A1081" s="5" t="s">
        <v>481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IFERROR(ROUND(E1081*VLOOKUP(D1081,商品!#REF!,4,FALSE),0),"")</f>
        <v/>
      </c>
      <c r="Z1081" t="str">
        <f>IFERROR(ROUND(G1081*VLOOKUP(F1081,商品!#REF!,4,FALSE),0),"")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3">
      <c r="A1082" s="5" t="s">
        <v>481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IFERROR(ROUND(E1082*VLOOKUP(D1082,商品!#REF!,4,FALSE),0),"")</f>
        <v/>
      </c>
      <c r="Z1082" t="str">
        <f>IFERROR(ROUND(G1082*VLOOKUP(F1082,商品!#REF!,4,FALSE),0),"")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3">
      <c r="A1083" s="5" t="s">
        <v>481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IFERROR(ROUND(E1083*VLOOKUP(D1083,商品!#REF!,4,FALSE),0),"")</f>
        <v/>
      </c>
      <c r="Z1083" t="str">
        <f>IFERROR(ROUND(G1083*VLOOKUP(F1083,商品!#REF!,4,FALSE),0),"")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3">
      <c r="A1084" s="5" t="s">
        <v>481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IFERROR(ROUND(E1084*VLOOKUP(D1084,商品!#REF!,4,FALSE),0),"")</f>
        <v/>
      </c>
      <c r="Z1084" t="str">
        <f>IFERROR(ROUND(G1084*VLOOKUP(F1084,商品!#REF!,4,FALSE),0),"")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3">
      <c r="A1085" s="18" t="s">
        <v>482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IFERROR(ROUND(E1085*VLOOKUP(D1085,商品!#REF!,4,FALSE),0),"")</f>
        <v/>
      </c>
      <c r="Z1085" t="str">
        <f>IFERROR(ROUND(G1085*VLOOKUP(F1085,商品!#REF!,4,FALSE),0),"")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3">
      <c r="A1086" s="18" t="s">
        <v>482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IFERROR(ROUND(E1086*VLOOKUP(D1086,商品!#REF!,4,FALSE),0),"")</f>
        <v/>
      </c>
      <c r="Z1086" t="str">
        <f>IFERROR(ROUND(G1086*VLOOKUP(F1086,商品!#REF!,4,FALSE),0),"")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3">
      <c r="A1087" s="18" t="s">
        <v>482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IFERROR(ROUND(E1087*VLOOKUP(D1087,商品!#REF!,4,FALSE),0),"")</f>
        <v/>
      </c>
      <c r="Z1087" t="str">
        <f>IFERROR(ROUND(G1087*VLOOKUP(F1087,商品!#REF!,4,FALSE),0),"")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3">
      <c r="A1088" s="18" t="s">
        <v>482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IFERROR(ROUND(E1088*VLOOKUP(D1088,商品!#REF!,4,FALSE),0),"")</f>
        <v/>
      </c>
      <c r="Z1088" t="str">
        <f>IFERROR(ROUND(G1088*VLOOKUP(F1088,商品!#REF!,4,FALSE),0),"")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3">
      <c r="A1089" s="18" t="s">
        <v>482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IFERROR(ROUND(E1089*VLOOKUP(D1089,商品!#REF!,4,FALSE),0),"")</f>
        <v/>
      </c>
      <c r="Z1089" t="str">
        <f>IFERROR(ROUND(G1089*VLOOKUP(F1089,商品!#REF!,4,FALSE),0),"")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3">
      <c r="A1090" s="18" t="s">
        <v>482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IFERROR(ROUND(E1090*VLOOKUP(D1090,商品!#REF!,4,FALSE),0),"")</f>
        <v/>
      </c>
      <c r="Z1090" t="str">
        <f>IFERROR(ROUND(G1090*VLOOKUP(F1090,商品!#REF!,4,FALSE),0),"")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3">
      <c r="A1091" s="18" t="s">
        <v>482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IFERROR(ROUND(E1091*VLOOKUP(D1091,商品!#REF!,4,FALSE),0),"")</f>
        <v/>
      </c>
      <c r="Z1091" t="str">
        <f>IFERROR(ROUND(G1091*VLOOKUP(F1091,商品!#REF!,4,FALSE),0),"")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3">
      <c r="A1092" s="18" t="s">
        <v>482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IFERROR(ROUND(E1092*VLOOKUP(D1092,商品!#REF!,4,FALSE),0),"")</f>
        <v/>
      </c>
      <c r="Z1092" t="str">
        <f>IFERROR(ROUND(G1092*VLOOKUP(F1092,商品!#REF!,4,FALSE),0),"")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3">
      <c r="A1093" s="5" t="s">
        <v>484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IFERROR(ROUND(E1093*VLOOKUP(D1093,商品!#REF!,4,FALSE),0),"")</f>
        <v/>
      </c>
      <c r="Z1093" t="str">
        <f>IFERROR(ROUND(G1093*VLOOKUP(F1093,商品!#REF!,4,FALSE),0),"")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3">
      <c r="A1094" s="5" t="s">
        <v>484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IFERROR(ROUND(E1094*VLOOKUP(D1094,商品!#REF!,4,FALSE),0),"")</f>
        <v/>
      </c>
      <c r="Z1094" t="str">
        <f>IFERROR(ROUND(G1094*VLOOKUP(F1094,商品!#REF!,4,FALSE),0),"")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3">
      <c r="A1095" s="5" t="s">
        <v>484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IFERROR(ROUND(E1095*VLOOKUP(D1095,商品!#REF!,4,FALSE),0),"")</f>
        <v/>
      </c>
      <c r="Z1095" t="str">
        <f>IFERROR(ROUND(G1095*VLOOKUP(F1095,商品!#REF!,4,FALSE),0),"")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3">
      <c r="A1096" s="5" t="s">
        <v>484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IFERROR(ROUND(E1096*VLOOKUP(D1096,商品!#REF!,4,FALSE),0),"")</f>
        <v/>
      </c>
      <c r="Z1096" t="str">
        <f>IFERROR(ROUND(G1096*VLOOKUP(F1096,商品!#REF!,4,FALSE),0),"")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3">
      <c r="A1097" s="5" t="s">
        <v>484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IFERROR(ROUND(E1097*VLOOKUP(D1097,商品!#REF!,4,FALSE),0),"")</f>
        <v/>
      </c>
      <c r="Z1097" t="str">
        <f>IFERROR(ROUND(G1097*VLOOKUP(F1097,商品!#REF!,4,FALSE),0),"")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3">
      <c r="A1098" s="18" t="s">
        <v>485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IFERROR(ROUND(E1098*VLOOKUP(D1098,商品!#REF!,4,FALSE),0),"")</f>
        <v/>
      </c>
      <c r="Z1098" t="str">
        <f>IFERROR(ROUND(G1098*VLOOKUP(F1098,商品!#REF!,4,FALSE),0),"")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3">
      <c r="A1099" s="18" t="s">
        <v>485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IFERROR(ROUND(E1099*VLOOKUP(D1099,商品!#REF!,4,FALSE),0),"")</f>
        <v/>
      </c>
      <c r="Z1099" t="str">
        <f>IFERROR(ROUND(G1099*VLOOKUP(F1099,商品!#REF!,4,FALSE),0),"")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3">
      <c r="A1100" s="18" t="s">
        <v>485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IFERROR(ROUND(E1100*VLOOKUP(D1100,商品!#REF!,4,FALSE),0),"")</f>
        <v/>
      </c>
      <c r="Z1100" t="str">
        <f>IFERROR(ROUND(G1100*VLOOKUP(F1100,商品!#REF!,4,FALSE),0),"")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3">
      <c r="A1101" s="18" t="s">
        <v>485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IFERROR(ROUND(E1101*VLOOKUP(D1101,商品!#REF!,4,FALSE),0),"")</f>
        <v/>
      </c>
      <c r="Z1101" t="str">
        <f>IFERROR(ROUND(G1101*VLOOKUP(F1101,商品!#REF!,4,FALSE),0),"")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3">
      <c r="A1102" s="18" t="s">
        <v>485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IFERROR(ROUND(E1102*VLOOKUP(D1102,商品!#REF!,4,FALSE),0),"")</f>
        <v/>
      </c>
      <c r="Z1102" t="str">
        <f>IFERROR(ROUND(G1102*VLOOKUP(F1102,商品!#REF!,4,FALSE),0),"")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3">
      <c r="A1103" s="5" t="s">
        <v>485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IFERROR(ROUND(E1103*VLOOKUP(D1103,商品!#REF!,4,FALSE),0),"")</f>
        <v/>
      </c>
      <c r="Z1103" t="str">
        <f>IFERROR(ROUND(G1103*VLOOKUP(F1103,商品!#REF!,4,FALSE),0),"")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3">
      <c r="A1104" s="5" t="s">
        <v>485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IFERROR(ROUND(E1104*VLOOKUP(D1104,商品!#REF!,4,FALSE),0),"")</f>
        <v/>
      </c>
      <c r="Z1104" t="str">
        <f>IFERROR(ROUND(G1104*VLOOKUP(F1104,商品!#REF!,4,FALSE),0),"")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3">
      <c r="A1105" s="5" t="s">
        <v>485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IFERROR(ROUND(E1105*VLOOKUP(D1105,商品!#REF!,4,FALSE),0),"")</f>
        <v/>
      </c>
      <c r="Z1105" t="str">
        <f>IFERROR(ROUND(G1105*VLOOKUP(F1105,商品!#REF!,4,FALSE),0),"")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3">
      <c r="A1106" s="5" t="s">
        <v>485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IFERROR(ROUND(E1106*VLOOKUP(D1106,商品!#REF!,4,FALSE),0),"")</f>
        <v/>
      </c>
      <c r="Z1106" t="str">
        <f>IFERROR(ROUND(G1106*VLOOKUP(F1106,商品!#REF!,4,FALSE),0),"")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3">
      <c r="A1107" s="5" t="s">
        <v>485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IFERROR(ROUND(E1107*VLOOKUP(D1107,商品!#REF!,4,FALSE),0),"")</f>
        <v/>
      </c>
      <c r="Z1107" t="str">
        <f>IFERROR(ROUND(G1107*VLOOKUP(F1107,商品!#REF!,4,FALSE),0),"")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3">
      <c r="A1108" s="18" t="s">
        <v>486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IFERROR(ROUND(E1108*VLOOKUP(D1108,商品!#REF!,4,FALSE),0),"")</f>
        <v/>
      </c>
      <c r="Z1108" t="str">
        <f>IFERROR(ROUND(G1108*VLOOKUP(F1108,商品!#REF!,4,FALSE),0),"")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3">
      <c r="A1109" s="18" t="s">
        <v>486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IFERROR(ROUND(E1109*VLOOKUP(D1109,商品!#REF!,4,FALSE),0),"")</f>
        <v/>
      </c>
      <c r="Z1109" t="str">
        <f>IFERROR(ROUND(G1109*VLOOKUP(F1109,商品!#REF!,4,FALSE),0),"")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3">
      <c r="A1110" s="18" t="s">
        <v>486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IFERROR(ROUND(E1110*VLOOKUP(D1110,商品!#REF!,4,FALSE),0),"")</f>
        <v/>
      </c>
      <c r="Z1110" t="str">
        <f>IFERROR(ROUND(G1110*VLOOKUP(F1110,商品!#REF!,4,FALSE),0),"")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3">
      <c r="A1111" s="18" t="s">
        <v>486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IFERROR(ROUND(E1111*VLOOKUP(D1111,商品!#REF!,4,FALSE),0),"")</f>
        <v/>
      </c>
      <c r="Z1111" t="str">
        <f>IFERROR(ROUND(G1111*VLOOKUP(F1111,商品!#REF!,4,FALSE),0),"")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3">
      <c r="A1112" s="18" t="s">
        <v>486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IFERROR(ROUND(E1112*VLOOKUP(D1112,商品!#REF!,4,FALSE),0),"")</f>
        <v/>
      </c>
      <c r="Z1112" t="str">
        <f>IFERROR(ROUND(G1112*VLOOKUP(F1112,商品!#REF!,4,FALSE),0),"")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3">
      <c r="A1113" s="18" t="s">
        <v>486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IFERROR(ROUND(E1113*VLOOKUP(D1113,商品!#REF!,4,FALSE),0),"")</f>
        <v/>
      </c>
      <c r="Z1113" t="str">
        <f>IFERROR(ROUND(G1113*VLOOKUP(F1113,商品!#REF!,4,FALSE),0),"")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3">
      <c r="A1114" s="18" t="s">
        <v>486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IFERROR(ROUND(E1114*VLOOKUP(D1114,商品!#REF!,4,FALSE),0),"")</f>
        <v/>
      </c>
      <c r="Z1114" t="str">
        <f>IFERROR(ROUND(G1114*VLOOKUP(F1114,商品!#REF!,4,FALSE),0),"")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3">
      <c r="A1115" s="18" t="s">
        <v>486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IFERROR(ROUND(E1115*VLOOKUP(D1115,商品!#REF!,4,FALSE),0),"")</f>
        <v/>
      </c>
      <c r="Z1115" t="str">
        <f>IFERROR(ROUND(G1115*VLOOKUP(F1115,商品!#REF!,4,FALSE),0),"")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3">
      <c r="A1116" s="5" t="s">
        <v>488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IFERROR(ROUND(E1116*VLOOKUP(D1116,商品!#REF!,4,FALSE),0),"")</f>
        <v/>
      </c>
      <c r="Z1116" t="str">
        <f>IFERROR(ROUND(G1116*VLOOKUP(F1116,商品!#REF!,4,FALSE),0),"")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3">
      <c r="A1117" s="5" t="s">
        <v>488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IFERROR(ROUND(E1117*VLOOKUP(D1117,商品!#REF!,4,FALSE),0),"")</f>
        <v/>
      </c>
      <c r="Z1117" t="str">
        <f>IFERROR(ROUND(G1117*VLOOKUP(F1117,商品!#REF!,4,FALSE),0),"")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3">
      <c r="A1118" s="5" t="s">
        <v>488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IFERROR(ROUND(E1118*VLOOKUP(D1118,商品!#REF!,4,FALSE),0),"")</f>
        <v/>
      </c>
      <c r="Z1118" t="str">
        <f>IFERROR(ROUND(G1118*VLOOKUP(F1118,商品!#REF!,4,FALSE),0),"")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3">
      <c r="A1119" s="5" t="s">
        <v>488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IFERROR(ROUND(E1119*VLOOKUP(D1119,商品!#REF!,4,FALSE),0),"")</f>
        <v/>
      </c>
      <c r="Z1119" t="str">
        <f>IFERROR(ROUND(G1119*VLOOKUP(F1119,商品!#REF!,4,FALSE),0),"")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3">
      <c r="A1120" s="5" t="s">
        <v>488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IFERROR(ROUND(E1120*VLOOKUP(D1120,商品!#REF!,4,FALSE),0),"")</f>
        <v/>
      </c>
      <c r="Z1120" t="str">
        <f>IFERROR(ROUND(G1120*VLOOKUP(F1120,商品!#REF!,4,FALSE),0),"")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3">
      <c r="A1121" s="18" t="s">
        <v>489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IFERROR(ROUND(E1121*VLOOKUP(D1121,商品!#REF!,4,FALSE),0),"")</f>
        <v/>
      </c>
      <c r="Z1121" t="str">
        <f>IFERROR(ROUND(G1121*VLOOKUP(F1121,商品!#REF!,4,FALSE),0),"")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3">
      <c r="A1122" s="18" t="s">
        <v>489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IFERROR(ROUND(E1122*VLOOKUP(D1122,商品!#REF!,4,FALSE),0),"")</f>
        <v/>
      </c>
      <c r="Z1122" t="str">
        <f>IFERROR(ROUND(G1122*VLOOKUP(F1122,商品!#REF!,4,FALSE),0),"")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3">
      <c r="A1123" s="18" t="s">
        <v>489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IFERROR(ROUND(E1123*VLOOKUP(D1123,商品!#REF!,4,FALSE),0),"")</f>
        <v/>
      </c>
      <c r="Z1123" t="str">
        <f>IFERROR(ROUND(G1123*VLOOKUP(F1123,商品!#REF!,4,FALSE),0),"")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3">
      <c r="A1124" s="18" t="s">
        <v>489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IFERROR(ROUND(E1124*VLOOKUP(D1124,商品!#REF!,4,FALSE),0),"")</f>
        <v/>
      </c>
      <c r="Z1124" t="str">
        <f>IFERROR(ROUND(G1124*VLOOKUP(F1124,商品!#REF!,4,FALSE),0),"")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3">
      <c r="A1125" s="18" t="s">
        <v>489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IFERROR(ROUND(E1125*VLOOKUP(D1125,商品!#REF!,4,FALSE),0),"")</f>
        <v/>
      </c>
      <c r="Z1125" t="str">
        <f>IFERROR(ROUND(G1125*VLOOKUP(F1125,商品!#REF!,4,FALSE),0),"")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3">
      <c r="A1126" s="5" t="s">
        <v>489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IFERROR(ROUND(E1126*VLOOKUP(D1126,商品!#REF!,4,FALSE),0),"")</f>
        <v/>
      </c>
      <c r="Z1126" t="str">
        <f>IFERROR(ROUND(G1126*VLOOKUP(F1126,商品!#REF!,4,FALSE),0),"")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3">
      <c r="A1127" s="5" t="s">
        <v>489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IFERROR(ROUND(E1127*VLOOKUP(D1127,商品!#REF!,4,FALSE),0),"")</f>
        <v/>
      </c>
      <c r="Z1127" t="str">
        <f>IFERROR(ROUND(G1127*VLOOKUP(F1127,商品!#REF!,4,FALSE),0),"")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3">
      <c r="A1128" s="5" t="s">
        <v>489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IFERROR(ROUND(E1128*VLOOKUP(D1128,商品!#REF!,4,FALSE),0),"")</f>
        <v/>
      </c>
      <c r="Z1128" t="str">
        <f>IFERROR(ROUND(G1128*VLOOKUP(F1128,商品!#REF!,4,FALSE),0),"")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3">
      <c r="A1129" s="5" t="s">
        <v>489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IFERROR(ROUND(E1129*VLOOKUP(D1129,商品!#REF!,4,FALSE),0),"")</f>
        <v/>
      </c>
      <c r="Z1129" t="str">
        <f>IFERROR(ROUND(G1129*VLOOKUP(F1129,商品!#REF!,4,FALSE),0),"")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3">
      <c r="A1130" s="5" t="s">
        <v>489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IFERROR(ROUND(E1130*VLOOKUP(D1130,商品!#REF!,4,FALSE),0),"")</f>
        <v/>
      </c>
      <c r="Z1130" t="str">
        <f>IFERROR(ROUND(G1130*VLOOKUP(F1130,商品!#REF!,4,FALSE),0),"")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3">
      <c r="A1131" s="18" t="s">
        <v>490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IFERROR(ROUND(E1131*VLOOKUP(D1131,商品!#REF!,4,FALSE),0),"")</f>
        <v/>
      </c>
      <c r="Z1131" t="str">
        <f>IFERROR(ROUND(G1131*VLOOKUP(F1131,商品!#REF!,4,FALSE),0),"")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3">
      <c r="A1132" s="18" t="s">
        <v>490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IFERROR(ROUND(E1132*VLOOKUP(D1132,商品!#REF!,4,FALSE),0),"")</f>
        <v/>
      </c>
      <c r="Z1132" t="str">
        <f>IFERROR(ROUND(G1132*VLOOKUP(F1132,商品!#REF!,4,FALSE),0),"")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3">
      <c r="A1133" s="18" t="s">
        <v>490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IFERROR(ROUND(E1133*VLOOKUP(D1133,商品!#REF!,4,FALSE),0),"")</f>
        <v/>
      </c>
      <c r="Z1133" t="str">
        <f>IFERROR(ROUND(G1133*VLOOKUP(F1133,商品!#REF!,4,FALSE),0),"")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3">
      <c r="A1134" s="18" t="s">
        <v>490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IFERROR(ROUND(E1134*VLOOKUP(D1134,商品!#REF!,4,FALSE),0),"")</f>
        <v/>
      </c>
      <c r="Z1134" t="str">
        <f>IFERROR(ROUND(G1134*VLOOKUP(F1134,商品!#REF!,4,FALSE),0),"")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3">
      <c r="A1135" s="18" t="s">
        <v>490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IFERROR(ROUND(E1135*VLOOKUP(D1135,商品!#REF!,4,FALSE),0),"")</f>
        <v/>
      </c>
      <c r="Z1135" t="str">
        <f>IFERROR(ROUND(G1135*VLOOKUP(F1135,商品!#REF!,4,FALSE),0),"")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3">
      <c r="A1136" s="18" t="s">
        <v>490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IFERROR(ROUND(E1136*VLOOKUP(D1136,商品!#REF!,4,FALSE),0),"")</f>
        <v/>
      </c>
      <c r="Z1136" t="str">
        <f>IFERROR(ROUND(G1136*VLOOKUP(F1136,商品!#REF!,4,FALSE),0),"")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3">
      <c r="A1137" s="18" t="s">
        <v>490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IFERROR(ROUND(E1137*VLOOKUP(D1137,商品!#REF!,4,FALSE),0),"")</f>
        <v/>
      </c>
      <c r="Z1137" t="str">
        <f>IFERROR(ROUND(G1137*VLOOKUP(F1137,商品!#REF!,4,FALSE),0),"")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3">
      <c r="A1138" s="18" t="s">
        <v>490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IFERROR(ROUND(E1138*VLOOKUP(D1138,商品!#REF!,4,FALSE),0),"")</f>
        <v/>
      </c>
      <c r="Z1138" t="str">
        <f>IFERROR(ROUND(G1138*VLOOKUP(F1138,商品!#REF!,4,FALSE),0),"")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3">
      <c r="A1139" s="5" t="s">
        <v>492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IFERROR(ROUND(E1139*VLOOKUP(D1139,商品!#REF!,4,FALSE),0),"")</f>
        <v/>
      </c>
      <c r="Z1139" t="str">
        <f>IFERROR(ROUND(G1139*VLOOKUP(F1139,商品!#REF!,4,FALSE),0),"")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3">
      <c r="A1140" s="5" t="s">
        <v>492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IFERROR(ROUND(E1140*VLOOKUP(D1140,商品!#REF!,4,FALSE),0),"")</f>
        <v/>
      </c>
      <c r="Z1140" t="str">
        <f>IFERROR(ROUND(G1140*VLOOKUP(F1140,商品!#REF!,4,FALSE),0),"")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3">
      <c r="A1141" s="5" t="s">
        <v>492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IFERROR(ROUND(E1141*VLOOKUP(D1141,商品!#REF!,4,FALSE),0),"")</f>
        <v/>
      </c>
      <c r="Z1141" t="str">
        <f>IFERROR(ROUND(G1141*VLOOKUP(F1141,商品!#REF!,4,FALSE),0),"")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3">
      <c r="A1142" s="5" t="s">
        <v>492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IFERROR(ROUND(E1142*VLOOKUP(D1142,商品!#REF!,4,FALSE),0),"")</f>
        <v/>
      </c>
      <c r="Z1142" t="str">
        <f>IFERROR(ROUND(G1142*VLOOKUP(F1142,商品!#REF!,4,FALSE),0),"")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3">
      <c r="A1143" s="5" t="s">
        <v>492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IFERROR(ROUND(E1143*VLOOKUP(D1143,商品!#REF!,4,FALSE),0),"")</f>
        <v/>
      </c>
      <c r="Z1143" t="str">
        <f>IFERROR(ROUND(G1143*VLOOKUP(F1143,商品!#REF!,4,FALSE),0),"")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3">
      <c r="A1144" s="18" t="s">
        <v>493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IFERROR(ROUND(E1144*VLOOKUP(D1144,商品!#REF!,4,FALSE),0),"")</f>
        <v/>
      </c>
      <c r="Z1144" t="str">
        <f>IFERROR(ROUND(G1144*VLOOKUP(F1144,商品!#REF!,4,FALSE),0),"")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3">
      <c r="A1145" s="18" t="s">
        <v>493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IFERROR(ROUND(E1145*VLOOKUP(D1145,商品!#REF!,4,FALSE),0),"")</f>
        <v/>
      </c>
      <c r="Z1145" t="str">
        <f>IFERROR(ROUND(G1145*VLOOKUP(F1145,商品!#REF!,4,FALSE),0),"")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3">
      <c r="A1146" s="18" t="s">
        <v>493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IFERROR(ROUND(E1146*VLOOKUP(D1146,商品!#REF!,4,FALSE),0),"")</f>
        <v/>
      </c>
      <c r="Z1146" t="str">
        <f>IFERROR(ROUND(G1146*VLOOKUP(F1146,商品!#REF!,4,FALSE),0),"")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3">
      <c r="A1147" s="18" t="s">
        <v>493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IFERROR(ROUND(E1147*VLOOKUP(D1147,商品!#REF!,4,FALSE),0),"")</f>
        <v/>
      </c>
      <c r="Z1147" t="str">
        <f>IFERROR(ROUND(G1147*VLOOKUP(F1147,商品!#REF!,4,FALSE),0),"")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3">
      <c r="A1148" s="18" t="s">
        <v>493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IFERROR(ROUND(E1148*VLOOKUP(D1148,商品!#REF!,4,FALSE),0),"")</f>
        <v/>
      </c>
      <c r="Z1148" t="str">
        <f>IFERROR(ROUND(G1148*VLOOKUP(F1148,商品!#REF!,4,FALSE),0),"")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3">
      <c r="A1149" s="5" t="s">
        <v>493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IFERROR(ROUND(E1149*VLOOKUP(D1149,商品!#REF!,4,FALSE),0),"")</f>
        <v/>
      </c>
      <c r="Z1149" t="str">
        <f>IFERROR(ROUND(G1149*VLOOKUP(F1149,商品!#REF!,4,FALSE),0),"")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3">
      <c r="A1150" s="5" t="s">
        <v>493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IFERROR(ROUND(E1150*VLOOKUP(D1150,商品!#REF!,4,FALSE),0),"")</f>
        <v/>
      </c>
      <c r="Z1150" t="str">
        <f>IFERROR(ROUND(G1150*VLOOKUP(F1150,商品!#REF!,4,FALSE),0),"")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3">
      <c r="A1151" s="5" t="s">
        <v>493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IFERROR(ROUND(E1151*VLOOKUP(D1151,商品!#REF!,4,FALSE),0),"")</f>
        <v/>
      </c>
      <c r="Z1151" t="str">
        <f>IFERROR(ROUND(G1151*VLOOKUP(F1151,商品!#REF!,4,FALSE),0),"")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3">
      <c r="A1152" s="5" t="s">
        <v>493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IFERROR(ROUND(E1152*VLOOKUP(D1152,商品!#REF!,4,FALSE),0),"")</f>
        <v/>
      </c>
      <c r="Z1152" t="str">
        <f>IFERROR(ROUND(G1152*VLOOKUP(F1152,商品!#REF!,4,FALSE),0),"")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3">
      <c r="A1153" s="5" t="s">
        <v>493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IFERROR(ROUND(E1153*VLOOKUP(D1153,商品!#REF!,4,FALSE),0),"")</f>
        <v/>
      </c>
      <c r="Z1153" t="str">
        <f>IFERROR(ROUND(G1153*VLOOKUP(F1153,商品!#REF!,4,FALSE),0),"")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3">
      <c r="A1154" s="18" t="s">
        <v>494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IFERROR(ROUND(E1154*VLOOKUP(D1154,商品!#REF!,4,FALSE),0),"")</f>
        <v/>
      </c>
      <c r="Z1154" t="str">
        <f>IFERROR(ROUND(G1154*VLOOKUP(F1154,商品!#REF!,4,FALSE),0),"")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3">
      <c r="A1155" s="18" t="s">
        <v>494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IFERROR(ROUND(E1155*VLOOKUP(D1155,商品!#REF!,4,FALSE),0),"")</f>
        <v/>
      </c>
      <c r="Z1155" t="str">
        <f>IFERROR(ROUND(G1155*VLOOKUP(F1155,商品!#REF!,4,FALSE),0),"")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3">
      <c r="A1156" s="18" t="s">
        <v>494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IFERROR(ROUND(E1156*VLOOKUP(D1156,商品!#REF!,4,FALSE),0),"")</f>
        <v/>
      </c>
      <c r="Z1156" t="str">
        <f>IFERROR(ROUND(G1156*VLOOKUP(F1156,商品!#REF!,4,FALSE),0),"")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3">
      <c r="A1157" s="18" t="s">
        <v>494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IFERROR(ROUND(E1157*VLOOKUP(D1157,商品!#REF!,4,FALSE),0),"")</f>
        <v/>
      </c>
      <c r="Z1157" t="str">
        <f>IFERROR(ROUND(G1157*VLOOKUP(F1157,商品!#REF!,4,FALSE),0),"")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3">
      <c r="A1158" s="18" t="s">
        <v>494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IFERROR(ROUND(E1158*VLOOKUP(D1158,商品!#REF!,4,FALSE),0),"")</f>
        <v/>
      </c>
      <c r="Z1158" t="str">
        <f>IFERROR(ROUND(G1158*VLOOKUP(F1158,商品!#REF!,4,FALSE),0),"")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3">
      <c r="A1159" s="18" t="s">
        <v>494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IFERROR(ROUND(E1159*VLOOKUP(D1159,商品!#REF!,4,FALSE),0),"")</f>
        <v/>
      </c>
      <c r="Z1159" t="str">
        <f>IFERROR(ROUND(G1159*VLOOKUP(F1159,商品!#REF!,4,FALSE),0),"")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3">
      <c r="A1160" s="18" t="s">
        <v>494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IFERROR(ROUND(E1160*VLOOKUP(D1160,商品!#REF!,4,FALSE),0),"")</f>
        <v/>
      </c>
      <c r="Z1160" t="str">
        <f>IFERROR(ROUND(G1160*VLOOKUP(F1160,商品!#REF!,4,FALSE),0),"")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3">
      <c r="A1161" s="18" t="s">
        <v>494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IFERROR(ROUND(E1161*VLOOKUP(D1161,商品!#REF!,4,FALSE),0),"")</f>
        <v/>
      </c>
      <c r="Z1161" t="str">
        <f>IFERROR(ROUND(G1161*VLOOKUP(F1161,商品!#REF!,4,FALSE),0),"")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3">
      <c r="A1162" s="5" t="s">
        <v>496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IFERROR(ROUND(E1162*VLOOKUP(D1162,商品!#REF!,4,FALSE),0),"")</f>
        <v/>
      </c>
      <c r="Z1162" t="str">
        <f>IFERROR(ROUND(G1162*VLOOKUP(F1162,商品!#REF!,4,FALSE),0),"")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3">
      <c r="A1163" s="5" t="s">
        <v>496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IFERROR(ROUND(E1163*VLOOKUP(D1163,商品!#REF!,4,FALSE),0),"")</f>
        <v/>
      </c>
      <c r="Z1163" t="str">
        <f>IFERROR(ROUND(G1163*VLOOKUP(F1163,商品!#REF!,4,FALSE),0),"")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3">
      <c r="A1164" s="5" t="s">
        <v>496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IFERROR(ROUND(E1164*VLOOKUP(D1164,商品!#REF!,4,FALSE),0),"")</f>
        <v/>
      </c>
      <c r="Z1164" t="str">
        <f>IFERROR(ROUND(G1164*VLOOKUP(F1164,商品!#REF!,4,FALSE),0),"")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3">
      <c r="A1165" s="5" t="s">
        <v>496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IFERROR(ROUND(E1165*VLOOKUP(D1165,商品!#REF!,4,FALSE),0),"")</f>
        <v/>
      </c>
      <c r="Z1165" t="str">
        <f>IFERROR(ROUND(G1165*VLOOKUP(F1165,商品!#REF!,4,FALSE),0),"")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3">
      <c r="A1166" s="5" t="s">
        <v>496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IFERROR(ROUND(E1166*VLOOKUP(D1166,商品!#REF!,4,FALSE),0),"")</f>
        <v/>
      </c>
      <c r="Z1166" t="str">
        <f>IFERROR(ROUND(G1166*VLOOKUP(F1166,商品!#REF!,4,FALSE),0),"")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3">
      <c r="A1167" s="18" t="s">
        <v>497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IFERROR(ROUND(E1167*VLOOKUP(D1167,商品!#REF!,4,FALSE),0),"")</f>
        <v/>
      </c>
      <c r="Z1167" t="str">
        <f>IFERROR(ROUND(G1167*VLOOKUP(F1167,商品!#REF!,4,FALSE),0),"")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3">
      <c r="A1168" s="18" t="s">
        <v>497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IFERROR(ROUND(E1168*VLOOKUP(D1168,商品!#REF!,4,FALSE),0),"")</f>
        <v/>
      </c>
      <c r="Z1168" t="str">
        <f>IFERROR(ROUND(G1168*VLOOKUP(F1168,商品!#REF!,4,FALSE),0),"")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3">
      <c r="A1169" s="18" t="s">
        <v>497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IFERROR(ROUND(E1169*VLOOKUP(D1169,商品!#REF!,4,FALSE),0),"")</f>
        <v/>
      </c>
      <c r="Z1169" t="str">
        <f>IFERROR(ROUND(G1169*VLOOKUP(F1169,商品!#REF!,4,FALSE),0),"")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3">
      <c r="A1170" s="18" t="s">
        <v>497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IFERROR(ROUND(E1170*VLOOKUP(D1170,商品!#REF!,4,FALSE),0),"")</f>
        <v/>
      </c>
      <c r="Z1170" t="str">
        <f>IFERROR(ROUND(G1170*VLOOKUP(F1170,商品!#REF!,4,FALSE),0),"")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3">
      <c r="A1171" s="18" t="s">
        <v>497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IFERROR(ROUND(E1171*VLOOKUP(D1171,商品!#REF!,4,FALSE),0),"")</f>
        <v/>
      </c>
      <c r="Z1171" t="str">
        <f>IFERROR(ROUND(G1171*VLOOKUP(F1171,商品!#REF!,4,FALSE),0),"")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3">
      <c r="A1172" s="5" t="s">
        <v>497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IFERROR(ROUND(E1172*VLOOKUP(D1172,商品!#REF!,4,FALSE),0),"")</f>
        <v/>
      </c>
      <c r="Z1172" t="str">
        <f>IFERROR(ROUND(G1172*VLOOKUP(F1172,商品!#REF!,4,FALSE),0),"")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3">
      <c r="A1173" s="5" t="s">
        <v>497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IFERROR(ROUND(E1173*VLOOKUP(D1173,商品!#REF!,4,FALSE),0),"")</f>
        <v/>
      </c>
      <c r="Z1173" t="str">
        <f>IFERROR(ROUND(G1173*VLOOKUP(F1173,商品!#REF!,4,FALSE),0),"")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3">
      <c r="A1174" s="5" t="s">
        <v>497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IFERROR(ROUND(E1174*VLOOKUP(D1174,商品!#REF!,4,FALSE),0),"")</f>
        <v/>
      </c>
      <c r="Z1174" t="str">
        <f>IFERROR(ROUND(G1174*VLOOKUP(F1174,商品!#REF!,4,FALSE),0),"")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3">
      <c r="A1175" s="5" t="s">
        <v>497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IFERROR(ROUND(E1175*VLOOKUP(D1175,商品!#REF!,4,FALSE),0),"")</f>
        <v/>
      </c>
      <c r="Z1175" t="str">
        <f>IFERROR(ROUND(G1175*VLOOKUP(F1175,商品!#REF!,4,FALSE),0),"")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3">
      <c r="A1176" s="5" t="s">
        <v>497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IFERROR(ROUND(E1176*VLOOKUP(D1176,商品!#REF!,4,FALSE),0),"")</f>
        <v/>
      </c>
      <c r="Z1176" t="str">
        <f>IFERROR(ROUND(G1176*VLOOKUP(F1176,商品!#REF!,4,FALSE),0),"")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3">
      <c r="A1177" s="18" t="s">
        <v>498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IFERROR(ROUND(E1177*VLOOKUP(D1177,商品!#REF!,4,FALSE),0),"")</f>
        <v/>
      </c>
      <c r="Z1177" t="str">
        <f>IFERROR(ROUND(G1177*VLOOKUP(F1177,商品!#REF!,4,FALSE),0),"")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3">
      <c r="A1178" s="18" t="s">
        <v>498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IFERROR(ROUND(E1178*VLOOKUP(D1178,商品!#REF!,4,FALSE),0),"")</f>
        <v/>
      </c>
      <c r="Z1178" t="str">
        <f>IFERROR(ROUND(G1178*VLOOKUP(F1178,商品!#REF!,4,FALSE),0),"")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3">
      <c r="A1179" s="18" t="s">
        <v>498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IFERROR(ROUND(E1179*VLOOKUP(D1179,商品!#REF!,4,FALSE),0),"")</f>
        <v/>
      </c>
      <c r="Z1179" t="str">
        <f>IFERROR(ROUND(G1179*VLOOKUP(F1179,商品!#REF!,4,FALSE),0),"")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3">
      <c r="A1180" s="18" t="s">
        <v>498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IFERROR(ROUND(E1180*VLOOKUP(D1180,商品!#REF!,4,FALSE),0),"")</f>
        <v/>
      </c>
      <c r="Z1180" t="str">
        <f>IFERROR(ROUND(G1180*VLOOKUP(F1180,商品!#REF!,4,FALSE),0),"")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3">
      <c r="A1181" s="18" t="s">
        <v>498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IFERROR(ROUND(E1181*VLOOKUP(D1181,商品!#REF!,4,FALSE),0),"")</f>
        <v/>
      </c>
      <c r="Z1181" t="str">
        <f>IFERROR(ROUND(G1181*VLOOKUP(F1181,商品!#REF!,4,FALSE),0),"")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3">
      <c r="A1182" s="18" t="s">
        <v>498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IFERROR(ROUND(E1182*VLOOKUP(D1182,商品!#REF!,4,FALSE),0),"")</f>
        <v/>
      </c>
      <c r="Z1182" t="str">
        <f>IFERROR(ROUND(G1182*VLOOKUP(F1182,商品!#REF!,4,FALSE),0),"")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3">
      <c r="A1183" s="18" t="s">
        <v>498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IFERROR(ROUND(E1183*VLOOKUP(D1183,商品!#REF!,4,FALSE),0),"")</f>
        <v/>
      </c>
      <c r="Z1183" t="str">
        <f>IFERROR(ROUND(G1183*VLOOKUP(F1183,商品!#REF!,4,FALSE),0),"")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3">
      <c r="A1184" s="18" t="s">
        <v>498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IFERROR(ROUND(E1184*VLOOKUP(D1184,商品!#REF!,4,FALSE),0),"")</f>
        <v/>
      </c>
      <c r="Z1184" t="str">
        <f>IFERROR(ROUND(G1184*VLOOKUP(F1184,商品!#REF!,4,FALSE),0),"")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3">
      <c r="A1185" s="5" t="s">
        <v>500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IFERROR(ROUND(E1185*VLOOKUP(D1185,商品!#REF!,4,FALSE),0),"")</f>
        <v/>
      </c>
      <c r="Z1185" t="str">
        <f>IFERROR(ROUND(G1185*VLOOKUP(F1185,商品!#REF!,4,FALSE),0),"")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3">
      <c r="A1186" s="5" t="s">
        <v>500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IFERROR(ROUND(E1186*VLOOKUP(D1186,商品!#REF!,4,FALSE),0),"")</f>
        <v/>
      </c>
      <c r="Z1186" t="str">
        <f>IFERROR(ROUND(G1186*VLOOKUP(F1186,商品!#REF!,4,FALSE),0),"")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3">
      <c r="A1187" s="5" t="s">
        <v>500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IFERROR(ROUND(E1187*VLOOKUP(D1187,商品!#REF!,4,FALSE),0),"")</f>
        <v/>
      </c>
      <c r="Z1187" t="str">
        <f>IFERROR(ROUND(G1187*VLOOKUP(F1187,商品!#REF!,4,FALSE),0),"")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3">
      <c r="A1188" s="5" t="s">
        <v>500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IFERROR(ROUND(E1188*VLOOKUP(D1188,商品!#REF!,4,FALSE),0),"")</f>
        <v/>
      </c>
      <c r="Z1188" t="str">
        <f>IFERROR(ROUND(G1188*VLOOKUP(F1188,商品!#REF!,4,FALSE),0),"")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3">
      <c r="A1189" s="5" t="s">
        <v>500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IFERROR(ROUND(E1189*VLOOKUP(D1189,商品!#REF!,4,FALSE),0),"")</f>
        <v/>
      </c>
      <c r="Z1189" t="str">
        <f>IFERROR(ROUND(G1189*VLOOKUP(F1189,商品!#REF!,4,FALSE),0),"")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3">
      <c r="A1190" s="18" t="s">
        <v>501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IFERROR(ROUND(E1190*VLOOKUP(D1190,商品!#REF!,4,FALSE),0),"")</f>
        <v/>
      </c>
      <c r="Z1190" t="str">
        <f>IFERROR(ROUND(G1190*VLOOKUP(F1190,商品!#REF!,4,FALSE),0),"")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3">
      <c r="A1191" s="18" t="s">
        <v>501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IFERROR(ROUND(E1191*VLOOKUP(D1191,商品!#REF!,4,FALSE),0),"")</f>
        <v/>
      </c>
      <c r="Z1191" t="str">
        <f>IFERROR(ROUND(G1191*VLOOKUP(F1191,商品!#REF!,4,FALSE),0),"")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3">
      <c r="A1192" s="18" t="s">
        <v>501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IFERROR(ROUND(E1192*VLOOKUP(D1192,商品!#REF!,4,FALSE),0),"")</f>
        <v/>
      </c>
      <c r="Z1192" t="str">
        <f>IFERROR(ROUND(G1192*VLOOKUP(F1192,商品!#REF!,4,FALSE),0),"")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3">
      <c r="A1193" s="18" t="s">
        <v>501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IFERROR(ROUND(E1193*VLOOKUP(D1193,商品!#REF!,4,FALSE),0),"")</f>
        <v/>
      </c>
      <c r="Z1193" t="str">
        <f>IFERROR(ROUND(G1193*VLOOKUP(F1193,商品!#REF!,4,FALSE),0),"")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3">
      <c r="A1194" s="18" t="s">
        <v>501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IFERROR(ROUND(E1194*VLOOKUP(D1194,商品!#REF!,4,FALSE),0),"")</f>
        <v/>
      </c>
      <c r="Z1194" t="str">
        <f>IFERROR(ROUND(G1194*VLOOKUP(F1194,商品!#REF!,4,FALSE),0),"")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3">
      <c r="A1195" s="5" t="s">
        <v>501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IFERROR(ROUND(E1195*VLOOKUP(D1195,商品!#REF!,4,FALSE),0),"")</f>
        <v/>
      </c>
      <c r="Z1195" t="str">
        <f>IFERROR(ROUND(G1195*VLOOKUP(F1195,商品!#REF!,4,FALSE),0),"")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3">
      <c r="A1196" s="5" t="s">
        <v>501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IFERROR(ROUND(E1196*VLOOKUP(D1196,商品!#REF!,4,FALSE),0),"")</f>
        <v/>
      </c>
      <c r="Z1196" t="str">
        <f>IFERROR(ROUND(G1196*VLOOKUP(F1196,商品!#REF!,4,FALSE),0),"")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3">
      <c r="A1197" s="5" t="s">
        <v>501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IFERROR(ROUND(E1197*VLOOKUP(D1197,商品!#REF!,4,FALSE),0),"")</f>
        <v/>
      </c>
      <c r="Z1197" t="str">
        <f>IFERROR(ROUND(G1197*VLOOKUP(F1197,商品!#REF!,4,FALSE),0),"")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3">
      <c r="A1198" s="5" t="s">
        <v>501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IFERROR(ROUND(E1198*VLOOKUP(D1198,商品!#REF!,4,FALSE),0),"")</f>
        <v/>
      </c>
      <c r="Z1198" t="str">
        <f>IFERROR(ROUND(G1198*VLOOKUP(F1198,商品!#REF!,4,FALSE),0),"")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3">
      <c r="A1199" s="5" t="s">
        <v>501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IFERROR(ROUND(E1199*VLOOKUP(D1199,商品!#REF!,4,FALSE),0),"")</f>
        <v/>
      </c>
      <c r="Z1199" t="str">
        <f>IFERROR(ROUND(G1199*VLOOKUP(F1199,商品!#REF!,4,FALSE),0),"")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3">
      <c r="A1200" s="18" t="s">
        <v>502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IFERROR(ROUND(E1200*VLOOKUP(D1200,商品!#REF!,4,FALSE),0),"")</f>
        <v/>
      </c>
      <c r="Z1200" t="str">
        <f>IFERROR(ROUND(G1200*VLOOKUP(F1200,商品!#REF!,4,FALSE),0),"")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3">
      <c r="A1201" s="18" t="s">
        <v>502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IFERROR(ROUND(E1201*VLOOKUP(D1201,商品!#REF!,4,FALSE),0),"")</f>
        <v/>
      </c>
      <c r="Z1201" t="str">
        <f>IFERROR(ROUND(G1201*VLOOKUP(F1201,商品!#REF!,4,FALSE),0),"")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3">
      <c r="A1202" s="18" t="s">
        <v>502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IFERROR(ROUND(E1202*VLOOKUP(D1202,商品!#REF!,4,FALSE),0),"")</f>
        <v/>
      </c>
      <c r="Z1202" t="str">
        <f>IFERROR(ROUND(G1202*VLOOKUP(F1202,商品!#REF!,4,FALSE),0),"")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3">
      <c r="A1203" s="18" t="s">
        <v>502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IFERROR(ROUND(E1203*VLOOKUP(D1203,商品!#REF!,4,FALSE),0),"")</f>
        <v/>
      </c>
      <c r="Z1203" t="str">
        <f>IFERROR(ROUND(G1203*VLOOKUP(F1203,商品!#REF!,4,FALSE),0),"")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3">
      <c r="A1204" s="18" t="s">
        <v>502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IFERROR(ROUND(E1204*VLOOKUP(D1204,商品!#REF!,4,FALSE),0),"")</f>
        <v/>
      </c>
      <c r="Z1204" t="str">
        <f>IFERROR(ROUND(G1204*VLOOKUP(F1204,商品!#REF!,4,FALSE),0),"")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3">
      <c r="A1205" s="18" t="s">
        <v>502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IFERROR(ROUND(E1205*VLOOKUP(D1205,商品!#REF!,4,FALSE),0),"")</f>
        <v/>
      </c>
      <c r="Z1205" t="str">
        <f>IFERROR(ROUND(G1205*VLOOKUP(F1205,商品!#REF!,4,FALSE),0),"")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3">
      <c r="A1206" s="18" t="s">
        <v>502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IFERROR(ROUND(E1206*VLOOKUP(D1206,商品!#REF!,4,FALSE),0),"")</f>
        <v/>
      </c>
      <c r="Z1206" t="str">
        <f>IFERROR(ROUND(G1206*VLOOKUP(F1206,商品!#REF!,4,FALSE),0),"")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3">
      <c r="A1207" s="18" t="s">
        <v>502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IFERROR(ROUND(E1207*VLOOKUP(D1207,商品!#REF!,4,FALSE),0),"")</f>
        <v/>
      </c>
      <c r="Z1207" t="str">
        <f>IFERROR(ROUND(G1207*VLOOKUP(F1207,商品!#REF!,4,FALSE),0),"")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 x14ac:dyDescent="0.3"/>
  <cols>
    <col min="1" max="1" width="20.6640625" style="1" customWidth="1"/>
    <col min="2" max="2" width="15" style="1" customWidth="1"/>
    <col min="3" max="3" width="9" style="1"/>
    <col min="4" max="4" width="8.86328125" style="1" customWidth="1"/>
    <col min="5" max="5" width="5.6640625" style="1" customWidth="1"/>
    <col min="6" max="6" width="8.8632812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6.796875" style="1" customWidth="1"/>
    <col min="13" max="13" width="5.6640625" style="1" customWidth="1"/>
    <col min="14" max="14" width="6.796875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" customWidth="1"/>
    <col min="20" max="22" width="7" style="1" customWidth="1"/>
    <col min="23" max="23" width="9.86328125" style="1" customWidth="1"/>
    <col min="24" max="24" width="9" style="1"/>
    <col min="25" max="32" width="6.796875" style="1" customWidth="1"/>
    <col min="33" max="16384" width="9" style="1"/>
  </cols>
  <sheetData>
    <row r="4" spans="1:33" ht="36" customHeight="1" x14ac:dyDescent="0.3">
      <c r="A4" s="2" t="s">
        <v>287</v>
      </c>
      <c r="B4" s="2" t="s">
        <v>575</v>
      </c>
      <c r="C4" s="3" t="s">
        <v>218</v>
      </c>
      <c r="D4" s="4" t="s">
        <v>578</v>
      </c>
      <c r="E4" s="4" t="s">
        <v>602</v>
      </c>
      <c r="F4" s="4" t="s">
        <v>580</v>
      </c>
      <c r="G4" s="4" t="s">
        <v>602</v>
      </c>
      <c r="H4" s="4" t="s">
        <v>603</v>
      </c>
      <c r="I4" s="4" t="s">
        <v>602</v>
      </c>
      <c r="J4" s="2" t="s">
        <v>584</v>
      </c>
      <c r="K4" s="2" t="s">
        <v>602</v>
      </c>
      <c r="L4" s="2" t="s">
        <v>585</v>
      </c>
      <c r="M4" s="2" t="s">
        <v>602</v>
      </c>
      <c r="N4" s="2" t="s">
        <v>586</v>
      </c>
      <c r="O4" s="2" t="s">
        <v>602</v>
      </c>
      <c r="P4" s="8" t="s">
        <v>219</v>
      </c>
      <c r="Q4" s="8" t="s">
        <v>602</v>
      </c>
      <c r="R4" s="8" t="s">
        <v>220</v>
      </c>
      <c r="S4" s="8" t="s">
        <v>602</v>
      </c>
      <c r="T4" s="4" t="s">
        <v>610</v>
      </c>
      <c r="U4" s="9" t="s">
        <v>611</v>
      </c>
      <c r="V4" s="10" t="s">
        <v>612</v>
      </c>
      <c r="W4" s="11" t="s">
        <v>613</v>
      </c>
      <c r="X4" s="12"/>
      <c r="Y4" s="4" t="s">
        <v>578</v>
      </c>
      <c r="Z4" s="4" t="s">
        <v>580</v>
      </c>
      <c r="AA4" s="4" t="s">
        <v>603</v>
      </c>
      <c r="AB4" s="2" t="s">
        <v>584</v>
      </c>
      <c r="AC4" s="2" t="s">
        <v>585</v>
      </c>
      <c r="AD4" s="2" t="s">
        <v>586</v>
      </c>
      <c r="AE4" s="8" t="s">
        <v>219</v>
      </c>
      <c r="AF4" s="8" t="s">
        <v>220</v>
      </c>
      <c r="AG4" s="12"/>
    </row>
    <row r="5" spans="1:33" ht="20" customHeight="1" x14ac:dyDescent="0.3">
      <c r="A5" s="5" t="s">
        <v>614</v>
      </c>
      <c r="B5" s="6" t="s">
        <v>615</v>
      </c>
      <c r="C5" s="1">
        <v>1</v>
      </c>
      <c r="D5" s="1" t="s">
        <v>103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20" customHeight="1" x14ac:dyDescent="0.3">
      <c r="A6" s="5" t="s">
        <v>614</v>
      </c>
      <c r="B6" s="1" t="s">
        <v>616</v>
      </c>
      <c r="C6" s="1">
        <v>2</v>
      </c>
      <c r="D6" s="1" t="s">
        <v>143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20" customHeight="1" x14ac:dyDescent="0.3">
      <c r="A7" s="5" t="s">
        <v>614</v>
      </c>
      <c r="B7" s="1" t="s">
        <v>143</v>
      </c>
      <c r="C7" s="1">
        <v>3</v>
      </c>
      <c r="D7" s="1" t="s">
        <v>143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20" customHeight="1" x14ac:dyDescent="0.3">
      <c r="A8" s="5" t="s">
        <v>614</v>
      </c>
      <c r="B8" s="1" t="s">
        <v>617</v>
      </c>
      <c r="C8" s="1">
        <v>4</v>
      </c>
      <c r="D8" s="1" t="s">
        <v>143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20" customHeight="1" x14ac:dyDescent="0.3">
      <c r="A9" s="7" t="s">
        <v>618</v>
      </c>
      <c r="B9" s="1" t="s">
        <v>619</v>
      </c>
      <c r="C9" s="1">
        <v>1</v>
      </c>
      <c r="W9" s="15"/>
    </row>
    <row r="10" spans="1:33" ht="20" customHeight="1" x14ac:dyDescent="0.3">
      <c r="A10" s="7" t="s">
        <v>618</v>
      </c>
      <c r="B10" s="1" t="s">
        <v>620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20" customHeight="1" x14ac:dyDescent="0.3">
      <c r="A11" s="7" t="s">
        <v>618</v>
      </c>
      <c r="B11" s="1" t="s">
        <v>621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20" customHeight="1" x14ac:dyDescent="0.3">
      <c r="A12" s="5" t="s">
        <v>622</v>
      </c>
      <c r="B12" s="1" t="s">
        <v>623</v>
      </c>
      <c r="C12" s="1">
        <v>1</v>
      </c>
      <c r="W12" s="15"/>
    </row>
    <row r="13" spans="1:33" ht="20" customHeight="1" x14ac:dyDescent="0.3">
      <c r="A13" s="5" t="s">
        <v>622</v>
      </c>
      <c r="B13" s="1" t="s">
        <v>624</v>
      </c>
      <c r="C13" s="1">
        <v>2</v>
      </c>
      <c r="D13" s="1" t="s">
        <v>146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20" customHeight="1" x14ac:dyDescent="0.3">
      <c r="A14" s="5" t="s">
        <v>622</v>
      </c>
      <c r="B14" s="1" t="s">
        <v>625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20" customHeight="1" x14ac:dyDescent="0.3">
      <c r="A15" s="5" t="s">
        <v>622</v>
      </c>
      <c r="B15" s="1" t="s">
        <v>626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627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20" customHeight="1" x14ac:dyDescent="0.3">
      <c r="A16" s="5" t="s">
        <v>622</v>
      </c>
      <c r="B16" s="1" t="s">
        <v>628</v>
      </c>
      <c r="C16" s="1">
        <v>5</v>
      </c>
      <c r="D16" s="1" t="s">
        <v>150</v>
      </c>
      <c r="E16" s="1">
        <v>1</v>
      </c>
      <c r="F16" s="1" t="s">
        <v>629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627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2022-07-30T06:54:16Z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